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ОС Загальний список" sheetId="1" r:id="rId5"/>
    <sheet state="visible" name="Статус бійців  " sheetId="2" r:id="rId6"/>
    <sheet state="visible" name="Архів" sheetId="3" r:id="rId7"/>
    <sheet state="hidden" name="ДВ Квітень" sheetId="4" r:id="rId8"/>
    <sheet state="hidden" name="Оздоровчі" sheetId="5" r:id="rId9"/>
  </sheets>
  <definedNames>
    <definedName hidden="1" localSheetId="1" name="_xlnm._FilterDatabase">'Статус бійців  '!$A$1:$AG$1626</definedName>
    <definedName hidden="1" localSheetId="2" name="_xlnm._FilterDatabase">'Архів'!$A$1:$AT$1623</definedName>
    <definedName hidden="1" localSheetId="0" name="Z_5D7260CE_0C89_4465_B5EA_A0AD0DA405CA_.wvu.FilterData">'1.ОС Загальний список'!$A$1:$AH$854</definedName>
    <definedName hidden="1" localSheetId="0" name="Z_9C4DC5AF_2D69_4EC5_BB2D_668E65051E23_.wvu.FilterData">'1.ОС Загальний список'!$A$1:$AR$854</definedName>
    <definedName hidden="1" localSheetId="0" name="Z_301787F6_0A60_4204_A6E2_9F62154A76BA_.wvu.FilterData">'1.ОС Загальний список'!$A$1:$AR$854</definedName>
    <definedName hidden="1" localSheetId="0" name="Z_95EBA4CD_DB06_4784_B543_6F8BCE581210_.wvu.FilterData">'1.ОС Загальний список'!$A$1:$AR$854</definedName>
    <definedName hidden="1" localSheetId="0" name="Z_6E913852_639D_418E_8585_5EB68F74C43A_.wvu.FilterData">'1.ОС Загальний список'!$A$1:$AR$854</definedName>
    <definedName hidden="1" localSheetId="0" name="Z_9A90CA30_4CE9_4BEB_93A9_49082A802082_.wvu.FilterData">'1.ОС Загальний список'!$A$1:$AR$854</definedName>
    <definedName hidden="1" localSheetId="0" name="Z_C6C0E988_2143_4ACF_A896_89B69E6E1581_.wvu.FilterData">'1.ОС Загальний список'!$A$1:$AR$854</definedName>
    <definedName hidden="1" localSheetId="0" name="Z_68642964_39C9_4B4B_B3CE_90E4FE21E38D_.wvu.FilterData">'1.ОС Загальний список'!$A$1:$AR$854</definedName>
    <definedName hidden="1" localSheetId="0" name="Z_6AC3B514_523F_4C51_9966_E41C399BD432_.wvu.FilterData">'1.ОС Загальний список'!$A$1:$AR$854</definedName>
    <definedName hidden="1" localSheetId="0" name="Z_C5B6CA2E_1D95_4AA0_838F_93CF53430D57_.wvu.FilterData">'1.ОС Загальний список'!$A$1:$AH$854</definedName>
    <definedName hidden="1" localSheetId="0" name="Z_03EA440D_8A07_492E_9DE2_AB435A8536FC_.wvu.FilterData">'1.ОС Загальний список'!$A$1:$AR$854</definedName>
    <definedName hidden="1" localSheetId="0" name="Z_1A035350_1504_4B9F_973D_FAF281374A9B_.wvu.FilterData">'1.ОС Загальний список'!$A$1:$AR$854</definedName>
    <definedName hidden="1" localSheetId="0" name="Z_2EF10094_0F24_4112_934E_9920D940187B_.wvu.FilterData">'1.ОС Загальний список'!$A$1:$AT$854</definedName>
    <definedName hidden="1" localSheetId="0" name="Z_E4C98A4E_8E94_42B7_BF13_DC6AEB865EDF_.wvu.FilterData">'1.ОС Загальний список'!$A$1:$AT$854</definedName>
    <definedName hidden="1" localSheetId="0" name="Z_73206C08_CA0E_44F7_B418_3DE995C3378F_.wvu.FilterData">'1.ОС Загальний список'!$A$1:$AH$854</definedName>
    <definedName hidden="1" localSheetId="0" name="Z_45A5B32D_8436_4BD3_AD1F_12857550C8EF_.wvu.FilterData">'1.ОС Загальний список'!$A$1:$AR$854</definedName>
  </definedNames>
  <calcPr/>
  <customWorkbookViews>
    <customWorkbookView activeSheetId="0" maximized="1" windowHeight="0" windowWidth="0" guid="{5D7260CE-0C89-4465-B5EA-A0AD0DA405CA}" name="Лікування"/>
    <customWorkbookView activeSheetId="0" maximized="1" windowHeight="0" windowWidth="0" guid="{9C4DC5AF-2D69-4EC5-BB2D-668E65051E23}" name="вос 100, 101, 103, 106 УВ"/>
    <customWorkbookView activeSheetId="0" maximized="1" windowHeight="0" windowWidth="0" guid="{301787F6-0A60-4204-A6E2-9F62154A76BA}" name="вос 100, 101, 103 ,106"/>
    <customWorkbookView activeSheetId="0" maximized="1" windowHeight="0" windowWidth="0" guid="{95EBA4CD-DB06-4784-B543-6F8BCE581210}" name="Фільтр 9"/>
    <customWorkbookView activeSheetId="0" maximized="1" windowHeight="0" windowWidth="0" guid="{6E913852-639D-418E-8585-5EB68F74C43A}" name="Фільтр 5"/>
    <customWorkbookView activeSheetId="0" maximized="1" windowHeight="0" windowWidth="0" guid="{9A90CA30-4CE9-4BEB-93A9-49082A802082}" name="Фільтр 1"/>
    <customWorkbookView activeSheetId="0" maximized="1" windowHeight="0" windowWidth="0" guid="{C6C0E988-2143-4ACF-A896-89B69E6E1581}" name="Фільтр 4"/>
    <customWorkbookView activeSheetId="0" maximized="1" windowHeight="0" windowWidth="0" guid="{68642964-39C9-4B4B-B3CE-90E4FE21E38D}" name="Фільтр 2"/>
    <customWorkbookView activeSheetId="0" maximized="1" windowHeight="0" windowWidth="0" guid="{6AC3B514-523F-4C51-9966-E41C399BD432}" name="Фільтр 8"/>
    <customWorkbookView activeSheetId="0" maximized="1" windowHeight="0" windowWidth="0" guid="{C5B6CA2E-1D95-4AA0-838F-93CF53430D57}" name="Перо"/>
    <customWorkbookView activeSheetId="0" maximized="1" windowHeight="0" windowWidth="0" guid="{03EA440D-8A07-492E-9DE2-AB435A8536FC}" name="Фільтр 7"/>
    <customWorkbookView activeSheetId="0" maximized="1" windowHeight="0" windowWidth="0" guid="{1A035350-1504-4B9F-973D-FAF281374A9B}" name="Фільтр 3"/>
    <customWorkbookView activeSheetId="0" maximized="1" windowHeight="0" windowWidth="0" guid="{2EF10094-0F24-4112-934E-9920D940187B}" name="ротация"/>
    <customWorkbookView activeSheetId="0" maximized="1" windowHeight="0" windowWidth="0" guid="{E4C98A4E-8E94-42B7-BF13-DC6AEB865EDF}" name="Светофор"/>
    <customWorkbookView activeSheetId="0" maximized="1" windowHeight="0" windowWidth="0" guid="{73206C08-CA0E-44F7-B418-3DE995C3378F}" name="Запасний"/>
    <customWorkbookView activeSheetId="0" maximized="1" windowHeight="0" windowWidth="0" guid="{45A5B32D-8436-4BD3-AD1F-12857550C8EF}" name="Фільтр 6"/>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32">
      <text>
        <t xml:space="preserve">Заец сказал что есть БЗВП, сказали не говорить откуда инфа</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478">
      <text>
        <t xml:space="preserve">Заец сказал что есть БЗВП, сказали не говорить откуда инфа</t>
      </text>
    </comment>
    <comment authorId="0" ref="M27">
      <text>
        <t xml:space="preserve">Заец сказал что есть БЗВП, сказали не говорить откуда инфа</t>
      </text>
    </comment>
    <comment authorId="0" ref="N779">
      <text>
        <t xml:space="preserve">ТВО РУДЕНКО Олександр Юрійович
Закінчення курсу 
15.11.2025</t>
      </text>
    </comment>
    <comment authorId="0" ref="N296">
      <text>
        <t xml:space="preserve">Заец сказал что есть БЗВП, сказали не говорить откуда инфа</t>
      </text>
    </comment>
    <comment authorId="0" ref="N310">
      <text>
        <t xml:space="preserve">ПАВЛЕНКО - Заєць сказав шо є БЗВП</t>
      </text>
    </comment>
    <comment authorId="0" ref="N483">
      <text>
        <t xml:space="preserve">Навідник БМП-1М30</t>
      </text>
    </comment>
    <comment authorId="0" ref="N977">
      <text>
        <t xml:space="preserve">ВОЙНОЛОВИЧ - Він прибув до нас з брезу з наявністю БЗВП (с) Заєць</t>
      </text>
    </comment>
  </commentList>
</comments>
</file>

<file path=xl/sharedStrings.xml><?xml version="1.0" encoding="utf-8"?>
<sst xmlns="http://schemas.openxmlformats.org/spreadsheetml/2006/main" count="63482" uniqueCount="12859">
  <si>
    <t>№</t>
  </si>
  <si>
    <t xml:space="preserve"> </t>
  </si>
  <si>
    <t>а</t>
  </si>
  <si>
    <t>ЗВАННЯ</t>
  </si>
  <si>
    <t>ПІБ</t>
  </si>
  <si>
    <t>ПОЗИВНИЙ</t>
  </si>
  <si>
    <t>Коротка посада</t>
  </si>
  <si>
    <t>ПОСАДА</t>
  </si>
  <si>
    <t>дата 30</t>
  </si>
  <si>
    <t>дата 30(2)</t>
  </si>
  <si>
    <t>дата 100</t>
  </si>
  <si>
    <t>дата 100(2)</t>
  </si>
  <si>
    <t>дата 50</t>
  </si>
  <si>
    <t>дата 50(2)</t>
  </si>
  <si>
    <t>к-ть днів 30</t>
  </si>
  <si>
    <t>к-ть днів 100</t>
  </si>
  <si>
    <t>к-ть днів 50</t>
  </si>
  <si>
    <t>сума днів</t>
  </si>
  <si>
    <t>сума по 30</t>
  </si>
  <si>
    <t>сума по 100</t>
  </si>
  <si>
    <t>сума по 50</t>
  </si>
  <si>
    <t>сума за місяць</t>
  </si>
  <si>
    <t>Підрозділ</t>
  </si>
  <si>
    <t>РАПОРТ 70</t>
  </si>
  <si>
    <t>Напрямок</t>
  </si>
  <si>
    <t>Взвод</t>
  </si>
  <si>
    <t>ПРИМІТКА</t>
  </si>
  <si>
    <t>Посада згідно штату (коротка)</t>
  </si>
  <si>
    <t>Рота</t>
  </si>
  <si>
    <t>Військове звання</t>
  </si>
  <si>
    <t>Відділення</t>
  </si>
  <si>
    <t>Прізвище, власне ім’я</t>
  </si>
  <si>
    <t>Позивний</t>
  </si>
  <si>
    <t>1ПБ</t>
  </si>
  <si>
    <t>Дата виходу</t>
  </si>
  <si>
    <t>Посада</t>
  </si>
  <si>
    <t>молодший лейтенант</t>
  </si>
  <si>
    <t>ДУШИН Сергій Вікторович</t>
  </si>
  <si>
    <t>ЗАМОК</t>
  </si>
  <si>
    <t>Заступник командира батальйону</t>
  </si>
  <si>
    <t>заступник командира 1 піхотного батальйону</t>
  </si>
  <si>
    <t>Дата повернення або 200/300/500"</t>
  </si>
  <si>
    <t>ВОС</t>
  </si>
  <si>
    <t>Статус</t>
  </si>
  <si>
    <t>Зброя</t>
  </si>
  <si>
    <t>Засоби зв'язку</t>
  </si>
  <si>
    <t>ШПК факт</t>
  </si>
  <si>
    <t/>
  </si>
  <si>
    <t>Анкета</t>
  </si>
  <si>
    <t>Повна посада</t>
  </si>
  <si>
    <t xml:space="preserve">Звання </t>
  </si>
  <si>
    <t>Дата народження</t>
  </si>
  <si>
    <t>Повних років</t>
  </si>
  <si>
    <t>100 000,00 ₴</t>
  </si>
  <si>
    <t>1 ПР</t>
  </si>
  <si>
    <t>Військовий квиток</t>
  </si>
  <si>
    <t>н.п.Одрадне</t>
  </si>
  <si>
    <t>Мобілізація/контракт</t>
  </si>
  <si>
    <t>Вогнеметник</t>
  </si>
  <si>
    <t>Зброя і техніка</t>
  </si>
  <si>
    <t>солдат</t>
  </si>
  <si>
    <t>СТАТУС</t>
  </si>
  <si>
    <t>майор</t>
  </si>
  <si>
    <t>БАБЧЕНКО Олег Володимирович</t>
  </si>
  <si>
    <t>ЖУРБА Олександр Сергійович</t>
  </si>
  <si>
    <t>ШЕФ</t>
  </si>
  <si>
    <t>Тип В\С</t>
  </si>
  <si>
    <t>МОГИЛА</t>
  </si>
  <si>
    <t>Заступник командира батальйону з психологічної підтримки персоналу</t>
  </si>
  <si>
    <t>заступник командира 1 піхотного батальйону з психологічної підтримки персоналу</t>
  </si>
  <si>
    <t>03.06.2025</t>
  </si>
  <si>
    <t>Статус БГ</t>
  </si>
  <si>
    <t>БЗВП</t>
  </si>
  <si>
    <t>ІПН</t>
  </si>
  <si>
    <t>17 000,00 ₴</t>
  </si>
  <si>
    <t>43 333,33 ₴</t>
  </si>
  <si>
    <t>Група крові</t>
  </si>
  <si>
    <t>КУРС БЗВП</t>
  </si>
  <si>
    <t>КОРОБКІН Олег Ігорович</t>
  </si>
  <si>
    <t>ХАКЕР</t>
  </si>
  <si>
    <t>Відрядження (БРЕЗ)</t>
  </si>
  <si>
    <t>Офіцер</t>
  </si>
  <si>
    <t>офіцер групи психологічного супроводу та відновлення</t>
  </si>
  <si>
    <t>25 000,00 ₴</t>
  </si>
  <si>
    <t>16 666,67 ₴</t>
  </si>
  <si>
    <t>Підпорядкованість</t>
  </si>
  <si>
    <t>БЗВП/БРЕЗ</t>
  </si>
  <si>
    <t>БРИЦЬКИЙ Руслан Володимирович</t>
  </si>
  <si>
    <t>ІНГУЛ</t>
  </si>
  <si>
    <t>Помічник командира батальйону з артилерії</t>
  </si>
  <si>
    <t>помічник командира 1 піхотного батальйону з артилерії</t>
  </si>
  <si>
    <t>Місце перебування</t>
  </si>
  <si>
    <t>Наявність БЗВП</t>
  </si>
  <si>
    <t>Примітки</t>
  </si>
  <si>
    <t>Примітка 3</t>
  </si>
  <si>
    <t>Обмеження</t>
  </si>
  <si>
    <t>лейтенант</t>
  </si>
  <si>
    <t>В якому підрозділі</t>
  </si>
  <si>
    <t>ЛІЩУК Олександр Віталійович</t>
  </si>
  <si>
    <t>АЛЕКС</t>
  </si>
  <si>
    <t>Начальник штабу - заступник командира батальйону</t>
  </si>
  <si>
    <t>начальник штабу - заступник командира 1 піхотного батальйону</t>
  </si>
  <si>
    <t>молодший сержант</t>
  </si>
  <si>
    <t>БОНДАР Віталій Григорович</t>
  </si>
  <si>
    <t>ІСУС</t>
  </si>
  <si>
    <t>Місце перебування
УТОЧНЕННЯ</t>
  </si>
  <si>
    <t>Начальник групи</t>
  </si>
  <si>
    <t>АК-74 №4496828</t>
  </si>
  <si>
    <t>начальник групи персоналу штабу 1 піхотного батальйону</t>
  </si>
  <si>
    <t>НОВОПРИБУЛИЙ</t>
  </si>
  <si>
    <t>807LYH4157</t>
  </si>
  <si>
    <t>ВОЛОДІН Даниїл Віталійович</t>
  </si>
  <si>
    <t>ВО-ДА</t>
  </si>
  <si>
    <t>офіцер групи планування штабу 1 піхотного батальйону</t>
  </si>
  <si>
    <t>так</t>
  </si>
  <si>
    <t>ГЛЬОЗА Олександр Сергійович</t>
  </si>
  <si>
    <t>нова</t>
  </si>
  <si>
    <t>НІКІТІН Ігор Вячеславович</t>
  </si>
  <si>
    <t>ДНІПРО</t>
  </si>
  <si>
    <t>Головний сержант</t>
  </si>
  <si>
    <t>головний сержант 2 піхотного взводу 1 піхотної роти 1 піхотного батальйону</t>
  </si>
  <si>
    <t>ж</t>
  </si>
  <si>
    <t>Командир батальйону</t>
  </si>
  <si>
    <t>БАЛЯСІН Віталій Сергійович</t>
  </si>
  <si>
    <t>ДЕЛЬТА</t>
  </si>
  <si>
    <t>Є</t>
  </si>
  <si>
    <t>0210003</t>
  </si>
  <si>
    <t>ГОЛУБЕНКО Віталій Андрійович</t>
  </si>
  <si>
    <t>ДОБІ</t>
  </si>
  <si>
    <t>ОДЕСА</t>
  </si>
  <si>
    <t>головний сержант 1 піхотного батальйону</t>
  </si>
  <si>
    <t>АК-74 №262528</t>
  </si>
  <si>
    <t>807LYH1521</t>
  </si>
  <si>
    <t>командир 1 піхотного батальйону</t>
  </si>
  <si>
    <t>підполковник</t>
  </si>
  <si>
    <t>Оф.</t>
  </si>
  <si>
    <t>СЗЧ</t>
  </si>
  <si>
    <t>ВАЛІНЕВИЧ Анатолій Іванович</t>
  </si>
  <si>
    <t>ХІП-ХОП</t>
  </si>
  <si>
    <t>Кулеметник</t>
  </si>
  <si>
    <t>КУСІЄ Андрій Сергійович</t>
  </si>
  <si>
    <t>головний сержант 1 піхотного взводу 2 піхотної роти 1 піхотного батальйону</t>
  </si>
  <si>
    <t>ВОЛИНА</t>
  </si>
  <si>
    <t>старший лейтенант</t>
  </si>
  <si>
    <t>КІЯНЕНКО Андрій Олександрович</t>
  </si>
  <si>
    <t>БРЕЗ</t>
  </si>
  <si>
    <t>БЗВП +</t>
  </si>
  <si>
    <t>АК-74 №6227328</t>
  </si>
  <si>
    <t>МАРІК</t>
  </si>
  <si>
    <t>ЗВЯГІНЦЕВ Вадим Володимирович</t>
  </si>
  <si>
    <t>2ПР</t>
  </si>
  <si>
    <t>ЗВЯГА</t>
  </si>
  <si>
    <t>Майстер</t>
  </si>
  <si>
    <t>майстер 2 екіпажу перехоплювачів безпілотних літальних апаратів взводу перехоплювачів безпілотних літальних апаратів 1 піхотного батальйону</t>
  </si>
  <si>
    <t>Шпиталь</t>
  </si>
  <si>
    <t>по пораненню</t>
  </si>
  <si>
    <t>9 000,00 ₴</t>
  </si>
  <si>
    <t>70 000,00 ₴</t>
  </si>
  <si>
    <t>Стpілець-помічник гpанатометника</t>
  </si>
  <si>
    <t>ЮР Олександр Михайлович</t>
  </si>
  <si>
    <t>МІЛІНЧУК Геннадій Анатолійович</t>
  </si>
  <si>
    <t>АВТОГЕН</t>
  </si>
  <si>
    <t>МИХАЛИЧ</t>
  </si>
  <si>
    <t>Старший технік</t>
  </si>
  <si>
    <t>старший технік 2 піхотної роти 1 піхотного батальйону</t>
  </si>
  <si>
    <t>В строю</t>
  </si>
  <si>
    <t>Упр. бату</t>
  </si>
  <si>
    <t>АК-74 №1709339</t>
  </si>
  <si>
    <t>ФІЛІНОВ Сергій Олександрович</t>
  </si>
  <si>
    <t>ФІЛ</t>
  </si>
  <si>
    <t>Командир взводу</t>
  </si>
  <si>
    <t>командир взводу матеріально-технічного забезпечення 1 піхотного батальйону</t>
  </si>
  <si>
    <t>СТЕПАНЕНКО Руслан Вікторович</t>
  </si>
  <si>
    <t>ДЕРЕВНІН Артур Юрійович</t>
  </si>
  <si>
    <t>АРТІК</t>
  </si>
  <si>
    <t>ЗМЕЙ</t>
  </si>
  <si>
    <t>ХИЛЬКО В'ячеслав Анатолійович</t>
  </si>
  <si>
    <t>НІКО</t>
  </si>
  <si>
    <t>Командир відділення</t>
  </si>
  <si>
    <t>АК-74 №2052043</t>
  </si>
  <si>
    <t>КСП Павлоград</t>
  </si>
  <si>
    <t>командир 3 піхотного відділення 3 піхотного взводу 1 піхотної роти 1 піхотного батальйону</t>
  </si>
  <si>
    <t>Без БЗВП/БРЕЗ</t>
  </si>
  <si>
    <t>у анкеті немає в/к, БЗВП?</t>
  </si>
  <si>
    <t>Закінчення курсу 
15.11.2025</t>
  </si>
  <si>
    <t>ні</t>
  </si>
  <si>
    <t>Без БЗВП</t>
  </si>
  <si>
    <t>Гранатометник</t>
  </si>
  <si>
    <t>ЄКЦ Павлоград</t>
  </si>
  <si>
    <t>ЧЕПУРНИЙ Юрій Олегович</t>
  </si>
  <si>
    <t>ІЗРАЇЛЬ</t>
  </si>
  <si>
    <t>РАКОВИЧ Вадим Миколайович</t>
  </si>
  <si>
    <t>Обмеж. придат.</t>
  </si>
  <si>
    <t>ВАДОС</t>
  </si>
  <si>
    <t>Санітарний інструктор</t>
  </si>
  <si>
    <t>санітарний інструктор медичного пункту 1 піхотного батальйону</t>
  </si>
  <si>
    <t>ТВО стрілець-помічник гранатометника 2 піхотного відділення 3 піхотного взводу 2 піхотної роти піхотного батальйону</t>
  </si>
  <si>
    <t>БГ</t>
  </si>
  <si>
    <t>АК-74 №4460384</t>
  </si>
  <si>
    <t>807LYH1659</t>
  </si>
  <si>
    <t>СТАСЮК Володимир Олександрович</t>
  </si>
  <si>
    <t>Водій</t>
  </si>
  <si>
    <t>АНДРЄЄВ Станіслав Леонтійови</t>
  </si>
  <si>
    <t>ПОЛЯК</t>
  </si>
  <si>
    <t>ДЕМИДЕНКО Володимир Анатолійович</t>
  </si>
  <si>
    <t>ВЕТЕР</t>
  </si>
  <si>
    <t>командир відділення інженерно-саперного відділення 1 піхотного батальйону</t>
  </si>
  <si>
    <t>АК-74 №6298408</t>
  </si>
  <si>
    <t>807LYH1117</t>
  </si>
  <si>
    <t>ТАКСИСТ</t>
  </si>
  <si>
    <t>КИРИК Іван Вікторович</t>
  </si>
  <si>
    <t>КУЧЕРЯВИЙ</t>
  </si>
  <si>
    <t>Старший водій</t>
  </si>
  <si>
    <t>Стрілець</t>
  </si>
  <si>
    <t>старший водій 1 піхотного відділення 3 піхотного взводу 1 піхотної роти 1 піхотного батальйону</t>
  </si>
  <si>
    <t>ПУСТОВОЙТЕНКО Сергій Леонідович</t>
  </si>
  <si>
    <t>ПУСТОЙ</t>
  </si>
  <si>
    <t>13 000,00 ₴</t>
  </si>
  <si>
    <t>56 666,67 ₴</t>
  </si>
  <si>
    <t>Не в сторою</t>
  </si>
  <si>
    <t>Штаб. бату</t>
  </si>
  <si>
    <t>АК-74 №6204294</t>
  </si>
  <si>
    <t>КЛЮЙКОВ Роман Сергійович</t>
  </si>
  <si>
    <t>АРЧІ</t>
  </si>
  <si>
    <t>головний сержант 3 піхотного взводу 2 піхотної роти 1 піхотного батальйону</t>
  </si>
  <si>
    <t>н.п. Бажани</t>
  </si>
  <si>
    <t>Багатодітний / догляд</t>
  </si>
  <si>
    <t>Тимчасово не БГ</t>
  </si>
  <si>
    <t>Старший стрілець-оператор безпілотних літальних апаратів</t>
  </si>
  <si>
    <t>ЄРОХІН Денис Дмитрови</t>
  </si>
  <si>
    <t>МАЛИЙ</t>
  </si>
  <si>
    <t>ГЕТМАНЕЦЬ Денис Костянтинович</t>
  </si>
  <si>
    <t>РУДНЄВ Василь Валерійович</t>
  </si>
  <si>
    <t>МИР</t>
  </si>
  <si>
    <t>3420003</t>
  </si>
  <si>
    <t>КРАСТІ</t>
  </si>
  <si>
    <t>головний сержант 2 піхотного взводу 3 піхотної роти 1 піхотного батальйону</t>
  </si>
  <si>
    <t>АК-74 №1662188</t>
  </si>
  <si>
    <t>посвідчення офіцера</t>
  </si>
  <si>
    <t>перев</t>
  </si>
  <si>
    <t>КОВТОНЮК Андрій Анатолійович</t>
  </si>
  <si>
    <t>13й</t>
  </si>
  <si>
    <t>ДОЛГОПОЛОВ Максим Віталійович</t>
  </si>
  <si>
    <t>командир 1 відділення середніх логістично-евакуаційних безпілотних наземних систем взводу логістично-евакуаційних безпілотних наземних систем 1 піхотного батальйону</t>
  </si>
  <si>
    <t>КОСМОС</t>
  </si>
  <si>
    <t>АК-74 №6260494</t>
  </si>
  <si>
    <t>ЗБИШКО Михайло Ігорович</t>
  </si>
  <si>
    <t>АКОРД</t>
  </si>
  <si>
    <t>БАРАБАН Віктор Петрович</t>
  </si>
  <si>
    <t>Командир відділення-командир екіпажу безпілотних авіаційних комплексів</t>
  </si>
  <si>
    <t>командир 2 відділення ударних безпілотних авіаційних комплексів-командир екіпажу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</si>
  <si>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БАРАБАН</t>
  </si>
  <si>
    <t>ОЛІЙНИК Андрій Миколайович</t>
  </si>
  <si>
    <t>ГІМНАСТ</t>
  </si>
  <si>
    <t>СЕМЕНІХІН Максим Миколайович</t>
  </si>
  <si>
    <t>ЖОВТИЙ</t>
  </si>
  <si>
    <t>головний сержант роти безпілотних авіаційних комплексів 1 піхотного батальйону</t>
  </si>
  <si>
    <t>УПРАВЛ</t>
  </si>
  <si>
    <t>АК-74 №1699988</t>
  </si>
  <si>
    <t>ППД Вишневе</t>
  </si>
  <si>
    <t>807TZD1305</t>
  </si>
  <si>
    <t>Новоприбулий</t>
  </si>
  <si>
    <t>Упр. підрозділ.</t>
  </si>
  <si>
    <t>МАРЧЕНКО Максим Миколайович (15.09.1993 р.н.)</t>
  </si>
  <si>
    <t>ППД Петропавлівка</t>
  </si>
  <si>
    <t>КАБАНЧИК</t>
  </si>
  <si>
    <t>Головний сержант-командир відділення</t>
  </si>
  <si>
    <t>Командир роти</t>
  </si>
  <si>
    <t>ЦЕЛІК Роман Романович</t>
  </si>
  <si>
    <t>Призупинення служби</t>
  </si>
  <si>
    <t>командир 1 піхотної роти 1 піхотного батальйону</t>
  </si>
  <si>
    <t>номер обслуги кулеметного взводу 2 піхотної роти піхотного батальйону</t>
  </si>
  <si>
    <t>XУТО</t>
  </si>
  <si>
    <t>Заступник командира батальйону з озброєння</t>
  </si>
  <si>
    <t>АК-74 №4438554</t>
  </si>
  <si>
    <t>7050003</t>
  </si>
  <si>
    <t>807TYXN1872</t>
  </si>
  <si>
    <t>ДУБИНА Віталій Григорович</t>
  </si>
  <si>
    <t>заступник командира 1 піхотного батальйону з озброєння</t>
  </si>
  <si>
    <t>ДУБОК</t>
  </si>
  <si>
    <t>АТАНОВ Руслан Олексійович</t>
  </si>
  <si>
    <t>головний сержант 1 піхотного взводу 1 піхотної роти 1 піхотного батальйону</t>
  </si>
  <si>
    <t>ТУРИСТ</t>
  </si>
  <si>
    <t>НЕДБАЙЛО Микола Юрійович</t>
  </si>
  <si>
    <t>ШРАМ</t>
  </si>
  <si>
    <t>ЖЕКОВ Микола Семенович</t>
  </si>
  <si>
    <t>ЯСТРЕБ</t>
  </si>
  <si>
    <t>Навідник</t>
  </si>
  <si>
    <t>навідник кулеметного взводу 1 піхотного батальйону</t>
  </si>
  <si>
    <t>АК-74 №6172828</t>
  </si>
  <si>
    <t>призупинення служби</t>
  </si>
  <si>
    <t>Вик.БЗ в ін. п-лі</t>
  </si>
  <si>
    <t>Мобільний зведений загін
БР 1079 від 30.09.25</t>
  </si>
  <si>
    <t>НОВІКОВ Ігор Олександрович</t>
  </si>
  <si>
    <t>ГОША</t>
  </si>
  <si>
    <t>Радіотелефоніст</t>
  </si>
  <si>
    <t>радіотелефоніст 1 піхотного взводу 1 піхотної роти 1 піхотного батальйону</t>
  </si>
  <si>
    <t>БОРСУК Олексій Вікторович</t>
  </si>
  <si>
    <t>КРУГЛИЙ</t>
  </si>
  <si>
    <t>АК-74 №4412696</t>
  </si>
  <si>
    <t>БУЛЕНКОВ Максим Андрійович</t>
  </si>
  <si>
    <t>БУКЛЯ</t>
  </si>
  <si>
    <t>Старший стрілець - оператор безпілотних літальних апаратів</t>
  </si>
  <si>
    <t>гранатометник 1 піхотного відділення 1 піхотного взводу 3 піхотної роти піхотного батальйону</t>
  </si>
  <si>
    <t>старший стрілець - оператор безпілотних літальних апаратів 1 піхотного відділення 1 піхотного взводу 1 піхотної роти 1 піхотного батальйону</t>
  </si>
  <si>
    <t>БОНДАРЄВ Руслан Олексійович</t>
  </si>
  <si>
    <t>СУДАК Роман Ігорович</t>
  </si>
  <si>
    <t>Упр. взводу</t>
  </si>
  <si>
    <t>БОНД</t>
  </si>
  <si>
    <t>ЗОЗУЛЯ Валерій Олександрович</t>
  </si>
  <si>
    <t>ЗУБ</t>
  </si>
  <si>
    <t>ППД Самарське (літуни)</t>
  </si>
  <si>
    <t>АК-74 №6241533</t>
  </si>
  <si>
    <t>гранатометник 1 піхотного відділення 1 піхотного взводу 1 піхотної роти 1 піхотного батальйону</t>
  </si>
  <si>
    <t>Заступник командира батальйону з тилу</t>
  </si>
  <si>
    <t>7001003</t>
  </si>
  <si>
    <t>заступник командира 1 піхотного батальйону з тилу</t>
  </si>
  <si>
    <t>ФЕДОТОВ Сергій Леонідович</t>
  </si>
  <si>
    <t>ЗАЙЧЕНКО Сергій Геннадійович</t>
  </si>
  <si>
    <t>ЛЄШИЙ</t>
  </si>
  <si>
    <t>СЄНЯ</t>
  </si>
  <si>
    <t>Стрілець-помічник гранатометника</t>
  </si>
  <si>
    <t>стрілець-помічник гранатометника 1 піхотного відділення 1 піхотного взводу 1 піхотної роти 1 піхотного батальйону</t>
  </si>
  <si>
    <t>АК-74 №1702455</t>
  </si>
  <si>
    <t>33 333,33 ₴</t>
  </si>
  <si>
    <t>ДУБИНА Олександр В'ячеславович</t>
  </si>
  <si>
    <t>старший солдат</t>
  </si>
  <si>
    <t>БЕЛИЙ</t>
  </si>
  <si>
    <t>СЕЛІВАНОВ Анатолій Анатолійович</t>
  </si>
  <si>
    <t>ВАЛІДОЛ</t>
  </si>
  <si>
    <t>вогнеметник 1 піхотного відділення 1 піхотного взводу 1 піхотної роти 1 піхотного батальйону</t>
  </si>
  <si>
    <t>Номер обслуги</t>
  </si>
  <si>
    <t>ВАСИЛЕЦЬ Олексій Дмитрович</t>
  </si>
  <si>
    <t>КРИНИЦЬКИЙ Павло Костянтинович</t>
  </si>
  <si>
    <t>БІЗОН</t>
  </si>
  <si>
    <t>ЛУГАНСЬКИЙ</t>
  </si>
  <si>
    <t>стрілець 2 піхотного відділення 2 піхотного взводу 3 піхотної роти піхотного батальйону</t>
  </si>
  <si>
    <t>кулеметник 2 піхотного відділення 1 піхотного взводу 1 піхотної роти 1 піхотного батальйону</t>
  </si>
  <si>
    <t>МАТЯШ Федір Васильович</t>
  </si>
  <si>
    <t>АК-74 №1685810</t>
  </si>
  <si>
    <t>807TZD1605</t>
  </si>
  <si>
    <t>ДАР</t>
  </si>
  <si>
    <t>ЗЕКУН Сергій Юрійович</t>
  </si>
  <si>
    <t>ШАТУН</t>
  </si>
  <si>
    <t>Загиблі</t>
  </si>
  <si>
    <t>Відпустка</t>
  </si>
  <si>
    <t>стрілець-помічник гранатометника 2 піхотного відділення 1 піхотного взводу 1 піхотної роти 1 піхотного батальйону</t>
  </si>
  <si>
    <t>АЛАД'ЄВ Олександр Геннадійович</t>
  </si>
  <si>
    <t>відсутня
інформація</t>
  </si>
  <si>
    <t>АЛАДІН</t>
  </si>
  <si>
    <t>Піхота</t>
  </si>
  <si>
    <t>н.п. Березове</t>
  </si>
  <si>
    <t>200 від 08.10.2025</t>
  </si>
  <si>
    <t>ППД Новодонецьке (літуни)</t>
  </si>
  <si>
    <t>АК-74 №1708144</t>
  </si>
  <si>
    <t>ОЛЕФІРЕНКО Віктор Володимирович</t>
  </si>
  <si>
    <t>ОЛІФ</t>
  </si>
  <si>
    <t>водій 2 піхотного відділення 1 піхотного взводу 1 піхотної роти 1 піхотного батальйону</t>
  </si>
  <si>
    <t>ТВО старший навідник 2 відділення гранатометного взводу піхотного батальйону</t>
  </si>
  <si>
    <t>0304003</t>
  </si>
  <si>
    <t>сержант</t>
  </si>
  <si>
    <t>ДОВЖЕНКО Денис Володимирович</t>
  </si>
  <si>
    <t>СУКАЧОВ Валерій Анатолійович</t>
  </si>
  <si>
    <t>капітан</t>
  </si>
  <si>
    <t>ВАЛ</t>
  </si>
  <si>
    <t>ЛАНЬ</t>
  </si>
  <si>
    <t>ДОБРОСКОКІН Євген Володимирович</t>
  </si>
  <si>
    <t>ДОБРІК</t>
  </si>
  <si>
    <t>Зниклі безвісти</t>
  </si>
  <si>
    <t>вогнеметник 2 піхотного відділення 1 піхотного взводу 1 піхотної роти 1 піхотного батальйону</t>
  </si>
  <si>
    <t>АК-74 №2046274</t>
  </si>
  <si>
    <t>у в/к є БЗВП</t>
  </si>
  <si>
    <t>БЗВП+</t>
  </si>
  <si>
    <t>БРАНЕЦЬ Руслан Краснославович</t>
  </si>
  <si>
    <t>БРУС</t>
  </si>
  <si>
    <t>н.п. Покровськ</t>
  </si>
  <si>
    <t>командир 3 піхотного відділення 1 піхотного взводу 1 піхотної роти 1 піхотного батальйону</t>
  </si>
  <si>
    <t>С.С.</t>
  </si>
  <si>
    <t>A(II) Rh+</t>
  </si>
  <si>
    <t>Відком. за межі ПБ</t>
  </si>
  <si>
    <t>АК-74 №4493786</t>
  </si>
  <si>
    <t>ТВО стрілець 3 піхотного відділення 1 піхотного взводу 3 піхотної роти піхотного батальйону</t>
  </si>
  <si>
    <t>ГОРБАТКОВ Максим Григорович</t>
  </si>
  <si>
    <t>КОПИЛОВ Сергій Вікторович</t>
  </si>
  <si>
    <t>НОРТ</t>
  </si>
  <si>
    <t>ХОНДА</t>
  </si>
  <si>
    <t>ІВАНЧИКОВ Віталій Миколайович</t>
  </si>
  <si>
    <t>ПАРУС</t>
  </si>
  <si>
    <t>04.06.2025</t>
  </si>
  <si>
    <t>Полігон ЧЛ</t>
  </si>
  <si>
    <t>СБУ</t>
  </si>
  <si>
    <t>АК-74 №4414045</t>
  </si>
  <si>
    <t>старший стрілець - оператор безпілотних літальних апаратів 3 піхотного відділення 1 піхотного взводу 1 піхотної роти 1 піхотного батальйону</t>
  </si>
  <si>
    <t>Лікування</t>
  </si>
  <si>
    <t>ТВО кулеметник 2 піхотного відділення 3 піхотного взводу 2 піхотної роти піхотного батальйону</t>
  </si>
  <si>
    <t>ЗАБУГА Юрій Едуардович</t>
  </si>
  <si>
    <t>6 666,67 ₴</t>
  </si>
  <si>
    <t>Медики</t>
  </si>
  <si>
    <t>ППД Соборне (літуни)</t>
  </si>
  <si>
    <t>ШВИДКИЙ Геннадій Леонідович</t>
  </si>
  <si>
    <t>САНТА</t>
  </si>
  <si>
    <t>929982А</t>
  </si>
  <si>
    <t>АК-74 №2096861</t>
  </si>
  <si>
    <t>штаб-сержант</t>
  </si>
  <si>
    <t>ТВО кулеметник 2 піхотного відділення 2 піхотного взводу 3 піхотної роти піхотного батальйону</t>
  </si>
  <si>
    <t>807LYH1623</t>
  </si>
  <si>
    <t>БОРДАН Леонід Анатолійович</t>
  </si>
  <si>
    <t>ЛЬОМ</t>
  </si>
  <si>
    <t>Серж.</t>
  </si>
  <si>
    <t>МЕЛЬНИК Сергій Яремович</t>
  </si>
  <si>
    <t>гранатометник 3 піхотного відділення 1 піхотного взводу 1 піхотної роти 1 піхотного батальйону</t>
  </si>
  <si>
    <t>ТКАЧОВ Віталій Вікторович</t>
  </si>
  <si>
    <t>МОКРИЙ Вадим Геннадійович</t>
  </si>
  <si>
    <t>ТЄНЬ</t>
  </si>
  <si>
    <t>БАТЯ</t>
  </si>
  <si>
    <t>кулеметник 3 піхотного відділення 1 піхотного взводу 1 піхотної роти 1 піхотного батальйону</t>
  </si>
  <si>
    <t>МЕЛЬНИК</t>
  </si>
  <si>
    <t>АК-74 №6252725</t>
  </si>
  <si>
    <t>не поданий на курс</t>
  </si>
  <si>
    <t>БЛОШЕНКО Данило Володимирович</t>
  </si>
  <si>
    <t>БЛОУС</t>
  </si>
  <si>
    <t>Мобільний зведений загін
БР 1139 від 11.10.25</t>
  </si>
  <si>
    <t>стрілець 3 піхотного відділення 1 піхотного взводу 1 піхотної роти 1 піхотного батальйону</t>
  </si>
  <si>
    <t>н.п. Тернове</t>
  </si>
  <si>
    <t>500 від 02.11.2025</t>
  </si>
  <si>
    <t>Забезпечення</t>
  </si>
  <si>
    <t>ППД Побережжя</t>
  </si>
  <si>
    <t>ТАФІ Іван Олегович</t>
  </si>
  <si>
    <t>ІВАНЮК Ігор Іванович</t>
  </si>
  <si>
    <t>МАЛІБУ</t>
  </si>
  <si>
    <t>ВАНЯ</t>
  </si>
  <si>
    <t>водій 3 піхотного відділення 1 піхотного взводу 1 піхотної роти 1 піхотного батальйону</t>
  </si>
  <si>
    <t>Штаб</t>
  </si>
  <si>
    <t>ПАВЛОВ Сергій Вадимович</t>
  </si>
  <si>
    <t>АК-74 №4556104</t>
  </si>
  <si>
    <t>ВОЛК</t>
  </si>
  <si>
    <t>ТЕСАКОВ Сергій Миколайович</t>
  </si>
  <si>
    <t>ЖИВА</t>
  </si>
  <si>
    <t>вогнеметник 3 піхотного відділення 1 піхотного взводу 1 піхотної роти 1 піхотного батальйону</t>
  </si>
  <si>
    <t>БЕХБУДОВ Анар Юніс огли</t>
  </si>
  <si>
    <t>ВЕРЕШИ</t>
  </si>
  <si>
    <t>Мобільний зведений загін
БР 1156 від 14.10.25</t>
  </si>
  <si>
    <t>н.п. Веробове</t>
  </si>
  <si>
    <t>500 від 27.10.2025</t>
  </si>
  <si>
    <t>АК-74 №1709985</t>
  </si>
  <si>
    <t>ЧОС Ігор Олексійович</t>
  </si>
  <si>
    <t>ЧОС</t>
  </si>
  <si>
    <t>стрілець 3 піхотного відділення 2 піхотного взводу 1 піхотної роти піхотного батальйону</t>
  </si>
  <si>
    <t>ШИНДЛЕР Роман Романович</t>
  </si>
  <si>
    <t>ПІЛОТ на поз. 30д</t>
  </si>
  <si>
    <t>ГУРОВ Дмитро Володимирович</t>
  </si>
  <si>
    <t>ШВІЛІ</t>
  </si>
  <si>
    <t>ХУЛІГАН</t>
  </si>
  <si>
    <t>ТРЕМБАЧ Олег Миколайович</t>
  </si>
  <si>
    <t>СУХАРЬ</t>
  </si>
  <si>
    <t>старший стрілець - оператор безпілотних літальних апаратів 1 піхотного відділення 2 піхотного взводу 1 піхотної роти 1 піхотного батальйону</t>
  </si>
  <si>
    <t>АК-74 №4451821</t>
  </si>
  <si>
    <t>Кухар</t>
  </si>
  <si>
    <t>500 від 23.10.2025</t>
  </si>
  <si>
    <t>ППД Степна (літуни)</t>
  </si>
  <si>
    <t>Старший водій-радіотелефоніст</t>
  </si>
  <si>
    <t>ДІХТЯР Анатолій Анатолійович</t>
  </si>
  <si>
    <t>МЕТАЛУРГ</t>
  </si>
  <si>
    <t>МЕЛЬНИК Сергій Сергійович</t>
  </si>
  <si>
    <t>Група персоналу</t>
  </si>
  <si>
    <t>кулеметник 2 піхотного відділення 1 піхотного взводу 2 піхотної роти піхотного батальйону</t>
  </si>
  <si>
    <t>СЕКА</t>
  </si>
  <si>
    <t>старший водій 1 піхотного відділення 2 піхотного взводу 1 піхотної роти 1 піхотного батальйону</t>
  </si>
  <si>
    <t>2905003</t>
  </si>
  <si>
    <t>КУРБАТОВ Вадим Юрійович</t>
  </si>
  <si>
    <t>АК-74 №4396434</t>
  </si>
  <si>
    <t>МОРОЗОВ Олексій Вікторович</t>
  </si>
  <si>
    <t>ЛЕВ</t>
  </si>
  <si>
    <t>кулеметник 1 піхотного відділення 2 піхотного взводу 1 піхотної роти 1 піхотного батальйону</t>
  </si>
  <si>
    <t>МОМОТЕНКО Сергій Олександрович</t>
  </si>
  <si>
    <t>МАМОНТ</t>
  </si>
  <si>
    <t>80 000,00 ₴</t>
  </si>
  <si>
    <t>ПОЛЬОВИЙ Олексій Геннадійович</t>
  </si>
  <si>
    <t>КІВІ</t>
  </si>
  <si>
    <t>АК-74 №1975371</t>
  </si>
  <si>
    <t>стрілець-помічник гранатометника 1 піхотного відділення 2 піхотного взводу 1 піхотної роти 1 піхотного батальйону</t>
  </si>
  <si>
    <t>стрілець 2 піхотного відділення 1 піхотного взводу 2 піхотної роти піхотного батальйону</t>
  </si>
  <si>
    <t>СИДОРЕНКО Анатолій Анатолійович</t>
  </si>
  <si>
    <t>КАСПЕР</t>
  </si>
  <si>
    <t>ЧЕНДЕЙ Едуард Михайлович</t>
  </si>
  <si>
    <t>ЕД</t>
  </si>
  <si>
    <t>ЖМУРЧЕНКО Антон Миколайович</t>
  </si>
  <si>
    <t>Відрядження в ПБ</t>
  </si>
  <si>
    <t>стрілець 1 піхотного відділення 2 піхотного взводу 1 піхотної роти 1 піхотного батальйону</t>
  </si>
  <si>
    <t>АК-74 №4406965</t>
  </si>
  <si>
    <t>Охорона</t>
  </si>
  <si>
    <t>ППД Школа сержантов</t>
  </si>
  <si>
    <t>ІВАНОВ Ігор Віталійович</t>
  </si>
  <si>
    <t>вогнеметник 3 піхотного відділення 1 піхотного взводу 2 піхотної роти піхотного батальйону</t>
  </si>
  <si>
    <t>АЗОВ</t>
  </si>
  <si>
    <t>командир 2 піхотного відділення 2 піхотного взводу 1 піхотної роти 1 піхотного батальйону</t>
  </si>
  <si>
    <t>ЛІЧАГІН Дмитро Костянтинович</t>
  </si>
  <si>
    <t>СЕРГА Сергій Григорович</t>
  </si>
  <si>
    <t>ЛЕПРЕКОН</t>
  </si>
  <si>
    <t>Сержант-менеджер 3 категорії</t>
  </si>
  <si>
    <t>929928А</t>
  </si>
  <si>
    <t>ФІТІЛЬ</t>
  </si>
  <si>
    <t>20 000,00 ₴</t>
  </si>
  <si>
    <t>сержант-менеджер 3 категорії групи персоналу штабу 1 піхотного батальйону</t>
  </si>
  <si>
    <t>старший сержант</t>
  </si>
  <si>
    <t>АК-74 №4485697</t>
  </si>
  <si>
    <t>500 від 21.10.2025</t>
  </si>
  <si>
    <t>26 666,67 ₴</t>
  </si>
  <si>
    <t>ЯКОВЕНКО Сергій Петрович</t>
  </si>
  <si>
    <t>ЯК</t>
  </si>
  <si>
    <t>водій кулеметного взводу 2 піхотної роти піхотного батальйону</t>
  </si>
  <si>
    <t>07.06.2025</t>
  </si>
  <si>
    <t>ФАКУРЕЛІ Павло Валерійович</t>
  </si>
  <si>
    <t>ГРАФ</t>
  </si>
  <si>
    <t>гранатометник 2 піхотного відділення 2 піхотного взводу 1 піхотної роти 1 піхотного батальйону</t>
  </si>
  <si>
    <t>ОХОТНІКОВ Олександр Володимирович</t>
  </si>
  <si>
    <t>ОХОТНІК</t>
  </si>
  <si>
    <t>ЧАЙКА Дмитро Олександрович</t>
  </si>
  <si>
    <t>ПТІЦА</t>
  </si>
  <si>
    <t>кулеметник 2 піхотного відділення 2 піхотного взводу 1 піхотної роти 1 піхотного батальйону</t>
  </si>
  <si>
    <t>500 від 17.10.2025</t>
  </si>
  <si>
    <t>Водій (викон)</t>
  </si>
  <si>
    <t>ППД Тернівка</t>
  </si>
  <si>
    <t>навідник кулеметного взводу 2 піхотної роти піхотного батальйону</t>
  </si>
  <si>
    <t>БАСОВСЬКИЙ Юрій Михайлович</t>
  </si>
  <si>
    <t>ШАГІНЯН Рафаел Вачаганович</t>
  </si>
  <si>
    <t>ІГОРЯН</t>
  </si>
  <si>
    <t>Група розвідки</t>
  </si>
  <si>
    <t>стрілець 2 піхотного відділення 2 піхотного взводу 1 піхотної роти 1 піхотного батальйону</t>
  </si>
  <si>
    <t>РА</t>
  </si>
  <si>
    <t>Начальник розвідки - начальник групи</t>
  </si>
  <si>
    <t>0940003</t>
  </si>
  <si>
    <t>начальник розвідки - начальник групи розвідки штабу 1 піхотного батальйону</t>
  </si>
  <si>
    <t>86 666,67 ₴</t>
  </si>
  <si>
    <t>ЛОСЄВ Олександр Олександрович</t>
  </si>
  <si>
    <t>АРЦИЗ</t>
  </si>
  <si>
    <t>Водій-радіотелефоніст</t>
  </si>
  <si>
    <t>водій-радіотелефоніст 2 піхотного відділення 2 піхотного взводу 1 піхотної роти 1 піхотного батальйону</t>
  </si>
  <si>
    <t>кулеметник 1 піхотного відділення 1 піхотного взводу 3 піхотної роти піхотного батальйону</t>
  </si>
  <si>
    <t>ГАВРИЛЕЙКО Віталій Володимирович</t>
  </si>
  <si>
    <t>ІТАЛЬЯНЕЦЬ</t>
  </si>
  <si>
    <t>ПОЛЯКОВ Дмитро Сергійович</t>
  </si>
  <si>
    <t>вогнеметник 2 піхотного відділення 2 піхотного взводу 1 піхотної роти 1 піхотного батальйону</t>
  </si>
  <si>
    <t>Від-ні навчання</t>
  </si>
  <si>
    <t>КОСЮК Олександр Михайлович</t>
  </si>
  <si>
    <t>ГОЗ</t>
  </si>
  <si>
    <t>Водій (тил)</t>
  </si>
  <si>
    <t>ППД Слов'янка (Аптекар)</t>
  </si>
  <si>
    <t>АК-74 №1716655</t>
  </si>
  <si>
    <t>стрілець 3 піхотного відділення 2 піхотного взводу 1 піхотної роти 1 піхотного батальйону</t>
  </si>
  <si>
    <t>807LYH4309</t>
  </si>
  <si>
    <t>старший стрілець - оператор безпілотних літальних апаратів 2 піхотного відділення 2 піхотного взводу 3 піхотної роти піхотного батальйону</t>
  </si>
  <si>
    <t>КАЛАШНИК Юрій Олексійович</t>
  </si>
  <si>
    <t>офіцер групи розвідки штабу 1 піхотного батальйону</t>
  </si>
  <si>
    <t>МАЛЬЦЕВ Валерій Юрійович</t>
  </si>
  <si>
    <t>ГНОМ</t>
  </si>
  <si>
    <t>ЦАПЕНКО Микола Володимирович</t>
  </si>
  <si>
    <t>ДИЯВОЛ</t>
  </si>
  <si>
    <t>вогнеметник 3 піхотного відділення 2 піхотного взводу 1 піхотної роти 1 піхотного батальйону</t>
  </si>
  <si>
    <t>АК-74 №6287582</t>
  </si>
  <si>
    <t>807TZD1080</t>
  </si>
  <si>
    <t>номер обслуги 3 відділення гранатометного взводу піхотного батальйону</t>
  </si>
  <si>
    <t>ДЕНИСОВ Андрій Сергійович</t>
  </si>
  <si>
    <t>ДРАКОН</t>
  </si>
  <si>
    <t>головний сержант 3 піхотного взводу 1 піхотної роти 1 піхотного батальйону</t>
  </si>
  <si>
    <t>Відрядження</t>
  </si>
  <si>
    <t>Пілот (розвідка)</t>
  </si>
  <si>
    <t>ППД Слов'янка (техніка)</t>
  </si>
  <si>
    <t>ЯКУБА Микола Миколайович</t>
  </si>
  <si>
    <t>ВОЛЧАРА</t>
  </si>
  <si>
    <t>Штаб-сержант 3 категорії</t>
  </si>
  <si>
    <t>МАРТИНЕНКО Євгеній Олександрович</t>
  </si>
  <si>
    <t>106723А</t>
  </si>
  <si>
    <t>МАРТ</t>
  </si>
  <si>
    <t>штаб-сержант 3 категорії групи розвідки штабу 1 піхотного батальйону</t>
  </si>
  <si>
    <t>ХОЛОД Віталій Віталійович</t>
  </si>
  <si>
    <t>АКУЛА</t>
  </si>
  <si>
    <t>номер обслуги кулеметного взводу 1 піхотного батальйону</t>
  </si>
  <si>
    <t>АК-74 №6273638</t>
  </si>
  <si>
    <t>стрілець 1 кулеметного відділення кулеметного взводу піхотного батальйону</t>
  </si>
  <si>
    <t>МАРТЮШЕВ Дмитро Олександрович</t>
  </si>
  <si>
    <t>ФРУКТ</t>
  </si>
  <si>
    <t>ЗОЛОТУХІН Олег Олександрович</t>
  </si>
  <si>
    <t>Пілот (FPV)</t>
  </si>
  <si>
    <t>АЛІ</t>
  </si>
  <si>
    <t>старший стрілець - оператор безпілотних літальних апаратів 1 піхотного відділення 3 піхотного взводу 1 піхотної роти 1 піхотного батальйону</t>
  </si>
  <si>
    <t>ППД Слов'янка (13-й)</t>
  </si>
  <si>
    <t>ЄГОРЕНКОВ Максим Юрійович</t>
  </si>
  <si>
    <t>Група планування</t>
  </si>
  <si>
    <t>Начальник групи- заступник начальника штабу</t>
  </si>
  <si>
    <t>АК-74 №4486654</t>
  </si>
  <si>
    <t>начальник групи планування - заступник начальника штабу 1 піхотного батальйону</t>
  </si>
  <si>
    <t>НАРАЄВСЬКИЙ Олексій Миколайович</t>
  </si>
  <si>
    <t>ЖЕЛЄЗЯКА</t>
  </si>
  <si>
    <t>гранатометник 1 піхотного відділення 3 піхотного взводу 1 піхотної роти 1 піхотного батальйону</t>
  </si>
  <si>
    <t>ФРОЛЕНКО Олександр Володимирович</t>
  </si>
  <si>
    <t>ФРОЛ</t>
  </si>
  <si>
    <t>ІОГ Денис Сергійович</t>
  </si>
  <si>
    <t>КРАСАВЧІК</t>
  </si>
  <si>
    <t>АК-74 №4546965</t>
  </si>
  <si>
    <t>вогнеметник 1 піхотного відділення 3 піхотного взводу 1 піхотної роти 1 піхотного батальйону</t>
  </si>
  <si>
    <t>500 від 31.10.2025</t>
  </si>
  <si>
    <t>СВІДОВСЬКИЙ Олексій Вікторович</t>
  </si>
  <si>
    <t>ФРІДОМ</t>
  </si>
  <si>
    <t>ПРИЙДУН Олександр Михайлович</t>
  </si>
  <si>
    <t>стрілець 3 кулеметного відділення кулеметного взводу піхотного батальйону</t>
  </si>
  <si>
    <t>командир 2 піхотного відділення 3 піхотного взводу 1 піхотної роти 1 піхотного батальйону</t>
  </si>
  <si>
    <t>Пілот (бомбери)</t>
  </si>
  <si>
    <t>ШВИДКИЙ</t>
  </si>
  <si>
    <t>ППД Бліндаж</t>
  </si>
  <si>
    <t>матрос</t>
  </si>
  <si>
    <t>60 000,00 ₴</t>
  </si>
  <si>
    <t>ПОЛЯКОВ Дмитро Андрійович</t>
  </si>
  <si>
    <t>СВЯТИЙ</t>
  </si>
  <si>
    <t>АК-74 №1710653</t>
  </si>
  <si>
    <t>807TZХV291</t>
  </si>
  <si>
    <t>СТАШКОВ Денис Олегович</t>
  </si>
  <si>
    <t>ДЕНЯ</t>
  </si>
  <si>
    <t>500 від 05.11.2025</t>
  </si>
  <si>
    <t>АШИХМІН Віктор Олексійович</t>
  </si>
  <si>
    <t>ТУЧА</t>
  </si>
  <si>
    <t>СТЕПАНОВ Максим В'ячеславович</t>
  </si>
  <si>
    <t>старший стрілець - оператор безпілотних літальних апаратів 2 піхотного відділення 3 піхотного взводу 1 піхотної роти 1 піхотного батальйону</t>
  </si>
  <si>
    <t>АК-74 №1685421</t>
  </si>
  <si>
    <t>МАКС</t>
  </si>
  <si>
    <t>807LYH4231</t>
  </si>
  <si>
    <t>розвідник-оператор 3 розвідувального відділення розвідувального взводу піхотного батальйону</t>
  </si>
  <si>
    <t>ПОТАПОВ Роман Вадимович</t>
  </si>
  <si>
    <t>ПОТАП</t>
  </si>
  <si>
    <t>ВАСІЛЬЄВ Михайло Сергійович</t>
  </si>
  <si>
    <t>ТРАНЗИТЕР</t>
  </si>
  <si>
    <t>ЧАК</t>
  </si>
  <si>
    <t>Полк</t>
  </si>
  <si>
    <t>АК-74 №6301398</t>
  </si>
  <si>
    <t>ВЕСЕЛИЙ</t>
  </si>
  <si>
    <t>гранатометник 2 піхотного відділення 3 піхотного взводу 1 піхотної роти 1 піхотного батальйону</t>
  </si>
  <si>
    <t>Інструктор</t>
  </si>
  <si>
    <t>н.п. Барвінково</t>
  </si>
  <si>
    <t>СОКОЛОВСЬКИЙ Віктор Олександрович</t>
  </si>
  <si>
    <t>1410003</t>
  </si>
  <si>
    <t>ВІНСТОН</t>
  </si>
  <si>
    <t>СОКУР Віталій Олегович</t>
  </si>
  <si>
    <t>ЧАРГОС</t>
  </si>
  <si>
    <t>500 від 24.10.2025</t>
  </si>
  <si>
    <t>кулеметник 2 піхотного відділення 3 піхотного взводу 1 піхотної роти 1 піхотного батальйону</t>
  </si>
  <si>
    <t>АК-74 №4442533</t>
  </si>
  <si>
    <t>КАРАГОДІН Олексій Васильович</t>
  </si>
  <si>
    <t>КАР</t>
  </si>
  <si>
    <t>БР командира в/ч А7034 №1499/КП/3/10/3259дск від 22.05.2025, наказ командира в/ч А7034 (по стройовій частині) №145 від 23.05.2025</t>
  </si>
  <si>
    <t>стрілець-помічник гранатометника 2 піхотного відділення 3 піхотного взводу 1 піхотної роти 1 піхотного батальйону</t>
  </si>
  <si>
    <t>оператор безпілотних літальних апаратів 3 екіпажу безпілотних літальних апаратів 1 взводу ударних безпілотних авіаційних комплексів роти ударних безпілотних авіаційних комплексів військової частини А7034</t>
  </si>
  <si>
    <t>КУЗЬМЕНКО Михайло Валерійович</t>
  </si>
  <si>
    <t>ЗМІЙ</t>
  </si>
  <si>
    <t>ГАЛІЦЬКИЙ Іван Михайлович</t>
  </si>
  <si>
    <t>ЧОРНИЙ</t>
  </si>
  <si>
    <t>АК-74 №4428143</t>
  </si>
  <si>
    <t>рядовий</t>
  </si>
  <si>
    <t>ГОЛОВІН Денис Валерійович</t>
  </si>
  <si>
    <t>РЕДЯ</t>
  </si>
  <si>
    <t>водій-радіотелефоніст 2 піхотного відділення 3 піхотного взводу 1 піхотної роти 1 піхотного батальйону</t>
  </si>
  <si>
    <t>3 ПР</t>
  </si>
  <si>
    <t>н.п. Кіндратівка</t>
  </si>
  <si>
    <t>ФЕДОРЧЕНКО Сергій Олександрович</t>
  </si>
  <si>
    <t>ФАЗА</t>
  </si>
  <si>
    <t>ОРЛОВ Олександр Володимирович</t>
  </si>
  <si>
    <t>ОРЕЛ</t>
  </si>
  <si>
    <t>ZASNAVA № 110051</t>
  </si>
  <si>
    <t>106ТрО</t>
  </si>
  <si>
    <t>КРЯШКО Анатолій Олександрович</t>
  </si>
  <si>
    <t>КРЯНЯ</t>
  </si>
  <si>
    <t>ДУТКО Остап Володимирович</t>
  </si>
  <si>
    <t>ГРАД</t>
  </si>
  <si>
    <t>Відпустка лікув.</t>
  </si>
  <si>
    <t>старший стрілець - оператор безпілотних літальних апаратів 3 піхотного відділення 3 піхотного взводу 1 піхотної роти 1 піхотного батальйону</t>
  </si>
  <si>
    <t>н.п.Іволжанське</t>
  </si>
  <si>
    <t>до 13.12.25</t>
  </si>
  <si>
    <t>0419003</t>
  </si>
  <si>
    <t>СZ Вгеn2 № J142191</t>
  </si>
  <si>
    <t>КАГАРЛИЦЬКИЙ Євген Юрійович</t>
  </si>
  <si>
    <t>СВІЧ</t>
  </si>
  <si>
    <t>кулеметник 3 піхотного відділення 3 піхотного взводу 1 піхотної роти 1 піхотного батальйону</t>
  </si>
  <si>
    <t>оператор безпілотних літальних апаратів 3 екіпажу безпілотного літального апарата 1 взводу ударних безпілотних авіаційних комплексів роти ударних безпілотних авіаційних комплексів військової частини А7034</t>
  </si>
  <si>
    <t>СІСЕВИЧ Сергій Миколайович</t>
  </si>
  <si>
    <t>ЖИТОМИР</t>
  </si>
  <si>
    <t>ФЕДОРЕНКО Андрій Миколайович</t>
  </si>
  <si>
    <t>МОЛДОВАН Артем Костянтинович</t>
  </si>
  <si>
    <t>МАЛЯР</t>
  </si>
  <si>
    <t>СZ Вгеn2 № J141794</t>
  </si>
  <si>
    <t>МОЛДОВАН</t>
  </si>
  <si>
    <t>стрілець 3 піхотного відділення 3 піхотного взводу 1 піхотної роти 1 піхотного батальйону</t>
  </si>
  <si>
    <t>Мінометник</t>
  </si>
  <si>
    <t>Полігон Д</t>
  </si>
  <si>
    <t>1 ШБ</t>
  </si>
  <si>
    <t>СОЛОВЕЙ Віталій Миколайович</t>
  </si>
  <si>
    <t>СОЛОВЕЙ</t>
  </si>
  <si>
    <t>1010003</t>
  </si>
  <si>
    <t>водій 3 піхотного відділення 3 піхотного взводу 1 піхотної роти 1 піхотного батальйону</t>
  </si>
  <si>
    <t>н.п. Яблунівка</t>
  </si>
  <si>
    <t>НЕКРАСОВСЬКИЙ Олександр Костянтинович</t>
  </si>
  <si>
    <t>КОМ</t>
  </si>
  <si>
    <t xml:space="preserve"> бойове розпорядження командира військової частини А7034 №1499/КН/3/10/4525дск від 14 липня 2025 року, наказ командира військової частини А7034 по стройовій частині №198 від 14 липня 2025 року.</t>
  </si>
  <si>
    <t>МИСАН Ігор Олексійович</t>
  </si>
  <si>
    <t>водій-електрик 1 взводу ударних безпілотних авіаційних комплексів роти ударних безпілотних авіаційних комплексів військової частини А7034</t>
  </si>
  <si>
    <t>вогнеметник 3 піхотного відділення 3 піхотного взводу 1 піхотної роти 1 піхотного батальйону</t>
  </si>
  <si>
    <t>ТИХОНЮК Володимир Миколайович</t>
  </si>
  <si>
    <t>МОНАХ</t>
  </si>
  <si>
    <t>Гранатометники</t>
  </si>
  <si>
    <t>ППД Іверське (літуни)</t>
  </si>
  <si>
    <t>СЛІВКА Юрій Олегович</t>
  </si>
  <si>
    <t>Група логістики</t>
  </si>
  <si>
    <t>ТЕДДІ</t>
  </si>
  <si>
    <t>СZ Вгеn2 № J094556</t>
  </si>
  <si>
    <t>командир відділення кулеметного взводу 1 піхотної роти 1 піхотного батальйону</t>
  </si>
  <si>
    <t>7001103</t>
  </si>
  <si>
    <t>начальник групи логістики штабу 1 піхотного батальйону</t>
  </si>
  <si>
    <t>3ШБ</t>
  </si>
  <si>
    <t>ППД Пилорама (літуни)</t>
  </si>
  <si>
    <t>ВОЛКОТРУБ Сергій Сергійович</t>
  </si>
  <si>
    <t>СЄНЬКА</t>
  </si>
  <si>
    <t>Веретьохін Юрій Юрійович</t>
  </si>
  <si>
    <t xml:space="preserve"> бойове розпорядження оперативно-тактичного угруповання "Сіверськ" 08.05.2025 №БР-1703/ОТУ/дск</t>
  </si>
  <si>
    <t>ЮРІЧ</t>
  </si>
  <si>
    <t>водій кулеметного взводу 1 піхотної роти 1 піхотного батальйону</t>
  </si>
  <si>
    <t>головний сержант командира 1 відділення безпілотних авіаційних комплексів взводу безпілотних авіаційних комплексів військової частини А7181</t>
  </si>
  <si>
    <t>ДЕМЧУК Василь Васильович</t>
  </si>
  <si>
    <t>КІТ</t>
  </si>
  <si>
    <t>Сапер</t>
  </si>
  <si>
    <t>ZASNAVA № 167231</t>
  </si>
  <si>
    <t>ППД Левадне (літуни)</t>
  </si>
  <si>
    <t>ШАМЕНКОВ Руслан Валерійович</t>
  </si>
  <si>
    <t>ТРАНК</t>
  </si>
  <si>
    <t>600723А</t>
  </si>
  <si>
    <t>штаб-сержант 3 категорії групи логістики штабу 1 піхотного батальйону</t>
  </si>
  <si>
    <t>Куланін Олександр Анатолійович</t>
  </si>
  <si>
    <t>КАТ</t>
  </si>
  <si>
    <t>ГОЛОВЯТИНСЬКИЙ Станіслав Вікторович</t>
  </si>
  <si>
    <t>майстер 4 екіпажу безпілотних літальних апаратів 1 взводу ударних безпілотних авіаційних комплексів роти ударних безпілотних авіаційних комплексів військової частини А7034</t>
  </si>
  <si>
    <t>СТЕК</t>
  </si>
  <si>
    <t>АВ 985186</t>
  </si>
  <si>
    <t>навідник кулеметного взводу 1 піхотної роти 1 піхотного батальйону</t>
  </si>
  <si>
    <t>ZASNAVA № 194464</t>
  </si>
  <si>
    <t>ЗАДЕРЕЙЧУК Руслан Борисович</t>
  </si>
  <si>
    <t>РУСІК</t>
  </si>
  <si>
    <t>ПЕТРЕНКО Павло Володимирович</t>
  </si>
  <si>
    <t>1 шб</t>
  </si>
  <si>
    <t>ДИКІН Віктор Олексійович</t>
  </si>
  <si>
    <t>ПУМА</t>
  </si>
  <si>
    <t>Сисоєв Михайло Олександрович</t>
  </si>
  <si>
    <t>МАЛИШ</t>
  </si>
  <si>
    <t>у в/к має БЗВП</t>
  </si>
  <si>
    <t>СZ Вгеn2 № J141803</t>
  </si>
  <si>
    <t>93 333,33 ₴</t>
  </si>
  <si>
    <t>оператор безпілотних літальних апаратів 5 екіпажу безпілотних літальних апаратів 1 взводу ударних безпілотних авіаційних комплексів роти ударних безпілотних авіаційних комплексів військової частини А7034</t>
  </si>
  <si>
    <t>ПРИБУВ 19.08 с 1300</t>
  </si>
  <si>
    <t>КУБАЄВИЧ Владислав Борисович</t>
  </si>
  <si>
    <t>ПТАХОВ Віктор Вікторович</t>
  </si>
  <si>
    <t>САМДІ</t>
  </si>
  <si>
    <t>ГЕОРГІЄВ Сергій Володимирович</t>
  </si>
  <si>
    <t>СЕРЖ</t>
  </si>
  <si>
    <t>Полігон БЗВП</t>
  </si>
  <si>
    <t>Група зв’язку та кібербезпеки</t>
  </si>
  <si>
    <t>Начальник зв’язку - начальник групи</t>
  </si>
  <si>
    <t>1210003</t>
  </si>
  <si>
    <t>БОНДАР Руслан Валентинович</t>
  </si>
  <si>
    <t>1707774 (АК-74)</t>
  </si>
  <si>
    <t>БРО</t>
  </si>
  <si>
    <t>начальник зв'язку - начальник групи зв'язку та кібербезпеки штабу 1 піхотного батальйону</t>
  </si>
  <si>
    <t>номер обслуги кулеметного взводу 1 піхотної роти 1 піхотного батальйону</t>
  </si>
  <si>
    <t>розпорядження командира військової частини А7034 № 1499/КП/3/10/5594 дек 23.08.2025, наказ командира військової частини А7034 (по стройовій частині) №245 від 26.08.2025.</t>
  </si>
  <si>
    <t>водій-електрик 2 екіпажу безпілотного літального апарата 2 взводу ударних безпілотних авіаційних комплексів роти ударних безпілотних авіаційних комплексів військової частини А7034</t>
  </si>
  <si>
    <t>КОРДА Євген Олександрович</t>
  </si>
  <si>
    <t>ВІННІ ПУХ</t>
  </si>
  <si>
    <t>КАЛІНІЧЕНКО Дмитро Володимирович</t>
  </si>
  <si>
    <t>КАЛІНА</t>
  </si>
  <si>
    <t>командир 2 відділення безпілотних авіаційних комплексів взводу безпілотних авіаційних комплексів військової частини А7181</t>
  </si>
  <si>
    <t>АДАМ Юрій Юрійович</t>
  </si>
  <si>
    <t>МИКУЛЯК Сергій Миколайович</t>
  </si>
  <si>
    <t>МИКОЛАЙОВИЧ</t>
  </si>
  <si>
    <t>АДАМ</t>
  </si>
  <si>
    <t>617723А</t>
  </si>
  <si>
    <t>КЛУБАНЬ Володимир Вікторович</t>
  </si>
  <si>
    <t>ПОЛТАВА</t>
  </si>
  <si>
    <t>штаб-сержант 3 категорії групи зв'язку та кібербезпеки штабу 1 піхотного батальйону</t>
  </si>
  <si>
    <t>командир 2 піхотної роти 1 піхотного батальйону</t>
  </si>
  <si>
    <t>МІЛОВСЬКИЙ Сергій Юрійович</t>
  </si>
  <si>
    <t>ГУРІК</t>
  </si>
  <si>
    <t>Оператор безпілотних літальних апаратів</t>
  </si>
  <si>
    <t>оператор безпілотних літальних апаратів 2 піхотної роти 1 піхотного батальйону</t>
  </si>
  <si>
    <t>1685368 (АК-74)</t>
  </si>
  <si>
    <t xml:space="preserve">командир 1 відділення ударних безпілотних авіаційних комплексів взводу безпілотних авіаційних комплексів військової частини А7181 </t>
  </si>
  <si>
    <t>ХОЛІН Георгій Андрійович</t>
  </si>
  <si>
    <t>КОНОПАЦЬКИЙ Георгій Русланович</t>
  </si>
  <si>
    <t>КІПІШ</t>
  </si>
  <si>
    <t>Мотоцикл</t>
  </si>
  <si>
    <t>командир 1 піхотного відділення 1 піхотного взводу 2 піхотної роти 1 піхотного батальйону</t>
  </si>
  <si>
    <t>ППД Польова</t>
  </si>
  <si>
    <t>КАНАШКОВ Олексій Сергійович</t>
  </si>
  <si>
    <t>Секція цивільно-військового співробітництва</t>
  </si>
  <si>
    <t>КАС</t>
  </si>
  <si>
    <t>Начальник секції</t>
  </si>
  <si>
    <t>8504003</t>
  </si>
  <si>
    <t>ПОМАЗАН Дмитро Павлович</t>
  </si>
  <si>
    <t>ЛІМОН</t>
  </si>
  <si>
    <t>начальник секції цивільно-військового співробітництва штабу 1 піхотного батальйону</t>
  </si>
  <si>
    <t>старший водій-радіотелефоніст 1 піхотного відділення 1 піхотного взводу 2 піхотної роти 1 піхотного батальйону</t>
  </si>
  <si>
    <t>4416136 (АК-74)</t>
  </si>
  <si>
    <t>зовнішній пілот (оператор) 1 відділення ударних безпілотних авіаційних комплексів взводу безпілотних авіаційних комплексів військової частини А7181</t>
  </si>
  <si>
    <t>ТРУШКІН Павло Ігорович</t>
  </si>
  <si>
    <t>ПРОКОФ'ЄВ Максим Анатолійович</t>
  </si>
  <si>
    <t>СОН</t>
  </si>
  <si>
    <t>МАХОНІ2</t>
  </si>
  <si>
    <t>гранатометник 1 піхотного відділення 1 піхотного взводу 2 піхотної роти 1 піхотного батальйону</t>
  </si>
  <si>
    <t>СЕРГА Ярослав Миколайович</t>
  </si>
  <si>
    <t>ПІВЕНЬ Денис Васильович</t>
  </si>
  <si>
    <t>ЯРО</t>
  </si>
  <si>
    <t>ДІОС</t>
  </si>
  <si>
    <t>ШПИНТА Василь Петрович</t>
  </si>
  <si>
    <t>БАКІ</t>
  </si>
  <si>
    <t>стрілець-помічник гранатометника 1 піхотного відділення 1 піхотного взводу 2 піхотної роти 1 піхотного батальйону</t>
  </si>
  <si>
    <t>ЯКИМЕНКО Олександр Анатолійович</t>
  </si>
  <si>
    <t>МАСТАК</t>
  </si>
  <si>
    <t>стрілець 1 піхотного відділення 1 піхотного взводу 2 піхотної роти 1 піхотного батальйону</t>
  </si>
  <si>
    <t>ППД Петропавлівка (літуни)</t>
  </si>
  <si>
    <t>оператор 1 відділення ударних безпілотних авіаційних комплексів взводу безпілотних авіаційних комплексів військової частини А7181</t>
  </si>
  <si>
    <t>6304468 (АК-74)</t>
  </si>
  <si>
    <t>ШПОРТУН Павло Миколайович</t>
  </si>
  <si>
    <t>КОЧКІН Володимир Олександрович</t>
  </si>
  <si>
    <t>КАПЕЛАН</t>
  </si>
  <si>
    <t>КОЧА</t>
  </si>
  <si>
    <t>100723А</t>
  </si>
  <si>
    <t>командир 2 піхотного відділення 1 піхотного взводу 2 піхотної роти 1 піхотного батальйону</t>
  </si>
  <si>
    <t>штаб-сержант 3 категорії секції цивільно-військового співробітництва штабу 1 піхотного батальйону</t>
  </si>
  <si>
    <t>БОДНАРЧУК Максим Станіславович</t>
  </si>
  <si>
    <t>МАСЯНЯ</t>
  </si>
  <si>
    <t>ЛАВРІНЕНКО Роман Сергійович</t>
  </si>
  <si>
    <t>ЛАВРІК</t>
  </si>
  <si>
    <t>ФЕДЕРКО Богдан Сергійович</t>
  </si>
  <si>
    <t>МУЗИКАНТ</t>
  </si>
  <si>
    <t>старший стрілець - оператор безпілотних літальних апаратів 2 піхотного відділення 1 піхотного взводу 2 піхотної роти 1 піхотного батальйону</t>
  </si>
  <si>
    <t>командир екіпажу безпілотних літальних комплексів 3 екіпажу безпілотного літального апарата 1 взводу ударних безпілотних авіаційних комплексів роти ударних безпілотних авіаційних комплексів військової частини А7034</t>
  </si>
  <si>
    <t>4494295 (АК-74)</t>
  </si>
  <si>
    <t>БАБІЙ Дмитро Михайлович</t>
  </si>
  <si>
    <t>ЛЕВЕНЯ</t>
  </si>
  <si>
    <t>ЛАРІОНОВ Олексій Олексійович</t>
  </si>
  <si>
    <t>ФАБЕРЖЕ</t>
  </si>
  <si>
    <t>кулеметник 2 піхотного відділення 1 піхотного взводу 2 піхотної роти 1 піхотного батальйону</t>
  </si>
  <si>
    <t>ППД Лугова (літуни)</t>
  </si>
  <si>
    <t>ЗБАРА Сергій Юрійович</t>
  </si>
  <si>
    <t>МОДЖАХЕД</t>
  </si>
  <si>
    <t>Група соціального супроводу</t>
  </si>
  <si>
    <t>3400053</t>
  </si>
  <si>
    <t>начальник групи соціального супроводу секції цивільно-військового співробітництва штабу 1 піхотного батальйону</t>
  </si>
  <si>
    <t>ГОТЛІБ Михайло Васильович</t>
  </si>
  <si>
    <t>ГОТ</t>
  </si>
  <si>
    <t>стрілець-помічник гранатометника 2 піхотного відділення 1 піхотного взводу 2 піхотної роти 1 піхотного батальйону</t>
  </si>
  <si>
    <t>АНТОНЕНКО Олександр Миколайович</t>
  </si>
  <si>
    <t>1671334 (АК-74)</t>
  </si>
  <si>
    <t>НІКІШКІН Євген Олексійович</t>
  </si>
  <si>
    <t>НЕО</t>
  </si>
  <si>
    <t>стрілець 2 піхотного відділення 1 піхотного взводу 2 піхотної роти 1 піхотного батальйону</t>
  </si>
  <si>
    <t>103ОБрТрО</t>
  </si>
  <si>
    <t>Полігон "Б"</t>
  </si>
  <si>
    <t>КАМИШАНОВ Вадим Євгенійович</t>
  </si>
  <si>
    <t>На щиті 21.07.2025</t>
  </si>
  <si>
    <t>командир 3 піхотного відділення 1 піхотного взводу 2 піхотної роти 1 піхотного батальйону</t>
  </si>
  <si>
    <t>ПРАВОСУДЬКО Ігор Юрійович</t>
  </si>
  <si>
    <t>БУГОР</t>
  </si>
  <si>
    <t>08.06.2025</t>
  </si>
  <si>
    <t>929723А</t>
  </si>
  <si>
    <t>ГУРДЯ Олександр Олександрович</t>
  </si>
  <si>
    <t>штаб-сержант 3 категорії групи соціального супроводу секції цивільно-військового співробітництва штабу 1 піхотного батальйону</t>
  </si>
  <si>
    <t>КОП</t>
  </si>
  <si>
    <t>МАЗУН Олег Анатолійович</t>
  </si>
  <si>
    <t>гранатометник 3 піхотного відділення 1 піхотного взводу 2 піхотної роти 1 піхотного батальйону</t>
  </si>
  <si>
    <t>АК-74 №4453634</t>
  </si>
  <si>
    <t>807TZVG314</t>
  </si>
  <si>
    <t>1ОВМБр</t>
  </si>
  <si>
    <t>МАХЛАЄНКО Артем Сергійович</t>
  </si>
  <si>
    <t>РУДІ</t>
  </si>
  <si>
    <t>стрілець-помічник гранатометника 3 піхотного відділення 1 піхотного взводу 2 піхотної роти 1 піхотного батальйону</t>
  </si>
  <si>
    <t>500 від 26.07.25
200 від 28.07.25</t>
  </si>
  <si>
    <t>МІХАЛЬОВ Віталій Борисович</t>
  </si>
  <si>
    <t>ЗЛОДІЙ</t>
  </si>
  <si>
    <t>ГРИГОРЯН Олександр Сергійович</t>
  </si>
  <si>
    <t>САНЕК</t>
  </si>
  <si>
    <t>стрілець 3 піхотного відділення 1 піхотного взводу 2 піхотної роти 1 піхотного батальйону</t>
  </si>
  <si>
    <t>АК-74 №6895803</t>
  </si>
  <si>
    <t>МЕНЬКІВСЬКИЙ Роман Олександрович</t>
  </si>
  <si>
    <t>807LYH1647</t>
  </si>
  <si>
    <t>ТРІЄСТ</t>
  </si>
  <si>
    <t>МОРОЗ Дмитро Олександрович</t>
  </si>
  <si>
    <t>МОРОЗ</t>
  </si>
  <si>
    <t>вогнеметник 3 піхотного відділення 1 піхотного взводу 2 піхотної роти 1 піхотного батальйону</t>
  </si>
  <si>
    <t>ПРИСАДА Роман Юрійович</t>
  </si>
  <si>
    <t>головний сержант 2 піхотного взводу 2 піхотної роти 1 піхотного батальйону</t>
  </si>
  <si>
    <t>КОЗІЙЧУК Олександр Васильович</t>
  </si>
  <si>
    <t>ГУЛІК</t>
  </si>
  <si>
    <t>ПРИТУЛА Олег Михайлович</t>
  </si>
  <si>
    <t>НЕТ</t>
  </si>
  <si>
    <t>радіотелефоніст 2 піхотного взводу 2 піхотної роти 1 піхотного батальйону</t>
  </si>
  <si>
    <t>АК-74 №6232380</t>
  </si>
  <si>
    <t xml:space="preserve">На виконанні </t>
  </si>
  <si>
    <t>ПЕТРЕНКО Ростислав Володимирович</t>
  </si>
  <si>
    <t>ЮНЕЦЬ</t>
  </si>
  <si>
    <t>командир 1 піхотного відділення 2 піхотного взводу 2 піхотної роти 1 піхотного батальйону</t>
  </si>
  <si>
    <t>ЧЕРНЕНКО Олександр Васильович</t>
  </si>
  <si>
    <t>СТЕФАНЮК Богдан Богданович</t>
  </si>
  <si>
    <t>БАШКО Василь Богданович</t>
  </si>
  <si>
    <t>РИСЬ</t>
  </si>
  <si>
    <t>кулеметник 1 піхотного відділення 2 піхотного взводу 2 піхотної роти 1 піхотного батальйону</t>
  </si>
  <si>
    <t>АК-74 №1950554</t>
  </si>
  <si>
    <t>СУЛТАНОВ Василь Віталійович</t>
  </si>
  <si>
    <t>ВАХА</t>
  </si>
  <si>
    <t>вогнеметник 1 піхотного відділення 2 піхотного взводу 2 піхотної роти 1 піхотного батальйону</t>
  </si>
  <si>
    <t>ЧУРАК Петро Павлович</t>
  </si>
  <si>
    <t>ДЯДЯ</t>
  </si>
  <si>
    <t>НЕФІДОВ Дмитро Олександрович</t>
  </si>
  <si>
    <t>до 27.09.25
СЗЧ</t>
  </si>
  <si>
    <t>ДІД</t>
  </si>
  <si>
    <t>командир 2 піхотного відділення 2 піхотного взводу 2 піхотної роти 1 піхотного батальйону</t>
  </si>
  <si>
    <t>КОШЕЛЬКО Дмитро Вікторович</t>
  </si>
  <si>
    <t>АК-74 №4437189</t>
  </si>
  <si>
    <t>ХОХОЛ</t>
  </si>
  <si>
    <t>старший стрілець - оператор безпілотних літальних апаратів 2 піхотного відділення 2 піхотного взводу 2 піхотної роти 1 піхотного батальйону</t>
  </si>
  <si>
    <t>ГАЙДУК Олег Іванович</t>
  </si>
  <si>
    <t>ГАЙ</t>
  </si>
  <si>
    <t>кулеметник 2 піхотного відділення 2 піхотного взводу 2 піхотної роти 1 піхотного батальйону</t>
  </si>
  <si>
    <t>МОЛЧАНОВСЬКИЙ Володимир Вікторович</t>
  </si>
  <si>
    <t>МУХА</t>
  </si>
  <si>
    <t>РОТАТИЙ Федір Миколайович</t>
  </si>
  <si>
    <t>РОТОР</t>
  </si>
  <si>
    <t>стрілець-помічник гранатометника 2 піхотного відділення 2 піхотного взводу 2 піхотної роти 1 піхотного батальйону</t>
  </si>
  <si>
    <t>4486175 (АК-74)</t>
  </si>
  <si>
    <t>ЗДЕРОК Дмитро Володимирович</t>
  </si>
  <si>
    <t>ДЕЛЬФІН</t>
  </si>
  <si>
    <t>стрілець 2 піхотного відділення 2 піхотного взводу 2 піхотної роти 1 піхотного батальйону</t>
  </si>
  <si>
    <t>МЕДВЕДЧУК Віталій Олексійович</t>
  </si>
  <si>
    <t>МЕДВЕДЬ</t>
  </si>
  <si>
    <t>КАРБІВНИЧИЙ Андрій Андрійович</t>
  </si>
  <si>
    <t>КАРБОН</t>
  </si>
  <si>
    <t>командир 3 піхотного відділення 2 піхотного взводу 2 піхотної роти 1 піхотного батальйону</t>
  </si>
  <si>
    <t>1703218 (АК-74)</t>
  </si>
  <si>
    <t>РІЗНООКИЙ Родіон Олександрович</t>
  </si>
  <si>
    <t>ТИХИЙ</t>
  </si>
  <si>
    <t>кулеметник 3 піхотного відділення 2 піхотного взводу 2 піхотної роти 1 піхотного батальйону</t>
  </si>
  <si>
    <t>ЄРШОВ Олександр Олександрович</t>
  </si>
  <si>
    <t>ЛЕКС</t>
  </si>
  <si>
    <t>ЗОЗУЛЯ Ігор Ігорович</t>
  </si>
  <si>
    <t>стрілець-помічник гранатометника 3 піхотного відділення 2 піхотного взводу 2 піхотної роти 1 піхотного батальйону</t>
  </si>
  <si>
    <t>СІЧ</t>
  </si>
  <si>
    <t>КОСЮК Олег Вікторович</t>
  </si>
  <si>
    <t>РОЗПІЗДЯЙ</t>
  </si>
  <si>
    <t>Група безпілотних систем</t>
  </si>
  <si>
    <t>МЕДВЕДЄВ Тарас Олегович</t>
  </si>
  <si>
    <t>МЕДВІДЬ</t>
  </si>
  <si>
    <t>1663329 (АК-74)</t>
  </si>
  <si>
    <t>3930003</t>
  </si>
  <si>
    <t>стрілець 3 піхотного відділення 2 піхотного взводу 2 піхотної роти 1 піхотного батальйону</t>
  </si>
  <si>
    <t>начальник групи безпілотних систем 1 піхотного батальйону</t>
  </si>
  <si>
    <t>50 000,00 ₴</t>
  </si>
  <si>
    <t>ВЕЧІРКО Руслан Петрович</t>
  </si>
  <si>
    <t>ВЕЧІР</t>
  </si>
  <si>
    <t>КОЛОТ Олександр Леонідович</t>
  </si>
  <si>
    <t>вогнеметник 3 піхотного відділення 2 піхотного взводу 2 піхотної роти 1 піхотного батальйону</t>
  </si>
  <si>
    <t>КОЛОТУН</t>
  </si>
  <si>
    <t>до 12.09.25
СЗЧ</t>
  </si>
  <si>
    <t>ОРЕЛ Ігор Сергійович</t>
  </si>
  <si>
    <t>СКУЛЬПТОР</t>
  </si>
  <si>
    <t>6300095 (АК-74)</t>
  </si>
  <si>
    <t>ППД Шевченко (Петропавлівка (літуни))</t>
  </si>
  <si>
    <t>старшина 2 статті</t>
  </si>
  <si>
    <t>ПОСТОЛЕНКО Валерій Володимирович</t>
  </si>
  <si>
    <t>ВАЛЕРІЧ</t>
  </si>
  <si>
    <t>командир 1 піхотного відділення 3 піхотного взводу 2 піхотної роти 1 піхотного батальйону</t>
  </si>
  <si>
    <t>офіцер групи безпілотних систем 1 піхотного батальйону</t>
  </si>
  <si>
    <t>ТОПОРКОВ Максим Іванович</t>
  </si>
  <si>
    <t>АРГУНОВ Дмитро Андрійович</t>
  </si>
  <si>
    <t>НЕСТОРОВИЧ Іван Володимирович</t>
  </si>
  <si>
    <t>ДІМОН</t>
  </si>
  <si>
    <t>ТИМОФІЇВ Михайло Васильович</t>
  </si>
  <si>
    <t>МОТЯ</t>
  </si>
  <si>
    <t>НОЙ</t>
  </si>
  <si>
    <t>стрілець 1 піхотного відділення 3 піхотного взводу 2 піхотної роти 1 піхотного батальйону</t>
  </si>
  <si>
    <t>4449561 (АК-74)</t>
  </si>
  <si>
    <t>ДЯТЬКО</t>
  </si>
  <si>
    <t>ДРОЗД Роман Романович</t>
  </si>
  <si>
    <t>КОЛІБРІ</t>
  </si>
  <si>
    <t>КОСТРУБІЦЬКИЙ Сергій Петрович</t>
  </si>
  <si>
    <t>КРУТЧЕНКО Володимир Леонідович</t>
  </si>
  <si>
    <t>КОТ</t>
  </si>
  <si>
    <t>вогнеметник 1 піхотного відділення 3 піхотного взводу 2 піхотної роти 1 піхотного батальйону</t>
  </si>
  <si>
    <t>Закінчення курсу 08.12.2025</t>
  </si>
  <si>
    <t>6251784 (АК-74)</t>
  </si>
  <si>
    <t>штаб-сержант 3 категорії групи безпілотних систем 1 піхотного батальйону</t>
  </si>
  <si>
    <t>старший матрос</t>
  </si>
  <si>
    <t>ТИЩЕНКО Сергій Миколайович</t>
  </si>
  <si>
    <t>ТИША</t>
  </si>
  <si>
    <t>старший стрілець - оператор безпілотних літальних апаратів 2 піхотного відділення 3 піхотного взводу 2 піхотної роти 1 піхотного батальйону</t>
  </si>
  <si>
    <t>Вибув з МР 17.11.2025
у 1ШБ</t>
  </si>
  <si>
    <t>ДЬОМОВ Євген Сергійович</t>
  </si>
  <si>
    <t>КАЛАШ</t>
  </si>
  <si>
    <t>СКАЧКОВ Олександр Миколайович</t>
  </si>
  <si>
    <t>гранатометник 2 піхотного відділення 3 піхотного взводу 2 піхотної роти 1 піхотного батальйону</t>
  </si>
  <si>
    <t>ШУРІК</t>
  </si>
  <si>
    <t>ППД Садова (літуни)</t>
  </si>
  <si>
    <t>6241696 (АК-74)</t>
  </si>
  <si>
    <t>ТАРКАНОВСЬКИЙ Олександр Олександрович</t>
  </si>
  <si>
    <t>КОЛЕСО</t>
  </si>
  <si>
    <t>кулеметник 2 піхотного відділення 3 піхотного взводу 2 піхотної роти 1 піхотного батальйону</t>
  </si>
  <si>
    <t>НА ПОСАДІ</t>
  </si>
  <si>
    <t>НЕСТЕРЕНКО Руслан Андрійович</t>
  </si>
  <si>
    <t>НЕСТЕР</t>
  </si>
  <si>
    <t>ДОМАНОВ Олександр Сергійович</t>
  </si>
  <si>
    <t>БАССАРАБ Віктор Анатолійович</t>
  </si>
  <si>
    <t>ДОМАН</t>
  </si>
  <si>
    <t>стрілець 2 піхотного відділення 3 піхотного взводу 2 піхотної роти 1 піхотного батальйону</t>
  </si>
  <si>
    <t>6264671 (АК-74)</t>
  </si>
  <si>
    <t>ІВАНОВ Микола Миколайович</t>
  </si>
  <si>
    <t>ФЕРМЕР</t>
  </si>
  <si>
    <t>вогнеметник 2 піхотного відділення 3 піхотного взводу 2 піхотної роти 1 піхотного батальйону</t>
  </si>
  <si>
    <t>БОБИР Ігор Володимирович</t>
  </si>
  <si>
    <t>БОБЕР</t>
  </si>
  <si>
    <t>МАУГЛІ</t>
  </si>
  <si>
    <t>ППД Вишневе (П)</t>
  </si>
  <si>
    <t>4535838 (АК-74)</t>
  </si>
  <si>
    <t>ЖИНКАТИЙ Василь Васильович</t>
  </si>
  <si>
    <t>ЖЕНІХ</t>
  </si>
  <si>
    <t>командир 3 піхотного відділення 3 піхотного взводу 2 піхотної роти 1 піхотного батальйону</t>
  </si>
  <si>
    <t>ВІНКОВАТОВ Сергій Володимирович</t>
  </si>
  <si>
    <t>СЄРЖ</t>
  </si>
  <si>
    <t>не поданий
був на лікуванні</t>
  </si>
  <si>
    <t>6341574 (АК-74)</t>
  </si>
  <si>
    <t>3ПР</t>
  </si>
  <si>
    <t>Вибув з МР 03.11.2025 до Піки (1ШБ)</t>
  </si>
  <si>
    <t>ШИЛОВ Ілля Віталійович</t>
  </si>
  <si>
    <t>ЛІЧ</t>
  </si>
  <si>
    <t>ЛЯКІН Іван Іванович</t>
  </si>
  <si>
    <t>ІВАНИЧ</t>
  </si>
  <si>
    <t>старший стрілець - оператор безпілотних літальних апаратів 3 піхотного відділення 3 піхотного взводу 2 піхотної роти 1 піхотного батальйону</t>
  </si>
  <si>
    <t>1 піхотна рота</t>
  </si>
  <si>
    <t>1684186 (АК-74)</t>
  </si>
  <si>
    <t>ЄРЬОМА Юрій Вікторович</t>
  </si>
  <si>
    <t>ДРЬОМА</t>
  </si>
  <si>
    <t>гранатометник 3 піхотного відділення 3 піхотного взводу 2 піхотної роти 1 піхотного батальйону</t>
  </si>
  <si>
    <t>КОВАЛЬ Натанель Валерійович</t>
  </si>
  <si>
    <t>НЕКРАСОВ Олексій Сергійович</t>
  </si>
  <si>
    <t>ЗОМБІ</t>
  </si>
  <si>
    <t>09.06.2025</t>
  </si>
  <si>
    <t>БОЙКО Стюжан Павлович</t>
  </si>
  <si>
    <t>ГЛУХИЙ</t>
  </si>
  <si>
    <t>стрілець-помічник гранатометника 3 піхотного відділення 3 піхотного взводу 2 піхотної роти 1 піхотного батальйону</t>
  </si>
  <si>
    <t>АК-74 №6241969</t>
  </si>
  <si>
    <t>807LYH1111</t>
  </si>
  <si>
    <t>Закінчення курсу 06.01.2025</t>
  </si>
  <si>
    <t>ШЕВЧЕНКО Сергій Геннадійович</t>
  </si>
  <si>
    <t>ШЕВА</t>
  </si>
  <si>
    <t>стрілець 3 піхотного відділення 3 піхотного взводу 2 піхотної роти 1 піхотного батальйону</t>
  </si>
  <si>
    <t>Новатор</t>
  </si>
  <si>
    <t>19.11.25 забрав ШКВАЛ</t>
  </si>
  <si>
    <t>ОВЧАРЕНКО Артем Миколайович</t>
  </si>
  <si>
    <t>ХОРЕК</t>
  </si>
  <si>
    <t>ЧУМАЧЕНКО Євгеній Анатолійович</t>
  </si>
  <si>
    <t>ЧУМАК</t>
  </si>
  <si>
    <t>Заступник командира роти</t>
  </si>
  <si>
    <t>АК-74 №6248325</t>
  </si>
  <si>
    <t>командир відділення кулеметного взводу 2 піхотної роти 1 піхотного батальйону</t>
  </si>
  <si>
    <t>807TZD0834</t>
  </si>
  <si>
    <t>заступник командира 1 піхотної роти 1 піхотного батальйону</t>
  </si>
  <si>
    <t>КОЧАН Тарас Васильович</t>
  </si>
  <si>
    <t>ГРЕБЕНЮК Артур Сергійович</t>
  </si>
  <si>
    <t>СКОРПІОН</t>
  </si>
  <si>
    <t>ГОРДІЄНКО Дмитро Анатолійович</t>
  </si>
  <si>
    <t>водій кулеметного взводу 2 піхотної роти 1 піхотного батальйону</t>
  </si>
  <si>
    <t>ПРИЗРАК</t>
  </si>
  <si>
    <t>АК-74 №1687036</t>
  </si>
  <si>
    <t>САРАНА Дмитро Михайлович</t>
  </si>
  <si>
    <t>СІРНИК</t>
  </si>
  <si>
    <t>навідник кулеметного взводу 2 піхотної роти 1 піхотного батальйону</t>
  </si>
  <si>
    <t>ХУТОРНИЙ Андрій Геннадійович</t>
  </si>
  <si>
    <t>ХУТОР</t>
  </si>
  <si>
    <t>DEAWOO</t>
  </si>
  <si>
    <t>Відпустка щоріч.</t>
  </si>
  <si>
    <t>КОВАЛЬОВ Ілля Михайлович</t>
  </si>
  <si>
    <t>КЕП</t>
  </si>
  <si>
    <t>номер обслуги кулеметного взводу 2 піхотної роти 1 піхотного батальйону</t>
  </si>
  <si>
    <t>АК-74 №6225108</t>
  </si>
  <si>
    <t>КРИВУНЕНКО Кирило Олександрович</t>
  </si>
  <si>
    <t>807TZBX291</t>
  </si>
  <si>
    <t>Заступник командира роти з психологічної підтримки персоналу</t>
  </si>
  <si>
    <t>КРИВИЙ</t>
  </si>
  <si>
    <t>заступник командира 1 піхотної роти з психологічної підтримки персоналу 1 піхотного батальйону</t>
  </si>
  <si>
    <t>ТРЕГУБ Євген Федорович</t>
  </si>
  <si>
    <t>ЖОКЕР</t>
  </si>
  <si>
    <t>АЛЄКСЄЄВ Вадим Олегович</t>
  </si>
  <si>
    <t>ВЄТЄР</t>
  </si>
  <si>
    <t>АК-74 №1685766</t>
  </si>
  <si>
    <t>807TYX303</t>
  </si>
  <si>
    <t>СТЕПАНЕНКО Ігор Валентинович</t>
  </si>
  <si>
    <t>ФЕДОРЧУК Андрій Вікторович</t>
  </si>
  <si>
    <t>БУК</t>
  </si>
  <si>
    <t>МАД</t>
  </si>
  <si>
    <t>командир 3 піхотної роти 1 піхотного батальйону</t>
  </si>
  <si>
    <t>ШАПРАН Владислав Віталійович</t>
  </si>
  <si>
    <t>ПІМЖИН Віталій Євгенович</t>
  </si>
  <si>
    <t>ПИЖ</t>
  </si>
  <si>
    <t>головний сержант 3 піхотної роти 1 піхотного батальйону</t>
  </si>
  <si>
    <t>НИСИНЕЦЬ Михайло Васильович</t>
  </si>
  <si>
    <t>АК-74 №207845</t>
  </si>
  <si>
    <t>НІМИД</t>
  </si>
  <si>
    <t>РУБАННІКОВ Дмитро Олегович</t>
  </si>
  <si>
    <t>IVECO</t>
  </si>
  <si>
    <t>ХОРУНЖИЙ</t>
  </si>
  <si>
    <t>головний сержант 1 піхотного взводу 3 піхотної роти 1 піхотного батальйону</t>
  </si>
  <si>
    <t>КОПЄЙКІН Володимир Олегович</t>
  </si>
  <si>
    <t>вибув на БРЕЗ 19.11.25</t>
  </si>
  <si>
    <t>6251290 (АК-74)</t>
  </si>
  <si>
    <t>738878А</t>
  </si>
  <si>
    <t>ЩЕЛКУНОВ Денис Дмитрович</t>
  </si>
  <si>
    <t>ГЛУХОЙ</t>
  </si>
  <si>
    <t>старший технік 1 піхотної роти 1 піхотного батальйону</t>
  </si>
  <si>
    <t>радіотелефоніст 1 піхотного взводу 3 піхотної роти 1 піхотного батальйону</t>
  </si>
  <si>
    <t>ГОЛЬЦ Дмитро Олегович</t>
  </si>
  <si>
    <t>САФТЮК Микола Ярославович</t>
  </si>
  <si>
    <t>ГАНС</t>
  </si>
  <si>
    <t>ЗЕЛІНСЬКИЙ Микола Павлович</t>
  </si>
  <si>
    <t>САФАРІ</t>
  </si>
  <si>
    <t>АПОСТОЛ</t>
  </si>
  <si>
    <t>командир 1 піхотного відділення 1 піхотного взводу 3 піхотної роти 1 піхотного батальйону</t>
  </si>
  <si>
    <t>1995563 (АК-74)</t>
  </si>
  <si>
    <t>ЛАНОВИЙ Володимир Олександрович</t>
  </si>
  <si>
    <t>ЛУНТИК</t>
  </si>
  <si>
    <t>старший стрілець - оператор безпілотних літальних апаратів 1 піхотного відділення 1 піхотного взводу 3 піхотної роти 1 піхотного батальйону</t>
  </si>
  <si>
    <t>Романич відвіз на Павлоград передав у ШКВАЛ</t>
  </si>
  <si>
    <t>ЛЕВЧЕНКО Сергій Борисович</t>
  </si>
  <si>
    <t>КУБІК</t>
  </si>
  <si>
    <t>L200</t>
  </si>
  <si>
    <t>Мед. рота</t>
  </si>
  <si>
    <t>ПЕТРУНІВ Олександр Ярославович</t>
  </si>
  <si>
    <t>ШУМАХЕР</t>
  </si>
  <si>
    <t>гранатометник 1 піхотного відділення 1 піхотного взводу 3 піхотної роти 1 піхотного батальйону</t>
  </si>
  <si>
    <t>100974А</t>
  </si>
  <si>
    <t>ЧУБКО Юрій Миколайович</t>
  </si>
  <si>
    <t>головний сержант 1 піхотної роти 1 піхотного батальйону</t>
  </si>
  <si>
    <t>ШКЕТ</t>
  </si>
  <si>
    <t>головний сержант</t>
  </si>
  <si>
    <t>РАЗВОЗЖАЄВ Сергій Олександрович</t>
  </si>
  <si>
    <t>ПРИБАЛТ</t>
  </si>
  <si>
    <t>МІЛЮХІН Олександр Сергійович</t>
  </si>
  <si>
    <t>ЕМІНЕМ</t>
  </si>
  <si>
    <t>РУБАНОВСЬКИЙ Георгій Сергійович</t>
  </si>
  <si>
    <t>стрілець 1 піхотного відділення 1 піхотного взводу 3 піхотної роти 1 піхотного батальйону</t>
  </si>
  <si>
    <t>25.02.2026 вибув до 2ШБ</t>
  </si>
  <si>
    <t>6238007 (АК-74)</t>
  </si>
  <si>
    <t>ГШР</t>
  </si>
  <si>
    <t>SPRINTER</t>
  </si>
  <si>
    <t>Мед.пункт</t>
  </si>
  <si>
    <t>АСТАФУРОВ Ігор Вікторович</t>
  </si>
  <si>
    <t>Сержант із матеріального забезпечення</t>
  </si>
  <si>
    <t>ВІРА</t>
  </si>
  <si>
    <t>нема на Б</t>
  </si>
  <si>
    <t>787089А</t>
  </si>
  <si>
    <t>сержант із матеріального забезпечення 1 піхотної роти 1 піхотного батальйону</t>
  </si>
  <si>
    <t>ЗАПАЛОВ Сергій Вікторович</t>
  </si>
  <si>
    <t>НАГОРНИЙ Олександр Володимирович</t>
  </si>
  <si>
    <t>ЗАПАЛ</t>
  </si>
  <si>
    <t>ШМЕЛЬ</t>
  </si>
  <si>
    <t>1697489 (АК-74)</t>
  </si>
  <si>
    <t>командир 2 піхотного відділення 1 піхотного взводу 3 піхотної роти 1 піхотного батальйону</t>
  </si>
  <si>
    <t>СЕРЕБРИНСЬКИЙ Олександр Петрович</t>
  </si>
  <si>
    <t>ІНТЕЛЕКТ</t>
  </si>
  <si>
    <t>ОГРІН Едгар Євгенійович</t>
  </si>
  <si>
    <t>ЧЕЛАК Ян Іванович</t>
  </si>
  <si>
    <t>ЯША</t>
  </si>
  <si>
    <t>Закінчення курсу 13.05.26</t>
  </si>
  <si>
    <t>у в/к немає БЗВП</t>
  </si>
  <si>
    <t>старший стрілець - оператор безпілотних літальних апаратів 2 піхотного відділення 1 піхотного взводу 3 піхотної роти 1 піхотного батальйону</t>
  </si>
  <si>
    <t>4438614 (АК-74)</t>
  </si>
  <si>
    <t>07.11 Забрав ДИРЕКТОР</t>
  </si>
  <si>
    <t>був БРЕЗ</t>
  </si>
  <si>
    <t>НАТАЛЬЧЕНКО Микола В'ячеславович</t>
  </si>
  <si>
    <t>ФІЛІН</t>
  </si>
  <si>
    <t>КОЛЕСНИК Олег Андрійович</t>
  </si>
  <si>
    <t>стрілець-помічник гранатометника 2 піхотного відділення 1 піхотного взводу 3 піхотної роти 1 піхотного батальйону</t>
  </si>
  <si>
    <t>КАЩЕЙ</t>
  </si>
  <si>
    <t>КРИВОПЛЯС Володимир Володимирович</t>
  </si>
  <si>
    <t>КАСИК</t>
  </si>
  <si>
    <t>6226228 (АК-74)</t>
  </si>
  <si>
    <t>н.п. Сергіївка</t>
  </si>
  <si>
    <t>БОГДАН</t>
  </si>
  <si>
    <t>ГРИНЬОВ Артем Вікторович</t>
  </si>
  <si>
    <t>ГОРИНИЧ</t>
  </si>
  <si>
    <t>стрілець 2 піхотного відділення 1 піхотного взводу 3 піхотної роти 1 піхотного батальйону</t>
  </si>
  <si>
    <t>ДАВИДОВ Вадим Мколайович</t>
  </si>
  <si>
    <t>ПУХ</t>
  </si>
  <si>
    <t>Вибув з МР 18.11.2025
до Бобра в охорону</t>
  </si>
  <si>
    <t>Старший бойовий медик</t>
  </si>
  <si>
    <t>878978А</t>
  </si>
  <si>
    <t>старший бойовий медик 1 піхотної роти 1 піхотного батальйону</t>
  </si>
  <si>
    <t>ЛУЦІВ Юрій Яремович</t>
  </si>
  <si>
    <t>СОКРАТ</t>
  </si>
  <si>
    <t>не розподілені</t>
  </si>
  <si>
    <t>4460904 (АК-74)</t>
  </si>
  <si>
    <t>НАЗАРЧЕНКО Віталій Сергійович</t>
  </si>
  <si>
    <t>ХОМА</t>
  </si>
  <si>
    <t>КИСЕЛЬОВ Богдан В'ячеславович</t>
  </si>
  <si>
    <t>КОЗАРЧУК Олександр Іванович</t>
  </si>
  <si>
    <t>КОЗАК</t>
  </si>
  <si>
    <t>АДВОКАТ</t>
  </si>
  <si>
    <t>вогнеметник 2 піхотного відділення 1 піхотного взводу 3 піхотної роти 1 піхотного батальйону</t>
  </si>
  <si>
    <t>4426866 (АК-74)</t>
  </si>
  <si>
    <t>МАЗ</t>
  </si>
  <si>
    <t>ЛИХАЧ Тігран Олександрович</t>
  </si>
  <si>
    <t>Забрала Тетяна 21.11.25</t>
  </si>
  <si>
    <t>ТІГА</t>
  </si>
  <si>
    <t>стрілець-помічник гранатометника 3 піхотного відділення 1 піхотного взводу 3 піхотної роти 1 піхотного батальйону</t>
  </si>
  <si>
    <t>НЕМЧЕНКО Максим Олександрович</t>
  </si>
  <si>
    <t>217671А</t>
  </si>
  <si>
    <t>НЕМЕЦ</t>
  </si>
  <si>
    <t>оператор безпілотних літальних апаратів 1 піхотної роти 1 піхотного батальйону</t>
  </si>
  <si>
    <t>РУДЧИК Руслан Валерійович</t>
  </si>
  <si>
    <t>ДЖАКОНДА</t>
  </si>
  <si>
    <t>солд.</t>
  </si>
  <si>
    <t>КАЛИНЮК Сергій Володимирович</t>
  </si>
  <si>
    <t>6267509 (АК-74)</t>
  </si>
  <si>
    <t>ВІЦ</t>
  </si>
  <si>
    <t>стрілець 3 піхотного відділення 1 піхотного взводу 3 піхотної роти 1 піхотного батальйону</t>
  </si>
  <si>
    <t>ГАВРИЛЕНКОВ Станіслав Юрійович</t>
  </si>
  <si>
    <t>ЗЬОМА</t>
  </si>
  <si>
    <t>НІКІТЕНКО Валерій Михайлович</t>
  </si>
  <si>
    <t>ГОРОХ</t>
  </si>
  <si>
    <t>МАЛИНОВСЬКИЙ Віктор Валерійович</t>
  </si>
  <si>
    <t>водій 3 піхотного відділення 1 піхотного взводу 3 піхотної роти 1 піхотного батальйону</t>
  </si>
  <si>
    <t>ВІЛЛІ</t>
  </si>
  <si>
    <t>6303951 (АК-74)</t>
  </si>
  <si>
    <t>БЕВЗЮК Микола Анатолійович</t>
  </si>
  <si>
    <t>ІТАЛЬЯНЕЦ</t>
  </si>
  <si>
    <t>радіотелефоніст 2 піхотного взводу 3 піхотної роти 1 піхотного батальйону</t>
  </si>
  <si>
    <t>ВОЗМІЩЕВ Костянтин Олегович</t>
  </si>
  <si>
    <t>ПАВЛОГРАД</t>
  </si>
  <si>
    <t>БУТИРІН Павло Миколайович</t>
  </si>
  <si>
    <t>БУТЯ</t>
  </si>
  <si>
    <t>420641А</t>
  </si>
  <si>
    <t>ГОДОРОЖА Сергій Григорович</t>
  </si>
  <si>
    <t>радіотелефоніст 1 піхотної роти 1 піхотного батальйону</t>
  </si>
  <si>
    <t>ПІКАЧУ</t>
  </si>
  <si>
    <t>командир 1 піхотного відділення 2 піхотного взводу 3 піхотної роти 1 піхотного батальйону</t>
  </si>
  <si>
    <t>6254687 (АК-74)</t>
  </si>
  <si>
    <t>ПАРУЛІКОВ Павло Павлович</t>
  </si>
  <si>
    <t>ПАРУЛЬ</t>
  </si>
  <si>
    <t>ОПАЛЕНИК Василь Юрійович</t>
  </si>
  <si>
    <t>РАК</t>
  </si>
  <si>
    <t>командир 2 піхотного відділення 2 піхотного взводу 3 піхотної роти 1 піхотного батальйону</t>
  </si>
  <si>
    <t>ОРЛОВСЬКИЙ Борис Миколайович</t>
  </si>
  <si>
    <t>БАРІКЕЛЛО</t>
  </si>
  <si>
    <t>Закінчення курсу 13.08.26</t>
  </si>
  <si>
    <t>ГОРВАТ Ернест Ернестович</t>
  </si>
  <si>
    <t>1711407 (АК-74)</t>
  </si>
  <si>
    <t>Закінчення курсу 21.10.26</t>
  </si>
  <si>
    <t>ГОВЕРЛА</t>
  </si>
  <si>
    <t>ПОГРІБНЯК Олексій Дмитрович</t>
  </si>
  <si>
    <t>СОПІЛЬНЯК Олександр Іванович</t>
  </si>
  <si>
    <t>ДЄД</t>
  </si>
  <si>
    <t>СОПІК</t>
  </si>
  <si>
    <t>гранатометник 2 піхотного відділення 2 піхотного взводу 3 піхотної роти 1 піхотного батальйону</t>
  </si>
  <si>
    <t>29.06.2026
14.06.2026, прибув з медроти 16.08.2026</t>
  </si>
  <si>
    <t>Наркоман 20 лет, довідка  ВЛК от 06.08.</t>
  </si>
  <si>
    <t>Корсар сказав що поїхали на Павлоград, відказники</t>
  </si>
  <si>
    <t>1985376 (АК-74)</t>
  </si>
  <si>
    <t>М'ЯЛІК Андрій Михайлович</t>
  </si>
  <si>
    <t>1 піхотний взвод</t>
  </si>
  <si>
    <t>кулеметник 2 піхотного відділення 2 піхотного взводу 3 піхотної роти 1 піхотного батальйону</t>
  </si>
  <si>
    <t>командир 1 піхотного взводу 1 піхотної роти 1 піхотного батальйону</t>
  </si>
  <si>
    <t>ФЕДОСОВ Олександр Сергійович</t>
  </si>
  <si>
    <t>КУЧЕНКО Дмитро Юрійович</t>
  </si>
  <si>
    <t>МАВРОДІЙ</t>
  </si>
  <si>
    <t>ФЕДЯ</t>
  </si>
  <si>
    <t>КУНДИС Сергій Олегович</t>
  </si>
  <si>
    <t>ДЖЕК</t>
  </si>
  <si>
    <t>1696399 (АК-74)</t>
  </si>
  <si>
    <t>МАРЧИК Сергій Володимирович</t>
  </si>
  <si>
    <t>ЧЕСТЕР</t>
  </si>
  <si>
    <t>вогнеметник 2 піхотного відділення 2 піхотного взводу 3 піхотної роти 1 піхотного батальйону</t>
  </si>
  <si>
    <t>КОЦ Євген Вікторович</t>
  </si>
  <si>
    <t>ГЕША</t>
  </si>
  <si>
    <t>КАЛУГІН Дмитро Анатолійович</t>
  </si>
  <si>
    <t>ЧЕРНЯВСЬКИЙ Микола Миколайович</t>
  </si>
  <si>
    <t>КАЛУНЯ</t>
  </si>
  <si>
    <t>НІК</t>
  </si>
  <si>
    <t>головний сержант 3 піхотного взводу 3 піхотної роти 1 піхотного батальйону</t>
  </si>
  <si>
    <t>3251159 (АК-74)</t>
  </si>
  <si>
    <t>ОСИПЕНКО Валерій Миколайович</t>
  </si>
  <si>
    <t>ОСИП</t>
  </si>
  <si>
    <t>ЛОГИН Олександр Васильович</t>
  </si>
  <si>
    <t>ЛОГИН</t>
  </si>
  <si>
    <t>стрілець-помічник гранатометника 1 піхотного відділення 3 піхотного взводу 3 піхотної роти 1 піхотного батальйону</t>
  </si>
  <si>
    <t>100975А</t>
  </si>
  <si>
    <t>4448430 (АК-74)</t>
  </si>
  <si>
    <t>СОБЧУК Андрій Борисович</t>
  </si>
  <si>
    <t>ТЕЛИХ Микола Миколайович</t>
  </si>
  <si>
    <t>НАКИДОК</t>
  </si>
  <si>
    <t>командир 2 піхотного відділення 3 піхотного взводу 3 піхотної роти 1 піхотного батальйону</t>
  </si>
  <si>
    <t>ПОЛЯКОВ Антон Анатолійович</t>
  </si>
  <si>
    <t>ЛЕЩЕНКО Руслан Сергійович</t>
  </si>
  <si>
    <t>ЛЕЩ</t>
  </si>
  <si>
    <t>2044698 (АК-74)</t>
  </si>
  <si>
    <t>старший стрілець - оператор безпілотних літальних апаратів 2 піхотного відділення 3 піхотного взводу 3 піхотної роти 1 піхотного батальйону</t>
  </si>
  <si>
    <t>ЧЕРВІНКА Юрій Петрович</t>
  </si>
  <si>
    <t>КИСЛЯК Максим Олександрович</t>
  </si>
  <si>
    <t>ЖОРА</t>
  </si>
  <si>
    <t>стрілець 2 піхотного відділення 3 піхотного взводу 3 піхотної роти 1 піхотного батальйону</t>
  </si>
  <si>
    <t>6251169 (АК-74)</t>
  </si>
  <si>
    <t>ПАНАСЮК Олександр Володимирович</t>
  </si>
  <si>
    <t>ТЕМНИЙ</t>
  </si>
  <si>
    <t>157 ОМБр</t>
  </si>
  <si>
    <t>водій-радіотелефоніст 2 піхотного відділення 3 піхотного взводу 3 піхотної роти 1 піхотного батальйону</t>
  </si>
  <si>
    <t>ПТРК</t>
  </si>
  <si>
    <t>МОРОЗОВ Артур Васильович</t>
  </si>
  <si>
    <t>О(І) Rh+</t>
  </si>
  <si>
    <t>10.06.2025</t>
  </si>
  <si>
    <t>ГЕДЗЮК Андрій Леонідович</t>
  </si>
  <si>
    <t>СТОРЧАЙ Олександр Вікторович</t>
  </si>
  <si>
    <t>ЯНВАРЬ</t>
  </si>
  <si>
    <t>6334215 (АК-74)</t>
  </si>
  <si>
    <t>командир 3 піхотного відділення 3 піхотного взводу 3 піхотної роти 1 піхотного батальйону</t>
  </si>
  <si>
    <t>віддали у 210, 27.11.2025</t>
  </si>
  <si>
    <t>резерв+</t>
  </si>
  <si>
    <t>ЛУКЬЯЩЕНКО Максим Олександрович</t>
  </si>
  <si>
    <t>КРАСІКОВ Володимир Борисович</t>
  </si>
  <si>
    <t>ЛУКІЧ</t>
  </si>
  <si>
    <t>КРИК</t>
  </si>
  <si>
    <t>НЕ ЗАДІЮВАТИ</t>
  </si>
  <si>
    <t>кулеметник 3 піхотного відділення 3 піхотного взводу 3 піхотної роти 1 піхотного батальйону</t>
  </si>
  <si>
    <t>4267253 (АК-74)</t>
  </si>
  <si>
    <t>ДЯТЛОВ Денис Іванович</t>
  </si>
  <si>
    <t>САХНО Євген Сергійович</t>
  </si>
  <si>
    <t>АМАТОР</t>
  </si>
  <si>
    <t>стрілець 3 піхотного відділення 3 піхотного взводу 3 піхотної роти 1 піхотного батальйону</t>
  </si>
  <si>
    <t>СТОГНІЙ Юрій Дмитрович</t>
  </si>
  <si>
    <t>ЧАБАНЕНКО Костянтин Володимирович</t>
  </si>
  <si>
    <t>ЧАБА</t>
  </si>
  <si>
    <t>КОТІК</t>
  </si>
  <si>
    <t>ПОТАПЕНКО Петро Петрович</t>
  </si>
  <si>
    <t>1704598 (АК-74)</t>
  </si>
  <si>
    <t>ПЕЦА</t>
  </si>
  <si>
    <t>ЖИВАГА Анатолій Валерійович</t>
  </si>
  <si>
    <t>Головний сержант - командир відділення</t>
  </si>
  <si>
    <t>головний сержант - командир відділення кулеметного взводу 3 піхотної роти 1 піхотного батальйону</t>
  </si>
  <si>
    <t>КОРНІШИН Микола Валерійович</t>
  </si>
  <si>
    <t>СЕРБІН Олександр Олександрович</t>
  </si>
  <si>
    <t>4489496 (АК-74)</t>
  </si>
  <si>
    <t>ТІЧЕР</t>
  </si>
  <si>
    <t>Закінчення курсу 20.04.26</t>
  </si>
  <si>
    <t>командир відділення кулеметного взводу 3 піхотної роти 1 піхотного батальйону</t>
  </si>
  <si>
    <t>САПСАЙ Юрій Олександрович</t>
  </si>
  <si>
    <t>АЙТІ</t>
  </si>
  <si>
    <t>РЕНГАЧ Дмитро Валерійович</t>
  </si>
  <si>
    <t>ДЕЙНЕГА Юрій Володимирович</t>
  </si>
  <si>
    <t>6337311 (АК-74)</t>
  </si>
  <si>
    <t>ДІЄГО</t>
  </si>
  <si>
    <t>ПРИБУВ 24.02.26</t>
  </si>
  <si>
    <t>н.п. Сергіївка
кулеметник</t>
  </si>
  <si>
    <t>до 20.08.2026</t>
  </si>
  <si>
    <t>О(І) Rh-</t>
  </si>
  <si>
    <t>МАЦКІВ Роман Богданович</t>
  </si>
  <si>
    <t>ШЕПТІЙ Роман Іванович</t>
  </si>
  <si>
    <t>НОРС</t>
  </si>
  <si>
    <t>КЕША</t>
  </si>
  <si>
    <t>навідник кулеметного взводу 3 піхотної роти 1 піхотного батальйону</t>
  </si>
  <si>
    <t>1 піхотне відділення</t>
  </si>
  <si>
    <t>100182А</t>
  </si>
  <si>
    <t>гранатометник 1 мотопіхотного відділення 2 мотопіхотного взводу 2 мотопіхотної роти мотопіхотного батальйону</t>
  </si>
  <si>
    <t>командир 1 піхотного відділення 1 піхотного взводу 1 піхотної роти 1 піхотного батальйону</t>
  </si>
  <si>
    <t>6278587 (АК-74)</t>
  </si>
  <si>
    <t>МИКИТЮК Микола Васильович</t>
  </si>
  <si>
    <t>КОВАЛЬ Юрій Степанович</t>
  </si>
  <si>
    <t>ДЕД</t>
  </si>
  <si>
    <t>АК 74 441495</t>
  </si>
  <si>
    <t>КУЗЬМЕНКО Руслан Олегович</t>
  </si>
  <si>
    <t>КОМЕРС</t>
  </si>
  <si>
    <t>ГАЛКУН Василь Віталійович</t>
  </si>
  <si>
    <t>6230012 (АК-74)</t>
  </si>
  <si>
    <t>ПТАХ</t>
  </si>
  <si>
    <t>заступник командира роти безпілотних авіаційних комплексів з психологічної підтримки персоналу 1 піхотного батальйону</t>
  </si>
  <si>
    <t>ГОРОДНЮК Сергій Олександрович</t>
  </si>
  <si>
    <t>ВЕРТ</t>
  </si>
  <si>
    <t>з 210 БР 425 ОШП 1428 від 11.11.25</t>
  </si>
  <si>
    <t>6250158 (АК-74)</t>
  </si>
  <si>
    <t>СМИРНОВ Максим Сергійович</t>
  </si>
  <si>
    <t>СМС</t>
  </si>
  <si>
    <t>сержант із матеріального забезпечення роти безпілотних авіаційних комплексів 1 піхотного батальйону</t>
  </si>
  <si>
    <t>НЕТЕСА Ігор Олександрович</t>
  </si>
  <si>
    <t>ЦИГАН</t>
  </si>
  <si>
    <t>БІЗЮК Олександр Миколайович</t>
  </si>
  <si>
    <t>1706622 (АК-74)</t>
  </si>
  <si>
    <t>АРЕС</t>
  </si>
  <si>
    <t>головний сержант 1 взводу ударних безпілотних авіаційних комплексів роти безпілотних авіаційних комплексів 1 піхотного батальйону</t>
  </si>
  <si>
    <t>ТЮРІН Юрій Васильович</t>
  </si>
  <si>
    <t>ХОЛТОБІН Ігор Володимирович</t>
  </si>
  <si>
    <t>12.06.2025</t>
  </si>
  <si>
    <t>САВІЧЕВ Сергій Ігорович</t>
  </si>
  <si>
    <t>ЯКУТ</t>
  </si>
  <si>
    <t>ZASNAVA № 167237</t>
  </si>
  <si>
    <t>Командир екіпажу безпілотних авіаційних комплексів - командир відділення</t>
  </si>
  <si>
    <t>командир екіпажу безпілотних авіаційних комплексів - командир 1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t>
  </si>
  <si>
    <t>100868А/671</t>
  </si>
  <si>
    <t>МОГИЛЬНИЙ Михайло Євгенійович</t>
  </si>
  <si>
    <t>ЛІНКОЛЬН</t>
  </si>
  <si>
    <t>вибув на мат.забезпечення на полігону Б</t>
  </si>
  <si>
    <t>ШНІТКОВ Ярослав Олександрович</t>
  </si>
  <si>
    <t>ЛЕГЕНДА</t>
  </si>
  <si>
    <t>6291497 (АК-74)</t>
  </si>
  <si>
    <t>майстер 1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t>
  </si>
  <si>
    <t>старший стрілець - вогнеметник 2 штурмового відділення 3 штурмового взводу 3 штурмової роти 3 штурмового батальйону</t>
  </si>
  <si>
    <t>БАЙДАКОВ Олег Вікторович</t>
  </si>
  <si>
    <t>АНТРОПОВ Микола Михайлович</t>
  </si>
  <si>
    <t>ДИНАМО</t>
  </si>
  <si>
    <t>СОРЮК Андрій Васильйович</t>
  </si>
  <si>
    <t>командир екіпажу безпілотних авіаційних комплексів - командир 2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t>
  </si>
  <si>
    <t>ВЕРБА</t>
  </si>
  <si>
    <t>1983420 (АК-74)</t>
  </si>
  <si>
    <t>865EBСJ760</t>
  </si>
  <si>
    <t>СЄРІК Сергій Олександрович</t>
  </si>
  <si>
    <t>САРМАТ</t>
  </si>
  <si>
    <t>н.п. Стецьківка</t>
  </si>
  <si>
    <t>командир екіпажу безпілотних авіаційних комплексів - командир 3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t>
  </si>
  <si>
    <t>БР 1585 від 25.11.25</t>
  </si>
  <si>
    <t>A(II) Rh-</t>
  </si>
  <si>
    <t>МОГИЛЬНИЙ Валентин Васильович</t>
  </si>
  <si>
    <t>13-й</t>
  </si>
  <si>
    <t>ЗУБКО Василь Михайлович</t>
  </si>
  <si>
    <t>БЕРЕЗА</t>
  </si>
  <si>
    <t>Водій-електрик</t>
  </si>
  <si>
    <t>водій-електрик 3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t>
  </si>
  <si>
    <t>Гранатометний взвод</t>
  </si>
  <si>
    <t>2 гранатометне відділення</t>
  </si>
  <si>
    <t>790702А/641</t>
  </si>
  <si>
    <t>старший водій-радіотелефоніст 1 піхотного відділення 1 піхотного взводу 1 піхотної роти 1 піхотного батальйону</t>
  </si>
  <si>
    <t>790058А</t>
  </si>
  <si>
    <t>ХОМИЧ Віктор Іванович</t>
  </si>
  <si>
    <t>ЛОСЬ</t>
  </si>
  <si>
    <t>АГ 155498</t>
  </si>
  <si>
    <t>4448035 (АК-74)</t>
  </si>
  <si>
    <t>головний сержант 2 взводу ударних безпілотних авіаційних комплексів роти безпілотних авіаційних комплексів 1 піхотного батальйону</t>
  </si>
  <si>
    <t>Солд.</t>
  </si>
  <si>
    <t>На виконанні.</t>
  </si>
  <si>
    <t>ІВАНОВ Степан Анатолійович</t>
  </si>
  <si>
    <t>ГЛУЩЕНКО Андрій Юрійович</t>
  </si>
  <si>
    <t>БОБ</t>
  </si>
  <si>
    <t>КВ</t>
  </si>
  <si>
    <t>ДУДКА Олександр Миколайович</t>
  </si>
  <si>
    <t>БОЛТ</t>
  </si>
  <si>
    <t>БОНДАРЕНКО Андрій Анатолійович</t>
  </si>
  <si>
    <t>командир 1 відділення ударних безпілотних авіаційних комплексів-командир екіпажу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</si>
  <si>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16.06.2025</t>
  </si>
  <si>
    <t>СZ Вгеn2 № J137586</t>
  </si>
  <si>
    <t>865EBB9789</t>
  </si>
  <si>
    <t>ГЛМ</t>
  </si>
  <si>
    <t>Група логістичного маршруту БР 1320 від 03.11.25</t>
  </si>
  <si>
    <t>АНДРІЄНКО Петро Володимирович</t>
  </si>
  <si>
    <t>ПЛАЗМА</t>
  </si>
  <si>
    <t>Закінчення курсу 22.03.26</t>
  </si>
  <si>
    <t>73 333,33 ₴</t>
  </si>
  <si>
    <t>СZ Вгеn2 № J142460</t>
  </si>
  <si>
    <t>ВЛАСЮК Олександр Миколайович</t>
  </si>
  <si>
    <t>ВЛАС</t>
  </si>
  <si>
    <t>оператор безпілотних літальних апаратів 1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</si>
  <si>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Старший навідник</t>
  </si>
  <si>
    <t>ОЛЕКСІЄНКО Юрій Михайлович</t>
  </si>
  <si>
    <t>ВЕНГ</t>
  </si>
  <si>
    <t>103061А</t>
  </si>
  <si>
    <t>СZ Вгеn2 №J137710</t>
  </si>
  <si>
    <t>865EBBC301</t>
  </si>
  <si>
    <t>КРАСЮК Антон Олександрович</t>
  </si>
  <si>
    <t>ГВ</t>
  </si>
  <si>
    <t>КУБА</t>
  </si>
  <si>
    <t>ЗАВАЛІЙ Сергій Валерійович</t>
  </si>
  <si>
    <t>ЛИСИЙ</t>
  </si>
  <si>
    <t>майстер 1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</si>
  <si>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ХЕРТЕК Артем Степанович</t>
  </si>
  <si>
    <t>В(ІІІ) Rh+</t>
  </si>
  <si>
    <t>СZ Вгеn2 № J137584</t>
  </si>
  <si>
    <t>ЧЕБАКОВ Руслан Олександрович</t>
  </si>
  <si>
    <t>РЕФЕРИ</t>
  </si>
  <si>
    <t>ДЯЧЕНКО Сергій Юрійович</t>
  </si>
  <si>
    <t>ДІЯК</t>
  </si>
  <si>
    <t>ІСР</t>
  </si>
  <si>
    <t>оператор безпілотних літальних апаратів 2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</si>
  <si>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СZ Вгеn2 № J137589</t>
  </si>
  <si>
    <t>Старший стрілець</t>
  </si>
  <si>
    <t>ЄВЖЕНКО Антон Миколайович</t>
  </si>
  <si>
    <t>ТОХА</t>
  </si>
  <si>
    <t>ОСНЯЧ Олександр Валентинович</t>
  </si>
  <si>
    <t>БІЛИЙ</t>
  </si>
  <si>
    <t>командир 4 відділення ударних безпілотних авіаційних комплексів-командир екіпажу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</si>
  <si>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2 піхотне відділення</t>
  </si>
  <si>
    <t>СZ Вгеn2 № J132762</t>
  </si>
  <si>
    <t>193540А</t>
  </si>
  <si>
    <t>БАРАНОВСЬКИЙ Максим Олександрович</t>
  </si>
  <si>
    <t>ТРАКТОРІСТ</t>
  </si>
  <si>
    <t>КОРОБКА Сергій Юрійович</t>
  </si>
  <si>
    <t>КОРОБ</t>
  </si>
  <si>
    <t>оператор безпілотних літальних апаратів 4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</si>
  <si>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СZ Вгеn2 № J132629</t>
  </si>
  <si>
    <t>ФЕДОРЦІВ Микита Васильович</t>
  </si>
  <si>
    <t>БАННІКОВ Віктор Олександрович</t>
  </si>
  <si>
    <t>ТІРОС</t>
  </si>
  <si>
    <t>головний сержант взводу розвідки та корегування роти безпілотних авіаційних комплексів 1 піхотного батальйону</t>
  </si>
  <si>
    <t>HK-416 88-234354</t>
  </si>
  <si>
    <t>865EBB9070</t>
  </si>
  <si>
    <t>Прибув 25.08.2026 після СЗЧ</t>
  </si>
  <si>
    <t>РВ</t>
  </si>
  <si>
    <t>В(ІІІ) Rh-</t>
  </si>
  <si>
    <t>СТОЯНОВ Леонід Михайлович</t>
  </si>
  <si>
    <t>ДЖУЛЬ Ярослав Володимирович</t>
  </si>
  <si>
    <t>МІХАЛИЧ</t>
  </si>
  <si>
    <t>ЯРІК</t>
  </si>
  <si>
    <t>водій-електрик взводу розвідки та корегування роти безпілотних авіаційних комплексів 1 піхотного батальйону</t>
  </si>
  <si>
    <t>2 піхотний взвод</t>
  </si>
  <si>
    <t>СZ Вгеn2 № J133348</t>
  </si>
  <si>
    <t>3 піхотне відділення</t>
  </si>
  <si>
    <t>101627А</t>
  </si>
  <si>
    <t>кулеметник 1 піхотного відділення 1 піхотного взводу 1 піхотної роти 1 піхотного батальйону</t>
  </si>
  <si>
    <t>Розвідник-оператор</t>
  </si>
  <si>
    <t>100915А</t>
  </si>
  <si>
    <t>КУДРЯВЦЕВ Євген Миколайович</t>
  </si>
  <si>
    <t>ЦЕКОТ Костянтин Сергійович</t>
  </si>
  <si>
    <t>ДЖЕКСОН</t>
  </si>
  <si>
    <t>КОТЯРА</t>
  </si>
  <si>
    <t>АГ 565010</t>
  </si>
  <si>
    <t>командир 1 відділення безпілотних авіаційних комплексів -командир екіпажу безпілотних авіаційних комплексів взводу розвідки та корегування роти безпілотних авіаційних комплексів 1 піхотного батальйону</t>
  </si>
  <si>
    <t>ЛОПАТА Володимир Сергійович</t>
  </si>
  <si>
    <t>СВІНЦІЦЬКИЙ Віталій Олександрович</t>
  </si>
  <si>
    <t>СВІН</t>
  </si>
  <si>
    <t>СZ Вгеn2 № J141775</t>
  </si>
  <si>
    <t>ГУМЕННИЙ Ігор Сергійович</t>
  </si>
  <si>
    <t>АВТІК</t>
  </si>
  <si>
    <t>Оператор</t>
  </si>
  <si>
    <t>КРАВЧЕНКО Євген Миколайович</t>
  </si>
  <si>
    <t>КРАВА</t>
  </si>
  <si>
    <t>СZ Вгеn2 № J137396</t>
  </si>
  <si>
    <t>2 ПР</t>
  </si>
  <si>
    <t>ТОДОЩЕНКО Віталій Володимирович</t>
  </si>
  <si>
    <t>СУЛТАН</t>
  </si>
  <si>
    <t>командир 2 відділення безпілотних авіаційних комплексів-командир екіпажу безпілотних авіаційних комплексів взводу розвідки та корегування роти безпілотних авіаційних комплексів 1 піхотного батальйону</t>
  </si>
  <si>
    <t>SAFARI № 002921</t>
  </si>
  <si>
    <t>по пораненню
ПРИБУВ 17.04.26</t>
  </si>
  <si>
    <t>ШАПОВАЛ Сергій Леонідович</t>
  </si>
  <si>
    <t>СЕРИЙ</t>
  </si>
  <si>
    <t>AB(IV) Rh+</t>
  </si>
  <si>
    <t>СZ Вгеn2 № J133369</t>
  </si>
  <si>
    <t>ХАРЧУК Микола Васильович</t>
  </si>
  <si>
    <t>ГЕРКУЛЕС</t>
  </si>
  <si>
    <t>100915А/630</t>
  </si>
  <si>
    <t>КОВАЛЬЧУК Василь Васильович</t>
  </si>
  <si>
    <t>SAFARI № 002895</t>
  </si>
  <si>
    <t>АГ 128369</t>
  </si>
  <si>
    <t>ЛИТВИНЕНКО Микола Олександрович</t>
  </si>
  <si>
    <t>ТУРОК</t>
  </si>
  <si>
    <t>17.06.2025</t>
  </si>
  <si>
    <t>1ШБ - 500 - Покровськ</t>
  </si>
  <si>
    <t>HK-416 88-234353</t>
  </si>
  <si>
    <t>КОБИЛЯНСЬКИЙ Михайло Ярославович</t>
  </si>
  <si>
    <t>БЕДНІЧЕНКО Сергій Олександрович</t>
  </si>
  <si>
    <t>МІХА</t>
  </si>
  <si>
    <t>НІЖНИЙ</t>
  </si>
  <si>
    <t>оператор безпілотних літальних апаратів відділення безпілотних авіаційних комплексів 2 відділення безпілотних авіаційних комплексів взводу розвідки та корегування роти безпілотних авіаційних комплексів 1 піхотного батальйону</t>
  </si>
  <si>
    <t>РБпАК</t>
  </si>
  <si>
    <t>5663630 (АК-74)</t>
  </si>
  <si>
    <t>позиція КОЛОС</t>
  </si>
  <si>
    <t>AB(IV) Rh-</t>
  </si>
  <si>
    <t>БІЛОУС Костянтин Іванович</t>
  </si>
  <si>
    <t>СТУДЕНТ</t>
  </si>
  <si>
    <t>1708555 (АК-74)</t>
  </si>
  <si>
    <t>865EBB9060</t>
  </si>
  <si>
    <t>стрілець 1 піхотного відділення 1 піхотного взводу 1 піхотної роти 1 піхотного батальйону</t>
  </si>
  <si>
    <t>ТПВ №4160</t>
  </si>
  <si>
    <t>ЧАЙКА Володимир Миколайович</t>
  </si>
  <si>
    <t>30 000,00 ₴</t>
  </si>
  <si>
    <t>ЧАЙКА</t>
  </si>
  <si>
    <t>ГОМЕНЮК Віктор Савич</t>
  </si>
  <si>
    <t>ШАМАН</t>
  </si>
  <si>
    <t>4438130 (АК-74)</t>
  </si>
  <si>
    <t>НОСІК Андрій Сергійович</t>
  </si>
  <si>
    <t>ВЕРЕСЕНЬ</t>
  </si>
  <si>
    <t>командир 3 відділення безпілотних авіаційних комплексів-командир екіпажу безпілотних авіаційних комплексів взводу розвідки та корегування роти безпілотних авіаційних комплексів 1 піхотного батальйону</t>
  </si>
  <si>
    <t>ВИЩАНСЬКИЙ Олександр Олегович</t>
  </si>
  <si>
    <t>ВОЛЬФ</t>
  </si>
  <si>
    <t>є БЗВП, Адмірал</t>
  </si>
  <si>
    <t>БОНДАРЕНКО Віктор Олександрович</t>
  </si>
  <si>
    <t>ІЩУК Віталій Олександрович</t>
  </si>
  <si>
    <t>ПАЛІЙ</t>
  </si>
  <si>
    <t>СZ Вгеn2 № J131036</t>
  </si>
  <si>
    <t>оператор безпілотних літальних апаратів відділення безпілотних авіаційних комплексів 4 відділення безпілотних авіаційних комплексів взводу розвідки та корегування роти безпілотних авіаційних комплексів 1 піхотного батальйону</t>
  </si>
  <si>
    <t>ПРИБУВ Полі Б 01.07.2026</t>
  </si>
  <si>
    <t>ПОЛІГОН</t>
  </si>
  <si>
    <t>НАКОНЕЧНИЙ Михайло Валерійович</t>
  </si>
  <si>
    <t>ХЕЛ БОЙ</t>
  </si>
  <si>
    <t>МИШОГЛО Євгеній Юрійович</t>
  </si>
  <si>
    <t>ДРОТІК</t>
  </si>
  <si>
    <t>оператор безпілотних літальних апаратів відділення безпілотних авіаційних комплексів 5 відділення безпілотних авіаційних комплексів взводу розвідки та корегування роти безпілотних авіаційних комплексів 1 піхотного батальйону</t>
  </si>
  <si>
    <t>HK-416 88-231924</t>
  </si>
  <si>
    <t>63 333,33 ₴</t>
  </si>
  <si>
    <t>довідка</t>
  </si>
  <si>
    <t>КРАСИЛЬНИК Володимир Олександрович</t>
  </si>
  <si>
    <t>ДУДЛА Андрій Михайлович</t>
  </si>
  <si>
    <t>СНОУ</t>
  </si>
  <si>
    <t>ГРИНЧЕНКО Юрій Володимирович</t>
  </si>
  <si>
    <t>ФІКСА</t>
  </si>
  <si>
    <t>СZ Вгеn2 № J137577</t>
  </si>
  <si>
    <t>865EACY962</t>
  </si>
  <si>
    <t>оператор безпілотних літальних апаратів відділення безпілотних авіаційних комплексів 6 відділення безпілотних авіаційних комплексів взводу розвідки та корегування роти безпілотних авіаційних комплексів 1 піхотного батальйону</t>
  </si>
  <si>
    <t>3 піхотний взвод</t>
  </si>
  <si>
    <t>МІШАК Степан Степанович</t>
  </si>
  <si>
    <t>Закінчення курсу 10.03.26</t>
  </si>
  <si>
    <t>МИШ</t>
  </si>
  <si>
    <t>КИЗИМ Сергій Сергійович</t>
  </si>
  <si>
    <t>НІКСОН</t>
  </si>
  <si>
    <t>оператор безпілотних літальних апаратів відділення безпілотних авіаційних комплексів 7 відділення безпілотних авіаційних комплексів взводу розвідки та корегування роти безпілотних авіаційних комплексів 1 піхотного батальйону</t>
  </si>
  <si>
    <t>HK-416 88-231523</t>
  </si>
  <si>
    <t>865EAM4433</t>
  </si>
  <si>
    <t>до 08.08.26</t>
  </si>
  <si>
    <t>МЕТЬОЛКІН Роман Юрійович</t>
  </si>
  <si>
    <t>МЕНДРИК Ігор Володимирович</t>
  </si>
  <si>
    <t>СЄВЄР</t>
  </si>
  <si>
    <t>СЕДОЙ</t>
  </si>
  <si>
    <t>оператор безпілотних літальних апаратів відділення безпілотних авіаційних комплексів 8 відділення безпілотних авіаційних комплексів взводу розвідки та корегування роти безпілотних авіаційних комплексів 1 піхотного батальйону</t>
  </si>
  <si>
    <t>СZ Вгеn2 № J137598</t>
  </si>
  <si>
    <t>АЛЄКСЄЄВ Костянтин Віталійович</t>
  </si>
  <si>
    <t>ЧЕРЕП</t>
  </si>
  <si>
    <t>БУГАРЬ Олександр Вікторович</t>
  </si>
  <si>
    <t>АВГУСТ</t>
  </si>
  <si>
    <t>20.06.2025</t>
  </si>
  <si>
    <t>командир 10 відділення безпілотних авіаційних комплексів-командир екіпажу безпілотних авіаційних комплексів взводу розвідки та корегування роти безпілотних авіаційних комплексів 1 піхотного батальйону</t>
  </si>
  <si>
    <t>1687375 (АК-74)</t>
  </si>
  <si>
    <t>Nerv переведення</t>
  </si>
  <si>
    <t>АКОПЯН Рустам Сергійович</t>
  </si>
  <si>
    <t>ФЕВРАЛЬ</t>
  </si>
  <si>
    <t>Старший розвідник</t>
  </si>
  <si>
    <t>ФУРТ Євгеній Володимирович</t>
  </si>
  <si>
    <t>ФУРА</t>
  </si>
  <si>
    <t>СТАТИВА Володимир Васильович</t>
  </si>
  <si>
    <t>БУРИЙ</t>
  </si>
  <si>
    <t>оператор безпілотних літальних апаратів відділення безпілотних авіаційних комплексів 10 відділення безпілотних авіаційних комплексів взводу розвідки та корегування роти безпілотних авіаційних комплексів 1 піхотного батальйону</t>
  </si>
  <si>
    <t>СZ Вгеn2 № J144695</t>
  </si>
  <si>
    <t>865EBBC079</t>
  </si>
  <si>
    <t>2 піхотна рота</t>
  </si>
  <si>
    <t>ГРУДНЯК Юрій Іванович</t>
  </si>
  <si>
    <t>ГАРАЖ</t>
  </si>
  <si>
    <t>головний сержант-командир відділення гранатометного взводу 1 піхотного батальйону</t>
  </si>
  <si>
    <t>ПЕЦЮХ Андрій Вікторович</t>
  </si>
  <si>
    <t>ГРУЗІН</t>
  </si>
  <si>
    <t>SAFARI № 002966</t>
  </si>
  <si>
    <t>РІКУН Олександр Олександрович</t>
  </si>
  <si>
    <t>ПРИБУВ 09.08.2026 ЧЛ</t>
  </si>
  <si>
    <t>МАГА</t>
  </si>
  <si>
    <t>ГРИДАСОВ Олексій Володимирович</t>
  </si>
  <si>
    <t>вибув на переведення 31.08.2026 на 1300</t>
  </si>
  <si>
    <t>командир відділення гранатометного взводу 1 піхотного батальйону</t>
  </si>
  <si>
    <t>КАБАНЕЦЬ Олександр Олександрович</t>
  </si>
  <si>
    <t>КОС</t>
  </si>
  <si>
    <t>СZ Вгеn2 № J133340</t>
  </si>
  <si>
    <t>865EAST016</t>
  </si>
  <si>
    <t>ГУК Володимир Степанович</t>
  </si>
  <si>
    <t>ГУЦ</t>
  </si>
  <si>
    <t>командир 2 піхотного відділення 1 піхотного взводу 1 піхотної роти 1 піхотного батальйону</t>
  </si>
  <si>
    <t>ЧАПЛЮК Руслан Анатолійович</t>
  </si>
  <si>
    <t>ЧАПА</t>
  </si>
  <si>
    <t>МО 536384</t>
  </si>
  <si>
    <t>SAFARI № 002471</t>
  </si>
  <si>
    <t>ДАВИДЕНКО Олександр Володимирович</t>
  </si>
  <si>
    <t>ЛУГАНСЬКИЙ Вадим Ігорович</t>
  </si>
  <si>
    <t>СЛІПИЙ</t>
  </si>
  <si>
    <t>старший навідник гранатометного взводу 1 піхотного батальйону</t>
  </si>
  <si>
    <t>ГАЙДУК Олександр Михайлович</t>
  </si>
  <si>
    <t>СНАЙПЕР</t>
  </si>
  <si>
    <t>МАЛЮЖЕЦЬ Володимир Вікторович</t>
  </si>
  <si>
    <t>СZ Вгеn2 № J142252</t>
  </si>
  <si>
    <t>МКашник</t>
  </si>
  <si>
    <t>водій гранатометного взводу 1 піхотного батальйону</t>
  </si>
  <si>
    <t>ПИЛИПЕЦЬ Василь Юрійович</t>
  </si>
  <si>
    <t>ШИШАКОВ Володимир Миколайович</t>
  </si>
  <si>
    <t>ХТЗ</t>
  </si>
  <si>
    <t>ДОРОШЕНКО Дмитро Сергійович</t>
  </si>
  <si>
    <t>СZ Вгеn2 № J091729</t>
  </si>
  <si>
    <t>номер обслуги гранатометного взводу 1 піхотного батальйону</t>
  </si>
  <si>
    <t>старший стрілець - оператор безпілотних літальних апаратів 2 піхотного відділення 1 піхотного взводу 1 піхотної роти 1 піхотного батальйону</t>
  </si>
  <si>
    <t>БЕБІК Владислав Ігорович</t>
  </si>
  <si>
    <t>БЕП</t>
  </si>
  <si>
    <t>КРАВЦОВ Артем Миколайович</t>
  </si>
  <si>
    <t>НАФАНЯ</t>
  </si>
  <si>
    <t>КАБАНЕНКО Владислав Юрійович</t>
  </si>
  <si>
    <t>2093643 (АК-74)</t>
  </si>
  <si>
    <t>ВЕПР</t>
  </si>
  <si>
    <t>ДОБРОВОЛЬСЬКИЙ Євген Віталійович</t>
  </si>
  <si>
    <t>САВЕЛЬЄВ Денис Геннадійович</t>
  </si>
  <si>
    <t>МАНІТУ</t>
  </si>
  <si>
    <t>ДЖОНІ</t>
  </si>
  <si>
    <t>1999786 (АК-74)</t>
  </si>
  <si>
    <t>865EBE2656</t>
  </si>
  <si>
    <t>ЛЕРХ Михайло Олександрович</t>
  </si>
  <si>
    <t>МІШАНЯ</t>
  </si>
  <si>
    <t>ГРАБОВСЬКИЙ Валерій Ігорович</t>
  </si>
  <si>
    <t>ПЕКАР</t>
  </si>
  <si>
    <t>позиція КОЛОС
ПРИБУВ 21.03.26</t>
  </si>
  <si>
    <t>13.07.2026 ходив в СЗЧ</t>
  </si>
  <si>
    <t>НЕДВИГА Владислав Володимирович</t>
  </si>
  <si>
    <t>ППД</t>
  </si>
  <si>
    <t>6213461 (АК-74)</t>
  </si>
  <si>
    <t>865EBСW681</t>
  </si>
  <si>
    <t>3 піхотна рота</t>
  </si>
  <si>
    <t>МАЛАЙ Денис Борисович</t>
  </si>
  <si>
    <t>гранатометник 2 піхотного відділення 1 піхотного взводу 1 піхотної роти 1 піхотного батальйону</t>
  </si>
  <si>
    <t>ДЕН</t>
  </si>
  <si>
    <t>КУРМАЗЕНКО Микита Андрійович</t>
  </si>
  <si>
    <t>ГУРМАН</t>
  </si>
  <si>
    <t>ЛЕХМАН Андрій Віталійович</t>
  </si>
  <si>
    <t>5662762 (АК-74)</t>
  </si>
  <si>
    <t>ГОГА Владислав Петрович</t>
  </si>
  <si>
    <t>ТРУШИН Євгеній Олександрович</t>
  </si>
  <si>
    <t>ГОГА</t>
  </si>
  <si>
    <t>СКРИПА</t>
  </si>
  <si>
    <t>старший навідник мінометного взводу 1 піхотного батальйону</t>
  </si>
  <si>
    <t>КАЛІУШКО Ростислав Володимирович</t>
  </si>
  <si>
    <t>ФІДЕЛЬ</t>
  </si>
  <si>
    <t>РАДЧЕНКО Олексій Володимирович</t>
  </si>
  <si>
    <t>Закінчення курсу 06.01.2026</t>
  </si>
  <si>
    <t>4461169 (АК-74)</t>
  </si>
  <si>
    <t>865EBCW852</t>
  </si>
  <si>
    <t>Кулеметний взвод</t>
  </si>
  <si>
    <t>3 кулеметне відділення</t>
  </si>
  <si>
    <t>ДЯЧЕНКО Максим Олександрович</t>
  </si>
  <si>
    <t>101533А</t>
  </si>
  <si>
    <t>МЕЛЬНИК Роман Михайлович</t>
  </si>
  <si>
    <t>ТИГР</t>
  </si>
  <si>
    <t>була Призупинення служби</t>
  </si>
  <si>
    <t>в анкеті : тракторист, механік, зварювальник/ Будівелник</t>
  </si>
  <si>
    <t>НІНІЧУК Сергій Володимирович</t>
  </si>
  <si>
    <t>4469898 (АК-74)</t>
  </si>
  <si>
    <t>865EBCJ717</t>
  </si>
  <si>
    <t>ДЄДОВ Олег Миколайович</t>
  </si>
  <si>
    <t>АХІЛ</t>
  </si>
  <si>
    <t>водій мінометного взводу 1 піхотного батальйону</t>
  </si>
  <si>
    <t>ШИЛО Євгеній Володимирович</t>
  </si>
  <si>
    <t>МЕХАНІК</t>
  </si>
  <si>
    <t>21.06.2025</t>
  </si>
  <si>
    <t>ФІЛОНЦЕВ Віталій Олександрович (05.01.1984 р.н.)</t>
  </si>
  <si>
    <t>ФІЛЯ</t>
  </si>
  <si>
    <t>ШЕВЧЕНКО Максим Вікторович</t>
  </si>
  <si>
    <t>СZ Вгеn2 № J137661</t>
  </si>
  <si>
    <t>ШИПА</t>
  </si>
  <si>
    <t>865EBE3014</t>
  </si>
  <si>
    <t>Зенітний ракетний взвод</t>
  </si>
  <si>
    <t>2 зенітне ракетне відділення</t>
  </si>
  <si>
    <t>Стрілець-зенітник</t>
  </si>
  <si>
    <t>104916А</t>
  </si>
  <si>
    <t>Закінчення курсу 22.07.26</t>
  </si>
  <si>
    <t>Розвідник</t>
  </si>
  <si>
    <t>СМІРНОВ Віталій Владиславович</t>
  </si>
  <si>
    <t>КОЛОМОЄЦЬ Олександр Миколайович</t>
  </si>
  <si>
    <t>КУЗНЕЦ</t>
  </si>
  <si>
    <t>САНЯ</t>
  </si>
  <si>
    <t>Розвідник-далекомірник</t>
  </si>
  <si>
    <t>ДУШЕВІН Олександр Юрійович</t>
  </si>
  <si>
    <t>розвідник-далекомірник мінометного взводу 1 піхотного батальйону</t>
  </si>
  <si>
    <t>ПРИБУВ 15.05.26 ТЦК Дніпро</t>
  </si>
  <si>
    <t>Електрик</t>
  </si>
  <si>
    <t>СZ Вгеn2 № J130997</t>
  </si>
  <si>
    <t>865EBCF129</t>
  </si>
  <si>
    <t>ШВЕЦЬ Олександр Юрійович</t>
  </si>
  <si>
    <t>Майстер-номер обслуги</t>
  </si>
  <si>
    <t>майстер-номер обслуги мінометного взводу 1 піхотного батальйону</t>
  </si>
  <si>
    <t>АНТОНОВ Олександр Юрійович</t>
  </si>
  <si>
    <t>СОЛДАТ</t>
  </si>
  <si>
    <t>СТАДНІЧЕНКО Олександр Анатолійович</t>
  </si>
  <si>
    <t>184 НЦ</t>
  </si>
  <si>
    <t>ДИНЯ</t>
  </si>
  <si>
    <t>СZ Вгеn2 № J133357</t>
  </si>
  <si>
    <t>номер обслуги мінометного взводу 1 піхотного батальйону</t>
  </si>
  <si>
    <t>СЕМЕНЕНКО Сергій Олександрович</t>
  </si>
  <si>
    <t>РЯБИЙ Олександр Олександрович</t>
  </si>
  <si>
    <t>БОБА</t>
  </si>
  <si>
    <t>ПІДЛІСНИЙ Сергій Олександрович</t>
  </si>
  <si>
    <t>ДРАГО</t>
  </si>
  <si>
    <t>ГУРАК Іван Богданович</t>
  </si>
  <si>
    <t>ГУРАК</t>
  </si>
  <si>
    <t>С2 Вгеп2 № J141830</t>
  </si>
  <si>
    <t>865EBCW910</t>
  </si>
  <si>
    <t>САМОЙЛЕНКО Сергій Олександрович</t>
  </si>
  <si>
    <t>ЛІТАК</t>
  </si>
  <si>
    <t>Закінчення курсу 15.09.26</t>
  </si>
  <si>
    <t>командир кулеметного взводу 1 піхотного батальйону</t>
  </si>
  <si>
    <t>ГОЛУБОВ Сергій Едуардович</t>
  </si>
  <si>
    <t>НЕМИШЛЯ</t>
  </si>
  <si>
    <t>ОТКАЗНИК
прибув після СЗЧ 14.07.2026</t>
  </si>
  <si>
    <t>н.п. Криворіжжя</t>
  </si>
  <si>
    <t>БР 425 ОШП 1306 від 02.11.25</t>
  </si>
  <si>
    <t>ОТКАЗНИК</t>
  </si>
  <si>
    <t>ФЕДОРОВ Костянтин Олександрович</t>
  </si>
  <si>
    <t>СZ Вгеn2 № 092007</t>
  </si>
  <si>
    <t>командир відділення кулеметного взводу 1 піхотного батальйону</t>
  </si>
  <si>
    <t>НИРКА Сергій Володимирович</t>
  </si>
  <si>
    <t>стрілець 2 піхотного відділення 1 піхотного взводу 1 піхотної роти 1 піхотного батальйону</t>
  </si>
  <si>
    <t>НОРІК</t>
  </si>
  <si>
    <t>УКОЛОВ Ігор Сергійович</t>
  </si>
  <si>
    <t>НАКОНЕЧНИЙ Андрій Богданович</t>
  </si>
  <si>
    <t>УКОЛ</t>
  </si>
  <si>
    <t>АДІДАС</t>
  </si>
  <si>
    <t>старший стрілець кулеметного взводу 1 піхотного батальйону</t>
  </si>
  <si>
    <t>СZ Вгеn2 № J142973</t>
  </si>
  <si>
    <t>ЗБОРЮК Віктор Вікторович</t>
  </si>
  <si>
    <t>ЗУБР</t>
  </si>
  <si>
    <t>ФЕДОРЕНКО Ігор Віталійович</t>
  </si>
  <si>
    <t>ДУДКО Євген Віталійович</t>
  </si>
  <si>
    <t>ЗЕЛЯ</t>
  </si>
  <si>
    <t>25.06.2025</t>
  </si>
  <si>
    <t>Закінчення курсу 31.05.26</t>
  </si>
  <si>
    <t>ПРУДЕНКО Андрій Юрійович</t>
  </si>
  <si>
    <t>ВОРОБЕЙ</t>
  </si>
  <si>
    <t>АК-74 6242026</t>
  </si>
  <si>
    <t>ПРИБУВ 15.04.26</t>
  </si>
  <si>
    <t>ПАРПАЛІЙ Олег Сергійович</t>
  </si>
  <si>
    <t>ХАРИЗМАТ</t>
  </si>
  <si>
    <t>ПЕЧЕНЮК Роман Сергійович</t>
  </si>
  <si>
    <t>ПЕЧЯ</t>
  </si>
  <si>
    <t>КОВТУН Андрій Миколайович</t>
  </si>
  <si>
    <t>БЕЗПАЛИЙ</t>
  </si>
  <si>
    <t>стрілець кулеметного взводу 1 піхотного батальйону</t>
  </si>
  <si>
    <t>АК-74 4489933</t>
  </si>
  <si>
    <t>АГ 014950</t>
  </si>
  <si>
    <t>РЯБКО Сергій Анатолійович</t>
  </si>
  <si>
    <t>РЯБА</t>
  </si>
  <si>
    <t>КІПТЕНКО Костянтин Петрович</t>
  </si>
  <si>
    <t>БУДУЛАЙ</t>
  </si>
  <si>
    <t>ОЛЕНИЧ Андрій Миколайович</t>
  </si>
  <si>
    <t>СТРІХА</t>
  </si>
  <si>
    <t>АК-74 1713766</t>
  </si>
  <si>
    <t>Є БЗВП, Заєць</t>
  </si>
  <si>
    <t>УТОПЛЕННІКОВ Володимир Сергійович</t>
  </si>
  <si>
    <t>КУРАНАЙ</t>
  </si>
  <si>
    <t>Стpілець-помічник гранатометника</t>
  </si>
  <si>
    <t>головний сержант 1 штурмового взводу 1 штурмової роти 3 штурмового батальйону</t>
  </si>
  <si>
    <t>ЛИТВИН Сергій Володимирович</t>
  </si>
  <si>
    <t>АРМАНІ</t>
  </si>
  <si>
    <t>ПРИБУВ 13.05.26 Чорний ліс</t>
  </si>
  <si>
    <t>ОСАДЧИЙ Ігор Вікторович</t>
  </si>
  <si>
    <t>АК-74 4448966</t>
  </si>
  <si>
    <t>НУЖДА</t>
  </si>
  <si>
    <t>НЄЄЛОВ Дмитро Сергійович</t>
  </si>
  <si>
    <t>БАЙДАК Олександр Миколайович</t>
  </si>
  <si>
    <t>790037А</t>
  </si>
  <si>
    <t>водій кулеметного взводу 1 піхотного батальйону</t>
  </si>
  <si>
    <t>АК-74 6277674</t>
  </si>
  <si>
    <t>н.п. Удачне</t>
  </si>
  <si>
    <t>ТОКАРСЬКИЙ Степан Володимирович</t>
  </si>
  <si>
    <t>ЧАЛИЙ Ігор Володимирович</t>
  </si>
  <si>
    <t>БЕРКЕР</t>
  </si>
  <si>
    <t>ЧАЛИЙ</t>
  </si>
  <si>
    <t>1657333 (АК-74)</t>
  </si>
  <si>
    <t>865EBCW995</t>
  </si>
  <si>
    <t>кулеметник 1 штурмового відділення 1 штурмового взводу 2 штурмової роти 3 штурмового батальйону</t>
  </si>
  <si>
    <t>ПАТЕЛЕПЕНЬ Олег Миколайович</t>
  </si>
  <si>
    <t>ЕЛЕКТРИК</t>
  </si>
  <si>
    <t>АКСЬОНОВ Валерій Сергійович</t>
  </si>
  <si>
    <t>КУЗЬМІН Іван Ігорович</t>
  </si>
  <si>
    <t>ІЗЯ</t>
  </si>
  <si>
    <t>ТАПІК</t>
  </si>
  <si>
    <t>СZ Вгеn2 № J132119</t>
  </si>
  <si>
    <t>865EBE3137</t>
  </si>
  <si>
    <t>по пораненню
Водій квадроциклу 
БР 1585 від 25.11.25</t>
  </si>
  <si>
    <t>ГУЛЮК Віталій Анатолійович</t>
  </si>
  <si>
    <t>ЗЕЛЕНИЙ</t>
  </si>
  <si>
    <t>ППД Сергіївка (евак)</t>
  </si>
  <si>
    <t>ШУТАНОВ Микола Сергійович</t>
  </si>
  <si>
    <t>ШУТІК</t>
  </si>
  <si>
    <t>САВЧУК Євген Олександрович</t>
  </si>
  <si>
    <t>ЗОЛОТОЙ</t>
  </si>
  <si>
    <t>СZ Вгеn2 № J132086</t>
  </si>
  <si>
    <t>ТВО стрільця 1 штурмового відділення 1 штурмового взводу 3 штурмової роти 3 штурмового батальйону</t>
  </si>
  <si>
    <t>СИТНИК Владислав Віталійович</t>
  </si>
  <si>
    <t>СИР</t>
  </si>
  <si>
    <t>АНТОНЮК Володимир Олександрович</t>
  </si>
  <si>
    <t>КОК</t>
  </si>
  <si>
    <t>ПАВЛЮЧЕНКО Володимир Вікторович</t>
  </si>
  <si>
    <t>ПАВЕЛ</t>
  </si>
  <si>
    <t>КРИЛОВ Михайло Євгенович</t>
  </si>
  <si>
    <t>ЄНОТ</t>
  </si>
  <si>
    <t>1709748 (АК-74)</t>
  </si>
  <si>
    <t>ТРОЯН Костянтин Олександрович</t>
  </si>
  <si>
    <t>БРИТАНЕЦЬ</t>
  </si>
  <si>
    <t>головний сержант взводу протитанкових ракетних комплексів 1 піхотного батальйону</t>
  </si>
  <si>
    <t>ПИЛИПЕНКО Олексій Анатолійович</t>
  </si>
  <si>
    <t>ПИЛИП</t>
  </si>
  <si>
    <t>Закінчення курсу 25.08.26</t>
  </si>
  <si>
    <t>кулеметник 2 штурмового відділення 3 штурмового взводу 3 штурмової роти 3 штурмового батальйону</t>
  </si>
  <si>
    <t>4485014 (АК-74)</t>
  </si>
  <si>
    <t>БАБЯК Олексій Володимирович</t>
  </si>
  <si>
    <t>ПРИБУВ ЧЛ 07.06.26</t>
  </si>
  <si>
    <t>НЕРУСЬКИЙ</t>
  </si>
  <si>
    <t>КОРОТКИЙ Анатолій Юрійович</t>
  </si>
  <si>
    <t>водій взводу протитанкових ракетних комплексів 1 піхотного батальйону</t>
  </si>
  <si>
    <t>до 05.08</t>
  </si>
  <si>
    <t>НІКІТІН Олександр Вячеславович</t>
  </si>
  <si>
    <t>ГРУТ</t>
  </si>
  <si>
    <t>АЛАБАЙ</t>
  </si>
  <si>
    <t>4451425 (АК-74)</t>
  </si>
  <si>
    <t>КОРДЯК Роман Мирославович</t>
  </si>
  <si>
    <t>ГАЛИЧ</t>
  </si>
  <si>
    <t>командир 1 відділення протитанкових ракетних комплексів взводу протитанкових ракетних комплексів 1 піхотного батальйону</t>
  </si>
  <si>
    <t>БРАЖНИК Сергій Юрійович</t>
  </si>
  <si>
    <t>ГРИБОК</t>
  </si>
  <si>
    <t>КАРПАЧОВ Леонід Володимирович</t>
  </si>
  <si>
    <t>6214574 (АК-74)</t>
  </si>
  <si>
    <t>МАГНАТ</t>
  </si>
  <si>
    <t>оператор 1 відділення протитанкових ракетних комплексів взводу протитанкових ракетних комплексів 1 піхотного батальйону</t>
  </si>
  <si>
    <t>кулеметник 1 штурмового відділення 3 штурмового взводу 3 штурмової роти 3 штурмового батальйону</t>
  </si>
  <si>
    <t>ПУЛЯЄВ Валентин Олександрович</t>
  </si>
  <si>
    <t>КУЗЬМІН Ігор Олегович</t>
  </si>
  <si>
    <t>ПУЛЯ</t>
  </si>
  <si>
    <t>КУЗЬМІЧ</t>
  </si>
  <si>
    <t>БУЛИЧЕВ Андрій Геннадійович</t>
  </si>
  <si>
    <t>БАЛУ</t>
  </si>
  <si>
    <t>командир 2 відділення протитанкових ракетних комплексів взводу протитанкових ракетних комплексів 1 піхотного батальйону</t>
  </si>
  <si>
    <t>1706097 (АК-74)</t>
  </si>
  <si>
    <t>МВ</t>
  </si>
  <si>
    <t>Командир міномета</t>
  </si>
  <si>
    <t>АГ 631195</t>
  </si>
  <si>
    <t>26.06.2025</t>
  </si>
  <si>
    <t>АК-74 №1681538</t>
  </si>
  <si>
    <t>46 666,67 ₴</t>
  </si>
  <si>
    <t>865ЕВЕ2694</t>
  </si>
  <si>
    <t>ЧЕРКАСОВ Святослав Вячеславович</t>
  </si>
  <si>
    <t>ДОЦЕНТ</t>
  </si>
  <si>
    <t>Старший оператор</t>
  </si>
  <si>
    <t>ТВО стрільця-номера обслуги 3 штурмового відділення 1 штурмового взводу 3 штурмової роти 3 штурмового батальйону</t>
  </si>
  <si>
    <t>старший оператор 2 відділення протитанкових ракетних комплексів взводу протитанкових ракетних комплексів 1 піхотного батальйону</t>
  </si>
  <si>
    <t>САНТАР Богдан Романович</t>
  </si>
  <si>
    <t>ГАЗДА</t>
  </si>
  <si>
    <t>АК-74 №4446575</t>
  </si>
  <si>
    <t>865ЕВЕ2825</t>
  </si>
  <si>
    <t>БОРЩ Антон Васильович</t>
  </si>
  <si>
    <t>ПАКІСТАН</t>
  </si>
  <si>
    <t>ЛИСЕНКО Роман Олександрович</t>
  </si>
  <si>
    <t>БЕРЕЗЮК Петро Володимирович</t>
  </si>
  <si>
    <t>БОРОДА</t>
  </si>
  <si>
    <t>АГОН</t>
  </si>
  <si>
    <t>МУРЯСОВ Руслан Сабірович</t>
  </si>
  <si>
    <t>САБІР</t>
  </si>
  <si>
    <t>АК-74 №1963245</t>
  </si>
  <si>
    <t>оператор 2 відділення протитанкових ракетних комплексів взводу протитанкових ракетних комплексів 1 піхотного батальйону</t>
  </si>
  <si>
    <t>865ЕВЕ2780</t>
  </si>
  <si>
    <t>НІКІТІН Ігор В'ячеславович</t>
  </si>
  <si>
    <t>ХОВРЯК Валерій Борисович</t>
  </si>
  <si>
    <t>БЛИЗНЮК</t>
  </si>
  <si>
    <t>командир взводу логістично-евакуаційних безпілотних наземних систем 1 піхотного батальйону</t>
  </si>
  <si>
    <t>навідник 1М30</t>
  </si>
  <si>
    <t>АК-74 №2025484</t>
  </si>
  <si>
    <t>-</t>
  </si>
  <si>
    <t>ЖУКОВСЬКИЙ Олексій Сергійович</t>
  </si>
  <si>
    <t>ЖУК</t>
  </si>
  <si>
    <t>ЛОБОДА Олексій Миколайович</t>
  </si>
  <si>
    <t>СТАРИЙ</t>
  </si>
  <si>
    <t>АК-74 1703376</t>
  </si>
  <si>
    <t>ТПВ № 4193</t>
  </si>
  <si>
    <t>оператор 2 відділення середніх логістично-евакуаційних безпілотних наземних систем взводу логістично-евакуаційних безпілотних наземних систем 1 піхотного батальйону</t>
  </si>
  <si>
    <t>САЄНКО Дмитро Леонідович</t>
  </si>
  <si>
    <t>ОДИНАКОВИЙ</t>
  </si>
  <si>
    <t>ДАНИЛЕЦЬ Юрій Іванович</t>
  </si>
  <si>
    <t>ДАВИДЕНКО Михайло Євгенович</t>
  </si>
  <si>
    <t>РИБАК</t>
  </si>
  <si>
    <t>ТВО стрільця-снайпера 2 штурмового відділення 1 штурмового взводу 3 штурмової роти 3 штурмового батальйону</t>
  </si>
  <si>
    <t>ДАВИД</t>
  </si>
  <si>
    <t>командир 3 відділення середніх логістично-евакуаційних безпілотних наземних систем взводу логістично-евакуаційних безпілотних наземних систем 1 піхотного батальйону</t>
  </si>
  <si>
    <t>АК-74 4490622</t>
  </si>
  <si>
    <t>865EBCK213</t>
  </si>
  <si>
    <t>КОРНІЙЧУК Олексій Миколайович</t>
  </si>
  <si>
    <t>СЛЮСАРЧУК Юрій Вікторович</t>
  </si>
  <si>
    <t>БАРАНОВ Ілля В'ячеславович</t>
  </si>
  <si>
    <t>ДЖАСТ</t>
  </si>
  <si>
    <t>Водій-електрик-моторист</t>
  </si>
  <si>
    <t>ЛЕШИЙ</t>
  </si>
  <si>
    <t>водій-електрик-моторист 3 відділення середніх логістично-евакуаційних безпілотних наземних систем взводу логістично-евакуаційних безпілотних наземних систем 1 піхотного батальйону</t>
  </si>
  <si>
    <t>АК-74 6223369</t>
  </si>
  <si>
    <t>Закінчення курсу 22.06.26</t>
  </si>
  <si>
    <t>ПОВЯКАЛО Дмитро Олександрович</t>
  </si>
  <si>
    <t>ШТЕФАН</t>
  </si>
  <si>
    <t>ВЕРБИЦЬКИЙ Павло Анатолійович</t>
  </si>
  <si>
    <t>СОМ</t>
  </si>
  <si>
    <t>оператор безпілотних літальних апаратів 3 відділення середніх логістично-евакуаційних безпілотних наземних систем взводу логістично-евакуаційних безпілотних наземних систем 1 піхотного батальйону</t>
  </si>
  <si>
    <t>ПРИБУВ 26.04.2026</t>
  </si>
  <si>
    <t>АК-74 1711520</t>
  </si>
  <si>
    <t>МАКСИМЕНКО Олексій Євгенійович</t>
  </si>
  <si>
    <t>МТЗ</t>
  </si>
  <si>
    <t>ЮРЧЕНКО Юрій Дмитрович</t>
  </si>
  <si>
    <t>ІСКРА</t>
  </si>
  <si>
    <t>командир відділення важких логістично-евакуаційних безпілотних наземних систем взводу логістично-евакуаційних безпілотних наземних систем 1 піхотного батальйону</t>
  </si>
  <si>
    <t>ЧЕРНИХ Андрій Олександрович</t>
  </si>
  <si>
    <t>АК-74 1673702</t>
  </si>
  <si>
    <t>АГ 594432</t>
  </si>
  <si>
    <t>КСЕНУС</t>
  </si>
  <si>
    <t>до 18.08.2026</t>
  </si>
  <si>
    <t>ОЗДОРОВЛЕННЯ ДіАнна
до 07.09.2026</t>
  </si>
  <si>
    <t>стрілець 1 штурмового відділення 3 штурмового взводу 3 штурмової роти 3 штурмового батальйону</t>
  </si>
  <si>
    <t>ЮРКУС Андрій Олександрович</t>
  </si>
  <si>
    <t>стрілець-помічник гранатометника 3 піхотного відділення 1 піхотного взводу 1 піхотної роти 1 піхотного батальйону</t>
  </si>
  <si>
    <t>ШЕВЧЕНКО Андрій Юрійович</t>
  </si>
  <si>
    <t>ВОЙТОВ Артем Станіславович</t>
  </si>
  <si>
    <t>ДЕДПУЛ</t>
  </si>
  <si>
    <t>АЛЕКСАНДРОВ Олександр Олександрович</t>
  </si>
  <si>
    <t>водій-електрик-моторист відділення важких логістично-евакуаційних безпілотних наземних систем взводу логістично-евакуаційних безпілотних наземних систем 1 піхотного батальйону</t>
  </si>
  <si>
    <t>АК-74 6211130</t>
  </si>
  <si>
    <t>ШМІДТ</t>
  </si>
  <si>
    <t>БОНДАРЕНКО Олександр Анатолійович</t>
  </si>
  <si>
    <t>РАБІЙ Владислав Олексійович</t>
  </si>
  <si>
    <t>АЛЕКСАНДЕР</t>
  </si>
  <si>
    <t>НОС</t>
  </si>
  <si>
    <t>Командир екіпажу безпілотних авіаційних комплексів</t>
  </si>
  <si>
    <t>командир 2 екіпажу перехоплювачів безпілотних літальних апаратів безпілотних авіаційних комплексів взводу перехоплювачів безпілотних літальних апаратів 1 піхотного батальйону</t>
  </si>
  <si>
    <t>АК-74 1935756</t>
  </si>
  <si>
    <t>переведення
откоманд в 155</t>
  </si>
  <si>
    <t>ТВО стрільця 2 штурмового відділення 1 штурмового взводу 3 штурмової роти 3 штурмового батальйону</t>
  </si>
  <si>
    <t>ЮВЖЕНКО Максим Володимирович</t>
  </si>
  <si>
    <t>МОЇСЕЄВ Денис Анатолійович</t>
  </si>
  <si>
    <t>ВЛАД</t>
  </si>
  <si>
    <t>командир 3 екіпажу перехоплювачів безпілотних літальних апаратів безпілотних авіаційних комплексів взводу перехоплювачів безпілотних літальних апаратів 1 піхотного батальйону</t>
  </si>
  <si>
    <t>ПОДОБНИЙ Руслан Анатолійович</t>
  </si>
  <si>
    <t>РУЛЯ</t>
  </si>
  <si>
    <t>АК-74 4469987</t>
  </si>
  <si>
    <t>МАКСИМЮК Іван Дмитрович</t>
  </si>
  <si>
    <t>АГРОНОМ</t>
  </si>
  <si>
    <t>водій-електрик 3 екіпажу перехоплювачів безпілотних літальних апаратів взводу перехоплювачів безпілотних літальних апаратів 1 піхотного батальйону</t>
  </si>
  <si>
    <t>ТАТАРЕНКО Андрій Іванович</t>
  </si>
  <si>
    <t>ТАТАРИН</t>
  </si>
  <si>
    <t>ГАВА Олексій Павлович</t>
  </si>
  <si>
    <t>ДЕРИЖЕР</t>
  </si>
  <si>
    <t>АК-74 1697637</t>
  </si>
  <si>
    <t>командир зенітного ракетного відділення взводу перехоплювачів безпілотних літальних апаратів 1 піхотного батальйону</t>
  </si>
  <si>
    <t>КОРНІЄНКО Марко Вікторович</t>
  </si>
  <si>
    <t>МАРК</t>
  </si>
  <si>
    <t>30.03.2026 поїхали з Кіпішем на М1117
ПРИБУВ 19.08.2026 С СЗЧ</t>
  </si>
  <si>
    <t>СЕРТ Віталій Юрійович</t>
  </si>
  <si>
    <t>КОЛБУТОВ Сергій Анатолійович</t>
  </si>
  <si>
    <t>ХІМІК</t>
  </si>
  <si>
    <t>СЕТ</t>
  </si>
  <si>
    <t>АК-74 4542762</t>
  </si>
  <si>
    <t>стрілець-зенітник зенітного ракетного відділення взводу перехоплювачів безпілотних літальних апаратів 1 піхотного батальйону</t>
  </si>
  <si>
    <t>БУГАЄНКО В'ячеслав Сергійович</t>
  </si>
  <si>
    <t>АГ 593220</t>
  </si>
  <si>
    <t>РОМАНОВ Роман Володимирович (21.02.1976 р.н.)</t>
  </si>
  <si>
    <t>УХ</t>
  </si>
  <si>
    <t>РОМАНИЧ</t>
  </si>
  <si>
    <t>НІЩЕРЕТ Іван Михайлович</t>
  </si>
  <si>
    <t>ВАНО</t>
  </si>
  <si>
    <t>командир розвідувального взводу 1 піхотного батальйону</t>
  </si>
  <si>
    <t>АК-74 1674652</t>
  </si>
  <si>
    <t>ТВО кулеметника 4 штурмового відділення 1 штурмового взводу 3 штурмової роти 3 штурмового батальйону</t>
  </si>
  <si>
    <t>СКРИШЕВСЬКИЙ Ігор В'ячеславович</t>
  </si>
  <si>
    <t>БАРАБАШ Валерій Вікторович</t>
  </si>
  <si>
    <t>19.03.2026
лікування до 11.09.2026</t>
  </si>
  <si>
    <t>ВАЛЕРОН</t>
  </si>
  <si>
    <t>КОДЕНЕЦЬ Дмитро Миколайович</t>
  </si>
  <si>
    <t>АК-74 1710868</t>
  </si>
  <si>
    <t>КАДЯ</t>
  </si>
  <si>
    <t>командир відділення розвідувального взводу 1 піхотного батальйону</t>
  </si>
  <si>
    <t>ШМАТОК В'ячеслав Миколайович</t>
  </si>
  <si>
    <t>ПАЛАЧ (ШМАТ)</t>
  </si>
  <si>
    <t>КОБРИНЯ Володимир Вікторович</t>
  </si>
  <si>
    <t>ХАМ</t>
  </si>
  <si>
    <t>ОМЕЛЬНИЦЬКИЙ Володимир Вікторович</t>
  </si>
  <si>
    <t>ВОХА</t>
  </si>
  <si>
    <t>АК-74 1713926</t>
  </si>
  <si>
    <t>КУДРЯВЦЕВ Василь Федорович</t>
  </si>
  <si>
    <t>ТВО стрільця-номера обслуги 4 штурмового відділення 1 штурмового взводу 3 штурмової роти 3 штурмового батальйону</t>
  </si>
  <si>
    <t>КУДРЯВИЙ</t>
  </si>
  <si>
    <t>старший водій розвідувального взводу 1 піхотного батальйону</t>
  </si>
  <si>
    <t>ТАРАЩУК Данило Юрійович</t>
  </si>
  <si>
    <t>ТАІМАС</t>
  </si>
  <si>
    <t>ЧУБІН Костянтин Юрійович</t>
  </si>
  <si>
    <t>ЧУБ</t>
  </si>
  <si>
    <t>АК-74 1658124</t>
  </si>
  <si>
    <t>865EBCE244</t>
  </si>
  <si>
    <t>МІРОШНІЧЕНКО Олександр Анатолійович</t>
  </si>
  <si>
    <t>САНИК</t>
  </si>
  <si>
    <t>старший розвідник розвідувального взводу 1 піхотного батальйону</t>
  </si>
  <si>
    <t>БУБЛІЄВСЬКИЙ Олег Володимирович</t>
  </si>
  <si>
    <t>БОБС</t>
  </si>
  <si>
    <t>ГУМЕННИК Андрій Ігорович</t>
  </si>
  <si>
    <t>БОДЯ</t>
  </si>
  <si>
    <t>ДЕЙНЕКО Юрій Михайлович</t>
  </si>
  <si>
    <t>СУХОЙ</t>
  </si>
  <si>
    <t>АК-74 1950106</t>
  </si>
  <si>
    <t>Закінчення курсу 27.02.26</t>
  </si>
  <si>
    <t>ТВО стрільця 4 штурмового відділення 1 штурмового взводу 3 штурмової роти 3 штурмового батальйону</t>
  </si>
  <si>
    <t>ГІБЕРТ Владислав Ігорович</t>
  </si>
  <si>
    <t>НІМЕЦЬ</t>
  </si>
  <si>
    <t>н/п Стецьківка</t>
  </si>
  <si>
    <t>Бойовий медик</t>
  </si>
  <si>
    <t>кулеметник розвідувального взводу 1 піхотного батальйону</t>
  </si>
  <si>
    <t>ПРИБУВ 17.08.2026 С СЗЧ</t>
  </si>
  <si>
    <t>ШЕВЦОВ Дмитро Сергійович</t>
  </si>
  <si>
    <t>ПІЛОТ</t>
  </si>
  <si>
    <t>БАРС</t>
  </si>
  <si>
    <t>ЗАВГОРОДНІЙ Владислав Георгійович</t>
  </si>
  <si>
    <t>МЕСНИЙ</t>
  </si>
  <si>
    <t>КОБЕЦЬ Сергій Володимирович</t>
  </si>
  <si>
    <t>РЕМБО</t>
  </si>
  <si>
    <t>АК-74 6289377</t>
  </si>
  <si>
    <t>водій розвідувального взводу 1 піхотного батальйону</t>
  </si>
  <si>
    <t>командир 2 піхотного взводу 1 піхотної роти 1 піхотного батальйону</t>
  </si>
  <si>
    <t>ОСТАПЧУК Руслан Станіславович</t>
  </si>
  <si>
    <t>ІГНАТОВИЧ В'ячеслав Іванович</t>
  </si>
  <si>
    <t>ГОРДІЄНКО Юрій Валерійович</t>
  </si>
  <si>
    <t>розвідник розвідувального взводу 1 піхотного батальйону</t>
  </si>
  <si>
    <t>ЮГО</t>
  </si>
  <si>
    <t>АКС-74У 937540</t>
  </si>
  <si>
    <t>76 666,67 ₴</t>
  </si>
  <si>
    <t>КАРАВАЄВ Олег Анатолійович</t>
  </si>
  <si>
    <t>ДАНІШЕВСЬКИЙ Станіслав Володимирович</t>
  </si>
  <si>
    <t>КАРАБАХ</t>
  </si>
  <si>
    <t>ЮРИСТ</t>
  </si>
  <si>
    <t>розвідник-оператор розвідувального взводу 1 піхотного батальйону</t>
  </si>
  <si>
    <t>БУГАЙ Роман Костянтинович</t>
  </si>
  <si>
    <t>БУГАЙ</t>
  </si>
  <si>
    <t>28.06.2025</t>
  </si>
  <si>
    <t>АК-74 6204347</t>
  </si>
  <si>
    <t>НАВРОЦЬКИЙ Олександр Філімонович</t>
  </si>
  <si>
    <t>КОРЧ</t>
  </si>
  <si>
    <t>командир відділення безпілотних авіаційних комплексів-командир екіпажу безпілотних авіаційних комплексів розвідувального взводу 1 піхотного батальйону</t>
  </si>
  <si>
    <t>ДМИТРІЄНКО Євген Олександрович</t>
  </si>
  <si>
    <t>ЖД</t>
  </si>
  <si>
    <t>ГАЙДАР Дмитро Вікторович</t>
  </si>
  <si>
    <t>ТВО кулеметника 3 штурмового відділення 1 штурмового взводу 3 штурмової роти 3 штурмового батальйону</t>
  </si>
  <si>
    <t>ФАРА</t>
  </si>
  <si>
    <t>оператор безпілотних літальних апаратів відділення безпілотних авіаційних комплексів розвідувального взводу 1 піхотного батальйону</t>
  </si>
  <si>
    <t>АК-74 4448475</t>
  </si>
  <si>
    <t>ПОЧИВАЛОВ Юрій Євгенійович</t>
  </si>
  <si>
    <t>ЧИН</t>
  </si>
  <si>
    <t>ЛИГА Олег Олексійович</t>
  </si>
  <si>
    <t>АКА</t>
  </si>
  <si>
    <t>водій-електрик відділення безпілотних авіаційних комплексів розвідувального взводу 1 піхотного батальйону</t>
  </si>
  <si>
    <t>МОРОЗ Владлен Григорович</t>
  </si>
  <si>
    <t>СЕРЖАНТ</t>
  </si>
  <si>
    <t>радіотелефоніст 2 піхотного взводу 1 піхотної роти 1 піхотного батальйону</t>
  </si>
  <si>
    <t>АК-74 4457317</t>
  </si>
  <si>
    <t>СКРИННІК Валерій Петрович</t>
  </si>
  <si>
    <t>865EBCD967</t>
  </si>
  <si>
    <t>ПАНДА</t>
  </si>
  <si>
    <t>АВ 960844 /
СО 465486</t>
  </si>
  <si>
    <t>сапер інженерно-саперного відділення 1 піхотного батальйону</t>
  </si>
  <si>
    <t>стрілець-снайпер 1 штурмового відділення 3 штурмового взводу 3 штурмової роти 3 штурмового батальйону</t>
  </si>
  <si>
    <t>МЕЛЬНИК Андрій Аркадійович</t>
  </si>
  <si>
    <t>ОСТРІКОВ Анатолій Миколайович</t>
  </si>
  <si>
    <t>ТОР</t>
  </si>
  <si>
    <t>СИДОРОВ Руслан Валерійович</t>
  </si>
  <si>
    <t>КОМІСАР</t>
  </si>
  <si>
    <t>АК-74 4522402</t>
  </si>
  <si>
    <t>Закінчення курсу 09.04.26</t>
  </si>
  <si>
    <t>КІЙ Олексій Сергійович</t>
  </si>
  <si>
    <t>ФАРТОВИЙ</t>
  </si>
  <si>
    <t>оператор відділення радіоелектронної боротьби 1 піхотного батальйону</t>
  </si>
  <si>
    <t>позиція РИБАК</t>
  </si>
  <si>
    <t>МУХУТДІНОВ Ігор Фаатович</t>
  </si>
  <si>
    <t>ГРИГОР'ЄВ Олександр Васильович</t>
  </si>
  <si>
    <t>ГРИША</t>
  </si>
  <si>
    <t>АК-74 1711750</t>
  </si>
  <si>
    <t>865EBСЕ019</t>
  </si>
  <si>
    <t>командир 1 піхотного відділення 2 піхотного взводу 1 піхотної роти 1 піхотного батальйону</t>
  </si>
  <si>
    <t>старший стрілець - вогнеметник 1 штурмового відділення 3 штурмового взводу 3 штурмової роти 3 штурмового батальйону</t>
  </si>
  <si>
    <t>КОБЗАР Володимир Олександрович</t>
  </si>
  <si>
    <t>КОРШУН</t>
  </si>
  <si>
    <t>ЗОЛОТОВЕРХ Олексій Володимирович</t>
  </si>
  <si>
    <t>ПАСТОР</t>
  </si>
  <si>
    <t>29.06.2025</t>
  </si>
  <si>
    <t>ПРОТАСЕВИЧ Олександр Ігорович</t>
  </si>
  <si>
    <t>ПРОТОС</t>
  </si>
  <si>
    <t>АК-74 1662253</t>
  </si>
  <si>
    <t>ЛАВРОВ Василь Васильович</t>
  </si>
  <si>
    <t>ПОЛЯРНИК</t>
  </si>
  <si>
    <t>РИЛЬКОВ Максим Миколайович</t>
  </si>
  <si>
    <t>НІКОЛАЄЧ</t>
  </si>
  <si>
    <t>АК-74 6210053</t>
  </si>
  <si>
    <t>КЮРЧЕВ Олександр Сергійович</t>
  </si>
  <si>
    <t>ТВО кулеметника 2 штурмового відділення 1 штурмового взводу 3 штурмової роти 3 штурмового батальйону</t>
  </si>
  <si>
    <t>НАЦИК</t>
  </si>
  <si>
    <t>ЗИМА Євгеній Сергійович</t>
  </si>
  <si>
    <t>ЗИМА</t>
  </si>
  <si>
    <t>командир взводу зв'язку 1 піхотного батальйону</t>
  </si>
  <si>
    <t>ЦЕПА Сергій Олексійович</t>
  </si>
  <si>
    <t>ЦЕПА</t>
  </si>
  <si>
    <t>НАКОНЕЧНИЙ Сергій Васильович</t>
  </si>
  <si>
    <t>АК-74 6261898</t>
  </si>
  <si>
    <t>865EBСD957</t>
  </si>
  <si>
    <t>водій-електрик відділення управління командира батальйону взводу зв'язку 1 піхотного батальйону</t>
  </si>
  <si>
    <t>36 666,67 ₴</t>
  </si>
  <si>
    <t>по пораненню
ПРИБУВ 15.05.26 Дніпро</t>
  </si>
  <si>
    <t>н.п. Шилівка</t>
  </si>
  <si>
    <t>ГОРОВЕНКО Олександр Миколайович</t>
  </si>
  <si>
    <t>ГАПОН Андрій Вікторович</t>
  </si>
  <si>
    <t>Оператор-радіотелефоніст</t>
  </si>
  <si>
    <t>оператор-радіотелефоніст відділення управління штабу батальйону взводу зв'язку 1 піхотного батальйону</t>
  </si>
  <si>
    <t>ТВО кулеметника 1 штурмового відділення 1 штурмового взводу 3 штурмової роти 3 штурмового батальйону</t>
  </si>
  <si>
    <t>АК-74 1664082</t>
  </si>
  <si>
    <t>865EBСD787</t>
  </si>
  <si>
    <t>КОРИТОВ Віктор Павлович</t>
  </si>
  <si>
    <t>790702А</t>
  </si>
  <si>
    <t>ГУГУЄВ Павло Сергійович</t>
  </si>
  <si>
    <t>ТРЕНЕР</t>
  </si>
  <si>
    <t>радіотелефоніст відділення управління штабу батальйону взводу зв'язку 1 піхотного батальйону</t>
  </si>
  <si>
    <t>ПОБЕРЕЖНИЙ Олександр Пантелеймонович</t>
  </si>
  <si>
    <t>АК-74 1707474</t>
  </si>
  <si>
    <t>АНОСОВ Сергій Анатолійович (24.07.1977 р.н.)</t>
  </si>
  <si>
    <t>ЖУК Роман Михайлович</t>
  </si>
  <si>
    <t>БОШ</t>
  </si>
  <si>
    <t>ТВО старшого стрільця - вогнеметника 3 штурмового відділення 1 штурмового взводу 3 штурмової роти 3 штурмового батальйону</t>
  </si>
  <si>
    <t>подала мед.служба 11.06</t>
  </si>
  <si>
    <t>ШЛОМА Дмитро Ігорович</t>
  </si>
  <si>
    <t>ШЛЄМ</t>
  </si>
  <si>
    <t>SAFARI № 003776</t>
  </si>
  <si>
    <t>865EBCJ880</t>
  </si>
  <si>
    <t>МАРШАЛ</t>
  </si>
  <si>
    <t>командир радіовідділення взводу зв'язку 1 піхотного батальйону</t>
  </si>
  <si>
    <t>гранатометник 1 піхотного відділення 2 піхотного взводу 1 піхотної роти 1 піхотного батальйону</t>
  </si>
  <si>
    <t>ЄРЕМЕНКО Микола Дмитрович</t>
  </si>
  <si>
    <t>АВ 755340</t>
  </si>
  <si>
    <t>РОЗНОВЕЦЬ Володимир Сергійович</t>
  </si>
  <si>
    <t>САМСОНОВ Олександр Юрійович</t>
  </si>
  <si>
    <t>ШРЕК</t>
  </si>
  <si>
    <t>САМСОН</t>
  </si>
  <si>
    <t>Водій-лінійний наглядач</t>
  </si>
  <si>
    <t>водій-лінійний наглядач відділення зв'язку взводу зв'язку 1 піхотного батальйону</t>
  </si>
  <si>
    <t>SAFARI № 002942</t>
  </si>
  <si>
    <t>Либідь 52139</t>
  </si>
  <si>
    <t>НАЛІСНИЙ Сергій Іванович</t>
  </si>
  <si>
    <t>ІВАНОВИЧ</t>
  </si>
  <si>
    <t>Телефоніст-лінійний наглядач</t>
  </si>
  <si>
    <t>ЛЕСЬКІВ Володимир Михайлович</t>
  </si>
  <si>
    <t>МОСІЙЧУК Віталій Володимирович</t>
  </si>
  <si>
    <t>30.06.2025</t>
  </si>
  <si>
    <t>телефоніст-лінійний наглядач відділення зв'язку взводу зв'язку 1 піхотного батальйону</t>
  </si>
  <si>
    <t>ФАНТА</t>
  </si>
  <si>
    <t>у в/к є БЗВП
Є БЗВП, Заєць</t>
  </si>
  <si>
    <t>АК-74 №4455723</t>
  </si>
  <si>
    <t>ПШЕНИЧНИЙ Олександр Олександрович</t>
  </si>
  <si>
    <t>Лінійний наглядач</t>
  </si>
  <si>
    <t>ПРИБУВ Полі Б 20.06.2026</t>
  </si>
  <si>
    <t>лінійний наглядач відділення зв'язку взводу зв'язку 1 піхотного батальйону</t>
  </si>
  <si>
    <t>БОГОМАЗ Микола Петрович</t>
  </si>
  <si>
    <t>СТОЛЯР</t>
  </si>
  <si>
    <t>МОРОЗ Андрій Миколайович</t>
  </si>
  <si>
    <t>ДРОН</t>
  </si>
  <si>
    <t>АК-74 №1698441</t>
  </si>
  <si>
    <t>ТВО старшого стрільця - вогнеметника 1 штурмового відділення 1 штурмового взводу 3 штурмової роти 3 штурмового батальйону</t>
  </si>
  <si>
    <t>АГ 128213</t>
  </si>
  <si>
    <t>ТРОЦЕНКО Віктор Володимирович</t>
  </si>
  <si>
    <t>ІВАН</t>
  </si>
  <si>
    <t>ШУНДРІЙ Сергій Семенович</t>
  </si>
  <si>
    <t>ПОДВОЙСЬКИЙ Рустам Асланович</t>
  </si>
  <si>
    <t>АК-74 №1960918</t>
  </si>
  <si>
    <t>головний сержант взводу матеріально-технічного забезпечення 1 піхотного батальйону</t>
  </si>
  <si>
    <t>ЖУДІН Андрій Миколайович</t>
  </si>
  <si>
    <t>ЖУД</t>
  </si>
  <si>
    <t>САВЧЕНКО Віталій Олексійович</t>
  </si>
  <si>
    <t>водій господарчого відділення взводу матеріально-технічного забезпечення 1 піхотного батальйону</t>
  </si>
  <si>
    <t>стрілець-снайпер 2 штурмового відділення 3 штурмового взводу 3 штурмової роти 3 штурмового батальйону</t>
  </si>
  <si>
    <t>АК-74 №1716004</t>
  </si>
  <si>
    <t>865EBE2631</t>
  </si>
  <si>
    <t>КОВАЛЬКОВСЬКИЙ Віталій Богданович</t>
  </si>
  <si>
    <t>КАН Володимир Володимирович</t>
  </si>
  <si>
    <t>ХАН</t>
  </si>
  <si>
    <t>ВІТАЛЬКА</t>
  </si>
  <si>
    <t>командир автомобільного відділення взводу матеріально-технічного забезпечення 1 піхотного батальйону</t>
  </si>
  <si>
    <t>ПРАВДІН Іван Олександрович</t>
  </si>
  <si>
    <t>СОВА</t>
  </si>
  <si>
    <t>ШПОРТЬКО Роман Володимирович</t>
  </si>
  <si>
    <t>РИМ</t>
  </si>
  <si>
    <t>АК-74 1706851</t>
  </si>
  <si>
    <t>командир відділення технічного обслуговування автомобільної техніки взводу матеріально-технічного забезпечення 1 піхотного батальйону</t>
  </si>
  <si>
    <t>БОРДЮК Денис Дмитрович</t>
  </si>
  <si>
    <t>ТВО старшого стрільця - вогнеметника 4 штурмового відділення 1 штурмового взводу 3 штурмової роти 3 штурмового батальйону</t>
  </si>
  <si>
    <t>СЄДОВ Олександр Михайлович</t>
  </si>
  <si>
    <t>БОРМАН</t>
  </si>
  <si>
    <t>ЧІПІК</t>
  </si>
  <si>
    <t>Старший механік</t>
  </si>
  <si>
    <t>старший механік відділення технічного обслуговування автомобільної техніки взводу матеріально-технічного забезпечення 1 піхотного батальйону</t>
  </si>
  <si>
    <t>ЗЛОЙ Святослав Михайлович</t>
  </si>
  <si>
    <t>АК-74 5639842</t>
  </si>
  <si>
    <t>ЗЛОЙ</t>
  </si>
  <si>
    <t>865EBСЕ155
 865EBBC608</t>
  </si>
  <si>
    <t>ФОМІН Євген Васильович</t>
  </si>
  <si>
    <t>ЗАНОЗА</t>
  </si>
  <si>
    <t>Механік</t>
  </si>
  <si>
    <t>механік відділення технічного обслуговування автомобільної техніки взводу матеріально-технічного забезпечення 1 піхотного батальйону</t>
  </si>
  <si>
    <t>Не поданий на курс</t>
  </si>
  <si>
    <t>МІТІНЕНКО Ян Михайлович</t>
  </si>
  <si>
    <t>МІТЯЙ</t>
  </si>
  <si>
    <t>04.07.2025</t>
  </si>
  <si>
    <t>АК-74 4484836</t>
  </si>
  <si>
    <t>КАНАВІН Антон Васильович</t>
  </si>
  <si>
    <t>КАН</t>
  </si>
  <si>
    <t>АГ 008877</t>
  </si>
  <si>
    <t>ТВО стрілець 3 піхотного відділення 3 піхотного взводу 3 піхотної роти піхотного батальйону</t>
  </si>
  <si>
    <t>ЮРЧЕНКО Сергій Вікторович</t>
  </si>
  <si>
    <t>СЕМЕН</t>
  </si>
  <si>
    <t>ТАРАН Вадим Васильович</t>
  </si>
  <si>
    <t>АРСЕНАЛ</t>
  </si>
  <si>
    <t>начальник евакуаційної групи взводу матеріально-технічного забезпечення 1 піхотного батальйону</t>
  </si>
  <si>
    <t>АК-74 6280544</t>
  </si>
  <si>
    <t>РУДЕНКО Олександр Юрійович</t>
  </si>
  <si>
    <t>ТАРЗАН</t>
  </si>
  <si>
    <t>ШАПАРЄВ Олександр Сергійович</t>
  </si>
  <si>
    <t>ЖЕРОМ</t>
  </si>
  <si>
    <t>05.07.2025</t>
  </si>
  <si>
    <t>у анкеті немає в/к, БЗВП?
БЗВП+ від 15.11.2025</t>
  </si>
  <si>
    <t>АК-74 3256451</t>
  </si>
  <si>
    <t>ГЛІБІЧУК Ігор Сергійович</t>
  </si>
  <si>
    <t>БЕРЕЖНИЙ Олег Ігорович</t>
  </si>
  <si>
    <t>ГАР</t>
  </si>
  <si>
    <t>АМІР</t>
  </si>
  <si>
    <t>оператор польової лазні взводу матеріально-технічного забезпечення 1 піхотного батальйону</t>
  </si>
  <si>
    <t>06.07.2025</t>
  </si>
  <si>
    <t>26 000,00 ₴</t>
  </si>
  <si>
    <t>13 333,33 ₴</t>
  </si>
  <si>
    <t>лейтенант медичної служби</t>
  </si>
  <si>
    <t>ПОДОЛЯНЕЦЬ Микита Євгенович</t>
  </si>
  <si>
    <t>НЕВРОЛОГ</t>
  </si>
  <si>
    <t>Начальник медичного пункту</t>
  </si>
  <si>
    <t>начальник медичного пункту 1 піхотного батальйону</t>
  </si>
  <si>
    <t>по пораненню
14.05.2026, Прибув 25.08.2026 після СЗЧ</t>
  </si>
  <si>
    <t>навідник 2 кулеметного відділення кулеметного взводу піхотного батальйону</t>
  </si>
  <si>
    <t>н.п. Завидо-Кудашеве</t>
  </si>
  <si>
    <t>ЛИСАЧОВ Володимир Валерійович</t>
  </si>
  <si>
    <t>ЄВРО</t>
  </si>
  <si>
    <t>Водій-санітар</t>
  </si>
  <si>
    <t>водій-санітар медичного пункту 1 піхотного батальйону</t>
  </si>
  <si>
    <t>40 000,00 ₴</t>
  </si>
  <si>
    <t>МАРШАЛ Юрій Іванович</t>
  </si>
  <si>
    <t>ЮРЕЦ</t>
  </si>
  <si>
    <t>вогнеметник 1 піхотного відділення 2 піхотного взводу 1 піхотної роти 1 піхотного батальйону</t>
  </si>
  <si>
    <t>СВЯТНИЙ Владислав Григорович</t>
  </si>
  <si>
    <t>ЛАСКА</t>
  </si>
  <si>
    <t>Санітар-радіотелефоніст</t>
  </si>
  <si>
    <t>санітар-радіотелефоніст медичного пункту 1 піхотного батальйону</t>
  </si>
  <si>
    <t>ВОСКОБОЙНИК Сергій Вікторович</t>
  </si>
  <si>
    <t>СПЕЦ</t>
  </si>
  <si>
    <t>10 000,00 ₴</t>
  </si>
  <si>
    <t>Є БЗВП, К2</t>
  </si>
  <si>
    <t>ТВО стрілець-помічник гранатометника 2 піхотного відділення 2 піхотного взводу 3 піхотної роти піхотного батальйону</t>
  </si>
  <si>
    <t>САМСОНОВ Янош Геннадійович</t>
  </si>
  <si>
    <t>ТІМОНОВ Вадим Миколайович</t>
  </si>
  <si>
    <t>головний сержант - командир відділення кулеметного взводу 2 піхотної роти 1 піхотного батальйону</t>
  </si>
  <si>
    <t>МЄТЕЛІЦА</t>
  </si>
  <si>
    <t>ДУДЛА Сергій Михайлович</t>
  </si>
  <si>
    <t>старший стрілець - оператор безпілотних літальних апаратів 2 піхотного відділення 2 піхотного взводу 1 піхотної роти 1 піхотного батальйону</t>
  </si>
  <si>
    <t>ДУДКА</t>
  </si>
  <si>
    <t>07.07.2025</t>
  </si>
  <si>
    <t>стрілець-помічник гранатометника 1 піхотного відділення 2 піхотного взводу 3 піхотної роти 1 піхотного батальйону</t>
  </si>
  <si>
    <t>ТПВ №4192</t>
  </si>
  <si>
    <t>На виконанні. РЕБ.</t>
  </si>
  <si>
    <t>ПІВКІН Станіслав Ігорович</t>
  </si>
  <si>
    <t>РОМАНЕНКО Святослав Станіславович</t>
  </si>
  <si>
    <t>СВЯТОЙ</t>
  </si>
  <si>
    <t>ЙОГ</t>
  </si>
  <si>
    <t>ЗАХАРЕНКО Олександр Олексійович</t>
  </si>
  <si>
    <t>ЗАХАР</t>
  </si>
  <si>
    <t>10.07.2025</t>
  </si>
  <si>
    <t>номер обслуги 1 кулеметного відділення кулеметного взводу піхотного батальйону</t>
  </si>
  <si>
    <t>АК-74 6204317</t>
  </si>
  <si>
    <t>СВЯТЕНКО Роман Михайлович</t>
  </si>
  <si>
    <t>МАЛЮК</t>
  </si>
  <si>
    <t>відкоманд</t>
  </si>
  <si>
    <t>до 07.09.26</t>
  </si>
  <si>
    <t>АК-74 1658237</t>
  </si>
  <si>
    <t>865EBBA472</t>
  </si>
  <si>
    <t>РЯЖСЬКИХ Юрій Анатолійович</t>
  </si>
  <si>
    <t>ШЕПЕТ</t>
  </si>
  <si>
    <t xml:space="preserve">ТВО стрілець 1 піхотного відділення 3 піхотного взводу 2 піхотної роти піхотного батальйону
</t>
  </si>
  <si>
    <t>ПОХИЛ Олексій Анатолійович</t>
  </si>
  <si>
    <t>ТРЕТЬЯКОВ Іван Геннадійович</t>
  </si>
  <si>
    <t>МИШУК Маргарита Анатоліївна</t>
  </si>
  <si>
    <t>ПІЛА</t>
  </si>
  <si>
    <t>ЛЬОЛІК</t>
  </si>
  <si>
    <t>АК-74 1712220</t>
  </si>
  <si>
    <t>865EBCKO14</t>
  </si>
  <si>
    <t>ЗВЕЗДІЛІН Михайло Михайлович</t>
  </si>
  <si>
    <t>ЗЕНІТ</t>
  </si>
  <si>
    <t>ЗОРІЧ Денис Мохамадович</t>
  </si>
  <si>
    <t>ХІСОЯМ</t>
  </si>
  <si>
    <t>ЖОЛОБ Василь Миколайович</t>
  </si>
  <si>
    <t>ЖОЛОБ</t>
  </si>
  <si>
    <t>СZ Вгеn2 № J142422</t>
  </si>
  <si>
    <t>865EBE2673</t>
  </si>
  <si>
    <t>Номер обслуги 1 відділення гранатометного взводу піхотного батальйону</t>
  </si>
  <si>
    <t>14.08.2026 після СЗЧ</t>
  </si>
  <si>
    <t>САМУСЕНКО Роман Сергійович</t>
  </si>
  <si>
    <t>ШЕЛЕСТ Володимир Анатолійович</t>
  </si>
  <si>
    <t>ВІКІНГ</t>
  </si>
  <si>
    <t>КУПЕР</t>
  </si>
  <si>
    <t>МАЛИШАК Іван Миколайович</t>
  </si>
  <si>
    <t>командир 3 піхотного відділення 1 піхотного взводу 3 піхотної роти 1 піхотного батальйону</t>
  </si>
  <si>
    <t>МАМАЙ</t>
  </si>
  <si>
    <t>АКС-74У 936735</t>
  </si>
  <si>
    <t>На виконанні. Водій квадроциклу.</t>
  </si>
  <si>
    <t>ВИНОГРАДСЬКИЙ Володимир Андрійович</t>
  </si>
  <si>
    <t>стрілець-помічник гранатометника 2 піхотного відділення 2 піхотного взводу 1 піхотної роти 1 піхотного батальйону</t>
  </si>
  <si>
    <t>ПСИХ</t>
  </si>
  <si>
    <t>командир 3 піхотного взводу 3 піхотної роти 1 піхотного батальйону</t>
  </si>
  <si>
    <t>АГ 010775</t>
  </si>
  <si>
    <t>КУШНАРЬОВ Віталій Борисович</t>
  </si>
  <si>
    <t>КУША</t>
  </si>
  <si>
    <t>ДЕМОРАЦЬКИЙ Ігор Вікторович</t>
  </si>
  <si>
    <t>КРАВЧЕНКО Вʼячеслав Віталійович</t>
  </si>
  <si>
    <t xml:space="preserve">Вибув з МР на полігон Д 02.11.2025 </t>
  </si>
  <si>
    <t>НЕПОСЕДА</t>
  </si>
  <si>
    <t>6242152 (АК-74)</t>
  </si>
  <si>
    <t>командир міномета мінометного взводу 1 піхотного батальйону</t>
  </si>
  <si>
    <t>старший навідник 3 відділення гранатометного взводу піхотного батальйону</t>
  </si>
  <si>
    <t>Распродажа</t>
  </si>
  <si>
    <t>сидить у тюрмі 25.01.2026</t>
  </si>
  <si>
    <t>МОСІЄНКО Станіслав В'ячеславович</t>
  </si>
  <si>
    <t>МАТЮК</t>
  </si>
  <si>
    <t>ДОНЧЕНКО Євгеній Ігорович</t>
  </si>
  <si>
    <t>ПРИТУЛА Андрій Анатолійович</t>
  </si>
  <si>
    <t>АРХІТЕКТОР</t>
  </si>
  <si>
    <t>6295318 (АК-74)</t>
  </si>
  <si>
    <t>командир відділення мінометного взводу 1 піхотного батальйону</t>
  </si>
  <si>
    <t>АНДРІЙЧУК Олександр Анатолійович</t>
  </si>
  <si>
    <t>МІКІ</t>
  </si>
  <si>
    <t>БОГОДИСТ Тарас Володимирович</t>
  </si>
  <si>
    <t>ТАРА</t>
  </si>
  <si>
    <t>ГОРБАТЕНКО Анатолій Анатолійович</t>
  </si>
  <si>
    <t>ВІНІ</t>
  </si>
  <si>
    <t>головний сержант-командир відділення кулеметного взводу 1 піхотного батальйону</t>
  </si>
  <si>
    <t>5637361 (АК-74)</t>
  </si>
  <si>
    <t xml:space="preserve">Вибув з МР на школу сержантів 12.10.2025 </t>
  </si>
  <si>
    <t>865ЕASS809</t>
  </si>
  <si>
    <t>СІРЯЧЕНКО Микола Миколайович</t>
  </si>
  <si>
    <t>УГРЮМИЙ</t>
  </si>
  <si>
    <t>Головний сержант - командир екіпажу безпілотних авіаційних комплексів</t>
  </si>
  <si>
    <t>головний сержант - командир 1 екіпажу перехоплювачів безпілотних літальних апаратів безпілотних авіаційних комплексів взводу перехоплювачів безпілотних літальних апаратів 1 піхотного батальйону</t>
  </si>
  <si>
    <t>14.07.2025</t>
  </si>
  <si>
    <t>МОГИЛЬНИЙ Михайло Євгенович</t>
  </si>
  <si>
    <t>САЙЧЕНКО Степан Олександрович</t>
  </si>
  <si>
    <t>командир відділення радіоелектронної боротьби 1 піхотного батальйону</t>
  </si>
  <si>
    <t>ШТЕФ</t>
  </si>
  <si>
    <t>УВАРОВ Сергій Сергійович (14.12.1987 р.н.)</t>
  </si>
  <si>
    <t>ЛИМАН</t>
  </si>
  <si>
    <t>головний сержант - командир відділення управління командира батальйону взводу зв'язку 1 піхотного батальйону</t>
  </si>
  <si>
    <t>ВАСИЛИШИН Сергій Вікторович</t>
  </si>
  <si>
    <t>МАТРОС</t>
  </si>
  <si>
    <t>ШЕВЧЕНКО Олександр Миколайович</t>
  </si>
  <si>
    <t>ЧУК</t>
  </si>
  <si>
    <t>14.08.2026, після СЗЧ</t>
  </si>
  <si>
    <t>1ПР</t>
  </si>
  <si>
    <t>ЗПТ на лікування</t>
  </si>
  <si>
    <t>ЛЕОНЕНКО Леонід Леонідович</t>
  </si>
  <si>
    <t>РАКЕТА</t>
  </si>
  <si>
    <t>КАПРАН Ян Едуардович</t>
  </si>
  <si>
    <t>КАПРАЛ</t>
  </si>
  <si>
    <t>Кропива сказав з ним акуратно, не застосовувати</t>
  </si>
  <si>
    <t>790037А/641</t>
  </si>
  <si>
    <t>АК 74 1682986</t>
  </si>
  <si>
    <t>865EBC0213</t>
  </si>
  <si>
    <t>ТПВ №4206</t>
  </si>
  <si>
    <t>ЯНКУЛА Вячеслав Васильович</t>
  </si>
  <si>
    <t>ЛАВРИНЕНКО Андрій Михайлович</t>
  </si>
  <si>
    <t>ХРЕБЕТ</t>
  </si>
  <si>
    <t>САПОЖНИК</t>
  </si>
  <si>
    <t>водій 3 піхотного відділення 2 піхотного взводу 1 піхотної роти 1 піхотного батальйону</t>
  </si>
  <si>
    <t>МАЛАХОВ Ігор Іванович</t>
  </si>
  <si>
    <t>ХАСАН</t>
  </si>
  <si>
    <t>СЕРГУНІН Сергій Вячеславович</t>
  </si>
  <si>
    <t>СZ Вгеn2 № J137734</t>
  </si>
  <si>
    <t>ПІНЧУКОВ Олексій Миколайович</t>
  </si>
  <si>
    <t>ВАМПІР</t>
  </si>
  <si>
    <t>ДИКИЙ</t>
  </si>
  <si>
    <t>стрілець-помічник гранатометника 3 піхотного відділення 3 піхотного взводу 1 піхотної роти 1 піхотного батальйону</t>
  </si>
  <si>
    <t>07.06.2026 Чорний ліс</t>
  </si>
  <si>
    <t>РОМАНОВ Роман Володимирович</t>
  </si>
  <si>
    <t>ВОРОНОВ Павло Ігорович</t>
  </si>
  <si>
    <t>ВОРОН</t>
  </si>
  <si>
    <t>СZ Вгеn2 № J132822</t>
  </si>
  <si>
    <t>кулеметник 1 піхотного відділення 1 піхотного взводу 2 піхотної роти 1 піхотного батальйону</t>
  </si>
  <si>
    <t>83 333,33 ₴</t>
  </si>
  <si>
    <t>Закінчення курсу 29.01.2026</t>
  </si>
  <si>
    <t>1 ОТБр</t>
  </si>
  <si>
    <t>ЦИГЕЛЬНИК Анатолій Федорович</t>
  </si>
  <si>
    <t>ОРОБЕЙ Олександр Миколайович</t>
  </si>
  <si>
    <t>ТАЛІБ</t>
  </si>
  <si>
    <t>ШПАК</t>
  </si>
  <si>
    <t>стрілець 1 піхотного відділення 2 піхотного взводу 2 піхотної роти 1 піхотного батальйону</t>
  </si>
  <si>
    <t>2026941 (АК-74)</t>
  </si>
  <si>
    <t>865EBC7017</t>
  </si>
  <si>
    <t>ЧЕРНЯВСЬКИЙ Олександр Анатолійович</t>
  </si>
  <si>
    <t>Резерв полігону Б</t>
  </si>
  <si>
    <t>кулеметник 2 піхотного відділення 1 піхотного взводу 3 піхотної роти 1 піхотного батальйону</t>
  </si>
  <si>
    <t>командир 3 піхотного відділення 2 піхотного взводу 1 піхотної роти 1 піхотного батальйону</t>
  </si>
  <si>
    <t>КОРЖЕНКО Олександр Вікторович</t>
  </si>
  <si>
    <t>КОРЖИК</t>
  </si>
  <si>
    <t>МАЗУР Валерій Павлович</t>
  </si>
  <si>
    <t>СМІРНОВЕЦЬ Володимир Вікторович</t>
  </si>
  <si>
    <t>капітан м/с</t>
  </si>
  <si>
    <t>БАСИСТА Валерія Віталіївна</t>
  </si>
  <si>
    <t>старший стрілець - оператор безпілотних літальних апаратів 1 піхотного відділення 3 піхотного взводу 3 піхотної роти 1 піхотного батальйону</t>
  </si>
  <si>
    <t>2166041 (АК-74)</t>
  </si>
  <si>
    <t>865EASY926</t>
  </si>
  <si>
    <t>БІЛКА</t>
  </si>
  <si>
    <t>53 333,33 ₴</t>
  </si>
  <si>
    <t>Закінчення курсу 11.06.26</t>
  </si>
  <si>
    <t>КРАВЦОВ Валерій Володимирович</t>
  </si>
  <si>
    <t>НІНДЗЯ</t>
  </si>
  <si>
    <t>прибув 26.04.26</t>
  </si>
  <si>
    <t>полон</t>
  </si>
  <si>
    <t>6515824 (АК-74)</t>
  </si>
  <si>
    <t>ЛОБАНОВ Юрій Валерійович</t>
  </si>
  <si>
    <t>ЛОБАН</t>
  </si>
  <si>
    <t>старший стрілець - оператор безпілотних літальних апаратів 3 піхотного відділення 2 піхотного взводу 1 піхотної роти 1 піхотного батальйону</t>
  </si>
  <si>
    <t>МП</t>
  </si>
  <si>
    <t>АГ 104511</t>
  </si>
  <si>
    <t>РЕШЕТНІКОВ Дмитро Анатолійович</t>
  </si>
  <si>
    <t>КОМІН</t>
  </si>
  <si>
    <t>ІОНОВ Олександр Георгійович</t>
  </si>
  <si>
    <t>6924736 (АК-74)</t>
  </si>
  <si>
    <t>Закінчення курсу 01.05.26</t>
  </si>
  <si>
    <t>прибув з МР, привезли Хакер з Філом</t>
  </si>
  <si>
    <t>ЄСЕНІН Сергій Сергійович</t>
  </si>
  <si>
    <t>НОРКА</t>
  </si>
  <si>
    <t>гранатометник 3 піхотного відділення 2 піхотного взводу 1 піхотної роти 1 піхотного батальйону</t>
  </si>
  <si>
    <t>РИБЧИНСЬКИЙ Володимир Володимирович</t>
  </si>
  <si>
    <t>КУЛІК Володимир Ігорович</t>
  </si>
  <si>
    <t>УХО</t>
  </si>
  <si>
    <t>СИНИШИН Аркадій Степанович</t>
  </si>
  <si>
    <t>4308946 (АК-74)</t>
  </si>
  <si>
    <t>АНЖЕЙ</t>
  </si>
  <si>
    <t>КЛІМКО Василь Васильович</t>
  </si>
  <si>
    <t>КЛІМ</t>
  </si>
  <si>
    <t>ПРИБУВ 27.02.26</t>
  </si>
  <si>
    <t>5575494 (АК-74)</t>
  </si>
  <si>
    <t>РУДЬ Олександр Вікторович</t>
  </si>
  <si>
    <t>865EBCJ513</t>
  </si>
  <si>
    <t>МАЛОЙ</t>
  </si>
  <si>
    <t>кулеметник 3 піхотного відділення 2 піхотного взводу 1 піхотної роти 1 піхотного батальйону</t>
  </si>
  <si>
    <t>командир 2 відділення середніх логістично-евакуаційних безпілотних наземних систем взводу логістично-евакуаційних безпілотних наземних систем 1 піхотного батальйону</t>
  </si>
  <si>
    <t>АГ 484613</t>
  </si>
  <si>
    <t>ЛІСЮТІН Микола Олександрович</t>
  </si>
  <si>
    <t>23 333,33 ₴</t>
  </si>
  <si>
    <t>МИХАЛЕЙВСЬКИЙ Сергій Юрійович</t>
  </si>
  <si>
    <t>ФОКС</t>
  </si>
  <si>
    <t>15.07.2025</t>
  </si>
  <si>
    <t>МІНЧЕНКО Олександр Олександрович</t>
  </si>
  <si>
    <t>були зарезервовані, але не розподілені (с) Корсар</t>
  </si>
  <si>
    <t>командир відділення управління штабу батальйону взводу зв'язку 1 піхотного батальйону</t>
  </si>
  <si>
    <t>046878 (АК-74)</t>
  </si>
  <si>
    <t>865ЕВСЕ859</t>
  </si>
  <si>
    <t>ніхуя не ясно куди ділись</t>
  </si>
  <si>
    <t>ПОПОВ Сергій Олександрович (13.08.1982 р.н.)</t>
  </si>
  <si>
    <t>ПЕПЕЛ</t>
  </si>
  <si>
    <t>аналітик</t>
  </si>
  <si>
    <t>ГАЗДОВИЧ Олексій Іванович</t>
  </si>
  <si>
    <t>ДЕСЯТКА</t>
  </si>
  <si>
    <t>стрілець-помічник гранатометника 3 піхотного відділення 2 піхотного взводу 1 піхотної роти 1 піхотного батальйону</t>
  </si>
  <si>
    <t>БИКОВСЬКИЙ Дмитро Євгенович</t>
  </si>
  <si>
    <t>230085 (АК-74)</t>
  </si>
  <si>
    <t>НІМБ</t>
  </si>
  <si>
    <t>Командир відділення-командир екіпажу безпілотних літальних комплексів</t>
  </si>
  <si>
    <t>ЖУГАН Валентин Вікторович</t>
  </si>
  <si>
    <t>АНГЕЛ</t>
  </si>
  <si>
    <t>командир відділення-командир екіпажу безпілотних літальних комплексів 3 відділення безпілотних авіаційних комплексів взводу розвідки та корегування роти безпілотних авіаційних комплексів 1 піхотного батальйону</t>
  </si>
  <si>
    <t>ПИВНЮК Павло Іванович</t>
  </si>
  <si>
    <t>ДЕПУТАТ</t>
  </si>
  <si>
    <t>17.07.2025</t>
  </si>
  <si>
    <t>БЄЖИН Олександр Сергійович</t>
  </si>
  <si>
    <t>БЄЖИН</t>
  </si>
  <si>
    <t>х</t>
  </si>
  <si>
    <t>02.07.26, не повернувся з відпустки за сім.обст</t>
  </si>
  <si>
    <t>АК 74 4488132</t>
  </si>
  <si>
    <t>, який знаходиться у розпорядженні командира військової частини А4862</t>
  </si>
  <si>
    <t>3 333,33 ₴</t>
  </si>
  <si>
    <t>МИРОНОВ Сергій Юрійович</t>
  </si>
  <si>
    <t>МЕЛКИЙ</t>
  </si>
  <si>
    <t>АГ 594762</t>
  </si>
  <si>
    <t>ПАХОМОВ Сергій Олексійович</t>
  </si>
  <si>
    <t>ПАХОМ</t>
  </si>
  <si>
    <t>АК-74 № 1714384</t>
  </si>
  <si>
    <t>ФРАНКО Микола Володимирович</t>
  </si>
  <si>
    <t>МОРГАН</t>
  </si>
  <si>
    <t>гранатометник 3 штурмового відділення 3 штурмового взводу 2 штурмової роти 4 штурмового батальйону</t>
  </si>
  <si>
    <t>НІКОНЕНКО Віталій Анатолійович</t>
  </si>
  <si>
    <t>ПРИБУВ Полі Б 14.06.26</t>
  </si>
  <si>
    <t>ГАРАСИМОВИЧ Ігор Михайлович</t>
  </si>
  <si>
    <t>умер в больнице на лечении</t>
  </si>
  <si>
    <t>ГАРА</t>
  </si>
  <si>
    <t>АК 74 1715346</t>
  </si>
  <si>
    <t>НО 3765688</t>
  </si>
  <si>
    <t>ШЕРЕМЕТ Віктор Вікторович</t>
  </si>
  <si>
    <t>ДЕМИДЕНКО Євген Васильович</t>
  </si>
  <si>
    <t>БАРМАЛЕЙ</t>
  </si>
  <si>
    <t>БУЧ Володимир Вікторович</t>
  </si>
  <si>
    <t>СZ Вгеn2 № J142449</t>
  </si>
  <si>
    <t>865EBC7525</t>
  </si>
  <si>
    <t>ПРИСЯЖНЮК Євгеній Володимирович</t>
  </si>
  <si>
    <t>96 666,67 ₴</t>
  </si>
  <si>
    <t>МАРУСЕНКО Володимир Анатолійович</t>
  </si>
  <si>
    <t>НЕМО</t>
  </si>
  <si>
    <t>ПРОШИН Максим Вікторович</t>
  </si>
  <si>
    <t>СZ Вгеn2 № J137720</t>
  </si>
  <si>
    <t>ПАУЧЕНКО Володимир Олександрович</t>
  </si>
  <si>
    <t>ПАУК</t>
  </si>
  <si>
    <t>НЕ МАЄ</t>
  </si>
  <si>
    <t>РИБАК Олександр Вікторович</t>
  </si>
  <si>
    <t>ШЕВЧУК Іван Дмитрович</t>
  </si>
  <si>
    <t>ЗАБЕЛІН Єгор Михайлович</t>
  </si>
  <si>
    <t>ЕГОРИЧ</t>
  </si>
  <si>
    <t>САВЧЕНКО Георгій Іванович</t>
  </si>
  <si>
    <t>ПОПЕРЕЧНИЙ Дмитро Валерійович</t>
  </si>
  <si>
    <t>ЛУФІ</t>
  </si>
  <si>
    <t>САВІК</t>
  </si>
  <si>
    <t>4418302 (АК-74)</t>
  </si>
  <si>
    <t>старший водій 1 піхотного відділення 2 піхотного взводу 2 піхотної роти 1 піхотного батальйону</t>
  </si>
  <si>
    <t>865EBBA684</t>
  </si>
  <si>
    <t>БЕЗРУКОВ Вадим Миколайович</t>
  </si>
  <si>
    <t>ЧЕРНОВОЛОВ Олександр Анатолійович</t>
  </si>
  <si>
    <t>ТІМАТІ</t>
  </si>
  <si>
    <t>ШУГАНОВ Олег Володимирович</t>
  </si>
  <si>
    <t>ПІХОТИНЕЦЬ</t>
  </si>
  <si>
    <t>6296286 (АК-74)</t>
  </si>
  <si>
    <t>865ЕAKQ018</t>
  </si>
  <si>
    <t>СИТЕНКО Руслан Васильович</t>
  </si>
  <si>
    <t>СОНЯ</t>
  </si>
  <si>
    <t>командир 3 піхотного взводу 1 піхотної роти 1 піхотного батальйону</t>
  </si>
  <si>
    <t>ВОЛОШКО Олександр Миколайович</t>
  </si>
  <si>
    <t>КОНДРАТ</t>
  </si>
  <si>
    <t>СМЕРТЕНЮК Данило Андрійович</t>
  </si>
  <si>
    <t>ЛАПА</t>
  </si>
  <si>
    <t>стрілець-помічник гранатометника 2 піхотного відділення 2 піхотного взводу 3 піхотної роти 1 піхотного батальйону</t>
  </si>
  <si>
    <t>ВЛК потребує тривалого лікування 120 днів</t>
  </si>
  <si>
    <t>КОРНЮШИН Дмитро Миколайович</t>
  </si>
  <si>
    <t>КОРЄНЬ</t>
  </si>
  <si>
    <t>стрілець 3 піхотного відділення 2 піхотного взводу 3 піхотної роти 1 піхотного батальйону</t>
  </si>
  <si>
    <t>ЛІЧМАН Станіслав Ігорович</t>
  </si>
  <si>
    <t>20.07.2025</t>
  </si>
  <si>
    <t>МОРЯЧОК</t>
  </si>
  <si>
    <t>СТРИЖАКОВ Сергій Павлович</t>
  </si>
  <si>
    <t>ПАЛАЧ</t>
  </si>
  <si>
    <t>гранатометник 2 піхотного відділення 3 піхотного взводу 3 піхотної роти 1 піхотного батальйону</t>
  </si>
  <si>
    <t>ГОРБУНОВ Іван Володимирович</t>
  </si>
  <si>
    <t>БАРОН</t>
  </si>
  <si>
    <t>навідник 3 кулеметного відділення кулеметного взводу піхотного батальйону</t>
  </si>
  <si>
    <t>радіотелефоніст 3 піхотного взводу 1 піхотної роти 1 піхотного батальйону</t>
  </si>
  <si>
    <t>АГ 605963</t>
  </si>
  <si>
    <t>ЧЕРНИКОВ Олег Анатолійович</t>
  </si>
  <si>
    <t>ВИШНЕВЕЦЬКИЙ Олександр Володимирович</t>
  </si>
  <si>
    <t>ШПАНЯ</t>
  </si>
  <si>
    <t>прикоманд</t>
  </si>
  <si>
    <t>забрав на навчання Лісник 27.03.2026
Мішн контрол</t>
  </si>
  <si>
    <t>КОНДУФОР Юрій Володимирович</t>
  </si>
  <si>
    <t>КАМАЗ</t>
  </si>
  <si>
    <t>24.07.2025</t>
  </si>
  <si>
    <t>командир 1 піхотного відділення 3 піхотного взводу 1 піхотної роти 1 піхотного батальйону</t>
  </si>
  <si>
    <t>АК-74 № 6301425</t>
  </si>
  <si>
    <t>СІМАКОВ Вячеслав Валерійович</t>
  </si>
  <si>
    <t>865EAQY637</t>
  </si>
  <si>
    <t>Механік-водій</t>
  </si>
  <si>
    <t>механік-водій 2 танкового взводу 1 танкової роти танкового батальйону</t>
  </si>
  <si>
    <t>ГОМОЛЯКО Олександр Миколайович</t>
  </si>
  <si>
    <t>ГОМЕЛЬ</t>
  </si>
  <si>
    <t>ВОРОБЕЙ Микола Анатолійович</t>
  </si>
  <si>
    <t>ФОРМУЛА</t>
  </si>
  <si>
    <t>АВТОБУС</t>
  </si>
  <si>
    <t>АК-74 № 6282754</t>
  </si>
  <si>
    <t>стрілець-помічник гранатометника 3 штурмового відділення 3 штурмового взводу 3 штурмової роти 2 штурмового батальйону</t>
  </si>
  <si>
    <t>БІЛЕЦЬКИЙ В'ячеслав Євгенович</t>
  </si>
  <si>
    <t>БЄЛЯ</t>
  </si>
  <si>
    <t>командир взводу зв'язку 1 батальйону безпілотних систем</t>
  </si>
  <si>
    <t>БАРАННИК Олександр Олексійович</t>
  </si>
  <si>
    <t>САНЬОК</t>
  </si>
  <si>
    <t>ЗБОРІВСЬКИЙ Олег Миколайович</t>
  </si>
  <si>
    <t>ЮРІСТ</t>
  </si>
  <si>
    <t>стрілець 3 штурмового відділення 3 штурмового взводу 2 штурмової роти 3 штурмового батальйону</t>
  </si>
  <si>
    <t>865EBCE059</t>
  </si>
  <si>
    <t>ЄПІФАНОВ Ігор Володимирович</t>
  </si>
  <si>
    <t>ВЕКТОР</t>
  </si>
  <si>
    <t>БЕНЮК Павло Валерійович</t>
  </si>
  <si>
    <t>БЕНЯ</t>
  </si>
  <si>
    <t>БОРЩ Роман Вікторович</t>
  </si>
  <si>
    <t>БЕЛКА</t>
  </si>
  <si>
    <t>АК-74 № 1699988</t>
  </si>
  <si>
    <t>АВ 863830</t>
  </si>
  <si>
    <t>КІХТЄВ Віталій Ігорович</t>
  </si>
  <si>
    <t>ПАРУБЕЦЬ Олексій Володимирович</t>
  </si>
  <si>
    <t>ГАРІК</t>
  </si>
  <si>
    <t>Поїхав у ШКВАЛ</t>
  </si>
  <si>
    <t>АК-74 № 4499404</t>
  </si>
  <si>
    <t>865EBC7019</t>
  </si>
  <si>
    <t>не БГ Філ</t>
  </si>
  <si>
    <t>ПОЧЕБУТ Ігор Віталійович</t>
  </si>
  <si>
    <t>ЧУПА</t>
  </si>
  <si>
    <t>БОБКОВ Антон Андрійович</t>
  </si>
  <si>
    <t>КАХОВКА</t>
  </si>
  <si>
    <t>ЯЦИНА Володимир Володимирович</t>
  </si>
  <si>
    <t>ЯЩЕНКО Юрій Дмитрович</t>
  </si>
  <si>
    <t>ЗУЕВ Микола Володимирович</t>
  </si>
  <si>
    <t>АК-74 № 2041007</t>
  </si>
  <si>
    <t>ФУДЖІ</t>
  </si>
  <si>
    <t>ЗУЙ</t>
  </si>
  <si>
    <t>865ЕВВВ047</t>
  </si>
  <si>
    <t>АЛІЄВ Рустам Рафаелович</t>
  </si>
  <si>
    <t>ЗАГРОДСЬКИЙ Михайло Юрійович</t>
  </si>
  <si>
    <t>АЛІ-ДЖАН</t>
  </si>
  <si>
    <t>ХАЛВА</t>
  </si>
  <si>
    <t>АК-74 № 1714432</t>
  </si>
  <si>
    <t>ОХОРЗІН Віталій Володимирович</t>
  </si>
  <si>
    <t>СТАЛКЕР</t>
  </si>
  <si>
    <t>Пожежний</t>
  </si>
  <si>
    <t>пожежний пожежного взводу</t>
  </si>
  <si>
    <t>кулеметник 1 піхотного відділення 3 піхотного взводу 1 піхотної роти 1 піхотного батальйону</t>
  </si>
  <si>
    <t>АВ 967747</t>
  </si>
  <si>
    <t>СКРИПАК Дмитро Сергійович</t>
  </si>
  <si>
    <t>ТРИЗУБ</t>
  </si>
  <si>
    <t>СЄРИЙ</t>
  </si>
  <si>
    <t>ППД 184НЦ</t>
  </si>
  <si>
    <t>ВЕРТІЄНКО Віктор Миколайович</t>
  </si>
  <si>
    <t>ВЕРТЯЙ</t>
  </si>
  <si>
    <t>АК-74 № 1683511</t>
  </si>
  <si>
    <t>865ЕВСН912</t>
  </si>
  <si>
    <t>НЕМАЄ РАПОРТУ ВИБУТТЯ НА МЕД.РОТУ, 27.02.2026
Повернувся з СЗЧ 13.08.2026
СЗЧ с 28.04.2026</t>
  </si>
  <si>
    <t>старший стрілець - оператор безпілотних літальних апаратів 1 піхотного відділення 3 піхотного взводу 1 піхотної роти піхотного батальйону</t>
  </si>
  <si>
    <t>ПЛІТКА Роман Володимирович</t>
  </si>
  <si>
    <t>стрілець-помічник гранатометника 1 піхотного відділення 3 піхотного взводу 1 піхотної роти 1 піхотного батальйону</t>
  </si>
  <si>
    <t>ПЛІТКА</t>
  </si>
  <si>
    <t>САХНО Микола Олександрович</t>
  </si>
  <si>
    <t>МЕХАН</t>
  </si>
  <si>
    <t>БАЛОГ Федір Федорович</t>
  </si>
  <si>
    <t>СО 598991</t>
  </si>
  <si>
    <t>ЧІБУ</t>
  </si>
  <si>
    <t>АК-74 № 4550935</t>
  </si>
  <si>
    <t>БЛИЗНЮК Сергій Володимирович</t>
  </si>
  <si>
    <t>СУШИН Василь Юрійович</t>
  </si>
  <si>
    <t>ЗАВХОЗ</t>
  </si>
  <si>
    <t>головний сержант - командир відділення пожежного взводу</t>
  </si>
  <si>
    <t>ЧЕСНОКОВ Леонід Сергійович</t>
  </si>
  <si>
    <t>ЧИП</t>
  </si>
  <si>
    <t>ЯКОВЛЄВ Олександр Володимирович</t>
  </si>
  <si>
    <t>ФІНАНСИСТ</t>
  </si>
  <si>
    <t>КОРСАР</t>
  </si>
  <si>
    <t>АК-74 № 1703840</t>
  </si>
  <si>
    <t>вогнеметник 1 штурмового відділення 2 штурмового взводу 1 штурмової роти 1 штурмового батальйону</t>
  </si>
  <si>
    <t>865ЕВВ9398</t>
  </si>
  <si>
    <t>стрілець 1 піхотного відділення 3 піхотного взводу 1 піхотної роти 1 піхотного батальйону</t>
  </si>
  <si>
    <t>АВ 890609</t>
  </si>
  <si>
    <t>ЛИТВИНЕНКО Олег Анатолійович</t>
  </si>
  <si>
    <t>нерв
переведення</t>
  </si>
  <si>
    <t>ВІЦЮК Василь Олександрович</t>
  </si>
  <si>
    <t>гранатометник протитанкового взводу роти вогневої підтримки 4 штурмового батальйону</t>
  </si>
  <si>
    <t>27.07.2025</t>
  </si>
  <si>
    <t>СЬОМИЙ</t>
  </si>
  <si>
    <t>у в/к немає БЗВП
БЗВП+ від 15.11.2025</t>
  </si>
  <si>
    <t>АК-74 № 4418316</t>
  </si>
  <si>
    <t>ЛЕНЬ Олексій Сергійович</t>
  </si>
  <si>
    <t>РЖАВИЙ</t>
  </si>
  <si>
    <t>радіотелефоніст 2 штурмової роти 1 штурмового батальйону</t>
  </si>
  <si>
    <t>НЕХОДА Владислав Миколайович</t>
  </si>
  <si>
    <t>ГУНЬКО Олександр Олександрович</t>
  </si>
  <si>
    <t>НІРВАНА</t>
  </si>
  <si>
    <t>АК-74 № 6313378</t>
  </si>
  <si>
    <t>865EBCE118</t>
  </si>
  <si>
    <t>навідник взводу бойових машин 1 штурмової роти 1 штурмового батальйону</t>
  </si>
  <si>
    <t>ЯРОЩУК Ігор Олександрович</t>
  </si>
  <si>
    <t>ТОКАР</t>
  </si>
  <si>
    <t>АГ 007503</t>
  </si>
  <si>
    <t>ССО</t>
  </si>
  <si>
    <t>водій-електрик відділення управління командира батареї самохідної артилерійської батареї артилерійського дивізіону</t>
  </si>
  <si>
    <t>ПАНКРАТЕНКО Роман Юрійович</t>
  </si>
  <si>
    <t>АК-74 № 6211145</t>
  </si>
  <si>
    <t>по пораненню
прибув після СЗЧ 08.08.2026</t>
  </si>
  <si>
    <t>865EAST301</t>
  </si>
  <si>
    <t>ПУШНІКОВ Денис Олександрович</t>
  </si>
  <si>
    <t>ХУДИЙ</t>
  </si>
  <si>
    <t>номер обслуги 2 артилерійського взводу 2 артилерійської батареї артилерійського дивізіону</t>
  </si>
  <si>
    <t>БОГУН Юрій Петрови</t>
  </si>
  <si>
    <t>ФАЄР</t>
  </si>
  <si>
    <t>28.07.2025</t>
  </si>
  <si>
    <t>БРАЦИЛО Сергій Олександрович</t>
  </si>
  <si>
    <t>ЛІСНИК</t>
  </si>
  <si>
    <t>АК-74 № 2094757</t>
  </si>
  <si>
    <t>865EAST268</t>
  </si>
  <si>
    <t>майстер 2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1 батальйону безпілотних систем</t>
  </si>
  <si>
    <t>ГОРДІЄНКО Сергій Вікторович</t>
  </si>
  <si>
    <t>МИНАЙЛЮК Сергій Григорович</t>
  </si>
  <si>
    <t>ЛЮК</t>
  </si>
  <si>
    <t>оператор 3 відділення радіоелектронної боротьби з безпілотними літальними апаратами взводу радіоелектронної боротьби роти радіоелектронної боротьби</t>
  </si>
  <si>
    <t>АК-74 № 4414045</t>
  </si>
  <si>
    <t>865EBBAA72</t>
  </si>
  <si>
    <t>ЦІМБОТА Сергій Іванович</t>
  </si>
  <si>
    <t>НАЙС</t>
  </si>
  <si>
    <t>Стрілець- помічник гранатометника</t>
  </si>
  <si>
    <t>стрілець - помічник гранатометника 1 відділення охорони 2 взводу охорони роти охорони</t>
  </si>
  <si>
    <t>Старший стрілець-оператор БпЛА</t>
  </si>
  <si>
    <t>ТВЕРДИЙ Вячеслав Андрійович</t>
  </si>
  <si>
    <t>КУХТИК Олександр Миколайович</t>
  </si>
  <si>
    <t>АК-74 № 4417609</t>
  </si>
  <si>
    <t>ШВЕД</t>
  </si>
  <si>
    <t>ТЯГАЙ Руслан Іванович</t>
  </si>
  <si>
    <t>ЧУЯШОВ Сергій Сергійович</t>
  </si>
  <si>
    <t>ШУСТРИЙ</t>
  </si>
  <si>
    <t>ШРУМ</t>
  </si>
  <si>
    <t>гранатометник 1 відділення охорони 2 взводу охорони роти охорони</t>
  </si>
  <si>
    <t>АК-74 № 4457558</t>
  </si>
  <si>
    <t>БУТКОВ Едуард Сергійович</t>
  </si>
  <si>
    <t>БЕС</t>
  </si>
  <si>
    <t>гранатометник 2 відділення охорони 4 взводу охорони роти охорони</t>
  </si>
  <si>
    <t>ШАГОВКА Олександр Васильович</t>
  </si>
  <si>
    <t>КРОК</t>
  </si>
  <si>
    <t>АК-74 № 2018317</t>
  </si>
  <si>
    <t>водій квадроциклу</t>
  </si>
  <si>
    <t>УДОВЕНКО Ігор Олександрович</t>
  </si>
  <si>
    <t>ТЕРМІТ</t>
  </si>
  <si>
    <t>ПІКУШ Сергій Сергійович</t>
  </si>
  <si>
    <t>ПІКУШ</t>
  </si>
  <si>
    <t>БОНДАРЕНКО Євгеній Олексійович</t>
  </si>
  <si>
    <t>ПУПС</t>
  </si>
  <si>
    <t>ЕСАУЛОВ Дмитро Сергійович</t>
  </si>
  <si>
    <t>ЕСІК</t>
  </si>
  <si>
    <t>Стрілець- санітар</t>
  </si>
  <si>
    <t>АГ 561118</t>
  </si>
  <si>
    <t>стрілець - санітар 2 відділення охорони 2 взводу охорони роти охорони</t>
  </si>
  <si>
    <t>ПІДКУЙКО Богдан Олександрович</t>
  </si>
  <si>
    <t>29.07.2025</t>
  </si>
  <si>
    <t>ГНОЙОВИЙ Антон Валерійович</t>
  </si>
  <si>
    <t>ПУТІЛІН Владислав Олександрович</t>
  </si>
  <si>
    <t>ТОНІК</t>
  </si>
  <si>
    <t>водій-електрик комплексу радіоелектронної боротьби з безпілотними літальними апаратами взводу радіоелектронної боротьби роти радіоелектронної боротьби</t>
  </si>
  <si>
    <t>АГ 134868</t>
  </si>
  <si>
    <t>МАЗУР Дмитро Михайлович</t>
  </si>
  <si>
    <t>ВІННИЦЬКИЙ</t>
  </si>
  <si>
    <t>н.п.Садки</t>
  </si>
  <si>
    <t>ГІС Віталій Олександрович</t>
  </si>
  <si>
    <t>КУМСКОВ Роман Віталійович</t>
  </si>
  <si>
    <t>КУМ</t>
  </si>
  <si>
    <t>МАСТЕР</t>
  </si>
  <si>
    <t>30.07.2025</t>
  </si>
  <si>
    <t>стрілець - помічник гранатометника 3 відділення охорони 2 взводу охорони роти охорони</t>
  </si>
  <si>
    <t>АК 74 4280746</t>
  </si>
  <si>
    <t>ПРИБУЛИ З РОЗВІД БАТУ 06.07.2026</t>
  </si>
  <si>
    <t>07.07.2026
не придатний</t>
  </si>
  <si>
    <t>КОВАЛЕНКО Олександр Вікторович</t>
  </si>
  <si>
    <t>КОВАЛЬ</t>
  </si>
  <si>
    <t>водій господарчого відділення взводу матеріального забезпечення 3 штурмового батальйону</t>
  </si>
  <si>
    <t>ФЕНЯК Олег Якович</t>
  </si>
  <si>
    <t>ГУНЯ</t>
  </si>
  <si>
    <t>ГІРІЧЕНКО Ігор Вікторович</t>
  </si>
  <si>
    <t>СЛОН</t>
  </si>
  <si>
    <t>АК 74 4418828</t>
  </si>
  <si>
    <t>кулеметник 3 штурмового відділення 3 штурмового взводу 2 штурмової роти 3 штурмового батальйону</t>
  </si>
  <si>
    <t>АГ 008409</t>
  </si>
  <si>
    <t>101281А</t>
  </si>
  <si>
    <t>АГ 539955</t>
  </si>
  <si>
    <t>СЬОМКІН Олександр Олександрович</t>
  </si>
  <si>
    <t>ТКАЧУК Олександр Володимирович</t>
  </si>
  <si>
    <t>ЛЮТИЙ</t>
  </si>
  <si>
    <t>01.08.2025</t>
  </si>
  <si>
    <t>кулеметник 3 штурмового відділення 1 штурмового взводу 3 штурмової роти 2 штурмового батальйону</t>
  </si>
  <si>
    <t>САКСОНОВ Олексій Анатолійович</t>
  </si>
  <si>
    <t>не поданий
СЗЧ</t>
  </si>
  <si>
    <t>ЗАЯЦ</t>
  </si>
  <si>
    <t>механік-водій 2 розвідувального відділення розвідувального взводу 3 штурмового батальйону</t>
  </si>
  <si>
    <t>ТАШКІНОВ Руслан Олександрович</t>
  </si>
  <si>
    <t>головний сержант - командир відділення кулеметного взводу 2 піхотної роти 2 піхотного батальйону</t>
  </si>
  <si>
    <t>#######</t>
  </si>
  <si>
    <t>НОЧОВНИЙ Владислав Іванович</t>
  </si>
  <si>
    <t>НІЧ</t>
  </si>
  <si>
    <t>кулеметник 3 штурмового відділення 2 штурмового взводу 2 штурмової роти 3 штурмового батальйону</t>
  </si>
  <si>
    <t>МЕЛЬНИК Євгеній Іванович</t>
  </si>
  <si>
    <t>ГРИЦЕНКО Ілля Миколайович</t>
  </si>
  <si>
    <t>КОТЕНКО Віталій Валерійович</t>
  </si>
  <si>
    <t>СВИРИД</t>
  </si>
  <si>
    <t>КОТИК</t>
  </si>
  <si>
    <t>стрілець 2 штурмового відділення 2 штурмового взводу 1 штурмової роти 3 штурмового батальйону</t>
  </si>
  <si>
    <t>ВМТЗ</t>
  </si>
  <si>
    <t>НАГОРНИЙ Віталій Миколайович</t>
  </si>
  <si>
    <t>ЖИД</t>
  </si>
  <si>
    <t>навідник кулеметного взводу 1 піхотної роти 3 піхотного батальйону</t>
  </si>
  <si>
    <t>02.08.2025</t>
  </si>
  <si>
    <t>ЗАСТАВЕНКО Андрій Олександрович</t>
  </si>
  <si>
    <t>ЗАСТАВА</t>
  </si>
  <si>
    <t>водій 3 штурмової роти 2 штурмового батальйону</t>
  </si>
  <si>
    <t>стрілець-номер обслуги 2 штурмового відділення 2 штурмового взводу 1 штурмової роти 3 штурмового батальйону</t>
  </si>
  <si>
    <t>МІНДЬО Василь Васильович</t>
  </si>
  <si>
    <t>Motorola R7a 865ЕАSS778
 Либідь К1А 511TZVE016</t>
  </si>
  <si>
    <t>ГАЛАЙДА Олександр Сергійович</t>
  </si>
  <si>
    <t>ЕФІОП</t>
  </si>
  <si>
    <t>МІНДЬО</t>
  </si>
  <si>
    <t>головний сержант взводу логістично-евакуаційних безпілотних наземних систем 2 піхотного батальйону</t>
  </si>
  <si>
    <t>ТВЕРЕЗОВСЬКИЙ Сергій Олександрович</t>
  </si>
  <si>
    <t>ЯХОНТОВ Андрій Олександрович</t>
  </si>
  <si>
    <t>оператор безпілотних літальних апаратів відділення безпілотних авіаційних комплексів 3 штурмової роти 4 штурмового батальйону</t>
  </si>
  <si>
    <t>по пораненню
БР 1585 від 25.11.25</t>
  </si>
  <si>
    <t>АК-74 № 1663225</t>
  </si>
  <si>
    <t>865EBBDJ97</t>
  </si>
  <si>
    <t>АВ 967929</t>
  </si>
  <si>
    <t>ПЕРЕСАДА Віталій Андрійович</t>
  </si>
  <si>
    <t>КЕНТОС</t>
  </si>
  <si>
    <t>АГ 010322</t>
  </si>
  <si>
    <t>водій 3 мінометного взводу мінометної батареї 2 штурмового батальйону</t>
  </si>
  <si>
    <t>ЧУМАК Юрій Васильович</t>
  </si>
  <si>
    <t>СОКОЛОВ Денис Юрійович</t>
  </si>
  <si>
    <t>ШУЛЬГА</t>
  </si>
  <si>
    <t>ГУАРД</t>
  </si>
  <si>
    <t>09.07.2026
Відновлення</t>
  </si>
  <si>
    <t>АК-74 № 1660607</t>
  </si>
  <si>
    <t>ЛЕНЧИК Сергій Володимирович</t>
  </si>
  <si>
    <t>УСТИМЕНКО Олександр Володимирович</t>
  </si>
  <si>
    <t>РИБА</t>
  </si>
  <si>
    <t>АЗАРОВ Михайло Вікторович</t>
  </si>
  <si>
    <t>АЗА</t>
  </si>
  <si>
    <t>АК-74 № 1714506</t>
  </si>
  <si>
    <t>865EDDD787</t>
  </si>
  <si>
    <t>ПОЛК</t>
  </si>
  <si>
    <t>КОВАЛЕНКО Сергій Васильович</t>
  </si>
  <si>
    <t>в ЦВС ПОЛК</t>
  </si>
  <si>
    <t>ПИСАРЬ</t>
  </si>
  <si>
    <t>Командир відділення - командир машини</t>
  </si>
  <si>
    <t>командир 3 штурмового відділення - командир машини 2 штурмового взводу 1 штурмової роти 3 штурмового батальйону</t>
  </si>
  <si>
    <t>БОРТНІК Сергій Йосипович</t>
  </si>
  <si>
    <t>ХМІЛЬ</t>
  </si>
  <si>
    <t>МАРСАВІН Віталій Віталійович</t>
  </si>
  <si>
    <t>ХВОСТІКОВ Ігор Олександрович</t>
  </si>
  <si>
    <t>МАРС</t>
  </si>
  <si>
    <t>ХВІСТ</t>
  </si>
  <si>
    <t>АК-74 № 4488742</t>
  </si>
  <si>
    <t>ЧЕРКАСОВ Сергій Юрійович</t>
  </si>
  <si>
    <t>Стрілець-санітар</t>
  </si>
  <si>
    <t>стрілець-санітар 1 штурмового відділення 2 штурмового взводу 1 штурмової роти 1 штурмового батальйону</t>
  </si>
  <si>
    <t>ЧЕРКЕС</t>
  </si>
  <si>
    <t>ПОВТОРЕЙКО Микола Володимирович</t>
  </si>
  <si>
    <t>КОБРА</t>
  </si>
  <si>
    <t>КОСЕНКО Сергій Вікторович</t>
  </si>
  <si>
    <t>КАБАН</t>
  </si>
  <si>
    <t>Марксмен</t>
  </si>
  <si>
    <t>марксмен 3 штурмового відділення 1 штурмового взводу 1 штурмової роти 2 штурмового батальйону</t>
  </si>
  <si>
    <t>АК-74 № 6190559</t>
  </si>
  <si>
    <t>стрілець 2 піхотного відділення 3 піхотного взводу 1 піхотної роти 1 піхотного батальйону</t>
  </si>
  <si>
    <t>865EBCD787</t>
  </si>
  <si>
    <t>нерв переведення</t>
  </si>
  <si>
    <t>НІКОЛАЙЧУК Володимир Олександрович</t>
  </si>
  <si>
    <t>ГАДАЧ Андрій Ігорович</t>
  </si>
  <si>
    <t>ТВО стрільця 3 штурмового відділення 1 штурмового взводу 3 штурмової роти 3 штурмового батальйону</t>
  </si>
  <si>
    <t>ВИШНЯ</t>
  </si>
  <si>
    <t>вогнеметник 3 штурмового відділення 2 штурмового взводу 3 штурмової роти 4 штурмового батальйону</t>
  </si>
  <si>
    <t>САВЕЛЬЄВ Віталій Володимирович</t>
  </si>
  <si>
    <t>САВА</t>
  </si>
  <si>
    <t>ЛЕМІШКО Микола Сергійович</t>
  </si>
  <si>
    <t>ХАРАЩУК Антон Валентинович</t>
  </si>
  <si>
    <t>МЕТЕЛИК</t>
  </si>
  <si>
    <t>АК-74 № 6285126</t>
  </si>
  <si>
    <t>Полігон Б	01.07.2026</t>
  </si>
  <si>
    <t>водій відділення зберігання та обслуговування взводу обслуговування та застосування засобів радіоелектронної боротьби ближньої дії роти радіоелектронної боротьби</t>
  </si>
  <si>
    <t>ІЗЮМ</t>
  </si>
  <si>
    <t>МЕДВЕДСЬКИЙ Дмитро Олексійович</t>
  </si>
  <si>
    <t>СЕМИНІХІН Максим Миколайович</t>
  </si>
  <si>
    <t>МЕД</t>
  </si>
  <si>
    <t>вогнеметник 2 штурмового відділення 1 штурмового взводу 3 штурмової роти 2 штурмового батальйону</t>
  </si>
  <si>
    <t>АГ 368098</t>
  </si>
  <si>
    <t>АК-74 № 1674699</t>
  </si>
  <si>
    <t>ПІДГІРНИЙ Сергій Сергійович</t>
  </si>
  <si>
    <t>865EBCJ699</t>
  </si>
  <si>
    <t>ПЕТРУНЬ Микола Васильович</t>
  </si>
  <si>
    <t>ШЕЛДОН</t>
  </si>
  <si>
    <t>номер обслуги 3 мінометного взводу мінометної батареї 2 штурмового батальйону</t>
  </si>
  <si>
    <t>н.п. Садки</t>
  </si>
  <si>
    <t>МЕРЗЛИКІН Олександр Олександрович</t>
  </si>
  <si>
    <t>кулеметник 2 штурмового відділення 1 штурмового взводу 3 штурмової роти 3 штурмового батальйону</t>
  </si>
  <si>
    <t>АЗАМАН Сергій Андрійович</t>
  </si>
  <si>
    <t>МАН</t>
  </si>
  <si>
    <t>Дешифрувальник розвідувальних матеріалів з безпілотних літальних апаратів</t>
  </si>
  <si>
    <t>ГРУШКО Олександр Аркадійович</t>
  </si>
  <si>
    <t>дешифрувальник розвідувальних матеріалів з безпілотних літальних апаратів 1 відділення безпілотних авіаційних комплексів взводу розвідки та корегування роти безпілотних авіаційних комплексів 2 штурмового батальйону</t>
  </si>
  <si>
    <t>СЗЧ от 13, 19.03.2026</t>
  </si>
  <si>
    <t>до 25.08.2026</t>
  </si>
  <si>
    <t>БОГДАНОВ Вячеслав Вікторович</t>
  </si>
  <si>
    <t>СЛАВА</t>
  </si>
  <si>
    <t>Старший механік-водій</t>
  </si>
  <si>
    <t>старший механік-водій взводу бойових машин 3 штурмової роти 1 штурмового батальйону</t>
  </si>
  <si>
    <t>АРУШАНЯН Норайр Рубенович</t>
  </si>
  <si>
    <t>АРА</t>
  </si>
  <si>
    <t>до 19.01.2026</t>
  </si>
  <si>
    <t>ГАЛАМАГА Вадим Юрійович</t>
  </si>
  <si>
    <t>ЧУДІК</t>
  </si>
  <si>
    <t>Стрілець-номер обслуги</t>
  </si>
  <si>
    <t>стрілець-номер обслуги 2 штурмового відділення 3 штурмового взводу 2 штурмової роти 3 штурмового батальйону</t>
  </si>
  <si>
    <t>КІСЕЛЬОВ Олексій Сергійович</t>
  </si>
  <si>
    <t>КОЛЕСНІКОВ Роман Климович</t>
  </si>
  <si>
    <t>РОМАШКА</t>
  </si>
  <si>
    <t>водій 3 піхотного відділення 1 піхотного взводу 1 піхотної роти 2 піхотного батальйону</t>
  </si>
  <si>
    <t>на КСП 22.08.2026</t>
  </si>
  <si>
    <t>АК-74 № 2100067</t>
  </si>
  <si>
    <t>вогнеметник 2 піхотного відділення 3 піхотного взводу 1 піхотної роти 1 піхотного батальйону</t>
  </si>
  <si>
    <t>АВ 881743</t>
  </si>
  <si>
    <t>головний сержант 1 штурмового взводу 1 штурмової роти 2 штурмового батальйону</t>
  </si>
  <si>
    <t>СМОКВИНА Іван В'ячеславович</t>
  </si>
  <si>
    <t>ТІПТОП</t>
  </si>
  <si>
    <t>ТЕЛИХ Миколай Миколайович</t>
  </si>
  <si>
    <t>СЛАСТІН Сергій Сергійович</t>
  </si>
  <si>
    <t>БАРА</t>
  </si>
  <si>
    <t>ГОЛОКТІОНОВ Роман Сергійович</t>
  </si>
  <si>
    <t>кулеметник 1 штурмового відділення 4 штурмового взводу 1 штурмової роти 3 штурмового батальйону</t>
  </si>
  <si>
    <t>АК-74 №208535</t>
  </si>
  <si>
    <t>865EBC7195</t>
  </si>
  <si>
    <t>ПРИБУЛИ 07.06.2026 З 3ПБ</t>
  </si>
  <si>
    <t>08.06.2026
до 30.08.2026</t>
  </si>
  <si>
    <t>СМОТРЕНКО Олександр Сергійович</t>
  </si>
  <si>
    <t>КРАБ</t>
  </si>
  <si>
    <t>30.12.2025 відвіз Філ, по вказівці Соло</t>
  </si>
  <si>
    <t>кулеметник 3 штурмового відділення 3 штурмового взводу 3 штурмової роти 2 штурмового батальйону</t>
  </si>
  <si>
    <t>ГАРМАШ Олександр Григорович</t>
  </si>
  <si>
    <t>ГОР</t>
  </si>
  <si>
    <t>Мінометний взвод</t>
  </si>
  <si>
    <t>3 мінометне відділення</t>
  </si>
  <si>
    <t>143533А</t>
  </si>
  <si>
    <t>СО 083032</t>
  </si>
  <si>
    <t>ІОКЮЩУ Вячеслав Михайлович</t>
  </si>
  <si>
    <t>ГАГАУЗ</t>
  </si>
  <si>
    <t>СІЛКОВСЬКИЙ Володимир Ярославович</t>
  </si>
  <si>
    <t>старший стрілець - оператор безпілотних літальних апаратів 1 піхотного відділення 1 піхотного взводу 2 піхотної роти 2 піхотного батальйону</t>
  </si>
  <si>
    <t>АК-74 №6193213</t>
  </si>
  <si>
    <t>СОРОКОПУД Данило Андрійович</t>
  </si>
  <si>
    <t>ВОВА</t>
  </si>
  <si>
    <t>стрілець-санітар 3 штурмового відділення 1 штурмового взводу 1 штурмової роти 1 штурмового батальйону</t>
  </si>
  <si>
    <t>ШАТАЛОВ Ігор Миколайович</t>
  </si>
  <si>
    <t>СУХОВ Андрій Володимирович</t>
  </si>
  <si>
    <t>СУХІЧ</t>
  </si>
  <si>
    <t>АК-74 №1870895</t>
  </si>
  <si>
    <t>стрілець-номер обслуги 1 штурмового відділення 3 штурмового взводу 1 штурмової роти 2 штурмового батальйону</t>
  </si>
  <si>
    <t>1 кулеметне відділення</t>
  </si>
  <si>
    <t>ДЮЖИКОВ Роман Михайлович</t>
  </si>
  <si>
    <t>ДАВИДЕНКО Олексій Олексійович</t>
  </si>
  <si>
    <t>БАДИКА Павло Олександрович</t>
  </si>
  <si>
    <t>ДАВА</t>
  </si>
  <si>
    <t>ПАХА</t>
  </si>
  <si>
    <t>АГ 382497</t>
  </si>
  <si>
    <t>ВОРОНКОВ Ларіон Олександрович</t>
  </si>
  <si>
    <t>АК-74 №4450266</t>
  </si>
  <si>
    <t>865EASS740</t>
  </si>
  <si>
    <t>ФЕДОРОВ Артем Віталійович</t>
  </si>
  <si>
    <t>ТЬОМИЧ</t>
  </si>
  <si>
    <t>гранатометник 3 піхотного відділення 3 піхотного взводу 1 піхотної роти 1 піхотного батальйону</t>
  </si>
  <si>
    <t>ДАНИЛЮК Дмитро Миколайович</t>
  </si>
  <si>
    <t>ЛЕОН</t>
  </si>
  <si>
    <t xml:space="preserve">КОЗАЧОК Олександр Володимирович </t>
  </si>
  <si>
    <t>ДЖИН</t>
  </si>
  <si>
    <t>ЖУРАВЕЛЬ Олег Юрійович</t>
  </si>
  <si>
    <t>АПТЕКАР</t>
  </si>
  <si>
    <t>АК-74 №2120322</t>
  </si>
  <si>
    <t>механік 4 взводу перехоплювачів безпілотних літальних апаратів зенітної батареї</t>
  </si>
  <si>
    <t>865EBCD891</t>
  </si>
  <si>
    <t>ХАРЧЕНКО Роман Сергійович</t>
  </si>
  <si>
    <t>Петрашевський Сергій Михайлович</t>
  </si>
  <si>
    <t>ШИШКОВ Андрій Іванович</t>
  </si>
  <si>
    <t>ПЕТРУХА</t>
  </si>
  <si>
    <t>МІЛАН</t>
  </si>
  <si>
    <t>старший стрілець-оператор безпілотних літальних апаратів 3 штурмового відділення 3 штурмового взводу 3 штурмової роти 4 штурмового батальйону</t>
  </si>
  <si>
    <t>ЗВ'ЯЗОК</t>
  </si>
  <si>
    <t>АК-74 №2113787</t>
  </si>
  <si>
    <t>865EASY844</t>
  </si>
  <si>
    <t>прибув після СЗЧ 08.08.2026</t>
  </si>
  <si>
    <t>может єлектриком</t>
  </si>
  <si>
    <t>МЕРЗЛИКІН Іван Володимирович</t>
  </si>
  <si>
    <t>водій 1 відділення корегування артилерійського вогню взводу корегування артилерійського вогню батареї артилерійської розвідки</t>
  </si>
  <si>
    <t>31.12.2025
подала медична рота</t>
  </si>
  <si>
    <t>Савчук Роман Вікторович</t>
  </si>
  <si>
    <t>ХАРЬКОВ</t>
  </si>
  <si>
    <t>6 000,00 ₴</t>
  </si>
  <si>
    <t>АК-74 №1712335</t>
  </si>
  <si>
    <t>МЕТКИЙ Олександр Володимирович</t>
  </si>
  <si>
    <t>позаштат</t>
  </si>
  <si>
    <t>865EAPK338</t>
  </si>
  <si>
    <t>ВАСЕНКО Володимир Анатолійович</t>
  </si>
  <si>
    <t>ТРАКТ</t>
  </si>
  <si>
    <t>стрілець 1 піхотного відділення 2 піхотного взводу 1 піхотної роти 2 піхотного батальйону</t>
  </si>
  <si>
    <t>АЛЬОХІН Олег Михайлович</t>
  </si>
  <si>
    <t>Стрілець - номер обслуги</t>
  </si>
  <si>
    <t>стрілець-номер обслуги 2 штурмового відділення 2 штурмового взводу 1 штурмової роти 4 штурмового батальйону</t>
  </si>
  <si>
    <t>ІНЖЕНЕР</t>
  </si>
  <si>
    <t>ПОРТЯНЧЕНКО Олексій Сергійович</t>
  </si>
  <si>
    <t>ТЕХНІК</t>
  </si>
  <si>
    <t>командир 1 взводу ударних безпілотних авіаційних комплексів 2 роти ударних безпілотних авіаційних комплексів 2 батальйону безпілотних систем</t>
  </si>
  <si>
    <t>ПІСКУН Євген Михайлович</t>
  </si>
  <si>
    <t>ПРОРАБ</t>
  </si>
  <si>
    <t>УЛАНОВСЬКИЙ Микола Анатолійович</t>
  </si>
  <si>
    <t>СОЧІ</t>
  </si>
  <si>
    <t>Шляхов Олександр Юрійович</t>
  </si>
  <si>
    <t>ПЕТРОВИЧ Євгеній Андрійович</t>
  </si>
  <si>
    <t>МІРІНДА</t>
  </si>
  <si>
    <t>стрілець-номер обслуги 1 штурмового відділення 4 штурмового взводу 3 штурмової роти 3 штурмового батальйону</t>
  </si>
  <si>
    <t>ГАПОНЕНКО Руслан Миколайович</t>
  </si>
  <si>
    <t>РУБІН</t>
  </si>
  <si>
    <t>ШКУРАТ Дмитро Михайлович</t>
  </si>
  <si>
    <t>ДИМ</t>
  </si>
  <si>
    <t>охуенно миє посуд (Шеф)</t>
  </si>
  <si>
    <t>ГОЛУБЕНКО Юрій Валерійович</t>
  </si>
  <si>
    <t>СІГМАЧ</t>
  </si>
  <si>
    <t>гранатометник 1 штурмового відділення 3 штурмового взводу 2 штурмової роти 1 штурмового батальйону</t>
  </si>
  <si>
    <t>смерть, Кубік, 04.01</t>
  </si>
  <si>
    <t>ШЕВЧЕНКО Олександр Володимирович</t>
  </si>
  <si>
    <t>МОТО</t>
  </si>
  <si>
    <t>АК-74 №265175</t>
  </si>
  <si>
    <t>КИСЕЛЕВСЬКИЙ Дмитро Валерійович</t>
  </si>
  <si>
    <t>СІВИЧ</t>
  </si>
  <si>
    <t>номер обслуги 3 мінометного взводу мінометної батареї 1 штурмового батальйону</t>
  </si>
  <si>
    <t>АГ 348937</t>
  </si>
  <si>
    <t>Ярош Ігор Вікторович</t>
  </si>
  <si>
    <t>КУРІННИЙ Михайло Сергійович</t>
  </si>
  <si>
    <t>СИЧ</t>
  </si>
  <si>
    <t>МИХАЙЛЕНКО Олександр Ігорович</t>
  </si>
  <si>
    <t>ШЕДОУ</t>
  </si>
  <si>
    <t>заступник командира роти безпілотних авіаційних комплексів штурмового спеціалізованого батальйону (ШКВАЛ) з психологічної підтримки персоналу</t>
  </si>
  <si>
    <t>АК-74 №2481951</t>
  </si>
  <si>
    <t>ФАРФОР</t>
  </si>
  <si>
    <t>ЧУБАРОВ Максим Євгенович</t>
  </si>
  <si>
    <t>СВЄТОФОР</t>
  </si>
  <si>
    <t>офіцер групи планування штабу 3 піхотного батальйону</t>
  </si>
  <si>
    <t>Лозовицький Олександр Сергійович</t>
  </si>
  <si>
    <t>САЗАН</t>
  </si>
  <si>
    <t>ЛИТОВЧЕНКО Валерій Олександрович</t>
  </si>
  <si>
    <t>ПРОТАС</t>
  </si>
  <si>
    <t>заступник командира роти безпілотних авіаційних комплексів з психологічної підтримки персоналу 3 штурмового батальйону</t>
  </si>
  <si>
    <t>865EASS734</t>
  </si>
  <si>
    <t>КАПУСТА Євгеній Володимирович</t>
  </si>
  <si>
    <t>ЖЕЗЯ</t>
  </si>
  <si>
    <t>2ШБ</t>
  </si>
  <si>
    <t>СЕРГІЄНКО Фелікс Миколайович</t>
  </si>
  <si>
    <t>Дуда Валерій Володимирович</t>
  </si>
  <si>
    <t>ДУДА</t>
  </si>
  <si>
    <t>КШЕВИНСЬКИЙ Сергій Володимирович</t>
  </si>
  <si>
    <t>ГУГЛ</t>
  </si>
  <si>
    <t>Командир взводу - старший офіцер на батареї</t>
  </si>
  <si>
    <t>командир 1 мінометного взводу - старший офіцер на батареї мінометної батареї 4 штурмового батальйону</t>
  </si>
  <si>
    <t>АК-74 №2020530</t>
  </si>
  <si>
    <t>865EAST218</t>
  </si>
  <si>
    <t>САВЧЕНКО Микола Дмитрович</t>
  </si>
  <si>
    <t>розвідник 3 відділення інженерної розвідки взводу інженерної розвідки батальйону підтримки</t>
  </si>
  <si>
    <t>ПАНКОВ Павло Володимирович</t>
  </si>
  <si>
    <t>перебор</t>
  </si>
  <si>
    <t>###########</t>
  </si>
  <si>
    <t>помилка</t>
  </si>
  <si>
    <t>Гарельченков Валерій Володимирович</t>
  </si>
  <si>
    <t>БАЛАБАНІЦЬ Дмитро Володимирович</t>
  </si>
  <si>
    <t>ТРОЙ</t>
  </si>
  <si>
    <t>РУДИЙ</t>
  </si>
  <si>
    <t>КАРЛОС</t>
  </si>
  <si>
    <t>Заступник командира роти з озброєння</t>
  </si>
  <si>
    <t>заступник командира роти вогневої підтримки з озброєння 4 штурмового батальйону</t>
  </si>
  <si>
    <t>АК-74 №2213922</t>
  </si>
  <si>
    <t>865EBE2832</t>
  </si>
  <si>
    <t>БИЧЕНКО Олександр Сергійович</t>
  </si>
  <si>
    <t>БУЛЛ</t>
  </si>
  <si>
    <t>АГ 010086</t>
  </si>
  <si>
    <t>МІЩЕНКО Юрій Федорович</t>
  </si>
  <si>
    <t>ДОКА</t>
  </si>
  <si>
    <t>Бойко Анатолій Олегович</t>
  </si>
  <si>
    <t>командир взводу 121 запасної роти</t>
  </si>
  <si>
    <t>БОЙКО</t>
  </si>
  <si>
    <t>АГ 467470</t>
  </si>
  <si>
    <t>ПІВНЕНКО Микола Миколайович</t>
  </si>
  <si>
    <t>БАБЕНКО Євгеній Олександрович</t>
  </si>
  <si>
    <t>АК-74 №1853536</t>
  </si>
  <si>
    <t>командир 1 взводу безпілотних авіаційних комплексів роти безпілотних авіаційних комплексів розвідувального батальйону</t>
  </si>
  <si>
    <t>БАБЕН</t>
  </si>
  <si>
    <t>Сєрік Сергій Олександрович</t>
  </si>
  <si>
    <t>ХАВРЕНКО Володимир Миколайович</t>
  </si>
  <si>
    <t>Водій-слюсар</t>
  </si>
  <si>
    <t>водій-слюсар ремонтного відділення бронетанкової техніки взводу технічного забезпечення 4 штурмового батальйону</t>
  </si>
  <si>
    <t>Закінчення курсу 06.01.26</t>
  </si>
  <si>
    <t>АК-74 №1848111</t>
  </si>
  <si>
    <t>865EAST139</t>
  </si>
  <si>
    <t>ЦМОКАЛЕНКО Руслан Віталійович</t>
  </si>
  <si>
    <t>ХРАПУН</t>
  </si>
  <si>
    <t>прибув після СЗЧ 06.08.2026</t>
  </si>
  <si>
    <t>радіотелефоніст роти протитанкових ракетних комплексів</t>
  </si>
  <si>
    <t>24.04.2026
до 09.09.2026</t>
  </si>
  <si>
    <t>АГ 107926</t>
  </si>
  <si>
    <t>КАТАЄВ Олександр Олександрович</t>
  </si>
  <si>
    <t>Грищук Віктор Миколайович</t>
  </si>
  <si>
    <t>ГРІНЧ</t>
  </si>
  <si>
    <t>ЧИСТЯКОВ Антон Олегович</t>
  </si>
  <si>
    <t>ДЖОРДАН</t>
  </si>
  <si>
    <t>інструктор групи інструкторів</t>
  </si>
  <si>
    <t>АК-74 №2210235</t>
  </si>
  <si>
    <t>МАКАРОВ Владислав Олександрович</t>
  </si>
  <si>
    <t>МАКАР</t>
  </si>
  <si>
    <t>водій-електрик радіолокаційної станції взводу перехоплювачів безпілотних літальних апаратів 2 піхотного батальйону</t>
  </si>
  <si>
    <t>Богдан Євгеній Олександрович</t>
  </si>
  <si>
    <t>ХЕРСОН</t>
  </si>
  <si>
    <t>ВІТКОВСЬКИЙ Віталій Вікторович</t>
  </si>
  <si>
    <t>зарахованого до тимчасово прибулого особового складу військової частини А4862</t>
  </si>
  <si>
    <t>АК-74 №4419336</t>
  </si>
  <si>
    <t>865EBCJ639</t>
  </si>
  <si>
    <t>ПОБЕРЕЖНИК Олександр Олександрович</t>
  </si>
  <si>
    <t>командир 2 взводу безпілотних авіаційних комплексів роти безпілотних авіаційних комплексів 2 батальйону безпілотних систем</t>
  </si>
  <si>
    <t>різноробочий у 13</t>
  </si>
  <si>
    <t>РУССУ Роман Сергійович</t>
  </si>
  <si>
    <t>Лесюк Віталій Васильович</t>
  </si>
  <si>
    <t>РАМЗЕС</t>
  </si>
  <si>
    <t>навідник кулеметного взводу 3 штурмової спеціалізованої роти штурмового спеціалізованого батальйону (ШКВАЛ)</t>
  </si>
  <si>
    <t>АК-74 №207322</t>
  </si>
  <si>
    <t>ГАВРИЛЕНКО Арсен Васильович</t>
  </si>
  <si>
    <t>МОЛЬФАР</t>
  </si>
  <si>
    <t>Стрілець - помічник гранатометника</t>
  </si>
  <si>
    <t>стрілець-помічник гранатометника 2 штурмового відділення 2 штурмового взводу 3 штурмової роти 1 штурмового батальйону</t>
  </si>
  <si>
    <t>Лобовіков Андрій Іванович</t>
  </si>
  <si>
    <t>ЛОБ</t>
  </si>
  <si>
    <t>ЛАГУН Олександр Олександрович</t>
  </si>
  <si>
    <t>АК-74 №1685194</t>
  </si>
  <si>
    <t>мехвод М1117</t>
  </si>
  <si>
    <t>САЙМОН</t>
  </si>
  <si>
    <t>Безрук Роман Олександрович</t>
  </si>
  <si>
    <t>ПАНАМА</t>
  </si>
  <si>
    <t>УН 1203970</t>
  </si>
  <si>
    <t>АК-74 №260227</t>
  </si>
  <si>
    <t>ЗАВАЛЕЦЬКИЙ Костянтин Михайлович</t>
  </si>
  <si>
    <t>ЛІВША</t>
  </si>
  <si>
    <t>ДОВЖАНИН Богдан Бертійович</t>
  </si>
  <si>
    <t>УЮТНОВ Сергій Євгенович</t>
  </si>
  <si>
    <t>БАНДЕРА</t>
  </si>
  <si>
    <t>АК-74 №2095281</t>
  </si>
  <si>
    <t>БІГУН</t>
  </si>
  <si>
    <t>865EBCD998</t>
  </si>
  <si>
    <t>по пораненню
з лікування 24.08.2026</t>
  </si>
  <si>
    <t>АГ 009499</t>
  </si>
  <si>
    <t>Краснощок Сергій Вікторович</t>
  </si>
  <si>
    <t>ЛОБУАКА Моніаму Филлип</t>
  </si>
  <si>
    <t>КІНГ</t>
  </si>
  <si>
    <t>командир кулеметного взводу 1 піхотної роти 1 піхотного батальйону</t>
  </si>
  <si>
    <t>АК-74 №1856385</t>
  </si>
  <si>
    <t>ПИРІГ Олег Вікторович</t>
  </si>
  <si>
    <t>РАДАН</t>
  </si>
  <si>
    <t>КЛИМЕНКО Володимир Олексійович</t>
  </si>
  <si>
    <t>АГ 009498</t>
  </si>
  <si>
    <t>АК-74 №1866455</t>
  </si>
  <si>
    <t>МУЛЛ Олександр Анатолійович</t>
  </si>
  <si>
    <t>МУЛЬТИК</t>
  </si>
  <si>
    <t>101975А/182</t>
  </si>
  <si>
    <t>головний сержант - командир відділення кулеметного взводу 1 піхотної роти 1 піхотного батальйону</t>
  </si>
  <si>
    <t>АКСУ №930995</t>
  </si>
  <si>
    <t>ХОМИЧ Микола Володимирович</t>
  </si>
  <si>
    <t>03.08.2025</t>
  </si>
  <si>
    <t>АГ 011052</t>
  </si>
  <si>
    <t>АКС-74У 930995</t>
  </si>
  <si>
    <t>до 03.09.2026</t>
  </si>
  <si>
    <t>101182А</t>
  </si>
  <si>
    <t>БУРАВКОВ Сергій Миколайович</t>
  </si>
  <si>
    <t>06.08.2025</t>
  </si>
  <si>
    <t>АК-74 №4283209</t>
  </si>
  <si>
    <t>АГ 010533</t>
  </si>
  <si>
    <t>ДЕМЕНКО Микола Анатолійович</t>
  </si>
  <si>
    <t>КОЛЬБАН</t>
  </si>
  <si>
    <t>МАТВІЄНКО Богдан Вікторович</t>
  </si>
  <si>
    <t>АК-74 №1610652</t>
  </si>
  <si>
    <t>865EAPK147</t>
  </si>
  <si>
    <t>АГ 007240</t>
  </si>
  <si>
    <t>ПРОКОПЮК Ярослав Вікторович</t>
  </si>
  <si>
    <t>ЛАКАТОШ Владислав Васильович</t>
  </si>
  <si>
    <t>ЯР</t>
  </si>
  <si>
    <t>АК-74 №1836484</t>
  </si>
  <si>
    <t>ІВАЩЕНКО Денис Йосипович</t>
  </si>
  <si>
    <t>АГ 008464</t>
  </si>
  <si>
    <t>СОСЮК Сергій Миколайович</t>
  </si>
  <si>
    <t>СЕНС</t>
  </si>
  <si>
    <t>АК-74 №4285453</t>
  </si>
  <si>
    <t>865EBE4517</t>
  </si>
  <si>
    <t>ГАПШЕНКО Віталій Станіславович</t>
  </si>
  <si>
    <t>СОНІК</t>
  </si>
  <si>
    <t>АК-74 №4282955</t>
  </si>
  <si>
    <t>КУЛІШОВ Іван Іванович</t>
  </si>
  <si>
    <t>БІБ</t>
  </si>
  <si>
    <t>АК-74 №2275761</t>
  </si>
  <si>
    <t>ДЕРЕПКО Сергій Миколайович</t>
  </si>
  <si>
    <t>САМУРАЙ</t>
  </si>
  <si>
    <t>БЕЗПАЛЬКО Микола Романович</t>
  </si>
  <si>
    <t>КАЛЯСИК</t>
  </si>
  <si>
    <t>08.08.2025</t>
  </si>
  <si>
    <t>по пораненню
ПРИБУВ Полі Б 14.06.26</t>
  </si>
  <si>
    <t>АК-74 №6252481</t>
  </si>
  <si>
    <t>865EBСК241</t>
  </si>
  <si>
    <t>АГ 457504</t>
  </si>
  <si>
    <t>ГУЛІЙ Денис Ігорович</t>
  </si>
  <si>
    <t>КОВАЛЬЧУК Роман Петрович</t>
  </si>
  <si>
    <t>ГУЛЯ</t>
  </si>
  <si>
    <t>МОНОЛІТ</t>
  </si>
  <si>
    <t>АК-74 №1658028</t>
  </si>
  <si>
    <t>ОВДІЄНКО Олександр Михайлович</t>
  </si>
  <si>
    <t>БОКСЕР</t>
  </si>
  <si>
    <t>КОЛЕСНІКОВ Сергій Анатолійович</t>
  </si>
  <si>
    <t>АК-74 №4425781</t>
  </si>
  <si>
    <t>865EBЕ2813</t>
  </si>
  <si>
    <t>РУМИН</t>
  </si>
  <si>
    <t>АГ 010844</t>
  </si>
  <si>
    <t>ПОТАПОВ Олексій Олександрович</t>
  </si>
  <si>
    <t>865ЕВЕ2825
 865ЕВЕ2780</t>
  </si>
  <si>
    <t>Взвод протитанкових ракетних комплексів</t>
  </si>
  <si>
    <t>1 відділення протитанкових ракетних комплексів</t>
  </si>
  <si>
    <t>111543А</t>
  </si>
  <si>
    <t>АК-74 № 1685816</t>
  </si>
  <si>
    <t>865EBB9545</t>
  </si>
  <si>
    <t>ЯРЕМА Сергій Миколайович</t>
  </si>
  <si>
    <t>ОЗАР Іван Іванович</t>
  </si>
  <si>
    <t>ГУЦУЛ</t>
  </si>
  <si>
    <t>АК-74 № 6250613</t>
  </si>
  <si>
    <t>28.06.2026
Відновлення</t>
  </si>
  <si>
    <t>Розвідувальний взвод</t>
  </si>
  <si>
    <t>1 ровідувальне відділення</t>
  </si>
  <si>
    <t>106646А</t>
  </si>
  <si>
    <t>АВ 908383</t>
  </si>
  <si>
    <t>МАЩЕНКО Євгеній Григорович</t>
  </si>
  <si>
    <t>КОЩЕЙ</t>
  </si>
  <si>
    <t>АК-74 № 1961043</t>
  </si>
  <si>
    <t>ПОЛОЗОВ Олександр Володимирович</t>
  </si>
  <si>
    <t>ЯКИМЧУК Олександр Дмитрович</t>
  </si>
  <si>
    <t>ШУЛЬЦ</t>
  </si>
  <si>
    <t>3 ровідувальне відділення</t>
  </si>
  <si>
    <t>106847А</t>
  </si>
  <si>
    <t>АК-74 № 6241553</t>
  </si>
  <si>
    <t>АГ 010029</t>
  </si>
  <si>
    <t>865EBE2866</t>
  </si>
  <si>
    <t>ЩУР Павло Юрійович</t>
  </si>
  <si>
    <t>по пораненню
07.06.2026 Чорний ліс</t>
  </si>
  <si>
    <t>ОСТАПЕНКО Дмитро Олегович</t>
  </si>
  <si>
    <t>ПАЛАДІН</t>
  </si>
  <si>
    <t>ОЛІЙНИК Олег Дмитрович</t>
  </si>
  <si>
    <t>ЙОЖИК</t>
  </si>
  <si>
    <t>АК-74 № 6284301</t>
  </si>
  <si>
    <t>865EBBA164</t>
  </si>
  <si>
    <t>ЧІП</t>
  </si>
  <si>
    <t>13.05.2026
Рекрутинг</t>
  </si>
  <si>
    <t>Взвод зв'язку</t>
  </si>
  <si>
    <t>Радіовідділення</t>
  </si>
  <si>
    <t>Командир</t>
  </si>
  <si>
    <t>420182А</t>
  </si>
  <si>
    <t>серж.</t>
  </si>
  <si>
    <t>ФУГАРУ Андрій Анатолійович</t>
  </si>
  <si>
    <t>КИШМИШ</t>
  </si>
  <si>
    <t>ГРИЦЕНКО Олександр Іванович</t>
  </si>
  <si>
    <t>12.08.2025</t>
  </si>
  <si>
    <t>ПРИБУВ 15.05.26 Одеса</t>
  </si>
  <si>
    <t>25.07.2026
Відновлення</t>
  </si>
  <si>
    <t>АК-74 №072415</t>
  </si>
  <si>
    <t>довготрив до 01.04.2026</t>
  </si>
  <si>
    <t>КОМІСАРЧУК Володимир Володимирович</t>
  </si>
  <si>
    <t>КАМ</t>
  </si>
  <si>
    <t>КОРНІЛОВ Євген Сергійович</t>
  </si>
  <si>
    <t>ПРАЙД</t>
  </si>
  <si>
    <t>АК-74 №1912256</t>
  </si>
  <si>
    <t>КАЧУР Володимир Іванович</t>
  </si>
  <si>
    <t>865EBB9115</t>
  </si>
  <si>
    <t>ХЕРСОНСЬКИЙ</t>
  </si>
  <si>
    <t>БОЖОК Михайло Володимирович</t>
  </si>
  <si>
    <t>Буффон сказав що є</t>
  </si>
  <si>
    <t>АК-74 №1848290</t>
  </si>
  <si>
    <t>до 13 08.01.2026</t>
  </si>
  <si>
    <t>АГ 126726</t>
  </si>
  <si>
    <t>НОВІКОВ Вячеслав Вікторович</t>
  </si>
  <si>
    <t>ШАНСОН</t>
  </si>
  <si>
    <t>13.08.2025</t>
  </si>
  <si>
    <t>АГ 468189</t>
  </si>
  <si>
    <t>БЕРЕГОВИЙ Вячеслав Володимирович</t>
  </si>
  <si>
    <t>АК-74 № 1705293</t>
  </si>
  <si>
    <t>РРЕБ</t>
  </si>
  <si>
    <t>ГРОЗ</t>
  </si>
  <si>
    <t>ТИМОХІН Олексій Валерійович</t>
  </si>
  <si>
    <t>ЧЕЧЕН</t>
  </si>
  <si>
    <t>АК-74 № 1680776</t>
  </si>
  <si>
    <t>АГ 592968</t>
  </si>
  <si>
    <t>ШИБРЯЄВ Станіслав Ігорович</t>
  </si>
  <si>
    <t>ІМБА</t>
  </si>
  <si>
    <t>старшина</t>
  </si>
  <si>
    <t>РУДЕНКО Олександр Олександрович</t>
  </si>
  <si>
    <t>АСТАХОВ Олексій Анатолійович</t>
  </si>
  <si>
    <t>РУДІК</t>
  </si>
  <si>
    <t>АК-74 № 6287582</t>
  </si>
  <si>
    <t>865EASS538</t>
  </si>
  <si>
    <t>виїхав на співбесіду 30.01.2026</t>
  </si>
  <si>
    <t>знаходиться на бліндажу  - хоз. працівник (Мандрівник)</t>
  </si>
  <si>
    <t>РИБАС Юрій Володимирович</t>
  </si>
  <si>
    <t>АК-74 № 3253484</t>
  </si>
  <si>
    <t>АГ 005945</t>
  </si>
  <si>
    <t>ДОРОШЕНКО Олексій Олександрович</t>
  </si>
  <si>
    <t>ДОРОХ</t>
  </si>
  <si>
    <t>ГОЛОВАТИЙ Володимир Леонідович</t>
  </si>
  <si>
    <t>АК-74 № 2096861</t>
  </si>
  <si>
    <t>41ОМБр</t>
  </si>
  <si>
    <t>865EBB9469</t>
  </si>
  <si>
    <t>Помічник 13-го (комірник/писарь/пакувальник/ремонт техніки)</t>
  </si>
  <si>
    <t>прапощик</t>
  </si>
  <si>
    <t>Прибув з 41ОМБр 22.08.2026
був у нас прикомандированний ранее</t>
  </si>
  <si>
    <t>ГУЛА Рустам Миколайович</t>
  </si>
  <si>
    <t>КОЗЛЕНКО Олександр Георгійович</t>
  </si>
  <si>
    <t>КУЗЯ</t>
  </si>
  <si>
    <t>АК-74 № 1685421</t>
  </si>
  <si>
    <t>865EBE2949</t>
  </si>
  <si>
    <t>АГ 040368</t>
  </si>
  <si>
    <t>АК-74 № 1685766</t>
  </si>
  <si>
    <t>На охороні будівництва (С) Директор</t>
  </si>
  <si>
    <t>заступник командира 2 піхотної роти 1 піхотного батальйону</t>
  </si>
  <si>
    <t>АК-74 № 1709985</t>
  </si>
  <si>
    <t>865EBCJ830</t>
  </si>
  <si>
    <t>ЗУЄВ Сергій Миколайович</t>
  </si>
  <si>
    <t>865EASS608</t>
  </si>
  <si>
    <t>ОСТАПОВИЧ Сергій Олександрович</t>
  </si>
  <si>
    <t>ОСА</t>
  </si>
  <si>
    <t>заступник командира 2 піхотної роти з психологічної підтримки персоналу 1 піхотного батальйону</t>
  </si>
  <si>
    <t>АК-74 № 207845</t>
  </si>
  <si>
    <t>МАЛТАБАР Олександр Петрович</t>
  </si>
  <si>
    <t>ШАХМАН</t>
  </si>
  <si>
    <t>БАБАНІН Денис Миколайович</t>
  </si>
  <si>
    <t>ГОРПИНКО Руслан Станіславович</t>
  </si>
  <si>
    <t>26.08.2026 СЗЧ</t>
  </si>
  <si>
    <t>ОПЕР</t>
  </si>
  <si>
    <t>На виконанні. Водій квадроциклу</t>
  </si>
  <si>
    <t>АВ 892333</t>
  </si>
  <si>
    <t>ТКАЧУК Сергій Петрович</t>
  </si>
  <si>
    <t>ФЕДІРЦАН Микола Васильович</t>
  </si>
  <si>
    <t>15.08.2025</t>
  </si>
  <si>
    <t>АК 74 4556104</t>
  </si>
  <si>
    <t>865EBCJ102</t>
  </si>
  <si>
    <t>БУРДЮГ Володимир Валентинович</t>
  </si>
  <si>
    <t>Взвод перехоплювачів безпілотних літальних апаратів</t>
  </si>
  <si>
    <t>Радіолокаційна станція</t>
  </si>
  <si>
    <t>АК 74 991810</t>
  </si>
  <si>
    <t>АГ 013842</t>
  </si>
  <si>
    <t>ТЕСОВ Володимир Сергійович</t>
  </si>
  <si>
    <t>БУБ</t>
  </si>
  <si>
    <t>ШИМУДА Олександр Васильович</t>
  </si>
  <si>
    <t>РАЛЬФ</t>
  </si>
  <si>
    <t>головний сержант 2 піхотної роти 1 піхотного батальйону</t>
  </si>
  <si>
    <t>АГ 380469</t>
  </si>
  <si>
    <t>АК 74 262159</t>
  </si>
  <si>
    <t>МАРЧЕНКО Валерій Юрійович</t>
  </si>
  <si>
    <t>865EBBF824</t>
  </si>
  <si>
    <t>АЛГА</t>
  </si>
  <si>
    <t>22.12.25 вибув на КЦ по вказівці Крота</t>
  </si>
  <si>
    <t>БАРАНОВ Юрій Володимирович</t>
  </si>
  <si>
    <t>ГІРЯ</t>
  </si>
  <si>
    <t>НІКОЛЕНКО Роман Михайлович</t>
  </si>
  <si>
    <t>АК 74 6273638</t>
  </si>
  <si>
    <t>по пораненню, очікує Влк для визначення придатності</t>
  </si>
  <si>
    <t>н.п. Вербове</t>
  </si>
  <si>
    <t>04.05.2026, проходит ВЛК, не менше 14 днів</t>
  </si>
  <si>
    <t xml:space="preserve">відділення безпілотних авіаційних комплексів </t>
  </si>
  <si>
    <t>ТИМОШЕНКО Євген Сергійович</t>
  </si>
  <si>
    <t>ТІМОХА</t>
  </si>
  <si>
    <t>МАЗУР В'ячеслав Васильович</t>
  </si>
  <si>
    <t>АК 74 1621744</t>
  </si>
  <si>
    <t>865EBCJ587</t>
  </si>
  <si>
    <t>сержант із матеріального забезпечення 2 піхотної роти 1 піхотного батальйону</t>
  </si>
  <si>
    <t>БІЛАНІН Тарас Володимирович</t>
  </si>
  <si>
    <t>ТАРІК</t>
  </si>
  <si>
    <t>Взвод матеріально-технічного забезпечення</t>
  </si>
  <si>
    <t xml:space="preserve">Відділення технічного обслуговування автомобільної техніки </t>
  </si>
  <si>
    <t>АК 74 2040132</t>
  </si>
  <si>
    <t>738786А</t>
  </si>
  <si>
    <t>ОСТРОВСЬКИЙ Олександр Васильович</t>
  </si>
  <si>
    <t>старший бойовий медик 2 піхотної роти 1 піхотного батальйону</t>
  </si>
  <si>
    <t>АГ 009064</t>
  </si>
  <si>
    <t>РАМЗОВ Олександр Михайлович</t>
  </si>
  <si>
    <t>ДУМИН Андрій Ярославович</t>
  </si>
  <si>
    <t>ДИВНИЙ</t>
  </si>
  <si>
    <t>ВОЗМАР</t>
  </si>
  <si>
    <t>АК-74 265666</t>
  </si>
  <si>
    <t>Motorola R7a с/н 865EAM4639 + 6 акб.</t>
  </si>
  <si>
    <t>СТРАТІЙ Станіслав Анатолійович</t>
  </si>
  <si>
    <t>ІНОКЕНТІЙ</t>
  </si>
  <si>
    <t>Догляд. Очікує погодження першого.</t>
  </si>
  <si>
    <t>08.01.26 виїхав на КЦ для списання</t>
  </si>
  <si>
    <t>ЛУНЯКА Петро Володимирович</t>
  </si>
  <si>
    <t>РЕЗАК</t>
  </si>
  <si>
    <t>ПИСКУН Євген Павлович</t>
  </si>
  <si>
    <t>АК-74 1709984</t>
  </si>
  <si>
    <t>Motorola R7a с/н 865EBC0266 + 2 акб.</t>
  </si>
  <si>
    <t>МАГНІТ</t>
  </si>
  <si>
    <t>позиція ЕХО</t>
  </si>
  <si>
    <t>ПРИБУВ 21.03.26</t>
  </si>
  <si>
    <t>була призупинка служби</t>
  </si>
  <si>
    <t>МАРТИНЮК Костянтин Петрович</t>
  </si>
  <si>
    <t>СОСНА</t>
  </si>
  <si>
    <t xml:space="preserve">Навчання </t>
  </si>
  <si>
    <t>Вибув з МР 18.11.2025 до 2ШБ (Умка)
Навчання на мехводів</t>
  </si>
  <si>
    <t>радіотелефоніст 2 піхотної роти 1 піхотного батальйону</t>
  </si>
  <si>
    <t>АК-74 265032</t>
  </si>
  <si>
    <t>111810А</t>
  </si>
  <si>
    <t>АВ 907328</t>
  </si>
  <si>
    <t>АГ 460492</t>
  </si>
  <si>
    <t>БІЛОУС Владислав Олексійович</t>
  </si>
  <si>
    <t>МАСАТЕК</t>
  </si>
  <si>
    <t>ЛУТАЙ Євген Олександрович</t>
  </si>
  <si>
    <t>КОСІК Леонід Петрович</t>
  </si>
  <si>
    <t>КОСЯК</t>
  </si>
  <si>
    <t>ЛЮТИК</t>
  </si>
  <si>
    <t>АК-74 4406965</t>
  </si>
  <si>
    <t>Заєць</t>
  </si>
  <si>
    <t>ПРОСКУРІН Роман Олександрович</t>
  </si>
  <si>
    <t>ГРОМ</t>
  </si>
  <si>
    <t>рапорт на звільнення 09.12.2025</t>
  </si>
  <si>
    <t>прибув після СЗЧ 22.06.2026</t>
  </si>
  <si>
    <t>АК-74 4451821</t>
  </si>
  <si>
    <t>Motorola R7a с/н 865EASY962 + 6 акб.</t>
  </si>
  <si>
    <t>забрали 12.01 з 1ПБ</t>
  </si>
  <si>
    <t>КАПЛІЄНКО Роман Володимирович</t>
  </si>
  <si>
    <t>КАПЛЯ</t>
  </si>
  <si>
    <t>ФУРС Олександр Ігорович</t>
  </si>
  <si>
    <t>командир 1 піхотного взводу 2 піхотної роти 1 піхотного батальйону</t>
  </si>
  <si>
    <t>КРИВОРУЧКО Дмитро Дмитрович</t>
  </si>
  <si>
    <t>ВЕРНЕР</t>
  </si>
  <si>
    <t>АК-74 264350</t>
  </si>
  <si>
    <t>Либідь с/н 511TZVE016 + 2 акб.</t>
  </si>
  <si>
    <t>ГЕРМАН Віталій Богданович</t>
  </si>
  <si>
    <t>ГЕРМАН</t>
  </si>
  <si>
    <t>забрали 14.01 з 1ПБ</t>
  </si>
  <si>
    <t>САБІНСЬКИЙ Андрій Станіславович</t>
  </si>
  <si>
    <t>АК-74 1830642</t>
  </si>
  <si>
    <t>ДЕМЕДЮК Сергій Євгенович</t>
  </si>
  <si>
    <t>ДЬОМА</t>
  </si>
  <si>
    <t>АВ 984357</t>
  </si>
  <si>
    <t>АК-74 1708715</t>
  </si>
  <si>
    <t>АГ 459546</t>
  </si>
  <si>
    <t>ПАРХОМЕНКО Віталій Вікторович</t>
  </si>
  <si>
    <t>КАВУН</t>
  </si>
  <si>
    <t>АК-74 6193213</t>
  </si>
  <si>
    <t>Motorola R7a с/н 865EBE2933 + 6 акб</t>
  </si>
  <si>
    <t>АРЕНДАРУК Олександр Олександрович</t>
  </si>
  <si>
    <t>КАЧУРА</t>
  </si>
  <si>
    <t>радіотелефоніст 1 піхотного взводу 2 піхотної роти 1 піхотного батальйону</t>
  </si>
  <si>
    <t>АК-74 2114343</t>
  </si>
  <si>
    <t>Motorola R7a с/н 865EBB9132 + 6 акб.</t>
  </si>
  <si>
    <t>ЩЕННІКОВ Ігор Сергійович</t>
  </si>
  <si>
    <t>КОБЗАН Михайло Михайлович</t>
  </si>
  <si>
    <t>КОБЗАН</t>
  </si>
  <si>
    <t>СЗЧ - 26.09.2025
200 - 11.12.2025</t>
  </si>
  <si>
    <t>АК-74 1164072</t>
  </si>
  <si>
    <t>ГРАЦОНЬ Дмитро Васильович</t>
  </si>
  <si>
    <t>БУБИРЄВ Олексій Анатолійович</t>
  </si>
  <si>
    <t>ГРЕК</t>
  </si>
  <si>
    <t>БУБА</t>
  </si>
  <si>
    <t>АК-74 1975371</t>
  </si>
  <si>
    <t>Природня смерть</t>
  </si>
  <si>
    <t>16.08.2025</t>
  </si>
  <si>
    <t>АК-74 №1681538
 МП-120 №01192</t>
  </si>
  <si>
    <t>старший стрілець - оператор безпілотних літальних апаратів 1 піхотного відділення 1 піхотного взводу 2 піхотної роти 1 піхотного батальйону</t>
  </si>
  <si>
    <t>оф.</t>
  </si>
  <si>
    <t>СТАЛЕВСЬКИЙ Ігор Євгенович</t>
  </si>
  <si>
    <t>ШЕВЕЛЄВ Денис Вікторович</t>
  </si>
  <si>
    <t>БОСТОН</t>
  </si>
  <si>
    <t>ЧЕКАЛЕНКО Дмитро Олегович</t>
  </si>
  <si>
    <t>ЧЕКА</t>
  </si>
  <si>
    <t>звання</t>
  </si>
  <si>
    <t>АГ 008419</t>
  </si>
  <si>
    <t>БУКШОВАННИЙ Олександр Георгійович</t>
  </si>
  <si>
    <t>БАНЩИК</t>
  </si>
  <si>
    <t>посада</t>
  </si>
  <si>
    <t>наказ</t>
  </si>
  <si>
    <t>АК-74 №4277836</t>
  </si>
  <si>
    <t>СІМЯНИК Денис Олегович</t>
  </si>
  <si>
    <t>№76 від 13.03.2026</t>
  </si>
  <si>
    <t>МУРАДОВ Дмитро Анатолійович</t>
  </si>
  <si>
    <t>Командир групи</t>
  </si>
  <si>
    <t>БИЧЕНКО Микола Анатолійович</t>
  </si>
  <si>
    <t>17.08.2025</t>
  </si>
  <si>
    <t>ТВО</t>
  </si>
  <si>
    <t>ЧЕРНЕНКО Антон Вікторович</t>
  </si>
  <si>
    <t>КАРЛОВ Євген Володимирович</t>
  </si>
  <si>
    <t>ВАКУЛІН Віталій Сергійович</t>
  </si>
  <si>
    <t>ВАКУЛА</t>
  </si>
  <si>
    <t>АК 74 6229602</t>
  </si>
  <si>
    <t>865EASS636</t>
  </si>
  <si>
    <t>СОРЮК Андрій Васильович</t>
  </si>
  <si>
    <t>Комірник</t>
  </si>
  <si>
    <t>ВОЙЦЕХІВСЬКИЙ Олексій Павлович</t>
  </si>
  <si>
    <t>КОНОНЕНКО Віталій Віталійович</t>
  </si>
  <si>
    <t>АЛЛАТ</t>
  </si>
  <si>
    <t>ЗВІЗЛО Ярослав Миколайович</t>
  </si>
  <si>
    <t>АК 74 1663237</t>
  </si>
  <si>
    <t>КАРПОВ Володимир Львович</t>
  </si>
  <si>
    <t>865EASS713</t>
  </si>
  <si>
    <t>УН 0437438</t>
  </si>
  <si>
    <t>БАБОЧКІН Олександр Олександрович</t>
  </si>
  <si>
    <t>КІБА</t>
  </si>
  <si>
    <t>ШТЕПЕНКО Микола Федорович</t>
  </si>
  <si>
    <t>Помічник начальника служби</t>
  </si>
  <si>
    <t>ЮХНОВСЬКИЙ Олександр Валентинович</t>
  </si>
  <si>
    <t>ЮВЕЛІР</t>
  </si>
  <si>
    <t>ЛАБУТЬ Олександр Сергійович</t>
  </si>
  <si>
    <t>АК 74 6295803</t>
  </si>
  <si>
    <t>865EBCO004</t>
  </si>
  <si>
    <t>АГ 637842</t>
  </si>
  <si>
    <t>СТОЯНОВ Дмитро Миколайович</t>
  </si>
  <si>
    <t>ОДЄССА</t>
  </si>
  <si>
    <t>ЧИРЯК Андрій Іванович</t>
  </si>
  <si>
    <t>КРАСІЛЬНІКОВ Віктор Євгенович</t>
  </si>
  <si>
    <t>ЕНДРЮ</t>
  </si>
  <si>
    <t>Бойовий медик взводу</t>
  </si>
  <si>
    <t>АК 74 4264886</t>
  </si>
  <si>
    <t>№87 від 23.03.2026</t>
  </si>
  <si>
    <t>ШАБЕЛЬНИЙ Михайло Борисович</t>
  </si>
  <si>
    <t>МАН'ЯК</t>
  </si>
  <si>
    <t>ПРИБУВ 26.04.26</t>
  </si>
  <si>
    <t>заглиблий брат, помогает на кухне</t>
  </si>
  <si>
    <t>ВОЙНОЛОВИЧ Олександр Миколайович</t>
  </si>
  <si>
    <t>АК 74 172900</t>
  </si>
  <si>
    <t>ЦАЛАЙ Олександр Євгенійович</t>
  </si>
  <si>
    <t>ЗАМАРАЄВ Євген Миколайович</t>
  </si>
  <si>
    <t>ЗУМ</t>
  </si>
  <si>
    <t>АК 74 4196228</t>
  </si>
  <si>
    <t>АГ 515921</t>
  </si>
  <si>
    <t>МАРКЕВИЧ Роман Володимирович</t>
  </si>
  <si>
    <t>18.08.2025</t>
  </si>
  <si>
    <t>865EBBA427
GUIDE TD431, s/n ZG09F3123430504</t>
  </si>
  <si>
    <t>КАРП'ЮК Сергій Степанович</t>
  </si>
  <si>
    <t>СВАРЩИК</t>
  </si>
  <si>
    <t>СЛЮСАР Дмитро Борисович</t>
  </si>
  <si>
    <t>МОНК</t>
  </si>
  <si>
    <t>АК 74 4270129</t>
  </si>
  <si>
    <t>ЗЕНЗІН Євген Юрійович</t>
  </si>
  <si>
    <t>ХОЛОД</t>
  </si>
  <si>
    <t>ПРИБУВ 14.06.26 Полі Б
по пораненню</t>
  </si>
  <si>
    <t>АК 74 1703143</t>
  </si>
  <si>
    <t>До 13.09.26</t>
  </si>
  <si>
    <t>ФАЙГЕЛЬ Руслан Тадейович</t>
  </si>
  <si>
    <t>ІЛЬЧИШИН Іван Григорович</t>
  </si>
  <si>
    <t>БОСС</t>
  </si>
  <si>
    <t>АК 74 1670813</t>
  </si>
  <si>
    <t>АГ 448984
ТПВ №4194</t>
  </si>
  <si>
    <t>СКОРНЯКОВ Микола Миколайович</t>
  </si>
  <si>
    <t>ХУДОЖНИК</t>
  </si>
  <si>
    <t>АНДРА Владислав Сергійович</t>
  </si>
  <si>
    <t>ПОГРАНИЧНИК</t>
  </si>
  <si>
    <t>АК 74 260231</t>
  </si>
  <si>
    <t>повернули після СЗЧ 24.05.26
по пораненню</t>
  </si>
  <si>
    <t>ДЖУРИН Михайло Романович</t>
  </si>
  <si>
    <t>ДЖУЛЯ</t>
  </si>
  <si>
    <t>АК 74 4454236</t>
  </si>
  <si>
    <t>АГ 090838</t>
  </si>
  <si>
    <t>вогнеметник 1 піхотного відділення 1 піхотного взводу 2 піхотної роти 1 піхотного батальйону</t>
  </si>
  <si>
    <t>ТВЕРДИЙ В'ячеслав Андрійович</t>
  </si>
  <si>
    <t>ДОБРЯК</t>
  </si>
  <si>
    <t>БОГДАН Євгеній Олександрович</t>
  </si>
  <si>
    <t>Н/Д</t>
  </si>
  <si>
    <t>МАРЧЕНКО Максим Миколайович</t>
  </si>
  <si>
    <t>АК 74 4419336</t>
  </si>
  <si>
    <t>865EBB9281</t>
  </si>
  <si>
    <t>НАТАШИН Денис Вячеславович</t>
  </si>
  <si>
    <t>ОНОПА Володимир Юрійович</t>
  </si>
  <si>
    <t>н.п. Гришиине</t>
  </si>
  <si>
    <t>АК 74 4450266</t>
  </si>
  <si>
    <t>Б.РУС</t>
  </si>
  <si>
    <t>19.08.2025</t>
  </si>
  <si>
    <t>ЛІТОВЧЕНКО Сергій Володимирович</t>
  </si>
  <si>
    <t>ЛУГАНСК</t>
  </si>
  <si>
    <t>865EBCE061 + 2 акб</t>
  </si>
  <si>
    <t>РОМАНОВ Роман Володимирович (01.07.1976 р.н.)</t>
  </si>
  <si>
    <t>Командир екіпажу безпілотних літальних комплексів - командир відділення</t>
  </si>
  <si>
    <t>865EASS538 + 2 акб</t>
  </si>
  <si>
    <t>СИДОРЕНКО Єгор Олегович</t>
  </si>
  <si>
    <t>АВ 904864</t>
  </si>
  <si>
    <t>СИЩУК Андрій Олександрович</t>
  </si>
  <si>
    <t>БАРАННИК Дмитро Анатолійович</t>
  </si>
  <si>
    <t>ОЛІЙНИК Роман Миколайович</t>
  </si>
  <si>
    <t>БАБУР</t>
  </si>
  <si>
    <t>ДУДА Валерій Володимирович</t>
  </si>
  <si>
    <t>АК-74 № 2020530</t>
  </si>
  <si>
    <t>гранатометник 2 піхотного відділення 1 піхотного взводу 2 піхотної роти 1 піхотного батальйону</t>
  </si>
  <si>
    <t>ЛІСОВСЬКИЙ Артур Ігорович</t>
  </si>
  <si>
    <t>АГ 579972</t>
  </si>
  <si>
    <t>ШМАТОВ Євген Валерійович</t>
  </si>
  <si>
    <t>ШМАТ</t>
  </si>
  <si>
    <t>ПУСТОВИЙ Сергій Володимирович</t>
  </si>
  <si>
    <t>22.08.2025</t>
  </si>
  <si>
    <t>МАМАЄНКО Микола Костянтинович</t>
  </si>
  <si>
    <t>АГ 169502</t>
  </si>
  <si>
    <t>ДЕНИСЕНКО Дмитро Олександрович</t>
  </si>
  <si>
    <t>ДЕЦЕЛ</t>
  </si>
  <si>
    <t>АК-74 №433605</t>
  </si>
  <si>
    <t>807TZD4908 + 3 акб.</t>
  </si>
  <si>
    <t>БАБОШКІН Олександр Євгенійович</t>
  </si>
  <si>
    <t>КАЛІТА Артем Андрійович</t>
  </si>
  <si>
    <t>МІХЕЄВ Валерій Михайлович</t>
  </si>
  <si>
    <t>ФРАНЦ Дмитро Петрович</t>
  </si>
  <si>
    <t>ФРАНК</t>
  </si>
  <si>
    <t>ГЕЗЬ Ілля Ігорович</t>
  </si>
  <si>
    <t>ПОПОВ Сергій Олександрович (01.06.1978 р.н.)</t>
  </si>
  <si>
    <t>АК-74 №2460801</t>
  </si>
  <si>
    <t>Водій-заправник</t>
  </si>
  <si>
    <t>865EAKJ676 + 3 акб.</t>
  </si>
  <si>
    <t>ПАНОЧКО Ярослав Євгенович</t>
  </si>
  <si>
    <t>ГОРБАЧЕНКО Сергій Іванович</t>
  </si>
  <si>
    <t>ДРОБОТ В'ячеслав Ігорович</t>
  </si>
  <si>
    <t>ДРОБ</t>
  </si>
  <si>
    <t>АГ 535879</t>
  </si>
  <si>
    <t>ПАНАСЮК Олег Володимирович</t>
  </si>
  <si>
    <t>ШВЕД Сергій Павлович</t>
  </si>
  <si>
    <t>МАЙДАН</t>
  </si>
  <si>
    <t>БРАТАШЕВСЬКИЙ Сергій Олегович</t>
  </si>
  <si>
    <t>АВ 907074</t>
  </si>
  <si>
    <t>АК-74 №5489415</t>
  </si>
  <si>
    <t>865EBCE868 + 3 акб.</t>
  </si>
  <si>
    <t>ІЩЕНКО Дмитро Русланович</t>
  </si>
  <si>
    <t>КОЛОБОВ Олександр Вікторович</t>
  </si>
  <si>
    <t>ГАЛУШКА Вячеслав Леонідович</t>
  </si>
  <si>
    <t>ГАЛУФАН</t>
  </si>
  <si>
    <t>СЛОБОДЕНЮК Олександр Вікторович</t>
  </si>
  <si>
    <t>СИН</t>
  </si>
  <si>
    <t>ПРИБУВ 13.05.26 Чорний ліс
по пораненню</t>
  </si>
  <si>
    <t>БОЖЕНКО Олег Володимирович</t>
  </si>
  <si>
    <t>ВЕРЕМЧУК Юлія Миколаївна</t>
  </si>
  <si>
    <t>АК-74 №2441257</t>
  </si>
  <si>
    <t>БАБІЙ Владислав Миколайович</t>
  </si>
  <si>
    <t>ЗЕМЛЯНИЙ Сергій Сергійович</t>
  </si>
  <si>
    <t>БАНДЕРІС Іван Арнісович</t>
  </si>
  <si>
    <t>АВ 906881</t>
  </si>
  <si>
    <t>ЮРКО Артем Володимирович</t>
  </si>
  <si>
    <t>БІДА Іван Васильович</t>
  </si>
  <si>
    <t>ГРІМ</t>
  </si>
  <si>
    <t>13.01.26 відвезли на КЦ для переведення</t>
  </si>
  <si>
    <t>ДАНИЛЕНКО Олександр Сергійович</t>
  </si>
  <si>
    <t>СТЕПЧУК Руслан Володимирович</t>
  </si>
  <si>
    <t>АК-74 №5492741</t>
  </si>
  <si>
    <t>Рота безпілотних авіаційних комплексів</t>
  </si>
  <si>
    <t>865EAKF277 + 3 акб.</t>
  </si>
  <si>
    <t>Взвод розвідки та корегування</t>
  </si>
  <si>
    <t>ЩЕРБАКОВ Володимир Вікторович</t>
  </si>
  <si>
    <t>ІВАНИЦЬКИЙ Іван Іванович</t>
  </si>
  <si>
    <t>на переведення, козопас</t>
  </si>
  <si>
    <t>АГ 069458</t>
  </si>
  <si>
    <t>ЗАВОЗІЙ Юрій Вікторович</t>
  </si>
  <si>
    <t>ПРИБУВ 02.04.26</t>
  </si>
  <si>
    <t>ШУТКА Іван Іванович</t>
  </si>
  <si>
    <t>ШОКОТ Дмитро Леонідович</t>
  </si>
  <si>
    <t>ДИМОК</t>
  </si>
  <si>
    <t>14.06.2026
Відновлення</t>
  </si>
  <si>
    <t>САГІЙ Микола Васильович</t>
  </si>
  <si>
    <t>АК-74 №4357348</t>
  </si>
  <si>
    <t>САМАРСЬКИЙ Іван Леонідович</t>
  </si>
  <si>
    <t>НАДТОЧИЙ Віктор Миколайович</t>
  </si>
  <si>
    <t>ДУДА Анатолій Васильович</t>
  </si>
  <si>
    <t>АГ 107661</t>
  </si>
  <si>
    <t>ЦИМБАЛЮК Дмитро Михайлович</t>
  </si>
  <si>
    <t>ЖИРИК Василь Іванович</t>
  </si>
  <si>
    <t>КОСТЮК Борис Борисович</t>
  </si>
  <si>
    <t>ВОЛИНЬ</t>
  </si>
  <si>
    <t>ПШЕНЕЦЬКИЙ Андрій Вікторович</t>
  </si>
  <si>
    <t>4 відділення безпілотних авіаційних комплексів</t>
  </si>
  <si>
    <t>ГУСАК Ігор Анатолійович</t>
  </si>
  <si>
    <t>АК-74 №2476184</t>
  </si>
  <si>
    <t xml:space="preserve">АВ 970401
</t>
  </si>
  <si>
    <t>МАРЖАН Олег Сергійович</t>
  </si>
  <si>
    <t>ПАНКРАТОВ Максим Миколайович</t>
  </si>
  <si>
    <t>БАНКРОТ</t>
  </si>
  <si>
    <t>ЛАВРОВ Дмитро Андрійович</t>
  </si>
  <si>
    <t>ЗАЛЕСЬКИЙ Юрій Мирославович</t>
  </si>
  <si>
    <t>ПРИБУДЬКО Андрій Миколайович</t>
  </si>
  <si>
    <t>ФЕДЯЙ Данило Олександрович</t>
  </si>
  <si>
    <t>ЛУКА Микола Васильович</t>
  </si>
  <si>
    <t>АК-74 №1672846</t>
  </si>
  <si>
    <t>ІГНАТЕНКО Віталій Анатолійович</t>
  </si>
  <si>
    <t>ПЛЕВА Віталій Романович</t>
  </si>
  <si>
    <t>Командир відділення - командир екіпажу безпілотних літальних комплексів</t>
  </si>
  <si>
    <t>СТЕПАНОВ Володимир Миколайович</t>
  </si>
  <si>
    <t>7 відділення безпілотних авіаційних комплексів</t>
  </si>
  <si>
    <t>КУЛЬБАНСЬКИЙ Володимир Іванович</t>
  </si>
  <si>
    <t>СЕМЕНЮК Руслан Васильович</t>
  </si>
  <si>
    <t>КУЛІШ</t>
  </si>
  <si>
    <t>АК-74 №2094082</t>
  </si>
  <si>
    <t>865EBB9469 + 3 акб.</t>
  </si>
  <si>
    <t>АГ 036006</t>
  </si>
  <si>
    <t>ОНИЩЕНКО Дмитро Анатолійович</t>
  </si>
  <si>
    <t>ПІЩУЛІН Владислав Олегович</t>
  </si>
  <si>
    <t>КИРИЧЕНКО Віталій Сергійович</t>
  </si>
  <si>
    <t>МОСЕЙЧУК Євген Вікторович</t>
  </si>
  <si>
    <t>ГАБАНА</t>
  </si>
  <si>
    <t>КРИШТОПА Костянтин Вадимович</t>
  </si>
  <si>
    <t>до 25.08.26</t>
  </si>
  <si>
    <t>АК-74 №4348596</t>
  </si>
  <si>
    <t>807TZBV683 + 3 акб.</t>
  </si>
  <si>
    <t>ПОТОПЛЯК Андрій Михайлович</t>
  </si>
  <si>
    <t>1ШБ</t>
  </si>
  <si>
    <t>н.п. Гришине</t>
  </si>
  <si>
    <t>водій 2 піхотного відділення 1 піхотного взводу 2 піхотної роти 1 піхотного батальйону</t>
  </si>
  <si>
    <t>24.08.2025</t>
  </si>
  <si>
    <t>ОСІПЕНКО Сергій Володимирович</t>
  </si>
  <si>
    <t>ШУЛЯК Олександр Вікторович</t>
  </si>
  <si>
    <t>ШОВ</t>
  </si>
  <si>
    <t>АК-74 №1716004
 МП-120 №01192</t>
  </si>
  <si>
    <t>БЛЕЩУК Олег Анатолійович</t>
  </si>
  <si>
    <t>Головний сержант - командир міномета</t>
  </si>
  <si>
    <t>СВІРЕНКО Олексій Вікторович</t>
  </si>
  <si>
    <t>104533А</t>
  </si>
  <si>
    <t>Закінчення курсу 04.07.26</t>
  </si>
  <si>
    <t>САВАСТІН Олександр Іванович</t>
  </si>
  <si>
    <t>Водій-електрик - моторист</t>
  </si>
  <si>
    <t>з мед.роти 24.07.26</t>
  </si>
  <si>
    <t>РОМАНЮК Олександр Федорович</t>
  </si>
  <si>
    <t>П'ЯНОВ Віталій Володимирович</t>
  </si>
  <si>
    <t>Начальник радіолокаційної станції</t>
  </si>
  <si>
    <t>БИБЧЕНКО Ярослав Олександрович</t>
  </si>
  <si>
    <t>Оператор - радіотелефоніст</t>
  </si>
  <si>
    <t>Строитель, запасной на виход</t>
  </si>
  <si>
    <t>ФЕДОРОВ Віталій Володимирович</t>
  </si>
  <si>
    <t>КІСЕЛЬОВ Вячеслав Олександрович</t>
  </si>
  <si>
    <t>БИЧУК Олексій Олексійович</t>
  </si>
  <si>
    <t>ЧОРНИЙ Артур Юрійович</t>
  </si>
  <si>
    <t>вогнеметник 2 піхотного відділення 1 піхотного взводу 2 піхотної роти 1 піхотного батальйону</t>
  </si>
  <si>
    <t>ТАРАСЮК Микола Іванович</t>
  </si>
  <si>
    <t>БЕЗУГЛИЙ Дмитро Юрійович</t>
  </si>
  <si>
    <t>ПРИГУНОВ Геннадій Сергійович</t>
  </si>
  <si>
    <t>БЕЗИК</t>
  </si>
  <si>
    <t>Начальник лазні</t>
  </si>
  <si>
    <t>ІЩЕНКО Олег Володимирович</t>
  </si>
  <si>
    <t>Польова лазня</t>
  </si>
  <si>
    <t>НОВОСАД Сергій Олександрович</t>
  </si>
  <si>
    <t>789543А</t>
  </si>
  <si>
    <t>П'ЯТНИЦЯ Олександр Вікторович</t>
  </si>
  <si>
    <t>НОВІКОВ Артем Володимирович</t>
  </si>
  <si>
    <t>ВАСИЛЬЄВ Володимир Миколайович</t>
  </si>
  <si>
    <t>АХІЛЕС</t>
  </si>
  <si>
    <t>ЧЕРЕВАНЬ Максим Володимирович</t>
  </si>
  <si>
    <t>28.08.2025</t>
  </si>
  <si>
    <t>ПЕТРЕНКО Дмитро Васильович</t>
  </si>
  <si>
    <t>АГ 594885</t>
  </si>
  <si>
    <t>на фото в/к є БЗВП</t>
  </si>
  <si>
    <t>ТРОФІМОВ Сергій Іванович</t>
  </si>
  <si>
    <t>ІВАНИЦЬКИЙ Павло Володимирович</t>
  </si>
  <si>
    <t>Мотогрупа</t>
  </si>
  <si>
    <t>НЕФЬОДОВ Віталій Миколайович</t>
  </si>
  <si>
    <t>Відділення зв'язку</t>
  </si>
  <si>
    <t>403233А</t>
  </si>
  <si>
    <t>маз паливозаправник</t>
  </si>
  <si>
    <t>ГАМАЛЕЙ Михайло Михайлович</t>
  </si>
  <si>
    <t>КРАСОВСЬКИЙ Іван Олександрович</t>
  </si>
  <si>
    <t>МЕДВЕДЄВ Єгор Федорович</t>
  </si>
  <si>
    <t>29.08.2025</t>
  </si>
  <si>
    <t>МАРЯМПОЛЬСЬКИЙ Іван Петрович</t>
  </si>
  <si>
    <t>КОБЕЦЬ Денис Миколайович</t>
  </si>
  <si>
    <t>старший стрілець - оператор безпілотних літальних апаратів 3 піхотного відділення 1 піхотного взводу 2 піхотної роти 1 піхотного батальйону</t>
  </si>
  <si>
    <t>АК 74 4522402</t>
  </si>
  <si>
    <t>865EBCE225, Монокуляр тепловізійний Guide TD 431 - 1 шт 
 с/н ZG09F3123430504</t>
  </si>
  <si>
    <t>ГУЛЯЙ Ігор Геннадійович</t>
  </si>
  <si>
    <t>АГ 061356</t>
  </si>
  <si>
    <t>КАНІБОЛОЦЬКИЙ Руслан Вікторович</t>
  </si>
  <si>
    <t>ВОЄВОДЕНКО Віктор Миколайович</t>
  </si>
  <si>
    <t>КИТ</t>
  </si>
  <si>
    <t>ТІТЕНКО Вячеслав Володимирович</t>
  </si>
  <si>
    <t>403942А/233</t>
  </si>
  <si>
    <t>ОСАДЧИЙ Андрій Вікторович (27.11.1978 р.н.)</t>
  </si>
  <si>
    <t>АГ 309924</t>
  </si>
  <si>
    <t>ГОРБАТЬКО Ілля Сергійович</t>
  </si>
  <si>
    <t>КИРИЧУК Олег Миколайович</t>
  </si>
  <si>
    <t>ШАХТЕР</t>
  </si>
  <si>
    <t>позиція БРАУН</t>
  </si>
  <si>
    <t>ЗАУЛІН Сергій Володимирович</t>
  </si>
  <si>
    <t>до 31.08.2026</t>
  </si>
  <si>
    <t>ШУЛЬГА Станіслав Олександрович</t>
  </si>
  <si>
    <t>ВОВК Юрій Сергійович</t>
  </si>
  <si>
    <t>865EBE4820</t>
  </si>
  <si>
    <t>ДІДЕНКО Максим Олександрович</t>
  </si>
  <si>
    <t>БОБИК Андрій Степанович</t>
  </si>
  <si>
    <t>АНДРЄ</t>
  </si>
  <si>
    <t>ЦИБУЛЬКА Віталій Анатолійович</t>
  </si>
  <si>
    <t>РИЖЕНКО Віталій Миколайович</t>
  </si>
  <si>
    <t>СЕЛІВАНОВ Максим Олександрович</t>
  </si>
  <si>
    <t>АК 74 4445880</t>
  </si>
  <si>
    <t>РЕЗЕПА Олексій Геннадійович</t>
  </si>
  <si>
    <t>865ЕВВС865</t>
  </si>
  <si>
    <t>ЄФІМОВСЬКИХ Владислав Юрійович</t>
  </si>
  <si>
    <t>ПРИБУВ 12.08.2026 c CЗЧ</t>
  </si>
  <si>
    <t>ЧЕРНОВ Василь Васильович</t>
  </si>
  <si>
    <t>КРІТЧИН Сергій Іванович</t>
  </si>
  <si>
    <t>КРЕК</t>
  </si>
  <si>
    <t>ТАТАРОВ Ігор Олегович</t>
  </si>
  <si>
    <t>КОСЕНКО Кирило Олександрович</t>
  </si>
  <si>
    <t>Інженерно-саперне відділення</t>
  </si>
  <si>
    <t>166662А</t>
  </si>
  <si>
    <t>МЕСНЯНКІН Віктор Олександрович</t>
  </si>
  <si>
    <t>АК 74 6213706</t>
  </si>
  <si>
    <t>ЛЕБЄДЄВ Марат Олегович</t>
  </si>
  <si>
    <t>КАДУКОВ Жан Едуардович</t>
  </si>
  <si>
    <t>СЛОБОДЯНИК Дмитро Олегович</t>
  </si>
  <si>
    <t>30.08.2025</t>
  </si>
  <si>
    <t>СОМЕНКО Вадим Олегович</t>
  </si>
  <si>
    <t>кулеметник 3 піхотного відділення 1 піхотного взводу 2 піхотної роти 1 піхотного батальйону</t>
  </si>
  <si>
    <t>ЧОРНИЙ Сергій Михайлович</t>
  </si>
  <si>
    <t>865EBЕ2631</t>
  </si>
  <si>
    <t>ШАПОВАЛОВ Павло Анатолійович</t>
  </si>
  <si>
    <t>НАУМОВ Дмитро Сергійович</t>
  </si>
  <si>
    <t>ЛІСНИХ Антон Олександрович</t>
  </si>
  <si>
    <t>БРЕЖНЄВ Максим Євгенович</t>
  </si>
  <si>
    <t>ВОДЯХА Антон Ігорович</t>
  </si>
  <si>
    <t>ШУШКО Олександр Богданович</t>
  </si>
  <si>
    <t>ШУШКО</t>
  </si>
  <si>
    <t>НАЙДЬОНОВ Андрій Юрійович</t>
  </si>
  <si>
    <t>ІГНАТЬЄВ Ігор Михайлович</t>
  </si>
  <si>
    <t>31.08.2025</t>
  </si>
  <si>
    <t>АРХІРЕЙ Дмитро Андрійович</t>
  </si>
  <si>
    <t>Взвод логістично-евакуаційних безпілотних наземних систем</t>
  </si>
  <si>
    <t>ЛЕБЕДИН Олександр Сергійович</t>
  </si>
  <si>
    <t>3 відділення середніх логістично-евакуаційних безпілотних наземних систем</t>
  </si>
  <si>
    <t>217617А</t>
  </si>
  <si>
    <t>ФАЛЕС Іван Юрійович</t>
  </si>
  <si>
    <t>КАВУН Юрій Миколайович</t>
  </si>
  <si>
    <t>КОБЕРНИК Максим Вікторович</t>
  </si>
  <si>
    <t>Начальник групи - начальник зв’язку</t>
  </si>
  <si>
    <t>ВОЛОШИН Павло Станіславович</t>
  </si>
  <si>
    <t>КЛИМОВИЧ Сергій Миколайович</t>
  </si>
  <si>
    <t>МИХАЙЛОВ Віталій Володимирович</t>
  </si>
  <si>
    <t>КИРИЛЮК Юрій Леонідович</t>
  </si>
  <si>
    <t>ЗМЕУ Сергій Валерійович</t>
  </si>
  <si>
    <t>УЖ</t>
  </si>
  <si>
    <t>Школа пілотів</t>
  </si>
  <si>
    <t>СКВІРА Юрій Сергійович</t>
  </si>
  <si>
    <t>САВЧЕНКО Василь Васильович</t>
  </si>
  <si>
    <t>129543А</t>
  </si>
  <si>
    <t>КУЛІКОВСЬКИЙ Роман Віталійович</t>
  </si>
  <si>
    <t>ЖОЛОБ Іван Олександрович</t>
  </si>
  <si>
    <t>КОБА Дмитро Володимирович</t>
  </si>
  <si>
    <t>ФЕСЕНКО Володимир Сергійович</t>
  </si>
  <si>
    <t>ГРИЦАН Віталій Михайлович</t>
  </si>
  <si>
    <t>КОЛЕСНИК Євген Анатолійович</t>
  </si>
  <si>
    <t>ЛІСІЧКА</t>
  </si>
  <si>
    <t>02.09.2025</t>
  </si>
  <si>
    <t>МУДРИК Вячеслав Вадимович</t>
  </si>
  <si>
    <t>РЕБРІН Сергій Валентинович</t>
  </si>
  <si>
    <t>РЕП</t>
  </si>
  <si>
    <t>КОВАЛЬ Іван Юрійович</t>
  </si>
  <si>
    <t>АК-74 № 1944893</t>
  </si>
  <si>
    <t>R7a s/n: 865EAРК309 + 2 акумулятора</t>
  </si>
  <si>
    <t>КЛИМИШИН Назарій Ярославович</t>
  </si>
  <si>
    <t>АГАРКОВ Віталій Миколайович</t>
  </si>
  <si>
    <t>БІЛОКОНЬ Максим Олександрович</t>
  </si>
  <si>
    <t>ХАМЕЛЕОН</t>
  </si>
  <si>
    <t>МАНЬКО Андрій Олегович</t>
  </si>
  <si>
    <t>УЛАН Руслан Вікторович</t>
  </si>
  <si>
    <t>ЩЕРБАК Олександр Петрович</t>
  </si>
  <si>
    <t>АК-74 № 5591448</t>
  </si>
  <si>
    <t>Стрілець-снайпер</t>
  </si>
  <si>
    <t>R7a s/n: 865EBE4517 + 2 акумулятора</t>
  </si>
  <si>
    <t>РОМАНЮК Андрій Валерійович</t>
  </si>
  <si>
    <t>КОБЕРНИЦЬКИЙ Юрій Леонідович</t>
  </si>
  <si>
    <t>РЕБІНЧАК Володимир Михайлович</t>
  </si>
  <si>
    <t>КРАФТ</t>
  </si>
  <si>
    <t>ЛЕБЕДА Сергій Олександрович</t>
  </si>
  <si>
    <t>СІКОРСЬКИЙ Антон Вячеславович</t>
  </si>
  <si>
    <t>2 мінометне відділення</t>
  </si>
  <si>
    <t>БАХОВЕЦЬ Віктор Васильович</t>
  </si>
  <si>
    <t>АК-74 № 1611912</t>
  </si>
  <si>
    <t>143803А</t>
  </si>
  <si>
    <t>R7a s/n: 865EBCJ830 + 2 акумулятора</t>
  </si>
  <si>
    <t>ШЕВЧЕНКО Віталій Сергійович</t>
  </si>
  <si>
    <t>СИДОРЕНКО Максим Олександрович</t>
  </si>
  <si>
    <t>РАДЖАБОВ Амід Наджаф</t>
  </si>
  <si>
    <t>АК-74 № 5516783</t>
  </si>
  <si>
    <t>ДЗЮБА Ярослав Євгенович</t>
  </si>
  <si>
    <t>водій 3 піхотного відділення 1 піхотного взводу 2 піхотної роти 1 піхотного батальйону</t>
  </si>
  <si>
    <t>ДЕЖИН Юрій Васильович</t>
  </si>
  <si>
    <t>ЖИЛЮК Дмитро Миколайович</t>
  </si>
  <si>
    <t>СОКІЛ</t>
  </si>
  <si>
    <t>ЗАГОРУЙКО Дмитро Юрійович</t>
  </si>
  <si>
    <t>R7a s/n: 865EBCE053 + 2 акумулятора
 Тепловізор S/n: Zg09E3124421482</t>
  </si>
  <si>
    <t>ШАБАЛІН Іван Петрович</t>
  </si>
  <si>
    <t>ТЕРЕХ Денис Валерійович</t>
  </si>
  <si>
    <t>БІЛОКОНЬ Сергій Олександрович</t>
  </si>
  <si>
    <t>ФЕНІКС</t>
  </si>
  <si>
    <t>СИНИШИН Андрій Васильович</t>
  </si>
  <si>
    <t>ВЕРБА Євгеній Геннадійович</t>
  </si>
  <si>
    <t>АК-74 № 5549346</t>
  </si>
  <si>
    <t>КУКСА Олександр Максимович</t>
  </si>
  <si>
    <t>ОВЧАРЕНКО Олександр Вікторович</t>
  </si>
  <si>
    <t>ЛИПЕНЬ</t>
  </si>
  <si>
    <t>СЕМЕНЯК Костянтин Павлович</t>
  </si>
  <si>
    <t>БИЧОК Микола Миколайович</t>
  </si>
  <si>
    <t>БИЧОК</t>
  </si>
  <si>
    <t>ІЦЕНКО Віталій Олександрович</t>
  </si>
  <si>
    <t>КОРОЛЬ Юрій Ярославович</t>
  </si>
  <si>
    <t>АК-74 № 5953468</t>
  </si>
  <si>
    <t>R7a s/n: 865EASS803 + 2 акумулятора</t>
  </si>
  <si>
    <t>переведення у іншу частину</t>
  </si>
  <si>
    <t>ЛЮФТ Володимир Миколайович</t>
  </si>
  <si>
    <t>прапорщик</t>
  </si>
  <si>
    <t>ДВЕРНІК Юрій Михайлович</t>
  </si>
  <si>
    <t>БОТАН</t>
  </si>
  <si>
    <t xml:space="preserve">Старший стрілець  </t>
  </si>
  <si>
    <t>100868А</t>
  </si>
  <si>
    <t>РЕЖКО Сергій Васильович</t>
  </si>
  <si>
    <t>АК-74 № 061255</t>
  </si>
  <si>
    <t>БОРОВСЬКИХ Михайло Сергійович</t>
  </si>
  <si>
    <t>АВ 905277</t>
  </si>
  <si>
    <t>АЛФЬОРОВ Євгеній Олексійович</t>
  </si>
  <si>
    <t>АЛФЕР</t>
  </si>
  <si>
    <t>СКОРОПИШНИЙ Андрій Тимофійович</t>
  </si>
  <si>
    <t>СТУКАЛ Іван Сергійович</t>
  </si>
  <si>
    <t>командир 2 піхотного взводу 2 піхотної роти 1 піхотного батальйону</t>
  </si>
  <si>
    <t>БЕТОН</t>
  </si>
  <si>
    <t>ВОСТРОКНУТОВ Денис Сергійович</t>
  </si>
  <si>
    <t>03.09.2025</t>
  </si>
  <si>
    <t>РУДЕНКО Денис Анатолійович</t>
  </si>
  <si>
    <t>ДЕНДІ</t>
  </si>
  <si>
    <t>АК 74 4496499</t>
  </si>
  <si>
    <t>СТЕПУТЕНКО Владислав Володимирович</t>
  </si>
  <si>
    <t>КОВТУН Євген Сергійович</t>
  </si>
  <si>
    <t>РОМАНЕНКО Іван Романович</t>
  </si>
  <si>
    <t>ТАРХАНОВ Юрій Олександрович</t>
  </si>
  <si>
    <t>РЕШЕТНИК Іван Володимирович</t>
  </si>
  <si>
    <t>ЗВАРНОЙ</t>
  </si>
  <si>
    <t>МИКИТЮК Василь Михайлович</t>
  </si>
  <si>
    <t>МІРЗОЄВ Алішер Тожикулович</t>
  </si>
  <si>
    <t>АК 74 6232380</t>
  </si>
  <si>
    <t>Старший стрілець - вогнеметник</t>
  </si>
  <si>
    <t>МІЩЕНКО Сергій Анатолійович</t>
  </si>
  <si>
    <t>ПОЛІГОН Д</t>
  </si>
  <si>
    <t>ФАЗИЛОВ Руслан Мударисович</t>
  </si>
  <si>
    <t>ОТСКОЧНИЙ Борис Миколайович</t>
  </si>
  <si>
    <t>ТЕРНОВСЬКИЙ Андрій Іванович</t>
  </si>
  <si>
    <t>ДОБРИЙ</t>
  </si>
  <si>
    <t>РУС</t>
  </si>
  <si>
    <t>БЛАГОВ Денис Валерійович</t>
  </si>
  <si>
    <t>АК 74 1967156</t>
  </si>
  <si>
    <t>865ABB9398</t>
  </si>
  <si>
    <t>ЛИТВИНЕНКО Роман Олександрович</t>
  </si>
  <si>
    <t>ЗІНЬКОВ Євгеній Вікторович</t>
  </si>
  <si>
    <t>ПИСАРЕНКО Сергій Миколайович</t>
  </si>
  <si>
    <t>ПРАПОР</t>
  </si>
  <si>
    <t>ШЕВЧЕНКО Вячеслав Віталійович</t>
  </si>
  <si>
    <t>ХАРЧЕНКО Антон Дмитрович</t>
  </si>
  <si>
    <t>АК 74 262919</t>
  </si>
  <si>
    <t>2 кулеметне відділення</t>
  </si>
  <si>
    <t>БІЛОЗЕРЦЕВ Володимир Станіславович</t>
  </si>
  <si>
    <t>ПАВЛЕНКО Олександр Віталійович</t>
  </si>
  <si>
    <t>ШАПОВАЛ Олександр Володимирович</t>
  </si>
  <si>
    <t>ЛУЖИН Євгеній Анатолійович</t>
  </si>
  <si>
    <t>ПАСТУХ</t>
  </si>
  <si>
    <t>ДОКТОР</t>
  </si>
  <si>
    <t>КОВАЛЕНКО Валерій Валерійович</t>
  </si>
  <si>
    <t>КРИВОШИК Роман Віталійович</t>
  </si>
  <si>
    <t>АГЕЄВ Роман Миколайович</t>
  </si>
  <si>
    <t>ГОЛОВАТИЙ Григорій Віталійович</t>
  </si>
  <si>
    <t>СЕРГІЄНКО Артем Віталійович</t>
  </si>
  <si>
    <t>ЯСНОГОР Віталій Вікторович</t>
  </si>
  <si>
    <t>ОМАР</t>
  </si>
  <si>
    <t>ЧУКАВОВ Артур Олександрович</t>
  </si>
  <si>
    <t>ПРИБУВ Полі Б 14.06.2026</t>
  </si>
  <si>
    <t>КОСОВ Яків Сергійович</t>
  </si>
  <si>
    <t>АК 74 5382381</t>
  </si>
  <si>
    <t>865EBCJ606</t>
  </si>
  <si>
    <t>ДАНИЛОВ Павло В'ячеславович</t>
  </si>
  <si>
    <t>ТРУНОВ Борис Ігорович</t>
  </si>
  <si>
    <t>ЄЖАК Володимир Володимирович</t>
  </si>
  <si>
    <t>СТЕПАНІЩЕНКО Дмитро Миколайович</t>
  </si>
  <si>
    <t>ВЕНГЕРАК Ігор Петрович</t>
  </si>
  <si>
    <t>СУЩЕНКО Валерій Володимирович</t>
  </si>
  <si>
    <t>ВЕНГЕР</t>
  </si>
  <si>
    <t>ІСПАНЕЦЬ</t>
  </si>
  <si>
    <t>ДЖАФАРОВ Руслан Гасанович</t>
  </si>
  <si>
    <t>МАЛЮТІН Артур Віталійович</t>
  </si>
  <si>
    <t>АК 74 1847750</t>
  </si>
  <si>
    <t>СЕМЕНТІН Едуард Дмитрович</t>
  </si>
  <si>
    <t>КОЦОВСЬКИЙ Богдан Тарасович</t>
  </si>
  <si>
    <t>ШИЛО Сергій Миколайович</t>
  </si>
  <si>
    <t>АРГОН</t>
  </si>
  <si>
    <t>ПРИБУВ Полі Б 01.07.26</t>
  </si>
  <si>
    <t>БОРЗИЛО Дмитро Ілліч</t>
  </si>
  <si>
    <t>05.07.2026
ТРОМБ возможно оборвался</t>
  </si>
  <si>
    <t>МИРГОРОДСЬКИЙ Євген Сергійович</t>
  </si>
  <si>
    <t>ВОЙТОВИЧ Олег Миколайович</t>
  </si>
  <si>
    <t>АК 74 932577</t>
  </si>
  <si>
    <t>865EBCE564</t>
  </si>
  <si>
    <t>ГУЗЬ Владислав Валерійович</t>
  </si>
  <si>
    <t>старший стрілець - оператор безпілотних літальних апаратів 1 піхотного відділення 2 піхотного взводу 2 піхотної роти 1 піхотного батальйону</t>
  </si>
  <si>
    <t>КОПТЄЛИЙ Олег Сергійович</t>
  </si>
  <si>
    <t>ЮЗЬКОВ Олександр Анатолійович</t>
  </si>
  <si>
    <t>ДІДОК</t>
  </si>
  <si>
    <t>ДОЛЯ Анатолій Леонідович</t>
  </si>
  <si>
    <t>СТУПАК Олександр Олегович</t>
  </si>
  <si>
    <t xml:space="preserve">АК 74 496605
7,62мм FN Minimi FN153432   </t>
  </si>
  <si>
    <t>865EBCZ401</t>
  </si>
  <si>
    <t>СІПОВ Олександр Романович</t>
  </si>
  <si>
    <t>ЧЕРЕВАНЬ Дмитро Володимирович</t>
  </si>
  <si>
    <t>ГОШУВАТЮК Денис Вікторович</t>
  </si>
  <si>
    <t xml:space="preserve">АК 74 4422655
7,62мм FN Minimi FN153435 </t>
  </si>
  <si>
    <t>ДОРОШЕНКО Володимир Миколайович</t>
  </si>
  <si>
    <t>865EBB9115
 Тепляк Guide TD 631 s/n 2AKU5ZG09</t>
  </si>
  <si>
    <t>ТЕЛЯТНИК Віталій Миколайович</t>
  </si>
  <si>
    <t>Начальник радіостанції</t>
  </si>
  <si>
    <t>ЧАВ'ЯК Андрій Васильович</t>
  </si>
  <si>
    <t>ТПВ №4173</t>
  </si>
  <si>
    <t>ХАРЛАМОВ Віталій Валерійович</t>
  </si>
  <si>
    <t>2 ровідувальне відділення</t>
  </si>
  <si>
    <t>КАПЛУНОВ Валерій Сергійович</t>
  </si>
  <si>
    <t>БДЖОЛА</t>
  </si>
  <si>
    <t>ГАРКУША Сергій Васильович</t>
  </si>
  <si>
    <t>СО 099426</t>
  </si>
  <si>
    <t>ХРУНИК Сергій Володимирович</t>
  </si>
  <si>
    <t>АК 74 260116</t>
  </si>
  <si>
    <t>865EBBC578</t>
  </si>
  <si>
    <t>ЗАМКОВИЙ Андрій Валерійович</t>
  </si>
  <si>
    <t>БАРЧЕНКОВ Антон Олегович</t>
  </si>
  <si>
    <t>ТИЩЕНКО Юрій Олександрович</t>
  </si>
  <si>
    <t>РИБІЦЬКИЙ Олег Миколайович</t>
  </si>
  <si>
    <t>ЮЗИК</t>
  </si>
  <si>
    <t>07.09.2025</t>
  </si>
  <si>
    <t>ЯНЧИК Мирослав Федорович</t>
  </si>
  <si>
    <t>позиція ДАЛІЯ</t>
  </si>
  <si>
    <t>прибув після СЗЧ 28.06.2026</t>
  </si>
  <si>
    <t>АК 74 4438130</t>
  </si>
  <si>
    <t>865EBCD847</t>
  </si>
  <si>
    <t>ВЕЙБЕРГ Дмитро Костянтинович</t>
  </si>
  <si>
    <t>ВЛАСЮК Олексій Олексійович</t>
  </si>
  <si>
    <t>КАРПОВ Руслан Олександрович</t>
  </si>
  <si>
    <t>106646А/543</t>
  </si>
  <si>
    <t>РУЛЬ</t>
  </si>
  <si>
    <t>ЗІНЬКОВ Олександр Павлович</t>
  </si>
  <si>
    <t>Начальник групи - заступник начальника штабу</t>
  </si>
  <si>
    <t>АГ 576403</t>
  </si>
  <si>
    <t>гранатометник 1 піхотного відділення 2 піхотного взводу 2 піхотної роти 1 піхотного батальйону</t>
  </si>
  <si>
    <t>АК 74 271032</t>
  </si>
  <si>
    <t>МАМАДЖАНОВ Ігор Аліджанович</t>
  </si>
  <si>
    <t>БІГУН Микола Іванович</t>
  </si>
  <si>
    <t>865EBE2819</t>
  </si>
  <si>
    <t>ПАХОТІН Денис Леонідович</t>
  </si>
  <si>
    <t>ЯРЕМЕНКО Сергій Володимирович</t>
  </si>
  <si>
    <t>ДЖАМАЛ</t>
  </si>
  <si>
    <t>ЗАКЕРНИЧНИЙ Сергій Петрович</t>
  </si>
  <si>
    <t>МУСІЄНКО Ігор Анатолійович</t>
  </si>
  <si>
    <t>ЗАК</t>
  </si>
  <si>
    <t>ІСАЧЕНКО Ігор Михайлович</t>
  </si>
  <si>
    <t>АК 74 209113</t>
  </si>
  <si>
    <t>РОГОВ Владислав Анатолійович</t>
  </si>
  <si>
    <t>БОЙКО Сергій Віталійович</t>
  </si>
  <si>
    <t>ПОЦІПКО Роман Вікторович</t>
  </si>
  <si>
    <t>КРАКЕН</t>
  </si>
  <si>
    <t>УГНІЦЬКИЙ Володимир Ігорович</t>
  </si>
  <si>
    <t>АК 74 6242152</t>
  </si>
  <si>
    <t>865EBCZ313
 Тепляк Guide TD 631 s/n ZG09E831 25081825</t>
  </si>
  <si>
    <t>БОТУЗОВ Артем Юрійович</t>
  </si>
  <si>
    <t>ЛІНЬОВ Володимир Валерійович</t>
  </si>
  <si>
    <t>ДОЛЬФ</t>
  </si>
  <si>
    <t>молодший лейтенант медичної служби</t>
  </si>
  <si>
    <t>ШИНКАРЕНКО Тимофій Вікторович</t>
  </si>
  <si>
    <t>ПРИБУДЬКО Євген Олександрович</t>
  </si>
  <si>
    <t>АК 74 5587667</t>
  </si>
  <si>
    <t>ДОМАРАЦЬКИЙ Євгеній Володимирович</t>
  </si>
  <si>
    <t>08.09.2025</t>
  </si>
  <si>
    <t>ПРИКОМАНДИРОВАНІ</t>
  </si>
  <si>
    <t>СОЛОВЙОВ Сергій Васильович</t>
  </si>
  <si>
    <t>стрілець-помічник гранатометника 1 піхотного відділення 2 піхотного взводу 2 піхотної роти 1 піхотного батальйону</t>
  </si>
  <si>
    <t>АГ 594716</t>
  </si>
  <si>
    <t>КОЗАК Віталій Андрійович</t>
  </si>
  <si>
    <t>КРАЛЯ Олександр Сергійович</t>
  </si>
  <si>
    <t>ШРАМ Олег Миколайович</t>
  </si>
  <si>
    <t>ХОЧАЙ Олександр Миколайович</t>
  </si>
  <si>
    <t>ЦВИК Денис Васильович</t>
  </si>
  <si>
    <t>по пораненню
БР 425 ОШП 1306 від 02.11.25</t>
  </si>
  <si>
    <t>ПРИБУВ 18.02.26</t>
  </si>
  <si>
    <t>ПЕРЕРВА Микола Тимофійович</t>
  </si>
  <si>
    <t>ЖИЛА Андрій Ігорович</t>
  </si>
  <si>
    <t>ПЕТРОВСЬКИЙ Олександр Русланович</t>
  </si>
  <si>
    <t>СЕРДЮК Валерій Валерійович</t>
  </si>
  <si>
    <t>АГ 596897</t>
  </si>
  <si>
    <t>МИРОНЕЦЬ Дмитро Степанович</t>
  </si>
  <si>
    <t>СТОЛБА Антон Валентинович</t>
  </si>
  <si>
    <t>ГЛУШЕНКОВ Владислав Романович</t>
  </si>
  <si>
    <t>ОСІПОВ Андрій Юрійович</t>
  </si>
  <si>
    <t>до 20.12.2025</t>
  </si>
  <si>
    <t>ПЕТРАЧКОВ ОЛЕКСАНДР МИКОЛАЙОВИЧ</t>
  </si>
  <si>
    <t>АММОСОВ Данило Олександрович</t>
  </si>
  <si>
    <t>ШМАТЧЕНКО Андрій Олександрович</t>
  </si>
  <si>
    <t>ЛЕВІН Юрій Сергійович</t>
  </si>
  <si>
    <t>БРОНСОН</t>
  </si>
  <si>
    <t>ДРИЖОВ Максим Романович</t>
  </si>
  <si>
    <t>АК 74 6249520</t>
  </si>
  <si>
    <t>ЛЄВАШОВ Артем Ігорович</t>
  </si>
  <si>
    <t>АТОМ</t>
  </si>
  <si>
    <t>НЕСЕНЮК Юрій Павлович</t>
  </si>
  <si>
    <t>ГОРОБЕЦЬ Максим Володимирович</t>
  </si>
  <si>
    <t>ДАНИЛОВ Ігор Юрієвич</t>
  </si>
  <si>
    <t>ДАН</t>
  </si>
  <si>
    <t>ПРИБУВ 13.05.26 Чорний ЛІс</t>
  </si>
  <si>
    <t>МОЩІЛЬ Андрій Олегович</t>
  </si>
  <si>
    <t>АК 74 5535738</t>
  </si>
  <si>
    <t>865EBBB020</t>
  </si>
  <si>
    <t>КРАВЧЕНКО Андрій Ігорович</t>
  </si>
  <si>
    <t>САВІЦЬКИЙ Дмитро Андрійович</t>
  </si>
  <si>
    <t>ВЕЛИКИЙ Євген Сергійович</t>
  </si>
  <si>
    <t>ЯКОВЕНКО Павло Володимирович</t>
  </si>
  <si>
    <t>АГ 631913</t>
  </si>
  <si>
    <t>КВАС</t>
  </si>
  <si>
    <t>ДЕПУТАТ Віктор Сергійович</t>
  </si>
  <si>
    <t>РУДЕНКО Дмитро Сергійович (2000 р.н.)</t>
  </si>
  <si>
    <t>АК 74 5952229</t>
  </si>
  <si>
    <t>865EBCK200</t>
  </si>
  <si>
    <t>ІВАЩЕНКО Ігор Олександрович</t>
  </si>
  <si>
    <t>СОСНІН Василь Володимирович</t>
  </si>
  <si>
    <t>РИЖИЙ</t>
  </si>
  <si>
    <t>КАКАЦІЙ Даніл Андрійович</t>
  </si>
  <si>
    <t>ГАВРИЛЮК Олександр Володимирович</t>
  </si>
  <si>
    <t>ПРАВЕДНИК</t>
  </si>
  <si>
    <t>ГЕОРГІЄВ Артем Олександрович (30.08.1986 р.н.)</t>
  </si>
  <si>
    <t>АК 74 932565</t>
  </si>
  <si>
    <t>ЧЕРНЯВСЬКИЙ Денис Олегович</t>
  </si>
  <si>
    <t>ХАМУЛА Юрій Миколайович</t>
  </si>
  <si>
    <t>ГАЙФУЛІН Олександр Ільгизович</t>
  </si>
  <si>
    <t>НЄМЄЦ</t>
  </si>
  <si>
    <t>НЕПОРАДА Юрій Сергійович</t>
  </si>
  <si>
    <t>ХЛІВЧУК Роман Юрійович</t>
  </si>
  <si>
    <t>ХМУРЕНКО Антон Вікторович</t>
  </si>
  <si>
    <t>АК 74 930995</t>
  </si>
  <si>
    <t>ГВОЗДЕЦЬКИЙ Михайло Євстахович</t>
  </si>
  <si>
    <t>Майстер - номер обслуги</t>
  </si>
  <si>
    <t>МОРОЗОВ Богдан Володимирович</t>
  </si>
  <si>
    <t>МАРТИН Любомир Ярославович</t>
  </si>
  <si>
    <t>МАРТІН</t>
  </si>
  <si>
    <t>ІЩЕНКО Віталій Миколайович</t>
  </si>
  <si>
    <t>ПЕЧОНКІН Олександр Олександрович</t>
  </si>
  <si>
    <t>КІР'ЯН</t>
  </si>
  <si>
    <t>Радіотелефоніст - лінійний наглядач</t>
  </si>
  <si>
    <t>МАРКІВСЬКИЙ Валентин Володимирович</t>
  </si>
  <si>
    <t>СТАРОДУБ Олег Миколайович</t>
  </si>
  <si>
    <t>РЖЕВСЬКИЙ Євген Миколайович</t>
  </si>
  <si>
    <t>ДУНАЄВСЬКИЙ Максим Васильович</t>
  </si>
  <si>
    <t>АРТЮХОВ Олексій Валентинович</t>
  </si>
  <si>
    <t>ПОЛІЩУК Дмитро Володимирович</t>
  </si>
  <si>
    <t>ДЕМ</t>
  </si>
  <si>
    <t>ШМИРЬОВ Дмитро Вікторович</t>
  </si>
  <si>
    <t>БЛОНДИН</t>
  </si>
  <si>
    <t>ШВЕЦЬ Станіслав Олександрович</t>
  </si>
  <si>
    <t>09.09.2025</t>
  </si>
  <si>
    <t>КВАШЕНКО Сергій Михайлович</t>
  </si>
  <si>
    <t>АК-74 № 2096832</t>
  </si>
  <si>
    <t>R7a s/n: 865EBBC201 + 2 акумулятора</t>
  </si>
  <si>
    <t>ТОЧІЛІН Віталій Вікторович</t>
  </si>
  <si>
    <t>Командир відділення - командир екіпажу безпілотних авіаційних комплексів</t>
  </si>
  <si>
    <t>БАБКІН Станіслав Андрійович</t>
  </si>
  <si>
    <t>ШАШКОВ Антон Сергійович</t>
  </si>
  <si>
    <t>ТАТАРЕНКО Сергій Олександрович</t>
  </si>
  <si>
    <t>МАГАЗИН</t>
  </si>
  <si>
    <t>РІЗНИК Олександр Павлович</t>
  </si>
  <si>
    <t>МЯЛУК Антон Володимирович</t>
  </si>
  <si>
    <t>ПАТКАНОВЦІЙ Степан Степанович</t>
  </si>
  <si>
    <t>АК-74 № 5592023
7,62мм FN Minimi FN153386</t>
  </si>
  <si>
    <t>ФРЕЙЛІХ Олександр Віталійович</t>
  </si>
  <si>
    <t>гранатометник 2 піхотного відділення 2 піхотного взводу 2 піхотної роти 1 піхотного батальйону</t>
  </si>
  <si>
    <t>R7a s/n: 865EBCJ606 + 2 акумулятора</t>
  </si>
  <si>
    <t>ГУЛАК Віталій Михайлович</t>
  </si>
  <si>
    <t>АГ 535749</t>
  </si>
  <si>
    <t>РОМАНЕНКО Юрій Володимирович</t>
  </si>
  <si>
    <t>ТРАКТОР</t>
  </si>
  <si>
    <t>ДОВГИЙ Денис Русланович</t>
  </si>
  <si>
    <t>МАТВІЙЧУК Владислав Валентинович</t>
  </si>
  <si>
    <t>СИНОПТИК</t>
  </si>
  <si>
    <t>ПРИНЬКО Микола Анатолійович</t>
  </si>
  <si>
    <t>РЕМЕТА Ярослав Сергійович</t>
  </si>
  <si>
    <t>КОФЕ</t>
  </si>
  <si>
    <t>ФЕДОРЧЕНКО Владислав Станіславович</t>
  </si>
  <si>
    <t>АК-74 № 5559591</t>
  </si>
  <si>
    <t>R7a s/n: 865EBCE174 + 2 акумулятора</t>
  </si>
  <si>
    <t>НОВІКОВ Сергій Сергійович</t>
  </si>
  <si>
    <t>Головний сержант- командир відділення</t>
  </si>
  <si>
    <t>НЕСТЕРЕНКО Дмитро Сергійович (03.10.1988 р.н.)</t>
  </si>
  <si>
    <t>вибув до Бобра з МР 10.12.2025</t>
  </si>
  <si>
    <t>ШУРУБУРА Сергій Станіславович</t>
  </si>
  <si>
    <t>АВІЛОВ Денис Володимирович</t>
  </si>
  <si>
    <t>Полігон Б</t>
  </si>
  <si>
    <t>СІРООКИЙ Андрій Олексійович</t>
  </si>
  <si>
    <t>АК-74 № 5951527</t>
  </si>
  <si>
    <t>РОГОЖНИКОВ Олексій Ігорович</t>
  </si>
  <si>
    <t>ДЖОБС</t>
  </si>
  <si>
    <t>НЕМІРОВИЧ Оксана Вікторівна</t>
  </si>
  <si>
    <t>АГЕЄВ Віктор Сергійович</t>
  </si>
  <si>
    <t>Фельдшер</t>
  </si>
  <si>
    <t>СМІРНОВ Максим Миколайович</t>
  </si>
  <si>
    <t>КЛЕПАК Валентин Віталійович</t>
  </si>
  <si>
    <t>ПЄНОВ Геннадій Георгійович</t>
  </si>
  <si>
    <t>ПІЛЬЧАК Олег Петрович</t>
  </si>
  <si>
    <t>ПЄНА</t>
  </si>
  <si>
    <t>ТЕРЕЩУК Денис Георгійович</t>
  </si>
  <si>
    <t>АК-74 № 4422922</t>
  </si>
  <si>
    <t>ПАРХОМЕНКО Сергій Юрійович</t>
  </si>
  <si>
    <t>ПАРХОМ</t>
  </si>
  <si>
    <t>ШУМЕЙКО Максим Васильович</t>
  </si>
  <si>
    <t>ТИХИЙ Дмитро Володимирович</t>
  </si>
  <si>
    <t>СІТАРУК Віталій Миколайович</t>
  </si>
  <si>
    <t>10.09.2025</t>
  </si>
  <si>
    <t>ЗАНЕВІЧ Павло Сергійович</t>
  </si>
  <si>
    <t>МОРОДЕЦЬКИЙ Віталій Бронеславович</t>
  </si>
  <si>
    <t>АК-74 № 261198</t>
  </si>
  <si>
    <t>R7a s/n: 865EAQY539 + 2 акумулятора</t>
  </si>
  <si>
    <t>ШИРОКОЛАВ Сергій Анатолійович</t>
  </si>
  <si>
    <t>КИРИЧЕНКО Дмитро Леонідович</t>
  </si>
  <si>
    <t>УХІН Андрій Олександрович</t>
  </si>
  <si>
    <t>БАБИЧ Валерій Олександрович</t>
  </si>
  <si>
    <t>БУБЕНЮК Владислав Володимирович</t>
  </si>
  <si>
    <t>ЧОБАН Артем Павлович</t>
  </si>
  <si>
    <t>АК-74 № 264350</t>
  </si>
  <si>
    <t>ОСТАШЕВСЬКИЙ Юрій В'ячеславович</t>
  </si>
  <si>
    <t>ВІРСТЮК Михайло Васильович</t>
  </si>
  <si>
    <t>Командир машини</t>
  </si>
  <si>
    <t>ХУДАН Олександр Сергійович</t>
  </si>
  <si>
    <t>ЕКС</t>
  </si>
  <si>
    <t>БОДЕСКО Олександр Валентинович</t>
  </si>
  <si>
    <t>БАС Сергій Володимирович</t>
  </si>
  <si>
    <t>БАКС</t>
  </si>
  <si>
    <t>АК-74 № 1870970</t>
  </si>
  <si>
    <t>СЄРІКОВ Олександр Андрійович</t>
  </si>
  <si>
    <t>R7a s/n: 865EBBB787 + 2 акумулятора</t>
  </si>
  <si>
    <t>САНДУЛЕНКО Сергій Віталійович</t>
  </si>
  <si>
    <t>АГ 007184</t>
  </si>
  <si>
    <t>ЙОЛКІН Андрій Сергійович</t>
  </si>
  <si>
    <t>МАРТИНЕНКО Олександр Антонович</t>
  </si>
  <si>
    <t>ЛЕОНОВ Сергій Володимирович</t>
  </si>
  <si>
    <t>САІД</t>
  </si>
  <si>
    <t>ЛЕО</t>
  </si>
  <si>
    <t>ІВАНИЦЬКИЙ Олександр Андрійович</t>
  </si>
  <si>
    <t>ІВАНЧО Олександр Іванович</t>
  </si>
  <si>
    <t>АК-74 № 1697767</t>
  </si>
  <si>
    <t>ХРИСТИЧ Сергій Вікторович</t>
  </si>
  <si>
    <t>МАМАТОВ Владислав Валерійович</t>
  </si>
  <si>
    <t>ЯКУЩЕНКО Дмитро Андрійович</t>
  </si>
  <si>
    <t>НЕСТЕРЕНКО Віктор Миколайович</t>
  </si>
  <si>
    <t>ГРЕЧКІН Євген Юрійович</t>
  </si>
  <si>
    <t>ОРЕЛ Едуард Ігорович</t>
  </si>
  <si>
    <t>АК-74 № 5637361</t>
  </si>
  <si>
    <t>по хворобі
прибув після СЗЧ 10.08.2026</t>
  </si>
  <si>
    <t>МИРОНЕНКО Олександр В'ячеславович</t>
  </si>
  <si>
    <t>ЧЕРШУКОВ Дмитро Олександрович</t>
  </si>
  <si>
    <t>РИЛЬСЬКИЙ В'ячеслав Миколайович</t>
  </si>
  <si>
    <t>ПОСТЕВОЙ Іван Яковлевич</t>
  </si>
  <si>
    <t>СЛЕСЕНКО Андрій В'ячеславович</t>
  </si>
  <si>
    <t>САФОН</t>
  </si>
  <si>
    <t>ОСЬМУХА Євгеній Олександрович</t>
  </si>
  <si>
    <t>НІКІТЧИК Роман Володимирович</t>
  </si>
  <si>
    <t>ДІГТЯРЕНКО Олексій Євгенович</t>
  </si>
  <si>
    <t>ЧЕРВОНИЙ</t>
  </si>
  <si>
    <t>Закінчення курсу 02.08.26</t>
  </si>
  <si>
    <t>ДОБРЕЛЯ Андрій Леонідович</t>
  </si>
  <si>
    <t>ПАНАСЮК Денис Васильович</t>
  </si>
  <si>
    <t>прибув після СЗЧ 01.06.2026</t>
  </si>
  <si>
    <t>ФУРСОВ Олександр Павлович</t>
  </si>
  <si>
    <t>деловод медиков</t>
  </si>
  <si>
    <t>ПАНЬКІВ Назар Іванович</t>
  </si>
  <si>
    <t>ЛЯГІН Володимир Володимирович</t>
  </si>
  <si>
    <t>АНДРЕЄВ Олексій Володимирович</t>
  </si>
  <si>
    <t>На виконанні. Водій мотоциклу.</t>
  </si>
  <si>
    <t>Головний сержант - командир гармати</t>
  </si>
  <si>
    <t>АНДРЄЄВ Олег Романович</t>
  </si>
  <si>
    <t>АНДРУСИШИН Тарас Михайлович</t>
  </si>
  <si>
    <t>водій-радіотелефоніст 2 піхотного відділення 2 піхотного взводу 2 піхотної роти 1 піхотного батальйону</t>
  </si>
  <si>
    <t>Заступник командира дивізіону з озброєння</t>
  </si>
  <si>
    <t>АНТОНЕНКО Юрій Юрійович</t>
  </si>
  <si>
    <t>АГ 161655</t>
  </si>
  <si>
    <t>БИКОВ Денис Володимирович</t>
  </si>
  <si>
    <t>ПРОВОЗІН Євгеній Олександрович</t>
  </si>
  <si>
    <t>ДЕМОН</t>
  </si>
  <si>
    <t>ДІВІДІ</t>
  </si>
  <si>
    <t>АНТОНОВ Роман Сергійович</t>
  </si>
  <si>
    <t>АРТЬОМОВ Дмитро В'ячеславович</t>
  </si>
  <si>
    <t>КАЛІТНИК Максим Володимирович</t>
  </si>
  <si>
    <t>АК 74 4280502</t>
  </si>
  <si>
    <t>Motorola 7a № 865EBBA657</t>
  </si>
  <si>
    <t>АРШИННІКОВ Сергій Олександрович</t>
  </si>
  <si>
    <t>АСТАШКЕВИЧ Микола Миколайович</t>
  </si>
  <si>
    <t>прибув 06.06.2026</t>
  </si>
  <si>
    <t>под СОЛЯМИ</t>
  </si>
  <si>
    <t>БАГНЮК Руслан Сергійович</t>
  </si>
  <si>
    <t>СИКТІН Олександр Анатолійович</t>
  </si>
  <si>
    <t>ШУРИК</t>
  </si>
  <si>
    <t>БІЛОКОНЬ Сергій Сергійович</t>
  </si>
  <si>
    <t>Майстер- номер обслуги</t>
  </si>
  <si>
    <t>вогнеметник 2 піхотного відділення 2 піхотного взводу 2 піхотної роти 1 піхотного батальйону</t>
  </si>
  <si>
    <t>АК 74 1664082</t>
  </si>
  <si>
    <t>БІРЯЄВ Олександр Вікторович</t>
  </si>
  <si>
    <t>БОРМІН Сергій Леонідович</t>
  </si>
  <si>
    <t>БУДНИК Борис Валентинович</t>
  </si>
  <si>
    <t>Головний сержант- командир гармати</t>
  </si>
  <si>
    <t>ВАКУЛІЧ Ілля Васильович</t>
  </si>
  <si>
    <t>АК 74 265666</t>
  </si>
  <si>
    <t>Командир гармати</t>
  </si>
  <si>
    <t>АГ 152606</t>
  </si>
  <si>
    <t>ЯНКОВСЬКИЙ Олександр Павлович</t>
  </si>
  <si>
    <t>КУХАР</t>
  </si>
  <si>
    <t>ВАСИЛЬЧЕНКО Олександр Олегович</t>
  </si>
  <si>
    <t xml:space="preserve"> вибув з МР 25.11.2025 на "П" . Забрав Клєщ</t>
  </si>
  <si>
    <t>ГАЙЧЕНКО Юрій Олегович</t>
  </si>
  <si>
    <t>ПОДАТЬ НА ДВ НА 80 МАНДРІВНИК, за февраль</t>
  </si>
  <si>
    <t>ГАЯНСЬКИЙ Артем Вікторович</t>
  </si>
  <si>
    <t>ГЕРАСИМЧУК Олег Дмитрович</t>
  </si>
  <si>
    <t>Motorola 7a № 865EBC7444</t>
  </si>
  <si>
    <t>ГЕРАСИМЧУК Олексій Олександрович</t>
  </si>
  <si>
    <t>Командир дивізіону</t>
  </si>
  <si>
    <t>ГОНЧАР Денис Євгенович</t>
  </si>
  <si>
    <t>БР 425 ОШП 1432 від 11.11.25</t>
  </si>
  <si>
    <t>БОГУН Юрій Петрович</t>
  </si>
  <si>
    <t>ГОНЧАР Сергій Едуардович</t>
  </si>
  <si>
    <t>ГРЕСЬ В'ячеслав Ігорович</t>
  </si>
  <si>
    <t>ГРИСЬ Олександр Васильович</t>
  </si>
  <si>
    <t>АВ 855124</t>
  </si>
  <si>
    <t>АК 74 2094757</t>
  </si>
  <si>
    <t>Motorola 7a № 865EBCJ639</t>
  </si>
  <si>
    <t>ГРИНЧУК Ігор Олександрович</t>
  </si>
  <si>
    <t>ГУБАР Олександр Володимирович</t>
  </si>
  <si>
    <t>ГУК Сергій Сергійович</t>
  </si>
  <si>
    <t>старший стрілець - оператор безпілотних літальних апаратів 3 піхотного відділення 2 піхотного взводу 2 піхотної роти 1 піхотного батальйону</t>
  </si>
  <si>
    <t>ДОВБНЯ Олексій Олександрович</t>
  </si>
  <si>
    <t>ГУМІН Максим Вікторович</t>
  </si>
  <si>
    <t>ДЗЮБЕНКО Кирил Ігорович</t>
  </si>
  <si>
    <t>КИРЮХА</t>
  </si>
  <si>
    <t>ГУРЕЦЬ Микола Миколайович</t>
  </si>
  <si>
    <t>АК 74 6286001</t>
  </si>
  <si>
    <t>ДАДИЧ Дмитро Валерійович</t>
  </si>
  <si>
    <t>ДОБРИЙ Станіслав Костянтинович</t>
  </si>
  <si>
    <t>АГ 080491</t>
  </si>
  <si>
    <t>ГАТАЛА Олександр Ярославович</t>
  </si>
  <si>
    <t>ПРИВИД</t>
  </si>
  <si>
    <t>ДУШКО Олександр Володимирович</t>
  </si>
  <si>
    <t>ЄЛОВСЬКИЙ Віктор Олександрович</t>
  </si>
  <si>
    <t>гранатометник 3 піхотного відділення 2 піхотного взводу 2 піхотної роти 1 піхотного батальйону</t>
  </si>
  <si>
    <t>Motorola 7a № 865EAKF356</t>
  </si>
  <si>
    <t>ЖУРТОВ Андрій Андрійович</t>
  </si>
  <si>
    <t>АГ 452499</t>
  </si>
  <si>
    <t>ЗАІЧЕНКО Володимир Сергійович</t>
  </si>
  <si>
    <t>ОНУФРАК Володимир Ілліч</t>
  </si>
  <si>
    <t>ЗАПОРОЖЕЦЬ Олександр Євгенович</t>
  </si>
  <si>
    <t>ГРИЩУК Віктор Миколайович</t>
  </si>
  <si>
    <t>ЗАПОРОЖЕЦЬ Сергій Володимирович</t>
  </si>
  <si>
    <t>Начальник майстерні</t>
  </si>
  <si>
    <t>КЕМЕН Андрій Олександрович</t>
  </si>
  <si>
    <t>ФІЗРУК</t>
  </si>
  <si>
    <t>ЗАТУЛА Дмитро Юрійович</t>
  </si>
  <si>
    <t>АК 74 2210235</t>
  </si>
  <si>
    <t>Motorola 7a № 865EBCJ523</t>
  </si>
  <si>
    <t>ЗЛИДАР Віталій Петрович</t>
  </si>
  <si>
    <t>ЗМІЄВСЬКИЙ Павло Петрович</t>
  </si>
  <si>
    <t>ПРИБУВ 26.04.26
рука не діє</t>
  </si>
  <si>
    <t>СУХАРЄВ Леонід Володимирович</t>
  </si>
  <si>
    <t>ЗОТОВ Антон Васильович</t>
  </si>
  <si>
    <t>ІВАНЦІВ Андрій Петрович</t>
  </si>
  <si>
    <t>АК 74 6250532</t>
  </si>
  <si>
    <t>НЕЧАЮК Олександр Євгенович</t>
  </si>
  <si>
    <t>Motorola 7a № 865EBCE059</t>
  </si>
  <si>
    <t>КАДОЧНІКОВ Денис Леонідович</t>
  </si>
  <si>
    <t>СМАЙЛ</t>
  </si>
  <si>
    <t>МАРЦИНЕНКО Олександр Олександрович</t>
  </si>
  <si>
    <t>ДЕВ</t>
  </si>
  <si>
    <t>н.п. Нова Січ</t>
  </si>
  <si>
    <t>КАЛАШНІКОВ Андрій Сергійович</t>
  </si>
  <si>
    <t>2РТГр</t>
  </si>
  <si>
    <t>КАНДИБА Руслан Олександрович</t>
  </si>
  <si>
    <t>КАРПЕЦЬ Костянтин Іванович</t>
  </si>
  <si>
    <t>Розвідник- далекомірник</t>
  </si>
  <si>
    <t>МП-120 №01299
АК-74 №1681538</t>
  </si>
  <si>
    <t>R7a s/n: 865ЕВЕ2631</t>
  </si>
  <si>
    <t>Мінометний приціл МРМ-44М №241093
Portable Power Station s/n: W2D004f83
Starlink s/n: P4CTV4CTO3283079</t>
  </si>
  <si>
    <t>КАРЯЧКА Олександр Васильович</t>
  </si>
  <si>
    <t>КІРЄЄВ Костянтин Костянтинович</t>
  </si>
  <si>
    <t>АГ 093252</t>
  </si>
  <si>
    <t>КОВАЛЕНКО Сергій Анатолійович</t>
  </si>
  <si>
    <t>ОБЛОЖОК Юрій Олександрович</t>
  </si>
  <si>
    <t>ЙОРІК</t>
  </si>
  <si>
    <t>АГ 009497</t>
  </si>
  <si>
    <t>КОВГАР Сергій Володимирович</t>
  </si>
  <si>
    <t>R7a s/n: 865EBСК241</t>
  </si>
  <si>
    <t>КОЗЛОВ Микола Олександрович</t>
  </si>
  <si>
    <t>Командир батареї</t>
  </si>
  <si>
    <t>КОНЬКОВ Олександр Володимирович</t>
  </si>
  <si>
    <t>КРАВЦОВ Сергій Анатолійович</t>
  </si>
  <si>
    <t>по пораненню
Водій квадроциклу</t>
  </si>
  <si>
    <t>КРАВЧУК Максим Олексійович</t>
  </si>
  <si>
    <t>оператор безпілотних літальних апаратів 2 відділення безпілотних авіаційних комплексів взводу безпілотних авіаційних комплексів роти безпілотних авіаційних комплексів мотопіхотного батальйону</t>
  </si>
  <si>
    <t>КРАСНОВ Юрій Валентинович</t>
  </si>
  <si>
    <t>ШЕСТЕРНЕНКО Роман Васильович</t>
  </si>
  <si>
    <t>КРАСЮК Юрій Володимирович</t>
  </si>
  <si>
    <t>Начальник штабу - заступник командира дивізіону</t>
  </si>
  <si>
    <t>КУЛАБУХОВ Михайло Володимирович</t>
  </si>
  <si>
    <t>БРИКАЛО Сергій Борисович</t>
  </si>
  <si>
    <t>БРИК</t>
  </si>
  <si>
    <t>КУЛИК Олексій Вікторович</t>
  </si>
  <si>
    <t>БР 425 ОШП 1406 від 09.11.25</t>
  </si>
  <si>
    <t>КУТЕПОВ Сергій Валерійович</t>
  </si>
  <si>
    <t>КУШНІРЕНКО Віталій Васильович</t>
  </si>
  <si>
    <t>оператор безпілотних літальних апаратів 8 відділення безпілотних авіаційних комплексів взводу безпілотних авіаційних комплексів роти безпілотних авіаційних комплексів мотопіхотного батальйону</t>
  </si>
  <si>
    <t>ЛЕВЧЕНКО Іван Петрович</t>
  </si>
  <si>
    <t>ВАСКАН Антон Андрійович</t>
  </si>
  <si>
    <t>ВАСКАН</t>
  </si>
  <si>
    <t>АК 74 №6289377</t>
  </si>
  <si>
    <t>865EAPK820
Тепловізійний монокуляр Guide TD 631 s/n ZG09G3125020117</t>
  </si>
  <si>
    <t>ЛЕНЕНКО Євген Іванович</t>
  </si>
  <si>
    <t>ЛЕСНЯНСЬКИЙ Володимир Євгенович</t>
  </si>
  <si>
    <t>ЛУЗАН Ігор Олексійович</t>
  </si>
  <si>
    <t>ОЛІЙНИК Петро Іванович</t>
  </si>
  <si>
    <t>супровід групи</t>
  </si>
  <si>
    <t>КАВАСАКІ</t>
  </si>
  <si>
    <t>МАЙФЕТ Олександр Миколайович</t>
  </si>
  <si>
    <t>оператор-радіотелефоніст відділення управління штабу взводу зв’язку мотопіхотного батальйону</t>
  </si>
  <si>
    <t>МАЛИК Сергій Олександрович</t>
  </si>
  <si>
    <t>АК 74 №2275761</t>
  </si>
  <si>
    <t>ЯКОВИШИН Олександр Володимирович</t>
  </si>
  <si>
    <t>МАРУЩАК Василь Володимирович</t>
  </si>
  <si>
    <t>на Бани</t>
  </si>
  <si>
    <t>МАЦЕЛЮХ Василь Васильович</t>
  </si>
  <si>
    <t>АНДРУШКО Артур Романович</t>
  </si>
  <si>
    <t>ФОРЕСТ</t>
  </si>
  <si>
    <t>МЕДЯНИК Сергій Валерійович</t>
  </si>
  <si>
    <t>водій 3 піхотного відділення 2 піхотного взводу 2 піхотної роти 1 піхотного батальйону</t>
  </si>
  <si>
    <t>МІСНІЧЕНКО В'ячеслав Михайлович</t>
  </si>
  <si>
    <t>АК 74 4265079</t>
  </si>
  <si>
    <t>Motorola 7a № 865EBВВ020
Тепловізор № ZG09G31250200101</t>
  </si>
  <si>
    <t>МІЩЕНКО Денис Миколайович</t>
  </si>
  <si>
    <t>КАНАЄВ Дмитро Миколайович</t>
  </si>
  <si>
    <t>ГЛИБА</t>
  </si>
  <si>
    <t>оператор безпілотних літальних апаратів 2 відділення ударних безпілотних авіаційних комплексів 1 взводу ударних безпілотних авіаційних комплексів роти безпілотних авіаційних комплексів мотопіхотного батальйону</t>
  </si>
  <si>
    <t>ОСТРОВЕРХ Сергій Васильович</t>
  </si>
  <si>
    <t>ЦУБОВ Євгеній Валентинович</t>
  </si>
  <si>
    <t>БУГИРА Денис Володимирович</t>
  </si>
  <si>
    <t>СМІШНИЙ</t>
  </si>
  <si>
    <t>ПАНЧЕР Олександр Сергійович</t>
  </si>
  <si>
    <t>ПАРИНЮК Петро Артемович</t>
  </si>
  <si>
    <t>АК 74 6211553</t>
  </si>
  <si>
    <t>Водій В, Крупногабарит, ездил на мане, івеко</t>
  </si>
  <si>
    <t>Motorola 7a № 865EBВА244
Тепловізор № ZG09G3125020119</t>
  </si>
  <si>
    <t>ПАШКОВЕЦЬ Євгеній Костянтинович</t>
  </si>
  <si>
    <t>Командир відділення- командир екіпажу безпілотних літальних комплексів</t>
  </si>
  <si>
    <t>ПЕТЛЬОВАНИЙ Артур Ігорович</t>
  </si>
  <si>
    <t>ПЕТРЕНКО Артем Олегович</t>
  </si>
  <si>
    <t>Старший радіотелефоніст</t>
  </si>
  <si>
    <t>ФЕДОРОВ Олег Олексійович</t>
  </si>
  <si>
    <t>НОН</t>
  </si>
  <si>
    <t>ПЕТРИЧЕНКО Владислав Олександрович</t>
  </si>
  <si>
    <t>АК 74 6240650</t>
  </si>
  <si>
    <t>ПАВЛОВ Олександр Вадимович</t>
  </si>
  <si>
    <t>ПІДГАЄЦЬКИЙ Олександр Васильович</t>
  </si>
  <si>
    <t>ДЕКСТЕР</t>
  </si>
  <si>
    <t>Командир взводу- старший офіцер на батареї</t>
  </si>
  <si>
    <t>ПОВ'ЯКАЛО Володимир Володимирович</t>
  </si>
  <si>
    <t>в таблиці БРЕЗ є БЗВП
скан в/к с БЗВП</t>
  </si>
  <si>
    <t>МИХАЙЛОВ Володимир Леонідович</t>
  </si>
  <si>
    <t>ПОЛІЩУК Андрій Юрійович</t>
  </si>
  <si>
    <t>ДЖО</t>
  </si>
  <si>
    <t>ПОЛЯК Олександр Павлович</t>
  </si>
  <si>
    <t>АК 74 1680525</t>
  </si>
  <si>
    <t>ПОПОВ Микола Петрович</t>
  </si>
  <si>
    <t>ПОПОВ Роман Русланович</t>
  </si>
  <si>
    <t>командир 3 піхотного взводу 2 піхотної роти 1 піхотного батальйону</t>
  </si>
  <si>
    <t>стрілець-помічник гранатометника 1 мотопіхотного відділення 3 мотопіхотного взводу 2 мотопіхотної роти мотопіхотного батальйону</t>
  </si>
  <si>
    <t>ПОШУТИЛО Вадим Володимирович</t>
  </si>
  <si>
    <t>ПОШКУРЛАТ Сергій Володимирович</t>
  </si>
  <si>
    <t>КОЗЛОВ Ігор Леонідович</t>
  </si>
  <si>
    <t>АГ 539872</t>
  </si>
  <si>
    <t>ЧІКІ</t>
  </si>
  <si>
    <t>ПОШТЕНКО Олександр Володимирович</t>
  </si>
  <si>
    <t>БЕРТІН Сергій Олександрович</t>
  </si>
  <si>
    <t>БЕРТ</t>
  </si>
  <si>
    <t>АК 74 1674699</t>
  </si>
  <si>
    <t>Motorola 7a № 865EASS713</t>
  </si>
  <si>
    <t>ПРИЩЕПА Вадим Вікторович</t>
  </si>
  <si>
    <t>РАЧИНСЬКИЙ Андрій Сергійович</t>
  </si>
  <si>
    <t>РЕБРОВ Денис Юрійович</t>
  </si>
  <si>
    <t>ГРУШКО Євген Ростиславович</t>
  </si>
  <si>
    <t>БР 425 ОШП 1602 від 27.11.25</t>
  </si>
  <si>
    <t>РІЧІ</t>
  </si>
  <si>
    <t>РИБАЛКА Михайло Іванович</t>
  </si>
  <si>
    <t>РОМАНЮК Олександр Григорович</t>
  </si>
  <si>
    <t>АК 74 265401</t>
  </si>
  <si>
    <t>стрілець-помічник гранатометника 2 мотопіхотного відділення 2 мотопіхотного взводу 3 мотопіхотної роти мотопіхотного батальйону</t>
  </si>
  <si>
    <t>СЕМЕНИШЕН Дмитро Миколайович</t>
  </si>
  <si>
    <t>КОЗАДАЄВ Руслан Валерійович</t>
  </si>
  <si>
    <t>ГРОХОТ</t>
  </si>
  <si>
    <t>СЕРГІЄНКО Данило Віталійович</t>
  </si>
  <si>
    <t>СІВАК Руслан Андрійович</t>
  </si>
  <si>
    <t>СТУПА Віктор Михайлович</t>
  </si>
  <si>
    <t>ТИХОН</t>
  </si>
  <si>
    <t>СОБОЛЄВ Ігор Вадимович</t>
  </si>
  <si>
    <t>АК 74 5586120</t>
  </si>
  <si>
    <t>СОЙМА Юрій Юрійович</t>
  </si>
  <si>
    <t>програмирование для РБпАК</t>
  </si>
  <si>
    <t>СТАСЮК Владислав Олександрович</t>
  </si>
  <si>
    <t>стрілець-снайпер 2 мотопіхотного відділення 1 мотопіхотного взводу 3 мотопіхотної роти мотопіхотного батальйону військової частини А5006</t>
  </si>
  <si>
    <t>БИЧИК Андрій Петрович</t>
  </si>
  <si>
    <t>СТАСЮК Сергій Анатолійович</t>
  </si>
  <si>
    <t>КОВАЛЬСЬКИЙ</t>
  </si>
  <si>
    <t>радіотелефоніст 3 піхотного взводу 2 піхотної роти 1 піхотного батальйону</t>
  </si>
  <si>
    <t>ОМЕЛЬЯНЕНКО Олег Іванович</t>
  </si>
  <si>
    <t>СТЕФАНИШИН Іван Іванович</t>
  </si>
  <si>
    <t>ОМЕЛЯ</t>
  </si>
  <si>
    <t>СУСЛІЧ Анатолій Анатолійович</t>
  </si>
  <si>
    <t>АК 74 1704777</t>
  </si>
  <si>
    <t>Motorola 7a № 865EBCE053
Монокуляр нічного бачення M14U: №27188</t>
  </si>
  <si>
    <t>ТАРГОНСЬКИЙ Максим Леонідович</t>
  </si>
  <si>
    <t>ТРАСОРУБ Олег Віталійович</t>
  </si>
  <si>
    <t>ТРОХИМЕНКО Юрій Володимирович</t>
  </si>
  <si>
    <t>БР 425 ОШП 1827 від 19.12.25</t>
  </si>
  <si>
    <t>СЕМЧУК Роман Анатолійович</t>
  </si>
  <si>
    <t>РОМ</t>
  </si>
  <si>
    <t>УШАКОВ Юрій Миколайович</t>
  </si>
  <si>
    <t>ФЛІС Руслан Володимирович</t>
  </si>
  <si>
    <t>кулеметник 3 мотопіхотного відділення 1 мотопіхотного взводу 3 мотопіхотної роти мотопіхотного батальйону військової частини А5006</t>
  </si>
  <si>
    <t>Такелажник</t>
  </si>
  <si>
    <t>Motorola 7a № 865EBBC578</t>
  </si>
  <si>
    <t>ФОДЧУК Микола Михайлович</t>
  </si>
  <si>
    <t>БОДНЯ Віталій Володимирович</t>
  </si>
  <si>
    <t>МАХНО</t>
  </si>
  <si>
    <t>ЦЮЦЮРА Олег Григорович</t>
  </si>
  <si>
    <t>ПИРОГОВ Микола Федорович</t>
  </si>
  <si>
    <t>БУБЛІКОВ</t>
  </si>
  <si>
    <t>ЧЕРНОУС Андрій Юрійович</t>
  </si>
  <si>
    <t>ЧИЧИК Андрій Миколайович</t>
  </si>
  <si>
    <t>АК 74 1683511</t>
  </si>
  <si>
    <t>ШАКІН Віктор Сергійович</t>
  </si>
  <si>
    <t>номер обслуги 1 гранатометного відділення гранатометного взводу мотопіхотного батальйону військової частини А5006</t>
  </si>
  <si>
    <t>ЯКОВЕЦЬ Сергій Миколайович</t>
  </si>
  <si>
    <t>на навчання по зв'язку з Зимою 20.02.26
на лікування 10.08.2026</t>
  </si>
  <si>
    <t>КІНДІЙ Володимир Ігорович</t>
  </si>
  <si>
    <t>МІЩЕНКО Володимир Валентинович</t>
  </si>
  <si>
    <t>АРКО</t>
  </si>
  <si>
    <t>ЯНУШКЕВИЧ Андрій Вікторович</t>
  </si>
  <si>
    <t>ЯРЕМКО Роман Петрович</t>
  </si>
  <si>
    <t>АК 74 264651</t>
  </si>
  <si>
    <t>Motorola 7a № 865EBCE564</t>
  </si>
  <si>
    <t>старший стрілець - оператор безпілотних літальних апаратів 1 піхотного відділення 3 піхотного взводу 2 піхотної роти 1 піхотного батальйону</t>
  </si>
  <si>
    <t>ЯХНО Юрій Вікторович</t>
  </si>
  <si>
    <t>АРКАТОВ Іван Олександрович</t>
  </si>
  <si>
    <t>ЄВРЕЄНКО Віталій Костянтинович</t>
  </si>
  <si>
    <t>ПЕРО</t>
  </si>
  <si>
    <t>ВІННИК Павло Сергійович</t>
  </si>
  <si>
    <t>ГОДЗІШЕВСЬКИЙ Денис Олександрович</t>
  </si>
  <si>
    <t>водій-сапер 1 інженерно-саперного відділення інженерно-саперного взводу мотопіхотного батальйону</t>
  </si>
  <si>
    <t>АК 74 №2114948</t>
  </si>
  <si>
    <t>ДЖАББАРОВ Володимир Алетович</t>
  </si>
  <si>
    <t>Старший розвідник - радіотелефоніст</t>
  </si>
  <si>
    <t>ПОТОМАХІН Сергій Анатолійович</t>
  </si>
  <si>
    <t>КЛИМ Володимир Михайлович</t>
  </si>
  <si>
    <t>ДУМАН Михайло Станіславович</t>
  </si>
  <si>
    <t>КОГУТ Іван Іванович</t>
  </si>
  <si>
    <t>КОМІССАРОВ Юрій Володимирович</t>
  </si>
  <si>
    <t>АК 74 3258045</t>
  </si>
  <si>
    <t>Motorola 7a № 865EASS809</t>
  </si>
  <si>
    <t>КОНОНОВ Юрій Юрійович</t>
  </si>
  <si>
    <t>старший водій 1 піхотного відділення 3 піхотного взводу 2 піхотної роти 1 піхотного батальйону</t>
  </si>
  <si>
    <t>КУЧЕР Анатолій Олександрович</t>
  </si>
  <si>
    <t>кулеметник 2 мотопіхотного відділення 1 мотопіхотного взводу 2 мотопіхотної роти мотопіхотного батальйону</t>
  </si>
  <si>
    <t>КИСЛЮК Дмитро Олександрович</t>
  </si>
  <si>
    <t>ПОЛТАВСЬКИЙ Євген Володимирович</t>
  </si>
  <si>
    <t>МЕКЕЛІН Юрій Сергійович</t>
  </si>
  <si>
    <t>КИСЛИЙ</t>
  </si>
  <si>
    <t>ПУГЛИВИЙ</t>
  </si>
  <si>
    <t>ШУЛЬГА Євгеній Миколайович</t>
  </si>
  <si>
    <t>МИРОНЕНКО Віталій Анатолійович</t>
  </si>
  <si>
    <t>АК 74 6266017</t>
  </si>
  <si>
    <t>МУШКАТЬОРОВ Роман Володимирович</t>
  </si>
  <si>
    <t>ПІВТОРАК Дмитро Миколайович</t>
  </si>
  <si>
    <t>ПІСКУНОВ Сергій Петрович</t>
  </si>
  <si>
    <t>ПЄРЄВЄРЗЄВ Андрій Іванович</t>
  </si>
  <si>
    <t>стрілець 2 мотопіхотного відділення 2 мотопіхотного взводу 2 мотопіхотної роти мотопіхотного батальйону</t>
  </si>
  <si>
    <t>ПОНОМАРЕНКО Дмитро Олександрович</t>
  </si>
  <si>
    <t>гранатометник 1 піхотного відділення 3 піхотного взводу 2 піхотної роти 1 піхотного батальйону</t>
  </si>
  <si>
    <t>ПРОНЬ Дмитро Вікторович</t>
  </si>
  <si>
    <t>КОГУТИЧ Євген Васильович</t>
  </si>
  <si>
    <t>АК 74 6211145</t>
  </si>
  <si>
    <t>АВ 576061</t>
  </si>
  <si>
    <t>СКОРИКОВ Антон Сергійович</t>
  </si>
  <si>
    <t>ДМИТРЕНКО Леонід Вікторович</t>
  </si>
  <si>
    <t>Старший майстер</t>
  </si>
  <si>
    <t>ВОДОЛАЗ</t>
  </si>
  <si>
    <t>СОЛДАТОВ Олег Володимирович</t>
  </si>
  <si>
    <t>КАЛАШНІКОВ Олександр Миколайович</t>
  </si>
  <si>
    <t>КРАСІВИЙ</t>
  </si>
  <si>
    <t>СОХА Дмитро Анатолійович</t>
  </si>
  <si>
    <t>Телефоніст - лінійний наглядач</t>
  </si>
  <si>
    <t>стрілець 3 мотопіхотного відділення 1 мотопіхотного взводу 2 мотопіхотної роти мотопіхотного батальйону</t>
  </si>
  <si>
    <t>АК 74 6266828</t>
  </si>
  <si>
    <t>СТОЖКОВ Олександр Володимирович</t>
  </si>
  <si>
    <t>Motorola 7a № 865ЕВС7260</t>
  </si>
  <si>
    <t>ЧЕРНОБРОВКІН Віталій Валерійович</t>
  </si>
  <si>
    <t>КАРТА</t>
  </si>
  <si>
    <t>ШАЛДУГА Олександр Сергійович</t>
  </si>
  <si>
    <t>19.07.2026
не придатний</t>
  </si>
  <si>
    <t>ШИТІКОВ Дмитро Миколайович</t>
  </si>
  <si>
    <t>МОРОЗОВ Віталій Вікторович</t>
  </si>
  <si>
    <t>Розвідник - оператор безпілотних літальних апаратів</t>
  </si>
  <si>
    <t>ДІДЖЕЙ</t>
  </si>
  <si>
    <t>ШКАЛЕНОК Сергій Анатолійович</t>
  </si>
  <si>
    <t>Навідник - радіотелефоніст</t>
  </si>
  <si>
    <t>кулеметник 1 піхотного відділення 3 піхотного взводу 2 піхотної роти 1 піхотного батальйону</t>
  </si>
  <si>
    <t>АК 74 1714384</t>
  </si>
  <si>
    <t>Motorola 7a № 865ЕВС0004</t>
  </si>
  <si>
    <t>БЕНЮК Мирослав Васильович</t>
  </si>
  <si>
    <t>ШЕВЧУК Олексій Володимирович</t>
  </si>
  <si>
    <t>ФІЛЬКІН Олександр Іванович</t>
  </si>
  <si>
    <t>МАХ</t>
  </si>
  <si>
    <t>старший оператор 2 відділення протитанкових ракетних комплексів взводу протитанкових ракетних комплексів мотопіхотного батальйону</t>
  </si>
  <si>
    <t>ШЕВЧЕНКО Микита Володимирович</t>
  </si>
  <si>
    <t>ПЕЛИХ Ярослав Володимирович</t>
  </si>
  <si>
    <t>СУБОТНІК Вячеслав Юрійович</t>
  </si>
  <si>
    <t>СУБОТА</t>
  </si>
  <si>
    <t>МУСІЙЧУК Андрій Миколайович</t>
  </si>
  <si>
    <t>АК 74 1676503</t>
  </si>
  <si>
    <t>НЕСТЕРЕНКО Олег Олексійович</t>
  </si>
  <si>
    <t>ПРИБУВ Полі Б 20.06.26
висшое образование, может за компом</t>
  </si>
  <si>
    <t>ГОНЧАРОВ Владислав Тимурович</t>
  </si>
  <si>
    <t>СТОЙКО Іван Владиславович</t>
  </si>
  <si>
    <t>ВОДІЛА</t>
  </si>
  <si>
    <t>ГОРЧАКОВ Матвій Сергійович</t>
  </si>
  <si>
    <t>стрілець-номер обслуги 2 мотопіхотного відділення 1 мотопіхотного взводу 2 мотопіхотної роти мотопіхотного батальйону</t>
  </si>
  <si>
    <t>стрілець-помічник гранатометника 1 піхотного відділення 3 піхотного взводу 2 піхотної роти 1 піхотного батальйону</t>
  </si>
  <si>
    <t>ПАСІЧНИЙ Олександр Миколайович</t>
  </si>
  <si>
    <t>ЛЕВЧЕНКО Руслан Валерійович</t>
  </si>
  <si>
    <t xml:space="preserve">АК 74 4556104 </t>
  </si>
  <si>
    <t>ЛЕВА</t>
  </si>
  <si>
    <t>Motorola 7a № 865ЕВВА684</t>
  </si>
  <si>
    <t>ЛИХОЛАТ Владислав Олегович</t>
  </si>
  <si>
    <t>ТАКТ</t>
  </si>
  <si>
    <t>КАДИЛКІН Сергій Сергійович</t>
  </si>
  <si>
    <t>МАЛАГІН Роман Юрійович</t>
  </si>
  <si>
    <t>БАКАЛЕЦЬ Юрій Вікторович</t>
  </si>
  <si>
    <t>ЄМЕЛЬЯНОВ Сергій Дмитрович</t>
  </si>
  <si>
    <t>кулеметник 1 мотопіхотного відділення 3 мотопіхотного взводу 2 мотопіхотної роти мотопіхотного батальйону</t>
  </si>
  <si>
    <t>ХОМАЗЮК Антон Анатолійович</t>
  </si>
  <si>
    <t>ЯЦУН Андрій Сергійович</t>
  </si>
  <si>
    <t>ЯКУБА</t>
  </si>
  <si>
    <t>ФІМЛЯР Володимир Ярославович</t>
  </si>
  <si>
    <t>БОГДАН Максим Васильович</t>
  </si>
  <si>
    <t>КІНДРАТ</t>
  </si>
  <si>
    <t>БОРИСЕНКО Юрій Олександрович</t>
  </si>
  <si>
    <t>ТПВ №4178</t>
  </si>
  <si>
    <t>КРИВЕНКО Михайло Сергійович</t>
  </si>
  <si>
    <t>ПАВЛЮС Ігор Іванович</t>
  </si>
  <si>
    <t>АК 74 6213966</t>
  </si>
  <si>
    <t>Motorola 7a № 865EAKJ676</t>
  </si>
  <si>
    <t>КОЛТУНОВ Дмитро Миколайович</t>
  </si>
  <si>
    <t>навідник 2 мотопіхотної роти мотопіхотного батальйону</t>
  </si>
  <si>
    <t>КУБАРА Ігор Олексійович</t>
  </si>
  <si>
    <t>КАРАТЄЄВ Роман Сергійович</t>
  </si>
  <si>
    <t>ЕЖИК</t>
  </si>
  <si>
    <t>РЕБДЕУ Іван Петрович</t>
  </si>
  <si>
    <t>06.07.2026
не придатний</t>
  </si>
  <si>
    <t>ЦИКАЛО Максим Миколайович</t>
  </si>
  <si>
    <t>НАСЛЄДНІК</t>
  </si>
  <si>
    <t>МЕЛЬНИК Михайло Михайлович</t>
  </si>
  <si>
    <t>АГ 453151</t>
  </si>
  <si>
    <t>ЗДИРКО Іван Степанович</t>
  </si>
  <si>
    <t>стрілець-помічник гранатометника 3 мотопіхотного відділення 1 мотопіхотного взводу 2 мотопіхотної роти мотопіхотного батальйону</t>
  </si>
  <si>
    <t>АК 74 4434289</t>
  </si>
  <si>
    <t>ПАВЛЮЧЕНКО Валерій Миколайович</t>
  </si>
  <si>
    <t>Motorola 7a № 865EBCZ401</t>
  </si>
  <si>
    <t>МАЛИШКО Віталій Володимирович</t>
  </si>
  <si>
    <t>ЛИТВИНОВ Владислав Андрійович</t>
  </si>
  <si>
    <t>КАПІТАНЧУК Мирослав Васильович</t>
  </si>
  <si>
    <t>КУРСАЙ Сергій Олександрович</t>
  </si>
  <si>
    <t>СІРКО</t>
  </si>
  <si>
    <t>КОВАЛЕНКО Артур Олександрович</t>
  </si>
  <si>
    <t>до 17.08.2026</t>
  </si>
  <si>
    <t>КЛИМЕНКО Іван Сергійович</t>
  </si>
  <si>
    <t>Снайпер (2 категорії)</t>
  </si>
  <si>
    <t>АК 74 205506
 Гранатомет MK-19
 №AGL003052</t>
  </si>
  <si>
    <t>ВАВІЛОВ Дмитро Сергійович</t>
  </si>
  <si>
    <t>Розвідник-радіотелефоніст</t>
  </si>
  <si>
    <t>командир 2 мотопіхотної роти мотопіхотного батальйону</t>
  </si>
  <si>
    <t>АГ 008141</t>
  </si>
  <si>
    <t>КРАСІЧИНСЬКИЙ Олександр Ярославович</t>
  </si>
  <si>
    <t>КАНІЩУК Павло Петрович</t>
  </si>
  <si>
    <t>ПОЗНАХОР Василь Васильович</t>
  </si>
  <si>
    <t>ПСІХ</t>
  </si>
  <si>
    <t>КОСТІВ Руслан Дмитрович</t>
  </si>
  <si>
    <t>МАТРУНЧИК Олександр Олександрович</t>
  </si>
  <si>
    <t xml:space="preserve">САВЧЕНКО Віталій Олексійович
</t>
  </si>
  <si>
    <t>УХАЧ Сергій Володимирович</t>
  </si>
  <si>
    <t>по хворобі</t>
  </si>
  <si>
    <t>07.05.2026
у відрядженні</t>
  </si>
  <si>
    <t>КУЗЬМІН Олександр Сергійович</t>
  </si>
  <si>
    <t>АК-74 №4437369
МП-120 №01299</t>
  </si>
  <si>
    <t>R7a s/n: 865ЕВЕ2780 + 1 акумулятор</t>
  </si>
  <si>
    <t>кулеметник 3 мотопіхотного відділення 1 мотопіхотного взводу 2 мотопіхотної роти мотопіхотного батальйону</t>
  </si>
  <si>
    <t>Мінометний приціл МРМ-44М №241093</t>
  </si>
  <si>
    <t>ПОМАЗАН Євген Геннадійович</t>
  </si>
  <si>
    <t>ВІННИК Євген Олександрович</t>
  </si>
  <si>
    <t>МЕТЛА</t>
  </si>
  <si>
    <t>ПТЮШИНСЬКИЙ Олексій Віталійович</t>
  </si>
  <si>
    <t>командир 2 піхотного відділення 3 піхотного взводу 2 піхотної роти 1 піхотного батальйону</t>
  </si>
  <si>
    <t>КАЛАБУШКІН Олександр Сергійович</t>
  </si>
  <si>
    <t>КРАСІЛИЧ Михайло Романович</t>
  </si>
  <si>
    <t>ДУДА Владислав Вадимович</t>
  </si>
  <si>
    <t>КОСЕНКОВ Володимир Олександрович</t>
  </si>
  <si>
    <t>R7a s/n: 865ЕВЕ2825</t>
  </si>
  <si>
    <t>кулеметник 3 мотопіхотного відділення 2 мотопіхотного взводу 2 мотопіхотної роти мотопіхотного батальйону</t>
  </si>
  <si>
    <t>ЛЯТОМСЬКИЙ Олександр Олегович</t>
  </si>
  <si>
    <t>Portable Power Station s/n:W2D004f83</t>
  </si>
  <si>
    <t>н</t>
  </si>
  <si>
    <t>ТКАЧ</t>
  </si>
  <si>
    <t>КРУГЛИК Віктор Миколайович</t>
  </si>
  <si>
    <t>ПОЛЯКОВ Артем Володимирович</t>
  </si>
  <si>
    <t>ПРИСЯЖНИЙ Сергій Олександрович</t>
  </si>
  <si>
    <t>ТАКСІСТ</t>
  </si>
  <si>
    <t>ГУБКО Степан Олегович</t>
  </si>
  <si>
    <t>КОЛЯСІК</t>
  </si>
  <si>
    <t>СУХОБРУС Микола Миколайович</t>
  </si>
  <si>
    <t>старший стрілець-вогнеметник 2 мотопіхотного відділення 2 мотопіхотного взводу 2 мотопіхотної роти мотопіхотного батальйону</t>
  </si>
  <si>
    <t>САВЧЕНКО Андрій Сергійович</t>
  </si>
  <si>
    <t>АГ 296882</t>
  </si>
  <si>
    <t>Starlink s/n:P4CTV4CTO3283079</t>
  </si>
  <si>
    <t xml:space="preserve">старший солдат </t>
  </si>
  <si>
    <t>КОЛОМІЄЦЬ Роман Андрійович</t>
  </si>
  <si>
    <t>КЕФІР</t>
  </si>
  <si>
    <t>ОРОБЕЙ Олег Олександрович</t>
  </si>
  <si>
    <t>АНТОНЮК Андрій Миколайович</t>
  </si>
  <si>
    <t>ГУЧЕНКО Володимир Іванович</t>
  </si>
  <si>
    <t>САСЮК Олександр Петрович</t>
  </si>
  <si>
    <t>старший стрілець-вогнеметник 3 мотопіхотного відділення 3 мотопіхотного взводу 1 мотопіхотної роти мотопіхотного батальйону</t>
  </si>
  <si>
    <t>БУРМІСТР Євгеній Валерійович</t>
  </si>
  <si>
    <t>R7a s/n: 865EBЕ2813</t>
  </si>
  <si>
    <t>БУРЯ</t>
  </si>
  <si>
    <t>АВ 858769</t>
  </si>
  <si>
    <t>Планшет SAMSUNG Galaxy Tab A8 SM-X200 S/N:R9YT910YMGB</t>
  </si>
  <si>
    <t>КАПЛАН Габур Габурович</t>
  </si>
  <si>
    <t>ВАСИЛЬЧУК Іван Володимирович</t>
  </si>
  <si>
    <t>КІЧЕР</t>
  </si>
  <si>
    <t>КРОЛЕВЕЦЬ Іван Анатолійович</t>
  </si>
  <si>
    <t>НАСТОЯЩИЙ Микола Миколайович</t>
  </si>
  <si>
    <t>ЛУКА</t>
  </si>
  <si>
    <t>ЯЦЕЛЕНКО Олександр Сергійович</t>
  </si>
  <si>
    <t>ПРИБУВ 10.08.2026 ЧЛ</t>
  </si>
  <si>
    <t>стрілець 1 мотопіхотного відділення 2 мотопіхотного взводу 1 мотопіхотної роти мотопіхотного батальйону</t>
  </si>
  <si>
    <t>АК 74 4557901</t>
  </si>
  <si>
    <t>ВЛК
сломана нога</t>
  </si>
  <si>
    <t>865EBCY775</t>
  </si>
  <si>
    <t>БЄЛЄВ Олександр Володимирович</t>
  </si>
  <si>
    <t>ГЛАДУН Анатолій Сергійович</t>
  </si>
  <si>
    <t>КАЛІБА Сергій Олександрович</t>
  </si>
  <si>
    <t>ХАРЧЕНКО Антон Миколайович</t>
  </si>
  <si>
    <t>УДАЧІН Микола Олександрович</t>
  </si>
  <si>
    <t>ДЕПУТАТ Анатолій Андрійович</t>
  </si>
  <si>
    <t>ФАНТОМ</t>
  </si>
  <si>
    <t>НІКОЛАЄВ Сергій Вікторович</t>
  </si>
  <si>
    <t>оператор безпілотних літальних апаратів 5 відділення безпілотних авіаційних комплексів взводу безпілотних авіаційних комплексів роти безпілотних авіаційних комплексів мотопіхотного батальйону</t>
  </si>
  <si>
    <t>НАДІЄВЕЦЬ Віталій Сергійович</t>
  </si>
  <si>
    <t>АК 74 1671003
Safari HG 105M XK37-425YB004257</t>
  </si>
  <si>
    <t xml:space="preserve">АГ 082863
</t>
  </si>
  <si>
    <t>865ЕBB9132</t>
  </si>
  <si>
    <t>ШКУРАТОВ Ігор Євгенійович</t>
  </si>
  <si>
    <t>МИРОШНИЧЕНКО Євген Русланович</t>
  </si>
  <si>
    <t>ЛОХМАТИЙ</t>
  </si>
  <si>
    <t>МІТЧЕНКО Денис Володимирович</t>
  </si>
  <si>
    <t>ХОЛОДЬКО Руслан Михайлович</t>
  </si>
  <si>
    <t>МИСЛІЦЬКИЙ Микола Богданович</t>
  </si>
  <si>
    <t>ГОРБЕНКО Сергій Миколайович</t>
  </si>
  <si>
    <t>ТРАКТОРИСТ</t>
  </si>
  <si>
    <t>АНДРІЄВСЬКИЙ Роман Ігорович</t>
  </si>
  <si>
    <t>очикують направлення на консультацію та стац. лікування
до 08.09.2026</t>
  </si>
  <si>
    <t>по пораненню
БР 425 ОШП 1406 від 09.11.25</t>
  </si>
  <si>
    <t>ЛАЗАРЄВ Сергій Володимирович</t>
  </si>
  <si>
    <t>АК 74 6313378</t>
  </si>
  <si>
    <t>865ЕASY962</t>
  </si>
  <si>
    <t>НИКОНОВИЧ Олег Миколайович</t>
  </si>
  <si>
    <t>стрілець-снайпер 1 мотопіхотного відділення 3 мотопіхотного взводу 2 мотопіхотної роти мотопіхотного батальйону</t>
  </si>
  <si>
    <t>стрілець-помічник гранатометника 2 піхотного відділення 3 піхотного взводу 2 піхотної роти 1 піхотного батальйону</t>
  </si>
  <si>
    <t>ТИХОНЕНКОВ Олександр Олександрович</t>
  </si>
  <si>
    <t>СОЛОВЙОВ Віктор Миколайович</t>
  </si>
  <si>
    <t>ТІХОН</t>
  </si>
  <si>
    <t>СОРОКА Сергій Вікторович</t>
  </si>
  <si>
    <t>СУХОРУКОВ Андрій Сергійович</t>
  </si>
  <si>
    <t>БРЮС</t>
  </si>
  <si>
    <t>ПАНЬКОВ Андрій Григорович</t>
  </si>
  <si>
    <t>Командир бойової машини</t>
  </si>
  <si>
    <t>АК 74 1944893</t>
  </si>
  <si>
    <t>865ЕВC0266</t>
  </si>
  <si>
    <t>ЯРКО Павло Костянтинович</t>
  </si>
  <si>
    <t>Но не точно 500, скоріше СЗЧ</t>
  </si>
  <si>
    <t>Заступник командира бойової машини - навідник-оператор</t>
  </si>
  <si>
    <t>гранатометник 2 мотопіхотного відділення 1 мотопіхотного взводу 2 мотопіхотної роти мотопіхотного батальйону</t>
  </si>
  <si>
    <t>ОВСЯНКІН Олексій Юрійович</t>
  </si>
  <si>
    <t>МИРОШНИЧЕНКО Євген Володимирович</t>
  </si>
  <si>
    <t>ХОДОР</t>
  </si>
  <si>
    <t>АЛЄКСЕЄНКО Юрій Леонідович</t>
  </si>
  <si>
    <t>ОВЧИННІКОВ Сергій Володимирович</t>
  </si>
  <si>
    <t>МЕТР</t>
  </si>
  <si>
    <t>ЕСЕНОВ Артур Худайбердиєвич</t>
  </si>
  <si>
    <t>АК 74 5937234</t>
  </si>
  <si>
    <t>САГАЙДАК Олексій Миколайович</t>
  </si>
  <si>
    <t>ТПВ № 4182</t>
  </si>
  <si>
    <t>стрілець-снайпер 1 мотопіхотного відділення 2 мотопіхотного взводу 1 мотопіхотної роти мотопіхотного батальйону</t>
  </si>
  <si>
    <t>ГОЄНКО Костянтин Васильович</t>
  </si>
  <si>
    <t>ЛОМАКА В'ячеслав Сергійович</t>
  </si>
  <si>
    <t>ГИРЯ Сергій Олександрович</t>
  </si>
  <si>
    <t>ПАЛІЙ Костянтин Васильович</t>
  </si>
  <si>
    <t>ЛОМІК</t>
  </si>
  <si>
    <t>865ЕAPR574</t>
  </si>
  <si>
    <t>по пораненню
з 210 БР 425 ОШП 1428 від 11.11.25</t>
  </si>
  <si>
    <t>МОМОТ Олександр Миколайович</t>
  </si>
  <si>
    <t>стрілець-помічник гранатометника 1 мотопіхотного відділення 3 мотопіхотного взводу 3 мотопіхотної роти мотопіхотного батальйону</t>
  </si>
  <si>
    <t>САМУЙЛО Іван Євстафійович</t>
  </si>
  <si>
    <t>МЕДВЄДЄВ Сергій Сергійович</t>
  </si>
  <si>
    <t>СИДОРОВ Дмитро Миколайович</t>
  </si>
  <si>
    <t>МЕДЬ</t>
  </si>
  <si>
    <t>865ЕBB9505</t>
  </si>
  <si>
    <t>ТОКАРЕВ Олександр Володимирович</t>
  </si>
  <si>
    <t>по пораненню
на переведення</t>
  </si>
  <si>
    <t>ФЕДОРЧУК Сергій Миколайович</t>
  </si>
  <si>
    <t>ПРОХОРЕНКО Максим Миколайович</t>
  </si>
  <si>
    <t>ПІДГОРНИЙ Сергій Іванович</t>
  </si>
  <si>
    <t>АК 74 1708715</t>
  </si>
  <si>
    <t>865ЕВBD206</t>
  </si>
  <si>
    <t>МАРЧЕНКО Вячеслав Валерійович</t>
  </si>
  <si>
    <t>АВ 089510</t>
  </si>
  <si>
    <t>ДІОРДІЄВ Дмитро Володимирович</t>
  </si>
  <si>
    <t>КОНОВАЛЕЦЬ Олександр Миколайович</t>
  </si>
  <si>
    <t>ІРОКЕЗ</t>
  </si>
  <si>
    <t>МАНДРИГЕЙ Віталій Володимирович</t>
  </si>
  <si>
    <t>СУХАНОВ Дмитро Юрійович</t>
  </si>
  <si>
    <t>БАБУЛЯ</t>
  </si>
  <si>
    <t>КАЛАШНІК Руслан Олегович</t>
  </si>
  <si>
    <t>Автомат CZ Bren 2 № J226776;  
Safari HG 105M XK37-4H25YB004456</t>
  </si>
  <si>
    <t>МОСКАЛЕНКО Анатолій Володимирович</t>
  </si>
  <si>
    <t>865EBC2355</t>
  </si>
  <si>
    <t xml:space="preserve">(вийшов з АК троф) </t>
  </si>
  <si>
    <t>КАРАСЬ Павло Валентинович</t>
  </si>
  <si>
    <t>НЕКЛЕСА Руслан Анатолійович</t>
  </si>
  <si>
    <t>ЧЕРНЯХОВІЧ Олексій Павлович</t>
  </si>
  <si>
    <t>АВ 664392</t>
  </si>
  <si>
    <t>СТАРОЖИТНИК Олександр Миколайович</t>
  </si>
  <si>
    <t>ЛІСОРУБ</t>
  </si>
  <si>
    <t>ЖУРАВЛЬОВ Ігор Сергійович</t>
  </si>
  <si>
    <t>АК 74  2114343</t>
  </si>
  <si>
    <t>КОВАЛЕНКО Олексій Анатолійович</t>
  </si>
  <si>
    <t>водій-радіотелефоніст 2 піхотного відділення 3 піхотного взводу 2 піхотної роти 1 піхотного батальйону</t>
  </si>
  <si>
    <t>МОСКАЛЕНКО Валентин Володимирович</t>
  </si>
  <si>
    <t>КРИВОШЄЄВ Сергій Павлович</t>
  </si>
  <si>
    <t>КВАТИРУК Іван Володимирович</t>
  </si>
  <si>
    <t>КРИЛАС Ярослав Вікторович</t>
  </si>
  <si>
    <t>ФРАНЦУЗ</t>
  </si>
  <si>
    <t>МУЗИЧЕНКО Микола Іванович</t>
  </si>
  <si>
    <t>РОБОТЯГА</t>
  </si>
  <si>
    <t>ЩЕРБАНЬ Олександр Вікторович</t>
  </si>
  <si>
    <t>ІВАНОВ Микола Миколайович (18.11.1996 р.н.)</t>
  </si>
  <si>
    <t>УЖИК Володимир Васильович</t>
  </si>
  <si>
    <t>АК 74 2034141</t>
  </si>
  <si>
    <t>ГОЛЕНКО Олексій Петрович</t>
  </si>
  <si>
    <t>ТИМКО Михайло Васильович</t>
  </si>
  <si>
    <t>АГ 117329</t>
  </si>
  <si>
    <t>ГАВРИЛЕНКО Олександр Васильович</t>
  </si>
  <si>
    <t>ПАНАСЮК</t>
  </si>
  <si>
    <t>НАЧИНЯНИЙ Дмитро Сергійович</t>
  </si>
  <si>
    <t>ОРЛОВ Дмитро Олександрович</t>
  </si>
  <si>
    <t>ЛЕННІН</t>
  </si>
  <si>
    <t>УШКАЛОВ Євгеній Ігорович</t>
  </si>
  <si>
    <t>КОВАЛЬЧУК Олександр Сергійович</t>
  </si>
  <si>
    <t>АК 74 6241969</t>
  </si>
  <si>
    <t>865EAKK820</t>
  </si>
  <si>
    <t>НРК/ мультикам</t>
  </si>
  <si>
    <t>ІСАЄВ Віталій Вікторович</t>
  </si>
  <si>
    <t>СЕМЕНО Олег Станіславович</t>
  </si>
  <si>
    <t>до 31.08.26</t>
  </si>
  <si>
    <t>ТВО номер обслуги зенітного ракетного взводу 1 піхотного батальйону</t>
  </si>
  <si>
    <t>БОНДАР Микола Петрович</t>
  </si>
  <si>
    <t>СТРЕЛОК Іван Володимирович</t>
  </si>
  <si>
    <t>ФАКІР</t>
  </si>
  <si>
    <t>ЛУЗАН Павло Вячеславович</t>
  </si>
  <si>
    <t>АК 74 4280265</t>
  </si>
  <si>
    <t>865EAKF277</t>
  </si>
  <si>
    <t>КУДРИК Іван Васильович</t>
  </si>
  <si>
    <t>ГРЕБЕНЮК Андрій Альбертович</t>
  </si>
  <si>
    <t>РИЧОК Олександр Федосійович</t>
  </si>
  <si>
    <t>ГЕРАСІМОВ Сергій Євгенович</t>
  </si>
  <si>
    <t>ГЕРА</t>
  </si>
  <si>
    <t>ШАХОВ Олексій Євгенович</t>
  </si>
  <si>
    <t>АГ 441090</t>
  </si>
  <si>
    <t>ІЩЕНКО Дмитро Дмитрович</t>
  </si>
  <si>
    <t>БУЛАВІН Павло Валерійович</t>
  </si>
  <si>
    <t>НЕЙМЕТІ Мілан Стефанович</t>
  </si>
  <si>
    <t>АК 74 2012493</t>
  </si>
  <si>
    <t>НІЛЬСОН</t>
  </si>
  <si>
    <t>КОСТЕНКО Михайло Степанович</t>
  </si>
  <si>
    <t>СКРИПНИК Сергій Борисович</t>
  </si>
  <si>
    <t>В РОЗПОРЯДЖЕННІ</t>
  </si>
  <si>
    <t>ДОНЕНКО Ігор Ігорович</t>
  </si>
  <si>
    <t>ПРУЖИНА</t>
  </si>
  <si>
    <t>РОМАНОВ Олексій Леонідович</t>
  </si>
  <si>
    <t>АК 74 3258891</t>
  </si>
  <si>
    <t>865EBBD297</t>
  </si>
  <si>
    <t>ПОЛЯЦЬКОВИЙ Василь Олегович</t>
  </si>
  <si>
    <t>ЛЕПКИЙ Євген Миколайович</t>
  </si>
  <si>
    <t>ЩЕКА Ярослав Леонідович</t>
  </si>
  <si>
    <t>КОНДРАШОВ Олександр Анатолійович</t>
  </si>
  <si>
    <t>БУЛЬ</t>
  </si>
  <si>
    <t>АБРАМАШВІЛІ Захар Автанділович</t>
  </si>
  <si>
    <t>АГ 661174</t>
  </si>
  <si>
    <t>ПИЛИПЕНКО Євген Валерійович</t>
  </si>
  <si>
    <t>БУЛЯ</t>
  </si>
  <si>
    <t>ПЕТРЕНКО Олександр Сергійович (29.08.1988 р.н.)</t>
  </si>
  <si>
    <t>АК 74 2473594</t>
  </si>
  <si>
    <t>865EВВ9115</t>
  </si>
  <si>
    <t>КОСТЮХІН Юрій Вікторович</t>
  </si>
  <si>
    <t>ШВИДНЮК Андрій Іванович</t>
  </si>
  <si>
    <t>МАХІНІЧ Михайло Олександрович</t>
  </si>
  <si>
    <t>БЄЛЯК Дмитро Юрійович</t>
  </si>
  <si>
    <t>Зв'язок</t>
  </si>
  <si>
    <t>ЦИКЕУ Андрій Андрійович</t>
  </si>
  <si>
    <t>ПРИБУВ Полі К 30.06.26</t>
  </si>
  <si>
    <t>БАСЕНКО Любомир Андрійович</t>
  </si>
  <si>
    <t>ТРОФИМЕНКО Микола Миколайович</t>
  </si>
  <si>
    <t>ПАНКРАТОВ Олександр Михайлович</t>
  </si>
  <si>
    <t>кулеметник 3 піхотного відділення 3 піхотного взводу 2 піхотної роти 1 піхотного батальйону</t>
  </si>
  <si>
    <t>КРАВЕЦЬ Денис Олександрович</t>
  </si>
  <si>
    <t>МАССАЙ Вадим Євгенійович</t>
  </si>
  <si>
    <t>АВ 875248</t>
  </si>
  <si>
    <t>МИСЮК Сергій Богданович</t>
  </si>
  <si>
    <t>МАСЛАК Олексій Володимирович</t>
  </si>
  <si>
    <t>ЗАЛІЗНИЙ</t>
  </si>
  <si>
    <t>ТОГАН Олександр Олександрович</t>
  </si>
  <si>
    <t>КВАСНИКОВ Максим Володимирович</t>
  </si>
  <si>
    <t>ДБР Суми 19.06.26
Чорний ліс        13.05.2026
була ПРИЗУПИНКА служби</t>
  </si>
  <si>
    <t>НІКОЛАЄВ Юрій Юрійович</t>
  </si>
  <si>
    <t>до 10.09.2026</t>
  </si>
  <si>
    <t>ТВО старший водій-радіотелефоніст 1 піхотного відділення 1 піхотного взводу 1 піхотної роти 1 піхотного батальйону</t>
  </si>
  <si>
    <t>ГАЛАНЗОВСЬКИЙ Сергій Валентинович</t>
  </si>
  <si>
    <t>АГ 279150</t>
  </si>
  <si>
    <t>БАБАХАНОВ Геннадій Абусаідович</t>
  </si>
  <si>
    <t>УГРИНЧУК Андрій Вікторович</t>
  </si>
  <si>
    <t>ЯКУПОВ Володимир Володимирович</t>
  </si>
  <si>
    <t>УДОВИЧЕНКО Олександр Миколайович</t>
  </si>
  <si>
    <t>КОРОТКОВ Віталій Юрійович</t>
  </si>
  <si>
    <t>КАРОТЯ</t>
  </si>
  <si>
    <t>ОЖИЄНКО Євген Олександрович</t>
  </si>
  <si>
    <t>ЛІДЕЙКІС Євгеній Олегович</t>
  </si>
  <si>
    <t>ГОРДІЙЧУК Володимир Анатолійович</t>
  </si>
  <si>
    <t>КІСІЛЕНКО Віталій Сергійович</t>
  </si>
  <si>
    <t>ПАВЛЕНЧУК Денис Сергійович</t>
  </si>
  <si>
    <t>ЦУКАНОВ Олексій Миколайович</t>
  </si>
  <si>
    <t>ОБЛОМ Євген Валерійович</t>
  </si>
  <si>
    <t>АГ 590763</t>
  </si>
  <si>
    <t>СМІРНОВ Сергій Сергійович</t>
  </si>
  <si>
    <t>ЛЯПКО Сергій Іванович</t>
  </si>
  <si>
    <t>РЕС</t>
  </si>
  <si>
    <t>УДАВ</t>
  </si>
  <si>
    <t>НАЦЕВИЧ Віктор Миколайович</t>
  </si>
  <si>
    <t>ДОВГАЛЬ Андрій Васильович</t>
  </si>
  <si>
    <t>ПЕТРУНЯ Олександр Володимирович</t>
  </si>
  <si>
    <t>АК 74 № 1674258</t>
  </si>
  <si>
    <t>АТРАШКЕВИЧ Олександр Олександрович</t>
  </si>
  <si>
    <t>НАМОНЮК Сергій Вікторович</t>
  </si>
  <si>
    <t>АТРАШ</t>
  </si>
  <si>
    <t>Технік</t>
  </si>
  <si>
    <t>КУЗНЄЦОВ Володимир Сергійович</t>
  </si>
  <si>
    <t>ЮШИН Антон Геннадійович</t>
  </si>
  <si>
    <t>КОРОП Ігор Володимирович</t>
  </si>
  <si>
    <t>ЗАЯРНЮК Василь Валерійович</t>
  </si>
  <si>
    <t>ЗЛИЙ</t>
  </si>
  <si>
    <t>МИКОЛАЙЧУК Дмитро Володимирович</t>
  </si>
  <si>
    <t>ТИМЧЕНКО Костянтин Володимирович</t>
  </si>
  <si>
    <t>АК 74 № 446986</t>
  </si>
  <si>
    <t>865EAKF356</t>
  </si>
  <si>
    <t>НЕСТЕРУК Максим Петрович</t>
  </si>
  <si>
    <t>22.06 на мед.роту</t>
  </si>
  <si>
    <t>ТКАЧОВ Сергій Сергійович</t>
  </si>
  <si>
    <t>повернувся після СЗЧ на полігон Д, 01.01.2026</t>
  </si>
  <si>
    <t>БЄЛЕЦЬКИЙ Володимир Федорович</t>
  </si>
  <si>
    <t>УГНІВЕНКО Ігор Петрович</t>
  </si>
  <si>
    <t>ШАМАНОВ Сергій Іванович</t>
  </si>
  <si>
    <t>ГОРБІК Максим Ігорович</t>
  </si>
  <si>
    <t>ЛУШНІКОВ Лев Олександрович</t>
  </si>
  <si>
    <t>ВАТАКОВСЬКИЙ Микола Вікторович</t>
  </si>
  <si>
    <t>ФЕЛЕНДАШ Олексій Миколайович</t>
  </si>
  <si>
    <t>Розвідник-навідник</t>
  </si>
  <si>
    <t>2ББС</t>
  </si>
  <si>
    <t>ПОПИК Олександр Олександрович</t>
  </si>
  <si>
    <t>ФУРСА Олександр Володимирович</t>
  </si>
  <si>
    <t>АК 74 № 5660323</t>
  </si>
  <si>
    <t>Розвідник-номер обслуги</t>
  </si>
  <si>
    <t>865EBC7260</t>
  </si>
  <si>
    <t>вибув з МР 20.01 за наказом Директора
у школу пілотів.</t>
  </si>
  <si>
    <t>МУРАВСЬКИЙ Сергій Олександрович</t>
  </si>
  <si>
    <t>ГРИГОР`ЄВ Олексій Вячеславович</t>
  </si>
  <si>
    <t>МІНАЄВ Анатолій Євгенович</t>
  </si>
  <si>
    <t>ДУДЧИК Валентин Опанасович</t>
  </si>
  <si>
    <t>ЄГЕР</t>
  </si>
  <si>
    <t>АТАМАНОВСЬКИЙ Михайло Володимирович</t>
  </si>
  <si>
    <t>ЛАДИЖЕНСЬКИЙ Віталій Григорович</t>
  </si>
  <si>
    <t>ЧУЙКО Олексій Геннадійович</t>
  </si>
  <si>
    <t>АК 74 № 1611912</t>
  </si>
  <si>
    <t>865EBE2850</t>
  </si>
  <si>
    <t>СЮЧ Віктор Вікторович</t>
  </si>
  <si>
    <t>водій 3 піхотного відділення 3 піхотного взводу 2 піхотної роти 1 піхотного батальйону</t>
  </si>
  <si>
    <t>ШАТІН Олександр Олексійович</t>
  </si>
  <si>
    <t>КРИВЦОВ Олександр Віталійович</t>
  </si>
  <si>
    <t>СЄМАГІН Владіслав Володимирович</t>
  </si>
  <si>
    <t>ТВО радіотелефоніст 3 піхотного взводу 3 піхотної роти 1 піхотного батальйону</t>
  </si>
  <si>
    <t>ПРИМАК Микола Миколайович</t>
  </si>
  <si>
    <t>КУЛІШ Олександр Олексійович</t>
  </si>
  <si>
    <t>БИТОН</t>
  </si>
  <si>
    <t>АГ 581801</t>
  </si>
  <si>
    <t>КАЛИНИЧ Едуард Васильович</t>
  </si>
  <si>
    <t>вогнеметник 3 піхотного відділення 3 піхотного взводу 2 піхотної роти 1 піхотного батальйону</t>
  </si>
  <si>
    <t>БЕРНАЦЬКИЙ Віталій Анатолійович</t>
  </si>
  <si>
    <t>АК 74 № 072496</t>
  </si>
  <si>
    <t>865EBВC865</t>
  </si>
  <si>
    <t>КРОТ</t>
  </si>
  <si>
    <t>АВ 339559</t>
  </si>
  <si>
    <t>КОПТЮК Сергій Миколайович</t>
  </si>
  <si>
    <t>ПИВОВАРЕНКО Олександр Ігорович</t>
  </si>
  <si>
    <t>КУЧЕРЯВИЙ Сергій Григорович</t>
  </si>
  <si>
    <t>ТИЦЬКИЙ Сергій Іванович</t>
  </si>
  <si>
    <t>МАНДРИГЕЛЬ Василь Миколайович</t>
  </si>
  <si>
    <t>ВОЙТАНОВСЬКИЙ Руслан Євгенович</t>
  </si>
  <si>
    <t>ПЕТРУСЕНКО Юрій Володимирович</t>
  </si>
  <si>
    <t>АК 74 № 2476462</t>
  </si>
  <si>
    <t>865ЕВЕ3261</t>
  </si>
  <si>
    <t>МО 031244</t>
  </si>
  <si>
    <t>ПАВЛЕНКО Ігор Іванович</t>
  </si>
  <si>
    <t>СІГМА</t>
  </si>
  <si>
    <t>ЗАВГОРОДНІЙ Андрій Ігорович</t>
  </si>
  <si>
    <t>ЗАВГАР</t>
  </si>
  <si>
    <t>СЕРДЮК Олег Петрович</t>
  </si>
  <si>
    <t>КАЛОШИН Віктор Миколайович</t>
  </si>
  <si>
    <t>командир кулеметного взводу 2 піхотної роти 1 піхотного батальйону</t>
  </si>
  <si>
    <t>АК 74 № 4270129</t>
  </si>
  <si>
    <t>ПОТАПЧУК Денис Валерійович</t>
  </si>
  <si>
    <t>865EASZ809</t>
  </si>
  <si>
    <t>ВИШНЕВЕЦЬКИЙ Сергій Олександрович</t>
  </si>
  <si>
    <t>РЕШЕТНЯК Юрій Іванович</t>
  </si>
  <si>
    <t>СМІШ</t>
  </si>
  <si>
    <t>ІВАНОВ Михайло Віталійович</t>
  </si>
  <si>
    <t>НЕРОЩИН Сергій Миколайович</t>
  </si>
  <si>
    <t>СТАХІВ Віталій Ярославович</t>
  </si>
  <si>
    <t>АГ 014587</t>
  </si>
  <si>
    <t>ВЕНТІК</t>
  </si>
  <si>
    <t>ЗЯБЛІЦЕВ Микита Сергійович</t>
  </si>
  <si>
    <t>МАТЕРИЙ</t>
  </si>
  <si>
    <t>ПРОДАН Віталій Ілліч</t>
  </si>
  <si>
    <t>ЮРЧЕНКО Євген Миколайович</t>
  </si>
  <si>
    <t>АК 74 № 262159</t>
  </si>
  <si>
    <t>865EВСК014</t>
  </si>
  <si>
    <t>РУДЕНКО Сергій Іванович</t>
  </si>
  <si>
    <t>ТОКАРЬ Сергій Олександрович</t>
  </si>
  <si>
    <t>КРИЛОВ Олександр Володимирович</t>
  </si>
  <si>
    <t>ЛІЩУК Микола Ярославович</t>
  </si>
  <si>
    <t>ДУГАРЬ Віталій Олександрович</t>
  </si>
  <si>
    <t>АГ 036771</t>
  </si>
  <si>
    <t>ПИХНЕЙ Юрій Володимирович</t>
  </si>
  <si>
    <t>АВ 881267</t>
  </si>
  <si>
    <t>ОЛЕФІРОВ Вадим Олексійович</t>
  </si>
  <si>
    <t>Планшет SAMSUNG Galaxy 
Tab A8 SM-X200 S/N:R9YT910YMGB</t>
  </si>
  <si>
    <t>ПУФ</t>
  </si>
  <si>
    <t>НЕБОЖЕНКО Ренат Олександрович</t>
  </si>
  <si>
    <t>ХИЛОБОКИЙ Віталій Миколайович</t>
  </si>
  <si>
    <t>ЖЕГЛІНСЬКИЙ Іван Михайлович</t>
  </si>
  <si>
    <t>ЩЕГЛОВ Юрій Володимирович</t>
  </si>
  <si>
    <t>Діловод</t>
  </si>
  <si>
    <t>ДЕНИСЕНКО Артем Сергійович</t>
  </si>
  <si>
    <t>Оперативний</t>
  </si>
  <si>
    <t>ІЛЬЇН Олександр Володимирович</t>
  </si>
  <si>
    <t>Помічник начальника штабу- начальник розвідки</t>
  </si>
  <si>
    <t>КЛИМЕНКО Олексій Сергійович</t>
  </si>
  <si>
    <t>АВ 881300</t>
  </si>
  <si>
    <t>ЮР'ЄВ Віктор Вікторович</t>
  </si>
  <si>
    <t>КАМІНСЬКИЙ Олександр Віталійович</t>
  </si>
  <si>
    <t>ГЛОБУС</t>
  </si>
  <si>
    <t>РОЙЗІН Микола Леонідович</t>
  </si>
  <si>
    <t>ФЕДУН Сергій Григорович</t>
  </si>
  <si>
    <t>СІКО</t>
  </si>
  <si>
    <t>КОВАЛЬОВ Віталій Андрійович</t>
  </si>
  <si>
    <t>КРІЧМАР Антон Костянтинович</t>
  </si>
  <si>
    <t>ОЛІЙНИК Андрій Григорович</t>
  </si>
  <si>
    <t>ПІСКУН Андрій Миколайович</t>
  </si>
  <si>
    <t>прибув з 2ШБ 02.08.2026</t>
  </si>
  <si>
    <t>МАТАСЮК Владислав Сергійович</t>
  </si>
  <si>
    <t>до 02.09.2026</t>
  </si>
  <si>
    <t>РАІНЧИК Олександр Сергійович</t>
  </si>
  <si>
    <t>ЦЕРТІЙ Олександр Валерійович</t>
  </si>
  <si>
    <t>АК-74 №1716004
МП-120 №01299</t>
  </si>
  <si>
    <t>ГАЛЧАНСЬКИЙ Олександр Павлович</t>
  </si>
  <si>
    <t>АГ 108877</t>
  </si>
  <si>
    <t>865ЕВЕ2780
865ЕВЕ2825</t>
  </si>
  <si>
    <t>Мінометний приціл МРМ-44М №241093
Portable Power Station s/n:W2D004f83</t>
  </si>
  <si>
    <t>РУПАСОВ Сергій Михайлович</t>
  </si>
  <si>
    <t>ЖОВТЕНЬ</t>
  </si>
  <si>
    <t>МАЛЮСЬКИЙ В'ячеслав Валерійович</t>
  </si>
  <si>
    <t>ДЗЮБАНОВ Віталій Віталійович</t>
  </si>
  <si>
    <t>СОКОВ Володимир Валентинович</t>
  </si>
  <si>
    <t>МЗЗ</t>
  </si>
  <si>
    <t>Старший стрілець-оператор</t>
  </si>
  <si>
    <t>МАЗУР Валерій Михайлович</t>
  </si>
  <si>
    <t>ГАЛИЛЮК Сергій Романович</t>
  </si>
  <si>
    <t>МОНЗИЛЕВСЬКИЙ Микола Валерійович</t>
  </si>
  <si>
    <t>КОЛЕСНИК Дмитро Григорович</t>
  </si>
  <si>
    <t>АГ 592715</t>
  </si>
  <si>
    <t>ШКОЛЬНІК Павло Федорович</t>
  </si>
  <si>
    <t>ХРІСТОВ Артем Іванович</t>
  </si>
  <si>
    <t>СПЕЦ (ХРІСТ)</t>
  </si>
  <si>
    <t>АЗЗА Роман Васильович</t>
  </si>
  <si>
    <t>КЛАДІЄВ Андрій Миколайович</t>
  </si>
  <si>
    <t>ІВАНОВ Олександр Олександрович</t>
  </si>
  <si>
    <t>КРАМ Руслан Васильович</t>
  </si>
  <si>
    <t>БЛЕДА Микола Георгійович</t>
  </si>
  <si>
    <t>ОПЕНЧУК Тарас Петрович</t>
  </si>
  <si>
    <t>КОБЗАР Ігор Володимирович</t>
  </si>
  <si>
    <t>АГ 573785</t>
  </si>
  <si>
    <t>МОТУЗЕНКО Володимир В'ячеславович</t>
  </si>
  <si>
    <t>ЄЛІЗАРОВ Олексій Вікторович</t>
  </si>
  <si>
    <t>АГ 592938</t>
  </si>
  <si>
    <t>ГУЛЕНОК Віталій Вікторович</t>
  </si>
  <si>
    <t>АК 74 6266422</t>
  </si>
  <si>
    <t>БЛЕК</t>
  </si>
  <si>
    <t>ЛАЗАРЕНКО Валерій Валерійович</t>
  </si>
  <si>
    <t>ТРОХИМЕНКО Віталій Ігорович</t>
  </si>
  <si>
    <t>до 11.08.2026</t>
  </si>
  <si>
    <t>НАЗІН Дмитро Олегович</t>
  </si>
  <si>
    <t>КУРМАНЕНКО Сергій Петрович</t>
  </si>
  <si>
    <t>НАДУРАК Віталій Олегович</t>
  </si>
  <si>
    <t>АГ 004158</t>
  </si>
  <si>
    <t>ТЮКОВ Сергій Іванович</t>
  </si>
  <si>
    <t>ЩЕРБІНІН Максим Андрійович</t>
  </si>
  <si>
    <t>МОТРЕНКО Олег Васильович</t>
  </si>
  <si>
    <t>РАВІКОВИЧ Ян Леонідович</t>
  </si>
  <si>
    <t>ТВО стрілець 3 піхотного відділення 2 піхотного взводу 1 піхотної роти піхотного батальйону</t>
  </si>
  <si>
    <t>МІДЖІН Іван Олегович</t>
  </si>
  <si>
    <t>ГОНЧАРЕНКО Андрій Дмитрович</t>
  </si>
  <si>
    <t>ЛАВРИШКО Олексій Миколайович</t>
  </si>
  <si>
    <t>КАРПЕНКО Андрій Олександрович</t>
  </si>
  <si>
    <t>КАРП</t>
  </si>
  <si>
    <t>СЛАВІН Валерій Сергійович</t>
  </si>
  <si>
    <t>КАРНАУХ Сергій Вікторович</t>
  </si>
  <si>
    <t>ДУДКО Максим Сергійович</t>
  </si>
  <si>
    <t>АК 74 6285032</t>
  </si>
  <si>
    <t>ЛЕНКОВЕЦЬ Олексій Миколайович</t>
  </si>
  <si>
    <t>ЦИМКАЛОВ Олексій Юрійович</t>
  </si>
  <si>
    <t>ХАДИРЄВ Олег Веніамінович</t>
  </si>
  <si>
    <t>БУКРЄЄВ Павло Володимирович</t>
  </si>
  <si>
    <t>КУШНІР Ігор Анатолійович</t>
  </si>
  <si>
    <t>ВОРОШИЛО Сергій Сергійович</t>
  </si>
  <si>
    <t>КРУЛЬКО Артур В'ячеславович</t>
  </si>
  <si>
    <t>КОЛІСНИК Юрій Анатолійович</t>
  </si>
  <si>
    <t>АГ 112554</t>
  </si>
  <si>
    <t>ТВО навідник кулеметного взводу 1 піхотної роти піхотного батальйону</t>
  </si>
  <si>
    <t>НОРЕНКО Микола Сергійович</t>
  </si>
  <si>
    <t>ГУДЗЬ Дмитро Олександрович</t>
  </si>
  <si>
    <t>ФРАНКЕВИЧ Сергій Юрійович</t>
  </si>
  <si>
    <t>БАКУМЕНКО Ірина Павлівна</t>
  </si>
  <si>
    <t>ХОМЕНКО Кирило Миколайович</t>
  </si>
  <si>
    <t>ЯРОВИЙ Олександр Борисович</t>
  </si>
  <si>
    <t>ПРИБУВ 17.04.26</t>
  </si>
  <si>
    <t>ДАБИКА Ілля Аурелович</t>
  </si>
  <si>
    <t>13.06.2026
до 07.09.2026</t>
  </si>
  <si>
    <t>батько на списання</t>
  </si>
  <si>
    <t>БУРДЕЙНИЙ Олександр Сергійович</t>
  </si>
  <si>
    <t>АКСЬОНОВ Андрій Миколайович</t>
  </si>
  <si>
    <t>ТВО кулеметник 1 піхотного відділення 2 піхотного взводу 3 піхотної роти піхотного батальйону</t>
  </si>
  <si>
    <t>ЛИСЕНКО Павло Олександрович</t>
  </si>
  <si>
    <t>АК 74 6280613</t>
  </si>
  <si>
    <t>КУЗЬМІНОВ Микола Миколайович</t>
  </si>
  <si>
    <t>АГ 128441</t>
  </si>
  <si>
    <t>БОНДАРЕНКО Роман Васильович</t>
  </si>
  <si>
    <t>ОСИПЧУК Володимир Васильович</t>
  </si>
  <si>
    <t>НЕЗАБУДКА</t>
  </si>
  <si>
    <t>СМІРНОВ Артур Русланович</t>
  </si>
  <si>
    <t>ВОРОБЙОВ Вадим Сергійович</t>
  </si>
  <si>
    <t>ПРОНЯКІН Віктор Сергійович</t>
  </si>
  <si>
    <t>ГРИГОРЕНКО Вікторія Миколаївна</t>
  </si>
  <si>
    <t>ТВО кулеметник 2 піхотного відділення 1 піхотного взводу 2 піхотної роти піхотного батальйону</t>
  </si>
  <si>
    <t>ЗЕМЧЕНКО Сергій Олександрович</t>
  </si>
  <si>
    <t>мотогрупа</t>
  </si>
  <si>
    <t>17.03.2026 помічник МЕХАНИК</t>
  </si>
  <si>
    <t>КІНДІЄНКО Наталя Максимівна</t>
  </si>
  <si>
    <t>БОЙКО Володимир Миколайович</t>
  </si>
  <si>
    <t>ЛЕВИЦЬКИЙ Юрій Юрійович</t>
  </si>
  <si>
    <t>АК 74 6286576</t>
  </si>
  <si>
    <t>СО 940373</t>
  </si>
  <si>
    <t>КОСТЕНКО Ася Юріївна</t>
  </si>
  <si>
    <t>КОВАЛЕНКО Олексій Віталійович</t>
  </si>
  <si>
    <t>ГОЛАНДЕЦЬ</t>
  </si>
  <si>
    <t>СІДЄЛЄВ Олексій Володимирович</t>
  </si>
  <si>
    <t>СМОЛЯР Богдан Сергійович</t>
  </si>
  <si>
    <t>ТВО стрілець 2 піхотного відділення 1 піхотного взводу 2 піхотної роти піхотного батальйону</t>
  </si>
  <si>
    <t>ГРИША Роман Романович</t>
  </si>
  <si>
    <t>71 ОЄБр</t>
  </si>
  <si>
    <t>ОРЛОВА Марина Анатоліївна</t>
  </si>
  <si>
    <t>АК 74 5549556</t>
  </si>
  <si>
    <t>ВАГАН Роман Олександрович</t>
  </si>
  <si>
    <t>ЛІЩЕНКО Євгеній Юрійович</t>
  </si>
  <si>
    <t>АВ 881331</t>
  </si>
  <si>
    <t>ДИЧИК Віталій Васильович</t>
  </si>
  <si>
    <t>ДІК</t>
  </si>
  <si>
    <t>КУДРЯВЦЕВА Тетяна Василівна</t>
  </si>
  <si>
    <t>ТВО навідник кулеметного взводу 2 піхотної роти піхотного батальйону</t>
  </si>
  <si>
    <t>ФІЛІП Іванна Михайлівна</t>
  </si>
  <si>
    <t>ЛІХОВСЬКИЙ Олег Валентинович</t>
  </si>
  <si>
    <t>АГ 541801</t>
  </si>
  <si>
    <t>ПОСТОРОНКО Максим Васильович</t>
  </si>
  <si>
    <t>ПРИБУЛИ 16.08.2026 з 2ШБ</t>
  </si>
  <si>
    <t>РУМЕГА Станіслав Юрійович</t>
  </si>
  <si>
    <t>АК 74 5406722</t>
  </si>
  <si>
    <t>ЧУТУР Михайло Вікторович</t>
  </si>
  <si>
    <t>ХРУЛЬОВА Ірена Ігорівна</t>
  </si>
  <si>
    <t>ТПВ № 4161</t>
  </si>
  <si>
    <t>ФРАНЧУК Ганна Юріївна</t>
  </si>
  <si>
    <t>ГРЕБЕНЩИКОВ Дмитро Сергійович</t>
  </si>
  <si>
    <t>ГВОЗДЬ</t>
  </si>
  <si>
    <t>ШАЛІМОВ Давид Романович</t>
  </si>
  <si>
    <t>ПАСІЧНИК Ганна Валеріївна</t>
  </si>
  <si>
    <t>ШАКУЛА Олександр Олександрович</t>
  </si>
  <si>
    <t>КАПІНОС Ігор Миколайович</t>
  </si>
  <si>
    <t>ТВО номер обслуги кулеметного взводу 2 піхотної роти піхотного батальйону</t>
  </si>
  <si>
    <t>БУРКОВСЬКИЙ Руслан Борисович</t>
  </si>
  <si>
    <t>ШАТЕРНІКОВ Юрій Юрійович</t>
  </si>
  <si>
    <t>ФЕДОСЄЄВ Сергій Миколайович</t>
  </si>
  <si>
    <t>ЄСАУЛЕНКО Микола Петрович</t>
  </si>
  <si>
    <t>ЄСАУЛ</t>
  </si>
  <si>
    <t>АФЕНДІКОВ Дмитро Георгійович</t>
  </si>
  <si>
    <t>САНДУЛ Дмитро Олександрович</t>
  </si>
  <si>
    <t>ВОРОШИЛОВ Максим Юрійович</t>
  </si>
  <si>
    <t>АК 74 3257862</t>
  </si>
  <si>
    <t>ВОЛОСІНОВИЧ Михайло Дмитрович</t>
  </si>
  <si>
    <t>АВДІЮК Олександр Олексійович</t>
  </si>
  <si>
    <t>16.10.2025 СЗЧ</t>
  </si>
  <si>
    <t>ГАВРИЛЮК Маріанна Володимирівна</t>
  </si>
  <si>
    <t>ШВЕДОВА Інна Миколаївна</t>
  </si>
  <si>
    <t>ВЛАСЕНКО Данило Валерійович</t>
  </si>
  <si>
    <t>БОГУШ Сергій Русланович</t>
  </si>
  <si>
    <t>ТВО гранатометник 1 піхотного відділення 1 піхотного взводу 3 піхотної роти піхотного батальйону</t>
  </si>
  <si>
    <t>ЦУКОРНИК Андрій Сергійович</t>
  </si>
  <si>
    <t>2ПБ</t>
  </si>
  <si>
    <t>ПЕРЕПІЧАЄВ Іван Георгійович</t>
  </si>
  <si>
    <t>КИБА Василь Миколайович</t>
  </si>
  <si>
    <t>СЄРОВ Микола Валентинович</t>
  </si>
  <si>
    <t>АК 74 1712335</t>
  </si>
  <si>
    <t>заступник командира 3 піхотної роти 1 піхотного батальйону</t>
  </si>
  <si>
    <t>ДУДАРЄВ Андрій Анатолійович</t>
  </si>
  <si>
    <t>БАРІНОВ Денис Валерійович</t>
  </si>
  <si>
    <t>СКОВОРОДА</t>
  </si>
  <si>
    <t>МАТУСЕВИЧ Надія Віталіївна</t>
  </si>
  <si>
    <t>БУГАЙОВ Ігор Юрійович</t>
  </si>
  <si>
    <t>ЖДАНЬ Олександр Віталійович</t>
  </si>
  <si>
    <t>МАЦІЙОВСЬКИЙ Геннадій Олегович</t>
  </si>
  <si>
    <t>ЛЕХМАН Андрій Петрович</t>
  </si>
  <si>
    <t>АРТДІВІЗІОН</t>
  </si>
  <si>
    <t>ТВО стрілець 2 піхотного відділення 2 піхотного взводу 3 піхотної роти піхотного батальйону</t>
  </si>
  <si>
    <t>ПРИЩЕПА Микола Васильович</t>
  </si>
  <si>
    <t>ХОМА Віталій Вікторович</t>
  </si>
  <si>
    <t>заступник командира 3 піхотної роти з психологічної підтримки персоналу 1 піхотного батальйону</t>
  </si>
  <si>
    <t>ГЛУЩЕНКО Руслан Олександрович</t>
  </si>
  <si>
    <t>ШМЕЛЬОВА Тетяна Сергіївна</t>
  </si>
  <si>
    <t>СТЕБЛЮК Катерина Леонідівна</t>
  </si>
  <si>
    <t>ІСАЙКО Надія Іванівна</t>
  </si>
  <si>
    <t>ФЕЩЕНКО Олександр Петрович</t>
  </si>
  <si>
    <t>Санітар</t>
  </si>
  <si>
    <t>ЮРЧЕНКО Костянтин Анатолійович</t>
  </si>
  <si>
    <t>старший технік 3 піхотної роти 1 піхотного батальйону</t>
  </si>
  <si>
    <t>КАРЯКА Ольга Семенівна</t>
  </si>
  <si>
    <t>РОЙЗІН Андрій Леонідович</t>
  </si>
  <si>
    <t>ГОРСЕТМАНСЬКИЙ Юрій Олегович</t>
  </si>
  <si>
    <t>Водій- санітар</t>
  </si>
  <si>
    <t>АК 74 4451821</t>
  </si>
  <si>
    <t>РЕВІН</t>
  </si>
  <si>
    <t>МАЛИНОВСЬКИЙ Олексій Йосипович</t>
  </si>
  <si>
    <t>СИЧОВ Олександр Федорович</t>
  </si>
  <si>
    <t>ШОСТАК Сергій Іванович</t>
  </si>
  <si>
    <t>ТЕРБАН Іван Михайлович</t>
  </si>
  <si>
    <t>МОРОЗ Олександр Валерійович</t>
  </si>
  <si>
    <t>НК 5237964</t>
  </si>
  <si>
    <t>КУРІННИЙ Семен Сергійович</t>
  </si>
  <si>
    <t>ГУДЗ</t>
  </si>
  <si>
    <t>ШРАМКО Павло Віталійович</t>
  </si>
  <si>
    <t>ТВО старший навідник 3 відділення гранатометного взводу піхотного батальйону</t>
  </si>
  <si>
    <t>ЗАЛЬОТІН Андрій Володимирович</t>
  </si>
  <si>
    <t>РИБАЛКІН Антон Володимирович</t>
  </si>
  <si>
    <t>ВЕЛИЧКО Вадим Олександрович</t>
  </si>
  <si>
    <t>н.п. Кам'янка</t>
  </si>
  <si>
    <t>БОРИСОВ Олександр Леонідович</t>
  </si>
  <si>
    <t>навчання</t>
  </si>
  <si>
    <t>ЧОКУРІ Сергій Сергійович</t>
  </si>
  <si>
    <t>КАЛИНИЧЕНКО Євген Миколайович</t>
  </si>
  <si>
    <t>сержант із матеріального забезпечення 3 піхотної роти 1 піхотного батальйону</t>
  </si>
  <si>
    <t>БАРАНОВ Вадим Анатолійович</t>
  </si>
  <si>
    <t>АК 74 6253949</t>
  </si>
  <si>
    <t>ТРИНАДЦЯТИЙ</t>
  </si>
  <si>
    <t>ДУМИТРЕСКА Святослав Володимирович</t>
  </si>
  <si>
    <t>МОЛЧАНОВ Микола Петрович</t>
  </si>
  <si>
    <t>МОТРУК Іван Іванович</t>
  </si>
  <si>
    <t>ТВО розвідник-оператор 3 розвідувального відділення розвідувального взводу піхотного батальйону</t>
  </si>
  <si>
    <t>МОСЕЙЧЕНКО Роман Леонідович</t>
  </si>
  <si>
    <t>Головний сержант- командир танка</t>
  </si>
  <si>
    <t>Командир танка</t>
  </si>
  <si>
    <t>ІЩЕНКО Олександр Анатолійович (13.02.1976 р.н.)</t>
  </si>
  <si>
    <t>старший бойовий медик 3 піхотної роти 1 піхотного батальйону</t>
  </si>
  <si>
    <t>ЖИХАРЄВ Олексій Олександрович</t>
  </si>
  <si>
    <t>АК 74 6203818</t>
  </si>
  <si>
    <t>ЖИХ</t>
  </si>
  <si>
    <t>СЕМЕНОВ Данило Вячеславович</t>
  </si>
  <si>
    <t>АВІНАС Костянтин Іванович</t>
  </si>
  <si>
    <t>ВІННІ</t>
  </si>
  <si>
    <t>НЕСТЕРОВ Богдан Пилипович</t>
  </si>
  <si>
    <t>ТВО водій 1 кулеметного відділення кулеметного взводу піхотного батальйону</t>
  </si>
  <si>
    <t>МЕЛЬНИК Іван Степанович</t>
  </si>
  <si>
    <t>Заряджаючий</t>
  </si>
  <si>
    <t>АНТОНОВ Сергій Володимирович</t>
  </si>
  <si>
    <t>ЛУКАНЮК Андрій Михайлович</t>
  </si>
  <si>
    <t>СЕНСЕЙ</t>
  </si>
  <si>
    <t>оператор безпілотних літальних апаратів 3 піхотної роти 1 піхотного батальйону</t>
  </si>
  <si>
    <t>ГАЙДА Владислав Володимирович</t>
  </si>
  <si>
    <t>АГ 641785</t>
  </si>
  <si>
    <t>ПОЛЬОВИЙ Андрій Володимирович</t>
  </si>
  <si>
    <t>МОСЬОНДЗ Юрій Алімович</t>
  </si>
  <si>
    <t>СЕР</t>
  </si>
  <si>
    <t>ЯРЕМІЙ Володимир Петрович</t>
  </si>
  <si>
    <t>ЯДАМЕНКО Олександр Миколайович</t>
  </si>
  <si>
    <t>ПАХАЛЮК Володимир Володимирович</t>
  </si>
  <si>
    <t>ПОМПОВИК</t>
  </si>
  <si>
    <t>ТВО вогнеметник 3 піхотного відділення 1 піхотного взводу 2 піхотної роти піхотного батальйону</t>
  </si>
  <si>
    <t>КАЛІЩУК Олександр Сергійович</t>
  </si>
  <si>
    <t>УТЕНКОВ Юрій Олексійович</t>
  </si>
  <si>
    <t>ЛУНАУ Володимир Павлович</t>
  </si>
  <si>
    <t>МАЩЕНКО Володимир Миколайович</t>
  </si>
  <si>
    <t>АК 74 6265390</t>
  </si>
  <si>
    <t>радіотелефоніст 3 піхотної роти 1 піхотного батальйону</t>
  </si>
  <si>
    <t>МИХАЛЕВИЧ Валентин Валерійович</t>
  </si>
  <si>
    <t>ЛІТВІН Владислав Юрійович</t>
  </si>
  <si>
    <t>БЛЕЙД</t>
  </si>
  <si>
    <t>ХАРЕЧКО Андрій Петрович</t>
  </si>
  <si>
    <t>ТВО кулеметник 1 піхотного відділення 1 піхотного взводу 3 піхотної роти піхотного батальйону</t>
  </si>
  <si>
    <t>СОЛОДОВНІКОВ Сергій Анатолійович</t>
  </si>
  <si>
    <t>Артдивізіон</t>
  </si>
  <si>
    <t>ЯЦКОВ Віталій Андрійович</t>
  </si>
  <si>
    <t>ПРИБУЛИ 01.08.2026</t>
  </si>
  <si>
    <t>ПЕДАШЕВ Роман Андрійович</t>
  </si>
  <si>
    <t>командир 1 піхотного взводу 3 піхотної роти 1 піхотного батальйону</t>
  </si>
  <si>
    <t>КРИВОРУЧКО Сергій Михайлович</t>
  </si>
  <si>
    <t>ТВО номер обслуги 2 відділення гранатометного взводу 1 піхотного батальйону</t>
  </si>
  <si>
    <t>СТАСЮК Руслан Васильович</t>
  </si>
  <si>
    <t>НЕБОЖ Олексій Ігорович</t>
  </si>
  <si>
    <t>ТВО водій 3 піхотного відділення 3 піхотного взводу 1 піхотної роти піхотного батальйону</t>
  </si>
  <si>
    <t>ЛЬОНЯ</t>
  </si>
  <si>
    <t>КОЛБАСІН Олександр Володимирович</t>
  </si>
  <si>
    <t>БАШТА Вадим Володимирович</t>
  </si>
  <si>
    <t>ІВЧЕНКО Сергій Петрович</t>
  </si>
  <si>
    <t>БРИЛЬ Євген Володимирович</t>
  </si>
  <si>
    <t>ФАУСТ</t>
  </si>
  <si>
    <t>КОСТЕНКО Давид Олександрович</t>
  </si>
  <si>
    <t>ПРОСТЄЦОВ Тимур Олександрович</t>
  </si>
  <si>
    <t>АК 74 4445946</t>
  </si>
  <si>
    <t>ЧИХМАН Андрій Вікторович</t>
  </si>
  <si>
    <t>ПРИДИБАЙЛО Руслан Владиславович</t>
  </si>
  <si>
    <t>ТВО номер обслуги 3 відділення гранатометного взводу піхотного батальйону</t>
  </si>
  <si>
    <t>ДУВАЛКА Михайло Семенович</t>
  </si>
  <si>
    <t>НУ 8946402</t>
  </si>
  <si>
    <t>РЕГІНЧУК Роман Володимирович</t>
  </si>
  <si>
    <t>БАЛАКШІЙ Артем Анатолійович</t>
  </si>
  <si>
    <t>АК 74 1651294</t>
  </si>
  <si>
    <t>КИРДА Володимир Богданович</t>
  </si>
  <si>
    <t>КОРЧАКІН Володимир Артурович</t>
  </si>
  <si>
    <t>РУДЕНКО Юрій Васильович</t>
  </si>
  <si>
    <t>ТВОстарший стрілець - оператор безпілотних літальних апаратів 2 піхотного відділення 2 піхотного взводу 3 піхотної роти піхотного батальйону</t>
  </si>
  <si>
    <t>ЗАБИЙВОРОТА Олександр Васильович</t>
  </si>
  <si>
    <t>ЖИВОТОК Павло Степанович</t>
  </si>
  <si>
    <t>ЖУК Василь Васильович</t>
  </si>
  <si>
    <t>АГ 478141</t>
  </si>
  <si>
    <t>АК 74 1866455</t>
  </si>
  <si>
    <t>ЗАБРОДСЬКИЙ Роман Миколайович</t>
  </si>
  <si>
    <t>ТВО оператор безпілотних літальних апаратів відділення безпілотних авіаційних комплексів 8 відділення безпілотних авіаційних комплексів взводу розвідки та корегування роти безпілотних авіаційних комплексів 1 піхотного батальйону військової частини А4862;</t>
  </si>
  <si>
    <t>РОЗКА Віталій Олегович</t>
  </si>
  <si>
    <t>ГУЛЯК Ігор Петрович</t>
  </si>
  <si>
    <t>САДОВИЙ Олександр Миколайович</t>
  </si>
  <si>
    <t>ТВО стрілець 3 кулеметного відділення кулеметного взводу піхотного батальйону</t>
  </si>
  <si>
    <t>САД</t>
  </si>
  <si>
    <t>переведення, типу відказник, не від святу сього</t>
  </si>
  <si>
    <t>ГОЛОВАТЮК Федір Ігорович</t>
  </si>
  <si>
    <t>КОЖУХАР Олексій Олегович</t>
  </si>
  <si>
    <t>до 28.08.2026
КОПАЧ, відпустка з 18.08.2026 по 27.08.2026 (10 днів)</t>
  </si>
  <si>
    <t>РОЩУПКІН Віталій Ігорович</t>
  </si>
  <si>
    <t>ЗАМКОВИЙ Денис Олексійович</t>
  </si>
  <si>
    <t>АК 74 4422502</t>
  </si>
  <si>
    <t>Начальник групи - командир машини</t>
  </si>
  <si>
    <t>ТИМОФЄЄВ Гліб Сергійович</t>
  </si>
  <si>
    <t>РАЧКОВАН Юрій Олегович</t>
  </si>
  <si>
    <t>ЛАДИГА Віктор Миколайович</t>
  </si>
  <si>
    <t>АВ 666185</t>
  </si>
  <si>
    <t>ТВО стрілець-помічник гранатометника 3 піхотного відділення 1 піхотного взводу 3 піхотної роти 1 піхотного батальйону військової частини А4862;</t>
  </si>
  <si>
    <t>СТРІЛЬЧУК Павло Степанович</t>
  </si>
  <si>
    <t>АК 74 № 6264671</t>
  </si>
  <si>
    <t>865EASV093</t>
  </si>
  <si>
    <t>АГ 055634</t>
  </si>
  <si>
    <t>КРЕМЕНЕЦЬКИЙ Сергій Олегович</t>
  </si>
  <si>
    <t>БРЕЖНЄВ Дмитро Анатолійович</t>
  </si>
  <si>
    <t>КРЕМІНЬ</t>
  </si>
  <si>
    <t>ГОРОДИЛОВСЬКИЙ Павло Ігорович</t>
  </si>
  <si>
    <t>Водій-механік</t>
  </si>
  <si>
    <t>ЧУМАЧЕНКО Олег Васильович</t>
  </si>
  <si>
    <t>позиція КІЛО
по пораненню</t>
  </si>
  <si>
    <t>НЄСІН Сергій Євгенович</t>
  </si>
  <si>
    <t>АК 74 № 6229602</t>
  </si>
  <si>
    <t>865EBCF139</t>
  </si>
  <si>
    <t>старший водій-радіотелефоніст 1 піхотного відділення 1 піхотного взводу 3 піхотної роти 1 піхотного батальйону</t>
  </si>
  <si>
    <t>ТУТОВ Сергій Миколайович</t>
  </si>
  <si>
    <t>СЄДОЙ</t>
  </si>
  <si>
    <t>РУДЬ Роман Павлович</t>
  </si>
  <si>
    <t>РАЗВАДОВСЬКИЙ Вадим Юрійович</t>
  </si>
  <si>
    <t>МОНАСТИРСЬКИЙ Максим Олександрович</t>
  </si>
  <si>
    <t>АРІЄЦЬ</t>
  </si>
  <si>
    <t>Старший водій-машиніст заправної машини</t>
  </si>
  <si>
    <t>ТИТИЧКО Василь Олександрович</t>
  </si>
  <si>
    <t>АК 74 № 2045997</t>
  </si>
  <si>
    <t>865ЕВCJ830</t>
  </si>
  <si>
    <t>ШВАЙКІН Андрій Олександрович</t>
  </si>
  <si>
    <t>буде проходити ВЛК</t>
  </si>
  <si>
    <t>ШЕВЧУК Станіслав Олегович</t>
  </si>
  <si>
    <t>АВ 851380</t>
  </si>
  <si>
    <t>ЧЕРЕХ Юрій Володимирович</t>
  </si>
  <si>
    <t>ЛЕЙМАН</t>
  </si>
  <si>
    <t>ТИМОШОК Дмитро Вікторович</t>
  </si>
  <si>
    <t>АРНАУТОВ Олександр Геннадійович</t>
  </si>
  <si>
    <t>ВЖИК</t>
  </si>
  <si>
    <t>АГ 128310</t>
  </si>
  <si>
    <t>ПРИТУЛА Володимир Миколайович</t>
  </si>
  <si>
    <t>ГНІЦЕВИЧ Владислав Олександрович</t>
  </si>
  <si>
    <t>ВАДО</t>
  </si>
  <si>
    <t>АК 74 № 1699988</t>
  </si>
  <si>
    <t>865EASS721</t>
  </si>
  <si>
    <t>БЕЗПАЛИЙ Андрій Олександрович</t>
  </si>
  <si>
    <t>АНТОХОВ Віталій Миколайович</t>
  </si>
  <si>
    <t>КОВАЛЬЧУК Дмитро Леонідович</t>
  </si>
  <si>
    <t>ВЕЛИЧКО Денис Васильович</t>
  </si>
  <si>
    <t>ВДВ</t>
  </si>
  <si>
    <t>ДВІРНИЙ Олександр Євгенович</t>
  </si>
  <si>
    <t>кулеметник 1 піхотного відділення 1 піхотного взводу 3 піхотної роти 1 піхотного батальйону</t>
  </si>
  <si>
    <t>865EBJQ591</t>
  </si>
  <si>
    <t>НІКОЛАЄНКО Руслан Русланович</t>
  </si>
  <si>
    <t>ТПВ № 4205</t>
  </si>
  <si>
    <t>ЩЕРБАНЮК Володимир Іванович</t>
  </si>
  <si>
    <t>ПУКАСЬ Олександр Сергійович</t>
  </si>
  <si>
    <t>ЩЕРБА</t>
  </si>
  <si>
    <t>НАУМОВ Євген Миколайович</t>
  </si>
  <si>
    <t>КУЧУГУРНИЙ Олег Васильович</t>
  </si>
  <si>
    <t>ХИЖНЯК Олександр Миколайович</t>
  </si>
  <si>
    <t>БРЕСЛАВЕЦЬ Дмитро Геннадійович</t>
  </si>
  <si>
    <t>Ніколаєнко Р.Р. (Циган) прибув 24.11 з підрозділу (Нагоєна рана правої кісті) . 872С . лікування на МР . вибув 26.11 на "П" до Клєща . забрав Джавік, Скальпель</t>
  </si>
  <si>
    <t>АНАНЬЄВ Володимир Вадимович</t>
  </si>
  <si>
    <t>стрілець-помічник гранатометника 1 піхотного відділення 1 піхотного взводу 3 піхотної роти 1 піхотного батальйону</t>
  </si>
  <si>
    <t>НАГОРНИЙ Роман Леонідович</t>
  </si>
  <si>
    <t>ТВО кулеметник 2 піхотного відділення 3 піхотного взводу 3 піхотної роти 1 піхотного батальйону</t>
  </si>
  <si>
    <t>КОРОВІН Володимир Вячеславович</t>
  </si>
  <si>
    <t>БІЛОУС Олександр Володимирович</t>
  </si>
  <si>
    <t>СУШКЕВИЧ Андрій Михайлович</t>
  </si>
  <si>
    <t>АК 74 5410596</t>
  </si>
  <si>
    <t>МОЛЧАНОВ Володимир Вікторович</t>
  </si>
  <si>
    <t>865EBJU197</t>
  </si>
  <si>
    <t>ШКЛЯР Володимир Вікторович</t>
  </si>
  <si>
    <t>ЧЕРДАНЦЕВ Ілля Васильович</t>
  </si>
  <si>
    <t>АГ 458793</t>
  </si>
  <si>
    <t>МЕЛЬНИК Володимир Миколайович</t>
  </si>
  <si>
    <t>КУРІННИЙ Олександр Іванович</t>
  </si>
  <si>
    <t>вибув у 2ШБ 07.01.26, заміна Смірновця</t>
  </si>
  <si>
    <t>СЛЮНЯЄВ Валентин Ігорович</t>
  </si>
  <si>
    <t>АК 74 4485697</t>
  </si>
  <si>
    <t>Механік-радіотелефоніст</t>
  </si>
  <si>
    <t>ТВО стрілець 3 піхотного відділення 1 піхотного взводу 2 піхотної роти 1 піхотного батальйону військової частини А4862;</t>
  </si>
  <si>
    <t>ПИЛИПЕЦЬ Юрій Владиславович</t>
  </si>
  <si>
    <t>07.05.2026
до 09.09.2026</t>
  </si>
  <si>
    <t>КОСОВИЧ Дмитро Михайлович</t>
  </si>
  <si>
    <t>СИМОНЧУК Віктор Сергійович</t>
  </si>
  <si>
    <t>ВІТЬОК</t>
  </si>
  <si>
    <t>СЛАВСЬКИЙ Ярослав Іванович</t>
  </si>
  <si>
    <t>ЛЕГКОНЕЦЬ Іван Тарасович</t>
  </si>
  <si>
    <t>ЛЕГКИЙ</t>
  </si>
  <si>
    <t>РАДКЕВИЧ Дмитро Анатолійович</t>
  </si>
  <si>
    <t>АГ 483033</t>
  </si>
  <si>
    <t>КОРОСТИЛЕНКО Андрій Леонідович</t>
  </si>
  <si>
    <t>ЛІСОГУРСЬКИЙ Олексій Леонідович</t>
  </si>
  <si>
    <t>АК 74 6230871</t>
  </si>
  <si>
    <t>БОЧКАРЕВ Євген Сергійович</t>
  </si>
  <si>
    <t>АГЄЄВ Костянтин Сергійович</t>
  </si>
  <si>
    <t>ОКСАНИЧ Ярослав Іванович</t>
  </si>
  <si>
    <t>ТВО стрілець 1 піхотного відділення 3 піхотного взводу 3 піхотної роти 1 піхотного батальйону військової частини А4862;</t>
  </si>
  <si>
    <t>Старший кухар</t>
  </si>
  <si>
    <t>РУСЬКИЙ Андрій Леонідович</t>
  </si>
  <si>
    <t>БЕНІ</t>
  </si>
  <si>
    <t>ДЕЗЕРТИР</t>
  </si>
  <si>
    <t>МАКСИМОВ Андрій Володимирович</t>
  </si>
  <si>
    <t>ПАВЛЕНКО Сергій Володимирович</t>
  </si>
  <si>
    <t>ВІТЕР</t>
  </si>
  <si>
    <t>АК 74 5411181</t>
  </si>
  <si>
    <t>КАНДИБА Євген Іванович</t>
  </si>
  <si>
    <t>865EBD9047</t>
  </si>
  <si>
    <t>П'ЯТНИЦЯ Ігор Вікторович</t>
  </si>
  <si>
    <t>вогнеметник 1 піхотного відділення 1 піхотного взводу 3 піхотної роти 1 піхотного батальйону</t>
  </si>
  <si>
    <t>ГАЦЕНКО Ігор Анатолійович</t>
  </si>
  <si>
    <t>ФУРМАН Олександр Вячеславович</t>
  </si>
  <si>
    <t>ЛЕБІДЬ Руслан Олександрович</t>
  </si>
  <si>
    <t>СНІКЕРС</t>
  </si>
  <si>
    <t>ПАНКОВЕЦЬКИЙ Віктор Григорович</t>
  </si>
  <si>
    <t>АК 74 4441307</t>
  </si>
  <si>
    <t>807TYW5856</t>
  </si>
  <si>
    <t>НІККЕЛЬ Юрій Васильович</t>
  </si>
  <si>
    <t>ТВО стрілець-помічник гранатометника 1 піхотного відділення 1 піхотного взводу 2 піхотної роти 1 піхотного батальйону військової частини А4862;</t>
  </si>
  <si>
    <t>ВОДІЙ КВАДРАЦИКЛА</t>
  </si>
  <si>
    <t>МЕЛЬНИК Євген Юрійович</t>
  </si>
  <si>
    <t>СО 617897</t>
  </si>
  <si>
    <t>ПЕРЧИК Валентин В'ячеславович</t>
  </si>
  <si>
    <t>КУЛАК Ігор Володимирович</t>
  </si>
  <si>
    <t>ЦЕНТРАЛЬНИЙ</t>
  </si>
  <si>
    <t>ПЕРЕЦЬ</t>
  </si>
  <si>
    <t>ШАЦЬКИЙ Вадим Сергійович</t>
  </si>
  <si>
    <t>Начальник розвідки</t>
  </si>
  <si>
    <t>ФРОЛОВ Анатолій Володимирович</t>
  </si>
  <si>
    <t>МО 708125</t>
  </si>
  <si>
    <t>АК 74 2042965</t>
  </si>
  <si>
    <t>ГОВОРУХА Вадим Анатолійович</t>
  </si>
  <si>
    <t>ДЗУНДЗА Ярослав Іванович</t>
  </si>
  <si>
    <t>КРЯК</t>
  </si>
  <si>
    <t>ЦАРЕНКО Ігор Вікторович</t>
  </si>
  <si>
    <t>ППО</t>
  </si>
  <si>
    <t>37T CP 11530 08570 -  Скиди з дронів</t>
  </si>
  <si>
    <t>СІБІРКО Ігор Леонідович</t>
  </si>
  <si>
    <t>ТВО командир екіпажу безпілотних літальних комплексів - командир 2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 військової частини А4862;</t>
  </si>
  <si>
    <t>відпустка</t>
  </si>
  <si>
    <t>СО 141429</t>
  </si>
  <si>
    <t>ВАСИЛЬЧЕНКО Іван Сергійович</t>
  </si>
  <si>
    <t>ВАСИЛЕНКО Дмитро Сергійович</t>
  </si>
  <si>
    <t>САДОВИЙ Юрій Леонідович</t>
  </si>
  <si>
    <t>КІС Олександр Михайлович</t>
  </si>
  <si>
    <t>АК 74 № 4417609</t>
  </si>
  <si>
    <t>ПЕТРОВ Василь Анатолійович</t>
  </si>
  <si>
    <t>ПЕДРО</t>
  </si>
  <si>
    <t>ПЕТРОВ Ігор Петрович</t>
  </si>
  <si>
    <t>Копачі</t>
  </si>
  <si>
    <t>ДУДКО Олександр Валентинович</t>
  </si>
  <si>
    <t>РЕЗНІК Леонід Леонідович</t>
  </si>
  <si>
    <t>КАТЛАН Євгеній Володимирович</t>
  </si>
  <si>
    <t>МИХАЛЕВСЬКИЙ Сергій Юрійович</t>
  </si>
  <si>
    <t>АК 74 № 6241553</t>
  </si>
  <si>
    <t>865ЕAST218</t>
  </si>
  <si>
    <t>РЯБОВ Андрій Анатолійович</t>
  </si>
  <si>
    <t>гранатометник 2 піхотного відділення 1 піхотного взводу 3 піхотної роти 1 піхотного батальйону</t>
  </si>
  <si>
    <t>КАСКОВ Юрій Миколайович</t>
  </si>
  <si>
    <t>ПІКУШ Олександр Володимирович (26.05.1972 р.н.)</t>
  </si>
  <si>
    <t>АДАМОВ Сергій Олегович</t>
  </si>
  <si>
    <t>АК 74 № 6257109</t>
  </si>
  <si>
    <t>ЖУКОВ Данило Анатолійович</t>
  </si>
  <si>
    <t>Тракторист - машиніст бульдозера</t>
  </si>
  <si>
    <t>вибув з МР 07.01 в охорону полігону Чорний Ліс</t>
  </si>
  <si>
    <t>ШТИФОРУК Сергій Сергійович</t>
  </si>
  <si>
    <t>ШТАХУН Євген Вікторович</t>
  </si>
  <si>
    <t>Водій-машиніст екскаватора</t>
  </si>
  <si>
    <t>ШУЛЯК Валентин Миколайович</t>
  </si>
  <si>
    <t>ДІДУСЬ</t>
  </si>
  <si>
    <t>ПОЛОЗЮК Олег Леонідович</t>
  </si>
  <si>
    <t>АГ 107058</t>
  </si>
  <si>
    <t>Мінометний приціл МРМ-44М №241093
Тепловізор s/n: 2AKU5ZG40</t>
  </si>
  <si>
    <t>РОЖКОВ Андрій Олексійович</t>
  </si>
  <si>
    <t>АНДРЕ</t>
  </si>
  <si>
    <t>ЄЖАК Юрій Валерійович</t>
  </si>
  <si>
    <t>СЧАСТЛИВЕНКО Віктор Сергійович</t>
  </si>
  <si>
    <t>14.07.2026
УБИРАЕТ</t>
  </si>
  <si>
    <t>СЕНЬКОВИЧ Ігор Ігорович</t>
  </si>
  <si>
    <t>Розвідник-сапер</t>
  </si>
  <si>
    <t>БУРЛАКА Іван Васильович</t>
  </si>
  <si>
    <t>СЗЧ подала мед рота 28.12.2025</t>
  </si>
  <si>
    <t>ЄВСЮКОВ Віктор Сергійович</t>
  </si>
  <si>
    <t>АГ 393912</t>
  </si>
  <si>
    <t>СМАЛЬ Сергій Костянтинович</t>
  </si>
  <si>
    <t>ТРОХИМЧУК Руслан Миколайович</t>
  </si>
  <si>
    <t>АГ 384475</t>
  </si>
  <si>
    <t>АК-74 №2055484</t>
  </si>
  <si>
    <t>РОСКОСЕНКО Володимир Олександрович</t>
  </si>
  <si>
    <t>РОСКОС</t>
  </si>
  <si>
    <t>ШЕВЦОВА Олена Миколаївна</t>
  </si>
  <si>
    <t>КОСТЮК Любомир Васильович</t>
  </si>
  <si>
    <t>ТРОФИМЕНКО Сергій Федорович</t>
  </si>
  <si>
    <t>ЗАМОРУЄВ Дмитро Сергійович</t>
  </si>
  <si>
    <t>№89 від 25.03.2026</t>
  </si>
  <si>
    <t>ПАСЬКЕВИЧ Михайло Степанович</t>
  </si>
  <si>
    <t>ЛОЗОВИЦЬКИЙ Ігор Валентинович</t>
  </si>
  <si>
    <t>НА ПОСАДУ</t>
  </si>
  <si>
    <t>ПЛЕСКАЧ Олексій Васильович</t>
  </si>
  <si>
    <t>НЕЧИПОРЕНКО Олександр Сергійович</t>
  </si>
  <si>
    <t>АГ 563230</t>
  </si>
  <si>
    <t>ГОЛОВАЦЬКИЙ Олег Іванович</t>
  </si>
  <si>
    <t>РИБЧЕНКО Ігор Васильович</t>
  </si>
  <si>
    <t>Головний сержант- начальник майстерні</t>
  </si>
  <si>
    <t>ПЯТКІН Юрій Миколайович</t>
  </si>
  <si>
    <t>МАЛИШЕВ Руслан Володимирович</t>
  </si>
  <si>
    <t>ЗП</t>
  </si>
  <si>
    <t>Лиманський напр</t>
  </si>
  <si>
    <t>ГОЛЯЧЕНКО Петро Петрович</t>
  </si>
  <si>
    <t>КІЛЛА</t>
  </si>
  <si>
    <t>КРАМАРЕНКО Валерій Олександрович</t>
  </si>
  <si>
    <t>до 12.01.2026
10.01.2026 прибув на медичну роту
 з лік.відпустки
Вибув 28.01.2026 в 2ББС</t>
  </si>
  <si>
    <t>СИРОТЕНКО Володимир Миколайович</t>
  </si>
  <si>
    <t>ХОРУЖЕНКО Сергій Сергійович</t>
  </si>
  <si>
    <t>ШАПОВАЛ Михайло Геннадійович</t>
  </si>
  <si>
    <t>КУЛІНІЧ Володимир Юрійович</t>
  </si>
  <si>
    <t>ПРИБУВ 14.06.26 Полі Б
позиція МАДРИД</t>
  </si>
  <si>
    <t>КАЗМИРУК Дмитро Андрійович</t>
  </si>
  <si>
    <t>була Призупинка служби</t>
  </si>
  <si>
    <t>СІДОЙ</t>
  </si>
  <si>
    <t>ПЕТЛЬОВАНИЙ Микола Володимирович</t>
  </si>
  <si>
    <t>КАСЬКЕВИЧ Юрій Анатолійович</t>
  </si>
  <si>
    <t>ШЛЯХОВ Артур Едуардович</t>
  </si>
  <si>
    <t>АГ 453051</t>
  </si>
  <si>
    <t>ПАНОВ Сергій Анатолійович</t>
  </si>
  <si>
    <t>МОСКАЛЕНКО Сергій Миколайович</t>
  </si>
  <si>
    <t>РИКУН Микола Дмитрович</t>
  </si>
  <si>
    <t>БАСКО Сергій Іванович</t>
  </si>
  <si>
    <t>АК 74 № 4428513</t>
  </si>
  <si>
    <t>ВОВКОТРУБ Роман Павлович</t>
  </si>
  <si>
    <t>865EBE1563</t>
  </si>
  <si>
    <t>КАНДАУРОВ Юрій Миколайович</t>
  </si>
  <si>
    <t>Зброя не втрачена.</t>
  </si>
  <si>
    <t>АГ 450463</t>
  </si>
  <si>
    <t>СЛИВНИЙ Юрій Олександрович</t>
  </si>
  <si>
    <t>КУЗЬМЕНКО Юрій Олексійович (23.01.1988 р.н.)</t>
  </si>
  <si>
    <t>ГЕРГУЛЬ Ігор Миколайович</t>
  </si>
  <si>
    <t>НУЖНИЙ Вадим Миколайович</t>
  </si>
  <si>
    <t>ЛИТВИНЕНКО Олексій Володимирович</t>
  </si>
  <si>
    <t>МЕШКОВ Дмитро Миколайович</t>
  </si>
  <si>
    <t>водій 2 піхотного відділення 1 піхотного взводу 3 піхотної роти 1 піхотного батальйону</t>
  </si>
  <si>
    <t>ТЯЖКОРОБ Ігор Вікторович</t>
  </si>
  <si>
    <t>ЦИБУЛЯ Олександр Іванович</t>
  </si>
  <si>
    <t>КАЛИШЕНКО Микола Павлович</t>
  </si>
  <si>
    <t>КАЛУЖНЯК Василь Іванович</t>
  </si>
  <si>
    <t>ПІГАС Олексій Володимирович</t>
  </si>
  <si>
    <t>РУСІНОВ Віталій Вікторович</t>
  </si>
  <si>
    <t>ЛЯСКОВСЬКИЙ Віталій Юрійович</t>
  </si>
  <si>
    <t>СКРУДЖ</t>
  </si>
  <si>
    <t>ШАПОВАЛ Володимир Геннадійович</t>
  </si>
  <si>
    <t>14.07.2026
СТРОИТЕЛЬ</t>
  </si>
  <si>
    <t>ТОЛСТОЙ Олександр Сергійович</t>
  </si>
  <si>
    <t>БАБЕНКО Сергій Миколайович</t>
  </si>
  <si>
    <t>ГОРВАТ Йосип Йосипович</t>
  </si>
  <si>
    <t>АК 74 № 5621025</t>
  </si>
  <si>
    <t>Начальник складу</t>
  </si>
  <si>
    <t>АГ 103304</t>
  </si>
  <si>
    <t>ГАВРИШ Олександр Іванович</t>
  </si>
  <si>
    <t>БОГАЧ Олександр Григорович</t>
  </si>
  <si>
    <t>ДИЧЕНКО Володимир Ілліч</t>
  </si>
  <si>
    <t>СЕМЕНЕНКО Олександр Ігорович</t>
  </si>
  <si>
    <t>ЗВ`ЯЗОК</t>
  </si>
  <si>
    <t>СТОЛЯРЕНКО Дмитро Вікторович</t>
  </si>
  <si>
    <t>МАРУСІЧ Олександр Олександрович</t>
  </si>
  <si>
    <t>ДОН Костянтин Іванович</t>
  </si>
  <si>
    <t>АВ 895309</t>
  </si>
  <si>
    <t>ШАПОВАЛОВ Сергій Юрійович</t>
  </si>
  <si>
    <t>БРОШКО Володимир Іванович</t>
  </si>
  <si>
    <t>ФАЙФЕР Володимир Миколайович</t>
  </si>
  <si>
    <t>доставлено до н.п. Самійлівка 13.03.2026 напрямківцем до сужіників 32 бригади</t>
  </si>
  <si>
    <t>ЗАГОРНИЙ Вадим Олександрович</t>
  </si>
  <si>
    <t>до 09.09.2026</t>
  </si>
  <si>
    <t>ГУЖВА Іван Сергійович</t>
  </si>
  <si>
    <t>ЮРЕСКУЛ Ігор Ігорович</t>
  </si>
  <si>
    <t>старший стрілець - оператор безпілотних літальних апаратів 3 піхотного відділення 1 піхотного взводу 3 піхотної роти 1 піхотного батальйону</t>
  </si>
  <si>
    <t>МАЛИЦЬКИЙ Сергій Миколайович</t>
  </si>
  <si>
    <t>НЕЧЕВ Юрій Валерійович</t>
  </si>
  <si>
    <t>АСТРА</t>
  </si>
  <si>
    <t>АК 74 № 6251169</t>
  </si>
  <si>
    <t>ПЛЬОНЦАК Ян Анатолійович</t>
  </si>
  <si>
    <t>ПИНЬКО Олександр Олександрович</t>
  </si>
  <si>
    <t>ГЕРЖА Тарас В'ячеславович</t>
  </si>
  <si>
    <t>ПУРАС Олексій Олександрович</t>
  </si>
  <si>
    <t>СУЛЬЖЕНКО Іван Юрійович</t>
  </si>
  <si>
    <t>гранатометник 3 піхотного відділення 1 піхотного взводу 3 піхотної роти 1 піхотного батальйону</t>
  </si>
  <si>
    <t>ЛЕГКОДУХ Кирило Володимирович</t>
  </si>
  <si>
    <t>ЛОЗОВ Андрій Іванович</t>
  </si>
  <si>
    <t>ЛОБЗІК</t>
  </si>
  <si>
    <t>ДАМАСКІН Дмитро Олександрович</t>
  </si>
  <si>
    <t>СЕЛЕГЕНЄВ Сергій Євгенович</t>
  </si>
  <si>
    <t>КОКИЦЬ Сергій Анатолійович</t>
  </si>
  <si>
    <t>КОТИК Вячеслав Вікторович</t>
  </si>
  <si>
    <t>ПРИБУВ Полі Б 20.06.26</t>
  </si>
  <si>
    <t>ГРИЦЕНКО Сергій Володимирович</t>
  </si>
  <si>
    <t>ЛОБОВ Максим Віталійович</t>
  </si>
  <si>
    <t>кулеметник 3 піхотного відділення 1 піхотного взводу 3 піхотної роти 1 піхотного батальйону</t>
  </si>
  <si>
    <t>СТЕЦЕНКО Євгеній Геннадійович</t>
  </si>
  <si>
    <t>АК 74 № 4651253</t>
  </si>
  <si>
    <t>СТАДНІК Олександр Анатолійович</t>
  </si>
  <si>
    <t>САРАПУЛА Володимир Ігорович</t>
  </si>
  <si>
    <t>ПУСТОВАЛОВ Ігор Юрійович</t>
  </si>
  <si>
    <t>КУДЕЛЯ Роман Федорович</t>
  </si>
  <si>
    <t>АК 74 № 6301425</t>
  </si>
  <si>
    <t>ТОКАР Антон Олегович</t>
  </si>
  <si>
    <t>АГ 107308</t>
  </si>
  <si>
    <t>БОРТНІЧЕНКО Вячеслав Михайлович</t>
  </si>
  <si>
    <t>АЙДІМІРОВ Павло Євгенович</t>
  </si>
  <si>
    <t>ПРАДУН Олександр Володимирович</t>
  </si>
  <si>
    <t>ЛЬОТКА Андрій Олегович</t>
  </si>
  <si>
    <t>ЛІСІКЕВИЧ Андрій Миронович</t>
  </si>
  <si>
    <t>до 30.08.26</t>
  </si>
  <si>
    <t>БАЗІК</t>
  </si>
  <si>
    <t>КОМИЛЯТОВ Денис Олександрович</t>
  </si>
  <si>
    <t>АК 74 № 4280973</t>
  </si>
  <si>
    <t>ПОПУРІЙ Віктор Володимирович</t>
  </si>
  <si>
    <t>АГ 512882</t>
  </si>
  <si>
    <t>ТРЕТЯК Євгеній Іванович</t>
  </si>
  <si>
    <t>ДРАГОЙ Микола Леонідович</t>
  </si>
  <si>
    <t>НІКОЛАЙ</t>
  </si>
  <si>
    <t>ЦВІГУН Олег Миколайович</t>
  </si>
  <si>
    <t>ПАВЛЕНКО Володимир Володимирович</t>
  </si>
  <si>
    <t>АНДРІАНОВ Олександр Васильович</t>
  </si>
  <si>
    <t>АК 74 № 1706024</t>
  </si>
  <si>
    <t>ДЕБКОВ Олександр Сергійович</t>
  </si>
  <si>
    <t>ДЕЙНЕКА Віталій Миколайович</t>
  </si>
  <si>
    <t>ЧЕПЕЛЕНКО Олексій Олексійович</t>
  </si>
  <si>
    <t xml:space="preserve">АЛИПОВ Олександр Віталійович </t>
  </si>
  <si>
    <t>ДВАДЦЯТИЙ</t>
  </si>
  <si>
    <t>ЮРЧИК Олександр Миколайович</t>
  </si>
  <si>
    <t>АК 74 № 4553710</t>
  </si>
  <si>
    <t>Батя вышел с автоматом ювелира</t>
  </si>
  <si>
    <t>ГЛАДКИЙ Василь Євгенович</t>
  </si>
  <si>
    <t>СОЛОНЬКО Руслан Анатолійович</t>
  </si>
  <si>
    <t>КОРНІЄНКО Максим Анатолійович</t>
  </si>
  <si>
    <t>ВЕРЕКОЗ</t>
  </si>
  <si>
    <t>прибув після СЗЧ 01.08.2026</t>
  </si>
  <si>
    <t>ШУЛЬГА Михайло Юрійович</t>
  </si>
  <si>
    <t>ВІЛ</t>
  </si>
  <si>
    <t>АК 74 № 1683511</t>
  </si>
  <si>
    <t>ПОКРИЩЕНКО Петро Володимирович</t>
  </si>
  <si>
    <t>АГ 594093</t>
  </si>
  <si>
    <t>БІЛОКОНЬ Максим Сергійович</t>
  </si>
  <si>
    <t>Вибув з МР 22.01 на підрозділ Артдивізіон. Забрала Весна та Лайт</t>
  </si>
  <si>
    <t>ЗЕЛЕНСЬКИЙ Микола Миколайович</t>
  </si>
  <si>
    <t>ДЕРЕВИЧ Володимир Борисович</t>
  </si>
  <si>
    <t>ЗАБОЛОТНИЙ Роман Павлович</t>
  </si>
  <si>
    <t>ГАЛКІН Євгеній Андрійович</t>
  </si>
  <si>
    <t>инвалид</t>
  </si>
  <si>
    <t>КОРОБКО Денис Володимирович</t>
  </si>
  <si>
    <t>АК 74 № 6186352</t>
  </si>
  <si>
    <t>вогнеметник 3 піхотного відділення 1 піхотного взводу 3 піхотної роти 1 піхотного батальйону</t>
  </si>
  <si>
    <t>ЗЕЛЕНСЬКИЙ Анатолій Миколайович</t>
  </si>
  <si>
    <t>ТПВ № 4195</t>
  </si>
  <si>
    <t>СКУМІН Михайло Олексійович</t>
  </si>
  <si>
    <t>ТВО старший стрілець - оператор безпілотних літальних апаратів 3 піхотного відділення 3 піхотного взводу 2 піхотної роти піхотного батальйону</t>
  </si>
  <si>
    <t>ХАРУЦА Дмитро Сергійович</t>
  </si>
  <si>
    <t>СОРОКІН Володимир Володимирович</t>
  </si>
  <si>
    <t>СОКОЛ</t>
  </si>
  <si>
    <t>ДРОЗД Родіон Георгійович</t>
  </si>
  <si>
    <t>АК 74 4543111</t>
  </si>
  <si>
    <t>ЧЕРНЕНКО Владислав Миколайович</t>
  </si>
  <si>
    <t>06.07.2026
НА ПРАЛЬНІ</t>
  </si>
  <si>
    <t>ФІЛІПОВ Андрій Валерійович</t>
  </si>
  <si>
    <t>ТВО водій кулеметного взводу 2 піхотної роти піхотного батальйону</t>
  </si>
  <si>
    <t>ТКАЧУК Віталій Олександрович</t>
  </si>
  <si>
    <t>командир 2 піхотного взводу 3 піхотної роти 1 піхотного батальйону</t>
  </si>
  <si>
    <t>ВОВНЕНКО Артем Євгенійович</t>
  </si>
  <si>
    <t>АК 74 4290171</t>
  </si>
  <si>
    <t>КОЗАР Олександр Сергійович</t>
  </si>
  <si>
    <t>САВЧЕНКО Максим Олександрович (25.01.1997 р.н.)</t>
  </si>
  <si>
    <t>ТВО стрілець 2 піхотного відділення 1 піхотного взводу 3 піхотної роти піхотного батальйону</t>
  </si>
  <si>
    <t>СТЕПАНОВ Володимир Володимирович</t>
  </si>
  <si>
    <t>КАМИНІН Олег Ігорович</t>
  </si>
  <si>
    <t>КРИСАК Богдан Васильович</t>
  </si>
  <si>
    <t>КОМИШ</t>
  </si>
  <si>
    <t>ЖИЛКО Віктор Олександрович</t>
  </si>
  <si>
    <t>ПАВУК</t>
  </si>
  <si>
    <t>СТЕРНІЧУК Станіслав Валентинович</t>
  </si>
  <si>
    <t>АК 74 6238214</t>
  </si>
  <si>
    <t>КАПКАЙКІН Олександр Юрійович</t>
  </si>
  <si>
    <t>н.п. Великомихайлівка</t>
  </si>
  <si>
    <t>ДРОЗДА Володимир Васильович</t>
  </si>
  <si>
    <t>МАРТИЩЕНКО Антон Юрійович</t>
  </si>
  <si>
    <t>КЦ</t>
  </si>
  <si>
    <t>ПОЗДНЯКОВ Євген Володимирович</t>
  </si>
  <si>
    <t>КЛОЧКОВ Кирил Олександрович</t>
  </si>
  <si>
    <t>АК 74 6285126</t>
  </si>
  <si>
    <t>На виконанні, охорона позицій БПЛА</t>
  </si>
  <si>
    <t>САМОЙЛИК Дмитро Олексійович</t>
  </si>
  <si>
    <t>АВ 628573</t>
  </si>
  <si>
    <t>БОЄВ Дмитро Олександрович</t>
  </si>
  <si>
    <t>ПЕРЕДЕРІЙ Максим Юрійович</t>
  </si>
  <si>
    <t>СЛАВОВ Сергій Юрійович</t>
  </si>
  <si>
    <t>ДІР</t>
  </si>
  <si>
    <t>ЖУКОВ Михайло Анатолійович</t>
  </si>
  <si>
    <t>БУШТРУК Андрій Миколайович</t>
  </si>
  <si>
    <t>АК 74 1995828</t>
  </si>
  <si>
    <t>ОРЖАХОВСЬКИЙ Олександр Вікторович</t>
  </si>
  <si>
    <t>Аналітик</t>
  </si>
  <si>
    <t>ТЕЛЯТИНСЬКИЙ Євстахій Євстахійович</t>
  </si>
  <si>
    <t>ПОБЕРІЙ Артем Євгенович</t>
  </si>
  <si>
    <t>АК 74 6281401</t>
  </si>
  <si>
    <t>865EBKJ693</t>
  </si>
  <si>
    <t>АГ 306096</t>
  </si>
  <si>
    <t>НЕСМАШНИЙ Олег Вікторович</t>
  </si>
  <si>
    <t>37T CP 11790 07965 - арт.обстріл + скиди</t>
  </si>
  <si>
    <t>АБРАМКІН Костянтин Олександрович</t>
  </si>
  <si>
    <t>АБРАМ</t>
  </si>
  <si>
    <t>МЕЛЬНИЧЕНКО Олександр Олександрович</t>
  </si>
  <si>
    <t>АГ 161480</t>
  </si>
  <si>
    <t>МАКСИМІВ Михайло Васильович</t>
  </si>
  <si>
    <t>ЛЕГКИЙ Микола Миколайович</t>
  </si>
  <si>
    <t>СТАРШИНА</t>
  </si>
  <si>
    <t>КОРОЛЬ Сергій Олександрович (04.03.1980 р.н.)</t>
  </si>
  <si>
    <t>АК 74 6242026</t>
  </si>
  <si>
    <t>865EBKJ698</t>
  </si>
  <si>
    <t>37T CP 11796 07911 -  FPV дрон в бліндаж</t>
  </si>
  <si>
    <t>ТКАЧУК Олег Іванович</t>
  </si>
  <si>
    <t>ЧЕБАНУ Сергій Іванович</t>
  </si>
  <si>
    <t>МАСЛОВ Максим Володимирович</t>
  </si>
  <si>
    <t>МАРІНІН Ярослав Володимирович</t>
  </si>
  <si>
    <t>АК 74 1960059</t>
  </si>
  <si>
    <t>37T CP 11794 07929 - арт.обстріл + скиди</t>
  </si>
  <si>
    <t>ТУЖИКОВ Єгор Геннадійович</t>
  </si>
  <si>
    <t>старший стрілець - оператор безпілотних літальних апаратів 1 піхотного відділення 2 піхотного взводу 3 піхотної роти 1 піхотного батальйону</t>
  </si>
  <si>
    <t>СУБОТ Роман Степанович</t>
  </si>
  <si>
    <t>НАЗАРЕНКО Яків Григорович</t>
  </si>
  <si>
    <t>НАЗАР</t>
  </si>
  <si>
    <t>ЧІПЕНКО Олександр Павлович</t>
  </si>
  <si>
    <t>з 10.01.2026 - 11.03.2026</t>
  </si>
  <si>
    <t>АК 74 1658237</t>
  </si>
  <si>
    <t>БАРЧУК Кирило Васильович</t>
  </si>
  <si>
    <t>СТАСЮК Олександр Вікторович</t>
  </si>
  <si>
    <t>н.п. Олексіївка / н.п. Вербове</t>
  </si>
  <si>
    <t>СО 507357</t>
  </si>
  <si>
    <t>КУЩ Євген Павлович</t>
  </si>
  <si>
    <t>МИТРОФАНОВ Ігор Володимирович</t>
  </si>
  <si>
    <t>ЖЕРДИЦЬКИЙ Олексій Олександрович</t>
  </si>
  <si>
    <t>старший водій 1 піхотного відділення 2 піхотного взводу 3 піхотної роти 1 піхотного батальйону</t>
  </si>
  <si>
    <t>865EASY929</t>
  </si>
  <si>
    <t>ГРОМОВ Павло Олександрович</t>
  </si>
  <si>
    <t>МАРКО Іван Петрович</t>
  </si>
  <si>
    <t>КОВАЛЬЧУК Сергій Анатолійович</t>
  </si>
  <si>
    <t>ЛУЦИШИН Василь Богданович</t>
  </si>
  <si>
    <t>АК 74 2020530</t>
  </si>
  <si>
    <t>865EBKJ179</t>
  </si>
  <si>
    <t>ІВАНИНА Ярослав Михайлович</t>
  </si>
  <si>
    <t>ПОНЕДІЛКО Сергій Олександрович</t>
  </si>
  <si>
    <t>гранатометник 1 піхотного відділення 2 піхотного взводу 3 піхотної роти 1 піхотного батальйону</t>
  </si>
  <si>
    <t>ІВАХНЮК Ярослав Богданович</t>
  </si>
  <si>
    <t>ВЕРЕНКО Роман Григорович</t>
  </si>
  <si>
    <t>БОГДАН Василь Михайлович</t>
  </si>
  <si>
    <t>РАМАЗАН</t>
  </si>
  <si>
    <t>БОТ</t>
  </si>
  <si>
    <t>КРАВЦОВ Олексій Володимирович</t>
  </si>
  <si>
    <t>ЧЕРНИШОВ Сергій Анатолійович</t>
  </si>
  <si>
    <t>ІВАШИНА Олександр Іванович</t>
  </si>
  <si>
    <t>АК 74 5951527</t>
  </si>
  <si>
    <t>ДОРОШЕНКО Олександр Сергійович</t>
  </si>
  <si>
    <t>ГРИНЬКО Олександр Вікторович</t>
  </si>
  <si>
    <t>ГУЦУЛЯК Степан Анатолійович</t>
  </si>
  <si>
    <t>кулеметник 1 піхотного відділення 2 піхотного взводу 3 піхотної роти 1 піхотного батальйону</t>
  </si>
  <si>
    <t>ОЛІФЕРЕНКО Сергій Вікторович</t>
  </si>
  <si>
    <t>ІВАНОВ Павло Віталійович</t>
  </si>
  <si>
    <t>АК 74 6204317</t>
  </si>
  <si>
    <t>КІЛЕР</t>
  </si>
  <si>
    <t>САВЧУК Микола Євстафійович</t>
  </si>
  <si>
    <t>865EBQ6576</t>
  </si>
  <si>
    <t>РУДИШИН Максим Олександрович</t>
  </si>
  <si>
    <t>ТРАЧУК Євгеній Олегович</t>
  </si>
  <si>
    <t>ШУМЕЙКО Дмитро Анатолійович</t>
  </si>
  <si>
    <t>НЕСТЕРЕНКО Олександр Миколайович</t>
  </si>
  <si>
    <t>прибув 13.05.26 Чорний ліс</t>
  </si>
  <si>
    <t>АК 74 1697236</t>
  </si>
  <si>
    <t>ШУЛЯР Ігор Мирославович</t>
  </si>
  <si>
    <t>ППО
СЗЧ с ППО, подав ПОЛК</t>
  </si>
  <si>
    <t>КИСІЛЬ Олексій Анатолійович</t>
  </si>
  <si>
    <t>ТПВ №4170</t>
  </si>
  <si>
    <t>НІШТУН Олексій Вікторович</t>
  </si>
  <si>
    <t>МАНЗИЧ Денис Володимирович</t>
  </si>
  <si>
    <t>БУЦ</t>
  </si>
  <si>
    <t>КОХАНСЬКИЙ Петро Леонідович</t>
  </si>
  <si>
    <t>АХЬЯРУЛЛІН Денис Ільшатович</t>
  </si>
  <si>
    <t>навчання мехводів 27.02.2026</t>
  </si>
  <si>
    <t>ЧУРІКОВ Євген Борисович</t>
  </si>
  <si>
    <t>24.06.2026
не Придатний</t>
  </si>
  <si>
    <t>АГ 008468</t>
  </si>
  <si>
    <t>ХЛИСТУН Володимир Вікторович</t>
  </si>
  <si>
    <t>КУРТОВ Віктор Олександрович</t>
  </si>
  <si>
    <t>ВЕРТИК</t>
  </si>
  <si>
    <t>стрілець 1 піхотного відділення 2 піхотного взводу 3 піхотної роти 1 піхотного батальйону</t>
  </si>
  <si>
    <t>АВ 881003</t>
  </si>
  <si>
    <t>КУХАР В'ячеслав Ігорович</t>
  </si>
  <si>
    <t>АК 74 6334215</t>
  </si>
  <si>
    <t>МАЗУРАК Ярослав Ігорович</t>
  </si>
  <si>
    <t>СТАНКОВ Руслан Іванович</t>
  </si>
  <si>
    <t>ВЕКЕРЛЕ Василь Олександрович</t>
  </si>
  <si>
    <t>із шпиталя по хворобі</t>
  </si>
  <si>
    <t>ПЛУТЕНКО Дмитро Володимирович</t>
  </si>
  <si>
    <t>АК 74 6242204</t>
  </si>
  <si>
    <t>28.06.2026
не Придатний</t>
  </si>
  <si>
    <t>865EBKH041</t>
  </si>
  <si>
    <t>КАШИЦЬКИЙ Денис Володимирович</t>
  </si>
  <si>
    <t>РАК Анатолій Васильович</t>
  </si>
  <si>
    <t>ЄВЕНКО Віктор Володимирович</t>
  </si>
  <si>
    <t>ТВО стрілець 2 піхотного відділення 1 піхотного взводу 1 піхотної роти піхотного батальйону</t>
  </si>
  <si>
    <t>ДАНИЛЬЧИК Євген Вікторович</t>
  </si>
  <si>
    <t>КЕСАРЧУК Олександр Васильович</t>
  </si>
  <si>
    <t>КАЙДАШ Сергій Миколайович</t>
  </si>
  <si>
    <t>КЕСАРЬ</t>
  </si>
  <si>
    <t>ФІЛОНЕНКО Дмитро Вікторович</t>
  </si>
  <si>
    <t>БОБРУСЬ Дмитро Юрійович</t>
  </si>
  <si>
    <t>АК 74 1999934</t>
  </si>
  <si>
    <t>ТРУБНІКОВ Олександр Сергійович</t>
  </si>
  <si>
    <t>ПИНТЯ Дмитро Георгійович</t>
  </si>
  <si>
    <t>вогнеметник 1 піхотного відділення 2 піхотного взводу 3 піхотної роти 1 піхотного батальйону</t>
  </si>
  <si>
    <t>НОВАКОВСЬКИЙ Олександр Олександрович</t>
  </si>
  <si>
    <t>БОНДАРЕНКО Андрій Романович</t>
  </si>
  <si>
    <t>НЕЙМАР</t>
  </si>
  <si>
    <t>КОЛЕСНИК Владислав Володимирович</t>
  </si>
  <si>
    <t>КУЩІЙ Роман Вікторович</t>
  </si>
  <si>
    <t>СОКОЛОВ Олександр Олександрович</t>
  </si>
  <si>
    <t>ДЖОН ВІК</t>
  </si>
  <si>
    <t>ПАНАСКО Віктор Олегович</t>
  </si>
  <si>
    <t>АК 74 № 2113787</t>
  </si>
  <si>
    <t>НЕДІЛЬКО Володимир Петрович</t>
  </si>
  <si>
    <t>ЧЕМЕРИС Андрій Олександрович</t>
  </si>
  <si>
    <t>МАСАЛІТІН Максим Віталійович</t>
  </si>
  <si>
    <t>БОГДАНОВ Микола Олександрович</t>
  </si>
  <si>
    <t>СІРИЙ</t>
  </si>
  <si>
    <t>СУРКАЧЕВ Олександр Валерійович</t>
  </si>
  <si>
    <t>АК 74 № 6228034</t>
  </si>
  <si>
    <t>АЗАМАТ Іван Миколайович</t>
  </si>
  <si>
    <t>ЮРЧЕНКО Володимир Володимирович</t>
  </si>
  <si>
    <t>ФЕСЕНКО Олександр Вікторович</t>
  </si>
  <si>
    <t>КРАМАРЕНКО Василь Васильович</t>
  </si>
  <si>
    <t>АРНІ</t>
  </si>
  <si>
    <t>МАЦЕНКО Дмитро Костянтинович</t>
  </si>
  <si>
    <t>БІМА</t>
  </si>
  <si>
    <t>РИБАК Сергій Анатолійович</t>
  </si>
  <si>
    <t>НАБОКА Володимир Володимирович</t>
  </si>
  <si>
    <t>АК 74 № 1684457</t>
  </si>
  <si>
    <t>ГОНЧАРЕНКО Василь Олександрович</t>
  </si>
  <si>
    <t>ЛУБКО Валерій Іванович</t>
  </si>
  <si>
    <t>СЛОБОДЯН Сергій Володимирович</t>
  </si>
  <si>
    <t>ВЛАСЮК Богдан Анатолійович</t>
  </si>
  <si>
    <t>ЯЦИК</t>
  </si>
  <si>
    <t>АВДЄЄВ Артем Олександрович (19.02.1989 р.н.)</t>
  </si>
  <si>
    <t>старший стрілець - оператор безпілотних літальних апаратів 2 піхотного відділення 2 піхотного взводу 3 піхотної роти 1 піхотного батальйону</t>
  </si>
  <si>
    <t>АГЕЄВ Владислав Олександрович</t>
  </si>
  <si>
    <t>АК 74 № 1672244</t>
  </si>
  <si>
    <t>АКСЬОНОВ Михайло Олександрович</t>
  </si>
  <si>
    <t>у Яцика автомат Сідого
автомат Яцика на позиции</t>
  </si>
  <si>
    <t>ДРОГАНЧУК Сергій Юрійович</t>
  </si>
  <si>
    <t>АНТОНЮК Андрій Олександрович</t>
  </si>
  <si>
    <t>БАБЕНКО Роман Анатолійович (13.09.1981 р.н.)</t>
  </si>
  <si>
    <t>АГ 123244</t>
  </si>
  <si>
    <t>МУРДЗА Руслан Михайлович</t>
  </si>
  <si>
    <t>БАРАБАН Юрій Володимирович</t>
  </si>
  <si>
    <t>механік в гаражі</t>
  </si>
  <si>
    <t>БЕРЕГОВИЙ Вадим Григорович</t>
  </si>
  <si>
    <t>CZ Bren 2 № J142449</t>
  </si>
  <si>
    <t>ПНБ № 24928</t>
  </si>
  <si>
    <t>БЕРЕЗНІЦЬКИЙ Євген Миколайович</t>
  </si>
  <si>
    <t>ПОРЕМЧУК Сергій Леонідович</t>
  </si>
  <si>
    <t>ПУРІМ</t>
  </si>
  <si>
    <t>БОДНЯ Дмитро Сергійович</t>
  </si>
  <si>
    <t>БОЙЧУК Роман Григорович</t>
  </si>
  <si>
    <t>БРАНА Іван Іванович</t>
  </si>
  <si>
    <t>ПРИБВУ 13.05.25 Чорний Ліс</t>
  </si>
  <si>
    <t>CZ Bren 2 № J226011</t>
  </si>
  <si>
    <t>БУДЯКОВ Валерій Володимирович</t>
  </si>
  <si>
    <t>865EBQ6478</t>
  </si>
  <si>
    <t>Стрілецький бій</t>
  </si>
  <si>
    <t>БУТРІН Кирило Олексійович</t>
  </si>
  <si>
    <t>ВЕПРИЦЬКИЙ Євгеній Іванович</t>
  </si>
  <si>
    <t>КУЦЕВИЧ Юрій Михайлович</t>
  </si>
  <si>
    <t>ВЕРТИПОРОХ Володимир Віталійович</t>
  </si>
  <si>
    <t>ВИШНЕВЕЦЬКИЙ Євген Миколайович</t>
  </si>
  <si>
    <t>ВОЗНЮК Павло Петрович</t>
  </si>
  <si>
    <t>ЗАКЄЛОВ Даніель Олександрович</t>
  </si>
  <si>
    <t>САДОРІ</t>
  </si>
  <si>
    <t>ВОЛКОВ Василь Петрович</t>
  </si>
  <si>
    <t>АГ 630009</t>
  </si>
  <si>
    <t>ВОЛОШИН Микола Миколайович</t>
  </si>
  <si>
    <t>ГЕРБАЛІ Едуард Петрович</t>
  </si>
  <si>
    <t>АК 74 1983420</t>
  </si>
  <si>
    <t>ГЛУХОВ Руслан Геннадійович</t>
  </si>
  <si>
    <t>27.04.2026, ВЛК</t>
  </si>
  <si>
    <t>ГНУТОВ Руслан Вікторович</t>
  </si>
  <si>
    <t xml:space="preserve">ТВО вогнеметник 1 піхотного відділення 3 піхотного взводу 1 піхотної роти піхотного батальйону
</t>
  </si>
  <si>
    <t>стрілець 2 піхотного відділення 2 піхотного взводу 3 піхотної роти 1 піхотного батальйону</t>
  </si>
  <si>
    <t>ГОРОБЕЦЬ Сергій Васильович</t>
  </si>
  <si>
    <t>КУШНІР Віталій Дмитрович</t>
  </si>
  <si>
    <t>МОЛЧУН</t>
  </si>
  <si>
    <t>ГРЕБЕНИК Євген Вікторович</t>
  </si>
  <si>
    <t>АК 74 5407189</t>
  </si>
  <si>
    <t>СУХОВЕЦЬКИЙ Тимур Романович</t>
  </si>
  <si>
    <t>865ЕВQ6674</t>
  </si>
  <si>
    <t>ГУРБИЧ Сергій Васильович</t>
  </si>
  <si>
    <t>ПНБ № 27102</t>
  </si>
  <si>
    <t>ГУРМАН Микола Миколайович</t>
  </si>
  <si>
    <t>ДЕМЧИШИН Руслан Васильович</t>
  </si>
  <si>
    <t>ТВО старший стрілець - оператор безпілотних літальних апаратів 2 піхотного відділення 3 піхотного взводу 2 піхотної роти піхотного батальйону</t>
  </si>
  <si>
    <t>ДЖЕНДЖЕРУХА Андрій Вікторович</t>
  </si>
  <si>
    <t>НІКОЛАЄНКО Микола Васильович</t>
  </si>
  <si>
    <t>ПАРАВОЗ</t>
  </si>
  <si>
    <t>ДРОЗДОВИЧ Микола Степанович</t>
  </si>
  <si>
    <t>АК 74 2120322</t>
  </si>
  <si>
    <t>865ЕВQ6399</t>
  </si>
  <si>
    <t>37Т СР 03289 03734</t>
  </si>
  <si>
    <t>ДУБЧАК Владислав Володимирович</t>
  </si>
  <si>
    <t>ТАРАСЕНКО Віталій Вікторович</t>
  </si>
  <si>
    <t>ДУНСЬКИЙ Сергій Миколайович</t>
  </si>
  <si>
    <t>ТІТАРЕНКО Сергій Юрійович</t>
  </si>
  <si>
    <t>ТАТАР</t>
  </si>
  <si>
    <t>водій-радіотелефоніст 2 піхотного відділення 2 піхотного взводу 3 піхотної роти 1 піхотного батальйону</t>
  </si>
  <si>
    <t>АК 74  5632224</t>
  </si>
  <si>
    <t>РИЖИЙ Вячеслав Юрійович</t>
  </si>
  <si>
    <t>ЖУРАКОВСЬКИЙ Сергій Юрійович</t>
  </si>
  <si>
    <t xml:space="preserve">ТВО стрілець-помічник гранатометника 3 піхотного відділення 3 піхотного взводу 2 піхотної роти піхотного батальйону
</t>
  </si>
  <si>
    <t>ЗАГУРСЬКИЙ Олександр Анатолійович</t>
  </si>
  <si>
    <t>ГУСАЧЕНКО Ігор Борисович</t>
  </si>
  <si>
    <t>ІНТЕЛЕГЕНТ</t>
  </si>
  <si>
    <t>ЗАХАРЧУК Олег Олексійович</t>
  </si>
  <si>
    <t>АК 74 1712149</t>
  </si>
  <si>
    <t>865EBQ6729</t>
  </si>
  <si>
    <t>ЗЕЛЕНСЬКИЙ Андрій Миколайович</t>
  </si>
  <si>
    <t>АГ 010557</t>
  </si>
  <si>
    <t>АНДРЕЛА Юрій Іванович</t>
  </si>
  <si>
    <t>ЛЬОТЧИК</t>
  </si>
  <si>
    <t>ДОВБА Руслан Васильович</t>
  </si>
  <si>
    <t>СТРАЙКЕР</t>
  </si>
  <si>
    <t>ЗЕМЛЯНИЙ Сергій Андрійович</t>
  </si>
  <si>
    <t>БУЛАТОВ Святослав Рафікович</t>
  </si>
  <si>
    <t>РАФІК</t>
  </si>
  <si>
    <t>КАЛЯКІН Віталій Вікторович</t>
  </si>
  <si>
    <t>КАНАХІН Валерій Вікторович</t>
  </si>
  <si>
    <t>прибув після СЗЧ 11.08.2026</t>
  </si>
  <si>
    <t>АК 74 1992218</t>
  </si>
  <si>
    <t>865EBQ6666</t>
  </si>
  <si>
    <t>Тепловізор TL 450 № ZG20A5123320076</t>
  </si>
  <si>
    <t>КІНДЮШЕНКО Олександр Васильович</t>
  </si>
  <si>
    <t>командир 3 піхотного відділення 2 піхотного взводу 3 піхотної роти 1 піхотного батальйону</t>
  </si>
  <si>
    <t>КОКОШКО Іван Миколайович</t>
  </si>
  <si>
    <t>МОРОЗ Дмитро Володимирович</t>
  </si>
  <si>
    <t>ДУБИНА Василь Олексійович</t>
  </si>
  <si>
    <t>КОЛЯНДА Костянтин Іванович</t>
  </si>
  <si>
    <t>АК 74 4287325</t>
  </si>
  <si>
    <t>КОНОНЕЦЬ Сергій Олексійович</t>
  </si>
  <si>
    <t>КОСТЕНКО Юрій Олександрович</t>
  </si>
  <si>
    <t>ЗАЙЦЕВ Руслан Валерійович</t>
  </si>
  <si>
    <t>КРАВЧЕНКО Володимир Сергійович</t>
  </si>
  <si>
    <t>старший стрілець - оператор безпілотних літальних апаратів 3 піхотного відділення 2 піхотного взводу 3 піхотної роти 1 піхотного батальйону</t>
  </si>
  <si>
    <t>H&amp;K 416 №88-231874</t>
  </si>
  <si>
    <t>КРЕЙС Василь Миколайович</t>
  </si>
  <si>
    <t>КРИВЕНКО Володимир Олександрович</t>
  </si>
  <si>
    <t>КРІКУНОВА Світлана Іванівна</t>
  </si>
  <si>
    <t>Начальник їдальні</t>
  </si>
  <si>
    <t>КУЗЬМЕНКО Юрій Олексійович (04.11.1991 р.н.)</t>
  </si>
  <si>
    <t>МАРЧЕНКО Юрій Олександрович</t>
  </si>
  <si>
    <t>КУЛАК Сергій Михайлович</t>
  </si>
  <si>
    <t>ЛАВРИНЕНКО Олександр Володимирович</t>
  </si>
  <si>
    <t>гранатометник 3 піхотного відділення 2 піхотного взводу 3 піхотної роти 1 піхотного батальйону</t>
  </si>
  <si>
    <t>АГ 334717</t>
  </si>
  <si>
    <t>ЛИННИК Юрій Володимирович</t>
  </si>
  <si>
    <t>H&amp;K 416 №88-231527</t>
  </si>
  <si>
    <t>СВЯТОХА Андрій Миколайович</t>
  </si>
  <si>
    <t>АМБАЛ</t>
  </si>
  <si>
    <t>ЛИХОДІД Дмитро Олександрович</t>
  </si>
  <si>
    <t>Телефоніст</t>
  </si>
  <si>
    <t>МАКОВІЦЬКИЙ Михайло Богданович</t>
  </si>
  <si>
    <t>Поврежденна рука</t>
  </si>
  <si>
    <t>ТАРАСОВ Віталій Сергійович</t>
  </si>
  <si>
    <t>КАСОЙ</t>
  </si>
  <si>
    <t>МАЛИЙ Вячеслав Віталійович</t>
  </si>
  <si>
    <t>1 відділення безпілотних авіаційних комплексів</t>
  </si>
  <si>
    <t>кулеметник 3 піхотного відділення 2 піхотного взводу 3 піхотної роти 1 піхотного батальйону</t>
  </si>
  <si>
    <t>Старший водій - машиніст заправної машини</t>
  </si>
  <si>
    <t>АГ 105199</t>
  </si>
  <si>
    <t>КРОШКА Іван Григорович</t>
  </si>
  <si>
    <t>КРОХА</t>
  </si>
  <si>
    <t>АГ 585667</t>
  </si>
  <si>
    <t>МОШУЛ Іван Андрійович</t>
  </si>
  <si>
    <t>БОЛГАР</t>
  </si>
  <si>
    <t>МАНУЙЛЕНКО Микола Віталійович</t>
  </si>
  <si>
    <t>МАТЮШЕНКО Олексій Володимирович</t>
  </si>
  <si>
    <t>АК 74 № 265666</t>
  </si>
  <si>
    <t>865EBJT583</t>
  </si>
  <si>
    <t>МЕЛЬНИК Андрій Йосипович</t>
  </si>
  <si>
    <t>МИРОНЕНКО Олександр Олександрович</t>
  </si>
  <si>
    <t>МІЩЕНКО Ігор Вікторович</t>
  </si>
  <si>
    <t>МОЗГОВИЙ Юрій Григорович</t>
  </si>
  <si>
    <t>МУЛЕНКО Володимир Васильович</t>
  </si>
  <si>
    <t>НАГАЇВСЬКИЙ Тарас Володимирович</t>
  </si>
  <si>
    <t>стрілець-помічник гранатометника 3 піхотного відділення 2 піхотного взводу 3 піхотної роти 1 піхотного батальйону</t>
  </si>
  <si>
    <t>500 - 11.01.2026
200 - 27.01.2026</t>
  </si>
  <si>
    <t>НАЗАРОВ Юрій Юрійович (12.06.1973 р.н.)</t>
  </si>
  <si>
    <t>НЕДБАЙ Сергій Олегович</t>
  </si>
  <si>
    <t>ГОРА</t>
  </si>
  <si>
    <t>НЕРУШ Артем Ігорович</t>
  </si>
  <si>
    <t>ПШЕНІЧНІКОВ Андрій Євгенович</t>
  </si>
  <si>
    <t>НІКОЛАЙЧУК Андрій Вікторович</t>
  </si>
  <si>
    <t>АВ 904656</t>
  </si>
  <si>
    <t>НОСАЧ Денис Миколайович</t>
  </si>
  <si>
    <t>ПОЛІЩУК Іван Олександрович</t>
  </si>
  <si>
    <t>ПІКСЕЛЬ</t>
  </si>
  <si>
    <t>АК 74 № 5559591</t>
  </si>
  <si>
    <t>ОДРЕХІВСЬКИЙ Мирослав Анатолійович</t>
  </si>
  <si>
    <t>ОСІЙЧУК Олександр Андрійович</t>
  </si>
  <si>
    <t>ПАЛИГА Володимир Миронович</t>
  </si>
  <si>
    <t>БАРКОВ Анатолій Анатолійович</t>
  </si>
  <si>
    <t>ТРАНЗИТ</t>
  </si>
  <si>
    <t>ПАТОКА Микола Анатолійович</t>
  </si>
  <si>
    <t>АК 74 № 6260546</t>
  </si>
  <si>
    <t>Пневмонія, вийшов по хворобі.</t>
  </si>
  <si>
    <t>СЗЧ з машини при переміщенні ні підрозділ
23.12.2025</t>
  </si>
  <si>
    <t>ПІСКОВСЬКИЙ Максим Іванович</t>
  </si>
  <si>
    <t>ЯМКОВИЙ Руслан Костянтинович</t>
  </si>
  <si>
    <t>ПЛОХОТНЮК Андрій Сергійович</t>
  </si>
  <si>
    <t>ПОДЗОЛКІН Микола Михайлович</t>
  </si>
  <si>
    <t>ОСТАПЧУК Анатолій Васильович</t>
  </si>
  <si>
    <t>МІРОН</t>
  </si>
  <si>
    <t>АК 74 № 6250532</t>
  </si>
  <si>
    <t>ПРИХОДЬКО Сергій Олексійович</t>
  </si>
  <si>
    <t>прибув після СЗЧ 31.07.2026</t>
  </si>
  <si>
    <t>РИБЧАК Володимир Юрійович</t>
  </si>
  <si>
    <t>19.08.2026
не Придатний</t>
  </si>
  <si>
    <t>КОСТИШИН Валентин Борисович</t>
  </si>
  <si>
    <t>РОЦЬКИЙ Євген Володимирович</t>
  </si>
  <si>
    <t>АК 74 207530</t>
  </si>
  <si>
    <t>РУДЕНКО Едуард Олегович</t>
  </si>
  <si>
    <t>ЮРТИН Антон Валерійович</t>
  </si>
  <si>
    <t>КІНДЕР</t>
  </si>
  <si>
    <t>СЕРГІЄНКО Микола Іванович</t>
  </si>
  <si>
    <t>Вибув з МР 31.01.26 на П . Рота охорони . забрав Кент</t>
  </si>
  <si>
    <t>КУРЧ Василь Васильович</t>
  </si>
  <si>
    <t>СИМИВОЛ Олександр Олександрович</t>
  </si>
  <si>
    <t>Евакуаційне група</t>
  </si>
  <si>
    <t>СКРИННІК Володимир Володимирович</t>
  </si>
  <si>
    <t>738936А</t>
  </si>
  <si>
    <t>СЛИНКІН Євген Олександрович</t>
  </si>
  <si>
    <t>АГ 008873</t>
  </si>
  <si>
    <t>АК 74 1665282</t>
  </si>
  <si>
    <t>Старший телефоніст</t>
  </si>
  <si>
    <t>КРАЄВ Тимур Георгійович</t>
  </si>
  <si>
    <t>КРАЙ</t>
  </si>
  <si>
    <t>СОЛОВЙОВ Олег Миколайович</t>
  </si>
  <si>
    <t>СОРОКА Віктор Болеславович</t>
  </si>
  <si>
    <t>Водій-телефоніст</t>
  </si>
  <si>
    <t>СТЕПАНОВ Віктор Петрович</t>
  </si>
  <si>
    <t>СУРЖИКОВ Сергій Олександрович</t>
  </si>
  <si>
    <t>Начальник обслуги</t>
  </si>
  <si>
    <t>865EBKJ150</t>
  </si>
  <si>
    <t>водій 3 піхотного відділення 2 піхотного взводу 3 піхотної роти 1 піхотного батальйону</t>
  </si>
  <si>
    <t>тепловізор № TH500BY394146M</t>
  </si>
  <si>
    <t>ТАЛІСМАН Максим Михайлович</t>
  </si>
  <si>
    <t>ТЕРЕЩЕНКО Віталій Вікторович</t>
  </si>
  <si>
    <t>Відділення радіоелектронної боротьби</t>
  </si>
  <si>
    <t>545542А</t>
  </si>
  <si>
    <t>ТКАЧУК Сергій Іванович</t>
  </si>
  <si>
    <t>АГ 391960</t>
  </si>
  <si>
    <t>ТУРОВЕЦЬ Олег Сергійович</t>
  </si>
  <si>
    <t>865EBQ6690</t>
  </si>
  <si>
    <t>УРАКІН Віталій Вікторович</t>
  </si>
  <si>
    <t>тепловізор № J19332885</t>
  </si>
  <si>
    <t>‭3228023010‬</t>
  </si>
  <si>
    <t>ФАРАФОН Євгеній Миколайович</t>
  </si>
  <si>
    <t>ФІЛІПЧУК Володимир Володимирович</t>
  </si>
  <si>
    <t>вогнеметник 3 піхотного відділення 2 піхотного взводу 3 піхотної роти 1 піхотного батальйону</t>
  </si>
  <si>
    <t>АГ 440695</t>
  </si>
  <si>
    <t>ХРИСТИЧ Сергій Михайлович</t>
  </si>
  <si>
    <t>ЗАХАРЧУК Сергій Сергійович</t>
  </si>
  <si>
    <t>CZ Bren 2 № J226771</t>
  </si>
  <si>
    <t>865EBQ6920</t>
  </si>
  <si>
    <t>ЧАБАН Артем Олександрович</t>
  </si>
  <si>
    <t>ЧАЙКОВСЬКИЙ Роман Олександрович</t>
  </si>
  <si>
    <t>АГ 066682</t>
  </si>
  <si>
    <t>ТАБАЦЬКИЙ Андрій Геннадійович</t>
  </si>
  <si>
    <t>ЗОЛОТИЙ</t>
  </si>
  <si>
    <t>ШЕЛОФОСТ Павло Миколайович</t>
  </si>
  <si>
    <t>ШЕМЕНЬКО Артем Станіславович</t>
  </si>
  <si>
    <t>ШИРОКІХ Олександр Григорович</t>
  </si>
  <si>
    <t>ШМИГОЛЬ Олексій Петрович</t>
  </si>
  <si>
    <t>ШОВТЮК Олег Вікторович</t>
  </si>
  <si>
    <t>ЯВТУШЕВСЬКИЙ Віталій Олександрович</t>
  </si>
  <si>
    <t>АК 74 169302</t>
  </si>
  <si>
    <t>865EBQ7010</t>
  </si>
  <si>
    <t>ЯКОВЧУК Світлана Костянтинівна</t>
  </si>
  <si>
    <t>37Т СР 03167 04849</t>
  </si>
  <si>
    <t>ЯРЕМЕНКО Олег Валерійович</t>
  </si>
  <si>
    <t>КРОК Володимир Антонович</t>
  </si>
  <si>
    <t>ЯРМОЛЕНКО Іван Володимирович</t>
  </si>
  <si>
    <t>ЯРОЩУК Віталій Олегович</t>
  </si>
  <si>
    <t>АК 74 4285453</t>
  </si>
  <si>
    <t>865EBQ6591</t>
  </si>
  <si>
    <t>КРАСЬКО Андрій Савелійович</t>
  </si>
  <si>
    <t>12.12.2025 Мала Любаша</t>
  </si>
  <si>
    <t>КАЛІНІЧЕНКО Ігор В'ячеславович</t>
  </si>
  <si>
    <t>КАЛІНСЬКИЙ Олександр Віталійович</t>
  </si>
  <si>
    <t>БІЛЬОВЦЕВ Владислав Олегович</t>
  </si>
  <si>
    <t>ПЕТРЕНКО Володимир Миколайович</t>
  </si>
  <si>
    <t>радіотелефоніст 3 піхотного взводу 3 піхотної роти 1 піхотного батальйону</t>
  </si>
  <si>
    <t>ПРОКОПЕНКО Ігор Васильович</t>
  </si>
  <si>
    <t>865EBD0833</t>
  </si>
  <si>
    <t>ФРАНЧУК Олександр Михайлович</t>
  </si>
  <si>
    <t>БОГДАНЕЦЬ Петро Миколайович</t>
  </si>
  <si>
    <t>СУДУК Віталій Миколайович</t>
  </si>
  <si>
    <t>БОБРОв Антон Анатолійович</t>
  </si>
  <si>
    <t>ДЕРЕВЯНКО Володимир Григорович</t>
  </si>
  <si>
    <t>СЗЧ з ППД В 14.01.2026</t>
  </si>
  <si>
    <t>командир 1 піхотного відділення 3 піхотного взводу 3 піхотної роти 1 піхотного батальйону</t>
  </si>
  <si>
    <t>АК 74 5489415</t>
  </si>
  <si>
    <t>СВИСТУН Андрій Степанович</t>
  </si>
  <si>
    <t>865EBD0625</t>
  </si>
  <si>
    <t>МАКУШОК Олександр Юрійович</t>
  </si>
  <si>
    <t>ШУЛЯ</t>
  </si>
  <si>
    <t>РАХМАЇЛ Роман Миколайович</t>
  </si>
  <si>
    <t>ГОЛОЩУК Даниіл Михайлович</t>
  </si>
  <si>
    <t>ДИНЬ Артем Петрович</t>
  </si>
  <si>
    <t>КВІТКО Валерій Іванович</t>
  </si>
  <si>
    <t>МО 272008</t>
  </si>
  <si>
    <t>КВІТА</t>
  </si>
  <si>
    <t>ГОПТЕНКО Богдан Вікторович</t>
  </si>
  <si>
    <t>ЄРИЧУК Денис Віталійович</t>
  </si>
  <si>
    <t>АК 74 № 5653491</t>
  </si>
  <si>
    <t>БОЙКО Петро Михайлович</t>
  </si>
  <si>
    <t>ВАШКЕВИЧ Максим Григорович</t>
  </si>
  <si>
    <t>ДУДАРЄВ Олександр Олександрович</t>
  </si>
  <si>
    <t>ЛИПКА Григорій Васильович</t>
  </si>
  <si>
    <t>ЗЕВС</t>
  </si>
  <si>
    <t>СУХАНОВ Андрій Геннадійович</t>
  </si>
  <si>
    <t>АК 74 № 265401</t>
  </si>
  <si>
    <t>ЧЕРЕДНІЧЕНКО Руслан Миколайович</t>
  </si>
  <si>
    <t>СИДОРЄНКО Юрій Анатолійович</t>
  </si>
  <si>
    <t>БАЛАНЮК Сергій Юрійович</t>
  </si>
  <si>
    <t>ГАВРИЛЬЧЕНКО Олександр Семенович</t>
  </si>
  <si>
    <t>старший водій 1 піхотного відділення 3 піхотного взводу 3 піхотної роти 1 піхотного батальйону</t>
  </si>
  <si>
    <t>АГ 006955</t>
  </si>
  <si>
    <t>ПУНЬКО Сергій Олександрович</t>
  </si>
  <si>
    <t>ПОЦЮРКО Володимир Богданович</t>
  </si>
  <si>
    <t>КОВАЛЬЧУК Олександр Миколайович</t>
  </si>
  <si>
    <t>КІНОЛОГ</t>
  </si>
  <si>
    <t>ГРАБЧЕНКО Денис Валерійович</t>
  </si>
  <si>
    <t>АК 74 6250613</t>
  </si>
  <si>
    <t>865EAR7133</t>
  </si>
  <si>
    <t>ЖУКОВ Антон Вікторович</t>
  </si>
  <si>
    <t>КРУПСЬКИЙ Олексій Миколайович</t>
  </si>
  <si>
    <t>Заступник командира батальйону з артилерії</t>
  </si>
  <si>
    <t>ІСТОРИК</t>
  </si>
  <si>
    <t>ЗАДОРОЖНИЙ Сергій Ігорович</t>
  </si>
  <si>
    <t>БАГІНСЬКИЙ Анатолій Юрійович</t>
  </si>
  <si>
    <t>АК 74 5381981</t>
  </si>
  <si>
    <t>865EВC7605</t>
  </si>
  <si>
    <t>САЛТАН Олександр Олексійович</t>
  </si>
  <si>
    <t>ТЕРЕЩЕНКО Володимир Володимирович</t>
  </si>
  <si>
    <t>гранатометник 1 піхотного відділення 3 піхотного взводу 3 піхотної роти 1 піхотного батальйону</t>
  </si>
  <si>
    <t>САВРАСОВ Юрій Анатолійович</t>
  </si>
  <si>
    <t>ВИЧ</t>
  </si>
  <si>
    <t>ЛЯГЕРА Антон Віталійович</t>
  </si>
  <si>
    <t>ТРОМБА Максим Васильович</t>
  </si>
  <si>
    <t>АК 74 1716004</t>
  </si>
  <si>
    <t>БІЛАЙ Ілля Ігорович</t>
  </si>
  <si>
    <t>21.01. - 22.03.2026</t>
  </si>
  <si>
    <t>РАКІН Олександр Сергійович</t>
  </si>
  <si>
    <t>МЕТЕЛИЦА</t>
  </si>
  <si>
    <t>СОРОКІН Володимир Валерійович</t>
  </si>
  <si>
    <t>АГ 009537</t>
  </si>
  <si>
    <t>ВОЙТ Юрій Григорович</t>
  </si>
  <si>
    <t>АК 74 4498854</t>
  </si>
  <si>
    <t>ЗАХАРИЧЕВ Віталій Олександрович</t>
  </si>
  <si>
    <t>865EBB9398</t>
  </si>
  <si>
    <t>до 06.11.2025</t>
  </si>
  <si>
    <t>ПЕРС</t>
  </si>
  <si>
    <t>МЕДВЄДСЬКИЙ Дмитро Сергійович</t>
  </si>
  <si>
    <t>КЛЄВЦОВ Сергій Олександрович</t>
  </si>
  <si>
    <t>ЩЕРБИНА Іван Іванович</t>
  </si>
  <si>
    <t>кулеметник 1 піхотного відділення 3 піхотного взводу 3 піхотної роти 1 піхотного батальйону</t>
  </si>
  <si>
    <t>ПОЛТАВЕЦЬ Сергій Григорович</t>
  </si>
  <si>
    <t>ЩЕРБА Іван Костянтинович</t>
  </si>
  <si>
    <t>ГАСАНОВ Серхан Расул огли</t>
  </si>
  <si>
    <t>Берегівську лікарню ім. Бертолона Ліннера м. Берегове з 28.01.2026</t>
  </si>
  <si>
    <t>АК 74 270672</t>
  </si>
  <si>
    <t>МІНЬКО Дмитро Геннадійович</t>
  </si>
  <si>
    <t>КУДРИЦЬКИЙ Богдан Миколайович</t>
  </si>
  <si>
    <t>ЛАВРЕНТЬЄВ Андрій Іванович</t>
  </si>
  <si>
    <t>ПОНОМАРЕНКО Юрій Миколайович</t>
  </si>
  <si>
    <t>ТАНКІСТ</t>
  </si>
  <si>
    <t>АВ 172234</t>
  </si>
  <si>
    <t>ІСАЙ Сергій Володимирович</t>
  </si>
  <si>
    <t>ЖУРАВЛЬОВ Олег Романович</t>
  </si>
  <si>
    <t>АК 74 1830642</t>
  </si>
  <si>
    <t>ОХРІМЕНКО Олег Олексійович</t>
  </si>
  <si>
    <t>865EBCJ881</t>
  </si>
  <si>
    <t>РОКС</t>
  </si>
  <si>
    <t>ТОЛКАЧОВ Сергій Ігорович</t>
  </si>
  <si>
    <t>КОЗЛОВСЬКИЙ Роман Едуардович</t>
  </si>
  <si>
    <t>РОМАНЧЕНКО Андрій Васильович</t>
  </si>
  <si>
    <t>ДОНЧАК Володимир Васильович</t>
  </si>
  <si>
    <t>САЛАСТЕЛЬНИК Валерій Петрович</t>
  </si>
  <si>
    <t>ДАНЧАК</t>
  </si>
  <si>
    <t>ПРАВДЕНКО Віктор Володимирович</t>
  </si>
  <si>
    <t>АК 74 1620744</t>
  </si>
  <si>
    <t>865EBCD721</t>
  </si>
  <si>
    <t>37Т СР 03083 04540</t>
  </si>
  <si>
    <t>АНТІПОВ Сергій Леонідович</t>
  </si>
  <si>
    <t>М1117
У Британця</t>
  </si>
  <si>
    <t xml:space="preserve"> СЗЧ 29.12.2025 із ППД Британця
02.01.2026 поданий</t>
  </si>
  <si>
    <t>НАЗАРОВ Петро Іванович</t>
  </si>
  <si>
    <t>АГ 637428</t>
  </si>
  <si>
    <t>ЗАЙЧЕНКО Олександр Миколайович</t>
  </si>
  <si>
    <t>ЗОМБ</t>
  </si>
  <si>
    <t>ТОКАР Андрій Володимирович</t>
  </si>
  <si>
    <t>АК 74 6225108</t>
  </si>
  <si>
    <t>СТЕЦЕНКО Олександр Миколайович</t>
  </si>
  <si>
    <t>АГ 364876</t>
  </si>
  <si>
    <t>ЛИМАРЕНКО Володимир Андрійович</t>
  </si>
  <si>
    <t>ТВО розвідник-оператор 2 розвідувального відділення розвідувального взводу піхотного батальйону</t>
  </si>
  <si>
    <t>ЗАПОРОЖЕЦЬ Сергій Анатолійович</t>
  </si>
  <si>
    <t>БОДНАР Назарій Михайлович</t>
  </si>
  <si>
    <t>до 26.07.2026</t>
  </si>
  <si>
    <t>2915416872</t>
  </si>
  <si>
    <t>АК 74 1663683</t>
  </si>
  <si>
    <t>ЯКИМЕНКО В'ячеслав Вікторович</t>
  </si>
  <si>
    <t>стрілець 1 піхотного відділення 3 піхотного взводу 3 піхотної роти 1 піхотного батальйону</t>
  </si>
  <si>
    <t>АФОНІН Владислав Юрійович</t>
  </si>
  <si>
    <t>ЄЛЕКТРИК</t>
  </si>
  <si>
    <t>подала медрота 02.01.2026</t>
  </si>
  <si>
    <t>ЦИНЬКЕВИЧ Роман Олександрович</t>
  </si>
  <si>
    <t>АК 74 1961043</t>
  </si>
  <si>
    <t>865EASV399</t>
  </si>
  <si>
    <t>ШВЕЦЬ Дмитро Анатолійович</t>
  </si>
  <si>
    <t>Гранатомет МК-19 
№ AGL003073</t>
  </si>
  <si>
    <t>Водій- слюсар</t>
  </si>
  <si>
    <t>АГ 502067</t>
  </si>
  <si>
    <t>ЗУБАТИЙ Тарас Ярославович</t>
  </si>
  <si>
    <t>ЛУЦЕНКО Руслан Володимирович</t>
  </si>
  <si>
    <t>АК 74 5516783</t>
  </si>
  <si>
    <t>ДЬОМКІН Ігор Олексійович</t>
  </si>
  <si>
    <t>ПТАШКА Дмитро Леонідович</t>
  </si>
  <si>
    <t>ТВО старший оператор 2 відділення протитанкових ракетних комплексів взводу протитанкових ракетних комплексів піхотного батальйону</t>
  </si>
  <si>
    <t>ТЕРЕЩЕНКО Руслан Станіславович</t>
  </si>
  <si>
    <t>ТЕРЯ</t>
  </si>
  <si>
    <t>ТКАЧЕНКО Максим Едуардович</t>
  </si>
  <si>
    <t>СЕМЯНІКОВ Євген Миколайович</t>
  </si>
  <si>
    <t>ПОГРЕБНИЙ Сергій Миколайович</t>
  </si>
  <si>
    <t>БЗВП????</t>
  </si>
  <si>
    <t>ТВО номер обслуги 2 відділення гранатометного взводу піхотного батальйону</t>
  </si>
  <si>
    <t>ПОЛТАВСЬКИЙ Сергій Валерійович</t>
  </si>
  <si>
    <t>Механік-водій - кранівник</t>
  </si>
  <si>
    <t>мультикам</t>
  </si>
  <si>
    <t>до 18.07.26</t>
  </si>
  <si>
    <t>ДУБОВИЙ Юрій Іванович</t>
  </si>
  <si>
    <t>СОБЧЕНКО Володимир Васильович</t>
  </si>
  <si>
    <t>вогнеметник 1 піхотного відділення 3 піхотного взводу 3 піхотної роти 1 піхотного батальйону</t>
  </si>
  <si>
    <t>БІЛИК Сергій Володимирович</t>
  </si>
  <si>
    <t>АК 74 4535838</t>
  </si>
  <si>
    <t>СЕМЕНІВ Микола Володимирович</t>
  </si>
  <si>
    <t>30.12.2025
подала медична рота</t>
  </si>
  <si>
    <t>ГРОМАДЮК Роман Михайлович</t>
  </si>
  <si>
    <t>ТВО Номер обслуги 1 відділення гранатометного взводу піхотного батальйону</t>
  </si>
  <si>
    <t>ЗОРЕНКО Сергій Михайлович</t>
  </si>
  <si>
    <t>МАКОВЕЦЬКИЙ Ігор Миколайович</t>
  </si>
  <si>
    <t>АК 74 2481951</t>
  </si>
  <si>
    <t>ЄВТУШЕНКО Дмитро Володимирович</t>
  </si>
  <si>
    <t>БЕЗРУК Роман Олександрович</t>
  </si>
  <si>
    <t>АГ 008145</t>
  </si>
  <si>
    <t>КАРНЮШИН Олександр Володимирович</t>
  </si>
  <si>
    <t>ТВО старший водій 1 піхотного відділення 2 піхотного взводу 2 піхотної роти піхотного батальйону</t>
  </si>
  <si>
    <t>СКРИПЧЕНКО Сергій Іванович</t>
  </si>
  <si>
    <t>ОДИН</t>
  </si>
  <si>
    <t>БЛОХ Іван Павлович</t>
  </si>
  <si>
    <t>ДЯЧУК Олександр Іванович</t>
  </si>
  <si>
    <t>АК 74 1659655</t>
  </si>
  <si>
    <t>АКСАМИТНИЙ Андрій Віталійович</t>
  </si>
  <si>
    <t>ЦЮКАЛО Максим Васильович</t>
  </si>
  <si>
    <t>ТВО стрілець 2 піхотного відділення 3 піхотного взводу 2 піхотної роти піхотного батальйону</t>
  </si>
  <si>
    <t>РЕВІЗОР Василь Олексійович</t>
  </si>
  <si>
    <t>СВИНАРЧУК Олександр Вікторович</t>
  </si>
  <si>
    <t>АГ 636686</t>
  </si>
  <si>
    <t>АГ 247356</t>
  </si>
  <si>
    <t>ГОРДІЄНКО Любослав Сергійович</t>
  </si>
  <si>
    <t>КОРЧЕВНИЙ Ярослав Петрович</t>
  </si>
  <si>
    <t>МАВЕЛ</t>
  </si>
  <si>
    <t>АЛЄКСЄЄВ Дмитро Юрійович</t>
  </si>
  <si>
    <t>ТВО номер обслуги кулеметного взводу 1 піхотної роти піхотного батальйону</t>
  </si>
  <si>
    <t>СМІРНОВ Володимир Сергійович</t>
  </si>
  <si>
    <t>ВЕСТЯ Олександр Володимирович</t>
  </si>
  <si>
    <t>МИРНИЙ</t>
  </si>
  <si>
    <t>ПРИХОДЬКО Олександр Олександрович</t>
  </si>
  <si>
    <t>АК 74 6289779</t>
  </si>
  <si>
    <t>РОІК Іван Іванович</t>
  </si>
  <si>
    <t>ТВО оператор 2 відділення протитанкових ракетних комплексів взводу протитанкових ракетних комплексів піхотного батальйону</t>
  </si>
  <si>
    <t>ВОЛОШИН Олександр Леонідович</t>
  </si>
  <si>
    <t>БМЗ</t>
  </si>
  <si>
    <t>ЧЕРНУЦЬКИЙ Микола Юрійович</t>
  </si>
  <si>
    <t>АВДЕЙ</t>
  </si>
  <si>
    <t>КІНАХ Володимир Олександрович</t>
  </si>
  <si>
    <t>02.02.2026 відддали у БМЗ</t>
  </si>
  <si>
    <t>АК 74 1684186</t>
  </si>
  <si>
    <t>КАЛІНІЧЕНКО Руслан Миколайович</t>
  </si>
  <si>
    <t>АГ 128249</t>
  </si>
  <si>
    <t>ГОРОБЕЦЬ Сергій Вікторович</t>
  </si>
  <si>
    <t>ТВО стрілець 1 кулеметного відділення кулеметного взводу піхотного батальйону</t>
  </si>
  <si>
    <t>МАРІУПОЛЬ</t>
  </si>
  <si>
    <t>БЛІНОВ Михайло Вікторович</t>
  </si>
  <si>
    <t>АВ 972157</t>
  </si>
  <si>
    <t>АК 74 6250158</t>
  </si>
  <si>
    <t>КУКАЛО Олег Ігорович</t>
  </si>
  <si>
    <t>СЕНЧЕНКО Віктор Миколайович</t>
  </si>
  <si>
    <t>ТВО навідник 3 кулеметного відділення кулеметного взводу піхотного батальйону</t>
  </si>
  <si>
    <t>01.06.2026 подала медслужба</t>
  </si>
  <si>
    <t>БУШИЛО Анатолій Анатолійович</t>
  </si>
  <si>
    <t>кулеметник 2 піхотного відділення 3 піхотного взводу 3 піхотної роти 1 піхотного батальйону</t>
  </si>
  <si>
    <t>АК 74 1709984</t>
  </si>
  <si>
    <t>СЕМЕНОВ Андрій Вікторович</t>
  </si>
  <si>
    <t>БИШЛЯГА Михайло Анатолійович</t>
  </si>
  <si>
    <t>МІТЯ</t>
  </si>
  <si>
    <t>ЗАБАШТА Володимир Романович</t>
  </si>
  <si>
    <t>ТРИКОЗ Микола Олександрович</t>
  </si>
  <si>
    <t>МИСЯКОВ Андрій Миколайович</t>
  </si>
  <si>
    <t>по хворобі
ПРИБУВ 23.08.2026 из СЗЧ</t>
  </si>
  <si>
    <t>03.06.2026 подала медслужба в СЗЧ
31.08.2026</t>
  </si>
  <si>
    <t>ШИШЛОВ Руслан Валерійович</t>
  </si>
  <si>
    <t>МП-120 №01299
АК-74 №4425781</t>
  </si>
  <si>
    <t>стрілець-помічник гранатометника 2 піхотного відділення 3 піхотного взводу 3 піхотної роти 1 піхотного батальйону</t>
  </si>
  <si>
    <t>ЛАНОВИЙ Віталій Сергійович</t>
  </si>
  <si>
    <t>Мінометний приціл МРМ-44М №241093
Тепловізор s/n: 2AKU5ZG40
Portable Power Station s/n:W2D004f83</t>
  </si>
  <si>
    <t>СКОРИК Андрій Дмитрович</t>
  </si>
  <si>
    <t>01.01.2026
подала медична рота</t>
  </si>
  <si>
    <t>КОСТЕЦЬКИЙ Назар Васильович</t>
  </si>
  <si>
    <t>ОХОТА Юрій Миколайович</t>
  </si>
  <si>
    <t>ЛОЗОВИЙ Андрій Олександрович</t>
  </si>
  <si>
    <t>Starlink s/n: P4CTV4CTO3283079</t>
  </si>
  <si>
    <t>ЛИХОГЛЯД Віталій Романович</t>
  </si>
  <si>
    <t>ДЗЮБЕНКО Дмитро Олегович</t>
  </si>
  <si>
    <t>ОПАНАСЮК Сергій Анатолійович</t>
  </si>
  <si>
    <t>КАЛЯСІК</t>
  </si>
  <si>
    <t>НАЙДЬОНОВ Руслан Вячеславович</t>
  </si>
  <si>
    <t>Планшет SAMSUNG Galaxy Tab A8 SM-X200 s/n: R9YT910YMGB</t>
  </si>
  <si>
    <t>ГЕРМАН Ігор Іванович</t>
  </si>
  <si>
    <t>з полігону БЗВП</t>
  </si>
  <si>
    <t>АГ 666224</t>
  </si>
  <si>
    <t>НЕГОДА Віктор Сергійович</t>
  </si>
  <si>
    <t>ШИКАЛОВ Андрій Володимирович</t>
  </si>
  <si>
    <t>ВІНТІК</t>
  </si>
  <si>
    <t>ШМЕЛЬОВ Олександр Сергійович</t>
  </si>
  <si>
    <t>АПВ 779226</t>
  </si>
  <si>
    <t>БУРЯК Валентин Григорович</t>
  </si>
  <si>
    <t>Colt M4 №А0913653</t>
  </si>
  <si>
    <t>КОЦЮРМАХА Владислав Леонідович</t>
  </si>
  <si>
    <t>ВЕЩІЙ</t>
  </si>
  <si>
    <t>БОЧЕК Валерій Миколайович</t>
  </si>
  <si>
    <t>відпустка до 06.08.2026
Умер 29.07.2026</t>
  </si>
  <si>
    <t>РЕБРОВ Олександр Анатолійович</t>
  </si>
  <si>
    <t xml:space="preserve">ТВО стрілець 3 піхотного відділення 1 піхотного взводу 2 піхотної роти піхотного батальйону
</t>
  </si>
  <si>
    <t>БІЛОУС Ігор Петрович</t>
  </si>
  <si>
    <t>ШЕВЧЕНКО Віталій Віталійович</t>
  </si>
  <si>
    <t>ГЛАДУН Юрій Миколайович</t>
  </si>
  <si>
    <t>ДРОВАЛЬОВ Микола Петрович</t>
  </si>
  <si>
    <t>АК 74 1709985</t>
  </si>
  <si>
    <t>СТАНІЛО Володимир Анатолійович</t>
  </si>
  <si>
    <t>АГ 525018</t>
  </si>
  <si>
    <t>ДЯЧЕНКО Єгор Володимирович</t>
  </si>
  <si>
    <t>вогнеметник 2 піхотного відділення 3 піхотного взводу 3 піхотної роти 1 піхотного батальйону</t>
  </si>
  <si>
    <t>ГЛАДУШ Володимир Вікторович</t>
  </si>
  <si>
    <t>КРАМНИЙ Анатолій Миколайович</t>
  </si>
  <si>
    <t>МАРЧУК Сергій Миколайович</t>
  </si>
  <si>
    <t>СИЗОНЕНКО Юрій Володимирович</t>
  </si>
  <si>
    <t>ТЯПКА Сергій Андрійович</t>
  </si>
  <si>
    <t>КОВАЛЬ Денис Олександрович</t>
  </si>
  <si>
    <t>АК 74 1676260</t>
  </si>
  <si>
    <t>не БГ</t>
  </si>
  <si>
    <t>865EBQ7158</t>
  </si>
  <si>
    <t>ГОПАЙЦА Сергій Вікторович</t>
  </si>
  <si>
    <t>КАЧАН Анатолій Сергійович</t>
  </si>
  <si>
    <t xml:space="preserve">Старший стрілець - оператор безпілотних літальних апаратів
</t>
  </si>
  <si>
    <t>ФЕДОРОВ Андрій Васильович</t>
  </si>
  <si>
    <t>ГОСТ</t>
  </si>
  <si>
    <t>АГ 448057</t>
  </si>
  <si>
    <t>ГУСАКОВ Василь Іванович</t>
  </si>
  <si>
    <t>ДЗІСЬ Роман Іванович</t>
  </si>
  <si>
    <t>БАБЕНКО Дмитро Леонідович</t>
  </si>
  <si>
    <t>ШУЛЬГА Володимир Володимирович</t>
  </si>
  <si>
    <t>АК 74 6237960</t>
  </si>
  <si>
    <t>РЕБ</t>
  </si>
  <si>
    <t>ГАЛУШКО Микола Володимирович</t>
  </si>
  <si>
    <t>ГОНЧАРЕНКО Олексій Сергійович</t>
  </si>
  <si>
    <t>Водій-електирк</t>
  </si>
  <si>
    <t>ДОНДИШ Вячеслав Миколайович</t>
  </si>
  <si>
    <t>Відділення управління штабу батальйону</t>
  </si>
  <si>
    <t>865EBBA244</t>
  </si>
  <si>
    <t>КОЛІСНИК Едуард Миколайович</t>
  </si>
  <si>
    <t>БОРИСОВ Максим Анатолійович</t>
  </si>
  <si>
    <t>СИНОГАЧ Сергій Борисович</t>
  </si>
  <si>
    <t>МАРРО Сергій Вадимович</t>
  </si>
  <si>
    <t>ПАРХОМОВИЧ Артем Валерійович</t>
  </si>
  <si>
    <t>РОНІН</t>
  </si>
  <si>
    <t>АРТЕМОН</t>
  </si>
  <si>
    <t>КОПАЧ</t>
  </si>
  <si>
    <t>ІВАНОВ Володимир Євгенович</t>
  </si>
  <si>
    <t>АК 74 1960918</t>
  </si>
  <si>
    <t>865EZP8892</t>
  </si>
  <si>
    <t>ШУЛЬГА Костянтин Вікторович</t>
  </si>
  <si>
    <t>КУКОТА Віталій Іванович</t>
  </si>
  <si>
    <t>старший стрілець - оператор безпілотних літальних апаратів 3 піхотного відділення 3 піхотного взводу 3 піхотної роти 1 піхотного батальйону</t>
  </si>
  <si>
    <t>БОБОВ Олександр Володимирович</t>
  </si>
  <si>
    <t>СОЛОВЕЙ Олег Олександрович</t>
  </si>
  <si>
    <t>ПАШЕННИХ Олександр Євгенович</t>
  </si>
  <si>
    <t>АК 74 1703376</t>
  </si>
  <si>
    <t>865EASV092</t>
  </si>
  <si>
    <t>ГОШИН Олександр Васильович</t>
  </si>
  <si>
    <t>ДІДУХ Євгеній Ігорович</t>
  </si>
  <si>
    <t>БРОВЧЕНКО Андрій Васильович</t>
  </si>
  <si>
    <t>БРОВКІН</t>
  </si>
  <si>
    <t>БОТІН Михайло Юрійович</t>
  </si>
  <si>
    <t>Старший сапер</t>
  </si>
  <si>
    <t>НОГА Володимир Юрійович</t>
  </si>
  <si>
    <t>гранатометник 3 піхотного відділення 3 піхотного взводу 3 піхотної роти 1 піхотного батальйону</t>
  </si>
  <si>
    <t>ГАВРИЛЮК Роман Васильович</t>
  </si>
  <si>
    <t>МІРОШКІН Сергій Олександрович</t>
  </si>
  <si>
    <t>МЕЛЬНИК Віктор Богданович</t>
  </si>
  <si>
    <t>БРОШНІВ</t>
  </si>
  <si>
    <t>07.12.2025 з лік.відп.</t>
  </si>
  <si>
    <t>ПУШКАРЕНКО Олександр Віталійович</t>
  </si>
  <si>
    <t>АК 74 1713766</t>
  </si>
  <si>
    <t>37 СР 12802 08480, дрони та скиди</t>
  </si>
  <si>
    <t>МЕЛЬНИК Станіслав Романович</t>
  </si>
  <si>
    <t>104182А</t>
  </si>
  <si>
    <t>ОБРЕМСЬКИЙ Віктор Анатолійович</t>
  </si>
  <si>
    <t>ШАТЕЦЬКИЙ Віктор Володимирович</t>
  </si>
  <si>
    <t>ОНІКС</t>
  </si>
  <si>
    <t>АГ 594326 /
МО 381773</t>
  </si>
  <si>
    <t>КЛОКОВ Сергій Анатолійович</t>
  </si>
  <si>
    <t>МІРОШНИЧЕНКО Дмитро Сергійович</t>
  </si>
  <si>
    <t>МИРОХА</t>
  </si>
  <si>
    <t>АК 74 4262820</t>
  </si>
  <si>
    <t>37Т СР 03279 03830</t>
  </si>
  <si>
    <t>КОРПАЧ Володимир Миколайович</t>
  </si>
  <si>
    <t>ПАЛЮХ Олег Зеновійович</t>
  </si>
  <si>
    <t>КОШМАН Володимир Анатолійович</t>
  </si>
  <si>
    <t>СУЩЕНКО Євгеній Валерійович</t>
  </si>
  <si>
    <t>стрілець-помічник гранатометника 3 піхотного відділення 3 піхотного взводу 3 піхотної роти 1 піхотного батальйону</t>
  </si>
  <si>
    <t>ЖУРАВЕЛЬ Андрій Євгенович</t>
  </si>
  <si>
    <t>до 24.03.2026</t>
  </si>
  <si>
    <t>ОСИПЕНКО Павло Петрович</t>
  </si>
  <si>
    <t>.</t>
  </si>
  <si>
    <t>НОВОСЬОЛОВ Віталій Андрійович</t>
  </si>
  <si>
    <t>ПИСАРЕНКО Максим Вікторович</t>
  </si>
  <si>
    <t>ТИТАН</t>
  </si>
  <si>
    <t>АК 74 4269286</t>
  </si>
  <si>
    <t>САВИЦЬКИЙ Радомір Юрійович</t>
  </si>
  <si>
    <t>865EBQ6491</t>
  </si>
  <si>
    <t>ТЮПА Віталій Валентинович</t>
  </si>
  <si>
    <t>ЧЕРНЯВСЬКИЙ Антон Геннадійович</t>
  </si>
  <si>
    <t>ЦУКАНОВ Віталій Васильович</t>
  </si>
  <si>
    <t>СОРОКА Сергій Володимирович</t>
  </si>
  <si>
    <t>ГРИНЕЧКО Володимир Йосипович</t>
  </si>
  <si>
    <t>ТПВ № 4196</t>
  </si>
  <si>
    <t>РУДЕНКО Олександр Сергійович</t>
  </si>
  <si>
    <t>СТАРОДУБ Віталій Олександрович</t>
  </si>
  <si>
    <t>АК 74 4448035</t>
  </si>
  <si>
    <t>865EBD9076</t>
  </si>
  <si>
    <t>ЕНТ</t>
  </si>
  <si>
    <t>37Т СР 03249 04149</t>
  </si>
  <si>
    <t>КУЦІЙ Сергій Володимирович</t>
  </si>
  <si>
    <t>ГОРІЗДРА Едуард Валерійович</t>
  </si>
  <si>
    <t>ТАРАНОВ Олександр Володимирович</t>
  </si>
  <si>
    <t>АБРАМОВ Сергій Валентинович</t>
  </si>
  <si>
    <t>СІГА</t>
  </si>
  <si>
    <t>ВАКУЛЕНКО Олександр Сергійович</t>
  </si>
  <si>
    <t>14.07.2026, 19.08.2026</t>
  </si>
  <si>
    <t>АК 74 5407357</t>
  </si>
  <si>
    <t>865EBD9990</t>
  </si>
  <si>
    <t>ГРИЦЕНКО Ігор Анатолійович</t>
  </si>
  <si>
    <t>водій 3 піхотного відділення 3 піхотного взводу 3 піхотної роти 1 піхотного батальйону</t>
  </si>
  <si>
    <t>СІМОНЧУК Олександр Володимирович</t>
  </si>
  <si>
    <t>АГ 061274</t>
  </si>
  <si>
    <t>ВИНОГРАДОВ Сергій Володимирович</t>
  </si>
  <si>
    <t>ЛАВРИК Олександр Миколайович</t>
  </si>
  <si>
    <t>АК 74 6280544</t>
  </si>
  <si>
    <t>ШЕПЕЛЬ Олексій Ігорович</t>
  </si>
  <si>
    <t>865EBCW651</t>
  </si>
  <si>
    <t>ПІВЕНЬ Дмитро Сергійович</t>
  </si>
  <si>
    <t>ЧОПЕЙ Юрій Васильович</t>
  </si>
  <si>
    <t>ВІБЛИЙ Євген Володимирович</t>
  </si>
  <si>
    <t>ЮРА</t>
  </si>
  <si>
    <t>ЛЯШУК Євген Анатолійович</t>
  </si>
  <si>
    <t>АК 74 4279512</t>
  </si>
  <si>
    <t>???</t>
  </si>
  <si>
    <t>ШЕВЦОВ Євген Григорович</t>
  </si>
  <si>
    <t>вогнеметник 3 піхотного відділення 3 піхотного взводу 3 піхотної роти 1 піхотного батальйону</t>
  </si>
  <si>
    <t>БУГРАК Михайло Миколайович</t>
  </si>
  <si>
    <t>БОГДАН Тарас Богданович</t>
  </si>
  <si>
    <t>ПОНОМАРЕНКО Феодот Андрійович</t>
  </si>
  <si>
    <t>БУШМЕН</t>
  </si>
  <si>
    <t>АК 74 6287083</t>
  </si>
  <si>
    <t>РЕХЛІЦЬКИЙ Владислав Євгенович</t>
  </si>
  <si>
    <t>КЄРІ</t>
  </si>
  <si>
    <t>ПЕТРИКОВ Євгеній Леонідович</t>
  </si>
  <si>
    <t>КЛІЩ Андрій Васильович</t>
  </si>
  <si>
    <t>БЄЛОВ Володимир Леонідович</t>
  </si>
  <si>
    <t>АК 74 3254048</t>
  </si>
  <si>
    <t>ШЕВЧЕНКО Олександр Олександрович (09.09.1999 р.н.)</t>
  </si>
  <si>
    <t>прибув після СЗЧ 28.05.2026</t>
  </si>
  <si>
    <t>ПОБЛОЦЬКИЙ Сергій Олександрович</t>
  </si>
  <si>
    <t>АТАМАНЧУК Юрій Іванович</t>
  </si>
  <si>
    <t>СИВИЙ</t>
  </si>
  <si>
    <t>АК 74 1707474</t>
  </si>
  <si>
    <t>865EBQ6706</t>
  </si>
  <si>
    <t>ІЛЛІЧЕВСЬКИЙ Вадим Віталійович</t>
  </si>
  <si>
    <t>командир кулеметного взводу 3 піхотної роти 1 піхотного батальйону</t>
  </si>
  <si>
    <t>РУДЕНКО Артем Володимирович</t>
  </si>
  <si>
    <t>МЕЛЬНИК Віталій Леонідович</t>
  </si>
  <si>
    <t>ГАМАЮНОВ Ігор Олександрович</t>
  </si>
  <si>
    <t>МОСІЙЧУК Євген Миколайович</t>
  </si>
  <si>
    <t>ЖЕКА</t>
  </si>
  <si>
    <t>ДАНИЛЮК Олександр Васильович</t>
  </si>
  <si>
    <t>АК 74 5343307</t>
  </si>
  <si>
    <t>ГУКАСОВ Ернест Робертович</t>
  </si>
  <si>
    <t>СМОЛІН Володимир Іванович</t>
  </si>
  <si>
    <t>ДЯК</t>
  </si>
  <si>
    <t>МУХАЧОВ Дмитро Романович</t>
  </si>
  <si>
    <t>АК 74 4418302</t>
  </si>
  <si>
    <t>ЮСЬКОВ Євгеній Вікторович</t>
  </si>
  <si>
    <t>ДРОБОТ Олексій Михайлович</t>
  </si>
  <si>
    <t>СТРІЛЕЦЬ Денис Олександрович</t>
  </si>
  <si>
    <t>ЗЕЛЕНСЬКИЙ Юрій Миколайович</t>
  </si>
  <si>
    <t>КОДІЙ Володимир Олексійович</t>
  </si>
  <si>
    <t>ПЕРЕПИЧАЙ Руслан Миколайович</t>
  </si>
  <si>
    <t>ШИЯНЕНКО Сергій Сергійович</t>
  </si>
  <si>
    <t>АК 74 1703116</t>
  </si>
  <si>
    <t>ОМЕЛЬЧУК Роман Володимирович</t>
  </si>
  <si>
    <t>ШИЛЬКО Андрій Валентинович</t>
  </si>
  <si>
    <t>ШИЛЯ</t>
  </si>
  <si>
    <t>МАТЮХА Олександр Вікторович</t>
  </si>
  <si>
    <t>АК 74 1682811</t>
  </si>
  <si>
    <t>ОРОПАЙ Віталій Анатолійович</t>
  </si>
  <si>
    <t>ШЕЛУДЬКО Олег Володимирович</t>
  </si>
  <si>
    <t>ТВО радіотелефоніст 3 піхотного взводу 2 піхотної роти піхотного батальйону</t>
  </si>
  <si>
    <t>ГЕРАСІМ Олександр Володимирович</t>
  </si>
  <si>
    <t>КОСТЕРІН Володимир Анатолійович</t>
  </si>
  <si>
    <t>ПОВАР Віктор Андрійович</t>
  </si>
  <si>
    <t>АК 74 4269271</t>
  </si>
  <si>
    <t>СТЕПАНЕНКО Євген Вікторович</t>
  </si>
  <si>
    <t>АВ 972318</t>
  </si>
  <si>
    <t>ВАРЛАМОВ Олександр Ігорович</t>
  </si>
  <si>
    <t>ЯЦКІВ Микола Іванович</t>
  </si>
  <si>
    <t>АЛЛАДІН</t>
  </si>
  <si>
    <t>ЖАДАН Олег Миколайович</t>
  </si>
  <si>
    <t>АК 74 5289286</t>
  </si>
  <si>
    <t>БОНДАР Олег Леонідович</t>
  </si>
  <si>
    <t>САВІН Станіслав Сергійович</t>
  </si>
  <si>
    <t>КУРЯ Андрій Васильович</t>
  </si>
  <si>
    <t>З 15.08 на навчанні (Київ) орієнтовно до 27.08</t>
  </si>
  <si>
    <t>АК 74 1648992</t>
  </si>
  <si>
    <t>САМУЛЯК Олександр Михайлович</t>
  </si>
  <si>
    <t>ТЕРАПЕВТ</t>
  </si>
  <si>
    <t>БАРДАДИМ Дмитро Віталійович</t>
  </si>
  <si>
    <t>ОНІЩУК Іван Володимирович</t>
  </si>
  <si>
    <t>РОССІХІН Дмитро Костянтинович</t>
  </si>
  <si>
    <t>КИРЯН</t>
  </si>
  <si>
    <t>АГ 013830</t>
  </si>
  <si>
    <t>ВОЛОШИН Дмитро Ігорович</t>
  </si>
  <si>
    <t>АК 74 5430887</t>
  </si>
  <si>
    <t>МІЩЕНКО Володимир Андрійович</t>
  </si>
  <si>
    <t>ЯКУБ Віктор Євгенович</t>
  </si>
  <si>
    <t>КУКЛЕНКО Владислав Володимирович</t>
  </si>
  <si>
    <t>АК 74 5550600</t>
  </si>
  <si>
    <t>ВЕРШИНІН Сергій Юрійович</t>
  </si>
  <si>
    <t>ЛЕГЕЙДА Костянтин Ігорович</t>
  </si>
  <si>
    <t>ІЛЬЧИШИН Віталій Юрійович</t>
  </si>
  <si>
    <t>АК 74 442655</t>
  </si>
  <si>
    <t>ФЕДАШ Ігор Миколайович</t>
  </si>
  <si>
    <t>БОНДАРЕНКО Михайло Михайлович</t>
  </si>
  <si>
    <t>БОНДАРЬ</t>
  </si>
  <si>
    <t>ІСАЄВ Костянтин Олександрович</t>
  </si>
  <si>
    <t>до 14.05.2026</t>
  </si>
  <si>
    <t>КУК Тарас Михайлович</t>
  </si>
  <si>
    <t>ПЕТРЕНКО Віктор Миколайович</t>
  </si>
  <si>
    <t>КУК</t>
  </si>
  <si>
    <t>МУРСАЛОВ Назім Наміз Огли</t>
  </si>
  <si>
    <t>АК 74 6341574</t>
  </si>
  <si>
    <t>водій кулеметного взводу 3 піхотної роти 1 піхотного батальйону</t>
  </si>
  <si>
    <t>ЧЕРТКОВ Олександр Михайлович</t>
  </si>
  <si>
    <t>ШУРЧКОВ Микола Вікторович</t>
  </si>
  <si>
    <t>ШУЛЬГА Анна Леонідівна</t>
  </si>
  <si>
    <t>ПОКАТІЛОВ Максим Валерійович</t>
  </si>
  <si>
    <t>БОЙКО Оксана Богданівна</t>
  </si>
  <si>
    <t>ТКАЧЕНКО Микола Миколайович</t>
  </si>
  <si>
    <t>БЄЛАХ Павло Михайлович</t>
  </si>
  <si>
    <t>АК 74 1663225</t>
  </si>
  <si>
    <t>ЧИЖУК Микола Миколайович</t>
  </si>
  <si>
    <t>АКУН Іван Олегович</t>
  </si>
  <si>
    <t>ВОВЧУК Іван Михайлович</t>
  </si>
  <si>
    <t>ГАЛКА Роман Васильович</t>
  </si>
  <si>
    <t>КУПРІЯНОВ Олексій Васильович</t>
  </si>
  <si>
    <t>ХАНТЕР</t>
  </si>
  <si>
    <t>ГНЕЛИЦЬКИЙ Ігор Володимирович</t>
  </si>
  <si>
    <t>ДУБЕНЕЦЬ Василь Миколайович</t>
  </si>
  <si>
    <t>КОЛОМІЄЦЬ Олег Васильович</t>
  </si>
  <si>
    <t>АК 74 2096861</t>
  </si>
  <si>
    <t>865EBE2825</t>
  </si>
  <si>
    <t>КОШЛАРОВ Антон Володимирович</t>
  </si>
  <si>
    <t>КУЧЕРЕНКО Ігор Васильович</t>
  </si>
  <si>
    <t>ЛИТВИН Олександр Олександрович</t>
  </si>
  <si>
    <t>БАГЛАЄВ Руслан Михайлович</t>
  </si>
  <si>
    <t>КОВАЛЕНКО Ігор Олегович</t>
  </si>
  <si>
    <t>МИЧКА Сергій Леонідович</t>
  </si>
  <si>
    <t>ПІДГОРНИЙ Віталій Валерійович</t>
  </si>
  <si>
    <t>ПРИХОДКІН Гліб Сергійович</t>
  </si>
  <si>
    <t>УШАКОВ Ігор Володимирович</t>
  </si>
  <si>
    <t>АРТЕМЕНКО Дмитро Юрійович</t>
  </si>
  <si>
    <t>ТВІКС</t>
  </si>
  <si>
    <t>ФРОЛОВ Дмитро Андрійович</t>
  </si>
  <si>
    <t>АКС-74У 936762</t>
  </si>
  <si>
    <t>ХРАМЧЕНКО Станіслав Валентинович</t>
  </si>
  <si>
    <t>САВШАК Андрій Іванович</t>
  </si>
  <si>
    <t>ІВАНИЦЯ Сергій Ігорович</t>
  </si>
  <si>
    <t>ЛЕС</t>
  </si>
  <si>
    <t>ПРОКУРАТ Олексій Вікторович</t>
  </si>
  <si>
    <t>Розвідник-помічник гранатометника</t>
  </si>
  <si>
    <t>ЄГОРИЧ</t>
  </si>
  <si>
    <t>КОЗАЧОК Дмитро Вікторович</t>
  </si>
  <si>
    <t>Bren 2 CZ J 232889</t>
  </si>
  <si>
    <t>865EBE2813</t>
  </si>
  <si>
    <t>НІМЕЦЬ Олег Олегович</t>
  </si>
  <si>
    <t>АГ 014971</t>
  </si>
  <si>
    <t>СТРИЖАК Владислав Станіславович</t>
  </si>
  <si>
    <t>ТЕРЕЩЕНКО Руслан Сергійович</t>
  </si>
  <si>
    <t>ТЕРЕ</t>
  </si>
  <si>
    <t>ДИДИК Роман Зеновійович</t>
  </si>
  <si>
    <t>РУБАН Олексій Олександрович</t>
  </si>
  <si>
    <t>АК-74 № 4450266</t>
  </si>
  <si>
    <t>865EAKH024</t>
  </si>
  <si>
    <t>ШАЛАМОВ Олексій Анатолійович</t>
  </si>
  <si>
    <t>РИБКА Максим Євгенійович</t>
  </si>
  <si>
    <t>ТВО вогнеметник 2 піхотного відділення 3 піхотного взводу 2 піхотної роти піхотного батальйону</t>
  </si>
  <si>
    <t>БІЛИЙ Борис Миколайович</t>
  </si>
  <si>
    <t>АК-74 № 046878</t>
  </si>
  <si>
    <t>ПЛУЖНИК Сергій Валерійович</t>
  </si>
  <si>
    <t>ШАБАНОВ Роман Самедович</t>
  </si>
  <si>
    <t>МІНУТА Євген Михайлович</t>
  </si>
  <si>
    <t>АК-74 № 261878</t>
  </si>
  <si>
    <t>ПРЕНЬКО Анатолій Олександрович</t>
  </si>
  <si>
    <t>КАРПЕНКО Данило Олександрович</t>
  </si>
  <si>
    <t>7Й</t>
  </si>
  <si>
    <t>ОЛЕКСЕНКО Сергій Сергійович</t>
  </si>
  <si>
    <t>АК-74 № 6211553</t>
  </si>
  <si>
    <t>СЕРБІН Валерій Павлович</t>
  </si>
  <si>
    <t>ВЄЛ</t>
  </si>
  <si>
    <t>ГОРБАЧОВ Артем Миколайович</t>
  </si>
  <si>
    <t>ПІЛЬКЕВИЧ Євген Вікторович</t>
  </si>
  <si>
    <t>АК-74 № 6217909</t>
  </si>
  <si>
    <t>КОНОВАЛОВ Віталій Вікторович</t>
  </si>
  <si>
    <t>АК-74 № 5343307</t>
  </si>
  <si>
    <t>ГАЛУШКА Андрій Олександрович</t>
  </si>
  <si>
    <t>22.04.2026
25.08.2026 СЗЧ медрота</t>
  </si>
  <si>
    <t>БРЕУС Сергій Юрійович</t>
  </si>
  <si>
    <t>ВОЗНЯК Ігор Романович</t>
  </si>
  <si>
    <t>АК-74 № 1707474</t>
  </si>
  <si>
    <t>865EBBD206</t>
  </si>
  <si>
    <t>Тепловізор TL450 №ZG20A5123320079</t>
  </si>
  <si>
    <t>ЧУДІН Андрій Валерійович</t>
  </si>
  <si>
    <t>АГ 038206</t>
  </si>
  <si>
    <t>ЦАП</t>
  </si>
  <si>
    <t>ЖЕРЕБІЛО Іван Сергійович</t>
  </si>
  <si>
    <t>КАЛИНОВСЬКИЙ Артур Сергійович</t>
  </si>
  <si>
    <t>АК-74 № 5407357</t>
  </si>
  <si>
    <t>ТАРАСОВ Андрій Юрійович</t>
  </si>
  <si>
    <t>КАВЕЦЬКИЙ Олександр Сергійович</t>
  </si>
  <si>
    <t>КАВУН Владислав Сергійович</t>
  </si>
  <si>
    <t>прибув після СЗЧ 10.07.2026</t>
  </si>
  <si>
    <t>УБИРАЕТ</t>
  </si>
  <si>
    <t>ГУЛАК Владислав Миколайович</t>
  </si>
  <si>
    <t>АК-74 № 4279512</t>
  </si>
  <si>
    <t>ГРИБАН Данило Олександрович</t>
  </si>
  <si>
    <t>номер обслуги кулеметного взводу 3 піхотної роти 1 піхотного батальйону</t>
  </si>
  <si>
    <t>АВ 989482</t>
  </si>
  <si>
    <t>ДЕМ'ЯНЮК Мирослав Юрійович</t>
  </si>
  <si>
    <t>КАТРУК Денис Володимирович</t>
  </si>
  <si>
    <t>АПАЧІ</t>
  </si>
  <si>
    <t>АНДРУСЕНКО Сергій Вікторович</t>
  </si>
  <si>
    <t>АК-74 № 6229602</t>
  </si>
  <si>
    <t>ДОБРІЙ Андрій Іванович</t>
  </si>
  <si>
    <t>КАРАБЕЛЬСЬКИЙ Максим В'ячеславович</t>
  </si>
  <si>
    <t>КІМНАТНИЙ Олексій Володимирович</t>
  </si>
  <si>
    <t>МОШЕНСЬКИЙ Сергій Васильович</t>
  </si>
  <si>
    <t>СУДОМА Михайло Петрович</t>
  </si>
  <si>
    <t>АК-74 № 4418302</t>
  </si>
  <si>
    <t>СУРМАН Віктор Вікторович</t>
  </si>
  <si>
    <t>ВИШИНСЬКИЙ Андрій Миколайович</t>
  </si>
  <si>
    <t>БОРСУК Владислав Сергійович</t>
  </si>
  <si>
    <t>АК-74 № 694605</t>
  </si>
  <si>
    <t>БУГАЙЦОВ Роман Васильович</t>
  </si>
  <si>
    <t>ВЕЧЕРКОВСЬКИЙ Олександр Васильович</t>
  </si>
  <si>
    <t>Закінчення курсу 29.01.26</t>
  </si>
  <si>
    <t>ЖИВАГА Назар Олександрович</t>
  </si>
  <si>
    <t>Підарська зброя фактично.</t>
  </si>
  <si>
    <t>ЯРМАК Ігор Михайлович</t>
  </si>
  <si>
    <t>СЕМЕНЧУК Олександр Вікторович</t>
  </si>
  <si>
    <t>ТВО стрілець-помічник гранатометника 1 піхотного відділення 2 піхотного взводу 2 піхотної роти піхотного батальйону</t>
  </si>
  <si>
    <t>КОТЮК Олександр Владиславович</t>
  </si>
  <si>
    <t>ЯРЕМЕНКО Денис Ігорович</t>
  </si>
  <si>
    <t>Солдат резерву</t>
  </si>
  <si>
    <t>АК-74 № 2166041</t>
  </si>
  <si>
    <t>АГ 128315</t>
  </si>
  <si>
    <t>КОНДАУРОВ Володимир Анатолійович</t>
  </si>
  <si>
    <t>ЛОБОДА Вадим Олександрович</t>
  </si>
  <si>
    <t>МАНЖОЛА Віталій Леонідович</t>
  </si>
  <si>
    <t>САВРАСОВ Василь Павлович</t>
  </si>
  <si>
    <t>МІТЕНКОВ Юрій Володимирович</t>
  </si>
  <si>
    <t>ЮДЖИН</t>
  </si>
  <si>
    <t>ДОЛЮК Валерій Юрійович</t>
  </si>
  <si>
    <t>АРХИПЕНКО Олександр Олександрович</t>
  </si>
  <si>
    <t>АРХИП</t>
  </si>
  <si>
    <t>КОСОНОГОВ Олексій Олександрович</t>
  </si>
  <si>
    <t>0634013</t>
  </si>
  <si>
    <t>АК-74 № 6287083</t>
  </si>
  <si>
    <t>командир роти безпілотних авіаційних комплексів 1 піхотного батальйону</t>
  </si>
  <si>
    <t>ТОФТУЛ Андрій Миколайович</t>
  </si>
  <si>
    <t>ПІНЧУК Ігор Олександрович (08.08.1999 р.н.)</t>
  </si>
  <si>
    <t>АК-74 № 208545</t>
  </si>
  <si>
    <t>СМІРНОВ Антон Віталійович</t>
  </si>
  <si>
    <t>ПЕТРОВСЬКИЙ Олексій Юрійович</t>
  </si>
  <si>
    <t>НІКІТЮК Богдан Вячеславович</t>
  </si>
  <si>
    <t>СОЛОНЬКО Руслан Юрійович</t>
  </si>
  <si>
    <t>РОДЖЕР</t>
  </si>
  <si>
    <t>СКОРОБАГАТЬКО Віталій Іванович</t>
  </si>
  <si>
    <t>АКС-74У № 937097</t>
  </si>
  <si>
    <t>СТАДНІК Сергій Петрович</t>
  </si>
  <si>
    <t>заступник командира роти безпілотних авіаційних комплексів 1 піхотного батальйону</t>
  </si>
  <si>
    <t>СОКОЛЕЦЬ Сергій Сергійович</t>
  </si>
  <si>
    <t>ОЛАГ Янош Яношович</t>
  </si>
  <si>
    <t>ВІРАГ Степан Степанович</t>
  </si>
  <si>
    <t>ПЛУТ</t>
  </si>
  <si>
    <t>МАЗУР Федір Іванович</t>
  </si>
  <si>
    <t>ПОПИК Дмитро Анатолійович</t>
  </si>
  <si>
    <t>АК-74 № 6204317</t>
  </si>
  <si>
    <t>865EBD9998</t>
  </si>
  <si>
    <t>МАЧУЛА Олександр Андрійович</t>
  </si>
  <si>
    <t>МАТВІЙЧУК Сергій Юрійович</t>
  </si>
  <si>
    <t>БІЛОУСОВ Антон Володимирович</t>
  </si>
  <si>
    <t>АК-74 № 1697236</t>
  </si>
  <si>
    <t>ГРІНЧЕНКО Сергій Михайлович</t>
  </si>
  <si>
    <t>напрямківець</t>
  </si>
  <si>
    <t>ПОПОВИЧ Василь Васильович (11.10.1987 р.н.)</t>
  </si>
  <si>
    <t>МЕРЦАЛОВ Сергій Володимирович</t>
  </si>
  <si>
    <t>старший технік роти безпілотних авіаційних комплексів 1 піхотного батальйону</t>
  </si>
  <si>
    <t xml:space="preserve">АК-74 № 4422655 </t>
  </si>
  <si>
    <t>МАТВІЄНКО Максим Олександрович</t>
  </si>
  <si>
    <t>СКВОРЦОВ Денис Сергійович</t>
  </si>
  <si>
    <t>БАХМАТЮК Дмитро Володимирович</t>
  </si>
  <si>
    <t>БАРІК</t>
  </si>
  <si>
    <t>СУСЕНКО Тимур Ларбієвич</t>
  </si>
  <si>
    <t>ПАСЕЧНИК Владислав Ігорович</t>
  </si>
  <si>
    <t>АК-74 № 1715346</t>
  </si>
  <si>
    <t>218974А</t>
  </si>
  <si>
    <t>ЯКИМЧУК Віталій Миколайович 1983</t>
  </si>
  <si>
    <t>ЖЕЖЕРУН Микола Миколайович</t>
  </si>
  <si>
    <t>БОРДО</t>
  </si>
  <si>
    <t>КАНІВЕЦЬ Роман Олегович</t>
  </si>
  <si>
    <t>ДУДЯК Олексій Юрійович</t>
  </si>
  <si>
    <t>РОМАНЕНКО Олександр Віталійович</t>
  </si>
  <si>
    <t>АК-74 № 1992218</t>
  </si>
  <si>
    <t>ПОНОМАРЕНКО Дмитро Анатолійович</t>
  </si>
  <si>
    <t>240945А</t>
  </si>
  <si>
    <t>технік роти безпілотних авіаційних комплексів 1 піхотного батальйону</t>
  </si>
  <si>
    <t>ШЕВЧЕНКО Іван Олександрович</t>
  </si>
  <si>
    <t>ЛІХМАН Станіслав Сергійович</t>
  </si>
  <si>
    <t>КОТЬКОРЛО Андрій Володимирович</t>
  </si>
  <si>
    <t>ЖАДАН Костянтин Вадимович</t>
  </si>
  <si>
    <t>АК-74 № 265401</t>
  </si>
  <si>
    <t>АНТИБУРА Ярослав Вікторович</t>
  </si>
  <si>
    <t xml:space="preserve">АГ 039944
</t>
  </si>
  <si>
    <t>СТОРЧОВИЙ Євген Олександрович</t>
  </si>
  <si>
    <t>КОЛІСНИК Дмитро Олександрович</t>
  </si>
  <si>
    <t>АК-74 № 1706024</t>
  </si>
  <si>
    <t>з 09.11.2025 по 22.11.2025 вважався зниклим безвісти.</t>
  </si>
  <si>
    <t>КВАША Олексій Вікторович</t>
  </si>
  <si>
    <t>КІСЕЛЬОВ В'ячеслав Павлович</t>
  </si>
  <si>
    <t>АЛІМОВ Микола Миколайович</t>
  </si>
  <si>
    <t>АК-74 № 5621025</t>
  </si>
  <si>
    <t>КАРАБАТОВ Андрій Володимирович</t>
  </si>
  <si>
    <t>ГЛАДКОВ Михайло Михайлович</t>
  </si>
  <si>
    <t>старший бойовий медик роти безпілотних авіаційних комплексів 1 піхотного батальйону</t>
  </si>
  <si>
    <t>КАРНАЧОВ Євгеній Іванович</t>
  </si>
  <si>
    <t>АК-74 № 4280973</t>
  </si>
  <si>
    <t>ДОК</t>
  </si>
  <si>
    <t>БЕЗ'ЯЗИКИЙ Максим Юрійович</t>
  </si>
  <si>
    <t>ТЕЛІК Олексій Валерійович</t>
  </si>
  <si>
    <t>ЗАЛІЗНЯК Олександр Михайлович</t>
  </si>
  <si>
    <t>АК-74 № 5653491</t>
  </si>
  <si>
    <t>у відпустки</t>
  </si>
  <si>
    <t>ШПАК Юрій Валерійович</t>
  </si>
  <si>
    <t>ДЯТЧЕНКО Роман Васильович</t>
  </si>
  <si>
    <t>ЛИТВИНОВ Сергій Миколайович</t>
  </si>
  <si>
    <t>водій-електрик роти безпілотних авіаційних комплексів 1 піхотного батальйону</t>
  </si>
  <si>
    <t>ДРОБІТЬКО Валерій Валерійович</t>
  </si>
  <si>
    <t>КАСПРУК Сергій Борисович</t>
  </si>
  <si>
    <t>КОБИЛЕЦЬКИЙ Іван Ігорович</t>
  </si>
  <si>
    <t>КРАВЧИШИН Михайло Андрійович</t>
  </si>
  <si>
    <t>КОСМОНАВТ</t>
  </si>
  <si>
    <t>ПАНІЄВ Віталій Андрійович</t>
  </si>
  <si>
    <t>ФРОСТ Артем Сергійович</t>
  </si>
  <si>
    <t>ДАНІЛОВ Олексій Сергійович</t>
  </si>
  <si>
    <t>184НЦ</t>
  </si>
  <si>
    <t>КУРИЛАС Богдан Ярославович</t>
  </si>
  <si>
    <t>МАЙОР</t>
  </si>
  <si>
    <t>радіотелефоніст роти безпілотних авіаційних комплексів 1 піхотного батальйону</t>
  </si>
  <si>
    <t>МІРОШНИЧЕНКО Володимир Геннадійович</t>
  </si>
  <si>
    <t>АГ 631971</t>
  </si>
  <si>
    <t>ПЕРЕПЕЧАЄВ Дмитро Ігоревич</t>
  </si>
  <si>
    <t>АКС-74 № 6731308
 + РПК № ЕЄ4816</t>
  </si>
  <si>
    <t>РОТАЦІЯ</t>
  </si>
  <si>
    <t>СТАРІКОВ Олексій Мурадович</t>
  </si>
  <si>
    <t>Водій-кранівник</t>
  </si>
  <si>
    <t>ДОНЕЦЬ Кирило Ігорович</t>
  </si>
  <si>
    <t>ХАБАЛЬ Роман Михайлович</t>
  </si>
  <si>
    <t>ХОТАБИЧ</t>
  </si>
  <si>
    <t>по пораненню
ПРИБУВ 24.02.26</t>
  </si>
  <si>
    <t>КОСТЕНКО Данило Сергійович</t>
  </si>
  <si>
    <t>10.06.2026
до 14.09.2026</t>
  </si>
  <si>
    <t>АКС74 № 7341547</t>
  </si>
  <si>
    <t>ЛИТВЯК Артем Дмитрович</t>
  </si>
  <si>
    <t>1 взвод ударних безпілотних авіаційних комплексів</t>
  </si>
  <si>
    <t>командир 1 взводу ударних безпілотних авіаційних комплексів роти безпілотних авіаційних комплексів 1 піхотного батальйону</t>
  </si>
  <si>
    <t>БРЕЗІЦЬКИЙ Руслан Петрович</t>
  </si>
  <si>
    <t>МЕЛЬНИК Андрій Ігорович</t>
  </si>
  <si>
    <t>ВОЛОДІН Віталій Семенович</t>
  </si>
  <si>
    <t>АКС-74 № 7357316</t>
  </si>
  <si>
    <t>ДУДКО Роман Сергійович</t>
  </si>
  <si>
    <t>ТЕРТИШНИЙ Олександр Олегович</t>
  </si>
  <si>
    <t>МАГЕРРАМОВ Дмитро Ровшанович</t>
  </si>
  <si>
    <t>ЛАЗАРЕВ Вадим Олегович</t>
  </si>
  <si>
    <t>АК-74 № 5974426</t>
  </si>
  <si>
    <t>АГ 441640</t>
  </si>
  <si>
    <t>ЛЕЩАК Тарас Миколайович</t>
  </si>
  <si>
    <t>ДІХТЯР Олексій Юрійович</t>
  </si>
  <si>
    <t>218975А</t>
  </si>
  <si>
    <t>ПЛАХОТНЮК Олександр Володимирович</t>
  </si>
  <si>
    <t>АК-74 № 1508437</t>
  </si>
  <si>
    <t>АВ 988945</t>
  </si>
  <si>
    <t>ЩЕРБАК Павло Олександрович</t>
  </si>
  <si>
    <t>ЛІННИК Ігор Сергійович</t>
  </si>
  <si>
    <t>ЧУПРИНА Олександр Олегович</t>
  </si>
  <si>
    <t>Єдиний кординаційний центр</t>
  </si>
  <si>
    <t>АК-74 № 6312435</t>
  </si>
  <si>
    <t>БОЖКО Володимир Геннадійович</t>
  </si>
  <si>
    <t>ББС</t>
  </si>
  <si>
    <t>СЛИВНИЙ Олександр Анатолійович</t>
  </si>
  <si>
    <t>Круп'є</t>
  </si>
  <si>
    <t>878033А</t>
  </si>
  <si>
    <t>бойовий медик 1 взводу ударних безпілотних авіаційних комплексів роти безпілотних авіаційних комплексів 1 піхотного батальйону</t>
  </si>
  <si>
    <t>КОРЧАК Руслан Іванович</t>
  </si>
  <si>
    <t>АК-74 № 4648239</t>
  </si>
  <si>
    <t>КАРПЕКО Микола Миколайович</t>
  </si>
  <si>
    <t>КИРИЧЕНКО Микола Вікторович</t>
  </si>
  <si>
    <t>ШУЛЬДАЙС Вадим Геннадійович</t>
  </si>
  <si>
    <t>АНАНІЙЧУК Богдан Павлович</t>
  </si>
  <si>
    <t>СПИРИДЕНКО Станіслав Владиславович</t>
  </si>
  <si>
    <t>АГ 009464</t>
  </si>
  <si>
    <t>АК-74 № 2474800</t>
  </si>
  <si>
    <t>ХМІЛЬ Максим Юрійович</t>
  </si>
  <si>
    <t>КОГУТ Валерій Вікторович</t>
  </si>
  <si>
    <t>КОГУТ</t>
  </si>
  <si>
    <t>МОШКІН Віталій Юрійович</t>
  </si>
  <si>
    <t>225256А</t>
  </si>
  <si>
    <t>механік 1 взводу ударних безпілотних авіаційних комплексів роти безпілотних авіаційних комплексів 1 піхотного батальйону</t>
  </si>
  <si>
    <t>РУБАН Роман Валерійович</t>
  </si>
  <si>
    <t>ДІДЕНКО Олександр Миколайович</t>
  </si>
  <si>
    <t>МОРОЗ Олександр Юрійович</t>
  </si>
  <si>
    <t>АК-74 № 2029290</t>
  </si>
  <si>
    <t>ДЯДИК Богдан Анатолійович</t>
  </si>
  <si>
    <t>МАРЧУК Віктор Вікторович</t>
  </si>
  <si>
    <t>МАТІЙЧУК Василь Віталійович</t>
  </si>
  <si>
    <t>АК-74№ 1334947
 + ПКМ UR278</t>
  </si>
  <si>
    <t>БАБЕНКО Олександр Олександрович</t>
  </si>
  <si>
    <t>КОРМИЛО Олег Анатолійович</t>
  </si>
  <si>
    <t>1 відділення ударних безпілотних авіаційних комплексів</t>
  </si>
  <si>
    <t>ДЕКАС Іван Леонідович</t>
  </si>
  <si>
    <t>218270А/182</t>
  </si>
  <si>
    <t>командир екіпажу безпілотних літальних комплексів - командир 1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t>
  </si>
  <si>
    <t>АГ 009536</t>
  </si>
  <si>
    <t>АК-74 № 975521</t>
  </si>
  <si>
    <t>ІВАНЧУК Валерій Григорович</t>
  </si>
  <si>
    <t>ПРОСКУРЯКОВ Роман Володимирович</t>
  </si>
  <si>
    <t>РЕМ</t>
  </si>
  <si>
    <t>АКСЮТА Віталій Олександрович</t>
  </si>
  <si>
    <t>ШМАТЧЕНКО Владислав Андрійович</t>
  </si>
  <si>
    <t>КРУПСЬКИЙ Олександр Юрійович</t>
  </si>
  <si>
    <t>СВЯТ</t>
  </si>
  <si>
    <t>ЗАЯІЧКІВСЬКИЙ Дмитро Едуардович</t>
  </si>
  <si>
    <t>АК-74 № 1345894</t>
  </si>
  <si>
    <t>КУЦЕВОЛ Євгеній Ігорович</t>
  </si>
  <si>
    <t>ТВО стрільця 2 піхотного відділення 1 піхотного взводу 1 піхотної роти
піхотного батальйону</t>
  </si>
  <si>
    <t>ЧОКНАДІЙ Роман Іванович</t>
  </si>
  <si>
    <t>АК 74 № 1999934</t>
  </si>
  <si>
    <t>865EBQ6495</t>
  </si>
  <si>
    <t>КРАВЧУК Олександр Вікторович</t>
  </si>
  <si>
    <t>КОШАК Олександр Олександрович</t>
  </si>
  <si>
    <t>ДЕМЧЕНКО Олексій Олексійович</t>
  </si>
  <si>
    <t>АГ 107981</t>
  </si>
  <si>
    <t>БИЧКОВ Іван Анатолійович</t>
  </si>
  <si>
    <t>БИЧЕК</t>
  </si>
  <si>
    <t xml:space="preserve"> АК 74 № 2210235</t>
  </si>
  <si>
    <t>ТРАЧУК Мирослав Ігорович</t>
  </si>
  <si>
    <t>865EBCK241</t>
  </si>
  <si>
    <t>ЯКОВЛЄВ Олександр Григорович</t>
  </si>
  <si>
    <t>ПРИБУВ 23.08.2026</t>
  </si>
  <si>
    <t>НІКОЛАЄНКО Вячеслав Вікторович</t>
  </si>
  <si>
    <t>КИЯНИЦЯ Олександр Миколайович</t>
  </si>
  <si>
    <t xml:space="preserve"> АК 74 № 6284301</t>
  </si>
  <si>
    <t>ГОРЛОВ Олександр Ілліч</t>
  </si>
  <si>
    <t>водій-електрик 1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t>
  </si>
  <si>
    <t>АГ 460651</t>
  </si>
  <si>
    <t>ЗАТОЛЮК Костянтин Андрійович</t>
  </si>
  <si>
    <t>СПІВАК Сергій Миколайович</t>
  </si>
  <si>
    <t>АГ 181955</t>
  </si>
  <si>
    <t>РОШАК Вадим Олександрович</t>
  </si>
  <si>
    <t>АК 74 № 5974098</t>
  </si>
  <si>
    <t>865EBQ6326</t>
  </si>
  <si>
    <t>КОРОЛЬОВ Микола Анатолійович</t>
  </si>
  <si>
    <t>СМОЛЯКОВ Олександр Миколайович</t>
  </si>
  <si>
    <t>218121А</t>
  </si>
  <si>
    <t>оператор безпілотних літальних апаратів 1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t>
  </si>
  <si>
    <t>ЗАЦЕПІН Анатолій Анатолійович</t>
  </si>
  <si>
    <t>АК 74 № 1341663</t>
  </si>
  <si>
    <t>АГ 605967</t>
  </si>
  <si>
    <t>ІГНАТОВИЧ Тарас Олегович</t>
  </si>
  <si>
    <t>СОУЛ</t>
  </si>
  <si>
    <t>ТІУНОВ Станіслав Юрійович</t>
  </si>
  <si>
    <t>19.01.2026
подала медична рота</t>
  </si>
  <si>
    <t>ШЕВЧЕНКО Владислав Вікторович</t>
  </si>
  <si>
    <t>СЕМЕНОВ Євген Сергійович</t>
  </si>
  <si>
    <t>АК 74 № 1261070</t>
  </si>
  <si>
    <t>865EBQ6765</t>
  </si>
  <si>
    <t>АВ 095552</t>
  </si>
  <si>
    <t>БЕЗКОРСИЙ Артем Миколайович</t>
  </si>
  <si>
    <t>позиція МАДРИД</t>
  </si>
  <si>
    <t>ГЕДЗИК Іван Васильович</t>
  </si>
  <si>
    <t>15.03.2026 на ППО до Бухгалтера</t>
  </si>
  <si>
    <t>БОНДАРЕНКО Геннадій Сергійович</t>
  </si>
  <si>
    <t>МЕДВІДЬ Віктор Яношович</t>
  </si>
  <si>
    <t>ВЕДЕНЬЄВ Віталій Вячеславович</t>
  </si>
  <si>
    <t>240244А</t>
  </si>
  <si>
    <t>АК 74 № 6305012</t>
  </si>
  <si>
    <t>ВОРОБЙОВ Віталій Сергійович</t>
  </si>
  <si>
    <t>АГ 013634</t>
  </si>
  <si>
    <t>ГОРЕЙДА Владислав Сергійович</t>
  </si>
  <si>
    <t>АК 74 № 1306387
РПК-74 ИЭ 4783</t>
  </si>
  <si>
    <t>3 гранатометне відділення</t>
  </si>
  <si>
    <t>ЖУК Максим Олександрович</t>
  </si>
  <si>
    <t>102533А</t>
  </si>
  <si>
    <t>КАЛАШНИК Станіслав Ігорович</t>
  </si>
  <si>
    <t>КИРИЧЕНКО Іван Юрійович</t>
  </si>
  <si>
    <t>КОРОТКИЙ Володимир Володимирович</t>
  </si>
  <si>
    <t>не обмежено, примітка</t>
  </si>
  <si>
    <t>АК 74 № 4489905</t>
  </si>
  <si>
    <t>МАМРЕНКО Олександр Геннадійович</t>
  </si>
  <si>
    <t>865EBPL299</t>
  </si>
  <si>
    <t>його треба зберегти (с) Алекс</t>
  </si>
  <si>
    <t>СКУРСЬКИЙ Володимир Володимирович</t>
  </si>
  <si>
    <t>2 відділення ударних безпілотних авіаційних комплексів</t>
  </si>
  <si>
    <t>СМОРОДСЬКИЙ Дмитро Євгенович</t>
  </si>
  <si>
    <t>командир екіпажу безпілотних літальних комплексів - командир 2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t>
  </si>
  <si>
    <t>ПЛЕШАНЬ Олександр Олександрович</t>
  </si>
  <si>
    <t>АК 74 № 6264126</t>
  </si>
  <si>
    <t>РОМАНЕЦЬ Артем Анатолійович</t>
  </si>
  <si>
    <t>МО 490093</t>
  </si>
  <si>
    <t>ФІЛІЧЕВ Олексій В'ячеславович</t>
  </si>
  <si>
    <t>ШАНЬГІН Віктор Вікторович</t>
  </si>
  <si>
    <t>АК-74 № 5461333</t>
  </si>
  <si>
    <t>НИЖНИК Олександр Олександрович</t>
  </si>
  <si>
    <t>АГ 173673</t>
  </si>
  <si>
    <t>Закінчення курсу 13.06.25</t>
  </si>
  <si>
    <t>ХІЛІНІЧЕНКО Максим Леонідович</t>
  </si>
  <si>
    <t>ХІЛЯ</t>
  </si>
  <si>
    <t>УСАРЧУК Артем Борисович</t>
  </si>
  <si>
    <t>РЯЩЕНКО Олександр Андрійович</t>
  </si>
  <si>
    <t>АК-74 № 5338755</t>
  </si>
  <si>
    <t>ЧЕРВОНЮК Дмитро Віталійович</t>
  </si>
  <si>
    <t>водій-електрик 2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t>
  </si>
  <si>
    <t>СТАРУШЕНКО Євген Леонідович</t>
  </si>
  <si>
    <t>ТАРАНУЩЕНКО Олександр Валентинович</t>
  </si>
  <si>
    <t>КЛИНОВИЙ Микола Валерійович</t>
  </si>
  <si>
    <t>АКС-74У № 888463</t>
  </si>
  <si>
    <t>СТЕМПЕНЬ Христина Богданівна</t>
  </si>
  <si>
    <t>КРАВЧЕНКО Микола Васильович</t>
  </si>
  <si>
    <t>ФІЛАТОВ Костянтин Володимирович</t>
  </si>
  <si>
    <t>АК-74 № 4389258</t>
  </si>
  <si>
    <t>КОНОНОВ Максим Олександрович</t>
  </si>
  <si>
    <t>САВА Юрій Іванович</t>
  </si>
  <si>
    <t>АВ 907002</t>
  </si>
  <si>
    <t>КНИШ Олександр Дмитрович</t>
  </si>
  <si>
    <t>РЯЗАНОВ Сергій Іванович</t>
  </si>
  <si>
    <t>СТРОГИЙ</t>
  </si>
  <si>
    <t>ЛІНЧЕВСЬКИЙ Сергій Андрійович</t>
  </si>
  <si>
    <t>АК-74 № 1346277</t>
  </si>
  <si>
    <t>оператор безпілотних літальних апаратів 2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t>
  </si>
  <si>
    <t>БОЛОБАН Олександр Миколайович</t>
  </si>
  <si>
    <t>КУЛІЄВ Арен Манвелович</t>
  </si>
  <si>
    <t>ЯНОВСЬКИЙ Євген Миколайович</t>
  </si>
  <si>
    <t>ПУКАВЧУК Володимир Васильович</t>
  </si>
  <si>
    <t>ХОМЕНКО Олексій Геннадійович</t>
  </si>
  <si>
    <t>НАРТЕНКО Олександр Віталійович</t>
  </si>
  <si>
    <t>ХРЕНЮХІН Павло Михайлович</t>
  </si>
  <si>
    <t>навчання пілотів до 15.08
до 06.09.2026</t>
  </si>
  <si>
    <t>ВОРОНІН Максим Олександрович</t>
  </si>
  <si>
    <t>КОРОБКА Михайло Михайлович</t>
  </si>
  <si>
    <t>майстер 2відділення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t>
  </si>
  <si>
    <t>АКМ ЛЖ2950</t>
  </si>
  <si>
    <t>865EABК769</t>
  </si>
  <si>
    <t>пауербанк УМБ Proove Giant 40000 mAh 100W PD Black – 1 шт.
кабель Baseus Cafule Metal Data Type-C 66 W (0,25m) – 1 шт.</t>
  </si>
  <si>
    <t>КУТОВОЙ Олександр Вікторович</t>
  </si>
  <si>
    <t>ХРАЛЬЧЕНКО Олександр Вікторович</t>
  </si>
  <si>
    <t>ХРАЛЬ</t>
  </si>
  <si>
    <t>СУШКО Андрій Вікторович</t>
  </si>
  <si>
    <t>АГ 107056</t>
  </si>
  <si>
    <t>ЧЕРНОУС Артур Олександрович</t>
  </si>
  <si>
    <t>БЕНДРЕКІВСЬКИЙ Микола Анатолійович</t>
  </si>
  <si>
    <t>МЄЛКИЙ</t>
  </si>
  <si>
    <t>АКМ ИИ8842</t>
  </si>
  <si>
    <t>ПРИЙМАК Андрій Васильович</t>
  </si>
  <si>
    <t>865EAB7875</t>
  </si>
  <si>
    <t>ФЕЩЕНКО Сергій Миколайович</t>
  </si>
  <si>
    <t>КУРАКСА Віталій Володимирович</t>
  </si>
  <si>
    <t>ОЛІЙНИК Василь Васильович</t>
  </si>
  <si>
    <t>3 відділення ударних безпілотних авіаційних комплексів</t>
  </si>
  <si>
    <t>ДЕЙНО Станіслав Володимирович</t>
  </si>
  <si>
    <t>АКМ УИ6641</t>
  </si>
  <si>
    <t>командир екіпажу безпілотних літальних комплексів - командир 3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t>
  </si>
  <si>
    <t>ШЕВЧУК Андрій Вікторович</t>
  </si>
  <si>
    <t>СО 729323</t>
  </si>
  <si>
    <t>КАБАНЕЦЬ Олександр Володимирович</t>
  </si>
  <si>
    <t>ВОЛОШЕНКО Віталій Семенович</t>
  </si>
  <si>
    <t>АГ 113280</t>
  </si>
  <si>
    <t>АКМ ФИ955</t>
  </si>
  <si>
    <t>865ЕАВВ278</t>
  </si>
  <si>
    <t>ПРОТЧЕНКО Іван Григорович</t>
  </si>
  <si>
    <t>АНАНЬЄВ Роман Олександрович</t>
  </si>
  <si>
    <t>ЧИРИК</t>
  </si>
  <si>
    <t>зарядний пристрій до радіостанцій Motorola – 1 шт.
пауербанк УМБ Proove Giant 40000 mAh 100W PD Black – 1 шт.
кабель Baseus Cafule Metal Data Type-C 66 W (0,25m) – 1 шт.
виносна антена ПАУК (кабель 15 метрів) для портативних радіостанцій типу Motorola б/н – 2 шт.</t>
  </si>
  <si>
    <t>БАЛАШКЕВИЧ Андрій Володимирович</t>
  </si>
  <si>
    <t>ПОКУТНЬОВ Дмитро Сергійович</t>
  </si>
  <si>
    <t>СІЛЬЧУК Микита Сергійович</t>
  </si>
  <si>
    <t>АКМ ЛЖ1371</t>
  </si>
  <si>
    <t>865ЕАВВ218</t>
  </si>
  <si>
    <t>АГ 471531</t>
  </si>
  <si>
    <t>ШВЕДЕНКО Олександр Сергійович</t>
  </si>
  <si>
    <t>БОРЕЦЬ Михайло Олегович</t>
  </si>
  <si>
    <t>САТІР</t>
  </si>
  <si>
    <t>ЖИТНЯКОВСЬКИЙ Вадим Вікторович</t>
  </si>
  <si>
    <t>790058А/269</t>
  </si>
  <si>
    <t>КОВАЛЬКО Андрій Володимирович</t>
  </si>
  <si>
    <t>АКМ МБ1251</t>
  </si>
  <si>
    <t>865EABG957</t>
  </si>
  <si>
    <t>ХАРЧЕНКО Анатолій Сергійович</t>
  </si>
  <si>
    <t>ЛІСНИЧИЙ</t>
  </si>
  <si>
    <t>КИРИЛЕНКО Максим Вікторович</t>
  </si>
  <si>
    <t>ПРИБУВ 30.07.2026 З В/Ч А2077</t>
  </si>
  <si>
    <t>по приказу ГШ ЗСУ</t>
  </si>
  <si>
    <t>ЄРШОВ Денис Геннадійович</t>
  </si>
  <si>
    <t>ТРИНДОХІР Степан Васильович</t>
  </si>
  <si>
    <t>АКМ ПМ5153</t>
  </si>
  <si>
    <t>оператор безпілотних літальних апаратів 3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t>
  </si>
  <si>
    <t>865ЕАВ8950</t>
  </si>
  <si>
    <t>ШМАГАЙЛО Олександр Юрійович</t>
  </si>
  <si>
    <t>АВ 970678</t>
  </si>
  <si>
    <t>в анкеті : вища освіта, лісничий, кухар</t>
  </si>
  <si>
    <t>КОНДУФОР Сергій Володимирович</t>
  </si>
  <si>
    <t>ЯРЕМА</t>
  </si>
  <si>
    <t>відділення важких логістично-евакуаційних безпілотних наземних систем</t>
  </si>
  <si>
    <t>МЕДВЕДЄВ Микола Олександрович</t>
  </si>
  <si>
    <t>ПЕСИК Андрій Володимирович</t>
  </si>
  <si>
    <t>АКМ СС8663</t>
  </si>
  <si>
    <t>865EAB9502</t>
  </si>
  <si>
    <t>ТИХАНСЬКИЙ Ігор Вікторович</t>
  </si>
  <si>
    <t>ГОРДІЄНКО Вадим Юрійович</t>
  </si>
  <si>
    <t>позиція ВІДКАТ</t>
  </si>
  <si>
    <t>ХОРОЛЬСЬКИЙ Денис Валерійович</t>
  </si>
  <si>
    <t>СУПРУНЕЦЬ Віктор Сергійович</t>
  </si>
  <si>
    <t>майстер 3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t>
  </si>
  <si>
    <t>ФЕДОРЕЦЬ Максим Вікторович</t>
  </si>
  <si>
    <t>ФЕФІЛОВ Олег В'ячеславович</t>
  </si>
  <si>
    <t>КІРІЯЩЕНКО Сергій Володимирович</t>
  </si>
  <si>
    <t>ВОЛІФ</t>
  </si>
  <si>
    <t>РАЙЛЯН Артем Юрійович</t>
  </si>
  <si>
    <t>ГАРНАГА Євгеній Сергійович</t>
  </si>
  <si>
    <t>АКМ ФИ2215</t>
  </si>
  <si>
    <t>ТЕРЬОХІН Артур Миколайович</t>
  </si>
  <si>
    <t>АГ 636688</t>
  </si>
  <si>
    <t>R7a S/N:865ECHY327</t>
  </si>
  <si>
    <t>КОЛОДІЙ Олексій Миколайович</t>
  </si>
  <si>
    <t>ХАРЛАМОВ Ілля Ігорович</t>
  </si>
  <si>
    <t xml:space="preserve">ЛЬОПА
</t>
  </si>
  <si>
    <t>2 взвод ударних безпілотних авіаційних комплексів</t>
  </si>
  <si>
    <t>ДЯЧЕНКО Сергій Володимирович (20.08.1982 р.н.)</t>
  </si>
  <si>
    <t>командир 2 взводу ударних безпілотних авіаційних комплексів роти безпілотних авіаційних комплексів 1 піхотного батальйону</t>
  </si>
  <si>
    <t>АКМ МЯ3126</t>
  </si>
  <si>
    <t>МАТЯР Віталій Олександрович</t>
  </si>
  <si>
    <t>865EABG883</t>
  </si>
  <si>
    <t>КРИВЦУН Павло Геннадійович</t>
  </si>
  <si>
    <t>ЕРНЕСТ</t>
  </si>
  <si>
    <t>КАЛИНЮК Віктор Володимирович</t>
  </si>
  <si>
    <t>ПАСІЧНИК Максим Миколайович</t>
  </si>
  <si>
    <t>КОВАЛЬОВ Максим Федорович</t>
  </si>
  <si>
    <t>ОГІЄНКО Сергій Петрович</t>
  </si>
  <si>
    <t>АКМ МП2091</t>
  </si>
  <si>
    <t>СПЕЛЬНИКОВ Олександр Олександрович</t>
  </si>
  <si>
    <t>ЛАДИЖЕНСЬКИЙ Віктор Васильович</t>
  </si>
  <si>
    <t>Школа пілотів з 07.02.2026</t>
  </si>
  <si>
    <t>НАЗАРОВ Євген Миколайович</t>
  </si>
  <si>
    <t>АКМ ШБ5744</t>
  </si>
  <si>
    <t>865ЕАВ9358</t>
  </si>
  <si>
    <t>ДАВІДОВ Антон Авшалумович</t>
  </si>
  <si>
    <t>403876А</t>
  </si>
  <si>
    <t>КОРКІН Денис Сергійович</t>
  </si>
  <si>
    <t>КУЛИК Володимир Петрович</t>
  </si>
  <si>
    <t>ВОЦА</t>
  </si>
  <si>
    <t>ТВО стрільця 3 піхотного відділення 1 піхотного взводу 3 піхотної роти 1
піхотного батальйону військової частини А4862</t>
  </si>
  <si>
    <t>СЕМЕНЮК Ярослав Юрійович</t>
  </si>
  <si>
    <t>РЕБАК Анатолій Петрович</t>
  </si>
  <si>
    <t>КРАСАВІН Павло Олегович</t>
  </si>
  <si>
    <t>BREN 2 № 137397</t>
  </si>
  <si>
    <t>865EAK9649</t>
  </si>
  <si>
    <t>САРКІСЯН Тігран Армоєвич</t>
  </si>
  <si>
    <t>ДЬЯЧКІН Олексій Васильович</t>
  </si>
  <si>
    <t>КАМИШ</t>
  </si>
  <si>
    <t>ХНИКІНА Юлія Миколаївна</t>
  </si>
  <si>
    <t>бойовий медик 2 взводу ударних безпілотних авіаційних комплексів роти безпілотних авіаційних комплексів 1 піхотного батальйону</t>
  </si>
  <si>
    <t>Господарче відділення</t>
  </si>
  <si>
    <t>АК-74 № 4428513</t>
  </si>
  <si>
    <t>БАСАВРО Олександр Вікторович</t>
  </si>
  <si>
    <t>865EBQ7154</t>
  </si>
  <si>
    <t>СОРОКІН Іван Володимирович</t>
  </si>
  <si>
    <t>РУЩАК Іван Михайлович</t>
  </si>
  <si>
    <t>ТАМАР’ЯНСЬКИЙ Роман Петрович</t>
  </si>
  <si>
    <t>ДЯТЕЛ</t>
  </si>
  <si>
    <t>ТОРЯНИК Артем Сергійович</t>
  </si>
  <si>
    <t>ЖИГІЛЬ Яків Олексійович</t>
  </si>
  <si>
    <t>АК-74 № 4333605</t>
  </si>
  <si>
    <t>механік 2 взводу ударних безпілотних авіаційних комплексів роти безпілотних авіаційних комплексів 1 піхотного батальйону</t>
  </si>
  <si>
    <t>КАЛІЩУК Олександр Іванович</t>
  </si>
  <si>
    <t>ГРАБАР Сергій Олегович</t>
  </si>
  <si>
    <t>ТВО кулеметника 1 піхотного відділення 2 піхотного взводу 3
піхотної роти 1 піхотного батальйону військової частини А4862</t>
  </si>
  <si>
    <t>ПУЗДРЯ Ігор Борисович</t>
  </si>
  <si>
    <t>ХРАМ</t>
  </si>
  <si>
    <t>БІЛИЙ Олександр Олегович</t>
  </si>
  <si>
    <t>АК-74 № 4490174</t>
  </si>
  <si>
    <t>ГОРБАЧОВ Євгеній Олександрович</t>
  </si>
  <si>
    <t>ЛЯХОВЕЦЬ Олександр Анатолійович</t>
  </si>
  <si>
    <t>позиція ТОПАЗ</t>
  </si>
  <si>
    <t>ТВО стрілець 1 піхотного відділення 3 піхотного взводу 2 піхотної роти піхотного батальйону</t>
  </si>
  <si>
    <t>СЕРГІЙЧУК Віталій Васильович</t>
  </si>
  <si>
    <t>ГУЙВАН Ігор Анатолійович</t>
  </si>
  <si>
    <t>АКС-74У № 1648992</t>
  </si>
  <si>
    <t>МХЕІДЗЕ Роман Зурабович</t>
  </si>
  <si>
    <t>ДАНИЛЬЧУК Юрій Васильович</t>
  </si>
  <si>
    <t>ГРУЗИН</t>
  </si>
  <si>
    <t>ОЛІЙНИК Роман Георгійович</t>
  </si>
  <si>
    <t>РЕУТА Олег Борисович</t>
  </si>
  <si>
    <t>БРЕДНЄВ Владислав Ігорович</t>
  </si>
  <si>
    <t>ШЕВЧУК Микола Миколайович</t>
  </si>
  <si>
    <t>прибув після СЗЧ 27.05.2026</t>
  </si>
  <si>
    <t>23.07.2026
не віпонение приказов, бросил побратимов</t>
  </si>
  <si>
    <t>АКС-74У № 6245566</t>
  </si>
  <si>
    <t>МИРОНЕНКО Ігор Ігорович</t>
  </si>
  <si>
    <t>865EAK9618</t>
  </si>
  <si>
    <t>ПАПІЛОВ Віталій Андрійович</t>
  </si>
  <si>
    <t>218182А/264</t>
  </si>
  <si>
    <t>командир відділення-командир екіпажу безпілотних літальних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</si>
  <si>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БОДНАРУК Михайло Михайлович</t>
  </si>
  <si>
    <t>ПАРФЕНЮК Віталій Володимирович</t>
  </si>
  <si>
    <t>СВИРИДЕНКО Сергій Сергійович</t>
  </si>
  <si>
    <t>СЕМЕНЕЦЬ Микола Миколайович</t>
  </si>
  <si>
    <t>поїхав у Дніпро тренером 08.01.26</t>
  </si>
  <si>
    <t>ЄФІМОВ Дмитро Костянтинович</t>
  </si>
  <si>
    <t>БОС</t>
  </si>
  <si>
    <t>ЙОНАШ Юрій Юрійович</t>
  </si>
  <si>
    <t>ЄРМАКОВ Сергій Миколайович</t>
  </si>
  <si>
    <t>АК-74 № 1670813</t>
  </si>
  <si>
    <t>ОПАНАСЕНКО Олексій Костянтинович</t>
  </si>
  <si>
    <t>водій-електрик 1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</si>
  <si>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ДИМЧУК Андрій Миколайович</t>
  </si>
  <si>
    <t>ВІПУЗОВ Владислав Андрійович</t>
  </si>
  <si>
    <t>ВЛАСОВ Віталій Володимирович</t>
  </si>
  <si>
    <t>СНІТЧ</t>
  </si>
  <si>
    <t>АК-74 № 4496734</t>
  </si>
  <si>
    <t>АГ 195291</t>
  </si>
  <si>
    <t>СТРАШКО Дмитро Євгенович</t>
  </si>
  <si>
    <t>ЯВНИЙ Дмитро Володимирович</t>
  </si>
  <si>
    <t>ЯВА</t>
  </si>
  <si>
    <t>ХАРІН Євгеній Олегович</t>
  </si>
  <si>
    <t>ГУНАЗА Артем Віталійович</t>
  </si>
  <si>
    <t>НАХ</t>
  </si>
  <si>
    <t>позиція АРІЯ
по пораненню</t>
  </si>
  <si>
    <t>КОПАЙГОРА Іван Сергійович</t>
  </si>
  <si>
    <t>ПРИБУВ 15.04.2026</t>
  </si>
  <si>
    <t>до 06.09.2026</t>
  </si>
  <si>
    <t>АК-74 № 6266828</t>
  </si>
  <si>
    <t>219671А</t>
  </si>
  <si>
    <t>АГ 592942</t>
  </si>
  <si>
    <t>КОЗЯР Олександр Віталійович</t>
  </si>
  <si>
    <t>ЛИСЕНКО Михайло Юрійович</t>
  </si>
  <si>
    <t>МІХАСІК</t>
  </si>
  <si>
    <t>ФЕТІСОВ Сергій Андрійович</t>
  </si>
  <si>
    <t>АК-74 № 130766</t>
  </si>
  <si>
    <t>СТАНИНЕЦЬ Василь Васильович</t>
  </si>
  <si>
    <t>Курси сержантів</t>
  </si>
  <si>
    <t>РЯЗАНОВ Олексій Володимирович</t>
  </si>
  <si>
    <t>ШНИТ Сергій Олександрович</t>
  </si>
  <si>
    <t>САУКА Сергій Валентинович</t>
  </si>
  <si>
    <t>АК-74 № 137921</t>
  </si>
  <si>
    <t>РАДЧЕНКО Микита Андрійович</t>
  </si>
  <si>
    <t>ВОЛК Денис Миколайович</t>
  </si>
  <si>
    <t>МО 608200</t>
  </si>
  <si>
    <t>АК-74 № 5896046</t>
  </si>
  <si>
    <t>ЧУМАК Ігор Іванович</t>
  </si>
  <si>
    <t>КРАВЧЕНКО Олександр Миколайович</t>
  </si>
  <si>
    <t>АФАНАСЬЄВ Сергій Дмитрович</t>
  </si>
  <si>
    <t>СЕРГЕЄВ Сергій Валерійович</t>
  </si>
  <si>
    <t>АК-74 № 1562236</t>
  </si>
  <si>
    <t>РЕДКОЛІС Іван Миколайович</t>
  </si>
  <si>
    <t>ПОНОМАРЬОВ Дмитро Миколайович</t>
  </si>
  <si>
    <t>КРАСЮК Олег Васильович</t>
  </si>
  <si>
    <t>ХРІНОВСЬКИЙ Ігор Володимирович</t>
  </si>
  <si>
    <t>3ПБ</t>
  </si>
  <si>
    <t>ВОРОБЕЙ Олександр Миколайович</t>
  </si>
  <si>
    <t>АК-74 № 2605571</t>
  </si>
  <si>
    <t>865EBKK175</t>
  </si>
  <si>
    <t>ЛЮБУНЬ Василь Григорович</t>
  </si>
  <si>
    <t>АГ 560995</t>
  </si>
  <si>
    <t>ОЖАНСЬКИЙ Андрій Андрійович</t>
  </si>
  <si>
    <t>ТЕРЗЕУК Артур Вікторович</t>
  </si>
  <si>
    <t>АРЧІБАЛЬД</t>
  </si>
  <si>
    <t>ЛИПЕЦЬКИЙ Олександр Іванович</t>
  </si>
  <si>
    <t>АВЕРКІЄВ Павло Валентинович</t>
  </si>
  <si>
    <t>АК-74 № 1563112</t>
  </si>
  <si>
    <t>по хворобі, 26.08.2026 СЗЧ медрота</t>
  </si>
  <si>
    <t>АВ 105033</t>
  </si>
  <si>
    <t>АВРАМОВ Олексій Миколайович</t>
  </si>
  <si>
    <t>НІКОЛЕНКО Олександр Євгенійович</t>
  </si>
  <si>
    <t>АНДРОЩУК Руслан Володимирович</t>
  </si>
  <si>
    <t>командир відділення-командир екіпажу безпілотних літальних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</si>
  <si>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АК-74 №1681538
МП-120 №01299</t>
  </si>
  <si>
    <t>ЗАЙЧЕНКО Іван Юрійович</t>
  </si>
  <si>
    <t>ЗАЄЦЬ</t>
  </si>
  <si>
    <t>Мінометний приціл NSB-4B №2302024</t>
  </si>
  <si>
    <t>БАЮРАК Дмитро Романович</t>
  </si>
  <si>
    <t>865ЕВKH041</t>
  </si>
  <si>
    <t>Планшет SAMSUNG Galaxy Tab A8 SM-X200
s/n: R9YT910YMGB</t>
  </si>
  <si>
    <t>водій-електрик 2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</si>
  <si>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БІЛАН Олександр Сергійович</t>
  </si>
  <si>
    <t>КОТЕНКО</t>
  </si>
  <si>
    <t>Водій - електрик - моторист</t>
  </si>
  <si>
    <t>БЕЛІСОВ Дмитро Петрович</t>
  </si>
  <si>
    <t>Розвідник - санітар</t>
  </si>
  <si>
    <t>БІЛЕВИЧ Роман Володимирович</t>
  </si>
  <si>
    <t xml:space="preserve">БОРОДА
</t>
  </si>
  <si>
    <t>БІЛОУС Віктор Васильович</t>
  </si>
  <si>
    <t>ТКАЧУК</t>
  </si>
  <si>
    <t>БІЛОУСОВ Сергій Олександрович</t>
  </si>
  <si>
    <t>БЛИЗНЮК Артем Ростиславович</t>
  </si>
  <si>
    <t>Розвідник - оператор</t>
  </si>
  <si>
    <t>АГ 453758</t>
  </si>
  <si>
    <t>БРЕДУН Олексій Вікторович</t>
  </si>
  <si>
    <t>28.02.2026 на арту</t>
  </si>
  <si>
    <t>ТОРГОВИЧ Андрій Володимирович</t>
  </si>
  <si>
    <t>АКМ № 3308</t>
  </si>
  <si>
    <t>Можливо полон</t>
  </si>
  <si>
    <t>БУДАНОВ Костянтин Михайлович</t>
  </si>
  <si>
    <t>ВАСІН Ілля Ігорович</t>
  </si>
  <si>
    <t>ВЕЛЬМОЖКО Віктор Ігорович</t>
  </si>
  <si>
    <t>ППО Гамма 04.04.2026
обмен на Мирошниченко</t>
  </si>
  <si>
    <t>АКМ № 9177</t>
  </si>
  <si>
    <t>ВОДОП'ЯНОВ Андрій Петрович</t>
  </si>
  <si>
    <t>АВ 904637</t>
  </si>
  <si>
    <t>стрілець-номер обслуги 1 мотопіхотного відділення 1 мотопіхотного взводу 2 мотопіхотної роти мотопіхотного батальйону</t>
  </si>
  <si>
    <t>ГОДИНА Олександр Миколайович</t>
  </si>
  <si>
    <t>ШУБЕНКОВ Олександр Олександрович</t>
  </si>
  <si>
    <t>ОБЕРІГ</t>
  </si>
  <si>
    <t>ВИСОЦЬКИЙ Лев Олександрович</t>
  </si>
  <si>
    <t>ТОЛОЧНИЙ Ігор Валерійович</t>
  </si>
  <si>
    <t>ТАЙ</t>
  </si>
  <si>
    <t>ГОНТАР Василь Іванович</t>
  </si>
  <si>
    <t>Сапер - розвідник</t>
  </si>
  <si>
    <t>АКМ № 9304</t>
  </si>
  <si>
    <t>ВОВК</t>
  </si>
  <si>
    <t>Проблеми з сердечком</t>
  </si>
  <si>
    <t>ГОНЧАРЕНКО Роман Віталійович</t>
  </si>
  <si>
    <t>стрілець-номер обслуги 3 мотопіхотного відділення 1 мотопіхотного взводу 2 мотопіхотної роти мотопіхотного батальйону</t>
  </si>
  <si>
    <t>ГОРБАЧОВ Юрій Максимович</t>
  </si>
  <si>
    <t>ЛЕМІШКА Андрій Іванович</t>
  </si>
  <si>
    <t>ГРИБ Олександр Олександрович</t>
  </si>
  <si>
    <t>АКМ № 4197</t>
  </si>
  <si>
    <t>865EBQ6584</t>
  </si>
  <si>
    <t>ГРИЦЕНКО Василь Юрійович</t>
  </si>
  <si>
    <t>стрілець-номер обслуги 2 мотопіхотного відділення 3 мотопіхотного взводу 2 мотопіхотної роти мотопіхотного батальйону</t>
  </si>
  <si>
    <t>ГУРЖИН Андрій Васильович</t>
  </si>
  <si>
    <t>КУРІЛЬЧЕНКО Костянтин Михайлович</t>
  </si>
  <si>
    <t>ПРОДЮСЕР</t>
  </si>
  <si>
    <t>ГУСАРОВ Роман Русланович</t>
  </si>
  <si>
    <t>АКМ № 1259</t>
  </si>
  <si>
    <t>майстер 2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</si>
  <si>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ДЕСЯТЕРИК Дмитро Олександрович</t>
  </si>
  <si>
    <t>109ОБрТрО</t>
  </si>
  <si>
    <t>стрілець 3 мотопіхотного відділення 2 мотопіхотного взводу 1 мотопіхотної роти мотопіхотного батальйону;</t>
  </si>
  <si>
    <t>ДЖУГАН Станіслав Сергійович</t>
  </si>
  <si>
    <t>МІШКА</t>
  </si>
  <si>
    <t>ФЕДОРУК Сергій Віталійович</t>
  </si>
  <si>
    <t>оператор ТВО 2 протитанкового відділення протитанкового взводу роти вогневої підтримки 2 батальйону територіальної оборони військової частини А7037</t>
  </si>
  <si>
    <t>ФЕДОР</t>
  </si>
  <si>
    <t>ДОЛГОПОЛОВ Олександр Володимирович</t>
  </si>
  <si>
    <t>Кулеметник - розвідник</t>
  </si>
  <si>
    <t>АКМ № 7939</t>
  </si>
  <si>
    <t>ЄГОРОВ Данило Олегович</t>
  </si>
  <si>
    <t>Водій - електрик</t>
  </si>
  <si>
    <t>ТЕРЕНЯ Микола Станіславович</t>
  </si>
  <si>
    <t>МАТЦ</t>
  </si>
  <si>
    <t>ЄПІШИН Олександр Сергійович</t>
  </si>
  <si>
    <t>ПРИБУВ 27.07 2ШБ</t>
  </si>
  <si>
    <t>ТКАЧЕНКО Олександр Вікторович</t>
  </si>
  <si>
    <t>ЗОЛОТАРЕНКО Олександр Васильович</t>
  </si>
  <si>
    <t>АКМ № 8290</t>
  </si>
  <si>
    <t>865EBJR679</t>
  </si>
  <si>
    <t>БР 349 від 07.02.2026</t>
  </si>
  <si>
    <t>командир відділення-командир екіпажу безпілотних літальних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</si>
  <si>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ІГОШИН Дмитро Олегович</t>
  </si>
  <si>
    <t>ПАВЛЮКОВ Костянтин Костянтинович</t>
  </si>
  <si>
    <t>К-2</t>
  </si>
  <si>
    <t>КОБЕЦЬ Роман Юрійович</t>
  </si>
  <si>
    <t>стрілець - помічник гранатометника 3 стрілецького відділення 2 стрілецького взводу 6 стрілецької роти 2 батальйону територіальної оборони військової частини А7037</t>
  </si>
  <si>
    <t>КОЛОМОЄЦЬ Ігор Юрійович</t>
  </si>
  <si>
    <t>КІСЕОЛАР Павло Васильович</t>
  </si>
  <si>
    <t>ЛІБЕРО</t>
  </si>
  <si>
    <t>Водій - механік</t>
  </si>
  <si>
    <t>АКМ № 4346</t>
  </si>
  <si>
    <t>КОРНІЄНКО Андрій Васильович</t>
  </si>
  <si>
    <t>водій-електрик 3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</si>
  <si>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АГ 007640</t>
  </si>
  <si>
    <t>АКМ № 1437</t>
  </si>
  <si>
    <t>водій ТВО 3 стрілецького відділення 1 стрілецького взводу 5 стрілецької роти 2 батальйону територіальної оборони військової частини А7037</t>
  </si>
  <si>
    <t>865EAKH021</t>
  </si>
  <si>
    <t>ЧЕРТИХІН Віталій Аркадійович</t>
  </si>
  <si>
    <t>КОСЮЧЕНКО Костянтин Миколайович</t>
  </si>
  <si>
    <t>БИСТРИЙ</t>
  </si>
  <si>
    <t>ЖЕЛЕЗНЯК Валерій Леонідович</t>
  </si>
  <si>
    <t>ЖЕЛЕЗО</t>
  </si>
  <si>
    <t>КОТЕНКО Ігор Володимирович</t>
  </si>
  <si>
    <t>КУЗНЄЦОВ Денис Ігорович</t>
  </si>
  <si>
    <t>КУРАМШИН Рустам Равильович</t>
  </si>
  <si>
    <t>АКМ № 5909</t>
  </si>
  <si>
    <t>ЛЄСНІЧЕНКО Павло Ігорович</t>
  </si>
  <si>
    <t>ЛІМАНОВ Сергій Володимирович</t>
  </si>
  <si>
    <t>12.02.2026 Продовжує лікування в ОКЛ ім. Юрія Семенюка м. Рівне
до 26.09.2026</t>
  </si>
  <si>
    <t>ЛЮБАНСЬКИЙ Євгеній Васильович</t>
  </si>
  <si>
    <t>ОСКАР</t>
  </si>
  <si>
    <t>ЛІНСЬКИЙ Сергій Станіславович</t>
  </si>
  <si>
    <t>АК-74 № 1212185</t>
  </si>
  <si>
    <t>МАКУХА Микола Юрійович</t>
  </si>
  <si>
    <t>МІЛЯСЕВИЧ Оскар Максимович</t>
  </si>
  <si>
    <t>оператор безпілотних літальних апаратів 3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</si>
  <si>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АК-74 № 2511665</t>
  </si>
  <si>
    <t>СВІНТІХА Віктор Олексійович</t>
  </si>
  <si>
    <t>ПОГАСІЙ Микола Юрійович</t>
  </si>
  <si>
    <t>27й</t>
  </si>
  <si>
    <t>ПОЧЕЧУН Олександр Олександрович</t>
  </si>
  <si>
    <t>ДЕРГУНОВ Артем Андрійович</t>
  </si>
  <si>
    <t>ФЛОРІСТ</t>
  </si>
  <si>
    <t>ПРОХОРЕНКО Анатолій Петрович</t>
  </si>
  <si>
    <t>РЯБОКОНЬ Андрій Олександрович</t>
  </si>
  <si>
    <t>АК-74 № 5407245</t>
  </si>
  <si>
    <t>865EBLC171</t>
  </si>
  <si>
    <t>СІКОРСЬКИЙ Михайло Богданович</t>
  </si>
  <si>
    <t>СКОРИЙ Роман Андрійович</t>
  </si>
  <si>
    <t>НРК</t>
  </si>
  <si>
    <t>Ирпень, массажист, психосаматикой занимался, с компьютером не так, ФОП, занимался с вентиляцией</t>
  </si>
  <si>
    <t>СО 618386</t>
  </si>
  <si>
    <t>СУХЕНКО Федір Леонідович</t>
  </si>
  <si>
    <t>АК-74 № 5280718</t>
  </si>
  <si>
    <t>865EBLC495</t>
  </si>
  <si>
    <t>БОНДАРЕНКО Сергій Васильович</t>
  </si>
  <si>
    <t>ТАРАН Володимир Сергійович</t>
  </si>
  <si>
    <t>ТАРАСЕНКО Дмитро Сергійович</t>
  </si>
  <si>
    <t>ТПВ № 4197</t>
  </si>
  <si>
    <t>ТЕРЕХОВ Леонід Олександрович</t>
  </si>
  <si>
    <t>СУХАРЄВ Іван Сергійович</t>
  </si>
  <si>
    <t>КИТАЙ</t>
  </si>
  <si>
    <t>АК-74 № 6285741</t>
  </si>
  <si>
    <t>ТОКАР Дмитро Андрійович</t>
  </si>
  <si>
    <t>ТРОЦЕНКО Артем Олегович</t>
  </si>
  <si>
    <t>3ПР/БРЕЗ</t>
  </si>
  <si>
    <t>ФЕДИНЯК Олег Михайлович</t>
  </si>
  <si>
    <t>ПРОТОКОЛ в полыции пьяная езда</t>
  </si>
  <si>
    <t>ФІТФУЛОВ Сергій Олегович</t>
  </si>
  <si>
    <t>АК-74 № 6172828</t>
  </si>
  <si>
    <t>ЧЕПІГА Костянтин Андрійович</t>
  </si>
  <si>
    <t>майстер 3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</si>
  <si>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ЧЕРНЯК Сергій Олександрович</t>
  </si>
  <si>
    <t>ШИЛОВ Владислав Андрійович</t>
  </si>
  <si>
    <t>АК-74 № 2015634</t>
  </si>
  <si>
    <t>ШКУРІН Дмитро Валентинович</t>
  </si>
  <si>
    <t>4 відділення ударних безпілотних авіаційних комплексів</t>
  </si>
  <si>
    <t>ШУБА Віталій Сергійович</t>
  </si>
  <si>
    <t>з 17.01.2026 в БМЛ м.БІЛА Церков</t>
  </si>
  <si>
    <t>командир відділення-командир екіпажу безпілотних літальних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</si>
  <si>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віддали у 155, 12.03.2026</t>
  </si>
  <si>
    <t>ЮДІН Віталій Валентинович</t>
  </si>
  <si>
    <t>ЦІМЕРМАН Іван Васильович</t>
  </si>
  <si>
    <t>ЮРЧЕНКО Василь Олексійович</t>
  </si>
  <si>
    <t>АДАМ Владіслав Васильович</t>
  </si>
  <si>
    <t>№122 від 24.04.2026</t>
  </si>
  <si>
    <t>АЛЕКСЄЄНКО В'ячеслав Олександрович</t>
  </si>
  <si>
    <t>БАЛАКА Андрій Вікторович</t>
  </si>
  <si>
    <t>БАРДАКОВ Віталій Сергійович</t>
  </si>
  <si>
    <t>БАРСУК Дмитро Олегович</t>
  </si>
  <si>
    <t>БЕЖЕНАР Андрій Петрович</t>
  </si>
  <si>
    <t>водій-електрик 4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</si>
  <si>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Командир екіпажу безпілотних авіаційних комплексів- командир відділення</t>
  </si>
  <si>
    <t>БІЛАЙ Євген Олександрович</t>
  </si>
  <si>
    <t>БЛІНКОВ Максим Сергійович</t>
  </si>
  <si>
    <t>БОНДАРЕНКО Богдан Сергійович</t>
  </si>
  <si>
    <t>БОРІСЕНКО Олександр Ігорович</t>
  </si>
  <si>
    <t>БОЧАРОВ Георгій Петрович</t>
  </si>
  <si>
    <t>БУРЦОВ Ігор Олександрович</t>
  </si>
  <si>
    <t>ВАРЧЕНКО Костянтин Миколайович</t>
  </si>
  <si>
    <t>ХРАБАТИН Іван Васильович</t>
  </si>
  <si>
    <t>ШАЙБА</t>
  </si>
  <si>
    <t>ВЕРЕТЕЛЬНИК Євген Володимирович</t>
  </si>
  <si>
    <t>ВЕСНІН Олександр Сергійович</t>
  </si>
  <si>
    <t>ВОЛЬСЬКИЙ Віталій Вікторович</t>
  </si>
  <si>
    <t>позиция РИБАК</t>
  </si>
  <si>
    <t>ВОРОНА Вячеслав Станіславович</t>
  </si>
  <si>
    <t>АК-74 № 4657726</t>
  </si>
  <si>
    <t>ГАВРІШ Віталій Юрійович</t>
  </si>
  <si>
    <t>Командир екіпажу безпілотних літальних комплексів- командир відділення</t>
  </si>
  <si>
    <t>ГАЛАК Олександр Сергійович</t>
  </si>
  <si>
    <t>АВ 951365</t>
  </si>
  <si>
    <t>ГАЛАШЕВ Андрій Олександрович</t>
  </si>
  <si>
    <t>ГАНЖА Вячеслав Сергійович</t>
  </si>
  <si>
    <t>ГВАСЬКОВ Олександр Володимирович</t>
  </si>
  <si>
    <t>Закінчення курсу 27.07.25</t>
  </si>
  <si>
    <t>ГВОЗДЕЦЬКИЙ Степан Михайлович</t>
  </si>
  <si>
    <t>ГЕРАСИМЧУК Ярослав Сергійович</t>
  </si>
  <si>
    <t>ГОНЧАР Андрій Володимирович</t>
  </si>
  <si>
    <t>ГОРДІЄНКО Віталій Вадимович</t>
  </si>
  <si>
    <t>майстер 4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</si>
  <si>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ГРИЦЕНКО Михайло Олексійович</t>
  </si>
  <si>
    <t>АГ 637294</t>
  </si>
  <si>
    <t>ГРІНЧЕНКО Сергій Вікторович</t>
  </si>
  <si>
    <t>ГОРПЕНЮК Денис Валерійович</t>
  </si>
  <si>
    <t>ТАНЦОР</t>
  </si>
  <si>
    <t>ГУБКО Олег Володимирович</t>
  </si>
  <si>
    <t>ГУЛЬЧЕВСЬКИЙ Сергій Леонідович</t>
  </si>
  <si>
    <t>ГУРИН Артем Олегович</t>
  </si>
  <si>
    <t>ГУЦАЛЕНКО Віктор Геннадійович</t>
  </si>
  <si>
    <t>прибув після СЗЧ 31.05.2026</t>
  </si>
  <si>
    <t>ГУЦУК Олександр Сергійович</t>
  </si>
  <si>
    <t>ДЕЩЕНКО Олександр Леонідович</t>
  </si>
  <si>
    <t>командир взводу розвідки та корегування роти безпілотних авіаційних комплексів 1 піхотного батальйону</t>
  </si>
  <si>
    <t>ДОВІРАК Василь Ярославович</t>
  </si>
  <si>
    <t>АГ 592926</t>
  </si>
  <si>
    <t>ГОРБАЧОВ Павло Борисович</t>
  </si>
  <si>
    <t>ДУКА Вячеслав Вікторович</t>
  </si>
  <si>
    <t>ІЩЕНКО Олександр Анатолійович (10.08.1978 р.н.)</t>
  </si>
  <si>
    <t>ДУКАТ</t>
  </si>
  <si>
    <t>БАБАЙ</t>
  </si>
  <si>
    <t>ЖЕЛЄЗНЯК Сергій Леонідович</t>
  </si>
  <si>
    <t>1ПР/БРЕЗ</t>
  </si>
  <si>
    <t>ЖУКОВ Сергій Миколайович</t>
  </si>
  <si>
    <t>ТВО старший водій-радіотелефоніст 1 піхотного відділення 1 піхотного взводу 2 піхотної роти піхотного батальйону</t>
  </si>
  <si>
    <t>ЗАГУМЕННОВ Роман Дмитрович</t>
  </si>
  <si>
    <t>ЗАНЬКІВ Максим Вікторович</t>
  </si>
  <si>
    <t>ЗАРЕМБА Юрій Леонідович</t>
  </si>
  <si>
    <t>ЗВЕРЖИНСЬКИЙ Дмитро Олександрович</t>
  </si>
  <si>
    <t>ЗДОРОВЕЦЬ Дмитро Вікторович</t>
  </si>
  <si>
    <t>217975А</t>
  </si>
  <si>
    <t>ІВАНОВ Олексій Геннадійович</t>
  </si>
  <si>
    <t>КАРНАУХ Сергій Олександрович</t>
  </si>
  <si>
    <t>КАРА</t>
  </si>
  <si>
    <t>АК-74 № 6240489</t>
  </si>
  <si>
    <t>ІВАНЧЕНКО Роман Сергійович</t>
  </si>
  <si>
    <t>КАЙСТРЯ Іван Сергійович</t>
  </si>
  <si>
    <t>ТВО номер обслуги 1 кулеметного відділення кулеметного взводу піхотного батальйону</t>
  </si>
  <si>
    <t>КЕЛЬМАН Олег Олегович</t>
  </si>
  <si>
    <t>КНЯЗЄВ Олександр Олександрович</t>
  </si>
  <si>
    <t>АК-74 № 1610652</t>
  </si>
  <si>
    <t>батько інвалід потребує догляду</t>
  </si>
  <si>
    <t>865EBQ6664</t>
  </si>
  <si>
    <t>бойовий медик взводу розвідки та корегування роти безпілотних авіаційних комплексів 1 піхотного батальйону</t>
  </si>
  <si>
    <t>КОВАЛЬ Валерій Анатолійович</t>
  </si>
  <si>
    <t>ТВО оператор безпілотних літальних апаратів 3 піхотної роти піхотного батальйону</t>
  </si>
  <si>
    <t>ДІЛ</t>
  </si>
  <si>
    <t>КОВАЛЬ Сергій Володимирович (23.05.1982 р.н.)</t>
  </si>
  <si>
    <t>Майстер- електрик</t>
  </si>
  <si>
    <t>СО 708230</t>
  </si>
  <si>
    <t>КОБИЛЯНСЬКИЙ Віталій Сергійович</t>
  </si>
  <si>
    <t>ІНДЄЄЦ</t>
  </si>
  <si>
    <t>АК-74 № 3253170</t>
  </si>
  <si>
    <t>КОЗЛОВ Олександр Сергійович</t>
  </si>
  <si>
    <t>З 24.11.2025 був безвіси.</t>
  </si>
  <si>
    <t>КОПТЄВ Юрій Юрійович</t>
  </si>
  <si>
    <t>ТВО навідник 2 кулеметного відділення кулеметного взводу піхотного батальйону</t>
  </si>
  <si>
    <t>КОРОБЕНКО Олександр Володимирович</t>
  </si>
  <si>
    <t>у в/к не має БЗВП</t>
  </si>
  <si>
    <t>КОТКО Віталій Іванович</t>
  </si>
  <si>
    <t>АК-74 № 072286</t>
  </si>
  <si>
    <t>КРАСЮК Сергій Сергійович</t>
  </si>
  <si>
    <t>КУДЕНКО Станіслав Олегович</t>
  </si>
  <si>
    <t>КУЗЬМЕНКО Олександр Іванович</t>
  </si>
  <si>
    <t>АК-74 № 4498854</t>
  </si>
  <si>
    <t>ЛАДУР Володимир Володимирович</t>
  </si>
  <si>
    <t>РОМАНЮК Роман Васильович</t>
  </si>
  <si>
    <t>БУС</t>
  </si>
  <si>
    <t>ЛЕВЧЕНКО Едуард В'ячеславович</t>
  </si>
  <si>
    <t>ЛОГВИНОВ Валерій Віталійович</t>
  </si>
  <si>
    <t>ЛОШКІН</t>
  </si>
  <si>
    <t>НК 6432637</t>
  </si>
  <si>
    <t>ЛИТВИН Сергій Миколайович</t>
  </si>
  <si>
    <t>АК-74 № 1625433</t>
  </si>
  <si>
    <t>865EBQ7040</t>
  </si>
  <si>
    <t>ОНІЩЕНКО Віктор Валерійович</t>
  </si>
  <si>
    <t>ВАЛЕТ</t>
  </si>
  <si>
    <t>ЛІСУНОВ Ілля Анатолійович</t>
  </si>
  <si>
    <t>МАТЮШЕНКО Самір Русланович</t>
  </si>
  <si>
    <t>СЕМ</t>
  </si>
  <si>
    <t>МАКСИМОВ Артем Іванович</t>
  </si>
  <si>
    <t>до 14.02.2026 мають бути документи на сестру</t>
  </si>
  <si>
    <t>МЕРІНА Дмитро Максимович</t>
  </si>
  <si>
    <t>АКС-74У № 1712220</t>
  </si>
  <si>
    <t>МИКОЛЮК Тарас Миколайович</t>
  </si>
  <si>
    <t>ТВО старший стрілець - оператор безпілотних літальних апаратів 2 піхотного відділення 2 піхотного взводу 2 піхотної роти піхотного батальйону</t>
  </si>
  <si>
    <t>ГРИЩУК Андрій Віталійович</t>
  </si>
  <si>
    <t>МИХАЙЛЕЧКО Артем Вікторович</t>
  </si>
  <si>
    <t>КРУЗ</t>
  </si>
  <si>
    <t>МІТУСОВ Олексій Вікторович</t>
  </si>
  <si>
    <t>АК-74 № 1712220</t>
  </si>
  <si>
    <t>АГ 592806</t>
  </si>
  <si>
    <t>ЧМИХУН Сергій Сергійович</t>
  </si>
  <si>
    <t>МОРГУНЕНКО Іван Романович</t>
  </si>
  <si>
    <t>кулеметник 3 розвідувального відділення розвідувального взводу піхотного батальйону</t>
  </si>
  <si>
    <t>НАЗАРЕНКО Юрій Юрійович</t>
  </si>
  <si>
    <t>НЕДОРУБА Антон Олександрович</t>
  </si>
  <si>
    <t>АК-74 № 6225108</t>
  </si>
  <si>
    <t>Можливий полон</t>
  </si>
  <si>
    <t>НІКІТЕНКО Володимир Сергійович</t>
  </si>
  <si>
    <t>розвідник-оператор 1 розвідувального відділення розвідувального взводу піхотного батальйону</t>
  </si>
  <si>
    <t>ГРИБ Руслан Анатолійович</t>
  </si>
  <si>
    <t>НІКОАРИ Станіслав Олександрович</t>
  </si>
  <si>
    <t>Догляд за матірʼю, документи є</t>
  </si>
  <si>
    <t>865EBQ6436</t>
  </si>
  <si>
    <t>мішн контрол з Ржавим</t>
  </si>
  <si>
    <t>ОЛІЙНИК Анатолій Олександрович</t>
  </si>
  <si>
    <t>Командир відділення- командир екіпажу безпілотних авіаційних комплексів</t>
  </si>
  <si>
    <t>АГ 592401</t>
  </si>
  <si>
    <t>ТОДОРЕНКО Сергій Віталійович</t>
  </si>
  <si>
    <t>номер обслуги 3 кулеметного відділення кулеметного взводу піхотного батальйону</t>
  </si>
  <si>
    <t>ТОДОР</t>
  </si>
  <si>
    <t>СЕНИШИН Владислав Васильович</t>
  </si>
  <si>
    <t>ОЛІЙНИК Руслан Олександрович</t>
  </si>
  <si>
    <t>216182А/264</t>
  </si>
  <si>
    <t>АК-74 № 5550600</t>
  </si>
  <si>
    <t>ОРЄХОВ Сергій Андрійович</t>
  </si>
  <si>
    <t>865EBD9899</t>
  </si>
  <si>
    <t>командир відділення-командир екіпажу безпілотних літальних комплексів 1 відділення безпілотних авіаційних комплексів взводу розвідки та корегування роти безпілотних авіаційних комплексів 1 піхотного батальйону</t>
  </si>
  <si>
    <t>ПАНОВ Олександр Юрійович</t>
  </si>
  <si>
    <t>Старший оператор безпілотних літальних апаратів</t>
  </si>
  <si>
    <t>ЖУРАВСЬКИЙ Юрій Віталійович</t>
  </si>
  <si>
    <t>стрілець 2 кулеметного відділення кулеметного взводу піхотного батальйону</t>
  </si>
  <si>
    <t>25-Й</t>
  </si>
  <si>
    <t>ПАРШИН Антон Олександрович</t>
  </si>
  <si>
    <t>Багатодітний</t>
  </si>
  <si>
    <t>ПЕТРОВЕЦЬ Олексій Сергійович</t>
  </si>
  <si>
    <t>АК-74 № 2166011</t>
  </si>
  <si>
    <t>БЗВП від 06.01.2026</t>
  </si>
  <si>
    <t>ПІСКУН Олександр Сергійович</t>
  </si>
  <si>
    <t>АГ 112068</t>
  </si>
  <si>
    <t>ШАЛДА Дмитро Миколайович</t>
  </si>
  <si>
    <t>стрілець-зенітник 3 зентіного ракетного відділення зенітного ракетного взводу піхотного батальйону</t>
  </si>
  <si>
    <t>МІХО</t>
  </si>
  <si>
    <t>ПОЛЬОВИЙ Андрій Миколайович</t>
  </si>
  <si>
    <t>водій-електрик 1 відділення безпілотних авіаційних комплексів взводу розвідки та корегування роти безпілотних авіаційних комплексів 1 піхотного батальйону</t>
  </si>
  <si>
    <t>АК-74 № 6186352</t>
  </si>
  <si>
    <t>ПРИХОДЬКО Роман Анатолійович</t>
  </si>
  <si>
    <t>865EBWM230</t>
  </si>
  <si>
    <t>ПРОЦЮК Максим Олександрович</t>
  </si>
  <si>
    <t>старший водій 1 розвідувального відділення розвідувального взводу піхотного батальйону</t>
  </si>
  <si>
    <t>ПШЕНЕЦЬКИЙ Микола Миронович</t>
  </si>
  <si>
    <t>РЕШЕТИЛО Олександр Валерійович</t>
  </si>
  <si>
    <t>АК-74 № 4269271</t>
  </si>
  <si>
    <t>АГ 404146</t>
  </si>
  <si>
    <t>865EBPK812</t>
  </si>
  <si>
    <t>РУДЕНКО Юрій Вікторович</t>
  </si>
  <si>
    <t>ДАНИЛЬЧУК Олексій Олексійович</t>
  </si>
  <si>
    <t>РУДОЙ Олексій Валентинович</t>
  </si>
  <si>
    <t>старший стрілець - оператор безпілотних літальних апаратів 2 піхотного відділення 1 піхотного взводу 3 піхотної роти піхотного батальйону</t>
  </si>
  <si>
    <t>ГЛОБАЛ</t>
  </si>
  <si>
    <t>САГУР Віталій Миколайович</t>
  </si>
  <si>
    <t>865EBPL622</t>
  </si>
  <si>
    <t>САУЛЯК Віталій Миколайович</t>
  </si>
  <si>
    <t>САФІН Юрій Олексійович</t>
  </si>
  <si>
    <t>ІВАНЦОВ Руслан Іванович</t>
  </si>
  <si>
    <t>СЕМИЩУК Роман Миколайович</t>
  </si>
  <si>
    <t>216671А</t>
  </si>
  <si>
    <t>СКЛЯР Владислав Володимирович</t>
  </si>
  <si>
    <t>оператор безпілотних літальних апаратів 1 відділення безпілотних авіаційних комплексів взводу розвідки та корегування роти безпілотних авіаційних комплексів 1 піхотного батальйону</t>
  </si>
  <si>
    <t>АК-74 № 1703116</t>
  </si>
  <si>
    <t>865EBLU158</t>
  </si>
  <si>
    <t>(37U СР 61707 49856)</t>
  </si>
  <si>
    <t>АГ 602939</t>
  </si>
  <si>
    <t>СТЕЦЕНКО Сергій Олександрович</t>
  </si>
  <si>
    <t>СВИСТУНОВ Сергій Васильович</t>
  </si>
  <si>
    <t>СУРІН Валерій Вікторович</t>
  </si>
  <si>
    <t>ТВО номер обслуги 3 кулеметного відділення кулеметного взводу піхотного батальйону</t>
  </si>
  <si>
    <t>ЗАЄЦЬ Олександр Олександрович</t>
  </si>
  <si>
    <t>СУРІН Михайло Євгенійович</t>
  </si>
  <si>
    <t>ТАРАН Микита Олексійович</t>
  </si>
  <si>
    <t>АК -74 № 1073552</t>
  </si>
  <si>
    <t>так, 210</t>
  </si>
  <si>
    <t>ТКАЧУК Олександр Леонідович</t>
  </si>
  <si>
    <t>з МР до 2ББС 19.01.26</t>
  </si>
  <si>
    <t>ТЯГЛИЙ Олександр Анатолійович</t>
  </si>
  <si>
    <t>позиція КІЛО</t>
  </si>
  <si>
    <t>Кулеметник 1 штурмового відділення 3 штурмового взводу 3 штурмової роти 1 штурмового батальйону</t>
  </si>
  <si>
    <t>ЧЕБАНЮК Руслан Анатолійович</t>
  </si>
  <si>
    <t>ТВО старший водій кулеметного взводу 1 піхотного батальйону</t>
  </si>
  <si>
    <t>ЧЕКМАРЬОВ Святослав Олександрович</t>
  </si>
  <si>
    <t>276090А</t>
  </si>
  <si>
    <t>ЧЕРВЯКОВ Андрій Володимирович</t>
  </si>
  <si>
    <t>втрачений</t>
  </si>
  <si>
    <t>дешифрувальник розвідувальних матеріалів з безпілотних літальних апаратів 1 відділення безпілотних авіаційних комплексів взводу розвідки та корегування роти безпілотних авіаційних комплексів 1 піхотного батальйону</t>
  </si>
  <si>
    <t>ГРЕБЕНЬКОВ Андрій Володимирович</t>
  </si>
  <si>
    <t>ТВО стрілець-помічник гранатометника 3 піхотного відділення 2 піхотного взводу 1 піхотної роти піхотного батальйону</t>
  </si>
  <si>
    <t>ЧИНЕЦЬ Дмитро В'ячеславович</t>
  </si>
  <si>
    <t>АГ 057062</t>
  </si>
  <si>
    <t>ГРЕН</t>
  </si>
  <si>
    <t>ПАРАФЕНКО Сергій Сергійович</t>
  </si>
  <si>
    <t>ШАХТЬОР</t>
  </si>
  <si>
    <t>ШУМІХІН Денис Вікторович</t>
  </si>
  <si>
    <t>ШУМ</t>
  </si>
  <si>
    <t>ЧОРНОЩОКОВ Олександр Сергійович</t>
  </si>
  <si>
    <t>АК-74 №4499404</t>
  </si>
  <si>
    <t>865EBLU231</t>
  </si>
  <si>
    <t>ЧУЧУКОВ Сергій Васильович</t>
  </si>
  <si>
    <t>ШЕВЛЯКОВ Микола Сергійович</t>
  </si>
  <si>
    <t>ТВО стрілець 1 піхотного відділення 1 піхотного взводу 2 піхотної роти піхотного батальйону</t>
  </si>
  <si>
    <t>ШЕВЧЕНКО Олександр Олександрович (02.01.1984 р.н.)</t>
  </si>
  <si>
    <t>Філ к 13 МЕХАНИК</t>
  </si>
  <si>
    <t>ШЕЙЧЕНКО Олександр Миколайович</t>
  </si>
  <si>
    <t>з МР на Чорний Ліс 16.01.2026</t>
  </si>
  <si>
    <t>ШІКІТКА Валерій Миколайович</t>
  </si>
  <si>
    <t>2 відділення безпілотних авіаційних комплексів</t>
  </si>
  <si>
    <t>06.01.2026 БЗВП</t>
  </si>
  <si>
    <t>217182А/264</t>
  </si>
  <si>
    <t>командир відділення-командир екіпажу безпілотних літальних комплексів 2 відділення безпілотних авіаційних комплексів взводу розвідки та корегування роти безпілотних авіаційних комплексів 1 піхотного батальйону</t>
  </si>
  <si>
    <t>ЩУРИК Артем Олександрович</t>
  </si>
  <si>
    <t>ТВО стрілець 1 піхотного відділення 1 піхотного взводу 3 піхотної роти піхотного батальйону</t>
  </si>
  <si>
    <t>АГ 534243</t>
  </si>
  <si>
    <t>КУЗЬМОВ Іван Сергійович</t>
  </si>
  <si>
    <t>ЮРЕЧКО Олександр Васильович</t>
  </si>
  <si>
    <t>КУЗЬМА</t>
  </si>
  <si>
    <t>НОВІКОВ Іван Олександрович</t>
  </si>
  <si>
    <t>КАСІК</t>
  </si>
  <si>
    <t>ЮШКО Віктор Павлович</t>
  </si>
  <si>
    <t>АК-74 №4422502</t>
  </si>
  <si>
    <t>865EBEY506</t>
  </si>
  <si>
    <t>ЯБЛОНСЬКИЙ Іван Миколайович</t>
  </si>
  <si>
    <t>ЯРОШ Богдан Євгенійович</t>
  </si>
  <si>
    <t>ТВО кулеметник 3 піхотного відділення 3 піхотного взводу 3 піхотної роти піхотного батальйону</t>
  </si>
  <si>
    <t>ЯТОВ Микола Кіязович</t>
  </si>
  <si>
    <t>ЯЦОЛА Михайло Васильович</t>
  </si>
  <si>
    <t>з МР на роту охорони 31.01.2026</t>
  </si>
  <si>
    <t>СЕМЕНЮК Владислав Валерійович</t>
  </si>
  <si>
    <t>АК-74 №6250532</t>
  </si>
  <si>
    <t>позиція X-RAY</t>
  </si>
  <si>
    <t>БОЙКО Сергій Олександрович</t>
  </si>
  <si>
    <t>ОСАДЧИЙ Сергій Миколайович</t>
  </si>
  <si>
    <t>ШЕВЧЕНКО Олександр Володимирович (22.06.1989 р.н.)</t>
  </si>
  <si>
    <t>АК-74 №4469898</t>
  </si>
  <si>
    <t>ПЕТРЕНКО Олександр Сергійович (24.01.1986 р.н.)</t>
  </si>
  <si>
    <t>Помічник начальника відділення</t>
  </si>
  <si>
    <t>МІНДЬО ВАСИЛЬ Васильович</t>
  </si>
  <si>
    <t>ІЛЬЧАК Микола Сергійович</t>
  </si>
  <si>
    <t>04.01.2026 з МР на підрозділ</t>
  </si>
  <si>
    <t>ПРИСТАЙКО Андрій Петрович</t>
  </si>
  <si>
    <t>МАМЕДОВ Емін Анар</t>
  </si>
  <si>
    <t>КОНТРАБАС</t>
  </si>
  <si>
    <t>КРОПІВНИЙ Олександр Олександрович</t>
  </si>
  <si>
    <t>АК-74 №1693481</t>
  </si>
  <si>
    <t>АГ 014315</t>
  </si>
  <si>
    <t>ЗАЯЦЬ Артем Едуардович</t>
  </si>
  <si>
    <t>КУЗЬМЕНКО Іван Григорович</t>
  </si>
  <si>
    <t>Заєць сказав Є БЗВП</t>
  </si>
  <si>
    <t>ГАВРИШ Віталій Юрійович</t>
  </si>
  <si>
    <t>ГОНЧАРУК Владислав Петрович</t>
  </si>
  <si>
    <t>24.12.25 з МР на підрозділ?</t>
  </si>
  <si>
    <t>ЛОЖЕЧКА Дмитро Анатолійович</t>
  </si>
  <si>
    <t>БАРАН Дмитро Степанович</t>
  </si>
  <si>
    <t>3 відділення безпілотних авіаційних комплексів</t>
  </si>
  <si>
    <t>АГ 111258</t>
  </si>
  <si>
    <t>ЄРЕМЕНКО Ярослав Володимирович</t>
  </si>
  <si>
    <t>СИНЮК Юрій Васильович</t>
  </si>
  <si>
    <t xml:space="preserve">ГАУСТ
</t>
  </si>
  <si>
    <t>АК-74 №4454236</t>
  </si>
  <si>
    <t>Суміжники постаралися.</t>
  </si>
  <si>
    <t>АГ 013950</t>
  </si>
  <si>
    <t>ЛАТЮК Юрій Вячеславович</t>
  </si>
  <si>
    <t>ЧЕРКАШИН Володимир Іванович</t>
  </si>
  <si>
    <t>СТЕЦЮК Ілля Васильович</t>
  </si>
  <si>
    <t>АК-74 №264047</t>
  </si>
  <si>
    <t>06.02.2026 вибув на МР
працює психіатром на МР</t>
  </si>
  <si>
    <t>ДАНЬШИН Андрій Валерійович</t>
  </si>
  <si>
    <t>позіція Т.АРЕНА</t>
  </si>
  <si>
    <t>ТБ</t>
  </si>
  <si>
    <t>телефоніст-лінійний наглядач відділення зв'язку взводу зв'язку танкового батальйону</t>
  </si>
  <si>
    <t>УСТІМОВ Дмитро Петрович</t>
  </si>
  <si>
    <t>ШЕПЕЛІН Володимир Едуардович</t>
  </si>
  <si>
    <t>БУДІВЕЛЬНИК</t>
  </si>
  <si>
    <t>НАУМОВ Владислав Олександрович</t>
  </si>
  <si>
    <t>АББАСОВ Ельдар Аббасович</t>
  </si>
  <si>
    <t>оператор безпілотних літальних апаратів відділення безпілотних авіаційних комплексів 3 відділення безпілотних авіаційних комплексів взводу розвідки та корегування роти безпілотних авіаційних комплексів 1 піхотного батальйону</t>
  </si>
  <si>
    <t>АК-74 №1708715</t>
  </si>
  <si>
    <t>ТПВ №4166
АВ 856299</t>
  </si>
  <si>
    <t>БУРЛАКА Сергій Сергійович</t>
  </si>
  <si>
    <t>ДЕМЕНЧУК В'ячеслав Юрійович</t>
  </si>
  <si>
    <t>вийшли з позиції 10.02.2026
18.02.26 вибув з МР на підрозділ 109 ТрО</t>
  </si>
  <si>
    <t>СЯВА</t>
  </si>
  <si>
    <t>ТВО навідник кулеметного взводу 1 піхотного батальйону</t>
  </si>
  <si>
    <t>НЕРОЩИН Вячеслав Анатолійович</t>
  </si>
  <si>
    <t>СІНЬКЕВИЧ Юрій Борисович</t>
  </si>
  <si>
    <t>позиція ЖНЕЦ</t>
  </si>
  <si>
    <t>ВІТЦІВСЬКИЙ Микола Миколайович</t>
  </si>
  <si>
    <t>В, с, івеко 8Т, спринтер/ 10.05.2026</t>
  </si>
  <si>
    <t>ДЛІННИЙ</t>
  </si>
  <si>
    <t>АК-74 №6224736</t>
  </si>
  <si>
    <t>ЛУК'ЯНЧЕНКО Олександр Юрійович</t>
  </si>
  <si>
    <t>Підарський автомат, закріплений 4496499</t>
  </si>
  <si>
    <t>БІГУНОВ Валерій Євгенович</t>
  </si>
  <si>
    <t>НАСАДЮК Олександр Петрович</t>
  </si>
  <si>
    <t>АК-74 6224821</t>
  </si>
  <si>
    <t>865EBNU078</t>
  </si>
  <si>
    <t>БІЛЯЄВ Денис Станіславович</t>
  </si>
  <si>
    <t>ЯСИНЕЦЬКИЙ Максим Анатолійович</t>
  </si>
  <si>
    <t>по пораненню
позиція Х-РЕЙ</t>
  </si>
  <si>
    <t>до 07.08.26</t>
  </si>
  <si>
    <t>ГЕІЧАН Віорел Віорелович</t>
  </si>
  <si>
    <t>АК-74 3254048</t>
  </si>
  <si>
    <t>СЕНЧУКОВ Ярослав Вікторович</t>
  </si>
  <si>
    <t>ЦВЯХ Віктор Миколайович</t>
  </si>
  <si>
    <t>командир відділення-командир екіпажу безпілотних літальних комплексів 4 відділення безпілотних авіаційних комплексів взводу розвідки та корегування роти безпілотних авіаційних комплексів 1 піхотного батальйону</t>
  </si>
  <si>
    <t>ТВО водій-електрик-моторист 3 відділення середніх логістично-евакуаційних безпілотних наземних систем взводу логістично-евакуаційних безпілотних наземних систем 1 піхотного батальйону</t>
  </si>
  <si>
    <t>ЧЕРНИХ Андрій Олекандрович</t>
  </si>
  <si>
    <t>ОЗЮМА Василь Васильович</t>
  </si>
  <si>
    <t>АВ 873445</t>
  </si>
  <si>
    <t>АК-74 1684457
 Сафарі ХК37-Н25YB-003210</t>
  </si>
  <si>
    <t>МАЛЕЦЬ Едуард Германович</t>
  </si>
  <si>
    <t>865EBNT314</t>
  </si>
  <si>
    <t>ПУХАЛЬСЬКИЙ Андрій Іванович</t>
  </si>
  <si>
    <t>ШЛЕМ</t>
  </si>
  <si>
    <t>ЧЕКЕТОВ Олексій Вадимович</t>
  </si>
  <si>
    <t>АК-74 6242204</t>
  </si>
  <si>
    <t>БРАЖНІКОВ Даниіл Русланович</t>
  </si>
  <si>
    <t>подала мед.рота 29.01.2026</t>
  </si>
  <si>
    <t>ПИСТІН Андрій Костянтинович</t>
  </si>
  <si>
    <t>СОЧАН Владислав Миколайович</t>
  </si>
  <si>
    <t>ТВО оператор 3 відділення середніх логістично-евакуаційних безпілотних наземних систем взводу логістично-евакуаційних безпілотних наземних систем 1 піхотного батальйону</t>
  </si>
  <si>
    <t>АК-74 6289377
 Сафарі ХК37-Н25YB-004282</t>
  </si>
  <si>
    <t>865EBNU086</t>
  </si>
  <si>
    <t>КУЧИНСЬКИЙ Андрій Іванович</t>
  </si>
  <si>
    <t>ГЕРЦУН Руслан Петрович</t>
  </si>
  <si>
    <t>МАХОВ Станіслав Сергійович</t>
  </si>
  <si>
    <t>АК-74 1708625</t>
  </si>
  <si>
    <t>Самогубство</t>
  </si>
  <si>
    <t>ГАРМАШ Юрій Вікторович</t>
  </si>
  <si>
    <t>ПИЛИПЕНКО Сергій Анатолійович (24.01.1980 р.н.)</t>
  </si>
  <si>
    <t>КУЗЬМІН Олександр Анатолійович (16.08.1983 р.н.)</t>
  </si>
  <si>
    <t>ЦЬОМКА Микола Васильович</t>
  </si>
  <si>
    <t>ТОНЕНЧУК Микола Вячеславович</t>
  </si>
  <si>
    <t>ДАВИДЕНКО Сергій Володимирович</t>
  </si>
  <si>
    <t>CZ Bren 2 J142381</t>
  </si>
  <si>
    <t>АВ 904659</t>
  </si>
  <si>
    <t>ПАНЬКО Василь Васильович</t>
  </si>
  <si>
    <t>НІКОС</t>
  </si>
  <si>
    <t>МОХОРТ Григорій Геннадійович</t>
  </si>
  <si>
    <t>виїхав з Бухом</t>
  </si>
  <si>
    <t>БЕДНАРЧУК Ігор Петрович</t>
  </si>
  <si>
    <t>АК-74 6189757</t>
  </si>
  <si>
    <t>865EBCW880</t>
  </si>
  <si>
    <t>ШЕЛЕПКО Віктор Миколайович</t>
  </si>
  <si>
    <t>СЕМЕНЮК Максим Олегович</t>
  </si>
  <si>
    <t>ДРОГАН Станіслав Мефодійович</t>
  </si>
  <si>
    <t>ЩУПКО Леонід Вікторович</t>
  </si>
  <si>
    <t>КОЛІСНИК Сергій Миколайович (13.09.1980 р.н.)</t>
  </si>
  <si>
    <t>поїхїав стоматологом на мед.роту 28.02.26</t>
  </si>
  <si>
    <t>5 відділення безпілотних авіаційних комплексів</t>
  </si>
  <si>
    <t>АК-74 1999934</t>
  </si>
  <si>
    <t>командир відділення-командир екіпажу безпілотних літальних комплексів 5відділення безпілотних авіаційних комплексів взводу розвідки та корегування роти безпілотних авіаційних комплексів 1 піхотного батальйону</t>
  </si>
  <si>
    <t>РУСТАМОВ Ельшад Ельшанович</t>
  </si>
  <si>
    <t>ПАУЧКОВ Олексій Миколайович</t>
  </si>
  <si>
    <t>ПАУЧКОВ</t>
  </si>
  <si>
    <t>ГРОШИЛЬОВ Андрій Валерійович</t>
  </si>
  <si>
    <t>АГ 113152</t>
  </si>
  <si>
    <t>контракт на 3 роки</t>
  </si>
  <si>
    <t>БОБРИК Валерій Олегович</t>
  </si>
  <si>
    <t>ПОТОРЯНСЬКИЙ Микита Максимович</t>
  </si>
  <si>
    <t>CZ Bren 2 J140177</t>
  </si>
  <si>
    <t>ЗАІКІН Владислав Вікторович</t>
  </si>
  <si>
    <t>ПОТЕР</t>
  </si>
  <si>
    <t>ВНУКОВ Антон Вікторович</t>
  </si>
  <si>
    <t>МАРКОВСЬКИЙ Дмитро Васильович</t>
  </si>
  <si>
    <t>КОТОЛЕВСЬКИЙ Дмитро Вікторович</t>
  </si>
  <si>
    <t>ВОРОНЦОВ Віталій Геннадійович</t>
  </si>
  <si>
    <t>МІТЬ</t>
  </si>
  <si>
    <t>СЛУЖЕНКО Віталій Олександрович</t>
  </si>
  <si>
    <t>АК-74 №3318249</t>
  </si>
  <si>
    <t>865EBK3249</t>
  </si>
  <si>
    <t>АГ 580978</t>
  </si>
  <si>
    <t>розвід бат</t>
  </si>
  <si>
    <t>СИНЯВСЬКИЙ Олександр Дмитрович</t>
  </si>
  <si>
    <t>ДАНИЛЕНКО Максим Сергійович</t>
  </si>
  <si>
    <t>НОЗДРАЧОВ Ігор Олегович</t>
  </si>
  <si>
    <t>АГ 458148</t>
  </si>
  <si>
    <t>ГУЛА Олександр Васильович</t>
  </si>
  <si>
    <t>АК-74 №4430053</t>
  </si>
  <si>
    <t>ЦЮРКО Василь Дмитрович</t>
  </si>
  <si>
    <t>КАРПЛЮК Сергій Валентинович</t>
  </si>
  <si>
    <t>НЕТРЕБКО Володимир Олександрович</t>
  </si>
  <si>
    <t>ТКАЧ Олексій Михайлович</t>
  </si>
  <si>
    <t>ПАНАСЮК Олександр Ігорович</t>
  </si>
  <si>
    <t>ПАНАС</t>
  </si>
  <si>
    <t>ГОНЧАРОВ Денис Анатолійович</t>
  </si>
  <si>
    <t>АГ 028745</t>
  </si>
  <si>
    <t>АК-74 №1703036</t>
  </si>
  <si>
    <t>865EBEY624</t>
  </si>
  <si>
    <t>ФИСУН Геннадій Геннадійович</t>
  </si>
  <si>
    <t>НІКОНОВ Роман Андрійович</t>
  </si>
  <si>
    <t>КУДРЯВЦЕВ Владислав Дмитрович</t>
  </si>
  <si>
    <t>НІКОН</t>
  </si>
  <si>
    <t>БОДНАРЧУК Михайло Миколайович</t>
  </si>
  <si>
    <t>МАЛОМОНЕНКО Віталій Віталійович</t>
  </si>
  <si>
    <t>АК-74 №2018317</t>
  </si>
  <si>
    <t>я своя голова стена шатал</t>
  </si>
  <si>
    <t>МАНДРИЧ Ярослав Володимирович</t>
  </si>
  <si>
    <t xml:space="preserve">позиція ВІДКАТ
</t>
  </si>
  <si>
    <t>РУБЕЙКІН Руслан Сергійович</t>
  </si>
  <si>
    <t>МАМЕДОВ Іса Аліага Огли</t>
  </si>
  <si>
    <t>6 відділення безпілотних авіаційних комплексів</t>
  </si>
  <si>
    <t>ДОЛИНЯК Сергій Вікторович</t>
  </si>
  <si>
    <t>СТРІЛЕЦЬ</t>
  </si>
  <si>
    <t>КАПАЦИНА Ярослав Романович</t>
  </si>
  <si>
    <t>командир відділення-командир екіпажу безпілотних літальних комплексів 6 відділення безпілотних авіаційних комплексів взводу розвідки та корегування роти безпілотних авіаційних комплексів 1 піхотного батальйону</t>
  </si>
  <si>
    <t>АК-74 4533780
Помпа - XK37-H25YB-002556</t>
  </si>
  <si>
    <t>АГ 540686</t>
  </si>
  <si>
    <t>ЛАВРУСЕНКО Олександр Валерійович</t>
  </si>
  <si>
    <t xml:space="preserve">Підарський автомат, закріплений 6264671	</t>
  </si>
  <si>
    <t>МАЙДАНИК Дмитро Андрійович</t>
  </si>
  <si>
    <t>ВОЙТАНІК Олександр Олександрович</t>
  </si>
  <si>
    <t>КОРСУН Даниил Іванович</t>
  </si>
  <si>
    <t>КОМІСАРУК Андрій Васильович</t>
  </si>
  <si>
    <t>АК-74 6251169</t>
  </si>
  <si>
    <t>КОЗІКОВ Вадим Леонідович</t>
  </si>
  <si>
    <t>865EBNU122</t>
  </si>
  <si>
    <t>ПОДОЛКІН Сергій Анатолійович</t>
  </si>
  <si>
    <t>ЦУКУР Костянтин Костянтинович</t>
  </si>
  <si>
    <t>Офіцер - оператор</t>
  </si>
  <si>
    <t>АВ 546668</t>
  </si>
  <si>
    <t>ТРИГУБ Сергій Олександрович</t>
  </si>
  <si>
    <t>АВГАН</t>
  </si>
  <si>
    <t>ЗІНЧЕНКО Євген Олександрович</t>
  </si>
  <si>
    <t>АК-74 2020530
Помпа - XK37-H25YB-003648</t>
  </si>
  <si>
    <t>865EBNU092</t>
  </si>
  <si>
    <t>ІММЕЛЬ Євгеній Геннадійович</t>
  </si>
  <si>
    <t>ПАНІН Сергій Олександрович</t>
  </si>
  <si>
    <t>Водій- лінійний наглядач</t>
  </si>
  <si>
    <t>АК-74 1683511</t>
  </si>
  <si>
    <t>ХОМЕНКО Павло Юрійович</t>
  </si>
  <si>
    <t>ПРИБУВ ТЦК Одеса 15.05.26
позіція Т.АРЕНА</t>
  </si>
  <si>
    <t>була ПРИЗУПИНКА СЛУЖБИ</t>
  </si>
  <si>
    <t>865ECA5728</t>
  </si>
  <si>
    <t>БІЛОЗЕРСЬКИХ Сергій Іванович</t>
  </si>
  <si>
    <t>НИЖНИЙ Сергій Анатолійович</t>
  </si>
  <si>
    <t>АВ 881747</t>
  </si>
  <si>
    <t>АК-74 1995825</t>
  </si>
  <si>
    <t>865EBNU188</t>
  </si>
  <si>
    <t>ТАРАСОВ Дмитро Олександрович</t>
  </si>
  <si>
    <t xml:space="preserve">КАСПІЄЦЬ
</t>
  </si>
  <si>
    <t>САВА Богдан Григорович</t>
  </si>
  <si>
    <t>ТПВ №4162</t>
  </si>
  <si>
    <t>СЛОБОДЯНЮК Сергій Олександрович</t>
  </si>
  <si>
    <t>КОРОП</t>
  </si>
  <si>
    <t>МИРОНЮК Павло Володимирович</t>
  </si>
  <si>
    <t>є БЗВП</t>
  </si>
  <si>
    <t>Водій квадроциклу</t>
  </si>
  <si>
    <t>ВІННІК Едгар Миколайович</t>
  </si>
  <si>
    <t>позиція ДАЛІЯ
позіція Т.АРЕНА</t>
  </si>
  <si>
    <t>АГ 640359</t>
  </si>
  <si>
    <t>КОЛЄСНІК Ігор Олександрович</t>
  </si>
  <si>
    <t>ВЕСЬОЛКІН Владислав Олексійович</t>
  </si>
  <si>
    <t>МЯСНІКОВ Станіслав Євгенович</t>
  </si>
  <si>
    <t>МАНЬЯК</t>
  </si>
  <si>
    <t>ГВРІТІШВІЛІ Вячеслав Юрійович</t>
  </si>
  <si>
    <t>командир відділення-командир екіпажу безпілотних літальних комплексів 7 відділення безпілотних авіаційних комплексів взводу розвідки та корегування роти безпілотних авіаційних комплексів 1 піхотного батальйону</t>
  </si>
  <si>
    <t>ЛЮБЧИК Михайло Андрійович</t>
  </si>
  <si>
    <t>АГ 569690</t>
  </si>
  <si>
    <t>Ферма 3</t>
  </si>
  <si>
    <t>у Тетяни кухар</t>
  </si>
  <si>
    <t>ВАЛЯС Віталій Анатолійович</t>
  </si>
  <si>
    <t>РЕМЕЗОВ Євген Вадимович</t>
  </si>
  <si>
    <t>БРАТ</t>
  </si>
  <si>
    <t>ІЛЬЇН Олег Ігорович</t>
  </si>
  <si>
    <t>АК-74 1688460</t>
  </si>
  <si>
    <t>БЕРЕЗОВСЬКИЙ Євгеній Анатолійович</t>
  </si>
  <si>
    <t>ХРИСТЕНКО Владислав Анатолійович</t>
  </si>
  <si>
    <t>АК-74 6285032</t>
  </si>
  <si>
    <t>ХАРЧЕНКО Ярослав Олександрович</t>
  </si>
  <si>
    <t>ВАЛЬКО Дмитро Сергійович</t>
  </si>
  <si>
    <t>ВОЛОШИН Андрій Анатолійович (25.05.1976 р.н.)</t>
  </si>
  <si>
    <t>АКМ ХР 6025</t>
  </si>
  <si>
    <t>Офіцер резерву</t>
  </si>
  <si>
    <t>865EBNG944</t>
  </si>
  <si>
    <t>БЕНЧАК Марина Іванівна</t>
  </si>
  <si>
    <t>ВІЛЬХОВЕЦЬКИЙ Дмитро Валерійович</t>
  </si>
  <si>
    <t>взводнік Мавікістів</t>
  </si>
  <si>
    <t>МАЖАЄВ Микита Ігорович</t>
  </si>
  <si>
    <t>АКМ ЛА 7630</t>
  </si>
  <si>
    <t>ЧЕРНЕНКО Володимир Юрійович</t>
  </si>
  <si>
    <t>ГРОМ Володимир Миколайович</t>
  </si>
  <si>
    <t>СОЛОМОНЕНКО Едуард Валерійович</t>
  </si>
  <si>
    <t>КЕПА</t>
  </si>
  <si>
    <t>КУЗНЕЦОВ Григорій Євгенович</t>
  </si>
  <si>
    <t>АК-74 4280502</t>
  </si>
  <si>
    <t>ТОКАР Юрій Андрійович</t>
  </si>
  <si>
    <t>БІЛОУСОВ Денис Володимирович</t>
  </si>
  <si>
    <t>ВАНКЕЛЬ</t>
  </si>
  <si>
    <t>Медичний пункт</t>
  </si>
  <si>
    <t>КАБАНОВ Сергій Сергійович</t>
  </si>
  <si>
    <t>879962А</t>
  </si>
  <si>
    <t>АК-74 4625389</t>
  </si>
  <si>
    <t>865EBNH263</t>
  </si>
  <si>
    <t>CZ Bren 2 J143921</t>
  </si>
  <si>
    <t>865EBNH254</t>
  </si>
  <si>
    <t>АВ 908960</t>
  </si>
  <si>
    <t>CZ Bren 2 J142408</t>
  </si>
  <si>
    <t>сержант резерву 121 запасної роти</t>
  </si>
  <si>
    <t>стрілець 2 штурмового відділення 3 штурмового взводу 1 штурмової роти 3 штурмового батальйону</t>
  </si>
  <si>
    <t>розвідник - оператор 1 розвідувального відділення 2 розвідувального взводу 2 розвідувальної роти розвідувального батальйону</t>
  </si>
  <si>
    <t>CZ Bren 2 J143959</t>
  </si>
  <si>
    <t>865EBNH343</t>
  </si>
  <si>
    <t>механік-водій взводу засобів виводу та евакуації 2 розвідувальної роти розвідувального батальйону</t>
  </si>
  <si>
    <t xml:space="preserve">по пораненню
Троє неповнолітніх дітей, потребує уточнення. </t>
  </si>
  <si>
    <t>до 24.07.26</t>
  </si>
  <si>
    <t>стрілець-номер обслуги 2 штурмового відділення 3 штурмового взводу 2 штурмової роти 2 штурмового батальйону</t>
  </si>
  <si>
    <t>стрілець 3 штурмового відділення 1 штурмового взводу 2 штурмової роти 3 штурмового батальйону</t>
  </si>
  <si>
    <t>CZ Bren 2 J140164</t>
  </si>
  <si>
    <t>колишнього курсанта навчального взводу навчальної роти 1 навчального батальйону школи індивідуальної підготовки,який знаходиться у розпорядженні командира військової частини А1363</t>
  </si>
  <si>
    <t>такелажник евакуаційного відділення взводу технічного забезпечення 2 штурмового батальйону</t>
  </si>
  <si>
    <t>8 відділення безпілотних авіаційних комплексів</t>
  </si>
  <si>
    <t>водій 2 відділення протитанкових ракетних комплексів взводу протитанкових ракетних комплексів 2 піхотного батальйону</t>
  </si>
  <si>
    <t>командир відділення-командир екіпажу безпілотних літальних комплексів 8 відділення безпілотних авіаційних комплексів взводу розвідки та корегування роти безпілотних авіаційних комплексів 1 піхотного батальйону</t>
  </si>
  <si>
    <t xml:space="preserve">АГ 533722
</t>
  </si>
  <si>
    <t>водій кулеметного взводу 3 піхотного батальйону</t>
  </si>
  <si>
    <t>CZ Bren 2 J140178</t>
  </si>
  <si>
    <t>865EBNH348</t>
  </si>
  <si>
    <t>відком</t>
  </si>
  <si>
    <t>водій 1 відділення протитанкових ракетних комплексів взводу протитанкових ракетних комплексів 1 піхотного батальйону</t>
  </si>
  <si>
    <t>водій автомобільного взводу роти вогневої підтримки 4 штурмового батальйону</t>
  </si>
  <si>
    <t>водій-санітар медичного пункту 2 піхотного батальйону</t>
  </si>
  <si>
    <t>провірка 13.03</t>
  </si>
  <si>
    <t>розвідник - санітар 2 розвідувального відділення 2 розвідувального взводу 1 розвідувальної роти розвідувального батальйону</t>
  </si>
  <si>
    <t>ПОГРІБНИЙ Олександр Олександрович</t>
  </si>
  <si>
    <t>механік 3 відділення безпілотних авіаційних комплексів 3 взводу безпілотних авіаційних комплексів роти безпілотних авіаційних комплексів розвідувального батальйону</t>
  </si>
  <si>
    <t>‭29800205566</t>
  </si>
  <si>
    <t>ТВО ком.роти</t>
  </si>
  <si>
    <t>водій 4 зенітного кулеметного відділення зенітного ракетно-артилерійського взводу зенітної батареї</t>
  </si>
  <si>
    <t>АК-74 6224386</t>
  </si>
  <si>
    <t>розвідник 5 розвідувального відділення розвідувального взводу 3 штурмового батальйону</t>
  </si>
  <si>
    <t>865EBNG365</t>
  </si>
  <si>
    <t>виїхали до 155, 28.02.2026</t>
  </si>
  <si>
    <t>кухар господарчого відділення взводу матеріального забезпечення розвідувального батальйону</t>
  </si>
  <si>
    <t>АГ 592941</t>
  </si>
  <si>
    <t>АК-74 6219335</t>
  </si>
  <si>
    <t>ЧЕРКАСОВ Євген Васильович</t>
  </si>
  <si>
    <t>оператор 2 відділення радіорозвідки 1 взводу радіорозвідки роти радіо- та радіотехнічної розвідки розвідувального батальйону</t>
  </si>
  <si>
    <t>ЧЕРКАС</t>
  </si>
  <si>
    <t>ТВО стрілець-помічник гранатометника 2 піхотного відділення 3 піхотного взводу 1 піхотної роти 1 піхотного батальйону військової частини А4862;</t>
  </si>
  <si>
    <t>ДОВБИШ Володимир Михайлович</t>
  </si>
  <si>
    <t>БЕХА</t>
  </si>
  <si>
    <t>ПОТЯКО Дмитро Володимирович</t>
  </si>
  <si>
    <t>АГ 601859</t>
  </si>
  <si>
    <t>АК-74 5403517</t>
  </si>
  <si>
    <t>виїхали до 155, 06.03.2026</t>
  </si>
  <si>
    <t>ГАВРИЛЕВИЧ Володимир Миколайович</t>
  </si>
  <si>
    <t>ГАВРИК</t>
  </si>
  <si>
    <t>АК-74 1750328</t>
  </si>
  <si>
    <t>865EBNH326</t>
  </si>
  <si>
    <t>по хворобі
позиція ТОПАЗ</t>
  </si>
  <si>
    <t>навчання пілотів до 15.08</t>
  </si>
  <si>
    <t>водій - електрик 2 відділення ударних безпілотних авіаційних комплексів 2 взводу ударних безпілотних авіаційних комплексів роти безпілотних авіаційних комплексів розвідувального батальйону</t>
  </si>
  <si>
    <t>9 відділення безпілотних авіаційних комплексів</t>
  </si>
  <si>
    <t>не бг до 16.02, потребує повторної консультації травматолога</t>
  </si>
  <si>
    <t>старший водій кулеметного взводу 1 піхотного батальйону</t>
  </si>
  <si>
    <t>командир відділення-командир екіпажу безпілотних літальних комплексів 9 відділення безпілотних авіаційних комплексів взводу розвідки та корегування роти безпілотних авіаційних комплексів 1 піхотного батальйону</t>
  </si>
  <si>
    <t>оператор безпілотних літальних апаратів 3 відділення безпілотних авіаційних комплексів 1 взводу безпілотних авіаційних комплексів роти безпілотних авіаційних комплексів розвідувального батальйону</t>
  </si>
  <si>
    <t>АВ 159776</t>
  </si>
  <si>
    <t>водій взводу бойових машин 1 штурмової роти 2 штурмового батальйону</t>
  </si>
  <si>
    <t>навідник кулеметного взводу 3 піхотного батальйону</t>
  </si>
  <si>
    <t>кулеметник-сапер 2 інженерно-саперного відділення інженерно-саперного взводу 1 штурмового батальйону</t>
  </si>
  <si>
    <t>АК-74 264895</t>
  </si>
  <si>
    <t>865EBNH341</t>
  </si>
  <si>
    <t>кулеметник 3 штурмового відділення 1 штурмового взводу 2 штурмової роти 3 штурмового батальйону</t>
  </si>
  <si>
    <t>оператор 1 відділення середніх логістично-евакуаційних безпілотних наземних систем взводу логістично-евакуаційних безпілотних наземних систем 2 піхотного батальйону</t>
  </si>
  <si>
    <t>такелажник евакуаційної групи взводу матеріально-технічного забезпечення 1 піхотного батальйону</t>
  </si>
  <si>
    <t>CZ Bren 2 J142382</t>
  </si>
  <si>
    <t>оператор безпілотних літальних апаратів 9 відділення безпілотних авіаційних комплексів взводу розвідки та корегування роти безпілотних авіаційних комплексів 2 піхотного батальйону</t>
  </si>
  <si>
    <t>с Балу в 155, 24.02.2026</t>
  </si>
  <si>
    <t>водій-електрик 1 відділення ударних безпілотних авіаційних комплексів 1 взводу ударних безпілотних авіаційних комплексів роти безпілотних авіаційних комплексів 3 штурмового батальйону</t>
  </si>
  <si>
    <t>КОВАЛЬ Ігор Олексійович</t>
  </si>
  <si>
    <t>ДЮЙМ</t>
  </si>
  <si>
    <t>CZ Bren 2 J144670</t>
  </si>
  <si>
    <t>оператор безпілотних літальних апаратів відділення безпілотних авіаційних комплексів 9 відділення безпілотних авіаційних комплексів взводу розвідки та корегування роти безпілотних авіаційних комплексів 1 піхотного батальйону</t>
  </si>
  <si>
    <t>командир машини взводу засобів виводу та евакуації 2 розвідувальної роти розвідувального батальйону</t>
  </si>
  <si>
    <t>КІРІС Дмитро Анатолійович</t>
  </si>
  <si>
    <t>СУДАК</t>
  </si>
  <si>
    <t>оператор відділення зберігання та обслуговування взводу обслуговування та застосування засобів радіоелектронної боротьби ближньої дії роти радіоелектронної боротьби</t>
  </si>
  <si>
    <t>стрілець 1 піхотного відділення 3 піхотного взводу 2 піхотної роти 3 піхотного батальйону</t>
  </si>
  <si>
    <t>механік 2 взводу ударних безпілотних авіаційних комплексів 1 роти ударних безпілотних авіаційних комплексів 2 батальйону безпілотних систем</t>
  </si>
  <si>
    <t>CZ Bren 2 J140191</t>
  </si>
  <si>
    <t>865EBB9156</t>
  </si>
  <si>
    <t>АГ 311191</t>
  </si>
  <si>
    <t>солдат резерву 121 запасної роти</t>
  </si>
  <si>
    <t>стрілець-помічник гранатометника 3 штурмового відділення 3 штурмового взводу 3 штурмової роти 4 штурмового батальйону</t>
  </si>
  <si>
    <t>CZ Bren 2 J144644</t>
  </si>
  <si>
    <t>865EBPL195</t>
  </si>
  <si>
    <t>оператор безпілотних літальних апаратів 1 відділення безпілотних авіаційних комплексів взводу розвідки та корегування роти безпілотних авіаційних комплексів 2 штурмового батальйону</t>
  </si>
  <si>
    <t>кулеметник розвідувального взводу 3 піхотного батальйону</t>
  </si>
  <si>
    <t>АГ 012608</t>
  </si>
  <si>
    <t>ТВО стрілець 2 піхотного відділення 3 піхотного взводу 1 піхотної роти 1 піхотного батальйону</t>
  </si>
  <si>
    <t>БУМБИК Юрій Леонідович</t>
  </si>
  <si>
    <t>БУБЛИК</t>
  </si>
  <si>
    <t>АК-74 3253484</t>
  </si>
  <si>
    <t>командир групи 4 штурмового відділення 1 штурмового взводу 1 штурмової роти 3 штурмового батальйону</t>
  </si>
  <si>
    <t>865EBBB720</t>
  </si>
  <si>
    <t>антена павук</t>
  </si>
  <si>
    <t>командир групи 2 штурмового відділення 2 штурмового взводу 3 штурмової роти 3 штурмового батальйону</t>
  </si>
  <si>
    <t>ТВО стрілець 1 піхотного відділення 2 піхотного взводу 1 піхотної роти 1 піхотного батальйону</t>
  </si>
  <si>
    <t>оператор безпілотних літальних апаратів 3 екіпажу перехоплювачів безпілотних літальних апаратів 1 взводу перехоплювачів безпілотних літальних апаратів зенітної батареї</t>
  </si>
  <si>
    <t>ПОПКОВ Олександр Володимирович</t>
  </si>
  <si>
    <t>МОРЯК</t>
  </si>
  <si>
    <t>АК-74 2012493</t>
  </si>
  <si>
    <t>Вийшов 25.01.2026</t>
  </si>
  <si>
    <t>10 відділення безпілотних авіаційних комплексів</t>
  </si>
  <si>
    <t>оператор відділення радіоелектронної боротьби 2 штурмового батальйону</t>
  </si>
  <si>
    <t>ТВО вогнеметник 2 піхотного відділення 1 піхотного взводу 1 піхотної роти 1 піхотного батальйону</t>
  </si>
  <si>
    <t>командир відділення-командир екіпажу безпілотних літальних комплексів 10 відділення безпілотних авіаційних комплексів взводу розвідки та корегування роти безпілотних авіаційних комплексів 1 піхотного батальйону</t>
  </si>
  <si>
    <t>старший стрілець кулеметного взводу 3 піхотного батальйону</t>
  </si>
  <si>
    <t>АГ 383455</t>
  </si>
  <si>
    <t>АК-74 5660323</t>
  </si>
  <si>
    <t>865EBPK843</t>
  </si>
  <si>
    <t>тракторист - машиніст екскаватора автомобільного відділення взводу матеріального забезпечення артилерійського дивізіону</t>
  </si>
  <si>
    <t>водій-електрик 5 відділення дистанційного мінування взводу дистанційного мінування інженерно-саперної роти батальйону підтримки</t>
  </si>
  <si>
    <t>ТВО вогнеметник 2 піхотного відділення 3 піхотного взводу 3 піхотної роти 1 піхотного батальйону</t>
  </si>
  <si>
    <t>ВЕРЕСЮК Микола Миколайович</t>
  </si>
  <si>
    <t>ВЕРЕС</t>
  </si>
  <si>
    <t>старший стрілець-оператор безпілотних літальних апаратів 3 штурмового відділення 1 штурмового взводу 1 штурмової роти 2 штурмового батальйону</t>
  </si>
  <si>
    <t>розвідник - санітар 3 розвідувального відділення 3 розвідувального взводу 2 розвідувальної роти розвідувального батальйону</t>
  </si>
  <si>
    <t>АК-74 1699988</t>
  </si>
  <si>
    <t>старший навідник 3 штурмового відділення 2 штурмового взводу 3 штурмової роти 3 штурмового батальйону</t>
  </si>
  <si>
    <t>водій-електрик рухомої ремонтної майстерні безпілотних систем взводу технічного забезпечення батальйону підтримки</t>
  </si>
  <si>
    <t>водій- слюсар відділення технічного обслуговування бронетанкової техніки взводу технічного забезпечення артилерійського дивізіону</t>
  </si>
  <si>
    <t>CZ Bren 2 №J137750
МП-120 №01299</t>
  </si>
  <si>
    <t>865ЕВB9398</t>
  </si>
  <si>
    <t>майстер 2 відділення безпілотних авіаційних комплексів 1 взводу ударних безпілотних авіаційних комплексів роти безпілотних авіаційних комплексів розвідувального батальйону</t>
  </si>
  <si>
    <t>стрілець - помічник гранатометника 2 відділення охорони 1 взводу охорони роти охорони</t>
  </si>
  <si>
    <t>АГ 613256</t>
  </si>
  <si>
    <t>CZ Bren 2 №J142952</t>
  </si>
  <si>
    <t>старший водій 2 реактивного артилерійського взводу реактивної артилерійської батареї</t>
  </si>
  <si>
    <t>CZ Bren 2 №J137698</t>
  </si>
  <si>
    <t>вогнеметник 2 штурмового відділення 3 штурмового взводу 3 штурмової роти 1 штурмового батальйону</t>
  </si>
  <si>
    <t>Colt M4 №А0913653
Safari HG-105M №XK37-H25YB-009743</t>
  </si>
  <si>
    <t>водій - електрик ремонтної майстерні озброєння роти радіо- та радіотехнічної розвідки розвідувального батальйону</t>
  </si>
  <si>
    <t>НУДЕЛЬМАН Юрій Аркадійович</t>
  </si>
  <si>
    <t>ЄВРЕЙ</t>
  </si>
  <si>
    <t>ТВО стрілець-помічник гранатометника 3 піхотного відділення 1 піхотного взводу 1 піхотної роти 1 піхотного батальйону</t>
  </si>
  <si>
    <t>водій-електрик 1 штурмового взводу 3 штурмової роти 4 штурмового батальйону</t>
  </si>
  <si>
    <t>АК-74 1703166</t>
  </si>
  <si>
    <t>старший водій 1 піхотного відділення 2 піхотного взводу 1 піхотної роти 2 піхотного батальйону</t>
  </si>
  <si>
    <t>водій-електрик відділення управління штабу батальйону взводу зв'язку 2 батальйону безпілотних систем</t>
  </si>
  <si>
    <t>командир гранатометного взводу 1 піхотного батальйону</t>
  </si>
  <si>
    <t>ТВО номер обслуги кулеметного взводу 2 піхотної роти 1 піхотного батальйону</t>
  </si>
  <si>
    <t>АК-74 1848290</t>
  </si>
  <si>
    <t>старший лінійний наглядач лінійно-кабельного відділення взводу зв'язку 2 штурмового батальйону</t>
  </si>
  <si>
    <t>Автомат уже списан. (37U СР 59451 50642)</t>
  </si>
  <si>
    <t>ГІБЧЕНКО Олексій Владиславович</t>
  </si>
  <si>
    <t>водій 2 відділення протитанкових ракетних комплексів взводу протитанкових ракетних комплексів 3 піхотного батальйону</t>
  </si>
  <si>
    <t>навідник гранатометного взводу роти вогневої підтримки 4 штурмового батальйону</t>
  </si>
  <si>
    <t>КУКАНОВ Віталій Вячеславович</t>
  </si>
  <si>
    <t>ВІТАЛІК</t>
  </si>
  <si>
    <t>Брен 2 J254730</t>
  </si>
  <si>
    <t>підарський автомат.</t>
  </si>
  <si>
    <t>розвідник відділення управління командира батареї 2 артилерійської батареї артилерійського дивізіону</t>
  </si>
  <si>
    <t>майстер - номер обслуги мінометного взводу 3 піхотного батальйону</t>
  </si>
  <si>
    <t>оператор відділення управління командира батареї 2 артилерійської батареї артилерійського дивізіону</t>
  </si>
  <si>
    <t>102975А/182</t>
  </si>
  <si>
    <t>CZ Bren 2 j142184</t>
  </si>
  <si>
    <t>СКІБЕНКО Андрій Миколайович</t>
  </si>
  <si>
    <t>оператор безпілотних літальних апаратів 4 відділення ударних безпілотних авіаційних комплексів 2 взводу ударних безпілотних авіаційних комплексів роти безпілотних авіаційних комплексів 3 піхотного батальйону</t>
  </si>
  <si>
    <t>водій-електрик 1 артилерійського взводу 1 артилерійської батареї артилерійського дивізіону</t>
  </si>
  <si>
    <t>АГ 272285</t>
  </si>
  <si>
    <t>кухар господарчого відділення взводу матеріального забезпечення 1 штурмового батальйону</t>
  </si>
  <si>
    <t>ЧЕРНЕЙ Василь Васильович</t>
  </si>
  <si>
    <t>CZ Bren 2 j137743</t>
  </si>
  <si>
    <t>водій господарчого відділення взводу матеріально-технічного забезпечення 2 піхотного батальйону</t>
  </si>
  <si>
    <t>102182А</t>
  </si>
  <si>
    <t>ЛЕОНОВ Дмитро Олександрович</t>
  </si>
  <si>
    <t>АГ 010515</t>
  </si>
  <si>
    <t>водій евакуаційного відділення взводу технічного забезпечення розвідувального батальйону</t>
  </si>
  <si>
    <t>CZ Bren 2 k049687</t>
  </si>
  <si>
    <t>865ЕАВН173</t>
  </si>
  <si>
    <t>КОЛЕСНИК Артем Олександрович</t>
  </si>
  <si>
    <t>КОЛ</t>
  </si>
  <si>
    <t>сапер 3 відділення дистанційного мінування взводу дистанційного мінування інженерно-саперної роти батальйону підтримки</t>
  </si>
  <si>
    <t>ШАПОЧКА Роман Анатолійович</t>
  </si>
  <si>
    <t>АКСу №930995</t>
  </si>
  <si>
    <t>865EZZC003</t>
  </si>
  <si>
    <t>механік відділення технічного обслуговування автомобільної техніки взводу технічного забезпечення 3 штурмового батальйону</t>
  </si>
  <si>
    <t>АВ 982868</t>
  </si>
  <si>
    <t>ЖДАНОВ Павло Леонідович</t>
  </si>
  <si>
    <t>КОСТЯ В'ячеслав Сергійович</t>
  </si>
  <si>
    <t xml:space="preserve">АКСу №931350 </t>
  </si>
  <si>
    <t>865EABK678</t>
  </si>
  <si>
    <t>водій - електрик - моторист 2 відділення роботизованих систем 3 взводу наземних роботизованих комплексів роти безпілотних наземних систем розвідувального батальйону</t>
  </si>
  <si>
    <t>СЛОБОДЯНИК Олександр Олегович</t>
  </si>
  <si>
    <t>водій-електрик 3 відділення збору та обробки інформації взводу безпілотних авіаційних комплексів батареї артилерійської розвідки</t>
  </si>
  <si>
    <t>ТВО стрілець 3 піхотного відділення 3 піхотного взводу 3 піхотної роти 1 піхотного батальйону</t>
  </si>
  <si>
    <t>КОРПАНЕЦЬ Володимир Іванович</t>
  </si>
  <si>
    <t>ВАЛЬДЕМАР</t>
  </si>
  <si>
    <t>МАЛАНЮК Роман Миколайович</t>
  </si>
  <si>
    <t>СЛОБОДА</t>
  </si>
  <si>
    <t>старший пожежний пожежного взводу</t>
  </si>
  <si>
    <t>механік-водій взводу засобів виводу та евакуації 1 розвідувальної роти розвідувального батальйону</t>
  </si>
  <si>
    <t>МИТЮК Юрій Юрійович</t>
  </si>
  <si>
    <t>АК-74 6229602</t>
  </si>
  <si>
    <t>командир відділення мінометного взводу 3 піхотного батальйону</t>
  </si>
  <si>
    <t>ГОЛОВНОГО СЕРЖАНТА МЕХАНІЗОВАНОЇ РОТИ МЕХАНІЗОВАНОГО БАТАЛЬЙОНУ</t>
  </si>
  <si>
    <t>ТВО старший навідник 3 відділення гранатометного взводу 1 піхотного батальйону</t>
  </si>
  <si>
    <t>ХАРИТОНОВ Олександр Євгенович</t>
  </si>
  <si>
    <t>командир групи 3 штурмового відділення 3 штурмового взводу 2 штурмової роти 3 штурмового батальйону</t>
  </si>
  <si>
    <t>АК-74 1967156</t>
  </si>
  <si>
    <t>807TZVG166</t>
  </si>
  <si>
    <t>4400е антена павук</t>
  </si>
  <si>
    <t>кулеметник 1 відділення охорони 2 взводу охорони роти охорони</t>
  </si>
  <si>
    <t>ГАШПАРОВИЧ Андрій Юрійович</t>
  </si>
  <si>
    <t>командир 1 відділення снайперів взводу снайперів</t>
  </si>
  <si>
    <t>АК-74 1944893</t>
  </si>
  <si>
    <t>старший сапер - оператор безпілотних літальних апаратів 5 відділення дистанційного мінування взводу дистанційного мінування інженерно-саперної роти батальйону підтримки</t>
  </si>
  <si>
    <t>ТВО стрілець 2 піхотного відділення 2 піхотного взводу 3 піхотної роти 1 піхотного батальйону військової частини А4862;</t>
  </si>
  <si>
    <t>в ЦВС ПОЛК, 20.07.26</t>
  </si>
  <si>
    <t>Буде направлення на ВЛК</t>
  </si>
  <si>
    <t>АК-74 261878</t>
  </si>
  <si>
    <t>865EBRB671</t>
  </si>
  <si>
    <t>старший кухар господарчого відділення взводу матеріального забезпечення батальйону підтримки</t>
  </si>
  <si>
    <t>102803А</t>
  </si>
  <si>
    <t>ТВО старший стрілець - оператор безпілотних літальних апаратів 1 піхотного відділення 1 піхотного взводу 3 піхотної роти 1 піхотного батальйону військової частини А4862;</t>
  </si>
  <si>
    <t>АВ904866</t>
  </si>
  <si>
    <t>ГОПКАЛО Сергій Петрович</t>
  </si>
  <si>
    <t>ЧОРНИЛО Віталій Володимирович</t>
  </si>
  <si>
    <t>БАЛАМУТ</t>
  </si>
  <si>
    <t>ОМЕЛЬНИЦЬКИЙ Василь Васильович</t>
  </si>
  <si>
    <t>ДАЛЬ</t>
  </si>
  <si>
    <t>АВ 907218</t>
  </si>
  <si>
    <t>водій групи забезпечення заходів цивільно-військового співробітництва взводу матеріально-технічного забезпечення 2 піхотного батальйону</t>
  </si>
  <si>
    <t>АК-74 2460801</t>
  </si>
  <si>
    <t>кухар господарчого відділення взводу матеріально-технічного забезпечення 2 піхотного батальйону</t>
  </si>
  <si>
    <t>водій 1 відділення протитанкових ракетних комплексів взводу протитанкових ракетних комплексів 3 піхотного батальйону</t>
  </si>
  <si>
    <t>МОРОЗОВ Вячеслав Миколайович</t>
  </si>
  <si>
    <t>ТЕСЛА</t>
  </si>
  <si>
    <t>є БЗВП, Заєць</t>
  </si>
  <si>
    <t>старший водій 4 штурмового батальйону</t>
  </si>
  <si>
    <t>АК-74 6190559</t>
  </si>
  <si>
    <t>865EBRB687</t>
  </si>
  <si>
    <t>до Зими на зв'язок 26.04.26
по пораненню</t>
  </si>
  <si>
    <t>АВ 988894</t>
  </si>
  <si>
    <t>старший навідник 2 штурмового відділення 4 штурмового взводу 3 штурмової роти 3 штурмового батальйону</t>
  </si>
  <si>
    <t>КОСТИК Юрій Валерійович</t>
  </si>
  <si>
    <t>ЛОМ</t>
  </si>
  <si>
    <t>ТВО стрілець 3 піхотного відділення 2 піхотного взводу 3 піхотної роти 1 піхотного батальйону військової частини А4862;</t>
  </si>
  <si>
    <t>майстер - номер обслуги 2 артилерійського взводу 1 артилерійської батареї артилерійського дивізіону</t>
  </si>
  <si>
    <t>5,45 мм АКС-74у №693732</t>
  </si>
  <si>
    <t>водій-сапер 2 інженерно-саперного відділення інженерно-саперного взводу 4 штурмового батальйону</t>
  </si>
  <si>
    <t>ГЕРАСИМОВ Роман Ігорович</t>
  </si>
  <si>
    <t>БОГАШ Нікіта Андрійович</t>
  </si>
  <si>
    <t>5,45 мм АК-74 №3253170</t>
  </si>
  <si>
    <t>Точно 200.</t>
  </si>
  <si>
    <t>вогнеметник 2 піхотного відділення 2 піхотного взводу 1 піхотної роти 3 піхотного батальйону</t>
  </si>
  <si>
    <t>АГ 009170</t>
  </si>
  <si>
    <t>ТИМОХОВСЬКИЙ Олександр Сергійович</t>
  </si>
  <si>
    <t>ТІМ</t>
  </si>
  <si>
    <t>ТВО старший водій 1 піхотного відділення 2 піхотного взводу 3 піхотної роти 1 піхотного батальйону військової частини А4862;</t>
  </si>
  <si>
    <t>старший навідник гранатометного взводу 2 піхотного батальйону</t>
  </si>
  <si>
    <t>5,45 мм АК-74 №1674258</t>
  </si>
  <si>
    <t>865EBQ9620</t>
  </si>
  <si>
    <t>ПЕДАЙ Сергій Петрович</t>
  </si>
  <si>
    <t>АВ 328164</t>
  </si>
  <si>
    <t>КОСОГУБОВ Віталій Анатолійович</t>
  </si>
  <si>
    <t>НЕДІЛЬСЬКИЙ Євген Олександрович</t>
  </si>
  <si>
    <t>ТВО старший стрілець - оператор безпілотних літальних апаратів 3 піхотного відділення 2 піхотного взводу 3 піхотної роти 1 піхотного батальйону військової частини А4862;</t>
  </si>
  <si>
    <t>ЯКОРЬ</t>
  </si>
  <si>
    <t>КОЛОМОЄЦЬ Олександр Іванович</t>
  </si>
  <si>
    <t>командир групи 3 штурмового відділення 1 штурмового взводу 2 штурмової роти 3 штурмового батальйону</t>
  </si>
  <si>
    <t>5,45 мм АК-74 №1961043</t>
  </si>
  <si>
    <t>АГ 621254</t>
  </si>
  <si>
    <t>МАМАЙ Артем Леонідович</t>
  </si>
  <si>
    <t>ШИХАРКО Олександр Миколайович</t>
  </si>
  <si>
    <t>РЕБРИСТИЙ Михайло Володимирович</t>
  </si>
  <si>
    <t>ЦИЦИЛІН Костянтин Сергійович</t>
  </si>
  <si>
    <t>номер обслуги 1 артилерійського взводу 1 артилерійської батареї артилерійського дивізіону</t>
  </si>
  <si>
    <t>по пораненню
30.12.2025, прибув з медроти 16.08.2026</t>
  </si>
  <si>
    <t>номер обслуги 1 самохідного артилерійського взводу самохідної артилерійської батареї артилерійського дивізіону</t>
  </si>
  <si>
    <t>до 21.07.26</t>
  </si>
  <si>
    <t>НК 6206447</t>
  </si>
  <si>
    <t>старший водій гранатометного взводу 1 піхотного батальйону</t>
  </si>
  <si>
    <t>ТПВ №4171</t>
  </si>
  <si>
    <t>ДЯТЛОВ Микола Миколайович</t>
  </si>
  <si>
    <t>КАЛЯБИЧ</t>
  </si>
  <si>
    <t>АК-74 №2046241</t>
  </si>
  <si>
    <t>оператор безпілотних літальних апаратів відділення безпілотних авіаційних комплексів розвідувального взводу 1 штурмового батальйону</t>
  </si>
  <si>
    <t>КІРИЧЕК Дмитро Олександрович</t>
  </si>
  <si>
    <t>водій 4 штурмового відділення 1 штурмового взводу 3 штурмової роти 3 штурмового батальйону</t>
  </si>
  <si>
    <t>БАЗИЛЕВСЬКИЙ Єгор Сергійович</t>
  </si>
  <si>
    <t>АК-74 №5516783</t>
  </si>
  <si>
    <t>865EBRB960</t>
  </si>
  <si>
    <t>СІРАЧ Андрій Андрійович</t>
  </si>
  <si>
    <t>ПРИБУВ 24.03.26</t>
  </si>
  <si>
    <t>КОНОВАЛЕНКО Артем Володимирович</t>
  </si>
  <si>
    <t>кухар господарчого відділення взводу матеріально-технічного забезпечення 3 піхотного батальйону</t>
  </si>
  <si>
    <t>АК-74 №6288459</t>
  </si>
  <si>
    <t>865EBRB395</t>
  </si>
  <si>
    <t>МОРОЗ Владислав Олександрович</t>
  </si>
  <si>
    <t>водій-електрик 2 штурмового взводу 3 штурмової роти 3 штурмового батальйону</t>
  </si>
  <si>
    <t>БЕРКІ Олександр Якович</t>
  </si>
  <si>
    <t>такелажник 1 евакуаційного відділення евакуаційного взводу ремонтно-відновлювального батальйону</t>
  </si>
  <si>
    <t>АГ 577979</t>
  </si>
  <si>
    <t>КАТРУША Володимир Володимирович</t>
  </si>
  <si>
    <t>ВОЛОДЬКА</t>
  </si>
  <si>
    <t>старший оператор безпілотних літальних апаратів 1 екіпажу перехоплювачів безпілотних літальних апаратів взводу перехоплювачів безпілотних літальних апаратів 1 піхотного батальйону</t>
  </si>
  <si>
    <t>Мотогрупа, водій квадроциклу.</t>
  </si>
  <si>
    <t>НОВОРОК Олександр Юрійович</t>
  </si>
  <si>
    <t>розвідник відділення збору та обробки даних розвідки взводу управління розвідувальної роти</t>
  </si>
  <si>
    <t>Не БГ до 25.02</t>
  </si>
  <si>
    <t>розвідник - оператор 1 розвідувального відділення 3 розвідувального взводу 1 розвідувальної роти розвідувального батальйону</t>
  </si>
  <si>
    <t>АК-74 № 2114948</t>
  </si>
  <si>
    <t>БАКАЛ Євген Олександрович</t>
  </si>
  <si>
    <t>АГ 343457</t>
  </si>
  <si>
    <t>старший механік відділення технічного обслуговування автомобільної техніки взводу технічного забезпечення 4 штурмового батальйону</t>
  </si>
  <si>
    <t>АГ 403853</t>
  </si>
  <si>
    <t>ЗАРОВНИЙ Юрій Ігорович</t>
  </si>
  <si>
    <t>АК-74 № 1830642</t>
  </si>
  <si>
    <t>радіотелефоніст 1 штурмового взводу 2 штурмової роти 4 штурмового батальйону</t>
  </si>
  <si>
    <t>ТВО навідник кулеметного взводу 3 піхотної роти 1 піхотного батальйону</t>
  </si>
  <si>
    <t>А4756</t>
  </si>
  <si>
    <t>АК-74 № 4419336</t>
  </si>
  <si>
    <t>865EBQ6453</t>
  </si>
  <si>
    <t>ТВО стрілець-помічник гранатометника 2 піхотного відділення 2 піхотного взводу 1 піхотної роти піхотного батальйону</t>
  </si>
  <si>
    <t>оператор безпілотних літальних апаратів 3 екіпажу перехоплювачів безпілотних літальних апаратів взводу перехоплювачів безпілотних літальних апаратів 1 піхотного батальйону</t>
  </si>
  <si>
    <t>АВ 907494</t>
  </si>
  <si>
    <t>ЛІСОВСЬКИЙ Микола Сергійович</t>
  </si>
  <si>
    <t>КОЛТОВИЧ Роман Ігорович</t>
  </si>
  <si>
    <t>КОЛИВАН</t>
  </si>
  <si>
    <t>майстер 1 екіпажу перехоплювачів безпілотних літальних апаратів взводу перехоплювачів безпілотних літальних апаратів 3 штурмового батальйону</t>
  </si>
  <si>
    <t>Водій Новатора
У Британця</t>
  </si>
  <si>
    <t>АКМ №НУ 3971</t>
  </si>
  <si>
    <t>АГ 012855</t>
  </si>
  <si>
    <t>МЕЛЕШКО Олександр Миколайович</t>
  </si>
  <si>
    <t>АКМ №АЗ 3871</t>
  </si>
  <si>
    <t>МЕЛЕХА</t>
  </si>
  <si>
    <t>МУЦЕНКО Сергій Миколайович</t>
  </si>
  <si>
    <t>МУЦА</t>
  </si>
  <si>
    <t>АКМ №ЛИ 5195</t>
  </si>
  <si>
    <t>865EBQ6267</t>
  </si>
  <si>
    <t>КЛЕШНЯ Олексій Васильович</t>
  </si>
  <si>
    <t>водій автомобільного відділення взводу забезпечення ремонтно-відновлювального батальйону</t>
  </si>
  <si>
    <t>АКМ №ФИ 5445</t>
  </si>
  <si>
    <t>АГ 428209</t>
  </si>
  <si>
    <t xml:space="preserve">СО 296402
</t>
  </si>
  <si>
    <t>CZ Bren 2 k032553</t>
  </si>
  <si>
    <t>865EBRB786</t>
  </si>
  <si>
    <t>водій 3 піхотного відділення 3 піхотного взводу 2 піхотної роти піхотного батальйону</t>
  </si>
  <si>
    <t>водій-електрик 4 відділення ударних безпілотних авіаційних комплексів 2 взводу ударних безпілотних авіаційних комплексів роти безпілотних авіаційних комплексів піхотного батальйону</t>
  </si>
  <si>
    <t>CZ Bren 2 k003733</t>
  </si>
  <si>
    <t>кулеметник 1 штурмового відділення 1 штурмового взводу 3 штурмової роти 3 штурмового батальйону</t>
  </si>
  <si>
    <t>старший оператор 1 відділення радіорозвідки 2 взводу радіорозвідки роти радіо- та радіотехнічної розвідки розвідувального батальйону</t>
  </si>
  <si>
    <t>ОНОПКО Олександр Володимирович</t>
  </si>
  <si>
    <t>CZ Bren 2 j237617</t>
  </si>
  <si>
    <t xml:space="preserve">АГ 126386
</t>
  </si>
  <si>
    <t>АГ 012222</t>
  </si>
  <si>
    <t>ДЕБЕЛЯК Роман Леонідович</t>
  </si>
  <si>
    <t>ТВО водій інженерно-саперного відділення 1 піхотного батальйону</t>
  </si>
  <si>
    <t>БАРО</t>
  </si>
  <si>
    <t>КЛЕБЛЕЄВ Сергій Валерійович</t>
  </si>
  <si>
    <t>КЛЕПА</t>
  </si>
  <si>
    <t>ІВАНОВ Микола Петрович</t>
  </si>
  <si>
    <t>CZ Bren 2 j213883</t>
  </si>
  <si>
    <t>механік 1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батальйону безпілотних систем</t>
  </si>
  <si>
    <t>КУЗНЕЦОВ Олександр Сергійович</t>
  </si>
  <si>
    <t>оператор безпілотних літальних апаратів відділення безпілотних авіаційних комплексів 5 відділення безпілотних авіаційних комплексів взводу розвідки та корегування роти безпілотних авіаційних комплексів піхотного батальйону</t>
  </si>
  <si>
    <t>стрілець-снайпер 3 штурмового відділення 2 штурмового взводу 1 штурмової роти 4 штурмового батальйону</t>
  </si>
  <si>
    <t>прибув після СЗЧ 29.06.2026</t>
  </si>
  <si>
    <t>АК-74 №205506</t>
  </si>
  <si>
    <t>10.07.2026, на переміщення
СВЯЗИСТ</t>
  </si>
  <si>
    <t>Ротація.</t>
  </si>
  <si>
    <t>оператор безпілотних літальних апаратів 7 відділення безпілотних авіаційних комплексів взводу розвідки та корегування роти безпілотних авіаційних комплексів 3 штурмового батальйон</t>
  </si>
  <si>
    <t>головний сержант взводу протитанкових ракетних комплексів 2 піхотного батальйону</t>
  </si>
  <si>
    <t>АГ 113609</t>
  </si>
  <si>
    <t>командир 1 відділення ударних безпілотних авіаційних комплексів 3 взводу ударних безпілотних авіаційних комплексів 2 роти ударних безпілотних авіаційних комплексів батальйону безпілотних систем</t>
  </si>
  <si>
    <t>командир відділення-командир екіпажу безпілотних літальних комплексів 10 відділення безпілотних авіаційних комплексів взводу розвідки та корегування роти безпілотних авіаційних комплексів піхотного батальйону</t>
  </si>
  <si>
    <t>602182А</t>
  </si>
  <si>
    <t>командир 3 піхотного відділення 3 піхотного взводу 3 піхотної роти 2 піхотного батальйону</t>
  </si>
  <si>
    <t>АК-74 №6281911</t>
  </si>
  <si>
    <t>кулеметник 1 піхотного відділення 1 піхотного взводу 3 піхотної роти 3 піхотного батальйону</t>
  </si>
  <si>
    <t>865EBRB863</t>
  </si>
  <si>
    <t xml:space="preserve">АГ 004989
</t>
  </si>
  <si>
    <t>оператор 1 взводу протитанкових ракетних комплексів роти протитанкових ракетних комплексів</t>
  </si>
  <si>
    <t>розвідник - навідник 1 розвідувального відділення 2 розвідувального взводу розвідувальної роти</t>
  </si>
  <si>
    <t>навідник взводу засобів виводу та евакуації 2 розвідувальної роти розвідувального батальйону</t>
  </si>
  <si>
    <t>до 21.07.2026</t>
  </si>
  <si>
    <t>водій-електрик 1 радіорелейної станції взводу зв'язку роти зв'язку</t>
  </si>
  <si>
    <t>КОВАЛЕНКО Олександр Сергійович</t>
  </si>
  <si>
    <t>КОЛОБОК</t>
  </si>
  <si>
    <t>ВЕРЕТІЛЬНИК Вадим Іванович</t>
  </si>
  <si>
    <t>Водій квадроциклу (травмувався)</t>
  </si>
  <si>
    <t>оператор безпілотних літальних апаратів 8 відділення безпілотних авіаційних комплексів взводу розвідки та корегування роти безпілотних авіаційних комплексів 3 штурмового батальйон</t>
  </si>
  <si>
    <t>Медик</t>
  </si>
  <si>
    <t>номер обслуги 2 реактивного артилерійського взводу реактивної артилерійської батареї</t>
  </si>
  <si>
    <t>АВ 502872</t>
  </si>
  <si>
    <t>радіотелефоніст 3 штурмового взводу 2 штурмової роти 4 штурмового батальйону</t>
  </si>
  <si>
    <t>СУВИРДА Мирослав Станіславович</t>
  </si>
  <si>
    <t>АК-74 № 312590</t>
  </si>
  <si>
    <t>Донатний автомат. Подали з АК-74 № 4496499</t>
  </si>
  <si>
    <t>СТАС</t>
  </si>
  <si>
    <t>ЧОРНОБРИВЕЦЬ Павло Володимирович</t>
  </si>
  <si>
    <t>стрілець 2 піхотного відділення 2 піхотного взводу 1 піхотної роти 3 піхотного батальйону</t>
  </si>
  <si>
    <t>ЧАРЛІ</t>
  </si>
  <si>
    <t>ЛУНГУ Андрій Васильович</t>
  </si>
  <si>
    <t>АК-74 № 4543111</t>
  </si>
  <si>
    <t>водій 3 мінометного взводу мінометної батареї 4 штурмового батальйону</t>
  </si>
  <si>
    <t>РОМАНОВИЧ Максим Олександрович</t>
  </si>
  <si>
    <t>АК-74 № 2094082</t>
  </si>
  <si>
    <t>снайпер (2 категорії) 2 відділення снайперів взводу снайперів</t>
  </si>
  <si>
    <t>АВ 379748</t>
  </si>
  <si>
    <t>АГ 592966</t>
  </si>
  <si>
    <t>БІРЮКОВ Сергій Вікторович</t>
  </si>
  <si>
    <t>КУРЬЕР</t>
  </si>
  <si>
    <t>водій - лінійний наглядач лінійно-кабельного відділення зв'язку взводу зв'язку роти зв'язку</t>
  </si>
  <si>
    <t>ОЛЬХОВАТЦЬКИЙ Євгеній Миколайович</t>
  </si>
  <si>
    <t>ОКОРОК</t>
  </si>
  <si>
    <t>CZ Bren 2 j140178</t>
  </si>
  <si>
    <t>865EBWM225</t>
  </si>
  <si>
    <t>CZ Bren 2 j142203</t>
  </si>
  <si>
    <t>командир групи 2 штурмового відділення 1 штурмового взводу 1 штурмової роти 3 штурмового батальйону</t>
  </si>
  <si>
    <t>19.04.2026
до 04.09.2026</t>
  </si>
  <si>
    <t>ТИХОНОВЕЦЬ Ігор Олександрович</t>
  </si>
  <si>
    <t>ХОМЕНКО Роман Дмитрович</t>
  </si>
  <si>
    <t>АГ 112019</t>
  </si>
  <si>
    <t>водій-електрик 4 відділення ударних безпілотних авіаційних комплексів 2 взводу ударних безпілотних авіаційних комплексів роти безпілотних авіаційних комплексів 1 штурмового батальйону</t>
  </si>
  <si>
    <t>ТУМАНОВ Денис Володимирович</t>
  </si>
  <si>
    <t>КОБА</t>
  </si>
  <si>
    <t>БЕВЗ Артем Сергійович</t>
  </si>
  <si>
    <t>CZ Bren 2 j142482</t>
  </si>
  <si>
    <t>АГ 380994</t>
  </si>
  <si>
    <t>КАЛУГІН Антон Вадимович</t>
  </si>
  <si>
    <t>ШАМОТА Віктор Сергійович</t>
  </si>
  <si>
    <t>водій-механік евакуаційного відділення взводу технічного забезпечення 3 штурмового батальйону</t>
  </si>
  <si>
    <t>CZ Bren 2 j144638</t>
  </si>
  <si>
    <t>оператор безпілотних літальних апаратів відділення управління командира батареї 1 артилерійської батареї артилерійського дивізіону</t>
  </si>
  <si>
    <t>2 відділення протитанкових ракетних комплексів</t>
  </si>
  <si>
    <t>111182А</t>
  </si>
  <si>
    <t>ГУЗІЙ Сергій Віталійович</t>
  </si>
  <si>
    <t>водій - слюсар відділення спеціальних робіт взводу спеціальних робіт 1 ремонтної роти ремонтно-відновлювального батальйону</t>
  </si>
  <si>
    <t>НАГАР Геннадій Леонідович</t>
  </si>
  <si>
    <t>ЮЩЕНКО Володимир Вікторович</t>
  </si>
  <si>
    <t>ПЧЕЛОВОД</t>
  </si>
  <si>
    <t>старший стрілець-оператор безпілотних літальних апаратів 1 штурмового відділення 1 штурмового взводу 1 штурмової роти 1 штурмового батальйону</t>
  </si>
  <si>
    <t>водій кулеметного взводу піхотного батальйону</t>
  </si>
  <si>
    <t>CZ Bren 2 j142391</t>
  </si>
  <si>
    <t>водій-електрик відділення зв'язку ремонтно-відновлювального батальйону</t>
  </si>
  <si>
    <t>ЧЕРНЕНКО Кирило Романович</t>
  </si>
  <si>
    <t>радіотелефоніст відділення управління командира батареї реактивної артилерійської батареї</t>
  </si>
  <si>
    <t>АГ 606106</t>
  </si>
  <si>
    <t>КУТОВИЙ Олександр Миколайович</t>
  </si>
  <si>
    <t>CZ Bren 2 j140164</t>
  </si>
  <si>
    <t>старший стрілець - оператор безпілотних літальних апаратів 2 піхотного відділення 2 піхотного взводу 1 піхотної роти 3 піхотного батальйону</t>
  </si>
  <si>
    <t>Старший на локації по піхоті</t>
  </si>
  <si>
    <t>865EBWM190</t>
  </si>
  <si>
    <t>гранатометник 1 мотопіхотного відділення 1 мотопіхотного взводу 3 мотопіхотної роти мотопіхотного батальйону військової частини А5006</t>
  </si>
  <si>
    <t>МЕНЗАТУЛ Роман Анатолійович</t>
  </si>
  <si>
    <t>ЯВОРІН Роман Петрович</t>
  </si>
  <si>
    <t>ЯВОР</t>
  </si>
  <si>
    <t>БАНІШАУСКАС Володимир Сергійович</t>
  </si>
  <si>
    <t>АГ 556849</t>
  </si>
  <si>
    <t>АКМ № ЛИ2962</t>
  </si>
  <si>
    <t>КОВАЛЬ Руслан Володимирович</t>
  </si>
  <si>
    <t>Група прикриття маршрутів</t>
  </si>
  <si>
    <t>ШУЛЕНКО Олександр Миколайович</t>
  </si>
  <si>
    <t>БУЛЬБА Денис Юрійович</t>
  </si>
  <si>
    <t>ЗЮЗІН Андрій Євгенович</t>
  </si>
  <si>
    <t>стрілець - санітар 1 відділення охорони 4 взводу охорони роти охорони</t>
  </si>
  <si>
    <t>АК-74 № 6305012</t>
  </si>
  <si>
    <t>АГ 561281</t>
  </si>
  <si>
    <t>водій-електрик роти безпілотних авіаційних комплексів 2 батальйону безпілотних систем</t>
  </si>
  <si>
    <t>пожежний пожежної обслуги взводу забезпечення роти забезпечення боєприпасами батальйону матеріального забезпечення</t>
  </si>
  <si>
    <t>АК-74 № 1912256</t>
  </si>
  <si>
    <t>1 відділення середніх логістично-евакуаційних безпілотних наземних систем</t>
  </si>
  <si>
    <t>АГ 464013</t>
  </si>
  <si>
    <t>КАЗАНДЖІЙ Олександр Васильович</t>
  </si>
  <si>
    <t>СТАРКОВ Олександр Павлович</t>
  </si>
  <si>
    <t>СТАР</t>
  </si>
  <si>
    <t>12 мм SAFARI HG-105M
 XK 37-H25YB-009922</t>
  </si>
  <si>
    <t>КЛІМЧУК Сергій Миколайович</t>
  </si>
  <si>
    <t>865EBPL309</t>
  </si>
  <si>
    <t>ВЕЛІЧКО Микола Олександрович</t>
  </si>
  <si>
    <t>старший розвідник - радіотелефоніст 2 розвідувального відділення 2 розвідувального взводу 2 розвідувальної роти розвідувального батальйону</t>
  </si>
  <si>
    <t>ТВО старший стрілець - оператор безпілотних літальних апаратів 1 піхотного відділення 1 піхотного взводу 3 піхотної роти 1 піхотного батальйону</t>
  </si>
  <si>
    <t>Водій баггі
У 13-го</t>
  </si>
  <si>
    <t>12 мм SAFARI HG-105M
 XK 37-H25YB-009489</t>
  </si>
  <si>
    <t>водій автомобільного відділення взводу матеріального забезпечення 3 штурмового батальйону</t>
  </si>
  <si>
    <t>номер обслуги гранатометного взводу роти вогневої підтримки 4 штурмового батальйону</t>
  </si>
  <si>
    <t>ТВО вогнеметник 1 піхотного відділення 1 піхотного взводу 1 піхотної роти 1 піхотного батальйону</t>
  </si>
  <si>
    <t>СТАДНИК Сергій Ігорович</t>
  </si>
  <si>
    <t>АВ 879650</t>
  </si>
  <si>
    <t>БЕЖЕВЕЦЬ Володимир Вікторович</t>
  </si>
  <si>
    <t>АГ 592956</t>
  </si>
  <si>
    <t>БЄЖА</t>
  </si>
  <si>
    <t>КУЗЬМІН Іван Анатолійович</t>
  </si>
  <si>
    <t>МАТВЄЄВ Станіслав Юрійович</t>
  </si>
  <si>
    <t>командир групи 1 штурмового відділення 3 штурмового взводу 3 штурмової роти 3 штурмового батальйону</t>
  </si>
  <si>
    <t>МАТВЄЙ</t>
  </si>
  <si>
    <t>ШИМА</t>
  </si>
  <si>
    <t>12 мм SAFARI HG-105M
 XK 37-H25YB-009433</t>
  </si>
  <si>
    <t>БІЛИЦЬКИЙ Сергій Володимирович</t>
  </si>
  <si>
    <t>ГУРА Андрій Юрійович</t>
  </si>
  <si>
    <t>МАНЮНЯ</t>
  </si>
  <si>
    <t>ЯКОВЧУК Віктор Леонідович</t>
  </si>
  <si>
    <t>12 мм SAFARI HG-105M
 XK 37-H25YB-025342</t>
  </si>
  <si>
    <t>865EBPL718
 865EBNU174</t>
  </si>
  <si>
    <t>2 відділення середніх логістично-евакуаційних безпілотних наземних систем</t>
  </si>
  <si>
    <t>водій-електрик відділення обслуговування взводу обслуговування та застосування засобів радіоелектронної боротьби ближньої дії роти радіоелектронної боротьби</t>
  </si>
  <si>
    <t>оператор безпілотних літальних апаратів 1 відділення середніх логістично-евакуаційних безпілотних наземних систем взводу логістично-евакуаційних безпілотних наземних систем 1 піхотного батальйону</t>
  </si>
  <si>
    <t>АГ 133894</t>
  </si>
  <si>
    <t>механік-водій - кранівник евакуаційного відділення взводу технічного забезпечення артилерійського дивізіону</t>
  </si>
  <si>
    <t>ПОЛІЩУК Василь Юрійович</t>
  </si>
  <si>
    <t>МП-120 №01299
CZ Bren 2 №J232873</t>
  </si>
  <si>
    <t>Виносна антена Павук - 1шт</t>
  </si>
  <si>
    <t>командир групи 1 штурмового відділення 2 штурмового взводу 3 штурмової роти 3 штурмового батальйону</t>
  </si>
  <si>
    <t>ПЛЮСНІН Микола Олегович</t>
  </si>
  <si>
    <t>ПЛОСКИЙ</t>
  </si>
  <si>
    <t>оператор безпілотних літальних апаратів 3 відділення ударних безпілотних авіаційних комплексів 2 взводу ударних безпілотних авіаційних комплексів роти безпілотних авіаційних комплексів 2 піхотного батальйону</t>
  </si>
  <si>
    <t>CZ Bren 2 №J315413</t>
  </si>
  <si>
    <t>КОМЛІЧЕНКО Володимир Володимирович</t>
  </si>
  <si>
    <t>БАЛАНИК Андрій Васильович</t>
  </si>
  <si>
    <t>старший сапер 2 інженерно-саперного відділення інженерно-саперного взводу 1 штурмового батальйону</t>
  </si>
  <si>
    <t>механік взводу перехоплювачів безпілотних літальних апаратів 1 піхотного батальйону</t>
  </si>
  <si>
    <t>до 29.08.2026</t>
  </si>
  <si>
    <t>УРБАН Євгеній Юрійович</t>
  </si>
  <si>
    <t>АГ 368175</t>
  </si>
  <si>
    <t>МИКУЛЕНКО Олексій Миколайович</t>
  </si>
  <si>
    <t>АРТИСТ</t>
  </si>
  <si>
    <t>CZ Bren 2 №K033667</t>
  </si>
  <si>
    <t>ДУБІНІН Ілля Іванович</t>
  </si>
  <si>
    <t>НАГОРНИЙ Руслан Олександрович</t>
  </si>
  <si>
    <t>ГРЄКОВ Олексій Олександрович</t>
  </si>
  <si>
    <t>АГ 484612</t>
  </si>
  <si>
    <t>РЕФ</t>
  </si>
  <si>
    <t>CZ Bren 2 №K002521</t>
  </si>
  <si>
    <t>БАЙДАН Ігор Ігорович</t>
  </si>
  <si>
    <t>водій-електрик 2 екіпажу перехоплювачів безпілотних літальних апаратів взводу перехоплювачів безпілотних літальних апаратів 2 штурмового батальйону</t>
  </si>
  <si>
    <t>механік 2 відділення безпілотних авіаційних комплексів 1 взводу безпілотних авіаційних комплексів роти безпілотних авіаційних комплексів розвідувального батальйону</t>
  </si>
  <si>
    <t>ОРУЖЕЙНИК
до 09.09.2026</t>
  </si>
  <si>
    <t>водій-електрик 1 мінометного взводу мінометної батареї 2 штурмового батальйону</t>
  </si>
  <si>
    <t>водій-електрик 2 відділення ударних безпілотних авіаційних комплексів 1 взводу ударних безпілотних авіаційних комплексів роти безпілотних авіаційних комплексів 1 штурмового батальйону</t>
  </si>
  <si>
    <t>командир мінометного взводу 1 піхотного батальйону</t>
  </si>
  <si>
    <t>ЧУХРАЙ Сергій Володимирович</t>
  </si>
  <si>
    <t>CZ Bren 2 j140186</t>
  </si>
  <si>
    <t>865EBWM207</t>
  </si>
  <si>
    <t>БЕРНИК Михайло Васильович</t>
  </si>
  <si>
    <t>БРАТ 2</t>
  </si>
  <si>
    <t>сапер відділення механізованих мостів взводу механізованих мостів роти розгородження батальйону підтримки</t>
  </si>
  <si>
    <t>ДИНАР</t>
  </si>
  <si>
    <t>БУХАЛЬЦЕВ Андрій Юрійович</t>
  </si>
  <si>
    <t>КУРТ</t>
  </si>
  <si>
    <t>старший стрілець - вогнеметник 4 штурмового відділення 2 штурмового взводу 1 штурмової роти 3 штурмового батальйону</t>
  </si>
  <si>
    <t>навчання мехводів</t>
  </si>
  <si>
    <t>ЮРІК Сергій Васильович</t>
  </si>
  <si>
    <t>водій-електрик 1 екіпажу перехоплювачів безпілотних літальних апаратів взводу перехоплювачів безпілотних літальних апаратів 2 піхотного батальйону</t>
  </si>
  <si>
    <t>Головний сержант-командир міномета</t>
  </si>
  <si>
    <t>143975А/178</t>
  </si>
  <si>
    <t>1 екіпаж перехоплювачів безпілотних літальних апаратів</t>
  </si>
  <si>
    <t>CZ Bren 2 j142928</t>
  </si>
  <si>
    <t>головний сержант-командир міномета мінометного взводу 1 піхотного батальйону</t>
  </si>
  <si>
    <t>водій зенітного ракетного відділення взводу перехоплювачів безпілотних літальних апаратів 1 штурмового батальйону</t>
  </si>
  <si>
    <t>АВ 907007</t>
  </si>
  <si>
    <t>РИЖКОВ Микола Вікторович</t>
  </si>
  <si>
    <t>АНДРЄЄВ Ігор Олександрович</t>
  </si>
  <si>
    <t>УКСУС</t>
  </si>
  <si>
    <t>механік-водій групи дорожньої техніки взводу забезпечення руху роти розгородження батальйону підтримки</t>
  </si>
  <si>
    <t>CZ Bren 2 j140227
 12 мм SAFARI HG-105M
  XK 37-H25YB-009433</t>
  </si>
  <si>
    <t>143178А</t>
  </si>
  <si>
    <t>старший оператор 2 взводу протитанкових ракетних комплексів роти протитанкових ракетних комплексів</t>
  </si>
  <si>
    <t>АГ 461320</t>
  </si>
  <si>
    <t>ЧЕКАМОВ Віталій Юрійович</t>
  </si>
  <si>
    <t>ЧЕК</t>
  </si>
  <si>
    <t>механік взводу безпілотних авіаційних комплексів роти розгородження батальйону підтримки</t>
  </si>
  <si>
    <t>розвідник-далекомірник відділення управління командира мінометної батареї 2 штурмового батальйону</t>
  </si>
  <si>
    <t>CZ Bren 2 j232039</t>
  </si>
  <si>
    <t>не бг до 25.02</t>
  </si>
  <si>
    <t>САЗОНОВ Дмитро Валерійович</t>
  </si>
  <si>
    <t>ГШР
27.01.2026</t>
  </si>
  <si>
    <t xml:space="preserve">
до 20.08.2026</t>
  </si>
  <si>
    <t>командир відділення зв'язку взводу зв'язку 1 піхотного батальйону</t>
  </si>
  <si>
    <t>2 екіпаж перехоплювачів безпілотних літальних апаратів</t>
  </si>
  <si>
    <t>ГАЙДУК Валерій Юрійович</t>
  </si>
  <si>
    <t>ХОЛЕРІК</t>
  </si>
  <si>
    <t>216264А</t>
  </si>
  <si>
    <t>водій-санітар медичного пункту 3 штурмового батальйону</t>
  </si>
  <si>
    <t>АК-74 5407357</t>
  </si>
  <si>
    <t>АВ 861933</t>
  </si>
  <si>
    <t>865TYD0170</t>
  </si>
  <si>
    <t>КІРЯН</t>
  </si>
  <si>
    <t>ДІО</t>
  </si>
  <si>
    <t>водій автомобільного відділення взводу забезпечення батальйону матеріального забезпечення</t>
  </si>
  <si>
    <t>ТВО номер обслуги кулеметного взводу 1 піхотного батальйону</t>
  </si>
  <si>
    <t>ДОКУНІН Юрій Рафаїлович</t>
  </si>
  <si>
    <t>ЧІЖИК</t>
  </si>
  <si>
    <t>старший кухар господарчого відділення взводу матеріально-технічного забезпечення 3 піхотного батальйону</t>
  </si>
  <si>
    <t>АК-74 4437369</t>
  </si>
  <si>
    <t>командир взводу технічного забезпечення 3 штурмового батальйону</t>
  </si>
  <si>
    <t>865EZX4515</t>
  </si>
  <si>
    <t>командир господарчого відділення взводу матеріально-технічного забезпечення 1 піхотного батальйону</t>
  </si>
  <si>
    <t>106182А</t>
  </si>
  <si>
    <t>водій-електрик 1 рухомої ремонтної майстерні безпілотних авіаційних комплексів взводу технічного забезпечення 2 батальйону безпілотних систем</t>
  </si>
  <si>
    <t>865EBWM317</t>
  </si>
  <si>
    <t>кулеметник - розвідник 2 розвідувального відділення 2 розвідувального взводу 1 розвідувальної роти розвідувального батальйону</t>
  </si>
  <si>
    <t>оператор польової лазні взводу матеріально-технічного забезпечення 3 піхотного батальйону</t>
  </si>
  <si>
    <t>CZ Bren 2 j137410</t>
  </si>
  <si>
    <t>ЯКУШЕНОК Олександр Володимирович</t>
  </si>
  <si>
    <t>старший навідник кулеметного взводу 1 піхотного батальйону</t>
  </si>
  <si>
    <t>водій-електрик медичного пункту 1 піхотного батальйону</t>
  </si>
  <si>
    <t>Пілот</t>
  </si>
  <si>
    <t>заступник командира бойової машини - навідник-оператор взводу бойових машин 3 штурмової роти 4 штурмового батальйону</t>
  </si>
  <si>
    <t>АГ 592279</t>
  </si>
  <si>
    <t>вогнеметник 1 піхотного відділення 1 піхотного взводу 3 піхотної роти піхотного батальйону</t>
  </si>
  <si>
    <t>головний сержант 1 піхотного взводу 3 піхотної роти піхотного батальйону</t>
  </si>
  <si>
    <t>стрілець-номер обслуги 3 мотопіхотного відділення 2 мотопіхотного взводу 2 мотопіхотної роти мотопіхотного батальйону військової частини А5006</t>
  </si>
  <si>
    <t>НІКОЛАЙЧУК Дмитро Олександрович</t>
  </si>
  <si>
    <t>старший водій-радіотелефоніст 1 піхотного відділення 1 піхотного взводу 2 піхотної роти піхотного батальйону</t>
  </si>
  <si>
    <t>штаб-сержант 3 категорії групи логістики штабу піхотного батальйону</t>
  </si>
  <si>
    <t>МО 267434</t>
  </si>
  <si>
    <t>командир відділення управління штабу батальйону взводу зв'язку піхотного батальйону</t>
  </si>
  <si>
    <t>ТУРЧИН Віталій Федорович</t>
  </si>
  <si>
    <t>старший технік 2 піхотної роти піхотного батальйону</t>
  </si>
  <si>
    <t>ГЕНЕРАЛ</t>
  </si>
  <si>
    <t>водій-електрик-моторист відділення важких логістично-евакуаційних безпілотних наземних систем взводу логістично-евакуаційних безпілотних наземних систем піхотного батальйону</t>
  </si>
  <si>
    <t>сержант із матеріального забезпечення 2 піхотної роти піхотного батальйону</t>
  </si>
  <si>
    <t>АКМ УИ6169</t>
  </si>
  <si>
    <t>сержант із матеріального забезпечення 3 піхотної роти піхотного батальйону</t>
  </si>
  <si>
    <t xml:space="preserve">не бг до 12.01, направлення на лікування в процесі </t>
  </si>
  <si>
    <t>санітарний інструктор медичного пункту піхотного батальйону</t>
  </si>
  <si>
    <t>фельдшер медичного пункту піхотного батальйону</t>
  </si>
  <si>
    <t>старший стрілець - оператор безпілотних літальних апаратів 2 піхотного відділення 1 піхотного взводу 2 піхотної роти піхотного батальйону</t>
  </si>
  <si>
    <t>787975А</t>
  </si>
  <si>
    <t>стрілець-санітар 3 штурмового відділення 3 штурмового взводу 3 штурмової роти 4 штурмового батальйону</t>
  </si>
  <si>
    <t>командир відділення автомобільного взводу роти вогневої підтримки 2 штурмового батальйону</t>
  </si>
  <si>
    <t>стрілець 1 піхотного відділення 3 піхотного взводу 1 піхотної роти піхотного батальйону</t>
  </si>
  <si>
    <t>АК-74 4451559</t>
  </si>
  <si>
    <t>головний сержант 1 піхотного взводу 1 піхотної роти піхотного батальйону</t>
  </si>
  <si>
    <t>старшого оператора 1 групи спеціального призначення 3 роти спеціального призначення 1 загону спеціальних операцій військової частини А5018</t>
  </si>
  <si>
    <t>командир 2 піхотного відділення 2 піхотного взводу 1 піхотної роти піхотного батальйону</t>
  </si>
  <si>
    <t>АК-74 6293748</t>
  </si>
  <si>
    <t>Виносна антена Павук - 1шт
Ротація</t>
  </si>
  <si>
    <t>майстер 3 відділення ударних безпілотних авіаційних комплексів 1 взводу ударних безпілотних авіаційних комплексів роти безпілотних авіаційних комплексів 3 штурмового батальйону</t>
  </si>
  <si>
    <t>788182А</t>
  </si>
  <si>
    <t>12 мм SAFARI HG-105M
XK 37-H25YB-009797</t>
  </si>
  <si>
    <t>командир 3 штурмового відділення 1 штурмового взводу 1 штурмової роти 2 штурмового батальйону</t>
  </si>
  <si>
    <t>Прикриття квадроциклу</t>
  </si>
  <si>
    <t>АГ 008872</t>
  </si>
  <si>
    <t>АГ 088624</t>
  </si>
  <si>
    <t>АЛЬКЕМА Євгеній Володимирович</t>
  </si>
  <si>
    <t>гранатометник 1 піхотного відділення 1 піхотного взводу 2 піхотної роти піхотного батальйону</t>
  </si>
  <si>
    <t>ЧЕХ</t>
  </si>
  <si>
    <t>ОСТАПЕНКО Дмитро Васильович</t>
  </si>
  <si>
    <t>головний сержант 2 піхотного взводу 2 піхотної роти піхотного батальйону</t>
  </si>
  <si>
    <t>ТІМОН</t>
  </si>
  <si>
    <t>ПРИТАКА Рувим Леонідович</t>
  </si>
  <si>
    <t>механік 1 взводу ударних безпілотних авіаційних комплексів роти безпілотних авіаційних комплексів розвідувального батальйону</t>
  </si>
  <si>
    <t>гранатометник 2 піхотного відділення 2 піхотного взводу 3 піхотної роти 3 піхотного батальйону</t>
  </si>
  <si>
    <t>790037А/256</t>
  </si>
  <si>
    <t>865EAB6328</t>
  </si>
  <si>
    <t>Ротація</t>
  </si>
  <si>
    <t>майстер 1 відділення ударних безпілотних авіаційних комплексів 1 взводу ударних безпілотних авіаційних комплексів роти безпілотних авіаційних комплексів 3 піхотного батальйону</t>
  </si>
  <si>
    <t>ПІДКОТА Михайло Вікторович</t>
  </si>
  <si>
    <t>ВІРУС</t>
  </si>
  <si>
    <t>оператор безпілотних літальних апаратів 5 відділення безпілотних авіаційних комплексів взводу розвідки та корегування роти безпілотних авіаційних комплексів 3 піхотного батальйону</t>
  </si>
  <si>
    <t>старший водій мінометного взводу 1 піхотного батальйону</t>
  </si>
  <si>
    <t>АК-74 4257665</t>
  </si>
  <si>
    <t>865EBWM313</t>
  </si>
  <si>
    <t>командир 1 піхотного відділення 1 піхотного взводу 3 піхотної роти піхотного батальйону</t>
  </si>
  <si>
    <t>АК-74 6233164</t>
  </si>
  <si>
    <t>АГ 059533</t>
  </si>
  <si>
    <t>СОБОЛЕНКО Сергій Анатолійович</t>
  </si>
  <si>
    <t>ГОРЕЦЬКИЙ Юрій Олександрович</t>
  </si>
  <si>
    <t>СТРОІТЕЛЬ</t>
  </si>
  <si>
    <t>вогнеметник 2 піхотного відділення 2 піхотного взводу 1 піхотної роти піхотного батальйону</t>
  </si>
  <si>
    <t>АК-74 6334215</t>
  </si>
  <si>
    <t>водій-електрик мінометного взводу 1 піхотного батальйону</t>
  </si>
  <si>
    <t>радіотелефоніст роти безпілотних авіаційних комплексів піхотного батальйону</t>
  </si>
  <si>
    <t>старший дешифрувальник розвідувальних матеріалів з 23_БПЛА відділення збору та обробки інформації взводу розвідки та корегування 2 роти ударних безпілотних авіаційних комплексів батальйону безпілотних систем</t>
  </si>
  <si>
    <t>головний сержант 1 взводу ударних безпілотних авіаційних комплексів роти безпілотних авіаційних комплексів піхотного батальйону</t>
  </si>
  <si>
    <t>ТВО стрілець 2 піхотного відділення 2 піхотного взводу 3 піхотної роти 1 піхотного батальйону</t>
  </si>
  <si>
    <t>АК-74 6296528</t>
  </si>
  <si>
    <t>механік відділення дистанційного мінування 1 роти ударних безпілотних авіаційних комплексів батальйону безпілотних систем</t>
  </si>
  <si>
    <t>механік 1 взводу ударних безпілотних авіаційних комплексів роти безпілотних авіаційних комплексів піхотного батальйону</t>
  </si>
  <si>
    <t>НОСОВ Єгор Ігорович</t>
  </si>
  <si>
    <t>КРУПНОВ Максим Андрійович</t>
  </si>
  <si>
    <t>КРУТЬ</t>
  </si>
  <si>
    <t>АК-74 6252481</t>
  </si>
  <si>
    <t>оператор безпілотних літальних апаратів 1 відділення ударних безпілотних авіаційних комплексів 3 взводу ударних безпілотних авіаційних комплексів 1 роти ударних безпілотних авіаційних комплексів батальйону безпілотних систем</t>
  </si>
  <si>
    <t>865EBX3497</t>
  </si>
  <si>
    <t>водій-електрик 1 відділення ударних безпілотних авіаційних комплексів 1 взводу ударних безпілотних авіаційних комплексів роти безпілотних авіаційних комплексів піхотного батальйону</t>
  </si>
  <si>
    <t>оператор відділення дистанційного мінування 1 роти ударних безпілотних авіаційних комплексів батальйону безпілотних систем</t>
  </si>
  <si>
    <t>водій-електрик 2 відділення ударних безпілотних авіаційних комплексів 1 взводу ударних безпілотних авіаційних комплексів роти безпілотних авіаційних комплексів піхотного батальйону</t>
  </si>
  <si>
    <t>оператор відділення електронної підтримки взводу електронної підтримки батальйону безпілотних систем</t>
  </si>
  <si>
    <t>Оператор безпілотних літальних апаратів 2 відділення ударних безпілотних авіаційних комплексів 1 взводу ударних безпілотних авіаційних комплексів роти безпілотних авіаційних комплексів піхотного батальйону</t>
  </si>
  <si>
    <t>АК-74 1684186</t>
  </si>
  <si>
    <t>майстер 3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батальйону безпілотних систем</t>
  </si>
  <si>
    <t>майстер 2відділення ударних безпілотних авіаційних комплексів 1 взводу ударних безпілотних авіаційних комплексів роти безпілотних авіаційних комплексів піхотного батальйону</t>
  </si>
  <si>
    <t>АВ 750139</t>
  </si>
  <si>
    <t>ЧЕРКАСОВ Віталій Володимирович</t>
  </si>
  <si>
    <t>оператор безпілотних літальних апаратів 1 відділення ударних безпілотних авіаційних комплексів 2 взводу ударних безпілотних авіаційних комплексів 1 роти ударних безпілотних авіаційних комплексів батальйону безпілотних систем</t>
  </si>
  <si>
    <t>НОВІКОВ Олег Володимирович</t>
  </si>
  <si>
    <t>Оператор безпілотних літальних апаратів 3 відділення ударних безпілотних авіаційних комплексів 1 взводу ударних безпілотних авіаційних комплексів роти безпілотних авіаційних комплексів піхотного батальйону</t>
  </si>
  <si>
    <t>СІЛЮТІН Дмитро Олександрович</t>
  </si>
  <si>
    <t>САЛЮТ</t>
  </si>
  <si>
    <t>НОВИЙ</t>
  </si>
  <si>
    <t>вогнеметник 2 піхотного відділення 1 піхотного взводу 2 піхотної роти піхотного батальйону</t>
  </si>
  <si>
    <t>механік 2 взводу ударних безпілотних авіаційних комплексів роти безпілотних авіаційних комплексів піхотного батальйону</t>
  </si>
  <si>
    <t>стрілець 2 піхотного відділення 2 піхотного взводу 1 піхотної роти піхотного батальйону</t>
  </si>
  <si>
    <t>вогнеметник 3 піхотного відділення 3 піхотного взводу 1 піхотної роти піхотного батальйону</t>
  </si>
  <si>
    <t>водій-електрик 1 відділення ударних безпілотних авіаційних комплексів 2 взводу ударних безпілотних авіаційних комплексів роти безпілотних авіаційних комплексів піхотного батальйону</t>
  </si>
  <si>
    <t>вогнеметник 3 піхотного відділення 2 піхотного взводу 2 піхотної роти піхотного батальйону</t>
  </si>
  <si>
    <t>майстер 1 відділення ударних безпілотних авіаційних комплексів 2 взводу ударних безпілотних авіаційних комплексів роти безпілотних авіаційних комплексів піхотного батальйону</t>
  </si>
  <si>
    <t>11.05 з 1200</t>
  </si>
  <si>
    <t>865EBX3507</t>
  </si>
  <si>
    <t>оператор безпілотних літальних апаратів 4 відділення ударних безпілотних авіаційних комплексів 2 взводу ударних безпілотних авіаційних комплексів роти безпілотних авіаційних комплексів піхотного батальйону</t>
  </si>
  <si>
    <t>командир відділення-командир екіпажу безпілотних літальних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піхотного батальйону</t>
  </si>
  <si>
    <t>водій 1 відділення протитанкових ракетних комплексів взводу протитанкових ракетних комплексів 2 піхотного батальйону</t>
  </si>
  <si>
    <t>ЧМУНЕВИЧ Микола Федорович</t>
  </si>
  <si>
    <t>НОГА</t>
  </si>
  <si>
    <t xml:space="preserve">АГ 608551
</t>
  </si>
  <si>
    <t>старший механік-водій взводу бойових машин 3 штурмової роти 2 штурмового батальйону</t>
  </si>
  <si>
    <t>АК-74 4481604</t>
  </si>
  <si>
    <t>оператор - фотограмметрист відділення збору та обробки інформації взводу розвідки та корегування 2 роти ударних безпілотних авіаційних комплексів батальйону безпілотних систем</t>
  </si>
  <si>
    <t>НЕЧИТАЙЛО Андрій Павлович</t>
  </si>
  <si>
    <t>МЕРИН</t>
  </si>
  <si>
    <t>РР</t>
  </si>
  <si>
    <t>стрілець-помічник гранатометника 1 піхотного відділення 3 піхотного взводу 1 піхотної роти 2 піхотного батальйону</t>
  </si>
  <si>
    <t>водій взводу радіоелектронної розвідки розвідувальної роти 425 ошп</t>
  </si>
  <si>
    <t>Водій техніки, спроби евакуації техніки.</t>
  </si>
  <si>
    <t>стрілець 2 піхотного відділення 3 піхотного взводу 1 піхотної роти піхотного батальйону</t>
  </si>
  <si>
    <t>головний сержант взводу розвідки та корегування роти безпілотних авіаційних комплексів піхотного батальйону</t>
  </si>
  <si>
    <t>ЛІСНИЧИЙ Володимир Геннадійович</t>
  </si>
  <si>
    <t>Є БЗВП</t>
  </si>
  <si>
    <t>ВПБпАК</t>
  </si>
  <si>
    <t>Дешифрувальник розвідувальних матеріалів з безпілотних літальних апаратів 1 відділення безпілотних авіаційних комплексів взводу розвідки та корегування роти безпілотних авіаційних комплексів піхотного батальйону</t>
  </si>
  <si>
    <t>командир відділення-командир екіпажу безпілотних літальних комплексів 1 відділення безпілотних авіаційних комплексів взводу розвідки та корегування роти безпілотних авіаційних комплексів піхотного батальйону</t>
  </si>
  <si>
    <t>оператор безпілотних літальних апаратів відділення безпілотних авіаційних комплексів 3 відділення безпілотних авіаційних комплексів взводу розвідки та корегування роти безпілотних авіаційних комплексів піхотного батальйону</t>
  </si>
  <si>
    <t>ВАЛЄЄВ Микита Олександрович</t>
  </si>
  <si>
    <t>БР 186 від 20.01.2026</t>
  </si>
  <si>
    <t>НЕЧИК</t>
  </si>
  <si>
    <t>оператор безпілотних літальних апаратів 2 відділення безпілотних авіаційних комплексів взводу розвідки та корегування 2 роти ударних безпілотних авіаційних комплексів батальйону безпілотних систем</t>
  </si>
  <si>
    <t>оператор безпілотних літальних апаратів відділення безпілотних авіаційних комплексів 7 відділення безпілотних авіаційних комплексів взводу розвідки та корегування роти безпілотних авіаційних комплексів піхотного батальйону</t>
  </si>
  <si>
    <t>146646А/067</t>
  </si>
  <si>
    <t>водій автомобільного відділення підвозу боєприпасів взводу матеріального забезпечення танкового батальйону</t>
  </si>
  <si>
    <t>ЄМЦЕВ Олександр Сергійович</t>
  </si>
  <si>
    <t>старший водій розвідувального взводу 3 піхотного батальйону</t>
  </si>
  <si>
    <t>Водій квадроциклу, проходить БЗВП до 30.01.2026</t>
  </si>
  <si>
    <t>командир міномета мінометного взводу піхотного батальйону</t>
  </si>
  <si>
    <t>командир мінометного взводу піхотного батальйону</t>
  </si>
  <si>
    <t>номер обслуги зенітного ракетного взводу піхотного батальйону</t>
  </si>
  <si>
    <t>старший навідник мінометного взводу піхотного батальйону</t>
  </si>
  <si>
    <t>СТРОИТЕЛЬ</t>
  </si>
  <si>
    <t>вийшли з позиції 10.02.2026</t>
  </si>
  <si>
    <t>стрілець-помічник гранатометника 3 піхотного відділення 3 піхотного взводу 2 піхотної роти 2 піхотного батальйону</t>
  </si>
  <si>
    <t>оператор відділення радіоелектронної боротьби танкового батальйону</t>
  </si>
  <si>
    <t>143244А/533</t>
  </si>
  <si>
    <t>ПАВЛОВ Андрій Андрійович</t>
  </si>
  <si>
    <t>ПРИМАК Роман Олександрович</t>
  </si>
  <si>
    <t>ХАЙМЕРС</t>
  </si>
  <si>
    <t>ДОНБАС</t>
  </si>
  <si>
    <t>старший водій автомобільного відділення підвозу боєприпасів взводу матеріального забезпечення артилерійського дивізіону</t>
  </si>
  <si>
    <t>АК-74 2110817</t>
  </si>
  <si>
    <t>865EBX3508</t>
  </si>
  <si>
    <t>У 13-го, мотоцикліст</t>
  </si>
  <si>
    <t>оператор 3 відділення середніх логістично-евакуаційних безпілотних наземних систем взводу логістично-евакуаційних безпілотних наземних систем 1 піхотного батальйону</t>
  </si>
  <si>
    <t>Водій хамера</t>
  </si>
  <si>
    <t>оператор безпілотних літальних апаратів відділення важких логістично-евакуаційних безпілотних наземних систем взводу логістично-евакуаційних безпілотних наземних систем 1 піхотного батальйону</t>
  </si>
  <si>
    <t>СЕРДЮК Юрій Володимирович</t>
  </si>
  <si>
    <t>УРІ</t>
  </si>
  <si>
    <t>МОЧЕРНЯК Роман Іванович</t>
  </si>
  <si>
    <t>стрілець 2 штурмового відділення 1 штурмового взводу 2 штурмової роти 3 штурмового батальйону</t>
  </si>
  <si>
    <t>оператор радіолокаційної станції взводу перехоплювачів безпілотних літальних апаратів 1 піхотного батальйону</t>
  </si>
  <si>
    <t>АК-74 4455723</t>
  </si>
  <si>
    <t>865EBX2477</t>
  </si>
  <si>
    <t>оператор 1 відділення середніх логістично-евакуаційних безпілотних наземних систем взводу логістично-евакуаційних безпілотних наземних систем 1 піхотного батальйону</t>
  </si>
  <si>
    <t>головний сержант-командир відділення розвідувального взводу 1 піхотного батальйону</t>
  </si>
  <si>
    <t>МИХАЙЛОВ Сергій Петрович</t>
  </si>
  <si>
    <t>АНОСОВ Сергій Анатолійович</t>
  </si>
  <si>
    <t>АК-74 4418316</t>
  </si>
  <si>
    <t>старший сапер інженерно-саперного відділення 1 піхотного батальйону</t>
  </si>
  <si>
    <t>ВПтРК</t>
  </si>
  <si>
    <t>водій господарчого відділення взводу матеріально-технічного забезпечення піхотного батальйону</t>
  </si>
  <si>
    <t>АГ 239127</t>
  </si>
  <si>
    <t>кухар господарчого відділення взводу матеріально-технічного забезпечення піхотного батальйону</t>
  </si>
  <si>
    <t>БАЙДЮК Богдан Васильович</t>
  </si>
  <si>
    <t>АК-74 4461151</t>
  </si>
  <si>
    <t>865EBX2130</t>
  </si>
  <si>
    <t>командир відділення технічного обслуговування автомобільної техніки взводу матеріально-технічного забезпечення піхотного батальйону</t>
  </si>
  <si>
    <t>АВ 670453</t>
  </si>
  <si>
    <t>стрілець-помічник гранатометника 1 піхотного відділення 3 піхотного взводу 2 піхотної роти піхотного батальйону</t>
  </si>
  <si>
    <t>начальник польової лазні взводу матеріально-технічного забезпечення піхотного батальйону</t>
  </si>
  <si>
    <t>МАТВІЄНКО Артур Дмитрович</t>
  </si>
  <si>
    <t>БЛЄСТЯЩИЙ</t>
  </si>
  <si>
    <t>командир відділення автомобільного взводу підвозу пального та мастильних матеріалів батальйону матеріального забезпечення</t>
  </si>
  <si>
    <t>АК-74 4421408</t>
  </si>
  <si>
    <t>стрілець-номер обслуги 2 штурмового відділення 1 штурмового взводу 2 штурмової роти 1 штурмового батальйону</t>
  </si>
  <si>
    <t>командир 2 піхотного відділення 3 піхотного взводу 3 піхотної роти 3 піхотного батальйону</t>
  </si>
  <si>
    <t>номер обслуги зенітного ракетного взводу 4 штурмового батальйону</t>
  </si>
  <si>
    <t>АК-74 3247604</t>
  </si>
  <si>
    <t>865EBX3154</t>
  </si>
  <si>
    <t>АГ 014408</t>
  </si>
  <si>
    <t>водій розвідувального взводу 2 піхотного батальйону</t>
  </si>
  <si>
    <t>сапер 1 інженерно-саперного відділення 2 інженерно-саперного взводу інженерно-саперної роти батальйону підтримки</t>
  </si>
  <si>
    <t>АРТЕРЧУК Володимир Михайлович</t>
  </si>
  <si>
    <t>ТУМАН</t>
  </si>
  <si>
    <t>АК-74 4668430</t>
  </si>
  <si>
    <t>АГ 008968</t>
  </si>
  <si>
    <t>САВЕРВАЛЬД Руслан Володимирович</t>
  </si>
  <si>
    <t>МОНГОЛ</t>
  </si>
  <si>
    <t>Сz bren 2 № 1400221</t>
  </si>
  <si>
    <t>старший оператор безпілотних літальних апаратів 1 екіпажу перехоплювачів безпілотних літальних апаратів взводу перехоплювачів безпілотних літальних апаратів 3 штурмового батальйону</t>
  </si>
  <si>
    <t>865EBX2486</t>
  </si>
  <si>
    <t>стрілець 1 штурмового відділення 2 штурмового взводу 2 штурмової роти 3 штурмового батальйону</t>
  </si>
  <si>
    <t xml:space="preserve">АВ 860354
</t>
  </si>
  <si>
    <t>ВОВАН</t>
  </si>
  <si>
    <t>майстер 4 відділення безпілотних авіаційних комплексів взводу протидії екіпажам безпілотних літальних апаратів противника 2 батальйону безпілотних систем</t>
  </si>
  <si>
    <t>командир групи 3 штурмового відділення 1 штурмового взводу 1 штурмової роти 3 штурмового батальйону</t>
  </si>
  <si>
    <t>дезертир</t>
  </si>
  <si>
    <t>Сz bren 2 №142388</t>
  </si>
  <si>
    <t>оператор 1 відділення радіоелектронної боротьби з безпілотними літальними апаратами взводу радіоелектронної боротьби роти радіоелектронної боротьби</t>
  </si>
  <si>
    <t>кулеметник 4 штурмового відділення 4 штурмового взводу 3 штурмової роти 3 штурмового батальйону</t>
  </si>
  <si>
    <t>до 23.09.2026</t>
  </si>
  <si>
    <t>ДУБРОВІН Сергій Віталійович</t>
  </si>
  <si>
    <t>ДУБ</t>
  </si>
  <si>
    <t>АГ 315232</t>
  </si>
  <si>
    <t>Сz bren 2 №j220063</t>
  </si>
  <si>
    <t>ОКСЕНЮК Андрій Петрович</t>
  </si>
  <si>
    <t>865EBX3435</t>
  </si>
  <si>
    <t>водій-розвідник 3 відділення інженерної розвідки взводу інженерної розвідки батальйону підтримки</t>
  </si>
  <si>
    <t>ГУБА Роман Юрійович</t>
  </si>
  <si>
    <t>ГУБА</t>
  </si>
  <si>
    <t>командир відділення-командир екіпажу безпілотних літальних комплексів відділення безпілотних авіаційних комплексів розвідувального взводу 1 піхотного батальйону</t>
  </si>
  <si>
    <t>водій-розвідник 2 відділення інженерної розвідки взводу інженерної розвідки батальйону підтримки</t>
  </si>
  <si>
    <t>старший водій кулеметного взводу 3 піхотного батальйону</t>
  </si>
  <si>
    <t>радіотелефоніст 2 піхотного взводу 3 піхотної роти піхотного батальйону</t>
  </si>
  <si>
    <t>СО 088893</t>
  </si>
  <si>
    <t xml:space="preserve">УК 414192
</t>
  </si>
  <si>
    <t>ШАПОВАЛОВ Євген Павлович</t>
  </si>
  <si>
    <t>ДЖОНС</t>
  </si>
  <si>
    <t>командир машини 1 відділення мобільного зв'язку взводу мобільного зв'язку роти зв'язку</t>
  </si>
  <si>
    <t>старший водій 1 штурмового відділення 1 штурмового взводу 1 штурмової роти 3 штурмового батальйону</t>
  </si>
  <si>
    <t>кулеметник 4 штурмового відділення 1 штурмового взводу 1 штурмової роти 3 штурмового батальйону</t>
  </si>
  <si>
    <t>Сz bren 2 №J212311</t>
  </si>
  <si>
    <t>командир взводу розвідки та корегування роти безпілотних авіаційних комплексів 3 піхотного батальйону</t>
  </si>
  <si>
    <t>ТПВ №4169</t>
  </si>
  <si>
    <t>АГ 539930</t>
  </si>
  <si>
    <t>КАЛГАНОВ Валерій Анатолійович</t>
  </si>
  <si>
    <t>ХУРТ</t>
  </si>
  <si>
    <t>КАЛГАН</t>
  </si>
  <si>
    <t>АК-74 №6241696</t>
  </si>
  <si>
    <t>КОРОВАЙ Вячеслав Андрійович</t>
  </si>
  <si>
    <t>кулеметник 2 штурмового відділення 2 штурмового взводу 2 штурмової роти 2 штурмового батальйону</t>
  </si>
  <si>
    <t>МАЙКОВИЧ Вадим Олексійович</t>
  </si>
  <si>
    <t>оператор безпілотних літальних апаратів 2 відділення ударних безпілотних авіаційних комплексів 1 взводу ударних безпілотних авіаційних комплексів 1 роти ударних безпілотних авіаційних комплексів 2 батальйону безпілотних систем</t>
  </si>
  <si>
    <t>навідник 1 кулеметного взводу роти вогневої підтримки 2 штурмового батальйону</t>
  </si>
  <si>
    <t>АК-74 №6280613</t>
  </si>
  <si>
    <t>стрілець-помічник гранатометника 3 штурмового відділення 3 штурмового взводу 1 штурмової роти 1 штурмового батальйону</t>
  </si>
  <si>
    <t>ЗАЦНОВ Сергій Юрійович</t>
  </si>
  <si>
    <t>ЗАЦИК</t>
  </si>
  <si>
    <t>CZ Bren 2 №j137750
 12 мм SAFARI HG-105M
  XK 37-H25YB-025977</t>
  </si>
  <si>
    <t>АГ 636752</t>
  </si>
  <si>
    <t>АНШАЙТ Філіпп</t>
  </si>
  <si>
    <t>стрілець-снайпер 1 штурмового відділення 2 штурмового взводу 3 штурмової роти 4 штурмового батальйону</t>
  </si>
  <si>
    <t>оператор безпілотних літальних апаратів 6 відділення безпілотних авіаційних комплексів взводу розвідки та корегування роти безпілотних авіаційних комплексів 4 штурмового батальйон</t>
  </si>
  <si>
    <t>санітарний інструктор-дезінфектор відділення забезпечення взводу забезпечення медичної роти</t>
  </si>
  <si>
    <t>МО 267776</t>
  </si>
  <si>
    <t>АНОШЕНКО Василь Іванович</t>
  </si>
  <si>
    <t>АК-74 2183251</t>
  </si>
  <si>
    <t>865EBX2796</t>
  </si>
  <si>
    <t>Дебіл отказник.</t>
  </si>
  <si>
    <t>БОЧКОВИЙ Андрій Олександрович</t>
  </si>
  <si>
    <t>БОЧИК</t>
  </si>
  <si>
    <t>ЛУГО ХІМЕНЕС Хорге Адріан</t>
  </si>
  <si>
    <t>гранатометник протитанкового взводу роти вогневої підтримки 2 штурмового батальйону</t>
  </si>
  <si>
    <t>старший майстер ремонтного відділення бронетанкової техніки взводу технічного забезпечення 2 штурмового батальйону</t>
  </si>
  <si>
    <t>АК-74 4422655</t>
  </si>
  <si>
    <t>кулеметник 3 штурмового відділення 1 штурмового взводу 1 штурмової роти 3 штурмового батальйону</t>
  </si>
  <si>
    <t>стрілець 3 піхотного відділення 3 піхотного взводу 1 піхотної роти 2 піхотного батальйону</t>
  </si>
  <si>
    <t>АГ 055836</t>
  </si>
  <si>
    <t>БОЧАРНІКОВ Олексій Ігорович</t>
  </si>
  <si>
    <t>стрілець 3 штурмового відділення 4 штурмового взводу 2 штурмової роти 3 штурмового батальйону</t>
  </si>
  <si>
    <t>ГРАНАТОМЕТНИКА МОТОПІХОТНОГО ВІДДІЛЕННЯ МОТОПІХОТНОГО ВЗВОДУ МОТОПІХОТНОЇ РОТИ МОТОПІХОТНОГО БАТАЛЬЙОНУ</t>
  </si>
  <si>
    <t>ТИТАРЕНКО Костянтин Валерійович</t>
  </si>
  <si>
    <t>ДЖЕРІ</t>
  </si>
  <si>
    <t>АК-74 1628818</t>
  </si>
  <si>
    <t>ЗАТВОРНИЦЬКИЙ Єгор Леонідович</t>
  </si>
  <si>
    <t>ЖИГУНОВ Олександр Сергійович</t>
  </si>
  <si>
    <t>CZ Bren 2 j142192</t>
  </si>
  <si>
    <t>ВПБпЛА</t>
  </si>
  <si>
    <t>101803А</t>
  </si>
  <si>
    <t>ТИХОНЧУК Олександр Миколайович</t>
  </si>
  <si>
    <t>ТІХАН</t>
  </si>
  <si>
    <t xml:space="preserve">2 взвод ударних безпілотних авіаційних комплексів </t>
  </si>
  <si>
    <t>ОМЕЛЬЧУК Василь Михайлович</t>
  </si>
  <si>
    <t>CZ Bren 2 j212307</t>
  </si>
  <si>
    <t>865EBJU356</t>
  </si>
  <si>
    <t>РЕДЕК Девон Майкл</t>
  </si>
  <si>
    <t>КАЛІ</t>
  </si>
  <si>
    <t>БОНДАРЕНКО Володимир Анатолійович</t>
  </si>
  <si>
    <t>ПРИБУВ 09.08.2026 ЧЛ
02.09.2026 №4862/ОКП/2609дск</t>
  </si>
  <si>
    <t>очикують направлення на консультацію та стац. лікування.</t>
  </si>
  <si>
    <t>ВИБУВ на ППО 01.09.2026</t>
  </si>
  <si>
    <t>CZ Bren 2 j212317</t>
  </si>
  <si>
    <t>865EBJR993</t>
  </si>
  <si>
    <t xml:space="preserve">АВ 947320
</t>
  </si>
  <si>
    <t>12 мм SAFARI HG-105M
  XK 37-H25YB-018361</t>
  </si>
  <si>
    <t>Спецгрупа</t>
  </si>
  <si>
    <t>МАКАРЕНКО Сергій Дмитрович</t>
  </si>
  <si>
    <t>АГ 112117</t>
  </si>
  <si>
    <t>БУТКЕВИЧ Микола Миколайович</t>
  </si>
  <si>
    <t>ХУДОЙ</t>
  </si>
  <si>
    <t>101915А</t>
  </si>
  <si>
    <t>865EBCJ929</t>
  </si>
  <si>
    <t>АГ 109158</t>
  </si>
  <si>
    <t>ШЕВЧЕНКО Сергій Миколайович</t>
  </si>
  <si>
    <t>КОБЗАР</t>
  </si>
  <si>
    <t>КОЗАЧОК Артем Маркович</t>
  </si>
  <si>
    <t>Навчання на квадробера, БЗВП від 29.01.2026</t>
  </si>
  <si>
    <t>КОЗАРІЗ Дмитро Миколайович</t>
  </si>
  <si>
    <t>АВ 332593</t>
  </si>
  <si>
    <t>АГ 513674</t>
  </si>
  <si>
    <t>АК-74 2212504</t>
  </si>
  <si>
    <t>865EBX3486</t>
  </si>
  <si>
    <t>ЛАКУСТА Ігор Миколайович</t>
  </si>
  <si>
    <t>МЄЧ</t>
  </si>
  <si>
    <t>по пораненню, 24.08.2026 СЗЧ медрота</t>
  </si>
  <si>
    <t>АК-74 2045997</t>
  </si>
  <si>
    <t>АГ 110982</t>
  </si>
  <si>
    <t>ПОШЕДИН Віталій Володимирович</t>
  </si>
  <si>
    <t>АК-74 1864222</t>
  </si>
  <si>
    <t>865EBX3076</t>
  </si>
  <si>
    <t>2881304977</t>
  </si>
  <si>
    <t>БАЛЯБА Юрій Анатолійович</t>
  </si>
  <si>
    <t>АК-74 3257862</t>
  </si>
  <si>
    <t>АГ 340658</t>
  </si>
  <si>
    <t>БАРАНОВ Сергій Ігорович</t>
  </si>
  <si>
    <t>ТОЛСТИЙ</t>
  </si>
  <si>
    <t>АК-74 2101949</t>
  </si>
  <si>
    <t>865EBX2424</t>
  </si>
  <si>
    <t>14.06.2026
Полігон Б</t>
  </si>
  <si>
    <t>АК-74 4425781</t>
  </si>
  <si>
    <t>АВ 672011</t>
  </si>
  <si>
    <t>CZ Bren 2 j214554</t>
  </si>
  <si>
    <t>865EBX2312</t>
  </si>
  <si>
    <t>403182А</t>
  </si>
  <si>
    <t>ДОБРИК</t>
  </si>
  <si>
    <t>ГРЕБЕНЮК Євген Ігорович</t>
  </si>
  <si>
    <t>3123003630</t>
  </si>
  <si>
    <t>788872А</t>
  </si>
  <si>
    <t>АВ 659028</t>
  </si>
  <si>
    <t>КАРПЕЦЬ Андрій Юрійович</t>
  </si>
  <si>
    <t>ЗУБІК</t>
  </si>
  <si>
    <t>CZ Bren 2 j142407</t>
  </si>
  <si>
    <t>відпустка 10 днів 13.08</t>
  </si>
  <si>
    <t>ТПВ № 4187</t>
  </si>
  <si>
    <t>НЕ ЗАДІЮВАТИ
нерв
переведення</t>
  </si>
  <si>
    <t>ПЕКА Костянтин Васильович</t>
  </si>
  <si>
    <t>CZ Bren 2 j220068</t>
  </si>
  <si>
    <t>865EBX3500</t>
  </si>
  <si>
    <t>788596А</t>
  </si>
  <si>
    <t>АГ 502017</t>
  </si>
  <si>
    <t>ГУРАЛЬ Мар'ян Мар'янович</t>
  </si>
  <si>
    <t>ПРИБУВ 29.03.26</t>
  </si>
  <si>
    <t>CZ Bren 2 j216553</t>
  </si>
  <si>
    <t>ПРОТОПОПОВ Петро Петрович</t>
  </si>
  <si>
    <t>ТРАФІК</t>
  </si>
  <si>
    <t>АКМ УИ6169
12 мм SAFARI HG-105M
  XK 37-H25YB-018361</t>
  </si>
  <si>
    <t>ВІЛЬХОВИЙ Віктор Вікторович</t>
  </si>
  <si>
    <t>гр1</t>
  </si>
  <si>
    <t>НІМИЙ</t>
  </si>
  <si>
    <t>до 20.09.2026</t>
  </si>
  <si>
    <t>CZ Bren 2 J137377</t>
  </si>
  <si>
    <t>865EBCJ929
865EBWM207</t>
  </si>
  <si>
    <t>Точка евакуації</t>
  </si>
  <si>
    <t>155, 30.03.2026</t>
  </si>
  <si>
    <t>ТПВ № 4158</t>
  </si>
  <si>
    <t>ВОВНЯНКО Максим Сергійович</t>
  </si>
  <si>
    <t>АГ 629701</t>
  </si>
  <si>
    <t>ШАЛІВСЬКИЙ Леонід Вікторович</t>
  </si>
  <si>
    <t>CZ Bren 2 j142458</t>
  </si>
  <si>
    <t>АГ 100936</t>
  </si>
  <si>
    <t>АГ 611552</t>
  </si>
  <si>
    <t>CZ Bren 2 j143974</t>
  </si>
  <si>
    <t>ШПАК Павло Миколайович</t>
  </si>
  <si>
    <t>МАСКА</t>
  </si>
  <si>
    <t>ВЛЕБНС</t>
  </si>
  <si>
    <t>відпустка до 01.08.2026</t>
  </si>
  <si>
    <t>CZ Bren 2 j140188</t>
  </si>
  <si>
    <t>АГ 451364</t>
  </si>
  <si>
    <t>КОЛБАС Микола Михайлович</t>
  </si>
  <si>
    <t>КОРЄШ</t>
  </si>
  <si>
    <t>АГ 451900</t>
  </si>
  <si>
    <t>УРУДЖЕВ Максим Абдурашидович</t>
  </si>
  <si>
    <t>ДАГ</t>
  </si>
  <si>
    <t>06.06.2026, 20.08.2026</t>
  </si>
  <si>
    <t>АК-74 1617533</t>
  </si>
  <si>
    <t>865EBXL308</t>
  </si>
  <si>
    <t>ТІТАРЕНКО Олексій Олексійович</t>
  </si>
  <si>
    <t>АК-74 5967150</t>
  </si>
  <si>
    <t>ОНОПРІЙКО Павло Михайлович</t>
  </si>
  <si>
    <t>ТОВСТИЙ</t>
  </si>
  <si>
    <t>АК-74 6240489</t>
  </si>
  <si>
    <t>865EBXK773</t>
  </si>
  <si>
    <t>АГ 128311</t>
  </si>
  <si>
    <t>СУХОРУКИХ Олександр Валерійович</t>
  </si>
  <si>
    <t>АВ 861521</t>
  </si>
  <si>
    <t>ЗАЛЕВСЬКИЙ Євген Станіславович</t>
  </si>
  <si>
    <t>АК-74 5801974</t>
  </si>
  <si>
    <t>ГУД</t>
  </si>
  <si>
    <t>АНТОН</t>
  </si>
  <si>
    <t>МУРАВСЬКИЙ Микола Володимирович</t>
  </si>
  <si>
    <t>МУРА</t>
  </si>
  <si>
    <t>Прибув з Медроти 13.06.2026</t>
  </si>
  <si>
    <t>АК-74 4434289</t>
  </si>
  <si>
    <t>28.07.2026
до 09.09.2026</t>
  </si>
  <si>
    <t>155 забрала 31.03.2026</t>
  </si>
  <si>
    <t>АГ 451287</t>
  </si>
  <si>
    <t>ФОМЕНКО Олександр Сергійович</t>
  </si>
  <si>
    <t>ШАМПУСІК</t>
  </si>
  <si>
    <t xml:space="preserve">АКУЛА
</t>
  </si>
  <si>
    <t>АК-74 2045381</t>
  </si>
  <si>
    <t>865EBXK930</t>
  </si>
  <si>
    <t>ДОБРЕНКО Олександр Васильович</t>
  </si>
  <si>
    <t>КРОКОДИЛ</t>
  </si>
  <si>
    <t>ПОЛІГОН Д, навчання інструкторів 14.06.26</t>
  </si>
  <si>
    <t>АК-74 6301398</t>
  </si>
  <si>
    <t>АГ 128241 /
СО 587803</t>
  </si>
  <si>
    <t>ЄСАУЛЕНКО Василь Юрійович</t>
  </si>
  <si>
    <t>КАМІНЬ</t>
  </si>
  <si>
    <t>РОЗВІДКА</t>
  </si>
  <si>
    <t>ШПАЧЕНКО Артем Вікторович</t>
  </si>
  <si>
    <t>ДУБНИЦЬКИЙ Володимир Володимирович</t>
  </si>
  <si>
    <t>ПОТВОРА</t>
  </si>
  <si>
    <t>Водій квдроциклу</t>
  </si>
  <si>
    <t>Пілот поз. План</t>
  </si>
  <si>
    <t>ПРИБУВ 05.02.26</t>
  </si>
  <si>
    <t>08.04.2026
до 09.09.2026</t>
  </si>
  <si>
    <t>АГ 174353</t>
  </si>
  <si>
    <t>ВЕРЕМЕЙЧИК В'ячеслав Володимирович</t>
  </si>
  <si>
    <t>CZ Bren 2 j142422</t>
  </si>
  <si>
    <t>865EBXL273</t>
  </si>
  <si>
    <t>АГ 476559</t>
  </si>
  <si>
    <t>ГАЛКІН Ігор Ілларіонович</t>
  </si>
  <si>
    <t>ГАЛКА</t>
  </si>
  <si>
    <t>CZ Bren 2 j140247</t>
  </si>
  <si>
    <t>865EBXL221</t>
  </si>
  <si>
    <t>кулеметник</t>
  </si>
  <si>
    <t>КАЧУРА Сергій Сергійович</t>
  </si>
  <si>
    <t>ЖУРАВЛЬОВ Максим Володимирович</t>
  </si>
  <si>
    <t>СЕНЯ</t>
  </si>
  <si>
    <t>ЖУРАВЕЛЬ</t>
  </si>
  <si>
    <t>CZ Bren 2 j132629</t>
  </si>
  <si>
    <t>CZ Bren 2 j142534</t>
  </si>
  <si>
    <t>АГ 593467</t>
  </si>
  <si>
    <t>АНДРІЄШ Сергій Михайлович</t>
  </si>
  <si>
    <t>КУШАЙ</t>
  </si>
  <si>
    <t>14.08.2026 прибув</t>
  </si>
  <si>
    <t>865EBX2950</t>
  </si>
  <si>
    <t>26.08.2026
24.08.2026 вібул до ПРОТАСА</t>
  </si>
  <si>
    <t>0306003</t>
  </si>
  <si>
    <t>СО092587</t>
  </si>
  <si>
    <t>командир взводу протитанкових ракетних комплексів 1 піхотного батальйону</t>
  </si>
  <si>
    <t>ВАСИЛЬЄВ Андрій Вікторович</t>
  </si>
  <si>
    <t>ГУЛАКОВ Євген Олександрович</t>
  </si>
  <si>
    <t>ГУЛ</t>
  </si>
  <si>
    <t>865EBXL138</t>
  </si>
  <si>
    <t>111975А</t>
  </si>
  <si>
    <t>АВ 829451</t>
  </si>
  <si>
    <t>АГ103229</t>
  </si>
  <si>
    <t>ВЕРЖБИЦЬКИЙ Ігор Олександрович</t>
  </si>
  <si>
    <t>ГЕНА</t>
  </si>
  <si>
    <t>по пораненню
самокатство</t>
  </si>
  <si>
    <t>до 17.06.2026</t>
  </si>
  <si>
    <t>865EBXL347</t>
  </si>
  <si>
    <t>АВ 957497</t>
  </si>
  <si>
    <t>АГ108610</t>
  </si>
  <si>
    <t>CZ Bren 2  j142925</t>
  </si>
  <si>
    <t>ГАЛАБУРДА Володимир Веронійович</t>
  </si>
  <si>
    <t>ЗАПОРОЖЕЦЬ</t>
  </si>
  <si>
    <t>09.07.2026
до 09.09.2026</t>
  </si>
  <si>
    <t>CZ Bren 2  j137577</t>
  </si>
  <si>
    <t>БЕЖЕНАР Іван Ігорович</t>
  </si>
  <si>
    <t>МО058346</t>
  </si>
  <si>
    <t>старший оператор 1 відділення протитанкових ракетних комплексів взводу протитанкових ракетних комплексів 1 піхотного батальйону</t>
  </si>
  <si>
    <t>ГУК Микола Михайлович</t>
  </si>
  <si>
    <t>ГУК</t>
  </si>
  <si>
    <t>АК-74 1698441</t>
  </si>
  <si>
    <t>865EBXK475</t>
  </si>
  <si>
    <t>Новопр</t>
  </si>
  <si>
    <t>ФАСХУТДІНОВ Сергій Андрійович</t>
  </si>
  <si>
    <t>АК-74 5536690</t>
  </si>
  <si>
    <t>КРАСИЛЬНИКОВ Євген Леонідович</t>
  </si>
  <si>
    <t>ТРОЯН</t>
  </si>
  <si>
    <t xml:space="preserve">АГ 120955
</t>
  </si>
  <si>
    <t>ТРАЦЕВСЬКИЙ Олег Геннадійович</t>
  </si>
  <si>
    <t>ТРАЦ</t>
  </si>
  <si>
    <t>АК-74 5233556</t>
  </si>
  <si>
    <t>КРИВЯКІН Сергій Олександрович</t>
  </si>
  <si>
    <t>АК-74 4329743</t>
  </si>
  <si>
    <t>АГ103227</t>
  </si>
  <si>
    <t>АВ 948636</t>
  </si>
  <si>
    <t>КУЧЕРУК Дмитро Сергійович</t>
  </si>
  <si>
    <t>ГАНГ</t>
  </si>
  <si>
    <t>АК-74 208545</t>
  </si>
  <si>
    <t>865EBXL324</t>
  </si>
  <si>
    <t>до 12.09.2026</t>
  </si>
  <si>
    <t>МАРТИНОВ Василь Вікторович</t>
  </si>
  <si>
    <t xml:space="preserve">АВ 951365
</t>
  </si>
  <si>
    <t>ОСТАПЕНКО Віталій Миколайович</t>
  </si>
  <si>
    <t>ОСТАП</t>
  </si>
  <si>
    <t>РОВЕНСКИЙ</t>
  </si>
  <si>
    <t>АК-74 1992218</t>
  </si>
  <si>
    <t>865EBXL103</t>
  </si>
  <si>
    <t>АГ605640</t>
  </si>
  <si>
    <t>ШУТКО Роман Сергійович</t>
  </si>
  <si>
    <t>РОМІО</t>
  </si>
  <si>
    <t>АК-74Н2 5984268</t>
  </si>
  <si>
    <t>Бічний кронштейн швидкозмінний АК-74/АКМ - 1шт.</t>
  </si>
  <si>
    <t>ЗАКАЛЮЖНИЙ Іван Олегович</t>
  </si>
  <si>
    <t>АГ 487414</t>
  </si>
  <si>
    <t>АК-74 4168457</t>
  </si>
  <si>
    <t>ДЖИМІ</t>
  </si>
  <si>
    <t>АГ003550</t>
  </si>
  <si>
    <t>ЛЕМЕЩУК Руслан Михайлович</t>
  </si>
  <si>
    <t>БРИЛОК</t>
  </si>
  <si>
    <t>АК-74Н2 5967150</t>
  </si>
  <si>
    <t>БАЛЯСНИЙ Ігор Володимирович</t>
  </si>
  <si>
    <t>БАЛЯ</t>
  </si>
  <si>
    <t>АГ102502</t>
  </si>
  <si>
    <t>ШАПОВАЛ Віталій Віталійович</t>
  </si>
  <si>
    <t>КАТАНА</t>
  </si>
  <si>
    <t>АК-74 4457558</t>
  </si>
  <si>
    <t>ПРИБУВ 28.12.2025</t>
  </si>
  <si>
    <t>охорона на ППД техніки</t>
  </si>
  <si>
    <t>ХМЕЛЬОВ Олександр Миколайович</t>
  </si>
  <si>
    <t>ХМЕЛЬ</t>
  </si>
  <si>
    <t>МО 274265</t>
  </si>
  <si>
    <t>АК-74Н2 5998434</t>
  </si>
  <si>
    <t>ПОМОРЦЕВ Дмитро Володимирович</t>
  </si>
  <si>
    <t>ВУХАТИЙ</t>
  </si>
  <si>
    <t>БЛИЩИК Володимир Миколайович</t>
  </si>
  <si>
    <t>ПИШОХА Дмитро Вадимович</t>
  </si>
  <si>
    <t>АК-74Н2 3275189</t>
  </si>
  <si>
    <t>АГ 102796</t>
  </si>
  <si>
    <t>АГ 377983</t>
  </si>
  <si>
    <t>ДМИТРЕНКО Володимир Володимирович</t>
  </si>
  <si>
    <t>БАШТАН</t>
  </si>
  <si>
    <t>ВАСИЛІВ Віталій Вікторович</t>
  </si>
  <si>
    <t>КЕНТ</t>
  </si>
  <si>
    <t>АГ 471493</t>
  </si>
  <si>
    <t>СКРИПАЛЬ Андрій Васильович</t>
  </si>
  <si>
    <t>мехвод БМП-2</t>
  </si>
  <si>
    <t>АК-74 1629322</t>
  </si>
  <si>
    <t>ВОРОВ Максим Петрович</t>
  </si>
  <si>
    <t>ПЕТРОВИЧ</t>
  </si>
  <si>
    <t>командир 2 протитанкового відділення протитанкового взводу роти вогневої підтримки 2 батальйону територіальної оборони військової частини А7037</t>
  </si>
  <si>
    <t>КУЧАЙ Андрій Миколайович</t>
  </si>
  <si>
    <t>01.06.2026
до 09.09.2026</t>
  </si>
  <si>
    <t>старший стрілець-оператор 1 стрілецьке відділення 3 стрілецького взводу 5 стрілецької роти 2 батальйону територіальної оборони військової частини А7037</t>
  </si>
  <si>
    <t>ДМИТРІЄВ Андрій Сергійович</t>
  </si>
  <si>
    <t>ГУЦАНУ Петро Петрович</t>
  </si>
  <si>
    <t>МАВЕРІК</t>
  </si>
  <si>
    <t>оператор 2 протитанкового відділення протитанкового взводу роти вогневої підтримки 2 батальйону територіальної оборони військової частини А7037</t>
  </si>
  <si>
    <t>ФЕДОРОВСЬКИЙ Валентин Олегович</t>
  </si>
  <si>
    <t>ФЬОДОР</t>
  </si>
  <si>
    <t>вогнеметник ТВО вогнеметного відділення взводу вогневої підтримки роти вогневої підтримки 2 батальйону територіальної оборони військової частини А7037</t>
  </si>
  <si>
    <t>ЦЬОМА Сергій Олегович</t>
  </si>
  <si>
    <t>КОПТЄВ Олександр Миколайович</t>
  </si>
  <si>
    <t>КИС</t>
  </si>
  <si>
    <t>ШМІТ</t>
  </si>
  <si>
    <t>старший стрілець-вогнеметник 2 мотопіхотного відділення 1 мотопіхотного взводу 3 мотопіхотної роти мотопіхотного батальйону</t>
  </si>
  <si>
    <t>психбольной</t>
  </si>
  <si>
    <t>05.05.2026
буде проходити ВЛК</t>
  </si>
  <si>
    <t>КАЛЮТА Ігор Вікторович</t>
  </si>
  <si>
    <t>СЛАВУТИЧ</t>
  </si>
  <si>
    <t>Водій ТВО 3 стрілецького відділення 1 стрілецького взводу 4 стрілецької роти 2 батальйону територіальної оборони військової частини А7037</t>
  </si>
  <si>
    <t>ПЛОТНІКОВ Сергій Борисович</t>
  </si>
  <si>
    <t>по хворобі
з 210 БР 425 ОШП 1428 від 11.11.25</t>
  </si>
  <si>
    <t>кулеметник ТВО кулеметного відділення взводу вогневої підтримки роти вогневої підтримки 2 батальйону територіальної оборони військової частини А7037</t>
  </si>
  <si>
    <t>ДЯЧЕНКО Михайло Павлович</t>
  </si>
  <si>
    <t>СО 540353</t>
  </si>
  <si>
    <t>Стрілець - помічник гранатометника 3 стрілецького відділення 2 стрілецького взводу 6 стрілецької роти 2 батальйону територіальної оборони військової частини А7037</t>
  </si>
  <si>
    <t>водій 2 відділення протитанкових ракетних комплексів взводу протитанкових ракетних комплексів 1 піхотного батальйону</t>
  </si>
  <si>
    <t>ГОРЧИНСЬКИЙ Євгеній Анатолійович</t>
  </si>
  <si>
    <t>ШКВАЛ</t>
  </si>
  <si>
    <t>навідник кулеметного взводу 3 штурмової спеціалізованої роти штурмового спеціалізованого батальйону (ШКВАЛ) 425</t>
  </si>
  <si>
    <t>АГ 014685</t>
  </si>
  <si>
    <t>КОВТУН Олег Миколайович</t>
  </si>
  <si>
    <t>АЛІГАТОР</t>
  </si>
  <si>
    <t>оздоровлення</t>
  </si>
  <si>
    <t>129975А</t>
  </si>
  <si>
    <t>головний сержант взводу логістично-евакуаційних безпілотних наземних систем 1 піхотного батальйону</t>
  </si>
  <si>
    <t>АГ 014588</t>
  </si>
  <si>
    <t>КУЛИКІВСЬКИЙ Олександр Йосипович</t>
  </si>
  <si>
    <t>бойовий медик взводу логістично-евакуаційних безпілотних наземних систем 1 піхотного батальйону</t>
  </si>
  <si>
    <t>водій-електрик-моторист взводу логістично-евакуаційних безпілотних наземних систем 1 піхотного батальйону</t>
  </si>
  <si>
    <t>1 гранатометне відділення</t>
  </si>
  <si>
    <t>ТКАЧУК Віталій Вікторович</t>
  </si>
  <si>
    <t>ГОРОД</t>
  </si>
  <si>
    <t>АВ 885969</t>
  </si>
  <si>
    <t>ШУЛЬГА Сергій Володимирович</t>
  </si>
  <si>
    <t>МАТАРЧУК Дмитро Федорович</t>
  </si>
  <si>
    <t xml:space="preserve"> CZ Bren 2 № J220068</t>
  </si>
  <si>
    <t>129182А</t>
  </si>
  <si>
    <t>12 мм SAFARI HG-105M № XK 37-H25YB-025977</t>
  </si>
  <si>
    <t>865EBX2945</t>
  </si>
  <si>
    <t>МЕЛЬНИЧЕНКО Станіслав Вікторович</t>
  </si>
  <si>
    <t>ПЕТРІН Микола Вікторович</t>
  </si>
  <si>
    <t>12 мм SAFARI HG-105M № XK 37-H25YB-018361</t>
  </si>
  <si>
    <t>865EBQ6672</t>
  </si>
  <si>
    <t>водій-електрик-моторист 1 відділення середніх логістично-евакуаційних безпілотних наземних систем взводу логістично-евакуаційних безпілотних наземних систем 1 піхотного батальйону</t>
  </si>
  <si>
    <t>12 мм SAFARI HG-105M № XK 37-H25YB-025901</t>
  </si>
  <si>
    <t>ТВО стрілець 3 піхотного відділення 1 піхотного взводу 2 піхотної роти 1 піхотного батальйону</t>
  </si>
  <si>
    <t>865EBJS564</t>
  </si>
  <si>
    <t>АКМ № УИ6169</t>
  </si>
  <si>
    <t>ПЕТРОВ Владислав В'ячеславович</t>
  </si>
  <si>
    <t>КАРЛОВИЧ</t>
  </si>
  <si>
    <t>МАШКІН Андрій Володимирович</t>
  </si>
  <si>
    <t>ДЮША</t>
  </si>
  <si>
    <t>АК-74 № 1680168</t>
  </si>
  <si>
    <t>865EBJV081</t>
  </si>
  <si>
    <t>КОЛОДА Андрій Вікторович</t>
  </si>
  <si>
    <t>УКРАЇНЕЦЬ</t>
  </si>
  <si>
    <t>ФЕЦОВИЧ Віталій Ігорович</t>
  </si>
  <si>
    <t>ВІТАХА</t>
  </si>
  <si>
    <t>АК-74 № 2103685</t>
  </si>
  <si>
    <t>АГ 453126</t>
  </si>
  <si>
    <t>АК-74 № 6253949</t>
  </si>
  <si>
    <t>СЗЧ з Слов'янки 25.12.2025</t>
  </si>
  <si>
    <t>CZ Bren 2 № J142407</t>
  </si>
  <si>
    <t>865EBX3093</t>
  </si>
  <si>
    <t>ЯКОВЛЕВ Іван Миколайович</t>
  </si>
  <si>
    <t>АК-74 № 1706851</t>
  </si>
  <si>
    <t>865EBLB408</t>
  </si>
  <si>
    <t>РВБ</t>
  </si>
  <si>
    <t>ІВАНОВ Вячеслав Вікторович</t>
  </si>
  <si>
    <t>ВЯЧИК</t>
  </si>
  <si>
    <t>АК-74 № 2045381</t>
  </si>
  <si>
    <t>ТВО водій-електрик-моторист відділення важких логістично-евакуаційних безпілотних наземних систем взводу логістично-евакуаційних безпілотних наземних систем 1 піхотного батальйону</t>
  </si>
  <si>
    <t>МО 668901</t>
  </si>
  <si>
    <t>АК-74 № 5598414</t>
  </si>
  <si>
    <t>865EBNG455</t>
  </si>
  <si>
    <t>ТРОХИМЕНКО Сергій Миколайович</t>
  </si>
  <si>
    <t>АК-74 № 3277239</t>
  </si>
  <si>
    <t>КОНАРЕВ Владислав Станіславович</t>
  </si>
  <si>
    <t>АВ 492995</t>
  </si>
  <si>
    <t>КОНОР</t>
  </si>
  <si>
    <t>КРАВЧЕНКО Віктор Романович</t>
  </si>
  <si>
    <t>АК-74 № 3273036</t>
  </si>
  <si>
    <t>СТАФ</t>
  </si>
  <si>
    <t>ВПТРК</t>
  </si>
  <si>
    <t>ФЕДОТОВ Дмитро Ігорович</t>
  </si>
  <si>
    <t>БЕСС</t>
  </si>
  <si>
    <t>АК-74 № 3277247</t>
  </si>
  <si>
    <t>865EBNG979</t>
  </si>
  <si>
    <t>13.03.2026 дезертир</t>
  </si>
  <si>
    <t>ТВО номер обслуги 3 відділення гранатометного взводу 1 піхотного батальйону</t>
  </si>
  <si>
    <t>КРАВЧЕНКО Віталій Володимирович</t>
  </si>
  <si>
    <t>НК 6219061</t>
  </si>
  <si>
    <t>АК-74 № 5924872</t>
  </si>
  <si>
    <t>інформацію передано у 155</t>
  </si>
  <si>
    <t>КРИВОРУЧКО Віталій Володимирович</t>
  </si>
  <si>
    <t>КРЮК</t>
  </si>
  <si>
    <t>АК-74 № 3277778</t>
  </si>
  <si>
    <t>865EBXL121</t>
  </si>
  <si>
    <t>ВОЛОБУЄВ Юрій Олегович</t>
  </si>
  <si>
    <t>СМОТРЯЩИЙ</t>
  </si>
  <si>
    <t>рекрут</t>
  </si>
  <si>
    <t>ГУСАРОВ Дмитро Сергійович</t>
  </si>
  <si>
    <t>ВІННІПУХ</t>
  </si>
  <si>
    <t>АГ 007050</t>
  </si>
  <si>
    <t>АК-74 № 077604</t>
  </si>
  <si>
    <t>БОРЗОВ Антон Анатолійович</t>
  </si>
  <si>
    <t>АК-74 № 5936410</t>
  </si>
  <si>
    <t>865EBPK905</t>
  </si>
  <si>
    <t>водій-електрик-моторист 2 відділення середніх логістично-евакуаційних безпілотних наземних систем взводу логістично-евакуаційних безпілотних наземних систем 1 піхотного батальйону</t>
  </si>
  <si>
    <t>ГРАБОЖЕЙ Дмитро Сергійович</t>
  </si>
  <si>
    <t>КУБИНЕЦЬ</t>
  </si>
  <si>
    <t>АК-74 № 5537512</t>
  </si>
  <si>
    <t>865EBNG453</t>
  </si>
  <si>
    <t>АГ 011688</t>
  </si>
  <si>
    <t>БЗВП 27.02.26</t>
  </si>
  <si>
    <t>БАДАЛЯН Арек Камойович</t>
  </si>
  <si>
    <t>ТВО старший навідник 2 відділення гранатометного взводу 1 піхотного батальйону</t>
  </si>
  <si>
    <t>МИРОШНИЧЕНКО Олександр Олександрович</t>
  </si>
  <si>
    <t>ДУХ</t>
  </si>
  <si>
    <t>оператор безпілотних літальних апаратів 2 відділення середніх логістично-евакуаційних безпілотних наземних систем взводу логістично-евакуаційних безпілотних наземних систем 1 піхотного батальйону</t>
  </si>
  <si>
    <t>МО 663779</t>
  </si>
  <si>
    <t>ХУТО</t>
  </si>
  <si>
    <t>КОНОГРАЙ Руслан Олександрович</t>
  </si>
  <si>
    <t>ПОТАЛОГОАНАТОМ</t>
  </si>
  <si>
    <t>ШКВАЛ з 05.08.25</t>
  </si>
  <si>
    <t>12.07 рибув в Шквал</t>
  </si>
  <si>
    <t>АК-74Н2 № 3277232</t>
  </si>
  <si>
    <t>865EBNU090</t>
  </si>
  <si>
    <t>АК-74 № 3270875</t>
  </si>
  <si>
    <t>НК 6106589</t>
  </si>
  <si>
    <t>н.п. Одрадне</t>
  </si>
  <si>
    <t>АК-74 № 5877595</t>
  </si>
  <si>
    <t>865EBX4753</t>
  </si>
  <si>
    <t>ІСВ</t>
  </si>
  <si>
    <t>АК-74 № 5998578</t>
  </si>
  <si>
    <t>АГ 452206</t>
  </si>
  <si>
    <t>ЛЕБЕДЕВ Дмитро Сергійович</t>
  </si>
  <si>
    <t>МОВЧАН</t>
  </si>
  <si>
    <t>B(III) Rh+</t>
  </si>
  <si>
    <t>АГ 102479</t>
  </si>
  <si>
    <t>АК-74 № 4489933</t>
  </si>
  <si>
    <t>865EBYU259</t>
  </si>
  <si>
    <t>АГ 575299</t>
  </si>
  <si>
    <t>СТРИЖАКОВ Сергій Володимирович</t>
  </si>
  <si>
    <t>СТРИЖ</t>
  </si>
  <si>
    <t>АК-74 № 1705843</t>
  </si>
  <si>
    <t>30.01.2026 тромб</t>
  </si>
  <si>
    <t>СЕМІЗОРОВ Микола Вікторович</t>
  </si>
  <si>
    <t>КОЛЯНИЧ</t>
  </si>
  <si>
    <t>АК-74 № 1864222</t>
  </si>
  <si>
    <t>АГ 636668</t>
  </si>
  <si>
    <t>ТИЧІНЕЦЬ Ігор В'ячеславович</t>
  </si>
  <si>
    <t>КНЯЗЬ</t>
  </si>
  <si>
    <t>АК-74 № 6301398</t>
  </si>
  <si>
    <t>СЗЧ перед залом 20.02.2026</t>
  </si>
  <si>
    <t>АК-74 № 265666</t>
  </si>
  <si>
    <t>865EBXL088</t>
  </si>
  <si>
    <t>АГ 570052</t>
  </si>
  <si>
    <t>ВЗ</t>
  </si>
  <si>
    <t>МОЛЧАНОВ Олександр Валерійович</t>
  </si>
  <si>
    <t>ЧАН</t>
  </si>
  <si>
    <t>АГ 471428</t>
  </si>
  <si>
    <t>420842А</t>
  </si>
  <si>
    <t>АГ 552229</t>
  </si>
  <si>
    <t>САЄНКО Владислав Олексійович</t>
  </si>
  <si>
    <t>ТВО стрілець 3 піхотного відділення 2 піхотного взводу 3 піхотної роти 1 піхотного батальйону</t>
  </si>
  <si>
    <t>вивезли як віказніка 13.03.2026 Барви</t>
  </si>
  <si>
    <t>АК-74 № 1477471</t>
  </si>
  <si>
    <t>865EBZ3118</t>
  </si>
  <si>
    <t>АГ 113160</t>
  </si>
  <si>
    <t>АК-74 № 2091787</t>
  </si>
  <si>
    <t>КРИВОШЕЙ Євгеній Миколайович</t>
  </si>
  <si>
    <t>ОСТРИЖНИЙ Михайло Миколайович</t>
  </si>
  <si>
    <t>АК-74 № 5989626</t>
  </si>
  <si>
    <t>865EBZ3734</t>
  </si>
  <si>
    <t>забрав Мастер 13.03.2026</t>
  </si>
  <si>
    <t>ТВО водій кулеметного взводу 1 піхотного батальйону</t>
  </si>
  <si>
    <t>АГ 648379</t>
  </si>
  <si>
    <t>ВНУКОВ Максим Анатолійович</t>
  </si>
  <si>
    <t>СЄМАКА Микола Володимирович</t>
  </si>
  <si>
    <t>ВНУК</t>
  </si>
  <si>
    <t>МОРФЕЙ</t>
  </si>
  <si>
    <t>АГ 592392</t>
  </si>
  <si>
    <t>АК-74 № 5498714</t>
  </si>
  <si>
    <t>до 28.08.2026, СЗЧ 28.08.2026</t>
  </si>
  <si>
    <t>ФРІДРІХ Сергій Володимирович</t>
  </si>
  <si>
    <t>АК-74 № 2025484</t>
  </si>
  <si>
    <t>865EBZ3585</t>
  </si>
  <si>
    <t>ЛУШПА Павло Миколайович</t>
  </si>
  <si>
    <t>ЛУКАВИЙ</t>
  </si>
  <si>
    <t>АК-74 № 5407189</t>
  </si>
  <si>
    <t>14.03.2026 дезертир</t>
  </si>
  <si>
    <t>ФОМЕНКО Григорій Валерійович</t>
  </si>
  <si>
    <t>ТВО радіотелефоніст 1 піхотного взводу 1 піхотної роти 1 піхотного батальйону</t>
  </si>
  <si>
    <t>ГРИНЯ</t>
  </si>
  <si>
    <t>МОЖАРОВИЧ Валерій Ілліч</t>
  </si>
  <si>
    <t>АК-74 № 5536782</t>
  </si>
  <si>
    <t>МАЖОР</t>
  </si>
  <si>
    <t>ПУЛЯЄВ Олег Сергійович</t>
  </si>
  <si>
    <t>АК-74 № 5801974</t>
  </si>
  <si>
    <t>865EBZ3207</t>
  </si>
  <si>
    <t>ТВО водій розвідувального взводу 1 піхотного батальйону</t>
  </si>
  <si>
    <t>АК-74 № 1621750</t>
  </si>
  <si>
    <t>865EBZ3569</t>
  </si>
  <si>
    <t>ПИСКУН Євгеній Михайлович</t>
  </si>
  <si>
    <t>ТВО вогнеметник 1 піхотного відділення 3 піхотного взводу 1 піхотної роти 1 піхотного батальйону</t>
  </si>
  <si>
    <t>КУРОЧКІН Олександр Олександрович</t>
  </si>
  <si>
    <t>БАЛАГАНОВ</t>
  </si>
  <si>
    <t>РАЦА Віктор Григорович</t>
  </si>
  <si>
    <t>ГРИФ</t>
  </si>
  <si>
    <t>ПРИБУВ 13.02.2026</t>
  </si>
  <si>
    <t>АК-74 № 2190168</t>
  </si>
  <si>
    <t>КОВТУН Володимир Володимирович</t>
  </si>
  <si>
    <t>ВІНТ</t>
  </si>
  <si>
    <t>АК-74 № 5899071</t>
  </si>
  <si>
    <t>865EBEY416</t>
  </si>
  <si>
    <t>зброя, рація - втрачено</t>
  </si>
  <si>
    <t>АК-74 № 5933911</t>
  </si>
  <si>
    <t>АГ 631915</t>
  </si>
  <si>
    <t>СТРЕЛЬЦОВ Максим Володимирович</t>
  </si>
  <si>
    <t>ЗЕЙВ</t>
  </si>
  <si>
    <t>АК-74 № 6214822</t>
  </si>
  <si>
    <t>865EBYU273</t>
  </si>
  <si>
    <t>КОВАЛЬ Денис Григорович</t>
  </si>
  <si>
    <t>ХОДОК</t>
  </si>
  <si>
    <t>на навчання по зв'язку з Зимою 20.02.26</t>
  </si>
  <si>
    <t>АК-74 № 5921780</t>
  </si>
  <si>
    <t>865EBXJ296</t>
  </si>
  <si>
    <t>ФІЛОСОФ</t>
  </si>
  <si>
    <t>003.07.1997</t>
  </si>
  <si>
    <t>ПОНОМАРЬОВ Сергій Анатолійович</t>
  </si>
  <si>
    <t>АК-74 № 6326792</t>
  </si>
  <si>
    <t>АК-74Н2 № 1479584</t>
  </si>
  <si>
    <t>865EBYU217</t>
  </si>
  <si>
    <t>оператор відділення важких логістично-евакуаційних безпілотних наземних систем взводу логістично-евакуаційних безпілотних наземних систем 1 піхотного батальйону</t>
  </si>
  <si>
    <t>ШЕВЧЕНКО Юрій Сергійович</t>
  </si>
  <si>
    <t>АГ 485205</t>
  </si>
  <si>
    <t>ЛАГЕРНИЙ</t>
  </si>
  <si>
    <t>АК-74 № 4422502</t>
  </si>
  <si>
    <t>ЧУРІЛОВ Микола Анатолійович</t>
  </si>
  <si>
    <t>ремонт телефонів, техніки, сварка</t>
  </si>
  <si>
    <t>АК-74Н2 № 3277770</t>
  </si>
  <si>
    <t>АГ 663296</t>
  </si>
  <si>
    <t>ТИМОШЕНКО Сергій Романович</t>
  </si>
  <si>
    <t>ЇЖАК</t>
  </si>
  <si>
    <t>АК-74Н2 № 3277751</t>
  </si>
  <si>
    <t>865EBZ3584</t>
  </si>
  <si>
    <t>кулеметник 1 мотопіхотного відділення 1 мотопіхотного взводу 3 мотопіхотної роти мотопіхотного батальйону військової частини А5006</t>
  </si>
  <si>
    <t>АК-74 № 5878761</t>
  </si>
  <si>
    <t>КЛЕШНЯ</t>
  </si>
  <si>
    <t>командир взводу перехоплювачів безпілотних літальних апаратів 1 піхотного батальйону</t>
  </si>
  <si>
    <t>ЩИБРИК Олександр Олександрович</t>
  </si>
  <si>
    <t>КОМЕТА</t>
  </si>
  <si>
    <t>865EBXL178</t>
  </si>
  <si>
    <t>САПОЖНИКОВ Максим Германович</t>
  </si>
  <si>
    <t>ШТЕЛЬМАН</t>
  </si>
  <si>
    <t>вибув у 157 омбр 18.03.2026</t>
  </si>
  <si>
    <t>АК-74Н2 № 5987979</t>
  </si>
  <si>
    <t>865EBYU296</t>
  </si>
  <si>
    <t>оператор безпілотних літальних апаратів 4 відділення ударних безпілотних авіаційних комплексів 2 взводу ударних безпілотних авіаційних комплексів роти безпілотних авіаційних комплексів мотопіхотного батальйону</t>
  </si>
  <si>
    <t>бойовий медик взводу перехоплювачів безпілотних літальних апаратів 1 піхотного батальйону</t>
  </si>
  <si>
    <t>ОСТАФІЙЧУК Назарій Ярославович</t>
  </si>
  <si>
    <t>СТАФФ</t>
  </si>
  <si>
    <t>АК-74 № 446986</t>
  </si>
  <si>
    <t>865EBZ3596</t>
  </si>
  <si>
    <t>позиція Колос</t>
  </si>
  <si>
    <t>забрала 157</t>
  </si>
  <si>
    <t>АК-74Н2 № 5271484</t>
  </si>
  <si>
    <t>оператор безпілотних літальних апаратів 4 відділення безпілотних авіаційних комплексів взводу безпілотних авіаційних комплексів роти безпілотних авіаційних комплексів мотопіхотного батальйону</t>
  </si>
  <si>
    <t>СПАСЮК Олег Петрович</t>
  </si>
  <si>
    <t>ГОНЧАРОВ Володимир Анатолійович</t>
  </si>
  <si>
    <t>АК-74Н2 № 5267271</t>
  </si>
  <si>
    <t>КРАХМАЛЬОВ Дмитро Олегович</t>
  </si>
  <si>
    <t>КРАХМАЛ</t>
  </si>
  <si>
    <t>ППД Богинівка (літуни)</t>
  </si>
  <si>
    <t xml:space="preserve">АВ 963975
</t>
  </si>
  <si>
    <t>АК-74Н2 № 5529375</t>
  </si>
  <si>
    <t>865EBZ3551</t>
  </si>
  <si>
    <t>865EBZ3139</t>
  </si>
  <si>
    <t>ЛЕБЕДИНСЬКИЙ Іван Анатолійович</t>
  </si>
  <si>
    <t>ЛЕБІДЬ</t>
  </si>
  <si>
    <t>АК-74Н2 № 5536678</t>
  </si>
  <si>
    <t>865EBZ4338</t>
  </si>
  <si>
    <t>216975А/264</t>
  </si>
  <si>
    <t>ГАЛКІН Юрій Миколайович</t>
  </si>
  <si>
    <t>ЮГ</t>
  </si>
  <si>
    <t>АК-74Н2 № 4302217</t>
  </si>
  <si>
    <t>216903А</t>
  </si>
  <si>
    <t>СМОЛЯРЧУК Сергій Володимирович</t>
  </si>
  <si>
    <t xml:space="preserve">АГ 578643
</t>
  </si>
  <si>
    <t>АК-74Н2 № 5263665</t>
  </si>
  <si>
    <t>ЮХИМЧУК Максим Олегович</t>
  </si>
  <si>
    <t>ЮХИМ</t>
  </si>
  <si>
    <t>АК-74Н2 № 5984236</t>
  </si>
  <si>
    <t>ГОРБАТЬКО Сергій Григорович</t>
  </si>
  <si>
    <t>АК-74Н2 № 4174234</t>
  </si>
  <si>
    <t>водій-електрик 1 екіпажу перехоплювачів безпілотних літальних апаратів взводу перехоплювачів безпілотних літальних апаратів 1 піхотного батальйону</t>
  </si>
  <si>
    <t>СВІНЧЕНКО Юрій Олександрович</t>
  </si>
  <si>
    <t>СІКАЧ</t>
  </si>
  <si>
    <t>АГ 468201</t>
  </si>
  <si>
    <t>АК-74Н2 № 5263650</t>
  </si>
  <si>
    <t>865EBYU260</t>
  </si>
  <si>
    <t>ВРЕБ</t>
  </si>
  <si>
    <t>з 210 БР 425 ОШП 1428 від 11.11.25
У 13-го</t>
  </si>
  <si>
    <t>Роботи по ПТД</t>
  </si>
  <si>
    <t>АК-74Н2 № 4273067</t>
  </si>
  <si>
    <t>стрілець 2 мотопіхотного відділення 3 мотопіхотного взводу 2 мотопіхотної роти мотопіхотного батальйону</t>
  </si>
  <si>
    <t>ІГНАТЧЕНКО Сергій Олександрович</t>
  </si>
  <si>
    <t>АСІСТЕНТ</t>
  </si>
  <si>
    <t>майстер 1 екіпажу перехоплювачів безпілотних літальних апаратів взводу перехоплювачів безпілотних літальних апаратів 1 піхотного батальйону</t>
  </si>
  <si>
    <t>АК-74Н2 № 5988038</t>
  </si>
  <si>
    <t>865EBXM809</t>
  </si>
  <si>
    <t>Ремонт техніки у 13-го</t>
  </si>
  <si>
    <t>ПОПОВ Євген Олександрович</t>
  </si>
  <si>
    <t>4ШБ</t>
  </si>
  <si>
    <t>ДЖОН</t>
  </si>
  <si>
    <t>оператор безпілотних літальних апаратів 6 відділення безпілотних авіаційних комплексів взводу розвідки та корегування роти безпілотних авіаційних комплексів 4 штурмового батальйону військової частини А4862</t>
  </si>
  <si>
    <t>АК-74 № 1697445</t>
  </si>
  <si>
    <t>ДЕНЬГУБ Олександр Олександрович</t>
  </si>
  <si>
    <t>КОКС</t>
  </si>
  <si>
    <t>АК-74Н2 № 5987975</t>
  </si>
  <si>
    <t>865EBXN314</t>
  </si>
  <si>
    <t>водій-електрик 2 екіпажу перехоплювачів безпілотних літальних апаратів взводу перехоплювачів безпілотних літальних апаратів 1 піхотного батальйону</t>
  </si>
  <si>
    <t>вибули у 2ПБ 01.04.2026</t>
  </si>
  <si>
    <t>ЛЕПЕШКО Павло Чеславович</t>
  </si>
  <si>
    <t>ЛАТИШ</t>
  </si>
  <si>
    <t>оператор безпілотних літальних апаратів 5 відділення безпілотних авіаційних комплексів взводу розвідки та корегування роти безпілотних авіаційних комплексів 4 штурмового батальйону військової частини А4862</t>
  </si>
  <si>
    <t>КОЛЕСОВ Микола Володимирович</t>
  </si>
  <si>
    <t>ДАЗЛ</t>
  </si>
  <si>
    <t>АК-74 № 2358062</t>
  </si>
  <si>
    <t>АГ 096585</t>
  </si>
  <si>
    <t>АК-74Н2 № 5534492</t>
  </si>
  <si>
    <t>Прикоманд.</t>
  </si>
  <si>
    <t>оператор безпілотних літальних апаратів 2 екіпажу перехоплювачів безпілотних літальних апаратів взводу перехоплювачів безпілотних літальних апаратів 1 піхотного батальйону</t>
  </si>
  <si>
    <t xml:space="preserve">АГ 382331
</t>
  </si>
  <si>
    <t>не начислять доп. премию</t>
  </si>
  <si>
    <t>Дезертир</t>
  </si>
  <si>
    <t>АК-74Н2 № 5535970</t>
  </si>
  <si>
    <t>865EBXM836</t>
  </si>
  <si>
    <t>АК-74Н2 № 5236248</t>
  </si>
  <si>
    <t>865EBZ3930</t>
  </si>
  <si>
    <t>позиція АРІЯ</t>
  </si>
  <si>
    <t>ходил в СЗЧ</t>
  </si>
  <si>
    <t>СИНИЦИН Віктор Леонідович</t>
  </si>
  <si>
    <t>ТІРЕКС</t>
  </si>
  <si>
    <t>АК-74Н2 № 1516657</t>
  </si>
  <si>
    <t>865EBZ4216</t>
  </si>
  <si>
    <t>ВИШНЕВСЬКИЙ Олександр Валентинович</t>
  </si>
  <si>
    <t>ГЕНРІ</t>
  </si>
  <si>
    <t>АК-74Н2 № 6024272</t>
  </si>
  <si>
    <t>3ББС</t>
  </si>
  <si>
    <t>3 екіпаж перехоплювачів безпілотних літальних апаратів</t>
  </si>
  <si>
    <t>219264А</t>
  </si>
  <si>
    <t>ФРЕЮК Тарас Іванович</t>
  </si>
  <si>
    <t>ГАЗ</t>
  </si>
  <si>
    <t>КОСТИГІН Андрій Олександрович</t>
  </si>
  <si>
    <t>АК-74Н2 № 5540799</t>
  </si>
  <si>
    <t>865EBXN231</t>
  </si>
  <si>
    <t>04.04.2026 рапорт про смерть</t>
  </si>
  <si>
    <t>АК-74Н2 № 5988016</t>
  </si>
  <si>
    <t>КУРТІЯН Михайло Валерійович</t>
  </si>
  <si>
    <t>АГ 468340</t>
  </si>
  <si>
    <t>ШНЕК</t>
  </si>
  <si>
    <t>A(II) Rh –</t>
  </si>
  <si>
    <t>АК-74Н2 № 5534471</t>
  </si>
  <si>
    <t>865EBXM474</t>
  </si>
  <si>
    <t>АК-74Н2 № 5534465</t>
  </si>
  <si>
    <t>ЄФРЕМОВ Сергій Сергійович</t>
  </si>
  <si>
    <t>СКІФ</t>
  </si>
  <si>
    <t>АК-74Н2 № 5263896</t>
  </si>
  <si>
    <t>АВ 881217</t>
  </si>
  <si>
    <t>майстер 3 екіпажу перехоплювачів безпілотних літальних апаратів взводу перехоплювачів безпілотних літальних апаратів 1 піхотного батальйону</t>
  </si>
  <si>
    <t>АК-74Н2 № 1512031</t>
  </si>
  <si>
    <t>АГ 440520</t>
  </si>
  <si>
    <t>ДОЙЧЕВ Ян Володимирович</t>
  </si>
  <si>
    <t>ФЕЛІКС</t>
  </si>
  <si>
    <t>АК-74Н2 № 5204593</t>
  </si>
  <si>
    <t>865EBXM399</t>
  </si>
  <si>
    <t>АГ478352</t>
  </si>
  <si>
    <t>502468А</t>
  </si>
  <si>
    <t>СИТНОВ В`ячеслав Петрович</t>
  </si>
  <si>
    <t>СІТ</t>
  </si>
  <si>
    <t>начальник радіолокаційної станції взводу перехоплювачів безпілотних літальних апаратів 1 піхотного батальйону</t>
  </si>
  <si>
    <t>АК-74 № 4287709</t>
  </si>
  <si>
    <t>МО 404557</t>
  </si>
  <si>
    <t>вивіз Ісус на КЦ для переведення, 28.03.2026</t>
  </si>
  <si>
    <t>865EBXM451</t>
  </si>
  <si>
    <t>502542А</t>
  </si>
  <si>
    <t>865EBXM007</t>
  </si>
  <si>
    <t>НК 6184946</t>
  </si>
  <si>
    <t>АГ 485030</t>
  </si>
  <si>
    <t>ЯРЕМЧУК Олександр Васильович</t>
  </si>
  <si>
    <t>КРАСАВЧИК</t>
  </si>
  <si>
    <t>відвезли на 1200, 9.04.2026</t>
  </si>
  <si>
    <t>СЕВРЮКОВ Олексій Михайлович</t>
  </si>
  <si>
    <t>СЕРВ</t>
  </si>
  <si>
    <t>водій ТВО 3 стрілецького відділення 1 стрілецького взводу 4 стрілецької роти 2 батальйону територіальної оборони військової частини А7037</t>
  </si>
  <si>
    <t>КОМПАНІЄЦЬ Володимир Юрійович</t>
  </si>
  <si>
    <t>КИЇВ</t>
  </si>
  <si>
    <t>АК-74Н2 № 5233450</t>
  </si>
  <si>
    <t>865EBUB051</t>
  </si>
  <si>
    <t>Бічний кронштейн швидкозмінний АК-74/АКМ - 1шт.
Husqvarna M5110-258013,vin:215494</t>
  </si>
  <si>
    <t>віддали у 109обртро</t>
  </si>
  <si>
    <t>водій-електрик радіолокаційної станції взводу перехоплювачів безпілотних літальних апаратів 1 піхотного батальйону</t>
  </si>
  <si>
    <t>ШИНКАРЕНКО Олександр Сергійович</t>
  </si>
  <si>
    <t>ЛОБАТИЙ</t>
  </si>
  <si>
    <t>АК-74Н2 № 4076196</t>
  </si>
  <si>
    <t>КАСТАНЬЄДА ГОНСАЛЕС Лаура Алехандра</t>
  </si>
  <si>
    <t>865ECA5151</t>
  </si>
  <si>
    <t>ВАЛЬКІРІЯ</t>
  </si>
  <si>
    <t>Бічний кронштейн швидкозмінний АК-74/АКМ - 1шт.
FORTE FT300GY-C5D,vin:LB430Y5D2SC203904</t>
  </si>
  <si>
    <t>Знахарь</t>
  </si>
  <si>
    <t>ЗНАХАРЬ</t>
  </si>
  <si>
    <t>Водій автобуса</t>
  </si>
  <si>
    <t>по бумагам БУВ переведений у 155</t>
  </si>
  <si>
    <t>АК-74Н2 № 5480400</t>
  </si>
  <si>
    <t>865ECA5711</t>
  </si>
  <si>
    <t>Бічний кронштейн швидкозмінний АК-74/АКМ - 1шт.
FORTE FT300GY-C5D,vin:LB430Y5D2SC203899</t>
  </si>
  <si>
    <t>вибула на МР</t>
  </si>
  <si>
    <t>хуйня</t>
  </si>
  <si>
    <t>Зенітне ракетне відділення</t>
  </si>
  <si>
    <t>СТОЛПАКОВ Артем Григорович</t>
  </si>
  <si>
    <t>ШТУКА</t>
  </si>
  <si>
    <t>АВ 522662</t>
  </si>
  <si>
    <t>АК-74Н2 № 5998586</t>
  </si>
  <si>
    <t>865ECA5490</t>
  </si>
  <si>
    <t>АВ 374585</t>
  </si>
  <si>
    <t>МІНАЄВ Олексій Леонідович</t>
  </si>
  <si>
    <t>КУП'ЯК Павло Михайлович</t>
  </si>
  <si>
    <t xml:space="preserve">ТОКІО
</t>
  </si>
  <si>
    <t>АК-74Н2 № 1408313</t>
  </si>
  <si>
    <t>865ECA5221</t>
  </si>
  <si>
    <t>АГ 465464</t>
  </si>
  <si>
    <t>СМИРНОВ Артем Геннадійович</t>
  </si>
  <si>
    <t>БОМБА</t>
  </si>
  <si>
    <t>АК-74 № 5900266</t>
  </si>
  <si>
    <t>АК-74Н2 № 3277227</t>
  </si>
  <si>
    <t>865EBZ3937</t>
  </si>
  <si>
    <t>АГ 440721</t>
  </si>
  <si>
    <t>АВ 881354</t>
  </si>
  <si>
    <t>АК-74Н2 № 3275186</t>
  </si>
  <si>
    <t>865EBJT282</t>
  </si>
  <si>
    <t>водій зенітного ракетного відділення взводу перехоплювачів безпілотних літальних апаратів 1 піхотного батальйону</t>
  </si>
  <si>
    <t>АГ 453454</t>
  </si>
  <si>
    <t>ДОБРОВОЛЬСЬКИЙ Володимир Миколайович</t>
  </si>
  <si>
    <t>ДОЛАР</t>
  </si>
  <si>
    <t>АК-74Н2 № 4069324</t>
  </si>
  <si>
    <t>АГ 506435</t>
  </si>
  <si>
    <t>СВЄТЛІШЕН Павло Юрійович</t>
  </si>
  <si>
    <t>АІВ</t>
  </si>
  <si>
    <t>03.05.2026, Ліг на лікування в Житомирська БОЛ с. Троянів</t>
  </si>
  <si>
    <t>АК-74Н2 № 3268422</t>
  </si>
  <si>
    <t>865ECA5145</t>
  </si>
  <si>
    <t>Бічний кронштейн швидкозмінний АК-74/АКМ - 1шт.
Husqvarna M5110-258013,vin:215497</t>
  </si>
  <si>
    <t>11.08.2026
по хворобі, 28.08.2026 СЗЧ медрота</t>
  </si>
  <si>
    <t>0940013</t>
  </si>
  <si>
    <t>не бг до 13.01 МРТ, по результатам направлення на лікування</t>
  </si>
  <si>
    <t>був у відпостці з 31.12 до 02.01
для ДВ за січень</t>
  </si>
  <si>
    <t>АК-74Н2 № 4050172</t>
  </si>
  <si>
    <t>865ECA5526</t>
  </si>
  <si>
    <t>Бічний кронштейн швидкозмінний АК-74/АКМ - 1шт.
FORTE FT300GY-C5D,vin:LB430Y5J2RC248146</t>
  </si>
  <si>
    <t>АГ 577834</t>
  </si>
  <si>
    <t>БОЙКО Іван Володимирович</t>
  </si>
  <si>
    <t>106975А/182</t>
  </si>
  <si>
    <t>АК-74Н2 № 5471384</t>
  </si>
  <si>
    <t>865ECA5574</t>
  </si>
  <si>
    <t>Бічний кронштейн швидкозмінний АК-74/АКМ - 1шт.
FORTE FT300GY-C5D,vin:LB430Y5D1SC204025</t>
  </si>
  <si>
    <t>СЗЧ з кілхаусу 07.02.2026</t>
  </si>
  <si>
    <t>102915А</t>
  </si>
  <si>
    <t>АГ 007186</t>
  </si>
  <si>
    <t>ЧУВАКІН Сергій Олегович</t>
  </si>
  <si>
    <t>БІКС</t>
  </si>
  <si>
    <t>АК-74Н2 № 4050175</t>
  </si>
  <si>
    <t>865EBJT957</t>
  </si>
  <si>
    <t>АВРАМЕНКО Костянтин Михайлович</t>
  </si>
  <si>
    <t>СІЗИЙ</t>
  </si>
  <si>
    <t>від 13го, 04.02.2026</t>
  </si>
  <si>
    <t>АК-74Н2 № 4050192</t>
  </si>
  <si>
    <t>АВ 907232</t>
  </si>
  <si>
    <t>ГОРБУНОВ Петро Вікторович</t>
  </si>
  <si>
    <t>МУЗЯ</t>
  </si>
  <si>
    <t>ГУЗЕНКО Станіслав Станіславович</t>
  </si>
  <si>
    <t>СИНОК</t>
  </si>
  <si>
    <t>АК-74Н2 № 3270872</t>
  </si>
  <si>
    <t>865EBZ3711</t>
  </si>
  <si>
    <t>мехвод 1М30</t>
  </si>
  <si>
    <t>515810А</t>
  </si>
  <si>
    <t>166182А</t>
  </si>
  <si>
    <t>старший оператор розвідувального взводу 1 піхотного батальйону</t>
  </si>
  <si>
    <t>АК-74Н2 № 4035250</t>
  </si>
  <si>
    <t>МАКОТА Віталій Богданович</t>
  </si>
  <si>
    <t>ВІДЬМАК</t>
  </si>
  <si>
    <t>АК-74Н2 № 5998579</t>
  </si>
  <si>
    <t>865EBXN438</t>
  </si>
  <si>
    <t>АК-74Н2 № 3265022</t>
  </si>
  <si>
    <t>АГ 630206</t>
  </si>
  <si>
    <t>ГЕКТАР Євген Юрійович</t>
  </si>
  <si>
    <t>ТІК-ТАК</t>
  </si>
  <si>
    <t>АК-74Н2 № 3277197</t>
  </si>
  <si>
    <t xml:space="preserve">СЗЧ з качалки у Дніпрі 16.01.26 </t>
  </si>
  <si>
    <t>30.03.2026 поїхали з Кіпішем на М1117</t>
  </si>
  <si>
    <t>АК-74Н2 № 3277920</t>
  </si>
  <si>
    <t>МАЦАЦЕНКО Артур Миколайович</t>
  </si>
  <si>
    <t>ЯШКА</t>
  </si>
  <si>
    <t>СО 573999</t>
  </si>
  <si>
    <t>НАЗАРЕНКО Олександр Олександрович (09.10.1985 р.н.)</t>
  </si>
  <si>
    <t>АК-74Н2 № 5923935</t>
  </si>
  <si>
    <t>865EBZ7413</t>
  </si>
  <si>
    <t>АГ 102513 /
 АВ 244429</t>
  </si>
  <si>
    <t>АК-74Н2 № 1385782</t>
  </si>
  <si>
    <t>865EBXM424</t>
  </si>
  <si>
    <t>СЗЧ з побаченння 24.01.26</t>
  </si>
  <si>
    <t>АК-74Н2 № 5923883</t>
  </si>
  <si>
    <t>865EBNG382</t>
  </si>
  <si>
    <t>АГ 567523</t>
  </si>
  <si>
    <t>АК-74Н2 № 1366947</t>
  </si>
  <si>
    <t>КИРИЛЕНКО Володимир Олександрович</t>
  </si>
  <si>
    <t>865EBZ7521</t>
  </si>
  <si>
    <t>АК-74Н2 № 4625555</t>
  </si>
  <si>
    <t>ВЛК 01.07.2026</t>
  </si>
  <si>
    <t>АК-74Н2 № 4653887</t>
  </si>
  <si>
    <t>АГ 107654</t>
  </si>
  <si>
    <t>АК-74Н2 № 3273061</t>
  </si>
  <si>
    <t>вибув з МР на полі Б 02.03.2026</t>
  </si>
  <si>
    <t>АК-74Н2 № 5998514</t>
  </si>
  <si>
    <t>865EZPE629</t>
  </si>
  <si>
    <t>МОЛЬКО Микола Олександрович</t>
  </si>
  <si>
    <t>МОЛЬ</t>
  </si>
  <si>
    <t>24.03.2026
26.03.2026</t>
  </si>
  <si>
    <t>500
200</t>
  </si>
  <si>
    <t>865EZPE639</t>
  </si>
  <si>
    <t>АГ 463956</t>
  </si>
  <si>
    <t>БУШУЄВ Леонід Володимирович</t>
  </si>
  <si>
    <t>БУШ</t>
  </si>
  <si>
    <t>РУСТАМОВ Руслан Раджабович</t>
  </si>
  <si>
    <t>РАДЖА</t>
  </si>
  <si>
    <t>АК-74Н2 № 5536004</t>
  </si>
  <si>
    <t>АК-74Н2 № 3265050</t>
  </si>
  <si>
    <t>674543А</t>
  </si>
  <si>
    <t>оператор розвідувального взводу 1 піхотного батальйону</t>
  </si>
  <si>
    <t>ЛЬОЗНИЙ Данило Євгенович</t>
  </si>
  <si>
    <t>РИЦИК</t>
  </si>
  <si>
    <t>АГ 454990</t>
  </si>
  <si>
    <t>РЕХТЕТА Олександр Олександрович</t>
  </si>
  <si>
    <t>РЕЙХ</t>
  </si>
  <si>
    <t>АК-74Н2 № 5923826</t>
  </si>
  <si>
    <t>865EBJT270</t>
  </si>
  <si>
    <t>АК-74Н2 № 4273004</t>
  </si>
  <si>
    <t>АК-74Н2 № 1516647</t>
  </si>
  <si>
    <t>865EBJR882</t>
  </si>
  <si>
    <t>приком</t>
  </si>
  <si>
    <t>КОВТОНЮК Юлія Сергіївна</t>
  </si>
  <si>
    <t>МАЛИШКА</t>
  </si>
  <si>
    <t>Гіпертонія</t>
  </si>
  <si>
    <t>АК-74Н2 № 5498796</t>
  </si>
  <si>
    <t>до 04.08.26</t>
  </si>
  <si>
    <t>АК-74Н2 № 5973222</t>
  </si>
  <si>
    <t>АК-74Н2 № 5490421</t>
  </si>
  <si>
    <t>865EYU1816</t>
  </si>
  <si>
    <t>Закінчення курсу 15.11.25</t>
  </si>
  <si>
    <t>АК-74 № 4289253</t>
  </si>
  <si>
    <t>865EZX0255</t>
  </si>
  <si>
    <t>БОРОВІТЧЕНКО Юрій Миколайович</t>
  </si>
  <si>
    <t>ТУТУ</t>
  </si>
  <si>
    <t>БОР</t>
  </si>
  <si>
    <t>АК-74Н2 № 3273276</t>
  </si>
  <si>
    <t>по пораненню
ПРИБУВ після СЗЧ 26.05.26</t>
  </si>
  <si>
    <t>АК-74Н2 № 5998314</t>
  </si>
  <si>
    <t>865EBJT475</t>
  </si>
  <si>
    <t>АГ 246169</t>
  </si>
  <si>
    <t>10
нерв
переведення</t>
  </si>
  <si>
    <t>ЛЮКС</t>
  </si>
  <si>
    <t>АК-74Н2 № 4635654</t>
  </si>
  <si>
    <t>АК-74Н2 № 5504489</t>
  </si>
  <si>
    <t>навідник розвідувального взводу 1 піхотного батальйону</t>
  </si>
  <si>
    <t>ПОДТОПТАНИЙ Ярослав Вячеславович</t>
  </si>
  <si>
    <t>ПОКЕМОН</t>
  </si>
  <si>
    <t>АК-74Н2 № 5498783</t>
  </si>
  <si>
    <t>865EAKF523</t>
  </si>
  <si>
    <t>АК-74Н2 № 4055073</t>
  </si>
  <si>
    <t>номер обслуги розвідувального взводу 1 піхотного батальйону</t>
  </si>
  <si>
    <t>АГ 013951</t>
  </si>
  <si>
    <t>ЛИС</t>
  </si>
  <si>
    <t>БОНДАРЕНКО Олександр Анатолійович (21.02.1979 р.н.)</t>
  </si>
  <si>
    <t>АК-74Н2 № 1364908</t>
  </si>
  <si>
    <t>865EZV1302</t>
  </si>
  <si>
    <t>ШТАБ</t>
  </si>
  <si>
    <t>н.п. Мирне</t>
  </si>
  <si>
    <t xml:space="preserve">КНП ОКЛ ім. І. Пирогова ВОР м. Вінниця з 09.02.2026
</t>
  </si>
  <si>
    <t>АК-74Н2 № 3277259</t>
  </si>
  <si>
    <t>865EBJT157</t>
  </si>
  <si>
    <t>радіотелефоніст розвідувального взводу 1 піхотного батальйону</t>
  </si>
  <si>
    <t>МІТРОФАНОВ Володимир Миколайович</t>
  </si>
  <si>
    <t>АГ 575899</t>
  </si>
  <si>
    <t>АК-74Н2 № 3273270</t>
  </si>
  <si>
    <t>865EBJR977</t>
  </si>
  <si>
    <t>БРОДСЬКИЙ Андрій Михайлович</t>
  </si>
  <si>
    <t>КАКТУС</t>
  </si>
  <si>
    <t>АК-74Н2 № 4593856</t>
  </si>
  <si>
    <t>Від 13-го 05.07.2026</t>
  </si>
  <si>
    <t>3ББС, 07.04.2026</t>
  </si>
  <si>
    <t>865EBJT943</t>
  </si>
  <si>
    <t>відділення безпілотних авіаційних комплексів</t>
  </si>
  <si>
    <t>АГ 105518</t>
  </si>
  <si>
    <t>СЕЛІН Артем Анатолійович</t>
  </si>
  <si>
    <t>КОЛІЄНКО Сергій Васильович</t>
  </si>
  <si>
    <t>АК-74 № 4646629</t>
  </si>
  <si>
    <t>КІРОТС</t>
  </si>
  <si>
    <t>865EZP0853</t>
  </si>
  <si>
    <t>н/д</t>
  </si>
  <si>
    <t>Водій квадроциклу
У 13-го</t>
  </si>
  <si>
    <t>АК-74Н2 № 5437082</t>
  </si>
  <si>
    <t>25ОДШБ</t>
  </si>
  <si>
    <t>за списком 24.04.2026</t>
  </si>
  <si>
    <t>АК-74 № 2052238</t>
  </si>
  <si>
    <t>РАДЧУК Володимир Васильович</t>
  </si>
  <si>
    <t>РАДІК</t>
  </si>
  <si>
    <t>АК-74Н2 № 3277221</t>
  </si>
  <si>
    <t>865EBJT315</t>
  </si>
  <si>
    <t>АК-74Н2 № 5998495</t>
  </si>
  <si>
    <t>ЦЕПУХ Іван Ярославович</t>
  </si>
  <si>
    <t>ЧІРІК</t>
  </si>
  <si>
    <t>ПАВЕЛЬЧУК Олександр Олександрович</t>
  </si>
  <si>
    <t>СІПЛИЙ</t>
  </si>
  <si>
    <t>865EZE3624</t>
  </si>
  <si>
    <t xml:space="preserve">АВ 784600
</t>
  </si>
  <si>
    <t>РУДОЙ Сергій Вікторович</t>
  </si>
  <si>
    <t>РУБІК</t>
  </si>
  <si>
    <t>АК-74Н2 № 5445707</t>
  </si>
  <si>
    <t>ЗАРУБІН Павло Анатолійович</t>
  </si>
  <si>
    <t>ЗАРІК</t>
  </si>
  <si>
    <t>АК-74Н2 № 5471305</t>
  </si>
  <si>
    <t>166855А</t>
  </si>
  <si>
    <t>АВ 979724</t>
  </si>
  <si>
    <t>АК-74 № 6341574</t>
  </si>
  <si>
    <t>МАРУНЯК Андрій Володимирович</t>
  </si>
  <si>
    <t>ЛОЗЕНКО Денис Сергійович</t>
  </si>
  <si>
    <t>ФАКІЛ</t>
  </si>
  <si>
    <t>ДЕКОЙ</t>
  </si>
  <si>
    <t>КЛЮКІН Станіслав Олександрович</t>
  </si>
  <si>
    <t>АК-74Н2 № 5998426</t>
  </si>
  <si>
    <t>865EBJS001</t>
  </si>
  <si>
    <t>МОЛОКОВ Роман Олегович</t>
  </si>
  <si>
    <t>ДЗИБА</t>
  </si>
  <si>
    <t>вивезли за попередніми списками 14.04.2026</t>
  </si>
  <si>
    <t>АК-74Н2 № 5471397</t>
  </si>
  <si>
    <t>знає італійську, англійську</t>
  </si>
  <si>
    <t>АГ 128491</t>
  </si>
  <si>
    <t>Діловод-фінансист</t>
  </si>
  <si>
    <t>БЄКЄТОВ Олександр Геннадійович</t>
  </si>
  <si>
    <t>АК-74Н2 № 1501347</t>
  </si>
  <si>
    <t>БЕКЕТ</t>
  </si>
  <si>
    <t>водій інженерно-саперного відділення 1 піхотного батальйону</t>
  </si>
  <si>
    <t>865EBWP043</t>
  </si>
  <si>
    <t>БРИК Андрій Григорович</t>
  </si>
  <si>
    <t>ХАМУТ</t>
  </si>
  <si>
    <t>АК-74Н2 № 4640046</t>
  </si>
  <si>
    <t>АК-74Н2 № 3275188</t>
  </si>
  <si>
    <t>АК-74Н2 № 5998501</t>
  </si>
  <si>
    <t>НІМЧИН Владислав Андрійович</t>
  </si>
  <si>
    <t>ФАШИСТ</t>
  </si>
  <si>
    <t>АК-74 № 205506</t>
  </si>
  <si>
    <t>Водій DEAWOO
У Хакера</t>
  </si>
  <si>
    <t>ТОЛЯН</t>
  </si>
  <si>
    <t>АГ 430911</t>
  </si>
  <si>
    <t>ТАТАРЕНКО Андрій Григорович</t>
  </si>
  <si>
    <t xml:space="preserve">  ГОРОХ</t>
  </si>
  <si>
    <t>CZ BREN 2 № J142422</t>
  </si>
  <si>
    <t>CZ BREN 2 № J315413</t>
  </si>
  <si>
    <t>865EAQR583</t>
  </si>
  <si>
    <t>865ECB1703, 09.06.2026 скинули</t>
  </si>
  <si>
    <t>ТПВ № 4180</t>
  </si>
  <si>
    <t>КРИВЦУН Максим Анатолійович</t>
  </si>
  <si>
    <t>СНІДКОВ Олександр Геннадійович</t>
  </si>
  <si>
    <t>БЕШЕНИЙ</t>
  </si>
  <si>
    <t>БАНАН</t>
  </si>
  <si>
    <t>АК-74Н2 № 5437697</t>
  </si>
  <si>
    <t>АК-74Н2 № 5921513</t>
  </si>
  <si>
    <t>будівельники</t>
  </si>
  <si>
    <t>865EBRB656</t>
  </si>
  <si>
    <t>АГ 076701</t>
  </si>
  <si>
    <t>ВОЙКО Анатолій Васильович</t>
  </si>
  <si>
    <t>АК-74 № 1709984</t>
  </si>
  <si>
    <t>АК-74Н2 № 6024227</t>
  </si>
  <si>
    <t>ТПВ № 4186</t>
  </si>
  <si>
    <t>АК-74Н2 № 5484963</t>
  </si>
  <si>
    <t>ФІОНОСТОВ Валерій Володимирович</t>
  </si>
  <si>
    <t>інженерно саперна справа, 07.04.2026</t>
  </si>
  <si>
    <t>АК-74 № 2097882</t>
  </si>
  <si>
    <t>865EZX0158</t>
  </si>
  <si>
    <t>545182А</t>
  </si>
  <si>
    <t>АК-74 № 208535</t>
  </si>
  <si>
    <t>865EZPC279</t>
  </si>
  <si>
    <t>АК-74Н2 № 5980177</t>
  </si>
  <si>
    <t>вийшов з позиції 08.04.2026</t>
  </si>
  <si>
    <t>виїхав у 157омбр 25.04</t>
  </si>
  <si>
    <t>АК-74Н2 № 3270890</t>
  </si>
  <si>
    <t>АВ 557885</t>
  </si>
  <si>
    <t>АГ 109840</t>
  </si>
  <si>
    <t>РЄШИК</t>
  </si>
  <si>
    <t>ПЕШКО Олег Олександрович</t>
  </si>
  <si>
    <t>КАЛЬЯНЩИК</t>
  </si>
  <si>
    <t>В(III) Rh-</t>
  </si>
  <si>
    <t>АК-74Н2 № 5998453</t>
  </si>
  <si>
    <t>АК-74Н2 № 6289377</t>
  </si>
  <si>
    <t>Мастер на гарячу лінію</t>
  </si>
  <si>
    <t>АГ 606109</t>
  </si>
  <si>
    <t>АК-74Н2 № 4310196</t>
  </si>
  <si>
    <t>865EAZ8874</t>
  </si>
  <si>
    <t>БІЛОУСОВ Вадим Олександрович</t>
  </si>
  <si>
    <t>ЦАХ</t>
  </si>
  <si>
    <t>ПРИКОМ</t>
  </si>
  <si>
    <t>Дельта, Кропива з 01.04.2026</t>
  </si>
  <si>
    <t>Исключен по строевой от 30.04.2026</t>
  </si>
  <si>
    <t>АК-74 № 1981917</t>
  </si>
  <si>
    <t>865EBA5099</t>
  </si>
  <si>
    <t>ппо</t>
  </si>
  <si>
    <t>АК-74Н2 № 5536717</t>
  </si>
  <si>
    <t>СКРИПНИК Руслан Олегович</t>
  </si>
  <si>
    <t>АК-74Н2 № 1338371</t>
  </si>
  <si>
    <t>865EAY0311</t>
  </si>
  <si>
    <t>до 30.08.2026</t>
  </si>
  <si>
    <t>АК-74 № 3251159</t>
  </si>
  <si>
    <t>АГ 128217</t>
  </si>
  <si>
    <t>АК-74 № 5535738</t>
  </si>
  <si>
    <t>ВИНОКУРОВ Володимир Олександрович</t>
  </si>
  <si>
    <t>ЦИПА</t>
  </si>
  <si>
    <t>АК-74 № 4657888</t>
  </si>
  <si>
    <t>865EBLN443</t>
  </si>
  <si>
    <t>виносна антена ПАУК (кабель 15 метрів) для портативних радіостанцій типу Motorola б/н – 1 шт.</t>
  </si>
  <si>
    <t>АК-74Н2 № 5974260</t>
  </si>
  <si>
    <t>АК-74 № 6334215</t>
  </si>
  <si>
    <t>865EBA0313</t>
  </si>
  <si>
    <t>до 06.03.2026</t>
  </si>
  <si>
    <t>АК-74 № 1658027</t>
  </si>
  <si>
    <t>ОМЕЛЬЧЕНКО Максим Сергійович</t>
  </si>
  <si>
    <t>АК-74 № 4238178</t>
  </si>
  <si>
    <t>АГ 152381</t>
  </si>
  <si>
    <t>АТРАХОВ Олександр Анатолійович</t>
  </si>
  <si>
    <t>ШКЄТ</t>
  </si>
  <si>
    <t>АК-74 № 1967643</t>
  </si>
  <si>
    <t>CZ Bren 2 № J216554</t>
  </si>
  <si>
    <t>АК-74Н2 № 5471410</t>
  </si>
  <si>
    <t>АГ 535243</t>
  </si>
  <si>
    <t>АК-74 № 1960059</t>
  </si>
  <si>
    <t>ДУГА</t>
  </si>
  <si>
    <t>з ППД В 11.04.2026</t>
  </si>
  <si>
    <t>АК-74Н2 № 5484922</t>
  </si>
  <si>
    <t>Навідник М1117
У Британця</t>
  </si>
  <si>
    <t>Навідник М1117</t>
  </si>
  <si>
    <t>АГ 463309</t>
  </si>
  <si>
    <t>420147А</t>
  </si>
  <si>
    <t>АК-74Н2 № 5247892</t>
  </si>
  <si>
    <t>АК-74Н2 № 5529368</t>
  </si>
  <si>
    <t>Відділення управління командира батальйону</t>
  </si>
  <si>
    <t>420975А/182</t>
  </si>
  <si>
    <t>пошук позиції</t>
  </si>
  <si>
    <t>АК-74Н2 № 4593819</t>
  </si>
  <si>
    <t>865EBJS001 + павук</t>
  </si>
  <si>
    <t>старший радіотелефоніст відділення управління командира батальйону взводу зв'язку 1 піхотного батальйону</t>
  </si>
  <si>
    <t>МО 701873</t>
  </si>
  <si>
    <t>АГ 007865</t>
  </si>
  <si>
    <t>ГРОЗА Олександр Олександрович</t>
  </si>
  <si>
    <t>АК-74Н2 № 5923983</t>
  </si>
  <si>
    <t>ПОГРІБНИЙ Віталій Іванович</t>
  </si>
  <si>
    <t>ГРОЗА</t>
  </si>
  <si>
    <t>865EBCJ929 + павук</t>
  </si>
  <si>
    <t>ГЛОВО</t>
  </si>
  <si>
    <t>АК-74Н2 № 3241814</t>
  </si>
  <si>
    <t>по пораненню МЛ№3 м.Полтава</t>
  </si>
  <si>
    <t>по пораненню
прибув після СЗЧ 28.05.2026</t>
  </si>
  <si>
    <t>АК-74Н2 № 5534452</t>
  </si>
  <si>
    <t>АГ 009917</t>
  </si>
  <si>
    <t>ФУРДАЛЕНКО Андрій Олександрович</t>
  </si>
  <si>
    <t>ФУРМАН</t>
  </si>
  <si>
    <t>СЛІПЧУК Юрій Михайлович</t>
  </si>
  <si>
    <t>КРАСС</t>
  </si>
  <si>
    <t>АК-74Н2 № 5924874</t>
  </si>
  <si>
    <t>позиція ВЕСТ</t>
  </si>
  <si>
    <t>АК-74Н2 № 5987983
 кулемет MINIMI FN 153419</t>
  </si>
  <si>
    <t>радіотелефоніст відділення управління командира батальйону взводу зв'язку 1 піхотного батальйону</t>
  </si>
  <si>
    <t>865EBX3435 + павук</t>
  </si>
  <si>
    <t>АГ 575329</t>
  </si>
  <si>
    <t>ПАНЧЕВ Михайло Іванович</t>
  </si>
  <si>
    <t>АК-74Н2 № 5449125</t>
  </si>
  <si>
    <t>АК-74Н2 № 5480417
 кулемет MINIMI FN 153435</t>
  </si>
  <si>
    <t>865EYU1816 + павук</t>
  </si>
  <si>
    <t xml:space="preserve">АГ 504652
</t>
  </si>
  <si>
    <t>АГ 397361</t>
  </si>
  <si>
    <t>АПОСТОЛОВ Віктор Вікторович</t>
  </si>
  <si>
    <t>ВІЦИН</t>
  </si>
  <si>
    <t>АК-74Н2 № 5271506</t>
  </si>
  <si>
    <t>865EYSC620 + павук</t>
  </si>
  <si>
    <t>водій-електрик відділення управління штабу батальйону взводу зв'язку 1 піхотного батальйону</t>
  </si>
  <si>
    <t>АК-74Н2 № 5989739
  кулемет FN Mag 195453</t>
  </si>
  <si>
    <t>474543А/641</t>
  </si>
  <si>
    <t>АГ 596839</t>
  </si>
  <si>
    <t>АК-74Н2 № 5493011</t>
  </si>
  <si>
    <t>865EBX3154 + павук (винесли)
865EBLU270 + павук (списано)</t>
  </si>
  <si>
    <t>УЛАНОВСЬКИЙ Микола Анатолiйович</t>
  </si>
  <si>
    <t>БУРЛАКОВ Ігор Геннадійович</t>
  </si>
  <si>
    <t>БРОДЯГА</t>
  </si>
  <si>
    <t>Вместо Зіми
до 10.09.2026</t>
  </si>
  <si>
    <t>АК-74Н2 № 5499842</t>
  </si>
  <si>
    <t>РУДИЙ Віталій Олександрович</t>
  </si>
  <si>
    <t>ЖАХ</t>
  </si>
  <si>
    <t>АК-74 № 6280544</t>
  </si>
  <si>
    <t>АВ 881117</t>
  </si>
  <si>
    <t>865EBNU174 + павук</t>
  </si>
  <si>
    <t>АК-74Н2 № 1479428</t>
  </si>
  <si>
    <t>865EBX2945 + павук</t>
  </si>
  <si>
    <t>АГ 382491</t>
  </si>
  <si>
    <t>АК-74Н2 № 3278143</t>
  </si>
  <si>
    <t>06.01 вибув з медроти на Полігон К
ПРИБУВ 16.08.2026 з медроти</t>
  </si>
  <si>
    <t>желание служить нет ВЛК 02.07.2026</t>
  </si>
  <si>
    <t>ТОЦЬКИЙ Іван Анатолійович</t>
  </si>
  <si>
    <t>старший радіотелефоніст радіовідділення взводу зв'язку 1 піхотного батальйону</t>
  </si>
  <si>
    <t>АГ 452721</t>
  </si>
  <si>
    <t>АК-74Н2 № 4042923</t>
  </si>
  <si>
    <t>865EBQ6673 + павук</t>
  </si>
  <si>
    <t>ГАЙДАЙ Сергій Леонідович</t>
  </si>
  <si>
    <t>АК-74Н2 № 5903064</t>
  </si>
  <si>
    <t>СЕМЕНЕНКО Андрій Васильович</t>
  </si>
  <si>
    <t>мати инвалид, заключение есть</t>
  </si>
  <si>
    <t>МУДРЕЦЬ</t>
  </si>
  <si>
    <t>водій-електрик радіовідділення взводу зв'язку 1 піхотного батальйону</t>
  </si>
  <si>
    <t>АК-74Н2 № 3230812</t>
  </si>
  <si>
    <t>865EBZ3118 + павук</t>
  </si>
  <si>
    <t>ГРІЗЛІ</t>
  </si>
  <si>
    <t>АК-74 № 5932001</t>
  </si>
  <si>
    <t>865EBYU259 + павук</t>
  </si>
  <si>
    <t>АГ 455586</t>
  </si>
  <si>
    <t>ЧУМАЧЕНКО Дмитро Васильович</t>
  </si>
  <si>
    <t>радіотелефоніст радіовідділення взводу зв'язку 1 піхотного батальйону</t>
  </si>
  <si>
    <t>АК-74Н2 № 5471318</t>
  </si>
  <si>
    <t>АК-74Н2 № 5493026</t>
  </si>
  <si>
    <t>865EASN640 + павук</t>
  </si>
  <si>
    <t>РОМАНКО Вячеслав Миколайович</t>
  </si>
  <si>
    <t>АГ 128219</t>
  </si>
  <si>
    <t>АК-74Н2 № 5923792</t>
  </si>
  <si>
    <t>ЖМАК Олександр Сергійович</t>
  </si>
  <si>
    <t>ЖМАК</t>
  </si>
  <si>
    <t>старший телефоніст відділення зв'язку взводу зв'язку 1 піхотного батальйону</t>
  </si>
  <si>
    <t>УН 1166856</t>
  </si>
  <si>
    <t>НАГОРНИЙ Віталій Миколайович (16.02.1977 р.н.)</t>
  </si>
  <si>
    <t>АК-74 № 3771076
 Гранатомет AGL-53 №43425061</t>
  </si>
  <si>
    <t>865EBX3414</t>
  </si>
  <si>
    <t>СЗЧ 03.03.26 с спортзала</t>
  </si>
  <si>
    <t>АГ 155605</t>
  </si>
  <si>
    <t>АК-74Н2 № 5471299</t>
  </si>
  <si>
    <t>865EBNU090 + павук</t>
  </si>
  <si>
    <t>ремонт мотоциклів, квадріків, будівельки</t>
  </si>
  <si>
    <t>790037А/233</t>
  </si>
  <si>
    <t>АК-74Н2 № 5442921</t>
  </si>
  <si>
    <t>АГ 436850</t>
  </si>
  <si>
    <t>ТВО кулеметник 3 піхотного відділення 1 піхотного взводу 2 піхотної роти 1 піхотного батальйону</t>
  </si>
  <si>
    <t>БАКША Вадим Віталійович</t>
  </si>
  <si>
    <t>АК-74 № 2094691</t>
  </si>
  <si>
    <t>4ШБ
ОП, БР 2453 від 20.08.26</t>
  </si>
  <si>
    <t>ТВО стрілець-помічник гранатометника 1 піхотного відділення 1 піхотного взводу 1 піхотної роти 1 піхотного батальйону</t>
  </si>
  <si>
    <t>АК-74 № 2439574</t>
  </si>
  <si>
    <t>865EAUD396 + павук</t>
  </si>
  <si>
    <t>АК-74Н2 № 5534460</t>
  </si>
  <si>
    <t>АК-74 № 6257109</t>
  </si>
  <si>
    <t>865EBZ3596 + павук</t>
  </si>
  <si>
    <t>ЗВЕНІГОРОДСЬКИЙ Олег Іванович</t>
  </si>
  <si>
    <t>КОБИЛКО Євген Григорович</t>
  </si>
  <si>
    <t>ПІОН</t>
  </si>
  <si>
    <t>БОБРИК</t>
  </si>
  <si>
    <t>АК-74Н2 № 5278455</t>
  </si>
  <si>
    <t>865EZP1230 + павук</t>
  </si>
  <si>
    <t>АК-74Н2 № 4635627</t>
  </si>
  <si>
    <t>ТПВ №4189</t>
  </si>
  <si>
    <t>ПЕХА Руслан Павлович</t>
  </si>
  <si>
    <t>SAFARI HG-105M
 №XK 37-H25YB-025901</t>
  </si>
  <si>
    <t>АГ 090486</t>
  </si>
  <si>
    <t>АК-74Н2 № 5536667</t>
  </si>
  <si>
    <t>865EBXM006</t>
  </si>
  <si>
    <t>МОРОЗОВ Віктор Вікторович (27.03.1988 р.н.)</t>
  </si>
  <si>
    <t>по пораненню "09.12.2025
Проходить ВЛК"</t>
  </si>
  <si>
    <t>УРАГАН</t>
  </si>
  <si>
    <t>БУЛА Призупинення служби</t>
  </si>
  <si>
    <t>НАУМЕНКО Дмитро Сергійович</t>
  </si>
  <si>
    <t>зброя у 13</t>
  </si>
  <si>
    <t>787147А</t>
  </si>
  <si>
    <t>25.12.2025 - 23.06.2026</t>
  </si>
  <si>
    <t xml:space="preserve">ГРУШЕВСЬКИЙ Дмитро Станіславович
</t>
  </si>
  <si>
    <t>АК-74Н2 № 5490313</t>
  </si>
  <si>
    <t>АК-74Н2 № 5498774</t>
  </si>
  <si>
    <t>865EBL8978</t>
  </si>
  <si>
    <t>АГ 006203</t>
  </si>
  <si>
    <t>РІЗАК</t>
  </si>
  <si>
    <t>АК-74Н2 № 5989667</t>
  </si>
  <si>
    <t>865EBJT506</t>
  </si>
  <si>
    <t>788827А</t>
  </si>
  <si>
    <t>старший кухар господарчого відділення взводу матеріально-технічного забезпечення 1 піхотного батальйону</t>
  </si>
  <si>
    <t>КУТ</t>
  </si>
  <si>
    <t>АК-74 № 1967156</t>
  </si>
  <si>
    <t>по пораненню 25.04.2026</t>
  </si>
  <si>
    <t>ПЄША</t>
  </si>
  <si>
    <t>АК-74Н2 № 3273021</t>
  </si>
  <si>
    <t>УН 1056529</t>
  </si>
  <si>
    <t>865EZZ1478 + виносна антена ПАУК
865EBYU296 + виносна антена ПАУК</t>
  </si>
  <si>
    <t>АК-74Н2 № 4047737</t>
  </si>
  <si>
    <t>по пораненню до 18.06.2026</t>
  </si>
  <si>
    <t>ЯКУШ</t>
  </si>
  <si>
    <t>АК-74Н2 № 5236267</t>
  </si>
  <si>
    <t>АГ 523126</t>
  </si>
  <si>
    <t>КАЛЕМБРІК Юрій Сергійович</t>
  </si>
  <si>
    <t>ТПВ №4188</t>
  </si>
  <si>
    <t>ПЕТРОВ В'ячеслав Олексійович</t>
  </si>
  <si>
    <t>ЩАСЛИВЧИК</t>
  </si>
  <si>
    <t>АК-74Н2 № 4640061</t>
  </si>
  <si>
    <t>26.06.2026
по пораненню, 26.08.2026 СЗЧ медрота</t>
  </si>
  <si>
    <t>АВ 990975</t>
  </si>
  <si>
    <t>АК-74Н2 № 5247861</t>
  </si>
  <si>
    <t>АВ 881342</t>
  </si>
  <si>
    <t>ЮРЧЕНКО Володимир Петрович</t>
  </si>
  <si>
    <t>НАГАР</t>
  </si>
  <si>
    <t>Очікує посади для початку роботи</t>
  </si>
  <si>
    <t>АК-74 № 2110817</t>
  </si>
  <si>
    <t>788569А</t>
  </si>
  <si>
    <t>кухар господарчого відділення взводу матеріально-технічного забезпечення 1 піхотного батальйону</t>
  </si>
  <si>
    <t>у Никити по дороге на МР 06.02.2026</t>
  </si>
  <si>
    <t>АК-74Н2 № 3227382</t>
  </si>
  <si>
    <t>МАСЛОВ Олег Сергійович</t>
  </si>
  <si>
    <t>ПІДГАЄЦЬ Юрій Миколайович</t>
  </si>
  <si>
    <t>ГУЧІ</t>
  </si>
  <si>
    <t>АК-74Н2 № 1348897</t>
  </si>
  <si>
    <t>ПРИСЯЖНЮК Геннадій Вікторович</t>
  </si>
  <si>
    <t>ПИЛА</t>
  </si>
  <si>
    <t>АГ 013349</t>
  </si>
  <si>
    <t>ГАВРЮЧЕНКО Олександр Ігорович</t>
  </si>
  <si>
    <t>ХЕЛПЕКС</t>
  </si>
  <si>
    <t>АК-74Н2 № 5980151</t>
  </si>
  <si>
    <t>865EBXM187 + виносна антена ПАУК</t>
  </si>
  <si>
    <t>АВ 225625</t>
  </si>
  <si>
    <t>ЗАТОКА</t>
  </si>
  <si>
    <t>АК-74Н2 № 5536160</t>
  </si>
  <si>
    <t>по хворобі 27.03.2026</t>
  </si>
  <si>
    <t>зброю евакуйовано</t>
  </si>
  <si>
    <t>з 17.01.2026 МКЛ №4 м.Дніпро</t>
  </si>
  <si>
    <t>У 13-го</t>
  </si>
  <si>
    <t>СОШИН Сергій Миколайович</t>
  </si>
  <si>
    <t>АГ 102954</t>
  </si>
  <si>
    <t>АК-74Н2 № 5442896</t>
  </si>
  <si>
    <t>865EAPR948 + виносна антена ПАУК</t>
  </si>
  <si>
    <t>Автомобільне відділення</t>
  </si>
  <si>
    <t>790182А</t>
  </si>
  <si>
    <t>ГРИНЬКО Володимир Сергійович</t>
  </si>
  <si>
    <t>ВИСКОЧКА</t>
  </si>
  <si>
    <t>АК-74Н2 № 4042889</t>
  </si>
  <si>
    <t>МО 737266</t>
  </si>
  <si>
    <t>САВЧУК Роман Вікторович</t>
  </si>
  <si>
    <t>МАЧКОВСЬКИЙ Владислав Артурович</t>
  </si>
  <si>
    <t>СОДА</t>
  </si>
  <si>
    <t>АК-74 № 4447225</t>
  </si>
  <si>
    <t>865EBX2312 + виносна антена ПАУК</t>
  </si>
  <si>
    <t>по пораненню  Савчук Роман: проходить ВЛК 22.01.2026</t>
  </si>
  <si>
    <t>КУЧЕРЕНКО Денис Володимирович</t>
  </si>
  <si>
    <t>790057А</t>
  </si>
  <si>
    <t>ХУБА</t>
  </si>
  <si>
    <t>водій-заправник автомобільного відділення взводу матеріально-технічного забезпечення 1 піхотного батальйону</t>
  </si>
  <si>
    <t>АК-74Н2 № 5552766</t>
  </si>
  <si>
    <t>865EBX3093 + виносна антена ПАУК</t>
  </si>
  <si>
    <t>АГ 281813</t>
  </si>
  <si>
    <t>НАЙДЬОН Максим Миколайович</t>
  </si>
  <si>
    <t>АК-74Н2 № 5471290</t>
  </si>
  <si>
    <t>багатодітний батько, списання</t>
  </si>
  <si>
    <t>CZ Bren 2 № J142440</t>
  </si>
  <si>
    <t>водій автомобільного відділення взводу матеріально-технічного забезпечення 1 піхотного батальйону</t>
  </si>
  <si>
    <t>АВ 881559</t>
  </si>
  <si>
    <t>АГ 458162</t>
  </si>
  <si>
    <t>МЕЖНЬОВ Владислав Дмитрович</t>
  </si>
  <si>
    <t>ПРАВДА</t>
  </si>
  <si>
    <t>CZ Bren 2 № J142412</t>
  </si>
  <si>
    <t>865EBJV611 + виносна антена ПАУК</t>
  </si>
  <si>
    <t>водій ДЕО</t>
  </si>
  <si>
    <t>АГ 128342</t>
  </si>
  <si>
    <t>ШЕВЧЕНКО Олександр Володимирович (11.05.1981 р.н.)</t>
  </si>
  <si>
    <t>CZ Bren 2 № J137720</t>
  </si>
  <si>
    <t>з КРа футбол, 23.03.2026</t>
  </si>
  <si>
    <t>ЗАВАЛ</t>
  </si>
  <si>
    <t>САВЕНКО Борислав Вадимович</t>
  </si>
  <si>
    <t>АК-74Н2 № 5921540</t>
  </si>
  <si>
    <t>списання - догляд за матір'ю, чекає нотаріально завірене свідоцтво про народження, рапорт 19.04.26</t>
  </si>
  <si>
    <t>Відділення технічного обслуговування автомобільної техніки</t>
  </si>
  <si>
    <t>738182А</t>
  </si>
  <si>
    <t>CZ Bren 2 № J140183</t>
  </si>
  <si>
    <t>865EBXM325</t>
  </si>
  <si>
    <t>865EAPR948</t>
  </si>
  <si>
    <t>ЛЄЙ Ігор Сергійович</t>
  </si>
  <si>
    <t>АК-74 № 1504497
 SAFARI HG-105M
  № XK 37-H25YB-004114</t>
  </si>
  <si>
    <t>865EBCE061</t>
  </si>
  <si>
    <t>АГ 146484</t>
  </si>
  <si>
    <t>ЧАН-ЧУ-МИЛА Микола Георгійович</t>
  </si>
  <si>
    <t>є БЗВП з попер.в/ч</t>
  </si>
  <si>
    <t>АК-74 № 1495735</t>
  </si>
  <si>
    <t>ПЕРЕПИСАТИ ДОВІРЕННОСТЬ</t>
  </si>
  <si>
    <t>АГ 592013</t>
  </si>
  <si>
    <t>водій-механік відділення технічного обслуговування автомобільної техніки взводу матеріально-технічного забезпечення 1 піхотного батальйону</t>
  </si>
  <si>
    <t>ЧЕРКАШИН Олексій Вікторович</t>
  </si>
  <si>
    <t>ПАПАЙ</t>
  </si>
  <si>
    <t>АК-74 № 4406965</t>
  </si>
  <si>
    <t>ФОРТУНА</t>
  </si>
  <si>
    <t>738256А</t>
  </si>
  <si>
    <t>АК-74Н2 № 5498728</t>
  </si>
  <si>
    <t>АГ 575665</t>
  </si>
  <si>
    <t>865EZE3434 + виносна антена ПАУК</t>
  </si>
  <si>
    <t xml:space="preserve">ЗАНОЗА
</t>
  </si>
  <si>
    <t>РОБІК</t>
  </si>
  <si>
    <t>АК-74Н2 № 3277216</t>
  </si>
  <si>
    <t>АГ 593347</t>
  </si>
  <si>
    <t>САПОГ</t>
  </si>
  <si>
    <t>ГАРАГУЛЯ Андрій Васильович</t>
  </si>
  <si>
    <t>БЛІНЧІК</t>
  </si>
  <si>
    <t>АК-74Н2 № 3277783</t>
  </si>
  <si>
    <t>865EBJT315 + виносна антена ПАУК</t>
  </si>
  <si>
    <t>СЗЧ 29.08.2026</t>
  </si>
  <si>
    <t>Екіпаж квадроцикла(прикриття</t>
  </si>
  <si>
    <t>790308А</t>
  </si>
  <si>
    <t>перевод в 160</t>
  </si>
  <si>
    <t>CZ Bren 2 № j144653</t>
  </si>
  <si>
    <t>865EZZG330 + виносна антена ПАУК</t>
  </si>
  <si>
    <t>ВОРОВСЬКИЙ Дмитро Олександрович</t>
  </si>
  <si>
    <t>АК-74Н2 № 5534470</t>
  </si>
  <si>
    <t>789294А</t>
  </si>
  <si>
    <t>начальник польової лазні взводу матеріально-технічного забезпечення 1 піхотного батальйону</t>
  </si>
  <si>
    <t>АК-74Н2 № 5497641</t>
  </si>
  <si>
    <t>АГ 472352</t>
  </si>
  <si>
    <t>АК-74 № 1310845</t>
  </si>
  <si>
    <t>865ECDE434 + виносна антена ПАУК</t>
  </si>
  <si>
    <t>водій-електрик польової лазні взводу матеріально-технічного забезпечення 1 піхотного батальйону</t>
  </si>
  <si>
    <t>АК-74Н2 № 4059887</t>
  </si>
  <si>
    <t xml:space="preserve">МО 270733
</t>
  </si>
  <si>
    <t>по пораненню  25.04.2026</t>
  </si>
  <si>
    <t>ЧЕРЕНКОВ Юрій Володимирович</t>
  </si>
  <si>
    <t>ПОЖЕЖНИК</t>
  </si>
  <si>
    <t>АГ 575624</t>
  </si>
  <si>
    <t>ТУМАШ Микола Михайлович</t>
  </si>
  <si>
    <t>АК-74Н2 № 5536810</t>
  </si>
  <si>
    <t>9010003</t>
  </si>
  <si>
    <t>АК-74 № 5640681</t>
  </si>
  <si>
    <t>старший лейтенант медичної служби</t>
  </si>
  <si>
    <t>АК-74Н2 № 5535999</t>
  </si>
  <si>
    <t>865ECDE430 + виносна антена ПАУК</t>
  </si>
  <si>
    <t>АГ 577992</t>
  </si>
  <si>
    <t>ДЕМЕНКОВ Олексій Васильович</t>
  </si>
  <si>
    <t>ЖУЛІК</t>
  </si>
  <si>
    <t>АК-74Н2 № 4635630</t>
  </si>
  <si>
    <t>865ECDE198 + виносна антена ПАУК</t>
  </si>
  <si>
    <t>фельдшер медичного пункту 1 піхотного батальйону</t>
  </si>
  <si>
    <t>ВПБЛА</t>
  </si>
  <si>
    <t>по пораненню 27.02.2026</t>
  </si>
  <si>
    <t>АК-74Н2 № 3277255</t>
  </si>
  <si>
    <t>АВ 864827</t>
  </si>
  <si>
    <t>АК-74Н2 № 5493222</t>
  </si>
  <si>
    <t>ВЕРИКОЗ</t>
  </si>
  <si>
    <t>879659А</t>
  </si>
  <si>
    <t>АГ 363975</t>
  </si>
  <si>
    <t>МЕЛЬНИЧЕНКО Михайло Володимирович</t>
  </si>
  <si>
    <t>ЄМЄЛЯ</t>
  </si>
  <si>
    <t>Оформлює опікунство</t>
  </si>
  <si>
    <t>резерв на бойового медика</t>
  </si>
  <si>
    <t>АК-74Н2 № 5493189</t>
  </si>
  <si>
    <t>навчання бойового медика Польща</t>
  </si>
  <si>
    <t>ТРЕТЯК Дмитро Володимирович</t>
  </si>
  <si>
    <t>ТПВ №4203</t>
  </si>
  <si>
    <t>СОКОЛЕНКО Анатолій Юрійович</t>
  </si>
  <si>
    <t>АК-74 № 4176642</t>
  </si>
  <si>
    <t>865ECDE444</t>
  </si>
  <si>
    <t>0935159853
0990987534</t>
  </si>
  <si>
    <t>ДАЦЮК Олександр Сергійович</t>
  </si>
  <si>
    <t>СЛАВУТА</t>
  </si>
  <si>
    <t>АК-74Н2 № 5989454</t>
  </si>
  <si>
    <t>865ECDE259</t>
  </si>
  <si>
    <t>АГ 014804</t>
  </si>
  <si>
    <t>КЛЮЙКО Володимир Вікторович</t>
  </si>
  <si>
    <t>ШАЯФ</t>
  </si>
  <si>
    <t>ЮНАШ Микола Анатолійович</t>
  </si>
  <si>
    <t>КОХА</t>
  </si>
  <si>
    <t>ЛИСАЧОВ</t>
  </si>
  <si>
    <t>АК-74 № 2183251</t>
  </si>
  <si>
    <t>спиздили з МР 28.02.2026</t>
  </si>
  <si>
    <t>брат зник безвісти у Скелі, готує документи</t>
  </si>
  <si>
    <t>КОМАРОВ Максим Володимирович</t>
  </si>
  <si>
    <t>КОМАР</t>
  </si>
  <si>
    <t>790037А/658</t>
  </si>
  <si>
    <t>АК-74Н2 № 3277753</t>
  </si>
  <si>
    <t>865EBE3523</t>
  </si>
  <si>
    <t>01.04.2026 повідомлено 155</t>
  </si>
  <si>
    <t>АК-74Н2 № 5534442</t>
  </si>
  <si>
    <t>АГ 011613</t>
  </si>
  <si>
    <t>АК-74Н2 № 5534434</t>
  </si>
  <si>
    <t>865ECDE285 + виносна антена ПАУК</t>
  </si>
  <si>
    <t>АВ 536531</t>
  </si>
  <si>
    <t>БАКАЛ</t>
  </si>
  <si>
    <t>дезертир 09.04.2026</t>
  </si>
  <si>
    <t>АК-74Н2 № 5484915</t>
  </si>
  <si>
    <t>865ECDD028 + виносна антена ПАУК</t>
  </si>
  <si>
    <t>НО 5604516</t>
  </si>
  <si>
    <t>АК-74 № 1066387</t>
  </si>
  <si>
    <t>у Аптекаря</t>
  </si>
  <si>
    <t>878658А/641</t>
  </si>
  <si>
    <t>АК-74Н2 № 3270536</t>
  </si>
  <si>
    <t>865EBZ3118 + виносна антена ПАУК</t>
  </si>
  <si>
    <t>10 омбр</t>
  </si>
  <si>
    <t>АГ 013978</t>
  </si>
  <si>
    <t>ФІНАЛГОН</t>
  </si>
  <si>
    <t>АК-74 № 2178113</t>
  </si>
  <si>
    <t>ВІЛКО Олександр Олександрович</t>
  </si>
  <si>
    <t>МЕР</t>
  </si>
  <si>
    <t>АК-74Н2 № 3277192</t>
  </si>
  <si>
    <t>ТАРАН Олег Володимирович</t>
  </si>
  <si>
    <t>БАЗА</t>
  </si>
  <si>
    <t>АК-74 № 7039740</t>
  </si>
  <si>
    <t>АК-74 № 4627098</t>
  </si>
  <si>
    <t>МО 078625</t>
  </si>
  <si>
    <t>ДРОБОНОГ Олександр Володимирович</t>
  </si>
  <si>
    <t>ПУШКІН</t>
  </si>
  <si>
    <t>АК-74 № 1693481</t>
  </si>
  <si>
    <t>865EBD0630 + виносна антена ПАУК</t>
  </si>
  <si>
    <t>ШАЙДА Микола Васильович</t>
  </si>
  <si>
    <t>КУЗЬМИЧ</t>
  </si>
  <si>
    <t>АК-74Н2 № 5236239</t>
  </si>
  <si>
    <t>32 омбр</t>
  </si>
  <si>
    <t>ФЕДЕНЬКО Володимир Миколайович</t>
  </si>
  <si>
    <t>КУГУТ</t>
  </si>
  <si>
    <t>АК-74Н2 № 4327111</t>
  </si>
  <si>
    <t>КУЛІНКОВ Олексій Віталійович</t>
  </si>
  <si>
    <t>ВИБОРНИЙ Сергій Валентинович</t>
  </si>
  <si>
    <t>СКВЄР</t>
  </si>
  <si>
    <t>865ECDE439</t>
  </si>
  <si>
    <t>АК-74Н2 № 5490437</t>
  </si>
  <si>
    <t>865ECDD490 + виносна антена ПАУК</t>
  </si>
  <si>
    <t>СО 839030</t>
  </si>
  <si>
    <t>інструктор 2 взводу інструкторів роти інструкторів</t>
  </si>
  <si>
    <t>НАЛИВАЙКО Юрій Вікторович</t>
  </si>
  <si>
    <t>ЮЗІК</t>
  </si>
  <si>
    <t>АГ 575334</t>
  </si>
  <si>
    <t>ДОКЕР</t>
  </si>
  <si>
    <t>до 24.08.2026</t>
  </si>
  <si>
    <t>АК-74Н2 № 5534851</t>
  </si>
  <si>
    <t>865ECDE029 + виносна антена ПАУК</t>
  </si>
  <si>
    <t>АГ 633346</t>
  </si>
  <si>
    <t>ХОМЕНКО Дмитро Анатолійович</t>
  </si>
  <si>
    <t>Подбор в/с в ТЦК</t>
  </si>
  <si>
    <t>АК-74 № 4445980</t>
  </si>
  <si>
    <t>865ECEX259 + павук</t>
  </si>
  <si>
    <t>865EBCJ929 + павук
радейкав евак</t>
  </si>
  <si>
    <t>інструктор 4 взводу інструкторів роти інструкторів</t>
  </si>
  <si>
    <t>АГ 539898</t>
  </si>
  <si>
    <t>АК-74Н2 № 4042940</t>
  </si>
  <si>
    <t>ГУДИМЕНКО Олексій Вікторович</t>
  </si>
  <si>
    <t>АГ 575292</t>
  </si>
  <si>
    <t>ХРІН</t>
  </si>
  <si>
    <t>ЗАВАЛОВ Олександр Олександрович</t>
  </si>
  <si>
    <t>УЛЬТІМА</t>
  </si>
  <si>
    <t>АК-74Н2 № 5490360</t>
  </si>
  <si>
    <t>865EABF135</t>
  </si>
  <si>
    <t>інструктор 1 взводу інструкторів роти інструкторів</t>
  </si>
  <si>
    <t>АГ 185027</t>
  </si>
  <si>
    <t>АК-74Н2 № 1348878
 Монокуляр нічного бачення: M14U
 P/N: 2NMGG-20-F16-Y-B101-UA
 NSN: 5855-27-071-3161
 S/N: 24895</t>
  </si>
  <si>
    <t>АГ 633159</t>
  </si>
  <si>
    <t>АК-74Н2 № 3263872</t>
  </si>
  <si>
    <t>865EBXK632 + виносна антена ПАУК</t>
  </si>
  <si>
    <t>САЖИН Сергій Григорович</t>
  </si>
  <si>
    <t>САЖИН</t>
  </si>
  <si>
    <t>МО 591958</t>
  </si>
  <si>
    <t>КАЙСТРО Артем Романович</t>
  </si>
  <si>
    <t>КАЙ</t>
  </si>
  <si>
    <t>АК-74Н2 № 5480413</t>
  </si>
  <si>
    <t>САВИЦЬКИЙ Сергій Андрійович</t>
  </si>
  <si>
    <t>АК-74Н2 № 4639998
 Монокуляр нічного бачення: M14U
 P/N: 2NMGG-20-F16-Y-B101-UA
 NSN: 5855-27-071-3161
 S/N: 25469</t>
  </si>
  <si>
    <t>865ECDD361 + виносна антена ПАУК</t>
  </si>
  <si>
    <t>АГ 453467</t>
  </si>
  <si>
    <t>АГ 530457</t>
  </si>
  <si>
    <t>РИЖКО Артем Сергійович</t>
  </si>
  <si>
    <t>ТЬОМА</t>
  </si>
  <si>
    <t>КОСОЙ</t>
  </si>
  <si>
    <t>АК-74Н2 № 5513570</t>
  </si>
  <si>
    <t>Є БЗВП, у в/к</t>
  </si>
  <si>
    <t>865ECDE028 + виносна антена ПАУК</t>
  </si>
  <si>
    <t>865EBXL138 + виносна антена ПАУК</t>
  </si>
  <si>
    <t>ПО БР Прибув 26.08.2026 з 2ШБ</t>
  </si>
  <si>
    <t>АВ 881720</t>
  </si>
  <si>
    <t>СУГАК Артем Андрійович</t>
  </si>
  <si>
    <t>ЧМІЛЬ Володимир Романович</t>
  </si>
  <si>
    <t>СОНІ</t>
  </si>
  <si>
    <t>КЄНТ</t>
  </si>
  <si>
    <t>Прибув 26.08.2026 з 2ШБ</t>
  </si>
  <si>
    <t>ПЕРЕКЛАДАЧ</t>
  </si>
  <si>
    <t>ДУБІНА Василь Олександрович</t>
  </si>
  <si>
    <t>ОБАМА</t>
  </si>
  <si>
    <t>Bren CZ 2 J142545</t>
  </si>
  <si>
    <t>865ECBF295 + виносна антена ПАУК</t>
  </si>
  <si>
    <t>ЛОМАКІН Костянтин Ігорович</t>
  </si>
  <si>
    <t>Bren CZ 2 J142487</t>
  </si>
  <si>
    <t>Исключен по строевой от 02.05.2026</t>
  </si>
  <si>
    <t>ОБРУБИНСЬКИЙ Олексій Юрійович</t>
  </si>
  <si>
    <t>виведені посади</t>
  </si>
  <si>
    <t>ОБРУБА</t>
  </si>
  <si>
    <t>Bren CZ 2 J140253</t>
  </si>
  <si>
    <t>865ECBF501 + виносна антена ПАУК</t>
  </si>
  <si>
    <t>АГ 082528</t>
  </si>
  <si>
    <t>АГ 128293</t>
  </si>
  <si>
    <t>БОРИШПОЛЕЦЬ Роман Юрійович</t>
  </si>
  <si>
    <t>РАМА</t>
  </si>
  <si>
    <t>СОРОКА Олександр Геннадійович</t>
  </si>
  <si>
    <t>ПТАХА</t>
  </si>
  <si>
    <t>Bren CZ 2 J142183</t>
  </si>
  <si>
    <t>M4-A1 W056270</t>
  </si>
  <si>
    <t>Майстерня</t>
  </si>
  <si>
    <t>865ECB5273 + виносна антена ПАУК</t>
  </si>
  <si>
    <t>Огар, майстерня, 09.04.2026</t>
  </si>
  <si>
    <t>АВ 967160</t>
  </si>
  <si>
    <t>ЛУНТІК</t>
  </si>
  <si>
    <t>Bren CZ 2 J213825</t>
  </si>
  <si>
    <t>АГ 452453</t>
  </si>
  <si>
    <t>КОСТЮК Іван Володимирович</t>
  </si>
  <si>
    <t>12.07.2026
СЗЧ з лікування 25.08.2026</t>
  </si>
  <si>
    <t>КАЛІНІН Сергій Віталійович</t>
  </si>
  <si>
    <t>АК-74Н2 517363</t>
  </si>
  <si>
    <t>865EBX3414 + виносна антена ПАУК</t>
  </si>
  <si>
    <t>ЗВЯГІНЦЕВ Олексій Анатолійович</t>
  </si>
  <si>
    <t>АК-74Н2 5537483</t>
  </si>
  <si>
    <t>МО 612239
АВ 879978</t>
  </si>
  <si>
    <t>АК-74 № 1963245</t>
  </si>
  <si>
    <t>865TYV1413 + виносна антена ПАУК</t>
  </si>
  <si>
    <t>ХАРІТОН</t>
  </si>
  <si>
    <t>КАРЛСОН</t>
  </si>
  <si>
    <t>ПРИБУВ 01.09 из СЗЧ</t>
  </si>
  <si>
    <t>МАМОЧКІН Максим Олександрович</t>
  </si>
  <si>
    <t>АК-74Н2 № 5442943</t>
  </si>
  <si>
    <t>03.05.2026 для переведення</t>
  </si>
  <si>
    <t>АК-74Н2 № 5518922</t>
  </si>
  <si>
    <t>Прибув 25.08.2026</t>
  </si>
  <si>
    <t>ЛИТВИНЧУК Юрій Костянтинович</t>
  </si>
  <si>
    <t>ХРОМЕЙ Микола Андрійович</t>
  </si>
  <si>
    <t>ПРОСТИЙ</t>
  </si>
  <si>
    <t>865ECB5201 + виносна антена ПАУК</t>
  </si>
  <si>
    <t>ЄСИПЕНКО Павло Костянтинович</t>
  </si>
  <si>
    <t>КРАПАЛЬ</t>
  </si>
  <si>
    <t>після ВЛК</t>
  </si>
  <si>
    <t>командир 3 штурмового взводу 1 штурмової роти 2 штурмового батальйону</t>
  </si>
  <si>
    <t>ПРИБУВ 4.08 со 2ШБ</t>
  </si>
  <si>
    <t>АК-74Н2 № 5540799
SAFARI HG-105M
XK 37-H25YB-025981</t>
  </si>
  <si>
    <t>865ECB4377 + виносна антена ПАУК</t>
  </si>
  <si>
    <t>ВОЛИНЯКА</t>
  </si>
  <si>
    <t>НАЛІМ</t>
  </si>
  <si>
    <t>ПРИБУВ 30.08 из СЗЧ</t>
  </si>
  <si>
    <t>АВ 937241</t>
  </si>
  <si>
    <t>КРИВУЛЯ Денис Леонідович</t>
  </si>
  <si>
    <t>АК-74 1671003</t>
  </si>
  <si>
    <t>865ECB5340 + виносна антена ПАУК</t>
  </si>
  <si>
    <t>БОЙКО Сергій Олексійович</t>
  </si>
  <si>
    <t>БАМБУК</t>
  </si>
  <si>
    <t>АК-74 1340007</t>
  </si>
  <si>
    <t>ПРИБУВ 29.08.2026 со 3ШБ</t>
  </si>
  <si>
    <t>БУГАКОВ Євген Ігорович</t>
  </si>
  <si>
    <t>ФІН</t>
  </si>
  <si>
    <t>ОВСЯНОВСЬКИЙ Максим Петрович</t>
  </si>
  <si>
    <t>АК-74Н2 3230812</t>
  </si>
  <si>
    <t>Прибув від 3 ШБ 29.08.2026</t>
  </si>
  <si>
    <t>ЗАГРУДНИЙ Дмитро Вікторович</t>
  </si>
  <si>
    <t>ЧЕРЧЕЛЬ</t>
  </si>
  <si>
    <t>ПРИБУВ 28.08.2026 со 2ШБ</t>
  </si>
  <si>
    <t>АК-74 2046241</t>
  </si>
  <si>
    <t>865ECB3048 + виносна антена ПАУК</t>
  </si>
  <si>
    <t>БАЛАБАН</t>
  </si>
  <si>
    <t>Закінчення курсу 08.12.25</t>
  </si>
  <si>
    <t>SAFARI HG-105M XK 37-H25YB-024994</t>
  </si>
  <si>
    <t xml:space="preserve">865EZR3051 </t>
  </si>
  <si>
    <t>ПРИБУВ 28.08.2026 С СЗЧ</t>
  </si>
  <si>
    <t>АК-74Н2 1501344
 одноразовий гранатомет RGW-90 MATADOR</t>
  </si>
  <si>
    <t>БАЛАХОНОВ Володимир Миколайович</t>
  </si>
  <si>
    <t>ЛУНА</t>
  </si>
  <si>
    <t>позиція с.Сергіївка</t>
  </si>
  <si>
    <t>СЗЧ в 1ШБ</t>
  </si>
  <si>
    <t>АК-74Н2 5998586</t>
  </si>
  <si>
    <t>УСТИМЕНКО Дмитро Олександрович</t>
  </si>
  <si>
    <t>УСТИМ</t>
  </si>
  <si>
    <t>АК-74Н2 № 5490361</t>
  </si>
  <si>
    <t>СОЛОНИНКА Назар Васильович</t>
  </si>
  <si>
    <t>НАЗІК</t>
  </si>
  <si>
    <t>АК-74Н2 № 4035653
 одноразовий гранатомет RGW-90 MATADOR</t>
  </si>
  <si>
    <t>ПЛИС Сергій Анатолійович</t>
  </si>
  <si>
    <t>БУХ</t>
  </si>
  <si>
    <t>АК-74Н2 № 4310218
 одноразовий гранатомет RGW-90 MATADOR</t>
  </si>
  <si>
    <t xml:space="preserve">ТАКЕЛАЖ </t>
  </si>
  <si>
    <t>ТКАЧ Микола Анатолійович</t>
  </si>
  <si>
    <t>по пораненню
ПРИБУВ 28.08.2026 С СЗЧ</t>
  </si>
  <si>
    <t>мед.служба 20.07.26</t>
  </si>
  <si>
    <t>СЗЧ з лікування</t>
  </si>
  <si>
    <t xml:space="preserve">СОЛНЦЕВ Артур Сергійович </t>
  </si>
  <si>
    <t>АГ 014569</t>
  </si>
  <si>
    <t>ОТКАЗНИК
ПРИБУВ 28.08.2026 С СЗЧ</t>
  </si>
  <si>
    <t>Прибули 26.08 с Полігона Д</t>
  </si>
  <si>
    <t>РЕЗЕНДЕ ВІАНА Роберту Віктор</t>
  </si>
  <si>
    <t>ВІАНА</t>
  </si>
  <si>
    <t>ПЛОХИЙ Євген Іванович</t>
  </si>
  <si>
    <t>ПЛОХИЙ</t>
  </si>
  <si>
    <t>АК-74 № 1067433</t>
  </si>
  <si>
    <t>до 24.04.2026</t>
  </si>
  <si>
    <t>ЧИНЯ</t>
  </si>
  <si>
    <t>БРІТО САНДЕС Катерін</t>
  </si>
  <si>
    <t>ЛЕВИЦЯ</t>
  </si>
  <si>
    <t>АК-74Н2 № 5923979</t>
  </si>
  <si>
    <t>АГ 013952</t>
  </si>
  <si>
    <t>КРАЙСВІТНІЙ Дмитро Олегович</t>
  </si>
  <si>
    <t>АК-74Н2 № 5263660</t>
  </si>
  <si>
    <t>МАРТІНС ДЕ ОЛІВЕЙРА Габріель Енріке</t>
  </si>
  <si>
    <t>ЕСКОБАР</t>
  </si>
  <si>
    <t>865EBXK632 + павук</t>
  </si>
  <si>
    <t>УРІБЕ ВАСКЕС Рікардо Марсело</t>
  </si>
  <si>
    <t>АРАНЬЯ</t>
  </si>
  <si>
    <t>АК-74Н2 № 5498778</t>
  </si>
  <si>
    <t>865TYV1492 + павук</t>
  </si>
  <si>
    <t>АГ 012419</t>
  </si>
  <si>
    <t>ЗБОТНІК Руслан Володимирович</t>
  </si>
  <si>
    <t>РУСЯ</t>
  </si>
  <si>
    <t>АК-74Н2 № 5270126</t>
  </si>
  <si>
    <t>865ECDE259 + павук</t>
  </si>
  <si>
    <t>на лікуванні з 20.03.2026</t>
  </si>
  <si>
    <t>ДЕ СОУЗА Е СОУЗА Жозе Ренато</t>
  </si>
  <si>
    <t>СКУЛ</t>
  </si>
  <si>
    <t>АВ 658346</t>
  </si>
  <si>
    <t>ГУНЯГА Руслан Васильович</t>
  </si>
  <si>
    <t>АРТЮХОВ Олександр Юрійович</t>
  </si>
  <si>
    <t>БОРОДАЧ</t>
  </si>
  <si>
    <t>АК-74Н2 № 5478953</t>
  </si>
  <si>
    <t>865EZPC279 + павук</t>
  </si>
  <si>
    <t>БРІТО Віейра Алессандро</t>
  </si>
  <si>
    <t>НЄДЯЛКОВ Юрій Анатолійович</t>
  </si>
  <si>
    <t>БРІТО</t>
  </si>
  <si>
    <t>АК-74 № 6217811</t>
  </si>
  <si>
    <t>БАБЕНКО Дмитро Олександрович</t>
  </si>
  <si>
    <t>МАЛЕНЬКИЙ</t>
  </si>
  <si>
    <t>АК-74 № 1324461</t>
  </si>
  <si>
    <t>АГ 636659</t>
  </si>
  <si>
    <t>ІАСІ Стефано</t>
  </si>
  <si>
    <t>ВІСКІ</t>
  </si>
  <si>
    <t>ЗІНЧЕНКО Віктор Сергійович</t>
  </si>
  <si>
    <t>ЗІНИЧ</t>
  </si>
  <si>
    <t>АК-74 № 6219335</t>
  </si>
  <si>
    <t>ШВЄД</t>
  </si>
  <si>
    <t>АК-74 № 398847</t>
  </si>
  <si>
    <t>865EZE3434</t>
  </si>
  <si>
    <t>ПЕРЕЙРА Дос Сантос Аліссон</t>
  </si>
  <si>
    <t>АЛПС</t>
  </si>
  <si>
    <t>КОТОВСЬКИЙ Микола Валерійович</t>
  </si>
  <si>
    <t>АГ 430991</t>
  </si>
  <si>
    <t>АК-74 № 260116</t>
  </si>
  <si>
    <t>ПЕРЕЙРА Безерра Жорж Луїс</t>
  </si>
  <si>
    <t>ПЕРЕЙРА</t>
  </si>
  <si>
    <t>КРИВІЦЬКИЙ Іван Юрійович</t>
  </si>
  <si>
    <t>КАВА</t>
  </si>
  <si>
    <t>АК-74 № 1509476</t>
  </si>
  <si>
    <t>н.п Покровськ</t>
  </si>
  <si>
    <t>ДА Сілва Ногейра Родріго</t>
  </si>
  <si>
    <t>АРАБІ</t>
  </si>
  <si>
    <t>БОСИЙ Володимир Леонідович</t>
  </si>
  <si>
    <t>БОСЯК</t>
  </si>
  <si>
    <t>АГ 128216</t>
  </si>
  <si>
    <t>АК-74 № 6861222</t>
  </si>
  <si>
    <t>БЕСЕРРА Фонтес Габріель</t>
  </si>
  <si>
    <t>АНГУЛО</t>
  </si>
  <si>
    <t>АК-74 № 1848111</t>
  </si>
  <si>
    <t>АК-74 № 1344627</t>
  </si>
  <si>
    <t>АГ 014689</t>
  </si>
  <si>
    <t>МІРАНДА Пачеко Сергіо Рауль</t>
  </si>
  <si>
    <t>ПАНТЕРА</t>
  </si>
  <si>
    <t>ХОНЬКО Сергій Анатолійович</t>
  </si>
  <si>
    <t>СЕРЕНЯ</t>
  </si>
  <si>
    <t>ТЕРЕЩЕНКО Євген Володимирович</t>
  </si>
  <si>
    <t>ДЖАН</t>
  </si>
  <si>
    <t>АК-74 № 7084773</t>
  </si>
  <si>
    <t>ШПАРКИЙ Костянтин Васильович</t>
  </si>
  <si>
    <t>МЕКСІКА</t>
  </si>
  <si>
    <t>КОВАЛЬ Анатолій Анатолійович</t>
  </si>
  <si>
    <t>БЕР</t>
  </si>
  <si>
    <t>АК-74Н2 № 5923800</t>
  </si>
  <si>
    <t>КИСЕЛЬОВ Ярослав Олександрович</t>
  </si>
  <si>
    <t>САМ</t>
  </si>
  <si>
    <t>КИСЕЛЬ</t>
  </si>
  <si>
    <t>ЯУ Ка Вай</t>
  </si>
  <si>
    <t>АК-74 № 1659655</t>
  </si>
  <si>
    <t>ДЕРКАЧ Андрій Володимирович</t>
  </si>
  <si>
    <t>ВАРНЕК</t>
  </si>
  <si>
    <t>24.02.26 поїхав А1249 м.Кропивницький на ВЛК</t>
  </si>
  <si>
    <t>АК-74 № 7082061</t>
  </si>
  <si>
    <t>865EBRB292</t>
  </si>
  <si>
    <t>РАМІРЕЗ ПЕРЕЙРА Маріо Енріке</t>
  </si>
  <si>
    <t>ЗІКЕС</t>
  </si>
  <si>
    <t>АГ 298577</t>
  </si>
  <si>
    <t>16.08.2026
18.08.2026</t>
  </si>
  <si>
    <t>Прибули 29.08 с Полігона Д</t>
  </si>
  <si>
    <t>500 на 200</t>
  </si>
  <si>
    <t>АК-74Н2 № 3277196</t>
  </si>
  <si>
    <t>ФЕРНАНДЕЗ ДАКАЛ Альваро</t>
  </si>
  <si>
    <t>ЧУПІМ</t>
  </si>
  <si>
    <t>ЛЕВЕНКО Михайло Борисович</t>
  </si>
  <si>
    <t>ГАЛУШКА</t>
  </si>
  <si>
    <t>до 16.02.2026</t>
  </si>
  <si>
    <t>АК-74 № 7088551</t>
  </si>
  <si>
    <t>МЕЙРЕЛЛЕС САНТОС РОСА Лукас</t>
  </si>
  <si>
    <t>СПАЙДЕР</t>
  </si>
  <si>
    <t>МО 611329</t>
  </si>
  <si>
    <t>АК-74Н2 № 5263675</t>
  </si>
  <si>
    <t>НАУМОВ Єгор Віталійович</t>
  </si>
  <si>
    <t>НАУМ</t>
  </si>
  <si>
    <t>КУЕЙРОЗ ПРАТА СОТО УЛЛОА Альваро Ренан</t>
  </si>
  <si>
    <t>КАРДІНАЛ</t>
  </si>
  <si>
    <t>АК-74 № 1681538</t>
  </si>
  <si>
    <t>АК-74Н2 № 1501361
 SAFARI HG-105M
 XK 37-H25YB-025263</t>
  </si>
  <si>
    <t>ДА СІЛЬВА МАЧАДО Карлос Магно</t>
  </si>
  <si>
    <t>МАШАДО</t>
  </si>
  <si>
    <t>АГ 397433</t>
  </si>
  <si>
    <t>АК-74 № 4469898</t>
  </si>
  <si>
    <t>МІРАНДА БАРРІОС Фабріцціо Мануель</t>
  </si>
  <si>
    <t>ФЕЙЗ</t>
  </si>
  <si>
    <t>АК-74 № 1658027
 SAFARI HG-105M
 XK 37-H25YB-026086</t>
  </si>
  <si>
    <t>865EBRB278 + павук</t>
  </si>
  <si>
    <t>- калаш - паук</t>
  </si>
  <si>
    <t>АВ 881355</t>
  </si>
  <si>
    <t>ПЛАХОТНИЙ Ігор Володимирович</t>
  </si>
  <si>
    <t>ЛЕОПАРД</t>
  </si>
  <si>
    <t>ДЕЛЬ АГУЇЛА УАНІО Куїд Дікер</t>
  </si>
  <si>
    <t>ТІГР 94</t>
  </si>
  <si>
    <t>АК-74 № 6242204</t>
  </si>
  <si>
    <t>CZ Bren 2 № J132134</t>
  </si>
  <si>
    <t>СОАРЕС САНТОС Фредеріко</t>
  </si>
  <si>
    <t>865EBRB220</t>
  </si>
  <si>
    <t>ВЕНОМ</t>
  </si>
  <si>
    <t>АГ 577949</t>
  </si>
  <si>
    <t>CZ Bren 2 № J142213</t>
  </si>
  <si>
    <t>ДЕ ХЕСУС ЛІМА АВЕЛЛАР Жосе Еверальдо</t>
  </si>
  <si>
    <t>АВЕЛАР</t>
  </si>
  <si>
    <t>АК-74Н2 № 3265135</t>
  </si>
  <si>
    <t>865EBRB211</t>
  </si>
  <si>
    <t>ЛІМА МІРАНДА Вільям Бруно</t>
  </si>
  <si>
    <t>ТАТУАДО</t>
  </si>
  <si>
    <t>АГ 575638</t>
  </si>
  <si>
    <t>АК-74 № 6241696</t>
  </si>
  <si>
    <t>СОВТУС Іван Михайлович</t>
  </si>
  <si>
    <t>ІСЛАМ</t>
  </si>
  <si>
    <t>ДО КАРМУ БАРБОЗА Матеус</t>
  </si>
  <si>
    <t>Т-АГА</t>
  </si>
  <si>
    <t>АК-74 № 1279640</t>
  </si>
  <si>
    <t>АК-74Н2 № 5493018</t>
  </si>
  <si>
    <t>865EBLU080</t>
  </si>
  <si>
    <t>ПАЛАЦОЛЛІ Габріел Енріке</t>
  </si>
  <si>
    <t>АК-74 № 1340334</t>
  </si>
  <si>
    <t>АП 575979</t>
  </si>
  <si>
    <t>КУСТОДІУ ЖЕРОНІМУ Кевін Вінісіус</t>
  </si>
  <si>
    <t>ЖЕРОНІМО</t>
  </si>
  <si>
    <t>ШАНДРА Сергій Сергійович</t>
  </si>
  <si>
    <t>ШАНДОР</t>
  </si>
  <si>
    <t>АК-74Н2 № 4047719</t>
  </si>
  <si>
    <t>865EBJT315 + павук</t>
  </si>
  <si>
    <t>РОДРІГЕС ДА СІЛВА Кевін Патрік</t>
  </si>
  <si>
    <t>ВК</t>
  </si>
  <si>
    <t>МЕРЕЩЕНКО Леонід Григорович</t>
  </si>
  <si>
    <t>ШАХІД</t>
  </si>
  <si>
    <t>АК-74Н2 № 5496261</t>
  </si>
  <si>
    <t>РОДРІГЕС ФОНСЕКА Ігор Лукас</t>
  </si>
  <si>
    <t>ТОГІ</t>
  </si>
  <si>
    <t>АК-74 № 8670126</t>
  </si>
  <si>
    <t>КУЗЬМІН Сергій Сергійович</t>
  </si>
  <si>
    <t>АК-74 № 1346116</t>
  </si>
  <si>
    <t>САНТУС ДУ НАСІМЕНТУ Александру Вітор</t>
  </si>
  <si>
    <t>ДОЙС ЕН</t>
  </si>
  <si>
    <t>АК-74Н2 № 5471385</t>
  </si>
  <si>
    <t>865ECA5221 + павук</t>
  </si>
  <si>
    <t>МЕНДЕС ФЕЛІСІУ Руан</t>
  </si>
  <si>
    <t>МЕНДЕЗ</t>
  </si>
  <si>
    <t>АК-74 № 1309269</t>
  </si>
  <si>
    <t>865EBA5099 + павук</t>
  </si>
  <si>
    <t>АГ 539279</t>
  </si>
  <si>
    <t>КРОП</t>
  </si>
  <si>
    <t>ГРИГОР'ЄВ Сергій Валентинович</t>
  </si>
  <si>
    <t>АК-74 № 7087842</t>
  </si>
  <si>
    <t>АЛЧАПАР ДЕ ОЛІВЕЙРА Луан Леннон</t>
  </si>
  <si>
    <t>АУЧАПА</t>
  </si>
  <si>
    <t>АК-74Н2 № 1464662</t>
  </si>
  <si>
    <t>з МР на переведення</t>
  </si>
  <si>
    <t>СО 314301</t>
  </si>
  <si>
    <t>АК-74Н2 № 5362153</t>
  </si>
  <si>
    <t>КОШОВИЙ Максим Олегович</t>
  </si>
  <si>
    <t>БЄЛИЙ</t>
  </si>
  <si>
    <t>АК-74 № 1408839</t>
  </si>
  <si>
    <t>15.08.2026 СЗЧ с лікування</t>
  </si>
  <si>
    <t>АВ 958207</t>
  </si>
  <si>
    <t>кулеметник 4 штурмового відділення 3 штурмового взводу 1 штурмової роти 3 штурмового батальйону</t>
  </si>
  <si>
    <t>АК-74Н2 № 5480413
 Safari HM-105M
 XK25YB-002495</t>
  </si>
  <si>
    <t>ПРУДКИЙ Владислав Дмитрович</t>
  </si>
  <si>
    <t>ДУМ</t>
  </si>
  <si>
    <t>АК-74Н2 № 3265050
 Safari HG-105M
 XK 37-H25YB-003110</t>
  </si>
  <si>
    <t>АВ 905281</t>
  </si>
  <si>
    <t>КАРАСЬ</t>
  </si>
  <si>
    <t>змагання</t>
  </si>
  <si>
    <t>ПРИБУВ 15.08.2026 с лікування</t>
  </si>
  <si>
    <t>ВОРОТНЯК Петро Іванович</t>
  </si>
  <si>
    <t>ВЕРХОВИНА</t>
  </si>
  <si>
    <t>МЕДЕЧЕВ Андрій Олександрович</t>
  </si>
  <si>
    <t>АК-74 № 1442692</t>
  </si>
  <si>
    <t>ВЕДМЕДОВСЬКИЙ Олександр Васильович</t>
  </si>
  <si>
    <t>СВАТ</t>
  </si>
  <si>
    <t>ВЛК от 2025</t>
  </si>
  <si>
    <t>АК-74Н2 № 5924853</t>
  </si>
  <si>
    <t>ЗКБ</t>
  </si>
  <si>
    <t>ПРИБУВ 14.08.2026</t>
  </si>
  <si>
    <t>ФУРАЄВ Олександр Олексійович</t>
  </si>
  <si>
    <t>ФУНТІК</t>
  </si>
  <si>
    <t>КОЛЬЩИК</t>
  </si>
  <si>
    <t>АК-74Н2 № 5513695</t>
  </si>
  <si>
    <t>865EZE3624 + павук</t>
  </si>
  <si>
    <t>начальник штабу - заступник командира штурмового спеціалізованого батальйону (ШКВАЛ)</t>
  </si>
  <si>
    <t>АК-74Н2 № 5496271</t>
  </si>
  <si>
    <t>ФЕДОРУК Андрій Олександрович</t>
  </si>
  <si>
    <t>ЗУБКО Сергій Олексійович</t>
  </si>
  <si>
    <t>КРИМ</t>
  </si>
  <si>
    <t>МИГУНОВ Єгор Олександрович</t>
  </si>
  <si>
    <t>транзитер</t>
  </si>
  <si>
    <t>СОЛОВЙОВ Вячеслав Владіславович</t>
  </si>
  <si>
    <t>ЧУХЛАНЦЕВ Сергій Валерійович</t>
  </si>
  <si>
    <t>БАХТАЛО</t>
  </si>
  <si>
    <t>АК-74Н2 № 5984242</t>
  </si>
  <si>
    <t>ЛАТУЛ Вадим Сергійович</t>
  </si>
  <si>
    <t>865EBZ4216 + павук</t>
  </si>
  <si>
    <t>БУДУТ ПОВЕРТАТИ БРЕЗ</t>
  </si>
  <si>
    <t>ЛІС</t>
  </si>
  <si>
    <t>кулеметник 3 штурмового спеціалізованого відділення 1 штурмового спеціалізованого взводу 4 штурмової спеціалізованої роти штурмового спеціалізованого батальйону (ШКВАЛ)</t>
  </si>
  <si>
    <t>АК-74 № 4446575</t>
  </si>
  <si>
    <t>по хворобі"</t>
  </si>
  <si>
    <t>РИБАР Олександр Аладарович</t>
  </si>
  <si>
    <t>АК-74 № 270672</t>
  </si>
  <si>
    <t>УНГУРЯН Сергій Володимирович</t>
  </si>
  <si>
    <t>до 26.08.2026, не повернувся вчасно з відпустки</t>
  </si>
  <si>
    <t>СТАКАН</t>
  </si>
  <si>
    <t>АК-74 № 1963189</t>
  </si>
  <si>
    <t>865EBXL103 + павук</t>
  </si>
  <si>
    <t>АК-74 № 4269786</t>
  </si>
  <si>
    <t>КУЛЕНКО Степан Михайлович</t>
  </si>
  <si>
    <t>АГ 605952</t>
  </si>
  <si>
    <t>ДЖОКЕР</t>
  </si>
  <si>
    <t>БАРКОВ Дмитро Анатолійович</t>
  </si>
  <si>
    <t>АК-74 № 628197</t>
  </si>
  <si>
    <t>АК-74Н2 № 1912063</t>
  </si>
  <si>
    <t>АК-74Н2 № 5535987</t>
  </si>
  <si>
    <t>865EAB4392 + павук</t>
  </si>
  <si>
    <t>ПРибув из СЗЧ  23.08.2026</t>
  </si>
  <si>
    <t>АК-74 № 6857477</t>
  </si>
  <si>
    <t>МАРЦИНЮК Артем Петрович</t>
  </si>
  <si>
    <t>АГ 450464</t>
  </si>
  <si>
    <t>ФУТБОЛІСТ</t>
  </si>
  <si>
    <t>ДАШКЕВИЧ Михайло Іванович</t>
  </si>
  <si>
    <t>ЯВІР</t>
  </si>
  <si>
    <t>АКС-74У № 680509</t>
  </si>
  <si>
    <t>АК-74Н2 № 1348878</t>
  </si>
  <si>
    <t>09.07.2026, на переміщення</t>
  </si>
  <si>
    <t>Чорний ліс</t>
  </si>
  <si>
    <t>13.05.2026
Прибув після СЗЧ 07.08.2026</t>
  </si>
  <si>
    <t>КРІЛЬ Денис Вікторович</t>
  </si>
  <si>
    <t>ГОЦМАН</t>
  </si>
  <si>
    <t>АГ 628033</t>
  </si>
  <si>
    <t>АК-74Н2 № 5535972</t>
  </si>
  <si>
    <t>865ECHX862</t>
  </si>
  <si>
    <t>БАБЮК Андрій Володимирович</t>
  </si>
  <si>
    <t>подала мед.служба 09.05</t>
  </si>
  <si>
    <t>АК-74 № 1618582</t>
  </si>
  <si>
    <t xml:space="preserve">СЄДОВ В'ячеслав Анатолійович </t>
  </si>
  <si>
    <t>РИЛОВ Сергій Миколайович</t>
  </si>
  <si>
    <t>НК 6431041</t>
  </si>
  <si>
    <t>МАРТИНЮК Олександр Віталійович</t>
  </si>
  <si>
    <t>МАРТИН</t>
  </si>
  <si>
    <t>АК-74Н2 № 5513569</t>
  </si>
  <si>
    <t>865EBRB656 + павук</t>
  </si>
  <si>
    <t>Лікування 11.08.2026р.</t>
  </si>
  <si>
    <t>БУЛАШ Василь Васильович</t>
  </si>
  <si>
    <t xml:space="preserve">П'ЯТАК Геннадій Володимирович </t>
  </si>
  <si>
    <t>П'ЯТАК</t>
  </si>
  <si>
    <t>865ECDD361 + павук</t>
  </si>
  <si>
    <t>НАДО СПИСАТЬ ОРУЖИЕ</t>
  </si>
  <si>
    <t>11.03.2026 ліг на лікування Волинський обласний ГВВ</t>
  </si>
  <si>
    <t>СЗЧ з лікування 21.08.2026</t>
  </si>
  <si>
    <t>АК-74Н2 № 4634951</t>
  </si>
  <si>
    <t>865ECA4812 + павук</t>
  </si>
  <si>
    <t xml:space="preserve">лейтенант </t>
  </si>
  <si>
    <t>МАКОВСЬКИЙ Кирило Олександрович</t>
  </si>
  <si>
    <t>МАК</t>
  </si>
  <si>
    <t>АК-74 № 1331035</t>
  </si>
  <si>
    <t>865ECDE198</t>
  </si>
  <si>
    <t>ПРИБУВ 15.03.26 з 1200</t>
  </si>
  <si>
    <t>номер обслуги 1 кулеметного взводу роти вогневої підтримки 1 штурмового батальйону</t>
  </si>
  <si>
    <t>АК-74Н2 № 5471343</t>
  </si>
  <si>
    <t>865ECDE490</t>
  </si>
  <si>
    <t>ТЮПА Сергій Валерійович</t>
  </si>
  <si>
    <t>НІКОЛАЄВСЬКИЙ</t>
  </si>
  <si>
    <t>CZ Bren 2 № J140238</t>
  </si>
  <si>
    <t>БП м.Павлоград 06.06.2026</t>
  </si>
  <si>
    <t>відвезли на полігон Д, 30.05.2026</t>
  </si>
  <si>
    <t>АК-74Н2 № 3264870
Safari HG 105M № 025935 СПИСАТИ САФАРІ</t>
  </si>
  <si>
    <t>865ECB1703</t>
  </si>
  <si>
    <t>АГ 391514</t>
  </si>
  <si>
    <t>СОЛІЛО Юрій Володимирович</t>
  </si>
  <si>
    <t>КАП</t>
  </si>
  <si>
    <t>інструктор</t>
  </si>
  <si>
    <t>БР за август</t>
  </si>
  <si>
    <t>АК-74 № 3771076
Safari HG 105M № 025342</t>
  </si>
  <si>
    <t>головний сержант взводу зв'язку 1 штурмового батальйону</t>
  </si>
  <si>
    <t>ГОЛУБЄВ Денис Миколайович</t>
  </si>
  <si>
    <t>СИРОТА</t>
  </si>
  <si>
    <t>АК-74Н2 № 5504510</t>
  </si>
  <si>
    <t>865EBD0630 + павук</t>
  </si>
  <si>
    <t>АК-74 № 1510355</t>
  </si>
  <si>
    <t>865ECB5076 + павук</t>
  </si>
  <si>
    <t>прибув 08.06.2026</t>
  </si>
  <si>
    <t>СЛЮСАРЕНКО Андрій Юрійович</t>
  </si>
  <si>
    <t>ЛЕЛЕНКО Микола Миколайович</t>
  </si>
  <si>
    <t>КОЛЯ</t>
  </si>
  <si>
    <t>АГ 633229 
ТПВ № 4076</t>
  </si>
  <si>
    <t>КУЧЕРУК Михайло Сергійович</t>
  </si>
  <si>
    <t>БОЯРИШНІК</t>
  </si>
  <si>
    <t>АК-74Н2 № 6024232</t>
  </si>
  <si>
    <t>Рота РЕБ</t>
  </si>
  <si>
    <t>САБАТІН Вадим Валерійович</t>
  </si>
  <si>
    <t>АК-74Н2 № 1477999</t>
  </si>
  <si>
    <t>прибув після СЗЧ 04.06.2026</t>
  </si>
  <si>
    <t>АГ 433416</t>
  </si>
  <si>
    <t>ПИСАРЄВ Валентин Віталійович</t>
  </si>
  <si>
    <t>АК-74Н2 № 4302174</t>
  </si>
  <si>
    <t>водій-електрик відділення управління взводу управління роти радіоелектронної боротьби</t>
  </si>
  <si>
    <t>РОЙКО Іван Ярославович</t>
  </si>
  <si>
    <t>АК-74Н2 № 5998436</t>
  </si>
  <si>
    <t>БОЙКО Олег Володимирович</t>
  </si>
  <si>
    <t>ВИШНЯКОВ Олександр Сергійович</t>
  </si>
  <si>
    <t>АК-74 № 6880053</t>
  </si>
  <si>
    <t>865EBXL254 + павук</t>
  </si>
  <si>
    <t>прибув після СЗЧ 30.05.2026</t>
  </si>
  <si>
    <t>ТКАЧЕНКО Віктор Борисович</t>
  </si>
  <si>
    <t>ВАРДОС</t>
  </si>
  <si>
    <t>до 29.11.25</t>
  </si>
  <si>
    <t>АК-74 № 6280613</t>
  </si>
  <si>
    <t>865EBXL281 + павук</t>
  </si>
  <si>
    <t>ПАРОКІННИЙ Володимир Іванович</t>
  </si>
  <si>
    <t>ВІЛЬЧИНСЬКИЙ Денис Дмитрович</t>
  </si>
  <si>
    <t>ФІКСІК</t>
  </si>
  <si>
    <t>номер обслуги 1 реактивного артилерійського взводу реактивної артилерійської батареї</t>
  </si>
  <si>
    <t>АК-74 № 1628818</t>
  </si>
  <si>
    <t>до 16.03.26
Довготривале лікування</t>
  </si>
  <si>
    <t>АГ 113752</t>
  </si>
  <si>
    <t>ШАГАНЕНКО Дмитро Миколайович</t>
  </si>
  <si>
    <t>БОНДАРУК Андрій Анатолійович</t>
  </si>
  <si>
    <t>ДЕСАНТНИК</t>
  </si>
  <si>
    <t>КОСЕНЮК Олександр Миколайович</t>
  </si>
  <si>
    <t>АК-74 № 5513568</t>
  </si>
  <si>
    <t>865EBZ3703 + павук</t>
  </si>
  <si>
    <t>СУМАРУК Іван Михайлович</t>
  </si>
  <si>
    <t>СУМАР</t>
  </si>
  <si>
    <t>не задіювати, переведення</t>
  </si>
  <si>
    <t>оператор 1 відділення електронної підтримки взводу управління роти радіоелектронної боротьби</t>
  </si>
  <si>
    <t>АК-74 № 6281911</t>
  </si>
  <si>
    <t>865EBZ3714</t>
  </si>
  <si>
    <t>ТОКАРЕНКО Ігор Миколайович</t>
  </si>
  <si>
    <t>АК-74Н2 № 5498700</t>
  </si>
  <si>
    <t>старший технік роти радіоелектронної боротьби</t>
  </si>
  <si>
    <t>ЧЕЧЕНЮК Олег Іванович</t>
  </si>
  <si>
    <t>ТОЛСТОВ Павло Григорович</t>
  </si>
  <si>
    <t>ПАШТЕТ</t>
  </si>
  <si>
    <t>АК-74Н2 № 3277239</t>
  </si>
  <si>
    <t>865EBZ3555</t>
  </si>
  <si>
    <t>АЛЕКСЕЄНКО Михайло Вадимович</t>
  </si>
  <si>
    <t>КАРС</t>
  </si>
  <si>
    <t>технік роти зв’язку</t>
  </si>
  <si>
    <t>ШУШУРІН Роман Петрович</t>
  </si>
  <si>
    <t>АК-74Н2 № 5536795</t>
  </si>
  <si>
    <t>АВ 574730</t>
  </si>
  <si>
    <t>ЛІСІЦИН Тимофій Анатолійович</t>
  </si>
  <si>
    <t>ФУКС</t>
  </si>
  <si>
    <t>Рота зв'язку</t>
  </si>
  <si>
    <t>ЗВЄРЄВ Денис Ігорович</t>
  </si>
  <si>
    <t>АК-74Н2 № 1523798</t>
  </si>
  <si>
    <t>865EBLN443 + павук</t>
  </si>
  <si>
    <t>старший лінійний наглядач лінійно-кабельного відділення зв’язку взводу зв’язку роти зв’язку</t>
  </si>
  <si>
    <t>БЕДРІН Борис Олександрович</t>
  </si>
  <si>
    <t>СУБОТА Євген Анатолійович</t>
  </si>
  <si>
    <t>ГУДВІН</t>
  </si>
  <si>
    <t>ПОНОМАРЕНКО Олександр Юрійович</t>
  </si>
  <si>
    <t>АК-74Н2 № 2089909</t>
  </si>
  <si>
    <t>КОЛАМБІЯ</t>
  </si>
  <si>
    <t xml:space="preserve">водій-електрик відділення штабних машин взводу штабних машин роти зв’язку </t>
  </si>
  <si>
    <t>ТОРБЕНКО Олексій Сергійович</t>
  </si>
  <si>
    <t>03.05.2026, з Жовтих вод 4ШБ</t>
  </si>
  <si>
    <t>ТВАРДОВСЬКИЙ Андрій Анатолійович</t>
  </si>
  <si>
    <t>ТВЕРДИЙ</t>
  </si>
  <si>
    <t>водій роти зв’язку</t>
  </si>
  <si>
    <t>865ECA5728 + павук</t>
  </si>
  <si>
    <t>МАЛКО Олег Михайлович</t>
  </si>
  <si>
    <t>03.05.2026, з Жовтих вод 4ШБ
со слов ОПЕРАТИВНОГО</t>
  </si>
  <si>
    <t>865EBZ3551 + павук</t>
  </si>
  <si>
    <t>ЖУРБА Олександр Олександрович</t>
  </si>
  <si>
    <t>Забрав Британець 19.12.2025</t>
  </si>
  <si>
    <t>до 27.07.2026</t>
  </si>
  <si>
    <t>електрик - моторист відділення енергозабезпечення взводу штабних машин роти зв’язку</t>
  </si>
  <si>
    <t>МАЦУКОВ Юрій Олексійович</t>
  </si>
  <si>
    <t>CZ Bren 2 № J226776</t>
  </si>
  <si>
    <t>CZ Bren 2 № K033667</t>
  </si>
  <si>
    <t>ВОЗНЕСЕНСЬКИЙ Олександр Васильович</t>
  </si>
  <si>
    <t>CZ Bren 2 № J144647</t>
  </si>
  <si>
    <t>механік 3 відділення мобільного зв'язку взводу мобільного зв'язку роти зв’язку</t>
  </si>
  <si>
    <t>ТВО водій-електрик відділення безпілотних авіаційних комплексів розвідувального взводу 1 піхотного батальйону</t>
  </si>
  <si>
    <t>МАНЕЦЬКИЙ Микола Олексійович</t>
  </si>
  <si>
    <t>ТПВ №4075</t>
  </si>
  <si>
    <t>865ECEX115 + павук</t>
  </si>
  <si>
    <t>сапер інженерно-саперного відділення взводу мобільного зв'язку роти зв’язку</t>
  </si>
  <si>
    <t>СИПАРЕНКО Андрій Ярославович</t>
  </si>
  <si>
    <t>ЧЕМЕРИС Максим Олександрович</t>
  </si>
  <si>
    <t>СТАЛОНЕ</t>
  </si>
  <si>
    <t>передали поліційй по рішенню</t>
  </si>
  <si>
    <t>вернуть в БРЕЗ
ПІД ВАРТОЮ</t>
  </si>
  <si>
    <t>АК-74 № 264047</t>
  </si>
  <si>
    <t>865EBJT957 + павук</t>
  </si>
  <si>
    <t>механік 1 радіорелейної станції взводу зв’язку роти зв’язку</t>
  </si>
  <si>
    <t>ХОРУЖИЙ Микола Миколайович</t>
  </si>
  <si>
    <t>АВ 101424</t>
  </si>
  <si>
    <t>СЛАТЮК Микола Миколайович</t>
  </si>
  <si>
    <t>ВОЙТОВИЧ Євген Сергійович</t>
  </si>
  <si>
    <t>в таблиці БРЕЗ є БЗВП</t>
  </si>
  <si>
    <t>ЛИСЕНКО Андрій Андрійович</t>
  </si>
  <si>
    <t>БАБУРА</t>
  </si>
  <si>
    <t>АК-74 № 1348886</t>
  </si>
  <si>
    <t>старший оператор 1 апаратної взводу зв’язку роти зв’язку</t>
  </si>
  <si>
    <t>ТИМОХОВ Іван Олександрович</t>
  </si>
  <si>
    <t>АГ 577831</t>
  </si>
  <si>
    <t>ГОРКАВИЙ Віталій Олександрович</t>
  </si>
  <si>
    <t>КРАВЧУК Богдан Сергійович</t>
  </si>
  <si>
    <t>КРОВЬ</t>
  </si>
  <si>
    <t>командир роти зв’язку</t>
  </si>
  <si>
    <t>10.01.26 м.Дніпро А4615</t>
  </si>
  <si>
    <t>АК-74 № 4287325
 Тепловізор: TD431 LRF
 SN:ZG09E3124421482</t>
  </si>
  <si>
    <t>865EBX3414 + павук</t>
  </si>
  <si>
    <t>помічник начальника зв'язку відділення зв'язку та кібербезпеки штабу</t>
  </si>
  <si>
    <t>865ECEV355 + павук</t>
  </si>
  <si>
    <t>НИКОНЕНКО Олексій Васильович</t>
  </si>
  <si>
    <t>ТВО командира 1 піхотної роти 3 піхотного батальйону</t>
  </si>
  <si>
    <t>ГАЛУШКО Олексій Олександрович</t>
  </si>
  <si>
    <t>АК-74 № 1337290</t>
  </si>
  <si>
    <t>начальник апаратної 2 апаратної взводу зв’язку роти зв’язку</t>
  </si>
  <si>
    <t>була призупинка</t>
  </si>
  <si>
    <t>до 07.09.2026</t>
  </si>
  <si>
    <t>АК-74 № 1338810</t>
  </si>
  <si>
    <t>ЖОРНЯК Іван Олегович</t>
  </si>
  <si>
    <t>865ECHX745</t>
  </si>
  <si>
    <t>АГ 012240</t>
  </si>
  <si>
    <t>МАЛЕНКО Володимир Євгенович</t>
  </si>
  <si>
    <t>механік 2 відділення мобільного зв'язку взводу мобільного зв'язку роти зв’язку</t>
  </si>
  <si>
    <t>РЕВОНЕНКО Максим Вікторович</t>
  </si>
  <si>
    <t>по пораненню
лікування за кордоном, Німеччина Франкфурт на Майн</t>
  </si>
  <si>
    <t>лік на 120 днів
до 20.12.2026</t>
  </si>
  <si>
    <t>АК-74Н2 № 3278153
Safari HM-105M
XK 37-25YB-002495</t>
  </si>
  <si>
    <t>865ECHY211</t>
  </si>
  <si>
    <t>БАБІЧЕВ Анатолій Михайлович</t>
  </si>
  <si>
    <r>
      <rPr>
        <rFont val="Calibri"/>
        <color theme="1"/>
        <sz val="12.0"/>
      </rPr>
      <t xml:space="preserve">Бічний кронштейн швидкозмінний АК-74/АКМ - 1шт.
</t>
    </r>
    <r>
      <rPr>
        <rFont val="Calibri"/>
        <b/>
        <color theme="1"/>
        <sz val="12.0"/>
      </rPr>
      <t>помпа списана 22.06</t>
    </r>
  </si>
  <si>
    <t>водій-електрик-моторист відділення експлуатаційно-технічного обслуговування базових станцій взводу мобільного зв'язку роти зв’язку</t>
  </si>
  <si>
    <t>БОЛЮТА Сергій Михайлович</t>
  </si>
  <si>
    <t>на БРЕЗ вернуть</t>
  </si>
  <si>
    <t>переведен в А1302</t>
  </si>
  <si>
    <t>АК-74Н2 № 4053887</t>
  </si>
  <si>
    <t>ВАСНЄВ Андрій Анатолійович</t>
  </si>
  <si>
    <t>АК-74 № 6263043</t>
  </si>
  <si>
    <t>АК-74Н2 № 4053888</t>
  </si>
  <si>
    <t>ДЗЯДОВИЧ Анатолій Павлович</t>
  </si>
  <si>
    <t>КІТЕЛЬ Юрій Олександрович</t>
  </si>
  <si>
    <t>КІТЕЛЬ</t>
  </si>
  <si>
    <t>АВ 881966</t>
  </si>
  <si>
    <t>БАРАНОВСЬКИЙ Сергій Вікторович</t>
  </si>
  <si>
    <t>БАНДА</t>
  </si>
  <si>
    <t>АК-74Н2 № 5498679</t>
  </si>
  <si>
    <t>865EZP1230</t>
  </si>
  <si>
    <t>ДЯДЮРА Євген Васильович</t>
  </si>
  <si>
    <t>водій 1 автомобільного відділення автомобільного взводу підвозу боєприпасів роти забезпечення боєприпасами батальйону матеріального забезпечення</t>
  </si>
  <si>
    <t>ГРИЦАК Валерій Васильович</t>
  </si>
  <si>
    <t>КМКЛ №2 з 15.02.2026 м.Кривий Ріг</t>
  </si>
  <si>
    <t>АК-74Н2 № 3277205</t>
  </si>
  <si>
    <t>ШЕВЧУК Олексій Леонідович</t>
  </si>
  <si>
    <t>ГОДУН Олександр Володимирович</t>
  </si>
  <si>
    <t>МЕЧЕНИЙ</t>
  </si>
  <si>
    <t>АК-74 № 1345217</t>
  </si>
  <si>
    <t>КУЗНЕЦОВ Анатолій Олександрович</t>
  </si>
  <si>
    <t>водій автомобільного відділення підвозу продовольства, речового і військово-технічного майна роти забезпечення продовольством, речовим та військово-технічним майном батальйону матеріального забезпечення</t>
  </si>
  <si>
    <t>АК-74Н2 № 3244552</t>
  </si>
  <si>
    <t>865ECEX109</t>
  </si>
  <si>
    <t>ДЕПУТАТ Іван Анатолійович</t>
  </si>
  <si>
    <t>водій автомобільного відділення підвозу продовольства, речового і військово-технічного майна роти забезпечення продовольством, речовим та військово-технічним майном батальйон матеріального забезпечення</t>
  </si>
  <si>
    <t>865ECEX082</t>
  </si>
  <si>
    <t>АГ 523120</t>
  </si>
  <si>
    <t>МОРОЗКО Ігор Юрійович</t>
  </si>
  <si>
    <t>865ECEW843</t>
  </si>
  <si>
    <t>до 15.06.2026</t>
  </si>
  <si>
    <t>ГУЛЬКО Олег Олегович</t>
  </si>
  <si>
    <t>865ECEW979</t>
  </si>
  <si>
    <t>МІШИН Віталій Вячеславович</t>
  </si>
  <si>
    <t>СЛІВА</t>
  </si>
  <si>
    <t>САНДУЛ Володимир Олександрович</t>
  </si>
  <si>
    <t>АК-74Н2 № 5484967</t>
  </si>
  <si>
    <t>водій-заправник автомобільного відділення взводу забезпечення батальйону матеріального забезпечення</t>
  </si>
  <si>
    <t>до 28.05.2026</t>
  </si>
  <si>
    <t>CZ Bren 2 № J140177</t>
  </si>
  <si>
    <t>865ECEX082 + павук</t>
  </si>
  <si>
    <t>МКЛ №4 м.Дніпро</t>
  </si>
  <si>
    <t>старший телефоніст відділення зв'язку батальйону матеріального забезпечення</t>
  </si>
  <si>
    <t>зв'язок</t>
  </si>
  <si>
    <t>на навчанні</t>
  </si>
  <si>
    <t>ВЛК від 06.10.25
Очікує документи ВЛК на придатність. заброньований на охорону</t>
  </si>
  <si>
    <t>АК-74 № 4481604</t>
  </si>
  <si>
    <t>ЗАЛИВАЦЬКИЙ Андрій Олександрович</t>
  </si>
  <si>
    <t>865ECEW690 + павук</t>
  </si>
  <si>
    <t>БЕТМЕН</t>
  </si>
  <si>
    <t>28.04.2026 продовжує лікування Мечнікова</t>
  </si>
  <si>
    <t>командир 1 штурмового взводу 2 штурмової роти 1 штурмового батальйону</t>
  </si>
  <si>
    <t>ЗЛОБІН Іван Сергійович</t>
  </si>
  <si>
    <t>ЗЛЮКА</t>
  </si>
  <si>
    <t>до 02.06.2026</t>
  </si>
  <si>
    <t>командир 2 піхотної роти 2 піхотного батальйону</t>
  </si>
  <si>
    <t>командир 2 автомобільного відділення автомобільного взводу підвозу боєприпасів роти забезпечення боєприпасами батальйону матеріального забезпечення</t>
  </si>
  <si>
    <t>СУПРУНЮК Сергій Володимирович</t>
  </si>
  <si>
    <t>СУПЕР</t>
  </si>
  <si>
    <t>АК-74 № 700275</t>
  </si>
  <si>
    <t>865ECJ8187 + павук</t>
  </si>
  <si>
    <t>28.04 прод.лік.21.04 ліг в А4615 м. Дніпро</t>
  </si>
  <si>
    <t>АК-74Н2 № 5490380</t>
  </si>
  <si>
    <t>командир автомобільного взводу підвозу пального та мастильних матеріалів батальйону матеріального забезпечення</t>
  </si>
  <si>
    <t>865ECHX499 + павук</t>
  </si>
  <si>
    <t>АК-74Н2 № 3241373</t>
  </si>
  <si>
    <t>заступник командира батальйону з психологічної підтримки персоналу ремонтно-відновлювального батальйону військової</t>
  </si>
  <si>
    <t>ШТОРМ</t>
  </si>
  <si>
    <t>Киев мишен контроль</t>
  </si>
  <si>
    <t>АК-74 № 6871085</t>
  </si>
  <si>
    <t>865EBLU083 + павук</t>
  </si>
  <si>
    <t>АК-74 № 1673037</t>
  </si>
  <si>
    <t>командир ремонтного взводу артилерійського озброєння 1 ремонтної роти ремонтно-відновлювального батальйону</t>
  </si>
  <si>
    <t>865EBXL308 + павук</t>
  </si>
  <si>
    <t>УСОВ Сергій Вікторович</t>
  </si>
  <si>
    <t>НІФТІНОВ Нізамі Фазіл огли</t>
  </si>
  <si>
    <t>АЙЗЕР</t>
  </si>
  <si>
    <t>начальник лазні польової лазні взводу забезпечення ремонтно-відновлювального батальйону</t>
  </si>
  <si>
    <t>ДОСІЙ Денис Віталійович</t>
  </si>
  <si>
    <t>АК-74Н2 № 1386024</t>
  </si>
  <si>
    <t>МАХНАЄВ Максим Валентинович</t>
  </si>
  <si>
    <t>АК-74Н2 № 5989632</t>
  </si>
  <si>
    <t>865ECHY040 + павук</t>
  </si>
  <si>
    <t>водій-електрик 2 ремонтного відділення бронетанкової техніки 1 ремонтної роти ремонтно-відновлювального батальйону</t>
  </si>
  <si>
    <t>П’ЯТКІН Юрій Миколайович</t>
  </si>
  <si>
    <t>АК-74 № 6292679</t>
  </si>
  <si>
    <t>н.п. Кідратівка</t>
  </si>
  <si>
    <t>14.06.2025
Кандидат на СЗЧ</t>
  </si>
  <si>
    <t>АК-74Н2 № 4069331</t>
  </si>
  <si>
    <t>механік-водій 1 евакуаційного відділення евакуаційного взводу ремонтно-відновлювального батальйону</t>
  </si>
  <si>
    <t>до 26.07.26</t>
  </si>
  <si>
    <t>865ECEW273 + павук</t>
  </si>
  <si>
    <t>такелажник 3 евакуаційного відділення евакуаційного взводу ремонтно-відновлювального батальйону</t>
  </si>
  <si>
    <t>ВЕЛИЧКО Олександр Ігорович</t>
  </si>
  <si>
    <t>МОРОЗ Олександр Федорович</t>
  </si>
  <si>
    <t>АК-74 № 1343054</t>
  </si>
  <si>
    <t>07.08.2025
Кандидат на СЗЧ</t>
  </si>
  <si>
    <t>командир 1 роти ремонтно-відновлювального батальйону</t>
  </si>
  <si>
    <t>ФРОЛОВ Дмитро Миколайович</t>
  </si>
  <si>
    <t>Рекрутинг</t>
  </si>
  <si>
    <t>ТОФАН Максим Миколайович</t>
  </si>
  <si>
    <t>АДАМС</t>
  </si>
  <si>
    <t>командир 1 відділення спеціальних робіт взводу спеціальних робіт 1 ремонтної роти ремонтно-відновлювального батальйону</t>
  </si>
  <si>
    <t>ШАСТУН Руслан Іванович</t>
  </si>
  <si>
    <t>865ECEV956</t>
  </si>
  <si>
    <t>до 11.12.25 після відпустки лікування 30д</t>
  </si>
  <si>
    <t>865ECEN494 + павук</t>
  </si>
  <si>
    <t>командир евакуаційного взводу ремонтно-відновлювального батальйону</t>
  </si>
  <si>
    <t>КУЗЬМЕНКО Юрій Олексійович</t>
  </si>
  <si>
    <t>КЛИМЕНКО Іван Миколайович</t>
  </si>
  <si>
    <t>КАЖАН</t>
  </si>
  <si>
    <t>головний сержант-командир 1 ремонтного відділення бронетанкової техніки ремонтного взводу бронетанкової техніки 1 ремонтної роти ремонтно-відновлювального батальйону</t>
  </si>
  <si>
    <t>УДОВЕНКО Сергій Станіславович</t>
  </si>
  <si>
    <t>АК-74Н2 № 5270168</t>
  </si>
  <si>
    <t>стрілець-санітар 3 штурмового відділення 1 штурмового взводу 3 штурмової роти 4 штурмового батальйону</t>
  </si>
  <si>
    <t>ДОРО Олексій Вікторович</t>
  </si>
  <si>
    <t>ДОРОГА</t>
  </si>
  <si>
    <t>начальник складу взводу забезпечення ремонтно-відновлювального батальйону</t>
  </si>
  <si>
    <t>АК-74 № 2089909</t>
  </si>
  <si>
    <t>865ECEV826 + павук</t>
  </si>
  <si>
    <t>охорона РЕБ</t>
  </si>
  <si>
    <t>МО 048817</t>
  </si>
  <si>
    <t>ГРЕБЕНЮК Юрій Сергійович</t>
  </si>
  <si>
    <t>КУСАКА</t>
  </si>
  <si>
    <t>вернуть обратно в БРЕЗ часть, не хочет служить в А4862</t>
  </si>
  <si>
    <t>АК-74 № 6861605</t>
  </si>
  <si>
    <t>865ECHX689 + павук</t>
  </si>
  <si>
    <t>КОЗЛОВ Микола Олегович</t>
  </si>
  <si>
    <t>КОЛОС</t>
  </si>
  <si>
    <t>Одеса</t>
  </si>
  <si>
    <t>АК-74 № 1346089</t>
  </si>
  <si>
    <t>865ECHX629 + павук</t>
  </si>
  <si>
    <t>ПУХЛЕНКО Сергій Миколайович</t>
  </si>
  <si>
    <t>старший майстер 1 відділення спеціальних робіт взводу спеціальних робіт 1 ремонтної роти ремонтно-відновлювального батальйону</t>
  </si>
  <si>
    <t>ПУХЛИЙ</t>
  </si>
  <si>
    <t>АК-74 № 1339653</t>
  </si>
  <si>
    <t>29.10.2025
Проходить ВЛК</t>
  </si>
  <si>
    <t>водій 3 штурмового відділення 2 штурмового взводу 2 штурмової роти 3 штурмового батальйону</t>
  </si>
  <si>
    <t>Дніпро</t>
  </si>
  <si>
    <t>РЯЖСЬКИХ Юрій Анатолійович</t>
  </si>
  <si>
    <t>МІТЄВ Олександр Вікторович</t>
  </si>
  <si>
    <t>такелажник 2 евакуаційного відділення евакуаційного взводу ремонтно-відновлювального батальйону</t>
  </si>
  <si>
    <t>КУРИЛО Віталій Анатолійович</t>
  </si>
  <si>
    <t>ВІАН</t>
  </si>
  <si>
    <t>ТИМОШЕНКО Руслан Валерійович</t>
  </si>
  <si>
    <t>до 26.08.26</t>
  </si>
  <si>
    <t>ХАЧАТУРОВ Артем Едуардович</t>
  </si>
  <si>
    <t>КІЛЛ</t>
  </si>
  <si>
    <t>АК-74 № 234914</t>
  </si>
  <si>
    <t>НЕМОНДРУК Юрій Віталійович</t>
  </si>
  <si>
    <t>МЕСІНГ</t>
  </si>
  <si>
    <t>АК-74Н2 № 5498723</t>
  </si>
  <si>
    <t>865ECEL630 + павук</t>
  </si>
  <si>
    <t>ЗВОНАРЬОВ Сергій Юрійович</t>
  </si>
  <si>
    <t>АК-74 № 6341474</t>
  </si>
  <si>
    <t>АВ 552188</t>
  </si>
  <si>
    <t>ДАВИДЮК Олег Валентинович</t>
  </si>
  <si>
    <t>ЛЬОПІК</t>
  </si>
  <si>
    <t>кухар ремонтно-відновлювального батальйону</t>
  </si>
  <si>
    <t>АК-74 № 4168457</t>
  </si>
  <si>
    <t>865ECHX862 + павук</t>
  </si>
  <si>
    <t>ШЕЛЕСТОВА Наталія Русланівна</t>
  </si>
  <si>
    <t>ЛЯШЕНКО Вадим Віталійович</t>
  </si>
  <si>
    <t>РАВ</t>
  </si>
  <si>
    <t>ЛОБКО Руслан Олександрович</t>
  </si>
  <si>
    <t>АК-74 № 2094096</t>
  </si>
  <si>
    <t>865ECHX741 + павук</t>
  </si>
  <si>
    <t>ЗЄМА</t>
  </si>
  <si>
    <t>заступник командира танкової роти</t>
  </si>
  <si>
    <t>АК-74Н2 5247892</t>
  </si>
  <si>
    <t>На переведення, релігійний</t>
  </si>
  <si>
    <t>ТР</t>
  </si>
  <si>
    <t>командир 3 штурмового взводу 3 штурмової роти 2 штурмового батальйону</t>
  </si>
  <si>
    <t>старший механік-водій 1 танкового взводу танкової роти</t>
  </si>
  <si>
    <t>АК-74Н2 № 5478961</t>
  </si>
  <si>
    <t>865ECEX109 + павук</t>
  </si>
  <si>
    <t xml:space="preserve">молодший лейтенант </t>
  </si>
  <si>
    <t>СКОЧИНСЬКИЙ Ігор Миколайович</t>
  </si>
  <si>
    <t>ГОЛІВУД</t>
  </si>
  <si>
    <t>АК-74 № 2275161
40мм гранатомет M32A1 № 000M15067</t>
  </si>
  <si>
    <t>865EBJS564 + павук</t>
  </si>
  <si>
    <t>водій танкової роти</t>
  </si>
  <si>
    <t>БАТ зв'язку навчання</t>
  </si>
  <si>
    <t>САВЧЕНКО Юрій Іванович</t>
  </si>
  <si>
    <t>самострел</t>
  </si>
  <si>
    <t>СОКОЛОВ Євген Васильович</t>
  </si>
  <si>
    <t>865EAZ8874 + павук</t>
  </si>
  <si>
    <t>КОЛЬТ</t>
  </si>
  <si>
    <t>АНТОНЮК Ігор Степанович</t>
  </si>
  <si>
    <t>радіотелефоніст танкової роти</t>
  </si>
  <si>
    <t>ПОЛОЗЮК Віталій Вікторович</t>
  </si>
  <si>
    <t>АК-74 № 6883565</t>
  </si>
  <si>
    <t>МЕЛЬНІЧЕНКО Олег Володимирович</t>
  </si>
  <si>
    <t>ДАНДІ</t>
  </si>
  <si>
    <t>водій 2 відділення снайперів взводу снайперів</t>
  </si>
  <si>
    <t>ШАЛІН Павло Михайлович</t>
  </si>
  <si>
    <t>КОЛОПАЧКО Іван Іванович</t>
  </si>
  <si>
    <t>головний сержант - командир танка 1 танкового взводу танкової роти</t>
  </si>
  <si>
    <t>ДАНИЛЕВИЧ Володимир Михайлович</t>
  </si>
  <si>
    <t>ГАЙДАМАКА Євген Сергійович</t>
  </si>
  <si>
    <t>ГОЙДИК</t>
  </si>
  <si>
    <t>КОЗАКОВ Володимир Олександрович</t>
  </si>
  <si>
    <t>АНУБІС</t>
  </si>
  <si>
    <t>АК-74 № 6240650</t>
  </si>
  <si>
    <t>865ECHY293 + павук</t>
  </si>
  <si>
    <t>навідник 2 танкового взводу танкової роти</t>
  </si>
  <si>
    <t>АК-74Н2 № 5980172</t>
  </si>
  <si>
    <t>865ECHY277 + павук</t>
  </si>
  <si>
    <t>водій-електрик відділення управління командира батальйону взводу зв'язку 3 піхотного батальйону</t>
  </si>
  <si>
    <t>ХРЕНОВСЬКИЙ Валерій Вікторович</t>
  </si>
  <si>
    <t>ПЕЛЬМЕНЬ</t>
  </si>
  <si>
    <t>КАРАДЖЯН Давид Артакович</t>
  </si>
  <si>
    <t>ДАТО</t>
  </si>
  <si>
    <t>АК-74 № 1339680</t>
  </si>
  <si>
    <t>навідник 1 танкового взводу танкової роти</t>
  </si>
  <si>
    <t>відвезли на школу пілотів 06.07.26 по вказівці першого</t>
  </si>
  <si>
    <t>АК-74Н2 № 1524817</t>
  </si>
  <si>
    <t>865ECHX953 + павук</t>
  </si>
  <si>
    <t>командир взводу управління артилерійського дивізіону</t>
  </si>
  <si>
    <t>ТВП</t>
  </si>
  <si>
    <t>КІРІК</t>
  </si>
  <si>
    <t>ПЕЙЧЕВ Денис Миколайович</t>
  </si>
  <si>
    <t>ПАШОТ</t>
  </si>
  <si>
    <t>Арт.дивізіон</t>
  </si>
  <si>
    <t>ДЕЙЛ</t>
  </si>
  <si>
    <t>старший водій автомобільного відділення взводу матеріального забезпечення артилерійського дивізіону</t>
  </si>
  <si>
    <t>багатодітний батько, є документи на дітей і шлюб</t>
  </si>
  <si>
    <t>865ECJW832 + павук</t>
  </si>
  <si>
    <t>майстер 1 відділення ударних безпілотних авіаційних комплексів 1 взводу ударних безпілотних авіаційних комплексів роти безпілотних авіаційних комплексів 4 штурмового батальйону</t>
  </si>
  <si>
    <t>АК-74Н2 № 5484965</t>
  </si>
  <si>
    <t>865ECHY247 + павук
865ECFC355</t>
  </si>
  <si>
    <t>командир відділення технічного обслуговування автомобільної техніки взводу технічного забезпечення артилерійського дивізіону</t>
  </si>
  <si>
    <t>АК-74Н2 № 5496280</t>
  </si>
  <si>
    <t>ЛАПІН Сергій Андрійович</t>
  </si>
  <si>
    <t>водій-заправник автомобільного відділення взводу матеріального забезпечення артилерійського дивізіону</t>
  </si>
  <si>
    <t>номер обслуги 2 самохідного артилерійського взводу самохідної артилерійської батареї артилерійського дивізіону</t>
  </si>
  <si>
    <t xml:space="preserve">865ECA5728 </t>
  </si>
  <si>
    <t>майстер рухомої ремонтної майстерні безпілотних авіаційних комплексів взводу обслуговування та ремонту безпілотних систем розвідувального батальйону</t>
  </si>
  <si>
    <t>БОЙКО Юрій Сергійович</t>
  </si>
  <si>
    <t>ЮРЄЦ</t>
  </si>
  <si>
    <t>МЛ №8 м.Київ</t>
  </si>
  <si>
    <t>ПОКРОВА Євген Олександрович</t>
  </si>
  <si>
    <t>водій-електрик 1 самохідного артилерійського взводу самохідної артилерійської батареї артилерійського дивізіону</t>
  </si>
  <si>
    <t>мозгойоб</t>
  </si>
  <si>
    <t>865ECHX428 + павук</t>
  </si>
  <si>
    <t>водій-радіотелефоніст 2 піхотного відділення 2 піхотного взводу 3 піхотної роти 3 піхотного батальйону</t>
  </si>
  <si>
    <t>ЧЕРНЯВСЬКИЙ Олексій Володимирович</t>
  </si>
  <si>
    <t>СКИЛЕТ</t>
  </si>
  <si>
    <t>АК-74Н2 № 3230746</t>
  </si>
  <si>
    <t>ДОХВАТ Андрій Миколайович</t>
  </si>
  <si>
    <t>АНЧЕВСЬКИЙ Юрій Юрійович</t>
  </si>
  <si>
    <t>ХОМ'ЯК</t>
  </si>
  <si>
    <t>865ECE4557 + павук</t>
  </si>
  <si>
    <t>кулеметник 2 відділення охорони 4 взводу охорони роти охорони</t>
  </si>
  <si>
    <t>водій-електрик відділення зв’язку взводу управління артилерійського дивізіону</t>
  </si>
  <si>
    <t>СВИРИДЕНКО Віталій Віталійович</t>
  </si>
  <si>
    <t>СЛАВЯН</t>
  </si>
  <si>
    <t>CZ Bren 2 № J137386</t>
  </si>
  <si>
    <t>Відмовник</t>
  </si>
  <si>
    <t>CZ Bren 2 № J142926</t>
  </si>
  <si>
    <t>БУРЯКОВСЬКИЙ Дмитро Миколайович</t>
  </si>
  <si>
    <t>САБОТАЖ</t>
  </si>
  <si>
    <t>ШАПОВАЛ Андрій Олександрович</t>
  </si>
  <si>
    <t>ШАПІК</t>
  </si>
  <si>
    <t>CZ Bren 2 № K044400</t>
  </si>
  <si>
    <t>радіотелефоніст 1 самохідного артилерійського взводу самохідної артилерійської батареї артилерійського дивізіону</t>
  </si>
  <si>
    <t>АК-74Н2 № 5998365</t>
  </si>
  <si>
    <t>865ECB5076
865ECFC315</t>
  </si>
  <si>
    <t>майстер - номер обслуги 1 артилерійського взводу 1 артилерійської батареї артилерійського дивізіону</t>
  </si>
  <si>
    <t>ІГОШЕВ Олексій Юрійович</t>
  </si>
  <si>
    <t>ХРЯК</t>
  </si>
  <si>
    <t>CZ Bren 2 № J140208
Safari HM-105M
XK 37-25YB-024994
40мм гранатомет m203 № LM504063</t>
  </si>
  <si>
    <t>865EBXM325
865ECF4158
865EYU1816</t>
  </si>
  <si>
    <t>старший навідник 2 реактивного артилерійського взводу реактивної артилерійської батареї артилерійського дивізіону</t>
  </si>
  <si>
    <t>номер обслуги кулеметного взводу 1 штурмової спеціалізованої роти штурмового спеціалізованого батальйону (ШКВАЛ)</t>
  </si>
  <si>
    <t>ТИМЧУРА Данило Юрійович</t>
  </si>
  <si>
    <t>АБРАМС</t>
  </si>
  <si>
    <t>майстер - номер обслуги 1 самохідного артилерійського взводу самохідної артилерійської батареї артилерійського дивізіону</t>
  </si>
  <si>
    <t>ВЕЛИКОВАЙНЕНКО Володимир Григорович</t>
  </si>
  <si>
    <t>зарахованого до списків особового складу</t>
  </si>
  <si>
    <t>РОМАНЧЕНКО Сергій Петрович</t>
  </si>
  <si>
    <t>командир відділення 1 самохідного артилерійського взводу самохідної артилерійської батареї артилерійського дивізіону</t>
  </si>
  <si>
    <t>АК-74 № 7089300</t>
  </si>
  <si>
    <t>оператор безпілотних літальних апаратів відділення управління командира батареї 2 артилерійської батареї артилерійського дивізіону</t>
  </si>
  <si>
    <t>865EAPR948 + павук</t>
  </si>
  <si>
    <t>ЦИБ Богдан Миколайович</t>
  </si>
  <si>
    <t>ШЕДОВ</t>
  </si>
  <si>
    <t>ВБпЛА</t>
  </si>
  <si>
    <t>головний сержант - командир гармати 1 самохідного артилерійського взводу самохідної артилерійської батареї артилерійського дивізіону</t>
  </si>
  <si>
    <t>ЩЕРБАНЬ Олександр Віталійович</t>
  </si>
  <si>
    <t>865EZZ1478 + павук</t>
  </si>
  <si>
    <t>старший навідник 1 самохідного артилерійського взводу самохідної артилерійської батареї артилерійського дивізіону</t>
  </si>
  <si>
    <t xml:space="preserve">командир машини взводу бойових машин 1 штурмової роти 4 штурмового батальйону
</t>
  </si>
  <si>
    <t>командир - старший офіцер на батареї 1 самохідного артилерійського взводу самохідної артилерійської батареї артилерійського дивізіону</t>
  </si>
  <si>
    <t>КУЗЬМІН Борис Миколайович</t>
  </si>
  <si>
    <t>Полігон К</t>
  </si>
  <si>
    <t>командир гармати 2 артилерійського взводу 2 артилерійської батареї артилерійського дивізіону</t>
  </si>
  <si>
    <t>МО 723271</t>
  </si>
  <si>
    <t>ДІБРОВ Андрій Петрович</t>
  </si>
  <si>
    <t>СНІГ</t>
  </si>
  <si>
    <t>ЗАІЧЕНКО Володимир</t>
  </si>
  <si>
    <t>АК-74 № 1341436</t>
  </si>
  <si>
    <t>старший водій 2 самохідного артилерійського взводу самохідної артилерійської батареї артилерійського дивізіону</t>
  </si>
  <si>
    <t>АК-74 № 7089905</t>
  </si>
  <si>
    <t>ФЕДОСЄЄВ Роман Юрійович</t>
  </si>
  <si>
    <t>КПД</t>
  </si>
  <si>
    <t>РИБКІН Петро Миколайович</t>
  </si>
  <si>
    <t>ШЕВЧЕНКО Олександр Володимирович (07.09.1985 р.н.)</t>
  </si>
  <si>
    <t>ШЕВЧІК</t>
  </si>
  <si>
    <t>АК-74 № 628254</t>
  </si>
  <si>
    <t>ПИЛИПЕЙ Микола Миколайович</t>
  </si>
  <si>
    <t>СОРОКШОСТИЙ</t>
  </si>
  <si>
    <t>дезертир, без рапорту</t>
  </si>
  <si>
    <t>АК-74Н2 № 4639998</t>
  </si>
  <si>
    <t>865EBX2945 + павук
радейка + павук -</t>
  </si>
  <si>
    <t>865ECB1658</t>
  </si>
  <si>
    <t>стрілець - помічник гранатометника 3 штурмового спеціалізованого відділення 2 штурмового спеціалізованого взводу 2 штурмової спеціалізованої роти штурмового спеціалізованого батальйону (ШКВАЛ)</t>
  </si>
  <si>
    <t>МІКАІЛОВА Катерина Олександрівна</t>
  </si>
  <si>
    <t>АХІНЬКО Юрій Миколайович</t>
  </si>
  <si>
    <t>АК-74 № 406811</t>
  </si>
  <si>
    <t>гранатометник 3 штурмового спеціалізованого відділення 2 штурмового спеціалізованого взводу 2 штурмової спеціалізованої роти штурмового спеціалізованого батальйону (ШКВАЛ)</t>
  </si>
  <si>
    <t>865EBQ6411 + павук</t>
  </si>
  <si>
    <t>ЦИКА Іскра Володимирівна</t>
  </si>
  <si>
    <t>МОЖЕТ БЫТЬ ПОЛЕЗНЫМ</t>
  </si>
  <si>
    <t>віддали на КЦ 07.07.26 допомогти з контрактами</t>
  </si>
  <si>
    <t>АК-74 № 2189534</t>
  </si>
  <si>
    <t>АГ 057619</t>
  </si>
  <si>
    <t>ВІКТОРОВ Олександр Юрійович</t>
  </si>
  <si>
    <t>ЧЕМПІОН</t>
  </si>
  <si>
    <t>КОТІН Ігор Олександрович</t>
  </si>
  <si>
    <t>КОТОС</t>
  </si>
  <si>
    <t>гранатометник 1 піхотного відділення 1 піхотного взводу 2 піхотної роти 3 піхотного батальйону</t>
  </si>
  <si>
    <t>АК-74Н2 № 669851</t>
  </si>
  <si>
    <t>865EBL8978 + павук</t>
  </si>
  <si>
    <t>ГУБАРЕВ Олексій Вячеславович</t>
  </si>
  <si>
    <t>КУР'ЄР</t>
  </si>
  <si>
    <t>865EBD0630</t>
  </si>
  <si>
    <t>КАСЬЯН Микола Олександрович</t>
  </si>
  <si>
    <t>СЗЧ з лікування 11.08.2026</t>
  </si>
  <si>
    <t>АК-74Н2 № 3277224</t>
  </si>
  <si>
    <t>КУЗІВ Дмитро Ігорович</t>
  </si>
  <si>
    <t>РЯБІНІН Володимир Володимирович</t>
  </si>
  <si>
    <t>МЕЛКІЙ</t>
  </si>
  <si>
    <t>АК-74 № 1663734</t>
  </si>
  <si>
    <t>865ECDE490 + павук</t>
  </si>
  <si>
    <t>ЄВМЕНОВ Леонід Олександрович</t>
  </si>
  <si>
    <t>СОЛОМОН</t>
  </si>
  <si>
    <t>28.07.2026
30.07.2026</t>
  </si>
  <si>
    <t>ХОЛЯВКО Сергій Олександрович</t>
  </si>
  <si>
    <t>АК-74Н2 № 5987997</t>
  </si>
  <si>
    <t>РАЙТ</t>
  </si>
  <si>
    <t>АНАНЧЕНКО Євген Павлович</t>
  </si>
  <si>
    <t>ЦИТРУС</t>
  </si>
  <si>
    <t>АВ 487270</t>
  </si>
  <si>
    <t>ЦУПА Володимир Іванович</t>
  </si>
  <si>
    <t>КАЛИВАН</t>
  </si>
  <si>
    <t>АГ 003589</t>
  </si>
  <si>
    <t>РОЖКОВ Віталій Віталійович</t>
  </si>
  <si>
    <t>06.03.2026/ 17.03.2026 втік СЗЧ</t>
  </si>
  <si>
    <t>АЛЬОХІН Віктор Олександрович</t>
  </si>
  <si>
    <t>ОЛЕНЬ</t>
  </si>
  <si>
    <t>АК-74 № 7057706</t>
  </si>
  <si>
    <t>АГ 523493</t>
  </si>
  <si>
    <t>АТРОХОВ Максим Анатолійович</t>
  </si>
  <si>
    <t>МЕКСИКА</t>
  </si>
  <si>
    <t>АК-74Н2 5490360</t>
  </si>
  <si>
    <r>
      <rPr>
        <rFont val="Calibri"/>
        <color rgb="FFFF0000"/>
        <sz val="12.0"/>
      </rPr>
      <t xml:space="preserve">865ECCT432 + павук
</t>
    </r>
    <r>
      <rPr>
        <rFont val="Calibri"/>
        <color rgb="FF38761D"/>
        <sz val="12.0"/>
      </rPr>
      <t>865ECFC235</t>
    </r>
  </si>
  <si>
    <t>УК 427749</t>
  </si>
  <si>
    <t>06.03.2026 Кривий ріг</t>
  </si>
  <si>
    <t>АГ 636670</t>
  </si>
  <si>
    <t>МОРОЗОВ Віталій Сергійович</t>
  </si>
  <si>
    <t xml:space="preserve">ФАРТ
</t>
  </si>
  <si>
    <t>до 04.09.2026</t>
  </si>
  <si>
    <r>
      <rPr>
        <rFont val="Calibri"/>
        <color rgb="FF000000"/>
        <sz val="12.0"/>
      </rPr>
      <t>865ECCT471</t>
    </r>
    <r>
      <rPr>
        <rFont val="Calibri"/>
        <color rgb="FFFF0000"/>
        <sz val="12.0"/>
      </rPr>
      <t xml:space="preserve"> + павук</t>
    </r>
  </si>
  <si>
    <t>09.02.26 виписаний за порушення, самовільно покинув відділення</t>
  </si>
  <si>
    <t>865ECCT456 + павук</t>
  </si>
  <si>
    <t>ГОРАК Олег Сергійович</t>
  </si>
  <si>
    <t>ГОПАК</t>
  </si>
  <si>
    <t>копачі, віддали КІССФМ</t>
  </si>
  <si>
    <r>
      <rPr>
        <rFont val="Calibri"/>
        <color rgb="FF000000"/>
        <sz val="12.0"/>
      </rPr>
      <t xml:space="preserve">865EBRB541
</t>
    </r>
    <r>
      <rPr>
        <rFont val="Calibri"/>
        <color rgb="FF6AA84F"/>
        <sz val="12.0"/>
      </rPr>
      <t>865ECHY182</t>
    </r>
  </si>
  <si>
    <t>ПОЛЬОВИЙ Андрій Валентинович</t>
  </si>
  <si>
    <t>ПБпАК</t>
  </si>
  <si>
    <t>865ECDD361</t>
  </si>
  <si>
    <t>АК-74Н2 № 5484921</t>
  </si>
  <si>
    <t>АК-74Н2 № 5989423</t>
  </si>
  <si>
    <t>прибув 30.04.2026</t>
  </si>
  <si>
    <t>РУДИК Роман Іванович</t>
  </si>
  <si>
    <t>КОЛЮЧИЙ</t>
  </si>
  <si>
    <t>АК-74 № 5987983</t>
  </si>
  <si>
    <t>865ECCT401 + павук</t>
  </si>
  <si>
    <t>ВЕЛ</t>
  </si>
  <si>
    <t>АК-74Н2 № 5471405</t>
  </si>
  <si>
    <t>ДМІТРІЄВ Богдан Олексійович</t>
  </si>
  <si>
    <t>865ECFB797 + павук</t>
  </si>
  <si>
    <r>
      <rPr>
        <rFont val="Calibri"/>
        <color rgb="FF000000"/>
        <sz val="12.0"/>
      </rPr>
      <t xml:space="preserve">865ECFC173 </t>
    </r>
    <r>
      <rPr>
        <rFont val="Calibri"/>
        <color rgb="FFFF0000"/>
        <sz val="12.0"/>
      </rPr>
      <t>+ павук</t>
    </r>
    <r>
      <rPr>
        <rFont val="Calibri"/>
        <color rgb="FF000000"/>
        <sz val="12.0"/>
      </rPr>
      <t xml:space="preserve">
865ECFC234</t>
    </r>
  </si>
  <si>
    <t>БАНДУРКО Андрій Валерійович</t>
  </si>
  <si>
    <t>МЧС</t>
  </si>
  <si>
    <t>АК-74 № 5247909</t>
  </si>
  <si>
    <t>865ECFB867 + павук</t>
  </si>
  <si>
    <t>перевод в другую часть/13.05.2026
вивез Иисус</t>
  </si>
  <si>
    <t>865ECCT231 + павук</t>
  </si>
  <si>
    <t>АК-74 № 1999467</t>
  </si>
  <si>
    <t>07.05.2026/ собеседование на КСП</t>
  </si>
  <si>
    <t>после собеседования отдали в ТБ или Фоме</t>
  </si>
  <si>
    <t>ЗЮКОВ Віталій Сергійович</t>
  </si>
  <si>
    <t>ДИЗЕЛЬ</t>
  </si>
  <si>
    <t>АК-74 № 3771076
 Safari HG -105 M
 XK 37-H25YB-010053</t>
  </si>
  <si>
    <t>865EYSC620 + виносна антена ПАВУК</t>
  </si>
  <si>
    <t>АК-74Н2 № 3241814
 Safari HG-105M
 XK 37-H25YB-009741</t>
  </si>
  <si>
    <t>865ECFC339 + виносна антена ПАУК</t>
  </si>
  <si>
    <t>865ECJ7949 + виносна антена ПАВУК</t>
  </si>
  <si>
    <t>20.03.2026 полігон Чорний Ліс</t>
  </si>
  <si>
    <t>ВАСИЛЬКІВСЬКИЙ Олександр Анатолійович</t>
  </si>
  <si>
    <t>ГАЙТАВЕР</t>
  </si>
  <si>
    <t>виїхав до Монгола 11.03.2026</t>
  </si>
  <si>
    <t>АК-74Н2 № 1501344</t>
  </si>
  <si>
    <t>865ECHX774 + виносна антена ПАВУК</t>
  </si>
  <si>
    <t>АГ 636658</t>
  </si>
  <si>
    <t>КУЗЬМІН Андрій Ігорович</t>
  </si>
  <si>
    <t>АК-74 № 1702412</t>
  </si>
  <si>
    <t>865ECJX080 + виносна антена ПАВУК</t>
  </si>
  <si>
    <t>АК-74Н2 № 5471320</t>
  </si>
  <si>
    <t>865ECHS450 + виносна антена ПАВУК</t>
  </si>
  <si>
    <t>ВОРОНОВ Геннадій Валентинович</t>
  </si>
  <si>
    <t>АК-74 № 6252481</t>
  </si>
  <si>
    <t>з ДБРа, 01.04.2026</t>
  </si>
  <si>
    <t>СОЛТАНОВ Сергій Ілліч</t>
  </si>
  <si>
    <t>АК-74Н2 № 3275189</t>
  </si>
  <si>
    <t>865ECF8414 + виносна антена ПАВУК</t>
  </si>
  <si>
    <t>до 01.05.2026</t>
  </si>
  <si>
    <t>АГ 249751</t>
  </si>
  <si>
    <t>БАБЕНКО Анатолій Вікторович</t>
  </si>
  <si>
    <t>ПАТРОС</t>
  </si>
  <si>
    <t>865EBZ3118 + виносна антена ПАВУК</t>
  </si>
  <si>
    <t>призупинка служби / СЗЧ, на 28.04.2026</t>
  </si>
  <si>
    <t>МЕДЯНИК Дмитро Олександрович</t>
  </si>
  <si>
    <t>АК-74Н2 № 5490414</t>
  </si>
  <si>
    <t>865ECEV956 + виносна антена ПАВУК</t>
  </si>
  <si>
    <t>АК-74Н2 № 5272584</t>
  </si>
  <si>
    <t>30.01.2026, зкритий перелом нижньої третини діафізу лівої стегнової кістки зі зміщенням уламків</t>
  </si>
  <si>
    <t>до 10.04.2026/СЗЧ с 28.04.2026</t>
  </si>
  <si>
    <t>АГ 601734</t>
  </si>
  <si>
    <t>АК -74Н2 № 5921513</t>
  </si>
  <si>
    <t>865ECHX428</t>
  </si>
  <si>
    <t>АК -74 № 6534215</t>
  </si>
  <si>
    <t>МАНЯХІН Ігор Геннадійович</t>
  </si>
  <si>
    <t>ПАПАРАЦИ</t>
  </si>
  <si>
    <t>АГ 001485</t>
  </si>
  <si>
    <t>ДАНИЛОВ Ігор Юрійович</t>
  </si>
  <si>
    <t>АГ 575302</t>
  </si>
  <si>
    <t>АГ 539900</t>
  </si>
  <si>
    <t>АГ 561266</t>
  </si>
  <si>
    <t>АГ 105774</t>
  </si>
  <si>
    <t>АГ 453753</t>
  </si>
  <si>
    <t xml:space="preserve">САПОЖНИК
</t>
  </si>
  <si>
    <t>АГ 012122</t>
  </si>
  <si>
    <t>28.01.2026</t>
  </si>
  <si>
    <t>ХОМЯК</t>
  </si>
  <si>
    <t>СЗЧ з банка софиевка 27.04.2026</t>
  </si>
  <si>
    <t>прибухнув на медроті, 0.8 промиле</t>
  </si>
  <si>
    <t>АВ 958206</t>
  </si>
  <si>
    <t>АГ 394764</t>
  </si>
  <si>
    <t>ШМІДТ Андрій Генріхович</t>
  </si>
  <si>
    <t>07.04.2026 / СЗЧ 28.04.2026</t>
  </si>
  <si>
    <t>ЧАБАН Олександр Олександрович</t>
  </si>
  <si>
    <t>ЧАБАН</t>
  </si>
  <si>
    <t>СЗЧ від 13, 06.03.2026</t>
  </si>
  <si>
    <t>був БРЕЗ, 210</t>
  </si>
  <si>
    <t>до 04.05.2026, Відпустки 30 днів 
Тривалого лікування 120 днів</t>
  </si>
  <si>
    <t>ГУКОВ Сергій Ігорович</t>
  </si>
  <si>
    <t>БУРАТІНО</t>
  </si>
  <si>
    <t>3460300396</t>
  </si>
  <si>
    <t>подала мед.рота</t>
  </si>
  <si>
    <t>АГ 397432</t>
  </si>
  <si>
    <t>ДЕНИСИК Вячеслав Вікторович</t>
  </si>
  <si>
    <t>ДИНГА</t>
  </si>
  <si>
    <t>СПЕСІВЕЦЬ Олександр Вікторович</t>
  </si>
  <si>
    <t>МАСІК</t>
  </si>
  <si>
    <t>ЗЮКІН Олександр Іванович</t>
  </si>
  <si>
    <t>КОЧЕГАР</t>
  </si>
  <si>
    <t>з МР на лікування до в/ч 1249 м. Кропивницький</t>
  </si>
  <si>
    <t>НК 6339334</t>
  </si>
  <si>
    <t>до 16.02.26</t>
  </si>
  <si>
    <t>БЕЛЯ Михайло Михайлович</t>
  </si>
  <si>
    <t>БЕЛЯ</t>
  </si>
  <si>
    <t>05.12.2025
проходження ВЛК/ СЗЧ 28.04.2026</t>
  </si>
  <si>
    <t>ТЕЛЕНЬКО Сергій Михайлович</t>
  </si>
  <si>
    <t>ТЕЛ</t>
  </si>
  <si>
    <t>до 11.03.2026</t>
  </si>
  <si>
    <t>ВАЩЕНКО Дмитро Олександрович</t>
  </si>
  <si>
    <t>КОЛЮЧКА</t>
  </si>
  <si>
    <t>негоспітальна двобічна полісегментарна бронхопневмонія</t>
  </si>
  <si>
    <t>АГ 593213</t>
  </si>
  <si>
    <t>ТЕЛЬНИЙ Денис Олексійович</t>
  </si>
  <si>
    <t>6.03.26 напр. ВЛК визн. ст. пр. А1249</t>
  </si>
  <si>
    <t>АГ 575981</t>
  </si>
  <si>
    <t>СТОЄВ Павло Геннадійович</t>
  </si>
  <si>
    <t>ЧІФ</t>
  </si>
  <si>
    <t>27.01.2026/ СЗЧ 28.04.2026</t>
  </si>
  <si>
    <t>АГ 575990</t>
  </si>
  <si>
    <t>САВІЦЬКИЙ Артур Юрійович</t>
  </si>
  <si>
    <t>ТАЛІСМАН</t>
  </si>
  <si>
    <t>до 29.03.2026</t>
  </si>
  <si>
    <t>АГ 458334</t>
  </si>
  <si>
    <t>АВДЄЄВ Андрій Олександрович</t>
  </si>
  <si>
    <t>АЛФІ</t>
  </si>
  <si>
    <t>СЗЧ 28.04.2026</t>
  </si>
  <si>
    <t>АГ 630077</t>
  </si>
  <si>
    <t>ВАННЕР Дмитро Євгенович</t>
  </si>
  <si>
    <t>ВАН</t>
  </si>
  <si>
    <t>АГ 453502</t>
  </si>
  <si>
    <t>ЗЛЕНКОВ Сергій Вікторович</t>
  </si>
  <si>
    <t>12.02.2026
18.02.2026 виписаний за порушення режиму</t>
  </si>
  <si>
    <t>ВОЛЧИК Даниил Олександрович</t>
  </si>
  <si>
    <t>АГ 440612</t>
  </si>
  <si>
    <t>МОКАН Любомир Юрійович</t>
  </si>
  <si>
    <t>ДУШМАН</t>
  </si>
  <si>
    <t>АГ 596300</t>
  </si>
  <si>
    <t>ШЕВЧЕНКО Олександр Павлович</t>
  </si>
  <si>
    <t>ЗЮЗЯ</t>
  </si>
  <si>
    <t>до 26.04.2026</t>
  </si>
  <si>
    <t>ДОВГАЛЮК Олексій Анатолійович</t>
  </si>
  <si>
    <t>АГ 105511 /
МО 216559</t>
  </si>
  <si>
    <t>ТРОШИН Денис Григорович</t>
  </si>
  <si>
    <t>ПАТІФОН</t>
  </si>
  <si>
    <t>АГ 166775</t>
  </si>
  <si>
    <t>ДЕМЧЕНКО Ігор Федорович</t>
  </si>
  <si>
    <t>ДЕМБЕЛЬ</t>
  </si>
  <si>
    <t>АГ 594980</t>
  </si>
  <si>
    <t>АРТЕМОВ Олексій Віталійович</t>
  </si>
  <si>
    <t>ТЕМА</t>
  </si>
  <si>
    <t>АГ 108634</t>
  </si>
  <si>
    <t>ВОЛОКІТІН Андрій Вікторович</t>
  </si>
  <si>
    <t>АГ 452700</t>
  </si>
  <si>
    <t>КОНДРАТ Віталій Володимирович</t>
  </si>
  <si>
    <t>КОТЯ</t>
  </si>
  <si>
    <t>АГ 397348</t>
  </si>
  <si>
    <t>ПРОЧУХАН Михайло Вікторович</t>
  </si>
  <si>
    <t>АГ 339543</t>
  </si>
  <si>
    <t>ШУЛЬГА Сергій Сергійович</t>
  </si>
  <si>
    <t>АГ 631166</t>
  </si>
  <si>
    <t>АРНАУТ Віталій Михайлович</t>
  </si>
  <si>
    <t>СЗЧ с 28.04.2026</t>
  </si>
  <si>
    <t>ПОЛОВИНКО Костянтин Васильович</t>
  </si>
  <si>
    <t>ТЮТЮННИК Іван Олександрович</t>
  </si>
  <si>
    <t>ШУТНІК</t>
  </si>
  <si>
    <t>водій кулеметного взводу 2 штурмової спеціалізованої роти штурмового батальйону (ШКВАЛ) 425 ошп</t>
  </si>
  <si>
    <t>по пораненю</t>
  </si>
  <si>
    <t>АГ 637219</t>
  </si>
  <si>
    <t>ТКАЧОВ Едуард Олександрович</t>
  </si>
  <si>
    <t>СЗЧ з ППД 16.03.2026</t>
  </si>
  <si>
    <t>АВ 366465</t>
  </si>
  <si>
    <t>НОВІКОВ Сергій Олександрович</t>
  </si>
  <si>
    <t>ГРИБНИК</t>
  </si>
  <si>
    <t>В(III) Rh+</t>
  </si>
  <si>
    <t>СЗЧ з ППД В 09.04.2026</t>
  </si>
  <si>
    <t>СО 425513</t>
  </si>
  <si>
    <t>СТАРОВОЙТЕНКО Олександр Олександрович</t>
  </si>
  <si>
    <t>КАПЛО</t>
  </si>
  <si>
    <t>29.04.2026, собеседование</t>
  </si>
  <si>
    <t>АВ 488035</t>
  </si>
  <si>
    <t>3117213936</t>
  </si>
  <si>
    <t>29.01.2026 м. Кропивницький Кіровоградська ОКПЛ</t>
  </si>
  <si>
    <t>АГ 591766</t>
  </si>
  <si>
    <t>ФЕСЕНКО Євген Миколайович</t>
  </si>
  <si>
    <t>АВ 906757</t>
  </si>
  <si>
    <t>не повернувся з відпустки, 02.05.2026</t>
  </si>
  <si>
    <t>?</t>
  </si>
  <si>
    <t>відвезли на співбесіду на ОКП 07.05.26</t>
  </si>
  <si>
    <t>треба везти у Хмельницький, знімати СЗЧ</t>
  </si>
  <si>
    <t>забрала 155, 14.05.26</t>
  </si>
  <si>
    <t>АГ 451557</t>
  </si>
  <si>
    <t xml:space="preserve">ГНОМ
</t>
  </si>
  <si>
    <t>СУЧАНУ Леонід Костянтинович</t>
  </si>
  <si>
    <t>ЯКІР</t>
  </si>
  <si>
    <t>ШЕПЕЛЬ Сергій Валентинович</t>
  </si>
  <si>
    <t xml:space="preserve">не бг, новоутворення в легенях, очікує результати, по ним приймається рішення на госпіталізацію </t>
  </si>
  <si>
    <t>САНЧО</t>
  </si>
  <si>
    <t>отказник</t>
  </si>
  <si>
    <t>АГ 628285</t>
  </si>
  <si>
    <t>БАЙДЕН</t>
  </si>
  <si>
    <t>АВ 936008</t>
  </si>
  <si>
    <t xml:space="preserve">АВ 989907
</t>
  </si>
  <si>
    <t>РАТЬКОВ Антон Павлович</t>
  </si>
  <si>
    <t>ТИСК</t>
  </si>
  <si>
    <t>Пройшов ВЛК потребує відпустки 30 днів, тривалого лікування 120 днів</t>
  </si>
  <si>
    <t>АГ 484290</t>
  </si>
  <si>
    <t>КАЛАТУН Дмитро Анатолійович</t>
  </si>
  <si>
    <t>МАМКА</t>
  </si>
  <si>
    <t>АГ 003537</t>
  </si>
  <si>
    <t>БЕНЕДА Сергій Михайлович</t>
  </si>
  <si>
    <t>12.04.2026 предварительно СЗЧ</t>
  </si>
  <si>
    <t>МІРЯНОВ Дмитро Олегович</t>
  </si>
  <si>
    <t>БАРТС</t>
  </si>
  <si>
    <t>СЗЧ с похорон брата 13.03.2026</t>
  </si>
  <si>
    <t>ЩЕРБИНА Руслан Леонідович</t>
  </si>
  <si>
    <t>БЛУКАЧ</t>
  </si>
  <si>
    <t>РОхор</t>
  </si>
  <si>
    <t>ПРИБУВ 13.05.26</t>
  </si>
  <si>
    <t>АГ 107899</t>
  </si>
  <si>
    <t>після СЗЧ 12.05.26</t>
  </si>
  <si>
    <t>ЦУРКАН Сергій Сергійович</t>
  </si>
  <si>
    <t>РАСТА</t>
  </si>
  <si>
    <t>АГ 362050</t>
  </si>
  <si>
    <t>КЛИМЧУК Владислав Вікторович</t>
  </si>
  <si>
    <t>ГАЛЮН</t>
  </si>
  <si>
    <t>КРУПНИК Анатолій Іванович</t>
  </si>
  <si>
    <t>ПРАДІД</t>
  </si>
  <si>
    <t>АНДРІЄНКО Сергій Валентинович</t>
  </si>
  <si>
    <t>ЗОРКІЙ</t>
  </si>
  <si>
    <t>псих симулянт</t>
  </si>
  <si>
    <t>нет документов для проверки точности ФИО</t>
  </si>
  <si>
    <t>ЧОРНОПІЩУК Микола Миколайович</t>
  </si>
  <si>
    <t>ПАЩЕНКО Антон Анатолійович</t>
  </si>
  <si>
    <t>СКЛЯРЧУК Віталій Васильович</t>
  </si>
  <si>
    <t>БІЛОБОГ</t>
  </si>
  <si>
    <t>155 від 16.05.26</t>
  </si>
  <si>
    <t>БЛАГОДІР Андрій Петрович</t>
  </si>
  <si>
    <t>ЧЕЧЕЛЬНИЦЬКИЙ Ігор Валерійович</t>
  </si>
  <si>
    <t>СВІДОК</t>
  </si>
  <si>
    <t>ВЛАСЕНКО Андрій Юрійович</t>
  </si>
  <si>
    <t>АГ 535003</t>
  </si>
  <si>
    <t>СЗЧ 07.03.2026</t>
  </si>
  <si>
    <t>АГ 113934</t>
  </si>
  <si>
    <t>потребуе тривалого лікування</t>
  </si>
  <si>
    <t>ТВО оператор безпілотних літальних апаратів 2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t>
  </si>
  <si>
    <t>АГ 539428</t>
  </si>
  <si>
    <t>ПАНТЮХ Сергій Володимирович</t>
  </si>
  <si>
    <t>ПАН</t>
  </si>
  <si>
    <t>Школа пілотів 31.01.2026</t>
  </si>
  <si>
    <t>АГ 637417</t>
  </si>
  <si>
    <t>11.05 з Жовтих вод</t>
  </si>
  <si>
    <t>БАЗЮК Володимир Геннадійович</t>
  </si>
  <si>
    <t>з лікування 27.05.26</t>
  </si>
  <si>
    <t>АВ 130995</t>
  </si>
  <si>
    <t>АВ 907470</t>
  </si>
  <si>
    <t>АВ 998070</t>
  </si>
  <si>
    <t>АВ 998977</t>
  </si>
  <si>
    <t>АГ 634236</t>
  </si>
  <si>
    <t>3128022273</t>
  </si>
  <si>
    <t>ПУТРЕНКО Володимир Васильович</t>
  </si>
  <si>
    <t>ІВАНЧЕНКО Олександр Ігорович</t>
  </si>
  <si>
    <t>СКРУ</t>
  </si>
  <si>
    <t>АВ 143203</t>
  </si>
  <si>
    <t>СТУПАК Іван Миколайович</t>
  </si>
  <si>
    <t>20.05.26 відвезли на КЦ, гарний почерк</t>
  </si>
  <si>
    <t>АГ 605053</t>
  </si>
  <si>
    <t>МИХАЙЛЕНКО Максим Григорович</t>
  </si>
  <si>
    <t>НОЛЬ</t>
  </si>
  <si>
    <t>АГ 523149</t>
  </si>
  <si>
    <t>ЄЛІСЄЄВ Дмитро Володимирович</t>
  </si>
  <si>
    <t xml:space="preserve">ГОЛОВА
</t>
  </si>
  <si>
    <t>подала мед.служба 28.05.2026</t>
  </si>
  <si>
    <t>АГ 666011</t>
  </si>
  <si>
    <t>вивезли під Д на пеерведення 30.05.2026</t>
  </si>
  <si>
    <t>ВІНТАЖ</t>
  </si>
  <si>
    <t>БР 425 ОШП 229 25.01.26</t>
  </si>
  <si>
    <t>КОРНІЄНКО Владислав Вікторович</t>
  </si>
  <si>
    <t>КІНЖАЛ</t>
  </si>
  <si>
    <t>11.05.2026, закінчив лікування и на КСП</t>
  </si>
  <si>
    <t>АГ 397332</t>
  </si>
  <si>
    <t>БІЛОУС Павло Олександрович</t>
  </si>
  <si>
    <t>УСІК</t>
  </si>
  <si>
    <t>подала медслужба 31.05</t>
  </si>
  <si>
    <t>ПРЯДКО Роман Костянтинович</t>
  </si>
  <si>
    <t>під вартою, віддали 01.06</t>
  </si>
  <si>
    <t>БОНДАРЬ Денис Юрійович</t>
  </si>
  <si>
    <t>МУЗИКА</t>
  </si>
  <si>
    <t>треба поставити на посаду для реалізації списання</t>
  </si>
  <si>
    <t>батько одинак, дитина 10років</t>
  </si>
  <si>
    <t>відвезли на списання 31.05.26</t>
  </si>
  <si>
    <t>БУРЛУЦЬКИЙ Петро Артурович</t>
  </si>
  <si>
    <t>ГОЛД</t>
  </si>
  <si>
    <t>под списание, 3-е детей</t>
  </si>
  <si>
    <t>АГ 452948</t>
  </si>
  <si>
    <t>КУМПАН Сергій Васильович</t>
  </si>
  <si>
    <t>МО 795422</t>
  </si>
  <si>
    <t>ПОКИДЬКО Федір Петрович</t>
  </si>
  <si>
    <t>ДЖОЗЕФ</t>
  </si>
  <si>
    <t>Вибув 27.12.25 на навчання
антидронів</t>
  </si>
  <si>
    <t>АГ 166759</t>
  </si>
  <si>
    <t>ВИШНЯКОВ Сергій Юрійович</t>
  </si>
  <si>
    <t>06.02.26 завершив лікування і......</t>
  </si>
  <si>
    <t>ВЕРШИНІН Олександр Володимирович</t>
  </si>
  <si>
    <t>НОВОСАД Валентин Григорович</t>
  </si>
  <si>
    <t>РУДЯ</t>
  </si>
  <si>
    <t>АВ 909629</t>
  </si>
  <si>
    <t>НАРІЖНИЙ Микола Анатолійович</t>
  </si>
  <si>
    <t>по хворобі "03.01.2026
завіз Аптекарь"</t>
  </si>
  <si>
    <t>03.01.2026
завіз Аптекарь / возможно СЗЧ</t>
  </si>
  <si>
    <t>АГ 112123</t>
  </si>
  <si>
    <t>НК 6385158</t>
  </si>
  <si>
    <t>поданий на СЗЧ</t>
  </si>
  <si>
    <t>РАЙТЕР</t>
  </si>
  <si>
    <t>не повернувся з відпустки 10.05</t>
  </si>
  <si>
    <t>АГ 453741</t>
  </si>
  <si>
    <t>АГ 128448</t>
  </si>
  <si>
    <t>до 07.04.26</t>
  </si>
  <si>
    <t>АГ 631925</t>
  </si>
  <si>
    <t>до 08.02.2026</t>
  </si>
  <si>
    <t>АГ 109162</t>
  </si>
  <si>
    <t>ВІНКЛЕР Андрій Юрійович</t>
  </si>
  <si>
    <t>БОЛТУН</t>
  </si>
  <si>
    <t>АГ 455834</t>
  </si>
  <si>
    <t>ТИМЧЕНКО Олександр Васильович</t>
  </si>
  <si>
    <t>АВ 437971</t>
  </si>
  <si>
    <t>ЗАЄЦЬ сказав є БЗВП</t>
  </si>
  <si>
    <t>АРСЕНТЬЄВ Артем Вікторович</t>
  </si>
  <si>
    <t>АВ 998764</t>
  </si>
  <si>
    <t xml:space="preserve">ЧІПІК
</t>
  </si>
  <si>
    <t xml:space="preserve">КОЛЧАНОВ Руслан Амербекович
</t>
  </si>
  <si>
    <t>АГ 024459</t>
  </si>
  <si>
    <t>ТАНКИСТ</t>
  </si>
  <si>
    <t>Ліг на лікування в ОКЛ Івано-Франківської обласної ради. з 10.01.2026</t>
  </si>
  <si>
    <t>до 04.07.2026</t>
  </si>
  <si>
    <t>КОВАЛЬЧУК Анатолій Анатолійович</t>
  </si>
  <si>
    <t>АГ 458775</t>
  </si>
  <si>
    <t>АГ 454642</t>
  </si>
  <si>
    <t>КОСМІК</t>
  </si>
  <si>
    <t>ДЖИГЕР</t>
  </si>
  <si>
    <t>04.06.2026 відвезли на перевод до КЦ по вказівці Лєшого</t>
  </si>
  <si>
    <t>інструктор 3 взводу інструкторів роти інструкторів</t>
  </si>
  <si>
    <t xml:space="preserve">інструктор групи інструкторів
</t>
  </si>
  <si>
    <t>КЛІПІЛІН Костянтин Васильович</t>
  </si>
  <si>
    <t>КГ</t>
  </si>
  <si>
    <t>АВ 330436</t>
  </si>
  <si>
    <t>ЛУКИЧ</t>
  </si>
  <si>
    <t>Проходить ВЛК на придатність до служби в лавах ЗСУ</t>
  </si>
  <si>
    <t>РозвідБат</t>
  </si>
  <si>
    <t>БОРСУК Олександр Едуардович</t>
  </si>
  <si>
    <t>ДОЦИК</t>
  </si>
  <si>
    <t>07.06.26 подала медслужба</t>
  </si>
  <si>
    <t>АГ 099442</t>
  </si>
  <si>
    <t>Отказник</t>
  </si>
  <si>
    <t>подала мед.служба 08.06.2026</t>
  </si>
  <si>
    <t>ВЕНГЕР Владислав Олександрович</t>
  </si>
  <si>
    <t>ВУДІК</t>
  </si>
  <si>
    <t>з ППД В 15.05.26</t>
  </si>
  <si>
    <t>АВ 881358</t>
  </si>
  <si>
    <t>кольщик</t>
  </si>
  <si>
    <t>АГ 452949</t>
  </si>
  <si>
    <t>АГ 449769</t>
  </si>
  <si>
    <t>АВ 907174</t>
  </si>
  <si>
    <t>СИДОРЕНКО Геннадій Дмитрович</t>
  </si>
  <si>
    <t>СИД</t>
  </si>
  <si>
    <t>подала мед.служба 27.05.2026</t>
  </si>
  <si>
    <t>ЛОМАКІН Володимир Геннадійович</t>
  </si>
  <si>
    <t>КОЗБУР Олексій Олегович</t>
  </si>
  <si>
    <t>АГ 155495</t>
  </si>
  <si>
    <t xml:space="preserve">ЗЕЛЯ
</t>
  </si>
  <si>
    <t>КАРДАШОВ Ігор Андрійович</t>
  </si>
  <si>
    <t>АГ 538353</t>
  </si>
  <si>
    <t>не повернувся з відпустки</t>
  </si>
  <si>
    <t>АГ 592417</t>
  </si>
  <si>
    <t>ПОТОРАК Михайло Вікторович</t>
  </si>
  <si>
    <t>ШАЙТАН</t>
  </si>
  <si>
    <t>ПОРТНОВ Михайло Валентинович</t>
  </si>
  <si>
    <t>КОВАЛЬ Сергій Миколайович</t>
  </si>
  <si>
    <t>ПРИБУВ 15.05.26</t>
  </si>
  <si>
    <t>СЗЧ з податкової 22.05.26</t>
  </si>
  <si>
    <t>АГ 498626</t>
  </si>
  <si>
    <t>до 05.01.2026</t>
  </si>
  <si>
    <t>Вийшли 29.11.2025</t>
  </si>
  <si>
    <t>КУДРЯВЦЕВ Володимир Олександрович</t>
  </si>
  <si>
    <t>БОЦИК</t>
  </si>
  <si>
    <t>МІШНЄВ Дмитро Вікторович</t>
  </si>
  <si>
    <t>ТАРАН Ілля Андрійович</t>
  </si>
  <si>
    <t>ПОДАТЬ НА ДВ</t>
  </si>
  <si>
    <t>АГ 183032</t>
  </si>
  <si>
    <t>МІРОШНИК Михайло Анатолійович</t>
  </si>
  <si>
    <t>Чорний Ліс</t>
  </si>
  <si>
    <t>з МР вибув на ЧЛ 27.05.26</t>
  </si>
  <si>
    <t>ОЧЕРЕДЬКО Максим Андрійович</t>
  </si>
  <si>
    <t>КРУГЛЯШ</t>
  </si>
  <si>
    <t>вибув у 3ПБ 07.06.2026</t>
  </si>
  <si>
    <t>ПУШИН Сергій Вікторович</t>
  </si>
  <si>
    <t>ПУШОК</t>
  </si>
  <si>
    <t>АНТОНОВ Валерій Валерійович</t>
  </si>
  <si>
    <t>ВАРЕНИК</t>
  </si>
  <si>
    <t>КОНДРАТЬЄВ Віталій Анатолійович</t>
  </si>
  <si>
    <t>КАЗАХ</t>
  </si>
  <si>
    <t>КРИВОНОС Сергій Олександрович</t>
  </si>
  <si>
    <t>П'ЯТІРКА</t>
  </si>
  <si>
    <t>16.06.26 відвезли на школу пілотів, передали Кеша</t>
  </si>
  <si>
    <t>до 12.07.2026</t>
  </si>
  <si>
    <t>від пілотів 13,05.2026</t>
  </si>
  <si>
    <t>АГ 526515</t>
  </si>
  <si>
    <t>ВОЙТОВИЧ Євген Сергійович (02.04.1991 р.н.)</t>
  </si>
  <si>
    <t>ШУМА</t>
  </si>
  <si>
    <t>АВ 881789</t>
  </si>
  <si>
    <t>до 01.06.2026</t>
  </si>
  <si>
    <t>ГАЛІНЕЦЬКИХ Олег Валерійович</t>
  </si>
  <si>
    <t>АС</t>
  </si>
  <si>
    <t>вибув у 2ББС 07.06.26</t>
  </si>
  <si>
    <t>АГ 592957</t>
  </si>
  <si>
    <t>ШЕВЧЕНКО Андрій Юрійович (24.11.1981 р.н.)</t>
  </si>
  <si>
    <t>АГ 013886</t>
  </si>
  <si>
    <t>Вийшов 24.01.2026</t>
  </si>
  <si>
    <t>До Монгола на квадробера</t>
  </si>
  <si>
    <t>ТИХОНОВ Василь Васильович</t>
  </si>
  <si>
    <t>РИБНАДЗОР</t>
  </si>
  <si>
    <t>ПРИБУВ 15.05.25 Одеса</t>
  </si>
  <si>
    <t>ЛЕБІДЬ Юрій Володимирович</t>
  </si>
  <si>
    <t>02.06.2026 подала медслужба</t>
  </si>
  <si>
    <t>АГ 600535</t>
  </si>
  <si>
    <t>АВ 881773</t>
  </si>
  <si>
    <t>12.05.2026/Ліг на лікування в ОКГВВ м. Кропивницький</t>
  </si>
  <si>
    <t>СО 966003</t>
  </si>
  <si>
    <t>вибув у РОхор</t>
  </si>
  <si>
    <t>АГ 490758</t>
  </si>
  <si>
    <t>АГ 593348</t>
  </si>
  <si>
    <t>з 210 БР 425 ОШП 1428 від 11.11.25
У Британця</t>
  </si>
  <si>
    <t>ЮХИМ Олег Григорович</t>
  </si>
  <si>
    <t>дізнатись за документи</t>
  </si>
  <si>
    <t>РИЖКОВ Кирило Євгенович</t>
  </si>
  <si>
    <t>05.06.2026 СЗЧ від Дяді</t>
  </si>
  <si>
    <t>АГ 600531</t>
  </si>
  <si>
    <t>подала мед.служба</t>
  </si>
  <si>
    <t>подала мед.служба 11.06.2026</t>
  </si>
  <si>
    <t>АВ 357721</t>
  </si>
  <si>
    <t>СЗЧ від пілотів 29.05</t>
  </si>
  <si>
    <t>АГ 408510</t>
  </si>
  <si>
    <t>ТИМОШЕК Олександр Васильович</t>
  </si>
  <si>
    <t>ОДІСЕЙ</t>
  </si>
  <si>
    <t>СЗЧ з полігона 07.06.2026</t>
  </si>
  <si>
    <t>НУЖНИЙ Вадим Юрійович</t>
  </si>
  <si>
    <t>ПРІЗРАК</t>
  </si>
  <si>
    <t>з податкової</t>
  </si>
  <si>
    <t>АГ 592022</t>
  </si>
  <si>
    <t>СОБОЛЬ Іван Анатолійович</t>
  </si>
  <si>
    <t>СОБОЛЬ</t>
  </si>
  <si>
    <t>Негоспітальна двобічна полісегментарна пневмонія .ДНІ ВІЧ 4ст</t>
  </si>
  <si>
    <t>ПАВЛЕНКО Олександр Вячеславович</t>
  </si>
  <si>
    <t>АГ 600533</t>
  </si>
  <si>
    <t xml:space="preserve">По ВЛК отримав звільнення від виконання службових обов'язків до 26.02.2026
</t>
  </si>
  <si>
    <t>МО 222616</t>
  </si>
  <si>
    <t>ЧЕРНИШ Павло Іванович</t>
  </si>
  <si>
    <t>РАЯН</t>
  </si>
  <si>
    <t>26.04.2026 ліг у А4615 м. Дніпро</t>
  </si>
  <si>
    <t>подала мед.служба 22.06.26</t>
  </si>
  <si>
    <t>АГ 570472</t>
  </si>
  <si>
    <t>АГ 456792</t>
  </si>
  <si>
    <t>МАЙ</t>
  </si>
  <si>
    <t>подала мед.служба 12.06.2026</t>
  </si>
  <si>
    <t>МУНТЯН Євген Леонідович</t>
  </si>
  <si>
    <t>МУТНИЙ</t>
  </si>
  <si>
    <t>ПРИБУВ 13.05.26 рекрутинг</t>
  </si>
  <si>
    <t>АГ 010033</t>
  </si>
  <si>
    <t>АГ 012693</t>
  </si>
  <si>
    <t>СТОГНІЙ Олександр Миколайович</t>
  </si>
  <si>
    <t>под списание из-за хвороби, ожидается бумага</t>
  </si>
  <si>
    <t>відвезли на КЦ для списання 28.06.2026</t>
  </si>
  <si>
    <t>АГ 414815</t>
  </si>
  <si>
    <t>АГ 631907</t>
  </si>
  <si>
    <t>списання - мед. туберкульоз, рапорт 20.05.26</t>
  </si>
  <si>
    <t>на списання 30.06.26 вивезли на КЦ</t>
  </si>
  <si>
    <t>АГ 451600</t>
  </si>
  <si>
    <t>АВ 499738</t>
  </si>
  <si>
    <t>поїхав на списання, Дісней, 27.06.26</t>
  </si>
  <si>
    <t>АГ 633323</t>
  </si>
  <si>
    <t>ШАЛИГІН Анатолій Степанович</t>
  </si>
  <si>
    <t>ВІДЬМА</t>
  </si>
  <si>
    <t>БП, м. Кам'янське 26.06.2026</t>
  </si>
  <si>
    <t>АГ 264026</t>
  </si>
  <si>
    <t>ЧЕКАН Євгеній Миколайович</t>
  </si>
  <si>
    <t>ЖИГАН</t>
  </si>
  <si>
    <t>СТРАХОВ Дмитро Сергійович</t>
  </si>
  <si>
    <t>БП м.Павлоград06.06.2026</t>
  </si>
  <si>
    <t>АГ 102637</t>
  </si>
  <si>
    <t>19.05 самовільно залишив лікувальний заклад</t>
  </si>
  <si>
    <t>АГ 427289</t>
  </si>
  <si>
    <t>КУЧЕР Сергій Миколайович</t>
  </si>
  <si>
    <t>ДІНГО</t>
  </si>
  <si>
    <t>3 ШБ 25.06.2026</t>
  </si>
  <si>
    <t>КОЛЄСНІЧЕНКО Євгеній Олександрович</t>
  </si>
  <si>
    <t>ТАНЧИК</t>
  </si>
  <si>
    <t>ОСТАФІЙЧУК Олександр Анатолійович</t>
  </si>
  <si>
    <t>КЛОУН</t>
  </si>
  <si>
    <t>БОРОДУЛІН Євген Олександрович</t>
  </si>
  <si>
    <t>НАЙК</t>
  </si>
  <si>
    <t>4 ШБ Жовті води 22.06.2026</t>
  </si>
  <si>
    <t>ВОРОБЙОВ Ігор Сергійович</t>
  </si>
  <si>
    <t>КІСА</t>
  </si>
  <si>
    <t>КОНЮХОВ Володимир Володимирович</t>
  </si>
  <si>
    <t>ВЕРШНИК</t>
  </si>
  <si>
    <t>приговор</t>
  </si>
  <si>
    <t>ЧЕРНИШОВ Ігор Ігорович</t>
  </si>
  <si>
    <t>ТЮЛЬКИН</t>
  </si>
  <si>
    <t>мед. Рота05.06.2026</t>
  </si>
  <si>
    <t>БАКОВСЬКИЙ Василь Миронович</t>
  </si>
  <si>
    <t>ВАСАБІ</t>
  </si>
  <si>
    <t>ХИМИЧ Олексій Іванович</t>
  </si>
  <si>
    <t>УХВАЛА +</t>
  </si>
  <si>
    <t>мед. Рота 20.06.2026</t>
  </si>
  <si>
    <t>АВ 926298</t>
  </si>
  <si>
    <t>ТВО оператор відділення радіоелектронної боротьби 1 піхотного батальйону</t>
  </si>
  <si>
    <t>ШВАРКОВ Артем Андрійович</t>
  </si>
  <si>
    <t>ТЕРЯЄВ Руслан Олександрович</t>
  </si>
  <si>
    <t>КАЛЬМАР Руслан Мамлюкович</t>
  </si>
  <si>
    <t>КАЛЬМАР</t>
  </si>
  <si>
    <t>АГ 484769</t>
  </si>
  <si>
    <t>НЕМИРІВСЬКИЙ Андрій Казимирович</t>
  </si>
  <si>
    <t>ДАРІУС</t>
  </si>
  <si>
    <t>контракт</t>
  </si>
  <si>
    <t>ШИШАЦЬКИЙ Геннадій Вікторович</t>
  </si>
  <si>
    <t>ШИШАЙ</t>
  </si>
  <si>
    <t>Деловод 3ПР</t>
  </si>
  <si>
    <t>10.05.2026, в ДНЕПР</t>
  </si>
  <si>
    <t>ШЕВКУНОВ Євгеній Юрійович</t>
  </si>
  <si>
    <t>ШЕЛБІ</t>
  </si>
  <si>
    <t>Розвід БАТ</t>
  </si>
  <si>
    <t>БАГАЧУК Ігор Васильович</t>
  </si>
  <si>
    <t>БАГА</t>
  </si>
  <si>
    <t>подала мед,служба 27.06.26</t>
  </si>
  <si>
    <t>марксмен 3 штурмового відділення 3 штурмового взводу 3 штурмової роти 2 штурмового батальйону</t>
  </si>
  <si>
    <t>ЛАВРОВ В'ячеслав Леонідович</t>
  </si>
  <si>
    <t>ЛАВР</t>
  </si>
  <si>
    <t>МІЩЕРУК Михайло Іванович</t>
  </si>
  <si>
    <t>СИРЕНА</t>
  </si>
  <si>
    <t>КАЧАНОВСЬКИЙ Давід Георгійович</t>
  </si>
  <si>
    <t>ЦАРЬ</t>
  </si>
  <si>
    <t>16.03.2026 музикант, забрав Стаф</t>
  </si>
  <si>
    <t>подала мед.служба 01.07.26</t>
  </si>
  <si>
    <t>МЕЛЬНИК Віталій Петрович</t>
  </si>
  <si>
    <t>КОСТИЛЬ</t>
  </si>
  <si>
    <t>АГ 575873</t>
  </si>
  <si>
    <t>ПУЛЬЧА Ігор Валерієвич</t>
  </si>
  <si>
    <t>АГ 529536</t>
  </si>
  <si>
    <t>до 10.07.2026</t>
  </si>
  <si>
    <t>посвід 44298</t>
  </si>
  <si>
    <t>ПРИБУВ 15.03.2026</t>
  </si>
  <si>
    <t>з лікування</t>
  </si>
  <si>
    <t>АГ 528388</t>
  </si>
  <si>
    <t>АГ 575177</t>
  </si>
  <si>
    <t>АГ 478354</t>
  </si>
  <si>
    <t>СВІРІДОВ Олександр Михайлович</t>
  </si>
  <si>
    <t>КУВАЛДА</t>
  </si>
  <si>
    <t>до 11.07.2026</t>
  </si>
  <si>
    <t>АВ 881655</t>
  </si>
  <si>
    <t>дружина з ВІЛ, треба операція, відпустка за сімейними</t>
  </si>
  <si>
    <t xml:space="preserve">АВ 944214
</t>
  </si>
  <si>
    <t>МОРОЗОВ Олександр Вікторович (18.10.1983 р.н.)</t>
  </si>
  <si>
    <t>до 01.03.2026</t>
  </si>
  <si>
    <t>АВ 673196</t>
  </si>
  <si>
    <t>СЄЛІВАНОВ Юрій Олександрович</t>
  </si>
  <si>
    <t>САЙМАН</t>
  </si>
  <si>
    <t>13.06 подала мед.служба</t>
  </si>
  <si>
    <t>ЧОРНИЙ Ярослав Вадимович</t>
  </si>
  <si>
    <t>ЛИМУР</t>
  </si>
  <si>
    <t>водій-кранівник відділення спеціальних робіт взводу спеціальних робіт 2 ремонтної роти ремонтно-відновлювального батальйону</t>
  </si>
  <si>
    <t>ЧУРІЛОВ Володимир Вікторович</t>
  </si>
  <si>
    <t>на переведення</t>
  </si>
  <si>
    <t>механік відділення технічного обслуговування автомобільної техніки взводу технічного забезпечення артилерійського дивізіону</t>
  </si>
  <si>
    <t>СЛАКВА Ігор Вікторович</t>
  </si>
  <si>
    <t>ІГРІК</t>
  </si>
  <si>
    <t>подала мед.служба 03.07.2026</t>
  </si>
  <si>
    <t>оператор 3 відділення середніх логістично-евакуаційних безпілотних наземних систем взводу логістично-евакуаційних безпілотних наземних систем 2 піхотного батальйону</t>
  </si>
  <si>
    <t>КУРДУЛЯН Анатолій Валентинович</t>
  </si>
  <si>
    <t>ХОРТИЦЯ</t>
  </si>
  <si>
    <t>02.07.26 подала медслужба</t>
  </si>
  <si>
    <t>командир 2 вогнеметного відділення взводу радіаційного, хімічного, біологічного захисту батальйону підтримки</t>
  </si>
  <si>
    <t>СЛИВКА Володимир Васильович</t>
  </si>
  <si>
    <t>САДОВОД</t>
  </si>
  <si>
    <t>подала мед.слежба 03.07.2026</t>
  </si>
  <si>
    <t>ШИЯН Олександр Петрович</t>
  </si>
  <si>
    <t>Виписаний з МКЛ За порушення режиму/ СЗЧ</t>
  </si>
  <si>
    <t>ДМИТРЕНКО Сергій Олегович</t>
  </si>
  <si>
    <t>БОБИЛЬОВ Денис Володимирович</t>
  </si>
  <si>
    <t>водій - електрик 2 відділення безпілотних авіаційних комплексів 3 взводу безпілотних авіаційних комплексів роти безпілотних авіаційних комплексів розвідувального батальйону</t>
  </si>
  <si>
    <t>РБ</t>
  </si>
  <si>
    <t>МАЦЮК Григорій Степанович</t>
  </si>
  <si>
    <t>КОШЕЛЕВ Ігор Віталійович</t>
  </si>
  <si>
    <t>КОЖ</t>
  </si>
  <si>
    <t>водій - електрик 2 відділення безпілотних авіаційних комплексів 1 взводу безпілотних авіаційних комплексів роти безпілотних авіаційних комплексів розвідувального батальйону</t>
  </si>
  <si>
    <t>МЕЛЬНИКОВ Олексій Сергійович</t>
  </si>
  <si>
    <t>КОНОВЧУК Євген Олександрович</t>
  </si>
  <si>
    <t>ПРИБУВ 15.05.26 Дніпро</t>
  </si>
  <si>
    <t>подала мед,служба 26.06.26</t>
  </si>
  <si>
    <t>АГ 476854</t>
  </si>
  <si>
    <t>дезертир 24.06.26</t>
  </si>
  <si>
    <t>ПРИБУВ після СЗЧ 19.05.26</t>
  </si>
  <si>
    <t>дезертир 23.06.26</t>
  </si>
  <si>
    <t>АГ 611510</t>
  </si>
  <si>
    <t>АГ 172160</t>
  </si>
  <si>
    <t>подала мед.служба 23.06.26</t>
  </si>
  <si>
    <t>АГ 596890</t>
  </si>
  <si>
    <t>СЄВТУНОВ Антон Олександрович</t>
  </si>
  <si>
    <t>ДАЛЛАС</t>
  </si>
  <si>
    <t>Монгол</t>
  </si>
  <si>
    <t>до Монгола</t>
  </si>
  <si>
    <t>н.п. Сергіївка
с виход, поранення</t>
  </si>
  <si>
    <t>з Зимою 29.05.2026</t>
  </si>
  <si>
    <t>КОЛІСНИК Андрій Васильович (14.01.1976 р.н.)</t>
  </si>
  <si>
    <t>АЛЬФА (1976)</t>
  </si>
  <si>
    <t>ВЕШНЕВЕЦЬКИЙ Богдан Сергійович</t>
  </si>
  <si>
    <t>РУДЕНКО Євген Вікторович
СЗЧ з машини при переміщенні ні підрозділ
05.01.2026</t>
  </si>
  <si>
    <t>командир 1 штурмового відділення 3 штурмового взводу 3 штурмової роти 1 штурмового батальйону</t>
  </si>
  <si>
    <t>НІКОТІН</t>
  </si>
  <si>
    <t>радіотелефоніст 1 штурмової роти 1 штурмового батальйону</t>
  </si>
  <si>
    <t>ЗІНЧЕНКО Сергій Олександрович</t>
  </si>
  <si>
    <t>ЗІНЯ</t>
  </si>
  <si>
    <t>АГ 103004</t>
  </si>
  <si>
    <t>ШУРИГІН Сергій Володимирович</t>
  </si>
  <si>
    <t xml:space="preserve">ДІДЖЕЙ
</t>
  </si>
  <si>
    <t>08.07.26 Безвісти 2ПБ</t>
  </si>
  <si>
    <t>АГ 487353</t>
  </si>
  <si>
    <t>СМІТЮХ Олександр Миколайович</t>
  </si>
  <si>
    <t>ПАС</t>
  </si>
  <si>
    <t>повернули після СЗЧ 24.05.26</t>
  </si>
  <si>
    <t>привезли після СЗЧ 09.05.2026</t>
  </si>
  <si>
    <t>АГ 105989</t>
  </si>
  <si>
    <t>АГ 606665</t>
  </si>
  <si>
    <t>тренер по регби, тендера</t>
  </si>
  <si>
    <t>04.05.2026 м.Днепр, физрук</t>
  </si>
  <si>
    <t>НАГОРНИЙ Віктор Вікторович</t>
  </si>
  <si>
    <t>ПРИБУВ 11.05 з 1200</t>
  </si>
  <si>
    <t>у таблиці БРЕЗ є БЗВП</t>
  </si>
  <si>
    <t>АВ 881980 /
АВ 779226</t>
  </si>
  <si>
    <t>ПРИБУВ 15.03.26</t>
  </si>
  <si>
    <t>АГ641098</t>
  </si>
  <si>
    <t>АВ 881992</t>
  </si>
  <si>
    <t>АГ 102501</t>
  </si>
  <si>
    <t>АГ 592929</t>
  </si>
  <si>
    <t>ТИЩЕНКО Сергій Миколайович (08.02.1985 р.н.)</t>
  </si>
  <si>
    <t>ТИМОШЕНКО Іван Вікторович</t>
  </si>
  <si>
    <t>АГ 634271</t>
  </si>
  <si>
    <t>НІКОЛЕНКО Віталій Олександрович</t>
  </si>
  <si>
    <t>СЗЧ з ППД В 18.05.26
привезли 03.06.2026</t>
  </si>
  <si>
    <t>АВ 846640</t>
  </si>
  <si>
    <t>АГ 600794</t>
  </si>
  <si>
    <t>АВ 958233</t>
  </si>
  <si>
    <t>АГ 662062</t>
  </si>
  <si>
    <t>2922016038</t>
  </si>
  <si>
    <t>ОСЬКІН Віктор Вікторович</t>
  </si>
  <si>
    <t>29.04.2026, вернули меченными</t>
  </si>
  <si>
    <t>АГ 484778</t>
  </si>
  <si>
    <t>МО 707687</t>
  </si>
  <si>
    <t>ПРИБУВ 13.02.26</t>
  </si>
  <si>
    <t>ДЕМИДЄНКО Руслан Рашидович</t>
  </si>
  <si>
    <t>КОМПОЗИТОР</t>
  </si>
  <si>
    <t>не повернувся з відпустки за сім.обст. 05.07.26</t>
  </si>
  <si>
    <t>КУРІЛО Олексій Валерійович</t>
  </si>
  <si>
    <t>КАСІО</t>
  </si>
  <si>
    <t>Деловод Хакера</t>
  </si>
  <si>
    <t>ЖУК Олександр Григорович</t>
  </si>
  <si>
    <t>БІДНЮК Олександр Сергійович</t>
  </si>
  <si>
    <t>дезертир 07.07.26</t>
  </si>
  <si>
    <t>АГ 385555</t>
  </si>
  <si>
    <t>АГ 454813</t>
  </si>
  <si>
    <t>подала мед.служба 05.07.26</t>
  </si>
  <si>
    <t>АГ 458715</t>
  </si>
  <si>
    <t>КАВАРА Олег Павлович</t>
  </si>
  <si>
    <t>ПАЛИЧ</t>
  </si>
  <si>
    <t>оперативне підпорядкування</t>
  </si>
  <si>
    <t>вибули у 103ОБрТрО 21.07.26</t>
  </si>
  <si>
    <t>АГ 287924</t>
  </si>
  <si>
    <t>ВОВК Іван Петрович</t>
  </si>
  <si>
    <t>БАБЕНКО Віталій Петрович</t>
  </si>
  <si>
    <t>ВОРОНОВ Іван Володимирович</t>
  </si>
  <si>
    <t>ДЗЮБЕНКО Сергій Іванович</t>
  </si>
  <si>
    <t>СВІТЛЯЧОК</t>
  </si>
  <si>
    <t>СИДІР Роман Іванович</t>
  </si>
  <si>
    <t>КАРДАН</t>
  </si>
  <si>
    <t>ПІСКУС Віталій Анатолійович</t>
  </si>
  <si>
    <t>ХОТЕЛ</t>
  </si>
  <si>
    <t xml:space="preserve">АГ 509954
</t>
  </si>
  <si>
    <t>БЄЛОВ Сергій Денисович</t>
  </si>
  <si>
    <t>ЛАЙТ</t>
  </si>
  <si>
    <t>АГ 578270</t>
  </si>
  <si>
    <t>с вихода</t>
  </si>
  <si>
    <t>списання - брат зник безвісти, є документи, юрист бачив, рапорт 16.06.26</t>
  </si>
  <si>
    <t>вибув у 155, 21.07.26</t>
  </si>
  <si>
    <t>КОСТЕЦЬКИЙ Вячеслав Станіславович</t>
  </si>
  <si>
    <t>СКІТ</t>
  </si>
  <si>
    <t>10.07.2026, на переміщення</t>
  </si>
  <si>
    <t>ШАПОВАЛ Сергій Олександрович</t>
  </si>
  <si>
    <t>ШАП</t>
  </si>
  <si>
    <t>прибув після СЗЧ 03.06.2026</t>
  </si>
  <si>
    <t>ЄРЕМЕНКО Микола Іванович</t>
  </si>
  <si>
    <t>ЄРМАЛАЙ</t>
  </si>
  <si>
    <t>ПРИБУВ 14.06.26 Полі Б</t>
  </si>
  <si>
    <t>ТЕРНАВСЬКИЙ Іван Сергійович</t>
  </si>
  <si>
    <t>по пораненню 
до 06.06.2026</t>
  </si>
  <si>
    <t>АВ 499742</t>
  </si>
  <si>
    <t>АГ 565261</t>
  </si>
  <si>
    <t>АВ 881518</t>
  </si>
  <si>
    <t>треба робити документи, з окуп терит</t>
  </si>
  <si>
    <t>АВ 881726
АГ 020978</t>
  </si>
  <si>
    <t>СЕРГО</t>
  </si>
  <si>
    <t>ПРИБУВ 17.04.2026</t>
  </si>
  <si>
    <t>АГ 568072</t>
  </si>
  <si>
    <t>АГ 575856</t>
  </si>
  <si>
    <t>АГ 458130</t>
  </si>
  <si>
    <t>АГ 477859</t>
  </si>
  <si>
    <t>АГ 107141</t>
  </si>
  <si>
    <t>прибув 15.04.25</t>
  </si>
  <si>
    <t>МО 786762</t>
  </si>
  <si>
    <t>АГ 108687
АВ 415355</t>
  </si>
  <si>
    <t>АГ 478153</t>
  </si>
  <si>
    <t>АГ 108777</t>
  </si>
  <si>
    <t>АГ 128373</t>
  </si>
  <si>
    <t>АВ 673150</t>
  </si>
  <si>
    <t>після СЗЧ 21.05.26</t>
  </si>
  <si>
    <t>АВ 831312</t>
  </si>
  <si>
    <t xml:space="preserve">ДЕН
</t>
  </si>
  <si>
    <t>була призупинка служби
прибув 25.01.26</t>
  </si>
  <si>
    <t>АВ 967150</t>
  </si>
  <si>
    <t>АГ 141120</t>
  </si>
  <si>
    <t>АГ 440262</t>
  </si>
  <si>
    <t>списання - батько одинак, 04.05.26 рапорт</t>
  </si>
  <si>
    <t>АГ 452706</t>
  </si>
  <si>
    <t>АГ 103260</t>
  </si>
  <si>
    <t>МО 801783</t>
  </si>
  <si>
    <t>АГ 571926</t>
  </si>
  <si>
    <t>ПРИБУВ 15.03.25</t>
  </si>
  <si>
    <t>н.п. Сергіївка
аналітик, не состоявшийся</t>
  </si>
  <si>
    <t>по пораненню
прибув після СЗЧ 18.06.2026</t>
  </si>
  <si>
    <t>АГ 478906</t>
  </si>
  <si>
    <t>АГ 576808</t>
  </si>
  <si>
    <t xml:space="preserve">АГ 245351
</t>
  </si>
  <si>
    <t>з виходу 06.03.2026</t>
  </si>
  <si>
    <t>АГ 581544</t>
  </si>
  <si>
    <t>ТЕРЗЕУЛ Артур Вікторович</t>
  </si>
  <si>
    <t>до 15.03.2026</t>
  </si>
  <si>
    <t>САПОН Денис Олегович</t>
  </si>
  <si>
    <t>списання - брат зник безвісти, рапорт 22.05.26</t>
  </si>
  <si>
    <t>механік-водій медичного пункту 1 штурмового батальйону</t>
  </si>
  <si>
    <t>ПІНЯЄВ Павло Олександрович</t>
  </si>
  <si>
    <t>ПІНЯ</t>
  </si>
  <si>
    <t>кулеметник 1 штурмового відділення 2 штурмового взводу 2 штурмової роти 1 штурмового батальйону</t>
  </si>
  <si>
    <t>ОНИЩЕНКО Віталій Володимирович</t>
  </si>
  <si>
    <t>водій 4 штурмового відділення 3 штурмового взводу 2 штурмової роти 3 штурмового батальйону</t>
  </si>
  <si>
    <t>КУЧАЙ Денис Юрійович</t>
  </si>
  <si>
    <t>ТОМАС</t>
  </si>
  <si>
    <t>водій-електрик - оператор польової лазні взводу забезпечення ремонтно-відновлювального батальйону</t>
  </si>
  <si>
    <t>ВЕРБІВСЬКИЙ Василь Васильович</t>
  </si>
  <si>
    <t>РОДЕВИЧ Андрій Станіславович</t>
  </si>
  <si>
    <t>СОЧНЄВ Артем Анатолійович</t>
  </si>
  <si>
    <t>ПЛОХОТНЮК Ігор Олександрович</t>
  </si>
  <si>
    <t>ГАГ</t>
  </si>
  <si>
    <t>ТЕРЛЕЦЬКИЙ Віталій Олександрович</t>
  </si>
  <si>
    <t>ШТІРЛІЦ</t>
  </si>
  <si>
    <t>АГ 567328</t>
  </si>
  <si>
    <t>РИЦЬКО Олександр Володимирович</t>
  </si>
  <si>
    <t>ШУЛЬГА Микола Миколайович</t>
  </si>
  <si>
    <t>ДОНЕЦЬКИЙ</t>
  </si>
  <si>
    <t>МОШНЯГА Валентин Олександрович</t>
  </si>
  <si>
    <t>ТРОМБОН</t>
  </si>
  <si>
    <t>БІЖИК Платон Станіславович</t>
  </si>
  <si>
    <t>БІЖ</t>
  </si>
  <si>
    <t>АГ 471178</t>
  </si>
  <si>
    <t>АГ 606654</t>
  </si>
  <si>
    <t>МАЛЮХОВИЧ Андрій Миколайович</t>
  </si>
  <si>
    <t>по хворобі
забрал Мастера 13.03.2026</t>
  </si>
  <si>
    <t>ВОРОН Сергій Йосипович</t>
  </si>
  <si>
    <t>БЛІНОВ Антон Юрійович</t>
  </si>
  <si>
    <t>ПРИБУВ 14.06.26 з Б</t>
  </si>
  <si>
    <t>списання - багатодітний - рапорт 02.06.26</t>
  </si>
  <si>
    <t>АГ 596883</t>
  </si>
  <si>
    <t>по пораненню
ПРИБУВ 18.02.26</t>
  </si>
  <si>
    <t>18.07.2026 со ШПИТАЛЬ</t>
  </si>
  <si>
    <t>АГ 575200</t>
  </si>
  <si>
    <t>САРАЖАН Володимир Сергійович</t>
  </si>
  <si>
    <t>РОЄНКО Сергій Ігорович</t>
  </si>
  <si>
    <t>ТАЙФУН</t>
  </si>
  <si>
    <t>сзч з побачення 28.06.26</t>
  </si>
  <si>
    <t>будет адвокатский запит на переВЛК</t>
  </si>
  <si>
    <t>КОБЕЦЬ Денис Едуардович</t>
  </si>
  <si>
    <t>ШЕЛКОВЕЦЬ</t>
  </si>
  <si>
    <t>СЗЧ от Никити в КРе, 01.07.2026</t>
  </si>
  <si>
    <t>ТПВ №4204</t>
  </si>
  <si>
    <t>МОГА Олександр Анатолійович</t>
  </si>
  <si>
    <t>МОГА</t>
  </si>
  <si>
    <t>відпустка за сім. обставинами до 18.07.2026</t>
  </si>
  <si>
    <t xml:space="preserve">ГОЙДИК </t>
  </si>
  <si>
    <t>прибув після СЗЧ 05.07.2026</t>
  </si>
  <si>
    <t>ТПВ № 4167</t>
  </si>
  <si>
    <t>ПРИБУВ 14.06.26</t>
  </si>
  <si>
    <t>АГ 591817</t>
  </si>
  <si>
    <t>АГ 490701</t>
  </si>
  <si>
    <t>СУХАРЄВ Шандор Тахірович</t>
  </si>
  <si>
    <t>ШАХ</t>
  </si>
  <si>
    <t>ВОЛОШИН Михайло Йосипович</t>
  </si>
  <si>
    <t>ІНДУС</t>
  </si>
  <si>
    <t>Ввидати на БРЕЗ А7020, данне от ТУРИСТА, 30.07.2026</t>
  </si>
  <si>
    <t>КУЗЬМЕНКО Максим Вікторович</t>
  </si>
  <si>
    <t>От Монгола</t>
  </si>
  <si>
    <t>БУЦАН Сергій Вікторович</t>
  </si>
  <si>
    <t>ВАЙТ</t>
  </si>
  <si>
    <t>ФІЛЬ Іван Володимирович</t>
  </si>
  <si>
    <t>БЛЄДНИЙ</t>
  </si>
  <si>
    <t>МОТУЗОК</t>
  </si>
  <si>
    <t>31.07.2026 вибув у 3ПБ ППО</t>
  </si>
  <si>
    <t>АГ 113154</t>
  </si>
  <si>
    <t>списання - догляд за батьком, інвалід 1 групи, рапорт 17.04.26</t>
  </si>
  <si>
    <t>БОНДАРЕНКО Павло Володимирович</t>
  </si>
  <si>
    <t>у Шахтьора</t>
  </si>
  <si>
    <t>АГ 007243</t>
  </si>
  <si>
    <t>в анкеті : вища освіта, А-С категорія
підприємець</t>
  </si>
  <si>
    <t>АГ 458874</t>
  </si>
  <si>
    <t>МАХМАН</t>
  </si>
  <si>
    <t>ФЕДОРОВ Олексій Русланович</t>
  </si>
  <si>
    <t>ФЕДОТ</t>
  </si>
  <si>
    <t>ПЕРЕХОПЛЮВАЧ</t>
  </si>
  <si>
    <t>14.07.26 ВЛК</t>
  </si>
  <si>
    <t>АВ 445316</t>
  </si>
  <si>
    <t>ПАЛЬКО Ігор Ігорович</t>
  </si>
  <si>
    <t>ЗАКАРПАТЕЦЬ</t>
  </si>
  <si>
    <t>вибув у Д, потім на полі Д, Чорнило, 25.06.2026</t>
  </si>
  <si>
    <t>27.07 переведен в 58 бригаду</t>
  </si>
  <si>
    <t>прибув 31.07.2026</t>
  </si>
  <si>
    <t>МИХАЙЛЕНКО Віталій Олександрович</t>
  </si>
  <si>
    <t>ВІК</t>
  </si>
  <si>
    <t>з 3 ШБ, відпустка ще до 03.08.2026</t>
  </si>
  <si>
    <t>01.08 поїхав до 3ШБ</t>
  </si>
  <si>
    <t>ГУМЕННИЙ Олександр Анатолійович</t>
  </si>
  <si>
    <t>АГ 463201</t>
  </si>
  <si>
    <t>на умивалниках</t>
  </si>
  <si>
    <t>МАНЗЮК Іван Васильович</t>
  </si>
  <si>
    <t>ПРИБУВ після СЗЧ 27.05.26</t>
  </si>
  <si>
    <t>АГ 514901
+довідка</t>
  </si>
  <si>
    <t>ТЕРЛЕЦЬКИЙ Анатолій Миколайович</t>
  </si>
  <si>
    <t>до 22.05.2026</t>
  </si>
  <si>
    <t>ГОЙСАН Володимир Михайлович</t>
  </si>
  <si>
    <t>ГРИЗЛІ</t>
  </si>
  <si>
    <t>БОНДАР Олександр Олександрович</t>
  </si>
  <si>
    <t>БОНИК</t>
  </si>
  <si>
    <t>водій кулеметного взводу 1 піхотної роти 3 піхотного батальйону</t>
  </si>
  <si>
    <t>СТРИЖАК Юрій Олександрович</t>
  </si>
  <si>
    <t>ЧИЖ</t>
  </si>
  <si>
    <t>16.07.26 з лікування</t>
  </si>
  <si>
    <t>СО 025264</t>
  </si>
  <si>
    <t>МОЗГОВИЙ Олександр Володимирович</t>
  </si>
  <si>
    <t>на перевод, шизоафективний розлад</t>
  </si>
  <si>
    <t>з лікування 22.07.2026</t>
  </si>
  <si>
    <t>водій-електрик відділення зв'язку взводу управління артилерійського дивізіону</t>
  </si>
  <si>
    <t>МАРКОВ Андрій Вадимович</t>
  </si>
  <si>
    <t>до 29.07.2026</t>
  </si>
  <si>
    <t xml:space="preserve">командир 10 відділення безпілотних авіаційних комплексів - командир екіпажу безпілотних авіаційних комплексів взводу розвідки та корегування роти безпілотних авіаційних комплексів 1 штурмового батальйон
</t>
  </si>
  <si>
    <t>ВУКОВ Сергій Олександрович</t>
  </si>
  <si>
    <t>БУРЕВІЙ</t>
  </si>
  <si>
    <t>БАБЕНКО Дмитро Володимирович</t>
  </si>
  <si>
    <t>АРТДИВІЗІОН</t>
  </si>
  <si>
    <t>ПУНЬКО Віктор Миколайович</t>
  </si>
  <si>
    <t>ЦОЙ</t>
  </si>
  <si>
    <t>АГ 330289</t>
  </si>
  <si>
    <t>ЗАБИРАННИК Владислав Вадимович</t>
  </si>
  <si>
    <t>ГАРД</t>
  </si>
  <si>
    <t>ВОЛОДЬКО Руслан Ігорович</t>
  </si>
  <si>
    <t>КАСИМ</t>
  </si>
  <si>
    <t>АГ 451720</t>
  </si>
  <si>
    <t>по пораненню
привезли від КісФМ</t>
  </si>
  <si>
    <t>подала медслужба 24.07.26</t>
  </si>
  <si>
    <t>АГ 453769</t>
  </si>
  <si>
    <t>22.07.2026 з лікування</t>
  </si>
  <si>
    <t>РЕПРІНЦЕВ Артем Андрійович</t>
  </si>
  <si>
    <t>СЗЧ 07.04.2026 з ППД В</t>
  </si>
  <si>
    <t>КУРСА Андрій Олексійович</t>
  </si>
  <si>
    <t>СО 833845</t>
  </si>
  <si>
    <t>вибув 05.08.2026</t>
  </si>
  <si>
    <t>ГАРКУША Микола Миколайович (26.07.1983 р.н.)</t>
  </si>
  <si>
    <t>44 ОМБР</t>
  </si>
  <si>
    <t>ПРИБУВ Чорний Ліс 07.06.2026</t>
  </si>
  <si>
    <t>ТУТИНІН Максим Сергійович</t>
  </si>
  <si>
    <t>рекрутинг Чорнило</t>
  </si>
  <si>
    <t>НОВОЖИЛОВ Віталій Віталійович</t>
  </si>
  <si>
    <t>ТОМ</t>
  </si>
  <si>
    <t>30 ОМБР</t>
  </si>
  <si>
    <t>на переведення, епілепсія</t>
  </si>
  <si>
    <t>АГ 592562</t>
  </si>
  <si>
    <t>ТПВ №4157</t>
  </si>
  <si>
    <t>прибув з мед.роти 20.06.2026</t>
  </si>
  <si>
    <t>СЕРГЄЄВ Данило Сергійович</t>
  </si>
  <si>
    <t>ОМЕН</t>
  </si>
  <si>
    <t>долбаеб</t>
  </si>
  <si>
    <t>ХОРОВЕЦЬ Едуард Володимирович</t>
  </si>
  <si>
    <t>ХОР</t>
  </si>
  <si>
    <t>АГ 196171</t>
  </si>
  <si>
    <t>КАЛІНІН Микола Іванович</t>
  </si>
  <si>
    <t>КАЛИНА</t>
  </si>
  <si>
    <t>АГ 569732</t>
  </si>
  <si>
    <t>РЕКРУТИНГ</t>
  </si>
  <si>
    <t>АВ 970637</t>
  </si>
  <si>
    <t>подала мед.рота в СЗЧ 09.02.2026
04.03.2026 повернувся з СЗЧ на МР</t>
  </si>
  <si>
    <t>ГОРБАЧУК Олександр Володимирович</t>
  </si>
  <si>
    <t>МОРПЄХ</t>
  </si>
  <si>
    <t>Отказник
по пораненню
прибув після СЗЧ 30.07.2026</t>
  </si>
  <si>
    <t>23.07.2026 з лікування</t>
  </si>
  <si>
    <t>АГ 592975</t>
  </si>
  <si>
    <t>Треба щоб надіслав висновок</t>
  </si>
  <si>
    <t>МИГУН Сергій Анатолійович</t>
  </si>
  <si>
    <t>ВЕР</t>
  </si>
  <si>
    <t>обморок з відношенням в А1880</t>
  </si>
  <si>
    <t>є кримінальне провадження, хочуть забрита до прокурора поспілкуватись 0993397863</t>
  </si>
  <si>
    <t>проходить ВЛК, 30.04.2026</t>
  </si>
  <si>
    <t>ПАРІЙ Володимир Вікторович</t>
  </si>
  <si>
    <t>АГ 633176</t>
  </si>
  <si>
    <t>ФОМИЦЬКИЙ Олег Олексійович</t>
  </si>
  <si>
    <t>ЧАСОВЩИК</t>
  </si>
  <si>
    <t>ПРИБУВ 15.05.26 Одесса</t>
  </si>
  <si>
    <t>должен дать документи до 14.06.26</t>
  </si>
  <si>
    <t>АГ 414938</t>
  </si>
  <si>
    <t>подала медслужба 29.07.26</t>
  </si>
  <si>
    <t>ТІТОВ Юрій Вікторович</t>
  </si>
  <si>
    <t>ТІТО</t>
  </si>
  <si>
    <t>КРИЖАНОВСЬКИЙ Віктор Миколайович</t>
  </si>
  <si>
    <t>КУТЯ</t>
  </si>
  <si>
    <t>пластина в ноге на мед роту надо</t>
  </si>
  <si>
    <t>АГ 265511</t>
  </si>
  <si>
    <t>СО 942738</t>
  </si>
  <si>
    <t>АГ 454714</t>
  </si>
  <si>
    <t>ДЕМЯНИК Олег Іванович</t>
  </si>
  <si>
    <t>ДЕМ'ЯН</t>
  </si>
  <si>
    <t>Геодезист</t>
  </si>
  <si>
    <t>ПРИБУВ Полі Б 14.06.2026
Відказник</t>
  </si>
  <si>
    <t xml:space="preserve">
</t>
  </si>
  <si>
    <t>АВ 673277</t>
  </si>
  <si>
    <t>В только, Урал, краз, маз</t>
  </si>
  <si>
    <t>ДЕХАН Богдан Павлович</t>
  </si>
  <si>
    <t>БАРДАК</t>
  </si>
  <si>
    <t>ШАПРАН Володимир Юрійович</t>
  </si>
  <si>
    <t>ШАРІК</t>
  </si>
  <si>
    <t>СУХАРЄВ Михайло Сергійович</t>
  </si>
  <si>
    <t>ВЕДМІДЬ</t>
  </si>
  <si>
    <t>АГ 102285</t>
  </si>
  <si>
    <t>з лікування за 27.07.2026</t>
  </si>
  <si>
    <t>ДРОЗДОВ Денис Аркадійович</t>
  </si>
  <si>
    <t>ХАРЬКІВ</t>
  </si>
  <si>
    <t>МАКСИМЧУК Даніїл Валерійович</t>
  </si>
  <si>
    <t>ЧАКА</t>
  </si>
  <si>
    <t>відпустка до</t>
  </si>
  <si>
    <t>АГ 164276</t>
  </si>
  <si>
    <t>ГОНЧАР Микола Миколайович</t>
  </si>
  <si>
    <t>ТЮЛЬГІН Роман Ігорович</t>
  </si>
  <si>
    <t>09.04.2026, дезерир</t>
  </si>
  <si>
    <t>Исключен по строевой от 30.04.2026
прибув після СЗЧ 21.07.2026</t>
  </si>
  <si>
    <t>АГ 561845</t>
  </si>
  <si>
    <t>ГУРЧИН Олексій Ігорович</t>
  </si>
  <si>
    <t>МУРЧИК</t>
  </si>
  <si>
    <t>под САЛЯМІ)</t>
  </si>
  <si>
    <t>ХУПАВКА Олександр Володимирович</t>
  </si>
  <si>
    <t>ХУПИЧ</t>
  </si>
  <si>
    <t>СІЛИЧ Віктор Сергійович</t>
  </si>
  <si>
    <t>СІЛИЧ</t>
  </si>
  <si>
    <t>ПРИБУВ Полі К 30.06.2026</t>
  </si>
  <si>
    <t>АГ 153416</t>
  </si>
  <si>
    <t>вибув 06.08.2026</t>
  </si>
  <si>
    <t>ЗОЛУШКІН</t>
  </si>
  <si>
    <t>32 ОМБР</t>
  </si>
  <si>
    <t>не Електрик со слов Дубка</t>
  </si>
  <si>
    <t>СТОЛБЧАТИЙ Олег Михайлович</t>
  </si>
  <si>
    <t>ШАУРМА</t>
  </si>
  <si>
    <t>не БГ до 30.07</t>
  </si>
  <si>
    <t>АГ 606728</t>
  </si>
  <si>
    <t>Кухня</t>
  </si>
  <si>
    <t xml:space="preserve">АГ 591818
</t>
  </si>
  <si>
    <t>ВІТКОВ Віталій Анатолійович</t>
  </si>
  <si>
    <t>ЯСОН</t>
  </si>
  <si>
    <t>ПРИБУВ ЧЛ 07.06.2026</t>
  </si>
  <si>
    <t>СО 300716</t>
  </si>
  <si>
    <t>ТЕНЬКА Володимир Олександрович</t>
  </si>
  <si>
    <t>ЧЄК</t>
  </si>
  <si>
    <t>ОВЧАРЕНКО Денис Анатолійович</t>
  </si>
  <si>
    <t>ПРИБУВ ПолІ Б 14.06.26</t>
  </si>
  <si>
    <t>АВ 503135</t>
  </si>
  <si>
    <t>НОВІКОВ Олександр Сергійович</t>
  </si>
  <si>
    <t>ЗОРГ</t>
  </si>
  <si>
    <t>до 07.03.2026</t>
  </si>
  <si>
    <t>АГ 146312</t>
  </si>
  <si>
    <t>АГ 108690</t>
  </si>
  <si>
    <t>НЕСТЕРЕНКО Сергій Васильович</t>
  </si>
  <si>
    <t>БАТОН</t>
  </si>
  <si>
    <t>до 07.06.2026</t>
  </si>
  <si>
    <t>АГ 458144</t>
  </si>
  <si>
    <t>ШАРАПІН Артем Петрович</t>
  </si>
  <si>
    <t>ІГНАТОВИЧ Вячеслав Іванович</t>
  </si>
  <si>
    <t>МАТВЕЄНКО Андрій Валентинович</t>
  </si>
  <si>
    <t>160 ОМБР</t>
  </si>
  <si>
    <t>вибув в 160 ОМБР</t>
  </si>
  <si>
    <t>ЛИСТАФОРОВ Олександр Олександрович</t>
  </si>
  <si>
    <t>ДЖЕКІ ЧАН</t>
  </si>
  <si>
    <t>помощник по Кухне</t>
  </si>
  <si>
    <t>ГУМЕНЮК Вадим Анатолійович</t>
  </si>
  <si>
    <t>ВАДЯ</t>
  </si>
  <si>
    <t>Полігон К	30.06.2026</t>
  </si>
  <si>
    <t>АГ 628387</t>
  </si>
  <si>
    <t>догляд за батьком, документи відправлено юристу</t>
  </si>
  <si>
    <t>ПАНЧЕНКО Євгеній Сергійович</t>
  </si>
  <si>
    <t>АГ 640394</t>
  </si>
  <si>
    <t>списання - догляд за дружиною, рапорт 03.05.2026</t>
  </si>
  <si>
    <t>ТІШИН Євгеній Олександрович</t>
  </si>
  <si>
    <t>ПРИБУВ 14.06.26 з Б
списання - є документи, рапорт 02.07.2026</t>
  </si>
  <si>
    <t>АГ 380560</t>
  </si>
  <si>
    <t>Ферма</t>
  </si>
  <si>
    <t>"Ферма"</t>
  </si>
  <si>
    <t>ХЛЮПІН Олег Вячеславович</t>
  </si>
  <si>
    <t>водій-електрик відділення технічної розвідки евакуаційного взводу ремонтно-відновлювального батальйону</t>
  </si>
  <si>
    <t>КУЖБА Віталій Анатолійович</t>
  </si>
  <si>
    <t>ДРУЖБА</t>
  </si>
  <si>
    <t>резерв Монгол</t>
  </si>
  <si>
    <t>механік взводу перехоплювачів безпілотних літальних апаратів 1 штурмового батальйону</t>
  </si>
  <si>
    <t>КОЗОРІЗ Павло Васильович</t>
  </si>
  <si>
    <t>ЧИФ</t>
  </si>
  <si>
    <t>водій-електрик 1 відділення ударних безпілотних авіаційних комплексів 2 взводу ударних безпілотних авіаційних комплексів роти безпілотних авіаційних комплексів 1 штурмового батальйону</t>
  </si>
  <si>
    <t>ПАЛІЙЧУК Едуард Іванович</t>
  </si>
  <si>
    <t>ЛОСОСЬ</t>
  </si>
  <si>
    <t>На переведення</t>
  </si>
  <si>
    <t>оператор 2 відділення радіорозвідки 2 взводу радіорозвідки роти радіо- та радіотехнічної розвідки розвідувального батальйону</t>
  </si>
  <si>
    <t>АЛФЬОРОВ Віктор Володимирович</t>
  </si>
  <si>
    <t>МУЖИК</t>
  </si>
  <si>
    <t>радіотелефоніст відділення зв'язку взводу управління артилерійського дивізіону</t>
  </si>
  <si>
    <t>ЄГОРОВ Андрій Сергійович</t>
  </si>
  <si>
    <t>КАПСУЛЬ</t>
  </si>
  <si>
    <t>водій-електрик 3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2 батальйону безпілотних систем</t>
  </si>
  <si>
    <t>КІРЮХІН Андрій Костянтинович</t>
  </si>
  <si>
    <t>оператор безпілотних літальних апаратів взводу безпілотних авіаційних комплексів роти вогневої підтримки 2 штурмового батальйону</t>
  </si>
  <si>
    <t>ЖИВОГЛЯДОВ Віктор Олександрович</t>
  </si>
  <si>
    <t>водій лабораторії вимірювальної техніки ремонтно-відновлювального батальйону</t>
  </si>
  <si>
    <t>СЕРВАНЧУК Олександр Олександрович</t>
  </si>
  <si>
    <t>КЬЮ</t>
  </si>
  <si>
    <t>майстер 1 екіпажу перехоплювачів безпілотних літальних апаратів взводу перехоплювачів безпілотних літальних апаратів 2 піхотного батальйону</t>
  </si>
  <si>
    <t>БІРОВ Іван Ервірович</t>
  </si>
  <si>
    <t>БІРА</t>
  </si>
  <si>
    <t>ГАПОН Євген Геннадійович</t>
  </si>
  <si>
    <t>ГАПОН</t>
  </si>
  <si>
    <t>стрілець-номер обслуги 2 штурмового відділення 1 штурмового взводу 1 штурмової роти 2 штурмового батальйону</t>
  </si>
  <si>
    <t>АВ 467913</t>
  </si>
  <si>
    <t>ВЕЛИЧКО Геннадій Олексійович</t>
  </si>
  <si>
    <t>Є БЗВП, Адмірал</t>
  </si>
  <si>
    <t>брат безвісти, не вистачає витяга</t>
  </si>
  <si>
    <t>водій 3 евакуаційного відділення евакуаційного взводу ремонтно-відновлювального батальйону</t>
  </si>
  <si>
    <t>КУЧЕНКО Юрій Васильович</t>
  </si>
  <si>
    <t>ТАЙМ</t>
  </si>
  <si>
    <t>МОСКАЛЕНКО Денис Андрійович</t>
  </si>
  <si>
    <t>АРХАНГЕЛ</t>
  </si>
  <si>
    <t>майстер 1 відділення ударних безпілотних авіаційних комплексів 1 взводу ударних безпілотних авіаційних комплексів роти безпілотних авіаційних комплексів 3 штурмового батальйону</t>
  </si>
  <si>
    <t>АГ 108611</t>
  </si>
  <si>
    <t>лежача мати, оформлення документів</t>
  </si>
  <si>
    <t>оператор безпілотних літальних апаратів 3 піхотної роти 3 піхотного батальйону</t>
  </si>
  <si>
    <t>ЧУБАТИЙ Олексій Петрович</t>
  </si>
  <si>
    <t>ЛЬОХА</t>
  </si>
  <si>
    <t>брат зник безвісти</t>
  </si>
  <si>
    <t>ЗАВОЙЧИНСЬКИЙ Андрій Валерійович</t>
  </si>
  <si>
    <t>ЗАВОД</t>
  </si>
  <si>
    <t>майстер відділення забезпечення стрільб взводу забезпечення</t>
  </si>
  <si>
    <t>СОКОЛОВ Олександр Сергійович</t>
  </si>
  <si>
    <t>НАРІЖНЯК Олександр Юрійович</t>
  </si>
  <si>
    <t>ГРАФІН</t>
  </si>
  <si>
    <t>старший навідник 1 штурмового відділення 4 штурмового взводу 3 штурмової роти 3 штурмового батальйону</t>
  </si>
  <si>
    <t>МОРАР Ігор Михайлович</t>
  </si>
  <si>
    <t>ДУРІМАР</t>
  </si>
  <si>
    <t>ФРАНКОВСЬКИЙ Олексій Олександрович</t>
  </si>
  <si>
    <t>навідник гранатометного взводу роти вогневої підтримки 2 штурмового батальйону</t>
  </si>
  <si>
    <t>БАРЗЄЄВ Євген Валерійович</t>
  </si>
  <si>
    <t>БЕВ</t>
  </si>
  <si>
    <t>стрілець - санітар 1 штурмового спеціалізованого відділення 3 штурмового спеціалізованого взводу 4 штурмової спеціалізованої роти штурмового спеціалізованого батальйону (ШКВАЛ)</t>
  </si>
  <si>
    <t>СКІРКА Володимир Володимирович</t>
  </si>
  <si>
    <t>ШКІРА</t>
  </si>
  <si>
    <t>кулеметник 2 штурмового відділення 2 штурмового взводу 1 штурмової роти 2 штурмового батальйону</t>
  </si>
  <si>
    <t>КОШЕЛЬНИК Олексій Іванович</t>
  </si>
  <si>
    <t>МЕБЛЯ</t>
  </si>
  <si>
    <t>АЛІЄВ Василь Михайлович</t>
  </si>
  <si>
    <t>ОБЛАКО</t>
  </si>
  <si>
    <t>майстер 3 відділення ударних безпілотних авіаційних комплексів 2 взводу ударних безпілотних авіаційних комплексів роти безпілотних авіаційних комплексів 3 піхотного батальйону</t>
  </si>
  <si>
    <t>МАКЕДОНСЬКИЙ Олександр Володимирович</t>
  </si>
  <si>
    <t>ПОЛКОВОДЕЦ</t>
  </si>
  <si>
    <t>старший стрілець - вогнеметник 4 штурмового відділення 3 штурмового взводу 3 штурмової роти 3 штурмового батальйону</t>
  </si>
  <si>
    <t>ГОНЧАРЕНКО Микола Сергійович</t>
  </si>
  <si>
    <t>КОСЕНКОВ Анатолій Анатолійович</t>
  </si>
  <si>
    <t>КОЙОТ</t>
  </si>
  <si>
    <t>ЛЮБЧАК Іван Геннадійович</t>
  </si>
  <si>
    <t>ЄПІСКОП</t>
  </si>
  <si>
    <t>СТАРИХ Дмитро Володимирович</t>
  </si>
  <si>
    <t>ШАРГОРОДСЬКИЙ Владислав Володимирович</t>
  </si>
  <si>
    <t>ШАРГОРОД</t>
  </si>
  <si>
    <t>АВ 881289</t>
  </si>
  <si>
    <t>В,с крупногабрит, вито</t>
  </si>
  <si>
    <t>АГ 014502</t>
  </si>
  <si>
    <t>АГ 168134</t>
  </si>
  <si>
    <t>навчання інструкторів</t>
  </si>
  <si>
    <t>кулеметник 2 штурмового відділення 3 штурмового взводу 3 штурмової роти 1 штурмового батальйону</t>
  </si>
  <si>
    <t>АГ 066618</t>
  </si>
  <si>
    <t>вибув 09.08.2026</t>
  </si>
  <si>
    <t>ГОТЬВАН Вадим Вікторович</t>
  </si>
  <si>
    <t>ГОТЯ</t>
  </si>
  <si>
    <t>3 піхотний взвод
1 піхотна рота</t>
  </si>
  <si>
    <t>ОМЕЛЬЯН Павло Васильович</t>
  </si>
  <si>
    <t>ПАШОК</t>
  </si>
  <si>
    <t>медик группи ЕВАК</t>
  </si>
  <si>
    <t>2 піхотний взвод
1 піхотна рота</t>
  </si>
  <si>
    <t>ПЕТРОВ Іван Іванович</t>
  </si>
  <si>
    <t>РАСПИСНОЙ</t>
  </si>
  <si>
    <t>прибув після СЗЧ 24.06.2026</t>
  </si>
  <si>
    <t>БЕРЕЖНИЙ Дмитро Миколайович</t>
  </si>
  <si>
    <t>ГРЄК</t>
  </si>
  <si>
    <t>переведеннч а іншу частину 09.08</t>
  </si>
  <si>
    <t>АГ 429754</t>
  </si>
  <si>
    <t>НО 5454126</t>
  </si>
  <si>
    <t>АГ 518547</t>
  </si>
  <si>
    <t>Рішення суду чи органу опіки про утримання 4-х дітей.</t>
  </si>
  <si>
    <t>Рапорт у КЦ з 06.07.26</t>
  </si>
  <si>
    <t>СКОРКІН Максим Олександрович</t>
  </si>
  <si>
    <t>АГ 332168</t>
  </si>
  <si>
    <t>списання - безвісти зниклий родич, рапорт 19.06.2026</t>
  </si>
  <si>
    <t>списання - брат по матері безвісти</t>
  </si>
  <si>
    <t>АГ 107802</t>
  </si>
  <si>
    <t>ДІДЕНКО Ілля Андрійович</t>
  </si>
  <si>
    <t>РАГНАР</t>
  </si>
  <si>
    <t>є БЗВП, К2</t>
  </si>
  <si>
    <t>МУРАШКО Сергій Миколайович</t>
  </si>
  <si>
    <t>прибув з мед.роти 10.06.2026</t>
  </si>
  <si>
    <t>списання - багатодітний, рапорт 06.03.26</t>
  </si>
  <si>
    <t>09.08.2026 вибув на КЦ для списання</t>
  </si>
  <si>
    <t>АГ 007171</t>
  </si>
  <si>
    <t>КАПУСТА Сергій Тарасович</t>
  </si>
  <si>
    <t>КАПІК</t>
  </si>
  <si>
    <t>САДИГОВ Руслан Вагифович</t>
  </si>
  <si>
    <t>СІД</t>
  </si>
  <si>
    <t>ДАНИЛІВ Василь Миколайович</t>
  </si>
  <si>
    <t>НО 5401400</t>
  </si>
  <si>
    <t>АГ 103023</t>
  </si>
  <si>
    <t>АГ 575203</t>
  </si>
  <si>
    <t xml:space="preserve">ЛІЧ
</t>
  </si>
  <si>
    <t>деловод Техники</t>
  </si>
  <si>
    <t>ТПВ № 4190</t>
  </si>
  <si>
    <t>ПОКРОВА Євгеній Олександрович</t>
  </si>
  <si>
    <t>ПРИБУВ 07.06.2026 Чорний Ліс</t>
  </si>
  <si>
    <t xml:space="preserve">солдат </t>
  </si>
  <si>
    <t>ПРИБУВ 16.07.26</t>
  </si>
  <si>
    <t>АВ 447137</t>
  </si>
  <si>
    <t>ТПВ №4156</t>
  </si>
  <si>
    <t>АВ 986888</t>
  </si>
  <si>
    <t xml:space="preserve"> НК 5759558</t>
  </si>
  <si>
    <t>АГ 451362</t>
  </si>
  <si>
    <t>Рихтовка авто</t>
  </si>
  <si>
    <t>ЛАНОС</t>
  </si>
  <si>
    <t>позиція Х-РЕЙ</t>
  </si>
  <si>
    <t>АГ 628284</t>
  </si>
  <si>
    <t>АГ 536004</t>
  </si>
  <si>
    <t>3141721919</t>
  </si>
  <si>
    <t>ВІЄРА ДА КОСТА Аліссон Енріке</t>
  </si>
  <si>
    <t>АВ 550790</t>
  </si>
  <si>
    <t>позиція Х-рей</t>
  </si>
  <si>
    <t>ЛЕКАЙ Володимир Петрович</t>
  </si>
  <si>
    <t xml:space="preserve">АВ 365239
</t>
  </si>
  <si>
    <t>АГ 340915</t>
  </si>
  <si>
    <t xml:space="preserve">АВ 860157
</t>
  </si>
  <si>
    <t>позиція Кіло</t>
  </si>
  <si>
    <t>СО 691229</t>
  </si>
  <si>
    <t>СЛІНКІН Олександр Сергійович</t>
  </si>
  <si>
    <t>АГ 449524</t>
  </si>
  <si>
    <t>АГ 463046</t>
  </si>
  <si>
    <t>2969804574</t>
  </si>
  <si>
    <t>Водій - механік 
У 13-го</t>
  </si>
  <si>
    <t>ЯСИНСЬКИЙ Олександр Віталійович</t>
  </si>
  <si>
    <t>ЯСИК</t>
  </si>
  <si>
    <t>ЦУКУРОВ Олександр Вікторович</t>
  </si>
  <si>
    <t xml:space="preserve">АВ 228351
</t>
  </si>
  <si>
    <t>ТПВ № 4176</t>
  </si>
  <si>
    <t>на квадріку з Бородою - 200</t>
  </si>
  <si>
    <t>ГОРГУЦА Андрій Юрійович</t>
  </si>
  <si>
    <t>ДОГ</t>
  </si>
  <si>
    <t>Ю Дакін</t>
  </si>
  <si>
    <t>СО 883491</t>
  </si>
  <si>
    <t>ІВАНИЦЬКИЙ Микола Миколайович</t>
  </si>
  <si>
    <t>АГ 607118</t>
  </si>
  <si>
    <t>аліменти 25%</t>
  </si>
  <si>
    <t>АГ 036776</t>
  </si>
  <si>
    <t>ТПВ № 4174</t>
  </si>
  <si>
    <t>ПРИБУВ 14.06.26 полі Б</t>
  </si>
  <si>
    <t>АГ 007151</t>
  </si>
  <si>
    <t xml:space="preserve">СО 463930
</t>
  </si>
  <si>
    <t>АГ 009532</t>
  </si>
  <si>
    <t xml:space="preserve">НО 4755342
</t>
  </si>
  <si>
    <t xml:space="preserve">НО 4127804
</t>
  </si>
  <si>
    <t>до 23.01.2026</t>
  </si>
  <si>
    <t>ТПВ №4184</t>
  </si>
  <si>
    <t>АГ 453127</t>
  </si>
  <si>
    <t>резерв на пілотів/ 10.05.2026</t>
  </si>
  <si>
    <t>АГ 518479</t>
  </si>
  <si>
    <t>до 13.05.2026</t>
  </si>
  <si>
    <t>ТПВ №4198</t>
  </si>
  <si>
    <t>Закінчення курсу 13.08.25</t>
  </si>
  <si>
    <t>АГ 646387</t>
  </si>
  <si>
    <t>УН 0717630</t>
  </si>
  <si>
    <t>2717620013</t>
  </si>
  <si>
    <t>АГ 009168</t>
  </si>
  <si>
    <t>АГ 578333</t>
  </si>
  <si>
    <t>будівельник</t>
  </si>
  <si>
    <t>ФРОСТ</t>
  </si>
  <si>
    <t xml:space="preserve">АГ 568348
</t>
  </si>
  <si>
    <t>АГ 577970</t>
  </si>
  <si>
    <t>довідка/
МО 301113</t>
  </si>
  <si>
    <t xml:space="preserve">АГ 319817
</t>
  </si>
  <si>
    <t>МАРІО</t>
  </si>
  <si>
    <t>ТПВ № 4181</t>
  </si>
  <si>
    <t>АГ 602848</t>
  </si>
  <si>
    <t>ХАТКІН Олександр Будулайович</t>
  </si>
  <si>
    <t>АВ 091660</t>
  </si>
  <si>
    <t>АГ 010831</t>
  </si>
  <si>
    <t>ТПВ № 4185</t>
  </si>
  <si>
    <t>200 на квадріку</t>
  </si>
  <si>
    <t>прибув після СЗЧ 29.06.2026 з 155</t>
  </si>
  <si>
    <t>АВ 934336</t>
  </si>
  <si>
    <t>ЗАВОЙКІН Андрій Миколайович</t>
  </si>
  <si>
    <t>АГ 631191</t>
  </si>
  <si>
    <t xml:space="preserve">МАЛІБУ
</t>
  </si>
  <si>
    <t>подала медслужба 03.08.26</t>
  </si>
  <si>
    <t>АВ 881725</t>
  </si>
  <si>
    <t>БОЙЧЕНКО Олександр Олександрович</t>
  </si>
  <si>
    <t>ПРОФЕСОР</t>
  </si>
  <si>
    <t>3,2E+09</t>
  </si>
  <si>
    <t>відвезли на КЦ на перевод вказівка пуха 24.03.26</t>
  </si>
  <si>
    <t>ТПВ № 4179</t>
  </si>
  <si>
    <t>КРИВОПУСТОВ Артем Костянтинович</t>
  </si>
  <si>
    <t>СТІНГРЕЙ</t>
  </si>
  <si>
    <t>ТКАЧУК Андрій Григорович</t>
  </si>
  <si>
    <t>прибув після СЗЧ 23.05.2026</t>
  </si>
  <si>
    <t>списання - не придатний для військової служби, рапорт 01.06.26</t>
  </si>
  <si>
    <t>АГ 565232</t>
  </si>
  <si>
    <t>лік.відп</t>
  </si>
  <si>
    <t>по пораненню
ПРИБУВ 29.03.26</t>
  </si>
  <si>
    <t>оператор безпілотних літальних апаратів 1 відділення ударних безпілотних авіаційних комплексів 1 взводу ударних безпілотних авіаційних комплексів роти ударних безпілотних авіаційних комплексів</t>
  </si>
  <si>
    <t>АГ 105119</t>
  </si>
  <si>
    <t>17.08.2026 вибули</t>
  </si>
  <si>
    <t>оператор безпілотних літальних апаратів 5 відділення ударних безпілотних авіаційних комплексів 2 взводу ударних безпілотних авіаційних комплексів роти ударних безпілотних авіаційних комплексів</t>
  </si>
  <si>
    <t>СО 934261</t>
  </si>
  <si>
    <t>навчання пілотів до 15.08
17.08.2026 вибули</t>
  </si>
  <si>
    <t>оператор безпілотних літальних апаратів 3 відділення ударних безпілотних авіаційних комплексів 2 взводу ударних безпілотних авіаційних комплексів роти ударних безпілотних авіаційних комплексів</t>
  </si>
  <si>
    <t xml:space="preserve">АВ 947612
</t>
  </si>
  <si>
    <t>оператор безпілотних літальних апаратів 4 відділення ударних безпілотних авіаційних комплексів 2 взводу ударних безпілотних авіаційних комплексів роти ударних безпілотних авіаційних комплексів</t>
  </si>
  <si>
    <t>28.01.2026
17.08.2026 вибули</t>
  </si>
  <si>
    <t>забрали з 210, 06.07.26, штрафнік</t>
  </si>
  <si>
    <t>АГ 592972</t>
  </si>
  <si>
    <t>водія 2 відділення протитанкових ракетних комплексів взводу протитанкових ракетних комплексів 1 піхотного батальйону військової частини А4862</t>
  </si>
  <si>
    <t>тимчасового виконання обов’язків радіотелефоніста відділення управління штабу батальйону взводу зв'язку 1 піхотного батальйону військової частини А4862.</t>
  </si>
  <si>
    <t>тимчасового виконання обов’язків старшого стрільця - оператора безпілотних літальних апаратів 3 піхотного відділення 1 піхотного взводу 3 піхотної роти 1 піхотного батальйону військової частини А4862</t>
  </si>
  <si>
    <t>механік ,водитель, наводчик БМП1 (має ВОС)</t>
  </si>
  <si>
    <t>ТПВ №4175</t>
  </si>
  <si>
    <t>КОРОБЕЙНІКОВ Андрій Геннадійович</t>
  </si>
  <si>
    <t>БАРКАС</t>
  </si>
  <si>
    <t>ЯКОВЕНКО Ярослав Романович</t>
  </si>
  <si>
    <t>ВІТЯ</t>
  </si>
  <si>
    <t>до 05.04.26
довготривале лікування
з 16.08.2026 переведений в іншу частину</t>
  </si>
  <si>
    <t>ДІРІК Артур Сергійович</t>
  </si>
  <si>
    <t>МЕЛЯ</t>
  </si>
  <si>
    <t>МО 598275</t>
  </si>
  <si>
    <t>Полігон Б 14.06.2026</t>
  </si>
  <si>
    <t>ТПВ №4177</t>
  </si>
  <si>
    <t>АГ 368280</t>
  </si>
  <si>
    <t>по пораненню
прибув після СЗЧ 27.05.2026</t>
  </si>
  <si>
    <t>подала медслужба 08.08.26</t>
  </si>
  <si>
    <t>СО 855453</t>
  </si>
  <si>
    <t>ПРИБУВ 15.03.26 ЧЛ</t>
  </si>
  <si>
    <t>ТПВ №4172</t>
  </si>
  <si>
    <t>АГ 109023</t>
  </si>
  <si>
    <t>АДІК</t>
  </si>
  <si>
    <t>АГ 555968</t>
  </si>
  <si>
    <t>АВ 812791</t>
  </si>
  <si>
    <t>АГ 449949</t>
  </si>
  <si>
    <t>до 04.08.2026 не поверення с відпустки</t>
  </si>
  <si>
    <t>до 07.08.2026</t>
  </si>
  <si>
    <t>МО 279542</t>
  </si>
  <si>
    <t>КУЗІН Микита Андрійович</t>
  </si>
  <si>
    <t>КУЗЕН</t>
  </si>
  <si>
    <t>на переведення В 4350 18.08</t>
  </si>
  <si>
    <t>3282914155</t>
  </si>
  <si>
    <t>3422610031</t>
  </si>
  <si>
    <t>АВ 330940</t>
  </si>
  <si>
    <t>СТРОМАН Ілля Андрійович</t>
  </si>
  <si>
    <t>СТРІЛА</t>
  </si>
  <si>
    <t>АГ 081400</t>
  </si>
  <si>
    <t>ПОЧЕПЕЦЬКИЙ Олексій Олександрович</t>
  </si>
  <si>
    <t>АРЕЙ</t>
  </si>
  <si>
    <t>АГ 008614</t>
  </si>
  <si>
    <t>АВ 740360</t>
  </si>
  <si>
    <t>КОРНІЙКО Роман Вікторович</t>
  </si>
  <si>
    <t>КАРАТЕЛЬ</t>
  </si>
  <si>
    <t>ШУБІН Іван Русланович</t>
  </si>
  <si>
    <t>ВІНЧЕСТЕР</t>
  </si>
  <si>
    <t>ГЕРЧИК Олександр Дмитрович</t>
  </si>
  <si>
    <t>с лікування  13.08</t>
  </si>
  <si>
    <t>РІЧ</t>
  </si>
  <si>
    <t>Дельта</t>
  </si>
  <si>
    <t>АВ 340434</t>
  </si>
  <si>
    <t>ТИМОШЕНКО Антон Степанович</t>
  </si>
  <si>
    <t>ПРИБУВ 01.02.26</t>
  </si>
  <si>
    <t>АГ 568529</t>
  </si>
  <si>
    <t>ШЕЛБУХОВ Артем Олександрович</t>
  </si>
  <si>
    <t>АГ 497875</t>
  </si>
  <si>
    <t>07.07.2026
Загинув батько/ списання</t>
  </si>
  <si>
    <t>ДЕБІЧ Дмитро Євгенійович</t>
  </si>
  <si>
    <t>ПРИБУВ 23.08.2026 из СЗЧ</t>
  </si>
  <si>
    <t>СТАХОВ Іван Іванович</t>
  </si>
  <si>
    <t>ПРИБУВ 23.08.2026 из СЗЧ, 24.08.2026 вибув до 3ШБ</t>
  </si>
  <si>
    <t>15.07.2026 з МЕДРОТИ в СЗЧ, мають забрати в 3ШБ</t>
  </si>
  <si>
    <t>3462601579</t>
  </si>
  <si>
    <t>до 27.01.2026</t>
  </si>
  <si>
    <t>АДЖІЕМІНОВ Ервін Шевкетович</t>
  </si>
  <si>
    <t>вибув 28.07.2026</t>
  </si>
  <si>
    <t>БУШОВСЬКИЙ Олег Васильович</t>
  </si>
  <si>
    <t>ЧИШИР</t>
  </si>
  <si>
    <t>по пораненню
ПРИБУВ 15.04.26</t>
  </si>
  <si>
    <t>до 06.09.26</t>
  </si>
  <si>
    <t>АГ 559791</t>
  </si>
  <si>
    <t>до 08.09.26</t>
  </si>
  <si>
    <t>Патрон</t>
  </si>
  <si>
    <t>н.п. Тернівка</t>
  </si>
  <si>
    <t>СНАГ</t>
  </si>
  <si>
    <t>умеет работать в Word, Excel</t>
  </si>
  <si>
    <t>до 27.06.2026</t>
  </si>
  <si>
    <t>ГАВРИЛОВ Віталій Вадимович</t>
  </si>
  <si>
    <t>ВЄНТ</t>
  </si>
  <si>
    <t>АГ 454725</t>
  </si>
  <si>
    <t>АГ 592021</t>
  </si>
  <si>
    <t>полігон Чорний ЛІс</t>
  </si>
  <si>
    <t>АГ 178787</t>
  </si>
  <si>
    <t>АГ 009711</t>
  </si>
  <si>
    <t xml:space="preserve">ПОЛЯРНИК
</t>
  </si>
  <si>
    <t>НЕПОСЄДА</t>
  </si>
  <si>
    <t>АГ 012153</t>
  </si>
  <si>
    <t>ЗАЙКА Олександр Віталійович</t>
  </si>
  <si>
    <t>БУХГАЛТЕР</t>
  </si>
  <si>
    <t>на переведення, проблеми з ногами</t>
  </si>
  <si>
    <t>РРЕБ, 17.05.26</t>
  </si>
  <si>
    <t>АВ 904683</t>
  </si>
  <si>
    <t>АВ 875624</t>
  </si>
  <si>
    <t>КУШНІРУК Тарас Миколайович</t>
  </si>
  <si>
    <t>ДАТА ПРИБУТТЯ 15.04.26</t>
  </si>
  <si>
    <t>15,08.2026</t>
  </si>
  <si>
    <t>АВ 544829</t>
  </si>
  <si>
    <t>АГ 636699</t>
  </si>
  <si>
    <t>навчання медиків 06.07.26
відпустка до 15.08</t>
  </si>
  <si>
    <t>КОРЗУН Сергій Володимирович</t>
  </si>
  <si>
    <t>БАРБЕР</t>
  </si>
  <si>
    <t>КОЛОМІЄЦЬ Руслан Леонідович</t>
  </si>
  <si>
    <t>КОЛОМ</t>
  </si>
  <si>
    <t>СЗЧ 17.08.2026</t>
  </si>
  <si>
    <t>АГ 663653</t>
  </si>
  <si>
    <t>БЛАЖКОВ Денис Романович</t>
  </si>
  <si>
    <t>БОШИК</t>
  </si>
  <si>
    <t>ЛОКОТОШ Алік Алікович</t>
  </si>
  <si>
    <t>переведення
це або 25 ошп або 62 ошбр
23.08.2026</t>
  </si>
  <si>
    <t>СО 253367</t>
  </si>
  <si>
    <t>по пораненню
прибув з Б 17.04.2026</t>
  </si>
  <si>
    <t>до 15.08.26
СЗЧ с лікування 15.08.2026</t>
  </si>
  <si>
    <t>ОДЕСИТ</t>
  </si>
  <si>
    <t>29.04.2026 на КСП, собеседование</t>
  </si>
  <si>
    <t>подала мед.служба 18.08.26</t>
  </si>
  <si>
    <t>01.07.2026
СЗЧ 17.08.2026</t>
  </si>
  <si>
    <t>ТПВ №4199</t>
  </si>
  <si>
    <t>прибув після СЗЧ 18.06.2026</t>
  </si>
  <si>
    <t>ТПВ № 4159</t>
  </si>
  <si>
    <t>ГАРКУША Олександр Олександрович</t>
  </si>
  <si>
    <t>ЗНАМЕНСЬКИЙ</t>
  </si>
  <si>
    <t>АВ 908099</t>
  </si>
  <si>
    <t>Забрав Британець</t>
  </si>
  <si>
    <t>навідник М1117
16.08.2026</t>
  </si>
  <si>
    <t>ВЕРГУН Вадим Олександрович</t>
  </si>
  <si>
    <t>СТІФ</t>
  </si>
  <si>
    <t>СЗЧ 13.08.2026</t>
  </si>
  <si>
    <t>ПЛОТНІКОВ Анатолій Вікторович</t>
  </si>
  <si>
    <t>ПЛОТНІК</t>
  </si>
  <si>
    <t>САПАТОВ Артем Сергійович</t>
  </si>
  <si>
    <t>БОРЗИЙ</t>
  </si>
  <si>
    <t>сертификат БЗВП</t>
  </si>
  <si>
    <t>ПРИБУЛИ З РОЗВІД БАТУ 06.07.2026
сертификат БЗВП есть, КВАДРОБЕР</t>
  </si>
  <si>
    <t xml:space="preserve">
це або 25 ошп або 62 ошбр
23.08.2026</t>
  </si>
  <si>
    <t>АГ 011951</t>
  </si>
  <si>
    <t>подала мед.служба 13.06.2026
СЗЧ 13.08.2026</t>
  </si>
  <si>
    <t>ШОКПЕКА Іван Томасович</t>
  </si>
  <si>
    <t>ТОМАСОВИЧ</t>
  </si>
  <si>
    <t>ТПВ №4168</t>
  </si>
  <si>
    <t>ТПВ №4183</t>
  </si>
  <si>
    <t>ШУТКО Дмитро Володимирович</t>
  </si>
  <si>
    <t>ХОРОН</t>
  </si>
  <si>
    <t>до 12.08.2026</t>
  </si>
  <si>
    <t>ТПВ № 4116</t>
  </si>
  <si>
    <t>ТКАЧЕНКО Максим Григорович</t>
  </si>
  <si>
    <t>ПІЖОН</t>
  </si>
  <si>
    <t xml:space="preserve">ВОЛКОВ Артем Миколайович </t>
  </si>
  <si>
    <t>11.08.2026
СЗЧ с лікування</t>
  </si>
  <si>
    <t>КУЗНЄЦОВ Дмитро Валентинович</t>
  </si>
  <si>
    <t>СПИСАННЯ по ршенню ВЛК
29.08.2026</t>
  </si>
  <si>
    <t>є БЗВП, від ВЧ</t>
  </si>
  <si>
    <t>КУХАРЕВ Євген Олексійович</t>
  </si>
  <si>
    <t>1300 переведеня в іншу в/с</t>
  </si>
  <si>
    <t>ТПВ №4165</t>
  </si>
  <si>
    <t>13.05.2026, СЗЧ 21.08.2026</t>
  </si>
  <si>
    <t>АГ 383630</t>
  </si>
  <si>
    <t>до 20.08.2026, СЗЧ з 21.08.2026</t>
  </si>
  <si>
    <t>есть ВК</t>
  </si>
  <si>
    <t>к2 сказал есть БЗВП</t>
  </si>
  <si>
    <t xml:space="preserve">Вийшов 25.01.2026 </t>
  </si>
  <si>
    <t>15.04.2026
20.07.2026 вибув</t>
  </si>
  <si>
    <t>АГ 593259</t>
  </si>
  <si>
    <t>сзч с лыкування 22,08</t>
  </si>
  <si>
    <t>АГ 450407</t>
  </si>
  <si>
    <t>10.06.2026
СЧЗ с лікування 22.08.2026</t>
  </si>
  <si>
    <t>СІМОНЕНКО Євген Олександрович</t>
  </si>
  <si>
    <t>СІМА</t>
  </si>
  <si>
    <t>це або 25 ошп або 62 ошбр
23.08.2026</t>
  </si>
  <si>
    <t>НЕОН</t>
  </si>
  <si>
    <t>ВОЙЧЕНКО Віталій Сергійович</t>
  </si>
  <si>
    <t>МЕЙКА</t>
  </si>
  <si>
    <t>КІСЕ Ілля Васильович</t>
  </si>
  <si>
    <t>ЛЮКА</t>
  </si>
  <si>
    <t>ГАЛЄДІН Олександр Олександрович</t>
  </si>
  <si>
    <t>ГАЛІЙ</t>
  </si>
  <si>
    <t>ШЕВЧЕНКО Євген Ігорович</t>
  </si>
  <si>
    <t>ЯРЕМЕНКО Роман Васильович</t>
  </si>
  <si>
    <t>РОМЕО</t>
  </si>
  <si>
    <t>КРИВОРУЧКО Олександр Васильович</t>
  </si>
  <si>
    <t>рекрутинг (медіа)  у Стафа</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</si>
</sst>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d/yyyy"/>
    <numFmt numFmtId="165" formatCode="dd.mm.yyyy"/>
    <numFmt numFmtId="166" formatCode="dd.MM.yyyy"/>
    <numFmt numFmtId="167" formatCode="dd&quot;.&quot;mm&quot;.&quot;yy"/>
    <numFmt numFmtId="168" formatCode="d.m.yyyy"/>
    <numFmt numFmtId="169" formatCode="d.m.yy"/>
    <numFmt numFmtId="170" formatCode="dd.mm.yy"/>
    <numFmt numFmtId="171" formatCode="#,##0.00\ [$грн. -422]"/>
    <numFmt numFmtId="172" formatCode="dd.mm"/>
    <numFmt numFmtId="173" formatCode="dd/mm/yyyy"/>
  </numFmts>
  <fonts count="44">
    <font>
      <sz val="10.0"/>
      <color rgb="FF000000"/>
      <name val="Arial"/>
      <scheme val="minor"/>
    </font>
    <font>
      <sz val="11.0"/>
      <color rgb="FF000000"/>
      <name val="Calibri"/>
    </font>
    <font>
      <b/>
      <sz val="12.0"/>
      <color theme="1"/>
      <name val="Calibri"/>
    </font>
    <font>
      <b/>
      <sz val="11.0"/>
      <color rgb="FF000000"/>
      <name val="Calibri"/>
    </font>
    <font>
      <b/>
      <sz val="12.0"/>
      <color rgb="FF000000"/>
      <name val="Calibri"/>
    </font>
    <font>
      <sz val="12.0"/>
      <color theme="1"/>
      <name val="Calibri"/>
    </font>
    <font>
      <sz val="12.0"/>
      <color rgb="FF000000"/>
      <name val="Calibri"/>
    </font>
    <font>
      <sz val="12.0"/>
      <color rgb="FFFF0000"/>
      <name val="Calibri"/>
    </font>
    <font>
      <color theme="1"/>
      <name val="Calibri"/>
    </font>
    <font>
      <sz val="12.0"/>
      <color rgb="FFFFFFFF"/>
      <name val="Calibri"/>
    </font>
    <font>
      <sz val="12.0"/>
      <color rgb="FF00B0F0"/>
      <name val="Calibri"/>
    </font>
    <font>
      <sz val="11.0"/>
      <color rgb="FF9C0006"/>
      <name val="Calibri"/>
    </font>
    <font>
      <sz val="12.0"/>
      <color rgb="FF92D050"/>
      <name val="Calibri"/>
    </font>
    <font>
      <sz val="11.0"/>
      <color theme="1"/>
      <name val="Calibri"/>
    </font>
    <font>
      <sz val="12.0"/>
      <color theme="1"/>
      <name val="Arial"/>
    </font>
    <font>
      <color theme="1"/>
      <name val="Arial"/>
      <scheme val="minor"/>
    </font>
    <font>
      <sz val="12.0"/>
      <color theme="1"/>
      <name val="Arial"/>
      <scheme val="minor"/>
    </font>
    <font>
      <sz val="12.0"/>
      <color rgb="FF000000"/>
      <name val="Arial"/>
      <scheme val="minor"/>
    </font>
    <font>
      <color rgb="FF000000"/>
      <name val="Arial"/>
    </font>
    <font>
      <sz val="11.0"/>
      <color rgb="FF000000"/>
      <name val="&quot;Times New Roman&quot;"/>
    </font>
    <font>
      <sz val="13.0"/>
      <color theme="1"/>
      <name val="Calibri"/>
    </font>
    <font>
      <i/>
      <sz val="12.0"/>
      <color rgb="FFFF0000"/>
      <name val="Roboto"/>
    </font>
    <font>
      <color theme="1"/>
      <name val="Arial"/>
    </font>
    <font>
      <sz val="12.0"/>
      <color rgb="FF000000"/>
      <name val="Arial"/>
    </font>
    <font>
      <color rgb="FF000000"/>
      <name val="Calibri"/>
    </font>
    <font>
      <b/>
      <color theme="1"/>
      <name val="Arial"/>
      <scheme val="minor"/>
    </font>
    <font>
      <b/>
      <i/>
      <sz val="12.0"/>
      <color theme="1"/>
      <name val="Calibri"/>
    </font>
    <font>
      <sz val="12.0"/>
      <color rgb="FF000000"/>
      <name val="Docs-Calibri"/>
    </font>
    <font>
      <b/>
      <sz val="13.0"/>
      <color rgb="FF000000"/>
      <name val="Calibri"/>
    </font>
    <font>
      <b/>
      <sz val="12.0"/>
      <color theme="1"/>
      <name val="Arial"/>
    </font>
    <font>
      <i/>
      <sz val="11.0"/>
      <color rgb="FF1F1F1F"/>
      <name val="Roboto"/>
    </font>
    <font>
      <sz val="14.0"/>
      <color theme="1"/>
      <name val="Times New Roman"/>
    </font>
    <font>
      <sz val="9.0"/>
      <color rgb="FF00B0F0"/>
      <name val="Calibri"/>
    </font>
    <font>
      <sz val="14.0"/>
      <color theme="1"/>
      <name val="&quot;Times New Roman&quot;"/>
    </font>
    <font>
      <sz val="12.0"/>
      <color rgb="FF000000"/>
      <name val="&quot;Aptos Narrow&quot;"/>
    </font>
    <font>
      <sz val="12.0"/>
      <color rgb="FF000000"/>
      <name val="&quot;Times New Roman&quot;"/>
    </font>
    <font>
      <b/>
      <sz val="13.0"/>
      <color theme="1"/>
      <name val="Calibri"/>
    </font>
    <font>
      <b/>
      <i/>
      <sz val="12.0"/>
      <color rgb="FF000000"/>
      <name val="Calibri"/>
    </font>
    <font>
      <color rgb="FF000000"/>
      <name val="&quot;Aptos Narrow&quot;"/>
    </font>
    <font>
      <sz val="13.0"/>
      <color rgb="FF000000"/>
      <name val="Calibri"/>
    </font>
    <font>
      <b/>
      <sz val="14.0"/>
      <color theme="1"/>
      <name val="Calibri"/>
    </font>
    <font>
      <sz val="12.0"/>
      <color theme="1"/>
      <name val="Aptos Narrow"/>
    </font>
    <font>
      <sz val="14.0"/>
      <color rgb="FF000000"/>
      <name val="&quot;Times New Roman&quot;"/>
    </font>
    <font>
      <sz val="12.0"/>
      <color theme="1"/>
      <name val="Times New Roman"/>
    </font>
  </fonts>
  <fills count="71">
    <fill>
      <patternFill patternType="none"/>
    </fill>
    <fill>
      <patternFill patternType="lightGray"/>
    </fill>
    <fill>
      <patternFill patternType="solid">
        <fgColor rgb="FFFFC000"/>
        <bgColor rgb="FFFFC000"/>
      </patternFill>
    </fill>
    <fill>
      <patternFill patternType="solid">
        <fgColor rgb="FFFFFF00"/>
        <bgColor rgb="FFFFFF00"/>
      </patternFill>
    </fill>
    <fill>
      <patternFill patternType="solid">
        <fgColor rgb="FF92D050"/>
        <bgColor rgb="FF92D050"/>
      </patternFill>
    </fill>
    <fill>
      <patternFill patternType="solid">
        <fgColor rgb="FF00B0F0"/>
        <bgColor rgb="FF00B0F0"/>
      </patternFill>
    </fill>
    <fill>
      <patternFill patternType="solid">
        <fgColor rgb="FF8EAADB"/>
        <bgColor rgb="FF8EAADB"/>
      </patternFill>
    </fill>
    <fill>
      <patternFill patternType="solid">
        <fgColor rgb="FF9900FF"/>
        <bgColor rgb="FF9900FF"/>
      </patternFill>
    </fill>
    <fill>
      <patternFill patternType="solid">
        <fgColor rgb="FF00FF00"/>
        <bgColor rgb="FF00FF00"/>
      </patternFill>
    </fill>
    <fill>
      <patternFill patternType="solid">
        <fgColor rgb="FFA8D08D"/>
        <bgColor rgb="FFA8D08D"/>
      </patternFill>
    </fill>
    <fill>
      <patternFill patternType="solid">
        <fgColor rgb="FFB10202"/>
        <bgColor rgb="FFB10202"/>
      </patternFill>
    </fill>
    <fill>
      <patternFill patternType="solid">
        <fgColor rgb="FFFFE5A0"/>
        <bgColor rgb="FFFFE5A0"/>
      </patternFill>
    </fill>
    <fill>
      <patternFill patternType="solid">
        <fgColor rgb="FFE06666"/>
        <bgColor rgb="FFE06666"/>
      </patternFill>
    </fill>
    <fill>
      <patternFill patternType="solid">
        <fgColor rgb="FF4A86E8"/>
        <bgColor rgb="FF4A86E8"/>
      </patternFill>
    </fill>
    <fill>
      <patternFill patternType="solid">
        <fgColor rgb="FFFF0000"/>
        <bgColor rgb="FFFF0000"/>
      </patternFill>
    </fill>
    <fill>
      <patternFill patternType="solid">
        <fgColor rgb="FF7030A0"/>
        <bgColor rgb="FF7030A0"/>
      </patternFill>
    </fill>
    <fill>
      <patternFill patternType="solid">
        <fgColor rgb="FFD8D8D8"/>
        <bgColor rgb="FFD8D8D8"/>
      </patternFill>
    </fill>
    <fill>
      <patternFill patternType="solid">
        <fgColor rgb="FFFF9900"/>
        <bgColor rgb="FFFF9900"/>
      </patternFill>
    </fill>
    <fill>
      <patternFill patternType="solid">
        <fgColor rgb="FFFF00FF"/>
        <bgColor rgb="FFFF00FF"/>
      </patternFill>
    </fill>
    <fill>
      <patternFill patternType="solid">
        <fgColor rgb="FFFFC7CE"/>
        <bgColor rgb="FFFFC7CE"/>
      </patternFill>
    </fill>
    <fill>
      <patternFill patternType="solid">
        <fgColor rgb="FF9CC2E5"/>
        <bgColor rgb="FF9CC2E5"/>
      </patternFill>
    </fill>
    <fill>
      <patternFill patternType="solid">
        <fgColor rgb="FFF4B083"/>
        <bgColor rgb="FFF4B083"/>
      </patternFill>
    </fill>
    <fill>
      <patternFill patternType="solid">
        <fgColor rgb="FFF7CAAC"/>
        <bgColor rgb="FFF7CAAC"/>
      </patternFill>
    </fill>
    <fill>
      <patternFill patternType="solid">
        <fgColor rgb="FFC9DAF8"/>
        <bgColor rgb="FFC9DAF8"/>
      </patternFill>
    </fill>
    <fill>
      <patternFill patternType="solid">
        <fgColor theme="5"/>
        <bgColor theme="5"/>
      </patternFill>
    </fill>
    <fill>
      <patternFill patternType="solid">
        <fgColor rgb="FFF484E9"/>
        <bgColor rgb="FFF484E9"/>
      </patternFill>
    </fill>
    <fill>
      <patternFill patternType="solid">
        <fgColor rgb="FF70AD47"/>
        <bgColor rgb="FF70AD47"/>
      </patternFill>
    </fill>
    <fill>
      <patternFill patternType="solid">
        <fgColor rgb="FFB6D7A8"/>
        <bgColor rgb="FFB6D7A8"/>
      </patternFill>
    </fill>
    <fill>
      <patternFill patternType="solid">
        <fgColor theme="0"/>
        <bgColor theme="0"/>
      </patternFill>
    </fill>
    <fill>
      <patternFill patternType="solid">
        <fgColor rgb="FF38761D"/>
        <bgColor rgb="FF38761D"/>
      </patternFill>
    </fill>
    <fill>
      <patternFill patternType="solid">
        <fgColor rgb="FF274E13"/>
        <bgColor rgb="FF274E13"/>
      </patternFill>
    </fill>
    <fill>
      <patternFill patternType="solid">
        <fgColor rgb="FF00B050"/>
        <bgColor rgb="FF00B050"/>
      </patternFill>
    </fill>
    <fill>
      <patternFill patternType="solid">
        <fgColor rgb="FF45818E"/>
        <bgColor rgb="FF45818E"/>
      </patternFill>
    </fill>
    <fill>
      <patternFill patternType="solid">
        <fgColor rgb="FF6AA84F"/>
        <bgColor rgb="FF6AA84F"/>
      </patternFill>
    </fill>
    <fill>
      <patternFill patternType="solid">
        <fgColor rgb="FFD9EAD3"/>
        <bgColor rgb="FFD9EAD3"/>
      </patternFill>
    </fill>
    <fill>
      <patternFill patternType="solid">
        <fgColor rgb="FFEAD1DC"/>
        <bgColor rgb="FFEAD1DC"/>
      </patternFill>
    </fill>
    <fill>
      <patternFill patternType="solid">
        <fgColor rgb="FFEA9999"/>
        <bgColor rgb="FFEA9999"/>
      </patternFill>
    </fill>
    <fill>
      <patternFill patternType="solid">
        <fgColor rgb="FF999999"/>
        <bgColor rgb="FF999999"/>
      </patternFill>
    </fill>
    <fill>
      <patternFill patternType="solid">
        <fgColor theme="9"/>
        <bgColor theme="9"/>
      </patternFill>
    </fill>
    <fill>
      <patternFill patternType="solid">
        <fgColor rgb="FF00FFFF"/>
        <bgColor rgb="FF00FFFF"/>
      </patternFill>
    </fill>
    <fill>
      <patternFill patternType="solid">
        <fgColor rgb="FFB7E1CD"/>
        <bgColor rgb="FFB7E1CD"/>
      </patternFill>
    </fill>
    <fill>
      <patternFill patternType="solid">
        <fgColor rgb="FFFFFFFF"/>
        <bgColor rgb="FFFFFFFF"/>
      </patternFill>
    </fill>
    <fill>
      <patternFill patternType="solid">
        <fgColor theme="4"/>
        <bgColor theme="4"/>
      </patternFill>
    </fill>
    <fill>
      <patternFill patternType="solid">
        <fgColor rgb="FFCC0000"/>
        <bgColor rgb="FFCC0000"/>
      </patternFill>
    </fill>
    <fill>
      <patternFill patternType="solid">
        <fgColor rgb="FF93C47D"/>
        <bgColor rgb="FF93C47D"/>
      </patternFill>
    </fill>
    <fill>
      <patternFill patternType="solid">
        <fgColor rgb="FFA64D79"/>
        <bgColor rgb="FFA64D79"/>
      </patternFill>
    </fill>
    <fill>
      <patternFill patternType="solid">
        <fgColor rgb="FF0000FF"/>
        <bgColor rgb="FF0000FF"/>
      </patternFill>
    </fill>
    <fill>
      <patternFill patternType="solid">
        <fgColor rgb="FF46BDC6"/>
        <bgColor rgb="FF46BDC6"/>
      </patternFill>
    </fill>
    <fill>
      <patternFill patternType="solid">
        <fgColor rgb="FFB7B7B7"/>
        <bgColor rgb="FFB7B7B7"/>
      </patternFill>
    </fill>
    <fill>
      <patternFill patternType="solid">
        <fgColor rgb="FFFF7C80"/>
        <bgColor rgb="FFFF7C80"/>
      </patternFill>
    </fill>
    <fill>
      <patternFill patternType="solid">
        <fgColor theme="8"/>
        <bgColor theme="8"/>
      </patternFill>
    </fill>
    <fill>
      <patternFill patternType="solid">
        <fgColor rgb="FFD9D9D9"/>
        <bgColor rgb="FFD9D9D9"/>
      </patternFill>
    </fill>
    <fill>
      <patternFill patternType="solid">
        <fgColor rgb="FFFFB8A0"/>
        <bgColor rgb="FFFFB8A0"/>
      </patternFill>
    </fill>
    <fill>
      <patternFill patternType="solid">
        <fgColor rgb="FFF4B084"/>
        <bgColor rgb="FFF4B084"/>
      </patternFill>
    </fill>
    <fill>
      <patternFill patternType="solid">
        <fgColor rgb="FFBF9000"/>
        <bgColor rgb="FFBF9000"/>
      </patternFill>
    </fill>
    <fill>
      <patternFill patternType="solid">
        <fgColor rgb="FF980000"/>
        <bgColor rgb="FF980000"/>
      </patternFill>
    </fill>
    <fill>
      <patternFill patternType="solid">
        <fgColor rgb="FFFFE599"/>
        <bgColor rgb="FFFFE599"/>
      </patternFill>
    </fill>
    <fill>
      <patternFill patternType="solid">
        <fgColor rgb="FF4285F4"/>
        <bgColor rgb="FF4285F4"/>
      </patternFill>
    </fill>
    <fill>
      <patternFill patternType="solid">
        <fgColor rgb="FFCC66FF"/>
        <bgColor rgb="FFCC66FF"/>
      </patternFill>
    </fill>
    <fill>
      <patternFill patternType="solid">
        <fgColor rgb="FF666666"/>
        <bgColor rgb="FF666666"/>
      </patternFill>
    </fill>
    <fill>
      <patternFill patternType="solid">
        <fgColor rgb="FF9FC5E8"/>
        <bgColor rgb="FF9FC5E8"/>
      </patternFill>
    </fill>
    <fill>
      <patternFill patternType="solid">
        <fgColor rgb="FF5AA29B"/>
        <bgColor rgb="FF5AA29B"/>
      </patternFill>
    </fill>
    <fill>
      <patternFill patternType="solid">
        <fgColor rgb="FF84CCC6"/>
        <bgColor rgb="FF84CCC6"/>
      </patternFill>
    </fill>
    <fill>
      <patternFill patternType="solid">
        <fgColor rgb="FFE6B8AF"/>
        <bgColor rgb="FFE6B8AF"/>
      </patternFill>
    </fill>
    <fill>
      <patternFill patternType="solid">
        <fgColor rgb="FFCCCCCC"/>
        <bgColor rgb="FFCCCCCC"/>
      </patternFill>
    </fill>
    <fill>
      <patternFill patternType="solid">
        <fgColor rgb="FF8E7CC3"/>
        <bgColor rgb="FF8E7CC3"/>
      </patternFill>
    </fill>
    <fill>
      <patternFill patternType="solid">
        <fgColor rgb="FFDD7E6B"/>
        <bgColor rgb="FFDD7E6B"/>
      </patternFill>
    </fill>
    <fill>
      <patternFill patternType="solid">
        <fgColor rgb="FF0B5394"/>
        <bgColor rgb="FF0B5394"/>
      </patternFill>
    </fill>
    <fill>
      <patternFill patternType="solid">
        <fgColor rgb="FFA61C00"/>
        <bgColor rgb="FFA61C00"/>
      </patternFill>
    </fill>
    <fill>
      <patternFill patternType="solid">
        <fgColor rgb="FFF1C232"/>
        <bgColor rgb="FFF1C232"/>
      </patternFill>
    </fill>
    <fill>
      <patternFill patternType="solid">
        <fgColor rgb="FF3D85C6"/>
        <bgColor rgb="FF3D85C6"/>
      </patternFill>
    </fill>
  </fills>
  <borders count="1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border>
    <border>
      <left style="thin">
        <color rgb="FF000000"/>
      </lef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border>
    <border>
      <left style="thin">
        <color rgb="FF000000"/>
      </left>
      <right style="thin">
        <color rgb="FF000000"/>
      </right>
      <top style="thin">
        <color rgb="FF000000"/>
      </top>
    </border>
    <border>
      <bottom style="thin">
        <color rgb="FF000000"/>
      </bottom>
    </border>
  </borders>
  <cellStyleXfs count="1">
    <xf borderId="0" fillId="0" fontId="0" numFmtId="0" applyAlignment="1" applyFont="1"/>
  </cellStyleXfs>
  <cellXfs count="126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1" fillId="2" fontId="1" numFmtId="0" xfId="0" applyAlignment="1" applyBorder="1" applyFill="1" applyFont="1">
      <alignment horizontal="center" shrinkToFit="0" vertical="bottom" wrapText="0"/>
    </xf>
    <xf borderId="1" fillId="2" fontId="1" numFmtId="0" xfId="0" applyAlignment="1" applyBorder="1" applyFill="1" applyFont="1">
      <alignment horizontal="center" readingOrder="0" shrinkToFit="0" vertical="bottom" wrapText="0"/>
    </xf>
    <xf borderId="1" fillId="3" fontId="2" numFmtId="0" xfId="0" applyAlignment="1" applyBorder="1" applyFill="1" applyFont="1">
      <alignment horizontal="center" readingOrder="0" shrinkToFit="0" vertical="center" wrapText="1"/>
    </xf>
    <xf borderId="1" fillId="2" fontId="3" numFmtId="0" xfId="0" applyAlignment="1" applyBorder="1" applyFill="1" applyFont="1">
      <alignment horizontal="center" readingOrder="0" shrinkToFit="0" vertical="bottom" wrapText="0"/>
    </xf>
    <xf borderId="1" fillId="0" fontId="4" numFmtId="0" xfId="0" applyAlignment="1" applyBorder="1" applyFont="1">
      <alignment horizontal="center" readingOrder="0" vertical="center"/>
    </xf>
    <xf borderId="1" fillId="3" fontId="2" numFmtId="0" xfId="0" applyAlignment="1" applyBorder="1" applyFill="1" applyFont="1">
      <alignment horizontal="center" readingOrder="0" shrinkToFit="0" vertical="center" wrapText="0"/>
    </xf>
    <xf borderId="1" fillId="2" fontId="1" numFmtId="0" xfId="0" applyAlignment="1" applyBorder="1" applyFill="1" applyFont="1">
      <alignment readingOrder="0" shrinkToFit="0" wrapText="0"/>
    </xf>
    <xf borderId="1" fillId="3" fontId="2" numFmtId="0" xfId="0" applyAlignment="1" applyBorder="1" applyFill="1" applyFont="1">
      <alignment horizontal="left" readingOrder="0" shrinkToFit="0" wrapText="1"/>
    </xf>
    <xf borderId="0" fillId="2" fontId="3" numFmtId="0" xfId="0" applyAlignment="1" applyFill="1" applyFont="1">
      <alignment horizontal="center" readingOrder="0" shrinkToFit="0" vertical="bottom" wrapText="0"/>
    </xf>
    <xf borderId="1" fillId="0" fontId="4" numFmtId="0" xfId="0" applyAlignment="1" applyBorder="1" applyFont="1">
      <alignment horizontal="left" readingOrder="0" shrinkToFit="0" vertical="center" wrapText="0"/>
    </xf>
    <xf borderId="1" fillId="3" fontId="2" numFmtId="0" xfId="0" applyAlignment="1" applyBorder="1" applyFill="1" applyFont="1">
      <alignment horizontal="center" readingOrder="0" vertical="center"/>
    </xf>
    <xf borderId="1" fillId="0" fontId="4" numFmtId="0" xfId="0" applyAlignment="1" applyBorder="1" applyFont="1">
      <alignment horizontal="center" readingOrder="0" shrinkToFit="0" vertical="center" wrapText="1"/>
    </xf>
    <xf borderId="1" fillId="3" fontId="2" numFmtId="0" xfId="0" applyAlignment="1" applyBorder="1" applyFill="1" applyFont="1">
      <alignment horizontal="left" shrinkToFit="0" wrapText="0"/>
    </xf>
    <xf borderId="1" fillId="0" fontId="1" numFmtId="0" xfId="0" applyAlignment="1" applyBorder="1" applyFont="1">
      <alignment horizontal="center" readingOrder="0" shrinkToFit="0" wrapText="0"/>
    </xf>
    <xf borderId="1" fillId="3" fontId="2" numFmtId="0" xfId="0" applyAlignment="1" applyBorder="1" applyFill="1" applyFont="1">
      <alignment horizontal="center" vertical="center"/>
    </xf>
    <xf borderId="1" fillId="3" fontId="2" numFmtId="0" xfId="0" applyAlignment="1" applyBorder="1" applyFill="1" applyFont="1">
      <alignment horizontal="left"/>
    </xf>
    <xf borderId="1" fillId="0" fontId="1" numFmtId="0" xfId="0" applyAlignment="1" applyBorder="1" applyFont="1">
      <alignment readingOrder="0" shrinkToFit="0" vertical="bottom" wrapText="0"/>
    </xf>
    <xf borderId="1" fillId="0" fontId="4" numFmtId="164" xfId="0" applyAlignment="1" applyBorder="1" applyFont="1" applyNumberFormat="1">
      <alignment horizontal="center" readingOrder="0" vertical="center"/>
    </xf>
    <xf borderId="1" fillId="3" fontId="2" numFmtId="0" xfId="0" applyAlignment="1" applyBorder="1" applyFill="1" applyFont="1">
      <alignment horizontal="center" shrinkToFit="0" vertical="center" wrapText="0"/>
    </xf>
    <xf borderId="1" fillId="3" fontId="2" numFmtId="0" xfId="0" applyAlignment="1" applyBorder="1" applyFill="1" applyFont="1">
      <alignment horizontal="left" shrinkToFit="0" wrapText="1"/>
    </xf>
    <xf borderId="1" fillId="0" fontId="4" numFmtId="164" xfId="0" applyAlignment="1" applyBorder="1" applyFont="1" applyNumberFormat="1">
      <alignment horizontal="center" readingOrder="0" shrinkToFit="0" vertical="center" wrapText="1"/>
    </xf>
    <xf borderId="1" fillId="4" fontId="1" numFmtId="165" xfId="0" applyAlignment="1" applyBorder="1" applyFill="1" applyFont="1" applyNumberFormat="1">
      <alignment shrinkToFit="0" vertical="bottom" wrapText="0"/>
    </xf>
    <xf borderId="1" fillId="2" fontId="5" numFmtId="0" xfId="0" applyAlignment="1" applyBorder="1" applyFill="1" applyFont="1">
      <alignment horizontal="left"/>
    </xf>
    <xf borderId="1" fillId="4" fontId="1" numFmtId="0" xfId="0" applyAlignment="1" applyBorder="1" applyFill="1" applyFont="1">
      <alignment shrinkToFit="0" vertical="bottom" wrapText="0"/>
    </xf>
    <xf borderId="1" fillId="2" fontId="2" numFmtId="0" xfId="0" applyAlignment="1" applyBorder="1" applyFill="1" applyFont="1">
      <alignment horizontal="left" shrinkToFit="0" wrapText="1"/>
    </xf>
    <xf borderId="1" fillId="0" fontId="6" numFmtId="0" xfId="0" applyAlignment="1" applyBorder="1" applyFont="1">
      <alignment horizontal="center" readingOrder="0" vertical="center"/>
    </xf>
    <xf borderId="1" fillId="5" fontId="1" numFmtId="165" xfId="0" applyAlignment="1" applyBorder="1" applyFill="1" applyFont="1" applyNumberFormat="1">
      <alignment horizontal="right" readingOrder="0" shrinkToFit="0" vertical="bottom" wrapText="0"/>
    </xf>
    <xf borderId="0" fillId="0" fontId="5" numFmtId="0" xfId="0" applyAlignment="1" applyFont="1">
      <alignment horizontal="center"/>
    </xf>
    <xf quotePrefix="1" borderId="1" fillId="2" fontId="5" numFmtId="0" xfId="0" applyAlignment="1" applyBorder="1" applyFill="1" applyFont="1">
      <alignment horizontal="left"/>
    </xf>
    <xf borderId="1" fillId="3" fontId="2" numFmtId="0" xfId="0" applyAlignment="1" applyBorder="1" applyFill="1" applyFont="1">
      <alignment horizontal="center" shrinkToFit="0" vertical="center" wrapText="1"/>
    </xf>
    <xf borderId="1" fillId="3" fontId="1" numFmtId="0" xfId="0" applyAlignment="1" applyBorder="1" applyFill="1" applyFont="1">
      <alignment shrinkToFit="0" vertical="bottom" wrapText="0"/>
    </xf>
    <xf borderId="1" fillId="2" fontId="2" numFmtId="0" xfId="0" applyAlignment="1" applyBorder="1" applyFill="1" applyFont="1">
      <alignment horizontal="left" shrinkToFit="0" wrapText="1"/>
    </xf>
    <xf borderId="1" fillId="2" fontId="5" numFmtId="0" xfId="0" applyAlignment="1" applyBorder="1" applyFill="1" applyFont="1">
      <alignment horizontal="center" readingOrder="0" vertical="center"/>
    </xf>
    <xf borderId="1" fillId="3" fontId="1" numFmtId="0" xfId="0" applyAlignment="1" applyBorder="1" applyFill="1" applyFont="1">
      <alignment shrinkToFit="0" vertical="bottom" wrapText="0"/>
    </xf>
    <xf borderId="1" fillId="0" fontId="1" numFmtId="0" xfId="0" applyAlignment="1" applyBorder="1" applyFont="1">
      <alignment shrinkToFit="0" vertical="bottom" wrapText="0"/>
    </xf>
    <xf borderId="1" fillId="2" fontId="2" numFmtId="0" xfId="0" applyAlignment="1" applyBorder="1" applyFill="1" applyFont="1">
      <alignment horizontal="center" readingOrder="0" shrinkToFit="0" vertical="center" wrapText="1"/>
    </xf>
    <xf borderId="1" fillId="0" fontId="1" numFmtId="0" xfId="0" applyAlignment="1" applyBorder="1" applyFont="1">
      <alignment horizontal="right" readingOrder="0" shrinkToFit="0" vertical="bottom" wrapText="0"/>
    </xf>
    <xf borderId="1" fillId="2" fontId="4" numFmtId="0" xfId="0" applyAlignment="1" applyBorder="1" applyFill="1" applyFont="1">
      <alignment horizontal="center" readingOrder="0"/>
    </xf>
    <xf borderId="1" fillId="0" fontId="6" numFmtId="0" xfId="0" applyAlignment="1" applyBorder="1" applyFont="1">
      <alignment horizontal="center" readingOrder="0"/>
    </xf>
    <xf borderId="1" fillId="2" fontId="2" numFmtId="0" xfId="0" applyAlignment="1" applyBorder="1" applyFill="1" applyFont="1">
      <alignment horizontal="left" readingOrder="0" shrinkToFit="0" wrapText="1"/>
    </xf>
    <xf borderId="1" fillId="0" fontId="1" numFmtId="0" xfId="0" applyAlignment="1" applyBorder="1" applyFont="1">
      <alignment shrinkToFit="0" vertical="bottom" wrapText="0"/>
    </xf>
    <xf borderId="1" fillId="2" fontId="2" numFmtId="0" xfId="0" applyAlignment="1" applyBorder="1" applyFill="1" applyFont="1">
      <alignment horizontal="center" shrinkToFit="0" vertical="center" wrapText="1"/>
    </xf>
    <xf borderId="1" fillId="0" fontId="6" numFmtId="0" xfId="0" applyAlignment="1" applyBorder="1" applyFont="1">
      <alignment horizontal="left" readingOrder="0" shrinkToFit="0" wrapText="0"/>
    </xf>
    <xf borderId="1" fillId="2" fontId="2" numFmtId="166" xfId="0" applyAlignment="1" applyBorder="1" applyFill="1" applyFont="1" applyNumberFormat="1">
      <alignment horizontal="left" shrinkToFit="0" wrapText="1"/>
    </xf>
    <xf borderId="1" fillId="0" fontId="1" numFmtId="0" xfId="0" applyAlignment="1" applyBorder="1" applyFont="1">
      <alignment shrinkToFit="0" wrapText="0"/>
    </xf>
    <xf borderId="1" fillId="0" fontId="6" numFmtId="0" xfId="0" applyAlignment="1" applyBorder="1" applyFont="1">
      <alignment horizontal="center" readingOrder="0" shrinkToFit="0" vertical="center" wrapText="1"/>
    </xf>
    <xf borderId="1" fillId="2" fontId="4" numFmtId="0" xfId="0" applyAlignment="1" applyBorder="1" applyFill="1" applyFont="1">
      <alignment horizontal="center" readingOrder="0"/>
    </xf>
    <xf borderId="1" fillId="4" fontId="2" numFmtId="0" xfId="0" applyAlignment="1" applyBorder="1" applyFill="1" applyFont="1">
      <alignment horizontal="left" shrinkToFit="0" wrapText="1"/>
    </xf>
    <xf borderId="1" fillId="0" fontId="6" numFmtId="164" xfId="0" applyAlignment="1" applyBorder="1" applyFont="1" applyNumberFormat="1">
      <alignment horizontal="center" readingOrder="0"/>
    </xf>
    <xf borderId="1" fillId="4" fontId="1" numFmtId="165" xfId="0" applyAlignment="1" applyBorder="1" applyFill="1" applyFont="1" applyNumberFormat="1">
      <alignment horizontal="right" readingOrder="0" shrinkToFit="0" vertical="bottom" wrapText="0"/>
    </xf>
    <xf borderId="1" fillId="2" fontId="4" numFmtId="0" xfId="0" applyAlignment="1" applyBorder="1" applyFill="1" applyFont="1">
      <alignment horizontal="center"/>
    </xf>
    <xf borderId="1" fillId="0" fontId="6" numFmtId="166" xfId="0" applyAlignment="1" applyBorder="1" applyFont="1" applyNumberFormat="1">
      <alignment horizontal="center" readingOrder="0"/>
    </xf>
    <xf borderId="1" fillId="6" fontId="2" numFmtId="0" xfId="0" applyAlignment="1" applyBorder="1" applyFill="1" applyFont="1">
      <alignment horizontal="left" shrinkToFit="0" wrapText="1"/>
    </xf>
    <xf borderId="1" fillId="2" fontId="2" numFmtId="0" xfId="0" applyAlignment="1" applyBorder="1" applyFill="1" applyFont="1">
      <alignment horizontal="center" readingOrder="0" shrinkToFit="0" vertical="center" wrapText="1"/>
    </xf>
    <xf borderId="1" fillId="4" fontId="2" numFmtId="0" xfId="0" applyAlignment="1" applyBorder="1" applyFill="1" applyFont="1">
      <alignment horizontal="center" readingOrder="0" shrinkToFit="0" vertical="center" wrapText="1"/>
    </xf>
    <xf borderId="1" fillId="6" fontId="2" numFmtId="0" xfId="0" applyAlignment="1" applyBorder="1" applyFill="1" applyFont="1">
      <alignment horizontal="left" readingOrder="0" shrinkToFit="0" wrapText="1"/>
    </xf>
    <xf borderId="1" fillId="6" fontId="2" numFmtId="0" xfId="0" applyAlignment="1" applyBorder="1" applyFill="1" applyFont="1">
      <alignment horizontal="center" readingOrder="0" shrinkToFit="0" vertical="center" wrapText="1"/>
    </xf>
    <xf borderId="1" fillId="6" fontId="2" numFmtId="166" xfId="0" applyAlignment="1" applyBorder="1" applyFill="1" applyFont="1" applyNumberFormat="1">
      <alignment horizontal="left" shrinkToFit="0" wrapText="1"/>
    </xf>
    <xf borderId="1" fillId="6" fontId="2" numFmtId="0" xfId="0" applyAlignment="1" applyBorder="1" applyFill="1" applyFont="1">
      <alignment horizontal="center" shrinkToFit="0" vertical="center" wrapText="1"/>
    </xf>
    <xf borderId="0" fillId="0" fontId="5" numFmtId="0" xfId="0" applyAlignment="1" applyFont="1">
      <alignment horizontal="left" vertical="center"/>
    </xf>
    <xf borderId="1" fillId="6" fontId="2" numFmtId="166" xfId="0" applyAlignment="1" applyBorder="1" applyFill="1" applyFont="1" applyNumberFormat="1">
      <alignment horizontal="center" shrinkToFit="0" vertical="center" wrapText="1"/>
    </xf>
    <xf borderId="1" fillId="0" fontId="5" numFmtId="0" xfId="0" applyAlignment="1" applyBorder="1" applyFont="1">
      <alignment horizontal="center"/>
    </xf>
    <xf borderId="1" fillId="0" fontId="5" numFmtId="0" xfId="0" applyAlignment="1" applyBorder="1" applyFont="1">
      <alignment horizontal="left"/>
    </xf>
    <xf borderId="1" fillId="0" fontId="6" numFmtId="0" xfId="0" applyAlignment="1" applyBorder="1" applyFont="1">
      <alignment horizontal="center" readingOrder="0" vertical="bottom"/>
    </xf>
    <xf borderId="1" fillId="0" fontId="5" numFmtId="0" xfId="0" applyAlignment="1" applyBorder="1" applyFont="1">
      <alignment horizontal="left" shrinkToFit="0" wrapText="0"/>
    </xf>
    <xf borderId="0" fillId="0" fontId="5" numFmtId="0" xfId="0" applyAlignment="1" applyFont="1">
      <alignment horizontal="center" vertical="center"/>
    </xf>
    <xf borderId="1" fillId="0" fontId="5" numFmtId="0" xfId="0" applyAlignment="1" applyBorder="1" applyFont="1">
      <alignment horizontal="left"/>
    </xf>
    <xf borderId="1" fillId="0" fontId="6" numFmtId="0" xfId="0" applyAlignment="1" applyBorder="1" applyFont="1">
      <alignment horizontal="center" readingOrder="0" shrinkToFit="0" wrapText="1"/>
    </xf>
    <xf borderId="0" fillId="0" fontId="5" numFmtId="0" xfId="0" applyAlignment="1" applyFont="1">
      <alignment vertical="center"/>
    </xf>
    <xf borderId="1" fillId="0" fontId="5" numFmtId="0" xfId="0" applyAlignment="1" applyBorder="1" applyFont="1">
      <alignment horizontal="left" shrinkToFit="0" wrapText="0"/>
    </xf>
    <xf borderId="1" fillId="0" fontId="6" numFmtId="0" xfId="0" applyAlignment="1" applyBorder="1" applyFont="1">
      <alignment horizontal="center"/>
    </xf>
    <xf borderId="1" fillId="0" fontId="5" numFmtId="0" xfId="0" applyAlignment="1" applyBorder="1" applyFont="1">
      <alignment horizontal="left" shrinkToFit="0" wrapText="1"/>
    </xf>
    <xf borderId="1" fillId="7" fontId="5" numFmtId="0" xfId="0" applyAlignment="1" applyBorder="1" applyFill="1" applyFont="1">
      <alignment horizontal="left"/>
    </xf>
    <xf borderId="1" fillId="0" fontId="5" numFmtId="165" xfId="0" applyAlignment="1" applyBorder="1" applyFont="1" applyNumberFormat="1">
      <alignment horizontal="left"/>
    </xf>
    <xf borderId="1" fillId="0" fontId="5" numFmtId="0" xfId="0" applyAlignment="1" applyBorder="1" applyFont="1">
      <alignment horizontal="center" readingOrder="0" vertical="center"/>
    </xf>
    <xf borderId="1" fillId="0" fontId="6" numFmtId="0" xfId="0" applyAlignment="1" applyBorder="1" applyFont="1">
      <alignment readingOrder="0" shrinkToFit="0" vertical="center" wrapText="0"/>
    </xf>
    <xf borderId="1" fillId="0" fontId="6" numFmtId="49" xfId="0" applyAlignment="1" applyBorder="1" applyFont="1" applyNumberFormat="1">
      <alignment readingOrder="0" shrinkToFit="0" vertical="center" wrapText="0"/>
    </xf>
    <xf borderId="1" fillId="3" fontId="3" numFmtId="0" xfId="0" applyAlignment="1" applyBorder="1" applyFill="1" applyFont="1">
      <alignment horizontal="center" readingOrder="0" shrinkToFit="0" wrapText="0"/>
    </xf>
    <xf borderId="1" fillId="0" fontId="6" numFmtId="49" xfId="0" applyAlignment="1" applyBorder="1" applyFont="1" applyNumberFormat="1">
      <alignment horizontal="center" readingOrder="0" shrinkToFit="0" vertical="center" wrapText="0"/>
    </xf>
    <xf borderId="1" fillId="0" fontId="5" numFmtId="166" xfId="0" applyAlignment="1" applyBorder="1" applyFont="1" applyNumberFormat="1">
      <alignment horizontal="left"/>
    </xf>
    <xf borderId="1" fillId="0" fontId="7" numFmtId="0" xfId="0" applyAlignment="1" applyBorder="1" applyFont="1">
      <alignment horizontal="center" vertical="center"/>
    </xf>
    <xf borderId="1" fillId="0" fontId="5" numFmtId="0" xfId="0" applyAlignment="1" applyBorder="1" applyFont="1">
      <alignment horizontal="left" readingOrder="0"/>
    </xf>
    <xf borderId="1" fillId="0" fontId="6" numFmtId="0" xfId="0" applyAlignment="1" applyBorder="1" applyFont="1">
      <alignment horizontal="center"/>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vertical="center"/>
    </xf>
    <xf borderId="1" fillId="0" fontId="5" numFmtId="0" xfId="0" applyAlignment="1" applyBorder="1" applyFont="1">
      <alignment horizontal="center" shrinkToFit="0" vertical="center" wrapText="1"/>
    </xf>
    <xf borderId="1" fillId="0" fontId="6" numFmtId="0" xfId="0" applyAlignment="1" applyBorder="1" applyFont="1">
      <alignment horizontal="center" shrinkToFit="0" wrapText="1"/>
    </xf>
    <xf borderId="1" fillId="0" fontId="6" numFmtId="166" xfId="0" applyAlignment="1" applyBorder="1" applyFont="1" applyNumberFormat="1">
      <alignment horizontal="center"/>
    </xf>
    <xf borderId="1" fillId="8" fontId="6" numFmtId="166" xfId="0" applyAlignment="1" applyBorder="1" applyFill="1" applyFont="1" applyNumberFormat="1">
      <alignment horizontal="center" shrinkToFit="0" wrapText="0"/>
    </xf>
    <xf borderId="0" fillId="0" fontId="5" numFmtId="0" xfId="0" applyAlignment="1" applyFont="1">
      <alignment horizontal="left"/>
    </xf>
    <xf borderId="1" fillId="0" fontId="6" numFmtId="0" xfId="0" applyAlignment="1" applyBorder="1" applyFont="1">
      <alignment horizontal="center" shrinkToFit="0" wrapText="0"/>
    </xf>
    <xf borderId="1" fillId="0" fontId="5" numFmtId="166" xfId="0" applyAlignment="1" applyBorder="1" applyFont="1" applyNumberFormat="1">
      <alignment horizontal="center" vertical="center"/>
    </xf>
    <xf borderId="1" fillId="0" fontId="8" numFmtId="0" xfId="0" applyAlignment="1" applyBorder="1" applyFont="1">
      <alignment horizontal="left"/>
    </xf>
    <xf borderId="1" fillId="0" fontId="5" numFmtId="0" xfId="0" applyAlignment="1" applyBorder="1" applyFont="1">
      <alignment horizontal="left"/>
    </xf>
    <xf borderId="1" fillId="0" fontId="5" numFmtId="0" xfId="0" applyAlignment="1" applyBorder="1" applyFont="1">
      <alignment horizontal="left" shrinkToFit="0" wrapText="1"/>
    </xf>
    <xf borderId="1" fillId="0" fontId="5" numFmtId="0" xfId="0" applyAlignment="1" applyBorder="1" applyFont="1">
      <alignment horizontal="center" vertical="center"/>
    </xf>
    <xf borderId="1" fillId="7" fontId="5" numFmtId="0" xfId="0" applyAlignment="1" applyBorder="1" applyFill="1" applyFont="1">
      <alignment horizontal="left"/>
    </xf>
    <xf borderId="1" fillId="0" fontId="5" numFmtId="167" xfId="0" applyAlignment="1" applyBorder="1" applyFont="1" applyNumberFormat="1">
      <alignment horizontal="center" vertical="center"/>
    </xf>
    <xf borderId="1" fillId="0" fontId="8" numFmtId="166" xfId="0" applyAlignment="1" applyBorder="1" applyFont="1" applyNumberFormat="1">
      <alignment horizontal="left"/>
    </xf>
    <xf borderId="1" fillId="9" fontId="5" numFmtId="0" xfId="0" applyAlignment="1" applyBorder="1" applyFill="1" applyFont="1">
      <alignment horizontal="center" vertical="center"/>
    </xf>
    <xf borderId="1" fillId="3" fontId="5" numFmtId="0" xfId="0" applyAlignment="1" applyBorder="1" applyFill="1" applyFont="1">
      <alignment horizontal="center" vertical="center"/>
    </xf>
    <xf borderId="1" fillId="0" fontId="5" numFmtId="165" xfId="0" applyAlignment="1" applyBorder="1" applyFont="1" applyNumberFormat="1">
      <alignment horizontal="left" shrinkToFit="0" wrapText="1"/>
    </xf>
    <xf borderId="0" fillId="0" fontId="8" numFmtId="0" xfId="0" applyAlignment="1" applyFont="1">
      <alignment horizontal="left"/>
    </xf>
    <xf borderId="1" fillId="0" fontId="8" numFmtId="0" xfId="0" applyAlignment="1" applyBorder="1" applyFont="1">
      <alignment horizontal="left" vertical="top"/>
    </xf>
    <xf borderId="1" fillId="10" fontId="9" numFmtId="0" xfId="0" applyAlignment="1" applyBorder="1" applyFill="1" applyFont="1">
      <alignment horizontal="center" vertical="center"/>
    </xf>
    <xf borderId="1" fillId="5" fontId="5" numFmtId="0" xfId="0" applyAlignment="1" applyBorder="1" applyFill="1" applyFont="1">
      <alignment horizontal="left" shrinkToFit="0" wrapText="0"/>
    </xf>
    <xf borderId="2" fillId="9" fontId="5" numFmtId="0" xfId="0" applyAlignment="1" applyBorder="1" applyFill="1" applyFont="1">
      <alignment horizontal="center" vertical="center"/>
    </xf>
    <xf borderId="1" fillId="0" fontId="5" numFmtId="0" xfId="0" applyAlignment="1" applyBorder="1" applyFont="1">
      <alignment horizontal="center" shrinkToFit="0" vertical="center" wrapText="1"/>
    </xf>
    <xf borderId="1" fillId="8" fontId="6" numFmtId="0" xfId="0" applyAlignment="1" applyBorder="1" applyFill="1" applyFont="1">
      <alignment horizontal="center" shrinkToFit="0" wrapText="0"/>
    </xf>
    <xf borderId="1" fillId="0" fontId="6" numFmtId="166" xfId="0" applyAlignment="1" applyBorder="1" applyFont="1" applyNumberFormat="1">
      <alignment horizontal="center" shrinkToFit="0" wrapText="0"/>
    </xf>
    <xf borderId="1" fillId="0" fontId="5" numFmtId="14" xfId="0" applyAlignment="1" applyBorder="1" applyFont="1" applyNumberFormat="1">
      <alignment horizontal="center" vertical="center"/>
    </xf>
    <xf borderId="1" fillId="0" fontId="8" numFmtId="167" xfId="0" applyAlignment="1" applyBorder="1" applyFont="1" applyNumberFormat="1">
      <alignment horizontal="left"/>
    </xf>
    <xf borderId="1" fillId="11" fontId="5" numFmtId="0" xfId="0" applyAlignment="1" applyBorder="1" applyFill="1" applyFont="1">
      <alignment horizontal="center" vertical="center"/>
    </xf>
    <xf borderId="1" fillId="12" fontId="5" numFmtId="0" xfId="0" applyAlignment="1" applyBorder="1" applyFill="1" applyFont="1">
      <alignment horizontal="center" vertical="center"/>
    </xf>
    <xf borderId="0" fillId="3" fontId="5" numFmtId="0" xfId="0" applyAlignment="1" applyFill="1" applyFont="1">
      <alignment horizontal="center" vertical="center"/>
    </xf>
    <xf borderId="1" fillId="0" fontId="6" numFmtId="0" xfId="0" applyAlignment="1" applyBorder="1" applyFont="1">
      <alignment horizontal="center" readingOrder="0"/>
    </xf>
    <xf borderId="1" fillId="13" fontId="5" numFmtId="0" xfId="0" applyAlignment="1" applyBorder="1" applyFill="1" applyFont="1">
      <alignment horizontal="center" readingOrder="0" shrinkToFit="0" vertical="center" wrapText="1"/>
    </xf>
    <xf borderId="1" fillId="0" fontId="8" numFmtId="165" xfId="0" applyAlignment="1" applyBorder="1" applyFont="1" applyNumberFormat="1">
      <alignment horizontal="left"/>
    </xf>
    <xf borderId="1" fillId="0" fontId="6" numFmtId="166" xfId="0" applyAlignment="1" applyBorder="1" applyFont="1" applyNumberFormat="1">
      <alignment horizontal="center" readingOrder="0"/>
    </xf>
    <xf borderId="1" fillId="14" fontId="6" numFmtId="166" xfId="0" applyAlignment="1" applyBorder="1" applyFill="1" applyFont="1" applyNumberFormat="1">
      <alignment horizontal="center" readingOrder="0" shrinkToFit="0" wrapText="0"/>
    </xf>
    <xf borderId="1" fillId="0" fontId="6" numFmtId="0" xfId="0" applyAlignment="1" applyBorder="1" applyFont="1">
      <alignment horizontal="center" readingOrder="0" shrinkToFit="0" wrapText="0"/>
    </xf>
    <xf borderId="1" fillId="11" fontId="5" numFmtId="0" xfId="0" applyAlignment="1" applyBorder="1" applyFill="1" applyFont="1">
      <alignment horizontal="left"/>
    </xf>
    <xf borderId="1" fillId="8" fontId="5" numFmtId="0" xfId="0" applyAlignment="1" applyBorder="1" applyFill="1" applyFont="1">
      <alignment horizontal="center" readingOrder="0" vertical="center"/>
    </xf>
    <xf borderId="1" fillId="0" fontId="8" numFmtId="14" xfId="0" applyAlignment="1" applyBorder="1" applyFont="1" applyNumberFormat="1">
      <alignment horizontal="left"/>
    </xf>
    <xf borderId="1" fillId="10" fontId="9" numFmtId="0" xfId="0" applyAlignment="1" applyBorder="1" applyFill="1" applyFont="1">
      <alignment horizontal="center" vertical="center"/>
    </xf>
    <xf borderId="1" fillId="14" fontId="5" numFmtId="0" xfId="0" applyAlignment="1" applyBorder="1" applyFill="1" applyFont="1">
      <alignment horizontal="center" vertical="center"/>
    </xf>
    <xf borderId="1" fillId="0" fontId="5" numFmtId="0" xfId="0" applyAlignment="1" applyBorder="1" applyFont="1">
      <alignment horizontal="left" shrinkToFit="0" wrapText="0"/>
    </xf>
    <xf borderId="1" fillId="14" fontId="5" numFmtId="0" xfId="0" applyAlignment="1" applyBorder="1" applyFill="1" applyFont="1">
      <alignment horizontal="left" shrinkToFit="0" wrapText="1"/>
    </xf>
    <xf borderId="1" fillId="14" fontId="5" numFmtId="0" xfId="0" applyAlignment="1" applyBorder="1" applyFill="1" applyFont="1">
      <alignment horizontal="left"/>
    </xf>
    <xf borderId="1" fillId="0" fontId="6" numFmtId="0" xfId="0" applyAlignment="1" applyBorder="1" applyFont="1">
      <alignment horizontal="center" shrinkToFit="0" vertical="center" wrapText="0"/>
    </xf>
    <xf borderId="1" fillId="0" fontId="10" numFmtId="0" xfId="0" applyAlignment="1" applyBorder="1" applyFont="1">
      <alignment horizontal="center" shrinkToFit="0" vertical="center" wrapText="0"/>
    </xf>
    <xf borderId="1" fillId="0" fontId="5" numFmtId="168" xfId="0" applyAlignment="1" applyBorder="1" applyFont="1" applyNumberFormat="1">
      <alignment horizontal="left" shrinkToFit="0" wrapText="1"/>
    </xf>
    <xf borderId="1" fillId="15" fontId="5" numFmtId="0" xfId="0" applyAlignment="1" applyBorder="1" applyFill="1" applyFont="1">
      <alignment horizontal="center" vertical="center"/>
    </xf>
    <xf borderId="0" fillId="0" fontId="5" numFmtId="0" xfId="0" applyAlignment="1" applyFont="1">
      <alignment vertical="center"/>
    </xf>
    <xf borderId="1" fillId="0" fontId="6" numFmtId="0" xfId="0" applyAlignment="1" applyBorder="1" applyFont="1">
      <alignment horizontal="center" shrinkToFit="0" wrapText="0"/>
    </xf>
    <xf borderId="1" fillId="0" fontId="6" numFmtId="0" xfId="0" applyAlignment="1" applyBorder="1" applyFont="1">
      <alignment horizontal="center" shrinkToFit="0" wrapText="0"/>
    </xf>
    <xf borderId="1" fillId="5" fontId="5" numFmtId="0" xfId="0" applyAlignment="1" applyBorder="1" applyFill="1" applyFont="1">
      <alignment horizontal="left"/>
    </xf>
    <xf borderId="1" fillId="16" fontId="5" numFmtId="0" xfId="0" applyAlignment="1" applyBorder="1" applyFill="1" applyFont="1">
      <alignment horizontal="center" vertical="center"/>
    </xf>
    <xf borderId="1" fillId="17" fontId="5" numFmtId="0" xfId="0" applyAlignment="1" applyBorder="1" applyFill="1" applyFont="1">
      <alignment horizontal="left"/>
    </xf>
    <xf borderId="1" fillId="18" fontId="5" numFmtId="0" xfId="0" applyAlignment="1" applyBorder="1" applyFill="1" applyFont="1">
      <alignment horizontal="center" vertical="center"/>
    </xf>
    <xf borderId="1" fillId="0" fontId="5" numFmtId="166" xfId="0" applyAlignment="1" applyBorder="1" applyFont="1" applyNumberFormat="1">
      <alignment horizontal="left" shrinkToFit="0" wrapText="1"/>
    </xf>
    <xf borderId="1" fillId="19" fontId="11" numFmtId="0" xfId="0" applyAlignment="1" applyBorder="1" applyFill="1" applyFont="1">
      <alignment readingOrder="0" shrinkToFit="0" vertical="bottom" wrapText="0"/>
    </xf>
    <xf borderId="1" fillId="0" fontId="6" numFmtId="0" xfId="0" applyAlignment="1" applyBorder="1" applyFont="1">
      <alignment horizontal="center" readingOrder="0" shrinkToFit="0" vertical="bottom" wrapText="1"/>
    </xf>
    <xf borderId="1" fillId="20" fontId="5" numFmtId="0" xfId="0" applyAlignment="1" applyBorder="1" applyFill="1" applyFont="1">
      <alignment horizontal="center" vertical="center"/>
    </xf>
    <xf borderId="1" fillId="0" fontId="12" numFmtId="0" xfId="0" applyAlignment="1" applyBorder="1" applyFont="1">
      <alignment horizontal="center" vertical="center"/>
    </xf>
    <xf borderId="1" fillId="0" fontId="6" numFmtId="0" xfId="0" applyAlignment="1" applyBorder="1" applyFont="1">
      <alignment horizontal="center" shrinkToFit="0" vertical="bottom" wrapText="1"/>
    </xf>
    <xf borderId="1" fillId="21" fontId="5" numFmtId="0" xfId="0" applyAlignment="1" applyBorder="1" applyFill="1" applyFont="1">
      <alignment horizontal="center" vertical="center"/>
    </xf>
    <xf borderId="1" fillId="17" fontId="5" numFmtId="0" xfId="0" applyAlignment="1" applyBorder="1" applyFill="1" applyFont="1">
      <alignment horizontal="left" shrinkToFit="0" wrapText="1"/>
    </xf>
    <xf borderId="1" fillId="22" fontId="5" numFmtId="0" xfId="0" applyAlignment="1" applyBorder="1" applyFill="1" applyFont="1">
      <alignment horizontal="center" vertical="center"/>
    </xf>
    <xf borderId="1" fillId="0" fontId="5" numFmtId="168" xfId="0" applyAlignment="1" applyBorder="1" applyFont="1" applyNumberFormat="1">
      <alignment horizontal="left" vertical="bottom"/>
    </xf>
    <xf borderId="1" fillId="3" fontId="5" numFmtId="0" xfId="0" applyAlignment="1" applyBorder="1" applyFill="1" applyFont="1">
      <alignment horizontal="center" vertical="center"/>
    </xf>
    <xf borderId="1" fillId="0" fontId="5" numFmtId="165" xfId="0" applyAlignment="1" applyBorder="1" applyFont="1" applyNumberFormat="1">
      <alignment horizontal="center" readingOrder="0" vertical="center"/>
    </xf>
    <xf borderId="1" fillId="0" fontId="13" numFmtId="0" xfId="0" applyAlignment="1" applyBorder="1" applyFont="1">
      <alignment horizontal="center" shrinkToFit="0" vertical="center" wrapText="1"/>
    </xf>
    <xf borderId="1" fillId="5" fontId="5" numFmtId="0" xfId="0" applyAlignment="1" applyBorder="1" applyFill="1" applyFont="1">
      <alignment horizontal="center" vertical="center"/>
    </xf>
    <xf borderId="1" fillId="0" fontId="6" numFmtId="0" xfId="0" applyAlignment="1" applyBorder="1" applyFont="1">
      <alignment horizontal="center" shrinkToFit="0" wrapText="0"/>
    </xf>
    <xf borderId="1" fillId="0" fontId="6" numFmtId="0" xfId="0" applyAlignment="1" applyBorder="1" applyFont="1">
      <alignment horizontal="center" readingOrder="0" shrinkToFit="0" vertical="center" wrapText="0"/>
    </xf>
    <xf borderId="1" fillId="14" fontId="6" numFmtId="0" xfId="0" applyAlignment="1" applyBorder="1" applyFill="1" applyFont="1">
      <alignment horizontal="center" readingOrder="0" shrinkToFit="0" vertical="center" wrapText="1"/>
    </xf>
    <xf borderId="1" fillId="14" fontId="6" numFmtId="0" xfId="0" applyAlignment="1" applyBorder="1" applyFill="1" applyFont="1">
      <alignment horizontal="center" readingOrder="0" shrinkToFit="0" vertical="center" wrapText="0"/>
    </xf>
    <xf borderId="1" fillId="14" fontId="5" numFmtId="0" xfId="0" applyAlignment="1" applyBorder="1" applyFill="1" applyFont="1">
      <alignment horizontal="center" readingOrder="0" vertical="center"/>
    </xf>
    <xf borderId="1" fillId="0" fontId="5" numFmtId="14" xfId="0" applyAlignment="1" applyBorder="1" applyFont="1" applyNumberFormat="1">
      <alignment horizontal="left"/>
    </xf>
    <xf borderId="1" fillId="0" fontId="6" numFmtId="0" xfId="0" applyAlignment="1" applyBorder="1" applyFont="1">
      <alignment horizontal="center"/>
    </xf>
    <xf borderId="1" fillId="0" fontId="5" numFmtId="0" xfId="0" applyAlignment="1" applyBorder="1" applyFont="1">
      <alignment horizontal="left" shrinkToFit="0" wrapText="0"/>
    </xf>
    <xf borderId="1" fillId="0" fontId="6" numFmtId="166" xfId="0" applyAlignment="1" applyBorder="1" applyFont="1" applyNumberFormat="1">
      <alignment horizontal="center" readingOrder="0" shrinkToFit="0" wrapText="0"/>
    </xf>
    <xf borderId="1" fillId="0" fontId="5" numFmtId="0" xfId="0" applyAlignment="1" applyBorder="1" applyFont="1">
      <alignment horizontal="center" vertical="center"/>
    </xf>
    <xf borderId="1" fillId="23" fontId="5" numFmtId="0" xfId="0" applyAlignment="1" applyBorder="1" applyFill="1" applyFont="1">
      <alignment horizontal="left"/>
    </xf>
    <xf borderId="1" fillId="0" fontId="2" numFmtId="0" xfId="0" applyAlignment="1" applyBorder="1" applyFont="1">
      <alignment horizontal="left" readingOrder="0" shrinkToFit="0" vertical="center" wrapText="0"/>
    </xf>
    <xf borderId="1" fillId="0" fontId="2" numFmtId="0" xfId="0" applyAlignment="1" applyBorder="1" applyFont="1">
      <alignment horizontal="left" shrinkToFit="0" vertical="center" wrapText="0"/>
    </xf>
    <xf borderId="1" fillId="0" fontId="5" numFmtId="167" xfId="0" applyAlignment="1" applyBorder="1" applyFont="1" applyNumberFormat="1">
      <alignment horizontal="left"/>
    </xf>
    <xf borderId="1" fillId="0" fontId="5" numFmtId="0" xfId="0" applyAlignment="1" applyBorder="1" applyFont="1">
      <alignment horizontal="left" readingOrder="0" shrinkToFit="0" wrapText="1"/>
    </xf>
    <xf borderId="1" fillId="0" fontId="5" numFmtId="0" xfId="0" applyAlignment="1" applyBorder="1" applyFont="1">
      <alignment horizontal="left" shrinkToFit="0" wrapText="1"/>
    </xf>
    <xf borderId="1" fillId="14" fontId="5" numFmtId="0" xfId="0" applyAlignment="1" applyBorder="1" applyFill="1" applyFont="1">
      <alignment horizontal="left"/>
    </xf>
    <xf borderId="1" fillId="0" fontId="6" numFmtId="0" xfId="0" applyAlignment="1" applyBorder="1" applyFont="1">
      <alignment horizontal="left" shrinkToFit="0" wrapText="0"/>
    </xf>
    <xf borderId="1" fillId="3" fontId="5" numFmtId="0" xfId="0" applyAlignment="1" applyBorder="1" applyFill="1" applyFont="1">
      <alignment horizontal="left"/>
    </xf>
    <xf borderId="1" fillId="0" fontId="6" numFmtId="0" xfId="0" applyAlignment="1" applyBorder="1" applyFont="1">
      <alignment horizontal="center" readingOrder="0" shrinkToFit="0" wrapText="0"/>
    </xf>
    <xf borderId="1" fillId="8" fontId="5" numFmtId="0" xfId="0" applyAlignment="1" applyBorder="1" applyFill="1" applyFont="1">
      <alignment horizontal="center" readingOrder="0" shrinkToFit="0" vertical="center" wrapText="1"/>
    </xf>
    <xf borderId="1" fillId="0" fontId="5" numFmtId="0" xfId="0" applyAlignment="1" applyBorder="1" applyFont="1">
      <alignment horizontal="center" readingOrder="0" vertical="center"/>
    </xf>
    <xf borderId="1" fillId="0" fontId="6" numFmtId="0" xfId="0" applyAlignment="1" applyBorder="1" applyFont="1">
      <alignment horizontal="center" vertical="center"/>
    </xf>
    <xf borderId="1" fillId="0" fontId="5" numFmtId="0" xfId="0" applyAlignment="1" applyBorder="1" applyFont="1">
      <alignment horizontal="left" shrinkToFit="0" wrapText="0"/>
    </xf>
    <xf borderId="1" fillId="14" fontId="5" numFmtId="0" xfId="0" applyAlignment="1" applyBorder="1" applyFill="1" applyFont="1">
      <alignment horizontal="left"/>
    </xf>
    <xf borderId="1" fillId="0" fontId="5" numFmtId="166" xfId="0" applyAlignment="1" applyBorder="1" applyFont="1" applyNumberFormat="1">
      <alignment vertical="center"/>
    </xf>
    <xf borderId="1" fillId="14" fontId="5" numFmtId="166" xfId="0" applyAlignment="1" applyBorder="1" applyFill="1" applyFont="1" applyNumberFormat="1">
      <alignment horizontal="left" shrinkToFit="0" wrapText="1"/>
    </xf>
    <xf borderId="1" fillId="0" fontId="5" numFmtId="0" xfId="0" applyAlignment="1" applyBorder="1" applyFont="1">
      <alignment vertical="center"/>
    </xf>
    <xf borderId="1" fillId="0" fontId="5" numFmtId="0" xfId="0" applyAlignment="1" applyBorder="1" applyFont="1">
      <alignment vertical="center"/>
    </xf>
    <xf borderId="1" fillId="0" fontId="5" numFmtId="167" xfId="0" applyAlignment="1" applyBorder="1" applyFont="1" applyNumberFormat="1">
      <alignment vertical="center"/>
    </xf>
    <xf borderId="1" fillId="17" fontId="5" numFmtId="0" xfId="0" applyAlignment="1" applyBorder="1" applyFill="1" applyFont="1">
      <alignment horizontal="left"/>
    </xf>
    <xf borderId="1" fillId="0" fontId="5" numFmtId="14" xfId="0" applyAlignment="1" applyBorder="1" applyFont="1" applyNumberFormat="1">
      <alignment vertical="center"/>
    </xf>
    <xf borderId="1" fillId="0" fontId="6" numFmtId="0" xfId="0" applyAlignment="1" applyBorder="1" applyFont="1">
      <alignment horizontal="center"/>
    </xf>
    <xf borderId="1" fillId="0" fontId="5" numFmtId="0" xfId="0" applyAlignment="1" applyBorder="1" applyFont="1">
      <alignment horizontal="center" vertical="center"/>
    </xf>
    <xf borderId="1" fillId="23" fontId="5" numFmtId="0" xfId="0" applyAlignment="1" applyBorder="1" applyFill="1" applyFont="1">
      <alignment horizontal="left"/>
    </xf>
    <xf borderId="1" fillId="0" fontId="6" numFmtId="0" xfId="0" applyAlignment="1" applyBorder="1" applyFont="1">
      <alignment horizontal="center" shrinkToFit="0" wrapText="0"/>
    </xf>
    <xf borderId="1" fillId="0" fontId="14" numFmtId="0" xfId="0" applyAlignment="1" applyBorder="1" applyFont="1">
      <alignment vertical="center"/>
    </xf>
    <xf borderId="1" fillId="14" fontId="5" numFmtId="0" xfId="0" applyAlignment="1" applyBorder="1" applyFill="1" applyFont="1">
      <alignment horizontal="left" readingOrder="0" shrinkToFit="0" wrapText="1"/>
    </xf>
    <xf borderId="1" fillId="0" fontId="14" numFmtId="0" xfId="0" applyAlignment="1" applyBorder="1" applyFont="1">
      <alignment vertical="center"/>
    </xf>
    <xf borderId="1" fillId="0" fontId="5" numFmtId="0" xfId="0" applyAlignment="1" applyBorder="1" applyFont="1">
      <alignment horizontal="center" shrinkToFit="0" vertical="center" wrapText="1"/>
    </xf>
    <xf borderId="1" fillId="0" fontId="5" numFmtId="0" xfId="0" applyAlignment="1" applyBorder="1" applyFont="1">
      <alignment horizontal="left" shrinkToFit="0" vertical="top" wrapText="0"/>
    </xf>
    <xf borderId="1" fillId="14" fontId="5" numFmtId="0" xfId="0" applyAlignment="1" applyBorder="1" applyFill="1" applyFont="1">
      <alignment horizontal="center" shrinkToFit="0" vertical="center" wrapText="1"/>
    </xf>
    <xf borderId="1" fillId="24" fontId="5" numFmtId="0" xfId="0" applyAlignment="1" applyBorder="1" applyFill="1" applyFont="1">
      <alignment horizontal="left"/>
    </xf>
    <xf borderId="1" fillId="14" fontId="6" numFmtId="0" xfId="0" applyAlignment="1" applyBorder="1" applyFill="1" applyFont="1">
      <alignment horizontal="center" readingOrder="0" shrinkToFit="0" vertical="center" wrapText="0"/>
    </xf>
    <xf borderId="1" fillId="24" fontId="5" numFmtId="165" xfId="0" applyAlignment="1" applyBorder="1" applyFill="1" applyFont="1" applyNumberFormat="1">
      <alignment horizontal="left"/>
    </xf>
    <xf borderId="1" fillId="24" fontId="5" numFmtId="0" xfId="0" applyAlignment="1" applyBorder="1" applyFill="1" applyFont="1">
      <alignment horizontal="left"/>
    </xf>
    <xf borderId="1" fillId="0" fontId="5" numFmtId="166" xfId="0" applyAlignment="1" applyBorder="1" applyFont="1" applyNumberFormat="1">
      <alignment horizontal="left" readingOrder="0"/>
    </xf>
    <xf borderId="0" fillId="0" fontId="15" numFmtId="0" xfId="0" applyAlignment="1" applyFont="1">
      <alignment horizontal="left"/>
    </xf>
    <xf borderId="1" fillId="3" fontId="5" numFmtId="0" xfId="0" applyAlignment="1" applyBorder="1" applyFill="1" applyFont="1">
      <alignment horizontal="left" readingOrder="0" shrinkToFit="0" wrapText="0"/>
    </xf>
    <xf borderId="1" fillId="18" fontId="5" numFmtId="0" xfId="0" applyAlignment="1" applyBorder="1" applyFill="1" applyFont="1">
      <alignment horizontal="left"/>
    </xf>
    <xf borderId="1" fillId="11" fontId="5" numFmtId="0" xfId="0" applyAlignment="1" applyBorder="1" applyFill="1" applyFont="1">
      <alignment horizontal="left" readingOrder="0"/>
    </xf>
    <xf borderId="1" fillId="0" fontId="5" numFmtId="168" xfId="0" applyAlignment="1" applyBorder="1" applyFont="1" applyNumberFormat="1">
      <alignment horizontal="left" readingOrder="0"/>
    </xf>
    <xf borderId="1" fillId="25" fontId="5" numFmtId="0" xfId="0" applyAlignment="1" applyBorder="1" applyFill="1" applyFont="1">
      <alignment horizontal="left"/>
    </xf>
    <xf borderId="1" fillId="0" fontId="5" numFmtId="165" xfId="0" applyAlignment="1" applyBorder="1" applyFont="1" applyNumberFormat="1">
      <alignment horizontal="center" vertical="center"/>
    </xf>
    <xf borderId="1" fillId="25" fontId="5" numFmtId="0" xfId="0" applyAlignment="1" applyBorder="1" applyFill="1" applyFont="1">
      <alignment horizontal="left" readingOrder="0"/>
    </xf>
    <xf borderId="1" fillId="14" fontId="5" numFmtId="0" xfId="0" applyAlignment="1" applyBorder="1" applyFill="1" applyFont="1">
      <alignment horizontal="center" readingOrder="0" shrinkToFit="0" vertical="center" wrapText="1"/>
    </xf>
    <xf borderId="0" fillId="0" fontId="15" numFmtId="0" xfId="0" applyAlignment="1" applyFont="1">
      <alignment horizontal="center" readingOrder="0"/>
    </xf>
    <xf borderId="1" fillId="14" fontId="5" numFmtId="0" xfId="0" applyAlignment="1" applyBorder="1" applyFill="1" applyFont="1">
      <alignment horizontal="left" readingOrder="0" shrinkToFit="0" vertical="top" wrapText="0"/>
    </xf>
    <xf borderId="1" fillId="0" fontId="16" numFmtId="0" xfId="0" applyAlignment="1" applyBorder="1" applyFont="1">
      <alignment horizontal="left"/>
    </xf>
    <xf borderId="1" fillId="26" fontId="5" numFmtId="0" xfId="0" applyAlignment="1" applyBorder="1" applyFill="1" applyFont="1">
      <alignment horizontal="left"/>
    </xf>
    <xf borderId="1" fillId="27" fontId="5" numFmtId="0" xfId="0" applyAlignment="1" applyBorder="1" applyFill="1" applyFont="1">
      <alignment horizontal="center" readingOrder="0" shrinkToFit="0" vertical="center" wrapText="1"/>
    </xf>
    <xf borderId="1" fillId="0" fontId="2" numFmtId="165" xfId="0" applyAlignment="1" applyBorder="1" applyFont="1" applyNumberFormat="1">
      <alignment horizontal="center" readingOrder="0" vertical="center"/>
    </xf>
    <xf borderId="1" fillId="0" fontId="5" numFmtId="0" xfId="0" applyAlignment="1" applyBorder="1" applyFont="1">
      <alignment horizontal="left" readingOrder="0" shrinkToFit="0" wrapText="0"/>
    </xf>
    <xf borderId="1" fillId="0" fontId="17" numFmtId="165" xfId="0" applyAlignment="1" applyBorder="1" applyFont="1" applyNumberFormat="1">
      <alignment horizontal="left" readingOrder="0"/>
    </xf>
    <xf borderId="1" fillId="0" fontId="17" numFmtId="168" xfId="0" applyAlignment="1" applyBorder="1" applyFont="1" applyNumberFormat="1">
      <alignment horizontal="left" readingOrder="0"/>
    </xf>
    <xf borderId="1" fillId="0" fontId="15" numFmtId="0" xfId="0" applyAlignment="1" applyBorder="1" applyFont="1">
      <alignment horizontal="left"/>
    </xf>
    <xf borderId="1" fillId="26" fontId="5" numFmtId="0" xfId="0" applyAlignment="1" applyBorder="1" applyFill="1" applyFont="1">
      <alignment horizontal="left" shrinkToFit="0" wrapText="1"/>
    </xf>
    <xf borderId="1" fillId="28" fontId="5" numFmtId="0" xfId="0" applyAlignment="1" applyBorder="1" applyFill="1" applyFont="1">
      <alignment horizontal="center" readingOrder="0" shrinkToFit="0" vertical="center" wrapText="1"/>
    </xf>
    <xf borderId="1" fillId="23" fontId="5" numFmtId="0" xfId="0" applyAlignment="1" applyBorder="1" applyFill="1" applyFont="1">
      <alignment horizontal="center" readingOrder="0" vertical="center"/>
    </xf>
    <xf borderId="1" fillId="0" fontId="6" numFmtId="0" xfId="0" applyAlignment="1" applyBorder="1" applyFont="1">
      <alignment shrinkToFit="0" wrapText="0"/>
    </xf>
    <xf borderId="1" fillId="0" fontId="5" numFmtId="0" xfId="0" applyAlignment="1" applyBorder="1" applyFont="1">
      <alignment vertical="center"/>
    </xf>
    <xf borderId="1" fillId="0" fontId="6" numFmtId="166" xfId="0" applyAlignment="1" applyBorder="1" applyFont="1" applyNumberFormat="1">
      <alignment shrinkToFit="0" wrapText="0"/>
    </xf>
    <xf borderId="1" fillId="8" fontId="6" numFmtId="0" xfId="0" applyAlignment="1" applyBorder="1" applyFill="1" applyFont="1">
      <alignment shrinkToFit="0" wrapText="0"/>
    </xf>
    <xf borderId="1" fillId="0" fontId="6" numFmtId="0" xfId="0" applyAlignment="1" applyBorder="1" applyFont="1">
      <alignment shrinkToFit="0" wrapText="0"/>
    </xf>
    <xf borderId="1" fillId="0" fontId="5" numFmtId="0" xfId="0" applyAlignment="1" applyBorder="1" applyFont="1">
      <alignment vertical="center"/>
    </xf>
    <xf borderId="1" fillId="0" fontId="5" numFmtId="0" xfId="0" applyAlignment="1" applyBorder="1" applyFont="1">
      <alignment horizontal="left" readingOrder="0" shrinkToFit="0" wrapText="0"/>
    </xf>
    <xf borderId="1" fillId="29" fontId="6" numFmtId="0" xfId="0" applyAlignment="1" applyBorder="1" applyFill="1" applyFont="1">
      <alignment horizontal="center" readingOrder="0" shrinkToFit="0" vertical="center" wrapText="1"/>
    </xf>
    <xf borderId="1" fillId="29" fontId="5" numFmtId="0" xfId="0" applyAlignment="1" applyBorder="1" applyFill="1" applyFont="1">
      <alignment horizontal="center" readingOrder="0" vertical="center"/>
    </xf>
    <xf borderId="1" fillId="30" fontId="5" numFmtId="0" xfId="0" applyAlignment="1" applyBorder="1" applyFill="1" applyFont="1">
      <alignment horizontal="center" readingOrder="0" shrinkToFit="0" vertical="center" wrapText="1"/>
    </xf>
    <xf borderId="1" fillId="0" fontId="2" numFmtId="165" xfId="0" applyAlignment="1" applyBorder="1" applyFont="1" applyNumberFormat="1">
      <alignment horizontal="center" readingOrder="0" shrinkToFit="0" vertical="center" wrapText="0"/>
    </xf>
    <xf borderId="1" fillId="0" fontId="5" numFmtId="0" xfId="0" applyAlignment="1" applyBorder="1" applyFont="1">
      <alignment horizontal="center" vertical="bottom"/>
    </xf>
    <xf borderId="1" fillId="0" fontId="6" numFmtId="0" xfId="0" applyAlignment="1" applyBorder="1" applyFont="1">
      <alignment horizontal="center" shrinkToFit="0" vertical="bottom" wrapText="0"/>
    </xf>
    <xf borderId="1" fillId="0" fontId="5" numFmtId="166" xfId="0" applyAlignment="1" applyBorder="1" applyFont="1" applyNumberFormat="1">
      <alignment horizontal="center"/>
    </xf>
    <xf borderId="1" fillId="0" fontId="5" numFmtId="0" xfId="0" applyAlignment="1" applyBorder="1" applyFont="1">
      <alignment horizontal="left" readingOrder="0" shrinkToFit="0" vertical="center" wrapText="1"/>
    </xf>
    <xf borderId="1" fillId="0" fontId="5" numFmtId="0" xfId="0" applyAlignment="1" applyBorder="1" applyFont="1">
      <alignment horizontal="center" readingOrder="0"/>
    </xf>
    <xf borderId="1" fillId="0" fontId="5" numFmtId="0" xfId="0" applyAlignment="1" applyBorder="1" applyFont="1">
      <alignment horizontal="center"/>
    </xf>
    <xf borderId="1" fillId="0" fontId="6" numFmtId="168" xfId="0" applyAlignment="1" applyBorder="1" applyFont="1" applyNumberFormat="1">
      <alignment horizontal="left" readingOrder="0"/>
    </xf>
    <xf borderId="1" fillId="0" fontId="15" numFmtId="0" xfId="0" applyBorder="1" applyFont="1"/>
    <xf borderId="1" fillId="0" fontId="5" numFmtId="0" xfId="0" applyAlignment="1" applyBorder="1" applyFont="1">
      <alignment horizontal="center" readingOrder="0" vertical="bottom"/>
    </xf>
    <xf borderId="1" fillId="0" fontId="18" numFmtId="0" xfId="0" applyAlignment="1" applyBorder="1" applyFont="1">
      <alignment shrinkToFit="0" vertical="bottom" wrapText="0"/>
    </xf>
    <xf borderId="1" fillId="0" fontId="19" numFmtId="0" xfId="0" applyAlignment="1" applyBorder="1" applyFont="1">
      <alignment horizontal="left" readingOrder="0"/>
    </xf>
    <xf borderId="1" fillId="0" fontId="18" numFmtId="0" xfId="0" applyAlignment="1" applyBorder="1" applyFont="1">
      <alignment shrinkToFit="0" vertical="bottom" wrapText="0"/>
    </xf>
    <xf borderId="1" fillId="8" fontId="18" numFmtId="0" xfId="0" applyAlignment="1" applyBorder="1" applyFill="1" applyFont="1">
      <alignment shrinkToFit="0" vertical="bottom" wrapText="0"/>
    </xf>
    <xf borderId="1" fillId="17" fontId="5" numFmtId="0" xfId="0" applyAlignment="1" applyBorder="1" applyFill="1" applyFont="1">
      <alignment horizontal="left" shrinkToFit="0" wrapText="1"/>
    </xf>
    <xf borderId="1" fillId="0" fontId="15" numFmtId="0" xfId="0" applyBorder="1" applyFont="1"/>
    <xf borderId="1" fillId="0" fontId="6" numFmtId="0" xfId="0" applyAlignment="1" applyBorder="1" applyFont="1">
      <alignment horizontal="left" readingOrder="0" shrinkToFit="0" vertical="center" wrapText="0"/>
    </xf>
    <xf borderId="1" fillId="0" fontId="6" numFmtId="164" xfId="0" applyAlignment="1" applyBorder="1" applyFont="1" applyNumberFormat="1">
      <alignment horizontal="center" readingOrder="0" vertical="center"/>
    </xf>
    <xf borderId="1" fillId="0" fontId="6" numFmtId="166" xfId="0" applyAlignment="1" applyBorder="1" applyFont="1" applyNumberFormat="1">
      <alignment horizontal="center" readingOrder="0" vertical="center"/>
    </xf>
    <xf borderId="1" fillId="0" fontId="5" numFmtId="49" xfId="0" applyAlignment="1" applyBorder="1" applyFont="1" applyNumberFormat="1">
      <alignment horizontal="left" shrinkToFit="0" vertical="top" wrapText="1"/>
    </xf>
    <xf borderId="1" fillId="0" fontId="6" numFmtId="0" xfId="0" applyAlignment="1" applyBorder="1" applyFont="1">
      <alignment horizontal="center" shrinkToFit="0" vertical="center" wrapText="1"/>
    </xf>
    <xf borderId="1" fillId="17" fontId="5" numFmtId="0" xfId="0" applyAlignment="1" applyBorder="1" applyFill="1" applyFont="1">
      <alignment horizontal="center" readingOrder="0" vertical="center"/>
    </xf>
    <xf borderId="1" fillId="23" fontId="5" numFmtId="0" xfId="0" applyAlignment="1" applyBorder="1" applyFill="1" applyFont="1">
      <alignment horizontal="left" readingOrder="0"/>
    </xf>
    <xf borderId="1" fillId="0" fontId="6" numFmtId="165" xfId="0" applyAlignment="1" applyBorder="1" applyFont="1" applyNumberFormat="1">
      <alignment horizontal="center" readingOrder="0" shrinkToFit="0" wrapText="0"/>
    </xf>
    <xf borderId="1" fillId="31" fontId="5" numFmtId="0" xfId="0" applyAlignment="1" applyBorder="1" applyFill="1" applyFont="1">
      <alignment horizontal="left" shrinkToFit="0" wrapText="1"/>
    </xf>
    <xf borderId="1" fillId="0" fontId="2" numFmtId="0" xfId="0" applyAlignment="1" applyBorder="1" applyFont="1">
      <alignment horizontal="center" shrinkToFit="0" vertical="center" wrapText="0"/>
    </xf>
    <xf borderId="1" fillId="14" fontId="6" numFmtId="0" xfId="0" applyAlignment="1" applyBorder="1" applyFill="1" applyFont="1">
      <alignment horizontal="left" readingOrder="0"/>
    </xf>
    <xf borderId="1" fillId="0" fontId="5" numFmtId="165" xfId="0" applyAlignment="1" applyBorder="1" applyFont="1" applyNumberFormat="1">
      <alignment horizontal="center" readingOrder="0" shrinkToFit="0" vertical="center" wrapText="1"/>
    </xf>
    <xf borderId="1" fillId="14" fontId="6" numFmtId="0" xfId="0" applyAlignment="1" applyBorder="1" applyFill="1" applyFont="1">
      <alignment horizontal="left" readingOrder="0" shrinkToFit="0" wrapText="0"/>
    </xf>
    <xf borderId="1" fillId="0" fontId="18" numFmtId="0" xfId="0" applyAlignment="1" applyBorder="1" applyFont="1">
      <alignment horizontal="center" readingOrder="0" shrinkToFit="0" vertical="center" wrapText="0"/>
    </xf>
    <xf borderId="0" fillId="0" fontId="18" numFmtId="165" xfId="0" applyAlignment="1" applyFont="1" applyNumberFormat="1">
      <alignment horizontal="left" readingOrder="0" shrinkToFit="0" vertical="bottom" wrapText="0"/>
    </xf>
    <xf borderId="1" fillId="0" fontId="5" numFmtId="49" xfId="0" applyAlignment="1" applyBorder="1" applyFont="1" applyNumberFormat="1">
      <alignment horizontal="left" shrinkToFit="0" wrapText="1"/>
    </xf>
    <xf borderId="0" fillId="0" fontId="18" numFmtId="0" xfId="0" applyAlignment="1" applyFont="1">
      <alignment horizontal="right" readingOrder="0" shrinkToFit="0" vertical="bottom" wrapText="0"/>
    </xf>
    <xf borderId="0" fillId="0" fontId="18" numFmtId="0" xfId="0" applyAlignment="1" applyFont="1">
      <alignment horizontal="left" readingOrder="0" shrinkToFit="0" vertical="bottom" wrapText="0"/>
    </xf>
    <xf borderId="0" fillId="0" fontId="15" numFmtId="0" xfId="0" applyFont="1"/>
    <xf borderId="1" fillId="3" fontId="5" numFmtId="0" xfId="0" applyAlignment="1" applyBorder="1" applyFill="1" applyFont="1">
      <alignment horizontal="left"/>
    </xf>
    <xf borderId="1" fillId="31" fontId="5" numFmtId="49" xfId="0" applyAlignment="1" applyBorder="1" applyFill="1" applyFont="1" applyNumberFormat="1">
      <alignment horizontal="left" shrinkToFit="0" wrapText="1"/>
    </xf>
    <xf borderId="1" fillId="0" fontId="5" numFmtId="165" xfId="0" applyAlignment="1" applyBorder="1" applyFont="1" applyNumberFormat="1">
      <alignment horizontal="left" vertical="bottom"/>
    </xf>
    <xf borderId="1" fillId="0" fontId="1" numFmtId="165" xfId="0" applyAlignment="1" applyBorder="1" applyFont="1" applyNumberFormat="1">
      <alignment shrinkToFit="0" vertical="bottom" wrapText="0"/>
    </xf>
    <xf borderId="1" fillId="32" fontId="5" numFmtId="0" xfId="0" applyAlignment="1" applyBorder="1" applyFill="1" applyFont="1">
      <alignment horizontal="center" readingOrder="0" vertical="center"/>
    </xf>
    <xf borderId="1" fillId="0" fontId="16" numFmtId="0" xfId="0" applyBorder="1" applyFont="1"/>
    <xf borderId="1" fillId="0" fontId="2" numFmtId="0" xfId="0" applyAlignment="1" applyBorder="1" applyFont="1">
      <alignment horizontal="center" readingOrder="0" vertical="center"/>
    </xf>
    <xf borderId="1" fillId="14" fontId="1" numFmtId="0" xfId="0" applyAlignment="1" applyBorder="1" applyFill="1" applyFont="1">
      <alignment horizontal="left" readingOrder="0" shrinkToFit="0" wrapText="0"/>
    </xf>
    <xf borderId="1" fillId="33" fontId="5" numFmtId="0" xfId="0" applyAlignment="1" applyBorder="1" applyFill="1" applyFont="1">
      <alignment horizontal="center" readingOrder="0" shrinkToFit="0" vertical="center" wrapText="1"/>
    </xf>
    <xf borderId="1" fillId="0" fontId="2" numFmtId="167" xfId="0" applyAlignment="1" applyBorder="1" applyFont="1" applyNumberFormat="1">
      <alignment horizontal="center" readingOrder="0" vertical="center"/>
    </xf>
    <xf borderId="1" fillId="14" fontId="5" numFmtId="0" xfId="0" applyAlignment="1" applyBorder="1" applyFill="1" applyFont="1">
      <alignment horizontal="left" shrinkToFit="0" wrapText="1"/>
    </xf>
    <xf borderId="1" fillId="17" fontId="6" numFmtId="0" xfId="0" applyAlignment="1" applyBorder="1" applyFill="1" applyFont="1">
      <alignment horizontal="center" readingOrder="0" shrinkToFit="0" vertical="center" wrapText="1"/>
    </xf>
    <xf borderId="1" fillId="0" fontId="6" numFmtId="0" xfId="0" applyAlignment="1" applyBorder="1" applyFont="1">
      <alignment horizontal="center" readingOrder="0" shrinkToFit="0" vertical="bottom" wrapText="0"/>
    </xf>
    <xf borderId="1" fillId="0" fontId="5" numFmtId="0" xfId="0" applyAlignment="1" applyBorder="1" applyFont="1">
      <alignment horizontal="left" shrinkToFit="0" vertical="top" wrapText="0"/>
    </xf>
    <xf borderId="1" fillId="0" fontId="5" numFmtId="0" xfId="0" applyAlignment="1" applyBorder="1" applyFont="1">
      <alignment horizontal="left" shrinkToFit="0" vertical="top" wrapText="1"/>
    </xf>
    <xf borderId="1" fillId="0" fontId="5" numFmtId="167" xfId="0" applyAlignment="1" applyBorder="1" applyFont="1" applyNumberFormat="1">
      <alignment horizontal="left" shrinkToFit="0" wrapText="1"/>
    </xf>
    <xf borderId="1" fillId="7" fontId="6" numFmtId="0" xfId="0" applyAlignment="1" applyBorder="1" applyFill="1" applyFont="1">
      <alignment horizontal="center" readingOrder="0" shrinkToFit="0" vertical="center" wrapText="0"/>
    </xf>
    <xf borderId="1" fillId="7" fontId="5" numFmtId="0" xfId="0" applyAlignment="1" applyBorder="1" applyFill="1" applyFont="1">
      <alignment horizontal="center" readingOrder="0" vertical="center"/>
    </xf>
    <xf borderId="1" fillId="0" fontId="6" numFmtId="165" xfId="0" applyAlignment="1" applyBorder="1" applyFont="1" applyNumberFormat="1">
      <alignment readingOrder="0" shrinkToFit="0" vertical="center" wrapText="0"/>
    </xf>
    <xf borderId="1" fillId="26" fontId="5" numFmtId="0" xfId="0" applyAlignment="1" applyBorder="1" applyFill="1" applyFont="1">
      <alignment horizontal="center" readingOrder="0" shrinkToFit="0" vertical="center" wrapText="1"/>
    </xf>
    <xf borderId="1" fillId="34" fontId="5" numFmtId="0" xfId="0" applyAlignment="1" applyBorder="1" applyFill="1" applyFont="1">
      <alignment horizontal="center" readingOrder="0" shrinkToFit="0" vertical="center" wrapText="1"/>
    </xf>
    <xf borderId="1" fillId="3" fontId="5" numFmtId="0" xfId="0" applyAlignment="1" applyBorder="1" applyFill="1" applyFont="1">
      <alignment horizontal="center" readingOrder="0" vertical="center"/>
    </xf>
    <xf borderId="1" fillId="35" fontId="6" numFmtId="0" xfId="0" applyAlignment="1" applyBorder="1" applyFill="1" applyFont="1">
      <alignment horizontal="center" readingOrder="0" shrinkToFit="0" vertical="center" wrapText="0"/>
    </xf>
    <xf borderId="1" fillId="8" fontId="5" numFmtId="0" xfId="0" applyAlignment="1" applyBorder="1" applyFill="1" applyFont="1">
      <alignment horizontal="left"/>
    </xf>
    <xf borderId="1" fillId="36" fontId="5" numFmtId="0" xfId="0" applyAlignment="1" applyBorder="1" applyFill="1" applyFont="1">
      <alignment horizontal="center" readingOrder="0" vertical="center"/>
    </xf>
    <xf borderId="1" fillId="37" fontId="5" numFmtId="0" xfId="0" applyAlignment="1" applyBorder="1" applyFill="1" applyFont="1">
      <alignment horizontal="center" readingOrder="0" vertical="center"/>
    </xf>
    <xf borderId="1" fillId="0" fontId="6" numFmtId="164" xfId="0" applyAlignment="1" applyBorder="1" applyFont="1" applyNumberFormat="1">
      <alignment horizontal="center" readingOrder="0" vertical="bottom"/>
    </xf>
    <xf borderId="1" fillId="0" fontId="6" numFmtId="166" xfId="0" applyAlignment="1" applyBorder="1" applyFont="1" applyNumberFormat="1">
      <alignment horizontal="center" readingOrder="0" vertical="bottom"/>
    </xf>
    <xf borderId="1" fillId="23" fontId="5" numFmtId="0" xfId="0" applyAlignment="1" applyBorder="1" applyFill="1" applyFont="1">
      <alignment horizontal="left"/>
    </xf>
    <xf borderId="1" fillId="3" fontId="5" numFmtId="0" xfId="0" applyAlignment="1" applyBorder="1" applyFill="1" applyFont="1">
      <alignment horizontal="center" shrinkToFit="0" vertical="center" wrapText="1"/>
    </xf>
    <xf borderId="1" fillId="38" fontId="5" numFmtId="0" xfId="0" applyAlignment="1" applyBorder="1" applyFill="1" applyFont="1">
      <alignment horizontal="center" readingOrder="0" shrinkToFit="0" vertical="center" wrapText="1"/>
    </xf>
    <xf borderId="1" fillId="14" fontId="5" numFmtId="165" xfId="0" applyAlignment="1" applyBorder="1" applyFill="1" applyFont="1" applyNumberFormat="1">
      <alignment horizontal="center" readingOrder="0" vertical="center"/>
    </xf>
    <xf borderId="1" fillId="0" fontId="5" numFmtId="0" xfId="0" applyAlignment="1" applyBorder="1" applyFont="1">
      <alignment horizontal="center" readingOrder="0" shrinkToFit="0" vertical="center" wrapText="0"/>
    </xf>
    <xf borderId="1" fillId="39" fontId="5" numFmtId="0" xfId="0" applyAlignment="1" applyBorder="1" applyFill="1" applyFont="1">
      <alignment horizontal="center" readingOrder="0" vertical="center"/>
    </xf>
    <xf borderId="1" fillId="40" fontId="6" numFmtId="166" xfId="0" applyAlignment="1" applyBorder="1" applyFill="1" applyFont="1" applyNumberFormat="1">
      <alignment horizontal="center" readingOrder="0" shrinkToFit="0" wrapText="0"/>
    </xf>
    <xf borderId="1" fillId="0" fontId="20" numFmtId="0" xfId="0" applyAlignment="1" applyBorder="1" applyFont="1">
      <alignment horizontal="left" readingOrder="0"/>
    </xf>
    <xf borderId="1" fillId="0" fontId="6" numFmtId="0" xfId="0" applyAlignment="1" applyBorder="1" applyFont="1">
      <alignment horizontal="center" readingOrder="0" shrinkToFit="0" vertical="center" wrapText="0"/>
    </xf>
    <xf borderId="1" fillId="3" fontId="6" numFmtId="0" xfId="0" applyAlignment="1" applyBorder="1" applyFill="1" applyFont="1">
      <alignment horizontal="left" readingOrder="0"/>
    </xf>
    <xf borderId="1" fillId="0" fontId="2" numFmtId="0" xfId="0" applyAlignment="1" applyBorder="1" applyFont="1">
      <alignment horizontal="center" readingOrder="0" shrinkToFit="0" vertical="center" wrapText="0"/>
    </xf>
    <xf borderId="1" fillId="14" fontId="6" numFmtId="0" xfId="0" applyAlignment="1" applyBorder="1" applyFill="1" applyFont="1">
      <alignment horizontal="center" readingOrder="0" shrinkToFit="0" wrapText="0"/>
    </xf>
    <xf borderId="1" fillId="0" fontId="20" numFmtId="0" xfId="0" applyAlignment="1" applyBorder="1" applyFont="1">
      <alignment horizontal="center" readingOrder="0" vertical="center"/>
    </xf>
    <xf borderId="1" fillId="0" fontId="20" numFmtId="165" xfId="0" applyAlignment="1" applyBorder="1" applyFont="1" applyNumberFormat="1">
      <alignment horizontal="center" readingOrder="0" vertical="center"/>
    </xf>
    <xf borderId="1" fillId="41" fontId="13" numFmtId="0" xfId="0" applyAlignment="1" applyBorder="1" applyFill="1" applyFont="1">
      <alignment readingOrder="0" shrinkToFit="0" vertical="bottom" wrapText="0"/>
    </xf>
    <xf borderId="1" fillId="34" fontId="5" numFmtId="0" xfId="0" applyAlignment="1" applyBorder="1" applyFill="1" applyFont="1">
      <alignment horizontal="center" readingOrder="0" vertical="center"/>
    </xf>
    <xf borderId="1" fillId="3" fontId="5" numFmtId="0" xfId="0" applyAlignment="1" applyBorder="1" applyFill="1" applyFont="1">
      <alignment horizontal="center" readingOrder="0" shrinkToFit="0" vertical="center" wrapText="0"/>
    </xf>
    <xf borderId="1" fillId="0" fontId="5" numFmtId="166" xfId="0" applyAlignment="1" applyBorder="1" applyFont="1" applyNumberFormat="1">
      <alignment horizontal="center" vertical="center"/>
    </xf>
    <xf borderId="1" fillId="17" fontId="5" numFmtId="0" xfId="0" applyAlignment="1" applyBorder="1" applyFill="1" applyFont="1">
      <alignment horizontal="left" shrinkToFit="0" wrapText="0"/>
    </xf>
    <xf borderId="1" fillId="17" fontId="5" numFmtId="0" xfId="0" applyAlignment="1" applyBorder="1" applyFill="1" applyFont="1">
      <alignment horizontal="left"/>
    </xf>
    <xf borderId="1" fillId="0" fontId="6" numFmtId="0" xfId="0" applyAlignment="1" applyBorder="1" applyFont="1">
      <alignment horizontal="left" readingOrder="0" shrinkToFit="0" vertical="center" wrapText="1"/>
    </xf>
    <xf borderId="1" fillId="38" fontId="5" numFmtId="0" xfId="0" applyAlignment="1" applyBorder="1" applyFill="1" applyFont="1">
      <alignment horizontal="left"/>
    </xf>
    <xf borderId="1" fillId="42" fontId="5" numFmtId="0" xfId="0" applyAlignment="1" applyBorder="1" applyFill="1" applyFont="1">
      <alignment horizontal="center" readingOrder="0" vertical="center"/>
    </xf>
    <xf borderId="1" fillId="0" fontId="5" numFmtId="0" xfId="0" applyAlignment="1" applyBorder="1" applyFont="1">
      <alignment horizontal="center" readingOrder="0" shrinkToFit="0" wrapText="1"/>
    </xf>
    <xf borderId="1" fillId="17" fontId="5" numFmtId="0" xfId="0" applyAlignment="1" applyBorder="1" applyFill="1" applyFont="1">
      <alignment horizontal="left" shrinkToFit="0" wrapText="0"/>
    </xf>
    <xf borderId="1" fillId="38" fontId="5" numFmtId="0" xfId="0" applyAlignment="1" applyBorder="1" applyFill="1" applyFont="1">
      <alignment horizontal="left"/>
    </xf>
    <xf borderId="1" fillId="41" fontId="1" numFmtId="0" xfId="0" applyAlignment="1" applyBorder="1" applyFill="1" applyFont="1">
      <alignment readingOrder="0" shrinkToFit="0" vertical="bottom" wrapText="0"/>
    </xf>
    <xf borderId="1" fillId="0" fontId="6" numFmtId="0" xfId="0" applyAlignment="1" applyBorder="1" applyFont="1">
      <alignment horizontal="center" readingOrder="0" shrinkToFit="0" wrapText="0"/>
    </xf>
    <xf borderId="1" fillId="32" fontId="6" numFmtId="0" xfId="0" applyAlignment="1" applyBorder="1" applyFill="1" applyFont="1">
      <alignment horizontal="center" readingOrder="0" shrinkToFit="0" vertical="center" wrapText="0"/>
    </xf>
    <xf borderId="1" fillId="0" fontId="3" numFmtId="0" xfId="0" applyAlignment="1" applyBorder="1" applyFont="1">
      <alignment horizontal="right" readingOrder="0" shrinkToFit="0" vertical="bottom" wrapText="0"/>
    </xf>
    <xf borderId="1" fillId="5" fontId="1" numFmtId="0" xfId="0" applyAlignment="1" applyBorder="1" applyFill="1" applyFont="1">
      <alignment shrinkToFit="0" vertical="bottom" wrapText="0"/>
    </xf>
    <xf borderId="1" fillId="8" fontId="5" numFmtId="0" xfId="0" applyAlignment="1" applyBorder="1" applyFill="1" applyFont="1">
      <alignment horizontal="left" readingOrder="0"/>
    </xf>
    <xf borderId="1" fillId="0" fontId="5" numFmtId="168" xfId="0" applyAlignment="1" applyBorder="1" applyFont="1" applyNumberFormat="1">
      <alignment horizontal="center" readingOrder="0" vertical="center"/>
    </xf>
    <xf borderId="1" fillId="5" fontId="5" numFmtId="0" xfId="0" applyAlignment="1" applyBorder="1" applyFill="1" applyFont="1">
      <alignment horizontal="left"/>
    </xf>
    <xf borderId="1" fillId="7" fontId="5" numFmtId="0" xfId="0" applyAlignment="1" applyBorder="1" applyFill="1" applyFont="1">
      <alignment horizontal="center" vertical="center"/>
    </xf>
    <xf borderId="1" fillId="0" fontId="3" numFmtId="0" xfId="0" applyAlignment="1" applyBorder="1" applyFont="1">
      <alignment horizontal="center" shrinkToFit="0" wrapText="0"/>
    </xf>
    <xf borderId="1" fillId="0" fontId="6" numFmtId="0" xfId="0" applyAlignment="1" applyBorder="1" applyFont="1">
      <alignment readingOrder="0"/>
    </xf>
    <xf borderId="1" fillId="0" fontId="6" numFmtId="49" xfId="0" applyAlignment="1" applyBorder="1" applyFont="1" applyNumberFormat="1">
      <alignment readingOrder="0"/>
    </xf>
    <xf borderId="1" fillId="43" fontId="5" numFmtId="0" xfId="0" applyAlignment="1" applyBorder="1" applyFill="1" applyFont="1">
      <alignment horizontal="left"/>
    </xf>
    <xf borderId="1" fillId="0" fontId="6" numFmtId="49" xfId="0" applyAlignment="1" applyBorder="1" applyFont="1" applyNumberFormat="1">
      <alignment horizontal="center" readingOrder="0"/>
    </xf>
    <xf borderId="1" fillId="0" fontId="6" numFmtId="165" xfId="0" applyAlignment="1" applyBorder="1" applyFont="1" applyNumberFormat="1">
      <alignment horizontal="center" shrinkToFit="0" wrapText="0"/>
    </xf>
    <xf borderId="1" fillId="3" fontId="5" numFmtId="0" xfId="0" applyAlignment="1" applyBorder="1" applyFill="1" applyFont="1">
      <alignment horizontal="left" readingOrder="0" shrinkToFit="0" wrapText="1"/>
    </xf>
    <xf borderId="1" fillId="3" fontId="5" numFmtId="0" xfId="0" applyAlignment="1" applyBorder="1" applyFill="1" applyFont="1">
      <alignment horizontal="left" readingOrder="0"/>
    </xf>
    <xf borderId="1" fillId="0" fontId="5" numFmtId="0" xfId="0" applyAlignment="1" applyBorder="1" applyFont="1">
      <alignment horizontal="center" readingOrder="0" shrinkToFit="0" vertical="center" wrapText="0"/>
    </xf>
    <xf borderId="1" fillId="41" fontId="21" numFmtId="0" xfId="0" applyAlignment="1" applyBorder="1" applyFill="1" applyFont="1">
      <alignment horizontal="center" readingOrder="0" vertical="center"/>
    </xf>
    <xf borderId="1" fillId="43" fontId="5" numFmtId="0" xfId="0" applyAlignment="1" applyBorder="1" applyFill="1" applyFont="1">
      <alignment horizontal="left"/>
    </xf>
    <xf borderId="1" fillId="44" fontId="5" numFmtId="0" xfId="0" applyAlignment="1" applyBorder="1" applyFill="1" applyFont="1">
      <alignment horizontal="center" readingOrder="0" shrinkToFit="0" vertical="center" wrapText="1"/>
    </xf>
    <xf borderId="1" fillId="8" fontId="5" numFmtId="0" xfId="0" applyAlignment="1" applyBorder="1" applyFill="1" applyFont="1">
      <alignment horizontal="left"/>
    </xf>
    <xf borderId="3" fillId="0" fontId="5" numFmtId="0" xfId="0" applyAlignment="1" applyBorder="1" applyFont="1">
      <alignment horizontal="left" readingOrder="0" shrinkToFit="0" wrapText="0"/>
    </xf>
    <xf borderId="4" fillId="0" fontId="5" numFmtId="166" xfId="0" applyAlignment="1" applyBorder="1" applyFont="1" applyNumberFormat="1">
      <alignment horizontal="left" readingOrder="0"/>
    </xf>
    <xf borderId="4" fillId="0" fontId="5" numFmtId="0" xfId="0" applyAlignment="1" applyBorder="1" applyFont="1">
      <alignment horizontal="left"/>
    </xf>
    <xf borderId="4" fillId="0" fontId="5" numFmtId="0" xfId="0" applyAlignment="1" applyBorder="1" applyFont="1">
      <alignment horizontal="left"/>
    </xf>
    <xf borderId="4" fillId="0" fontId="5" numFmtId="0" xfId="0" applyAlignment="1" applyBorder="1" applyFont="1">
      <alignment horizontal="left" readingOrder="0"/>
    </xf>
    <xf borderId="1" fillId="44" fontId="5" numFmtId="0" xfId="0" applyAlignment="1" applyBorder="1" applyFill="1" applyFont="1">
      <alignment horizontal="center" readingOrder="0" vertical="center"/>
    </xf>
    <xf borderId="1" fillId="43" fontId="5" numFmtId="0" xfId="0" applyAlignment="1" applyBorder="1" applyFill="1" applyFont="1">
      <alignment horizontal="left" readingOrder="0"/>
    </xf>
    <xf borderId="4" fillId="0" fontId="5" numFmtId="166" xfId="0" applyAlignment="1" applyBorder="1" applyFont="1" applyNumberFormat="1">
      <alignment horizontal="left"/>
    </xf>
    <xf borderId="1" fillId="12" fontId="5" numFmtId="0" xfId="0" applyAlignment="1" applyBorder="1" applyFill="1" applyFont="1">
      <alignment horizontal="left" readingOrder="0"/>
    </xf>
    <xf borderId="0" fillId="0" fontId="5" numFmtId="0" xfId="0" applyAlignment="1" applyFont="1">
      <alignment horizontal="center" readingOrder="0" vertical="center"/>
    </xf>
    <xf borderId="1" fillId="0" fontId="16" numFmtId="0" xfId="0" applyAlignment="1" applyBorder="1" applyFont="1">
      <alignment horizontal="left" readingOrder="0"/>
    </xf>
    <xf borderId="1" fillId="11" fontId="5" numFmtId="0" xfId="0" applyAlignment="1" applyBorder="1" applyFill="1" applyFont="1">
      <alignment horizontal="left"/>
    </xf>
    <xf borderId="1" fillId="29" fontId="6" numFmtId="0" xfId="0" applyAlignment="1" applyBorder="1" applyFill="1" applyFont="1">
      <alignment horizontal="center" readingOrder="0" shrinkToFit="0" vertical="center" wrapText="0"/>
    </xf>
    <xf borderId="1" fillId="5" fontId="5" numFmtId="0" xfId="0" applyAlignment="1" applyBorder="1" applyFill="1" applyFont="1">
      <alignment horizontal="left" shrinkToFit="0" wrapText="0"/>
    </xf>
    <xf borderId="1" fillId="8" fontId="5" numFmtId="0" xfId="0" applyAlignment="1" applyBorder="1" applyFill="1" applyFont="1">
      <alignment horizontal="center" shrinkToFit="0" vertical="center" wrapText="1"/>
    </xf>
    <xf borderId="1" fillId="5" fontId="5" numFmtId="0" xfId="0" applyAlignment="1" applyBorder="1" applyFill="1" applyFont="1">
      <alignment horizontal="left"/>
    </xf>
    <xf borderId="1" fillId="0" fontId="1" numFmtId="0" xfId="0" applyAlignment="1" applyBorder="1" applyFont="1">
      <alignment horizontal="center" readingOrder="0" shrinkToFit="0" vertical="bottom" wrapText="0"/>
    </xf>
    <xf borderId="1" fillId="8" fontId="5" numFmtId="0" xfId="0" applyAlignment="1" applyBorder="1" applyFill="1" applyFont="1">
      <alignment horizontal="center" vertical="center"/>
    </xf>
    <xf borderId="1" fillId="4" fontId="1" numFmtId="0" xfId="0" applyAlignment="1" applyBorder="1" applyFill="1" applyFont="1">
      <alignment readingOrder="0" shrinkToFit="0" vertical="bottom" wrapText="0"/>
    </xf>
    <xf borderId="1" fillId="30" fontId="5" numFmtId="0" xfId="0" applyAlignment="1" applyBorder="1" applyFill="1" applyFont="1">
      <alignment horizontal="center" shrinkToFit="0" vertical="center" wrapText="1"/>
    </xf>
    <xf borderId="1" fillId="0" fontId="4" numFmtId="0" xfId="0" applyAlignment="1" applyBorder="1" applyFont="1">
      <alignment horizontal="center" readingOrder="0" shrinkToFit="0" vertical="bottom" wrapText="1"/>
    </xf>
    <xf borderId="1" fillId="0" fontId="5" numFmtId="166" xfId="0" applyAlignment="1" applyBorder="1" applyFont="1" applyNumberFormat="1">
      <alignment horizontal="left" vertical="center"/>
    </xf>
    <xf borderId="1" fillId="0" fontId="5" numFmtId="0" xfId="0" applyAlignment="1" applyBorder="1" applyFont="1">
      <alignment horizontal="left" vertical="center"/>
    </xf>
    <xf borderId="1" fillId="0" fontId="5" numFmtId="0" xfId="0" applyAlignment="1" applyBorder="1" applyFont="1">
      <alignment horizontal="left" readingOrder="0" vertical="center"/>
    </xf>
    <xf borderId="1" fillId="0" fontId="2" numFmtId="167" xfId="0" applyAlignment="1" applyBorder="1" applyFont="1" applyNumberFormat="1">
      <alignment horizontal="center" vertical="center"/>
    </xf>
    <xf borderId="1" fillId="0" fontId="6" numFmtId="165" xfId="0" applyAlignment="1" applyBorder="1" applyFont="1" applyNumberFormat="1">
      <alignment horizontal="left" readingOrder="0"/>
    </xf>
    <xf borderId="1" fillId="8" fontId="5" numFmtId="0" xfId="0" applyAlignment="1" applyBorder="1" applyFill="1" applyFont="1">
      <alignment horizontal="center" vertical="center"/>
    </xf>
    <xf borderId="1" fillId="0" fontId="5" numFmtId="0" xfId="0" applyAlignment="1" applyBorder="1" applyFont="1">
      <alignment horizontal="left" shrinkToFit="0" vertical="center" wrapText="1"/>
    </xf>
    <xf borderId="1" fillId="0" fontId="5" numFmtId="165" xfId="0" applyAlignment="1" applyBorder="1" applyFont="1" applyNumberFormat="1">
      <alignment horizontal="left" shrinkToFit="0" vertical="center" wrapText="1"/>
    </xf>
    <xf borderId="1" fillId="41" fontId="5" numFmtId="0" xfId="0" applyAlignment="1" applyBorder="1" applyFill="1" applyFont="1">
      <alignment horizontal="center" readingOrder="0" vertical="center"/>
    </xf>
    <xf borderId="1" fillId="0" fontId="6" numFmtId="0" xfId="0" applyAlignment="1" applyBorder="1" applyFont="1">
      <alignment horizontal="left" readingOrder="0" shrinkToFit="0" vertical="bottom" wrapText="0"/>
    </xf>
    <xf borderId="1" fillId="5" fontId="5" numFmtId="0" xfId="0" applyAlignment="1" applyBorder="1" applyFill="1" applyFont="1">
      <alignment horizontal="left" shrinkToFit="0" wrapText="0"/>
    </xf>
    <xf borderId="1" fillId="8" fontId="5" numFmtId="0" xfId="0" applyAlignment="1" applyBorder="1" applyFill="1" applyFont="1">
      <alignment horizontal="left" readingOrder="0" shrinkToFit="0" vertical="center" wrapText="1"/>
    </xf>
    <xf borderId="1" fillId="45" fontId="5" numFmtId="0" xfId="0" applyAlignment="1" applyBorder="1" applyFill="1" applyFont="1">
      <alignment horizontal="center" readingOrder="0" vertical="center"/>
    </xf>
    <xf borderId="1" fillId="0" fontId="6" numFmtId="165" xfId="0" applyAlignment="1" applyBorder="1" applyFont="1" applyNumberFormat="1">
      <alignment horizontal="center" readingOrder="0" vertical="bottom"/>
    </xf>
    <xf borderId="1" fillId="14" fontId="6" numFmtId="166" xfId="0" applyAlignment="1" applyBorder="1" applyFill="1" applyFont="1" applyNumberFormat="1">
      <alignment horizontal="center" readingOrder="0" shrinkToFit="0" vertical="bottom" wrapText="0"/>
    </xf>
    <xf borderId="1" fillId="0" fontId="7" numFmtId="0" xfId="0" applyAlignment="1" applyBorder="1" applyFont="1">
      <alignment horizontal="left"/>
    </xf>
    <xf borderId="1" fillId="38" fontId="5" numFmtId="0" xfId="0" applyAlignment="1" applyBorder="1" applyFill="1" applyFont="1">
      <alignment horizontal="left" readingOrder="0" shrinkToFit="0" wrapText="1"/>
    </xf>
    <xf borderId="1" fillId="39" fontId="5" numFmtId="0" xfId="0" applyAlignment="1" applyBorder="1" applyFill="1" applyFont="1">
      <alignment horizontal="center" readingOrder="0" shrinkToFit="0" vertical="center" wrapText="1"/>
    </xf>
    <xf borderId="1" fillId="0" fontId="5" numFmtId="165" xfId="0" applyAlignment="1" applyBorder="1" applyFont="1" applyNumberFormat="1">
      <alignment horizontal="left" readingOrder="0"/>
    </xf>
    <xf borderId="1" fillId="39" fontId="6" numFmtId="0" xfId="0" applyAlignment="1" applyBorder="1" applyFill="1" applyFont="1">
      <alignment horizontal="center" readingOrder="0" shrinkToFit="0" vertical="center" wrapText="0"/>
    </xf>
    <xf borderId="1" fillId="7" fontId="5" numFmtId="0" xfId="0" applyAlignment="1" applyBorder="1" applyFill="1" applyFont="1">
      <alignment horizontal="left"/>
    </xf>
    <xf borderId="1" fillId="0" fontId="5" numFmtId="165" xfId="0" applyAlignment="1" applyBorder="1" applyFont="1" applyNumberFormat="1">
      <alignment horizontal="left" readingOrder="0" shrinkToFit="0" wrapText="1"/>
    </xf>
    <xf borderId="1" fillId="0" fontId="6" numFmtId="0" xfId="0" applyAlignment="1" applyBorder="1" applyFont="1">
      <alignment horizontal="center" readingOrder="0" shrinkToFit="0" vertical="bottom" wrapText="0"/>
    </xf>
    <xf borderId="1" fillId="8" fontId="6" numFmtId="0" xfId="0" applyAlignment="1" applyBorder="1" applyFill="1" applyFont="1">
      <alignment horizontal="center" readingOrder="0"/>
    </xf>
    <xf borderId="1" fillId="0" fontId="18" numFmtId="0" xfId="0" applyBorder="1" applyFont="1"/>
    <xf borderId="1" fillId="46" fontId="6" numFmtId="0" xfId="0" applyAlignment="1" applyBorder="1" applyFill="1" applyFont="1">
      <alignment horizontal="center" readingOrder="0" vertical="center"/>
    </xf>
    <xf borderId="1" fillId="0" fontId="6" numFmtId="165" xfId="0" applyAlignment="1" applyBorder="1" applyFont="1" applyNumberFormat="1">
      <alignment horizontal="center" readingOrder="0" shrinkToFit="0" vertical="bottom" wrapText="0"/>
    </xf>
    <xf borderId="1" fillId="14" fontId="6" numFmtId="0" xfId="0" applyAlignment="1" applyBorder="1" applyFill="1" applyFont="1">
      <alignment horizontal="center" readingOrder="0" shrinkToFit="0" vertical="bottom" wrapText="0"/>
    </xf>
    <xf borderId="1" fillId="0" fontId="18" numFmtId="0" xfId="0" applyBorder="1" applyFont="1"/>
    <xf borderId="1" fillId="47" fontId="6" numFmtId="0" xfId="0" applyAlignment="1" applyBorder="1" applyFill="1" applyFont="1">
      <alignment horizontal="center" readingOrder="0" shrinkToFit="0" wrapText="1"/>
    </xf>
    <xf borderId="1" fillId="36" fontId="5" numFmtId="0" xfId="0" applyAlignment="1" applyBorder="1" applyFill="1" applyFont="1">
      <alignment horizontal="left" shrinkToFit="0" wrapText="0"/>
    </xf>
    <xf borderId="1" fillId="36" fontId="5" numFmtId="0" xfId="0" applyAlignment="1" applyBorder="1" applyFill="1" applyFont="1">
      <alignment horizontal="left"/>
    </xf>
    <xf borderId="5" fillId="0" fontId="18" numFmtId="0" xfId="0" applyBorder="1" applyFont="1"/>
    <xf borderId="1" fillId="36" fontId="5" numFmtId="0" xfId="0" applyAlignment="1" applyBorder="1" applyFill="1" applyFont="1">
      <alignment horizontal="left"/>
    </xf>
    <xf borderId="5" fillId="0" fontId="6" numFmtId="0" xfId="0" applyAlignment="1" applyBorder="1" applyFont="1">
      <alignment horizontal="center" readingOrder="0"/>
    </xf>
    <xf borderId="1" fillId="36" fontId="5" numFmtId="0" xfId="0" applyAlignment="1" applyBorder="1" applyFill="1" applyFont="1">
      <alignment horizontal="left" shrinkToFit="0" wrapText="1"/>
    </xf>
    <xf borderId="6" fillId="0" fontId="6" numFmtId="0" xfId="0" applyAlignment="1" applyBorder="1" applyFont="1">
      <alignment horizontal="center" readingOrder="0"/>
    </xf>
    <xf borderId="1" fillId="36" fontId="5" numFmtId="49" xfId="0" applyAlignment="1" applyBorder="1" applyFill="1" applyFont="1" applyNumberFormat="1">
      <alignment horizontal="left" shrinkToFit="0" vertical="top" wrapText="1"/>
    </xf>
    <xf borderId="0" fillId="0" fontId="18" numFmtId="0" xfId="0" applyFont="1"/>
    <xf borderId="0" fillId="0" fontId="18" numFmtId="0" xfId="0" applyFont="1"/>
    <xf borderId="1" fillId="0" fontId="6" numFmtId="0" xfId="0" applyAlignment="1" applyBorder="1" applyFont="1">
      <alignment horizontal="left" readingOrder="0"/>
    </xf>
    <xf borderId="1" fillId="39" fontId="5" numFmtId="0" xfId="0" applyAlignment="1" applyBorder="1" applyFill="1" applyFont="1">
      <alignment horizontal="left" shrinkToFit="0" wrapText="1"/>
    </xf>
    <xf borderId="1" fillId="13" fontId="5" numFmtId="0" xfId="0" applyAlignment="1" applyBorder="1" applyFill="1" applyFont="1">
      <alignment horizontal="center" shrinkToFit="0" vertical="center" wrapText="1"/>
    </xf>
    <xf borderId="1" fillId="8" fontId="6" numFmtId="166" xfId="0" applyAlignment="1" applyBorder="1" applyFill="1" applyFont="1" applyNumberFormat="1">
      <alignment horizontal="center" readingOrder="0" shrinkToFit="0" wrapText="0"/>
    </xf>
    <xf borderId="1" fillId="0" fontId="5" numFmtId="165" xfId="0" applyAlignment="1" applyBorder="1" applyFont="1" applyNumberFormat="1">
      <alignment vertical="center"/>
    </xf>
    <xf borderId="1" fillId="8" fontId="5" numFmtId="0" xfId="0" applyAlignment="1" applyBorder="1" applyFill="1" applyFont="1">
      <alignment horizontal="left" readingOrder="0" vertical="center"/>
    </xf>
    <xf borderId="1" fillId="0" fontId="5" numFmtId="168" xfId="0" applyAlignment="1" applyBorder="1" applyFont="1" applyNumberFormat="1">
      <alignment horizontal="left"/>
    </xf>
    <xf borderId="1" fillId="7" fontId="5" numFmtId="0" xfId="0" applyAlignment="1" applyBorder="1" applyFill="1" applyFont="1">
      <alignment horizontal="left" readingOrder="0"/>
    </xf>
    <xf borderId="1" fillId="8" fontId="2" numFmtId="0" xfId="0" applyAlignment="1" applyBorder="1" applyFill="1" applyFont="1">
      <alignment horizontal="center" readingOrder="0" shrinkToFit="0" vertical="center" wrapText="0"/>
    </xf>
    <xf borderId="1" fillId="48" fontId="5" numFmtId="0" xfId="0" applyAlignment="1" applyBorder="1" applyFill="1" applyFont="1">
      <alignment horizontal="left"/>
    </xf>
    <xf borderId="1" fillId="14" fontId="5" numFmtId="0" xfId="0" applyAlignment="1" applyBorder="1" applyFill="1" applyFont="1">
      <alignment horizontal="left" readingOrder="0"/>
    </xf>
    <xf borderId="1" fillId="0" fontId="1" numFmtId="165" xfId="0" applyAlignment="1" applyBorder="1" applyFont="1" applyNumberFormat="1">
      <alignment horizontal="left" shrinkToFit="0" vertical="center" wrapText="0"/>
    </xf>
    <xf borderId="1" fillId="26" fontId="5" numFmtId="0" xfId="0" applyAlignment="1" applyBorder="1" applyFill="1" applyFont="1">
      <alignment horizontal="left" readingOrder="0" shrinkToFit="0" wrapText="1"/>
    </xf>
    <xf borderId="1" fillId="0" fontId="1" numFmtId="165" xfId="0" applyAlignment="1" applyBorder="1" applyFont="1" applyNumberFormat="1">
      <alignment horizontal="left" readingOrder="0" shrinkToFit="0" vertical="center" wrapText="0"/>
    </xf>
    <xf borderId="1" fillId="45" fontId="5" numFmtId="0" xfId="0" applyAlignment="1" applyBorder="1" applyFill="1" applyFont="1">
      <alignment horizontal="center" readingOrder="0" shrinkToFit="0" vertical="center" wrapText="1"/>
    </xf>
    <xf borderId="1" fillId="0" fontId="5" numFmtId="49" xfId="0" applyAlignment="1" applyBorder="1" applyFont="1" applyNumberFormat="1">
      <alignment horizontal="left" shrinkToFit="0" wrapText="0"/>
    </xf>
    <xf borderId="1" fillId="31" fontId="5" numFmtId="0" xfId="0" applyAlignment="1" applyBorder="1" applyFill="1" applyFont="1">
      <alignment horizontal="left" shrinkToFit="0" wrapText="0"/>
    </xf>
    <xf borderId="1" fillId="0" fontId="5" numFmtId="0" xfId="0" applyAlignment="1" applyBorder="1" applyFont="1">
      <alignment horizontal="left" shrinkToFit="0" vertical="center" wrapText="1"/>
    </xf>
    <xf borderId="1" fillId="31" fontId="5" numFmtId="49" xfId="0" applyAlignment="1" applyBorder="1" applyFill="1" applyFont="1" applyNumberFormat="1">
      <alignment horizontal="left" shrinkToFit="0" wrapText="0"/>
    </xf>
    <xf borderId="1" fillId="49" fontId="5" numFmtId="0" xfId="0" applyAlignment="1" applyBorder="1" applyFill="1" applyFont="1">
      <alignment horizontal="left" readingOrder="0"/>
    </xf>
    <xf borderId="1" fillId="0" fontId="14" numFmtId="165" xfId="0" applyAlignment="1" applyBorder="1" applyFont="1" applyNumberFormat="1">
      <alignment horizontal="center" readingOrder="0" vertical="center"/>
    </xf>
    <xf borderId="0" fillId="0" fontId="16" numFmtId="0" xfId="0" applyAlignment="1" applyFont="1">
      <alignment vertical="center"/>
    </xf>
    <xf borderId="1" fillId="37" fontId="5" numFmtId="0" xfId="0" applyAlignment="1" applyBorder="1" applyFill="1" applyFont="1">
      <alignment horizontal="center" vertical="center"/>
    </xf>
    <xf borderId="1" fillId="0" fontId="5" numFmtId="0" xfId="0" applyAlignment="1" applyBorder="1" applyFont="1">
      <alignment horizontal="center" vertical="center"/>
    </xf>
    <xf borderId="1" fillId="14" fontId="5" numFmtId="0" xfId="0" applyAlignment="1" applyBorder="1" applyFill="1" applyFont="1">
      <alignment horizontal="left" vertical="center"/>
    </xf>
    <xf borderId="1" fillId="0" fontId="14" numFmtId="0" xfId="0" applyAlignment="1" applyBorder="1" applyFont="1">
      <alignment readingOrder="0" vertical="center"/>
    </xf>
    <xf borderId="1" fillId="14" fontId="6" numFmtId="0" xfId="0" applyAlignment="1" applyBorder="1" applyFill="1" applyFont="1">
      <alignment horizontal="left" readingOrder="0" shrinkToFit="0" wrapText="0"/>
    </xf>
    <xf borderId="1" fillId="14" fontId="5" numFmtId="0" xfId="0" applyAlignment="1" applyBorder="1" applyFill="1" applyFont="1">
      <alignment horizontal="center" shrinkToFit="0" vertical="center" wrapText="1"/>
    </xf>
    <xf borderId="1" fillId="27" fontId="5" numFmtId="0" xfId="0" applyAlignment="1" applyBorder="1" applyFill="1" applyFont="1">
      <alignment horizontal="center" shrinkToFit="0" vertical="center" wrapText="1"/>
    </xf>
    <xf borderId="1" fillId="0" fontId="12" numFmtId="0" xfId="0" applyAlignment="1" applyBorder="1" applyFont="1">
      <alignment horizontal="left" shrinkToFit="0" wrapText="1"/>
    </xf>
    <xf borderId="1" fillId="0" fontId="5" numFmtId="0" xfId="0" applyAlignment="1" applyBorder="1" applyFont="1">
      <alignment horizontal="left" vertical="center"/>
    </xf>
    <xf borderId="1" fillId="0" fontId="6" numFmtId="0" xfId="0" applyAlignment="1" applyBorder="1" applyFont="1">
      <alignment horizontal="center" shrinkToFit="0" vertical="center" wrapText="1"/>
    </xf>
    <xf borderId="1" fillId="14" fontId="5" numFmtId="0" xfId="0" applyAlignment="1" applyBorder="1" applyFill="1" applyFont="1">
      <alignment horizontal="left" shrinkToFit="0" wrapText="1"/>
    </xf>
    <xf borderId="1" fillId="0" fontId="6" numFmtId="0" xfId="0" applyAlignment="1" applyBorder="1" applyFont="1">
      <alignment horizontal="left" shrinkToFit="0" vertical="center" wrapText="0"/>
    </xf>
    <xf borderId="1" fillId="0" fontId="6" numFmtId="0" xfId="0" applyAlignment="1" applyBorder="1" applyFont="1">
      <alignment horizontal="center" vertical="center"/>
    </xf>
    <xf borderId="1" fillId="50" fontId="5" numFmtId="0" xfId="0" applyAlignment="1" applyBorder="1" applyFill="1" applyFont="1">
      <alignment horizontal="center" shrinkToFit="0" vertical="center" wrapText="1"/>
    </xf>
    <xf borderId="1" fillId="8" fontId="5" numFmtId="0" xfId="0" applyAlignment="1" applyBorder="1" applyFill="1" applyFont="1">
      <alignment horizontal="center" vertical="center"/>
    </xf>
    <xf borderId="1" fillId="3" fontId="5" numFmtId="0" xfId="0" applyAlignment="1" applyBorder="1" applyFill="1" applyFont="1">
      <alignment horizontal="left" shrinkToFit="0" wrapText="0"/>
    </xf>
    <xf borderId="1" fillId="3" fontId="5" numFmtId="0" xfId="0" applyAlignment="1" applyBorder="1" applyFill="1" applyFont="1">
      <alignment horizontal="left" shrinkToFit="0" wrapText="1"/>
    </xf>
    <xf borderId="1" fillId="3" fontId="5" numFmtId="49" xfId="0" applyAlignment="1" applyBorder="1" applyFill="1" applyFont="1" applyNumberFormat="1">
      <alignment horizontal="left" shrinkToFit="0" vertical="top" wrapText="1"/>
    </xf>
    <xf borderId="1" fillId="0" fontId="5" numFmtId="0" xfId="0" applyAlignment="1" applyBorder="1" applyFont="1">
      <alignment readingOrder="0" vertical="center"/>
    </xf>
    <xf borderId="1" fillId="0" fontId="2" numFmtId="0" xfId="0" applyAlignment="1" applyBorder="1" applyFont="1">
      <alignment horizontal="left" shrinkToFit="0" vertical="center" wrapText="0"/>
    </xf>
    <xf borderId="1" fillId="0" fontId="12" numFmtId="0" xfId="0" applyAlignment="1" applyBorder="1" applyFont="1">
      <alignment horizontal="left"/>
    </xf>
    <xf borderId="1" fillId="0" fontId="5" numFmtId="0" xfId="0" applyAlignment="1" applyBorder="1" applyFont="1">
      <alignment horizontal="left" readingOrder="0" shrinkToFit="0" vertical="center" wrapText="0"/>
    </xf>
    <xf borderId="1" fillId="0" fontId="6" numFmtId="168" xfId="0" applyAlignment="1" applyBorder="1" applyFont="1" applyNumberFormat="1">
      <alignment horizontal="center" readingOrder="0"/>
    </xf>
    <xf borderId="1" fillId="31" fontId="5" numFmtId="49" xfId="0" applyAlignment="1" applyBorder="1" applyFill="1" applyFont="1" applyNumberFormat="1">
      <alignment horizontal="left" shrinkToFit="0" wrapText="0"/>
    </xf>
    <xf borderId="1" fillId="28" fontId="5" numFmtId="0" xfId="0" applyAlignment="1" applyBorder="1" applyFill="1" applyFont="1">
      <alignment horizontal="center" readingOrder="0" vertical="center"/>
    </xf>
    <xf borderId="1" fillId="0" fontId="5" numFmtId="49" xfId="0" applyAlignment="1" applyBorder="1" applyFont="1" applyNumberFormat="1">
      <alignment horizontal="left" shrinkToFit="0" wrapText="0"/>
    </xf>
    <xf borderId="1" fillId="0" fontId="7" numFmtId="0" xfId="0" applyAlignment="1" applyBorder="1" applyFont="1">
      <alignment horizontal="left" shrinkToFit="0" wrapText="1"/>
    </xf>
    <xf borderId="1" fillId="0" fontId="7" numFmtId="0" xfId="0" applyAlignment="1" applyBorder="1" applyFont="1">
      <alignment horizontal="left"/>
    </xf>
    <xf borderId="1" fillId="2" fontId="3" numFmtId="0" xfId="0" applyAlignment="1" applyBorder="1" applyFill="1" applyFont="1">
      <alignment horizontal="center" readingOrder="0" shrinkToFit="0" wrapText="0"/>
    </xf>
    <xf borderId="1" fillId="0" fontId="6" numFmtId="165" xfId="0" applyAlignment="1" applyBorder="1" applyFont="1" applyNumberFormat="1">
      <alignment horizontal="left" readingOrder="0" shrinkToFit="0" vertical="center" wrapText="0"/>
    </xf>
    <xf borderId="1" fillId="51" fontId="1" numFmtId="0" xfId="0" applyAlignment="1" applyBorder="1" applyFill="1" applyFont="1">
      <alignment horizontal="center" readingOrder="0" shrinkToFit="0" vertical="bottom" wrapText="0"/>
    </xf>
    <xf borderId="1" fillId="51" fontId="1" numFmtId="0" xfId="0" applyAlignment="1" applyBorder="1" applyFill="1" applyFont="1">
      <alignment readingOrder="0" shrinkToFit="0" vertical="bottom" wrapText="0"/>
    </xf>
    <xf borderId="1" fillId="0" fontId="14" numFmtId="166" xfId="0" applyAlignment="1" applyBorder="1" applyFont="1" applyNumberFormat="1">
      <alignment vertical="center"/>
    </xf>
    <xf borderId="1" fillId="38" fontId="5" numFmtId="0" xfId="0" applyAlignment="1" applyBorder="1" applyFill="1" applyFont="1">
      <alignment horizontal="left" shrinkToFit="0" wrapText="1"/>
    </xf>
    <xf borderId="1" fillId="0" fontId="6" numFmtId="168" xfId="0" applyAlignment="1" applyBorder="1" applyFont="1" applyNumberFormat="1">
      <alignment horizontal="left" readingOrder="0" shrinkToFit="0" vertical="center" wrapText="0"/>
    </xf>
    <xf borderId="1" fillId="0" fontId="5" numFmtId="169" xfId="0" applyAlignment="1" applyBorder="1" applyFont="1" applyNumberFormat="1">
      <alignment horizontal="left" readingOrder="0"/>
    </xf>
    <xf borderId="1" fillId="0" fontId="6" numFmtId="0" xfId="0" applyAlignment="1" applyBorder="1" applyFont="1">
      <alignment horizontal="left" readingOrder="0" shrinkToFit="0" wrapText="0"/>
    </xf>
    <xf borderId="1" fillId="47" fontId="6" numFmtId="0" xfId="0" applyAlignment="1" applyBorder="1" applyFill="1" applyFont="1">
      <alignment horizontal="center" shrinkToFit="0" vertical="center" wrapText="0"/>
    </xf>
    <xf borderId="1" fillId="38" fontId="5" numFmtId="0" xfId="0" applyAlignment="1" applyBorder="1" applyFill="1" applyFont="1">
      <alignment horizontal="center" vertical="center"/>
    </xf>
    <xf borderId="1" fillId="14" fontId="5" numFmtId="0" xfId="0" applyAlignment="1" applyBorder="1" applyFill="1" applyFont="1">
      <alignment horizontal="center" shrinkToFit="0" vertical="center" wrapText="1"/>
    </xf>
    <xf borderId="1" fillId="31" fontId="5" numFmtId="0" xfId="0" applyAlignment="1" applyBorder="1" applyFill="1" applyFont="1">
      <alignment horizontal="left" shrinkToFit="0" wrapText="0"/>
    </xf>
    <xf borderId="1" fillId="23" fontId="5" numFmtId="0" xfId="0" applyAlignment="1" applyBorder="1" applyFill="1" applyFont="1">
      <alignment horizontal="center" vertical="center"/>
    </xf>
    <xf borderId="1" fillId="13" fontId="5" numFmtId="0" xfId="0" applyAlignment="1" applyBorder="1" applyFill="1" applyFont="1">
      <alignment horizontal="left" readingOrder="0" shrinkToFit="0" vertical="center" wrapText="1"/>
    </xf>
    <xf borderId="1" fillId="2" fontId="5" numFmtId="0" xfId="0" applyAlignment="1" applyBorder="1" applyFill="1" applyFont="1">
      <alignment horizontal="left" readingOrder="0"/>
    </xf>
    <xf borderId="1" fillId="47" fontId="6" numFmtId="0" xfId="0" applyAlignment="1" applyBorder="1" applyFill="1" applyFont="1">
      <alignment horizontal="center" vertical="center"/>
    </xf>
    <xf borderId="1" fillId="38" fontId="5" numFmtId="0" xfId="0" applyAlignment="1" applyBorder="1" applyFill="1" applyFont="1">
      <alignment horizontal="center" vertical="center"/>
    </xf>
    <xf borderId="1" fillId="38" fontId="5" numFmtId="0" xfId="0" applyAlignment="1" applyBorder="1" applyFill="1" applyFont="1">
      <alignment horizontal="center" shrinkToFit="0" vertical="center" wrapText="1"/>
    </xf>
    <xf borderId="1" fillId="17" fontId="5" numFmtId="0" xfId="0" applyAlignment="1" applyBorder="1" applyFill="1" applyFont="1">
      <alignment horizontal="left" readingOrder="0"/>
    </xf>
    <xf borderId="1" fillId="36" fontId="5" numFmtId="0" xfId="0" applyAlignment="1" applyBorder="1" applyFill="1" applyFont="1">
      <alignment horizontal="left" shrinkToFit="0" wrapText="0"/>
    </xf>
    <xf borderId="1" fillId="0" fontId="6" numFmtId="0" xfId="0" applyAlignment="1" applyBorder="1" applyFont="1">
      <alignment horizontal="center" readingOrder="0" shrinkToFit="0" vertical="center" wrapText="0"/>
    </xf>
    <xf borderId="1" fillId="47" fontId="6" numFmtId="0" xfId="0" applyAlignment="1" applyBorder="1" applyFill="1" applyFont="1">
      <alignment horizontal="center" readingOrder="0" shrinkToFit="0" vertical="center" wrapText="0"/>
    </xf>
    <xf borderId="1" fillId="38" fontId="5" numFmtId="0" xfId="0" applyAlignment="1" applyBorder="1" applyFill="1" applyFont="1">
      <alignment vertical="center"/>
    </xf>
    <xf borderId="1" fillId="0" fontId="6" numFmtId="166" xfId="0" applyAlignment="1" applyBorder="1" applyFont="1" applyNumberFormat="1">
      <alignment horizontal="left" readingOrder="0" shrinkToFit="0" wrapText="0"/>
    </xf>
    <xf borderId="1" fillId="14" fontId="6" numFmtId="0" xfId="0" applyAlignment="1" applyBorder="1" applyFill="1" applyFont="1">
      <alignment horizontal="right" readingOrder="0" shrinkToFit="0" wrapText="0"/>
    </xf>
    <xf borderId="1" fillId="0" fontId="6" numFmtId="0" xfId="0" applyAlignment="1" applyBorder="1" applyFont="1">
      <alignment horizontal="right" readingOrder="0" shrinkToFit="0" wrapText="0"/>
    </xf>
    <xf borderId="1" fillId="14" fontId="5" numFmtId="0" xfId="0" applyAlignment="1" applyBorder="1" applyFill="1" applyFont="1">
      <alignment horizontal="left" shrinkToFit="0" vertical="center" wrapText="1"/>
    </xf>
    <xf borderId="1" fillId="38" fontId="5" numFmtId="0" xfId="0" applyAlignment="1" applyBorder="1" applyFill="1" applyFont="1">
      <alignment horizontal="left" readingOrder="0" shrinkToFit="0" vertical="center" wrapText="1"/>
    </xf>
    <xf borderId="1" fillId="0" fontId="6" numFmtId="0" xfId="0" applyAlignment="1" applyBorder="1" applyFont="1">
      <alignment horizontal="center" shrinkToFit="0" vertical="center" wrapText="0"/>
    </xf>
    <xf borderId="1" fillId="52" fontId="5" numFmtId="0" xfId="0" applyAlignment="1" applyBorder="1" applyFill="1" applyFont="1">
      <alignment horizontal="left" shrinkToFit="0" vertical="center" wrapText="1"/>
    </xf>
    <xf borderId="1" fillId="52" fontId="5" numFmtId="0" xfId="0" applyAlignment="1" applyBorder="1" applyFill="1" applyFont="1">
      <alignment horizontal="left" shrinkToFit="0" wrapText="1"/>
    </xf>
    <xf borderId="1" fillId="52" fontId="5" numFmtId="0" xfId="0" applyAlignment="1" applyBorder="1" applyFill="1" applyFont="1">
      <alignment horizontal="left"/>
    </xf>
    <xf borderId="0" fillId="0" fontId="15" numFmtId="0" xfId="0" applyFont="1"/>
    <xf borderId="1" fillId="0" fontId="6" numFmtId="166" xfId="0" applyAlignment="1" applyBorder="1" applyFont="1" applyNumberFormat="1">
      <alignment horizontal="left" shrinkToFit="0" wrapText="0"/>
    </xf>
    <xf borderId="1" fillId="0" fontId="5" numFmtId="167" xfId="0" applyAlignment="1" applyBorder="1" applyFont="1" applyNumberFormat="1">
      <alignment horizontal="left" vertical="center"/>
    </xf>
    <xf borderId="1" fillId="0" fontId="5" numFmtId="166" xfId="0" applyAlignment="1" applyBorder="1" applyFont="1" applyNumberFormat="1">
      <alignment horizontal="center" readingOrder="0"/>
    </xf>
    <xf borderId="1" fillId="45" fontId="6" numFmtId="0" xfId="0" applyAlignment="1" applyBorder="1" applyFill="1" applyFont="1">
      <alignment horizontal="center" readingOrder="0" vertical="center"/>
    </xf>
    <xf borderId="1" fillId="3" fontId="6" numFmtId="166" xfId="0" applyAlignment="1" applyBorder="1" applyFill="1" applyFont="1" applyNumberFormat="1">
      <alignment horizontal="center" readingOrder="0" shrinkToFit="0" wrapText="0"/>
    </xf>
    <xf borderId="1" fillId="3" fontId="6" numFmtId="0" xfId="0" applyAlignment="1" applyBorder="1" applyFill="1" applyFont="1">
      <alignment horizontal="center" readingOrder="0" shrinkToFit="0" wrapText="0"/>
    </xf>
    <xf borderId="1" fillId="0" fontId="6" numFmtId="0" xfId="0" applyAlignment="1" applyBorder="1" applyFont="1">
      <alignment horizontal="center" vertical="center"/>
    </xf>
    <xf borderId="1" fillId="37" fontId="5" numFmtId="0" xfId="0" applyAlignment="1" applyBorder="1" applyFill="1" applyFont="1">
      <alignment horizontal="center" vertical="center"/>
    </xf>
    <xf borderId="1" fillId="14" fontId="6" numFmtId="0" xfId="0" applyAlignment="1" applyBorder="1" applyFill="1" applyFont="1">
      <alignment horizontal="center" readingOrder="0" shrinkToFit="0" wrapText="0"/>
    </xf>
    <xf borderId="1" fillId="8" fontId="6" numFmtId="0" xfId="0" applyAlignment="1" applyBorder="1" applyFill="1" applyFont="1">
      <alignment horizontal="center" readingOrder="0" shrinkToFit="0" vertical="center" wrapText="0"/>
    </xf>
    <xf borderId="1" fillId="53" fontId="5" numFmtId="0" xfId="0" applyAlignment="1" applyBorder="1" applyFill="1" applyFont="1">
      <alignment horizontal="center" readingOrder="0" shrinkToFit="0" vertical="center" wrapText="1"/>
    </xf>
    <xf borderId="1" fillId="0" fontId="22" numFmtId="0" xfId="0" applyAlignment="1" applyBorder="1" applyFont="1">
      <alignment horizontal="left"/>
    </xf>
    <xf borderId="1" fillId="0" fontId="5" numFmtId="49" xfId="0" applyAlignment="1" applyBorder="1" applyFont="1" applyNumberFormat="1">
      <alignment horizontal="left" shrinkToFit="0" vertical="center" wrapText="0"/>
    </xf>
    <xf borderId="1" fillId="0" fontId="22" numFmtId="165" xfId="0" applyAlignment="1" applyBorder="1" applyFont="1" applyNumberFormat="1">
      <alignment horizontal="left"/>
    </xf>
    <xf borderId="1" fillId="0" fontId="22" numFmtId="166" xfId="0" applyAlignment="1" applyBorder="1" applyFont="1" applyNumberFormat="1">
      <alignment horizontal="left"/>
    </xf>
    <xf borderId="1" fillId="3" fontId="20" numFmtId="0" xfId="0" applyAlignment="1" applyBorder="1" applyFill="1" applyFont="1">
      <alignment horizontal="center" readingOrder="0" vertical="center"/>
    </xf>
    <xf borderId="1" fillId="0" fontId="5" numFmtId="0" xfId="0" applyAlignment="1" applyBorder="1" applyFont="1">
      <alignment horizontal="center" shrinkToFit="0" wrapText="1"/>
    </xf>
    <xf borderId="1" fillId="0" fontId="22" numFmtId="167" xfId="0" applyAlignment="1" applyBorder="1" applyFont="1" applyNumberFormat="1">
      <alignment horizontal="left"/>
    </xf>
    <xf borderId="0" fillId="0" fontId="22" numFmtId="0" xfId="0" applyAlignment="1" applyFont="1">
      <alignment horizontal="left"/>
    </xf>
    <xf borderId="1" fillId="3" fontId="5" numFmtId="0" xfId="0" applyAlignment="1" applyBorder="1" applyFill="1" applyFont="1">
      <alignment horizontal="left"/>
    </xf>
    <xf borderId="1" fillId="0" fontId="22" numFmtId="49" xfId="0" applyAlignment="1" applyBorder="1" applyFont="1" applyNumberFormat="1">
      <alignment horizontal="left"/>
    </xf>
    <xf borderId="1" fillId="54" fontId="5" numFmtId="0" xfId="0" applyAlignment="1" applyBorder="1" applyFill="1" applyFont="1">
      <alignment horizontal="center" vertical="center"/>
    </xf>
    <xf borderId="1" fillId="13" fontId="5" numFmtId="0" xfId="0" applyAlignment="1" applyBorder="1" applyFill="1" applyFont="1">
      <alignment horizontal="left" shrinkToFit="0" wrapText="1"/>
    </xf>
    <xf borderId="1" fillId="54" fontId="5" numFmtId="0" xfId="0" applyAlignment="1" applyBorder="1" applyFill="1" applyFont="1">
      <alignment horizontal="center" readingOrder="0" vertical="center"/>
    </xf>
    <xf borderId="1" fillId="55" fontId="6" numFmtId="0" xfId="0" applyAlignment="1" applyBorder="1" applyFill="1" applyFont="1">
      <alignment horizontal="center" readingOrder="0" shrinkToFit="0" vertical="center" wrapText="0"/>
    </xf>
    <xf borderId="1" fillId="0" fontId="22" numFmtId="14" xfId="0" applyAlignment="1" applyBorder="1" applyFont="1" applyNumberFormat="1">
      <alignment horizontal="left"/>
    </xf>
    <xf borderId="1" fillId="13" fontId="5" numFmtId="0" xfId="0" applyAlignment="1" applyBorder="1" applyFill="1" applyFont="1">
      <alignment horizontal="left" vertical="bottom"/>
    </xf>
    <xf borderId="1" fillId="18" fontId="6" numFmtId="0" xfId="0" applyAlignment="1" applyBorder="1" applyFill="1" applyFont="1">
      <alignment horizontal="left" readingOrder="0" shrinkToFit="0" wrapText="0"/>
    </xf>
    <xf borderId="1" fillId="36" fontId="5" numFmtId="0" xfId="0" applyAlignment="1" applyBorder="1" applyFill="1" applyFont="1">
      <alignment horizontal="left"/>
    </xf>
    <xf borderId="1" fillId="0" fontId="20" numFmtId="0" xfId="0" applyAlignment="1" applyBorder="1" applyFont="1">
      <alignment horizontal="center" readingOrder="0" shrinkToFit="0" vertical="center" wrapText="1"/>
    </xf>
    <xf borderId="1" fillId="39" fontId="5" numFmtId="0" xfId="0" applyAlignment="1" applyBorder="1" applyFill="1" applyFont="1">
      <alignment horizontal="left"/>
    </xf>
    <xf borderId="1" fillId="0" fontId="5" numFmtId="0" xfId="0" applyAlignment="1" applyBorder="1" applyFont="1">
      <alignment horizontal="left" shrinkToFit="0" vertical="center" wrapText="0"/>
    </xf>
    <xf borderId="1" fillId="0" fontId="5" numFmtId="166" xfId="0" applyAlignment="1" applyBorder="1" applyFont="1" applyNumberFormat="1">
      <alignment horizontal="center" readingOrder="0" vertical="center"/>
    </xf>
    <xf borderId="1" fillId="0" fontId="5" numFmtId="0" xfId="0" applyAlignment="1" applyBorder="1" applyFont="1">
      <alignment horizontal="left" readingOrder="0" shrinkToFit="0" vertical="center" wrapText="0"/>
    </xf>
    <xf borderId="1" fillId="0" fontId="6" numFmtId="0" xfId="0" applyAlignment="1" applyBorder="1" applyFont="1">
      <alignment horizontal="center" readingOrder="0" shrinkToFit="0" vertical="bottom" wrapText="0"/>
    </xf>
    <xf borderId="1" fillId="0" fontId="6" numFmtId="0" xfId="0" applyAlignment="1" applyBorder="1" applyFont="1">
      <alignment readingOrder="0" shrinkToFit="0" vertical="bottom" wrapText="1"/>
    </xf>
    <xf borderId="1" fillId="0" fontId="6" numFmtId="0" xfId="0" applyAlignment="1" applyBorder="1" applyFont="1">
      <alignment readingOrder="0" shrinkToFit="0" vertical="center" wrapText="1"/>
    </xf>
    <xf borderId="1" fillId="45" fontId="6" numFmtId="0" xfId="0" applyAlignment="1" applyBorder="1" applyFill="1" applyFont="1">
      <alignment horizontal="center" readingOrder="0" shrinkToFit="0" vertical="center" wrapText="0"/>
    </xf>
    <xf borderId="1" fillId="0" fontId="5" numFmtId="0" xfId="0" applyAlignment="1" applyBorder="1" applyFont="1">
      <alignment horizontal="left" shrinkToFit="0" vertical="center" wrapText="0"/>
    </xf>
    <xf borderId="1" fillId="31" fontId="5" numFmtId="0" xfId="0" applyAlignment="1" applyBorder="1" applyFill="1" applyFont="1">
      <alignment horizontal="center" readingOrder="0" vertical="center"/>
    </xf>
    <xf borderId="1" fillId="47" fontId="5" numFmtId="0" xfId="0" applyAlignment="1" applyBorder="1" applyFill="1" applyFont="1">
      <alignment horizontal="left" shrinkToFit="0" wrapText="0"/>
    </xf>
    <xf borderId="1" fillId="47" fontId="5" numFmtId="0" xfId="0" applyAlignment="1" applyBorder="1" applyFill="1" applyFont="1">
      <alignment horizontal="left"/>
    </xf>
    <xf borderId="1" fillId="18" fontId="5" numFmtId="0" xfId="0" applyAlignment="1" applyBorder="1" applyFill="1" applyFont="1">
      <alignment horizontal="left"/>
    </xf>
    <xf borderId="1" fillId="24" fontId="5" numFmtId="0" xfId="0" applyAlignment="1" applyBorder="1" applyFill="1" applyFont="1">
      <alignment horizontal="left" readingOrder="0"/>
    </xf>
    <xf borderId="1" fillId="8" fontId="5" numFmtId="0" xfId="0" applyAlignment="1" applyBorder="1" applyFill="1" applyFont="1">
      <alignment horizontal="left" shrinkToFit="0" wrapText="1"/>
    </xf>
    <xf borderId="1" fillId="3" fontId="5" numFmtId="0" xfId="0" applyAlignment="1" applyBorder="1" applyFill="1" applyFont="1">
      <alignment horizontal="left" readingOrder="0" vertical="center"/>
    </xf>
    <xf borderId="1" fillId="38" fontId="6" numFmtId="0" xfId="0" applyAlignment="1" applyBorder="1" applyFill="1" applyFont="1">
      <alignment horizontal="left" readingOrder="0" shrinkToFit="0" wrapText="0"/>
    </xf>
    <xf borderId="1" fillId="38" fontId="5" numFmtId="0" xfId="0" applyAlignment="1" applyBorder="1" applyFill="1" applyFont="1">
      <alignment horizontal="left" readingOrder="0"/>
    </xf>
    <xf borderId="1" fillId="0" fontId="5" numFmtId="168" xfId="0" applyAlignment="1" applyBorder="1" applyFont="1" applyNumberFormat="1">
      <alignment horizontal="center" vertical="center"/>
    </xf>
    <xf borderId="1" fillId="17" fontId="5" numFmtId="0" xfId="0" applyAlignment="1" applyBorder="1" applyFill="1" applyFont="1">
      <alignment horizontal="center" readingOrder="0"/>
    </xf>
    <xf borderId="1" fillId="17" fontId="5" numFmtId="0" xfId="0" applyAlignment="1" applyBorder="1" applyFill="1" applyFont="1">
      <alignment horizontal="left" readingOrder="0" shrinkToFit="0" wrapText="0"/>
    </xf>
    <xf borderId="1" fillId="17" fontId="5" numFmtId="0" xfId="0" applyAlignment="1" applyBorder="1" applyFill="1" applyFont="1">
      <alignment horizontal="left" shrinkToFit="0" vertical="center" wrapText="1"/>
    </xf>
    <xf borderId="1" fillId="17" fontId="5" numFmtId="0" xfId="0" applyAlignment="1" applyBorder="1" applyFill="1" applyFont="1">
      <alignment horizontal="center"/>
    </xf>
    <xf borderId="1" fillId="17" fontId="5" numFmtId="0" xfId="0" applyAlignment="1" applyBorder="1" applyFill="1" applyFont="1">
      <alignment horizontal="center" readingOrder="0" shrinkToFit="0" wrapText="1"/>
    </xf>
    <xf borderId="1" fillId="17" fontId="5" numFmtId="166" xfId="0" applyAlignment="1" applyBorder="1" applyFill="1" applyFont="1" applyNumberFormat="1">
      <alignment horizontal="center" readingOrder="0"/>
    </xf>
    <xf borderId="1" fillId="17" fontId="6" numFmtId="0" xfId="0" applyAlignment="1" applyBorder="1" applyFill="1" applyFont="1">
      <alignment horizontal="center" readingOrder="0" shrinkToFit="0" wrapText="1"/>
    </xf>
    <xf borderId="1" fillId="17" fontId="5" numFmtId="0" xfId="0" applyAlignment="1" applyBorder="1" applyFill="1" applyFont="1">
      <alignment horizontal="center"/>
    </xf>
    <xf borderId="0" fillId="17" fontId="5" numFmtId="0" xfId="0" applyAlignment="1" applyFill="1" applyFont="1">
      <alignment horizontal="center"/>
    </xf>
    <xf borderId="1" fillId="0" fontId="5" numFmtId="0" xfId="0" applyAlignment="1" applyBorder="1" applyFont="1">
      <alignment horizontal="center" shrinkToFit="0" vertical="center" wrapText="0"/>
    </xf>
    <xf borderId="1" fillId="17" fontId="6" numFmtId="0" xfId="0" applyAlignment="1" applyBorder="1" applyFill="1" applyFont="1">
      <alignment horizontal="left" readingOrder="0"/>
    </xf>
    <xf borderId="1" fillId="17" fontId="5" numFmtId="0" xfId="0" applyAlignment="1" applyBorder="1" applyFill="1" applyFont="1">
      <alignment horizontal="center" shrinkToFit="0" wrapText="1"/>
    </xf>
    <xf borderId="1" fillId="0" fontId="2" numFmtId="170" xfId="0" applyAlignment="1" applyBorder="1" applyFont="1" applyNumberFormat="1">
      <alignment horizontal="center" readingOrder="0" vertical="center"/>
    </xf>
    <xf borderId="1" fillId="13" fontId="5" numFmtId="0" xfId="0" applyAlignment="1" applyBorder="1" applyFill="1" applyFont="1">
      <alignment horizontal="center" readingOrder="0"/>
    </xf>
    <xf borderId="1" fillId="13" fontId="5" numFmtId="0" xfId="0" applyAlignment="1" applyBorder="1" applyFill="1" applyFont="1">
      <alignment horizontal="left" readingOrder="0" shrinkToFit="0" wrapText="0"/>
    </xf>
    <xf borderId="1" fillId="13" fontId="5" numFmtId="0" xfId="0" applyAlignment="1" applyBorder="1" applyFill="1" applyFont="1">
      <alignment horizontal="left" readingOrder="0" shrinkToFit="0" vertical="center" wrapText="0"/>
    </xf>
    <xf borderId="1" fillId="13" fontId="5" numFmtId="0" xfId="0" applyAlignment="1" applyBorder="1" applyFill="1" applyFont="1">
      <alignment horizontal="center" shrinkToFit="0" wrapText="1"/>
    </xf>
    <xf borderId="1" fillId="13" fontId="5" numFmtId="0" xfId="0" applyAlignment="1" applyBorder="1" applyFill="1" applyFont="1">
      <alignment horizontal="center"/>
    </xf>
    <xf borderId="1" fillId="13" fontId="5" numFmtId="166" xfId="0" applyAlignment="1" applyBorder="1" applyFill="1" applyFont="1" applyNumberFormat="1">
      <alignment horizontal="center" readingOrder="0"/>
    </xf>
    <xf borderId="1" fillId="13" fontId="6" numFmtId="0" xfId="0" applyAlignment="1" applyBorder="1" applyFill="1" applyFont="1">
      <alignment horizontal="center" readingOrder="0" shrinkToFit="0" wrapText="1"/>
    </xf>
    <xf borderId="1" fillId="5" fontId="5" numFmtId="0" xfId="0" applyAlignment="1" applyBorder="1" applyFill="1" applyFont="1">
      <alignment horizontal="left" readingOrder="0" shrinkToFit="0" wrapText="0"/>
    </xf>
    <xf borderId="1" fillId="8" fontId="5" numFmtId="0" xfId="0" applyAlignment="1" applyBorder="1" applyFill="1" applyFont="1">
      <alignment horizontal="center" readingOrder="0"/>
    </xf>
    <xf borderId="1" fillId="13" fontId="5" numFmtId="0" xfId="0" applyAlignment="1" applyBorder="1" applyFill="1" applyFont="1">
      <alignment horizontal="center" readingOrder="0" shrinkToFit="0" wrapText="1"/>
    </xf>
    <xf borderId="1" fillId="13" fontId="5" numFmtId="0" xfId="0" applyAlignment="1" applyBorder="1" applyFill="1" applyFont="1">
      <alignment horizontal="center"/>
    </xf>
    <xf borderId="0" fillId="13" fontId="5" numFmtId="0" xfId="0" applyAlignment="1" applyFill="1" applyFont="1">
      <alignment horizontal="center"/>
    </xf>
    <xf borderId="1" fillId="0" fontId="5" numFmtId="165" xfId="0" applyAlignment="1" applyBorder="1" applyFont="1" applyNumberFormat="1">
      <alignment horizontal="left" vertical="center"/>
    </xf>
    <xf borderId="1" fillId="7" fontId="5" numFmtId="0" xfId="0" applyAlignment="1" applyBorder="1" applyFill="1" applyFont="1">
      <alignment horizontal="center" readingOrder="0"/>
    </xf>
    <xf borderId="1" fillId="7" fontId="5" numFmtId="0" xfId="0" applyAlignment="1" applyBorder="1" applyFill="1" applyFont="1">
      <alignment horizontal="left" readingOrder="0" shrinkToFit="0" wrapText="0"/>
    </xf>
    <xf borderId="1" fillId="7" fontId="5" numFmtId="0" xfId="0" applyAlignment="1" applyBorder="1" applyFill="1" applyFont="1">
      <alignment horizontal="left" readingOrder="0" shrinkToFit="0" vertical="center" wrapText="0"/>
    </xf>
    <xf borderId="1" fillId="7" fontId="5" numFmtId="0" xfId="0" applyAlignment="1" applyBorder="1" applyFill="1" applyFont="1">
      <alignment horizontal="center" shrinkToFit="0" wrapText="1"/>
    </xf>
    <xf borderId="1" fillId="7" fontId="5" numFmtId="0" xfId="0" applyAlignment="1" applyBorder="1" applyFill="1" applyFont="1">
      <alignment horizontal="center"/>
    </xf>
    <xf borderId="1" fillId="7" fontId="5" numFmtId="166" xfId="0" applyAlignment="1" applyBorder="1" applyFill="1" applyFont="1" applyNumberFormat="1">
      <alignment horizontal="center" readingOrder="0"/>
    </xf>
    <xf borderId="1" fillId="18" fontId="5" numFmtId="0" xfId="0" applyAlignment="1" applyBorder="1" applyFill="1" applyFont="1">
      <alignment horizontal="left" shrinkToFit="0" wrapText="1"/>
    </xf>
    <xf borderId="1" fillId="7" fontId="6" numFmtId="0" xfId="0" applyAlignment="1" applyBorder="1" applyFill="1" applyFont="1">
      <alignment horizontal="center" readingOrder="0" shrinkToFit="0" wrapText="1"/>
    </xf>
    <xf borderId="1" fillId="0" fontId="5" numFmtId="165" xfId="0" applyAlignment="1" applyBorder="1" applyFont="1" applyNumberFormat="1">
      <alignment horizontal="center" readingOrder="0" shrinkToFit="0" vertical="center" wrapText="0"/>
    </xf>
    <xf borderId="1" fillId="7" fontId="5" numFmtId="0" xfId="0" applyAlignment="1" applyBorder="1" applyFill="1" applyFont="1">
      <alignment horizontal="center" readingOrder="0" shrinkToFit="0" wrapText="1"/>
    </xf>
    <xf borderId="0" fillId="7" fontId="5" numFmtId="0" xfId="0" applyAlignment="1" applyFill="1" applyFont="1">
      <alignment horizontal="center"/>
    </xf>
    <xf borderId="1" fillId="0" fontId="22" numFmtId="0" xfId="0" applyAlignment="1" applyBorder="1" applyFont="1">
      <alignment horizontal="left" vertical="top"/>
    </xf>
    <xf borderId="1" fillId="0" fontId="5" numFmtId="168" xfId="0" applyAlignment="1" applyBorder="1" applyFont="1" applyNumberFormat="1">
      <alignment horizontal="left" shrinkToFit="0" wrapText="0"/>
    </xf>
    <xf borderId="1" fillId="48" fontId="5" numFmtId="0" xfId="0" applyAlignment="1" applyBorder="1" applyFill="1" applyFont="1">
      <alignment horizontal="left"/>
    </xf>
    <xf borderId="1" fillId="36" fontId="5" numFmtId="0" xfId="0" applyAlignment="1" applyBorder="1" applyFill="1" applyFont="1">
      <alignment horizontal="center" readingOrder="0"/>
    </xf>
    <xf borderId="1" fillId="36" fontId="5" numFmtId="0" xfId="0" applyAlignment="1" applyBorder="1" applyFill="1" applyFont="1">
      <alignment horizontal="left" readingOrder="0" shrinkToFit="0" wrapText="0"/>
    </xf>
    <xf borderId="1" fillId="36" fontId="5" numFmtId="0" xfId="0" applyAlignment="1" applyBorder="1" applyFill="1" applyFont="1">
      <alignment horizontal="left" readingOrder="0" shrinkToFit="0" vertical="center" wrapText="0"/>
    </xf>
    <xf borderId="1" fillId="36" fontId="5" numFmtId="0" xfId="0" applyAlignment="1" applyBorder="1" applyFill="1" applyFont="1">
      <alignment horizontal="center" shrinkToFit="0" wrapText="1"/>
    </xf>
    <xf borderId="1" fillId="0" fontId="10" numFmtId="0" xfId="0" applyAlignment="1" applyBorder="1" applyFont="1">
      <alignment horizontal="center" readingOrder="0" shrinkToFit="0" vertical="center" wrapText="0"/>
    </xf>
    <xf borderId="1" fillId="36" fontId="5" numFmtId="0" xfId="0" applyAlignment="1" applyBorder="1" applyFill="1" applyFont="1">
      <alignment horizontal="center"/>
    </xf>
    <xf borderId="1" fillId="36" fontId="5" numFmtId="166" xfId="0" applyAlignment="1" applyBorder="1" applyFill="1" applyFont="1" applyNumberFormat="1">
      <alignment horizontal="center" readingOrder="0"/>
    </xf>
    <xf borderId="1" fillId="36" fontId="6" numFmtId="0" xfId="0" applyAlignment="1" applyBorder="1" applyFill="1" applyFont="1">
      <alignment horizontal="center" readingOrder="0" shrinkToFit="0" wrapText="1"/>
    </xf>
    <xf borderId="1" fillId="36" fontId="5" numFmtId="0" xfId="0" applyAlignment="1" applyBorder="1" applyFill="1" applyFont="1">
      <alignment horizontal="center" readingOrder="0" shrinkToFit="0" wrapText="1"/>
    </xf>
    <xf borderId="1" fillId="36" fontId="5" numFmtId="0" xfId="0" applyAlignment="1" applyBorder="1" applyFill="1" applyFont="1">
      <alignment horizontal="center"/>
    </xf>
    <xf borderId="0" fillId="36" fontId="5" numFmtId="0" xfId="0" applyAlignment="1" applyFill="1" applyFont="1">
      <alignment horizontal="center"/>
    </xf>
    <xf borderId="1" fillId="13" fontId="5" numFmtId="49" xfId="0" applyAlignment="1" applyBorder="1" applyFill="1" applyFont="1" applyNumberFormat="1">
      <alignment horizontal="left" shrinkToFit="0" vertical="center" wrapText="1"/>
    </xf>
    <xf borderId="1" fillId="13" fontId="6" numFmtId="0" xfId="0" applyAlignment="1" applyBorder="1" applyFill="1" applyFont="1">
      <alignment horizontal="center" readingOrder="0" shrinkToFit="0" vertical="center" wrapText="1"/>
    </xf>
    <xf borderId="1" fillId="13" fontId="5" numFmtId="166" xfId="0" applyAlignment="1" applyBorder="1" applyFill="1" applyFont="1" applyNumberFormat="1">
      <alignment horizontal="center"/>
    </xf>
    <xf borderId="1" fillId="8" fontId="5" numFmtId="166" xfId="0" applyAlignment="1" applyBorder="1" applyFill="1" applyFont="1" applyNumberFormat="1">
      <alignment horizontal="left"/>
    </xf>
    <xf borderId="1" fillId="3" fontId="5" numFmtId="0" xfId="0" applyAlignment="1" applyBorder="1" applyFill="1" applyFont="1">
      <alignment horizontal="center" readingOrder="0" shrinkToFit="0" vertical="center" wrapText="1"/>
    </xf>
    <xf borderId="1" fillId="7" fontId="6" numFmtId="0" xfId="0" applyAlignment="1" applyBorder="1" applyFill="1" applyFont="1">
      <alignment horizontal="left" readingOrder="0"/>
    </xf>
    <xf borderId="1" fillId="7" fontId="5" numFmtId="0" xfId="0" applyAlignment="1" applyBorder="1" applyFill="1" applyFont="1">
      <alignment horizontal="center"/>
    </xf>
    <xf borderId="1" fillId="26" fontId="5" numFmtId="0" xfId="0" applyAlignment="1" applyBorder="1" applyFill="1" applyFont="1">
      <alignment horizontal="left" shrinkToFit="0" wrapText="1"/>
    </xf>
    <xf borderId="1" fillId="17" fontId="6" numFmtId="0" xfId="0" applyAlignment="1" applyBorder="1" applyFill="1" applyFont="1">
      <alignment horizontal="center" readingOrder="0" shrinkToFit="0" wrapText="0"/>
    </xf>
    <xf borderId="1" fillId="0" fontId="6" numFmtId="168" xfId="0" applyAlignment="1" applyBorder="1" applyFont="1" applyNumberFormat="1">
      <alignment horizontal="center" readingOrder="0" shrinkToFit="0" wrapText="0"/>
    </xf>
    <xf borderId="1" fillId="13" fontId="6" numFmtId="0" xfId="0" applyAlignment="1" applyBorder="1" applyFill="1" applyFont="1">
      <alignment horizontal="left" readingOrder="0"/>
    </xf>
    <xf borderId="1" fillId="0" fontId="5" numFmtId="165" xfId="0" applyAlignment="1" applyBorder="1" applyFont="1" applyNumberFormat="1">
      <alignment horizontal="left" readingOrder="0" vertical="center"/>
    </xf>
    <xf borderId="1" fillId="8" fontId="20" numFmtId="0" xfId="0" applyAlignment="1" applyBorder="1" applyFill="1" applyFont="1">
      <alignment horizontal="center" readingOrder="0" vertical="center"/>
    </xf>
    <xf borderId="1" fillId="56" fontId="5" numFmtId="0" xfId="0" applyAlignment="1" applyBorder="1" applyFill="1" applyFont="1">
      <alignment horizontal="center" readingOrder="0" shrinkToFit="0" vertical="center" wrapText="1"/>
    </xf>
    <xf borderId="1" fillId="17" fontId="5" numFmtId="165" xfId="0" applyAlignment="1" applyBorder="1" applyFill="1" applyFont="1" applyNumberFormat="1">
      <alignment horizontal="center" readingOrder="0"/>
    </xf>
    <xf borderId="1" fillId="47" fontId="5" numFmtId="0" xfId="0" applyAlignment="1" applyBorder="1" applyFill="1" applyFont="1">
      <alignment horizontal="left" shrinkToFit="0" wrapText="1"/>
    </xf>
    <xf borderId="1" fillId="0" fontId="5" numFmtId="168" xfId="0" applyAlignment="1" applyBorder="1" applyFont="1" applyNumberFormat="1">
      <alignment horizontal="left" readingOrder="0" shrinkToFit="0" wrapText="0"/>
    </xf>
    <xf borderId="1" fillId="13" fontId="5" numFmtId="168" xfId="0" applyAlignment="1" applyBorder="1" applyFill="1" applyFont="1" applyNumberFormat="1">
      <alignment horizontal="center" readingOrder="0"/>
    </xf>
    <xf borderId="1" fillId="14" fontId="5" numFmtId="0" xfId="0" applyAlignment="1" applyBorder="1" applyFill="1" applyFont="1">
      <alignment horizontal="center" readingOrder="0"/>
    </xf>
    <xf borderId="1" fillId="17" fontId="5" numFmtId="49" xfId="0" applyAlignment="1" applyBorder="1" applyFill="1" applyFont="1" applyNumberFormat="1">
      <alignment horizontal="left" shrinkToFit="0" vertical="center" wrapText="1"/>
    </xf>
    <xf borderId="1" fillId="17" fontId="5" numFmtId="0" xfId="0" applyAlignment="1" applyBorder="1" applyFill="1" applyFont="1">
      <alignment horizontal="center" shrinkToFit="0" wrapText="1"/>
    </xf>
    <xf borderId="1" fillId="5" fontId="6" numFmtId="0" xfId="0" applyAlignment="1" applyBorder="1" applyFill="1" applyFont="1">
      <alignment horizontal="left" readingOrder="0" shrinkToFit="0" wrapText="0"/>
    </xf>
    <xf borderId="1" fillId="13" fontId="5" numFmtId="0" xfId="0" applyAlignment="1" applyBorder="1" applyFill="1" applyFont="1">
      <alignment horizontal="left" shrinkToFit="0" vertical="center" wrapText="1"/>
    </xf>
    <xf borderId="1" fillId="56" fontId="5" numFmtId="0" xfId="0" applyAlignment="1" applyBorder="1" applyFill="1" applyFont="1">
      <alignment horizontal="center" readingOrder="0" vertical="center"/>
    </xf>
    <xf borderId="1" fillId="13" fontId="5" numFmtId="0" xfId="0" applyAlignment="1" applyBorder="1" applyFill="1" applyFont="1">
      <alignment horizontal="center" shrinkToFit="0" wrapText="1"/>
    </xf>
    <xf borderId="1" fillId="17" fontId="5" numFmtId="168" xfId="0" applyAlignment="1" applyBorder="1" applyFill="1" applyFont="1" applyNumberFormat="1">
      <alignment horizontal="center" readingOrder="0"/>
    </xf>
    <xf borderId="1" fillId="18" fontId="5" numFmtId="0" xfId="0" applyAlignment="1" applyBorder="1" applyFill="1" applyFont="1">
      <alignment horizontal="center" readingOrder="0" vertical="center"/>
    </xf>
    <xf borderId="1" fillId="3" fontId="5" numFmtId="0" xfId="0" applyAlignment="1" applyBorder="1" applyFill="1" applyFont="1">
      <alignment horizontal="left" readingOrder="0" shrinkToFit="0" wrapText="0"/>
    </xf>
    <xf borderId="1" fillId="20" fontId="5" numFmtId="0" xfId="0" applyAlignment="1" applyBorder="1" applyFill="1" applyFont="1">
      <alignment horizontal="center" readingOrder="0" vertical="center"/>
    </xf>
    <xf borderId="1" fillId="36" fontId="5" numFmtId="0" xfId="0" applyAlignment="1" applyBorder="1" applyFill="1" applyFont="1">
      <alignment horizontal="left" shrinkToFit="0" vertical="center" wrapText="0"/>
    </xf>
    <xf borderId="1" fillId="36" fontId="5" numFmtId="0" xfId="0" applyAlignment="1" applyBorder="1" applyFill="1" applyFont="1">
      <alignment horizontal="center" readingOrder="0" shrinkToFit="0" vertical="center" wrapText="1"/>
    </xf>
    <xf borderId="1" fillId="0" fontId="16" numFmtId="0" xfId="0" applyAlignment="1" applyBorder="1" applyFont="1">
      <alignment horizontal="left"/>
    </xf>
    <xf borderId="1" fillId="36" fontId="6" numFmtId="0" xfId="0" applyAlignment="1" applyBorder="1" applyFill="1" applyFont="1">
      <alignment horizontal="center" readingOrder="0"/>
    </xf>
    <xf borderId="1" fillId="8" fontId="5" numFmtId="0" xfId="0" applyAlignment="1" applyBorder="1" applyFill="1" applyFont="1">
      <alignment horizontal="center" readingOrder="0" shrinkToFit="0" wrapText="1"/>
    </xf>
    <xf borderId="1" fillId="0" fontId="5" numFmtId="168" xfId="0" applyAlignment="1" applyBorder="1" applyFont="1" applyNumberFormat="1">
      <alignment horizontal="left" readingOrder="0" vertical="center"/>
    </xf>
    <xf borderId="1" fillId="4" fontId="5" numFmtId="0" xfId="0" applyAlignment="1" applyBorder="1" applyFill="1" applyFont="1">
      <alignment horizontal="left" readingOrder="0" shrinkToFit="0" wrapText="1"/>
    </xf>
    <xf borderId="1" fillId="13" fontId="5" numFmtId="0" xfId="0" applyAlignment="1" applyBorder="1" applyFill="1" applyFont="1">
      <alignment horizontal="center" readingOrder="0" vertical="bottom"/>
    </xf>
    <xf borderId="1" fillId="13" fontId="6" numFmtId="0" xfId="0" applyAlignment="1" applyBorder="1" applyFill="1" applyFont="1">
      <alignment horizontal="center" readingOrder="0"/>
    </xf>
    <xf borderId="1" fillId="13" fontId="5" numFmtId="0" xfId="0" applyAlignment="1" applyBorder="1" applyFill="1" applyFont="1">
      <alignment horizontal="left"/>
    </xf>
    <xf borderId="1" fillId="13" fontId="5" numFmtId="0" xfId="0" applyAlignment="1" applyBorder="1" applyFill="1" applyFont="1">
      <alignment horizontal="center" vertical="bottom"/>
    </xf>
    <xf borderId="1" fillId="0" fontId="5" numFmtId="0" xfId="0" applyAlignment="1" applyBorder="1" applyFont="1">
      <alignment horizontal="center" vertical="bottom"/>
    </xf>
    <xf borderId="1" fillId="17" fontId="5" numFmtId="0" xfId="0" applyAlignment="1" applyBorder="1" applyFill="1" applyFont="1">
      <alignment horizontal="center" vertical="bottom"/>
    </xf>
    <xf borderId="1" fillId="17" fontId="6" numFmtId="0" xfId="0" applyAlignment="1" applyBorder="1" applyFill="1" applyFont="1">
      <alignment horizontal="center" readingOrder="0"/>
    </xf>
    <xf borderId="1" fillId="0" fontId="5" numFmtId="0" xfId="0" applyAlignment="1" applyBorder="1" applyFont="1">
      <alignment horizontal="left" vertical="bottom"/>
    </xf>
    <xf borderId="1" fillId="0" fontId="6" numFmtId="0" xfId="0" applyAlignment="1" applyBorder="1" applyFont="1">
      <alignment horizontal="left" readingOrder="0" shrinkToFit="0" wrapText="0"/>
    </xf>
    <xf borderId="1" fillId="3" fontId="5" numFmtId="0" xfId="0" applyAlignment="1" applyBorder="1" applyFill="1" applyFont="1">
      <alignment horizontal="left" vertical="bottom"/>
    </xf>
    <xf borderId="1" fillId="39" fontId="5" numFmtId="0" xfId="0" applyAlignment="1" applyBorder="1" applyFill="1" applyFont="1">
      <alignment horizontal="left"/>
    </xf>
    <xf borderId="1" fillId="0" fontId="5" numFmtId="165" xfId="0" applyAlignment="1" applyBorder="1" applyFont="1" applyNumberFormat="1">
      <alignment horizontal="center" readingOrder="0"/>
    </xf>
    <xf borderId="1" fillId="0" fontId="12" numFmtId="0" xfId="0" applyAlignment="1" applyBorder="1" applyFont="1">
      <alignment horizontal="left"/>
    </xf>
    <xf borderId="1" fillId="3" fontId="5" numFmtId="0" xfId="0" applyAlignment="1" applyBorder="1" applyFill="1" applyFont="1">
      <alignment horizontal="left" shrinkToFit="0" wrapText="1"/>
    </xf>
    <xf borderId="1" fillId="0" fontId="5" numFmtId="0" xfId="0" applyAlignment="1" applyBorder="1" applyFont="1">
      <alignment horizontal="center" readingOrder="0" shrinkToFit="0" vertical="bottom" wrapText="1"/>
    </xf>
    <xf borderId="1" fillId="0" fontId="5" numFmtId="168" xfId="0" applyAlignment="1" applyBorder="1" applyFont="1" applyNumberFormat="1">
      <alignment horizontal="center" readingOrder="0"/>
    </xf>
    <xf borderId="1" fillId="6" fontId="5" numFmtId="0" xfId="0" applyAlignment="1" applyBorder="1" applyFill="1" applyFont="1">
      <alignment horizontal="center" readingOrder="0" vertical="center"/>
    </xf>
    <xf borderId="1" fillId="13" fontId="5" numFmtId="165" xfId="0" applyAlignment="1" applyBorder="1" applyFill="1" applyFont="1" applyNumberFormat="1">
      <alignment horizontal="center" readingOrder="0"/>
    </xf>
    <xf borderId="1" fillId="0" fontId="5" numFmtId="167" xfId="0" applyAlignment="1" applyBorder="1" applyFont="1" applyNumberFormat="1">
      <alignment horizontal="center" readingOrder="0" vertical="center"/>
    </xf>
    <xf borderId="1" fillId="17" fontId="5" numFmtId="0" xfId="0" applyAlignment="1" applyBorder="1" applyFill="1" applyFont="1">
      <alignment horizontal="left" readingOrder="0" shrinkToFit="0" wrapText="0"/>
    </xf>
    <xf borderId="1" fillId="17" fontId="5" numFmtId="0" xfId="0" applyAlignment="1" applyBorder="1" applyFill="1" applyFont="1">
      <alignment horizontal="center" readingOrder="0" shrinkToFit="0" vertical="center" wrapText="1"/>
    </xf>
    <xf borderId="1" fillId="0" fontId="5" numFmtId="49" xfId="0" applyAlignment="1" applyBorder="1" applyFont="1" applyNumberFormat="1">
      <alignment horizontal="left" readingOrder="0" shrinkToFit="0" wrapText="0"/>
    </xf>
    <xf borderId="1" fillId="8" fontId="6" numFmtId="0" xfId="0" applyAlignment="1" applyBorder="1" applyFill="1" applyFont="1">
      <alignment horizontal="center" readingOrder="0"/>
    </xf>
    <xf borderId="1" fillId="39" fontId="6" numFmtId="0" xfId="0" applyAlignment="1" applyBorder="1" applyFill="1" applyFont="1">
      <alignment horizontal="center" readingOrder="0" shrinkToFit="0" vertical="center" wrapText="1"/>
    </xf>
    <xf borderId="1" fillId="13" fontId="5" numFmtId="0" xfId="0" applyAlignment="1" applyBorder="1" applyFill="1" applyFont="1">
      <alignment horizontal="left" shrinkToFit="0" wrapText="0"/>
    </xf>
    <xf borderId="1" fillId="17" fontId="6" numFmtId="0" xfId="0" applyAlignment="1" applyBorder="1" applyFill="1" applyFont="1">
      <alignment horizontal="center" readingOrder="0" vertical="center"/>
    </xf>
    <xf borderId="1" fillId="13" fontId="5" numFmtId="0" xfId="0" applyAlignment="1" applyBorder="1" applyFill="1" applyFont="1">
      <alignment horizontal="left" readingOrder="0" shrinkToFit="0" wrapText="0"/>
    </xf>
    <xf borderId="1" fillId="0" fontId="5" numFmtId="14" xfId="0" applyAlignment="1" applyBorder="1" applyFont="1" applyNumberFormat="1">
      <alignment horizontal="center" readingOrder="0" vertical="center"/>
    </xf>
    <xf borderId="1" fillId="17" fontId="5" numFmtId="0" xfId="0" applyAlignment="1" applyBorder="1" applyFill="1" applyFont="1">
      <alignment horizontal="left" readingOrder="0" shrinkToFit="0" vertical="center" wrapText="0"/>
    </xf>
    <xf borderId="1" fillId="13" fontId="6" numFmtId="0" xfId="0" applyAlignment="1" applyBorder="1" applyFill="1" applyFont="1">
      <alignment horizontal="center" readingOrder="0" shrinkToFit="0" wrapText="0"/>
    </xf>
    <xf borderId="1" fillId="36" fontId="6" numFmtId="0" xfId="0" applyAlignment="1" applyBorder="1" applyFill="1" applyFont="1">
      <alignment horizontal="left" readingOrder="0"/>
    </xf>
    <xf borderId="1" fillId="36" fontId="5" numFmtId="168" xfId="0" applyAlignment="1" applyBorder="1" applyFill="1" applyFont="1" applyNumberFormat="1">
      <alignment horizontal="center" readingOrder="0"/>
    </xf>
    <xf borderId="1" fillId="36" fontId="6" numFmtId="0" xfId="0" applyAlignment="1" applyBorder="1" applyFill="1" applyFont="1">
      <alignment horizontal="center" readingOrder="0" shrinkToFit="0" wrapText="0"/>
    </xf>
    <xf borderId="1" fillId="0" fontId="5" numFmtId="167" xfId="0" applyAlignment="1" applyBorder="1" applyFont="1" applyNumberFormat="1">
      <alignment horizontal="center" shrinkToFit="0" vertical="center" wrapText="1"/>
    </xf>
    <xf borderId="1" fillId="52" fontId="5" numFmtId="0" xfId="0" applyAlignment="1" applyBorder="1" applyFill="1" applyFont="1">
      <alignment horizontal="left" shrinkToFit="0" wrapText="1"/>
    </xf>
    <xf borderId="1" fillId="13" fontId="5" numFmtId="49" xfId="0" applyAlignment="1" applyBorder="1" applyFill="1" applyFont="1" applyNumberFormat="1">
      <alignment horizontal="left" shrinkToFit="0" wrapText="0"/>
    </xf>
    <xf borderId="1" fillId="0" fontId="5" numFmtId="0" xfId="0" applyAlignment="1" applyBorder="1" applyFont="1">
      <alignment horizontal="left" shrinkToFit="0" vertical="bottom" wrapText="1"/>
    </xf>
    <xf borderId="1" fillId="39" fontId="5" numFmtId="0" xfId="0" applyAlignment="1" applyBorder="1" applyFill="1" applyFont="1">
      <alignment horizontal="left"/>
    </xf>
    <xf borderId="1" fillId="17" fontId="5" numFmtId="0" xfId="0" applyAlignment="1" applyBorder="1" applyFill="1" applyFont="1">
      <alignment horizontal="center" vertical="center"/>
    </xf>
    <xf borderId="1" fillId="13" fontId="5" numFmtId="0" xfId="0" applyAlignment="1" applyBorder="1" applyFill="1" applyFont="1">
      <alignment horizontal="left" readingOrder="0" vertical="center"/>
    </xf>
    <xf borderId="1" fillId="13" fontId="5" numFmtId="166" xfId="0" applyAlignment="1" applyBorder="1" applyFill="1" applyFont="1" applyNumberFormat="1">
      <alignment horizontal="center" readingOrder="0" vertical="center"/>
    </xf>
    <xf borderId="1" fillId="17" fontId="5" numFmtId="166" xfId="0" applyAlignment="1" applyBorder="1" applyFill="1" applyFont="1" applyNumberFormat="1">
      <alignment horizontal="center" readingOrder="0" vertical="center"/>
    </xf>
    <xf borderId="1" fillId="13" fontId="6" numFmtId="0" xfId="0" applyAlignment="1" applyBorder="1" applyFill="1" applyFont="1">
      <alignment horizontal="left" readingOrder="0" shrinkToFit="0" wrapText="0"/>
    </xf>
    <xf borderId="1" fillId="0" fontId="6" numFmtId="0" xfId="0" applyAlignment="1" applyBorder="1" applyFont="1">
      <alignment horizontal="left" readingOrder="0"/>
    </xf>
    <xf borderId="1" fillId="0" fontId="5" numFmtId="165" xfId="0" applyAlignment="1" applyBorder="1" applyFont="1" applyNumberFormat="1">
      <alignment horizontal="left" readingOrder="0" shrinkToFit="0" vertical="center" wrapText="1"/>
    </xf>
    <xf borderId="1" fillId="13" fontId="6" numFmtId="0" xfId="0" applyAlignment="1" applyBorder="1" applyFill="1" applyFont="1">
      <alignment horizontal="left" readingOrder="0" shrinkToFit="0" vertical="center" wrapText="0"/>
    </xf>
    <xf borderId="1" fillId="13" fontId="6" numFmtId="0" xfId="0" applyAlignment="1" applyBorder="1" applyFill="1" applyFont="1">
      <alignment horizontal="left" readingOrder="0" vertical="center"/>
    </xf>
    <xf borderId="1" fillId="57" fontId="6" numFmtId="0" xfId="0" applyAlignment="1" applyBorder="1" applyFill="1" applyFont="1">
      <alignment horizontal="center" readingOrder="0" vertical="center"/>
    </xf>
    <xf borderId="1" fillId="0" fontId="5" numFmtId="168" xfId="0" applyAlignment="1" applyBorder="1" applyFont="1" applyNumberFormat="1">
      <alignment horizontal="left" readingOrder="0" shrinkToFit="0" wrapText="1"/>
    </xf>
    <xf borderId="1" fillId="0" fontId="4" numFmtId="165" xfId="0" applyAlignment="1" applyBorder="1" applyFont="1" applyNumberFormat="1">
      <alignment horizontal="center" readingOrder="0"/>
    </xf>
    <xf borderId="1" fillId="53" fontId="5" numFmtId="0" xfId="0" applyAlignment="1" applyBorder="1" applyFill="1" applyFont="1">
      <alignment horizontal="left" readingOrder="0" shrinkToFit="0" wrapText="1"/>
    </xf>
    <xf borderId="1" fillId="17" fontId="6" numFmtId="0" xfId="0" applyAlignment="1" applyBorder="1" applyFill="1" applyFont="1">
      <alignment horizontal="center" readingOrder="0" shrinkToFit="0" vertical="center" wrapText="0"/>
    </xf>
    <xf borderId="1" fillId="58" fontId="5" numFmtId="0" xfId="0" applyAlignment="1" applyBorder="1" applyFill="1" applyFont="1">
      <alignment horizontal="center" readingOrder="0" vertical="center"/>
    </xf>
    <xf borderId="1" fillId="0" fontId="6" numFmtId="0" xfId="0" applyAlignment="1" applyBorder="1" applyFont="1">
      <alignment horizontal="left" shrinkToFit="0" wrapText="0"/>
    </xf>
    <xf borderId="1" fillId="0" fontId="6" numFmtId="0" xfId="0" applyAlignment="1" applyBorder="1" applyFont="1">
      <alignment horizontal="left" readingOrder="0" shrinkToFit="0" wrapText="0"/>
    </xf>
    <xf borderId="1" fillId="48" fontId="5" numFmtId="0" xfId="0" applyAlignment="1" applyBorder="1" applyFill="1" applyFont="1">
      <alignment horizontal="left" readingOrder="0"/>
    </xf>
    <xf borderId="1" fillId="37" fontId="6" numFmtId="0" xfId="0" applyAlignment="1" applyBorder="1" applyFill="1" applyFont="1">
      <alignment horizontal="center" readingOrder="0"/>
    </xf>
    <xf borderId="1" fillId="0" fontId="6" numFmtId="0" xfId="0" applyAlignment="1" applyBorder="1" applyFont="1">
      <alignment horizontal="center" readingOrder="0"/>
    </xf>
    <xf borderId="1" fillId="10" fontId="6" numFmtId="0" xfId="0" applyAlignment="1" applyBorder="1" applyFill="1" applyFont="1">
      <alignment horizontal="center" readingOrder="0"/>
    </xf>
    <xf borderId="1" fillId="0" fontId="5" numFmtId="49" xfId="0" applyAlignment="1" applyBorder="1" applyFont="1" applyNumberFormat="1">
      <alignment horizontal="left" shrinkToFit="0" vertical="center" wrapText="0"/>
    </xf>
    <xf borderId="1" fillId="0" fontId="5" numFmtId="0" xfId="0" applyAlignment="1" applyBorder="1" applyFont="1">
      <alignment horizontal="center" shrinkToFit="0" wrapText="1"/>
    </xf>
    <xf borderId="1" fillId="0" fontId="5" numFmtId="0" xfId="0" applyAlignment="1" applyBorder="1" applyFont="1">
      <alignment horizontal="center"/>
    </xf>
    <xf borderId="1" fillId="0" fontId="5" numFmtId="0" xfId="0" applyAlignment="1" applyBorder="1" applyFont="1">
      <alignment horizontal="center" readingOrder="0" shrinkToFit="0" vertical="bottom" wrapText="0"/>
    </xf>
    <xf borderId="1" fillId="0" fontId="5" numFmtId="0" xfId="0" applyAlignment="1" applyBorder="1" applyFont="1">
      <alignment horizontal="center" readingOrder="0" shrinkToFit="0" wrapText="0"/>
    </xf>
    <xf borderId="0" fillId="0" fontId="5" numFmtId="0" xfId="0" applyAlignment="1" applyFont="1">
      <alignment horizontal="left" readingOrder="0" shrinkToFit="0" wrapText="0"/>
    </xf>
    <xf borderId="1" fillId="3" fontId="5" numFmtId="0" xfId="0" applyAlignment="1" applyBorder="1" applyFill="1" applyFont="1">
      <alignment horizontal="center" readingOrder="0"/>
    </xf>
    <xf borderId="0" fillId="0" fontId="5" numFmtId="0" xfId="0" applyAlignment="1" applyFont="1">
      <alignment horizontal="left" readingOrder="0" shrinkToFit="0" wrapText="0"/>
    </xf>
    <xf borderId="7" fillId="0" fontId="5" numFmtId="0" xfId="0" applyAlignment="1" applyBorder="1" applyFont="1">
      <alignment horizontal="center" readingOrder="0" shrinkToFit="0" vertical="bottom" wrapText="0"/>
    </xf>
    <xf borderId="1" fillId="0" fontId="5" numFmtId="49" xfId="0" applyAlignment="1" applyBorder="1" applyFont="1" applyNumberFormat="1">
      <alignment horizontal="left" shrinkToFit="0" vertical="center" wrapText="1"/>
    </xf>
    <xf borderId="1" fillId="29" fontId="5" numFmtId="0" xfId="0" applyAlignment="1" applyBorder="1" applyFill="1" applyFont="1">
      <alignment horizontal="center" vertical="center"/>
    </xf>
    <xf borderId="1" fillId="0" fontId="5" numFmtId="49" xfId="0" applyAlignment="1" applyBorder="1" applyFont="1" applyNumberFormat="1">
      <alignment horizontal="left" readingOrder="0" shrinkToFit="0" vertical="center" wrapText="0"/>
    </xf>
    <xf borderId="1" fillId="52" fontId="5" numFmtId="0" xfId="0" applyAlignment="1" applyBorder="1" applyFill="1" applyFont="1">
      <alignment horizontal="center" shrinkToFit="0" vertical="center" wrapText="1"/>
    </xf>
    <xf borderId="1" fillId="52" fontId="5" numFmtId="0" xfId="0" applyAlignment="1" applyBorder="1" applyFill="1" applyFont="1">
      <alignment horizontal="center" vertical="center"/>
    </xf>
    <xf borderId="1" fillId="31" fontId="5" numFmtId="49" xfId="0" applyAlignment="1" applyBorder="1" applyFill="1" applyFont="1" applyNumberFormat="1">
      <alignment horizontal="center" shrinkToFit="0" wrapText="0"/>
    </xf>
    <xf borderId="1" fillId="0" fontId="5" numFmtId="170" xfId="0" applyAlignment="1" applyBorder="1" applyFont="1" applyNumberFormat="1">
      <alignment horizontal="center" vertical="center"/>
    </xf>
    <xf borderId="1" fillId="0" fontId="5" numFmtId="49" xfId="0" applyAlignment="1" applyBorder="1" applyFont="1" applyNumberFormat="1">
      <alignment horizontal="center" shrinkToFit="0" vertical="top" wrapText="1"/>
    </xf>
    <xf borderId="1" fillId="0" fontId="5" numFmtId="166" xfId="0" applyAlignment="1" applyBorder="1" applyFont="1" applyNumberFormat="1">
      <alignment horizontal="center"/>
    </xf>
    <xf borderId="1" fillId="4" fontId="5" numFmtId="0" xfId="0" applyAlignment="1" applyBorder="1" applyFill="1" applyFont="1">
      <alignment horizontal="center" readingOrder="0" shrinkToFit="0" wrapText="1"/>
    </xf>
    <xf borderId="1" fillId="0" fontId="5" numFmtId="167" xfId="0" applyAlignment="1" applyBorder="1" applyFont="1" applyNumberFormat="1">
      <alignment horizontal="center"/>
    </xf>
    <xf borderId="1" fillId="0" fontId="5" numFmtId="0" xfId="0" applyAlignment="1" applyBorder="1" applyFont="1">
      <alignment horizontal="center" shrinkToFit="0" wrapText="1"/>
    </xf>
    <xf borderId="1" fillId="0" fontId="5" numFmtId="165" xfId="0" applyAlignment="1" applyBorder="1" applyFont="1" applyNumberFormat="1">
      <alignment horizontal="center"/>
    </xf>
    <xf borderId="1" fillId="3" fontId="5" numFmtId="0" xfId="0" applyAlignment="1" applyBorder="1" applyFill="1" applyFont="1">
      <alignment horizontal="center"/>
    </xf>
    <xf borderId="1" fillId="0" fontId="5" numFmtId="0" xfId="0" applyAlignment="1" applyBorder="1" applyFont="1">
      <alignment horizontal="center" shrinkToFit="0" vertical="top" wrapText="1"/>
    </xf>
    <xf borderId="1" fillId="0" fontId="5" numFmtId="0" xfId="0" applyAlignment="1" applyBorder="1" applyFont="1">
      <alignment horizontal="center" shrinkToFit="0" vertical="top" wrapText="0"/>
    </xf>
    <xf borderId="1" fillId="0" fontId="5" numFmtId="49" xfId="0" applyAlignment="1" applyBorder="1" applyFont="1" applyNumberFormat="1">
      <alignment horizontal="center" shrinkToFit="0" wrapText="0"/>
    </xf>
    <xf borderId="1" fillId="0" fontId="6" numFmtId="165" xfId="0" applyAlignment="1" applyBorder="1" applyFont="1" applyNumberFormat="1">
      <alignment horizontal="center" readingOrder="0" shrinkToFit="0" vertical="center" wrapText="0"/>
    </xf>
    <xf borderId="1" fillId="0" fontId="6" numFmtId="165" xfId="0" applyAlignment="1" applyBorder="1" applyFont="1" applyNumberFormat="1">
      <alignment horizontal="center" readingOrder="0"/>
    </xf>
    <xf borderId="1" fillId="26" fontId="5" numFmtId="0" xfId="0" applyAlignment="1" applyBorder="1" applyFill="1" applyFont="1">
      <alignment horizontal="center" readingOrder="0" shrinkToFit="0" wrapText="1"/>
    </xf>
    <xf borderId="1" fillId="0" fontId="7" numFmtId="0" xfId="0" applyAlignment="1" applyBorder="1" applyFont="1">
      <alignment horizontal="center"/>
    </xf>
    <xf borderId="1" fillId="0" fontId="14" numFmtId="0" xfId="0" applyAlignment="1" applyBorder="1" applyFont="1">
      <alignment vertical="center"/>
    </xf>
    <xf borderId="1" fillId="8" fontId="6" numFmtId="166" xfId="0" applyAlignment="1" applyBorder="1" applyFill="1" applyFont="1" applyNumberFormat="1">
      <alignment shrinkToFit="0" wrapText="0"/>
    </xf>
    <xf borderId="1" fillId="0" fontId="5" numFmtId="0" xfId="0" applyBorder="1" applyFont="1"/>
    <xf borderId="1" fillId="0" fontId="6" numFmtId="0" xfId="0" applyAlignment="1" applyBorder="1" applyFont="1">
      <alignment shrinkToFit="0" wrapText="0"/>
    </xf>
    <xf borderId="1" fillId="0" fontId="5" numFmtId="167" xfId="0" applyBorder="1" applyFont="1" applyNumberFormat="1"/>
    <xf borderId="1" fillId="0" fontId="23" numFmtId="0" xfId="0" applyAlignment="1" applyBorder="1" applyFont="1">
      <alignment shrinkToFit="0" wrapText="0"/>
    </xf>
    <xf borderId="1" fillId="0" fontId="14" numFmtId="167" xfId="0" applyAlignment="1" applyBorder="1" applyFont="1" applyNumberFormat="1">
      <alignment vertical="center"/>
    </xf>
    <xf borderId="1" fillId="28" fontId="5" numFmtId="0" xfId="0" applyAlignment="1" applyBorder="1" applyFill="1" applyFont="1">
      <alignment horizontal="center" readingOrder="0" shrinkToFit="0" wrapText="1"/>
    </xf>
    <xf borderId="1" fillId="23" fontId="5" numFmtId="0" xfId="0" applyAlignment="1" applyBorder="1" applyFill="1" applyFont="1">
      <alignment horizontal="center" readingOrder="0"/>
    </xf>
    <xf borderId="1" fillId="0" fontId="5" numFmtId="0" xfId="0" applyAlignment="1" applyBorder="1" applyFont="1">
      <alignment horizontal="center" shrinkToFit="0" wrapText="0"/>
    </xf>
    <xf borderId="1" fillId="13" fontId="5" numFmtId="0" xfId="0" applyAlignment="1" applyBorder="1" applyFill="1" applyFont="1">
      <alignment horizontal="center" readingOrder="0" vertical="center"/>
    </xf>
    <xf borderId="1" fillId="0" fontId="5" numFmtId="0" xfId="0" applyAlignment="1" applyBorder="1" applyFont="1">
      <alignment horizontal="center" shrinkToFit="0" wrapText="0"/>
    </xf>
    <xf borderId="1" fillId="4" fontId="5" numFmtId="0" xfId="0" applyAlignment="1" applyBorder="1" applyFill="1" applyFont="1">
      <alignment horizontal="center" readingOrder="0" shrinkToFit="0" vertical="center" wrapText="1"/>
    </xf>
    <xf borderId="1" fillId="38" fontId="5" numFmtId="0" xfId="0" applyAlignment="1" applyBorder="1" applyFill="1" applyFont="1">
      <alignment horizontal="center"/>
    </xf>
    <xf borderId="1" fillId="0" fontId="6" numFmtId="0" xfId="0" applyAlignment="1" applyBorder="1" applyFont="1">
      <alignment horizontal="center" vertical="center"/>
    </xf>
    <xf borderId="1" fillId="8" fontId="5" numFmtId="166" xfId="0" applyAlignment="1" applyBorder="1" applyFill="1" applyFont="1" applyNumberFormat="1">
      <alignment horizontal="center"/>
    </xf>
    <xf borderId="1" fillId="0" fontId="14" numFmtId="0" xfId="0" applyBorder="1" applyFont="1"/>
    <xf borderId="1" fillId="4" fontId="5" numFmtId="0" xfId="0" applyAlignment="1" applyBorder="1" applyFill="1" applyFont="1">
      <alignment horizontal="center" shrinkToFit="0" wrapText="1"/>
    </xf>
    <xf borderId="1" fillId="0" fontId="14" numFmtId="0" xfId="0" applyBorder="1" applyFont="1"/>
    <xf borderId="1" fillId="0" fontId="6" numFmtId="165" xfId="0" applyAlignment="1" applyBorder="1" applyFont="1" applyNumberFormat="1">
      <alignment horizontal="left" readingOrder="0"/>
    </xf>
    <xf borderId="1" fillId="0" fontId="14" numFmtId="167" xfId="0" applyBorder="1" applyFont="1" applyNumberFormat="1"/>
    <xf borderId="1" fillId="14" fontId="6" numFmtId="166" xfId="0" applyAlignment="1" applyBorder="1" applyFill="1" applyFont="1" applyNumberFormat="1">
      <alignment horizontal="left" readingOrder="0" shrinkToFit="0" wrapText="0"/>
    </xf>
    <xf borderId="1" fillId="0" fontId="14" numFmtId="165" xfId="0" applyBorder="1" applyFont="1" applyNumberFormat="1"/>
    <xf borderId="1" fillId="38" fontId="5" numFmtId="0" xfId="0" applyAlignment="1" applyBorder="1" applyFill="1" applyFont="1">
      <alignment horizontal="center" readingOrder="0" shrinkToFit="0" wrapText="1"/>
    </xf>
    <xf borderId="1" fillId="0" fontId="6" numFmtId="168" xfId="0" applyAlignment="1" applyBorder="1" applyFont="1" applyNumberFormat="1">
      <alignment horizontal="center" readingOrder="0" shrinkToFit="0" vertical="center" wrapText="0"/>
    </xf>
    <xf borderId="1" fillId="14" fontId="5" numFmtId="0" xfId="0" applyAlignment="1" applyBorder="1" applyFill="1" applyFont="1">
      <alignment horizontal="center" readingOrder="0" shrinkToFit="0" wrapText="1"/>
    </xf>
    <xf borderId="1" fillId="53" fontId="5" numFmtId="0" xfId="0" applyAlignment="1" applyBorder="1" applyFill="1" applyFont="1">
      <alignment horizontal="center" readingOrder="0" shrinkToFit="0" wrapText="1"/>
    </xf>
    <xf borderId="1" fillId="31" fontId="5" numFmtId="0" xfId="0" applyAlignment="1" applyBorder="1" applyFill="1" applyFont="1">
      <alignment horizontal="center" shrinkToFit="0" wrapText="0"/>
    </xf>
    <xf borderId="1" fillId="0" fontId="5" numFmtId="0" xfId="0" applyAlignment="1" applyBorder="1" applyFont="1">
      <alignment horizontal="center" shrinkToFit="0" wrapText="0"/>
    </xf>
    <xf borderId="1" fillId="0" fontId="7" numFmtId="0" xfId="0" applyAlignment="1" applyBorder="1" applyFont="1">
      <alignment horizontal="center"/>
    </xf>
    <xf borderId="1" fillId="0" fontId="5" numFmtId="0" xfId="0" applyAlignment="1" applyBorder="1" applyFont="1">
      <alignment horizontal="center" shrinkToFit="0" vertical="center" wrapText="0"/>
    </xf>
    <xf borderId="1" fillId="0" fontId="5" numFmtId="49" xfId="0" applyAlignment="1" applyBorder="1" applyFont="1" applyNumberFormat="1">
      <alignment horizontal="center" shrinkToFit="0" vertical="center" wrapText="1"/>
    </xf>
    <xf borderId="0" fillId="0" fontId="22" numFmtId="0" xfId="0" applyAlignment="1" applyFont="1">
      <alignment vertical="center"/>
    </xf>
    <xf borderId="1" fillId="0" fontId="5" numFmtId="49" xfId="0" applyAlignment="1" applyBorder="1" applyFont="1" applyNumberFormat="1">
      <alignment horizontal="center" shrinkToFit="0" vertical="center" wrapText="0"/>
    </xf>
    <xf borderId="1" fillId="0" fontId="5" numFmtId="165" xfId="0" applyAlignment="1" applyBorder="1" applyFont="1" applyNumberFormat="1">
      <alignment horizontal="center" shrinkToFit="0" vertical="center" wrapText="1"/>
    </xf>
    <xf borderId="1" fillId="13" fontId="5" numFmtId="0" xfId="0" applyAlignment="1" applyBorder="1" applyFill="1" applyFont="1">
      <alignment horizontal="center" vertical="center"/>
    </xf>
    <xf borderId="1" fillId="31" fontId="5" numFmtId="0" xfId="0" applyAlignment="1" applyBorder="1" applyFill="1" applyFont="1">
      <alignment horizontal="center" shrinkToFit="0" vertical="center" wrapText="0"/>
    </xf>
    <xf borderId="1" fillId="0" fontId="7" numFmtId="0" xfId="0" applyAlignment="1" applyBorder="1" applyFont="1">
      <alignment horizontal="center" vertical="center"/>
    </xf>
    <xf borderId="1" fillId="0" fontId="5" numFmtId="166" xfId="0" applyAlignment="1" applyBorder="1" applyFont="1" applyNumberFormat="1">
      <alignment vertical="center"/>
    </xf>
    <xf borderId="1" fillId="31" fontId="5" numFmtId="49" xfId="0" applyAlignment="1" applyBorder="1" applyFill="1" applyFont="1" applyNumberFormat="1">
      <alignment horizontal="center" shrinkToFit="0" vertical="center" wrapText="0"/>
    </xf>
    <xf borderId="1" fillId="0" fontId="6" numFmtId="0" xfId="0" applyAlignment="1" applyBorder="1" applyFont="1">
      <alignment horizontal="center" readingOrder="0" vertical="center"/>
    </xf>
    <xf borderId="1" fillId="0" fontId="1" numFmtId="0" xfId="0" applyAlignment="1" applyBorder="1" applyFont="1">
      <alignment readingOrder="0" shrinkToFit="0" vertical="center" wrapText="0"/>
    </xf>
    <xf borderId="1" fillId="0" fontId="24" numFmtId="49" xfId="0" applyAlignment="1" applyBorder="1" applyFont="1" applyNumberFormat="1">
      <alignment readingOrder="0" shrinkToFit="0" vertical="center" wrapText="0"/>
    </xf>
    <xf borderId="1" fillId="0" fontId="1" numFmtId="49" xfId="0" applyAlignment="1" applyBorder="1" applyFont="1" applyNumberFormat="1">
      <alignment horizontal="center" readingOrder="0" shrinkToFit="0" vertical="center" wrapText="0"/>
    </xf>
    <xf borderId="1" fillId="0" fontId="24" numFmtId="0" xfId="0" applyAlignment="1" applyBorder="1" applyFont="1">
      <alignment readingOrder="0" shrinkToFit="0" vertical="center" wrapText="0"/>
    </xf>
    <xf borderId="1" fillId="50" fontId="5" numFmtId="0" xfId="0" applyAlignment="1" applyBorder="1" applyFill="1" applyFont="1">
      <alignment horizontal="center" readingOrder="0" vertical="center"/>
    </xf>
    <xf borderId="1" fillId="0" fontId="5" numFmtId="0" xfId="0" applyAlignment="1" applyBorder="1" applyFont="1">
      <alignment horizontal="left" shrinkToFit="0" vertical="center" wrapText="0"/>
    </xf>
    <xf borderId="0" fillId="0" fontId="5" numFmtId="0" xfId="0" applyAlignment="1" applyFont="1">
      <alignment horizontal="center" vertical="center"/>
    </xf>
    <xf borderId="1" fillId="0" fontId="5" numFmtId="0" xfId="0" applyAlignment="1" applyBorder="1" applyFont="1">
      <alignment horizontal="center" shrinkToFit="0" vertical="center" wrapText="0"/>
    </xf>
    <xf borderId="1" fillId="6" fontId="6" numFmtId="0" xfId="0" applyAlignment="1" applyBorder="1" applyFill="1" applyFont="1">
      <alignment horizontal="center" readingOrder="0" shrinkToFit="0" vertical="center" wrapText="0"/>
    </xf>
    <xf borderId="1" fillId="59" fontId="5" numFmtId="0" xfId="0" applyAlignment="1" applyBorder="1" applyFill="1" applyFont="1">
      <alignment horizontal="center" vertical="center"/>
    </xf>
    <xf borderId="0" fillId="0" fontId="5" numFmtId="0" xfId="0" applyAlignment="1" applyFont="1">
      <alignment horizontal="center" readingOrder="0"/>
    </xf>
    <xf borderId="0" fillId="0" fontId="25" numFmtId="0" xfId="0" applyAlignment="1" applyFont="1">
      <alignment readingOrder="0"/>
    </xf>
    <xf borderId="0" fillId="17" fontId="22" numFmtId="0" xfId="0" applyAlignment="1" applyFill="1" applyFont="1">
      <alignment vertical="center"/>
    </xf>
    <xf borderId="0" fillId="0" fontId="5" numFmtId="0" xfId="0" applyFont="1"/>
    <xf borderId="1" fillId="59" fontId="5" numFmtId="0" xfId="0" applyAlignment="1" applyBorder="1" applyFill="1" applyFont="1">
      <alignment horizontal="center" readingOrder="0" vertical="center"/>
    </xf>
    <xf borderId="1" fillId="12" fontId="5" numFmtId="0" xfId="0" applyAlignment="1" applyBorder="1" applyFill="1" applyFont="1">
      <alignment horizontal="center" readingOrder="0" shrinkToFit="0" vertical="center" wrapText="1"/>
    </xf>
    <xf borderId="1" fillId="0" fontId="2" numFmtId="0" xfId="0" applyAlignment="1" applyBorder="1" applyFont="1">
      <alignment horizontal="center" vertical="center"/>
    </xf>
    <xf borderId="1" fillId="0" fontId="6" numFmtId="165" xfId="0" applyAlignment="1" applyBorder="1" applyFont="1" applyNumberFormat="1">
      <alignment horizontal="left"/>
    </xf>
    <xf borderId="1" fillId="8" fontId="6" numFmtId="166" xfId="0" applyAlignment="1" applyBorder="1" applyFill="1" applyFont="1" applyNumberFormat="1">
      <alignment horizontal="left" shrinkToFit="0" wrapText="0"/>
    </xf>
    <xf borderId="1" fillId="60" fontId="5" numFmtId="0" xfId="0" applyAlignment="1" applyBorder="1" applyFill="1" applyFont="1">
      <alignment horizontal="center" readingOrder="0" vertical="center"/>
    </xf>
    <xf borderId="1" fillId="38" fontId="6" numFmtId="0" xfId="0" applyAlignment="1" applyBorder="1" applyFill="1" applyFont="1">
      <alignment horizontal="left" readingOrder="0" shrinkToFit="0" vertical="center" wrapText="0"/>
    </xf>
    <xf borderId="1" fillId="38" fontId="5" numFmtId="0" xfId="0" applyAlignment="1" applyBorder="1" applyFill="1" applyFont="1">
      <alignment horizontal="center" vertical="center"/>
    </xf>
    <xf borderId="1" fillId="39" fontId="5" numFmtId="0" xfId="0" applyAlignment="1" applyBorder="1" applyFill="1" applyFont="1">
      <alignment horizontal="center" shrinkToFit="0" vertical="center" wrapText="1"/>
    </xf>
    <xf borderId="1" fillId="8" fontId="6" numFmtId="0" xfId="0" applyAlignment="1" applyBorder="1" applyFill="1" applyFont="1">
      <alignment horizontal="center" readingOrder="0" shrinkToFit="0" wrapText="0"/>
    </xf>
    <xf borderId="1" fillId="0" fontId="6" numFmtId="165" xfId="0" applyAlignment="1" applyBorder="1" applyFont="1" applyNumberFormat="1">
      <alignment horizontal="center" readingOrder="0" shrinkToFit="0" vertical="center" wrapText="0"/>
    </xf>
    <xf borderId="1" fillId="14" fontId="6" numFmtId="0" xfId="0" applyAlignment="1" applyBorder="1" applyFill="1" applyFont="1">
      <alignment horizontal="center" readingOrder="0" shrinkToFit="0" wrapText="0"/>
    </xf>
    <xf borderId="1" fillId="3" fontId="6" numFmtId="0" xfId="0" applyAlignment="1" applyBorder="1" applyFill="1" applyFont="1">
      <alignment horizontal="left" readingOrder="0" shrinkToFit="0" vertical="center" wrapText="0"/>
    </xf>
    <xf borderId="1" fillId="38" fontId="5" numFmtId="0" xfId="0" applyAlignment="1" applyBorder="1" applyFill="1" applyFont="1">
      <alignment horizontal="center" shrinkToFit="0" vertical="center" wrapText="1"/>
    </xf>
    <xf borderId="1" fillId="17" fontId="5" numFmtId="0" xfId="0" applyAlignment="1" applyBorder="1" applyFill="1" applyFont="1">
      <alignment horizontal="center" vertical="center"/>
    </xf>
    <xf borderId="1" fillId="3" fontId="6" numFmtId="0" xfId="0" applyAlignment="1" applyBorder="1" applyFill="1" applyFont="1">
      <alignment horizontal="center" readingOrder="0" shrinkToFit="0" wrapText="0"/>
    </xf>
    <xf borderId="1" fillId="0" fontId="6" numFmtId="0" xfId="0" applyAlignment="1" applyBorder="1" applyFont="1">
      <alignment shrinkToFit="0" vertical="bottom" wrapText="0"/>
    </xf>
    <xf borderId="1" fillId="13" fontId="6" numFmtId="0" xfId="0" applyAlignment="1" applyBorder="1" applyFill="1" applyFont="1">
      <alignment horizontal="center" readingOrder="0"/>
    </xf>
    <xf borderId="1" fillId="60" fontId="26" numFmtId="0" xfId="0" applyAlignment="1" applyBorder="1" applyFill="1" applyFont="1">
      <alignment horizontal="center" vertical="center"/>
    </xf>
    <xf borderId="1" fillId="0" fontId="6" numFmtId="0" xfId="0" applyAlignment="1" applyBorder="1" applyFont="1">
      <alignment horizontal="center" shrinkToFit="0" wrapText="0"/>
    </xf>
    <xf borderId="1" fillId="32" fontId="5" numFmtId="0" xfId="0" applyAlignment="1" applyBorder="1" applyFill="1" applyFont="1">
      <alignment horizontal="center" readingOrder="0" shrinkToFit="0" vertical="center" wrapText="1"/>
    </xf>
    <xf borderId="0" fillId="0" fontId="15" numFmtId="165" xfId="0" applyAlignment="1" applyFont="1" applyNumberFormat="1">
      <alignment readingOrder="0"/>
    </xf>
    <xf borderId="1" fillId="3" fontId="6" numFmtId="0" xfId="0" applyAlignment="1" applyBorder="1" applyFill="1" applyFont="1">
      <alignment horizontal="center" readingOrder="0"/>
    </xf>
    <xf borderId="1" fillId="14" fontId="6" numFmtId="0" xfId="0" applyAlignment="1" applyBorder="1" applyFill="1" applyFont="1">
      <alignment horizontal="center" readingOrder="0"/>
    </xf>
    <xf borderId="1" fillId="61" fontId="27" numFmtId="165" xfId="0" applyAlignment="1" applyBorder="1" applyFill="1" applyFont="1" applyNumberFormat="1">
      <alignment horizontal="center" readingOrder="0" shrinkToFit="0" vertical="bottom" wrapText="0"/>
    </xf>
    <xf borderId="1" fillId="14" fontId="5" numFmtId="0" xfId="0" applyAlignment="1" applyBorder="1" applyFill="1" applyFont="1">
      <alignment horizontal="left" shrinkToFit="0" vertical="center" wrapText="0"/>
    </xf>
    <xf borderId="1" fillId="14" fontId="27" numFmtId="0" xfId="0" applyAlignment="1" applyBorder="1" applyFill="1" applyFont="1">
      <alignment horizontal="center" readingOrder="0" shrinkToFit="0" vertical="bottom" wrapText="0"/>
    </xf>
    <xf borderId="1" fillId="14" fontId="5" numFmtId="49" xfId="0" applyAlignment="1" applyBorder="1" applyFill="1" applyFont="1" applyNumberFormat="1">
      <alignment horizontal="center" shrinkToFit="0" vertical="center" wrapText="0"/>
    </xf>
    <xf borderId="1" fillId="62" fontId="27" numFmtId="0" xfId="0" applyAlignment="1" applyBorder="1" applyFill="1" applyFont="1">
      <alignment horizontal="center" readingOrder="0" shrinkToFit="0" vertical="bottom" wrapText="0"/>
    </xf>
    <xf borderId="1" fillId="14" fontId="5" numFmtId="49" xfId="0" applyAlignment="1" applyBorder="1" applyFill="1" applyFont="1" applyNumberFormat="1">
      <alignment horizontal="center" shrinkToFit="0" vertical="center" wrapText="1"/>
    </xf>
    <xf borderId="1" fillId="62" fontId="27" numFmtId="0" xfId="0" applyAlignment="1" applyBorder="1" applyFill="1" applyFont="1">
      <alignment horizontal="center" shrinkToFit="0" wrapText="0"/>
    </xf>
    <xf borderId="1" fillId="14" fontId="5" numFmtId="0" xfId="0" applyAlignment="1" applyBorder="1" applyFill="1" applyFont="1">
      <alignment horizontal="center" vertical="center"/>
    </xf>
    <xf borderId="1" fillId="14" fontId="7" numFmtId="0" xfId="0" applyAlignment="1" applyBorder="1" applyFill="1" applyFont="1">
      <alignment horizontal="center" shrinkToFit="0" vertical="center" wrapText="1"/>
    </xf>
    <xf borderId="1" fillId="14" fontId="7" numFmtId="0" xfId="0" applyAlignment="1" applyBorder="1" applyFill="1" applyFont="1">
      <alignment horizontal="center" vertical="center"/>
    </xf>
    <xf borderId="1" fillId="14" fontId="5" numFmtId="165" xfId="0" applyAlignment="1" applyBorder="1" applyFill="1" applyFont="1" applyNumberFormat="1">
      <alignment horizontal="center" shrinkToFit="0" vertical="center" wrapText="1"/>
    </xf>
    <xf borderId="1" fillId="14" fontId="5" numFmtId="166" xfId="0" applyAlignment="1" applyBorder="1" applyFill="1" applyFont="1" applyNumberFormat="1">
      <alignment horizontal="center" vertical="center"/>
    </xf>
    <xf borderId="1" fillId="14" fontId="5" numFmtId="167" xfId="0" applyAlignment="1" applyBorder="1" applyFill="1" applyFont="1" applyNumberFormat="1">
      <alignment horizontal="center" vertical="center"/>
    </xf>
    <xf borderId="1" fillId="14" fontId="5" numFmtId="14" xfId="0" applyAlignment="1" applyBorder="1" applyFill="1" applyFont="1" applyNumberFormat="1">
      <alignment horizontal="center" vertical="center"/>
    </xf>
    <xf borderId="0" fillId="14" fontId="5" numFmtId="0" xfId="0" applyAlignment="1" applyFill="1" applyFont="1">
      <alignment horizontal="center" vertical="center"/>
    </xf>
    <xf borderId="0" fillId="0" fontId="22" numFmtId="0" xfId="0" applyAlignment="1" applyFont="1">
      <alignment vertical="center"/>
    </xf>
    <xf borderId="1" fillId="0" fontId="5" numFmtId="0" xfId="0" applyAlignment="1" applyBorder="1" applyFont="1">
      <alignment horizontal="left" shrinkToFit="0" vertical="center" wrapText="0"/>
    </xf>
    <xf borderId="0" fillId="0" fontId="1" numFmtId="0" xfId="0" applyAlignment="1" applyFont="1">
      <alignment horizontal="center" shrinkToFit="0" vertical="bottom" wrapText="0"/>
    </xf>
    <xf borderId="8" fillId="0" fontId="1" numFmtId="0" xfId="0" applyAlignment="1" applyBorder="1" applyFont="1">
      <alignment readingOrder="0" shrinkToFit="0" vertical="bottom" wrapText="0"/>
    </xf>
    <xf borderId="0" fillId="0" fontId="1" numFmtId="0" xfId="0" applyAlignment="1" applyFont="1">
      <alignment readingOrder="0" shrinkToFit="0" vertical="bottom" wrapText="0"/>
    </xf>
    <xf borderId="6" fillId="0" fontId="13" numFmtId="0" xfId="0" applyAlignment="1" applyBorder="1" applyFont="1">
      <alignment horizontal="left" readingOrder="0" shrinkToFit="0" wrapText="0"/>
    </xf>
    <xf borderId="1" fillId="0" fontId="13" numFmtId="0" xfId="0" applyAlignment="1" applyBorder="1" applyFont="1">
      <alignment readingOrder="0" shrinkToFit="0" vertical="bottom" wrapText="0"/>
    </xf>
    <xf borderId="1" fillId="0" fontId="12" numFmtId="0" xfId="0" applyAlignment="1" applyBorder="1" applyFont="1">
      <alignment horizontal="center" shrinkToFit="0" vertical="center" wrapText="1"/>
    </xf>
    <xf borderId="1" fillId="37" fontId="6" numFmtId="0" xfId="0" applyAlignment="1" applyBorder="1" applyFill="1" applyFont="1">
      <alignment horizontal="center" readingOrder="0" vertical="center"/>
    </xf>
    <xf borderId="1" fillId="59" fontId="5" numFmtId="0" xfId="0" applyAlignment="1" applyBorder="1" applyFill="1" applyFont="1">
      <alignment horizontal="center" vertical="center"/>
    </xf>
    <xf borderId="1" fillId="17" fontId="5" numFmtId="0" xfId="0" applyAlignment="1" applyBorder="1" applyFill="1" applyFont="1">
      <alignment horizontal="left" shrinkToFit="0" wrapText="0"/>
    </xf>
    <xf borderId="1" fillId="0" fontId="1" numFmtId="0" xfId="0" applyAlignment="1" applyBorder="1" applyFont="1">
      <alignment horizontal="left" readingOrder="0" shrinkToFit="0" wrapText="0"/>
    </xf>
    <xf borderId="0" fillId="0" fontId="1" numFmtId="0" xfId="0" applyAlignment="1" applyFont="1">
      <alignment shrinkToFit="0" vertical="bottom" wrapText="0"/>
    </xf>
    <xf borderId="1" fillId="0" fontId="24" numFmtId="0" xfId="0" applyAlignment="1" applyBorder="1" applyFont="1">
      <alignment readingOrder="0" shrinkToFit="0" wrapText="0"/>
    </xf>
    <xf borderId="2" fillId="0" fontId="13" numFmtId="0" xfId="0" applyAlignment="1" applyBorder="1" applyFont="1">
      <alignment horizontal="left" readingOrder="0" shrinkToFit="0" wrapText="0"/>
    </xf>
    <xf borderId="1" fillId="0" fontId="5" numFmtId="166" xfId="0" applyAlignment="1" applyBorder="1" applyFont="1" applyNumberFormat="1">
      <alignment horizontal="center" readingOrder="0" shrinkToFit="0" vertical="center" wrapText="1"/>
    </xf>
    <xf borderId="1" fillId="17" fontId="5" numFmtId="0" xfId="0" applyAlignment="1" applyBorder="1" applyFill="1" applyFont="1">
      <alignment horizontal="center" readingOrder="0" shrinkToFit="0" wrapText="0"/>
    </xf>
    <xf borderId="9" fillId="0" fontId="6" numFmtId="0" xfId="0" applyAlignment="1" applyBorder="1" applyFont="1">
      <alignment horizontal="center" readingOrder="0"/>
    </xf>
    <xf borderId="1" fillId="17" fontId="6" numFmtId="0" xfId="0" applyAlignment="1" applyBorder="1" applyFill="1" applyFont="1">
      <alignment horizontal="center" shrinkToFit="0" wrapText="0"/>
    </xf>
    <xf borderId="3" fillId="0" fontId="6" numFmtId="0" xfId="0" applyAlignment="1" applyBorder="1" applyFont="1">
      <alignment horizontal="center" readingOrder="0" shrinkToFit="0" wrapText="0"/>
    </xf>
    <xf borderId="2" fillId="0" fontId="6" numFmtId="0" xfId="0" applyAlignment="1" applyBorder="1" applyFont="1">
      <alignment horizontal="center" readingOrder="0"/>
    </xf>
    <xf borderId="10" fillId="0" fontId="6" numFmtId="0" xfId="0" applyAlignment="1" applyBorder="1" applyFont="1">
      <alignment horizontal="center" readingOrder="0" shrinkToFit="0" wrapText="0"/>
    </xf>
    <xf borderId="6" fillId="0" fontId="6" numFmtId="0" xfId="0" applyAlignment="1" applyBorder="1" applyFont="1">
      <alignment horizontal="center" readingOrder="0"/>
    </xf>
    <xf borderId="6" fillId="0" fontId="5" numFmtId="0" xfId="0" applyAlignment="1" applyBorder="1" applyFont="1">
      <alignment horizontal="center" readingOrder="0" shrinkToFit="0" wrapText="0"/>
    </xf>
    <xf borderId="1" fillId="0" fontId="12" numFmtId="0" xfId="0" applyAlignment="1" applyBorder="1" applyFont="1">
      <alignment horizontal="center" vertical="center"/>
    </xf>
    <xf borderId="6" fillId="0" fontId="6" numFmtId="0" xfId="0" applyAlignment="1" applyBorder="1" applyFont="1">
      <alignment horizontal="center" readingOrder="0" shrinkToFit="0" wrapText="0"/>
    </xf>
    <xf borderId="1" fillId="63" fontId="5" numFmtId="0" xfId="0" applyAlignment="1" applyBorder="1" applyFill="1" applyFont="1">
      <alignment horizontal="center" readingOrder="0" vertical="center"/>
    </xf>
    <xf borderId="1" fillId="63" fontId="6" numFmtId="166" xfId="0" applyAlignment="1" applyBorder="1" applyFill="1" applyFont="1" applyNumberFormat="1">
      <alignment horizontal="center" readingOrder="0"/>
    </xf>
    <xf borderId="1" fillId="63" fontId="6" numFmtId="0" xfId="0" applyAlignment="1" applyBorder="1" applyFill="1" applyFont="1">
      <alignment horizontal="center" readingOrder="0" shrinkToFit="0" wrapText="0"/>
    </xf>
    <xf borderId="1" fillId="63" fontId="5" numFmtId="166" xfId="0" applyAlignment="1" applyBorder="1" applyFill="1" applyFont="1" applyNumberFormat="1">
      <alignment horizontal="left" vertical="center"/>
    </xf>
    <xf borderId="1" fillId="63" fontId="2" numFmtId="0" xfId="0" applyAlignment="1" applyBorder="1" applyFill="1" applyFont="1">
      <alignment horizontal="center" readingOrder="0" vertical="center"/>
    </xf>
    <xf borderId="1" fillId="63" fontId="5" numFmtId="0" xfId="0" applyAlignment="1" applyBorder="1" applyFill="1" applyFont="1">
      <alignment horizontal="center" readingOrder="0" shrinkToFit="0" vertical="center" wrapText="1"/>
    </xf>
    <xf borderId="1" fillId="63" fontId="5" numFmtId="0" xfId="0" applyAlignment="1" applyBorder="1" applyFill="1" applyFont="1">
      <alignment horizontal="left" vertical="center"/>
    </xf>
    <xf borderId="1" fillId="63" fontId="5" numFmtId="167" xfId="0" applyAlignment="1" applyBorder="1" applyFill="1" applyFont="1" applyNumberFormat="1">
      <alignment horizontal="center" vertical="center"/>
    </xf>
    <xf borderId="1" fillId="63" fontId="5" numFmtId="0" xfId="0" applyAlignment="1" applyBorder="1" applyFill="1" applyFont="1">
      <alignment horizontal="left" readingOrder="0" vertical="center"/>
    </xf>
    <xf borderId="1" fillId="14" fontId="5" numFmtId="0" xfId="0" applyAlignment="1" applyBorder="1" applyFill="1" applyFont="1">
      <alignment horizontal="center" readingOrder="0" shrinkToFit="0" wrapText="0"/>
    </xf>
    <xf borderId="1" fillId="0" fontId="2" numFmtId="0" xfId="0" applyAlignment="1" applyBorder="1" applyFont="1">
      <alignment horizontal="center" vertical="center"/>
    </xf>
    <xf borderId="9" fillId="32" fontId="6" numFmtId="0" xfId="0" applyAlignment="1" applyBorder="1" applyFill="1" applyFont="1">
      <alignment horizontal="center" readingOrder="0"/>
    </xf>
    <xf borderId="1" fillId="39" fontId="5" numFmtId="0" xfId="0" applyAlignment="1" applyBorder="1" applyFill="1" applyFont="1">
      <alignment horizontal="center" shrinkToFit="0" vertical="center" wrapText="1"/>
    </xf>
    <xf borderId="9" fillId="31" fontId="6" numFmtId="0" xfId="0" applyAlignment="1" applyBorder="1" applyFill="1" applyFont="1">
      <alignment horizontal="center" readingOrder="0"/>
    </xf>
    <xf borderId="1" fillId="0" fontId="5" numFmtId="168" xfId="0" applyAlignment="1" applyBorder="1" applyFont="1" applyNumberFormat="1">
      <alignment horizontal="center" readingOrder="0" shrinkToFit="0" vertical="center" wrapText="1"/>
    </xf>
    <xf borderId="1" fillId="13" fontId="5" numFmtId="0" xfId="0" applyAlignment="1" applyBorder="1" applyFill="1" applyFont="1">
      <alignment horizontal="center" shrinkToFit="0" vertical="center" wrapText="1"/>
    </xf>
    <xf borderId="1" fillId="8" fontId="5" numFmtId="166" xfId="0" applyAlignment="1" applyBorder="1" applyFill="1" applyFont="1" applyNumberFormat="1">
      <alignment horizontal="center" vertical="center"/>
    </xf>
    <xf borderId="1" fillId="0" fontId="22" numFmtId="0" xfId="0" applyAlignment="1" applyBorder="1" applyFont="1">
      <alignment vertical="center"/>
    </xf>
    <xf borderId="1" fillId="0" fontId="22" numFmtId="0" xfId="0" applyAlignment="1" applyBorder="1" applyFont="1">
      <alignment vertical="center"/>
    </xf>
    <xf borderId="1" fillId="0" fontId="22" numFmtId="166" xfId="0" applyAlignment="1" applyBorder="1" applyFont="1" applyNumberFormat="1">
      <alignment vertical="center"/>
    </xf>
    <xf borderId="1" fillId="0" fontId="5" numFmtId="168" xfId="0" applyAlignment="1" applyBorder="1" applyFont="1" applyNumberFormat="1">
      <alignment horizontal="center" shrinkToFit="0" vertical="center" wrapText="1"/>
    </xf>
    <xf borderId="1" fillId="0" fontId="22" numFmtId="167" xfId="0" applyAlignment="1" applyBorder="1" applyFont="1" applyNumberFormat="1">
      <alignment vertical="center"/>
    </xf>
    <xf borderId="1" fillId="47" fontId="6" numFmtId="0" xfId="0" applyAlignment="1" applyBorder="1" applyFill="1" applyFont="1">
      <alignment horizontal="center" shrinkToFit="0" vertical="center" wrapText="0"/>
    </xf>
    <xf borderId="1" fillId="17" fontId="6" numFmtId="0" xfId="0" applyAlignment="1" applyBorder="1" applyFill="1" applyFont="1">
      <alignment horizontal="center"/>
    </xf>
    <xf borderId="0" fillId="0" fontId="6" numFmtId="0" xfId="0" applyAlignment="1" applyFont="1">
      <alignment horizontal="center" readingOrder="0" shrinkToFit="0" wrapText="0"/>
    </xf>
    <xf borderId="1" fillId="29" fontId="5" numFmtId="0" xfId="0" applyAlignment="1" applyBorder="1" applyFill="1" applyFont="1">
      <alignment horizontal="center" vertical="center"/>
    </xf>
    <xf borderId="1" fillId="3" fontId="5" numFmtId="0" xfId="0" applyAlignment="1" applyBorder="1" applyFill="1" applyFont="1">
      <alignment horizontal="left" shrinkToFit="0" vertical="center" wrapText="0"/>
    </xf>
    <xf borderId="1" fillId="3" fontId="5" numFmtId="0" xfId="0" applyAlignment="1" applyBorder="1" applyFill="1" applyFont="1">
      <alignment horizontal="center" shrinkToFit="0" vertical="center" wrapText="0"/>
    </xf>
    <xf borderId="1" fillId="3" fontId="5" numFmtId="49" xfId="0" applyAlignment="1" applyBorder="1" applyFill="1" applyFont="1" applyNumberFormat="1">
      <alignment horizontal="center" shrinkToFit="0" vertical="center" wrapText="1"/>
    </xf>
    <xf borderId="1" fillId="14" fontId="5" numFmtId="0" xfId="0" applyAlignment="1" applyBorder="1" applyFill="1" applyFont="1">
      <alignment horizontal="left" shrinkToFit="0" wrapText="0"/>
    </xf>
    <xf borderId="1" fillId="14" fontId="5" numFmtId="166" xfId="0" applyAlignment="1" applyBorder="1" applyFill="1" applyFont="1" applyNumberFormat="1">
      <alignment horizontal="center" readingOrder="0"/>
    </xf>
    <xf borderId="1" fillId="14" fontId="5" numFmtId="0" xfId="0" applyAlignment="1" applyBorder="1" applyFill="1" applyFont="1">
      <alignment horizontal="center" vertical="center"/>
    </xf>
    <xf borderId="0" fillId="14" fontId="5" numFmtId="0" xfId="0" applyAlignment="1" applyFill="1" applyFont="1">
      <alignment horizontal="center"/>
    </xf>
    <xf borderId="1" fillId="0" fontId="6" numFmtId="166" xfId="0" applyAlignment="1" applyBorder="1" applyFont="1" applyNumberFormat="1">
      <alignment horizontal="center" readingOrder="0" shrinkToFit="0" vertical="center" wrapText="0"/>
    </xf>
    <xf borderId="1" fillId="59" fontId="6" numFmtId="0" xfId="0" applyAlignment="1" applyBorder="1" applyFill="1" applyFont="1">
      <alignment horizontal="center" readingOrder="0" shrinkToFit="0" vertical="center" wrapText="0"/>
    </xf>
    <xf borderId="9" fillId="46" fontId="6" numFmtId="0" xfId="0" applyAlignment="1" applyBorder="1" applyFill="1" applyFont="1">
      <alignment horizontal="center" readingOrder="0"/>
    </xf>
    <xf borderId="1" fillId="0" fontId="14" numFmtId="165" xfId="0" applyAlignment="1" applyBorder="1" applyFont="1" applyNumberFormat="1">
      <alignment vertical="center"/>
    </xf>
    <xf borderId="1" fillId="13" fontId="5" numFmtId="0" xfId="0" applyAlignment="1" applyBorder="1" applyFill="1" applyFont="1">
      <alignment horizontal="center" shrinkToFit="0" vertical="center" wrapText="1"/>
    </xf>
    <xf borderId="1" fillId="0" fontId="28" numFmtId="165" xfId="0" applyAlignment="1" applyBorder="1" applyFont="1" applyNumberFormat="1">
      <alignment horizontal="center" readingOrder="0" shrinkToFit="0" vertical="center" wrapText="1"/>
    </xf>
    <xf borderId="1" fillId="0" fontId="6" numFmtId="168" xfId="0" applyAlignment="1" applyBorder="1" applyFont="1" applyNumberFormat="1">
      <alignment horizontal="center" readingOrder="0" shrinkToFit="0" vertical="center" wrapText="0"/>
    </xf>
    <xf borderId="1" fillId="3" fontId="6" numFmtId="0" xfId="0" applyAlignment="1" applyBorder="1" applyFill="1" applyFont="1">
      <alignment horizontal="center" readingOrder="0" shrinkToFit="0" vertical="center" wrapText="0"/>
    </xf>
    <xf borderId="1" fillId="59" fontId="5" numFmtId="0" xfId="0" applyAlignment="1" applyBorder="1" applyFill="1" applyFont="1">
      <alignment horizontal="center" readingOrder="0" shrinkToFit="0" vertical="center" wrapText="0"/>
    </xf>
    <xf borderId="1" fillId="37" fontId="5" numFmtId="0" xfId="0" applyAlignment="1" applyBorder="1" applyFill="1" applyFont="1">
      <alignment horizontal="center" shrinkToFit="0" vertical="center" wrapText="1"/>
    </xf>
    <xf borderId="1" fillId="14" fontId="5" numFmtId="0" xfId="0" applyAlignment="1" applyBorder="1" applyFill="1" applyFont="1">
      <alignment horizontal="left" readingOrder="0" shrinkToFit="0" wrapText="0"/>
    </xf>
    <xf borderId="1" fillId="14" fontId="5" numFmtId="171" xfId="0" applyAlignment="1" applyBorder="1" applyFill="1" applyFont="1" applyNumberFormat="1">
      <alignment horizontal="center" readingOrder="0"/>
    </xf>
    <xf borderId="1" fillId="14" fontId="5" numFmtId="0" xfId="0" applyAlignment="1" applyBorder="1" applyFill="1" applyFont="1">
      <alignment horizontal="center"/>
    </xf>
    <xf borderId="1" fillId="59" fontId="5" numFmtId="0" xfId="0" applyAlignment="1" applyBorder="1" applyFill="1" applyFont="1">
      <alignment horizontal="center" readingOrder="0" shrinkToFit="0" vertical="center" wrapText="1"/>
    </xf>
    <xf borderId="1" fillId="14" fontId="5" numFmtId="0" xfId="0" applyAlignment="1" applyBorder="1" applyFill="1" applyFont="1">
      <alignment horizontal="center" shrinkToFit="0" wrapText="1"/>
    </xf>
    <xf borderId="1" fillId="31" fontId="5" numFmtId="0" xfId="0" applyAlignment="1" applyBorder="1" applyFill="1" applyFont="1">
      <alignment horizontal="center" shrinkToFit="0" wrapText="0"/>
    </xf>
    <xf borderId="1" fillId="0" fontId="5" numFmtId="49" xfId="0" applyAlignment="1" applyBorder="1" applyFont="1" applyNumberFormat="1">
      <alignment horizontal="center" shrinkToFit="0" wrapText="1"/>
    </xf>
    <xf borderId="1" fillId="8" fontId="5" numFmtId="0" xfId="0" applyAlignment="1" applyBorder="1" applyFill="1" applyFont="1">
      <alignment horizontal="center"/>
    </xf>
    <xf borderId="1" fillId="0" fontId="22" numFmtId="0" xfId="0" applyBorder="1" applyFont="1"/>
    <xf borderId="1" fillId="59" fontId="5" numFmtId="0" xfId="0" applyAlignment="1" applyBorder="1" applyFill="1" applyFont="1">
      <alignment horizontal="center"/>
    </xf>
    <xf borderId="1" fillId="3" fontId="5" numFmtId="0" xfId="0" applyAlignment="1" applyBorder="1" applyFill="1" applyFont="1">
      <alignment horizontal="center"/>
    </xf>
    <xf borderId="1" fillId="0" fontId="4" numFmtId="165" xfId="0" applyAlignment="1" applyBorder="1" applyFont="1" applyNumberFormat="1">
      <alignment horizontal="center" readingOrder="0" shrinkToFit="0" vertical="center" wrapText="1"/>
    </xf>
    <xf borderId="1" fillId="0" fontId="22" numFmtId="166" xfId="0" applyBorder="1" applyFont="1" applyNumberFormat="1"/>
    <xf borderId="1" fillId="0" fontId="22" numFmtId="0" xfId="0" applyBorder="1" applyFont="1"/>
    <xf borderId="1" fillId="59" fontId="5" numFmtId="0" xfId="0" applyAlignment="1" applyBorder="1" applyFill="1" applyFont="1">
      <alignment horizontal="center"/>
    </xf>
    <xf borderId="1" fillId="18" fontId="5" numFmtId="0" xfId="0" applyAlignment="1" applyBorder="1" applyFill="1" applyFont="1">
      <alignment horizontal="center" vertical="center"/>
    </xf>
    <xf borderId="1" fillId="0" fontId="22" numFmtId="167" xfId="0" applyBorder="1" applyFont="1" applyNumberFormat="1"/>
    <xf borderId="0" fillId="0" fontId="22" numFmtId="0" xfId="0" applyFont="1"/>
    <xf borderId="1" fillId="33" fontId="5" numFmtId="0" xfId="0" applyAlignment="1" applyBorder="1" applyFill="1" applyFont="1">
      <alignment horizontal="center" shrinkToFit="0" vertical="center" wrapText="1"/>
    </xf>
    <xf borderId="1" fillId="8" fontId="5" numFmtId="0" xfId="0" applyAlignment="1" applyBorder="1" applyFill="1" applyFont="1">
      <alignment horizontal="center" shrinkToFit="0" wrapText="1"/>
    </xf>
    <xf borderId="1" fillId="0" fontId="14" numFmtId="0" xfId="0" applyAlignment="1" applyBorder="1" applyFont="1">
      <alignment horizontal="center" readingOrder="0" vertical="center"/>
    </xf>
    <xf borderId="1" fillId="26" fontId="5" numFmtId="0" xfId="0" applyAlignment="1" applyBorder="1" applyFill="1" applyFont="1">
      <alignment horizontal="center" shrinkToFit="0" wrapText="1"/>
    </xf>
    <xf borderId="1" fillId="0" fontId="22" numFmtId="14" xfId="0" applyBorder="1" applyFont="1" applyNumberFormat="1"/>
    <xf borderId="1" fillId="0" fontId="22" numFmtId="168" xfId="0" applyBorder="1" applyFont="1" applyNumberFormat="1"/>
    <xf borderId="9" fillId="56" fontId="6" numFmtId="0" xfId="0" applyAlignment="1" applyBorder="1" applyFill="1" applyFont="1">
      <alignment horizontal="center" readingOrder="0"/>
    </xf>
    <xf borderId="1" fillId="47" fontId="5" numFmtId="0" xfId="0" applyAlignment="1" applyBorder="1" applyFill="1" applyFont="1">
      <alignment horizontal="center" shrinkToFit="0" wrapText="1"/>
    </xf>
    <xf borderId="1" fillId="3" fontId="5" numFmtId="0" xfId="0" applyAlignment="1" applyBorder="1" applyFill="1" applyFont="1">
      <alignment horizontal="center" shrinkToFit="0" wrapText="1"/>
    </xf>
    <xf borderId="1" fillId="0" fontId="12" numFmtId="0" xfId="0" applyAlignment="1" applyBorder="1" applyFont="1">
      <alignment horizontal="center" shrinkToFit="0" wrapText="1"/>
    </xf>
    <xf borderId="1" fillId="39" fontId="5" numFmtId="0" xfId="0" applyAlignment="1" applyBorder="1" applyFill="1" applyFont="1">
      <alignment horizontal="center"/>
    </xf>
    <xf borderId="1" fillId="33" fontId="5" numFmtId="0" xfId="0" applyAlignment="1" applyBorder="1" applyFill="1" applyFont="1">
      <alignment horizontal="center" shrinkToFit="0" wrapText="1"/>
    </xf>
    <xf borderId="1" fillId="29" fontId="5" numFmtId="0" xfId="0" applyAlignment="1" applyBorder="1" applyFill="1" applyFont="1">
      <alignment horizontal="center" vertical="center"/>
    </xf>
    <xf borderId="1" fillId="57" fontId="5" numFmtId="0" xfId="0" applyAlignment="1" applyBorder="1" applyFill="1" applyFont="1">
      <alignment horizontal="center" vertical="center"/>
    </xf>
    <xf borderId="1" fillId="39" fontId="5" numFmtId="0" xfId="0" applyAlignment="1" applyBorder="1" applyFill="1" applyFont="1">
      <alignment horizontal="center" shrinkToFit="0" wrapText="1"/>
    </xf>
    <xf borderId="1" fillId="0" fontId="5" numFmtId="165" xfId="0" applyAlignment="1" applyBorder="1" applyFont="1" applyNumberFormat="1">
      <alignment horizontal="center" shrinkToFit="0" wrapText="1"/>
    </xf>
    <xf borderId="1" fillId="38" fontId="5" numFmtId="0" xfId="0" applyAlignment="1" applyBorder="1" applyFill="1" applyFont="1">
      <alignment horizontal="center" readingOrder="0" vertical="center"/>
    </xf>
    <xf borderId="1" fillId="0" fontId="6" numFmtId="0" xfId="0" applyAlignment="1" applyBorder="1" applyFont="1">
      <alignment horizontal="center" shrinkToFit="0" wrapText="0"/>
    </xf>
    <xf borderId="1" fillId="4" fontId="5" numFmtId="0" xfId="0" applyAlignment="1" applyBorder="1" applyFill="1" applyFont="1">
      <alignment horizontal="center" shrinkToFit="0" wrapText="1"/>
    </xf>
    <xf borderId="1" fillId="0" fontId="5" numFmtId="168" xfId="0" applyAlignment="1" applyBorder="1" applyFont="1" applyNumberFormat="1">
      <alignment horizontal="center" shrinkToFit="0" wrapText="1"/>
    </xf>
    <xf borderId="1" fillId="0" fontId="2" numFmtId="165" xfId="0" applyAlignment="1" applyBorder="1" applyFont="1" applyNumberFormat="1">
      <alignment horizontal="left" readingOrder="0" shrinkToFit="0" vertical="center" wrapText="0"/>
    </xf>
    <xf borderId="1" fillId="0" fontId="22" numFmtId="165" xfId="0" applyBorder="1" applyFont="1" applyNumberFormat="1"/>
    <xf borderId="1" fillId="0" fontId="2" numFmtId="166" xfId="0" applyAlignment="1" applyBorder="1" applyFont="1" applyNumberFormat="1">
      <alignment horizontal="center" readingOrder="0" vertical="center"/>
    </xf>
    <xf borderId="1" fillId="47" fontId="5" numFmtId="0" xfId="0" applyAlignment="1" applyBorder="1" applyFill="1" applyFont="1">
      <alignment horizontal="center" shrinkToFit="0" wrapText="1"/>
    </xf>
    <xf borderId="1" fillId="0" fontId="20" numFmtId="0" xfId="0" applyAlignment="1" applyBorder="1" applyFont="1">
      <alignment horizontal="center" readingOrder="0" shrinkToFit="0" vertical="center" wrapText="0"/>
    </xf>
    <xf borderId="1" fillId="0" fontId="13" numFmtId="0" xfId="0" applyBorder="1" applyFont="1"/>
    <xf borderId="1" fillId="0" fontId="8" numFmtId="49" xfId="0" applyBorder="1" applyFont="1" applyNumberFormat="1"/>
    <xf borderId="1" fillId="0" fontId="13" numFmtId="49" xfId="0" applyAlignment="1" applyBorder="1" applyFont="1" applyNumberFormat="1">
      <alignment horizontal="center"/>
    </xf>
    <xf borderId="1" fillId="0" fontId="8" numFmtId="0" xfId="0" applyBorder="1" applyFont="1"/>
    <xf borderId="1" fillId="64" fontId="5" numFmtId="0" xfId="0" applyAlignment="1" applyBorder="1" applyFill="1" applyFont="1">
      <alignment horizontal="center"/>
    </xf>
    <xf borderId="0" fillId="0" fontId="22" numFmtId="0" xfId="0" applyFont="1"/>
    <xf borderId="1" fillId="46" fontId="6" numFmtId="0" xfId="0" applyAlignment="1" applyBorder="1" applyFill="1" applyFont="1">
      <alignment horizontal="center" readingOrder="0" vertical="center"/>
    </xf>
    <xf borderId="1" fillId="14" fontId="5" numFmtId="166" xfId="0" applyAlignment="1" applyBorder="1" applyFill="1" applyFont="1" applyNumberFormat="1">
      <alignment horizontal="center"/>
    </xf>
    <xf borderId="1" fillId="0" fontId="6" numFmtId="165" xfId="0" applyAlignment="1" applyBorder="1" applyFont="1" applyNumberFormat="1">
      <alignment horizontal="center"/>
    </xf>
    <xf borderId="1" fillId="0" fontId="5" numFmtId="165" xfId="0" applyAlignment="1" applyBorder="1" applyFont="1" applyNumberFormat="1">
      <alignment horizontal="center" shrinkToFit="0" wrapText="0"/>
    </xf>
    <xf borderId="1" fillId="0" fontId="22" numFmtId="49" xfId="0" applyBorder="1" applyFont="1" applyNumberFormat="1"/>
    <xf borderId="1" fillId="38" fontId="6" numFmtId="0" xfId="0" applyAlignment="1" applyBorder="1" applyFill="1" applyFont="1">
      <alignment horizontal="center" readingOrder="0"/>
    </xf>
    <xf borderId="1" fillId="52" fontId="5" numFmtId="0" xfId="0" applyAlignment="1" applyBorder="1" applyFill="1" applyFont="1">
      <alignment horizontal="center" shrinkToFit="0" vertical="center" wrapText="1"/>
    </xf>
    <xf borderId="1" fillId="38" fontId="5" numFmtId="0" xfId="0" applyAlignment="1" applyBorder="1" applyFill="1" applyFont="1">
      <alignment horizontal="center" readingOrder="0"/>
    </xf>
    <xf borderId="1" fillId="31" fontId="6" numFmtId="0" xfId="0" applyAlignment="1" applyBorder="1" applyFill="1" applyFont="1">
      <alignment horizontal="center" readingOrder="0" shrinkToFit="0" vertical="center" wrapText="0"/>
    </xf>
    <xf borderId="1" fillId="12" fontId="5" numFmtId="0" xfId="0" applyAlignment="1" applyBorder="1" applyFill="1" applyFont="1">
      <alignment horizontal="center" readingOrder="0"/>
    </xf>
    <xf borderId="1" fillId="39" fontId="6" numFmtId="0" xfId="0" applyAlignment="1" applyBorder="1" applyFill="1" applyFont="1">
      <alignment horizontal="center" readingOrder="0" vertical="center"/>
    </xf>
    <xf borderId="1" fillId="12" fontId="5" numFmtId="0" xfId="0" applyAlignment="1" applyBorder="1" applyFill="1" applyFont="1">
      <alignment horizontal="left" shrinkToFit="0" wrapText="0"/>
    </xf>
    <xf borderId="1" fillId="12" fontId="5" numFmtId="0" xfId="0" applyAlignment="1" applyBorder="1" applyFill="1" applyFont="1">
      <alignment horizontal="center" shrinkToFit="0" vertical="center" wrapText="1"/>
    </xf>
    <xf borderId="1" fillId="12" fontId="5" numFmtId="166" xfId="0" applyAlignment="1" applyBorder="1" applyFill="1" applyFont="1" applyNumberFormat="1">
      <alignment horizontal="center" readingOrder="0"/>
    </xf>
    <xf borderId="1" fillId="33" fontId="6" numFmtId="0" xfId="0" applyAlignment="1" applyBorder="1" applyFill="1" applyFont="1">
      <alignment horizontal="center" readingOrder="0"/>
    </xf>
    <xf borderId="1" fillId="12" fontId="5" numFmtId="0" xfId="0" applyAlignment="1" applyBorder="1" applyFill="1" applyFont="1">
      <alignment horizontal="center" vertical="center"/>
    </xf>
    <xf borderId="1" fillId="12" fontId="5" numFmtId="0" xfId="0" applyAlignment="1" applyBorder="1" applyFill="1" applyFont="1">
      <alignment horizontal="center" readingOrder="0" shrinkToFit="0" wrapText="1"/>
    </xf>
    <xf borderId="1" fillId="12" fontId="5" numFmtId="0" xfId="0" applyAlignment="1" applyBorder="1" applyFill="1" applyFont="1">
      <alignment horizontal="center"/>
    </xf>
    <xf borderId="0" fillId="12" fontId="5" numFmtId="0" xfId="0" applyAlignment="1" applyFill="1" applyFont="1">
      <alignment horizontal="center"/>
    </xf>
    <xf borderId="1" fillId="0" fontId="5" numFmtId="0" xfId="0" applyAlignment="1" applyBorder="1" applyFont="1">
      <alignment horizontal="center" readingOrder="0" shrinkToFit="0" wrapText="0"/>
    </xf>
    <xf borderId="1" fillId="8" fontId="22" numFmtId="166" xfId="0" applyBorder="1" applyFill="1" applyFont="1" applyNumberFormat="1"/>
    <xf borderId="1" fillId="14" fontId="5" numFmtId="0" xfId="0" applyAlignment="1" applyBorder="1" applyFill="1" applyFont="1">
      <alignment horizontal="left" readingOrder="0" shrinkToFit="0" vertical="center" wrapText="0"/>
    </xf>
    <xf borderId="1" fillId="14" fontId="5" numFmtId="0" xfId="0" applyAlignment="1" applyBorder="1" applyFill="1" applyFont="1">
      <alignment horizontal="center" readingOrder="0" shrinkToFit="0" vertical="center" wrapText="0"/>
    </xf>
    <xf borderId="1" fillId="14" fontId="5" numFmtId="0" xfId="0" applyAlignment="1" applyBorder="1" applyFill="1" applyFont="1">
      <alignment horizontal="left" readingOrder="0" shrinkToFit="0" vertical="center" wrapText="0"/>
    </xf>
    <xf borderId="1" fillId="14" fontId="5" numFmtId="166" xfId="0" applyAlignment="1" applyBorder="1" applyFill="1" applyFont="1" applyNumberFormat="1">
      <alignment horizontal="center" readingOrder="0" vertical="center"/>
    </xf>
    <xf borderId="0" fillId="14" fontId="15" numFmtId="0" xfId="0" applyAlignment="1" applyFill="1" applyFont="1">
      <alignment horizontal="left"/>
    </xf>
    <xf borderId="0" fillId="0" fontId="15" numFmtId="0" xfId="0" applyAlignment="1" applyFont="1">
      <alignment vertical="center"/>
    </xf>
    <xf borderId="1" fillId="3" fontId="5" numFmtId="0" xfId="0" applyAlignment="1" applyBorder="1" applyFill="1" applyFont="1">
      <alignment horizontal="left" readingOrder="0" shrinkToFit="0" vertical="center" wrapText="0"/>
    </xf>
    <xf borderId="1" fillId="65" fontId="5" numFmtId="0" xfId="0" applyAlignment="1" applyBorder="1" applyFill="1" applyFont="1">
      <alignment horizontal="center" readingOrder="0" vertical="center"/>
    </xf>
    <xf borderId="1" fillId="36" fontId="5" numFmtId="0" xfId="0" applyAlignment="1" applyBorder="1" applyFill="1" applyFont="1">
      <alignment horizontal="left" readingOrder="0" shrinkToFit="0" wrapText="0"/>
    </xf>
    <xf borderId="1" fillId="36" fontId="5" numFmtId="0" xfId="0" applyAlignment="1" applyBorder="1" applyFill="1" applyFont="1">
      <alignment horizontal="center" vertical="center"/>
    </xf>
    <xf borderId="1" fillId="36" fontId="2" numFmtId="0" xfId="0" applyAlignment="1" applyBorder="1" applyFill="1" applyFont="1">
      <alignment horizontal="center" readingOrder="0"/>
    </xf>
    <xf borderId="1" fillId="66" fontId="5" numFmtId="0" xfId="0" applyAlignment="1" applyBorder="1" applyFill="1" applyFont="1">
      <alignment horizontal="center" vertical="center"/>
    </xf>
    <xf borderId="1" fillId="23" fontId="5" numFmtId="0" xfId="0" applyAlignment="1" applyBorder="1" applyFill="1" applyFont="1">
      <alignment horizontal="center" vertical="center"/>
    </xf>
    <xf borderId="0" fillId="3" fontId="15" numFmtId="0" xfId="0" applyAlignment="1" applyFill="1" applyFont="1">
      <alignment readingOrder="0" vertical="center"/>
    </xf>
    <xf borderId="1" fillId="0" fontId="5" numFmtId="165" xfId="0" applyAlignment="1" applyBorder="1" applyFont="1" applyNumberFormat="1">
      <alignment horizontal="center" readingOrder="0" shrinkToFit="0" vertical="center" wrapText="0"/>
    </xf>
    <xf borderId="1" fillId="0" fontId="6" numFmtId="0" xfId="0" applyAlignment="1" applyBorder="1" applyFont="1">
      <alignment horizontal="left" readingOrder="0" shrinkToFit="0" vertical="center" wrapText="1"/>
    </xf>
    <xf borderId="1" fillId="0" fontId="14" numFmtId="14" xfId="0" applyAlignment="1" applyBorder="1" applyFont="1" applyNumberFormat="1">
      <alignment vertical="center"/>
    </xf>
    <xf borderId="1" fillId="3" fontId="5" numFmtId="0" xfId="0" applyAlignment="1" applyBorder="1" applyFill="1" applyFont="1">
      <alignment horizontal="center" readingOrder="0" shrinkToFit="0" vertical="center" wrapText="0"/>
    </xf>
    <xf borderId="1" fillId="18" fontId="5" numFmtId="0" xfId="0" applyAlignment="1" applyBorder="1" applyFill="1" applyFont="1">
      <alignment horizontal="center" vertical="center"/>
    </xf>
    <xf borderId="1" fillId="3" fontId="6" numFmtId="0" xfId="0" applyAlignment="1" applyBorder="1" applyFill="1" applyFont="1">
      <alignment horizontal="center" readingOrder="0" shrinkToFit="0" vertical="center" wrapText="1"/>
    </xf>
    <xf borderId="1" fillId="0" fontId="29" numFmtId="167" xfId="0" applyAlignment="1" applyBorder="1" applyFont="1" applyNumberFormat="1">
      <alignment horizontal="center" vertical="center"/>
    </xf>
    <xf borderId="1" fillId="3" fontId="5" numFmtId="0" xfId="0" applyAlignment="1" applyBorder="1" applyFill="1" applyFont="1">
      <alignment horizontal="center" shrinkToFit="0" vertical="center" wrapText="1"/>
    </xf>
    <xf borderId="1" fillId="20" fontId="5" numFmtId="0" xfId="0" applyAlignment="1" applyBorder="1" applyFill="1" applyFont="1">
      <alignment horizontal="center" shrinkToFit="0" vertical="center" wrapText="1"/>
    </xf>
    <xf borderId="1" fillId="39" fontId="5" numFmtId="0" xfId="0" applyAlignment="1" applyBorder="1" applyFill="1" applyFont="1">
      <alignment horizontal="center" vertical="center"/>
    </xf>
    <xf borderId="1" fillId="0" fontId="13" numFmtId="0" xfId="0" applyBorder="1" applyFont="1"/>
    <xf borderId="1" fillId="0" fontId="8" numFmtId="0" xfId="0" applyBorder="1" applyFont="1"/>
    <xf borderId="1" fillId="8" fontId="5" numFmtId="0" xfId="0" applyAlignment="1" applyBorder="1" applyFill="1" applyFont="1">
      <alignment horizontal="center" shrinkToFit="0" wrapText="1"/>
    </xf>
    <xf borderId="1" fillId="0" fontId="22" numFmtId="0" xfId="0" applyAlignment="1" applyBorder="1" applyFont="1">
      <alignment readingOrder="0"/>
    </xf>
    <xf borderId="1" fillId="41" fontId="30" numFmtId="0" xfId="0" applyAlignment="1" applyBorder="1" applyFill="1" applyFont="1">
      <alignment readingOrder="0"/>
    </xf>
    <xf borderId="1" fillId="7" fontId="5" numFmtId="0" xfId="0" applyAlignment="1" applyBorder="1" applyFill="1" applyFont="1">
      <alignment horizontal="center" vertical="center"/>
    </xf>
    <xf borderId="1" fillId="0" fontId="5" numFmtId="49" xfId="0" applyAlignment="1" applyBorder="1" applyFont="1" applyNumberFormat="1">
      <alignment horizontal="center" readingOrder="0" shrinkToFit="0" vertical="center" wrapText="0"/>
    </xf>
    <xf borderId="1" fillId="0" fontId="31" numFmtId="0" xfId="0" applyAlignment="1" applyBorder="1" applyFont="1">
      <alignment horizontal="center" vertical="center"/>
    </xf>
    <xf borderId="1" fillId="0" fontId="6" numFmtId="0" xfId="0" applyAlignment="1" applyBorder="1" applyFont="1">
      <alignment readingOrder="0" shrinkToFit="0" vertical="center" wrapText="0"/>
    </xf>
    <xf borderId="1" fillId="41" fontId="5" numFmtId="0" xfId="0" applyAlignment="1" applyBorder="1" applyFill="1" applyFont="1">
      <alignment horizontal="center" vertical="center"/>
    </xf>
    <xf borderId="1" fillId="45" fontId="5" numFmtId="0" xfId="0" applyAlignment="1" applyBorder="1" applyFill="1" applyFont="1">
      <alignment horizontal="center" vertical="center"/>
    </xf>
    <xf borderId="1" fillId="52" fontId="5" numFmtId="0" xfId="0" applyAlignment="1" applyBorder="1" applyFill="1" applyFont="1">
      <alignment horizontal="center" vertical="center"/>
    </xf>
    <xf borderId="1" fillId="41" fontId="6" numFmtId="0" xfId="0" applyAlignment="1" applyBorder="1" applyFill="1" applyFont="1">
      <alignment horizontal="center" readingOrder="0" shrinkToFit="0" vertical="center" wrapText="0"/>
    </xf>
    <xf borderId="1" fillId="0" fontId="14" numFmtId="0" xfId="0" applyAlignment="1" applyBorder="1" applyFont="1">
      <alignment horizontal="center" vertical="center"/>
    </xf>
    <xf borderId="1" fillId="67" fontId="5" numFmtId="0" xfId="0" applyAlignment="1" applyBorder="1" applyFill="1" applyFont="1">
      <alignment horizontal="center" readingOrder="0" vertical="center"/>
    </xf>
    <xf borderId="1" fillId="0" fontId="6" numFmtId="0" xfId="0" applyAlignment="1" applyBorder="1" applyFont="1">
      <alignment horizontal="center"/>
    </xf>
    <xf borderId="0" fillId="0" fontId="6" numFmtId="0" xfId="0" applyAlignment="1" applyFont="1">
      <alignment horizontal="center" readingOrder="0" shrinkToFit="0" vertical="center" wrapText="1"/>
    </xf>
    <xf borderId="1" fillId="2" fontId="5" numFmtId="0" xfId="0" applyAlignment="1" applyBorder="1" applyFill="1" applyFont="1">
      <alignment horizontal="center" readingOrder="0" shrinkToFit="0" vertical="center" wrapText="1"/>
    </xf>
    <xf borderId="1" fillId="0" fontId="32" numFmtId="0" xfId="0" applyAlignment="1" applyBorder="1" applyFont="1">
      <alignment horizontal="center" readingOrder="0" shrinkToFit="0" vertical="center" wrapText="0"/>
    </xf>
    <xf borderId="2" fillId="14" fontId="6" numFmtId="0" xfId="0" applyAlignment="1" applyBorder="1" applyFill="1" applyFont="1">
      <alignment horizontal="center" readingOrder="0" shrinkToFit="0" wrapText="0"/>
    </xf>
    <xf borderId="1" fillId="37" fontId="6" numFmtId="0" xfId="0" applyAlignment="1" applyBorder="1" applyFill="1" applyFont="1">
      <alignment horizontal="center" readingOrder="0" shrinkToFit="0" vertical="center" wrapText="0"/>
    </xf>
    <xf borderId="1" fillId="39" fontId="5" numFmtId="0" xfId="0" applyAlignment="1" applyBorder="1" applyFill="1" applyFont="1">
      <alignment horizontal="center" vertical="center"/>
    </xf>
    <xf borderId="1" fillId="41" fontId="5" numFmtId="0" xfId="0" applyAlignment="1" applyBorder="1" applyFill="1" applyFont="1">
      <alignment horizontal="center" vertical="center"/>
    </xf>
    <xf borderId="2" fillId="14" fontId="1" numFmtId="0" xfId="0" applyAlignment="1" applyBorder="1" applyFill="1" applyFont="1">
      <alignment horizontal="center" readingOrder="0" shrinkToFit="0" wrapText="0"/>
    </xf>
    <xf borderId="1" fillId="8" fontId="6" numFmtId="0" xfId="0" applyAlignment="1" applyBorder="1" applyFill="1" applyFont="1">
      <alignment horizontal="center" readingOrder="0" shrinkToFit="0" wrapText="1"/>
    </xf>
    <xf borderId="1" fillId="14" fontId="6" numFmtId="0" xfId="0" applyAlignment="1" applyBorder="1" applyFill="1" applyFont="1">
      <alignment horizontal="center" readingOrder="0" shrinkToFit="0" wrapText="1"/>
    </xf>
    <xf borderId="1" fillId="14" fontId="6" numFmtId="0" xfId="0" applyAlignment="1" applyBorder="1" applyFill="1" applyFont="1">
      <alignment horizontal="center" readingOrder="0" shrinkToFit="0" wrapText="1"/>
    </xf>
    <xf borderId="1" fillId="3" fontId="6" numFmtId="0" xfId="0" applyAlignment="1" applyBorder="1" applyFill="1" applyFont="1">
      <alignment horizontal="center" readingOrder="0" shrinkToFit="0" wrapText="0"/>
    </xf>
    <xf borderId="1" fillId="46" fontId="5" numFmtId="0" xfId="0" applyAlignment="1" applyBorder="1" applyFill="1" applyFont="1">
      <alignment horizontal="center" readingOrder="0" vertical="center"/>
    </xf>
    <xf borderId="1" fillId="50" fontId="6" numFmtId="0" xfId="0" applyAlignment="1" applyBorder="1" applyFill="1" applyFont="1">
      <alignment horizontal="center" readingOrder="0" vertical="center"/>
    </xf>
    <xf borderId="1" fillId="41" fontId="5" numFmtId="0" xfId="0" applyAlignment="1" applyBorder="1" applyFill="1" applyFont="1">
      <alignment horizontal="center" shrinkToFit="0" vertical="center" wrapText="1"/>
    </xf>
    <xf borderId="1" fillId="8" fontId="6" numFmtId="0" xfId="0" applyAlignment="1" applyBorder="1" applyFill="1" applyFont="1">
      <alignment horizontal="center" readingOrder="0" vertical="center"/>
    </xf>
    <xf borderId="1" fillId="14" fontId="6" numFmtId="0" xfId="0" applyAlignment="1" applyBorder="1" applyFill="1" applyFont="1">
      <alignment horizontal="center" readingOrder="0" vertical="center"/>
    </xf>
    <xf borderId="1" fillId="42" fontId="6" numFmtId="0" xfId="0" applyAlignment="1" applyBorder="1" applyFill="1" applyFont="1">
      <alignment horizontal="center" readingOrder="0"/>
    </xf>
    <xf borderId="1" fillId="42" fontId="6" numFmtId="0" xfId="0" applyAlignment="1" applyBorder="1" applyFill="1" applyFont="1">
      <alignment horizontal="center" readingOrder="0" vertical="center"/>
    </xf>
    <xf borderId="1" fillId="8" fontId="6" numFmtId="0" xfId="0" applyAlignment="1" applyBorder="1" applyFill="1" applyFont="1">
      <alignment horizontal="center" readingOrder="0" shrinkToFit="0" vertical="center" wrapText="1"/>
    </xf>
    <xf borderId="1" fillId="0" fontId="18" numFmtId="165" xfId="0" applyAlignment="1" applyBorder="1" applyFont="1" applyNumberFormat="1">
      <alignment horizontal="left" readingOrder="0" shrinkToFit="0" vertical="bottom" wrapText="0"/>
    </xf>
    <xf borderId="1" fillId="14" fontId="18" numFmtId="0" xfId="0" applyAlignment="1" applyBorder="1" applyFill="1" applyFont="1">
      <alignment horizontal="right" readingOrder="0" shrinkToFit="0" vertical="bottom" wrapText="0"/>
    </xf>
    <xf borderId="1" fillId="0" fontId="18" numFmtId="0" xfId="0" applyAlignment="1" applyBorder="1" applyFont="1">
      <alignment horizontal="right" readingOrder="0" shrinkToFit="0" vertical="bottom" wrapText="0"/>
    </xf>
    <xf borderId="1" fillId="0" fontId="18" numFmtId="0" xfId="0" applyAlignment="1" applyBorder="1" applyFont="1">
      <alignment horizontal="left" readingOrder="0" shrinkToFit="0" vertical="bottom" wrapText="0"/>
    </xf>
    <xf borderId="1" fillId="3" fontId="6" numFmtId="0" xfId="0" applyAlignment="1" applyBorder="1" applyFill="1" applyFont="1">
      <alignment horizontal="center" readingOrder="0" vertical="center"/>
    </xf>
    <xf borderId="1" fillId="52" fontId="5" numFmtId="0" xfId="0" applyAlignment="1" applyBorder="1" applyFill="1" applyFont="1">
      <alignment horizontal="center" readingOrder="0" shrinkToFit="0" vertical="center" wrapText="1"/>
    </xf>
    <xf borderId="1" fillId="46" fontId="5" numFmtId="0" xfId="0" applyAlignment="1" applyBorder="1" applyFill="1" applyFont="1">
      <alignment horizontal="center" vertical="center"/>
    </xf>
    <xf borderId="0" fillId="0" fontId="6" numFmtId="0" xfId="0" applyAlignment="1" applyFont="1">
      <alignment horizontal="center" readingOrder="0" shrinkToFit="0" vertical="center" wrapText="1"/>
    </xf>
    <xf borderId="1" fillId="14" fontId="6" numFmtId="0" xfId="0" applyAlignment="1" applyBorder="1" applyFill="1" applyFont="1">
      <alignment horizontal="center"/>
    </xf>
    <xf borderId="1" fillId="14" fontId="6" numFmtId="166" xfId="0" applyAlignment="1" applyBorder="1" applyFill="1" applyFont="1" applyNumberFormat="1">
      <alignment horizontal="center"/>
    </xf>
    <xf borderId="1" fillId="14" fontId="6" numFmtId="0" xfId="0" applyAlignment="1" applyBorder="1" applyFill="1" applyFont="1">
      <alignment horizontal="center" shrinkToFit="0" wrapText="0"/>
    </xf>
    <xf borderId="1" fillId="14" fontId="5" numFmtId="166" xfId="0" applyAlignment="1" applyBorder="1" applyFill="1" applyFont="1" applyNumberFormat="1">
      <alignment horizontal="center" vertical="center"/>
    </xf>
    <xf borderId="1" fillId="26" fontId="5" numFmtId="0" xfId="0" applyAlignment="1" applyBorder="1" applyFill="1" applyFont="1">
      <alignment horizontal="center" vertical="center"/>
    </xf>
    <xf borderId="1" fillId="0" fontId="5" numFmtId="168" xfId="0" applyAlignment="1" applyBorder="1" applyFont="1" applyNumberFormat="1">
      <alignment vertical="center"/>
    </xf>
    <xf borderId="1" fillId="14" fontId="6" numFmtId="0" xfId="0" applyAlignment="1" applyBorder="1" applyFill="1" applyFont="1">
      <alignment readingOrder="0" shrinkToFit="0" vertical="center" wrapText="0"/>
    </xf>
    <xf borderId="1" fillId="14" fontId="6" numFmtId="49" xfId="0" applyAlignment="1" applyBorder="1" applyFill="1" applyFont="1" applyNumberFormat="1">
      <alignment readingOrder="0" shrinkToFit="0" vertical="center" wrapText="0"/>
    </xf>
    <xf borderId="1" fillId="14" fontId="6" numFmtId="49" xfId="0" applyAlignment="1" applyBorder="1" applyFill="1" applyFont="1" applyNumberFormat="1">
      <alignment horizontal="center" readingOrder="0" shrinkToFit="0" vertical="center" wrapText="0"/>
    </xf>
    <xf borderId="1" fillId="14" fontId="12" numFmtId="0" xfId="0" applyAlignment="1" applyBorder="1" applyFill="1" applyFont="1">
      <alignment horizontal="center" vertical="center"/>
    </xf>
    <xf borderId="1" fillId="14" fontId="10" numFmtId="0" xfId="0" applyAlignment="1" applyBorder="1" applyFill="1" applyFont="1">
      <alignment horizontal="center" readingOrder="0" shrinkToFit="0" vertical="center" wrapText="0"/>
    </xf>
    <xf borderId="0" fillId="14" fontId="5" numFmtId="0" xfId="0" applyAlignment="1" applyFill="1" applyFont="1">
      <alignment vertical="center"/>
    </xf>
    <xf borderId="1" fillId="14" fontId="6" numFmtId="0" xfId="0" applyAlignment="1" applyBorder="1" applyFill="1" applyFont="1">
      <alignment horizontal="center" shrinkToFit="0" wrapText="0"/>
    </xf>
    <xf borderId="1" fillId="14" fontId="6" numFmtId="0" xfId="0" applyAlignment="1" applyBorder="1" applyFill="1" applyFont="1">
      <alignment horizontal="center" shrinkToFit="0" wrapText="0"/>
    </xf>
    <xf borderId="1" fillId="14" fontId="5" numFmtId="0" xfId="0" applyAlignment="1" applyBorder="1" applyFill="1" applyFont="1">
      <alignment horizontal="center" readingOrder="0" vertical="center"/>
    </xf>
    <xf borderId="1" fillId="0" fontId="15" numFmtId="0" xfId="0" applyAlignment="1" applyBorder="1" applyFont="1">
      <alignment readingOrder="0"/>
    </xf>
    <xf borderId="1" fillId="25" fontId="5" numFmtId="0" xfId="0" applyAlignment="1" applyBorder="1" applyFill="1" applyFont="1">
      <alignment horizontal="center" readingOrder="0" vertical="center"/>
    </xf>
    <xf borderId="1" fillId="0" fontId="1" numFmtId="165" xfId="0" applyAlignment="1" applyBorder="1" applyFont="1" applyNumberFormat="1">
      <alignment horizontal="center" readingOrder="0" shrinkToFit="0" vertical="center" wrapText="0"/>
    </xf>
    <xf borderId="1" fillId="0" fontId="15" numFmtId="0" xfId="0" applyAlignment="1" applyBorder="1" applyFont="1">
      <alignment vertical="center"/>
    </xf>
    <xf borderId="1" fillId="3" fontId="5" numFmtId="0" xfId="0" applyAlignment="1" applyBorder="1" applyFill="1" applyFont="1">
      <alignment horizontal="left" readingOrder="0" shrinkToFit="0" vertical="center" wrapText="0"/>
    </xf>
    <xf borderId="9" fillId="17" fontId="6" numFmtId="0" xfId="0" applyAlignment="1" applyBorder="1" applyFill="1" applyFont="1">
      <alignment horizontal="center" readingOrder="0" shrinkToFit="0" wrapText="1"/>
    </xf>
    <xf borderId="1" fillId="0" fontId="1" numFmtId="0" xfId="0" applyAlignment="1" applyBorder="1" applyFont="1">
      <alignment horizontal="center" readingOrder="0"/>
    </xf>
    <xf borderId="2" fillId="0" fontId="1" numFmtId="0" xfId="0" applyAlignment="1" applyBorder="1" applyFont="1">
      <alignment horizontal="center" readingOrder="0" shrinkToFit="0" wrapText="0"/>
    </xf>
    <xf borderId="0" fillId="41" fontId="30" numFmtId="0" xfId="0" applyAlignment="1" applyFill="1" applyFont="1">
      <alignment readingOrder="0"/>
    </xf>
    <xf borderId="1" fillId="17" fontId="5" numFmtId="0" xfId="0" applyAlignment="1" applyBorder="1" applyFill="1" applyFont="1">
      <alignment horizontal="center" readingOrder="0" shrinkToFit="0" vertical="center" wrapText="0"/>
    </xf>
    <xf borderId="1" fillId="17" fontId="6" numFmtId="0" xfId="0" applyAlignment="1" applyBorder="1" applyFill="1" applyFont="1">
      <alignment readingOrder="0" shrinkToFit="0" vertical="center" wrapText="0"/>
    </xf>
    <xf borderId="0" fillId="0" fontId="15" numFmtId="0" xfId="0" applyAlignment="1" applyFont="1">
      <alignment horizontal="left" shrinkToFit="0" wrapText="1"/>
    </xf>
    <xf borderId="1" fillId="17" fontId="6" numFmtId="49" xfId="0" applyAlignment="1" applyBorder="1" applyFill="1" applyFont="1" applyNumberFormat="1">
      <alignment horizontal="center" readingOrder="0" shrinkToFit="0" vertical="center" wrapText="0"/>
    </xf>
    <xf borderId="1" fillId="17" fontId="5" numFmtId="0" xfId="0" applyAlignment="1" applyBorder="1" applyFill="1" applyFont="1">
      <alignment horizontal="center" shrinkToFit="0" vertical="center" wrapText="1"/>
    </xf>
    <xf borderId="1" fillId="17" fontId="6" numFmtId="0" xfId="0" applyAlignment="1" applyBorder="1" applyFill="1" applyFont="1">
      <alignment horizontal="center" shrinkToFit="0" wrapText="0"/>
    </xf>
    <xf borderId="1" fillId="17" fontId="5" numFmtId="0" xfId="0" applyAlignment="1" applyBorder="1" applyFill="1" applyFont="1">
      <alignment horizontal="center" vertical="bottom"/>
    </xf>
    <xf borderId="1" fillId="17" fontId="15" numFmtId="0" xfId="0" applyBorder="1" applyFill="1" applyFont="1"/>
    <xf borderId="1" fillId="17" fontId="16" numFmtId="0" xfId="0" applyBorder="1" applyFill="1" applyFont="1"/>
    <xf borderId="1" fillId="17" fontId="6" numFmtId="165" xfId="0" applyAlignment="1" applyBorder="1" applyFill="1" applyFont="1" applyNumberFormat="1">
      <alignment horizontal="center" vertical="bottom"/>
    </xf>
    <xf borderId="1" fillId="8" fontId="6" numFmtId="166" xfId="0" applyAlignment="1" applyBorder="1" applyFill="1" applyFont="1" applyNumberFormat="1">
      <alignment horizontal="center" shrinkToFit="0" vertical="bottom" wrapText="0"/>
    </xf>
    <xf borderId="1" fillId="17" fontId="6" numFmtId="0" xfId="0" applyAlignment="1" applyBorder="1" applyFill="1" applyFont="1">
      <alignment horizontal="center" shrinkToFit="0" vertical="bottom" wrapText="0"/>
    </xf>
    <xf borderId="1" fillId="17" fontId="6" numFmtId="0" xfId="0" applyAlignment="1" applyBorder="1" applyFill="1" applyFont="1">
      <alignment horizontal="center" shrinkToFit="0" vertical="bottom" wrapText="0"/>
    </xf>
    <xf borderId="1" fillId="17" fontId="5" numFmtId="166" xfId="0" applyAlignment="1" applyBorder="1" applyFill="1" applyFont="1" applyNumberFormat="1">
      <alignment horizontal="center"/>
    </xf>
    <xf borderId="1" fillId="39" fontId="14" numFmtId="0" xfId="0" applyAlignment="1" applyBorder="1" applyFill="1" applyFont="1">
      <alignment vertical="center"/>
    </xf>
    <xf borderId="1" fillId="14" fontId="6" numFmtId="166" xfId="0" applyAlignment="1" applyBorder="1" applyFill="1" applyFont="1" applyNumberFormat="1">
      <alignment horizontal="right" readingOrder="0" shrinkToFit="0" wrapText="0"/>
    </xf>
    <xf borderId="1" fillId="0" fontId="33" numFmtId="0" xfId="0" applyAlignment="1" applyBorder="1" applyFont="1">
      <alignment horizontal="center" readingOrder="0"/>
    </xf>
    <xf borderId="1" fillId="8" fontId="5" numFmtId="0" xfId="0" applyAlignment="1" applyBorder="1" applyFill="1" applyFont="1">
      <alignment horizontal="center" shrinkToFit="0" vertical="center" wrapText="1"/>
    </xf>
    <xf borderId="1" fillId="3" fontId="34" numFmtId="0" xfId="0" applyAlignment="1" applyBorder="1" applyFill="1" applyFont="1">
      <alignment horizontal="left" readingOrder="0" shrinkToFit="0" vertical="center" wrapText="0"/>
    </xf>
    <xf borderId="1" fillId="55" fontId="5" numFmtId="0" xfId="0" applyAlignment="1" applyBorder="1" applyFill="1" applyFont="1">
      <alignment horizontal="center" readingOrder="0" vertical="center"/>
    </xf>
    <xf borderId="1" fillId="68" fontId="5" numFmtId="0" xfId="0" applyAlignment="1" applyBorder="1" applyFill="1" applyFont="1">
      <alignment horizontal="left" readingOrder="0" vertical="center"/>
    </xf>
    <xf borderId="1" fillId="0" fontId="5" numFmtId="172" xfId="0" applyAlignment="1" applyBorder="1" applyFont="1" applyNumberFormat="1">
      <alignment horizontal="center" readingOrder="0" vertical="center"/>
    </xf>
    <xf borderId="1" fillId="17" fontId="5" numFmtId="0" xfId="0" applyAlignment="1" applyBorder="1" applyFill="1" applyFont="1">
      <alignment horizontal="center" vertical="center"/>
    </xf>
    <xf borderId="1" fillId="17" fontId="5" numFmtId="0" xfId="0" applyAlignment="1" applyBorder="1" applyFill="1" applyFont="1">
      <alignment horizontal="left" shrinkToFit="0" vertical="center" wrapText="0"/>
    </xf>
    <xf borderId="1" fillId="17" fontId="5" numFmtId="0" xfId="0" applyAlignment="1" applyBorder="1" applyFill="1" applyFont="1">
      <alignment horizontal="center" shrinkToFit="0" vertical="center" wrapText="0"/>
    </xf>
    <xf borderId="1" fillId="17" fontId="6" numFmtId="0" xfId="0" applyAlignment="1" applyBorder="1" applyFill="1" applyFont="1">
      <alignment horizontal="center" shrinkToFit="0" wrapText="0"/>
    </xf>
    <xf borderId="1" fillId="17" fontId="6" numFmtId="166" xfId="0" applyAlignment="1" applyBorder="1" applyFill="1" applyFont="1" applyNumberFormat="1">
      <alignment horizontal="center" shrinkToFit="0" wrapText="0"/>
    </xf>
    <xf borderId="1" fillId="17" fontId="6" numFmtId="0" xfId="0" applyAlignment="1" applyBorder="1" applyFill="1" applyFont="1">
      <alignment horizontal="center" shrinkToFit="0" wrapText="0"/>
    </xf>
    <xf borderId="1" fillId="17" fontId="5" numFmtId="0" xfId="0" applyAlignment="1" applyBorder="1" applyFill="1" applyFont="1">
      <alignment horizontal="center" vertical="center"/>
    </xf>
    <xf borderId="1" fillId="0" fontId="5" numFmtId="49" xfId="0" applyAlignment="1" applyBorder="1" applyFont="1" applyNumberFormat="1">
      <alignment horizontal="center" vertical="center"/>
    </xf>
    <xf borderId="0" fillId="0" fontId="16" numFmtId="0" xfId="0" applyFont="1"/>
    <xf borderId="1" fillId="17" fontId="5" numFmtId="167" xfId="0" applyAlignment="1" applyBorder="1" applyFill="1" applyFont="1" applyNumberFormat="1">
      <alignment horizontal="center" vertical="center"/>
    </xf>
    <xf borderId="0" fillId="17" fontId="5" numFmtId="0" xfId="0" applyAlignment="1" applyFill="1" applyFont="1">
      <alignment horizontal="center" vertical="center"/>
    </xf>
    <xf borderId="1" fillId="43" fontId="6" numFmtId="0" xfId="0" applyAlignment="1" applyBorder="1" applyFill="1" applyFont="1">
      <alignment horizontal="center" readingOrder="0" shrinkToFit="0" wrapText="0"/>
    </xf>
    <xf borderId="1" fillId="41" fontId="6" numFmtId="0" xfId="0" applyAlignment="1" applyBorder="1" applyFill="1" applyFont="1">
      <alignment horizontal="center" readingOrder="0" shrinkToFit="0" wrapText="1"/>
    </xf>
    <xf borderId="1" fillId="0" fontId="5" numFmtId="169" xfId="0" applyAlignment="1" applyBorder="1" applyFont="1" applyNumberFormat="1">
      <alignment horizontal="center" readingOrder="0" vertical="center"/>
    </xf>
    <xf borderId="1" fillId="17" fontId="6" numFmtId="0" xfId="0" applyAlignment="1" applyBorder="1" applyFill="1" applyFont="1">
      <alignment horizontal="center" shrinkToFit="0" wrapText="0"/>
    </xf>
    <xf borderId="1" fillId="17" fontId="5" numFmtId="0" xfId="0" applyAlignment="1" applyBorder="1" applyFill="1" applyFont="1">
      <alignment horizontal="center" vertical="center"/>
    </xf>
    <xf borderId="1" fillId="0" fontId="6" numFmtId="166" xfId="0" applyAlignment="1" applyBorder="1" applyFont="1" applyNumberFormat="1">
      <alignment horizontal="center" readingOrder="0" shrinkToFit="0" vertical="center" wrapText="1"/>
    </xf>
    <xf borderId="1" fillId="0" fontId="6" numFmtId="165" xfId="0" applyAlignment="1" applyBorder="1" applyFont="1" applyNumberFormat="1">
      <alignment horizontal="center" readingOrder="0" shrinkToFit="0" vertical="center" wrapText="1"/>
    </xf>
    <xf borderId="1" fillId="7" fontId="5" numFmtId="165" xfId="0" applyAlignment="1" applyBorder="1" applyFill="1" applyFont="1" applyNumberFormat="1">
      <alignment horizontal="center" readingOrder="0" shrinkToFit="0" vertical="center" wrapText="0"/>
    </xf>
    <xf borderId="1" fillId="17" fontId="5" numFmtId="0" xfId="0" applyAlignment="1" applyBorder="1" applyFill="1" applyFont="1">
      <alignment horizontal="left" readingOrder="0" shrinkToFit="0" vertical="center" wrapText="0"/>
    </xf>
    <xf borderId="1" fillId="17" fontId="5" numFmtId="0" xfId="0" applyAlignment="1" applyBorder="1" applyFill="1" applyFont="1">
      <alignment horizontal="left" shrinkToFit="0" vertical="center" wrapText="0"/>
    </xf>
    <xf borderId="1" fillId="17" fontId="5" numFmtId="166" xfId="0" applyAlignment="1" applyBorder="1" applyFill="1" applyFont="1" applyNumberFormat="1">
      <alignment horizontal="center" vertical="center"/>
    </xf>
    <xf borderId="1" fillId="17" fontId="5" numFmtId="165" xfId="0" applyAlignment="1" applyBorder="1" applyFill="1" applyFont="1" applyNumberFormat="1">
      <alignment horizontal="center" readingOrder="0" shrinkToFit="0" vertical="center" wrapText="0"/>
    </xf>
    <xf borderId="1" fillId="17" fontId="5" numFmtId="0" xfId="0" applyAlignment="1" applyBorder="1" applyFill="1" applyFont="1">
      <alignment horizontal="center" readingOrder="0" vertical="center"/>
    </xf>
    <xf borderId="1" fillId="65" fontId="6" numFmtId="0" xfId="0" applyAlignment="1" applyBorder="1" applyFill="1" applyFont="1">
      <alignment horizontal="center" readingOrder="0" shrinkToFit="0" vertical="center" wrapText="0"/>
    </xf>
    <xf borderId="1" fillId="0" fontId="35" numFmtId="0" xfId="0" applyAlignment="1" applyBorder="1" applyFont="1">
      <alignment horizontal="center" readingOrder="0"/>
    </xf>
    <xf borderId="1" fillId="0" fontId="5" numFmtId="166" xfId="0" applyAlignment="1" applyBorder="1" applyFont="1" applyNumberFormat="1">
      <alignment horizontal="center" shrinkToFit="0" vertical="center" wrapText="1"/>
    </xf>
    <xf borderId="0" fillId="0" fontId="18" numFmtId="0" xfId="0" applyAlignment="1" applyFont="1">
      <alignment shrinkToFit="0" vertical="bottom" wrapText="0"/>
    </xf>
    <xf borderId="0" fillId="0" fontId="18" numFmtId="0" xfId="0" applyAlignment="1" applyFont="1">
      <alignment shrinkToFit="0" vertical="bottom" wrapText="0"/>
    </xf>
    <xf borderId="0" fillId="8" fontId="18" numFmtId="0" xfId="0" applyAlignment="1" applyFill="1" applyFont="1">
      <alignment shrinkToFit="0" vertical="bottom" wrapText="0"/>
    </xf>
    <xf borderId="1" fillId="0" fontId="16" numFmtId="0" xfId="0" applyAlignment="1" applyBorder="1" applyFont="1">
      <alignment readingOrder="0"/>
    </xf>
    <xf borderId="1" fillId="17" fontId="5" numFmtId="165" xfId="0" applyAlignment="1" applyBorder="1" applyFill="1" applyFont="1" applyNumberFormat="1">
      <alignment horizontal="left" readingOrder="0" shrinkToFit="0" vertical="center" wrapText="0"/>
    </xf>
    <xf borderId="1" fillId="17" fontId="5" numFmtId="14" xfId="0" applyAlignment="1" applyBorder="1" applyFill="1" applyFont="1" applyNumberFormat="1">
      <alignment horizontal="center" readingOrder="0" vertical="center"/>
    </xf>
    <xf borderId="1" fillId="3" fontId="6" numFmtId="0" xfId="0" applyAlignment="1" applyBorder="1" applyFill="1" applyFont="1">
      <alignment horizontal="center" readingOrder="0" shrinkToFit="0" vertical="center" wrapText="0"/>
    </xf>
    <xf borderId="1" fillId="0" fontId="6" numFmtId="165" xfId="0" applyAlignment="1" applyBorder="1" applyFont="1" applyNumberFormat="1">
      <alignment readingOrder="0" shrinkToFit="0" vertical="center" wrapText="0"/>
    </xf>
    <xf borderId="0" fillId="0" fontId="1" numFmtId="0" xfId="0" applyAlignment="1" applyFont="1">
      <alignment shrinkToFit="0" vertical="bottom" wrapText="0"/>
    </xf>
    <xf borderId="0" fillId="0" fontId="15" numFmtId="0" xfId="0" applyAlignment="1" applyFont="1">
      <alignment readingOrder="0"/>
    </xf>
    <xf borderId="1" fillId="7" fontId="6" numFmtId="0" xfId="0" applyAlignment="1" applyBorder="1" applyFill="1" applyFont="1">
      <alignment horizontal="center" readingOrder="0" shrinkToFit="0" vertical="center" wrapText="0"/>
    </xf>
    <xf borderId="0" fillId="0" fontId="6" numFmtId="166" xfId="0" applyAlignment="1" applyFont="1" applyNumberFormat="1">
      <alignment horizontal="center" readingOrder="0" shrinkToFit="0" vertical="center" wrapText="1"/>
    </xf>
    <xf borderId="0" fillId="0" fontId="6" numFmtId="165" xfId="0" applyAlignment="1" applyFont="1" applyNumberFormat="1">
      <alignment horizontal="center" readingOrder="0" shrinkToFit="0" vertical="center" wrapText="1"/>
    </xf>
    <xf borderId="1" fillId="48" fontId="5" numFmtId="0" xfId="0" applyAlignment="1" applyBorder="1" applyFill="1" applyFont="1">
      <alignment horizontal="center" readingOrder="0" vertical="center"/>
    </xf>
    <xf borderId="1" fillId="38" fontId="6" numFmtId="0" xfId="0" applyAlignment="1" applyBorder="1" applyFill="1" applyFont="1">
      <alignment horizontal="left" readingOrder="0" shrinkToFit="0" vertical="center" wrapText="0"/>
    </xf>
    <xf borderId="1" fillId="14" fontId="2" numFmtId="0" xfId="0" applyAlignment="1" applyBorder="1" applyFill="1" applyFont="1">
      <alignment horizontal="left" readingOrder="0" shrinkToFit="0" vertical="center" wrapText="1"/>
    </xf>
    <xf borderId="1" fillId="7" fontId="20" numFmtId="0" xfId="0" applyAlignment="1" applyBorder="1" applyFill="1" applyFont="1">
      <alignment horizontal="center" readingOrder="0" vertical="center"/>
    </xf>
    <xf borderId="1" fillId="0" fontId="6" numFmtId="49" xfId="0" applyAlignment="1" applyBorder="1" applyFont="1" applyNumberFormat="1">
      <alignment readingOrder="0" shrinkToFit="0" vertical="center" wrapText="0"/>
    </xf>
    <xf borderId="1" fillId="0" fontId="6" numFmtId="49" xfId="0" applyAlignment="1" applyBorder="1" applyFont="1" applyNumberFormat="1">
      <alignment horizontal="center" readingOrder="0" shrinkToFit="0" vertical="center" wrapText="0"/>
    </xf>
    <xf borderId="1" fillId="49" fontId="5" numFmtId="0" xfId="0" applyAlignment="1" applyBorder="1" applyFill="1" applyFont="1">
      <alignment horizontal="center" readingOrder="0" vertical="center"/>
    </xf>
    <xf borderId="1" fillId="3" fontId="6" numFmtId="0" xfId="0" applyAlignment="1" applyBorder="1" applyFill="1" applyFont="1">
      <alignment horizontal="center" readingOrder="0" vertical="center"/>
    </xf>
    <xf borderId="1" fillId="58" fontId="6" numFmtId="0" xfId="0" applyAlignment="1" applyBorder="1" applyFill="1" applyFont="1">
      <alignment horizontal="center" readingOrder="0" shrinkToFit="0" vertical="center" wrapText="0"/>
    </xf>
    <xf borderId="1" fillId="49" fontId="5" numFmtId="0" xfId="0" applyAlignment="1" applyBorder="1" applyFill="1" applyFont="1">
      <alignment horizontal="center" vertical="center"/>
    </xf>
    <xf borderId="1" fillId="49" fontId="6" numFmtId="0" xfId="0" applyAlignment="1" applyBorder="1" applyFill="1" applyFont="1">
      <alignment horizontal="center" readingOrder="0" shrinkToFit="0" vertical="center" wrapText="0"/>
    </xf>
    <xf borderId="0" fillId="0" fontId="14" numFmtId="0" xfId="0" applyAlignment="1" applyFont="1">
      <alignment vertical="center"/>
    </xf>
    <xf borderId="0" fillId="0" fontId="14" numFmtId="0" xfId="0" applyAlignment="1" applyFont="1">
      <alignment vertical="center"/>
    </xf>
    <xf borderId="1" fillId="8" fontId="6" numFmtId="166" xfId="0" applyAlignment="1" applyBorder="1" applyFill="1" applyFont="1" applyNumberFormat="1">
      <alignment horizontal="center" readingOrder="0" shrinkToFit="0" wrapText="0"/>
    </xf>
    <xf borderId="1" fillId="41" fontId="35" numFmtId="0" xfId="0" applyAlignment="1" applyBorder="1" applyFill="1" applyFont="1">
      <alignment horizontal="center" readingOrder="0" shrinkToFit="0" wrapText="1"/>
    </xf>
    <xf borderId="1" fillId="12" fontId="5" numFmtId="0" xfId="0" applyAlignment="1" applyBorder="1" applyFill="1" applyFont="1">
      <alignment horizontal="center" readingOrder="0" vertical="center"/>
    </xf>
    <xf borderId="1" fillId="35" fontId="5" numFmtId="0" xfId="0" applyAlignment="1" applyBorder="1" applyFill="1" applyFont="1">
      <alignment horizontal="center" shrinkToFit="0" vertical="center" wrapText="1"/>
    </xf>
    <xf borderId="1" fillId="17" fontId="6" numFmtId="0" xfId="0" applyAlignment="1" applyBorder="1" applyFill="1" applyFont="1">
      <alignment horizontal="center" readingOrder="0" shrinkToFit="0" vertical="center" wrapText="0"/>
    </xf>
    <xf borderId="1" fillId="0" fontId="10" numFmtId="0" xfId="0" applyAlignment="1" applyBorder="1" applyFont="1">
      <alignment horizontal="center" readingOrder="0" shrinkToFit="0" vertical="center" wrapText="0"/>
    </xf>
    <xf borderId="1" fillId="0" fontId="36" numFmtId="0" xfId="0" applyAlignment="1" applyBorder="1" applyFont="1">
      <alignment horizontal="left" readingOrder="0" shrinkToFit="0" vertical="center" wrapText="0"/>
    </xf>
    <xf borderId="1" fillId="25" fontId="6" numFmtId="0" xfId="0" applyAlignment="1" applyBorder="1" applyFill="1" applyFont="1">
      <alignment horizontal="center" readingOrder="0" shrinkToFit="0" vertical="center" wrapText="0"/>
    </xf>
    <xf borderId="1" fillId="56" fontId="5" numFmtId="0" xfId="0" applyAlignment="1" applyBorder="1" applyFill="1" applyFont="1">
      <alignment horizontal="center" vertical="center"/>
    </xf>
    <xf borderId="1" fillId="0" fontId="6" numFmtId="165" xfId="0" applyAlignment="1" applyBorder="1" applyFont="1" applyNumberFormat="1">
      <alignment horizontal="center" readingOrder="0" shrinkToFit="0" vertical="center" wrapText="0"/>
    </xf>
    <xf borderId="2" fillId="14" fontId="6" numFmtId="0" xfId="0" applyAlignment="1" applyBorder="1" applyFill="1" applyFont="1">
      <alignment horizontal="center" readingOrder="0" shrinkToFit="0" wrapText="0"/>
    </xf>
    <xf borderId="1" fillId="0" fontId="6" numFmtId="165" xfId="0" applyAlignment="1" applyBorder="1" applyFont="1" applyNumberFormat="1">
      <alignment horizontal="center" shrinkToFit="0" vertical="center" wrapText="0"/>
    </xf>
    <xf borderId="0" fillId="0" fontId="6" numFmtId="0" xfId="0" applyAlignment="1" applyFont="1">
      <alignment horizontal="center" readingOrder="0" shrinkToFit="0" vertical="bottom" wrapText="0"/>
    </xf>
    <xf borderId="1" fillId="0" fontId="5" numFmtId="0" xfId="0" applyBorder="1" applyFont="1"/>
    <xf borderId="1" fillId="0" fontId="5" numFmtId="166" xfId="0" applyBorder="1" applyFont="1" applyNumberFormat="1"/>
    <xf borderId="0" fillId="0" fontId="5" numFmtId="166" xfId="0" applyFont="1" applyNumberFormat="1"/>
    <xf borderId="1" fillId="0" fontId="5" numFmtId="173" xfId="0" applyAlignment="1" applyBorder="1" applyFont="1" applyNumberFormat="1">
      <alignment horizontal="center" readingOrder="0" vertical="center"/>
    </xf>
    <xf borderId="0" fillId="0" fontId="16" numFmtId="166" xfId="0" applyFont="1" applyNumberFormat="1"/>
    <xf borderId="1" fillId="49" fontId="10" numFmtId="0" xfId="0" applyAlignment="1" applyBorder="1" applyFill="1" applyFont="1">
      <alignment horizontal="center" readingOrder="0" shrinkToFit="0" vertical="center" wrapText="0"/>
    </xf>
    <xf borderId="1" fillId="0" fontId="6" numFmtId="166" xfId="0" applyAlignment="1" applyBorder="1" applyFont="1" applyNumberFormat="1">
      <alignment horizontal="center" readingOrder="0" shrinkToFit="0" vertical="center" wrapText="0"/>
    </xf>
    <xf borderId="2" fillId="14" fontId="6" numFmtId="0" xfId="0" applyAlignment="1" applyBorder="1" applyFill="1" applyFont="1">
      <alignment horizontal="center" readingOrder="0" shrinkToFit="0" vertical="center" wrapText="0"/>
    </xf>
    <xf borderId="0" fillId="0" fontId="5" numFmtId="0" xfId="0" applyAlignment="1" applyFont="1">
      <alignment vertical="center"/>
    </xf>
    <xf borderId="1" fillId="0" fontId="2" numFmtId="165" xfId="0" applyAlignment="1" applyBorder="1" applyFont="1" applyNumberFormat="1">
      <alignment horizontal="center" readingOrder="0"/>
    </xf>
    <xf borderId="1" fillId="12" fontId="20" numFmtId="0" xfId="0" applyAlignment="1" applyBorder="1" applyFill="1" applyFont="1">
      <alignment horizontal="center" readingOrder="0" vertical="center"/>
    </xf>
    <xf borderId="0" fillId="0" fontId="15" numFmtId="0" xfId="0" applyAlignment="1" applyFont="1">
      <alignment horizontal="left" readingOrder="0"/>
    </xf>
    <xf borderId="1" fillId="0" fontId="20" numFmtId="0" xfId="0" applyAlignment="1" applyBorder="1" applyFont="1">
      <alignment horizontal="center" readingOrder="0" shrinkToFit="0" vertical="center" wrapText="0"/>
    </xf>
    <xf borderId="1" fillId="25" fontId="5" numFmtId="0" xfId="0" applyAlignment="1" applyBorder="1" applyFill="1" applyFont="1">
      <alignment horizontal="center" vertical="center"/>
    </xf>
    <xf borderId="1" fillId="0" fontId="20" numFmtId="170" xfId="0" applyAlignment="1" applyBorder="1" applyFont="1" applyNumberFormat="1">
      <alignment horizontal="center" readingOrder="0" vertical="center"/>
    </xf>
    <xf borderId="1" fillId="0" fontId="37" numFmtId="0" xfId="0" applyAlignment="1" applyBorder="1" applyFont="1">
      <alignment horizontal="left" readingOrder="0" shrinkToFit="0" vertical="center" wrapText="1"/>
    </xf>
    <xf borderId="1" fillId="3" fontId="38" numFmtId="0" xfId="0" applyAlignment="1" applyBorder="1" applyFill="1" applyFont="1">
      <alignment horizontal="left" readingOrder="0" shrinkToFit="0" vertical="bottom" wrapText="0"/>
    </xf>
    <xf borderId="0" fillId="0" fontId="5" numFmtId="0" xfId="0" applyAlignment="1" applyFont="1">
      <alignment horizontal="center" readingOrder="0" shrinkToFit="0" vertical="center" wrapText="0"/>
    </xf>
    <xf borderId="0" fillId="0" fontId="5" numFmtId="165" xfId="0" applyAlignment="1" applyFont="1" applyNumberFormat="1">
      <alignment horizontal="center" readingOrder="0" shrinkToFit="0" vertical="center" wrapText="0"/>
    </xf>
    <xf borderId="0" fillId="0" fontId="5" numFmtId="0" xfId="0" applyAlignment="1" applyFont="1">
      <alignment horizontal="left" shrinkToFit="0" vertical="center" wrapText="0"/>
    </xf>
    <xf borderId="0" fillId="0" fontId="6" numFmtId="0" xfId="0" applyAlignment="1" applyFont="1">
      <alignment horizontal="left"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0"/>
    </xf>
    <xf borderId="0" fillId="0" fontId="5" numFmtId="166" xfId="0" applyAlignment="1" applyFont="1" applyNumberFormat="1">
      <alignment horizontal="center" readingOrder="0" vertical="center"/>
    </xf>
    <xf borderId="0" fillId="0" fontId="5" numFmtId="166" xfId="0" applyAlignment="1" applyFont="1" applyNumberFormat="1">
      <alignment horizontal="center" vertical="center"/>
    </xf>
    <xf borderId="0" fillId="0" fontId="5" numFmtId="0" xfId="0" applyAlignment="1" applyFont="1">
      <alignment horizontal="center" vertical="center"/>
    </xf>
    <xf borderId="0" fillId="27" fontId="5" numFmtId="0" xfId="0" applyAlignment="1" applyFill="1" applyFont="1">
      <alignment horizontal="center" readingOrder="0" shrinkToFit="0" vertical="center" wrapText="1"/>
    </xf>
    <xf borderId="0" fillId="0" fontId="5" numFmtId="165" xfId="0" applyAlignment="1" applyFont="1" applyNumberFormat="1">
      <alignment horizontal="center" readingOrder="0" vertical="center"/>
    </xf>
    <xf borderId="1" fillId="37" fontId="5" numFmtId="0" xfId="0" applyAlignment="1" applyBorder="1" applyFill="1" applyFont="1">
      <alignment horizontal="center" readingOrder="0" shrinkToFit="0" vertical="center" wrapText="0"/>
    </xf>
    <xf borderId="1" fillId="3" fontId="34" numFmtId="0" xfId="0" applyAlignment="1" applyBorder="1" applyFill="1" applyFont="1">
      <alignment horizontal="left" readingOrder="0" shrinkToFit="0" vertical="bottom" wrapText="0"/>
    </xf>
    <xf borderId="1" fillId="0" fontId="6" numFmtId="166" xfId="0" applyAlignment="1" applyBorder="1" applyFont="1" applyNumberFormat="1">
      <alignment horizontal="left" readingOrder="0" shrinkToFit="0" vertical="center" wrapText="0"/>
    </xf>
    <xf borderId="1" fillId="0" fontId="39" numFmtId="0" xfId="0" applyAlignment="1" applyBorder="1" applyFont="1">
      <alignment horizontal="left" readingOrder="0" shrinkToFit="0" vertical="center" wrapText="1"/>
    </xf>
    <xf borderId="1" fillId="7" fontId="5" numFmtId="0" xfId="0" applyAlignment="1" applyBorder="1" applyFill="1" applyFont="1">
      <alignment horizontal="center" shrinkToFit="0" vertical="center" wrapText="0"/>
    </xf>
    <xf borderId="1" fillId="0" fontId="6" numFmtId="166" xfId="0" applyAlignment="1" applyBorder="1" applyFont="1" applyNumberFormat="1">
      <alignment horizontal="center" shrinkToFit="0" vertical="center" wrapText="0"/>
    </xf>
    <xf borderId="1" fillId="13" fontId="20" numFmtId="0" xfId="0" applyAlignment="1" applyBorder="1" applyFill="1" applyFont="1">
      <alignment horizontal="center" readingOrder="0" vertical="center"/>
    </xf>
    <xf borderId="1" fillId="7" fontId="6" numFmtId="165" xfId="0" applyAlignment="1" applyBorder="1" applyFill="1" applyFont="1" applyNumberFormat="1">
      <alignment horizontal="center" readingOrder="0" shrinkToFit="0" vertical="center" wrapText="0"/>
    </xf>
    <xf borderId="1" fillId="69" fontId="5" numFmtId="0" xfId="0" applyAlignment="1" applyBorder="1" applyFill="1" applyFont="1">
      <alignment horizontal="center" vertical="center"/>
    </xf>
    <xf borderId="1" fillId="69" fontId="5" numFmtId="0" xfId="0" applyAlignment="1" applyBorder="1" applyFill="1" applyFont="1">
      <alignment horizontal="center" readingOrder="0" shrinkToFit="0" vertical="center" wrapText="1"/>
    </xf>
    <xf borderId="1" fillId="0" fontId="5" numFmtId="166" xfId="0" applyAlignment="1" applyBorder="1" applyFont="1" applyNumberFormat="1">
      <alignment horizontal="left" vertical="center"/>
    </xf>
    <xf borderId="1" fillId="0" fontId="14" numFmtId="166" xfId="0" applyAlignment="1" applyBorder="1" applyFont="1" applyNumberFormat="1">
      <alignment vertical="center"/>
    </xf>
    <xf borderId="1" fillId="0" fontId="2" numFmtId="0" xfId="0" applyAlignment="1" applyBorder="1" applyFont="1">
      <alignment horizontal="center" vertical="center"/>
    </xf>
    <xf borderId="1" fillId="39" fontId="5" numFmtId="165" xfId="0" applyAlignment="1" applyBorder="1" applyFill="1" applyFont="1" applyNumberFormat="1">
      <alignment horizontal="center" readingOrder="0" vertical="center"/>
    </xf>
    <xf borderId="1" fillId="3" fontId="5" numFmtId="166" xfId="0" applyAlignment="1" applyBorder="1" applyFill="1" applyFont="1" applyNumberFormat="1">
      <alignment horizontal="center" readingOrder="0" vertical="center"/>
    </xf>
    <xf borderId="1" fillId="0" fontId="2" numFmtId="0" xfId="0" applyAlignment="1" applyBorder="1" applyFont="1">
      <alignment vertical="center"/>
    </xf>
    <xf borderId="2" fillId="14" fontId="6" numFmtId="0" xfId="0" applyAlignment="1" applyBorder="1" applyFill="1" applyFont="1">
      <alignment horizontal="center" readingOrder="0" shrinkToFit="0" vertical="center" wrapText="0"/>
    </xf>
    <xf borderId="1" fillId="39" fontId="20" numFmtId="0" xfId="0" applyAlignment="1" applyBorder="1" applyFill="1" applyFont="1">
      <alignment horizontal="center" readingOrder="0" vertical="center"/>
    </xf>
    <xf borderId="1" fillId="0" fontId="5" numFmtId="170" xfId="0" applyAlignment="1" applyBorder="1" applyFont="1" applyNumberFormat="1">
      <alignment horizontal="center" readingOrder="0" vertical="center"/>
    </xf>
    <xf borderId="6" fillId="14" fontId="1" numFmtId="0" xfId="0" applyAlignment="1" applyBorder="1" applyFill="1" applyFont="1">
      <alignment horizontal="center" readingOrder="0" shrinkToFit="0" wrapText="0"/>
    </xf>
    <xf borderId="1" fillId="7" fontId="5" numFmtId="0" xfId="0" applyAlignment="1" applyBorder="1" applyFill="1" applyFont="1">
      <alignment horizontal="center" readingOrder="0" shrinkToFit="0" vertical="center" wrapText="1"/>
    </xf>
    <xf borderId="1" fillId="63" fontId="5" numFmtId="166" xfId="0" applyAlignment="1" applyBorder="1" applyFill="1" applyFont="1" applyNumberFormat="1">
      <alignment horizontal="center" readingOrder="0" vertical="center"/>
    </xf>
    <xf borderId="1" fillId="63" fontId="5" numFmtId="166" xfId="0" applyAlignment="1" applyBorder="1" applyFill="1" applyFont="1" applyNumberFormat="1">
      <alignment horizontal="center" vertical="center"/>
    </xf>
    <xf borderId="1" fillId="63" fontId="5" numFmtId="0" xfId="0" applyAlignment="1" applyBorder="1" applyFill="1" applyFont="1">
      <alignment horizontal="center" vertical="center"/>
    </xf>
    <xf borderId="1" fillId="63" fontId="2" numFmtId="0" xfId="0" applyAlignment="1" applyBorder="1" applyFill="1" applyFont="1">
      <alignment horizontal="left" readingOrder="0" shrinkToFit="0" vertical="center" wrapText="0"/>
    </xf>
    <xf borderId="1" fillId="63" fontId="2" numFmtId="0" xfId="0" applyAlignment="1" applyBorder="1" applyFill="1" applyFont="1">
      <alignment horizontal="left" shrinkToFit="0" vertical="center" wrapText="0"/>
    </xf>
    <xf borderId="1" fillId="63" fontId="2" numFmtId="0" xfId="0" applyAlignment="1" applyBorder="1" applyFill="1" applyFont="1">
      <alignment horizontal="center" readingOrder="0" shrinkToFit="0" vertical="center" wrapText="0"/>
    </xf>
    <xf borderId="1" fillId="63" fontId="40" numFmtId="0" xfId="0" applyAlignment="1" applyBorder="1" applyFill="1" applyFont="1">
      <alignment horizontal="center" readingOrder="0" vertical="center"/>
    </xf>
    <xf borderId="1" fillId="69" fontId="5" numFmtId="0" xfId="0" applyAlignment="1" applyBorder="1" applyFill="1" applyFont="1">
      <alignment horizontal="center" readingOrder="0" vertical="center"/>
    </xf>
    <xf borderId="1" fillId="0" fontId="14" numFmtId="167" xfId="0" applyAlignment="1" applyBorder="1" applyFont="1" applyNumberFormat="1">
      <alignment horizontal="center" vertical="center"/>
    </xf>
    <xf borderId="1" fillId="17" fontId="39" numFmtId="0" xfId="0" applyAlignment="1" applyBorder="1" applyFill="1" applyFont="1">
      <alignment horizontal="center" readingOrder="0" shrinkToFit="0" vertical="center" wrapText="0"/>
    </xf>
    <xf borderId="1" fillId="17" fontId="20" numFmtId="0" xfId="0" applyAlignment="1" applyBorder="1" applyFill="1" applyFont="1">
      <alignment horizontal="center" readingOrder="0" vertical="center"/>
    </xf>
    <xf borderId="1" fillId="63" fontId="6" numFmtId="0" xfId="0" applyAlignment="1" applyBorder="1" applyFill="1" applyFont="1">
      <alignment horizontal="center" readingOrder="0" shrinkToFit="0" vertical="center" wrapText="0"/>
    </xf>
    <xf borderId="1" fillId="63" fontId="5" numFmtId="0" xfId="0" applyAlignment="1" applyBorder="1" applyFill="1" applyFont="1">
      <alignment horizontal="center" vertical="center"/>
    </xf>
    <xf borderId="1" fillId="37" fontId="5" numFmtId="0" xfId="0" applyAlignment="1" applyBorder="1" applyFill="1" applyFont="1">
      <alignment horizontal="center" readingOrder="0" shrinkToFit="0" vertical="center" wrapText="1"/>
    </xf>
    <xf borderId="1" fillId="63" fontId="5" numFmtId="0" xfId="0" applyAlignment="1" applyBorder="1" applyFill="1" applyFont="1">
      <alignment horizontal="center" vertical="center"/>
    </xf>
    <xf borderId="1" fillId="17" fontId="6" numFmtId="0" xfId="0" applyAlignment="1" applyBorder="1" applyFill="1" applyFont="1">
      <alignment horizontal="center" readingOrder="0" shrinkToFit="0" vertical="center" wrapText="0"/>
    </xf>
    <xf borderId="1" fillId="17" fontId="5" numFmtId="166" xfId="0" applyAlignment="1" applyBorder="1" applyFill="1" applyFont="1" applyNumberFormat="1">
      <alignment horizontal="center" vertical="center"/>
    </xf>
    <xf borderId="1" fillId="38" fontId="6" numFmtId="0" xfId="0" applyAlignment="1" applyBorder="1" applyFill="1" applyFont="1">
      <alignment horizontal="left" readingOrder="0" shrinkToFit="0" vertical="center" wrapText="0"/>
    </xf>
    <xf borderId="1" fillId="38" fontId="6" numFmtId="0" xfId="0" applyAlignment="1" applyBorder="1" applyFill="1" applyFont="1">
      <alignment horizontal="center" readingOrder="0" shrinkToFit="0" vertical="center" wrapText="0"/>
    </xf>
    <xf borderId="1" fillId="34" fontId="5" numFmtId="0" xfId="0" applyAlignment="1" applyBorder="1" applyFill="1" applyFont="1">
      <alignment horizontal="center" shrinkToFit="0" vertical="center" wrapText="1"/>
    </xf>
    <xf borderId="2" fillId="19" fontId="11" numFmtId="0" xfId="0" applyAlignment="1" applyBorder="1" applyFill="1" applyFont="1">
      <alignment horizontal="center" readingOrder="0" shrinkToFit="0" wrapText="0"/>
    </xf>
    <xf borderId="0" fillId="3" fontId="5" numFmtId="0" xfId="0" applyAlignment="1" applyFill="1" applyFont="1">
      <alignment horizontal="center" readingOrder="0" vertical="center"/>
    </xf>
    <xf borderId="1" fillId="46" fontId="5" numFmtId="0" xfId="0" applyAlignment="1" applyBorder="1" applyFill="1" applyFont="1">
      <alignment horizontal="center" vertical="center"/>
    </xf>
    <xf borderId="1" fillId="46" fontId="5" numFmtId="0" xfId="0" applyAlignment="1" applyBorder="1" applyFill="1" applyFont="1">
      <alignment horizontal="center" readingOrder="0" shrinkToFit="0" vertical="center" wrapText="1"/>
    </xf>
    <xf borderId="1" fillId="46" fontId="5" numFmtId="0" xfId="0" applyAlignment="1" applyBorder="1" applyFill="1" applyFont="1">
      <alignment horizontal="center" shrinkToFit="0" vertical="center" wrapText="1"/>
    </xf>
    <xf borderId="1" fillId="40" fontId="5" numFmtId="0" xfId="0" applyAlignment="1" applyBorder="1" applyFill="1" applyFont="1">
      <alignment horizontal="center" readingOrder="0" vertical="center"/>
    </xf>
    <xf borderId="1" fillId="46" fontId="5" numFmtId="0" xfId="0" applyAlignment="1" applyBorder="1" applyFill="1" applyFont="1">
      <alignment horizontal="center" vertical="center"/>
    </xf>
    <xf borderId="1" fillId="46" fontId="5" numFmtId="0" xfId="0" applyAlignment="1" applyBorder="1" applyFill="1" applyFont="1">
      <alignment horizontal="center" readingOrder="0" shrinkToFit="0" vertical="center" wrapText="0"/>
    </xf>
    <xf borderId="11" fillId="0" fontId="6" numFmtId="0" xfId="0" applyAlignment="1" applyBorder="1" applyFont="1">
      <alignment horizontal="center" readingOrder="0" shrinkToFit="0" wrapText="0"/>
    </xf>
    <xf borderId="1" fillId="0" fontId="16" numFmtId="0" xfId="0" applyAlignment="1" applyBorder="1" applyFont="1">
      <alignment vertical="center"/>
    </xf>
    <xf borderId="1" fillId="41" fontId="6" numFmtId="0" xfId="0" applyAlignment="1" applyBorder="1" applyFill="1" applyFont="1">
      <alignment horizontal="center" readingOrder="0" shrinkToFit="0" vertical="center" wrapText="1"/>
    </xf>
    <xf borderId="1" fillId="29" fontId="39" numFmtId="0" xfId="0" applyAlignment="1" applyBorder="1" applyFill="1" applyFont="1">
      <alignment horizontal="center" readingOrder="0" shrinkToFit="0" vertical="center" wrapText="0"/>
    </xf>
    <xf borderId="1" fillId="0" fontId="14" numFmtId="0" xfId="0" applyAlignment="1" applyBorder="1" applyFont="1">
      <alignment vertical="center"/>
    </xf>
    <xf borderId="1" fillId="0" fontId="14" numFmtId="49" xfId="0" applyAlignment="1" applyBorder="1" applyFont="1" applyNumberFormat="1">
      <alignment vertical="center"/>
    </xf>
    <xf borderId="1" fillId="3" fontId="41" numFmtId="0" xfId="0" applyAlignment="1" applyBorder="1" applyFill="1" applyFont="1">
      <alignment vertical="center"/>
    </xf>
    <xf borderId="1" fillId="0" fontId="5" numFmtId="165" xfId="0" applyAlignment="1" applyBorder="1" applyFont="1" applyNumberFormat="1">
      <alignment horizontal="center" shrinkToFit="0" vertical="center" wrapText="0"/>
    </xf>
    <xf borderId="1" fillId="27" fontId="5" numFmtId="0" xfId="0" applyAlignment="1" applyBorder="1" applyFill="1" applyFont="1">
      <alignment horizontal="center" shrinkToFit="0" vertical="center" wrapText="1"/>
    </xf>
    <xf borderId="1" fillId="70" fontId="5" numFmtId="0" xfId="0" applyAlignment="1" applyBorder="1" applyFill="1" applyFont="1">
      <alignment horizontal="center" vertical="center"/>
    </xf>
    <xf borderId="1" fillId="8" fontId="5" numFmtId="0" xfId="0" applyAlignment="1" applyBorder="1" applyFill="1" applyFont="1">
      <alignment horizontal="center" shrinkToFit="0" vertical="center" wrapText="1"/>
    </xf>
    <xf borderId="1" fillId="65" fontId="5" numFmtId="0" xfId="0" applyAlignment="1" applyBorder="1" applyFill="1" applyFont="1">
      <alignment horizontal="center" vertical="center"/>
    </xf>
    <xf borderId="1" fillId="14" fontId="14" numFmtId="166" xfId="0" applyAlignment="1" applyBorder="1" applyFill="1" applyFont="1" applyNumberFormat="1">
      <alignment vertical="center"/>
    </xf>
    <xf borderId="1" fillId="0" fontId="42" numFmtId="0" xfId="0" applyAlignment="1" applyBorder="1" applyFont="1">
      <alignment horizontal="center" readingOrder="0"/>
    </xf>
    <xf borderId="1" fillId="30" fontId="5" numFmtId="0" xfId="0" applyAlignment="1" applyBorder="1" applyFill="1" applyFont="1">
      <alignment horizontal="center" shrinkToFit="0" vertical="center" wrapText="1"/>
    </xf>
    <xf borderId="1" fillId="3" fontId="43" numFmtId="0" xfId="0" applyAlignment="1" applyBorder="1" applyFill="1" applyFont="1">
      <alignment horizontal="center" vertical="center"/>
    </xf>
    <xf borderId="0" fillId="0" fontId="14" numFmtId="0" xfId="0" applyAlignment="1" applyFont="1">
      <alignment vertical="center"/>
    </xf>
    <xf borderId="0" fillId="17" fontId="15" numFmtId="0" xfId="0" applyFill="1" applyFont="1"/>
    <xf borderId="1" fillId="52" fontId="20" numFmtId="0" xfId="0" applyAlignment="1" applyBorder="1" applyFill="1" applyFont="1">
      <alignment horizontal="center" readingOrder="0" shrinkToFit="0" vertical="center" wrapText="1"/>
    </xf>
    <xf borderId="1" fillId="70" fontId="5" numFmtId="0" xfId="0" applyAlignment="1" applyBorder="1" applyFill="1" applyFont="1">
      <alignment horizontal="center" vertical="center"/>
    </xf>
    <xf borderId="1" fillId="3" fontId="5" numFmtId="0" xfId="0" applyAlignment="1" applyBorder="1" applyFill="1" applyFont="1">
      <alignment horizontal="center" vertical="center"/>
    </xf>
    <xf borderId="1" fillId="39" fontId="6" numFmtId="0" xfId="0" applyAlignment="1" applyBorder="1" applyFill="1" applyFont="1">
      <alignment horizontal="center" readingOrder="0" vertical="center"/>
    </xf>
    <xf borderId="12" fillId="0" fontId="5" numFmtId="0" xfId="0" applyAlignment="1" applyBorder="1" applyFont="1">
      <alignment horizontal="center" readingOrder="0" vertical="center"/>
    </xf>
    <xf borderId="1" fillId="50" fontId="5" numFmtId="0" xfId="0" applyAlignment="1" applyBorder="1" applyFill="1" applyFont="1">
      <alignment horizontal="center" vertical="center"/>
    </xf>
    <xf borderId="6" fillId="0" fontId="6" numFmtId="0" xfId="0" applyAlignment="1" applyBorder="1" applyFont="1">
      <alignment readingOrder="0"/>
    </xf>
    <xf borderId="6" fillId="8" fontId="6" numFmtId="0" xfId="0" applyAlignment="1" applyBorder="1" applyFill="1" applyFont="1">
      <alignment horizontal="center" readingOrder="0"/>
    </xf>
    <xf borderId="6" fillId="0" fontId="18" numFmtId="0" xfId="0" applyBorder="1" applyFont="1"/>
    <xf borderId="6" fillId="3" fontId="6" numFmtId="0" xfId="0" applyAlignment="1" applyBorder="1" applyFill="1" applyFont="1">
      <alignment horizontal="center" readingOrder="0"/>
    </xf>
    <xf borderId="13" fillId="0" fontId="18" numFmtId="0" xfId="0" applyBorder="1" applyFont="1"/>
    <xf borderId="13" fillId="0" fontId="6" numFmtId="0" xfId="0" applyAlignment="1" applyBorder="1" applyFont="1">
      <alignment horizontal="center" readingOrder="0" shrinkToFit="0" wrapText="0"/>
    </xf>
    <xf borderId="1" fillId="0" fontId="16" numFmtId="0" xfId="0" applyAlignment="1" applyBorder="1" applyFont="1">
      <alignment horizontal="center" vertical="center"/>
    </xf>
    <xf borderId="1" fillId="38" fontId="6" numFmtId="0" xfId="0" applyAlignment="1" applyBorder="1" applyFill="1" applyFont="1">
      <alignment horizontal="left" readingOrder="0" vertical="center"/>
    </xf>
    <xf borderId="1" fillId="38" fontId="6" numFmtId="0" xfId="0" applyAlignment="1" applyBorder="1" applyFill="1" applyFont="1">
      <alignment readingOrder="0" shrinkToFit="0" vertical="center" wrapText="0"/>
    </xf>
    <xf borderId="1" fillId="7" fontId="5" numFmtId="0" xfId="0" applyAlignment="1" applyBorder="1" applyFill="1" applyFont="1">
      <alignment horizontal="center" vertical="center"/>
    </xf>
    <xf borderId="1" fillId="26" fontId="5" numFmtId="0" xfId="0" applyAlignment="1" applyBorder="1" applyFill="1" applyFont="1">
      <alignment horizontal="center" shrinkToFit="0" vertical="center" wrapText="1"/>
    </xf>
    <xf borderId="1" fillId="14" fontId="5" numFmtId="166" xfId="0" applyAlignment="1" applyBorder="1" applyFill="1" applyFont="1" applyNumberFormat="1">
      <alignment vertical="center"/>
    </xf>
    <xf borderId="1" fillId="40" fontId="6" numFmtId="0" xfId="0" applyAlignment="1" applyBorder="1" applyFill="1" applyFont="1">
      <alignment horizontal="center" readingOrder="0" shrinkToFit="0" vertical="center" wrapText="0"/>
    </xf>
    <xf borderId="1" fillId="40" fontId="6" numFmtId="0" xfId="0" applyAlignment="1" applyBorder="1" applyFill="1" applyFont="1">
      <alignment horizontal="center" readingOrder="0" vertical="center"/>
    </xf>
    <xf borderId="0" fillId="17" fontId="5" numFmtId="0" xfId="0" applyAlignment="1" applyFill="1" applyFont="1">
      <alignment horizontal="center" readingOrder="0" vertical="center"/>
    </xf>
    <xf borderId="0" fillId="17" fontId="6" numFmtId="0" xfId="0" applyAlignment="1" applyFill="1" applyFont="1">
      <alignment readingOrder="0" shrinkToFit="0" vertical="center" wrapText="0"/>
    </xf>
    <xf borderId="0" fillId="17" fontId="6" numFmtId="49" xfId="0" applyAlignment="1" applyFill="1" applyFont="1" applyNumberFormat="1">
      <alignment readingOrder="0" shrinkToFit="0" vertical="center" wrapText="0"/>
    </xf>
    <xf borderId="0" fillId="17" fontId="6" numFmtId="49" xfId="0" applyAlignment="1" applyFill="1" applyFont="1" applyNumberFormat="1">
      <alignment horizontal="center" readingOrder="0" shrinkToFit="0" vertical="center" wrapText="0"/>
    </xf>
    <xf borderId="0" fillId="17" fontId="5" numFmtId="0" xfId="0" applyAlignment="1" applyFill="1" applyFont="1">
      <alignment horizontal="center" shrinkToFit="0" vertical="center" wrapText="1"/>
    </xf>
    <xf borderId="0" fillId="17" fontId="5" numFmtId="0" xfId="0" applyAlignment="1" applyFill="1" applyFont="1">
      <alignment horizontal="center" readingOrder="0" shrinkToFit="0" vertical="center" wrapText="1"/>
    </xf>
    <xf borderId="0" fillId="17" fontId="6" numFmtId="0" xfId="0" applyAlignment="1" applyFill="1" applyFont="1">
      <alignment horizontal="center" readingOrder="0" shrinkToFit="0" vertical="center" wrapText="1"/>
    </xf>
    <xf borderId="0" fillId="17" fontId="6" numFmtId="0" xfId="0" applyAlignment="1" applyFill="1" applyFont="1">
      <alignment horizontal="center" readingOrder="0" shrinkToFit="0" vertical="center" wrapText="0"/>
    </xf>
    <xf borderId="0" fillId="17" fontId="5" numFmtId="166" xfId="0" applyAlignment="1" applyFill="1" applyFont="1" applyNumberFormat="1">
      <alignment horizontal="center" readingOrder="0" vertical="center"/>
    </xf>
    <xf borderId="0" fillId="17" fontId="5" numFmtId="166" xfId="0" applyAlignment="1" applyFill="1" applyFont="1" applyNumberFormat="1">
      <alignment horizontal="center" vertical="center"/>
    </xf>
    <xf borderId="0" fillId="17" fontId="5" numFmtId="0" xfId="0" applyAlignment="1" applyFill="1" applyFont="1">
      <alignment horizontal="center" vertical="center"/>
    </xf>
    <xf borderId="0" fillId="17" fontId="5" numFmtId="0" xfId="0" applyAlignment="1" applyFill="1" applyFont="1">
      <alignment horizontal="center" vertical="center"/>
    </xf>
    <xf borderId="0" fillId="17" fontId="5" numFmtId="0" xfId="0" applyAlignment="1" applyFill="1" applyFont="1">
      <alignment vertical="center"/>
    </xf>
    <xf borderId="0" fillId="17" fontId="5" numFmtId="0" xfId="0" applyAlignment="1" applyFill="1" applyFont="1">
      <alignment vertical="center"/>
    </xf>
    <xf borderId="1" fillId="44" fontId="5" numFmtId="0" xfId="0" applyAlignment="1" applyBorder="1" applyFill="1" applyFont="1">
      <alignment horizontal="center" shrinkToFit="0" vertical="center" wrapText="1"/>
    </xf>
    <xf borderId="1" fillId="47" fontId="6" numFmtId="0" xfId="0" applyAlignment="1" applyBorder="1" applyFill="1" applyFont="1">
      <alignment horizontal="center" readingOrder="0"/>
    </xf>
    <xf borderId="1" fillId="7" fontId="6" numFmtId="0" xfId="0" applyAlignment="1" applyBorder="1" applyFill="1" applyFont="1">
      <alignment horizontal="center" readingOrder="0" shrinkToFit="0" vertical="center" wrapText="1"/>
    </xf>
    <xf borderId="0" fillId="0" fontId="6" numFmtId="0" xfId="0" applyAlignment="1" applyFont="1">
      <alignment readingOrder="0" shrinkToFit="0" vertical="center" wrapText="0"/>
    </xf>
    <xf borderId="0" fillId="0" fontId="6" numFmtId="49" xfId="0" applyAlignment="1" applyFont="1" applyNumberFormat="1">
      <alignment readingOrder="0" shrinkToFit="0" vertical="center" wrapText="0"/>
    </xf>
    <xf borderId="0" fillId="0" fontId="6" numFmtId="49" xfId="0" applyAlignment="1" applyFont="1" applyNumberFormat="1">
      <alignment horizontal="center" readingOrder="0" shrinkToFit="0" vertical="center" wrapText="0"/>
    </xf>
    <xf borderId="0" fillId="0" fontId="5" numFmtId="0" xfId="0" applyAlignment="1" applyFont="1">
      <alignment horizontal="center" shrinkToFit="0" vertical="center" wrapText="1"/>
    </xf>
  </cellXfs>
  <cellStyles count="1">
    <cellStyle xfId="0" name="Normal" builtinId="0"/>
  </cellStyles>
  <dxfs count="19">
    <dxf>
      <font/>
      <fill>
        <patternFill patternType="solid">
          <fgColor rgb="FFB7E1CD"/>
          <bgColor rgb="FFB7E1CD"/>
        </patternFill>
      </fill>
      <border/>
    </dxf>
    <dxf>
      <font/>
      <fill>
        <patternFill patternType="none"/>
      </fill>
      <border/>
    </dxf>
    <dxf>
      <font/>
      <fill>
        <patternFill patternType="solid">
          <fgColor rgb="FF00B050"/>
          <bgColor rgb="FF00B050"/>
        </patternFill>
      </fill>
      <border/>
    </dxf>
    <dxf>
      <font/>
      <fill>
        <patternFill patternType="solid">
          <fgColor rgb="FF00FF00"/>
          <bgColor rgb="FF00FF00"/>
        </patternFill>
      </fill>
      <border/>
    </dxf>
    <dxf>
      <font/>
      <fill>
        <patternFill patternType="solid">
          <fgColor rgb="FF00FFFF"/>
          <bgColor rgb="FF00FFFF"/>
        </patternFill>
      </fill>
      <border/>
    </dxf>
    <dxf>
      <font/>
      <fill>
        <patternFill patternType="solid">
          <fgColor rgb="FF9900FF"/>
          <bgColor rgb="FF9900FF"/>
        </patternFill>
      </fill>
      <border/>
    </dxf>
    <dxf>
      <font/>
      <fill>
        <patternFill patternType="solid">
          <fgColor rgb="FFFF9900"/>
          <bgColor rgb="FFFF9900"/>
        </patternFill>
      </fill>
      <border/>
    </dxf>
    <dxf>
      <font/>
      <fill>
        <patternFill patternType="solid">
          <fgColor rgb="FF4A86E8"/>
          <bgColor rgb="FF4A86E8"/>
        </patternFill>
      </fill>
      <border/>
    </dxf>
    <dxf>
      <font/>
      <fill>
        <patternFill patternType="solid">
          <fgColor rgb="FFFFFF00"/>
          <bgColor rgb="FFFFFF00"/>
        </patternFill>
      </fill>
      <border/>
    </dxf>
    <dxf>
      <font/>
      <fill>
        <patternFill patternType="solid">
          <fgColor rgb="FFFF0000"/>
          <bgColor rgb="FFFF0000"/>
        </patternFill>
      </fill>
      <border/>
    </dxf>
    <dxf>
      <font/>
      <fill>
        <patternFill patternType="solid">
          <fgColor rgb="FFC9DAF8"/>
          <bgColor rgb="FFC9DAF8"/>
        </patternFill>
      </fill>
      <border/>
    </dxf>
    <dxf>
      <font/>
      <fill>
        <patternFill patternType="solid">
          <fgColor rgb="FFF4B083"/>
          <bgColor rgb="FFF4B083"/>
        </patternFill>
      </fill>
      <border/>
    </dxf>
    <dxf>
      <font/>
      <fill>
        <patternFill patternType="none"/>
      </fill>
      <border/>
    </dxf>
    <dxf>
      <font/>
      <fill>
        <patternFill patternType="solid">
          <fgColor rgb="FF7030A0"/>
          <bgColor rgb="FF7030A0"/>
        </patternFill>
      </fill>
      <border/>
    </dxf>
    <dxf>
      <font/>
      <fill>
        <patternFill patternType="solid">
          <fgColor rgb="FF9CC2E5"/>
          <bgColor rgb="FF9CC2E5"/>
        </patternFill>
      </fill>
      <border/>
    </dxf>
    <dxf>
      <font/>
      <fill>
        <patternFill patternType="none"/>
      </fill>
      <border>
        <left style="thin">
          <color rgb="FF9C0006"/>
        </left>
        <right style="thin">
          <color rgb="FF9C0006"/>
        </right>
        <top style="thin">
          <color rgb="FF9C0006"/>
        </top>
        <bottom style="thin">
          <color rgb="FF9C0006"/>
        </bottom>
      </border>
    </dxf>
    <dxf>
      <font/>
      <fill>
        <patternFill patternType="solid">
          <fgColor rgb="FFF484E9"/>
          <bgColor rgb="FFF484E9"/>
        </patternFill>
      </fill>
      <border/>
    </dxf>
    <dxf>
      <font/>
      <fill>
        <patternFill patternType="solid">
          <fgColor rgb="FFD8D8D8"/>
          <bgColor rgb="FFD8D8D8"/>
        </patternFill>
      </fill>
      <border/>
    </dxf>
    <dxf>
      <font/>
      <fill>
        <patternFill patternType="solid">
          <fgColor rgb="FFA8D08D"/>
          <bgColor rgb="FFA8D08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ns1="http://schemas.openxmlformats.org/officeDocument/2006/relationships">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 customWidth="1" min="2" max="2" width="21.38"/>
    <col customWidth="1" min="3" max="3" width="33.38"/>
    <col customWidth="1" min="4" max="4" width="13.0"/>
    <col customWidth="1" min="5" max="5" width="49.13"/>
    <col customWidth="1" min="6" max="6" width="11.5"/>
    <col customWidth="1" min="7" max="7" width="32.63"/>
    <col customWidth="1" min="8" max="8" width="10.63"/>
    <col customWidth="1" min="9" max="9" width="6.25"/>
    <col customWidth="1" min="10" max="10" width="7.5"/>
    <col customWidth="1" min="11" max="11" width="13.25"/>
    <col customWidth="1" min="12" max="12" width="13.63"/>
    <col customWidth="1" min="13" max="13" width="10.63"/>
    <col customWidth="1" min="14" max="14" width="54.5"/>
    <col customWidth="1" min="15" max="15" width="18.38"/>
    <col customWidth="1" hidden="1" min="16" max="16" width="13.38"/>
    <col customWidth="1" hidden="1" min="17" max="17" width="11.13"/>
    <col customWidth="1" hidden="1" min="18" max="18" width="9.75"/>
    <col customWidth="1" hidden="1" min="19" max="19" width="20.5"/>
    <col customWidth="1" hidden="1" min="20" max="20" width="16.63"/>
    <col customWidth="1" min="21" max="21" width="21.38"/>
    <col customWidth="1" min="22" max="22" width="18.63"/>
    <col customWidth="1" min="23" max="23" width="18.88"/>
    <col customWidth="1" min="24" max="24" width="16.0"/>
    <col customWidth="1" min="25" max="25" width="22.5"/>
    <col customWidth="1" min="26" max="26" width="15.5"/>
    <col customWidth="1" min="27" max="27" width="14.75"/>
    <col customWidth="1" min="28" max="28" width="23.63"/>
    <col customWidth="1" min="29" max="29" width="21.13"/>
    <col customWidth="1" min="30" max="30" width="18.63"/>
    <col customWidth="1" min="31" max="31" width="38.88"/>
    <col customWidth="1" min="32" max="32" width="39.38"/>
    <col customWidth="1" min="33" max="33" width="30.25"/>
    <col customWidth="1" min="34" max="34" width="40.63"/>
    <col customWidth="1" min="35" max="35" width="23.13"/>
    <col customWidth="1" min="36" max="36" width="7.63"/>
    <col customWidth="1" min="37" max="38" width="18.75"/>
    <col customWidth="1" min="39" max="39" width="15.63"/>
    <col customWidth="1" min="40" max="40" width="18.13"/>
    <col customWidth="1" min="41" max="41" width="24.63"/>
    <col customWidth="1" min="42" max="42" width="25.5"/>
    <col customWidth="1" min="43" max="43" width="16.63"/>
    <col customWidth="1" min="44" max="46" width="7.88"/>
  </cols>
  <sheetData>
    <row r="1" ht="46.5" customHeight="1">
      <c r="A1" s="4" t="s">
        <v>0</v>
      </c>
      <c r="B1" s="7" t="s">
        <v>22</v>
      </c>
      <c r="C1" s="12" t="s">
        <v>25</v>
      </c>
      <c r="D1" s="16" t="s">
        <v>30</v>
      </c>
      <c r="E1" s="20" t="s">
        <v>35</v>
      </c>
      <c r="F1" s="31" t="s">
        <v>42</v>
      </c>
      <c r="G1" s="34" t="s">
        <v>49</v>
      </c>
      <c r="H1" s="37" t="s">
        <v>46</v>
      </c>
      <c r="I1" s="37" t="s">
        <v>46</v>
      </c>
      <c r="J1" s="39" t="s">
        <v>48</v>
      </c>
      <c r="K1" s="37" t="s">
        <v>55</v>
      </c>
      <c r="L1" s="37" t="s">
        <v>57</v>
      </c>
      <c r="M1" s="43" t="s">
        <v>50</v>
      </c>
      <c r="N1" s="37" t="s">
        <v>4</v>
      </c>
      <c r="O1" s="37" t="s">
        <v>32</v>
      </c>
      <c r="P1" s="48" t="s">
        <v>51</v>
      </c>
      <c r="Q1" s="52"/>
      <c r="R1" s="48" t="s">
        <v>52</v>
      </c>
      <c r="S1" s="48" t="s">
        <v>73</v>
      </c>
      <c r="T1" s="55" t="s">
        <v>76</v>
      </c>
      <c r="U1" s="37" t="s">
        <v>61</v>
      </c>
      <c r="V1" s="56" t="s">
        <v>66</v>
      </c>
      <c r="W1" s="56" t="s">
        <v>71</v>
      </c>
      <c r="X1" s="58" t="s">
        <v>86</v>
      </c>
      <c r="Y1" s="58" t="s">
        <v>92</v>
      </c>
      <c r="Z1" s="58" t="s">
        <v>77</v>
      </c>
      <c r="AA1" s="60" t="s">
        <v>80</v>
      </c>
      <c r="AB1" s="58" t="s">
        <v>95</v>
      </c>
      <c r="AC1" s="58" t="s">
        <v>97</v>
      </c>
      <c r="AD1" s="60"/>
      <c r="AE1" s="62" t="s">
        <v>91</v>
      </c>
      <c r="AF1" s="62" t="s">
        <v>93</v>
      </c>
      <c r="AG1" s="60" t="s">
        <v>24</v>
      </c>
      <c r="AH1" s="58" t="s">
        <v>94</v>
      </c>
      <c r="AI1" s="4" t="s">
        <v>105</v>
      </c>
      <c r="AJ1" s="67"/>
      <c r="AK1" s="70"/>
      <c r="AL1" s="70"/>
      <c r="AM1" s="70"/>
      <c r="AN1" s="70"/>
      <c r="AO1" s="70"/>
      <c r="AP1" s="70"/>
      <c r="AQ1" s="70"/>
      <c r="AR1" s="67"/>
      <c r="AS1" s="67"/>
      <c r="AT1" s="67"/>
    </row>
    <row r="2">
      <c r="A2" s="76"/>
      <c r="B2" s="77"/>
      <c r="C2" s="77"/>
      <c r="D2" s="77"/>
      <c r="E2" s="78"/>
      <c r="F2" s="80"/>
      <c r="G2" s="77"/>
      <c r="H2" s="77"/>
      <c r="I2" s="82"/>
      <c r="J2" s="84"/>
      <c r="K2" s="85"/>
      <c r="L2" s="85"/>
      <c r="M2" s="85"/>
      <c r="N2" s="86"/>
      <c r="O2" s="87"/>
      <c r="P2" s="89"/>
      <c r="Q2" s="90"/>
      <c r="R2" s="92"/>
      <c r="S2" s="92"/>
      <c r="T2" s="93"/>
      <c r="U2" s="76"/>
      <c r="V2" s="76"/>
      <c r="W2" s="86"/>
      <c r="X2" s="97"/>
      <c r="Y2" s="97"/>
      <c r="Z2" s="97"/>
      <c r="AA2" s="97"/>
      <c r="AB2" s="97"/>
      <c r="AC2" s="97"/>
      <c r="AD2" s="99"/>
      <c r="AE2" s="76"/>
      <c r="AF2" s="97"/>
      <c r="AG2" s="76"/>
      <c r="AH2" s="76"/>
      <c r="AI2" s="76"/>
      <c r="AJ2" s="67"/>
      <c r="AK2" s="67"/>
      <c r="AL2" s="101"/>
      <c r="AM2" s="86"/>
      <c r="AN2" s="102"/>
      <c r="AO2" s="76"/>
      <c r="AP2" s="106"/>
      <c r="AQ2" s="108"/>
      <c r="AR2" s="67"/>
      <c r="AS2" s="67"/>
      <c r="AT2" s="67"/>
    </row>
  </sheetData>
  <customSheetViews>
    <customSheetView guid="{1A035350-1504-4B9F-973D-FAF281374A9B}" filter="1" showAutoFilter="1">
      <autoFilter ref="$A$1:$AR$854">
        <filterColumn colId="1">
          <filters>
            <filter val="1 піхотна рота"/>
            <filter val="Мінометний взвод"/>
            <filter val="Взвод зв'язку"/>
            <filter val="2 піхотна рота"/>
            <filter val="Взвод перехоплювачів безпілотних літальних апаратів"/>
            <filter val="3 піхотна рота"/>
            <filter val="Рота безпілотних авіаційних комплексів"/>
            <filter val="Група безпілотних систем"/>
            <filter val="Взвод логістично-евакуаційних безпілотних наземних систем"/>
            <filter val="Гранатометний взвод"/>
            <filter val="Кулеметний взвод"/>
            <filter val="Взвод протитанкових ракетних комплексів"/>
            <filter val="Штаб"/>
            <filter val="Медичний пункт"/>
            <filter val="Розвідувальний взвод"/>
            <filter val="ж"/>
            <filter val="Інженерно-саперне відділення"/>
            <filter val="Відділення радіоелектронної боротьби"/>
            <filter val="Взвод матеріально-технічного забезпечення"/>
          </filters>
        </filterColumn>
        <filterColumn colId="21">
          <filters blank="1">
            <filter val="Пілот (розвідка)"/>
            <filter val="Пілот (FPV)"/>
            <filter val="Гранатометники"/>
            <filter val="Пілот (бомбери)"/>
            <filter val="Піхота"/>
          </filters>
        </filterColumn>
        <filterColumn colId="28">
          <filters blank="1">
            <filter val="МП"/>
            <filter val="2ПБ"/>
            <filter val="МКашник"/>
            <filter val="Полігон ЧЛ"/>
            <filter val="Закінчення курсу 13.05.26"/>
            <filter val="УПРАВЛ"/>
            <filter val="ТРАНЗИТЕР"/>
            <filter val="ппо"/>
            <filter val="155"/>
            <filter val="ПОЛК"/>
            <filter val="2ПР"/>
            <filter val="1ПР"/>
            <filter val="3ПР"/>
            <filter val="ШКВАЛ"/>
            <filter val="ВМТЗ"/>
            <filter val="41ОМБр"/>
            <filter val="Знахарь"/>
            <filter val="4ШБ"/>
            <filter val="3ШБ"/>
            <filter val="Полігон Д"/>
            <filter val="на переведення, козопас"/>
            <filter val="ЗВ'ЯЗОК"/>
            <filter val="Полігон Б"/>
            <filter val="РРЕБ"/>
            <filter val="Зв'язок"/>
            <filter val="ППО"/>
            <filter val="РЕБ"/>
            <filter val="1300"/>
            <filter val="4ШБ&#10;ОП, БР 2453 від 20.08.26"/>
          </filters>
        </filterColumn>
        <filterColumn colId="23">
          <filters blank="1">
            <filter val="Без БЗВП/БРЕЗ"/>
            <filter val="БРЕЗ"/>
          </filters>
        </filterColumn>
        <filterColumn colId="22">
          <filters blank="1">
            <filter val="БГ"/>
          </filters>
        </filterColumn>
        <filterColumn colId="20">
          <filters>
            <filter val="Відрядження"/>
            <filter val="Не в сторою"/>
            <filter val="В строю"/>
            <filter val="Новоприбулий"/>
            <filter val="Відпустка"/>
          </filters>
        </filterColumn>
        <filterColumn colId="30">
          <filters blank="1">
            <filter val="Полігон Д"/>
            <filter val="ППД Слов'янка (13-й)"/>
            <filter val="ППД Шевченко (Петропавлівка (літуни))"/>
            <filter val="Мед. рота"/>
            <filter val="ППД Слов'янка (Аптекар)"/>
            <filter val="Полігон ЧЛ"/>
            <filter val="ППД Самарське (літуни)"/>
            <filter val="ППД Петропавлівка (літуни)"/>
            <filter val="Відпустка лікув."/>
            <filter val="ППД Лугова (літуни)"/>
            <filter val="Полігон &quot;Б&quot;"/>
            <filter val="ППД Петропавлівка"/>
            <filter val="ППД Соборне (літуни)"/>
            <filter val="Полк"/>
            <filter val="ППД Вишневе"/>
            <filter val="н.п. Барвінково"/>
            <filter val="ППД Побережжя"/>
            <filter val="н.п. Бажани"/>
            <filter val="КСП Павлоград"/>
            <filter val="Шпиталь"/>
            <filter val="ЄКЦ Павлоград"/>
            <filter val="ППД Польова"/>
          </filters>
        </filterColumn>
      </autoFilter>
    </customSheetView>
    <customSheetView guid="{E4C98A4E-8E94-42B7-BF13-DC6AEB865EDF}" filter="1" showAutoFilter="1">
      <autoFilter ref="$A$1:$AT$854">
        <filterColumn colId="0">
          <filters>
            <filter val="нова"/>
            <filter val="ШКВАЛ"/>
            <filter val="виведені посади"/>
            <filter val="425"/>
            <filter val="2ШБ"/>
          </filters>
        </filterColumn>
        <filterColumn colId="28">
          <filters blank="1">
            <filter val="МП"/>
            <filter val="2ПБ"/>
            <filter val="МКашник"/>
            <filter val="Полігон ЧЛ"/>
            <filter val="Закінчення курсу 13.05.26"/>
            <filter val="УПРАВЛ"/>
            <filter val="ТРАНЗИТЕР"/>
            <filter val="ппо"/>
            <filter val="155"/>
            <filter val="ПОЛК"/>
            <filter val="2ПР"/>
            <filter val="1ПР"/>
            <filter val="3ПР"/>
            <filter val="ШКВАЛ"/>
            <filter val="ВМТЗ"/>
            <filter val="41ОМБр"/>
            <filter val="Знахарь"/>
            <filter val="4ШБ"/>
            <filter val="3ШБ"/>
            <filter val="Полігон Д"/>
            <filter val="на переведення, козопас"/>
            <filter val="ЗВ'ЯЗОК"/>
            <filter val="Полігон Б"/>
            <filter val="РРЕБ"/>
            <filter val="Зв'язок"/>
            <filter val="ППО"/>
            <filter val="РЕБ"/>
            <filter val="1300"/>
            <filter val="4ШБ&#10;ОП, БР 2453 від 20.08.26"/>
          </filters>
        </filterColumn>
        <filterColumn colId="21">
          <filters blank="1">
            <filter val="Пілот (розвідка)"/>
            <filter val="Пілот (FPV)"/>
            <filter val="Гранатометники"/>
            <filter val="Майстер"/>
            <filter val="Інструктор"/>
            <filter val="Пілот (бомбери)"/>
            <filter val="Піхота"/>
          </filters>
        </filterColumn>
        <filterColumn colId="23">
          <filters blank="1">
            <filter val="Без БЗВП/БРЕЗ"/>
            <filter val="БРЕЗ"/>
          </filters>
        </filterColumn>
        <filterColumn colId="22">
          <filters blank="1">
            <filter val="Тимчасово не БГ"/>
          </filters>
        </filterColumn>
        <filterColumn colId="20">
          <filters>
            <filter val="В строю"/>
            <filter val="Новоприбулий"/>
          </filters>
        </filterColumn>
        <filterColumn colId="30">
          <filters blank="1">
            <filter val="Полігон Д"/>
            <filter val="ППД Слов'янка (13-й)"/>
            <filter val="ППД Шевченко (Петропавлівка (літуни))"/>
            <filter val="Мед. рота"/>
            <filter val="ППД Слов'янка (Аптекар)"/>
            <filter val="Полігон ЧЛ"/>
            <filter val="ППД Самарське (літуни)"/>
            <filter val="ППД Петропавлівка (літуни)"/>
            <filter val="Відпустка лікув."/>
            <filter val="ППД Лугова (літуни)"/>
            <filter val="Полігон &quot;Б&quot;"/>
            <filter val="ППД Петропавлівка"/>
            <filter val="ППД Соборне (літуни)"/>
            <filter val="Полк"/>
            <filter val="ППД Вишневе"/>
            <filter val="н.п. Барвінково"/>
            <filter val="ППД Побережжя"/>
            <filter val="н.п. Бажани"/>
            <filter val="КСП Павлоград"/>
            <filter val="Шпиталь"/>
            <filter val="ЄКЦ Павлоград"/>
            <filter val="ППД Польова"/>
          </filters>
        </filterColumn>
      </autoFilter>
    </customSheetView>
    <customSheetView guid="{C5B6CA2E-1D95-4AA0-838F-93CF53430D57}" filter="1" showAutoFilter="1">
      <autoFilter ref="$A$1:$AH$854">
        <filterColumn colId="1">
          <filters>
            <filter val="Мінометний взвод"/>
            <filter val="Група безпілотних систем"/>
            <filter val="Медичний пункт"/>
            <filter val="Відділення радіоелектронної боротьби"/>
          </filters>
        </filterColumn>
        <filterColumn colId="25">
          <filters blank="1">
            <filter val="Закінчення курсу 13.05.26"/>
            <filter val="Закінчення курсу 08.12.2025"/>
            <filter val="Закінчення курсу 15.11.25"/>
            <filter val="Закінчення курсу 06.01.2026"/>
            <filter val="Закінчення курсу 22.06.26"/>
            <filter val="не поданий на курс"/>
            <filter val="БЗВП +"/>
            <filter val="Закінчення курсу 22.03.26"/>
            <filter val="Закінчення курсу 11.06.26"/>
            <filter val="Закінчення курсу 15.09.26"/>
            <filter val="Закінчення курсу 09.04.26"/>
            <filter val="Закінчення курсу 06.01.26"/>
            <filter val="Закінчення курсу 04.07.26"/>
            <filter val="Закінчення курсу 08.12.25"/>
            <filter val="Закінчення курсу 22.07.26"/>
            <filter val="Закінчення курсу 13.08.26"/>
            <filter val="Закінчення курсу 27.02.26"/>
            <filter val="Закінчення курсу 13.06.25"/>
            <filter val="Закінчення курсу 29.01.2026"/>
            <filter val="Закінчення курсу 27.07.25"/>
            <filter val="Закінчення курсу 31.05.26"/>
            <filter val="Закінчення курсу &#10;15.11.2025"/>
            <filter val="Закінчення курсу 29.01.26"/>
            <filter val="Закінчення курсу 02.08.26"/>
            <filter val="Закінчення курсу 21.10.26"/>
            <filter val="Закінчення курсу 01.05.26"/>
            <filter val="Закінчення курсу 25.08.26"/>
            <filter val="Закінчення курсу 20.04.26"/>
          </filters>
        </filterColumn>
        <filterColumn colId="30">
          <filters>
            <filter val="Полігон Д"/>
            <filter val="ППД Шевченко (Петропавлівка (літуни))"/>
            <filter val="Полігон ЧЛ"/>
            <filter val="ППД Петропавлівка (літуни)"/>
            <filter val="ППД Лугова (літуни)"/>
            <filter val="ППД Соборне (літуни)"/>
            <filter val="ППД Вишневе"/>
            <filter val="ППД Побережжя"/>
            <filter val="ЄКЦ Павлоград"/>
            <filter val="ППД Польова"/>
          </filters>
        </filterColumn>
      </autoFilter>
    </customSheetView>
    <customSheetView guid="{03EA440D-8A07-492E-9DE2-AB435A8536FC}" filter="1" showAutoFilter="1">
      <autoFilter ref="$A$1:$AR$854">
        <filterColumn colId="21">
          <filters>
            <filter val="Гранатометники"/>
            <filter val="Піхота"/>
          </filters>
        </filterColumn>
        <filterColumn colId="22">
          <filters blank="1"/>
        </filterColumn>
        <filterColumn colId="30">
          <filters blank="1">
            <filter val="Полігон Д"/>
            <filter val="ППД Слов'янка (13-й)"/>
            <filter val="ППД Шевченко (Петропавлівка (літуни))"/>
            <filter val="ППД Слов'янка (Аптекар)"/>
            <filter val="Полігон ЧЛ"/>
            <filter val="ППД Самарське (літуни)"/>
            <filter val="ППД Петропавлівка (літуни)"/>
            <filter val="ППД Лугова (літуни)"/>
            <filter val="Полігон &quot;Б&quot;"/>
            <filter val="ППД Петропавлівка"/>
            <filter val="ППД Соборне (літуни)"/>
            <filter val="Полк"/>
            <filter val="ППД Вишневе"/>
            <filter val="н.п. Барвінково"/>
            <filter val="ППД Побережжя"/>
            <filter val="н.п. Бажани"/>
            <filter val="КСП Павлоград"/>
            <filter val="ЄКЦ Павлоград"/>
            <filter val="ППД Польова"/>
          </filters>
        </filterColumn>
      </autoFilter>
    </customSheetView>
    <customSheetView guid="{9A90CA30-4CE9-4BEB-93A9-49082A802082}" filter="1" showAutoFilter="1">
      <autoFilter ref="$A$1:$AR$854">
        <filterColumn colId="25">
          <filters>
            <filter val="Закінчення курсу 13.05.26"/>
            <filter val="Закінчення курсу 15.11.25"/>
            <filter val="Закінчення курсу 22.06.26"/>
            <filter val="Закінчення курсу 11.06.26"/>
            <filter val="Закінчення курсу 15.09.26"/>
            <filter val="Закінчення курсу 06.01.26"/>
            <filter val="Закінчення курсу 04.07.26"/>
            <filter val="Закінчення курсу 08.12.25"/>
            <filter val="Закінчення курсу 22.07.26"/>
            <filter val="Закінчення курсу 13.08.26"/>
            <filter val="Закінчення курсу 27.02.26"/>
            <filter val="Закінчення курсу 13.06.25"/>
            <filter val="Закінчення курсу 27.07.25"/>
            <filter val="Закінчення курсу 31.05.26"/>
            <filter val="Закінчення курсу 29.01.26"/>
            <filter val="Закінчення курсу 02.08.26"/>
            <filter val="Закінчення курсу 21.10.26"/>
            <filter val="Закінчення курсу 01.05.26"/>
            <filter val="Закінчення курсу 25.08.26"/>
            <filter val="Закінчення курсу 20.04.26"/>
          </filters>
        </filterColumn>
        <filterColumn colId="26">
          <filters blank="1">
            <filter val="Закінчення курсу 27.02.26"/>
            <filter val="не обмежено, примітка"/>
            <filter val="ЛИСАЧОВ"/>
            <filter val="так"/>
            <filter val="був БРЕЗ"/>
            <filter val="ССО"/>
            <filter val="БЗВП????"/>
          </filters>
        </filterColumn>
        <filterColumn colId="27">
          <filters blank="1">
            <filter val="Призупинення служби"/>
          </filters>
        </filterColumn>
        <filterColumn colId="22">
          <filters blank="1">
            <filter val="БГ"/>
          </filters>
        </filterColumn>
        <filterColumn colId="21">
          <filters blank="1">
            <filter val="Кухар"/>
            <filter val="Пілот (розвідка)"/>
            <filter val="Упр. підрозділ."/>
            <filter val="Пілот (FPV)"/>
            <filter val="Штаб. бату"/>
            <filter val="Водій (тил)"/>
            <filter val="Гранатометники"/>
            <filter val="Майстер"/>
            <filter val="Медики"/>
            <filter val="Упр. взводу"/>
            <filter val="Пілот (бомбери)"/>
            <filter val="Упр. бату"/>
            <filter val="Піхота"/>
            <filter val="Водій (викон)"/>
          </filters>
        </filterColumn>
        <filterColumn colId="30">
          <filters>
            <filter val="Полігон Д"/>
            <filter val="ППД Шевченко (Петропавлівка (літуни))"/>
            <filter val="ППД Слов'янка (Аптекар)"/>
            <filter val="Полігон ЧЛ"/>
            <filter val="ППД Петропавлівка (літуни)"/>
            <filter val="ППД Лугова (літуни)"/>
            <filter val="ППД Соборне (літуни)"/>
            <filter val="ППД Вишневе"/>
            <filter val="ППД Побережжя"/>
            <filter val="ЄКЦ Павлоград"/>
            <filter val="ППД Польова"/>
          </filters>
        </filterColumn>
      </autoFilter>
    </customSheetView>
    <customSheetView guid="{6AC3B514-523F-4C51-9966-E41C399BD432}" filter="1" showAutoFilter="1">
      <autoFilter ref="$A$1:$AR$854">
        <filterColumn colId="2">
          <filters blank="1">
            <filter val="ЗКБ"/>
            <filter val="командир машини взводу бойових машин 1 штурмової роти 4 штурмового батальйону"/>
            <filter val="Радіовідділення"/>
            <filter val="Господарче відділення"/>
            <filter val="Взвод розвідки та корегування"/>
            <filter val="Польова лазня"/>
            <filter val="начальник штабу - заступник командира штурмового спеціалізованого батальйону (ШКВАЛ)"/>
            <filter val="1 піхотний взвод"/>
            <filter val="командир 3 штурмового взводу 3 штурмової роти 2 штурмового батальйону"/>
            <filter val="заступник командира роти безпілотних авіаційних комплексів штурмового спеціалізованого батальйону (ШКВАЛ) з психологічної підтримки персоналу"/>
            <filter val="номер обслуги кулеметного взводу 1 штурмової спеціалізованої роти штурмового спеціалізованого батальйону (ШКВАЛ)"/>
            <filter val="Автомобільне відділення"/>
            <filter val="командир 3 штурмового взводу 1 штурмової роти 2 штурмового батальйону"/>
            <filter val="майстер рухомої ремонтної майстерні безпілотних авіаційних комплексів взводу обслуговування та ремонту безпілотних систем розвідувального батальйону"/>
            <filter val="Група зв’язку та кібербезпеки"/>
            <filter val="командир 1 штурмового взводу 2 штурмової роти 1 штурмового батальйону"/>
            <filter val="1 екіпаж перехоплювачів безпілотних літальних апаратів"/>
            <filter val="1 відділення протитанкових ракетних комплексів"/>
            <filter val="НА ПОСАДУ"/>
            <filter val="Група логістики"/>
            <filter val="Радіолокаційна станція"/>
            <filter val="номер обслуги 1 реактивного артилерійського взводу реактивної артилерійської батареї"/>
            <filter val="Секція цивільно-військового співробітництва"/>
            <filter val="командир взводу 121 запасної роти"/>
            <filter val="05.12.2025"/>
            <filter val="3 піхотний взвод"/>
            <filter val="Відділення управління штабу батальйону"/>
            <filter val="кулеметник 4 штурмового відділення 3 штурмового взводу 1 штурмової роти 3 штурмового батальйону"/>
            <filter val="ж"/>
            <filter val="27.11.2025"/>
            <filter val="Інструктор"/>
            <filter val="2 відділення протитанкових ракетних комплексів"/>
            <filter val="відділення важких логістично-евакуаційних безпілотних наземних систем"/>
            <filter val="3 екіпаж перехоплювачів безпілотних літальних апаратів"/>
            <filter val="Група планування"/>
            <filter val="3 відділення середніх логістично-евакуаційних безпілотних наземних систем"/>
            <filter val="командир 2 піхотної роти 2 піхотного батальйону"/>
            <filter val="Група персоналу"/>
            <filter val="Група розвідки"/>
            <filter val="Відділення технічного обслуговування автомобільної техніки"/>
            <filter val="оператор безпілотних літальних апаратів відділення управління командира батареї 2 артилерійської батареї артилерійського дивізіону"/>
            <filter val="Кулеметний взвод"/>
            <filter val="солдат резерву 121 запасної роти"/>
            <filter val="водій 3 штурмового відділення 2 штурмового взводу 2 штурмової роти 3 штурмового батальйону"/>
            <filter val="водій-електрик відділення управління командира батальйону взводу зв'язку 3 піхотного батальйону"/>
            <filter val="водій-радіотелефоніст 2 піхотного відділення 2 піхотного взводу 3 піхотної роти 3 піхотного батальйону"/>
            <filter val="стрілець-санітар 3 штурмового відділення 1 штурмового взводу 3 штурмової роти 4 штурмового батальйону"/>
            <filter val="2 відділення середніх логістично-евакуаційних безпілотних наземних систем"/>
            <filter val="номер обслуги 1 кулеметного взводу роти вогневої підтримки 1 штурмового батальйону"/>
            <filter val="Евакуаційне група"/>
            <filter val="2 піхотний взвод"/>
            <filter val="2 екіпаж перехоплювачів безпілотних літальних апаратів"/>
            <filter val="відділення безпілотних авіаційних комплексів"/>
            <filter val="Відділення зв'язку"/>
            <filter val="Відділення управління командира батальйону"/>
            <filter val="2 взвод ударних безпілотних авіаційних комплексів"/>
            <filter val="Зенітне ракетне відділення"/>
            <filter val="гранатометник 1 піхотного відділення 1 піхотного взводу 2 піхотної роти 3 піхотного батальйону"/>
            <filter val="кулеметник 2 відділення охорони 4 взводу охорони роти охорони"/>
            <filter val="кулеметник 3 штурмового спеціалізованого відділення 1 штурмового спеціалізованого взводу 4 штурмової спеціалізованої роти штурмового спеціалізованого батальйону (ШКВАЛ)"/>
            <filter val="1 взвод ударних безпілотних авіаційних комплексів"/>
            <filter val="майстер 1 відділення ударних безпілотних авіаційних комплексів 1 взводу ударних безпілотних авіаційних комплексів роти безпілотних авіаційних комплексів 4 штурмового батальйону"/>
            <filter val="1 відділення середніх логістично-евакуаційних безпілотних наземних систем"/>
            <filter val="зарахованого до списків особового складу"/>
          </filters>
        </filterColumn>
        <filterColumn colId="0">
          <filters blank="1">
            <filter val="ШКВАЛ"/>
            <filter val="виведені посади"/>
            <filter val="425"/>
            <filter val="2ШБ"/>
          </filters>
        </filterColumn>
        <filterColumn colId="1">
          <filters blank="1">
            <filter val="1 піхотна рота"/>
            <filter val="Мінометний взвод"/>
            <filter val="Взвод зв'язку"/>
            <filter val="2 піхотна рота"/>
            <filter val="Взвод перехоплювачів безпілотних літальних апаратів"/>
            <filter val="3 піхотна рота"/>
            <filter val="Рота безпілотних авіаційних комплексів"/>
            <filter val="Група безпілотних систем"/>
            <filter val="Взвод логістично-евакуаційних безпілотних наземних систем"/>
            <filter val="Гранатометний взвод"/>
            <filter val="Кулеметний взвод"/>
            <filter val="Взвод протитанкових ракетних комплексів"/>
            <filter val="Штаб"/>
            <filter val="Медичний пункт"/>
            <filter val="Розвідувальний взвод"/>
            <filter val="ж"/>
            <filter val="Інженерно-саперне відділення"/>
            <filter val="Відділення радіоелектронної боротьби"/>
            <filter val="БРЕЗ"/>
            <filter val="Взвод матеріально-технічного забезпечення"/>
          </filters>
        </filterColumn>
        <filterColumn colId="20">
          <filters>
            <filter val="В строю"/>
            <filter val="Новоприбулий"/>
            <filter val="Відпустка"/>
          </filters>
        </filterColumn>
      </autoFilter>
    </customSheetView>
    <customSheetView guid="{301787F6-0A60-4204-A6E2-9F62154A76BA}" filter="1" showAutoFilter="1">
      <autoFilter ref="$A$1:$AR$854">
        <filterColumn colId="1">
          <filters>
            <filter val="1 піхотна рота"/>
            <filter val="Мінометний взвод"/>
            <filter val="Взвод зв'язку"/>
            <filter val="2 піхотна рота"/>
            <filter val="Взвод перехоплювачів безпілотних літальних апаратів"/>
            <filter val="3 піхотна рота"/>
            <filter val="Рота безпілотних авіаційних комплексів"/>
            <filter val="Група безпілотних систем"/>
            <filter val="Взвод логістично-евакуаційних безпілотних наземних систем"/>
            <filter val="Гранатометний взвод"/>
            <filter val="Кулеметний взвод"/>
            <filter val="Взвод протитанкових ракетних комплексів"/>
            <filter val="Штаб"/>
            <filter val="Медичний пункт"/>
            <filter val="Розвідувальний взвод"/>
            <filter val="ж"/>
            <filter val="Інженерно-саперне відділення"/>
            <filter val="Відділення радіоелектронної боротьби"/>
            <filter val="БРЕЗ"/>
            <filter val="Взвод матеріально-технічного забезпечення"/>
          </filters>
        </filterColumn>
        <filterColumn colId="4">
          <colorFilter dxfId="2"/>
        </filterColumn>
      </autoFilter>
    </customSheetView>
    <customSheetView guid="{73206C08-CA0E-44F7-B418-3DE995C3378F}" filter="1" showAutoFilter="1">
      <autoFilter ref="$A$1:$AH$854">
        <filterColumn colId="13">
          <filters>
            <filter val="ХОВРЯК Валерій Борисович"/>
            <filter val="КИРИЛЕНКО Володимир Олександрович"/>
            <filter val="БЕСЕРРА Фонтес Габріель"/>
            <filter val="ШЕВЧЕНКО Максим Вікторович"/>
            <filter val="ДА СІЛЬВА МАЧАДО Карлос Магно"/>
            <filter val="ВІЦЮК Василь Олександрович"/>
            <filter val="СУЛТАНОВ Василь Віталійович"/>
            <filter val="ВИНОГРАДСЬКИЙ Володимир Андрійович"/>
            <filter val="ГУК Володимир Степанович"/>
            <filter val="ЛАНОВИЙ Володимир Олександрович"/>
            <filter val="КОМЛІЧЕНКО Володимир Володимирович"/>
            <filter val="МАРЦИНЕНКО Олександр Олександрович"/>
            <filter val="ДОРОШЕНКО Дмитро Сергійович"/>
            <filter val="ЗЛОБІН Іван Сергійович"/>
            <filter val="АЛЕКСАНДРОВ Олександр Олександрович"/>
            <filter val="МХЕІДЗЕ Роман Зурабович"/>
            <filter val="ДОЙЧЕВ Ян Володимирович"/>
            <filter val="ФЕДОРЧУК Андрій Вікторович"/>
            <filter val="ЖУГАН Валентин Вікторович"/>
            <filter val="ЗАМАРАЄВ Євген Миколайович"/>
            <filter val="ЛИХОЛАТ Владислав Олегович"/>
            <filter val="ЗБОРЮК Віктор Вікторович"/>
            <filter val="ВОЛОШКО Олександр Миколайович"/>
            <filter val="КУШНІР Віталій Дмитрович"/>
            <filter val="МІТРОФАНОВ Володимир Миколайович"/>
            <filter val="ДО КАРМУ БАРБОЗА Матеус"/>
            <filter val="ЗАПОРОЖЕЦЬ Сергій Анатолійович"/>
            <filter val="ДМИТРІЄВ Андрій Сергійович"/>
            <filter val="МАРТІНС ДЕ ОЛІВЕЙРА Габріель Енріке"/>
            <filter val="ГОРКАВИЙ Віталій Олександрович"/>
            <filter val="ЄРШОВ Олександр Олександрович"/>
            <filter val="КРИЛОВ Михайло Євгенович"/>
            <filter val="КРИВУЛЯ Денис Леонідович"/>
            <filter val="ПОРТЯНЧЕНКО Олексій Сергійович"/>
            <filter val="ВОЛОБУЄВ Юрій Олегович"/>
            <filter val="БУГАКОВ Євген Ігорович"/>
            <filter val="ПРИСЯЖНИЙ Сергій Олександрович"/>
            <filter val="СОЛНЦЕВ Артур Сергійович"/>
            <filter val="АХІНЬКО Юрій Миколайович"/>
            <filter val="СЕМІЗОРОВ Микола Вікторович"/>
            <filter val="СУПРУНЮК Сергій Володимирович"/>
            <filter val="ЯРЕМЕНКО Денис Ігорович"/>
            <filter val="ШУШКО Олександр Богданович"/>
            <filter val="ПИВОВАРЕНКО Олександр Ігорович"/>
            <filter val="КОВАЛЬ Анатолій Анатолійович"/>
            <filter val="КОВАЛЕНКО Олексій Віталійович"/>
            <filter val="АТРАХОВ Олександр Анатолійович"/>
            <filter val="ФЕДОСЄЄВ Роман Юрійович"/>
            <filter val="ЛОБОДА Олексій Миколайович"/>
            <filter val="МАЛЕНКО Володимир Євгенович"/>
            <filter val="ГРЕБЕНЩИКОВ Дмитро Сергійович"/>
            <filter val="ДЕМОРАЦЬКИЙ Ігор Вікторович"/>
            <filter val="ОХОРЗІН Віталій Володимирович"/>
            <filter val="СІРЯЧЕНКО Микола Миколайович"/>
            <filter val="МЕЛЬНИК Сергій Сергійович"/>
            <filter val="ЗАХАРЧУК Сергій Сергійович"/>
            <filter val="МАЛАЙ Денис Борисович"/>
            <filter val="ГОРЧИНСЬКИЙ Євгеній Анатолійович"/>
            <filter val="ЖИРИК Василь Іванович"/>
            <filter val="КУЛИК Володимир Петрович"/>
            <filter val="ХВОСТІКОВ Ігор Олександрович"/>
            <filter val="БУЛИЧЕВ Андрій Геннадійович"/>
            <filter val="БРАНЕЦЬ Руслан Краснославович"/>
            <filter val="МАРЦИНЮК Артем Петрович"/>
            <filter val="НАЗАРЕНКО Олександр Олександрович (09.10.1985 р.н.)"/>
            <filter val="ЗАЛЕВСЬКИЙ Євген Станіславович"/>
            <filter val="НЕСТОРОВИЧ Іван Володимирович"/>
            <filter val="БУТКЕВИЧ Микола Миколайович"/>
            <filter val="ІВАНОВ Вячеслав Вікторович"/>
            <filter val="МОКРИЙ Вадим Геннадійович"/>
            <filter val="СТАРОДУБ Віталій Олександрович"/>
            <filter val="КУЕЙРОЗ ПРАТА СОТО УЛЛОА Альваро Ренан"/>
            <filter val="ОСИПЕНКО Валерій Миколайович"/>
            <filter val="МЕЛЬНИЧЕНКО Станіслав Вікторович"/>
            <filter val="БОРИШПОЛЕЦЬ Роман Юрійович"/>
            <filter val="ТЕРЕЩЕНКО Руслан Сергійович"/>
            <filter val="ПАРФЕНЮК Віталій Володимирович"/>
            <filter val="ГОРБАТКОВ Максим Григорович"/>
            <filter val="ТОФАН Максим Миколайович"/>
            <filter val="ВАСЕНКО Володимир Анатолійович"/>
            <filter val="ДУБІНІН Ілля Іванович"/>
            <filter val="РЕХТЕТА Олександр Олександрович"/>
            <filter val="ПЕТРОВ В'ячеслав Олексійович"/>
            <filter val="СТАЛЕВСЬКИЙ Ігор Євгенович"/>
            <filter val="РЯБІНІН Володимир Володимирович"/>
            <filter val="БОЙКО Стюжан Павлович"/>
            <filter val="ШАМОТА Віктор Сергійович"/>
            <filter val="ШУЛЯК Валентин Миколайович"/>
            <filter val="ДРОГАНЧУК Сергій Юрійович"/>
            <filter val="МОРОЗ Владлен Григорович"/>
            <filter val="ГРИЦЕНКО Ілля Миколайович"/>
            <filter val="ГУЛАКОВ Євген Олександрович"/>
            <filter val="СЄМАКА Микола Володимирович"/>
            <filter val="ФЕДУН Сергій Григорович"/>
            <filter val="АНДРІЙЧУК Олександр Анатолійович"/>
            <filter val="ЧЕРНЯВСЬКИЙ Олексій Володимирович"/>
            <filter val="МЕРЗЛИКІН Іван Володимирович"/>
            <filter val="КУМСКОВ Роман Віталійович"/>
            <filter val="БРІТО Віейра Алессандро"/>
            <filter val="СУХОРУКОВ Андрій Сергійович"/>
            <filter val="ЛУНГУ Андрій Васильович"/>
            <filter val="ПРИХОДКІН Гліб Сергійович"/>
            <filter val="АФОНІН Владислав Юрійович"/>
            <filter val="МІРАНДА БАРРІОС Фабріцціо Мануель"/>
            <filter val="МОРОЗ Андрій Миколайович"/>
            <filter val="ПЛЮСНІН Микола Олегович"/>
            <filter val="СУХАНОВ Дмитро Юрійович"/>
            <filter val="МАЗУР Валерій Павлович"/>
            <filter val="КРИВЦУН Максим Анатолійович"/>
            <filter val="ТИТАРЕНКО Костянтин Валерійович"/>
            <filter val="ФОМІН Євген Васильович"/>
            <filter val="КРУТЧЕНКО Володимир Леонідович"/>
            <filter val="ГРИГОР'ЄВ Олександр Васильович"/>
            <filter val="КУЛІЄВ Арен Манвелович"/>
            <filter val="КРУЛЬКО Артур В'ячеславович"/>
            <filter val="МАРСАВІН Віталій Віталійович"/>
            <filter val="КАСЬЯН Микола Олександрович"/>
            <filter val="КОЛОПАЧКО Іван Іванович"/>
            <filter val="ШАПОВАЛ Олександр Володимирович"/>
            <filter val="МОРОЗКО Ігор Юрійович"/>
            <filter val="ВІКТОРОВ Олександр Юрійович"/>
            <filter val="ФЕФІЛОВ Олег В'ячеславович"/>
            <filter val="НІЩЕРЕТ Іван Михайлович"/>
            <filter val="ВОРОТНЯК Петро Іванович"/>
            <filter val="ГОЛУБЄВ Денис Миколайович"/>
            <filter val="ГАЛУШКО Олексій Олександрович"/>
            <filter val="СМОТРЕНКО Олександр Сергійович"/>
            <filter val="ІВАНОВ Павло Віталійович"/>
            <filter val="НІКОЛАЙЧУК Володимир Олександрович"/>
            <filter val="ПОДВОЙСЬКИЙ Рустам Асланович"/>
            <filter val="ЖИНКАТИЙ Василь Васильович"/>
            <filter val="РОМАНЧЕНКО Сергій Петрович"/>
            <filter val="ПУСТОВИЙ Сергій Володимирович"/>
            <filter val="БРІТО САНДЕС Катерін"/>
            <filter val="РОЗНОВЕЦЬ Володимир Сергійович"/>
            <filter val="РОДРІГЕС ФОНСЕКА Ігор Лукас"/>
            <filter val="ПРОКОФ'ЄВ Максим Анатолійович"/>
            <filter val="ВІПУЗОВ Владислав Андрійович"/>
            <filter val="МИШОГЛО Євгеній Юрійович"/>
            <filter val="ДЯТЛОВ Микола Миколайович"/>
            <filter val="НАТАШИН Денис Вячеславович"/>
            <filter val="БИШЛЯГА Михайло Анатолійович"/>
            <filter val="МЕЙРЕЛЛЕС САНТОС РОСА Лукас"/>
            <filter val="ГАВРИЛЕНКОВ Станіслав Юрійович"/>
            <filter val="КАНАЄВ Дмитро Миколайович"/>
            <filter val="КОЗАКОВ Володимир Олександрович"/>
            <filter val="ЛАПІН Сергій Андрійович"/>
            <filter val="МІРАНДА Пачеко Сергіо Рауль"/>
            <filter val="МАТВІЄНКО Артур Дмитрович"/>
            <filter val="КОВАЛЕНКО Сергій Васильович"/>
            <filter val="СІМАКОВ Вячеслав Валерійович"/>
            <filter val="ЛИСЕНКО Михайло Юрійович"/>
            <filter val="СЛІПЧУК Юрій Михайлович"/>
            <filter val="БОРСУК Олексій Вікторович"/>
            <filter val="СМОКВИНА Іван В'ячеславович"/>
            <filter val="БАДАЛЯН Арек Камойович"/>
            <filter val="КУЧЕРУК Михайло Сергійович"/>
            <filter val="ПРОСКУРІН Роман Олександрович"/>
            <filter val="БІЛИК Сергій Володимирович"/>
            <filter val="ПАРУЛІКОВ Павло Павлович"/>
            <filter val="КОШОВИЙ Максим Олегович"/>
            <filter val="СТОЯНОВ Леонід Михайлович"/>
            <filter val="ЧЕРНОВОЛОВ Олександр Анатолійович"/>
            <filter val="СВІНТІХА Віктор Олексійович"/>
            <filter val="ПОДОЛЯНЕЦЬ Микита Євгенович"/>
            <filter val="ЛИТОВЧЕНКО Валерій Олександрович"/>
            <filter val="ЛОЗОВ Андрій Іванович"/>
            <filter val="АВРАМЕНКО Костянтин Михайлович"/>
            <filter val="ВАКУЛІН Віталій Сергійович"/>
            <filter val="КІРІС Дмитро Анатолійович"/>
            <filter val="ТРОЯН Костянтин Олександрович"/>
            <filter val="ДЕПУТАТ Анатолій Андрійович"/>
            <filter val="КРОШКА Іван Григорович"/>
            <filter val="ПРОТОПОПОВ Петро Петрович"/>
            <filter val="НАЙДЬОН Максим Миколайович"/>
            <filter val="НІКОНОВ Роман Андрійович"/>
            <filter val="ЛИСАЧОВ Володимир Валерійович"/>
            <filter val="НІКІШКІН Євген Олексійович"/>
            <filter val="МІТЄВ Олександр Вікторович"/>
            <filter val="АЛЄКСЄЄВ Костянтин Віталійович"/>
            <filter val="БОНДАРЕНКО Олександр Анатолійович (21.02.1979 р.н.)"/>
            <filter val="ДУДКА Олександр Миколайович"/>
            <filter val="СВИРИДЕНКО Віталій Віталійович"/>
            <filter val="ТОКАР Юрій Андрійович"/>
            <filter val="ПЕКА Костянтин Васильович"/>
            <filter val="ПЕТРУНЬ Микола Васильович"/>
            <filter val="ГОРДІЄНКО Юрій Валерійович"/>
            <filter val="КУСТОДІУ ЖЕРОНІМУ Кевін Вінісіус"/>
            <filter val="БАБЯК Олексій Володимирович"/>
            <filter val="ПЕТРУНІВ Олександр Ярославович"/>
            <filter val="ІЩЕНКО Олександр Анатолійович (10.08.1978 р.н.)"/>
            <filter val="ПЕТРОВ Василь Анатолійович"/>
            <filter val="НАЗАРЕНКО Яків Григорович"/>
            <filter val="ТРЕГУБ Євген Федорович"/>
            <filter val="КОВАЛЬ Руслан Володимирович"/>
            <filter val="ЩИБРИК Олександр Олександрович"/>
            <filter val="РИБАР Олександр Аладарович"/>
            <filter val="ФІЛОНЦЕВ Віталій Олександрович (05.01.1984 р.н.)"/>
            <filter val="КРИВЕНКО Михайло Сергійович"/>
            <filter val="ЦЕПУХ Іван Ярославович"/>
            <filter val="ДУДЛА Андрій Михайлович"/>
            <filter val="КОШЕЛЬКО Дмитро Вікторович"/>
            <filter val="ДЕМИДЕНКО Володимир Анатолійович"/>
            <filter val="ВАСИЛИШИН Сергій Вікторович"/>
            <filter val="КЛУБАНЬ Володимир Вікторович"/>
            <filter val="БАБІЧЕВ Анатолій Михайлович"/>
            <filter val="СКОЧИНСЬКИЙ Ігор Миколайович"/>
            <filter val="ДУБИНА Василь Олексійович"/>
            <filter val="ГОДУН Олександр Володимирович"/>
            <filter val="РЕЗЕНДЕ ВІАНА Роберту Віктор"/>
            <filter val="БРИЦЬКИЙ Руслан Володимирович"/>
            <filter val="ТОРГОВИЧ Андрій Володимирович"/>
            <filter val="КРИВЦУН Павло Геннадійович"/>
            <filter val="ВОРОБЕЙ Микола Анатолійович"/>
            <filter val="КРАСІКОВ Володимир Борисович"/>
            <filter val="МІХАЛЬОВ Віталій Борисович"/>
            <filter val="КАРПАЧОВ Леонід Володимирович"/>
            <filter val="КАН Володимир Володимирович"/>
            <filter val="СЄДОВ В'ячеслав Анатолійович"/>
            <filter val="КЕСАРЧУК Олександр Васильович"/>
            <filter val="ГУЗЕНКО Станіслав Станіславович"/>
            <filter val="ЯКОВЛЄВ Олександр Володимирович"/>
            <filter val="САНДУЛ Володимир Олександрович"/>
            <filter val="СТЕПАНОВ Максим В'ячеславович"/>
            <filter val="МОСІЙЧУК Євген Миколайович"/>
            <filter val="САМСОНОВ Олександр Юрійович"/>
            <filter val="НЕСТЕРЕНКО Руслан Андрійович"/>
            <filter val="ЧМІЛЬ Володимир Романович"/>
            <filter val="ТЮПА Сергій Валерійович"/>
            <filter val="ЛАВРІНЕНКО Роман Сергійович"/>
            <filter val="КЛОКОВ Сергій Анатолійович"/>
            <filter val="НІКОЛАЄНКО Микола Васильович"/>
            <filter val="МІЛЮХІН Олександр Сергійович"/>
            <filter val="РУДИЙ Віталій Олександрович"/>
            <filter val="ШПОРТЬКО Роман Володимирович"/>
            <filter val="РУСТАМОВ Руслан Раджабович"/>
            <filter val="САВЧЕНКО Максим Олександрович (25.01.1997 р.н.)"/>
            <filter val="ДУБНИЦЬКИЙ Володимир Володимирович"/>
            <filter val="ДИЧИК Віталій Васильович"/>
            <filter val="ГУНЬКО Олександр Олександрович"/>
            <filter val="СУШИН Василь Юрійович"/>
            <filter val="КАНІБОЛОЦЬКИЙ Руслан Вікторович"/>
            <filter val="ТРОМБА Максим Васильович"/>
            <filter val="ХРАЛЬЧЕНКО Олександр Вікторович"/>
            <filter val="КРІЛЬ Денис Вікторович"/>
            <filter val="ОЛІЙНИК Олег Дмитрович"/>
            <filter val="ПТАХОВ Віктор Вікторович"/>
            <filter val="ЛИТВИНЧУК Юрій Костянтинович"/>
            <filter val="ГРОМОВ Павло Олександрович"/>
            <filter val="СКУМІН Михайло Олексійович"/>
            <filter val="РОДРІГЕС ДА СІЛВА Кевін Патрік"/>
            <filter val="БАРІНОВ Денис Валерійович"/>
            <filter val="ДЕЙНЕКО Юрій Михайлович"/>
            <filter val="СТОЯНОВ Дмитро Миколайович"/>
            <filter val="СМИРНОВ Максим Сергійович"/>
            <filter val="ЦИБУЛЯ Олександр Іванович"/>
            <filter val="НОВІКОВ Олег Володимирович"/>
            <filter val="ДЕНИСОВ Андрій Сергійович"/>
            <filter val="ГІБЕРТ Владислав Ігорович"/>
            <filter val="ТКАЧУК Віталій Вікторович"/>
            <filter val="ЗАЙЧЕНКО Іван Юрійович"/>
            <filter val="ДОРО Олексій Вікторович"/>
            <filter val="ПЄНОВ Геннадій Георгійович"/>
            <filter val="СТОГНІЙ Юрій Дмитрович"/>
            <filter val="ОЛЕФІРЕНКО Віктор Володимирович"/>
            <filter val="ГАПОН Андрій Вікторович"/>
            <filter val="МІЛІНЧУК Геннадій Анатолійович"/>
            <filter val="МИСАН Ігор Олексійович"/>
            <filter val="ФУГАРУ Андрій Анатолійович"/>
            <filter val="ШМАТЧЕНКО Владислав Андрійович"/>
            <filter val="ГАЙДУК Олег Іванович"/>
            <filter val="АЛИПОВ Олександр Віталійович"/>
            <filter val="КОСТЯ В'ячеслав Сергійович"/>
            <filter val="КИСЛЯК Максим Олександрович"/>
            <filter val="ХАРАЩУК Антон Валентинович"/>
            <filter val="БОГДАН Тарас Богданович"/>
            <filter val="ЛЕРХ Михайло Олександрович"/>
            <filter val="ГОРДІЄНКО Дмитро Анатолійович"/>
            <filter val="ЯКУШЕНОК Олександр Володимирович"/>
            <filter val="РОМАНЕНКО Святослав Станіславович"/>
            <filter val="БИЧЕНКО Микола Анатолійович"/>
            <filter val="ПИРІГ Олег Вікторович"/>
            <filter val="МАЗУР Дмитро Михайлович"/>
            <filter val="ЛИТВИНЕНКО Олег Анатолійович"/>
            <filter val="РУБАНОВСЬКИЙ Георгій Сергійович"/>
            <filter val="ШУЛЯК Олександр Вікторович"/>
            <filter val="МАШКІН Андрій Володимирович"/>
            <filter val="КОСЕНКО Сергій Вікторович"/>
            <filter val="ДЕМИДЕНКО Євген Васильович"/>
            <filter val="КРАСЮК Антон Олександрович"/>
            <filter val="ОРЛОВ Олександр Володимирович"/>
            <filter val="АБРАМКІН Костянтин Олександрович"/>
            <filter val="СЕРГІЄНКО Фелікс Миколайович"/>
            <filter val="КОЗАРІЗ Дмитро Миколайович"/>
            <filter val="ПАЛАЦОЛЛІ Габріел Енріке"/>
            <filter val="ПОНОМАРЕНКО Олександр Юрійович"/>
            <filter val="УСТИМЕНКО Олександр Володимирович"/>
            <filter val="ЩЕРБАНЮК Володимир Іванович"/>
            <filter val="САВЧУК Євген Олександрович"/>
            <filter val="КИРИК Іван Вікторович"/>
            <filter val="КРАВЦОВ Артем Миколайович"/>
            <filter val="ІГОШЕВ Олексій Юрійович"/>
            <filter val="КОЛЕСНІКОВ Роман Климович"/>
            <filter val="ШВЕД Сергій Павлович"/>
            <filter val="МЕЛЬНІЧЕНКО Олег Володимирович"/>
            <filter val="ГУБА Роман Юрійович"/>
            <filter val="СЕВРЮКОВ Олексій Михайлович"/>
            <filter val="ПАХОМОВ Сергій Олексійович"/>
            <filter val="ЖОЛОБ Василь Миколайович"/>
            <filter val="ЖУРАВЕЛЬ Олег Юрійович"/>
            <filter val="БАДИКА Павло Олександрович"/>
            <filter val="АЛЧАПАР ДЕ ОЛІВЕЙРА Луан Леннон"/>
            <filter val="КАРНАУХ Сергій Вікторович"/>
            <filter val="ЛУГАНСЬКИЙ Вадим Ігорович"/>
            <filter val="ПИСАРЄВ Валентин Віталійович"/>
            <filter val="РОМАНЕНКО Юрій Володимирович"/>
            <filter val="ЖМУРЧЕНКО Антон Миколайович"/>
            <filter val="СТРИЖАКОВ Сергій Павлович"/>
            <filter val="ТРИГУБ Сергій Олександрович"/>
            <filter val="БОЙКО Олег Володимирович"/>
            <filter val="ГРЕБЕНЮК Артур Сергійович"/>
            <filter val="ГНІЦЕВИЧ Владислав Олександрович"/>
            <filter val="ДЬОМКІН Ігор Олексійович"/>
            <filter val="НЕДБАЙ Сергій Олегович"/>
            <filter val="БІЛОУС Владислав Олексійович"/>
            <filter val="КУЛЬБАНСЬКИЙ Володимир Іванович"/>
            <filter val="КОРОСТИЛЕНКО Андрій Леонідович"/>
            <filter val="СОАРЕС САНТОС Фредеріко"/>
            <filter val="ПОБЕРЕЖНИК Олександр Олександрович"/>
            <filter val="ВАЛІНЕВИЧ Анатолій Іванович"/>
            <filter val="КОРОТКОВ Віталій Юрійович"/>
            <filter val="ВОСКОБОЙНИК Сергій Вікторович"/>
            <filter val="МІЩЕНКО Юрій Федорович"/>
            <filter val="ЗАЛИВАЦЬКИЙ Андрій Олександрович"/>
            <filter val="АТРАШКЕВИЧ Олександр Олександрович"/>
            <filter val="БАРАНОВ Ілля В'ячеславович"/>
            <filter val="ФІЛІНОВ Сергій Олександрович"/>
            <filter val="КИЗИМ Сергій Сергійович"/>
            <filter val="ТИМЧУРА Данило Юрійович"/>
            <filter val="БОЙКО Юрій Сергійович"/>
            <filter val="ХРАБАТИН Іван Васильович"/>
            <filter val="ГРИНЧЕНКО Юрій Володимирович"/>
            <filter val="ФУРМАН Олександр Вячеславович"/>
            <filter val="ЯМКОВИЙ Руслан Костянтинович"/>
            <filter val="ДЯЧЕНКО Максим Олександрович"/>
            <filter val="СЛЮСАР Дмитро Борисович"/>
            <filter val="КАБАНЕНКО Владислав Юрійович"/>
            <filter val="ТИМОШЕНКО Сергій Романович"/>
            <filter val="НАВРОЦЬКИЙ Олександр Філімонович"/>
            <filter val="ДЕ СОУЗА Е СОУЗА Жозе Ренато"/>
            <filter val="ХОЛЯВКО Сергій Олександрович"/>
            <filter val="ПОТАПОВ Олексій Олександрович"/>
            <filter val="ІАСІ Стефано"/>
            <filter val="ДЕ ХЕСУС ЛІМА АВЕЛЛАР Жосе Еверальдо"/>
            <filter val="ЗАПАЛОВ Сергій Вікторович"/>
            <filter val="МИХАЙЛЕНКО Олександр Ігорович"/>
            <filter val="ШИБРЯЄВ Станіслав Ігорович"/>
            <filter val="МАРЧЕНКО Валерій Юрійович"/>
            <filter val="КОЗАЧОК Олександр Володимирович"/>
            <filter val="ШЕВЧЕНКО Олександр Володимирович (11.05.1981 р.н.)"/>
            <filter val="БІЛЕЦЬКИЙ В'ячеслав Євгенович"/>
            <filter val="РЯЖСЬКИХ Юрій Анатолійович"/>
            <filter val="СМЕРТЕНЮК Данило Андрійович"/>
            <filter val="ДЕЛЬ АГУЇЛА УАНІО Куїд Дікер"/>
            <filter val="КАРАДЖЯН Давид Артакович"/>
            <filter val="ПУХЛЕНКО Сергій Миколайович"/>
            <filter val="ФЕДЕРКО Богдан Сергійович"/>
            <filter val="ТОЛОЧНИЙ Ігор Валерійович"/>
            <filter val="СУХАРЄВ Іван Сергійович"/>
            <filter val="ЗОЗУЛЯ Валерій Олександрович"/>
            <filter val="ПИЛИПЕНКО Євген Валерійович"/>
            <filter val="НІФТІНОВ Нізамі Фазіл огли"/>
            <filter val="КАПЛУНОВ Валерій Сергійович"/>
            <filter val="КОБРИНЯ Володимир Вікторович"/>
            <filter val="ПАУЧКОВ Олексій Миколайович"/>
            <filter val="БИЧЕНКО Олександр Сергійович"/>
            <filter val="САМУСЕНКО Роман Сергійович"/>
            <filter val="КРАМНИЙ Анатолій Миколайович"/>
            <filter val="МОРОЗОВ Віктор Вікторович (27.03.1988 р.н.)"/>
            <filter val="ПОСТОЛЕНКО Валерій Володимирович"/>
            <filter val="НАГОРНИЙ Віталій Миколайович (16.02.1977 р.н.)"/>
            <filter val="ЦУПА Володимир Іванович"/>
            <filter val="МОГИЛЬНИЙ Валентин Васильович"/>
            <filter val="СОЛОВЙОВ Вячеслав Владіславович"/>
            <filter val="СКРИПАК Дмитро Сергійович"/>
            <filter val="НАГОРНИЙ Олександр Володимирович"/>
            <filter val="ТКАЧОВ Віталій Вікторович"/>
            <filter val="ЯНКУЛА Вячеслав Васильович"/>
            <filter val="ГРЕБЕНЮК Юрій Сергійович"/>
            <filter val="БАБЧЕНКО Олег Володимирович"/>
            <filter val="СЛЕСЕНКО Андрій В'ячеславович"/>
            <filter val="ЧЕРТИХІН Віталій Аркадійович"/>
            <filter val="ДЯЧУК Олександр Іванович"/>
            <filter val="ПАУЧЕНКО Володимир Олександрович"/>
            <filter val="БОРЕЦЬ Михайло Олегович"/>
            <filter val="ГРИНЬОВ Артем Вікторович"/>
            <filter val="НЕЧИТАЙЛО Андрій Павлович"/>
            <filter val="БОРЗОВ Антон Анатолійович"/>
            <filter val="БАБИЧ Валерій Олександрович"/>
            <filter val="ІЩЕНКО Дмитро Дмитрович"/>
            <filter val="ПЕРЕСАДА Віталій Андрійович"/>
            <filter val="ВОВНЯНКО Максим Сергійович"/>
            <filter val="ЗУЕВ Микола Володимирович"/>
            <filter val="КОВАЛЬЧУК Роман Петрович"/>
            <filter val="БОНДАРЕНКО Андрій Романович"/>
            <filter val="ПРОВОЗІН Євгеній Олександрович"/>
            <filter val="ОСТРІКОВ Анатолій Миколайович"/>
            <filter val="МАКСИМЮК Іван Дмитрович"/>
            <filter val="МАРТИНЕНКО Олександр Антонович"/>
            <filter val="ОСТАПЕНКО Дмитро Васильович"/>
            <filter val="МАЦЕНКО Дмитро Костянтинович"/>
            <filter val="МАХНАЄВ Максим Валентинович"/>
            <filter val="СТЕПАНЕНКО Ігор Валентинович"/>
            <filter val="ДОБРОВОЛЬСЬКИЙ Володимир Миколайович"/>
            <filter val="ГАЛКУН Василь Віталійович"/>
            <filter val="КОБИЛКО Євген Григорович"/>
            <filter val="ПОЛОЗОВ Олександр Володимирович"/>
            <filter val="ШИКАЛОВ Андрій Володимирович"/>
            <filter val="ЄРЬОМА Юрій Вікторович"/>
            <filter val="КУНДИС Сергій Олегович"/>
            <filter val="САРАНА Дмитро Михайлович"/>
            <filter val="ЗМЕУ Сергій Валерійович"/>
            <filter val="ЛІТВІН Владислав Юрійович"/>
            <filter val="МЕЛЕШКО Олександр Миколайович"/>
            <filter val="ГУМЕННИЙ Ігор Сергійович"/>
            <filter val="ДАВИДЮК Олег Валентинович"/>
            <filter val="ВИШНЕВЕЦЬКИЙ Сергій Олександрович"/>
            <filter val="ЖУРАВСЬКИЙ Юрій Віталійович"/>
            <filter val="ЛІСЮТІН Микола Олександрович"/>
            <filter val="УТОПЛЕННІКОВ Володимир Сергійович"/>
            <filter val="МИНАЙЛЮК Сергій Григорович"/>
            <filter val="КАГАРЛИЦЬКИЙ Євген Юрійович"/>
            <filter val="ГОГА Владислав Петрович"/>
            <filter val="САМОЙЛЕНКО Сергій Олександрович"/>
            <filter val="СОКОЛОВ Євген Васильович"/>
            <filter val="РАМІРЕЗ ПЕРЕЙРА Маріо Енріке"/>
            <filter val="БАНІШАУСКАС Володимир Сергійович"/>
            <filter val="ПРУДЕНКО Андрій Юрійович"/>
            <filter val="КІЯНЕНКО Андрій Олександрович"/>
            <filter val="ОЛІЙНИК Роман Миколайович"/>
            <filter val="ОМЕЛЬНИЦЬКИЙ Володимир Вікторович"/>
            <filter val="САВЧЕНКО Георгій Іванович"/>
            <filter val="ГНЕЛИЦЬКИЙ Ігор Володимирович"/>
            <filter val="РУДЕНКО Денис Анатолійович"/>
            <filter val="ПІКУШ Сергій Сергійович"/>
            <filter val="ДОРОШЕНКО Олексій Олександрович"/>
            <filter val="ЦАПЕНКО Микола Володимирович"/>
            <filter val="ПЕРЕЙРА Безерра Жорж Луїс"/>
            <filter val="БАЛЯСНИЙ Ігор Володимирович"/>
            <filter val="ЧУБАРОВ Максим Євгенович"/>
            <filter val="ШАГАНЕНКО Дмитро Миколайович"/>
            <filter val="ОРЕЛ Ігор Сергійович"/>
            <filter val="ЩЕННІКОВ Ігор Сергійович"/>
            <filter val="БАРАНОВ Сергій Ігорович"/>
            <filter val="КУХТИК Олександр Миколайович"/>
            <filter val="АКОПЯН Рустам Сергійович"/>
            <filter val="БРИКАЛО Сергій Борисович"/>
            <filter val="ЕСАУЛОВ Дмитро Сергійович"/>
            <filter val="ПОМОРЦЕВ Дмитро Володимирович"/>
            <filter val="БЕЗУГЛИЙ Дмитро Юрійович"/>
            <filter val="СВІНЦІЦЬКИЙ Віталій Олександрович"/>
            <filter val="КОЛБУТОВ Сергій Анатолійович"/>
            <filter val="СМАЛЬ Сергій Костянтинович"/>
            <filter val="САПОЖНИКОВ Максим Германович"/>
            <filter val="ФЕДОРОВ Олег Олексійович"/>
            <filter val="НЕДІЛЬСЬКИЙ Євген Олександрович"/>
            <filter val="ІВАНОВ Ігор Віталійович"/>
            <filter val="СВІДОВСЬКИЙ Олексій Вікторович"/>
            <filter val="СЛОБОДЯНИК Олександр Олегович"/>
            <filter val="ОМЕЛЬЧУК Василь Михайлович"/>
            <filter val="БЕДНІЧЕНКО Сергій Олександрович"/>
            <filter val="ДАНІШЕВСЬКИЙ Станіслав Володимирович"/>
            <filter val="ФЕДОРУК Андрій Олександрович"/>
            <filter val="ВЛАСЮК Олександр Миколайович"/>
            <filter val="ПЕРЕПЕЧАЄВ Дмитро Ігоревич"/>
            <filter val="КИСЛЮК Дмитро Олександрович"/>
            <filter val="ЧЕКАЛЕНКО Дмитро Олегович"/>
            <filter val="ЧАЙКА Дмитро Олександрович"/>
            <filter val="ЗАЙЧЕНКО Сергій Геннадійович"/>
            <filter val="РОМАНКО Вячеслав Миколайович"/>
            <filter val="КІПТЕНКО Костянтин Петрович"/>
            <filter val="ЦИБ Богдан Миколайович"/>
            <filter val="МОСЬОНДЗ Юрій Алімович"/>
            <filter val="КОРДЯК Роман Мирославович"/>
            <filter val="ГАДАЧ Андрій Ігорович"/>
            <filter val="КАСПРУК Сергій Борисович"/>
            <filter val="МАЛТАБАР Олександр Петрович"/>
            <filter val="ДАВИДЕНКО Олексій Олексійович"/>
            <filter val="УРІБЕ ВАСКЕС Рікардо Марсело"/>
            <filter val="СУВИРДА Мирослав Станіславович"/>
            <filter val="ЧЕПУРНИЙ Юрій Олегович"/>
            <filter val="ІВАНОВ Степан Анатолійович"/>
            <filter val="ДМИТРЕНКО Леонід Вікторович"/>
            <filter val="ЛЕПЕШКО Павло Чеславович"/>
            <filter val="ЛОЗЕНКО Денис Сергійович"/>
            <filter val="ПЕРЕЙРА Дос Сантос Аліссон"/>
            <filter val="КОБЗАР Володимир Олександрович"/>
            <filter val="КАПУСТА Євгеній Володимирович"/>
            <filter val="МАТВІЄНКО Богдан Вікторович"/>
            <filter val="НОСІК Андрій Сергійович"/>
            <filter val="ЮРКО Артем Володимирович"/>
            <filter val="ЦІМЕРМАН Іван Васильович"/>
            <filter val="ГІБЧЕНКО Олексій Владиславович"/>
            <filter val="НЕГОДА Віктор Сергійович"/>
            <filter val="ХИЛЬКО В'ячеслав Анатолійович"/>
            <filter val="ЄФРЕМОВ Сергій Сергійович"/>
            <filter val="КАТРУК Денис Володимирович"/>
            <filter val="ОРОБЕЙ Олександр Миколайович"/>
            <filter val="РИБЧИНСЬКИЙ Володимир Володимирович"/>
            <filter val="РЯБКО Сергій Анатолійович"/>
            <filter val="СОЛІЛО Юрій Володимирович"/>
            <filter val="СОКУР Віталій Олегович"/>
            <filter val="СЛАТЮК Микола Миколайович"/>
            <filter val="КОРНІЛОВ Євген Сергійович"/>
            <filter val="ІГНАТОВИЧ Тарас Олегович"/>
            <filter val="СУЩЕНКО Валерій Володимирович"/>
            <filter val="ЩЕЛКУНОВ Денис Дмитрович"/>
            <filter val="РИЖКОВ Микола Вікторович"/>
            <filter val="ЛУЦІВ Юрій Яремович"/>
            <filter val="ПУЛЯЄВ Олег Сергійович"/>
            <filter val="ГРОЗА Олександр Олександрович"/>
            <filter val="ІВАНОВ Микола Миколайович (18.11.1996 р.н.)"/>
            <filter val="ГАЙДАР Дмитро Вікторович"/>
            <filter val="РИЖИЙ Вячеслав Юрійович"/>
            <filter val="КОЗЛОВ Ігор Леонідович"/>
            <filter val="МІНАЄВ Олексій Леонідович"/>
            <filter val="РУДНЄВ Василь Валерійович"/>
            <filter val="ЦЕЛІК Роман Романович"/>
            <filter val="ДЕЙНЕГА Юрій Володимирович"/>
            <filter val="ПОДТОПТАНИЙ Ярослав Вячеславович"/>
            <filter val="ГУБАРЕВ Олексій Вячеславович"/>
            <filter val="ПЕЧЕНЮК Роман Сергійович"/>
            <filter val="ОПАЛЕНИК Василь Юрійович"/>
            <filter val="НЄЄЛОВ Дмитро Сергійович"/>
            <filter val="ГУМЕННИК Андрій Ігорович"/>
            <filter val="МАССАЙ Вадим Євгенійович"/>
            <filter val="БОБИК Андрій Степанович"/>
            <filter val="ВИШИНСЬКИЙ Андрій Миколайович"/>
            <filter val="ХОЛОД Віталій Віталійович"/>
            <filter val="СЕМЕНЕНКО Сергій Олександрович"/>
            <filter val="КРИВОРУЧКО Дмитро Дмитрович"/>
            <filter val="КАМИШАНОВ Вадим Євгенійович"/>
            <filter val="ЦІМБОТА Сергій Іванович"/>
            <filter val="ЗОРІЧ Денис Мохамадович"/>
            <filter val="ТЕРЕЩЕНКО Руслан Станіславович"/>
            <filter val="ШЕВЧУК Олексій Володимирович"/>
            <filter val="МАЦКІВ Роман Богданович"/>
            <filter val="ДОБРОСКОКІН Євген Володимирович"/>
            <filter val="ЗАВАЛЕЦЬКИЙ Костянтин Михайлович"/>
            <filter val="НАЛІСНИЙ Сергій Іванович"/>
            <filter val="ЗАЦНОВ Сергій Юрійович"/>
            <filter val="КУДРЯВЦЕВ Василь Федорович"/>
            <filter val="РЕБРІН Сергій Валентинович"/>
            <filter val="БЕРЕЖНИЙ Олег Ігорович"/>
            <filter val="БАБЕНКО Дмитро Леонідович"/>
            <filter val="ПЕТРЕНКО Ростислав Володимирович"/>
            <filter val="ДРАГОЙ Микола Леонідович"/>
            <filter val="ЧЕРНЯВСЬКИЙ Микола Миколайович"/>
            <filter val="ЛОБКО Руслан Олександрович"/>
            <filter val="ДІДЕНКО Олександр Миколайович"/>
            <filter val="ЛІСІЦИН Тимофій Анатолійович"/>
            <filter val="ГАЛАЙДА Олександр Сергійович"/>
            <filter val="ПІДГІРНИЙ Сергій Сергійович"/>
            <filter val="РЕШЕТНІКОВ Дмитро Анатолійович"/>
            <filter val="ЖИЛЮК Дмитро Миколайович"/>
            <filter val="БОРДАН Леонід Анатолійович"/>
            <filter val="ШУРЧКОВ Микола Вікторович"/>
            <filter val="ВОЛОДІН Віталій Семенович"/>
            <filter val="БІЛЬОВЦЕВ Владислав Олегович"/>
            <filter val="ЖЕЖЕРУН Микола Миколайович"/>
            <filter val="ПИСКУН Євгеній Михайлович"/>
            <filter val="СОШИН Сергій Миколайович"/>
            <filter val="БУРЯКОВСЬКИЙ Дмитро Миколайович"/>
            <filter val="ДУДЛА Сергій Михайлович"/>
            <filter val="ПОЛЬОВИЙ Олексій Геннадійович"/>
            <filter val="ШУМІХІН Денис Вікторович"/>
            <filter val="ПОПИК Олександр Олександрович"/>
            <filter val="ВОЛОДІН Даниїл Віталійович"/>
            <filter val="ТВАРДОВСЬКИЙ Андрій Анатолійович"/>
            <filter val="ДІБРОВ Андрій Петрович"/>
            <filter val="САЄНКО Дмитро Леонідович"/>
            <filter val="АНДРЕЛА Юрій Іванович"/>
            <filter val="ШВЕЦЬ Олександр Юрійович"/>
            <filter val="КЛЮЙКОВ Роман Сергійович"/>
            <filter val="П'ЯТАК Геннадій Володимирович"/>
            <filter val="КРИВЦОВ Олександр Віталійович"/>
            <filter val="МАМОЧКІН Максим Олександрович"/>
            <filter val="ВЕРБИЦЬКИЙ Павло Анатолійович"/>
            <filter val="ДРОЗД Роман Романович"/>
            <filter val="М'ЯЛІК Андрій Михайлович"/>
            <filter val="ЧЕРКАШИН Олексій Вікторович"/>
            <filter val="ДА Сілва Ногейра Родріго"/>
            <filter val="ХРІСТОВ Артем Іванович"/>
            <filter val="КОВАЛЬЧУК Олександр Миколайович"/>
            <filter val="ЛЕВІН Юрій Сергійович"/>
            <filter val="БУРМІСТР Євгеній Валерійович"/>
            <filter val="БУЛЬБА Денис Юрійович"/>
            <filter val="ПЕЙЧЕВ Денис Миколайович"/>
            <filter val="ГРАБАР Сергій Олегович"/>
            <filter val="ПАВЛЮКОВ Костянтин Костянтинович"/>
            <filter val="ОВЧАРЕНКО Олександр Вікторович"/>
            <filter val="КІЙ Олексій Сергійович"/>
            <filter val="БАЛАНЮК Сергій Юрійович"/>
            <filter val="КОСТИГІН Андрій Олександрович"/>
            <filter val="ГАЛАМАГА Вадим Юрійович"/>
            <filter val="БАРАНОВСЬКИЙ Сергій Вікторович"/>
            <filter val="ЮРТИН Антон Валерійович"/>
            <filter val="БАЙДАКОВ Олег Вікторович"/>
            <filter val="ДЕБЕЛЯК Роман Леонідович"/>
            <filter val="ДЕМЕНЧУК В'ячеслав Юрійович"/>
            <filter val="ЗЕНЗІН Євген Юрійович"/>
            <filter val="КАНАВІН Антон Васильович"/>
            <filter val="ГОМЕНЮК Віктор Савич"/>
            <filter val="БУТКОВ Едуард Сергійович"/>
            <filter val="ОНУФРАК Володимир Ілліч"/>
            <filter val="ГОДОРОЖА Сергій Григорович"/>
            <filter val="ЖИХАРЄВ Олексій Олександрович"/>
            <filter val="КОЗАРЧУК Олександр Іванович"/>
            <filter val="СЄРІК Сергій Олександрович"/>
            <filter val="ОНІЩЕНКО Віктор Валерійович"/>
            <filter val="КЛІМЧУК Сергій Миколайович"/>
            <filter val="ЧЕРЕНКОВ Юрій Володимирович"/>
            <filter val="ДАВИДЕНКО Олександр Володимирович"/>
            <filter val="АРУШАНЯН Норайр Рубенович"/>
            <filter val="КУЗЬМІН Борис Миколайович"/>
            <filter val="РЕБІНЧАК Володимир Михайлович"/>
            <filter val="НІКІТЕНКО Валерій Михайлович"/>
            <filter val="ТУТОВ Сергій Миколайович"/>
            <filter val="ТКАЧУК Олександр Володимирович"/>
            <filter val="ЛЕНЬ Олексій Сергійович"/>
            <filter val="КОДЕНЕЦЬ Дмитро Миколайович"/>
            <filter val="ФЕРНАНДЕЗ ДАКАЛ Альваро"/>
            <filter val="ФЕДОРЕНКО Андрій Миколайович"/>
            <filter val="БАЛОГ Федір Федорович"/>
            <filter val="ЧЕЛАК Ян Іванович"/>
            <filter val="КЮРЧЕВ Олександр Сергійович"/>
            <filter val="ЛЕНЧИК Сергій Володимирович"/>
            <filter val="ЛІМА МІРАНДА Вільям Бруно"/>
            <filter val="СТРАТІЙ Станіслав Анатолійович"/>
            <filter val="ОЛІЙНИК Петро Іванович"/>
            <filter val="ВЕРЕНКО Роман Григорович"/>
            <filter val="ПАХОТІН Денис Леонідович"/>
            <filter val="ПОРЕМЧУК Сергій Леонідович"/>
            <filter val="МОРОЗОВ Олексій Вікторович"/>
            <filter val="ПОЧЕБУТ Ігор Віталійович"/>
            <filter val="НЕЧЕВ Юрій Валерійович"/>
            <filter val="ТАШКІНОВ Руслан Олександрович"/>
            <filter val="ДЗЮБЕНКО Кирил Ігорович"/>
            <filter val="СКОРНЯКОВ Микола Миколайович"/>
            <filter val="ПЕХА Руслан Павлович"/>
            <filter val="ХОРОЛЬСЬКИЙ Денис Валерійович"/>
            <filter val="КУЛІШОВ Іван Іванович"/>
            <filter val="СТОРЧАЙ Олександр Вікторович"/>
            <filter val="МЕНДЕС ФЕЛІСІУ Руан"/>
            <filter val="КОВТОНЮК Андрій Анатолійович"/>
            <filter val="ГАЙДАЙ Сергій Леонідович"/>
            <filter val="ЯУ Ка Вай"/>
            <filter val="ГОРПЕНЮК Денис Валерійович"/>
            <filter val="СВЯТОХА Андрій Миколайович"/>
            <filter val="САНТУС ДУ НАСІМЕНТУ Александру Вітор"/>
            <filter val="МИКИТЮК Микола Васильович"/>
            <filter val="ЛОМАКА В'ячеслав Сергійович"/>
            <filter val="МАКУШОК Олександр Юрійович"/>
            <filter val="КОПТЄВ Олександр Миколайович"/>
            <filter val="ЯЩЕНКО Юрій Дмитрович"/>
            <filter val="ПЕТРЕНКО Павло Володимирович"/>
            <filter val="ШАМЕНКОВ Руслан Валерійович"/>
            <filter val="ЧАН-ЧУ-МИЛА Микола Георгійович"/>
          </filters>
        </filterColumn>
      </autoFilter>
    </customSheetView>
    <customSheetView guid="{C6C0E988-2143-4ACF-A896-89B69E6E1581}" filter="1" showAutoFilter="1">
      <autoFilter ref="$A$1:$AR$854">
        <filterColumn colId="21">
          <filters>
            <filter val="Гранатометники"/>
            <filter val="Піхота"/>
          </filters>
        </filterColumn>
        <filterColumn colId="22">
          <filters blank="1"/>
        </filterColumn>
        <filterColumn colId="30">
          <filters blank="1">
            <filter val="Полігон Д"/>
            <filter val="ППД Шевченко (Петропавлівка (літуни))"/>
            <filter val="Мед. рота"/>
            <filter val="ППД Слов'янка (Аптекар)"/>
            <filter val="Полігон ЧЛ"/>
            <filter val="ППД Самарське (літуни)"/>
            <filter val="ППД Петропавлівка (літуни)"/>
            <filter val="Відпустка лікув."/>
            <filter val="ППД Лугова (літуни)"/>
            <filter val="Полігон &quot;Б&quot;"/>
            <filter val="ППД Петропавлівка"/>
            <filter val="ППД Соборне (літуни)"/>
            <filter val="н.п. Барвінково"/>
            <filter val="ППД Побережжя"/>
            <filter val="н.п. Бажани"/>
            <filter val="КСП Павлоград"/>
            <filter val="Шпиталь"/>
            <filter val="ЄКЦ Павлоград"/>
            <filter val="ППД Польова"/>
          </filters>
        </filterColumn>
      </autoFilter>
    </customSheetView>
    <customSheetView guid="{6E913852-639D-418E-8585-5EB68F74C43A}" filter="1" showAutoFilter="1">
      <autoFilter ref="$A$1:$AR$854">
        <filterColumn colId="0">
          <filters>
            <filter val="нова"/>
            <filter val="ШКВАЛ"/>
            <filter val="виведені посади"/>
            <filter val="2ШБ"/>
          </filters>
        </filterColumn>
        <filterColumn colId="21">
          <filters blank="1">
            <filter val="Пілот (розвідка)"/>
            <filter val="Пілот (FPV)"/>
            <filter val="Гранатометники"/>
            <filter val="Майстер"/>
            <filter val="Інструктор"/>
            <filter val="Медики"/>
            <filter val="Пілот (бомбери)"/>
            <filter val="Піхота"/>
          </filters>
        </filterColumn>
        <filterColumn colId="23">
          <filters blank="1">
            <filter val="Без БЗВП/БРЕЗ"/>
            <filter val="БРЕЗ"/>
          </filters>
        </filterColumn>
        <filterColumn colId="20">
          <filters>
            <filter val="В строю"/>
            <filter val="Новоприбулий"/>
            <filter val="Відпустка"/>
          </filters>
        </filterColumn>
        <filterColumn colId="30">
          <filters blank="1">
            <filter val="Полігон Д"/>
            <filter val="ППД Слов'янка (13-й)"/>
            <filter val="ППД Шевченко (Петропавлівка (літуни))"/>
            <filter val="Мед. рота"/>
            <filter val="ППД Слов'янка (Аптекар)"/>
            <filter val="Полігон ЧЛ"/>
            <filter val="ППД Самарське (літуни)"/>
            <filter val="ППД Петропавлівка (літуни)"/>
            <filter val="Відпустка лікув."/>
            <filter val="ППД Лугова (літуни)"/>
            <filter val="Полігон &quot;Б&quot;"/>
            <filter val="ППД Петропавлівка"/>
            <filter val="ППД Соборне (літуни)"/>
            <filter val="Полк"/>
            <filter val="ППД Вишневе"/>
            <filter val="н.п. Барвінково"/>
            <filter val="ППД Побережжя"/>
            <filter val="н.п. Бажани"/>
            <filter val="КСП Павлоград"/>
            <filter val="Шпиталь"/>
            <filter val="ЄКЦ Павлоград"/>
            <filter val="ППД Польова"/>
          </filters>
        </filterColumn>
      </autoFilter>
    </customSheetView>
    <customSheetView guid="{5D7260CE-0C89-4465-B5EA-A0AD0DA405CA}" filter="1" showAutoFilter="1">
      <autoFilter ref="$A$1:$AH$854">
        <filterColumn colId="25">
          <filters blank="1">
            <filter val="Закінчення курсу 13.05.26"/>
            <filter val="Закінчення курсу 08.12.2025"/>
            <filter val="Закінчення курсу 15.11.25"/>
            <filter val="Закінчення курсу 06.01.2026"/>
            <filter val="Закінчення курсу 22.06.26"/>
            <filter val="БЗВП +"/>
            <filter val="Закінчення курсу 22.03.26"/>
            <filter val="Закінчення курсу 11.06.26"/>
            <filter val="Закінчення курсу 15.09.26"/>
            <filter val="Закінчення курсу 09.04.26"/>
            <filter val="Закінчення курсу 06.01.26"/>
            <filter val="Закінчення курсу 04.07.26"/>
            <filter val="Закінчення курсу 08.12.25"/>
            <filter val="Закінчення курсу 22.07.26"/>
            <filter val="Закінчення курсу 13.08.26"/>
            <filter val="Закінчення курсу 13.06.25"/>
            <filter val="Закінчення курсу 29.01.2026"/>
            <filter val="Закінчення курсу 27.07.25"/>
            <filter val="Закінчення курсу 31.05.26"/>
            <filter val="Закінчення курсу &#10;15.11.2025"/>
            <filter val="Закінчення курсу 29.01.26"/>
            <filter val="Закінчення курсу 02.08.26"/>
            <filter val="Закінчення курсу 21.10.26"/>
            <filter val="Закінчення курсу 01.05.26"/>
            <filter val="Закінчення курсу 25.08.26"/>
            <filter val="Закінчення курсу 20.04.26"/>
          </filters>
        </filterColumn>
        <filterColumn colId="20">
          <filters blank="1">
            <filter val="Загиблі"/>
            <filter val="Не в сторою"/>
            <filter val="Лікування"/>
            <filter val="Відпустка"/>
          </filters>
        </filterColumn>
        <filterColumn colId="30">
          <filters>
            <filter val="Полігон Д"/>
            <filter val="ППД Шевченко (Петропавлівка (літуни))"/>
            <filter val="ППД Слов'янка (Аптекар)"/>
            <filter val="Полігон ЧЛ"/>
            <filter val="ППД Самарське (літуни)"/>
            <filter val="ППД Петропавлівка (літуни)"/>
            <filter val="ППД Лугова (літуни)"/>
            <filter val="Полігон &quot;Б&quot;"/>
            <filter val="ППД Петропавлівка"/>
            <filter val="ППД Соборне (літуни)"/>
            <filter val="ППД Побережжя"/>
            <filter val="Шпиталь"/>
            <filter val="ЄКЦ Павлоград"/>
            <filter val="ППД Польова"/>
          </filters>
        </filterColumn>
        <filterColumn colId="31">
          <filters blank="1">
            <filter val="прибув після СЗЧ 29.06.2026"/>
            <filter val="ПРИБУВ Полі Б 01.07.2026"/>
            <filter val="інженерно саперна справа, 07.04.2026"/>
            <filter val="позиція КОЛОС&#10;ПРИБУВ 21.03.26"/>
            <filter val="передали поліційй по рішенню"/>
            <filter val="ПРИБУВ Полі Б 20.06.2026"/>
            <filter val="не БГ"/>
            <filter val="Від 13-го 05.07.2026"/>
            <filter val="СЗЧ 29.08.2026"/>
            <filter val="ПРИБУВ ТЦК Одеса 15.05.26&#10;позіція Т.АРЕНА"/>
            <filter val="ПРИБУЛИ 16.08.2026 з 2ШБ"/>
            <filter val="ПРИБУВ 13.05.26 Чорний ліс&#10;по пораненню"/>
            <filter val="ПРИБУВ 18.02.26"/>
            <filter val="прибув після СЗЧ 06.08.2026"/>
            <filter val="11.05 з 1200"/>
            <filter val="Прибув з Медроти 13.06.2026"/>
            <filter val="ПРИБУВ 09.08.2026 ЧЛ&#10;02.09.2026 №4862/ОКП/2609дск"/>
            <filter val="прибув після СЗЧ 31.07.2026"/>
            <filter val="Прибув 25.08.2026 після СЗЧ"/>
            <filter val="ПРИБУВ Полі Б 14.06.2026"/>
            <filter val="Аналітик"/>
            <filter val="ПРИБУВ 12.08.2026 c CЗЧ"/>
            <filter val="по пораненню&#10;самокатство"/>
            <filter val="Навідник М1117&#10;У Британця"/>
            <filter val="позиція X-RAY"/>
            <filter val="24.04.2026"/>
            <filter val="прибув з 2ШБ 02.08.2026"/>
            <filter val="ГШР"/>
            <filter val="на Бани"/>
            <filter val="БІГУН"/>
            <filter val="ПРИБУВ 17.04.26"/>
            <filter val="22.04.2026"/>
            <filter val="прибув 06.06.2026"/>
            <filter val="инвалид"/>
            <filter val="по пораненню&#10;ПРИБУВ 17.04.26"/>
            <filter val="ПРИБУВ 4.08 со 2ШБ"/>
            <filter val="ПОМПОВИК"/>
            <filter val="ПРИБУВ 15.08.2026 с лікування"/>
            <filter val="ПРИБУВ 24.03.26"/>
            <filter val="ПРИБУВ 17.08.2026 С СЗЧ"/>
            <filter val="01.04.2026"/>
            <filter val="позиція ВІДКАТ"/>
            <filter val="Прибув 26.08.2026 з 2ШБ"/>
            <filter val="13.05.2026&#10;Рекрутинг"/>
            <filter val="ПРИБУВ 13.02.2026"/>
            <filter val="прибув 13.05.26 Чорний ліс"/>
            <filter val="У 13-го"/>
            <filter val="Подбор в/с в ТЦК"/>
            <filter val="до 18.08.2026"/>
            <filter val="прибув після СЗЧ 28.05.2026"/>
            <filter val="по пораненню&#10;ПРИБУВ 15.05.26 Дніпро"/>
            <filter val="по пораненню&#10;ПРИБУВ після СЗЧ 26.05.26"/>
            <filter val="була призупинка"/>
            <filter val="ПРИБУВ 27.02.26"/>
            <filter val="по хворобі&#10;прибув після СЗЧ 10.08.2026"/>
            <filter val="ТРАНЗИТЕР"/>
            <filter val="позиція ТОПАЗ"/>
            <filter val="прибув після СЗЧ 10.07.2026"/>
            <filter val="ПРИБУВ 02.04.26"/>
            <filter val="Гіпертонія"/>
            <filter val="2ШБ"/>
            <filter val="24.06.2026"/>
            <filter val="позиція ЖНЕЦ"/>
            <filter val="ПРИБУВ 29.03.26"/>
            <filter val="на навчання по зв'язку з Зимою 20.02.26&#10;на лікування 10.08.2026"/>
            <filter val="позиція КОЛОС"/>
            <filter val="позиція БРАУН"/>
            <filter val="прибув 26.04.26"/>
            <filter val="ПРИБУВ 15.05.26 Одеса"/>
            <filter val="Распродажа"/>
            <filter val="по пораненню, 24.08.2026 СЗЧ медрота"/>
            <filter val="позиція КІЛО"/>
            <filter val="по пораненню, очікує Влк для визначення придатності"/>
            <filter val="позиція МАДРИД"/>
            <filter val="прибув після СЗЧ 01.08.2026"/>
            <filter val="ПРИБУВ 23.08.2026"/>
            <filter val="Строитель, запасной на виход"/>
            <filter val="ПРИБУВ Полі К 30.06.26"/>
            <filter val="25.02.2026 вибув до 2ШБ"/>
            <filter val="07.06.2026 Чорний ліс"/>
            <filter val="кулеметник"/>
            <filter val="навчання мехводів 27.02.2026"/>
            <filter val="ПРИБУВ 10.08.2026 ЧЛ"/>
            <filter val="НРК"/>
            <filter val="ПРИБУВ 05.02.26"/>
            <filter val="на навчання по зв'язку з Зимою 20.02.26"/>
            <filter val="після ВЛК"/>
            <filter val="ПОЛІГОН Д, навчання інструкторів 14.06.26"/>
            <filter val="по пораненню&#10;ПРИБУВ 28.08.2026 С СЗЧ"/>
            <filter val="по пораненню&#10;Водій квадроциклу &#10;БР 1585 від 25.11.25"/>
            <filter val="ПРИБУВ 15.03.26 з 1200"/>
            <filter val="29.05.2026"/>
            <filter val="по хворобі&#10;ПРИБУВ 23.08.2026 из СЗЧ"/>
            <filter val="06.01 вибув з медроти на Полігон К&#10;ПРИБУВ 16.08.2026 з медроти"/>
            <filter val="по пораненню&#10;30.12.2025, прибув з медроти 16.08.2026"/>
            <filter val="Водій DEAWOO&#10;У Хакера"/>
            <filter val="мультикам"/>
            <filter val="по пораненню&#10;з лікування 24.08.2026"/>
            <filter val="ОТКАЗНИК&#10;ПРИБУВ 28.08.2026 С СЗЧ"/>
            <filter val="ПРИБУВ Полі Б 20.06.26&#10;висшое образование, может за компом"/>
            <filter val="14.08.2026, після СЗЧ"/>
            <filter val="по пораненню&#10;ПРИБУВ Полі Б 14.06.26"/>
            <filter val="повернули після СЗЧ 24.05.26&#10;по пораненню"/>
            <filter val="14.08.2026 після СЗЧ"/>
            <filter val="ШКВАЛ з 05.08.25"/>
            <filter val="ПРИБУВ 14.06.26 Полі Б&#10;позиція МАДРИД"/>
            <filter val="ПРИБУЛИ 07.06.2026 З 3ПБ"/>
            <filter val="23.04.2026"/>
            <filter val="КОПАЧ"/>
            <filter val="ПРИБУВ 13.05.26 Чорний ліс"/>
            <filter val="ДБР Суми 19.06.26&#10;Чорний ліс        13.05.2026&#10;була ПРИЗУПИНКА служби"/>
            <filter val="по пораненню&#10;ПРИБУВ 24.02.26"/>
            <filter val="до Зими на зв'язок 26.04.26&#10;по пораненню"/>
            <filter val="позиція ДАЛІЯ"/>
            <filter val="Оформлює опікунство"/>
            <filter val="14.08.2026 прибув"/>
            <filter val="Полігон Б 01.07.2026"/>
            <filter val="ПРИБВУ 13.05.25 Чорний Ліс"/>
            <filter val="0935159853&#10;0990987534"/>
            <filter val="ЗВ`ЯЗОК"/>
            <filter val="мехвод БМП-2"/>
            <filter val="мозгойоб"/>
            <filter val="БР 1585 від 25.11.25"/>
            <filter val="позиція РИБАК"/>
            <filter val="прибув після СЗЧ 11.08.2026"/>
            <filter val="по пораненню&#10;прибув після СЗЧ 08.08.2026"/>
            <filter val="Прибув від 3 ШБ 29.08.2026"/>
            <filter val="ПРИБУВ Полі Б 14.06.26"/>
            <filter val="ПРИБУВ 14.06.26 Полі Б&#10;по пораненню"/>
            <filter val="ПРИБУВ 26.04.26"/>
            <filter val="ПРИБУВ 27.07 2ШБ"/>
            <filter val="МАЗ"/>
            <filter val="ПРИБУВ 19.08 с 1300"/>
            <filter val="прибув після СЗЧ 22.06.2026"/>
            <filter val="позиція ДАЛІЯ&#10;позіція Т.АРЕНА"/>
            <filter val="по пораненню&#10;позиція Х-РЕЙ"/>
            <filter val="ПРИБУВ 13.05.26 Чорний ЛІс"/>
            <filter val="по хворобі, 26.08.2026 СЗЧ медрота"/>
            <filter val="71 ОЄБр"/>
            <filter val="вибув з МР 25.11.2025 на &quot;П&quot; . Забрав Клєщ"/>
            <filter val="ПРИБУВ 09.08.2026 ЧЛ"/>
            <filter val="його треба зберегти (с) Алекс"/>
            <filter val="ПРИБУВ 30.08 из СЗЧ"/>
            <filter val="вибув до Бобра з МР 10.12.2025"/>
            <filter val="по пораненню&#10;Троє неповнолітніх дітей, потребує уточнення."/>
            <filter val="була призупинка служби"/>
            <filter val="НРК/ мультикам"/>
            <filter val="ПРИБУВ 26.04.2026"/>
            <filter val="ПРИБУВ 28.08.2026 со 2ШБ"/>
            <filter val="Прибули 29.08 с Полігона Д"/>
            <filter val="по пораненню&#10;на переведення"/>
            <filter val="Прибули 26.08 с Полігона Д"/>
            <filter val="ГШР&#10;27.01.2026"/>
            <filter val="позиция РИБАК"/>
            <filter val="30.03.2026 поїхали з Кіпішем на М1117&#10;ПРИБУВ 19.08.2026 С СЗЧ"/>
            <filter val="Очікує посади для початку роботи"/>
            <filter val="Водій Новатора&#10;У Британця"/>
            <filter val="доставлено до н.п. Самійлівка 13.03.2026 напрямківцем до сужіників 32 бригади"/>
            <filter val="ПРИБУВ 01.09 из СЗЧ"/>
            <filter val="ЗНАХАРЬ"/>
            <filter val="Водій квадроциклу&#10;У 13-го"/>
            <filter val="зв'язок"/>
            <filter val="Помічник 13-го (комірник/писарь/пакувальник/ремонт техніки)"/>
            <filter val="ПРИБУВ Полі Б 01.07.26"/>
            <filter val="ПРИБУВ Полі Б 20.06.26"/>
            <filter val="08.04.2026"/>
            <filter val="У 13-го, мотоцикліст"/>
            <filter val="у Аптекаря"/>
            <filter val="прибув після СЗЧ 01.06.2026"/>
            <filter val="по хворобі"/>
            <filter val="ПРИБУВ 15.04.26"/>
            <filter val="БУЛА Призупинення служби"/>
            <filter val="по пораненню"/>
            <filter val="на БРЕЗ вернуть"/>
            <filter val="прибув після СЗЧ 08.08.2026"/>
            <filter val="ПРИБУЛИ 01.08.2026"/>
            <filter val="позиція АРІЯ&#10;по пораненню"/>
            <filter val="02.07.26, не повернувся з відпустки за сім.обст"/>
            <filter val="позиція КІЛО&#10;по пораненню"/>
            <filter val="прибув після СЗЧ 27.05.2026"/>
            <filter val="14.06.2026&#10;Полігон Б"/>
            <filter val="позиція ЕХО"/>
            <filter val="СЗЧ от 13, 19.03.2026"/>
            <filter val="НЕМАЄ РАПОРТУ ВИБУТТЯ НА МЕД.РОТУ, 27.02.2026&#10;Повернувся з СЗЧ 13.08.2026&#10;СЗЧ с 28.04.2026"/>
            <filter val="ПРИБУВ 24.02.26"/>
            <filter val="ПРИБУВ 15.05.26 ТЦК Дніпро"/>
            <filter val="виїхав на співбесіду 30.01.2026"/>
            <filter val="ПРИБУВ 21.03.26"/>
            <filter val="н.п. Сергіївка"/>
            <filter val="по хворобі&#10;позиція ТОПАЗ"/>
            <filter val="була Призупинення служби"/>
            <filter val="ПРИБУВ 26.04.26&#10;рука не діє"/>
            <filter val="ПРИБУВ 30.07.2026 З В/Ч А2077"/>
            <filter val="по пораненню&#10;14.05.2026, Прибув 25.08.2026 після СЗЧ"/>
            <filter val="позиція АРІЯ"/>
            <filter val="по пораненню&#10;лікування за кордоном, Німеччина Франкфурт на Майн"/>
            <filter val="07.06.2026"/>
            <filter val="ПРИБУЛИ З РОЗВІД БАТУ 06.07.2026"/>
            <filter val="по пораненню&#10;Водій квадроциклу"/>
            <filter val="29.06.2026&#10;14.06.2026, прибув з медроти 16.08.2026"/>
            <filter val="мішн контрол з Ржавим"/>
            <filter val="по пораненню&#10;07.06.2026 Чорний ліс"/>
            <filter val="18.04.2026"/>
            <filter val="ОТКАЗНИК&#10;прибув після СЗЧ 14.07.2026"/>
            <filter val="була Призупинка служби"/>
            <filter val="позіція Т.АРЕНА"/>
            <filter val="Вийшов 25.01.2026"/>
            <filter val="по пораненню&#10;прибув після СЗЧ 28.05.2026"/>
            <filter val="прибув після СЗЧ 31.05.2026"/>
            <filter val="ПРИБУВ ЧЛ 07.06.26"/>
          </filters>
        </filterColumn>
      </autoFilter>
    </customSheetView>
    <customSheetView guid="{95EBA4CD-DB06-4784-B543-6F8BCE581210}" filter="1" showAutoFilter="1">
      <autoFilter ref="$A$1:$AR$854">
        <filterColumn colId="27">
          <filters blank="1">
            <filter val="Багатодітний / догляд"/>
          </filters>
        </filterColumn>
        <filterColumn colId="25">
          <filters>
            <filter val="Закінчення курсу 13.05.26"/>
            <filter val="Закінчення курсу 15.11.25"/>
            <filter val="Закінчення курсу 22.06.26"/>
            <filter val="Закінчення курсу 22.03.26"/>
            <filter val="Закінчення курсу 11.06.26"/>
            <filter val="Закінчення курсу 15.09.26"/>
            <filter val="Закінчення курсу 04.07.26"/>
            <filter val="Закінчення курсу 08.12.25"/>
            <filter val="Закінчення курсу 22.07.26"/>
            <filter val="Закінчення курсу 13.08.26"/>
            <filter val="Закінчення курсу 13.06.25"/>
            <filter val="Закінчення курсу 27.07.25"/>
            <filter val="Закінчення курсу 31.05.26"/>
            <filter val="Закінчення курсу 29.01.26"/>
            <filter val="Закінчення курсу 02.08.26"/>
            <filter val="Закінчення курсу 21.10.26"/>
            <filter val="Закінчення курсу 25.08.26"/>
          </filters>
        </filterColumn>
        <filterColumn colId="26">
          <filters blank="1">
            <filter val="Закінчення курсу 27.02.26"/>
            <filter val="не обмежено, примітка"/>
            <filter val="ЛИСАЧОВ"/>
            <filter val="так"/>
            <filter val="був БРЕЗ"/>
            <filter val="ССО"/>
            <filter val="БЗВП????"/>
          </filters>
        </filterColumn>
        <filterColumn colId="20">
          <filters blank="1">
            <filter val="Загиблі"/>
            <filter val="Відрядження"/>
            <filter val="Зниклі безвісти"/>
            <filter val="Не в сторою"/>
            <filter val="В строю"/>
            <filter val="Новоприбулий"/>
            <filter val="Відпустка"/>
            <filter val="Від-ні навчання"/>
          </filters>
        </filterColumn>
        <filterColumn colId="30">
          <filters blank="1">
            <filter val="Полігон Д"/>
            <filter val="ППД Шевченко (Петропавлівка (літуни))"/>
            <filter val="Мед. рота"/>
            <filter val="ППД Слов'янка (Аптекар)"/>
            <filter val="Полігон ЧЛ"/>
            <filter val="ППД Самарське (літуни)"/>
            <filter val="Відпустка лікув."/>
            <filter val="ППД Лугова (літуни)"/>
            <filter val="Полігон &quot;Б&quot;"/>
            <filter val="ППД Петропавлівка"/>
            <filter val="ППД Соборне (літуни)"/>
            <filter val="Полк"/>
            <filter val="ППД Вишневе"/>
            <filter val="н.п. Барвінково"/>
            <filter val="ППД Побережжя"/>
            <filter val="н.п. Бажани"/>
            <filter val="КСП Павлоград"/>
            <filter val="Шпиталь"/>
            <filter val="ЄКЦ Павлоград"/>
          </filters>
        </filterColumn>
      </autoFilter>
    </customSheetView>
    <customSheetView guid="{45A5B32D-8436-4BD3-AD1F-12857550C8EF}" filter="1" showAutoFilter="1">
      <autoFilter ref="$A$1:$AR$854">
        <filterColumn colId="23">
          <filters blank="1"/>
        </filterColumn>
        <filterColumn colId="20">
          <filters>
            <filter val="Новоприбулий"/>
            <filter val="Відпустка"/>
          </filters>
        </filterColumn>
      </autoFilter>
    </customSheetView>
    <customSheetView guid="{9C4DC5AF-2D69-4EC5-BB2D-668E65051E23}" filter="1" showAutoFilter="1">
      <autoFilter ref="$A$1:$AR$854">
        <filterColumn colId="0">
          <filters>
            <filter val="нова"/>
            <filter val="ШКВАЛ"/>
            <filter val="виведені посади"/>
            <filter val="425"/>
            <filter val="2ШБ"/>
          </filters>
        </filterColumn>
        <filterColumn colId="5">
          <filters blank="1">
            <filter val="106646А/543"/>
            <filter val="106847А"/>
            <filter val="100975А"/>
            <filter val="1010003"/>
            <filter val="100182А"/>
            <filter val="106646А"/>
            <filter val="100868А/671"/>
            <filter val="100723А"/>
            <filter val="101281А"/>
            <filter val="100868А"/>
            <filter val="101533А"/>
            <filter val="101627А"/>
            <filter val="103061А"/>
            <filter val="101182А"/>
            <filter val="106975А/182"/>
            <filter val="100915А"/>
            <filter val="106723А"/>
            <filter val="100974А"/>
            <filter val="100915А/630"/>
            <filter val="101803А"/>
            <filter val="101975А/182"/>
            <filter val="106182А"/>
          </filters>
        </filterColumn>
        <filterColumn colId="28">
          <filters blank="1">
            <filter val="МП"/>
            <filter val="2ПБ"/>
            <filter val="МКашник"/>
            <filter val="Полігон ЧЛ"/>
            <filter val="Закінчення курсу 13.05.26"/>
            <filter val="УПРАВЛ"/>
            <filter val="ппо"/>
            <filter val="155"/>
            <filter val="ПОЛК"/>
            <filter val="2ПР"/>
            <filter val="1ПР"/>
            <filter val="3ПР"/>
            <filter val="ШКВАЛ"/>
            <filter val="ВМТЗ"/>
            <filter val="41ОМБр"/>
            <filter val="Знахарь"/>
            <filter val="4ШБ"/>
            <filter val="3ШБ"/>
            <filter val="Полігон Д"/>
            <filter val="на переведення, козопас"/>
            <filter val="ЗВ'ЯЗОК"/>
            <filter val="Полігон Б"/>
            <filter val="РРЕБ"/>
            <filter val="Зв'язок"/>
            <filter val="ППО"/>
            <filter val="РБпАК"/>
            <filter val="РЕБ"/>
            <filter val="1300"/>
            <filter val="4ШБ&#10;ОП, БР 2453 від 20.08.26"/>
          </filters>
        </filterColumn>
        <filterColumn colId="23">
          <filters blank="1">
            <filter val="Без БЗВП/БРЕЗ"/>
            <filter val="БРЕЗ"/>
          </filters>
        </filterColumn>
        <filterColumn colId="25">
          <filters blank="1">
            <filter val="Закінчення курсу 13.05.26"/>
            <filter val="Закінчення курсу 08.12.2025"/>
            <filter val="Закінчення курсу 15.11.25"/>
            <filter val="Закінчення курсу 06.01.2026"/>
            <filter val="Закінчення курсу 22.06.26"/>
            <filter val="не поданий на курс"/>
            <filter val="БЗВП +"/>
            <filter val="Закінчення курсу 11.06.26"/>
            <filter val="Закінчення курсу 15.09.26"/>
            <filter val="Закінчення курсу 10.03.26"/>
            <filter val="Закінчення курсу 09.04.26"/>
            <filter val="Закінчення курсу 06.01.26"/>
            <filter val="Закінчення курсу 04.07.26"/>
            <filter val="Закінчення курсу 08.12.25"/>
            <filter val="Закінчення курсу 22.07.26"/>
            <filter val="Закінчення курсу 13.08.26"/>
            <filter val="Закінчення курсу 27.02.26"/>
            <filter val="Закінчення курсу 13.06.25"/>
            <filter val="Закінчення курсу 29.01.2026"/>
            <filter val="Закінчення курсу 27.07.25"/>
            <filter val="Закінчення курсу 31.05.26"/>
            <filter val="Закінчення курсу &#10;15.11.2025"/>
            <filter val="Закінчення курсу 29.01.26"/>
            <filter val="Закінчення курсу 02.08.26"/>
            <filter val="Закінчення курсу 21.10.26"/>
            <filter val="Закінчення курсу 01.05.26"/>
            <filter val="Закінчення курсу 25.08.26"/>
            <filter val="Закінчення курсу 20.04.26"/>
          </filters>
        </filterColumn>
        <filterColumn colId="20">
          <filters>
            <filter val="СЗЧ"/>
            <filter val="Загиблі"/>
            <filter val="Відрядження"/>
            <filter val="Зниклі безвісти"/>
            <filter val="Не в сторою"/>
            <filter val="В строю"/>
            <filter val="Новоприбулий"/>
            <filter val="Лікування"/>
            <filter val="Відпустка"/>
            <filter val="Відком. за межі ПБ"/>
            <filter val="Від-ні навчання"/>
          </filters>
        </filterColumn>
      </autoFilter>
    </customSheetView>
    <customSheetView guid="{68642964-39C9-4B4B-B3CE-90E4FE21E38D}" filter="1" showAutoFilter="1">
      <autoFilter ref="$A$1:$AR$854">
        <filterColumn colId="22">
          <filters>
            <filter val="Тимчасово не БГ"/>
          </filters>
        </filterColumn>
        <filterColumn colId="21">
          <filters blank="1">
            <filter val="Кухар"/>
            <filter val="Пілот (розвідка)"/>
            <filter val="Упр. підрозділ."/>
            <filter val="Пілот (FPV)"/>
            <filter val="Штаб. бату"/>
            <filter val="Водій (тил)"/>
            <filter val="Гранатометники"/>
            <filter val="Майстер"/>
            <filter val="Медики"/>
            <filter val="Упр. взводу"/>
            <filter val="Пілот (бомбери)"/>
            <filter val="Упр. бату"/>
            <filter val="Піхота"/>
            <filter val="Забезпечення"/>
            <filter val="Водій (викон)"/>
          </filters>
        </filterColumn>
        <filterColumn colId="27">
          <filters blank="1"/>
        </filterColumn>
        <filterColumn colId="26">
          <filters blank="1">
            <filter val="Закінчення курсу 27.02.26"/>
            <filter val="не обмежено, примітка"/>
            <filter val="ЛИСАЧОВ"/>
            <filter val="так"/>
            <filter val="був БРЕЗ"/>
            <filter val="ССО"/>
            <filter val="БЗВП????"/>
          </filters>
        </filterColumn>
        <filterColumn colId="23">
          <filters blank="1">
            <filter val="Без БЗВП/БРЕЗ"/>
            <filter val="БРЕЗ"/>
          </filters>
        </filterColumn>
        <filterColumn colId="30">
          <filters>
            <filter val="Полігон Д"/>
            <filter val="ППД Шевченко (Петропавлівка (літуни))"/>
            <filter val="ППД Слов'янка (Аптекар)"/>
            <filter val="Полігон ЧЛ"/>
            <filter val="ППД Петропавлівка (літуни)"/>
            <filter val="ППД Лугова (літуни)"/>
            <filter val="ППД Соборне (літуни)"/>
            <filter val="ППД Вишневе"/>
            <filter val="ППД Побережжя"/>
            <filter val="ЄКЦ Павлоград"/>
            <filter val="ППД Польова"/>
          </filters>
        </filterColumn>
        <filterColumn colId="33">
          <filters blank="1">
            <filter val="механік в гаражі"/>
            <filter val="13.06.2026"/>
            <filter val="29.12.2025"/>
            <filter val="вернуть обратно в БРЕЗ часть, не хочет служить в А4862"/>
            <filter val="ПІЛОТ"/>
            <filter val="14.07.2026&#10;УБИРАЕТ"/>
            <filter val="03.05.2026, з Жовтих вод 4ШБ&#10;со слов ОПЕРАТИВНОГО"/>
            <filter val="04.06.2026"/>
            <filter val="до 28.05.2026"/>
            <filter val="31.08.2026"/>
            <filter val="ПОЛІГОН Д"/>
            <filter val="по приказу ГШ ЗСУ"/>
            <filter val="умер в больнице на лечении"/>
            <filter val="Ирпень, массажист, психосаматикой занимался, с компьютером не так, ФОП, занимался с вентиляцией"/>
            <filter val="до 23.09.2026"/>
            <filter val="06.07.2026&#10;не придатний"/>
            <filter val="маз паливозаправник"/>
            <filter val="17.07.2026"/>
            <filter val="БАТ зв'язку навчання"/>
            <filter val="мед.служба 20.07.26"/>
            <filter val="22.06.2026"/>
            <filter val="до 28.08.2026, СЗЧ 28.08.2026"/>
            <filter val="оздоровлення"/>
            <filter val="14.05.2026"/>
            <filter val="Аналітик"/>
            <filter val="до 24.08.2026"/>
            <filter val="07.05.2026&#10;до 09.09.2026"/>
            <filter val="заглиблий брат, помогает на кухне"/>
            <filter val="25.08.2026"/>
            <filter val="."/>
            <filter val="по бумагам БУВ переведений у 155"/>
            <filter val="до 07.09.26"/>
            <filter val="Екіпаж квадроцикла(прикриття"/>
            <filter val="ППО"/>
            <filter val="#######"/>
            <filter val="ОРУЖЕЙНИК&#10;до 09.09.2026"/>
            <filter val="05.07.2026&#10;ТРОМБ возможно оборвался"/>
            <filter val="АРТДІВІЗІОН"/>
            <filter val="08.04.2026&#10;до 09.09.2026"/>
            <filter val="24.04.2026"/>
            <filter val="26.07.2026"/>
            <filter val="ГШР"/>
            <filter val="14.06.2026&#10;Відновлення"/>
            <filter val="04.08.2026"/>
            <filter val="20.05.2026"/>
            <filter val="до 14.05.2026"/>
            <filter val="ЗПТ на лікування"/>
            <filter val="03.05.2026, з Жовтих вод 4ШБ"/>
            <filter val="15.03.2026 на ППО до Бухгалтера"/>
            <filter val="22.04.2026"/>
            <filter val="18.06.2026"/>
            <filter val="10.06.2026"/>
            <filter val="віддали на КЦ 07.07.26 допомогти з контрактами"/>
            <filter val="ремонт телефонів, техніки, сварка"/>
            <filter val="лік на 120 днів&#10;до 20.12.2026"/>
            <filter val="15.12.2025"/>
            <filter val="05.05.2026&#10;буде проходити ВЛК"/>
            <filter val="програмирование для РБпАК"/>
            <filter val="13.06.2026&#10;до 07.09.2026"/>
            <filter val="09.07.2026&#10;Відновлення"/>
            <filter val="ЕЛЕКТРИК"/>
            <filter val="на навчанні"/>
            <filter val="26.06.2026&#10;по пораненню, 26.08.2026 СЗЧ медрота"/>
            <filter val="у відпустки"/>
            <filter val="до 07.08.26"/>
            <filter val="07.07.2026&#10;не придатний"/>
            <filter val="06.07.2026&#10;НА ПРАЛЬНІ"/>
            <filter val="04.05.2026, проходит ВЛК, не менше 14 днів"/>
            <filter val="З 15.08 на навчанні (Київ) орієнтовно до 27.08"/>
            <filter val="30.04.2026"/>
            <filter val="ВІЛ"/>
            <filter val="ВЛК от 2025"/>
            <filter val="до 30.08.26"/>
            <filter val="На переведення, релігійний"/>
            <filter val="до 08.08.26"/>
            <filter val="19.08.2026"/>
            <filter val="ПРОТОКОЛ в полыции пьяная езда"/>
            <filter val="26.08.2026 СЗЧ"/>
            <filter val="30.06.2026"/>
            <filter val="17.03.2026 помічник МЕХАНИК"/>
            <filter val="навчання пілотів до 15.08&#10;до 06.09.2026"/>
            <filter val="R7a S/N:865ECHY327"/>
            <filter val="відвезли на школу пілотів 06.07.26 по вказівці першого"/>
            <filter val="забрав на навчання Лісник 27.03.2026&#10;Мішн контрол"/>
            <filter val="28.06.2026&#10;Відновлення"/>
            <filter val="до 31.08.2026"/>
            <filter val="ВЛК&#10;сломана нога"/>
            <filter val="24.06.2026"/>
            <filter val="30.03.2026 поїхали з Кіпішем на М1117"/>
            <filter val="10.01.26 м.Дніпро А4615"/>
            <filter val="сидить у тюрмі 25.01.2026"/>
            <filter val="28.08.2026"/>
            <filter val="до 02.09.2026"/>
            <filter val="Лікування 11.08.2026р."/>
            <filter val="27.08.2026"/>
            <filter val="12.07.2026&#10;СЗЧ з лікування 25.08.2026"/>
            <filter val="19.04.2026&#10;до 04.09.2026"/>
            <filter val="24.04.2026&#10;до 09.09.2026"/>
            <filter val="багатодітний батько, є документи на дітей і шлюб"/>
            <filter val="Єдиний кординаційний центр"/>
            <filter val="відпустка 10 днів 13.08"/>
            <filter val="25.07.2026&#10;Відновлення"/>
            <filter val="18.08.2026"/>
            <filter val="09.07.2026&#10;до 09.09.2026"/>
            <filter val="29.06.2026"/>
            <filter val="01.09.2026"/>
            <filter val="в ЦВС ПОЛК"/>
            <filter val="05.05.2026"/>
            <filter val="03.06.2026 подала медслужба в СЗЧ&#10;31.08.2026"/>
            <filter val="26.04.2026"/>
            <filter val="27.07.2026"/>
            <filter val="ППО Гамма 04.04.2026&#10;обмен на Мирошниченко"/>
            <filter val="буде проходити ВЛК"/>
            <filter val="в анкеті : тракторист, механік, зварювальник/ Будівелник"/>
            <filter val="14.07.2026, 19.08.2026"/>
            <filter val="12.06.2026"/>
            <filter val="до 07.09.2026"/>
            <filter val="охорона РЕБ"/>
            <filter val="до 18.07.26"/>
            <filter val="26.05.2026"/>
            <filter val="Киев мишен контроль"/>
            <filter val="взводнік Мавікістів"/>
            <filter val="1ШБ"/>
            <filter val="14.07.2026&#10;СТРОИТЕЛЬ"/>
            <filter val="01.06.2026&#10;до 09.09.2026"/>
            <filter val="Навідник М1117"/>
            <filter val="7/11/2026"/>
            <filter val="ПОЛІГОН Д, навчання інструкторів 14.06.26"/>
            <filter val="ОТКАЗНИК"/>
            <filter val="29.05.2026"/>
            <filter val="до 24.07.26"/>
            <filter val="СЗЧ з лікування 11.08.2026"/>
            <filter val="19.08.2026&#10;не Придатний"/>
            <filter val="до 25.08.2026"/>
            <filter val="06.07.2026"/>
            <filter val="охорона на ППД техніки"/>
            <filter val="ВЛК 01.07.2026"/>
            <filter val="23.07.2026&#10;не віпонение приказов, бросил побратимов"/>
            <filter val="до 20.09.2026"/>
            <filter val="28.07.2026&#10;до 09.09.2026"/>
            <filter val="11.04.2026"/>
            <filter val="до 28.08.2026&#10;КОПАЧ, відпустка з 18.08.2026 по 27.08.2026 (10 днів)"/>
            <filter val="до 15.06.2026"/>
            <filter val="на КСП 22.08.2026"/>
            <filter val="до 05.08"/>
            <filter val="вернуть в БРЕЗ&#10;ПІД ВАРТОЮ"/>
            <filter val="ВЛК потребує тривалого лікування 120 днів"/>
            <filter val="12.07 рибув в Шквал"/>
            <filter val="13.07.2026 ходив в СЗЧ"/>
            <filter val="09.07.2026, на переміщення"/>
            <filter val="до 26.07.26"/>
            <filter val="мати инвалид, заключение есть"/>
            <filter val="13.05.2026"/>
            <filter val="до 10.09.2026"/>
            <filter val="08.06.2026"/>
            <filter val="переведення&#10;откоманд в 155"/>
            <filter val="до 27.07.2026"/>
            <filter val="до 02.06.2026"/>
            <filter val="07.05.2026&#10;у відрядженні"/>
            <filter val="до 20.08.2026"/>
            <filter val="полон"/>
            <filter val="до 04.09.2026"/>
            <filter val="ПОДАТЬ НА ДВ НА 80 МАНДРІВНИК, за февраль"/>
            <filter val="05.04.2026"/>
            <filter val="31.07.2026"/>
            <filter val="03.06.2026"/>
            <filter val="07.07.2026"/>
            <filter val="прибув з МР, привезли Хакер з Філом"/>
            <filter val="04.05.2026"/>
            <filter val="18.05.2026"/>
            <filter val="25.07.2026"/>
            <filter val="змагання"/>
            <filter val="відвезли на полігон Д, 30.05.2026"/>
            <filter val="14.06.2026"/>
            <filter val="06.08.2026"/>
            <filter val="10.07.2026"/>
            <filter val="до 21.07.2026"/>
            <filter val="відпустка до 06.08.2026&#10;Умер 29.07.2026"/>
            <filter val="до 09.09.2026"/>
            <filter val="списання - догляд за матір'ю, чекає нотаріально завірене свідоцтво про народження, рапорт 19.04.26"/>
            <filter val="28.04 прод.лік.21.04 ліг в А4615 м. Дніпро"/>
            <filter val="знаходиться на бліндажу  - хоз. працівник (Мандрівник)"/>
            <filter val="КЦ"/>
            <filter val="УБИРАЕТ"/>
            <filter val="була призупинка служби"/>
            <filter val="СЗЧ з лікування 21.08.2026"/>
            <filter val="26.08.2026&#10;24.08.2026 вібул до ПРОТАСА"/>
            <filter val="11.08.2026&#10;по хворобі, 28.08.2026 СЗЧ медрота"/>
            <filter val="28.06.2026&#10;не Придатний"/>
            <filter val="до 11.08.2026"/>
            <filter val="до 21.07.26"/>
            <filter val="04.07.2026"/>
            <filter val="16.07.2026"/>
            <filter val="деловод медиков"/>
            <filter val="10.06.2026&#10;до 14.09.2026"/>
            <filter val="865ECA5728"/>
            <filter val="23.06.2026"/>
            <filter val="відпустка"/>
            <filter val="15.08.2026 СЗЧ с лікування"/>
            <filter val="до 25.08.26"/>
            <filter val="ОЗДОРОВЛЕННЯ ДіАнна&#10;до 07.09.2026"/>
            <filter val="до 17.06.2026"/>
            <filter val="в ЦВС ПОЛК, 20.07.26"/>
            <filter val="24.08.2026"/>
            <filter val="БУДУТ ПОВЕРТАТИ БРЕЗ"/>
            <filter val="желание служить нет ВЛК 02.07.2026"/>
            <filter val="06.05.2026"/>
            <filter val="різноробочий у 13"/>
            <filter val="брат зник безвісти у Скелі, готує документи"/>
            <filter val="28.07.2026"/>
            <filter val="до 12.09.2026"/>
            <filter val="ВОДІЙ КВАДРАЦИКЛА"/>
            <filter val="03.03.2026"/>
            <filter val="очикують направлення на консультацію та стац. лікування."/>
            <filter val="до 26.08.2026, не повернувся вчасно з відпустки"/>
            <filter val="21.04.2026"/>
            <filter val="может єлектриком"/>
            <filter val="Поврежденна рука"/>
            <filter val="до 06.09.2026"/>
            <filter val="до 29.08.2026"/>
            <filter val="12.02.2026 Продовжує лікування в ОКЛ ім. Юрія Семенюка м. Рівне&#10;до 26.09.2026"/>
            <filter val="Електрик"/>
            <filter val="22.04.2026&#10;25.08.2026 СЗЧ медрота"/>
            <filter val="напрямківець"/>
            <filter val="19.07.2026&#10;не придатний"/>
            <filter val="02.07.2026"/>
            <filter val="Полігон Б"/>
            <filter val="19.07.2026"/>
            <filter val="переведен в А1302"/>
            <filter val="20.06.2026"/>
            <filter val="05.07.2026"/>
            <filter val="очикують направлення на консультацію та стац. лікування&#10;до 08.09.2026"/>
            <filter val="16.05.2026"/>
            <filter val="14.07.2026"/>
            <filter val="22.06 на мед.роту"/>
            <filter val="навідник 1М30"/>
            <filter val="мехвод М1117"/>
            <filter val="до 31.08.26"/>
            <filter val="до 26.08.26"/>
            <filter val="08.06.2026&#10;до 30.08.2026"/>
            <filter val="01.06.2026"/>
            <filter val="навчання пілотів до 15.08"/>
            <filter val="навчання"/>
            <filter val="30.03.2026"/>
            <filter val="до 30.08.2026"/>
            <filter val="до 04.08.26"/>
            <filter val="L200"/>
            <filter val="ПРИБУВ 21.03.26"/>
            <filter val="До 13.09.26"/>
            <filter val="23.07.2026"/>
            <filter val="ПЕРЕКЛАДАЧ"/>
            <filter val="вибув на переведення 31.08.2026 на 1300"/>
            <filter val="прибув після СЗЧ 28.06.2026"/>
            <filter val="до 17.08.2026"/>
            <filter val="30.08.2026"/>
            <filter val="навчання бойового медика Польща"/>
            <filter val="Водій В, Крупногабарит, ездил на мане, івеко"/>
            <filter val="15.04.2026"/>
            <filter val="19.03.2026&#10;лікування до 11.09.2026"/>
            <filter val="25.06.2026"/>
            <filter val="Діловод-фінансист"/>
            <filter val="Філ к 13 МЕХАНИК"/>
            <filter val="24.06.2026&#10;не Придатний"/>
            <filter val="01.06.2026 подала медслужба"/>
            <filter val="водій ДЕО"/>
            <filter val="Вместо Зіми&#10;до 10.09.2026"/>
            <filter val="29.08.2026"/>
            <filter val="27.04.2026, ВЛК"/>
            <filter val="Наркоман 20 лет, довідка  ВЛК от 06.08."/>
            <filter val="до 03.09.2026"/>
            <filter val="10.05.2026"/>
            <filter val="подала мед.служба 11.06"/>
            <filter val="ФІЛ"/>
            <filter val="26.08.2026"/>
            <filter val="відпустка до 01.08.2026"/>
            <filter val="10.07.2026, на переміщення&#10;СВЯЗИСТ"/>
            <filter val="охуенно миє посуд (Шеф)"/>
            <filter val="17.08.2026"/>
            <filter val="ТВО ком.роти"/>
            <filter val="ППО&#10;СЗЧ с ППО, подав ПОЛК"/>
            <filter val="28.06.2026"/>
            <filter val="11.07.2026"/>
            <filter val="до 26.07.2026"/>
            <filter val="Оперативний"/>
          </filters>
        </filterColumn>
      </autoFilter>
    </customSheetView>
    <customSheetView guid="{2EF10094-0F24-4112-934E-9920D940187B}" filter="1" showAutoFilter="1">
      <autoFilter ref="$A$1:$AT$854">
        <filterColumn colId="25">
          <filters>
            <filter val="Закінчення курсу 15.11.25"/>
            <filter val="БЗВП +"/>
            <filter val="Закінчення курсу 15.09.26"/>
            <filter val="Закінчення курсу 06.01.26"/>
            <filter val="Закінчення курсу 08.12.25"/>
            <filter val="Закінчення курсу 22.07.26"/>
            <filter val="Закінчення курсу 13.08.26"/>
            <filter val="Закінчення курсу 13.06.25"/>
            <filter val="Закінчення курсу 27.07.25"/>
            <filter val="Закінчення курсу 29.01.26"/>
            <filter val="Закінчення курсу 02.08.26"/>
            <filter val="Закінчення курсу 21.10.26"/>
            <filter val="Закінчення курсу 25.08.26"/>
          </filters>
        </filterColumn>
        <filterColumn colId="27">
          <filters blank="1">
            <filter val="Призупинення служби"/>
          </filters>
        </filterColumn>
        <filterColumn colId="26">
          <filters blank="1">
            <filter val="Закінчення курсу 27.02.26"/>
            <filter val="не обмежено, примітка"/>
            <filter val="ЛИСАЧОВ"/>
            <filter val="так"/>
            <filter val="був БРЕЗ"/>
            <filter val="ССО"/>
            <filter val="БЗВП????"/>
          </filters>
        </filterColumn>
        <filterColumn colId="30">
          <filters>
            <filter val="Полігон Д"/>
            <filter val="Полігон ЧЛ"/>
            <filter val="ППД Лугова (літуни)"/>
            <filter val="ППД Соборне (літуни)"/>
            <filter val="ППД Вишневе"/>
          </filters>
        </filterColumn>
      </autoFilter>
    </customSheetView>
  </customSheetViews>
  <mergeCells count="1">
    <mergeCell ref="AL21:AN21"/>
  </mergeCells>
  <conditionalFormatting sqref="N562 N726:N729 N746">
    <cfRule type="expression" dxfId="0" priority="1">
      <formula>COUNTIF(#REF!, N562) &gt; 1</formula>
    </cfRule>
  </conditionalFormatting>
  <conditionalFormatting sqref="N726:P729 N746:P746">
    <cfRule type="expression" dxfId="0" priority="2">
      <formula>COUNTIF(#REF!, N726) &gt; 1</formula>
    </cfRule>
  </conditionalFormatting>
  <conditionalFormatting sqref="N726:P729 N746:P746">
    <cfRule type="expression" dxfId="0" priority="3">
      <formula>COUNTIF(#REF!, N726) &gt; 1</formula>
    </cfRule>
  </conditionalFormatting>
  <conditionalFormatting sqref="U726:U729 U746">
    <cfRule type="containsText" dxfId="3" priority="4" operator="containsText" text="В строю">
      <formula>NOT(ISERROR(SEARCH(("В строю"),(U726))))</formula>
    </cfRule>
  </conditionalFormatting>
  <conditionalFormatting sqref="U726:U729 U746">
    <cfRule type="containsText" dxfId="4" priority="5" operator="containsText" text="Відпустка">
      <formula>NOT(ISERROR(SEARCH(("Відпустка"),(U726))))</formula>
    </cfRule>
  </conditionalFormatting>
  <conditionalFormatting sqref="U726:U729 U746">
    <cfRule type="containsText" dxfId="5" priority="6" operator="containsText" text="СЗЧ">
      <formula>NOT(ISERROR(SEARCH(("СЗЧ"),(U726))))</formula>
    </cfRule>
  </conditionalFormatting>
  <conditionalFormatting sqref="U726:U729 U746">
    <cfRule type="containsText" dxfId="6" priority="7" operator="containsText" text="Зниклі безвісти">
      <formula>NOT(ISERROR(SEARCH(("Зниклі безвісти"),(U726))))</formula>
    </cfRule>
  </conditionalFormatting>
  <conditionalFormatting sqref="U726:U729 U746">
    <cfRule type="containsText" dxfId="7" priority="8" operator="containsText" text="Від-ні навчання">
      <formula>NOT(ISERROR(SEARCH(("Від-ні навчання"),(U726))))</formula>
    </cfRule>
  </conditionalFormatting>
  <conditionalFormatting sqref="U726:U729 U746">
    <cfRule type="containsText" dxfId="8" priority="9" operator="containsText" text="Відком. за межі ПБ">
      <formula>NOT(ISERROR(SEARCH(("Відком. за межі ПБ"),(U726))))</formula>
    </cfRule>
  </conditionalFormatting>
  <conditionalFormatting sqref="U726:U729 U746">
    <cfRule type="containsText" dxfId="9" priority="10" operator="containsText" text="Загиблі">
      <formula>NOT(ISERROR(SEARCH(("Загиблі"),(U726))))</formula>
    </cfRule>
  </conditionalFormatting>
  <conditionalFormatting sqref="U726:U729 U746">
    <cfRule type="containsText" dxfId="10" priority="11" operator="containsText" text="Лікування">
      <formula>NOT(ISERROR(SEARCH(("Лікування"),(U726))))</formula>
    </cfRule>
  </conditionalFormatting>
  <conditionalFormatting sqref="U726:U729 U746">
    <cfRule type="containsText" dxfId="3" priority="12" operator="containsText" text="В строю">
      <formula>NOT(ISERROR(SEARCH(("В строю"),(U726))))</formula>
    </cfRule>
  </conditionalFormatting>
  <conditionalFormatting sqref="U726:U729 U746">
    <cfRule type="containsText" dxfId="4" priority="13" operator="containsText" text="Відпустка">
      <formula>NOT(ISERROR(SEARCH(("Відпустка"),(U726))))</formula>
    </cfRule>
  </conditionalFormatting>
  <conditionalFormatting sqref="U726:U729 U746">
    <cfRule type="containsText" dxfId="5" priority="14" operator="containsText" text="СЗЧ">
      <formula>NOT(ISERROR(SEARCH(("СЗЧ"),(U726))))</formula>
    </cfRule>
  </conditionalFormatting>
  <conditionalFormatting sqref="U726:U729 U746">
    <cfRule type="containsText" dxfId="6" priority="15" operator="containsText" text="Зниклі безвісти">
      <formula>NOT(ISERROR(SEARCH(("Зниклі безвісти"),(U726))))</formula>
    </cfRule>
  </conditionalFormatting>
  <conditionalFormatting sqref="U726:U729 U746">
    <cfRule type="containsText" dxfId="7" priority="16" operator="containsText" text="Від-ні навчання">
      <formula>NOT(ISERROR(SEARCH(("Від-ні навчання"),(U726))))</formula>
    </cfRule>
  </conditionalFormatting>
  <conditionalFormatting sqref="U726:U729 U746">
    <cfRule type="containsText" dxfId="8" priority="17" operator="containsText" text="Відком. за межі ПБ">
      <formula>NOT(ISERROR(SEARCH(("Відком. за межі ПБ"),(U726))))</formula>
    </cfRule>
  </conditionalFormatting>
  <conditionalFormatting sqref="U726:U729 U746">
    <cfRule type="containsText" dxfId="9" priority="18" operator="containsText" text="Загиблі">
      <formula>NOT(ISERROR(SEARCH(("Загиблі"),(U726))))</formula>
    </cfRule>
  </conditionalFormatting>
  <conditionalFormatting sqref="U726:U729 U746">
    <cfRule type="containsText" dxfId="10" priority="19" operator="containsText" text="Лікування">
      <formula>NOT(ISERROR(SEARCH(("Лікування"),(U726))))</formula>
    </cfRule>
  </conditionalFormatting>
  <conditionalFormatting sqref="U726:U729 U746">
    <cfRule type="containsText" dxfId="3" priority="20" operator="containsText" text="В строю">
      <formula>NOT(ISERROR(SEARCH(("В строю"),(U726))))</formula>
    </cfRule>
  </conditionalFormatting>
  <conditionalFormatting sqref="U726:U729 U746">
    <cfRule type="containsText" dxfId="4" priority="21" operator="containsText" text="Відпустка">
      <formula>NOT(ISERROR(SEARCH(("Відпустка"),(U726))))</formula>
    </cfRule>
  </conditionalFormatting>
  <conditionalFormatting sqref="U726:U729 U746">
    <cfRule type="containsText" dxfId="5" priority="22" operator="containsText" text="СЗЧ">
      <formula>NOT(ISERROR(SEARCH(("СЗЧ"),(U726))))</formula>
    </cfRule>
  </conditionalFormatting>
  <conditionalFormatting sqref="U726:U729 U746">
    <cfRule type="containsText" dxfId="6" priority="23" operator="containsText" text="Зниклі безвісти">
      <formula>NOT(ISERROR(SEARCH(("Зниклі безвісти"),(U726))))</formula>
    </cfRule>
  </conditionalFormatting>
  <conditionalFormatting sqref="U726:U729 U746">
    <cfRule type="containsText" dxfId="7" priority="24" operator="containsText" text="Від-ні навчання">
      <formula>NOT(ISERROR(SEARCH(("Від-ні навчання"),(U726))))</formula>
    </cfRule>
  </conditionalFormatting>
  <conditionalFormatting sqref="U726:U729 U746">
    <cfRule type="containsText" dxfId="8" priority="25" operator="containsText" text="Відком. за межі ПБ">
      <formula>NOT(ISERROR(SEARCH(("Відком. за межі ПБ"),(U726))))</formula>
    </cfRule>
  </conditionalFormatting>
  <conditionalFormatting sqref="U726:U729 U746">
    <cfRule type="containsText" dxfId="9" priority="26" operator="containsText" text="Загиблі">
      <formula>NOT(ISERROR(SEARCH(("Загиблі"),(U726))))</formula>
    </cfRule>
  </conditionalFormatting>
  <conditionalFormatting sqref="U726:U729 U746">
    <cfRule type="containsText" dxfId="10" priority="27" operator="containsText" text="Лікування">
      <formula>NOT(ISERROR(SEARCH(("Лікування"),(U726))))</formula>
    </cfRule>
  </conditionalFormatting>
  <conditionalFormatting sqref="Q726:Q729 Q746">
    <cfRule type="cellIs" dxfId="3" priority="28" operator="equal">
      <formula>P726</formula>
    </cfRule>
  </conditionalFormatting>
  <conditionalFormatting sqref="Q726:Q729 Q746">
    <cfRule type="cellIs" dxfId="9" priority="29" operator="notEqual">
      <formula>P726</formula>
    </cfRule>
  </conditionalFormatting>
  <conditionalFormatting sqref="N49:O49 N83 N132:P132 N387 N771">
    <cfRule type="expression" dxfId="0" priority="30">
      <formula>COUNTIF(#REF!, N49) &gt; 1</formula>
    </cfRule>
  </conditionalFormatting>
  <conditionalFormatting sqref="Q83 Q132 Q387 Q771">
    <cfRule type="cellIs" dxfId="9" priority="31" operator="notEqual">
      <formula>P83</formula>
    </cfRule>
  </conditionalFormatting>
  <conditionalFormatting sqref="Q83 Q132 Q387 Q771">
    <cfRule type="cellIs" dxfId="3" priority="32" operator="equal">
      <formula>P83</formula>
    </cfRule>
  </conditionalFormatting>
  <conditionalFormatting sqref="U49 U83 U132 U344">
    <cfRule type="containsText" dxfId="10" priority="33" operator="containsText" text="Лікування">
      <formula>NOT(ISERROR(SEARCH(("Лікування"),(U49))))</formula>
    </cfRule>
  </conditionalFormatting>
  <conditionalFormatting sqref="U49 U83 U132 U344">
    <cfRule type="containsText" dxfId="9" priority="34" operator="containsText" text="Загиблі">
      <formula>NOT(ISERROR(SEARCH(("Загиблі"),(U49))))</formula>
    </cfRule>
  </conditionalFormatting>
  <conditionalFormatting sqref="U49 U83 U132 U344">
    <cfRule type="containsText" dxfId="8" priority="35" operator="containsText" text="Відком. за межі ПБ">
      <formula>NOT(ISERROR(SEARCH(("Відком. за межі ПБ"),(U49))))</formula>
    </cfRule>
  </conditionalFormatting>
  <conditionalFormatting sqref="U49 U83 U132 U344">
    <cfRule type="containsText" dxfId="7" priority="36" operator="containsText" text="Від-ні навчання">
      <formula>NOT(ISERROR(SEARCH(("Від-ні навчання"),(U49))))</formula>
    </cfRule>
  </conditionalFormatting>
  <conditionalFormatting sqref="U49 U83 U132 U344">
    <cfRule type="containsText" dxfId="6" priority="37" operator="containsText" text="Зниклі безвісти">
      <formula>NOT(ISERROR(SEARCH(("Зниклі безвісти"),(U49))))</formula>
    </cfRule>
  </conditionalFormatting>
  <conditionalFormatting sqref="U49 U83 U132 U344">
    <cfRule type="containsText" dxfId="5" priority="38" operator="containsText" text="СЗЧ">
      <formula>NOT(ISERROR(SEARCH(("СЗЧ"),(U49))))</formula>
    </cfRule>
  </conditionalFormatting>
  <conditionalFormatting sqref="U49 U83 U132 U344">
    <cfRule type="containsText" dxfId="4" priority="39" operator="containsText" text="Відпустка">
      <formula>NOT(ISERROR(SEARCH(("Відпустка"),(U49))))</formula>
    </cfRule>
  </conditionalFormatting>
  <conditionalFormatting sqref="U49 U83 U132 U344">
    <cfRule type="containsText" dxfId="3" priority="40" operator="containsText" text="В строю">
      <formula>NOT(ISERROR(SEARCH(("В строю"),(U49))))</formula>
    </cfRule>
  </conditionalFormatting>
  <conditionalFormatting sqref="Q344">
    <cfRule type="cellIs" dxfId="9" priority="41" operator="notEqual">
      <formula>P344</formula>
    </cfRule>
  </conditionalFormatting>
  <conditionalFormatting sqref="Q344">
    <cfRule type="cellIs" dxfId="3" priority="42" operator="equal">
      <formula>P344</formula>
    </cfRule>
  </conditionalFormatting>
  <conditionalFormatting sqref="N344">
    <cfRule type="expression" dxfId="0" priority="43">
      <formula>COUNTIF(#REF!, N344) &gt; 1</formula>
    </cfRule>
  </conditionalFormatting>
  <conditionalFormatting sqref="Q69">
    <cfRule type="cellIs" dxfId="9" priority="44" operator="notEqual">
      <formula>P69</formula>
    </cfRule>
  </conditionalFormatting>
  <conditionalFormatting sqref="Q69">
    <cfRule type="cellIs" dxfId="3" priority="45" operator="equal">
      <formula>P69</formula>
    </cfRule>
  </conditionalFormatting>
  <conditionalFormatting sqref="N69">
    <cfRule type="expression" dxfId="0" priority="46">
      <formula>COUNTIF(#REF!, N69) &gt; 1</formula>
    </cfRule>
  </conditionalFormatting>
  <conditionalFormatting sqref="N69">
    <cfRule type="expression" dxfId="0" priority="47">
      <formula>COUNTIF(#REF!, N69) &gt; 1</formula>
    </cfRule>
  </conditionalFormatting>
  <conditionalFormatting sqref="U69">
    <cfRule type="containsText" dxfId="10" priority="48" operator="containsText" text="Лікування">
      <formula>NOT(ISERROR(SEARCH(("Лікування"),(U69))))</formula>
    </cfRule>
  </conditionalFormatting>
  <conditionalFormatting sqref="U69">
    <cfRule type="containsText" dxfId="9" priority="49" operator="containsText" text="Загиблі">
      <formula>NOT(ISERROR(SEARCH(("Загиблі"),(U69))))</formula>
    </cfRule>
  </conditionalFormatting>
  <conditionalFormatting sqref="U69">
    <cfRule type="containsText" dxfId="8" priority="50" operator="containsText" text="Відком. за межі ПБ">
      <formula>NOT(ISERROR(SEARCH(("Відком. за межі ПБ"),(U69))))</formula>
    </cfRule>
  </conditionalFormatting>
  <conditionalFormatting sqref="U69">
    <cfRule type="containsText" dxfId="7" priority="51" operator="containsText" text="Від-ні навчання">
      <formula>NOT(ISERROR(SEARCH(("Від-ні навчання"),(U69))))</formula>
    </cfRule>
  </conditionalFormatting>
  <conditionalFormatting sqref="U69">
    <cfRule type="containsText" dxfId="6" priority="52" operator="containsText" text="Зниклі безвісти">
      <formula>NOT(ISERROR(SEARCH(("Зниклі безвісти"),(U69))))</formula>
    </cfRule>
  </conditionalFormatting>
  <conditionalFormatting sqref="U69">
    <cfRule type="containsText" dxfId="5" priority="53" operator="containsText" text="СЗЧ">
      <formula>NOT(ISERROR(SEARCH(("СЗЧ"),(U69))))</formula>
    </cfRule>
  </conditionalFormatting>
  <conditionalFormatting sqref="U69">
    <cfRule type="containsText" dxfId="4" priority="54" operator="containsText" text="Відпустка">
      <formula>NOT(ISERROR(SEARCH(("Відпустка"),(U69))))</formula>
    </cfRule>
  </conditionalFormatting>
  <conditionalFormatting sqref="U69">
    <cfRule type="containsText" dxfId="3" priority="55" operator="containsText" text="В строю">
      <formula>NOT(ISERROR(SEARCH(("В строю"),(U69))))</formula>
    </cfRule>
  </conditionalFormatting>
  <conditionalFormatting sqref="U69">
    <cfRule type="containsText" dxfId="3" priority="56" operator="containsText" text="В строю">
      <formula>NOT(ISERROR(SEARCH(("В строю"),(U69))))</formula>
    </cfRule>
  </conditionalFormatting>
  <conditionalFormatting sqref="U69">
    <cfRule type="containsText" dxfId="4" priority="57" operator="containsText" text="Відпустка">
      <formula>NOT(ISERROR(SEARCH(("Відпустка"),(U69))))</formula>
    </cfRule>
  </conditionalFormatting>
  <conditionalFormatting sqref="U69">
    <cfRule type="containsText" dxfId="5" priority="58" operator="containsText" text="СЗЧ">
      <formula>NOT(ISERROR(SEARCH(("СЗЧ"),(U69))))</formula>
    </cfRule>
  </conditionalFormatting>
  <conditionalFormatting sqref="U69">
    <cfRule type="containsText" dxfId="6" priority="59" operator="containsText" text="Зниклі безвісти">
      <formula>NOT(ISERROR(SEARCH(("Зниклі безвісти"),(U69))))</formula>
    </cfRule>
  </conditionalFormatting>
  <conditionalFormatting sqref="U69">
    <cfRule type="containsText" dxfId="7" priority="60" operator="containsText" text="Від-ні навчання">
      <formula>NOT(ISERROR(SEARCH(("Від-ні навчання"),(U69))))</formula>
    </cfRule>
  </conditionalFormatting>
  <conditionalFormatting sqref="U69">
    <cfRule type="containsText" dxfId="8" priority="61" operator="containsText" text="Відком. за межі ПБ">
      <formula>NOT(ISERROR(SEARCH(("Відком. за межі ПБ"),(U69))))</formula>
    </cfRule>
  </conditionalFormatting>
  <conditionalFormatting sqref="U69">
    <cfRule type="containsText" dxfId="9" priority="62" operator="containsText" text="Загиблі">
      <formula>NOT(ISERROR(SEARCH(("Загиблі"),(U69))))</formula>
    </cfRule>
  </conditionalFormatting>
  <conditionalFormatting sqref="U69">
    <cfRule type="containsText" dxfId="10" priority="63" operator="containsText" text="Лікування">
      <formula>NOT(ISERROR(SEARCH(("Лікування"),(U69))))</formula>
    </cfRule>
  </conditionalFormatting>
  <conditionalFormatting sqref="N110 N433:P433">
    <cfRule type="expression" dxfId="0" priority="64">
      <formula>COUNTIF(#REF!, N110) &gt; 1</formula>
    </cfRule>
  </conditionalFormatting>
  <conditionalFormatting sqref="U110">
    <cfRule type="containsText" dxfId="3" priority="65" operator="containsText" text="В строю">
      <formula>NOT(ISERROR(SEARCH(("В строю"),(U110))))</formula>
    </cfRule>
  </conditionalFormatting>
  <conditionalFormatting sqref="U110">
    <cfRule type="containsText" dxfId="4" priority="66" operator="containsText" text="Відпустка">
      <formula>NOT(ISERROR(SEARCH(("Відпустка"),(U110))))</formula>
    </cfRule>
  </conditionalFormatting>
  <conditionalFormatting sqref="U110">
    <cfRule type="containsText" dxfId="5" priority="67" operator="containsText" text="СЗЧ">
      <formula>NOT(ISERROR(SEARCH(("СЗЧ"),(U110))))</formula>
    </cfRule>
  </conditionalFormatting>
  <conditionalFormatting sqref="U110">
    <cfRule type="containsText" dxfId="6" priority="68" operator="containsText" text="Зниклі безвісти">
      <formula>NOT(ISERROR(SEARCH(("Зниклі безвісти"),(U110))))</formula>
    </cfRule>
  </conditionalFormatting>
  <conditionalFormatting sqref="U110">
    <cfRule type="containsText" dxfId="7" priority="69" operator="containsText" text="Від-ні навчання">
      <formula>NOT(ISERROR(SEARCH(("Від-ні навчання"),(U110))))</formula>
    </cfRule>
  </conditionalFormatting>
  <conditionalFormatting sqref="U110">
    <cfRule type="containsText" dxfId="8" priority="70" operator="containsText" text="Відком. за межі ПБ">
      <formula>NOT(ISERROR(SEARCH(("Відком. за межі ПБ"),(U110))))</formula>
    </cfRule>
  </conditionalFormatting>
  <conditionalFormatting sqref="U110">
    <cfRule type="containsText" dxfId="9" priority="71" operator="containsText" text="Загиблі">
      <formula>NOT(ISERROR(SEARCH(("Загиблі"),(U110))))</formula>
    </cfRule>
  </conditionalFormatting>
  <conditionalFormatting sqref="U110">
    <cfRule type="containsText" dxfId="10" priority="72" operator="containsText" text="Лікування">
      <formula>NOT(ISERROR(SEARCH(("Лікування"),(U110))))</formula>
    </cfRule>
  </conditionalFormatting>
  <conditionalFormatting sqref="U110">
    <cfRule type="containsText" dxfId="10" priority="73" operator="containsText" text="Лікування">
      <formula>NOT(ISERROR(SEARCH(("Лікування"),(U110))))</formula>
    </cfRule>
  </conditionalFormatting>
  <conditionalFormatting sqref="U110">
    <cfRule type="containsText" dxfId="9" priority="74" operator="containsText" text="Загиблі">
      <formula>NOT(ISERROR(SEARCH(("Загиблі"),(U110))))</formula>
    </cfRule>
  </conditionalFormatting>
  <conditionalFormatting sqref="U110">
    <cfRule type="containsText" dxfId="8" priority="75" operator="containsText" text="Відком. за межі ПБ">
      <formula>NOT(ISERROR(SEARCH(("Відком. за межі ПБ"),(U110))))</formula>
    </cfRule>
  </conditionalFormatting>
  <conditionalFormatting sqref="U110">
    <cfRule type="containsText" dxfId="7" priority="76" operator="containsText" text="Від-ні навчання">
      <formula>NOT(ISERROR(SEARCH(("Від-ні навчання"),(U110))))</formula>
    </cfRule>
  </conditionalFormatting>
  <conditionalFormatting sqref="U110">
    <cfRule type="containsText" dxfId="6" priority="77" operator="containsText" text="Зниклі безвісти">
      <formula>NOT(ISERROR(SEARCH(("Зниклі безвісти"),(U110))))</formula>
    </cfRule>
  </conditionalFormatting>
  <conditionalFormatting sqref="U110">
    <cfRule type="containsText" dxfId="5" priority="78" operator="containsText" text="СЗЧ">
      <formula>NOT(ISERROR(SEARCH(("СЗЧ"),(U110))))</formula>
    </cfRule>
  </conditionalFormatting>
  <conditionalFormatting sqref="U110">
    <cfRule type="containsText" dxfId="4" priority="79" operator="containsText" text="Відпустка">
      <formula>NOT(ISERROR(SEARCH(("Відпустка"),(U110))))</formula>
    </cfRule>
  </conditionalFormatting>
  <conditionalFormatting sqref="U110">
    <cfRule type="containsText" dxfId="3" priority="80" operator="containsText" text="В строю">
      <formula>NOT(ISERROR(SEARCH(("В строю"),(U110))))</formula>
    </cfRule>
  </conditionalFormatting>
  <conditionalFormatting sqref="Q110">
    <cfRule type="cellIs" dxfId="3" priority="81" operator="equal">
      <formula>P110</formula>
    </cfRule>
  </conditionalFormatting>
  <conditionalFormatting sqref="Q110">
    <cfRule type="cellIs" dxfId="9" priority="82" operator="notEqual">
      <formula>P110</formula>
    </cfRule>
  </conditionalFormatting>
  <conditionalFormatting sqref="N88 N91 N179 N203 N275 N319:N320 N766:N768">
    <cfRule type="expression" dxfId="0" priority="83">
      <formula>COUNTIF(#REF!, N88) &gt; 1</formula>
    </cfRule>
  </conditionalFormatting>
  <conditionalFormatting sqref="Q88 Q91 Q179 Q203 Q230 Q238 Q257 Q274:Q275 Q319 Q404 Q544 Q655 Q765:Q768">
    <cfRule type="cellIs" dxfId="9" priority="84" operator="notEqual">
      <formula>P88</formula>
    </cfRule>
  </conditionalFormatting>
  <conditionalFormatting sqref="Q88 Q91 Q179 Q203 Q230 Q238 Q257 Q274:Q275 Q319 Q404 Q544 Q655 Q765:Q768">
    <cfRule type="cellIs" dxfId="3" priority="85" operator="equal">
      <formula>P88</formula>
    </cfRule>
  </conditionalFormatting>
  <conditionalFormatting sqref="U88 U91 U179 U203:U204 U257 U275 U319 U387 U404 U544 U655 U765:U768">
    <cfRule type="containsText" dxfId="10" priority="86" operator="containsText" text="Лікування">
      <formula>NOT(ISERROR(SEARCH(("Лікування"),(U88))))</formula>
    </cfRule>
  </conditionalFormatting>
  <conditionalFormatting sqref="U88 U91 U179 U203:U204 U257 U275 U319 U387 U404 U544 U655 U765:U768">
    <cfRule type="containsText" dxfId="9" priority="87" operator="containsText" text="Загиблі">
      <formula>NOT(ISERROR(SEARCH(("Загиблі"),(U88))))</formula>
    </cfRule>
  </conditionalFormatting>
  <conditionalFormatting sqref="U88 U91 U179 U203:U204 U257 U275 U319 U387 U404 U544 U655 U765:U768">
    <cfRule type="containsText" dxfId="8" priority="88" operator="containsText" text="Відком. за межі ПБ">
      <formula>NOT(ISERROR(SEARCH(("Відком. за межі ПБ"),(U88))))</formula>
    </cfRule>
  </conditionalFormatting>
  <conditionalFormatting sqref="U88 U91 U179 U203:U204 U257 U275 U319 U387 U404 U544 U655 U765:U768">
    <cfRule type="containsText" dxfId="7" priority="89" operator="containsText" text="Від-ні навчання">
      <formula>NOT(ISERROR(SEARCH(("Від-ні навчання"),(U88))))</formula>
    </cfRule>
  </conditionalFormatting>
  <conditionalFormatting sqref="U88 U91 U179 U203:U204 U257 U275 U319 U387 U404 U544 U655 U765:U768">
    <cfRule type="containsText" dxfId="6" priority="90" operator="containsText" text="Зниклі безвісти">
      <formula>NOT(ISERROR(SEARCH(("Зниклі безвісти"),(U88))))</formula>
    </cfRule>
  </conditionalFormatting>
  <conditionalFormatting sqref="U88 U91 U179 U203:U204 U257 U275 U319 U387 U404 U544 U655 U765:U768">
    <cfRule type="containsText" dxfId="5" priority="91" operator="containsText" text="СЗЧ">
      <formula>NOT(ISERROR(SEARCH(("СЗЧ"),(U88))))</formula>
    </cfRule>
  </conditionalFormatting>
  <conditionalFormatting sqref="U88 U91 U179 U203:U204 U257 U275 U319 U387 U404 U544 U655 U765:U768">
    <cfRule type="containsText" dxfId="4" priority="92" operator="containsText" text="Відпустка">
      <formula>NOT(ISERROR(SEARCH(("Відпустка"),(U88))))</formula>
    </cfRule>
  </conditionalFormatting>
  <conditionalFormatting sqref="U88 U91 U179 U203:U204 U257 U275 U319 U387 U404 U544 U655 U765:U768">
    <cfRule type="containsText" dxfId="3" priority="93" operator="containsText" text="В строю">
      <formula>NOT(ISERROR(SEARCH(("В строю"),(U88))))</formula>
    </cfRule>
  </conditionalFormatting>
  <conditionalFormatting sqref="U46 U54 U68 U71 U88 U90:U91 U109 U112 U122 U125 U128 U162 U179 U185 U203:U204 U223 U230:U231 U238 U257 U274:U275 U319 U349 U387 U404 U507 U544 U655 U765:U770">
    <cfRule type="containsText" dxfId="10" priority="94" operator="containsText" text="Лікування">
      <formula>NOT(ISERROR(SEARCH(("Лікування"),(U46))))</formula>
    </cfRule>
  </conditionalFormatting>
  <conditionalFormatting sqref="U46 U54 U68 U71 U88 U90:U91 U109 U112 U122 U125 U128 U162 U179 U185 U203:U204 U223 U230:U231 U238 U257 U274:U275 U319 U349 U387 U404 U507 U544 U655 U765:U770">
    <cfRule type="containsText" dxfId="9" priority="95" operator="containsText" text="Загиблі">
      <formula>NOT(ISERROR(SEARCH(("Загиблі"),(U46))))</formula>
    </cfRule>
  </conditionalFormatting>
  <conditionalFormatting sqref="U46 U54 U68 U71 U88 U90:U91 U109 U112 U122 U125 U128 U162 U179 U185 U203:U204 U223 U230:U231 U238 U257 U274:U275 U319 U349 U387 U404 U507 U544 U655 U765:U770">
    <cfRule type="containsText" dxfId="8" priority="96" operator="containsText" text="Відком. за межі ПБ">
      <formula>NOT(ISERROR(SEARCH(("Відком. за межі ПБ"),(U46))))</formula>
    </cfRule>
  </conditionalFormatting>
  <conditionalFormatting sqref="U46 U54 U68 U71 U88 U90:U91 U109 U112 U122 U125 U128 U162 U179 U185 U203:U204 U223 U230:U231 U238 U257 U274:U275 U319 U349 U387 U404 U507 U544 U655 U765:U770">
    <cfRule type="containsText" dxfId="7" priority="97" operator="containsText" text="Від-ні навчання">
      <formula>NOT(ISERROR(SEARCH(("Від-ні навчання"),(U46))))</formula>
    </cfRule>
  </conditionalFormatting>
  <conditionalFormatting sqref="U46 U54 U68 U71 U88 U90:U91 U109 U112 U122 U125 U128 U162 U179 U185 U203:U204 U223 U230:U231 U238 U257 U274:U275 U319 U349 U387 U404 U507 U544 U655 U765:U770">
    <cfRule type="containsText" dxfId="6" priority="98" operator="containsText" text="Зниклі безвісти">
      <formula>NOT(ISERROR(SEARCH(("Зниклі безвісти"),(U46))))</formula>
    </cfRule>
  </conditionalFormatting>
  <conditionalFormatting sqref="U46 U54 U68 U71 U88 U90:U91 U109 U112 U122 U125 U128 U162 U179 U185 U203:U204 U223 U230:U231 U238 U257 U274:U275 U319 U349 U387 U404 U507 U544 U655 U765:U770">
    <cfRule type="containsText" dxfId="5" priority="99" operator="containsText" text="СЗЧ">
      <formula>NOT(ISERROR(SEARCH(("СЗЧ"),(U46))))</formula>
    </cfRule>
  </conditionalFormatting>
  <conditionalFormatting sqref="U46 U54 U68 U71 U88 U90:U91 U109 U112 U122 U125 U128 U162 U179 U185 U203:U204 U223 U230:U231 U238 U257 U274:U275 U319 U349 U387 U404 U507 U544 U655 U765:U770">
    <cfRule type="containsText" dxfId="4" priority="100" operator="containsText" text="Відпустка">
      <formula>NOT(ISERROR(SEARCH(("Відпустка"),(U46))))</formula>
    </cfRule>
  </conditionalFormatting>
  <conditionalFormatting sqref="U46 U54 U68 U71 U88 U90:U91 U109 U112 U122 U125 U128 U162 U179 U185 U203:U204 U223 U230:U231 U238 U257 U274:U275 U319 U349 U387 U404 U507 U544 U655 U765:U770">
    <cfRule type="containsText" dxfId="3" priority="101" operator="containsText" text="В строю">
      <formula>NOT(ISERROR(SEARCH(("В строю"),(U46))))</formula>
    </cfRule>
  </conditionalFormatting>
  <conditionalFormatting sqref="N112">
    <cfRule type="expression" dxfId="0" priority="102">
      <formula>COUNTIF(#REF!, N112) &gt; 1</formula>
    </cfRule>
  </conditionalFormatting>
  <conditionalFormatting sqref="Q46 Q54 Q68 Q90:Q91 Q109 Q112 Q122 Q162 Q185 Q230:Q231 Q238 Q274 Q507 Q769:Q770">
    <cfRule type="cellIs" dxfId="9" priority="103" operator="notEqual">
      <formula>P46</formula>
    </cfRule>
  </conditionalFormatting>
  <conditionalFormatting sqref="Q46 Q54 Q68 Q90:Q91 Q109 Q112 Q122 Q162 Q185 Q230:Q231 Q238 Q274 Q507 Q769:Q770">
    <cfRule type="cellIs" dxfId="3" priority="104" operator="equal">
      <formula>P46</formula>
    </cfRule>
  </conditionalFormatting>
  <conditionalFormatting sqref="U46 U54 U68 U71 U88 U90:U91 U109 U112 U122 U125:U126 U128:U129 U162 U179 U185 U203:U204 U223 U230:U231 U238 U248 U257 U266 U268 U274:U275 U296 U301 U319 U325 U349 U380 U387 U396 U400 U404 U413 U430 U442 U485 U495 U507 U544 U608 U655 U660:U661 U723:U725 U765:U769 U772:U774">
    <cfRule type="containsText" dxfId="10" priority="105" operator="containsText" text="Лікування">
      <formula>NOT(ISERROR(SEARCH(("Лікування"),(U46))))</formula>
    </cfRule>
  </conditionalFormatting>
  <conditionalFormatting sqref="U46 U54 U68 U71 U88 U90:U91 U109 U112 U122 U125:U126 U128:U129 U162 U179 U185 U203:U204 U223 U230:U231 U238 U248 U257 U266 U268 U274:U275 U296 U301 U319 U325 U349 U380 U387 U396 U400 U404 U413 U430 U442 U485 U495 U507 U544 U608 U655 U660:U661 U723:U725 U765:U769 U772:U774">
    <cfRule type="containsText" dxfId="9" priority="106" operator="containsText" text="Загиблі">
      <formula>NOT(ISERROR(SEARCH(("Загиблі"),(U46))))</formula>
    </cfRule>
  </conditionalFormatting>
  <conditionalFormatting sqref="U46 U54 U68 U71 U88 U90:U91 U109 U112 U122 U125:U126 U128:U129 U162 U179 U185 U203:U204 U223 U230:U231 U238 U248 U257 U266 U268 U274:U275 U296 U301 U319 U325 U349 U380 U387 U396 U400 U404 U413 U430 U442 U485 U495 U507 U544 U608 U655 U660:U661 U723:U725 U765:U769 U772:U774">
    <cfRule type="containsText" dxfId="8" priority="107" operator="containsText" text="Відком. за межі ПБ">
      <formula>NOT(ISERROR(SEARCH(("Відком. за межі ПБ"),(U46))))</formula>
    </cfRule>
  </conditionalFormatting>
  <conditionalFormatting sqref="U46 U54 U68 U71 U88 U90:U91 U109 U112 U122 U125:U126 U128:U129 U162 U179 U185 U203:U204 U223 U230:U231 U238 U248 U257 U266 U268 U274:U275 U296 U301 U319 U325 U349 U380 U387 U396 U400 U404 U413 U430 U442 U485 U495 U507 U544 U608 U655 U660:U661 U723:U725 U765:U769 U772:U774">
    <cfRule type="containsText" dxfId="7" priority="108" operator="containsText" text="Від-ні навчання">
      <formula>NOT(ISERROR(SEARCH(("Від-ні навчання"),(U46))))</formula>
    </cfRule>
  </conditionalFormatting>
  <conditionalFormatting sqref="U46 U54 U68 U71 U88 U90:U91 U109 U112 U122 U125:U126 U128:U129 U162 U179 U185 U203:U204 U223 U230:U231 U238 U248 U257 U266 U268 U274:U275 U296 U301 U319 U325 U349 U380 U387 U396 U400 U404 U413 U430 U442 U485 U495 U507 U544 U608 U655 U660:U661 U723:U725 U765:U769 U772:U774">
    <cfRule type="containsText" dxfId="6" priority="109" operator="containsText" text="Зниклі безвісти">
      <formula>NOT(ISERROR(SEARCH(("Зниклі безвісти"),(U46))))</formula>
    </cfRule>
  </conditionalFormatting>
  <conditionalFormatting sqref="U46 U54 U68 U71 U88 U90:U91 U109 U112 U122 U125:U126 U128:U129 U162 U179 U185 U203:U204 U223 U230:U231 U238 U248 U257 U266 U268 U274:U275 U296 U301 U319 U325 U349 U380 U387 U396 U400 U404 U413 U430 U442 U485 U495 U507 U544 U608 U655 U660:U661 U723:U725 U765:U769 U772:U774">
    <cfRule type="containsText" dxfId="5" priority="110" operator="containsText" text="СЗЧ">
      <formula>NOT(ISERROR(SEARCH(("СЗЧ"),(U46))))</formula>
    </cfRule>
  </conditionalFormatting>
  <conditionalFormatting sqref="U46 U54 U68 U71 U88 U90:U91 U109 U112 U122 U125:U126 U128:U129 U162 U179 U185 U203:U204 U223 U230:U231 U238 U248 U257 U266 U268 U274:U275 U296 U301 U319 U325 U349 U380 U387 U396 U400 U404 U413 U430 U442 U485 U495 U507 U544 U608 U655 U660:U661 U723:U725 U765:U769 U772:U774">
    <cfRule type="containsText" dxfId="4" priority="111" operator="containsText" text="Відпустка">
      <formula>NOT(ISERROR(SEARCH(("Відпустка"),(U46))))</formula>
    </cfRule>
  </conditionalFormatting>
  <conditionalFormatting sqref="U46 U54 U68 U71 U88 U90:U91 U109 U112 U122 U125:U126 U128:U129 U162 U179 U185 U203:U204 U223 U230:U231 U238 U248 U257 U266 U268 U274:U275 U296 U301 U319 U325 U349 U380 U387 U396 U400 U404 U413 U430 U442 U485 U495 U507 U544 U608 U655 U660:U661 U723:U725 U765:U769 U772:U774">
    <cfRule type="containsText" dxfId="3" priority="112" operator="containsText" text="В строю">
      <formula>NOT(ISERROR(SEARCH(("В строю"),(U46))))</formula>
    </cfRule>
  </conditionalFormatting>
  <conditionalFormatting sqref="U46 U54 U68 U71 U88 U90:U91 U109 U112 U122 U125:U126 U128:U129 U162 U179 U185 U203:U204 U223 U230:U231 U238 U248 U257 U266 U268 U274:U275 U296 U301 U319 U325 U349 U380 U387 U396 U400 U404 U413 U430 U442 U485 U507 U544 U608 U655 U660:U661 U723:U725 U765:U769 U772:U774">
    <cfRule type="containsText" dxfId="10" priority="113" operator="containsText" text="Лікування">
      <formula>NOT(ISERROR(SEARCH(("Лікування"),(U46))))</formula>
    </cfRule>
  </conditionalFormatting>
  <conditionalFormatting sqref="U46 U54 U68 U71 U88 U90:U91 U109 U112 U122 U125:U126 U128:U129 U162 U179 U185 U203:U204 U223 U230:U231 U238 U248 U257 U266 U268 U274:U275 U296 U301 U319 U325 U349 U380 U387 U396 U400 U404 U413 U430 U442 U485 U507 U544 U608 U655 U660:U661 U723:U725 U765:U769 U772:U774">
    <cfRule type="containsText" dxfId="9" priority="114" operator="containsText" text="Загиблі">
      <formula>NOT(ISERROR(SEARCH(("Загиблі"),(U46))))</formula>
    </cfRule>
  </conditionalFormatting>
  <conditionalFormatting sqref="U46 U54 U68 U71 U88 U90:U91 U109 U112 U122 U125:U126 U128:U129 U162 U179 U185 U203:U204 U223 U230:U231 U238 U248 U257 U266 U268 U274:U275 U296 U301 U319 U325 U349 U380 U387 U396 U400 U404 U413 U430 U442 U485 U507 U544 U608 U655 U660:U661 U723:U725 U765:U769 U772:U774">
    <cfRule type="containsText" dxfId="8" priority="115" operator="containsText" text="Відком. за межі ПБ">
      <formula>NOT(ISERROR(SEARCH(("Відком. за межі ПБ"),(U46))))</formula>
    </cfRule>
  </conditionalFormatting>
  <conditionalFormatting sqref="U46 U54 U68 U71 U88 U90:U91 U109 U112 U122 U125:U126 U128:U129 U162 U179 U185 U203:U204 U223 U230:U231 U238 U248 U257 U266 U268 U274:U275 U296 U301 U319 U325 U349 U380 U387 U396 U400 U404 U413 U430 U442 U485 U507 U544 U608 U655 U660:U661 U723:U725 U765:U769 U772:U774">
    <cfRule type="containsText" dxfId="7" priority="116" operator="containsText" text="Від-ні навчання">
      <formula>NOT(ISERROR(SEARCH(("Від-ні навчання"),(U46))))</formula>
    </cfRule>
  </conditionalFormatting>
  <conditionalFormatting sqref="U46 U54 U68 U71 U88 U90:U91 U109 U112 U122 U125:U126 U128:U129 U162 U179 U185 U203:U204 U223 U230:U231 U238 U248 U257 U266 U268 U274:U275 U296 U301 U319 U325 U349 U380 U387 U396 U400 U404 U413 U430 U442 U485 U507 U544 U608 U655 U660:U661 U723:U725 U765:U769 U772:U774">
    <cfRule type="containsText" dxfId="6" priority="117" operator="containsText" text="Зниклі безвісти">
      <formula>NOT(ISERROR(SEARCH(("Зниклі безвісти"),(U46))))</formula>
    </cfRule>
  </conditionalFormatting>
  <conditionalFormatting sqref="U46 U54 U68 U71 U88 U90:U91 U109 U112 U122 U125:U126 U128:U129 U162 U179 U185 U203:U204 U223 U230:U231 U238 U248 U257 U266 U268 U274:U275 U296 U301 U319 U325 U349 U380 U387 U396 U400 U404 U413 U430 U442 U485 U507 U544 U608 U655 U660:U661 U723:U725 U765:U769 U772:U774">
    <cfRule type="containsText" dxfId="5" priority="118" operator="containsText" text="СЗЧ">
      <formula>NOT(ISERROR(SEARCH(("СЗЧ"),(U46))))</formula>
    </cfRule>
  </conditionalFormatting>
  <conditionalFormatting sqref="U46 U54 U68 U71 U88 U90:U91 U109 U112 U122 U125:U126 U128:U129 U162 U179 U185 U203:U204 U223 U230:U231 U238 U248 U257 U266 U268 U274:U275 U296 U301 U319 U325 U349 U380 U387 U396 U400 U404 U413 U430 U442 U485 U507 U544 U608 U655 U660:U661 U723:U725 U765:U769 U772:U774">
    <cfRule type="containsText" dxfId="4" priority="119" operator="containsText" text="Відпустка">
      <formula>NOT(ISERROR(SEARCH(("Відпустка"),(U46))))</formula>
    </cfRule>
  </conditionalFormatting>
  <conditionalFormatting sqref="U46 U54 U68 U71 U88 U90:U91 U109 U112 U122 U125:U126 U128:U129 U162 U179 U185 U203:U204 U223 U230:U231 U238 U248 U257 U266 U268 U274:U275 U296 U301 U319 U325 U349 U380 U387 U396 U400 U404 U413 U430 U442 U485 U507 U544 U608 U655 U660:U661 U723:U725 U765:U769 U772:U774">
    <cfRule type="containsText" dxfId="3" priority="120" operator="containsText" text="В строю">
      <formula>NOT(ISERROR(SEARCH(("В строю"),(U46))))</formula>
    </cfRule>
  </conditionalFormatting>
  <conditionalFormatting sqref="U46 U54 U68 U71 U88 U90:U91 U109 U112 U122 U125:U126 U128:U129 U162 U179 U185 U203:U204 U223 U230:U231 U238 U248 U257 U266 U268 U274:U275 U296 U301 U319 U325 U349 U380 U387 U396 U400 U404 U413 U430 U442 U485 U507 U544 U608 U655 U660:U661 U723:U725 U765:U769 U772:U774">
    <cfRule type="containsText" dxfId="3" priority="121" operator="containsText" text="В строю">
      <formula>NOT(ISERROR(SEARCH(("В строю"),(U46))))</formula>
    </cfRule>
  </conditionalFormatting>
  <conditionalFormatting sqref="U46 U54 U68 U71 U88 U90:U91 U109 U112 U122 U125:U126 U128:U129 U162 U179 U185 U203:U204 U223 U230:U231 U238 U248 U257 U266 U268 U274:U275 U296 U301 U319 U325 U349 U380 U387 U396 U400 U404 U413 U430 U442 U485 U507 U544 U608 U655 U660:U661 U723:U725 U765:U769 U772:U774">
    <cfRule type="containsText" dxfId="4" priority="122" operator="containsText" text="Відпустка">
      <formula>NOT(ISERROR(SEARCH(("Відпустка"),(U46))))</formula>
    </cfRule>
  </conditionalFormatting>
  <conditionalFormatting sqref="U46 U54 U68 U71 U88 U90:U91 U109 U112 U122 U125:U126 U128:U129 U162 U179 U185 U203:U204 U223 U230:U231 U238 U248 U257 U266 U268 U274:U275 U296 U301 U319 U325 U349 U380 U387 U396 U400 U404 U413 U430 U442 U485 U507 U544 U608 U655 U660:U661 U723:U725 U765:U769 U772:U774">
    <cfRule type="containsText" dxfId="5" priority="123" operator="containsText" text="СЗЧ">
      <formula>NOT(ISERROR(SEARCH(("СЗЧ"),(U46))))</formula>
    </cfRule>
  </conditionalFormatting>
  <conditionalFormatting sqref="U46 U54 U68 U71 U88 U90:U91 U109 U112 U122 U125:U126 U128:U129 U162 U179 U185 U203:U204 U223 U230:U231 U238 U248 U257 U266 U268 U274:U275 U296 U301 U319 U325 U349 U380 U387 U396 U400 U404 U413 U430 U442 U485 U507 U544 U608 U655 U660:U661 U723:U725 U765:U769 U772:U774">
    <cfRule type="containsText" dxfId="6" priority="124" operator="containsText" text="Зниклі безвісти">
      <formula>NOT(ISERROR(SEARCH(("Зниклі безвісти"),(U46))))</formula>
    </cfRule>
  </conditionalFormatting>
  <conditionalFormatting sqref="U46 U54 U68 U71 U88 U90:U91 U109 U112 U122 U125:U126 U128:U129 U162 U179 U185 U203:U204 U223 U230:U231 U238 U248 U257 U266 U268 U274:U275 U296 U301 U319 U325 U349 U380 U387 U396 U400 U404 U413 U430 U442 U485 U507 U544 U608 U655 U660:U661 U723:U725 U765:U769 U772:U774">
    <cfRule type="containsText" dxfId="7" priority="125" operator="containsText" text="Від-ні навчання">
      <formula>NOT(ISERROR(SEARCH(("Від-ні навчання"),(U46))))</formula>
    </cfRule>
  </conditionalFormatting>
  <conditionalFormatting sqref="U46 U54 U68 U71 U88 U90:U91 U109 U112 U122 U125:U126 U128:U129 U162 U179 U185 U203:U204 U223 U230:U231 U238 U248 U257 U266 U268 U274:U275 U296 U301 U319 U325 U349 U380 U387 U396 U400 U404 U413 U430 U442 U485 U507 U544 U608 U655 U660:U661 U723:U725 U765:U769 U772:U774">
    <cfRule type="containsText" dxfId="8" priority="126" operator="containsText" text="Відком. за межі ПБ">
      <formula>NOT(ISERROR(SEARCH(("Відком. за межі ПБ"),(U46))))</formula>
    </cfRule>
  </conditionalFormatting>
  <conditionalFormatting sqref="U46 U54 U68 U71 U88 U90:U91 U109 U112 U122 U125:U126 U128:U129 U162 U179 U185 U203:U204 U223 U230:U231 U238 U248 U257 U266 U268 U274:U275 U296 U301 U319 U325 U349 U380 U387 U396 U400 U404 U413 U430 U442 U485 U507 U544 U608 U655 U660:U661 U723:U725 U765:U769 U772:U774">
    <cfRule type="containsText" dxfId="9" priority="127" operator="containsText" text="Загиблі">
      <formula>NOT(ISERROR(SEARCH(("Загиблі"),(U46))))</formula>
    </cfRule>
  </conditionalFormatting>
  <conditionalFormatting sqref="U46 U54 U68 U71 U88 U90:U91 U109 U112 U122 U125:U126 U128:U129 U162 U179 U185 U203:U204 U223 U230:U231 U238 U248 U257 U266 U268 U274:U275 U296 U301 U319 U325 U349 U380 U387 U396 U400 U404 U413 U430 U442 U485 U507 U544 U608 U655 U660:U661 U723:U725 U765:U769 U772:U774">
    <cfRule type="containsText" dxfId="10" priority="128" operator="containsText" text="Лікування">
      <formula>NOT(ISERROR(SEARCH(("Лікування"),(U46))))</formula>
    </cfRule>
  </conditionalFormatting>
  <conditionalFormatting sqref="Q126 Q129 Q248 Q266 Q268 Q296 Q301 Q325 Q380 Q396 Q400 Q413 Q430 Q442 Q485 Q495 Q608 Q660 Q772:Q774">
    <cfRule type="cellIs" dxfId="3" priority="129" operator="equal">
      <formula>P126</formula>
    </cfRule>
  </conditionalFormatting>
  <conditionalFormatting sqref="Q126 Q129 Q248 Q266 Q268 Q296 Q301 Q325 Q380 Q396 Q400 Q413 Q430 Q442 Q485 Q495 Q608 Q660 Q772:Q774">
    <cfRule type="cellIs" dxfId="9" priority="130" operator="notEqual">
      <formula>P126</formula>
    </cfRule>
  </conditionalFormatting>
  <conditionalFormatting sqref="N66:P66 N129 N226:P226 N248:N249 N266 N268 N296 N301 N325:N326 M326 O326 N380 N396 N400 N413 N430 N442 N485 N495:P495 N608 N656:P656 N660 N772:N774">
    <cfRule type="expression" dxfId="0" priority="131">
      <formula>COUNTIF(#REF!, N66) &gt; 1</formula>
    </cfRule>
  </conditionalFormatting>
  <conditionalFormatting sqref="N129 N248:N249 N266 N268 N296 N301 N325:N326 M326 O326 N380 N396 N400 N413 N430 N442 N485 N608 N660 N772:N774">
    <cfRule type="expression" dxfId="0" priority="132">
      <formula>COUNTIF(#REF!, N129) &gt; 1</formula>
    </cfRule>
  </conditionalFormatting>
  <conditionalFormatting sqref="N204:P204 W204:X204">
    <cfRule type="expression" dxfId="0" priority="133">
      <formula>COUNTIF(#REF!, W204) &gt; 1</formula>
    </cfRule>
  </conditionalFormatting>
  <conditionalFormatting sqref="K204 N204:P204 T204 W204:X204">
    <cfRule type="expression" dxfId="0" priority="134">
      <formula>COUNTIF(#REF!, W204) &gt; 1</formula>
    </cfRule>
  </conditionalFormatting>
  <conditionalFormatting sqref="Q204">
    <cfRule type="cellIs" dxfId="3" priority="135" operator="equal">
      <formula>P204</formula>
    </cfRule>
  </conditionalFormatting>
  <conditionalFormatting sqref="Q204">
    <cfRule type="cellIs" dxfId="9" priority="136" operator="notEqual">
      <formula>P204</formula>
    </cfRule>
  </conditionalFormatting>
  <conditionalFormatting sqref="AD204">
    <cfRule type="containsText" dxfId="10" priority="137" operator="containsText" text="Лікування">
      <formula>NOT(ISERROR(SEARCH(("Лікування"),(AD204))))</formula>
    </cfRule>
  </conditionalFormatting>
  <conditionalFormatting sqref="AD204">
    <cfRule type="containsText" dxfId="9" priority="138" operator="containsText" text="Загиблі">
      <formula>NOT(ISERROR(SEARCH(("Загиблі"),(AD204))))</formula>
    </cfRule>
  </conditionalFormatting>
  <conditionalFormatting sqref="AD204">
    <cfRule type="containsText" dxfId="8" priority="139" operator="containsText" text="Відком. за межі ПБ">
      <formula>NOT(ISERROR(SEARCH(("Відком. за межі ПБ"),(AD204))))</formula>
    </cfRule>
  </conditionalFormatting>
  <conditionalFormatting sqref="AD204">
    <cfRule type="containsText" dxfId="7" priority="140" operator="containsText" text="Від-ні навчання">
      <formula>NOT(ISERROR(SEARCH(("Від-ні навчання"),(AD204))))</formula>
    </cfRule>
  </conditionalFormatting>
  <conditionalFormatting sqref="AD204">
    <cfRule type="containsText" dxfId="6" priority="141" operator="containsText" text="Зниклі безвісти">
      <formula>NOT(ISERROR(SEARCH(("Зниклі безвісти"),(AD204))))</formula>
    </cfRule>
  </conditionalFormatting>
  <conditionalFormatting sqref="AD204">
    <cfRule type="containsText" dxfId="5" priority="142" operator="containsText" text="СЗЧ">
      <formula>NOT(ISERROR(SEARCH(("СЗЧ"),(AD204))))</formula>
    </cfRule>
  </conditionalFormatting>
  <conditionalFormatting sqref="AD204">
    <cfRule type="containsText" dxfId="4" priority="143" operator="containsText" text="Відпустка">
      <formula>NOT(ISERROR(SEARCH(("Відпустка"),(AD204))))</formula>
    </cfRule>
  </conditionalFormatting>
  <conditionalFormatting sqref="AD204">
    <cfRule type="containsText" dxfId="3" priority="144" operator="containsText" text="В строю">
      <formula>NOT(ISERROR(SEARCH(("В строю"),(AD204))))</formula>
    </cfRule>
  </conditionalFormatting>
  <conditionalFormatting sqref="U204 AD204">
    <cfRule type="containsText" dxfId="3" priority="145" operator="containsText" text="В строю">
      <formula>NOT(ISERROR(SEARCH(("В строю"),(U204))))</formula>
    </cfRule>
  </conditionalFormatting>
  <conditionalFormatting sqref="U204 AD204">
    <cfRule type="containsText" dxfId="4" priority="146" operator="containsText" text="Відпустка">
      <formula>NOT(ISERROR(SEARCH(("Відпустка"),(U204))))</formula>
    </cfRule>
  </conditionalFormatting>
  <conditionalFormatting sqref="U204 AD204">
    <cfRule type="containsText" dxfId="5" priority="147" operator="containsText" text="СЗЧ">
      <formula>NOT(ISERROR(SEARCH(("СЗЧ"),(U204))))</formula>
    </cfRule>
  </conditionalFormatting>
  <conditionalFormatting sqref="U204 AD204">
    <cfRule type="containsText" dxfId="6" priority="148" operator="containsText" text="Зниклі безвісти">
      <formula>NOT(ISERROR(SEARCH(("Зниклі безвісти"),(U204))))</formula>
    </cfRule>
  </conditionalFormatting>
  <conditionalFormatting sqref="U204 AD204">
    <cfRule type="containsText" dxfId="7" priority="149" operator="containsText" text="Від-ні навчання">
      <formula>NOT(ISERROR(SEARCH(("Від-ні навчання"),(U204))))</formula>
    </cfRule>
  </conditionalFormatting>
  <conditionalFormatting sqref="U204 AD204">
    <cfRule type="containsText" dxfId="8" priority="150" operator="containsText" text="Відком. за межі ПБ">
      <formula>NOT(ISERROR(SEARCH(("Відком. за межі ПБ"),(U204))))</formula>
    </cfRule>
  </conditionalFormatting>
  <conditionalFormatting sqref="U204 AD204">
    <cfRule type="containsText" dxfId="9" priority="151" operator="containsText" text="Загиблі">
      <formula>NOT(ISERROR(SEARCH(("Загиблі"),(U204))))</formula>
    </cfRule>
  </conditionalFormatting>
  <conditionalFormatting sqref="U204 AD204">
    <cfRule type="containsText" dxfId="10" priority="152" operator="containsText" text="Лікування">
      <formula>NOT(ISERROR(SEARCH(("Лікування"),(U204))))</formula>
    </cfRule>
  </conditionalFormatting>
  <conditionalFormatting sqref="N204 W204">
    <cfRule type="expression" dxfId="0" priority="153">
      <formula>COUNTIF(#REF!, W204) &gt; 1</formula>
    </cfRule>
  </conditionalFormatting>
  <conditionalFormatting sqref="U619">
    <cfRule type="containsText" dxfId="10" priority="154" operator="containsText" text="Лікування">
      <formula>NOT(ISERROR(SEARCH(("Лікування"),(U619))))</formula>
    </cfRule>
  </conditionalFormatting>
  <conditionalFormatting sqref="U619">
    <cfRule type="containsText" dxfId="9" priority="155" operator="containsText" text="Загиблі">
      <formula>NOT(ISERROR(SEARCH(("Загиблі"),(U619))))</formula>
    </cfRule>
  </conditionalFormatting>
  <conditionalFormatting sqref="U619">
    <cfRule type="containsText" dxfId="8" priority="156" operator="containsText" text="Відком. за межі ПБ">
      <formula>NOT(ISERROR(SEARCH(("Відком. за межі ПБ"),(U619))))</formula>
    </cfRule>
  </conditionalFormatting>
  <conditionalFormatting sqref="U619">
    <cfRule type="containsText" dxfId="7" priority="157" operator="containsText" text="Від-ні навчання">
      <formula>NOT(ISERROR(SEARCH(("Від-ні навчання"),(U619))))</formula>
    </cfRule>
  </conditionalFormatting>
  <conditionalFormatting sqref="U619">
    <cfRule type="containsText" dxfId="6" priority="158" operator="containsText" text="Зниклі безвісти">
      <formula>NOT(ISERROR(SEARCH(("Зниклі безвісти"),(U619))))</formula>
    </cfRule>
  </conditionalFormatting>
  <conditionalFormatting sqref="U619">
    <cfRule type="containsText" dxfId="5" priority="159" operator="containsText" text="СЗЧ">
      <formula>NOT(ISERROR(SEARCH(("СЗЧ"),(U619))))</formula>
    </cfRule>
  </conditionalFormatting>
  <conditionalFormatting sqref="U619">
    <cfRule type="containsText" dxfId="4" priority="160" operator="containsText" text="Відпустка">
      <formula>NOT(ISERROR(SEARCH(("Відпустка"),(U619))))</formula>
    </cfRule>
  </conditionalFormatting>
  <conditionalFormatting sqref="U619">
    <cfRule type="containsText" dxfId="3" priority="161" operator="containsText" text="В строю">
      <formula>NOT(ISERROR(SEARCH(("В строю"),(U619))))</formula>
    </cfRule>
  </conditionalFormatting>
  <conditionalFormatting sqref="Q619">
    <cfRule type="cellIs" dxfId="9" priority="162" operator="notEqual">
      <formula>P619</formula>
    </cfRule>
  </conditionalFormatting>
  <conditionalFormatting sqref="Q619">
    <cfRule type="cellIs" dxfId="3" priority="163" operator="equal">
      <formula>P619</formula>
    </cfRule>
  </conditionalFormatting>
  <conditionalFormatting sqref="N619">
    <cfRule type="expression" dxfId="0" priority="164">
      <formula>COUNTIF(#REF!, N619) &gt; 1</formula>
    </cfRule>
  </conditionalFormatting>
  <conditionalFormatting sqref="N619">
    <cfRule type="expression" dxfId="0" priority="165">
      <formula>COUNTIF(#REF!, N619) &gt; 1</formula>
    </cfRule>
  </conditionalFormatting>
  <conditionalFormatting sqref="Q458">
    <cfRule type="cellIs" dxfId="9" priority="166" operator="notEqual">
      <formula>P458</formula>
    </cfRule>
  </conditionalFormatting>
  <conditionalFormatting sqref="Q458">
    <cfRule type="cellIs" dxfId="3" priority="167" operator="equal">
      <formula>P458</formula>
    </cfRule>
  </conditionalFormatting>
  <conditionalFormatting sqref="N458">
    <cfRule type="expression" dxfId="0" priority="168">
      <formula>COUNTIF(#REF!, N458) &gt; 1</formula>
    </cfRule>
  </conditionalFormatting>
  <conditionalFormatting sqref="N458">
    <cfRule type="expression" dxfId="0" priority="169">
      <formula>COUNTIF(#REF!, N458) &gt; 1</formula>
    </cfRule>
  </conditionalFormatting>
  <conditionalFormatting sqref="U458">
    <cfRule type="containsText" dxfId="10" priority="170" operator="containsText" text="Лікування">
      <formula>NOT(ISERROR(SEARCH(("Лікування"),(U458))))</formula>
    </cfRule>
  </conditionalFormatting>
  <conditionalFormatting sqref="U458">
    <cfRule type="containsText" dxfId="9" priority="171" operator="containsText" text="Загиблі">
      <formula>NOT(ISERROR(SEARCH(("Загиблі"),(U458))))</formula>
    </cfRule>
  </conditionalFormatting>
  <conditionalFormatting sqref="U458">
    <cfRule type="containsText" dxfId="8" priority="172" operator="containsText" text="Відком. за межі ПБ">
      <formula>NOT(ISERROR(SEARCH(("Відком. за межі ПБ"),(U458))))</formula>
    </cfRule>
  </conditionalFormatting>
  <conditionalFormatting sqref="U458">
    <cfRule type="containsText" dxfId="7" priority="173" operator="containsText" text="Від-ні навчання">
      <formula>NOT(ISERROR(SEARCH(("Від-ні навчання"),(U458))))</formula>
    </cfRule>
  </conditionalFormatting>
  <conditionalFormatting sqref="U458">
    <cfRule type="containsText" dxfId="6" priority="174" operator="containsText" text="Зниклі безвісти">
      <formula>NOT(ISERROR(SEARCH(("Зниклі безвісти"),(U458))))</formula>
    </cfRule>
  </conditionalFormatting>
  <conditionalFormatting sqref="U458">
    <cfRule type="containsText" dxfId="5" priority="175" operator="containsText" text="СЗЧ">
      <formula>NOT(ISERROR(SEARCH(("СЗЧ"),(U458))))</formula>
    </cfRule>
  </conditionalFormatting>
  <conditionalFormatting sqref="U458">
    <cfRule type="containsText" dxfId="4" priority="176" operator="containsText" text="Відпустка">
      <formula>NOT(ISERROR(SEARCH(("Відпустка"),(U458))))</formula>
    </cfRule>
  </conditionalFormatting>
  <conditionalFormatting sqref="U458">
    <cfRule type="containsText" dxfId="3" priority="177" operator="containsText" text="В строю">
      <formula>NOT(ISERROR(SEARCH(("В строю"),(U458))))</formula>
    </cfRule>
  </conditionalFormatting>
  <conditionalFormatting sqref="U458">
    <cfRule type="containsText" dxfId="3" priority="178" operator="containsText" text="В строю">
      <formula>NOT(ISERROR(SEARCH(("В строю"),(U458))))</formula>
    </cfRule>
  </conditionalFormatting>
  <conditionalFormatting sqref="U458">
    <cfRule type="containsText" dxfId="4" priority="179" operator="containsText" text="Відпустка">
      <formula>NOT(ISERROR(SEARCH(("Відпустка"),(U458))))</formula>
    </cfRule>
  </conditionalFormatting>
  <conditionalFormatting sqref="U458">
    <cfRule type="containsText" dxfId="5" priority="180" operator="containsText" text="СЗЧ">
      <formula>NOT(ISERROR(SEARCH(("СЗЧ"),(U458))))</formula>
    </cfRule>
  </conditionalFormatting>
  <conditionalFormatting sqref="U458">
    <cfRule type="containsText" dxfId="6" priority="181" operator="containsText" text="Зниклі безвісти">
      <formula>NOT(ISERROR(SEARCH(("Зниклі безвісти"),(U458))))</formula>
    </cfRule>
  </conditionalFormatting>
  <conditionalFormatting sqref="U458">
    <cfRule type="containsText" dxfId="7" priority="182" operator="containsText" text="Від-ні навчання">
      <formula>NOT(ISERROR(SEARCH(("Від-ні навчання"),(U458))))</formula>
    </cfRule>
  </conditionalFormatting>
  <conditionalFormatting sqref="U458">
    <cfRule type="containsText" dxfId="8" priority="183" operator="containsText" text="Відком. за межі ПБ">
      <formula>NOT(ISERROR(SEARCH(("Відком. за межі ПБ"),(U458))))</formula>
    </cfRule>
  </conditionalFormatting>
  <conditionalFormatting sqref="U458">
    <cfRule type="containsText" dxfId="9" priority="184" operator="containsText" text="Загиблі">
      <formula>NOT(ISERROR(SEARCH(("Загиблі"),(U458))))</formula>
    </cfRule>
  </conditionalFormatting>
  <conditionalFormatting sqref="U458">
    <cfRule type="containsText" dxfId="10" priority="185" operator="containsText" text="Лікування">
      <formula>NOT(ISERROR(SEARCH(("Лікування"),(U458))))</formula>
    </cfRule>
  </conditionalFormatting>
  <conditionalFormatting sqref="N456:N457">
    <cfRule type="expression" dxfId="0" priority="186">
      <formula>COUNTIF(#REF!, N456) &gt; 1</formula>
    </cfRule>
  </conditionalFormatting>
  <conditionalFormatting sqref="N456:N457">
    <cfRule type="expression" dxfId="0" priority="187">
      <formula>COUNTIF(#REF!, N456) &gt; 1</formula>
    </cfRule>
  </conditionalFormatting>
  <conditionalFormatting sqref="Q456">
    <cfRule type="cellIs" dxfId="3" priority="188" operator="equal">
      <formula>P456</formula>
    </cfRule>
  </conditionalFormatting>
  <conditionalFormatting sqref="Q456">
    <cfRule type="cellIs" dxfId="9" priority="189" operator="notEqual">
      <formula>P456</formula>
    </cfRule>
  </conditionalFormatting>
  <conditionalFormatting sqref="U456:U457">
    <cfRule type="containsText" dxfId="10" priority="190" operator="containsText" text="Лікування">
      <formula>NOT(ISERROR(SEARCH(("Лікування"),(U456))))</formula>
    </cfRule>
  </conditionalFormatting>
  <conditionalFormatting sqref="U456:U457">
    <cfRule type="containsText" dxfId="9" priority="191" operator="containsText" text="Загиблі">
      <formula>NOT(ISERROR(SEARCH(("Загиблі"),(U456))))</formula>
    </cfRule>
  </conditionalFormatting>
  <conditionalFormatting sqref="U456:U457">
    <cfRule type="containsText" dxfId="8" priority="192" operator="containsText" text="Відком. за межі ПБ">
      <formula>NOT(ISERROR(SEARCH(("Відком. за межі ПБ"),(U456))))</formula>
    </cfRule>
  </conditionalFormatting>
  <conditionalFormatting sqref="U456:U457">
    <cfRule type="containsText" dxfId="7" priority="193" operator="containsText" text="Від-ні навчання">
      <formula>NOT(ISERROR(SEARCH(("Від-ні навчання"),(U456))))</formula>
    </cfRule>
  </conditionalFormatting>
  <conditionalFormatting sqref="U456:U457">
    <cfRule type="containsText" dxfId="6" priority="194" operator="containsText" text="Зниклі безвісти">
      <formula>NOT(ISERROR(SEARCH(("Зниклі безвісти"),(U456))))</formula>
    </cfRule>
  </conditionalFormatting>
  <conditionalFormatting sqref="U456:U457">
    <cfRule type="containsText" dxfId="5" priority="195" operator="containsText" text="СЗЧ">
      <formula>NOT(ISERROR(SEARCH(("СЗЧ"),(U456))))</formula>
    </cfRule>
  </conditionalFormatting>
  <conditionalFormatting sqref="U456:U457">
    <cfRule type="containsText" dxfId="4" priority="196" operator="containsText" text="Відпустка">
      <formula>NOT(ISERROR(SEARCH(("Відпустка"),(U456))))</formula>
    </cfRule>
  </conditionalFormatting>
  <conditionalFormatting sqref="U456:U457">
    <cfRule type="containsText" dxfId="3" priority="197" operator="containsText" text="В строю">
      <formula>NOT(ISERROR(SEARCH(("В строю"),(U456))))</formula>
    </cfRule>
  </conditionalFormatting>
  <conditionalFormatting sqref="U456:U457">
    <cfRule type="containsText" dxfId="3" priority="198" operator="containsText" text="В строю">
      <formula>NOT(ISERROR(SEARCH(("В строю"),(U456))))</formula>
    </cfRule>
  </conditionalFormatting>
  <conditionalFormatting sqref="U456:U457">
    <cfRule type="containsText" dxfId="4" priority="199" operator="containsText" text="Відпустка">
      <formula>NOT(ISERROR(SEARCH(("Відпустка"),(U456))))</formula>
    </cfRule>
  </conditionalFormatting>
  <conditionalFormatting sqref="U456:U457">
    <cfRule type="containsText" dxfId="5" priority="200" operator="containsText" text="СЗЧ">
      <formula>NOT(ISERROR(SEARCH(("СЗЧ"),(U456))))</formula>
    </cfRule>
  </conditionalFormatting>
  <conditionalFormatting sqref="U456:U457">
    <cfRule type="containsText" dxfId="6" priority="201" operator="containsText" text="Зниклі безвісти">
      <formula>NOT(ISERROR(SEARCH(("Зниклі безвісти"),(U456))))</formula>
    </cfRule>
  </conditionalFormatting>
  <conditionalFormatting sqref="U456:U457">
    <cfRule type="containsText" dxfId="7" priority="202" operator="containsText" text="Від-ні навчання">
      <formula>NOT(ISERROR(SEARCH(("Від-ні навчання"),(U456))))</formula>
    </cfRule>
  </conditionalFormatting>
  <conditionalFormatting sqref="U456:U457">
    <cfRule type="containsText" dxfId="8" priority="203" operator="containsText" text="Відком. за межі ПБ">
      <formula>NOT(ISERROR(SEARCH(("Відком. за межі ПБ"),(U456))))</formula>
    </cfRule>
  </conditionalFormatting>
  <conditionalFormatting sqref="U456:U457">
    <cfRule type="containsText" dxfId="9" priority="204" operator="containsText" text="Загиблі">
      <formula>NOT(ISERROR(SEARCH(("Загиблі"),(U456))))</formula>
    </cfRule>
  </conditionalFormatting>
  <conditionalFormatting sqref="U456:U457">
    <cfRule type="containsText" dxfId="10" priority="205" operator="containsText" text="Лікування">
      <formula>NOT(ISERROR(SEARCH(("Лікування"),(U456))))</formula>
    </cfRule>
  </conditionalFormatting>
  <conditionalFormatting sqref="N431">
    <cfRule type="expression" dxfId="0" priority="206">
      <formula>COUNTIF(#REF!, N431) &gt; 1</formula>
    </cfRule>
  </conditionalFormatting>
  <conditionalFormatting sqref="N431">
    <cfRule type="expression" dxfId="0" priority="207">
      <formula>COUNTIF(#REF!, N431) &gt; 1</formula>
    </cfRule>
  </conditionalFormatting>
  <conditionalFormatting sqref="Q431">
    <cfRule type="cellIs" dxfId="3" priority="208" operator="equal">
      <formula>P431</formula>
    </cfRule>
  </conditionalFormatting>
  <conditionalFormatting sqref="Q431">
    <cfRule type="cellIs" dxfId="9" priority="209" operator="notEqual">
      <formula>P431</formula>
    </cfRule>
  </conditionalFormatting>
  <conditionalFormatting sqref="U431">
    <cfRule type="containsText" dxfId="10" priority="210" operator="containsText" text="Лікування">
      <formula>NOT(ISERROR(SEARCH(("Лікування"),(U431))))</formula>
    </cfRule>
  </conditionalFormatting>
  <conditionalFormatting sqref="U431">
    <cfRule type="containsText" dxfId="9" priority="211" operator="containsText" text="Загиблі">
      <formula>NOT(ISERROR(SEARCH(("Загиблі"),(U431))))</formula>
    </cfRule>
  </conditionalFormatting>
  <conditionalFormatting sqref="U431">
    <cfRule type="containsText" dxfId="8" priority="212" operator="containsText" text="Відком. за межі ПБ">
      <formula>NOT(ISERROR(SEARCH(("Відком. за межі ПБ"),(U431))))</formula>
    </cfRule>
  </conditionalFormatting>
  <conditionalFormatting sqref="U431">
    <cfRule type="containsText" dxfId="7" priority="213" operator="containsText" text="Від-ні навчання">
      <formula>NOT(ISERROR(SEARCH(("Від-ні навчання"),(U431))))</formula>
    </cfRule>
  </conditionalFormatting>
  <conditionalFormatting sqref="U431">
    <cfRule type="containsText" dxfId="6" priority="214" operator="containsText" text="Зниклі безвісти">
      <formula>NOT(ISERROR(SEARCH(("Зниклі безвісти"),(U431))))</formula>
    </cfRule>
  </conditionalFormatting>
  <conditionalFormatting sqref="U431">
    <cfRule type="containsText" dxfId="5" priority="215" operator="containsText" text="СЗЧ">
      <formula>NOT(ISERROR(SEARCH(("СЗЧ"),(U431))))</formula>
    </cfRule>
  </conditionalFormatting>
  <conditionalFormatting sqref="U431">
    <cfRule type="containsText" dxfId="4" priority="216" operator="containsText" text="Відпустка">
      <formula>NOT(ISERROR(SEARCH(("Відпустка"),(U431))))</formula>
    </cfRule>
  </conditionalFormatting>
  <conditionalFormatting sqref="U431">
    <cfRule type="containsText" dxfId="3" priority="217" operator="containsText" text="В строю">
      <formula>NOT(ISERROR(SEARCH(("В строю"),(U431))))</formula>
    </cfRule>
  </conditionalFormatting>
  <conditionalFormatting sqref="U431">
    <cfRule type="containsText" dxfId="3" priority="218" operator="containsText" text="В строю">
      <formula>NOT(ISERROR(SEARCH(("В строю"),(U431))))</formula>
    </cfRule>
  </conditionalFormatting>
  <conditionalFormatting sqref="U431">
    <cfRule type="containsText" dxfId="4" priority="219" operator="containsText" text="Відпустка">
      <formula>NOT(ISERROR(SEARCH(("Відпустка"),(U431))))</formula>
    </cfRule>
  </conditionalFormatting>
  <conditionalFormatting sqref="U431">
    <cfRule type="containsText" dxfId="5" priority="220" operator="containsText" text="СЗЧ">
      <formula>NOT(ISERROR(SEARCH(("СЗЧ"),(U431))))</formula>
    </cfRule>
  </conditionalFormatting>
  <conditionalFormatting sqref="U431">
    <cfRule type="containsText" dxfId="6" priority="221" operator="containsText" text="Зниклі безвісти">
      <formula>NOT(ISERROR(SEARCH(("Зниклі безвісти"),(U431))))</formula>
    </cfRule>
  </conditionalFormatting>
  <conditionalFormatting sqref="U431">
    <cfRule type="containsText" dxfId="7" priority="222" operator="containsText" text="Від-ні навчання">
      <formula>NOT(ISERROR(SEARCH(("Від-ні навчання"),(U431))))</formula>
    </cfRule>
  </conditionalFormatting>
  <conditionalFormatting sqref="U431">
    <cfRule type="containsText" dxfId="8" priority="223" operator="containsText" text="Відком. за межі ПБ">
      <formula>NOT(ISERROR(SEARCH(("Відком. за межі ПБ"),(U431))))</formula>
    </cfRule>
  </conditionalFormatting>
  <conditionalFormatting sqref="U431">
    <cfRule type="containsText" dxfId="9" priority="224" operator="containsText" text="Загиблі">
      <formula>NOT(ISERROR(SEARCH(("Загиблі"),(U431))))</formula>
    </cfRule>
  </conditionalFormatting>
  <conditionalFormatting sqref="U431">
    <cfRule type="containsText" dxfId="10" priority="225" operator="containsText" text="Лікування">
      <formula>NOT(ISERROR(SEARCH(("Лікування"),(U431))))</formula>
    </cfRule>
  </conditionalFormatting>
  <conditionalFormatting sqref="N412">
    <cfRule type="expression" dxfId="0" priority="226">
      <formula>COUNTIF(#REF!, N412) &gt; 1</formula>
    </cfRule>
  </conditionalFormatting>
  <conditionalFormatting sqref="N412">
    <cfRule type="expression" dxfId="0" priority="227">
      <formula>COUNTIF(#REF!, N412) &gt; 1</formula>
    </cfRule>
  </conditionalFormatting>
  <conditionalFormatting sqref="Q412">
    <cfRule type="cellIs" dxfId="3" priority="228" operator="equal">
      <formula>P412</formula>
    </cfRule>
  </conditionalFormatting>
  <conditionalFormatting sqref="Q412">
    <cfRule type="cellIs" dxfId="9" priority="229" operator="notEqual">
      <formula>P412</formula>
    </cfRule>
  </conditionalFormatting>
  <conditionalFormatting sqref="U412">
    <cfRule type="containsText" dxfId="10" priority="230" operator="containsText" text="Лікування">
      <formula>NOT(ISERROR(SEARCH(("Лікування"),(U412))))</formula>
    </cfRule>
  </conditionalFormatting>
  <conditionalFormatting sqref="U412">
    <cfRule type="containsText" dxfId="9" priority="231" operator="containsText" text="Загиблі">
      <formula>NOT(ISERROR(SEARCH(("Загиблі"),(U412))))</formula>
    </cfRule>
  </conditionalFormatting>
  <conditionalFormatting sqref="U412">
    <cfRule type="containsText" dxfId="8" priority="232" operator="containsText" text="Відком. за межі ПБ">
      <formula>NOT(ISERROR(SEARCH(("Відком. за межі ПБ"),(U412))))</formula>
    </cfRule>
  </conditionalFormatting>
  <conditionalFormatting sqref="U412">
    <cfRule type="containsText" dxfId="7" priority="233" operator="containsText" text="Від-ні навчання">
      <formula>NOT(ISERROR(SEARCH(("Від-ні навчання"),(U412))))</formula>
    </cfRule>
  </conditionalFormatting>
  <conditionalFormatting sqref="U412">
    <cfRule type="containsText" dxfId="6" priority="234" operator="containsText" text="Зниклі безвісти">
      <formula>NOT(ISERROR(SEARCH(("Зниклі безвісти"),(U412))))</formula>
    </cfRule>
  </conditionalFormatting>
  <conditionalFormatting sqref="U412">
    <cfRule type="containsText" dxfId="5" priority="235" operator="containsText" text="СЗЧ">
      <formula>NOT(ISERROR(SEARCH(("СЗЧ"),(U412))))</formula>
    </cfRule>
  </conditionalFormatting>
  <conditionalFormatting sqref="U412">
    <cfRule type="containsText" dxfId="4" priority="236" operator="containsText" text="Відпустка">
      <formula>NOT(ISERROR(SEARCH(("Відпустка"),(U412))))</formula>
    </cfRule>
  </conditionalFormatting>
  <conditionalFormatting sqref="U412">
    <cfRule type="containsText" dxfId="3" priority="237" operator="containsText" text="В строю">
      <formula>NOT(ISERROR(SEARCH(("В строю"),(U412))))</formula>
    </cfRule>
  </conditionalFormatting>
  <conditionalFormatting sqref="U412">
    <cfRule type="containsText" dxfId="3" priority="238" operator="containsText" text="В строю">
      <formula>NOT(ISERROR(SEARCH(("В строю"),(U412))))</formula>
    </cfRule>
  </conditionalFormatting>
  <conditionalFormatting sqref="U412">
    <cfRule type="containsText" dxfId="4" priority="239" operator="containsText" text="Відпустка">
      <formula>NOT(ISERROR(SEARCH(("Відпустка"),(U412))))</formula>
    </cfRule>
  </conditionalFormatting>
  <conditionalFormatting sqref="U412">
    <cfRule type="containsText" dxfId="5" priority="240" operator="containsText" text="СЗЧ">
      <formula>NOT(ISERROR(SEARCH(("СЗЧ"),(U412))))</formula>
    </cfRule>
  </conditionalFormatting>
  <conditionalFormatting sqref="U412">
    <cfRule type="containsText" dxfId="6" priority="241" operator="containsText" text="Зниклі безвісти">
      <formula>NOT(ISERROR(SEARCH(("Зниклі безвісти"),(U412))))</formula>
    </cfRule>
  </conditionalFormatting>
  <conditionalFormatting sqref="U412">
    <cfRule type="containsText" dxfId="7" priority="242" operator="containsText" text="Від-ні навчання">
      <formula>NOT(ISERROR(SEARCH(("Від-ні навчання"),(U412))))</formula>
    </cfRule>
  </conditionalFormatting>
  <conditionalFormatting sqref="U412">
    <cfRule type="containsText" dxfId="8" priority="243" operator="containsText" text="Відком. за межі ПБ">
      <formula>NOT(ISERROR(SEARCH(("Відком. за межі ПБ"),(U412))))</formula>
    </cfRule>
  </conditionalFormatting>
  <conditionalFormatting sqref="U412">
    <cfRule type="containsText" dxfId="9" priority="244" operator="containsText" text="Загиблі">
      <formula>NOT(ISERROR(SEARCH(("Загиблі"),(U412))))</formula>
    </cfRule>
  </conditionalFormatting>
  <conditionalFormatting sqref="U412">
    <cfRule type="containsText" dxfId="10" priority="245" operator="containsText" text="Лікування">
      <formula>NOT(ISERROR(SEARCH(("Лікування"),(U412))))</formula>
    </cfRule>
  </conditionalFormatting>
  <conditionalFormatting sqref="N59 N98 N129 N369 N413 N608 N772">
    <cfRule type="expression" dxfId="0" priority="246">
      <formula>COUNTIF(#REF!, N59) &gt; 1</formula>
    </cfRule>
  </conditionalFormatting>
  <conditionalFormatting sqref="Q59 Q98 Q119 Q126 Q129 Q369 Q413 Q608 Q772">
    <cfRule type="cellIs" dxfId="9" priority="247" operator="notEqual">
      <formula>P59</formula>
    </cfRule>
  </conditionalFormatting>
  <conditionalFormatting sqref="Q59 Q98 Q119 Q126 Q129 Q369 Q413 Q608 Q772">
    <cfRule type="cellIs" dxfId="3" priority="248" operator="equal">
      <formula>P59</formula>
    </cfRule>
  </conditionalFormatting>
  <conditionalFormatting sqref="U59 U98 U112 U119 U126 U129 U369 U413 U608 U619 U723:U725 U772">
    <cfRule type="containsText" dxfId="3" priority="249" operator="containsText" text="В строю">
      <formula>NOT(ISERROR(SEARCH(("В строю"),(U59))))</formula>
    </cfRule>
  </conditionalFormatting>
  <conditionalFormatting sqref="U59 U98 U112 U119 U126 U129 U369 U413 U608 U619 U723:U725 U772">
    <cfRule type="containsText" dxfId="4" priority="250" operator="containsText" text="Відпустка">
      <formula>NOT(ISERROR(SEARCH(("Відпустка"),(U59))))</formula>
    </cfRule>
  </conditionalFormatting>
  <conditionalFormatting sqref="U59 U98 U112 U119 U126 U129 U369 U413 U608 U619 U723:U725 U772">
    <cfRule type="containsText" dxfId="5" priority="251" operator="containsText" text="СЗЧ">
      <formula>NOT(ISERROR(SEARCH(("СЗЧ"),(U59))))</formula>
    </cfRule>
  </conditionalFormatting>
  <conditionalFormatting sqref="U59 U98 U112 U119 U126 U129 U369 U413 U608 U619 U723:U725 U772">
    <cfRule type="containsText" dxfId="6" priority="252" operator="containsText" text="Зниклі безвісти">
      <formula>NOT(ISERROR(SEARCH(("Зниклі безвісти"),(U59))))</formula>
    </cfRule>
  </conditionalFormatting>
  <conditionalFormatting sqref="U59 U98 U112 U119 U126 U129 U369 U413 U608 U619 U723:U725 U772">
    <cfRule type="containsText" dxfId="7" priority="253" operator="containsText" text="Від-ні навчання">
      <formula>NOT(ISERROR(SEARCH(("Від-ні навчання"),(U59))))</formula>
    </cfRule>
  </conditionalFormatting>
  <conditionalFormatting sqref="U59 U98 U112 U119 U126 U129 U369 U413 U608 U619 U723:U725 U772">
    <cfRule type="containsText" dxfId="8" priority="254" operator="containsText" text="Відком. за межі ПБ">
      <formula>NOT(ISERROR(SEARCH(("Відком. за межі ПБ"),(U59))))</formula>
    </cfRule>
  </conditionalFormatting>
  <conditionalFormatting sqref="U59 U98 U112 U119 U126 U129 U369 U413 U608 U619 U723:U725 U772">
    <cfRule type="containsText" dxfId="9" priority="255" operator="containsText" text="Загиблі">
      <formula>NOT(ISERROR(SEARCH(("Загиблі"),(U59))))</formula>
    </cfRule>
  </conditionalFormatting>
  <conditionalFormatting sqref="U59 U98 U112 U119 U126 U129 U369 U413 U608 U619 U723:U725 U772">
    <cfRule type="containsText" dxfId="10" priority="256" operator="containsText" text="Лікування">
      <formula>NOT(ISERROR(SEARCH(("Лікування"),(U59))))</formula>
    </cfRule>
  </conditionalFormatting>
  <conditionalFormatting sqref="U59 U98 U112 U119 U126 U129 U369 U413 U608 U619 U723:U725 U772">
    <cfRule type="containsText" dxfId="10" priority="257" operator="containsText" text="Лікування">
      <formula>NOT(ISERROR(SEARCH(("Лікування"),(U59))))</formula>
    </cfRule>
  </conditionalFormatting>
  <conditionalFormatting sqref="U59 U98 U112 U119 U126 U129 U369 U413 U608 U619 U723:U725 U772">
    <cfRule type="containsText" dxfId="9" priority="258" operator="containsText" text="Загиблі">
      <formula>NOT(ISERROR(SEARCH(("Загиблі"),(U59))))</formula>
    </cfRule>
  </conditionalFormatting>
  <conditionalFormatting sqref="U59 U98 U112 U119 U126 U129 U369 U413 U608 U619 U723:U725 U772">
    <cfRule type="containsText" dxfId="8" priority="259" operator="containsText" text="Відком. за межі ПБ">
      <formula>NOT(ISERROR(SEARCH(("Відком. за межі ПБ"),(U59))))</formula>
    </cfRule>
  </conditionalFormatting>
  <conditionalFormatting sqref="U59 U98 U112 U119 U126 U129 U369 U413 U608 U619 U723:U725 U772">
    <cfRule type="containsText" dxfId="7" priority="260" operator="containsText" text="Від-ні навчання">
      <formula>NOT(ISERROR(SEARCH(("Від-ні навчання"),(U59))))</formula>
    </cfRule>
  </conditionalFormatting>
  <conditionalFormatting sqref="U59 U98 U112 U119 U126 U129 U369 U413 U608 U619 U723:U725 U772">
    <cfRule type="containsText" dxfId="6" priority="261" operator="containsText" text="Зниклі безвісти">
      <formula>NOT(ISERROR(SEARCH(("Зниклі безвісти"),(U59))))</formula>
    </cfRule>
  </conditionalFormatting>
  <conditionalFormatting sqref="U59 U98 U112 U119 U126 U129 U369 U413 U608 U619 U723:U725 U772">
    <cfRule type="containsText" dxfId="5" priority="262" operator="containsText" text="СЗЧ">
      <formula>NOT(ISERROR(SEARCH(("СЗЧ"),(U59))))</formula>
    </cfRule>
  </conditionalFormatting>
  <conditionalFormatting sqref="U59 U98 U112 U119 U126 U129 U369 U413 U608 U619 U723:U725 U772">
    <cfRule type="containsText" dxfId="4" priority="263" operator="containsText" text="Відпустка">
      <formula>NOT(ISERROR(SEARCH(("Відпустка"),(U59))))</formula>
    </cfRule>
  </conditionalFormatting>
  <conditionalFormatting sqref="U59 U98 U112 U119 U126 U129 U369 U413 U608 U619 U723:U725 U772">
    <cfRule type="containsText" dxfId="3" priority="264" operator="containsText" text="В строю">
      <formula>NOT(ISERROR(SEARCH(("В строю"),(U59))))</formula>
    </cfRule>
  </conditionalFormatting>
  <conditionalFormatting sqref="N87">
    <cfRule type="expression" dxfId="0" priority="265">
      <formula>COUNTIF(#REF!, N87) &gt; 1</formula>
    </cfRule>
  </conditionalFormatting>
  <conditionalFormatting sqref="U59 U87 U98 U112 U119 U126 U129 U369 U413 U608 U619 U723:U725 U772">
    <cfRule type="containsText" dxfId="10" priority="266" operator="containsText" text="Лікування">
      <formula>NOT(ISERROR(SEARCH(("Лікування"),(U59))))</formula>
    </cfRule>
  </conditionalFormatting>
  <conditionalFormatting sqref="U59 U87 U98 U112 U119 U126 U129 U369 U413 U608 U619 U723:U725 U772">
    <cfRule type="containsText" dxfId="9" priority="267" operator="containsText" text="Загиблі">
      <formula>NOT(ISERROR(SEARCH(("Загиблі"),(U59))))</formula>
    </cfRule>
  </conditionalFormatting>
  <conditionalFormatting sqref="U59 U87 U98 U112 U119 U126 U129 U369 U413 U608 U619 U723:U725 U772">
    <cfRule type="containsText" dxfId="8" priority="268" operator="containsText" text="Відком. за межі ПБ">
      <formula>NOT(ISERROR(SEARCH(("Відком. за межі ПБ"),(U59))))</formula>
    </cfRule>
  </conditionalFormatting>
  <conditionalFormatting sqref="U59 U87 U98 U112 U119 U126 U129 U369 U413 U608 U619 U723:U725 U772">
    <cfRule type="containsText" dxfId="7" priority="269" operator="containsText" text="Від-ні навчання">
      <formula>NOT(ISERROR(SEARCH(("Від-ні навчання"),(U59))))</formula>
    </cfRule>
  </conditionalFormatting>
  <conditionalFormatting sqref="U59 U87 U98 U112 U119 U126 U129 U369 U413 U608 U619 U723:U725 U772">
    <cfRule type="containsText" dxfId="6" priority="270" operator="containsText" text="Зниклі безвісти">
      <formula>NOT(ISERROR(SEARCH(("Зниклі безвісти"),(U59))))</formula>
    </cfRule>
  </conditionalFormatting>
  <conditionalFormatting sqref="U59 U87 U98 U112 U119 U126 U129 U369 U413 U608 U619 U723:U725 U772">
    <cfRule type="containsText" dxfId="5" priority="271" operator="containsText" text="СЗЧ">
      <formula>NOT(ISERROR(SEARCH(("СЗЧ"),(U59))))</formula>
    </cfRule>
  </conditionalFormatting>
  <conditionalFormatting sqref="U59 U87 U98 U112 U119 U126 U129 U369 U413 U608 U619 U723:U725 U772">
    <cfRule type="containsText" dxfId="4" priority="272" operator="containsText" text="Відпустка">
      <formula>NOT(ISERROR(SEARCH(("Відпустка"),(U59))))</formula>
    </cfRule>
  </conditionalFormatting>
  <conditionalFormatting sqref="U59 U87 U98 U112 U119 U126 U129 U369 U413 U608 U619 U723:U725 U772">
    <cfRule type="containsText" dxfId="3" priority="273" operator="containsText" text="В строю">
      <formula>NOT(ISERROR(SEARCH(("В строю"),(U59))))</formula>
    </cfRule>
  </conditionalFormatting>
  <conditionalFormatting sqref="Q87">
    <cfRule type="cellIs" dxfId="9" priority="274" operator="notEqual">
      <formula>P87</formula>
    </cfRule>
  </conditionalFormatting>
  <conditionalFormatting sqref="Q87">
    <cfRule type="cellIs" dxfId="3" priority="275" operator="equal">
      <formula>P87</formula>
    </cfRule>
  </conditionalFormatting>
  <conditionalFormatting sqref="N775">
    <cfRule type="expression" dxfId="0" priority="276">
      <formula>COUNTIF(#REF!, N775) &gt; 1</formula>
    </cfRule>
  </conditionalFormatting>
  <conditionalFormatting sqref="Q182 Q775">
    <cfRule type="cellIs" dxfId="3" priority="277" operator="equal">
      <formula>P182</formula>
    </cfRule>
  </conditionalFormatting>
  <conditionalFormatting sqref="Q182 Q775">
    <cfRule type="cellIs" dxfId="9" priority="278" operator="notEqual">
      <formula>P182</formula>
    </cfRule>
  </conditionalFormatting>
  <conditionalFormatting sqref="U59 U87 U98 U112 U119 U126 U129 U369 U413 U608 U619 U723:U725 U772 U775">
    <cfRule type="containsText" dxfId="10" priority="279" operator="containsText" text="Лікування">
      <formula>NOT(ISERROR(SEARCH(("Лікування"),(U59))))</formula>
    </cfRule>
  </conditionalFormatting>
  <conditionalFormatting sqref="U59 U87 U98 U112 U119 U126 U129 U369 U413 U608 U619 U723:U725 U772 U775">
    <cfRule type="containsText" dxfId="9" priority="280" operator="containsText" text="Загиблі">
      <formula>NOT(ISERROR(SEARCH(("Загиблі"),(U59))))</formula>
    </cfRule>
  </conditionalFormatting>
  <conditionalFormatting sqref="U59 U87 U98 U112 U119 U126 U129 U369 U413 U608 U619 U723:U725 U772 U775">
    <cfRule type="containsText" dxfId="8" priority="281" operator="containsText" text="Відком. за межі ПБ">
      <formula>NOT(ISERROR(SEARCH(("Відком. за межі ПБ"),(U59))))</formula>
    </cfRule>
  </conditionalFormatting>
  <conditionalFormatting sqref="U59 U87 U98 U112 U119 U126 U129 U369 U413 U608 U619 U723:U725 U772 U775">
    <cfRule type="containsText" dxfId="7" priority="282" operator="containsText" text="Від-ні навчання">
      <formula>NOT(ISERROR(SEARCH(("Від-ні навчання"),(U59))))</formula>
    </cfRule>
  </conditionalFormatting>
  <conditionalFormatting sqref="U59 U87 U98 U112 U119 U126 U129 U369 U413 U608 U619 U723:U725 U772 U775">
    <cfRule type="containsText" dxfId="6" priority="283" operator="containsText" text="Зниклі безвісти">
      <formula>NOT(ISERROR(SEARCH(("Зниклі безвісти"),(U59))))</formula>
    </cfRule>
  </conditionalFormatting>
  <conditionalFormatting sqref="U59 U87 U98 U112 U119 U126 U129 U369 U413 U608 U619 U723:U725 U772 U775">
    <cfRule type="containsText" dxfId="5" priority="284" operator="containsText" text="СЗЧ">
      <formula>NOT(ISERROR(SEARCH(("СЗЧ"),(U59))))</formula>
    </cfRule>
  </conditionalFormatting>
  <conditionalFormatting sqref="U59 U87 U98 U112 U119 U126 U129 U369 U413 U608 U619 U723:U725 U772 U775">
    <cfRule type="containsText" dxfId="4" priority="285" operator="containsText" text="Відпустка">
      <formula>NOT(ISERROR(SEARCH(("Відпустка"),(U59))))</formula>
    </cfRule>
  </conditionalFormatting>
  <conditionalFormatting sqref="U59 U87 U98 U112 U119 U126 U129 U369 U413 U608 U619 U723:U725 U772 U775">
    <cfRule type="containsText" dxfId="3" priority="286" operator="containsText" text="В строю">
      <formula>NOT(ISERROR(SEARCH(("В строю"),(U59))))</formula>
    </cfRule>
  </conditionalFormatting>
  <conditionalFormatting sqref="U59 U87 U98 U112 U119 U126 U129 U369 U413 U608 U619 U723:U725 U772 U775">
    <cfRule type="containsText" dxfId="3" priority="287" operator="containsText" text="В строю">
      <formula>NOT(ISERROR(SEARCH(("В строю"),(U59))))</formula>
    </cfRule>
  </conditionalFormatting>
  <conditionalFormatting sqref="U59 U87 U98 U112 U119 U126 U129 U369 U413 U608 U619 U723:U725 U772 U775">
    <cfRule type="containsText" dxfId="4" priority="288" operator="containsText" text="Відпустка">
      <formula>NOT(ISERROR(SEARCH(("Відпустка"),(U59))))</formula>
    </cfRule>
  </conditionalFormatting>
  <conditionalFormatting sqref="U59 U87 U98 U112 U119 U126 U129 U369 U413 U608 U619 U723:U725 U772 U775">
    <cfRule type="containsText" dxfId="5" priority="289" operator="containsText" text="СЗЧ">
      <formula>NOT(ISERROR(SEARCH(("СЗЧ"),(U59))))</formula>
    </cfRule>
  </conditionalFormatting>
  <conditionalFormatting sqref="U59 U87 U98 U112 U119 U126 U129 U369 U413 U608 U619 U723:U725 U772 U775">
    <cfRule type="containsText" dxfId="6" priority="290" operator="containsText" text="Зниклі безвісти">
      <formula>NOT(ISERROR(SEARCH(("Зниклі безвісти"),(U59))))</formula>
    </cfRule>
  </conditionalFormatting>
  <conditionalFormatting sqref="U59 U87 U98 U112 U119 U126 U129 U369 U413 U608 U619 U723:U725 U772 U775">
    <cfRule type="containsText" dxfId="7" priority="291" operator="containsText" text="Від-ні навчання">
      <formula>NOT(ISERROR(SEARCH(("Від-ні навчання"),(U59))))</formula>
    </cfRule>
  </conditionalFormatting>
  <conditionalFormatting sqref="U59 U87 U98 U112 U119 U126 U129 U369 U413 U608 U619 U723:U725 U772 U775">
    <cfRule type="containsText" dxfId="8" priority="292" operator="containsText" text="Відком. за межі ПБ">
      <formula>NOT(ISERROR(SEARCH(("Відком. за межі ПБ"),(U59))))</formula>
    </cfRule>
  </conditionalFormatting>
  <conditionalFormatting sqref="U59 U87 U98 U112 U119 U126 U129 U369 U413 U608 U619 U723:U725 U772 U775">
    <cfRule type="containsText" dxfId="9" priority="293" operator="containsText" text="Загиблі">
      <formula>NOT(ISERROR(SEARCH(("Загиблі"),(U59))))</formula>
    </cfRule>
  </conditionalFormatting>
  <conditionalFormatting sqref="U59 U87 U98 U112 U119 U126 U129 U369 U413 U608 U619 U723:U725 U772 U775">
    <cfRule type="containsText" dxfId="10" priority="294" operator="containsText" text="Лікування">
      <formula>NOT(ISERROR(SEARCH(("Лікування"),(U59))))</formula>
    </cfRule>
  </conditionalFormatting>
  <conditionalFormatting sqref="Q49 Q59 Q114 Q175 Q182 Q208 Q213 Q241 Q490 Q552 Q618 Q621 Q629 Q677">
    <cfRule type="cellIs" dxfId="9" priority="295" operator="notEqual">
      <formula>P49</formula>
    </cfRule>
  </conditionalFormatting>
  <conditionalFormatting sqref="Q49 Q59 Q114 Q175 Q182 Q208 Q213 Q241 Q490 Q552 Q618 Q621 Q629 Q677">
    <cfRule type="cellIs" dxfId="3" priority="296" operator="equal">
      <formula>P49</formula>
    </cfRule>
  </conditionalFormatting>
  <conditionalFormatting sqref="U49 U59 U114:U115 U149 U158 U160:U161 U164 U169 U175:U176 U182:U184 U208 U210 U212:U213 U241 U369 U490 U552 U618:U619 U621 U629 U677">
    <cfRule type="containsText" dxfId="3" priority="297" operator="containsText" text="В строю">
      <formula>NOT(ISERROR(SEARCH(("В строю"),(U49))))</formula>
    </cfRule>
  </conditionalFormatting>
  <conditionalFormatting sqref="U49 U59 U114:U115 U149 U158 U160:U161 U164 U169 U175:U176 U182:U184 U208 U210 U212:U213 U241 U369 U490 U552 U618:U619 U621 U629 U677">
    <cfRule type="containsText" dxfId="4" priority="298" operator="containsText" text="Відпустка">
      <formula>NOT(ISERROR(SEARCH(("Відпустка"),(U49))))</formula>
    </cfRule>
  </conditionalFormatting>
  <conditionalFormatting sqref="U49 U59 U114:U115 U149 U158 U160:U161 U164 U169 U175:U176 U182:U184 U208 U210 U212:U213 U241 U369 U490 U552 U618:U619 U621 U629 U677">
    <cfRule type="containsText" dxfId="5" priority="299" operator="containsText" text="СЗЧ">
      <formula>NOT(ISERROR(SEARCH(("СЗЧ"),(U49))))</formula>
    </cfRule>
  </conditionalFormatting>
  <conditionalFormatting sqref="U49 U59 U114:U115 U149 U158 U160:U161 U164 U169 U175:U176 U182:U184 U208 U210 U212:U213 U241 U369 U490 U552 U618:U619 U621 U629 U677">
    <cfRule type="containsText" dxfId="6" priority="300" operator="containsText" text="Зниклі безвісти">
      <formula>NOT(ISERROR(SEARCH(("Зниклі безвісти"),(U49))))</formula>
    </cfRule>
  </conditionalFormatting>
  <conditionalFormatting sqref="U49 U59 U114:U115 U149 U158 U160:U161 U164 U169 U175:U176 U182:U184 U208 U210 U212:U213 U241 U369 U490 U552 U618:U619 U621 U629 U677">
    <cfRule type="containsText" dxfId="7" priority="301" operator="containsText" text="Від-ні навчання">
      <formula>NOT(ISERROR(SEARCH(("Від-ні навчання"),(U49))))</formula>
    </cfRule>
  </conditionalFormatting>
  <conditionalFormatting sqref="U49 U59 U114:U115 U149 U158 U160:U161 U164 U169 U175:U176 U182:U184 U208 U210 U212:U213 U241 U369 U490 U552 U618:U619 U621 U629 U677">
    <cfRule type="containsText" dxfId="8" priority="302" operator="containsText" text="Відком. за межі ПБ">
      <formula>NOT(ISERROR(SEARCH(("Відком. за межі ПБ"),(U49))))</formula>
    </cfRule>
  </conditionalFormatting>
  <conditionalFormatting sqref="U49 U59 U114:U115 U149 U158 U160:U161 U164 U169 U175:U176 U182:U184 U208 U210 U212:U213 U241 U369 U490 U552 U618:U619 U621 U629 U677">
    <cfRule type="containsText" dxfId="9" priority="303" operator="containsText" text="Загиблі">
      <formula>NOT(ISERROR(SEARCH(("Загиблі"),(U49))))</formula>
    </cfRule>
  </conditionalFormatting>
  <conditionalFormatting sqref="U49 U59 U114:U115 U149 U158 U160:U161 U164 U169 U175:U176 U182:U184 U208 U210 U212:U213 U241 U369 U490 U552 U618:U619 U621 U629 U677">
    <cfRule type="containsText" dxfId="10" priority="304" operator="containsText" text="Лікування">
      <formula>NOT(ISERROR(SEARCH(("Лікування"),(U49))))</formula>
    </cfRule>
  </conditionalFormatting>
  <conditionalFormatting sqref="U49 U59 U114:U115 U149 U158 U160:U161 U164 U169 U175:U176 U182:U184 U208 U210 U212:U213 U241 U369 U490 U552 U618:U619 U621 U629 U677">
    <cfRule type="containsText" dxfId="10" priority="305" operator="containsText" text="Лікування">
      <formula>NOT(ISERROR(SEARCH(("Лікування"),(U49))))</formula>
    </cfRule>
  </conditionalFormatting>
  <conditionalFormatting sqref="U49 U59 U114:U115 U149 U158 U160:U161 U164 U169 U175:U176 U182:U184 U208 U210 U212:U213 U241 U369 U490 U552 U618:U619 U621 U629 U677">
    <cfRule type="containsText" dxfId="9" priority="306" operator="containsText" text="Загиблі">
      <formula>NOT(ISERROR(SEARCH(("Загиблі"),(U49))))</formula>
    </cfRule>
  </conditionalFormatting>
  <conditionalFormatting sqref="U49 U59 U114:U115 U149 U158 U160:U161 U164 U169 U175:U176 U182:U184 U208 U210 U212:U213 U241 U369 U490 U552 U618:U619 U621 U629 U677">
    <cfRule type="containsText" dxfId="8" priority="307" operator="containsText" text="Відком. за межі ПБ">
      <formula>NOT(ISERROR(SEARCH(("Відком. за межі ПБ"),(U49))))</formula>
    </cfRule>
  </conditionalFormatting>
  <conditionalFormatting sqref="U49 U59 U114:U115 U149 U158 U160:U161 U164 U169 U175:U176 U182:U184 U208 U210 U212:U213 U241 U369 U490 U552 U618:U619 U621 U629 U677">
    <cfRule type="containsText" dxfId="7" priority="308" operator="containsText" text="Від-ні навчання">
      <formula>NOT(ISERROR(SEARCH(("Від-ні навчання"),(U49))))</formula>
    </cfRule>
  </conditionalFormatting>
  <conditionalFormatting sqref="U49 U59 U114:U115 U149 U158 U160:U161 U164 U169 U175:U176 U182:U184 U208 U210 U212:U213 U241 U369 U490 U552 U618:U619 U621 U629 U677">
    <cfRule type="containsText" dxfId="6" priority="309" operator="containsText" text="Зниклі безвісти">
      <formula>NOT(ISERROR(SEARCH(("Зниклі безвісти"),(U49))))</formula>
    </cfRule>
  </conditionalFormatting>
  <conditionalFormatting sqref="U49 U59 U114:U115 U149 U158 U160:U161 U164 U169 U175:U176 U182:U184 U208 U210 U212:U213 U241 U369 U490 U552 U618:U619 U621 U629 U677">
    <cfRule type="containsText" dxfId="5" priority="310" operator="containsText" text="СЗЧ">
      <formula>NOT(ISERROR(SEARCH(("СЗЧ"),(U49))))</formula>
    </cfRule>
  </conditionalFormatting>
  <conditionalFormatting sqref="U49 U59 U114:U115 U149 U158 U160:U161 U164 U169 U175:U176 U182:U184 U208 U210 U212:U213 U241 U369 U490 U552 U618:U619 U621 U629 U677">
    <cfRule type="containsText" dxfId="4" priority="311" operator="containsText" text="Відпустка">
      <formula>NOT(ISERROR(SEARCH(("Відпустка"),(U49))))</formula>
    </cfRule>
  </conditionalFormatting>
  <conditionalFormatting sqref="U49 U59 U114:U115 U149 U158 U160:U161 U164 U169 U175:U176 U182:U184 U208 U210 U212:U213 U241 U369 U490 U552 U618:U619 U621 U629 U677">
    <cfRule type="containsText" dxfId="3" priority="312" operator="containsText" text="В строю">
      <formula>NOT(ISERROR(SEARCH(("В строю"),(U49))))</formula>
    </cfRule>
  </conditionalFormatting>
  <conditionalFormatting sqref="N49 N87 N114 N175 N182 N213 N241 N490 N552 N618 N621 N629 N677">
    <cfRule type="expression" dxfId="0" priority="313">
      <formula>COUNTIF(#REF!, N49) &gt; 1</formula>
    </cfRule>
  </conditionalFormatting>
  <conditionalFormatting sqref="U98 U776">
    <cfRule type="containsText" dxfId="3" priority="314" operator="containsText" text="В строю">
      <formula>NOT(ISERROR(SEARCH(("В строю"),(U98))))</formula>
    </cfRule>
  </conditionalFormatting>
  <conditionalFormatting sqref="U98 U776">
    <cfRule type="containsText" dxfId="4" priority="315" operator="containsText" text="Відпустка">
      <formula>NOT(ISERROR(SEARCH(("Відпустка"),(U98))))</formula>
    </cfRule>
  </conditionalFormatting>
  <conditionalFormatting sqref="U98 U776">
    <cfRule type="containsText" dxfId="5" priority="316" operator="containsText" text="СЗЧ">
      <formula>NOT(ISERROR(SEARCH(("СЗЧ"),(U98))))</formula>
    </cfRule>
  </conditionalFormatting>
  <conditionalFormatting sqref="U98 U776">
    <cfRule type="containsText" dxfId="6" priority="317" operator="containsText" text="Зниклі безвісти">
      <formula>NOT(ISERROR(SEARCH(("Зниклі безвісти"),(U98))))</formula>
    </cfRule>
  </conditionalFormatting>
  <conditionalFormatting sqref="U98 U776">
    <cfRule type="containsText" dxfId="7" priority="318" operator="containsText" text="Від-ні навчання">
      <formula>NOT(ISERROR(SEARCH(("Від-ні навчання"),(U98))))</formula>
    </cfRule>
  </conditionalFormatting>
  <conditionalFormatting sqref="U98 U776">
    <cfRule type="containsText" dxfId="8" priority="319" operator="containsText" text="Відком. за межі ПБ">
      <formula>NOT(ISERROR(SEARCH(("Відком. за межі ПБ"),(U98))))</formula>
    </cfRule>
  </conditionalFormatting>
  <conditionalFormatting sqref="U98 U776">
    <cfRule type="containsText" dxfId="9" priority="320" operator="containsText" text="Загиблі">
      <formula>NOT(ISERROR(SEARCH(("Загиблі"),(U98))))</formula>
    </cfRule>
  </conditionalFormatting>
  <conditionalFormatting sqref="U98 U776">
    <cfRule type="containsText" dxfId="10" priority="321" operator="containsText" text="Лікування">
      <formula>NOT(ISERROR(SEARCH(("Лікування"),(U98))))</formula>
    </cfRule>
  </conditionalFormatting>
  <conditionalFormatting sqref="U98 U776">
    <cfRule type="containsText" dxfId="10" priority="322" operator="containsText" text="Лікування">
      <formula>NOT(ISERROR(SEARCH(("Лікування"),(U98))))</formula>
    </cfRule>
  </conditionalFormatting>
  <conditionalFormatting sqref="U98 U776">
    <cfRule type="containsText" dxfId="9" priority="323" operator="containsText" text="Загиблі">
      <formula>NOT(ISERROR(SEARCH(("Загиблі"),(U98))))</formula>
    </cfRule>
  </conditionalFormatting>
  <conditionalFormatting sqref="U98 U776">
    <cfRule type="containsText" dxfId="8" priority="324" operator="containsText" text="Відком. за межі ПБ">
      <formula>NOT(ISERROR(SEARCH(("Відком. за межі ПБ"),(U98))))</formula>
    </cfRule>
  </conditionalFormatting>
  <conditionalFormatting sqref="U98 U776">
    <cfRule type="containsText" dxfId="7" priority="325" operator="containsText" text="Від-ні навчання">
      <formula>NOT(ISERROR(SEARCH(("Від-ні навчання"),(U98))))</formula>
    </cfRule>
  </conditionalFormatting>
  <conditionalFormatting sqref="U98 U776">
    <cfRule type="containsText" dxfId="6" priority="326" operator="containsText" text="Зниклі безвісти">
      <formula>NOT(ISERROR(SEARCH(("Зниклі безвісти"),(U98))))</formula>
    </cfRule>
  </conditionalFormatting>
  <conditionalFormatting sqref="U98 U776">
    <cfRule type="containsText" dxfId="5" priority="327" operator="containsText" text="СЗЧ">
      <formula>NOT(ISERROR(SEARCH(("СЗЧ"),(U98))))</formula>
    </cfRule>
  </conditionalFormatting>
  <conditionalFormatting sqref="U98 U776">
    <cfRule type="containsText" dxfId="4" priority="328" operator="containsText" text="Відпустка">
      <formula>NOT(ISERROR(SEARCH(("Відпустка"),(U98))))</formula>
    </cfRule>
  </conditionalFormatting>
  <conditionalFormatting sqref="U98 U776">
    <cfRule type="containsText" dxfId="3" priority="329" operator="containsText" text="В строю">
      <formula>NOT(ISERROR(SEARCH(("В строю"),(U98))))</formula>
    </cfRule>
  </conditionalFormatting>
  <conditionalFormatting sqref="Q776">
    <cfRule type="cellIs" dxfId="9" priority="330" operator="notEqual">
      <formula>P776</formula>
    </cfRule>
  </conditionalFormatting>
  <conditionalFormatting sqref="Q776">
    <cfRule type="cellIs" dxfId="3" priority="331" operator="equal">
      <formula>P776</formula>
    </cfRule>
  </conditionalFormatting>
  <conditionalFormatting sqref="N776">
    <cfRule type="expression" dxfId="0" priority="332">
      <formula>COUNTIF(#REF!, N776) &gt; 1</formula>
    </cfRule>
  </conditionalFormatting>
  <conditionalFormatting sqref="Q777">
    <cfRule type="cellIs" dxfId="9" priority="333" operator="notEqual">
      <formula>P777</formula>
    </cfRule>
  </conditionalFormatting>
  <conditionalFormatting sqref="Q777">
    <cfRule type="cellIs" dxfId="3" priority="334" operator="equal">
      <formula>P777</formula>
    </cfRule>
  </conditionalFormatting>
  <conditionalFormatting sqref="N777">
    <cfRule type="expression" dxfId="0" priority="335">
      <formula>COUNTIF(#REF!, N777) &gt; 1</formula>
    </cfRule>
  </conditionalFormatting>
  <conditionalFormatting sqref="N777:O777">
    <cfRule type="expression" dxfId="0" priority="336">
      <formula>COUNTIF(#REF!, N777) &gt; 1</formula>
    </cfRule>
  </conditionalFormatting>
  <conditionalFormatting sqref="U49 U59 U98 U114:U115 U149 U158 U160:U161 U164 U169 U175:U176 U182:U184 U208 U210 U212:U213 U241 U369 U490 U552 U618:U619 U621 U629 U677 U776:U777">
    <cfRule type="containsText" dxfId="10" priority="337" operator="containsText" text="Лікування">
      <formula>NOT(ISERROR(SEARCH(("Лікування"),(U49))))</formula>
    </cfRule>
  </conditionalFormatting>
  <conditionalFormatting sqref="U49 U59 U98 U114:U115 U149 U158 U160:U161 U164 U169 U175:U176 U182:U184 U208 U210 U212:U213 U241 U369 U490 U552 U618:U619 U621 U629 U677 U776:U777">
    <cfRule type="containsText" dxfId="9" priority="338" operator="containsText" text="Загиблі">
      <formula>NOT(ISERROR(SEARCH(("Загиблі"),(U49))))</formula>
    </cfRule>
  </conditionalFormatting>
  <conditionalFormatting sqref="U49 U59 U98 U114:U115 U149 U158 U160:U161 U164 U169 U175:U176 U182:U184 U208 U210 U212:U213 U241 U369 U490 U552 U618:U619 U621 U629 U677 U776:U777">
    <cfRule type="containsText" dxfId="8" priority="339" operator="containsText" text="Відком. за межі ПБ">
      <formula>NOT(ISERROR(SEARCH(("Відком. за межі ПБ"),(U49))))</formula>
    </cfRule>
  </conditionalFormatting>
  <conditionalFormatting sqref="U49 U59 U98 U114:U115 U149 U158 U160:U161 U164 U169 U175:U176 U182:U184 U208 U210 U212:U213 U241 U369 U490 U552 U618:U619 U621 U629 U677 U776:U777">
    <cfRule type="containsText" dxfId="7" priority="340" operator="containsText" text="Від-ні навчання">
      <formula>NOT(ISERROR(SEARCH(("Від-ні навчання"),(U49))))</formula>
    </cfRule>
  </conditionalFormatting>
  <conditionalFormatting sqref="U49 U59 U98 U114:U115 U149 U158 U160:U161 U164 U169 U175:U176 U182:U184 U208 U210 U212:U213 U241 U369 U490 U552 U618:U619 U621 U629 U677 U776:U777">
    <cfRule type="containsText" dxfId="6" priority="341" operator="containsText" text="Зниклі безвісти">
      <formula>NOT(ISERROR(SEARCH(("Зниклі безвісти"),(U49))))</formula>
    </cfRule>
  </conditionalFormatting>
  <conditionalFormatting sqref="U49 U59 U98 U114:U115 U149 U158 U160:U161 U164 U169 U175:U176 U182:U184 U208 U210 U212:U213 U241 U369 U490 U552 U618:U619 U621 U629 U677 U776:U777">
    <cfRule type="containsText" dxfId="5" priority="342" operator="containsText" text="СЗЧ">
      <formula>NOT(ISERROR(SEARCH(("СЗЧ"),(U49))))</formula>
    </cfRule>
  </conditionalFormatting>
  <conditionalFormatting sqref="U49 U59 U98 U114:U115 U149 U158 U160:U161 U164 U169 U175:U176 U182:U184 U208 U210 U212:U213 U241 U369 U490 U552 U618:U619 U621 U629 U677 U776:U777">
    <cfRule type="containsText" dxfId="4" priority="343" operator="containsText" text="Відпустка">
      <formula>NOT(ISERROR(SEARCH(("Відпустка"),(U49))))</formula>
    </cfRule>
  </conditionalFormatting>
  <conditionalFormatting sqref="U49 U59 U98 U114:U115 U149 U158 U160:U161 U164 U169 U175:U176 U182:U184 U208 U210 U212:U213 U241 U369 U490 U552 U618:U619 U621 U629 U677 U776:U777">
    <cfRule type="containsText" dxfId="3" priority="344" operator="containsText" text="В строю">
      <formula>NOT(ISERROR(SEARCH(("В строю"),(U49))))</formula>
    </cfRule>
  </conditionalFormatting>
  <conditionalFormatting sqref="U392 U430">
    <cfRule type="containsText" dxfId="10" priority="345" operator="containsText" text="Лікування">
      <formula>NOT(ISERROR(SEARCH(("Лікування"),(U392))))</formula>
    </cfRule>
  </conditionalFormatting>
  <conditionalFormatting sqref="U392 U430">
    <cfRule type="containsText" dxfId="9" priority="346" operator="containsText" text="Загиблі">
      <formula>NOT(ISERROR(SEARCH(("Загиблі"),(U392))))</formula>
    </cfRule>
  </conditionalFormatting>
  <conditionalFormatting sqref="U392 U430">
    <cfRule type="containsText" dxfId="8" priority="347" operator="containsText" text="Відком. за межі ПБ">
      <formula>NOT(ISERROR(SEARCH(("Відком. за межі ПБ"),(U392))))</formula>
    </cfRule>
  </conditionalFormatting>
  <conditionalFormatting sqref="U392 U430">
    <cfRule type="containsText" dxfId="7" priority="348" operator="containsText" text="Від-ні навчання">
      <formula>NOT(ISERROR(SEARCH(("Від-ні навчання"),(U392))))</formula>
    </cfRule>
  </conditionalFormatting>
  <conditionalFormatting sqref="U392 U430">
    <cfRule type="containsText" dxfId="6" priority="349" operator="containsText" text="Зниклі безвісти">
      <formula>NOT(ISERROR(SEARCH(("Зниклі безвісти"),(U392))))</formula>
    </cfRule>
  </conditionalFormatting>
  <conditionalFormatting sqref="U392 U430">
    <cfRule type="containsText" dxfId="5" priority="350" operator="containsText" text="СЗЧ">
      <formula>NOT(ISERROR(SEARCH(("СЗЧ"),(U392))))</formula>
    </cfRule>
  </conditionalFormatting>
  <conditionalFormatting sqref="U392 U430">
    <cfRule type="containsText" dxfId="4" priority="351" operator="containsText" text="Відпустка">
      <formula>NOT(ISERROR(SEARCH(("Відпустка"),(U392))))</formula>
    </cfRule>
  </conditionalFormatting>
  <conditionalFormatting sqref="U392 U430">
    <cfRule type="containsText" dxfId="3" priority="352" operator="containsText" text="В строю">
      <formula>NOT(ISERROR(SEARCH(("В строю"),(U392))))</formula>
    </cfRule>
  </conditionalFormatting>
  <conditionalFormatting sqref="Q392 Q430">
    <cfRule type="cellIs" dxfId="9" priority="353" operator="notEqual">
      <formula>P392</formula>
    </cfRule>
  </conditionalFormatting>
  <conditionalFormatting sqref="Q392 Q430">
    <cfRule type="cellIs" dxfId="3" priority="354" operator="equal">
      <formula>P392</formula>
    </cfRule>
  </conditionalFormatting>
  <conditionalFormatting sqref="N392 N430">
    <cfRule type="expression" dxfId="0" priority="355">
      <formula>COUNTIF(#REF!, N392) &gt; 1</formula>
    </cfRule>
  </conditionalFormatting>
  <conditionalFormatting sqref="N389">
    <cfRule type="expression" dxfId="0" priority="356">
      <formula>COUNTIF(#REF!, N389) &gt; 1</formula>
    </cfRule>
  </conditionalFormatting>
  <conditionalFormatting sqref="Q389 Q603">
    <cfRule type="cellIs" dxfId="9" priority="357" operator="notEqual">
      <formula>P389</formula>
    </cfRule>
  </conditionalFormatting>
  <conditionalFormatting sqref="Q389 Q603">
    <cfRule type="cellIs" dxfId="3" priority="358" operator="equal">
      <formula>P389</formula>
    </cfRule>
  </conditionalFormatting>
  <conditionalFormatting sqref="U389">
    <cfRule type="containsText" dxfId="10" priority="359" operator="containsText" text="Лікування">
      <formula>NOT(ISERROR(SEARCH(("Лікування"),(U389))))</formula>
    </cfRule>
  </conditionalFormatting>
  <conditionalFormatting sqref="U389">
    <cfRule type="containsText" dxfId="9" priority="360" operator="containsText" text="Загиблі">
      <formula>NOT(ISERROR(SEARCH(("Загиблі"),(U389))))</formula>
    </cfRule>
  </conditionalFormatting>
  <conditionalFormatting sqref="U389">
    <cfRule type="containsText" dxfId="8" priority="361" operator="containsText" text="Відком. за межі ПБ">
      <formula>NOT(ISERROR(SEARCH(("Відком. за межі ПБ"),(U389))))</formula>
    </cfRule>
  </conditionalFormatting>
  <conditionalFormatting sqref="U389">
    <cfRule type="containsText" dxfId="7" priority="362" operator="containsText" text="Від-ні навчання">
      <formula>NOT(ISERROR(SEARCH(("Від-ні навчання"),(U389))))</formula>
    </cfRule>
  </conditionalFormatting>
  <conditionalFormatting sqref="U389">
    <cfRule type="containsText" dxfId="6" priority="363" operator="containsText" text="Зниклі безвісти">
      <formula>NOT(ISERROR(SEARCH(("Зниклі безвісти"),(U389))))</formula>
    </cfRule>
  </conditionalFormatting>
  <conditionalFormatting sqref="U389">
    <cfRule type="containsText" dxfId="5" priority="364" operator="containsText" text="СЗЧ">
      <formula>NOT(ISERROR(SEARCH(("СЗЧ"),(U389))))</formula>
    </cfRule>
  </conditionalFormatting>
  <conditionalFormatting sqref="U389">
    <cfRule type="containsText" dxfId="4" priority="365" operator="containsText" text="Відпустка">
      <formula>NOT(ISERROR(SEARCH(("Відпустка"),(U389))))</formula>
    </cfRule>
  </conditionalFormatting>
  <conditionalFormatting sqref="U389">
    <cfRule type="containsText" dxfId="3" priority="366" operator="containsText" text="В строю">
      <formula>NOT(ISERROR(SEARCH(("В строю"),(U389))))</formula>
    </cfRule>
  </conditionalFormatting>
  <conditionalFormatting sqref="U389">
    <cfRule type="containsText" dxfId="3" priority="367" operator="containsText" text="В строю">
      <formula>NOT(ISERROR(SEARCH(("В строю"),(U389))))</formula>
    </cfRule>
  </conditionalFormatting>
  <conditionalFormatting sqref="U389">
    <cfRule type="containsText" dxfId="4" priority="368" operator="containsText" text="Відпустка">
      <formula>NOT(ISERROR(SEARCH(("Відпустка"),(U389))))</formula>
    </cfRule>
  </conditionalFormatting>
  <conditionalFormatting sqref="U389">
    <cfRule type="containsText" dxfId="5" priority="369" operator="containsText" text="СЗЧ">
      <formula>NOT(ISERROR(SEARCH(("СЗЧ"),(U389))))</formula>
    </cfRule>
  </conditionalFormatting>
  <conditionalFormatting sqref="U389">
    <cfRule type="containsText" dxfId="6" priority="370" operator="containsText" text="Зниклі безвісти">
      <formula>NOT(ISERROR(SEARCH(("Зниклі безвісти"),(U389))))</formula>
    </cfRule>
  </conditionalFormatting>
  <conditionalFormatting sqref="U389">
    <cfRule type="containsText" dxfId="7" priority="371" operator="containsText" text="Від-ні навчання">
      <formula>NOT(ISERROR(SEARCH(("Від-ні навчання"),(U389))))</formula>
    </cfRule>
  </conditionalFormatting>
  <conditionalFormatting sqref="U389">
    <cfRule type="containsText" dxfId="8" priority="372" operator="containsText" text="Відком. за межі ПБ">
      <formula>NOT(ISERROR(SEARCH(("Відком. за межі ПБ"),(U389))))</formula>
    </cfRule>
  </conditionalFormatting>
  <conditionalFormatting sqref="U389">
    <cfRule type="containsText" dxfId="9" priority="373" operator="containsText" text="Загиблі">
      <formula>NOT(ISERROR(SEARCH(("Загиблі"),(U389))))</formula>
    </cfRule>
  </conditionalFormatting>
  <conditionalFormatting sqref="U389">
    <cfRule type="containsText" dxfId="10" priority="374" operator="containsText" text="Лікування">
      <formula>NOT(ISERROR(SEARCH(("Лікування"),(U389))))</formula>
    </cfRule>
  </conditionalFormatting>
  <conditionalFormatting sqref="N600">
    <cfRule type="expression" dxfId="0" priority="375">
      <formula>COUNTIF(#REF!, N600) &gt; 1</formula>
    </cfRule>
  </conditionalFormatting>
  <conditionalFormatting sqref="Q600">
    <cfRule type="cellIs" dxfId="9" priority="376" operator="notEqual">
      <formula>P600</formula>
    </cfRule>
  </conditionalFormatting>
  <conditionalFormatting sqref="Q600">
    <cfRule type="cellIs" dxfId="3" priority="377" operator="equal">
      <formula>P600</formula>
    </cfRule>
  </conditionalFormatting>
  <conditionalFormatting sqref="U295 U389 U600 U603">
    <cfRule type="containsText" dxfId="10" priority="378" operator="containsText" text="Лікування">
      <formula>NOT(ISERROR(SEARCH(("Лікування"),(U295))))</formula>
    </cfRule>
  </conditionalFormatting>
  <conditionalFormatting sqref="U295 U389 U600 U603">
    <cfRule type="containsText" dxfId="9" priority="379" operator="containsText" text="Загиблі">
      <formula>NOT(ISERROR(SEARCH(("Загиблі"),(U295))))</formula>
    </cfRule>
  </conditionalFormatting>
  <conditionalFormatting sqref="U295 U389 U600 U603">
    <cfRule type="containsText" dxfId="8" priority="380" operator="containsText" text="Відком. за межі ПБ">
      <formula>NOT(ISERROR(SEARCH(("Відком. за межі ПБ"),(U295))))</formula>
    </cfRule>
  </conditionalFormatting>
  <conditionalFormatting sqref="U295 U389 U600 U603">
    <cfRule type="containsText" dxfId="7" priority="381" operator="containsText" text="Від-ні навчання">
      <formula>NOT(ISERROR(SEARCH(("Від-ні навчання"),(U295))))</formula>
    </cfRule>
  </conditionalFormatting>
  <conditionalFormatting sqref="U295 U389 U600 U603">
    <cfRule type="containsText" dxfId="6" priority="382" operator="containsText" text="Зниклі безвісти">
      <formula>NOT(ISERROR(SEARCH(("Зниклі безвісти"),(U295))))</formula>
    </cfRule>
  </conditionalFormatting>
  <conditionalFormatting sqref="U295 U389 U600 U603">
    <cfRule type="containsText" dxfId="5" priority="383" operator="containsText" text="СЗЧ">
      <formula>NOT(ISERROR(SEARCH(("СЗЧ"),(U295))))</formula>
    </cfRule>
  </conditionalFormatting>
  <conditionalFormatting sqref="U295 U389 U600 U603">
    <cfRule type="containsText" dxfId="4" priority="384" operator="containsText" text="Відпустка">
      <formula>NOT(ISERROR(SEARCH(("Відпустка"),(U295))))</formula>
    </cfRule>
  </conditionalFormatting>
  <conditionalFormatting sqref="U295 U389 U600 U603">
    <cfRule type="containsText" dxfId="3" priority="385" operator="containsText" text="В строю">
      <formula>NOT(ISERROR(SEARCH(("В строю"),(U295))))</formula>
    </cfRule>
  </conditionalFormatting>
  <conditionalFormatting sqref="N600">
    <cfRule type="expression" dxfId="0" priority="386">
      <formula>COUNTIF(#REF!, N600) &gt; 1</formula>
    </cfRule>
  </conditionalFormatting>
  <conditionalFormatting sqref="T254:U254">
    <cfRule type="containsText" dxfId="3" priority="387" operator="containsText" text="В строю">
      <formula>NOT(ISERROR(SEARCH(("В строю"),(T254))))</formula>
    </cfRule>
  </conditionalFormatting>
  <conditionalFormatting sqref="T254:U254">
    <cfRule type="containsText" dxfId="4" priority="388" operator="containsText" text="Відпустка">
      <formula>NOT(ISERROR(SEARCH(("Відпустка"),(T254))))</formula>
    </cfRule>
  </conditionalFormatting>
  <conditionalFormatting sqref="T254:U254">
    <cfRule type="containsText" dxfId="5" priority="389" operator="containsText" text="СЗЧ">
      <formula>NOT(ISERROR(SEARCH(("СЗЧ"),(T254))))</formula>
    </cfRule>
  </conditionalFormatting>
  <conditionalFormatting sqref="T254:U254">
    <cfRule type="containsText" dxfId="6" priority="390" operator="containsText" text="Зниклі безвісти">
      <formula>NOT(ISERROR(SEARCH(("Зниклі безвісти"),(T254))))</formula>
    </cfRule>
  </conditionalFormatting>
  <conditionalFormatting sqref="T254:U254">
    <cfRule type="containsText" dxfId="7" priority="391" operator="containsText" text="Від-ні навчання">
      <formula>NOT(ISERROR(SEARCH(("Від-ні навчання"),(T254))))</formula>
    </cfRule>
  </conditionalFormatting>
  <conditionalFormatting sqref="T254:U254">
    <cfRule type="containsText" dxfId="8" priority="392" operator="containsText" text="Відком. за межі ПБ">
      <formula>NOT(ISERROR(SEARCH(("Відком. за межі ПБ"),(T254))))</formula>
    </cfRule>
  </conditionalFormatting>
  <conditionalFormatting sqref="T254:U254">
    <cfRule type="containsText" dxfId="9" priority="393" operator="containsText" text="Загиблі">
      <formula>NOT(ISERROR(SEARCH(("Загиблі"),(T254))))</formula>
    </cfRule>
  </conditionalFormatting>
  <conditionalFormatting sqref="T254:U254">
    <cfRule type="containsText" dxfId="10" priority="394" operator="containsText" text="Лікування">
      <formula>NOT(ISERROR(SEARCH(("Лікування"),(T254))))</formula>
    </cfRule>
  </conditionalFormatting>
  <conditionalFormatting sqref="P254">
    <cfRule type="expression" dxfId="0" priority="395">
      <formula>COUNTIF(#REF!, P254) &gt; 1</formula>
    </cfRule>
  </conditionalFormatting>
  <conditionalFormatting sqref="N254">
    <cfRule type="expression" dxfId="0" priority="396">
      <formula>COUNTIF(#REF!, N254) &gt; 1</formula>
    </cfRule>
  </conditionalFormatting>
  <conditionalFormatting sqref="N254">
    <cfRule type="expression" dxfId="0" priority="397">
      <formula>COUNTIF(#REF!, N254) &gt; 1</formula>
    </cfRule>
  </conditionalFormatting>
  <conditionalFormatting sqref="Q254">
    <cfRule type="cellIs" dxfId="3" priority="398" operator="equal">
      <formula>P254</formula>
    </cfRule>
  </conditionalFormatting>
  <conditionalFormatting sqref="Q254">
    <cfRule type="cellIs" dxfId="9" priority="399" operator="notEqual">
      <formula>P254</formula>
    </cfRule>
  </conditionalFormatting>
  <conditionalFormatting sqref="N41 M47:O47">
    <cfRule type="expression" dxfId="0" priority="400">
      <formula>COUNTIF(#REF!, N41) &gt; 1</formula>
    </cfRule>
  </conditionalFormatting>
  <conditionalFormatting sqref="U41 U47">
    <cfRule type="containsText" dxfId="3" priority="401" operator="containsText" text="В строю">
      <formula>NOT(ISERROR(SEARCH(("В строю"),(U41))))</formula>
    </cfRule>
  </conditionalFormatting>
  <conditionalFormatting sqref="U41 U47">
    <cfRule type="containsText" dxfId="4" priority="402" operator="containsText" text="Відпустка">
      <formula>NOT(ISERROR(SEARCH(("Відпустка"),(U41))))</formula>
    </cfRule>
  </conditionalFormatting>
  <conditionalFormatting sqref="U41 U47">
    <cfRule type="containsText" dxfId="5" priority="403" operator="containsText" text="СЗЧ">
      <formula>NOT(ISERROR(SEARCH(("СЗЧ"),(U41))))</formula>
    </cfRule>
  </conditionalFormatting>
  <conditionalFormatting sqref="U41 U47">
    <cfRule type="containsText" dxfId="6" priority="404" operator="containsText" text="Зниклі безвісти">
      <formula>NOT(ISERROR(SEARCH(("Зниклі безвісти"),(U41))))</formula>
    </cfRule>
  </conditionalFormatting>
  <conditionalFormatting sqref="U41 U47">
    <cfRule type="containsText" dxfId="7" priority="405" operator="containsText" text="Від-ні навчання">
      <formula>NOT(ISERROR(SEARCH(("Від-ні навчання"),(U41))))</formula>
    </cfRule>
  </conditionalFormatting>
  <conditionalFormatting sqref="U41 U47">
    <cfRule type="containsText" dxfId="8" priority="406" operator="containsText" text="Відком. за межі ПБ">
      <formula>NOT(ISERROR(SEARCH(("Відком. за межі ПБ"),(U41))))</formula>
    </cfRule>
  </conditionalFormatting>
  <conditionalFormatting sqref="U41 U47">
    <cfRule type="containsText" dxfId="9" priority="407" operator="containsText" text="Загиблі">
      <formula>NOT(ISERROR(SEARCH(("Загиблі"),(U41))))</formula>
    </cfRule>
  </conditionalFormatting>
  <conditionalFormatting sqref="U41 U47">
    <cfRule type="containsText" dxfId="10" priority="408" operator="containsText" text="Лікування">
      <formula>NOT(ISERROR(SEARCH(("Лікування"),(U41))))</formula>
    </cfRule>
  </conditionalFormatting>
  <conditionalFormatting sqref="Q41">
    <cfRule type="cellIs" dxfId="3" priority="409" operator="equal">
      <formula>P41</formula>
    </cfRule>
  </conditionalFormatting>
  <conditionalFormatting sqref="Q41">
    <cfRule type="cellIs" dxfId="9" priority="410" operator="notEqual">
      <formula>P41</formula>
    </cfRule>
  </conditionalFormatting>
  <conditionalFormatting sqref="N699">
    <cfRule type="expression" dxfId="0" priority="411">
      <formula>COUNTIF(#REF!, N699) &gt; 1</formula>
    </cfRule>
  </conditionalFormatting>
  <conditionalFormatting sqref="U699">
    <cfRule type="containsText" dxfId="3" priority="412" operator="containsText" text="В строю">
      <formula>NOT(ISERROR(SEARCH(("В строю"),(U699))))</formula>
    </cfRule>
  </conditionalFormatting>
  <conditionalFormatting sqref="U699">
    <cfRule type="containsText" dxfId="4" priority="413" operator="containsText" text="Відпустка">
      <formula>NOT(ISERROR(SEARCH(("Відпустка"),(U699))))</formula>
    </cfRule>
  </conditionalFormatting>
  <conditionalFormatting sqref="U699">
    <cfRule type="containsText" dxfId="5" priority="414" operator="containsText" text="СЗЧ">
      <formula>NOT(ISERROR(SEARCH(("СЗЧ"),(U699))))</formula>
    </cfRule>
  </conditionalFormatting>
  <conditionalFormatting sqref="U699">
    <cfRule type="containsText" dxfId="6" priority="415" operator="containsText" text="Зниклі безвісти">
      <formula>NOT(ISERROR(SEARCH(("Зниклі безвісти"),(U699))))</formula>
    </cfRule>
  </conditionalFormatting>
  <conditionalFormatting sqref="U699">
    <cfRule type="containsText" dxfId="7" priority="416" operator="containsText" text="Від-ні навчання">
      <formula>NOT(ISERROR(SEARCH(("Від-ні навчання"),(U699))))</formula>
    </cfRule>
  </conditionalFormatting>
  <conditionalFormatting sqref="U699">
    <cfRule type="containsText" dxfId="8" priority="417" operator="containsText" text="Відком. за межі ПБ">
      <formula>NOT(ISERROR(SEARCH(("Відком. за межі ПБ"),(U699))))</formula>
    </cfRule>
  </conditionalFormatting>
  <conditionalFormatting sqref="U699">
    <cfRule type="containsText" dxfId="9" priority="418" operator="containsText" text="Загиблі">
      <formula>NOT(ISERROR(SEARCH(("Загиблі"),(U699))))</formula>
    </cfRule>
  </conditionalFormatting>
  <conditionalFormatting sqref="U699">
    <cfRule type="containsText" dxfId="10" priority="419" operator="containsText" text="Лікування">
      <formula>NOT(ISERROR(SEARCH(("Лікування"),(U699))))</formula>
    </cfRule>
  </conditionalFormatting>
  <conditionalFormatting sqref="Q699">
    <cfRule type="cellIs" dxfId="3" priority="420" operator="equal">
      <formula>P699</formula>
    </cfRule>
  </conditionalFormatting>
  <conditionalFormatting sqref="Q699">
    <cfRule type="cellIs" dxfId="9" priority="421" operator="notEqual">
      <formula>P699</formula>
    </cfRule>
  </conditionalFormatting>
  <conditionalFormatting sqref="N698">
    <cfRule type="expression" dxfId="0" priority="422">
      <formula>COUNTIF(#REF!, N698) &gt; 1</formula>
    </cfRule>
  </conditionalFormatting>
  <conditionalFormatting sqref="U698">
    <cfRule type="containsText" dxfId="3" priority="423" operator="containsText" text="В строю">
      <formula>NOT(ISERROR(SEARCH(("В строю"),(U698))))</formula>
    </cfRule>
  </conditionalFormatting>
  <conditionalFormatting sqref="U698">
    <cfRule type="containsText" dxfId="4" priority="424" operator="containsText" text="Відпустка">
      <formula>NOT(ISERROR(SEARCH(("Відпустка"),(U698))))</formula>
    </cfRule>
  </conditionalFormatting>
  <conditionalFormatting sqref="U698">
    <cfRule type="containsText" dxfId="5" priority="425" operator="containsText" text="СЗЧ">
      <formula>NOT(ISERROR(SEARCH(("СЗЧ"),(U698))))</formula>
    </cfRule>
  </conditionalFormatting>
  <conditionalFormatting sqref="U698">
    <cfRule type="containsText" dxfId="6" priority="426" operator="containsText" text="Зниклі безвісти">
      <formula>NOT(ISERROR(SEARCH(("Зниклі безвісти"),(U698))))</formula>
    </cfRule>
  </conditionalFormatting>
  <conditionalFormatting sqref="U698">
    <cfRule type="containsText" dxfId="7" priority="427" operator="containsText" text="Від-ні навчання">
      <formula>NOT(ISERROR(SEARCH(("Від-ні навчання"),(U698))))</formula>
    </cfRule>
  </conditionalFormatting>
  <conditionalFormatting sqref="U698">
    <cfRule type="containsText" dxfId="8" priority="428" operator="containsText" text="Відком. за межі ПБ">
      <formula>NOT(ISERROR(SEARCH(("Відком. за межі ПБ"),(U698))))</formula>
    </cfRule>
  </conditionalFormatting>
  <conditionalFormatting sqref="U698">
    <cfRule type="containsText" dxfId="9" priority="429" operator="containsText" text="Загиблі">
      <formula>NOT(ISERROR(SEARCH(("Загиблі"),(U698))))</formula>
    </cfRule>
  </conditionalFormatting>
  <conditionalFormatting sqref="U698">
    <cfRule type="containsText" dxfId="10" priority="430" operator="containsText" text="Лікування">
      <formula>NOT(ISERROR(SEARCH(("Лікування"),(U698))))</formula>
    </cfRule>
  </conditionalFormatting>
  <conditionalFormatting sqref="Q698">
    <cfRule type="cellIs" dxfId="3" priority="431" operator="equal">
      <formula>P698</formula>
    </cfRule>
  </conditionalFormatting>
  <conditionalFormatting sqref="Q698">
    <cfRule type="cellIs" dxfId="9" priority="432" operator="notEqual">
      <formula>P698</formula>
    </cfRule>
  </conditionalFormatting>
  <conditionalFormatting sqref="U692">
    <cfRule type="containsText" dxfId="3" priority="433" operator="containsText" text="В строю">
      <formula>NOT(ISERROR(SEARCH(("В строю"),(U692))))</formula>
    </cfRule>
  </conditionalFormatting>
  <conditionalFormatting sqref="U692">
    <cfRule type="containsText" dxfId="4" priority="434" operator="containsText" text="Відпустка">
      <formula>NOT(ISERROR(SEARCH(("Відпустка"),(U692))))</formula>
    </cfRule>
  </conditionalFormatting>
  <conditionalFormatting sqref="U692">
    <cfRule type="containsText" dxfId="5" priority="435" operator="containsText" text="СЗЧ">
      <formula>NOT(ISERROR(SEARCH(("СЗЧ"),(U692))))</formula>
    </cfRule>
  </conditionalFormatting>
  <conditionalFormatting sqref="U692">
    <cfRule type="containsText" dxfId="6" priority="436" operator="containsText" text="Зниклі безвісти">
      <formula>NOT(ISERROR(SEARCH(("Зниклі безвісти"),(U692))))</formula>
    </cfRule>
  </conditionalFormatting>
  <conditionalFormatting sqref="U692">
    <cfRule type="containsText" dxfId="7" priority="437" operator="containsText" text="Від-ні навчання">
      <formula>NOT(ISERROR(SEARCH(("Від-ні навчання"),(U692))))</formula>
    </cfRule>
  </conditionalFormatting>
  <conditionalFormatting sqref="U692">
    <cfRule type="containsText" dxfId="8" priority="438" operator="containsText" text="Відком. за межі ПБ">
      <formula>NOT(ISERROR(SEARCH(("Відком. за межі ПБ"),(U692))))</formula>
    </cfRule>
  </conditionalFormatting>
  <conditionalFormatting sqref="U692">
    <cfRule type="containsText" dxfId="9" priority="439" operator="containsText" text="Загиблі">
      <formula>NOT(ISERROR(SEARCH(("Загиблі"),(U692))))</formula>
    </cfRule>
  </conditionalFormatting>
  <conditionalFormatting sqref="U692">
    <cfRule type="containsText" dxfId="10" priority="440" operator="containsText" text="Лікування">
      <formula>NOT(ISERROR(SEARCH(("Лікування"),(U692))))</formula>
    </cfRule>
  </conditionalFormatting>
  <conditionalFormatting sqref="Q692">
    <cfRule type="cellIs" dxfId="3" priority="441" operator="equal">
      <formula>P692</formula>
    </cfRule>
  </conditionalFormatting>
  <conditionalFormatting sqref="Q692">
    <cfRule type="cellIs" dxfId="9" priority="442" operator="notEqual">
      <formula>P692</formula>
    </cfRule>
  </conditionalFormatting>
  <conditionalFormatting sqref="N674:O674">
    <cfRule type="expression" dxfId="0" priority="443">
      <formula>COUNTIF(#REF!, N674) &gt; 1</formula>
    </cfRule>
  </conditionalFormatting>
  <conditionalFormatting sqref="U674">
    <cfRule type="containsText" dxfId="3" priority="444" operator="containsText" text="В строю">
      <formula>NOT(ISERROR(SEARCH(("В строю"),(U674))))</formula>
    </cfRule>
  </conditionalFormatting>
  <conditionalFormatting sqref="U674">
    <cfRule type="containsText" dxfId="4" priority="445" operator="containsText" text="Відпустка">
      <formula>NOT(ISERROR(SEARCH(("Відпустка"),(U674))))</formula>
    </cfRule>
  </conditionalFormatting>
  <conditionalFormatting sqref="U674">
    <cfRule type="containsText" dxfId="5" priority="446" operator="containsText" text="СЗЧ">
      <formula>NOT(ISERROR(SEARCH(("СЗЧ"),(U674))))</formula>
    </cfRule>
  </conditionalFormatting>
  <conditionalFormatting sqref="U674">
    <cfRule type="containsText" dxfId="6" priority="447" operator="containsText" text="Зниклі безвісти">
      <formula>NOT(ISERROR(SEARCH(("Зниклі безвісти"),(U674))))</formula>
    </cfRule>
  </conditionalFormatting>
  <conditionalFormatting sqref="U674">
    <cfRule type="containsText" dxfId="7" priority="448" operator="containsText" text="Від-ні навчання">
      <formula>NOT(ISERROR(SEARCH(("Від-ні навчання"),(U674))))</formula>
    </cfRule>
  </conditionalFormatting>
  <conditionalFormatting sqref="U674">
    <cfRule type="containsText" dxfId="8" priority="449" operator="containsText" text="Відком. за межі ПБ">
      <formula>NOT(ISERROR(SEARCH(("Відком. за межі ПБ"),(U674))))</formula>
    </cfRule>
  </conditionalFormatting>
  <conditionalFormatting sqref="U674">
    <cfRule type="containsText" dxfId="9" priority="450" operator="containsText" text="Загиблі">
      <formula>NOT(ISERROR(SEARCH(("Загиблі"),(U674))))</formula>
    </cfRule>
  </conditionalFormatting>
  <conditionalFormatting sqref="U674">
    <cfRule type="containsText" dxfId="10" priority="451" operator="containsText" text="Лікування">
      <formula>NOT(ISERROR(SEARCH(("Лікування"),(U674))))</formula>
    </cfRule>
  </conditionalFormatting>
  <conditionalFormatting sqref="Q674">
    <cfRule type="cellIs" dxfId="3" priority="452" operator="equal">
      <formula>P674</formula>
    </cfRule>
  </conditionalFormatting>
  <conditionalFormatting sqref="Q674">
    <cfRule type="cellIs" dxfId="9" priority="453" operator="notEqual">
      <formula>P674</formula>
    </cfRule>
  </conditionalFormatting>
  <conditionalFormatting sqref="U659">
    <cfRule type="containsText" dxfId="3" priority="454" operator="containsText" text="В строю">
      <formula>NOT(ISERROR(SEARCH(("В строю"),(U659))))</formula>
    </cfRule>
  </conditionalFormatting>
  <conditionalFormatting sqref="U659">
    <cfRule type="containsText" dxfId="4" priority="455" operator="containsText" text="Відпустка">
      <formula>NOT(ISERROR(SEARCH(("Відпустка"),(U659))))</formula>
    </cfRule>
  </conditionalFormatting>
  <conditionalFormatting sqref="U659">
    <cfRule type="containsText" dxfId="5" priority="456" operator="containsText" text="СЗЧ">
      <formula>NOT(ISERROR(SEARCH(("СЗЧ"),(U659))))</formula>
    </cfRule>
  </conditionalFormatting>
  <conditionalFormatting sqref="U659">
    <cfRule type="containsText" dxfId="6" priority="457" operator="containsText" text="Зниклі безвісти">
      <formula>NOT(ISERROR(SEARCH(("Зниклі безвісти"),(U659))))</formula>
    </cfRule>
  </conditionalFormatting>
  <conditionalFormatting sqref="U659">
    <cfRule type="containsText" dxfId="7" priority="458" operator="containsText" text="Від-ні навчання">
      <formula>NOT(ISERROR(SEARCH(("Від-ні навчання"),(U659))))</formula>
    </cfRule>
  </conditionalFormatting>
  <conditionalFormatting sqref="U659">
    <cfRule type="containsText" dxfId="8" priority="459" operator="containsText" text="Відком. за межі ПБ">
      <formula>NOT(ISERROR(SEARCH(("Відком. за межі ПБ"),(U659))))</formula>
    </cfRule>
  </conditionalFormatting>
  <conditionalFormatting sqref="U659">
    <cfRule type="containsText" dxfId="9" priority="460" operator="containsText" text="Загиблі">
      <formula>NOT(ISERROR(SEARCH(("Загиблі"),(U659))))</formula>
    </cfRule>
  </conditionalFormatting>
  <conditionalFormatting sqref="U659">
    <cfRule type="containsText" dxfId="10" priority="461" operator="containsText" text="Лікування">
      <formula>NOT(ISERROR(SEARCH(("Лікування"),(U659))))</formula>
    </cfRule>
  </conditionalFormatting>
  <conditionalFormatting sqref="M585:N585 M620:N620 N659:P659">
    <cfRule type="expression" dxfId="0" priority="462">
      <formula>COUNTIF(#REF!, M585) &gt; 1</formula>
    </cfRule>
  </conditionalFormatting>
  <conditionalFormatting sqref="Q659">
    <cfRule type="cellIs" dxfId="3" priority="463" operator="equal">
      <formula>P659</formula>
    </cfRule>
  </conditionalFormatting>
  <conditionalFormatting sqref="Q659">
    <cfRule type="cellIs" dxfId="9" priority="464" operator="notEqual">
      <formula>P659</formula>
    </cfRule>
  </conditionalFormatting>
  <conditionalFormatting sqref="M585:N585 M620:N620 N659">
    <cfRule type="expression" dxfId="0" priority="465">
      <formula>COUNTIF(#REF!, M585) &gt; 1</formula>
    </cfRule>
  </conditionalFormatting>
  <conditionalFormatting sqref="N625:O625">
    <cfRule type="expression" dxfId="0" priority="466">
      <formula>COUNTIF(#REF!, N625) &gt; 1</formula>
    </cfRule>
  </conditionalFormatting>
  <conditionalFormatting sqref="N625:O625">
    <cfRule type="expression" dxfId="0" priority="467">
      <formula>COUNTIF(#REF!, N625) &gt; 1</formula>
    </cfRule>
  </conditionalFormatting>
  <conditionalFormatting sqref="N625">
    <cfRule type="expression" dxfId="0" priority="468">
      <formula>COUNTIF(#REF!, N625) &gt; 1</formula>
    </cfRule>
  </conditionalFormatting>
  <conditionalFormatting sqref="U625">
    <cfRule type="containsText" dxfId="3" priority="469" operator="containsText" text="В строю">
      <formula>NOT(ISERROR(SEARCH(("В строю"),(U625))))</formula>
    </cfRule>
  </conditionalFormatting>
  <conditionalFormatting sqref="U625">
    <cfRule type="containsText" dxfId="4" priority="470" operator="containsText" text="Відпустка">
      <formula>NOT(ISERROR(SEARCH(("Відпустка"),(U625))))</formula>
    </cfRule>
  </conditionalFormatting>
  <conditionalFormatting sqref="U625">
    <cfRule type="containsText" dxfId="5" priority="471" operator="containsText" text="СЗЧ">
      <formula>NOT(ISERROR(SEARCH(("СЗЧ"),(U625))))</formula>
    </cfRule>
  </conditionalFormatting>
  <conditionalFormatting sqref="U625">
    <cfRule type="containsText" dxfId="6" priority="472" operator="containsText" text="Зниклі безвісти">
      <formula>NOT(ISERROR(SEARCH(("Зниклі безвісти"),(U625))))</formula>
    </cfRule>
  </conditionalFormatting>
  <conditionalFormatting sqref="U625">
    <cfRule type="containsText" dxfId="7" priority="473" operator="containsText" text="Від-ні навчання">
      <formula>NOT(ISERROR(SEARCH(("Від-ні навчання"),(U625))))</formula>
    </cfRule>
  </conditionalFormatting>
  <conditionalFormatting sqref="U625">
    <cfRule type="containsText" dxfId="8" priority="474" operator="containsText" text="Відком. за межі ПБ">
      <formula>NOT(ISERROR(SEARCH(("Відком. за межі ПБ"),(U625))))</formula>
    </cfRule>
  </conditionalFormatting>
  <conditionalFormatting sqref="U625">
    <cfRule type="containsText" dxfId="9" priority="475" operator="containsText" text="Загиблі">
      <formula>NOT(ISERROR(SEARCH(("Загиблі"),(U625))))</formula>
    </cfRule>
  </conditionalFormatting>
  <conditionalFormatting sqref="U625">
    <cfRule type="containsText" dxfId="10" priority="476" operator="containsText" text="Лікування">
      <formula>NOT(ISERROR(SEARCH(("Лікування"),(U625))))</formula>
    </cfRule>
  </conditionalFormatting>
  <conditionalFormatting sqref="Q625">
    <cfRule type="cellIs" dxfId="3" priority="477" operator="equal">
      <formula>P625</formula>
    </cfRule>
  </conditionalFormatting>
  <conditionalFormatting sqref="Q625">
    <cfRule type="cellIs" dxfId="9" priority="478" operator="notEqual">
      <formula>P625</formula>
    </cfRule>
  </conditionalFormatting>
  <conditionalFormatting sqref="U595">
    <cfRule type="containsText" dxfId="3" priority="479" operator="containsText" text="В строю">
      <formula>NOT(ISERROR(SEARCH(("В строю"),(U595))))</formula>
    </cfRule>
  </conditionalFormatting>
  <conditionalFormatting sqref="U595">
    <cfRule type="containsText" dxfId="4" priority="480" operator="containsText" text="Відпустка">
      <formula>NOT(ISERROR(SEARCH(("Відпустка"),(U595))))</formula>
    </cfRule>
  </conditionalFormatting>
  <conditionalFormatting sqref="U595">
    <cfRule type="containsText" dxfId="5" priority="481" operator="containsText" text="СЗЧ">
      <formula>NOT(ISERROR(SEARCH(("СЗЧ"),(U595))))</formula>
    </cfRule>
  </conditionalFormatting>
  <conditionalFormatting sqref="U595">
    <cfRule type="containsText" dxfId="6" priority="482" operator="containsText" text="Зниклі безвісти">
      <formula>NOT(ISERROR(SEARCH(("Зниклі безвісти"),(U595))))</formula>
    </cfRule>
  </conditionalFormatting>
  <conditionalFormatting sqref="U595">
    <cfRule type="containsText" dxfId="7" priority="483" operator="containsText" text="Від-ні навчання">
      <formula>NOT(ISERROR(SEARCH(("Від-ні навчання"),(U595))))</formula>
    </cfRule>
  </conditionalFormatting>
  <conditionalFormatting sqref="U595">
    <cfRule type="containsText" dxfId="8" priority="484" operator="containsText" text="Відком. за межі ПБ">
      <formula>NOT(ISERROR(SEARCH(("Відком. за межі ПБ"),(U595))))</formula>
    </cfRule>
  </conditionalFormatting>
  <conditionalFormatting sqref="U595">
    <cfRule type="containsText" dxfId="9" priority="485" operator="containsText" text="Загиблі">
      <formula>NOT(ISERROR(SEARCH(("Загиблі"),(U595))))</formula>
    </cfRule>
  </conditionalFormatting>
  <conditionalFormatting sqref="U595">
    <cfRule type="containsText" dxfId="10" priority="486" operator="containsText" text="Лікування">
      <formula>NOT(ISERROR(SEARCH(("Лікування"),(U595))))</formula>
    </cfRule>
  </conditionalFormatting>
  <conditionalFormatting sqref="N595">
    <cfRule type="expression" dxfId="0" priority="487">
      <formula>COUNTIF(#REF!, N595) &gt; 1</formula>
    </cfRule>
  </conditionalFormatting>
  <conditionalFormatting sqref="K595 N595">
    <cfRule type="expression" dxfId="0" priority="488">
      <formula>COUNTIF(#REF!, K595) &gt; 1</formula>
    </cfRule>
  </conditionalFormatting>
  <conditionalFormatting sqref="Q595">
    <cfRule type="cellIs" dxfId="3" priority="489" operator="equal">
      <formula>P595</formula>
    </cfRule>
  </conditionalFormatting>
  <conditionalFormatting sqref="Q595">
    <cfRule type="cellIs" dxfId="9" priority="490" operator="notEqual">
      <formula>P595</formula>
    </cfRule>
  </conditionalFormatting>
  <conditionalFormatting sqref="N590">
    <cfRule type="expression" dxfId="0" priority="491">
      <formula>COUNTIF(#REF!, N590) &gt; 1</formula>
    </cfRule>
  </conditionalFormatting>
  <conditionalFormatting sqref="N590">
    <cfRule type="expression" dxfId="0" priority="492">
      <formula>COUNTIF(#REF!, N590) &gt; 1</formula>
    </cfRule>
  </conditionalFormatting>
  <conditionalFormatting sqref="Q590">
    <cfRule type="cellIs" dxfId="3" priority="493" operator="equal">
      <formula>P590</formula>
    </cfRule>
  </conditionalFormatting>
  <conditionalFormatting sqref="Q590">
    <cfRule type="cellIs" dxfId="9" priority="494" operator="notEqual">
      <formula>P590</formula>
    </cfRule>
  </conditionalFormatting>
  <conditionalFormatting sqref="U590">
    <cfRule type="containsText" dxfId="3" priority="495" operator="containsText" text="В строю">
      <formula>NOT(ISERROR(SEARCH(("В строю"),(U590))))</formula>
    </cfRule>
  </conditionalFormatting>
  <conditionalFormatting sqref="U590">
    <cfRule type="containsText" dxfId="4" priority="496" operator="containsText" text="Відпустка">
      <formula>NOT(ISERROR(SEARCH(("Відпустка"),(U590))))</formula>
    </cfRule>
  </conditionalFormatting>
  <conditionalFormatting sqref="U590">
    <cfRule type="containsText" dxfId="5" priority="497" operator="containsText" text="СЗЧ">
      <formula>NOT(ISERROR(SEARCH(("СЗЧ"),(U590))))</formula>
    </cfRule>
  </conditionalFormatting>
  <conditionalFormatting sqref="U590">
    <cfRule type="containsText" dxfId="6" priority="498" operator="containsText" text="Зниклі безвісти">
      <formula>NOT(ISERROR(SEARCH(("Зниклі безвісти"),(U590))))</formula>
    </cfRule>
  </conditionalFormatting>
  <conditionalFormatting sqref="U590">
    <cfRule type="containsText" dxfId="7" priority="499" operator="containsText" text="Від-ні навчання">
      <formula>NOT(ISERROR(SEARCH(("Від-ні навчання"),(U590))))</formula>
    </cfRule>
  </conditionalFormatting>
  <conditionalFormatting sqref="U590">
    <cfRule type="containsText" dxfId="8" priority="500" operator="containsText" text="Відком. за межі ПБ">
      <formula>NOT(ISERROR(SEARCH(("Відком. за межі ПБ"),(U590))))</formula>
    </cfRule>
  </conditionalFormatting>
  <conditionalFormatting sqref="U590">
    <cfRule type="containsText" dxfId="9" priority="501" operator="containsText" text="Загиблі">
      <formula>NOT(ISERROR(SEARCH(("Загиблі"),(U590))))</formula>
    </cfRule>
  </conditionalFormatting>
  <conditionalFormatting sqref="U590">
    <cfRule type="containsText" dxfId="10" priority="502" operator="containsText" text="Лікування">
      <formula>NOT(ISERROR(SEARCH(("Лікування"),(U590))))</formula>
    </cfRule>
  </conditionalFormatting>
  <conditionalFormatting sqref="Q574">
    <cfRule type="cellIs" dxfId="3" priority="503" operator="equal">
      <formula>P574</formula>
    </cfRule>
  </conditionalFormatting>
  <conditionalFormatting sqref="Q574">
    <cfRule type="cellIs" dxfId="9" priority="504" operator="notEqual">
      <formula>P574</formula>
    </cfRule>
  </conditionalFormatting>
  <conditionalFormatting sqref="N574">
    <cfRule type="expression" dxfId="0" priority="505">
      <formula>COUNTIF(#REF!, N574) &gt; 1</formula>
    </cfRule>
  </conditionalFormatting>
  <conditionalFormatting sqref="N574">
    <cfRule type="expression" dxfId="0" priority="506">
      <formula>COUNTIF(#REF!, N574) &gt; 1</formula>
    </cfRule>
  </conditionalFormatting>
  <conditionalFormatting sqref="U574">
    <cfRule type="containsText" dxfId="3" priority="507" operator="containsText" text="В строю">
      <formula>NOT(ISERROR(SEARCH(("В строю"),(U574))))</formula>
    </cfRule>
  </conditionalFormatting>
  <conditionalFormatting sqref="U574">
    <cfRule type="containsText" dxfId="4" priority="508" operator="containsText" text="Відпустка">
      <formula>NOT(ISERROR(SEARCH(("Відпустка"),(U574))))</formula>
    </cfRule>
  </conditionalFormatting>
  <conditionalFormatting sqref="U574">
    <cfRule type="containsText" dxfId="5" priority="509" operator="containsText" text="СЗЧ">
      <formula>NOT(ISERROR(SEARCH(("СЗЧ"),(U574))))</formula>
    </cfRule>
  </conditionalFormatting>
  <conditionalFormatting sqref="U574">
    <cfRule type="containsText" dxfId="6" priority="510" operator="containsText" text="Зниклі безвісти">
      <formula>NOT(ISERROR(SEARCH(("Зниклі безвісти"),(U574))))</formula>
    </cfRule>
  </conditionalFormatting>
  <conditionalFormatting sqref="U574">
    <cfRule type="containsText" dxfId="7" priority="511" operator="containsText" text="Від-ні навчання">
      <formula>NOT(ISERROR(SEARCH(("Від-ні навчання"),(U574))))</formula>
    </cfRule>
  </conditionalFormatting>
  <conditionalFormatting sqref="U574">
    <cfRule type="containsText" dxfId="8" priority="512" operator="containsText" text="Відком. за межі ПБ">
      <formula>NOT(ISERROR(SEARCH(("Відком. за межі ПБ"),(U574))))</formula>
    </cfRule>
  </conditionalFormatting>
  <conditionalFormatting sqref="U574">
    <cfRule type="containsText" dxfId="9" priority="513" operator="containsText" text="Загиблі">
      <formula>NOT(ISERROR(SEARCH(("Загиблі"),(U574))))</formula>
    </cfRule>
  </conditionalFormatting>
  <conditionalFormatting sqref="U574">
    <cfRule type="containsText" dxfId="10" priority="514" operator="containsText" text="Лікування">
      <formula>NOT(ISERROR(SEARCH(("Лікування"),(U574))))</formula>
    </cfRule>
  </conditionalFormatting>
  <conditionalFormatting sqref="N560">
    <cfRule type="expression" dxfId="0" priority="515">
      <formula>COUNTIF(#REF!, N560) &gt; 1</formula>
    </cfRule>
  </conditionalFormatting>
  <conditionalFormatting sqref="N560">
    <cfRule type="expression" dxfId="0" priority="516">
      <formula>COUNTIF(#REF!, N560) &gt; 1</formula>
    </cfRule>
  </conditionalFormatting>
  <conditionalFormatting sqref="U560">
    <cfRule type="containsText" dxfId="3" priority="517" operator="containsText" text="В строю">
      <formula>NOT(ISERROR(SEARCH(("В строю"),(U560))))</formula>
    </cfRule>
  </conditionalFormatting>
  <conditionalFormatting sqref="U560">
    <cfRule type="containsText" dxfId="4" priority="518" operator="containsText" text="Відпустка">
      <formula>NOT(ISERROR(SEARCH(("Відпустка"),(U560))))</formula>
    </cfRule>
  </conditionalFormatting>
  <conditionalFormatting sqref="U560">
    <cfRule type="containsText" dxfId="5" priority="519" operator="containsText" text="СЗЧ">
      <formula>NOT(ISERROR(SEARCH(("СЗЧ"),(U560))))</formula>
    </cfRule>
  </conditionalFormatting>
  <conditionalFormatting sqref="U560">
    <cfRule type="containsText" dxfId="6" priority="520" operator="containsText" text="Зниклі безвісти">
      <formula>NOT(ISERROR(SEARCH(("Зниклі безвісти"),(U560))))</formula>
    </cfRule>
  </conditionalFormatting>
  <conditionalFormatting sqref="U560">
    <cfRule type="containsText" dxfId="7" priority="521" operator="containsText" text="Від-ні навчання">
      <formula>NOT(ISERROR(SEARCH(("Від-ні навчання"),(U560))))</formula>
    </cfRule>
  </conditionalFormatting>
  <conditionalFormatting sqref="U560">
    <cfRule type="containsText" dxfId="8" priority="522" operator="containsText" text="Відком. за межі ПБ">
      <formula>NOT(ISERROR(SEARCH(("Відком. за межі ПБ"),(U560))))</formula>
    </cfRule>
  </conditionalFormatting>
  <conditionalFormatting sqref="U560">
    <cfRule type="containsText" dxfId="9" priority="523" operator="containsText" text="Загиблі">
      <formula>NOT(ISERROR(SEARCH(("Загиблі"),(U560))))</formula>
    </cfRule>
  </conditionalFormatting>
  <conditionalFormatting sqref="U560">
    <cfRule type="containsText" dxfId="10" priority="524" operator="containsText" text="Лікування">
      <formula>NOT(ISERROR(SEARCH(("Лікування"),(U560))))</formula>
    </cfRule>
  </conditionalFormatting>
  <conditionalFormatting sqref="Q560">
    <cfRule type="cellIs" dxfId="3" priority="525" operator="equal">
      <formula>P560</formula>
    </cfRule>
  </conditionalFormatting>
  <conditionalFormatting sqref="Q560">
    <cfRule type="cellIs" dxfId="9" priority="526" operator="notEqual">
      <formula>P560</formula>
    </cfRule>
  </conditionalFormatting>
  <conditionalFormatting sqref="Q483">
    <cfRule type="cellIs" dxfId="3" priority="527" operator="equal">
      <formula>P483</formula>
    </cfRule>
  </conditionalFormatting>
  <conditionalFormatting sqref="Q483">
    <cfRule type="cellIs" dxfId="9" priority="528" operator="notEqual">
      <formula>P483</formula>
    </cfRule>
  </conditionalFormatting>
  <conditionalFormatting sqref="N483">
    <cfRule type="expression" dxfId="0" priority="529">
      <formula>COUNTIF(#REF!, N483) &gt; 1</formula>
    </cfRule>
  </conditionalFormatting>
  <conditionalFormatting sqref="N483">
    <cfRule type="expression" dxfId="0" priority="530">
      <formula>COUNTIF(#REF!, N483) &gt; 1</formula>
    </cfRule>
  </conditionalFormatting>
  <conditionalFormatting sqref="U483">
    <cfRule type="containsText" dxfId="3" priority="531" operator="containsText" text="В строю">
      <formula>NOT(ISERROR(SEARCH(("В строю"),(U483))))</formula>
    </cfRule>
  </conditionalFormatting>
  <conditionalFormatting sqref="U483">
    <cfRule type="containsText" dxfId="4" priority="532" operator="containsText" text="Відпустка">
      <formula>NOT(ISERROR(SEARCH(("Відпустка"),(U483))))</formula>
    </cfRule>
  </conditionalFormatting>
  <conditionalFormatting sqref="U483">
    <cfRule type="containsText" dxfId="5" priority="533" operator="containsText" text="СЗЧ">
      <formula>NOT(ISERROR(SEARCH(("СЗЧ"),(U483))))</formula>
    </cfRule>
  </conditionalFormatting>
  <conditionalFormatting sqref="U483">
    <cfRule type="containsText" dxfId="6" priority="534" operator="containsText" text="Зниклі безвісти">
      <formula>NOT(ISERROR(SEARCH(("Зниклі безвісти"),(U483))))</formula>
    </cfRule>
  </conditionalFormatting>
  <conditionalFormatting sqref="U483">
    <cfRule type="containsText" dxfId="7" priority="535" operator="containsText" text="Від-ні навчання">
      <formula>NOT(ISERROR(SEARCH(("Від-ні навчання"),(U483))))</formula>
    </cfRule>
  </conditionalFormatting>
  <conditionalFormatting sqref="U483">
    <cfRule type="containsText" dxfId="8" priority="536" operator="containsText" text="Відком. за межі ПБ">
      <formula>NOT(ISERROR(SEARCH(("Відком. за межі ПБ"),(U483))))</formula>
    </cfRule>
  </conditionalFormatting>
  <conditionalFormatting sqref="U483">
    <cfRule type="containsText" dxfId="9" priority="537" operator="containsText" text="Загиблі">
      <formula>NOT(ISERROR(SEARCH(("Загиблі"),(U483))))</formula>
    </cfRule>
  </conditionalFormatting>
  <conditionalFormatting sqref="U483">
    <cfRule type="containsText" dxfId="10" priority="538" operator="containsText" text="Лікування">
      <formula>NOT(ISERROR(SEARCH(("Лікування"),(U483))))</formula>
    </cfRule>
  </conditionalFormatting>
  <conditionalFormatting sqref="N443">
    <cfRule type="expression" dxfId="0" priority="539">
      <formula>COUNTIF(#REF!, N443) &gt; 1</formula>
    </cfRule>
  </conditionalFormatting>
  <conditionalFormatting sqref="Q443">
    <cfRule type="cellIs" dxfId="3" priority="540" operator="equal">
      <formula>P443</formula>
    </cfRule>
  </conditionalFormatting>
  <conditionalFormatting sqref="Q443">
    <cfRule type="cellIs" dxfId="9" priority="541" operator="notEqual">
      <formula>P443</formula>
    </cfRule>
  </conditionalFormatting>
  <conditionalFormatting sqref="N443">
    <cfRule type="expression" dxfId="0" priority="542">
      <formula>COUNTIF(#REF!, N443) &gt; 1</formula>
    </cfRule>
  </conditionalFormatting>
  <conditionalFormatting sqref="U443">
    <cfRule type="containsText" dxfId="3" priority="543" operator="containsText" text="В строю">
      <formula>NOT(ISERROR(SEARCH(("В строю"),(U443))))</formula>
    </cfRule>
  </conditionalFormatting>
  <conditionalFormatting sqref="U443">
    <cfRule type="containsText" dxfId="4" priority="544" operator="containsText" text="Відпустка">
      <formula>NOT(ISERROR(SEARCH(("Відпустка"),(U443))))</formula>
    </cfRule>
  </conditionalFormatting>
  <conditionalFormatting sqref="U443">
    <cfRule type="containsText" dxfId="5" priority="545" operator="containsText" text="СЗЧ">
      <formula>NOT(ISERROR(SEARCH(("СЗЧ"),(U443))))</formula>
    </cfRule>
  </conditionalFormatting>
  <conditionalFormatting sqref="U443">
    <cfRule type="containsText" dxfId="6" priority="546" operator="containsText" text="Зниклі безвісти">
      <formula>NOT(ISERROR(SEARCH(("Зниклі безвісти"),(U443))))</formula>
    </cfRule>
  </conditionalFormatting>
  <conditionalFormatting sqref="U443">
    <cfRule type="containsText" dxfId="7" priority="547" operator="containsText" text="Від-ні навчання">
      <formula>NOT(ISERROR(SEARCH(("Від-ні навчання"),(U443))))</formula>
    </cfRule>
  </conditionalFormatting>
  <conditionalFormatting sqref="U443">
    <cfRule type="containsText" dxfId="8" priority="548" operator="containsText" text="Відком. за межі ПБ">
      <formula>NOT(ISERROR(SEARCH(("Відком. за межі ПБ"),(U443))))</formula>
    </cfRule>
  </conditionalFormatting>
  <conditionalFormatting sqref="U443">
    <cfRule type="containsText" dxfId="9" priority="549" operator="containsText" text="Загиблі">
      <formula>NOT(ISERROR(SEARCH(("Загиблі"),(U443))))</formula>
    </cfRule>
  </conditionalFormatting>
  <conditionalFormatting sqref="U443">
    <cfRule type="containsText" dxfId="10" priority="550" operator="containsText" text="Лікування">
      <formula>NOT(ISERROR(SEARCH(("Лікування"),(U443))))</formula>
    </cfRule>
  </conditionalFormatting>
  <conditionalFormatting sqref="N441">
    <cfRule type="expression" dxfId="0" priority="551">
      <formula>COUNTIF(#REF!, N441) &gt; 1</formula>
    </cfRule>
  </conditionalFormatting>
  <conditionalFormatting sqref="U441">
    <cfRule type="containsText" dxfId="3" priority="552" operator="containsText" text="В строю">
      <formula>NOT(ISERROR(SEARCH(("В строю"),(U441))))</formula>
    </cfRule>
  </conditionalFormatting>
  <conditionalFormatting sqref="U441">
    <cfRule type="containsText" dxfId="4" priority="553" operator="containsText" text="Відпустка">
      <formula>NOT(ISERROR(SEARCH(("Відпустка"),(U441))))</formula>
    </cfRule>
  </conditionalFormatting>
  <conditionalFormatting sqref="U441">
    <cfRule type="containsText" dxfId="5" priority="554" operator="containsText" text="СЗЧ">
      <formula>NOT(ISERROR(SEARCH(("СЗЧ"),(U441))))</formula>
    </cfRule>
  </conditionalFormatting>
  <conditionalFormatting sqref="U441">
    <cfRule type="containsText" dxfId="6" priority="555" operator="containsText" text="Зниклі безвісти">
      <formula>NOT(ISERROR(SEARCH(("Зниклі безвісти"),(U441))))</formula>
    </cfRule>
  </conditionalFormatting>
  <conditionalFormatting sqref="U441">
    <cfRule type="containsText" dxfId="7" priority="556" operator="containsText" text="Від-ні навчання">
      <formula>NOT(ISERROR(SEARCH(("Від-ні навчання"),(U441))))</formula>
    </cfRule>
  </conditionalFormatting>
  <conditionalFormatting sqref="U441">
    <cfRule type="containsText" dxfId="8" priority="557" operator="containsText" text="Відком. за межі ПБ">
      <formula>NOT(ISERROR(SEARCH(("Відком. за межі ПБ"),(U441))))</formula>
    </cfRule>
  </conditionalFormatting>
  <conditionalFormatting sqref="U441">
    <cfRule type="containsText" dxfId="9" priority="558" operator="containsText" text="Загиблі">
      <formula>NOT(ISERROR(SEARCH(("Загиблі"),(U441))))</formula>
    </cfRule>
  </conditionalFormatting>
  <conditionalFormatting sqref="U441">
    <cfRule type="containsText" dxfId="10" priority="559" operator="containsText" text="Лікування">
      <formula>NOT(ISERROR(SEARCH(("Лікування"),(U441))))</formula>
    </cfRule>
  </conditionalFormatting>
  <conditionalFormatting sqref="Q441">
    <cfRule type="cellIs" dxfId="3" priority="560" operator="equal">
      <formula>P441</formula>
    </cfRule>
  </conditionalFormatting>
  <conditionalFormatting sqref="Q441">
    <cfRule type="cellIs" dxfId="9" priority="561" operator="notEqual">
      <formula>P441</formula>
    </cfRule>
  </conditionalFormatting>
  <conditionalFormatting sqref="N438">
    <cfRule type="expression" dxfId="0" priority="562">
      <formula>COUNTIF(#REF!, N438) &gt; 1</formula>
    </cfRule>
  </conditionalFormatting>
  <conditionalFormatting sqref="N438">
    <cfRule type="expression" dxfId="0" priority="563">
      <formula>COUNTIF(#REF!, N438) &gt; 1</formula>
    </cfRule>
  </conditionalFormatting>
  <conditionalFormatting sqref="U438:U439">
    <cfRule type="containsText" dxfId="3" priority="564" operator="containsText" text="В строю">
      <formula>NOT(ISERROR(SEARCH(("В строю"),(U438))))</formula>
    </cfRule>
  </conditionalFormatting>
  <conditionalFormatting sqref="U438:U439">
    <cfRule type="containsText" dxfId="4" priority="565" operator="containsText" text="Відпустка">
      <formula>NOT(ISERROR(SEARCH(("Відпустка"),(U438))))</formula>
    </cfRule>
  </conditionalFormatting>
  <conditionalFormatting sqref="U438:U439">
    <cfRule type="containsText" dxfId="5" priority="566" operator="containsText" text="СЗЧ">
      <formula>NOT(ISERROR(SEARCH(("СЗЧ"),(U438))))</formula>
    </cfRule>
  </conditionalFormatting>
  <conditionalFormatting sqref="U438:U439">
    <cfRule type="containsText" dxfId="6" priority="567" operator="containsText" text="Зниклі безвісти">
      <formula>NOT(ISERROR(SEARCH(("Зниклі безвісти"),(U438))))</formula>
    </cfRule>
  </conditionalFormatting>
  <conditionalFormatting sqref="U438:U439">
    <cfRule type="containsText" dxfId="7" priority="568" operator="containsText" text="Від-ні навчання">
      <formula>NOT(ISERROR(SEARCH(("Від-ні навчання"),(U438))))</formula>
    </cfRule>
  </conditionalFormatting>
  <conditionalFormatting sqref="U438:U439">
    <cfRule type="containsText" dxfId="8" priority="569" operator="containsText" text="Відком. за межі ПБ">
      <formula>NOT(ISERROR(SEARCH(("Відком. за межі ПБ"),(U438))))</formula>
    </cfRule>
  </conditionalFormatting>
  <conditionalFormatting sqref="U438:U439">
    <cfRule type="containsText" dxfId="9" priority="570" operator="containsText" text="Загиблі">
      <formula>NOT(ISERROR(SEARCH(("Загиблі"),(U438))))</formula>
    </cfRule>
  </conditionalFormatting>
  <conditionalFormatting sqref="U438:U439">
    <cfRule type="containsText" dxfId="10" priority="571" operator="containsText" text="Лікування">
      <formula>NOT(ISERROR(SEARCH(("Лікування"),(U438))))</formula>
    </cfRule>
  </conditionalFormatting>
  <conditionalFormatting sqref="Q438">
    <cfRule type="cellIs" dxfId="3" priority="572" operator="equal">
      <formula>P438</formula>
    </cfRule>
  </conditionalFormatting>
  <conditionalFormatting sqref="Q438">
    <cfRule type="cellIs" dxfId="9" priority="573" operator="notEqual">
      <formula>P438</formula>
    </cfRule>
  </conditionalFormatting>
  <conditionalFormatting sqref="Q427">
    <cfRule type="cellIs" dxfId="3" priority="574" operator="equal">
      <formula>P427</formula>
    </cfRule>
  </conditionalFormatting>
  <conditionalFormatting sqref="Q427">
    <cfRule type="cellIs" dxfId="9" priority="575" operator="notEqual">
      <formula>P427</formula>
    </cfRule>
  </conditionalFormatting>
  <conditionalFormatting sqref="N427">
    <cfRule type="expression" dxfId="0" priority="576">
      <formula>COUNTIF(#REF!, N427) &gt; 1</formula>
    </cfRule>
  </conditionalFormatting>
  <conditionalFormatting sqref="U427">
    <cfRule type="containsText" dxfId="3" priority="577" operator="containsText" text="В строю">
      <formula>NOT(ISERROR(SEARCH(("В строю"),(U427))))</formula>
    </cfRule>
  </conditionalFormatting>
  <conditionalFormatting sqref="U427">
    <cfRule type="containsText" dxfId="4" priority="578" operator="containsText" text="Відпустка">
      <formula>NOT(ISERROR(SEARCH(("Відпустка"),(U427))))</formula>
    </cfRule>
  </conditionalFormatting>
  <conditionalFormatting sqref="U427">
    <cfRule type="containsText" dxfId="5" priority="579" operator="containsText" text="СЗЧ">
      <formula>NOT(ISERROR(SEARCH(("СЗЧ"),(U427))))</formula>
    </cfRule>
  </conditionalFormatting>
  <conditionalFormatting sqref="U427">
    <cfRule type="containsText" dxfId="6" priority="580" operator="containsText" text="Зниклі безвісти">
      <formula>NOT(ISERROR(SEARCH(("Зниклі безвісти"),(U427))))</formula>
    </cfRule>
  </conditionalFormatting>
  <conditionalFormatting sqref="U427">
    <cfRule type="containsText" dxfId="7" priority="581" operator="containsText" text="Від-ні навчання">
      <formula>NOT(ISERROR(SEARCH(("Від-ні навчання"),(U427))))</formula>
    </cfRule>
  </conditionalFormatting>
  <conditionalFormatting sqref="U427">
    <cfRule type="containsText" dxfId="8" priority="582" operator="containsText" text="Відком. за межі ПБ">
      <formula>NOT(ISERROR(SEARCH(("Відком. за межі ПБ"),(U427))))</formula>
    </cfRule>
  </conditionalFormatting>
  <conditionalFormatting sqref="U427">
    <cfRule type="containsText" dxfId="9" priority="583" operator="containsText" text="Загиблі">
      <formula>NOT(ISERROR(SEARCH(("Загиблі"),(U427))))</formula>
    </cfRule>
  </conditionalFormatting>
  <conditionalFormatting sqref="U427">
    <cfRule type="containsText" dxfId="10" priority="584" operator="containsText" text="Лікування">
      <formula>NOT(ISERROR(SEARCH(("Лікування"),(U427))))</formula>
    </cfRule>
  </conditionalFormatting>
  <conditionalFormatting sqref="N97">
    <cfRule type="expression" dxfId="0" priority="585">
      <formula>COUNTIF(#REF!, N97) &gt; 1</formula>
    </cfRule>
  </conditionalFormatting>
  <conditionalFormatting sqref="N97">
    <cfRule type="expression" dxfId="0" priority="586">
      <formula>COUNTIF(#REF!, N97) &gt; 1</formula>
    </cfRule>
  </conditionalFormatting>
  <conditionalFormatting sqref="U97">
    <cfRule type="containsText" dxfId="3" priority="587" operator="containsText" text="В строю">
      <formula>NOT(ISERROR(SEARCH(("В строю"),(U97))))</formula>
    </cfRule>
  </conditionalFormatting>
  <conditionalFormatting sqref="U97">
    <cfRule type="containsText" dxfId="4" priority="588" operator="containsText" text="Відпустка">
      <formula>NOT(ISERROR(SEARCH(("Відпустка"),(U97))))</formula>
    </cfRule>
  </conditionalFormatting>
  <conditionalFormatting sqref="U97">
    <cfRule type="containsText" dxfId="5" priority="589" operator="containsText" text="СЗЧ">
      <formula>NOT(ISERROR(SEARCH(("СЗЧ"),(U97))))</formula>
    </cfRule>
  </conditionalFormatting>
  <conditionalFormatting sqref="U97">
    <cfRule type="containsText" dxfId="6" priority="590" operator="containsText" text="Зниклі безвісти">
      <formula>NOT(ISERROR(SEARCH(("Зниклі безвісти"),(U97))))</formula>
    </cfRule>
  </conditionalFormatting>
  <conditionalFormatting sqref="U97">
    <cfRule type="containsText" dxfId="7" priority="591" operator="containsText" text="Від-ні навчання">
      <formula>NOT(ISERROR(SEARCH(("Від-ні навчання"),(U97))))</formula>
    </cfRule>
  </conditionalFormatting>
  <conditionalFormatting sqref="U97">
    <cfRule type="containsText" dxfId="8" priority="592" operator="containsText" text="Відком. за межі ПБ">
      <formula>NOT(ISERROR(SEARCH(("Відком. за межі ПБ"),(U97))))</formula>
    </cfRule>
  </conditionalFormatting>
  <conditionalFormatting sqref="U97">
    <cfRule type="containsText" dxfId="9" priority="593" operator="containsText" text="Загиблі">
      <formula>NOT(ISERROR(SEARCH(("Загиблі"),(U97))))</formula>
    </cfRule>
  </conditionalFormatting>
  <conditionalFormatting sqref="U97">
    <cfRule type="containsText" dxfId="10" priority="594" operator="containsText" text="Лікування">
      <formula>NOT(ISERROR(SEARCH(("Лікування"),(U97))))</formula>
    </cfRule>
  </conditionalFormatting>
  <conditionalFormatting sqref="Q97">
    <cfRule type="cellIs" dxfId="3" priority="595" operator="equal">
      <formula>P97</formula>
    </cfRule>
  </conditionalFormatting>
  <conditionalFormatting sqref="Q97">
    <cfRule type="cellIs" dxfId="9" priority="596" operator="notEqual">
      <formula>P97</formula>
    </cfRule>
  </conditionalFormatting>
  <conditionalFormatting sqref="N377">
    <cfRule type="expression" dxfId="0" priority="597">
      <formula>COUNTIF(#REF!, N377) &gt; 1</formula>
    </cfRule>
  </conditionalFormatting>
  <conditionalFormatting sqref="N377">
    <cfRule type="expression" dxfId="0" priority="598">
      <formula>COUNTIF(#REF!, N377) &gt; 1</formula>
    </cfRule>
  </conditionalFormatting>
  <conditionalFormatting sqref="Q377">
    <cfRule type="cellIs" dxfId="3" priority="599" operator="equal">
      <formula>P377</formula>
    </cfRule>
  </conditionalFormatting>
  <conditionalFormatting sqref="Q377">
    <cfRule type="cellIs" dxfId="9" priority="600" operator="notEqual">
      <formula>P377</formula>
    </cfRule>
  </conditionalFormatting>
  <conditionalFormatting sqref="U377">
    <cfRule type="containsText" dxfId="3" priority="601" operator="containsText" text="В строю">
      <formula>NOT(ISERROR(SEARCH(("В строю"),(U377))))</formula>
    </cfRule>
  </conditionalFormatting>
  <conditionalFormatting sqref="U377">
    <cfRule type="containsText" dxfId="4" priority="602" operator="containsText" text="Відпустка">
      <formula>NOT(ISERROR(SEARCH(("Відпустка"),(U377))))</formula>
    </cfRule>
  </conditionalFormatting>
  <conditionalFormatting sqref="U377">
    <cfRule type="containsText" dxfId="5" priority="603" operator="containsText" text="СЗЧ">
      <formula>NOT(ISERROR(SEARCH(("СЗЧ"),(U377))))</formula>
    </cfRule>
  </conditionalFormatting>
  <conditionalFormatting sqref="U377">
    <cfRule type="containsText" dxfId="6" priority="604" operator="containsText" text="Зниклі безвісти">
      <formula>NOT(ISERROR(SEARCH(("Зниклі безвісти"),(U377))))</formula>
    </cfRule>
  </conditionalFormatting>
  <conditionalFormatting sqref="U377">
    <cfRule type="containsText" dxfId="7" priority="605" operator="containsText" text="Від-ні навчання">
      <formula>NOT(ISERROR(SEARCH(("Від-ні навчання"),(U377))))</formula>
    </cfRule>
  </conditionalFormatting>
  <conditionalFormatting sqref="U377">
    <cfRule type="containsText" dxfId="8" priority="606" operator="containsText" text="Відком. за межі ПБ">
      <formula>NOT(ISERROR(SEARCH(("Відком. за межі ПБ"),(U377))))</formula>
    </cfRule>
  </conditionalFormatting>
  <conditionalFormatting sqref="U377">
    <cfRule type="containsText" dxfId="9" priority="607" operator="containsText" text="Загиблі">
      <formula>NOT(ISERROR(SEARCH(("Загиблі"),(U377))))</formula>
    </cfRule>
  </conditionalFormatting>
  <conditionalFormatting sqref="U377">
    <cfRule type="containsText" dxfId="10" priority="608" operator="containsText" text="Лікування">
      <formula>NOT(ISERROR(SEARCH(("Лікування"),(U377))))</formula>
    </cfRule>
  </conditionalFormatting>
  <conditionalFormatting sqref="N336">
    <cfRule type="expression" dxfId="0" priority="609">
      <formula>COUNTIF(#REF!, N336) &gt; 1</formula>
    </cfRule>
  </conditionalFormatting>
  <conditionalFormatting sqref="U336">
    <cfRule type="containsText" dxfId="3" priority="610" operator="containsText" text="В строю">
      <formula>NOT(ISERROR(SEARCH(("В строю"),(U336))))</formula>
    </cfRule>
  </conditionalFormatting>
  <conditionalFormatting sqref="U336">
    <cfRule type="containsText" dxfId="4" priority="611" operator="containsText" text="Відпустка">
      <formula>NOT(ISERROR(SEARCH(("Відпустка"),(U336))))</formula>
    </cfRule>
  </conditionalFormatting>
  <conditionalFormatting sqref="U336">
    <cfRule type="containsText" dxfId="5" priority="612" operator="containsText" text="СЗЧ">
      <formula>NOT(ISERROR(SEARCH(("СЗЧ"),(U336))))</formula>
    </cfRule>
  </conditionalFormatting>
  <conditionalFormatting sqref="U336">
    <cfRule type="containsText" dxfId="6" priority="613" operator="containsText" text="Зниклі безвісти">
      <formula>NOT(ISERROR(SEARCH(("Зниклі безвісти"),(U336))))</formula>
    </cfRule>
  </conditionalFormatting>
  <conditionalFormatting sqref="U336">
    <cfRule type="containsText" dxfId="7" priority="614" operator="containsText" text="Від-ні навчання">
      <formula>NOT(ISERROR(SEARCH(("Від-ні навчання"),(U336))))</formula>
    </cfRule>
  </conditionalFormatting>
  <conditionalFormatting sqref="U336">
    <cfRule type="containsText" dxfId="8" priority="615" operator="containsText" text="Відком. за межі ПБ">
      <formula>NOT(ISERROR(SEARCH(("Відком. за межі ПБ"),(U336))))</formula>
    </cfRule>
  </conditionalFormatting>
  <conditionalFormatting sqref="U336">
    <cfRule type="containsText" dxfId="9" priority="616" operator="containsText" text="Загиблі">
      <formula>NOT(ISERROR(SEARCH(("Загиблі"),(U336))))</formula>
    </cfRule>
  </conditionalFormatting>
  <conditionalFormatting sqref="U336">
    <cfRule type="containsText" dxfId="10" priority="617" operator="containsText" text="Лікування">
      <formula>NOT(ISERROR(SEARCH(("Лікування"),(U336))))</formula>
    </cfRule>
  </conditionalFormatting>
  <conditionalFormatting sqref="Q336">
    <cfRule type="cellIs" dxfId="3" priority="618" operator="equal">
      <formula>P336</formula>
    </cfRule>
  </conditionalFormatting>
  <conditionalFormatting sqref="Q336">
    <cfRule type="cellIs" dxfId="9" priority="619" operator="notEqual">
      <formula>P336</formula>
    </cfRule>
  </conditionalFormatting>
  <conditionalFormatting sqref="N294">
    <cfRule type="expression" dxfId="0" priority="620">
      <formula>COUNTIF(#REF!, N294) &gt; 1</formula>
    </cfRule>
  </conditionalFormatting>
  <conditionalFormatting sqref="U294">
    <cfRule type="containsText" dxfId="3" priority="621" operator="containsText" text="В строю">
      <formula>NOT(ISERROR(SEARCH(("В строю"),(U294))))</formula>
    </cfRule>
  </conditionalFormatting>
  <conditionalFormatting sqref="U294">
    <cfRule type="containsText" dxfId="4" priority="622" operator="containsText" text="Відпустка">
      <formula>NOT(ISERROR(SEARCH(("Відпустка"),(U294))))</formula>
    </cfRule>
  </conditionalFormatting>
  <conditionalFormatting sqref="U294">
    <cfRule type="containsText" dxfId="5" priority="623" operator="containsText" text="СЗЧ">
      <formula>NOT(ISERROR(SEARCH(("СЗЧ"),(U294))))</formula>
    </cfRule>
  </conditionalFormatting>
  <conditionalFormatting sqref="U294">
    <cfRule type="containsText" dxfId="6" priority="624" operator="containsText" text="Зниклі безвісти">
      <formula>NOT(ISERROR(SEARCH(("Зниклі безвісти"),(U294))))</formula>
    </cfRule>
  </conditionalFormatting>
  <conditionalFormatting sqref="U294">
    <cfRule type="containsText" dxfId="7" priority="625" operator="containsText" text="Від-ні навчання">
      <formula>NOT(ISERROR(SEARCH(("Від-ні навчання"),(U294))))</formula>
    </cfRule>
  </conditionalFormatting>
  <conditionalFormatting sqref="U294">
    <cfRule type="containsText" dxfId="8" priority="626" operator="containsText" text="Відком. за межі ПБ">
      <formula>NOT(ISERROR(SEARCH(("Відком. за межі ПБ"),(U294))))</formula>
    </cfRule>
  </conditionalFormatting>
  <conditionalFormatting sqref="U294">
    <cfRule type="containsText" dxfId="9" priority="627" operator="containsText" text="Загиблі">
      <formula>NOT(ISERROR(SEARCH(("Загиблі"),(U294))))</formula>
    </cfRule>
  </conditionalFormatting>
  <conditionalFormatting sqref="U294">
    <cfRule type="containsText" dxfId="10" priority="628" operator="containsText" text="Лікування">
      <formula>NOT(ISERROR(SEARCH(("Лікування"),(U294))))</formula>
    </cfRule>
  </conditionalFormatting>
  <conditionalFormatting sqref="Q294">
    <cfRule type="cellIs" dxfId="3" priority="629" operator="equal">
      <formula>P294</formula>
    </cfRule>
  </conditionalFormatting>
  <conditionalFormatting sqref="Q294">
    <cfRule type="cellIs" dxfId="9" priority="630" operator="notEqual">
      <formula>P294</formula>
    </cfRule>
  </conditionalFormatting>
  <conditionalFormatting sqref="N142">
    <cfRule type="expression" dxfId="0" priority="631">
      <formula>COUNTIF(#REF!, N142) &gt; 1</formula>
    </cfRule>
  </conditionalFormatting>
  <conditionalFormatting sqref="U142">
    <cfRule type="containsText" dxfId="3" priority="632" operator="containsText" text="В строю">
      <formula>NOT(ISERROR(SEARCH(("В строю"),(U142))))</formula>
    </cfRule>
  </conditionalFormatting>
  <conditionalFormatting sqref="U142">
    <cfRule type="containsText" dxfId="4" priority="633" operator="containsText" text="Відпустка">
      <formula>NOT(ISERROR(SEARCH(("Відпустка"),(U142))))</formula>
    </cfRule>
  </conditionalFormatting>
  <conditionalFormatting sqref="U142">
    <cfRule type="containsText" dxfId="5" priority="634" operator="containsText" text="СЗЧ">
      <formula>NOT(ISERROR(SEARCH(("СЗЧ"),(U142))))</formula>
    </cfRule>
  </conditionalFormatting>
  <conditionalFormatting sqref="U142">
    <cfRule type="containsText" dxfId="6" priority="635" operator="containsText" text="Зниклі безвісти">
      <formula>NOT(ISERROR(SEARCH(("Зниклі безвісти"),(U142))))</formula>
    </cfRule>
  </conditionalFormatting>
  <conditionalFormatting sqref="U142">
    <cfRule type="containsText" dxfId="7" priority="636" operator="containsText" text="Від-ні навчання">
      <formula>NOT(ISERROR(SEARCH(("Від-ні навчання"),(U142))))</formula>
    </cfRule>
  </conditionalFormatting>
  <conditionalFormatting sqref="U142">
    <cfRule type="containsText" dxfId="8" priority="637" operator="containsText" text="Відком. за межі ПБ">
      <formula>NOT(ISERROR(SEARCH(("Відком. за межі ПБ"),(U142))))</formula>
    </cfRule>
  </conditionalFormatting>
  <conditionalFormatting sqref="U142">
    <cfRule type="containsText" dxfId="9" priority="638" operator="containsText" text="Загиблі">
      <formula>NOT(ISERROR(SEARCH(("Загиблі"),(U142))))</formula>
    </cfRule>
  </conditionalFormatting>
  <conditionalFormatting sqref="U142">
    <cfRule type="containsText" dxfId="10" priority="639" operator="containsText" text="Лікування">
      <formula>NOT(ISERROR(SEARCH(("Лікування"),(U142))))</formula>
    </cfRule>
  </conditionalFormatting>
  <conditionalFormatting sqref="Q142">
    <cfRule type="cellIs" dxfId="3" priority="640" operator="equal">
      <formula>P142</formula>
    </cfRule>
  </conditionalFormatting>
  <conditionalFormatting sqref="Q142">
    <cfRule type="cellIs" dxfId="9" priority="641" operator="notEqual">
      <formula>P142</formula>
    </cfRule>
  </conditionalFormatting>
  <conditionalFormatting sqref="N142">
    <cfRule type="expression" dxfId="0" priority="642">
      <formula>COUNTIF(#REF!, N142) &gt; 1</formula>
    </cfRule>
  </conditionalFormatting>
  <conditionalFormatting sqref="U712:U714 U716">
    <cfRule type="containsText" dxfId="3" priority="643" operator="containsText" text="В строю">
      <formula>NOT(ISERROR(SEARCH(("В строю"),(U712))))</formula>
    </cfRule>
  </conditionalFormatting>
  <conditionalFormatting sqref="U712:U714 U716">
    <cfRule type="containsText" dxfId="4" priority="644" operator="containsText" text="Відпустка">
      <formula>NOT(ISERROR(SEARCH(("Відпустка"),(U712))))</formula>
    </cfRule>
  </conditionalFormatting>
  <conditionalFormatting sqref="U712:U714 U716">
    <cfRule type="containsText" dxfId="5" priority="645" operator="containsText" text="СЗЧ">
      <formula>NOT(ISERROR(SEARCH(("СЗЧ"),(U712))))</formula>
    </cfRule>
  </conditionalFormatting>
  <conditionalFormatting sqref="U712:U714 U716">
    <cfRule type="containsText" dxfId="6" priority="646" operator="containsText" text="Зниклі безвісти">
      <formula>NOT(ISERROR(SEARCH(("Зниклі безвісти"),(U712))))</formula>
    </cfRule>
  </conditionalFormatting>
  <conditionalFormatting sqref="U712:U714 U716">
    <cfRule type="containsText" dxfId="7" priority="647" operator="containsText" text="Від-ні навчання">
      <formula>NOT(ISERROR(SEARCH(("Від-ні навчання"),(U712))))</formula>
    </cfRule>
  </conditionalFormatting>
  <conditionalFormatting sqref="U712:U714 U716">
    <cfRule type="containsText" dxfId="8" priority="648" operator="containsText" text="Відком. за межі ПБ">
      <formula>NOT(ISERROR(SEARCH(("Відком. за межі ПБ"),(U712))))</formula>
    </cfRule>
  </conditionalFormatting>
  <conditionalFormatting sqref="U712:U714 U716">
    <cfRule type="containsText" dxfId="9" priority="649" operator="containsText" text="Загиблі">
      <formula>NOT(ISERROR(SEARCH(("Загиблі"),(U712))))</formula>
    </cfRule>
  </conditionalFormatting>
  <conditionalFormatting sqref="U712:U714 U716">
    <cfRule type="containsText" dxfId="10" priority="650" operator="containsText" text="Лікування">
      <formula>NOT(ISERROR(SEARCH(("Лікування"),(U712))))</formula>
    </cfRule>
  </conditionalFormatting>
  <conditionalFormatting sqref="Q712:Q713">
    <cfRule type="cellIs" dxfId="3" priority="651" operator="equal">
      <formula>P712</formula>
    </cfRule>
  </conditionalFormatting>
  <conditionalFormatting sqref="Q712:Q713">
    <cfRule type="cellIs" dxfId="9" priority="652" operator="notEqual">
      <formula>P712</formula>
    </cfRule>
  </conditionalFormatting>
  <conditionalFormatting sqref="N712:N713">
    <cfRule type="expression" dxfId="0" priority="653">
      <formula>COUNTIF(#REF!, N712) &gt; 1</formula>
    </cfRule>
  </conditionalFormatting>
  <conditionalFormatting sqref="Q546">
    <cfRule type="cellIs" dxfId="9" priority="654" operator="notEqual">
      <formula>P546</formula>
    </cfRule>
  </conditionalFormatting>
  <conditionalFormatting sqref="Q546">
    <cfRule type="cellIs" dxfId="3" priority="655" operator="equal">
      <formula>P546</formula>
    </cfRule>
  </conditionalFormatting>
  <conditionalFormatting sqref="N545:N546 O546">
    <cfRule type="expression" dxfId="0" priority="656">
      <formula>COUNTIF(#REF!, N545) &gt; 1</formula>
    </cfRule>
  </conditionalFormatting>
  <conditionalFormatting sqref="U546">
    <cfRule type="containsText" dxfId="10" priority="657" operator="containsText" text="Лікування">
      <formula>NOT(ISERROR(SEARCH(("Лікування"),(U546))))</formula>
    </cfRule>
  </conditionalFormatting>
  <conditionalFormatting sqref="U546">
    <cfRule type="containsText" dxfId="9" priority="658" operator="containsText" text="Загиблі">
      <formula>NOT(ISERROR(SEARCH(("Загиблі"),(U546))))</formula>
    </cfRule>
  </conditionalFormatting>
  <conditionalFormatting sqref="U546">
    <cfRule type="containsText" dxfId="8" priority="659" operator="containsText" text="Відком. за межі ПБ">
      <formula>NOT(ISERROR(SEARCH(("Відком. за межі ПБ"),(U546))))</formula>
    </cfRule>
  </conditionalFormatting>
  <conditionalFormatting sqref="U546">
    <cfRule type="containsText" dxfId="7" priority="660" operator="containsText" text="Від-ні навчання">
      <formula>NOT(ISERROR(SEARCH(("Від-ні навчання"),(U546))))</formula>
    </cfRule>
  </conditionalFormatting>
  <conditionalFormatting sqref="U546">
    <cfRule type="containsText" dxfId="6" priority="661" operator="containsText" text="Зниклі безвісти">
      <formula>NOT(ISERROR(SEARCH(("Зниклі безвісти"),(U546))))</formula>
    </cfRule>
  </conditionalFormatting>
  <conditionalFormatting sqref="U546">
    <cfRule type="containsText" dxfId="5" priority="662" operator="containsText" text="СЗЧ">
      <formula>NOT(ISERROR(SEARCH(("СЗЧ"),(U546))))</formula>
    </cfRule>
  </conditionalFormatting>
  <conditionalFormatting sqref="U546">
    <cfRule type="containsText" dxfId="4" priority="663" operator="containsText" text="Відпустка">
      <formula>NOT(ISERROR(SEARCH(("Відпустка"),(U546))))</formula>
    </cfRule>
  </conditionalFormatting>
  <conditionalFormatting sqref="U546">
    <cfRule type="containsText" dxfId="3" priority="664" operator="containsText" text="В строю">
      <formula>NOT(ISERROR(SEARCH(("В строю"),(U546))))</formula>
    </cfRule>
  </conditionalFormatting>
  <conditionalFormatting sqref="Q202">
    <cfRule type="cellIs" dxfId="3" priority="665" operator="equal">
      <formula>P202</formula>
    </cfRule>
  </conditionalFormatting>
  <conditionalFormatting sqref="Q202">
    <cfRule type="cellIs" dxfId="9" priority="666" operator="notEqual">
      <formula>P202</formula>
    </cfRule>
  </conditionalFormatting>
  <conditionalFormatting sqref="U202">
    <cfRule type="containsText" dxfId="3" priority="667" operator="containsText" text="В строю">
      <formula>NOT(ISERROR(SEARCH(("В строю"),(U202))))</formula>
    </cfRule>
  </conditionalFormatting>
  <conditionalFormatting sqref="U202">
    <cfRule type="containsText" dxfId="4" priority="668" operator="containsText" text="Відпустка">
      <formula>NOT(ISERROR(SEARCH(("Відпустка"),(U202))))</formula>
    </cfRule>
  </conditionalFormatting>
  <conditionalFormatting sqref="U202">
    <cfRule type="containsText" dxfId="5" priority="669" operator="containsText" text="СЗЧ">
      <formula>NOT(ISERROR(SEARCH(("СЗЧ"),(U202))))</formula>
    </cfRule>
  </conditionalFormatting>
  <conditionalFormatting sqref="U202">
    <cfRule type="containsText" dxfId="6" priority="670" operator="containsText" text="Зниклі безвісти">
      <formula>NOT(ISERROR(SEARCH(("Зниклі безвісти"),(U202))))</formula>
    </cfRule>
  </conditionalFormatting>
  <conditionalFormatting sqref="U202">
    <cfRule type="containsText" dxfId="7" priority="671" operator="containsText" text="Від-ні навчання">
      <formula>NOT(ISERROR(SEARCH(("Від-ні навчання"),(U202))))</formula>
    </cfRule>
  </conditionalFormatting>
  <conditionalFormatting sqref="U202">
    <cfRule type="containsText" dxfId="8" priority="672" operator="containsText" text="Відком. за межі ПБ">
      <formula>NOT(ISERROR(SEARCH(("Відком. за межі ПБ"),(U202))))</formula>
    </cfRule>
  </conditionalFormatting>
  <conditionalFormatting sqref="U202">
    <cfRule type="containsText" dxfId="9" priority="673" operator="containsText" text="Загиблі">
      <formula>NOT(ISERROR(SEARCH(("Загиблі"),(U202))))</formula>
    </cfRule>
  </conditionalFormatting>
  <conditionalFormatting sqref="U202">
    <cfRule type="containsText" dxfId="10" priority="674" operator="containsText" text="Лікування">
      <formula>NOT(ISERROR(SEARCH(("Лікування"),(U202))))</formula>
    </cfRule>
  </conditionalFormatting>
  <conditionalFormatting sqref="Q471">
    <cfRule type="cellIs" dxfId="3" priority="675" operator="equal">
      <formula>P471</formula>
    </cfRule>
  </conditionalFormatting>
  <conditionalFormatting sqref="Q471">
    <cfRule type="cellIs" dxfId="9" priority="676" operator="notEqual">
      <formula>P471</formula>
    </cfRule>
  </conditionalFormatting>
  <conditionalFormatting sqref="U471">
    <cfRule type="containsText" dxfId="3" priority="677" operator="containsText" text="В строю">
      <formula>NOT(ISERROR(SEARCH(("В строю"),(U471))))</formula>
    </cfRule>
  </conditionalFormatting>
  <conditionalFormatting sqref="U471">
    <cfRule type="containsText" dxfId="4" priority="678" operator="containsText" text="Відпустка">
      <formula>NOT(ISERROR(SEARCH(("Відпустка"),(U471))))</formula>
    </cfRule>
  </conditionalFormatting>
  <conditionalFormatting sqref="U471">
    <cfRule type="containsText" dxfId="5" priority="679" operator="containsText" text="СЗЧ">
      <formula>NOT(ISERROR(SEARCH(("СЗЧ"),(U471))))</formula>
    </cfRule>
  </conditionalFormatting>
  <conditionalFormatting sqref="U471">
    <cfRule type="containsText" dxfId="6" priority="680" operator="containsText" text="Зниклі безвісти">
      <formula>NOT(ISERROR(SEARCH(("Зниклі безвісти"),(U471))))</formula>
    </cfRule>
  </conditionalFormatting>
  <conditionalFormatting sqref="U471">
    <cfRule type="containsText" dxfId="7" priority="681" operator="containsText" text="Від-ні навчання">
      <formula>NOT(ISERROR(SEARCH(("Від-ні навчання"),(U471))))</formula>
    </cfRule>
  </conditionalFormatting>
  <conditionalFormatting sqref="U471">
    <cfRule type="containsText" dxfId="8" priority="682" operator="containsText" text="Відком. за межі ПБ">
      <formula>NOT(ISERROR(SEARCH(("Відком. за межі ПБ"),(U471))))</formula>
    </cfRule>
  </conditionalFormatting>
  <conditionalFormatting sqref="U471">
    <cfRule type="containsText" dxfId="9" priority="683" operator="containsText" text="Загиблі">
      <formula>NOT(ISERROR(SEARCH(("Загиблі"),(U471))))</formula>
    </cfRule>
  </conditionalFormatting>
  <conditionalFormatting sqref="U471">
    <cfRule type="containsText" dxfId="10" priority="684" operator="containsText" text="Лікування">
      <formula>NOT(ISERROR(SEARCH(("Лікування"),(U471))))</formula>
    </cfRule>
  </conditionalFormatting>
  <conditionalFormatting sqref="N471">
    <cfRule type="expression" dxfId="0" priority="685">
      <formula>COUNTIF(#REF!, N471) &gt; 1</formula>
    </cfRule>
  </conditionalFormatting>
  <conditionalFormatting sqref="Q637">
    <cfRule type="cellIs" dxfId="3" priority="686" operator="equal">
      <formula>P637</formula>
    </cfRule>
  </conditionalFormatting>
  <conditionalFormatting sqref="Q637">
    <cfRule type="cellIs" dxfId="9" priority="687" operator="notEqual">
      <formula>P637</formula>
    </cfRule>
  </conditionalFormatting>
  <conditionalFormatting sqref="U637">
    <cfRule type="containsText" dxfId="3" priority="688" operator="containsText" text="В строю">
      <formula>NOT(ISERROR(SEARCH(("В строю"),(U637))))</formula>
    </cfRule>
  </conditionalFormatting>
  <conditionalFormatting sqref="U637">
    <cfRule type="containsText" dxfId="4" priority="689" operator="containsText" text="Відпустка">
      <formula>NOT(ISERROR(SEARCH(("Відпустка"),(U637))))</formula>
    </cfRule>
  </conditionalFormatting>
  <conditionalFormatting sqref="U637">
    <cfRule type="containsText" dxfId="5" priority="690" operator="containsText" text="СЗЧ">
      <formula>NOT(ISERROR(SEARCH(("СЗЧ"),(U637))))</formula>
    </cfRule>
  </conditionalFormatting>
  <conditionalFormatting sqref="U637">
    <cfRule type="containsText" dxfId="6" priority="691" operator="containsText" text="Зниклі безвісти">
      <formula>NOT(ISERROR(SEARCH(("Зниклі безвісти"),(U637))))</formula>
    </cfRule>
  </conditionalFormatting>
  <conditionalFormatting sqref="U637">
    <cfRule type="containsText" dxfId="7" priority="692" operator="containsText" text="Від-ні навчання">
      <formula>NOT(ISERROR(SEARCH(("Від-ні навчання"),(U637))))</formula>
    </cfRule>
  </conditionalFormatting>
  <conditionalFormatting sqref="U637">
    <cfRule type="containsText" dxfId="8" priority="693" operator="containsText" text="Відком. за межі ПБ">
      <formula>NOT(ISERROR(SEARCH(("Відком. за межі ПБ"),(U637))))</formula>
    </cfRule>
  </conditionalFormatting>
  <conditionalFormatting sqref="U637">
    <cfRule type="containsText" dxfId="9" priority="694" operator="containsText" text="Загиблі">
      <formula>NOT(ISERROR(SEARCH(("Загиблі"),(U637))))</formula>
    </cfRule>
  </conditionalFormatting>
  <conditionalFormatting sqref="U637">
    <cfRule type="containsText" dxfId="10" priority="695" operator="containsText" text="Лікування">
      <formula>NOT(ISERROR(SEARCH(("Лікування"),(U637))))</formula>
    </cfRule>
  </conditionalFormatting>
  <conditionalFormatting sqref="N637">
    <cfRule type="expression" dxfId="0" priority="696">
      <formula>COUNTIF(#REF!, N637) &gt; 1</formula>
    </cfRule>
  </conditionalFormatting>
  <conditionalFormatting sqref="N186">
    <cfRule type="expression" dxfId="0" priority="697">
      <formula>COUNTIF(#REF!, N186) &gt; 1</formula>
    </cfRule>
  </conditionalFormatting>
  <conditionalFormatting sqref="Q531">
    <cfRule type="cellIs" dxfId="3" priority="698" operator="equal">
      <formula>P531</formula>
    </cfRule>
  </conditionalFormatting>
  <conditionalFormatting sqref="Q531">
    <cfRule type="cellIs" dxfId="9" priority="699" operator="notEqual">
      <formula>P531</formula>
    </cfRule>
  </conditionalFormatting>
  <conditionalFormatting sqref="U531">
    <cfRule type="containsText" dxfId="3" priority="700" operator="containsText" text="В строю">
      <formula>NOT(ISERROR(SEARCH(("В строю"),(U531))))</formula>
    </cfRule>
  </conditionalFormatting>
  <conditionalFormatting sqref="U531">
    <cfRule type="containsText" dxfId="4" priority="701" operator="containsText" text="Відпустка">
      <formula>NOT(ISERROR(SEARCH(("Відпустка"),(U531))))</formula>
    </cfRule>
  </conditionalFormatting>
  <conditionalFormatting sqref="U531">
    <cfRule type="containsText" dxfId="5" priority="702" operator="containsText" text="СЗЧ">
      <formula>NOT(ISERROR(SEARCH(("СЗЧ"),(U531))))</formula>
    </cfRule>
  </conditionalFormatting>
  <conditionalFormatting sqref="U531">
    <cfRule type="containsText" dxfId="6" priority="703" operator="containsText" text="Зниклі безвісти">
      <formula>NOT(ISERROR(SEARCH(("Зниклі безвісти"),(U531))))</formula>
    </cfRule>
  </conditionalFormatting>
  <conditionalFormatting sqref="U531">
    <cfRule type="containsText" dxfId="7" priority="704" operator="containsText" text="Від-ні навчання">
      <formula>NOT(ISERROR(SEARCH(("Від-ні навчання"),(U531))))</formula>
    </cfRule>
  </conditionalFormatting>
  <conditionalFormatting sqref="U531">
    <cfRule type="containsText" dxfId="8" priority="705" operator="containsText" text="Відком. за межі ПБ">
      <formula>NOT(ISERROR(SEARCH(("Відком. за межі ПБ"),(U531))))</formula>
    </cfRule>
  </conditionalFormatting>
  <conditionalFormatting sqref="U531">
    <cfRule type="containsText" dxfId="9" priority="706" operator="containsText" text="Загиблі">
      <formula>NOT(ISERROR(SEARCH(("Загиблі"),(U531))))</formula>
    </cfRule>
  </conditionalFormatting>
  <conditionalFormatting sqref="U531">
    <cfRule type="containsText" dxfId="10" priority="707" operator="containsText" text="Лікування">
      <formula>NOT(ISERROR(SEARCH(("Лікування"),(U531))))</formula>
    </cfRule>
  </conditionalFormatting>
  <conditionalFormatting sqref="N531">
    <cfRule type="expression" dxfId="0" priority="708">
      <formula>COUNTIF(#REF!, N531) &gt; 1</formula>
    </cfRule>
  </conditionalFormatting>
  <conditionalFormatting sqref="Q529">
    <cfRule type="cellIs" dxfId="3" priority="709" operator="equal">
      <formula>P529</formula>
    </cfRule>
  </conditionalFormatting>
  <conditionalFormatting sqref="Q529">
    <cfRule type="cellIs" dxfId="9" priority="710" operator="notEqual">
      <formula>P529</formula>
    </cfRule>
  </conditionalFormatting>
  <conditionalFormatting sqref="N529">
    <cfRule type="expression" dxfId="0" priority="711">
      <formula>COUNTIF(#REF!, N529) &gt; 1</formula>
    </cfRule>
  </conditionalFormatting>
  <conditionalFormatting sqref="U529">
    <cfRule type="containsText" dxfId="3" priority="712" operator="containsText" text="В строю">
      <formula>NOT(ISERROR(SEARCH(("В строю"),(U529))))</formula>
    </cfRule>
  </conditionalFormatting>
  <conditionalFormatting sqref="U529">
    <cfRule type="containsText" dxfId="4" priority="713" operator="containsText" text="Відпустка">
      <formula>NOT(ISERROR(SEARCH(("Відпустка"),(U529))))</formula>
    </cfRule>
  </conditionalFormatting>
  <conditionalFormatting sqref="U529">
    <cfRule type="containsText" dxfId="5" priority="714" operator="containsText" text="СЗЧ">
      <formula>NOT(ISERROR(SEARCH(("СЗЧ"),(U529))))</formula>
    </cfRule>
  </conditionalFormatting>
  <conditionalFormatting sqref="U529">
    <cfRule type="containsText" dxfId="6" priority="715" operator="containsText" text="Зниклі безвісти">
      <formula>NOT(ISERROR(SEARCH(("Зниклі безвісти"),(U529))))</formula>
    </cfRule>
  </conditionalFormatting>
  <conditionalFormatting sqref="U529">
    <cfRule type="containsText" dxfId="7" priority="716" operator="containsText" text="Від-ні навчання">
      <formula>NOT(ISERROR(SEARCH(("Від-ні навчання"),(U529))))</formula>
    </cfRule>
  </conditionalFormatting>
  <conditionalFormatting sqref="U529">
    <cfRule type="containsText" dxfId="8" priority="717" operator="containsText" text="Відком. за межі ПБ">
      <formula>NOT(ISERROR(SEARCH(("Відком. за межі ПБ"),(U529))))</formula>
    </cfRule>
  </conditionalFormatting>
  <conditionalFormatting sqref="U529">
    <cfRule type="containsText" dxfId="9" priority="718" operator="containsText" text="Загиблі">
      <formula>NOT(ISERROR(SEARCH(("Загиблі"),(U529))))</formula>
    </cfRule>
  </conditionalFormatting>
  <conditionalFormatting sqref="U529">
    <cfRule type="containsText" dxfId="10" priority="719" operator="containsText" text="Лікування">
      <formula>NOT(ISERROR(SEARCH(("Лікування"),(U529))))</formula>
    </cfRule>
  </conditionalFormatting>
  <conditionalFormatting sqref="Q528">
    <cfRule type="cellIs" dxfId="3" priority="720" operator="equal">
      <formula>P528</formula>
    </cfRule>
  </conditionalFormatting>
  <conditionalFormatting sqref="Q528">
    <cfRule type="cellIs" dxfId="9" priority="721" operator="notEqual">
      <formula>P528</formula>
    </cfRule>
  </conditionalFormatting>
  <conditionalFormatting sqref="N528">
    <cfRule type="expression" dxfId="0" priority="722">
      <formula>COUNTIF(#REF!, N528) &gt; 1</formula>
    </cfRule>
  </conditionalFormatting>
  <conditionalFormatting sqref="U528">
    <cfRule type="containsText" dxfId="3" priority="723" operator="containsText" text="В строю">
      <formula>NOT(ISERROR(SEARCH(("В строю"),(U528))))</formula>
    </cfRule>
  </conditionalFormatting>
  <conditionalFormatting sqref="U528">
    <cfRule type="containsText" dxfId="4" priority="724" operator="containsText" text="Відпустка">
      <formula>NOT(ISERROR(SEARCH(("Відпустка"),(U528))))</formula>
    </cfRule>
  </conditionalFormatting>
  <conditionalFormatting sqref="U528">
    <cfRule type="containsText" dxfId="5" priority="725" operator="containsText" text="СЗЧ">
      <formula>NOT(ISERROR(SEARCH(("СЗЧ"),(U528))))</formula>
    </cfRule>
  </conditionalFormatting>
  <conditionalFormatting sqref="U528">
    <cfRule type="containsText" dxfId="6" priority="726" operator="containsText" text="Зниклі безвісти">
      <formula>NOT(ISERROR(SEARCH(("Зниклі безвісти"),(U528))))</formula>
    </cfRule>
  </conditionalFormatting>
  <conditionalFormatting sqref="U528">
    <cfRule type="containsText" dxfId="7" priority="727" operator="containsText" text="Від-ні навчання">
      <formula>NOT(ISERROR(SEARCH(("Від-ні навчання"),(U528))))</formula>
    </cfRule>
  </conditionalFormatting>
  <conditionalFormatting sqref="U528">
    <cfRule type="containsText" dxfId="8" priority="728" operator="containsText" text="Відком. за межі ПБ">
      <formula>NOT(ISERROR(SEARCH(("Відком. за межі ПБ"),(U528))))</formula>
    </cfRule>
  </conditionalFormatting>
  <conditionalFormatting sqref="U528">
    <cfRule type="containsText" dxfId="9" priority="729" operator="containsText" text="Загиблі">
      <formula>NOT(ISERROR(SEARCH(("Загиблі"),(U528))))</formula>
    </cfRule>
  </conditionalFormatting>
  <conditionalFormatting sqref="U528">
    <cfRule type="containsText" dxfId="10" priority="730" operator="containsText" text="Лікування">
      <formula>NOT(ISERROR(SEARCH(("Лікування"),(U528))))</formula>
    </cfRule>
  </conditionalFormatting>
  <conditionalFormatting sqref="Q527">
    <cfRule type="cellIs" dxfId="3" priority="731" operator="equal">
      <formula>P527</formula>
    </cfRule>
  </conditionalFormatting>
  <conditionalFormatting sqref="Q527">
    <cfRule type="cellIs" dxfId="9" priority="732" operator="notEqual">
      <formula>P527</formula>
    </cfRule>
  </conditionalFormatting>
  <conditionalFormatting sqref="N527">
    <cfRule type="expression" dxfId="0" priority="733">
      <formula>COUNTIF(#REF!, N527) &gt; 1</formula>
    </cfRule>
  </conditionalFormatting>
  <conditionalFormatting sqref="U527">
    <cfRule type="containsText" dxfId="3" priority="734" operator="containsText" text="В строю">
      <formula>NOT(ISERROR(SEARCH(("В строю"),(U527))))</formula>
    </cfRule>
  </conditionalFormatting>
  <conditionalFormatting sqref="U527">
    <cfRule type="containsText" dxfId="4" priority="735" operator="containsText" text="Відпустка">
      <formula>NOT(ISERROR(SEARCH(("Відпустка"),(U527))))</formula>
    </cfRule>
  </conditionalFormatting>
  <conditionalFormatting sqref="U527">
    <cfRule type="containsText" dxfId="5" priority="736" operator="containsText" text="СЗЧ">
      <formula>NOT(ISERROR(SEARCH(("СЗЧ"),(U527))))</formula>
    </cfRule>
  </conditionalFormatting>
  <conditionalFormatting sqref="U527">
    <cfRule type="containsText" dxfId="6" priority="737" operator="containsText" text="Зниклі безвісти">
      <formula>NOT(ISERROR(SEARCH(("Зниклі безвісти"),(U527))))</formula>
    </cfRule>
  </conditionalFormatting>
  <conditionalFormatting sqref="U527">
    <cfRule type="containsText" dxfId="7" priority="738" operator="containsText" text="Від-ні навчання">
      <formula>NOT(ISERROR(SEARCH(("Від-ні навчання"),(U527))))</formula>
    </cfRule>
  </conditionalFormatting>
  <conditionalFormatting sqref="U527">
    <cfRule type="containsText" dxfId="8" priority="739" operator="containsText" text="Відком. за межі ПБ">
      <formula>NOT(ISERROR(SEARCH(("Відком. за межі ПБ"),(U527))))</formula>
    </cfRule>
  </conditionalFormatting>
  <conditionalFormatting sqref="U527">
    <cfRule type="containsText" dxfId="9" priority="740" operator="containsText" text="Загиблі">
      <formula>NOT(ISERROR(SEARCH(("Загиблі"),(U527))))</formula>
    </cfRule>
  </conditionalFormatting>
  <conditionalFormatting sqref="U527">
    <cfRule type="containsText" dxfId="10" priority="741" operator="containsText" text="Лікування">
      <formula>NOT(ISERROR(SEARCH(("Лікування"),(U527))))</formula>
    </cfRule>
  </conditionalFormatting>
  <conditionalFormatting sqref="Q721">
    <cfRule type="cellIs" dxfId="3" priority="742" operator="equal">
      <formula>P721</formula>
    </cfRule>
  </conditionalFormatting>
  <conditionalFormatting sqref="Q721">
    <cfRule type="cellIs" dxfId="9" priority="743" operator="notEqual">
      <formula>P721</formula>
    </cfRule>
  </conditionalFormatting>
  <conditionalFormatting sqref="U526 U721">
    <cfRule type="containsText" dxfId="3" priority="744" operator="containsText" text="В строю">
      <formula>NOT(ISERROR(SEARCH(("В строю"),(U526))))</formula>
    </cfRule>
  </conditionalFormatting>
  <conditionalFormatting sqref="U526 U721">
    <cfRule type="containsText" dxfId="4" priority="745" operator="containsText" text="Відпустка">
      <formula>NOT(ISERROR(SEARCH(("Відпустка"),(U526))))</formula>
    </cfRule>
  </conditionalFormatting>
  <conditionalFormatting sqref="U526 U721">
    <cfRule type="containsText" dxfId="5" priority="746" operator="containsText" text="СЗЧ">
      <formula>NOT(ISERROR(SEARCH(("СЗЧ"),(U526))))</formula>
    </cfRule>
  </conditionalFormatting>
  <conditionalFormatting sqref="U526 U721">
    <cfRule type="containsText" dxfId="6" priority="747" operator="containsText" text="Зниклі безвісти">
      <formula>NOT(ISERROR(SEARCH(("Зниклі безвісти"),(U526))))</formula>
    </cfRule>
  </conditionalFormatting>
  <conditionalFormatting sqref="U526 U721">
    <cfRule type="containsText" dxfId="7" priority="748" operator="containsText" text="Від-ні навчання">
      <formula>NOT(ISERROR(SEARCH(("Від-ні навчання"),(U526))))</formula>
    </cfRule>
  </conditionalFormatting>
  <conditionalFormatting sqref="U526 U721">
    <cfRule type="containsText" dxfId="8" priority="749" operator="containsText" text="Відком. за межі ПБ">
      <formula>NOT(ISERROR(SEARCH(("Відком. за межі ПБ"),(U526))))</formula>
    </cfRule>
  </conditionalFormatting>
  <conditionalFormatting sqref="U526 U721">
    <cfRule type="containsText" dxfId="9" priority="750" operator="containsText" text="Загиблі">
      <formula>NOT(ISERROR(SEARCH(("Загиблі"),(U526))))</formula>
    </cfRule>
  </conditionalFormatting>
  <conditionalFormatting sqref="U526 U721">
    <cfRule type="containsText" dxfId="10" priority="751" operator="containsText" text="Лікування">
      <formula>NOT(ISERROR(SEARCH(("Лікування"),(U526))))</formula>
    </cfRule>
  </conditionalFormatting>
  <conditionalFormatting sqref="N721">
    <cfRule type="expression" dxfId="0" priority="752">
      <formula>COUNTIF(#REF!, N721) &gt; 1</formula>
    </cfRule>
  </conditionalFormatting>
  <conditionalFormatting sqref="Q521">
    <cfRule type="cellIs" dxfId="3" priority="753" operator="equal">
      <formula>P521</formula>
    </cfRule>
  </conditionalFormatting>
  <conditionalFormatting sqref="Q521">
    <cfRule type="cellIs" dxfId="9" priority="754" operator="notEqual">
      <formula>P521</formula>
    </cfRule>
  </conditionalFormatting>
  <conditionalFormatting sqref="N521">
    <cfRule type="expression" dxfId="0" priority="755">
      <formula>COUNTIF(#REF!, N521) &gt; 1</formula>
    </cfRule>
  </conditionalFormatting>
  <conditionalFormatting sqref="U521">
    <cfRule type="containsText" dxfId="3" priority="756" operator="containsText" text="В строю">
      <formula>NOT(ISERROR(SEARCH(("В строю"),(U521))))</formula>
    </cfRule>
  </conditionalFormatting>
  <conditionalFormatting sqref="U521">
    <cfRule type="containsText" dxfId="4" priority="757" operator="containsText" text="Відпустка">
      <formula>NOT(ISERROR(SEARCH(("Відпустка"),(U521))))</formula>
    </cfRule>
  </conditionalFormatting>
  <conditionalFormatting sqref="U521">
    <cfRule type="containsText" dxfId="5" priority="758" operator="containsText" text="СЗЧ">
      <formula>NOT(ISERROR(SEARCH(("СЗЧ"),(U521))))</formula>
    </cfRule>
  </conditionalFormatting>
  <conditionalFormatting sqref="U521">
    <cfRule type="containsText" dxfId="6" priority="759" operator="containsText" text="Зниклі безвісти">
      <formula>NOT(ISERROR(SEARCH(("Зниклі безвісти"),(U521))))</formula>
    </cfRule>
  </conditionalFormatting>
  <conditionalFormatting sqref="U521">
    <cfRule type="containsText" dxfId="7" priority="760" operator="containsText" text="Від-ні навчання">
      <formula>NOT(ISERROR(SEARCH(("Від-ні навчання"),(U521))))</formula>
    </cfRule>
  </conditionalFormatting>
  <conditionalFormatting sqref="U521">
    <cfRule type="containsText" dxfId="8" priority="761" operator="containsText" text="Відком. за межі ПБ">
      <formula>NOT(ISERROR(SEARCH(("Відком. за межі ПБ"),(U521))))</formula>
    </cfRule>
  </conditionalFormatting>
  <conditionalFormatting sqref="U521">
    <cfRule type="containsText" dxfId="9" priority="762" operator="containsText" text="Загиблі">
      <formula>NOT(ISERROR(SEARCH(("Загиблі"),(U521))))</formula>
    </cfRule>
  </conditionalFormatting>
  <conditionalFormatting sqref="U521">
    <cfRule type="containsText" dxfId="10" priority="763" operator="containsText" text="Лікування">
      <formula>NOT(ISERROR(SEARCH(("Лікування"),(U521))))</formula>
    </cfRule>
  </conditionalFormatting>
  <conditionalFormatting sqref="Q519">
    <cfRule type="cellIs" dxfId="3" priority="764" operator="equal">
      <formula>P519</formula>
    </cfRule>
  </conditionalFormatting>
  <conditionalFormatting sqref="Q519">
    <cfRule type="cellIs" dxfId="9" priority="765" operator="notEqual">
      <formula>P519</formula>
    </cfRule>
  </conditionalFormatting>
  <conditionalFormatting sqref="N519">
    <cfRule type="expression" dxfId="0" priority="766">
      <formula>COUNTIF(#REF!, N519) &gt; 1</formula>
    </cfRule>
  </conditionalFormatting>
  <conditionalFormatting sqref="U519">
    <cfRule type="containsText" dxfId="3" priority="767" operator="containsText" text="В строю">
      <formula>NOT(ISERROR(SEARCH(("В строю"),(U519))))</formula>
    </cfRule>
  </conditionalFormatting>
  <conditionalFormatting sqref="U519">
    <cfRule type="containsText" dxfId="4" priority="768" operator="containsText" text="Відпустка">
      <formula>NOT(ISERROR(SEARCH(("Відпустка"),(U519))))</formula>
    </cfRule>
  </conditionalFormatting>
  <conditionalFormatting sqref="U519">
    <cfRule type="containsText" dxfId="5" priority="769" operator="containsText" text="СЗЧ">
      <formula>NOT(ISERROR(SEARCH(("СЗЧ"),(U519))))</formula>
    </cfRule>
  </conditionalFormatting>
  <conditionalFormatting sqref="U519">
    <cfRule type="containsText" dxfId="6" priority="770" operator="containsText" text="Зниклі безвісти">
      <formula>NOT(ISERROR(SEARCH(("Зниклі безвісти"),(U519))))</formula>
    </cfRule>
  </conditionalFormatting>
  <conditionalFormatting sqref="U519">
    <cfRule type="containsText" dxfId="7" priority="771" operator="containsText" text="Від-ні навчання">
      <formula>NOT(ISERROR(SEARCH(("Від-ні навчання"),(U519))))</formula>
    </cfRule>
  </conditionalFormatting>
  <conditionalFormatting sqref="U519">
    <cfRule type="containsText" dxfId="8" priority="772" operator="containsText" text="Відком. за межі ПБ">
      <formula>NOT(ISERROR(SEARCH(("Відком. за межі ПБ"),(U519))))</formula>
    </cfRule>
  </conditionalFormatting>
  <conditionalFormatting sqref="U519">
    <cfRule type="containsText" dxfId="9" priority="773" operator="containsText" text="Загиблі">
      <formula>NOT(ISERROR(SEARCH(("Загиблі"),(U519))))</formula>
    </cfRule>
  </conditionalFormatting>
  <conditionalFormatting sqref="U519">
    <cfRule type="containsText" dxfId="10" priority="774" operator="containsText" text="Лікування">
      <formula>NOT(ISERROR(SEARCH(("Лікування"),(U519))))</formula>
    </cfRule>
  </conditionalFormatting>
  <conditionalFormatting sqref="Q518">
    <cfRule type="cellIs" dxfId="3" priority="775" operator="equal">
      <formula>P518</formula>
    </cfRule>
  </conditionalFormatting>
  <conditionalFormatting sqref="Q518">
    <cfRule type="cellIs" dxfId="9" priority="776" operator="notEqual">
      <formula>P518</formula>
    </cfRule>
  </conditionalFormatting>
  <conditionalFormatting sqref="U518">
    <cfRule type="containsText" dxfId="3" priority="777" operator="containsText" text="В строю">
      <formula>NOT(ISERROR(SEARCH(("В строю"),(U518))))</formula>
    </cfRule>
  </conditionalFormatting>
  <conditionalFormatting sqref="U518">
    <cfRule type="containsText" dxfId="4" priority="778" operator="containsText" text="Відпустка">
      <formula>NOT(ISERROR(SEARCH(("Відпустка"),(U518))))</formula>
    </cfRule>
  </conditionalFormatting>
  <conditionalFormatting sqref="U518">
    <cfRule type="containsText" dxfId="5" priority="779" operator="containsText" text="СЗЧ">
      <formula>NOT(ISERROR(SEARCH(("СЗЧ"),(U518))))</formula>
    </cfRule>
  </conditionalFormatting>
  <conditionalFormatting sqref="U518">
    <cfRule type="containsText" dxfId="6" priority="780" operator="containsText" text="Зниклі безвісти">
      <formula>NOT(ISERROR(SEARCH(("Зниклі безвісти"),(U518))))</formula>
    </cfRule>
  </conditionalFormatting>
  <conditionalFormatting sqref="U518">
    <cfRule type="containsText" dxfId="7" priority="781" operator="containsText" text="Від-ні навчання">
      <formula>NOT(ISERROR(SEARCH(("Від-ні навчання"),(U518))))</formula>
    </cfRule>
  </conditionalFormatting>
  <conditionalFormatting sqref="U518">
    <cfRule type="containsText" dxfId="8" priority="782" operator="containsText" text="Відком. за межі ПБ">
      <formula>NOT(ISERROR(SEARCH(("Відком. за межі ПБ"),(U518))))</formula>
    </cfRule>
  </conditionalFormatting>
  <conditionalFormatting sqref="U518">
    <cfRule type="containsText" dxfId="9" priority="783" operator="containsText" text="Загиблі">
      <formula>NOT(ISERROR(SEARCH(("Загиблі"),(U518))))</formula>
    </cfRule>
  </conditionalFormatting>
  <conditionalFormatting sqref="U518">
    <cfRule type="containsText" dxfId="10" priority="784" operator="containsText" text="Лікування">
      <formula>NOT(ISERROR(SEARCH(("Лікування"),(U518))))</formula>
    </cfRule>
  </conditionalFormatting>
  <conditionalFormatting sqref="N518">
    <cfRule type="expression" dxfId="0" priority="785">
      <formula>COUNTIF(#REF!, N518) &gt; 1</formula>
    </cfRule>
  </conditionalFormatting>
  <conditionalFormatting sqref="Q508">
    <cfRule type="cellIs" dxfId="3" priority="786" operator="equal">
      <formula>P508</formula>
    </cfRule>
  </conditionalFormatting>
  <conditionalFormatting sqref="Q508">
    <cfRule type="cellIs" dxfId="9" priority="787" operator="notEqual">
      <formula>P508</formula>
    </cfRule>
  </conditionalFormatting>
  <conditionalFormatting sqref="U508">
    <cfRule type="containsText" dxfId="3" priority="788" operator="containsText" text="В строю">
      <formula>NOT(ISERROR(SEARCH(("В строю"),(U508))))</formula>
    </cfRule>
  </conditionalFormatting>
  <conditionalFormatting sqref="U508">
    <cfRule type="containsText" dxfId="4" priority="789" operator="containsText" text="Відпустка">
      <formula>NOT(ISERROR(SEARCH(("Відпустка"),(U508))))</formula>
    </cfRule>
  </conditionalFormatting>
  <conditionalFormatting sqref="U508">
    <cfRule type="containsText" dxfId="5" priority="790" operator="containsText" text="СЗЧ">
      <formula>NOT(ISERROR(SEARCH(("СЗЧ"),(U508))))</formula>
    </cfRule>
  </conditionalFormatting>
  <conditionalFormatting sqref="U508">
    <cfRule type="containsText" dxfId="6" priority="791" operator="containsText" text="Зниклі безвісти">
      <formula>NOT(ISERROR(SEARCH(("Зниклі безвісти"),(U508))))</formula>
    </cfRule>
  </conditionalFormatting>
  <conditionalFormatting sqref="U508">
    <cfRule type="containsText" dxfId="7" priority="792" operator="containsText" text="Від-ні навчання">
      <formula>NOT(ISERROR(SEARCH(("Від-ні навчання"),(U508))))</formula>
    </cfRule>
  </conditionalFormatting>
  <conditionalFormatting sqref="U508">
    <cfRule type="containsText" dxfId="8" priority="793" operator="containsText" text="Відком. за межі ПБ">
      <formula>NOT(ISERROR(SEARCH(("Відком. за межі ПБ"),(U508))))</formula>
    </cfRule>
  </conditionalFormatting>
  <conditionalFormatting sqref="U508">
    <cfRule type="containsText" dxfId="9" priority="794" operator="containsText" text="Загиблі">
      <formula>NOT(ISERROR(SEARCH(("Загиблі"),(U508))))</formula>
    </cfRule>
  </conditionalFormatting>
  <conditionalFormatting sqref="U508">
    <cfRule type="containsText" dxfId="10" priority="795" operator="containsText" text="Лікування">
      <formula>NOT(ISERROR(SEARCH(("Лікування"),(U508))))</formula>
    </cfRule>
  </conditionalFormatting>
  <conditionalFormatting sqref="N508:P508">
    <cfRule type="expression" dxfId="0" priority="796">
      <formula>COUNTIF(#REF!, N508) &gt; 1</formula>
    </cfRule>
  </conditionalFormatting>
  <conditionalFormatting sqref="N720">
    <cfRule type="expression" dxfId="0" priority="797">
      <formula>COUNTIF(#REF!, N720) &gt; 1</formula>
    </cfRule>
  </conditionalFormatting>
  <conditionalFormatting sqref="U720">
    <cfRule type="containsText" dxfId="3" priority="798" operator="containsText" text="В строю">
      <formula>NOT(ISERROR(SEARCH(("В строю"),(U720))))</formula>
    </cfRule>
  </conditionalFormatting>
  <conditionalFormatting sqref="U720">
    <cfRule type="containsText" dxfId="4" priority="799" operator="containsText" text="Відпустка">
      <formula>NOT(ISERROR(SEARCH(("Відпустка"),(U720))))</formula>
    </cfRule>
  </conditionalFormatting>
  <conditionalFormatting sqref="U720">
    <cfRule type="containsText" dxfId="5" priority="800" operator="containsText" text="СЗЧ">
      <formula>NOT(ISERROR(SEARCH(("СЗЧ"),(U720))))</formula>
    </cfRule>
  </conditionalFormatting>
  <conditionalFormatting sqref="U720">
    <cfRule type="containsText" dxfId="6" priority="801" operator="containsText" text="Зниклі безвісти">
      <formula>NOT(ISERROR(SEARCH(("Зниклі безвісти"),(U720))))</formula>
    </cfRule>
  </conditionalFormatting>
  <conditionalFormatting sqref="U720">
    <cfRule type="containsText" dxfId="7" priority="802" operator="containsText" text="Від-ні навчання">
      <formula>NOT(ISERROR(SEARCH(("Від-ні навчання"),(U720))))</formula>
    </cfRule>
  </conditionalFormatting>
  <conditionalFormatting sqref="U720">
    <cfRule type="containsText" dxfId="8" priority="803" operator="containsText" text="Відком. за межі ПБ">
      <formula>NOT(ISERROR(SEARCH(("Відком. за межі ПБ"),(U720))))</formula>
    </cfRule>
  </conditionalFormatting>
  <conditionalFormatting sqref="U720">
    <cfRule type="containsText" dxfId="9" priority="804" operator="containsText" text="Загиблі">
      <formula>NOT(ISERROR(SEARCH(("Загиблі"),(U720))))</formula>
    </cfRule>
  </conditionalFormatting>
  <conditionalFormatting sqref="U720">
    <cfRule type="containsText" dxfId="10" priority="805" operator="containsText" text="Лікування">
      <formula>NOT(ISERROR(SEARCH(("Лікування"),(U720))))</formula>
    </cfRule>
  </conditionalFormatting>
  <conditionalFormatting sqref="Q720">
    <cfRule type="cellIs" dxfId="3" priority="806" operator="equal">
      <formula>P720</formula>
    </cfRule>
  </conditionalFormatting>
  <conditionalFormatting sqref="Q720">
    <cfRule type="cellIs" dxfId="9" priority="807" operator="notEqual">
      <formula>P720</formula>
    </cfRule>
  </conditionalFormatting>
  <conditionalFormatting sqref="N663">
    <cfRule type="expression" dxfId="0" priority="808">
      <formula>COUNTIF(#REF!, N663) &gt; 1</formula>
    </cfRule>
  </conditionalFormatting>
  <conditionalFormatting sqref="U663">
    <cfRule type="containsText" dxfId="3" priority="809" operator="containsText" text="В строю">
      <formula>NOT(ISERROR(SEARCH(("В строю"),(U663))))</formula>
    </cfRule>
  </conditionalFormatting>
  <conditionalFormatting sqref="U663">
    <cfRule type="containsText" dxfId="4" priority="810" operator="containsText" text="Відпустка">
      <formula>NOT(ISERROR(SEARCH(("Відпустка"),(U663))))</formula>
    </cfRule>
  </conditionalFormatting>
  <conditionalFormatting sqref="U663">
    <cfRule type="containsText" dxfId="5" priority="811" operator="containsText" text="СЗЧ">
      <formula>NOT(ISERROR(SEARCH(("СЗЧ"),(U663))))</formula>
    </cfRule>
  </conditionalFormatting>
  <conditionalFormatting sqref="U663">
    <cfRule type="containsText" dxfId="6" priority="812" operator="containsText" text="Зниклі безвісти">
      <formula>NOT(ISERROR(SEARCH(("Зниклі безвісти"),(U663))))</formula>
    </cfRule>
  </conditionalFormatting>
  <conditionalFormatting sqref="U663">
    <cfRule type="containsText" dxfId="7" priority="813" operator="containsText" text="Від-ні навчання">
      <formula>NOT(ISERROR(SEARCH(("Від-ні навчання"),(U663))))</formula>
    </cfRule>
  </conditionalFormatting>
  <conditionalFormatting sqref="U663">
    <cfRule type="containsText" dxfId="8" priority="814" operator="containsText" text="Відком. за межі ПБ">
      <formula>NOT(ISERROR(SEARCH(("Відком. за межі ПБ"),(U663))))</formula>
    </cfRule>
  </conditionalFormatting>
  <conditionalFormatting sqref="U663">
    <cfRule type="containsText" dxfId="9" priority="815" operator="containsText" text="Загиблі">
      <formula>NOT(ISERROR(SEARCH(("Загиблі"),(U663))))</formula>
    </cfRule>
  </conditionalFormatting>
  <conditionalFormatting sqref="U663">
    <cfRule type="containsText" dxfId="10" priority="816" operator="containsText" text="Лікування">
      <formula>NOT(ISERROR(SEARCH(("Лікування"),(U663))))</formula>
    </cfRule>
  </conditionalFormatting>
  <conditionalFormatting sqref="Q663">
    <cfRule type="cellIs" dxfId="3" priority="817" operator="equal">
      <formula>P663</formula>
    </cfRule>
  </conditionalFormatting>
  <conditionalFormatting sqref="Q663">
    <cfRule type="cellIs" dxfId="9" priority="818" operator="notEqual">
      <formula>P663</formula>
    </cfRule>
  </conditionalFormatting>
  <conditionalFormatting sqref="U599">
    <cfRule type="containsText" dxfId="3" priority="819" operator="containsText" text="В строю">
      <formula>NOT(ISERROR(SEARCH(("В строю"),(U599))))</formula>
    </cfRule>
  </conditionalFormatting>
  <conditionalFormatting sqref="U599">
    <cfRule type="containsText" dxfId="4" priority="820" operator="containsText" text="Відпустка">
      <formula>NOT(ISERROR(SEARCH(("Відпустка"),(U599))))</formula>
    </cfRule>
  </conditionalFormatting>
  <conditionalFormatting sqref="U599">
    <cfRule type="containsText" dxfId="5" priority="821" operator="containsText" text="СЗЧ">
      <formula>NOT(ISERROR(SEARCH(("СЗЧ"),(U599))))</formula>
    </cfRule>
  </conditionalFormatting>
  <conditionalFormatting sqref="U599">
    <cfRule type="containsText" dxfId="6" priority="822" operator="containsText" text="Зниклі безвісти">
      <formula>NOT(ISERROR(SEARCH(("Зниклі безвісти"),(U599))))</formula>
    </cfRule>
  </conditionalFormatting>
  <conditionalFormatting sqref="U599">
    <cfRule type="containsText" dxfId="7" priority="823" operator="containsText" text="Від-ні навчання">
      <formula>NOT(ISERROR(SEARCH(("Від-ні навчання"),(U599))))</formula>
    </cfRule>
  </conditionalFormatting>
  <conditionalFormatting sqref="U599">
    <cfRule type="containsText" dxfId="8" priority="824" operator="containsText" text="Відком. за межі ПБ">
      <formula>NOT(ISERROR(SEARCH(("Відком. за межі ПБ"),(U599))))</formula>
    </cfRule>
  </conditionalFormatting>
  <conditionalFormatting sqref="U599">
    <cfRule type="containsText" dxfId="9" priority="825" operator="containsText" text="Загиблі">
      <formula>NOT(ISERROR(SEARCH(("Загиблі"),(U599))))</formula>
    </cfRule>
  </conditionalFormatting>
  <conditionalFormatting sqref="U599">
    <cfRule type="containsText" dxfId="10" priority="826" operator="containsText" text="Лікування">
      <formula>NOT(ISERROR(SEARCH(("Лікування"),(U599))))</formula>
    </cfRule>
  </conditionalFormatting>
  <conditionalFormatting sqref="U599">
    <cfRule type="containsText" dxfId="3" priority="827" operator="containsText" text="В строю">
      <formula>NOT(ISERROR(SEARCH(("В строю"),(U599))))</formula>
    </cfRule>
  </conditionalFormatting>
  <conditionalFormatting sqref="U599">
    <cfRule type="containsText" dxfId="4" priority="828" operator="containsText" text="Відпустка">
      <formula>NOT(ISERROR(SEARCH(("Відпустка"),(U599))))</formula>
    </cfRule>
  </conditionalFormatting>
  <conditionalFormatting sqref="U599">
    <cfRule type="containsText" dxfId="5" priority="829" operator="containsText" text="СЗЧ">
      <formula>NOT(ISERROR(SEARCH(("СЗЧ"),(U599))))</formula>
    </cfRule>
  </conditionalFormatting>
  <conditionalFormatting sqref="U599">
    <cfRule type="containsText" dxfId="6" priority="830" operator="containsText" text="Зниклі безвісти">
      <formula>NOT(ISERROR(SEARCH(("Зниклі безвісти"),(U599))))</formula>
    </cfRule>
  </conditionalFormatting>
  <conditionalFormatting sqref="U599">
    <cfRule type="containsText" dxfId="7" priority="831" operator="containsText" text="Від-ні навчання">
      <formula>NOT(ISERROR(SEARCH(("Від-ні навчання"),(U599))))</formula>
    </cfRule>
  </conditionalFormatting>
  <conditionalFormatting sqref="U599">
    <cfRule type="containsText" dxfId="8" priority="832" operator="containsText" text="Відком. за межі ПБ">
      <formula>NOT(ISERROR(SEARCH(("Відком. за межі ПБ"),(U599))))</formula>
    </cfRule>
  </conditionalFormatting>
  <conditionalFormatting sqref="U599">
    <cfRule type="containsText" dxfId="9" priority="833" operator="containsText" text="Загиблі">
      <formula>NOT(ISERROR(SEARCH(("Загиблі"),(U599))))</formula>
    </cfRule>
  </conditionalFormatting>
  <conditionalFormatting sqref="U599">
    <cfRule type="containsText" dxfId="10" priority="834" operator="containsText" text="Лікування">
      <formula>NOT(ISERROR(SEARCH(("Лікування"),(U599))))</formula>
    </cfRule>
  </conditionalFormatting>
  <conditionalFormatting sqref="Q599">
    <cfRule type="cellIs" dxfId="9" priority="835" operator="notEqual">
      <formula>P599</formula>
    </cfRule>
  </conditionalFormatting>
  <conditionalFormatting sqref="Q599">
    <cfRule type="cellIs" dxfId="3" priority="836" operator="equal">
      <formula>P599</formula>
    </cfRule>
  </conditionalFormatting>
  <conditionalFormatting sqref="N599">
    <cfRule type="expression" dxfId="0" priority="837">
      <formula>COUNTIF(#REF!, N599) &gt; 1</formula>
    </cfRule>
  </conditionalFormatting>
  <conditionalFormatting sqref="N48:O49 N66 N83 N107 N120 N123 N132 N155:O155 N166 N175 O179 N190 O191 N205 N226 N242 N264 N328 N358 N371 N378 N383 N386:O386 O392 N397 N403 N406 N420 N423 O430 N433 N463 O472 N495 N508 N524:N525 O525 N530:O530 N552 N565 N654 N656 N659 N668 N694 N778:N784 O778">
    <cfRule type="expression" dxfId="0" priority="838">
      <formula>COUNTIF($M$1:$M855, N48) &gt; 1</formula>
    </cfRule>
  </conditionalFormatting>
  <conditionalFormatting sqref="N448">
    <cfRule type="expression" dxfId="0" priority="839">
      <formula>COUNTIF(#REF!, N448) &gt; 1</formula>
    </cfRule>
  </conditionalFormatting>
  <conditionalFormatting sqref="U448">
    <cfRule type="containsText" dxfId="3" priority="840" operator="containsText" text="В строю">
      <formula>NOT(ISERROR(SEARCH(("В строю"),(U448))))</formula>
    </cfRule>
  </conditionalFormatting>
  <conditionalFormatting sqref="U448">
    <cfRule type="containsText" dxfId="4" priority="841" operator="containsText" text="Відпустка">
      <formula>NOT(ISERROR(SEARCH(("Відпустка"),(U448))))</formula>
    </cfRule>
  </conditionalFormatting>
  <conditionalFormatting sqref="U448">
    <cfRule type="containsText" dxfId="5" priority="842" operator="containsText" text="СЗЧ">
      <formula>NOT(ISERROR(SEARCH(("СЗЧ"),(U448))))</formula>
    </cfRule>
  </conditionalFormatting>
  <conditionalFormatting sqref="U448">
    <cfRule type="containsText" dxfId="6" priority="843" operator="containsText" text="Зниклі безвісти">
      <formula>NOT(ISERROR(SEARCH(("Зниклі безвісти"),(U448))))</formula>
    </cfRule>
  </conditionalFormatting>
  <conditionalFormatting sqref="U448">
    <cfRule type="containsText" dxfId="7" priority="844" operator="containsText" text="Від-ні навчання">
      <formula>NOT(ISERROR(SEARCH(("Від-ні навчання"),(U448))))</formula>
    </cfRule>
  </conditionalFormatting>
  <conditionalFormatting sqref="U448">
    <cfRule type="containsText" dxfId="8" priority="845" operator="containsText" text="Відком. за межі ПБ">
      <formula>NOT(ISERROR(SEARCH(("Відком. за межі ПБ"),(U448))))</formula>
    </cfRule>
  </conditionalFormatting>
  <conditionalFormatting sqref="U448">
    <cfRule type="containsText" dxfId="9" priority="846" operator="containsText" text="Загиблі">
      <formula>NOT(ISERROR(SEARCH(("Загиблі"),(U448))))</formula>
    </cfRule>
  </conditionalFormatting>
  <conditionalFormatting sqref="U448">
    <cfRule type="containsText" dxfId="10" priority="847" operator="containsText" text="Лікування">
      <formula>NOT(ISERROR(SEARCH(("Лікування"),(U448))))</formula>
    </cfRule>
  </conditionalFormatting>
  <conditionalFormatting sqref="Q448">
    <cfRule type="cellIs" dxfId="3" priority="848" operator="equal">
      <formula>P448</formula>
    </cfRule>
  </conditionalFormatting>
  <conditionalFormatting sqref="Q448">
    <cfRule type="cellIs" dxfId="9" priority="849" operator="notEqual">
      <formula>P448</formula>
    </cfRule>
  </conditionalFormatting>
  <conditionalFormatting sqref="U526">
    <cfRule type="containsText" dxfId="3" priority="850" operator="containsText" text="В строю">
      <formula>NOT(ISERROR(SEARCH(("В строю"),(U526))))</formula>
    </cfRule>
  </conditionalFormatting>
  <conditionalFormatting sqref="U526">
    <cfRule type="containsText" dxfId="4" priority="851" operator="containsText" text="Відпустка">
      <formula>NOT(ISERROR(SEARCH(("Відпустка"),(U526))))</formula>
    </cfRule>
  </conditionalFormatting>
  <conditionalFormatting sqref="U526">
    <cfRule type="containsText" dxfId="5" priority="852" operator="containsText" text="СЗЧ">
      <formula>NOT(ISERROR(SEARCH(("СЗЧ"),(U526))))</formula>
    </cfRule>
  </conditionalFormatting>
  <conditionalFormatting sqref="U526">
    <cfRule type="containsText" dxfId="6" priority="853" operator="containsText" text="Зниклі безвісти">
      <formula>NOT(ISERROR(SEARCH(("Зниклі безвісти"),(U526))))</formula>
    </cfRule>
  </conditionalFormatting>
  <conditionalFormatting sqref="U526">
    <cfRule type="containsText" dxfId="7" priority="854" operator="containsText" text="Від-ні навчання">
      <formula>NOT(ISERROR(SEARCH(("Від-ні навчання"),(U526))))</formula>
    </cfRule>
  </conditionalFormatting>
  <conditionalFormatting sqref="U526">
    <cfRule type="containsText" dxfId="8" priority="855" operator="containsText" text="Відком. за межі ПБ">
      <formula>NOT(ISERROR(SEARCH(("Відком. за межі ПБ"),(U526))))</formula>
    </cfRule>
  </conditionalFormatting>
  <conditionalFormatting sqref="U526">
    <cfRule type="containsText" dxfId="9" priority="856" operator="containsText" text="Загиблі">
      <formula>NOT(ISERROR(SEARCH(("Загиблі"),(U526))))</formula>
    </cfRule>
  </conditionalFormatting>
  <conditionalFormatting sqref="U526">
    <cfRule type="containsText" dxfId="10" priority="857" operator="containsText" text="Лікування">
      <formula>NOT(ISERROR(SEARCH(("Лікування"),(U526))))</formula>
    </cfRule>
  </conditionalFormatting>
  <conditionalFormatting sqref="U526">
    <cfRule type="containsText" dxfId="3" priority="858" operator="containsText" text="В строю">
      <formula>NOT(ISERROR(SEARCH(("В строю"),(U526))))</formula>
    </cfRule>
  </conditionalFormatting>
  <conditionalFormatting sqref="U526">
    <cfRule type="containsText" dxfId="4" priority="859" operator="containsText" text="Відпустка">
      <formula>NOT(ISERROR(SEARCH(("Відпустка"),(U526))))</formula>
    </cfRule>
  </conditionalFormatting>
  <conditionalFormatting sqref="U526">
    <cfRule type="containsText" dxfId="5" priority="860" operator="containsText" text="СЗЧ">
      <formula>NOT(ISERROR(SEARCH(("СЗЧ"),(U526))))</formula>
    </cfRule>
  </conditionalFormatting>
  <conditionalFormatting sqref="U526">
    <cfRule type="containsText" dxfId="6" priority="861" operator="containsText" text="Зниклі безвісти">
      <formula>NOT(ISERROR(SEARCH(("Зниклі безвісти"),(U526))))</formula>
    </cfRule>
  </conditionalFormatting>
  <conditionalFormatting sqref="U526">
    <cfRule type="containsText" dxfId="7" priority="862" operator="containsText" text="Від-ні навчання">
      <formula>NOT(ISERROR(SEARCH(("Від-ні навчання"),(U526))))</formula>
    </cfRule>
  </conditionalFormatting>
  <conditionalFormatting sqref="U526">
    <cfRule type="containsText" dxfId="8" priority="863" operator="containsText" text="Відком. за межі ПБ">
      <formula>NOT(ISERROR(SEARCH(("Відком. за межі ПБ"),(U526))))</formula>
    </cfRule>
  </conditionalFormatting>
  <conditionalFormatting sqref="U526">
    <cfRule type="containsText" dxfId="9" priority="864" operator="containsText" text="Загиблі">
      <formula>NOT(ISERROR(SEARCH(("Загиблі"),(U526))))</formula>
    </cfRule>
  </conditionalFormatting>
  <conditionalFormatting sqref="U526">
    <cfRule type="containsText" dxfId="10" priority="865" operator="containsText" text="Лікування">
      <formula>NOT(ISERROR(SEARCH(("Лікування"),(U526))))</formula>
    </cfRule>
  </conditionalFormatting>
  <conditionalFormatting sqref="Q526">
    <cfRule type="cellIs" dxfId="9" priority="866" operator="notEqual">
      <formula>P526</formula>
    </cfRule>
  </conditionalFormatting>
  <conditionalFormatting sqref="Q526">
    <cfRule type="cellIs" dxfId="3" priority="867" operator="equal">
      <formula>P526</formula>
    </cfRule>
  </conditionalFormatting>
  <conditionalFormatting sqref="N526">
    <cfRule type="expression" dxfId="0" priority="868">
      <formula>COUNTIF(#REF!, N526) &gt; 1</formula>
    </cfRule>
  </conditionalFormatting>
  <conditionalFormatting sqref="N526">
    <cfRule type="expression" dxfId="0" priority="869">
      <formula>COUNTIF(#REF!, N526) &gt; 1</formula>
    </cfRule>
  </conditionalFormatting>
  <conditionalFormatting sqref="N604">
    <cfRule type="expression" dxfId="0" priority="870">
      <formula>COUNTIF(#REF!, N604) &gt; 1</formula>
    </cfRule>
  </conditionalFormatting>
  <conditionalFormatting sqref="U604 U611:U612">
    <cfRule type="containsText" dxfId="10" priority="871" operator="containsText" text="Лікування">
      <formula>NOT(ISERROR(SEARCH(("Лікування"),(U604))))</formula>
    </cfRule>
  </conditionalFormatting>
  <conditionalFormatting sqref="U604 U611:U612">
    <cfRule type="containsText" dxfId="9" priority="872" operator="containsText" text="Загиблі">
      <formula>NOT(ISERROR(SEARCH(("Загиблі"),(U604))))</formula>
    </cfRule>
  </conditionalFormatting>
  <conditionalFormatting sqref="U604 U611:U612">
    <cfRule type="containsText" dxfId="8" priority="873" operator="containsText" text="Відком. за межі ПБ">
      <formula>NOT(ISERROR(SEARCH(("Відком. за межі ПБ"),(U604))))</formula>
    </cfRule>
  </conditionalFormatting>
  <conditionalFormatting sqref="U604 U611:U612">
    <cfRule type="containsText" dxfId="7" priority="874" operator="containsText" text="Від-ні навчання">
      <formula>NOT(ISERROR(SEARCH(("Від-ні навчання"),(U604))))</formula>
    </cfRule>
  </conditionalFormatting>
  <conditionalFormatting sqref="U604 U611:U612">
    <cfRule type="containsText" dxfId="6" priority="875" operator="containsText" text="Зниклі безвісти">
      <formula>NOT(ISERROR(SEARCH(("Зниклі безвісти"),(U604))))</formula>
    </cfRule>
  </conditionalFormatting>
  <conditionalFormatting sqref="U604 U611:U612">
    <cfRule type="containsText" dxfId="5" priority="876" operator="containsText" text="СЗЧ">
      <formula>NOT(ISERROR(SEARCH(("СЗЧ"),(U604))))</formula>
    </cfRule>
  </conditionalFormatting>
  <conditionalFormatting sqref="U604 U611:U612">
    <cfRule type="containsText" dxfId="4" priority="877" operator="containsText" text="Відпустка">
      <formula>NOT(ISERROR(SEARCH(("Відпустка"),(U604))))</formula>
    </cfRule>
  </conditionalFormatting>
  <conditionalFormatting sqref="U604 U611:U612">
    <cfRule type="containsText" dxfId="3" priority="878" operator="containsText" text="В строю">
      <formula>NOT(ISERROR(SEARCH(("В строю"),(U604))))</formula>
    </cfRule>
  </conditionalFormatting>
  <conditionalFormatting sqref="Q604">
    <cfRule type="cellIs" dxfId="9" priority="879" operator="notEqual">
      <formula>P604</formula>
    </cfRule>
  </conditionalFormatting>
  <conditionalFormatting sqref="Q604">
    <cfRule type="cellIs" dxfId="3" priority="880" operator="equal">
      <formula>P604</formula>
    </cfRule>
  </conditionalFormatting>
  <conditionalFormatting sqref="N635">
    <cfRule type="expression" dxfId="0" priority="881">
      <formula>COUNTIF(#REF!, N635) &gt; 1</formula>
    </cfRule>
  </conditionalFormatting>
  <conditionalFormatting sqref="Q635">
    <cfRule type="cellIs" dxfId="9" priority="882" operator="notEqual">
      <formula>P635</formula>
    </cfRule>
  </conditionalFormatting>
  <conditionalFormatting sqref="Q635">
    <cfRule type="cellIs" dxfId="3" priority="883" operator="equal">
      <formula>P635</formula>
    </cfRule>
  </conditionalFormatting>
  <conditionalFormatting sqref="U635">
    <cfRule type="containsText" dxfId="3" priority="884" operator="containsText" text="В строю">
      <formula>NOT(ISERROR(SEARCH(("В строю"),(U635))))</formula>
    </cfRule>
  </conditionalFormatting>
  <conditionalFormatting sqref="U635">
    <cfRule type="containsText" dxfId="4" priority="885" operator="containsText" text="Відпустка">
      <formula>NOT(ISERROR(SEARCH(("Відпустка"),(U635))))</formula>
    </cfRule>
  </conditionalFormatting>
  <conditionalFormatting sqref="U635">
    <cfRule type="containsText" dxfId="5" priority="886" operator="containsText" text="СЗЧ">
      <formula>NOT(ISERROR(SEARCH(("СЗЧ"),(U635))))</formula>
    </cfRule>
  </conditionalFormatting>
  <conditionalFormatting sqref="U635">
    <cfRule type="containsText" dxfId="6" priority="887" operator="containsText" text="Зниклі безвісти">
      <formula>NOT(ISERROR(SEARCH(("Зниклі безвісти"),(U635))))</formula>
    </cfRule>
  </conditionalFormatting>
  <conditionalFormatting sqref="U635">
    <cfRule type="containsText" dxfId="7" priority="888" operator="containsText" text="Від-ні навчання">
      <formula>NOT(ISERROR(SEARCH(("Від-ні навчання"),(U635))))</formula>
    </cfRule>
  </conditionalFormatting>
  <conditionalFormatting sqref="U635">
    <cfRule type="containsText" dxfId="8" priority="889" operator="containsText" text="Відком. за межі ПБ">
      <formula>NOT(ISERROR(SEARCH(("Відком. за межі ПБ"),(U635))))</formula>
    </cfRule>
  </conditionalFormatting>
  <conditionalFormatting sqref="U635">
    <cfRule type="containsText" dxfId="9" priority="890" operator="containsText" text="Загиблі">
      <formula>NOT(ISERROR(SEARCH(("Загиблі"),(U635))))</formula>
    </cfRule>
  </conditionalFormatting>
  <conditionalFormatting sqref="U635">
    <cfRule type="containsText" dxfId="10" priority="891" operator="containsText" text="Лікування">
      <formula>NOT(ISERROR(SEARCH(("Лікування"),(U635))))</formula>
    </cfRule>
  </conditionalFormatting>
  <conditionalFormatting sqref="Q48 Q107 Q120 Q123 Q155 Q166 Q175 Q178 Q190 Q205 Q242 Q264 Q328 Q358 Q371 Q378 Q383 Q386 Q394 Q397 Q403 Q406 Q420 Q423 Q464 Q493 Q524:Q525 Q530 Q552 Q565 Q648 Q654 Q778:Q787">
    <cfRule type="cellIs" dxfId="9" priority="892" operator="notEqual">
      <formula>P48</formula>
    </cfRule>
  </conditionalFormatting>
  <conditionalFormatting sqref="Q48 Q107 Q120 Q123 Q155 Q166 Q175 Q178 Q190 Q205 Q242 Q264 Q328 Q358 Q371 Q378 Q383 Q386 Q394 Q397 Q403 Q406 Q420 Q423 Q464 Q493 Q524:Q525 Q530 Q552 Q565 Q648 Q654 Q778:Q787">
    <cfRule type="cellIs" dxfId="3" priority="893" operator="equal">
      <formula>P48</formula>
    </cfRule>
  </conditionalFormatting>
  <conditionalFormatting sqref="Q62">
    <cfRule type="cellIs" dxfId="3" priority="894" operator="equal">
      <formula>P62</formula>
    </cfRule>
  </conditionalFormatting>
  <conditionalFormatting sqref="Q62">
    <cfRule type="cellIs" dxfId="9" priority="895" operator="notEqual">
      <formula>P62</formula>
    </cfRule>
  </conditionalFormatting>
  <conditionalFormatting sqref="N48 O48:O49 P48 N62 N65 N107:O107 N120:O120 N123:P123 N130 O133 N155:P155 N166:O166 N175:Q175 N178 O179 N190 O190:O191 P190 N205:P205 N242:P242 N264:P264 N328:P328 N358 O358:O359 P358 N371:P371 N378:P378 N383:O383 N386:P386 O392 P394 N397:P397 N403:O403 N406:O406 N420:P420 N423 O423:O424 P423 O430 N447:N448 N453 N464 O472 N493:O493 N524:P525 N530:P530 O551:O552 N552 P552:Q552 N565:P565 N602 N648:O648 N654:O654 N778:O787 P778:P782">
    <cfRule type="expression" dxfId="0" priority="896">
      <formula>COUNTIF(#REF!, N48) &gt; 1</formula>
    </cfRule>
  </conditionalFormatting>
  <conditionalFormatting sqref="U48 U53 U62 U65 U73 U88 U101 U107 U120 U123 U130 U155 U166 U175 U178 U190 U205 U242 U264 U328 U358 U360 U371 U378 U383 U386 U394 U397 U403 U406 U408:U409 U414 U420 U423 U447:U448 U453 U464 U493 U524:U525 U530 U552 U565 U602 U648 U654 U778:U787">
    <cfRule type="containsText" dxfId="10" priority="897" operator="containsText" text="Лікування">
      <formula>NOT(ISERROR(SEARCH(("Лікування"),(U48))))</formula>
    </cfRule>
  </conditionalFormatting>
  <conditionalFormatting sqref="U48 U53 U62 U65 U73 U88 U101 U107 U120 U123 U130 U155 U166 U175 U178 U190 U205 U242 U264 U328 U358 U360 U371 U378 U383 U386 U394 U397 U403 U406 U408:U409 U414 U420 U423 U447:U448 U453 U464 U493 U524:U525 U530 U552 U565 U602 U648 U654 U778:U787">
    <cfRule type="containsText" dxfId="9" priority="898" operator="containsText" text="Загиблі">
      <formula>NOT(ISERROR(SEARCH(("Загиблі"),(U48))))</formula>
    </cfRule>
  </conditionalFormatting>
  <conditionalFormatting sqref="U48 U53 U62 U65 U73 U88 U101 U107 U120 U123 U130 U155 U166 U175 U178 U190 U205 U242 U264 U328 U358 U360 U371 U378 U383 U386 U394 U397 U403 U406 U408:U409 U414 U420 U423 U447:U448 U453 U464 U493 U524:U525 U530 U552 U565 U602 U648 U654 U778:U787">
    <cfRule type="containsText" dxfId="8" priority="899" operator="containsText" text="Відком. за межі ПБ">
      <formula>NOT(ISERROR(SEARCH(("Відком. за межі ПБ"),(U48))))</formula>
    </cfRule>
  </conditionalFormatting>
  <conditionalFormatting sqref="U48 U53 U62 U65 U73 U88 U101 U107 U120 U123 U130 U155 U166 U175 U178 U190 U205 U242 U264 U328 U358 U360 U371 U378 U383 U386 U394 U397 U403 U406 U408:U409 U414 U420 U423 U447:U448 U453 U464 U493 U524:U525 U530 U552 U565 U602 U648 U654 U778:U787">
    <cfRule type="containsText" dxfId="7" priority="900" operator="containsText" text="Від-ні навчання">
      <formula>NOT(ISERROR(SEARCH(("Від-ні навчання"),(U48))))</formula>
    </cfRule>
  </conditionalFormatting>
  <conditionalFormatting sqref="U48 U53 U62 U65 U73 U88 U101 U107 U120 U123 U130 U155 U166 U175 U178 U190 U205 U242 U264 U328 U358 U360 U371 U378 U383 U386 U394 U397 U403 U406 U408:U409 U414 U420 U423 U447:U448 U453 U464 U493 U524:U525 U530 U552 U565 U602 U648 U654 U778:U787">
    <cfRule type="containsText" dxfId="6" priority="901" operator="containsText" text="Зниклі безвісти">
      <formula>NOT(ISERROR(SEARCH(("Зниклі безвісти"),(U48))))</formula>
    </cfRule>
  </conditionalFormatting>
  <conditionalFormatting sqref="U48 U53 U62 U65 U73 U88 U101 U107 U120 U123 U130 U155 U166 U175 U178 U190 U205 U242 U264 U328 U358 U360 U371 U378 U383 U386 U394 U397 U403 U406 U408:U409 U414 U420 U423 U447:U448 U453 U464 U493 U524:U525 U530 U552 U565 U602 U648 U654 U778:U787">
    <cfRule type="containsText" dxfId="5" priority="902" operator="containsText" text="СЗЧ">
      <formula>NOT(ISERROR(SEARCH(("СЗЧ"),(U48))))</formula>
    </cfRule>
  </conditionalFormatting>
  <conditionalFormatting sqref="U48 U53 U62 U65 U73 U88 U101 U107 U120 U123 U130 U155 U166 U175 U178 U190 U205 U242 U264 U328 U358 U360 U371 U378 U383 U386 U394 U397 U403 U406 U408:U409 U414 U420 U423 U447:U448 U453 U464 U493 U524:U525 U530 U552 U565 U602 U648 U654 U778:U787">
    <cfRule type="containsText" dxfId="4" priority="903" operator="containsText" text="Відпустка">
      <formula>NOT(ISERROR(SEARCH(("Відпустка"),(U48))))</formula>
    </cfRule>
  </conditionalFormatting>
  <conditionalFormatting sqref="U48 U53 U62 U65 U73 U88 U101 U107 U120 U123 U130 U155 U166 U175 U178 U190 U205 U242 U264 U328 U358 U360 U371 U378 U383 U386 U394 U397 U403 U406 U408:U409 U414 U420 U423 U447:U448 U453 U464 U493 U524:U525 U530 U552 U565 U602 U648 U654 U778:U787">
    <cfRule type="containsText" dxfId="3" priority="904" operator="containsText" text="В строю">
      <formula>NOT(ISERROR(SEARCH(("В строю"),(U48))))</formula>
    </cfRule>
  </conditionalFormatting>
  <conditionalFormatting sqref="N89">
    <cfRule type="expression" dxfId="0" priority="905">
      <formula>COUNTIF($O$1:$O855, N89) &gt; 1</formula>
    </cfRule>
  </conditionalFormatting>
  <conditionalFormatting sqref="N17 N23 N37 N45:O45 N48 O48:O49 P48 N51 N65 N67 N70:N71 M71 O71 N75 N80:N81 N93 N96 N107:O107 N110 N116:N117 N120:O120 N123:P123 N127:N128 M128 O128 M130:N130 O133 N135:N136 N144 N152 N155:P155 N160 N166:O166 N172:N173 N175:Q175 N177:N178 O179 N180 N190 O190:O191 P190 N194:N195 N197 N199 N205:P205 N214 N242:P242 N251:N252 N255 N264:O264 N271 N273:N274 N278:N279 N281 N286:N287 N289 N296:N297 N314:N315 N324 N326 N328:P328 N337 N343 N347 N351 N353 N358 O358:O359 P358 N368 N371:N372 O371:P371 N378:P378 N382:N383 O383 N386:P386 O392 P394 N397:P397 N403:O403 N406:O406 N411:P411 N420:P420 N422:N423 O423:O424 P423 N428 O430 N434 N447:N448 N450 N453 N460 N463:N464 O463:P463 O472 N473 N477 N488 N493:O493 N505 N509 N511 N515:N516 O515 N522 N524:P525 N530:P530 N532:N533 N535 O551:O552 N552 P552:Q552 N565:P565 N570 N572:N573 N575:N576 N579 N581 N602:N603 O603:P603 N607 N614 N616 N626 N639 N647:N648 O648 N654:O654 N664 N667:N668 O668:P668 N675 N688:N689 N693:N694 O694:P694 N718 N722 N730:N745 M744:M745 O744:O745 M747:M751 N747:N763 O747:O751 N778:O787 P778:P782 E795:E796 N795:N796 C798 N798:N801">
    <cfRule type="expression" dxfId="0" priority="906">
      <formula>COUNTIF(#REF!, N17) &gt; 1</formula>
    </cfRule>
  </conditionalFormatting>
  <conditionalFormatting sqref="U17 U21 U23 U37 U39 U42 U45 U50:U52 U56 U58 U60:U61 U63:U67 U70:U73 U75 U77:U81 U83:U86 U88 N92 U92:U94 U96 U99:U102 U104 U110:U111 U113 U116:U120 U126:U128 U131 U135:U137 U140:U141 U143:U144 U149 U152:U154 N153 U158 U160:U161 U163:U165 U167:U169 U171:U173 U176:U177 U179 U181:U184 U186 U188:U189 U191:U197 U199:U201 U207 U209:U210 U212 U214:U215 U218 U220:U227 U229 U232:U234 U236:U237 U239:U240 U242:U246 U250:U253 U255:U259 U267 U271:U273 U275:U281 U283:U289 U291:U293 U295 U297:U298 U303:U306 U309:U324 U326 U329:U332 U334:U335 U337:U340 U342:U343 U345:U353 U356 U358 U360:U365 U368 U370 U372 U381:U382 U392:U395 U398 U402 U404:U405 U407:U409 U411 U414 U416:U417 U419 U421:U422 U428 U430 U432 U434 U437 U440 U444 U446 U450 U455 U460 U463 U465 U467 U472:U473 U476:U477 U479:U481 U484 U488:U489 U495 U497:U498 U501 U503 U505:U506 U508:U509 U511:U517 U520 U522:U524 U530 U532:U533 U535 U537 U541:U542 U544:U545 U547:U551 U556 U558:U559 U561 U563:U564 U566:U567 U570:U573 U575:U576 U578:U587 U592 U594 U597 U599 U603 U605 U607 U613:U617 U622:U623 U626:U627 U632 U634:U635 U639 U641:U642 U645:U647 U649 U656 U658 U662 U664:U665 U667:U668 U670:U671 U673 U675:U676 U678 U682 U684 U686 U688:U689 U691 U693:U694 U704:U705 U710 U717:U718 U722 U730:U745 U747:U764 U795:U796 U798:U801 U803:U812 U814:U816 U818:U829 U831:U852">
    <cfRule type="containsText" dxfId="10" priority="907" operator="containsText" text="Лікування">
      <formula>NOT(ISERROR(SEARCH(("Лікування"),(U17))))</formula>
    </cfRule>
  </conditionalFormatting>
  <conditionalFormatting sqref="U17 U21 U23 U37 U39 U42 U45 U50:U52 U56 U58 U60:U61 U63:U67 U70:U73 U75 U77:U81 U83:U86 U88 N92 U92:U94 U96 U99:U102 U104 U110:U111 U113 U116:U120 U126:U128 U131 U135:U137 U140:U141 U143:U144 U149 U152:U154 N153 U158 U160:U161 U163:U165 U167:U169 U171:U173 U176:U177 U179 U181:U184 U186 U188:U189 U191:U197 U199:U201 U207 U209:U210 U212 U214:U215 U218 U220:U227 U229 U232:U234 U236:U237 U239:U240 U242:U246 U250:U253 U255:U259 U267 U271:U273 U275:U281 U283:U289 U291:U293 U295 U297:U298 U303:U306 U309:U324 U326 U329:U332 U334:U335 U337:U340 U342:U343 U345:U353 U356 U358 U360:U365 U368 U370 U372 U381:U382 U392:U395 U398 U402 U404:U405 U407:U409 U411 U414 U416:U417 U419 U421:U422 U428 U430 U432 U434 U437 U440 U444 U446 U450 U455 U460 U463 U465 U467 U472:U473 U476:U477 U479:U481 U484 U488:U489 U495 U497:U498 U501 U503 U505:U506 U508:U509 U511:U517 U520 U522:U524 U530 U532:U533 U535 U537 U541:U542 U544:U545 U547:U551 U556 U558:U559 U561 U563:U564 U566:U567 U570:U573 U575:U576 U578:U587 U592 U594 U597 U599 U603 U605 U607 U613:U617 U622:U623 U626:U627 U632 U634:U635 U639 U641:U642 U645:U647 U649 U656 U658 U662 U664:U665 U667:U668 U670:U671 U673 U675:U676 U678 U682 U684 U686 U688:U689 U691 U693:U694 U704:U705 U710 U717:U718 U722 U730:U745 U747:U764 U795:U796 U798:U801 U803:U812 U814:U816 U818:U829 U831:U852">
    <cfRule type="containsText" dxfId="9" priority="908" operator="containsText" text="Загиблі">
      <formula>NOT(ISERROR(SEARCH(("Загиблі"),(U17))))</formula>
    </cfRule>
  </conditionalFormatting>
  <conditionalFormatting sqref="U17 U21 U23 U37 U39 U42 U45 U50:U52 U56 U58 U60:U61 U63:U67 U70:U73 U75 U77:U81 U83:U86 U88 N92 U92:U94 U96 U99:U102 U104 U110:U111 U113 U116:U120 U126:U128 U131 U135:U137 U140:U141 U143:U144 U149 U152:U154 N153 U158 U160:U161 U163:U165 U167:U169 U171:U173 U176:U177 U179 U181:U184 U186 U188:U189 U191:U197 U199:U201 U207 U209:U210 U212 U214:U215 U218 U220:U227 U229 U232:U234 U236:U237 U239:U240 U242:U246 U250:U253 U255:U259 U267 U271:U273 U275:U281 U283:U289 U291:U293 U295 U297:U298 U303:U306 U309:U324 U326 U329:U332 U334:U335 U337:U340 U342:U343 U345:U353 U356 U358 U360:U365 U368 U370 U372 U381:U382 U392:U395 U398 U402 U404:U405 U407:U409 U411 U414 U416:U417 U419 U421:U422 U428 U430 U432 U434 U437 U440 U444 U446 U450 U455 U460 U463 U465 U467 U472:U473 U476:U477 U479:U481 U484 U488:U489 U495 U497:U498 U501 U503 U505:U506 U508:U509 U511:U517 U520 U522:U524 U530 U532:U533 U535 U537 U541:U542 U544:U545 U547:U551 U556 U558:U559 U561 U563:U564 U566:U567 U570:U573 U575:U576 U578:U587 U592 U594 U597 U599 U603 U605 U607 U613:U617 U622:U623 U626:U627 U632 U634:U635 U639 U641:U642 U645:U647 U649 U656 U658 U662 U664:U665 U667:U668 U670:U671 U673 U675:U676 U678 U682 U684 U686 U688:U689 U691 U693:U694 U704:U705 U710 U717:U718 U722 U730:U745 U747:U764 U795:U796 U798:U801 U803:U812 U814:U816 U818:U829 U831:U852">
    <cfRule type="containsText" dxfId="8" priority="909" operator="containsText" text="Відком. за межі ПБ">
      <formula>NOT(ISERROR(SEARCH(("Відком. за межі ПБ"),(U17))))</formula>
    </cfRule>
  </conditionalFormatting>
  <conditionalFormatting sqref="U17 U21 U23 U37 U39 U42 U45 U50:U52 U56 U58 U60:U61 U63:U67 U70:U73 U75 U77:U81 U83:U86 U88 N92 U92:U94 U96 U99:U102 U104 U110:U111 U113 U116:U120 U126:U128 U131 U135:U137 U140:U141 U143:U144 U149 U152:U154 N153 U158 U160:U161 U163:U165 U167:U169 U171:U173 U176:U177 U179 U181:U184 U186 U188:U189 U191:U197 U199:U201 U207 U209:U210 U212 U214:U215 U218 U220:U227 U229 U232:U234 U236:U237 U239:U240 U242:U246 U250:U253 U255:U259 U267 U271:U273 U275:U281 U283:U289 U291:U293 U295 U297:U298 U303:U306 U309:U324 U326 U329:U332 U334:U335 U337:U340 U342:U343 U345:U353 U356 U358 U360:U365 U368 U370 U372 U381:U382 U392:U395 U398 U402 U404:U405 U407:U409 U411 U414 U416:U417 U419 U421:U422 U428 U430 U432 U434 U437 U440 U444 U446 U450 U455 U460 U463 U465 U467 U472:U473 U476:U477 U479:U481 U484 U488:U489 U495 U497:U498 U501 U503 U505:U506 U508:U509 U511:U517 U520 U522:U524 U530 U532:U533 U535 U537 U541:U542 U544:U545 U547:U551 U556 U558:U559 U561 U563:U564 U566:U567 U570:U573 U575:U576 U578:U587 U592 U594 U597 U599 U603 U605 U607 U613:U617 U622:U623 U626:U627 U632 U634:U635 U639 U641:U642 U645:U647 U649 U656 U658 U662 U664:U665 U667:U668 U670:U671 U673 U675:U676 U678 U682 U684 U686 U688:U689 U691 U693:U694 U704:U705 U710 U717:U718 U722 U730:U745 U747:U764 U795:U796 U798:U801 U803:U812 U814:U816 U818:U829 U831:U852">
    <cfRule type="containsText" dxfId="7" priority="910" operator="containsText" text="Від-ні навчання">
      <formula>NOT(ISERROR(SEARCH(("Від-ні навчання"),(U17))))</formula>
    </cfRule>
  </conditionalFormatting>
  <conditionalFormatting sqref="U17 U21 U23 U37 U39 U42 U45 U50:U52 U56 U58 U60:U61 U63:U67 U70:U73 U75 U77:U81 U83:U86 U88 N92 U92:U94 U96 U99:U102 U104 U110:U111 U113 U116:U120 U126:U128 U131 U135:U137 U140:U141 U143:U144 U149 U152:U154 N153 U158 U160:U161 U163:U165 U167:U169 U171:U173 U176:U177 U179 U181:U184 U186 U188:U189 U191:U197 U199:U201 U207 U209:U210 U212 U214:U215 U218 U220:U227 U229 U232:U234 U236:U237 U239:U240 U242:U246 U250:U253 U255:U259 U267 U271:U273 U275:U281 U283:U289 U291:U293 U295 U297:U298 U303:U306 U309:U324 U326 U329:U332 U334:U335 U337:U340 U342:U343 U345:U353 U356 U358 U360:U365 U368 U370 U372 U381:U382 U392:U395 U398 U402 U404:U405 U407:U409 U411 U414 U416:U417 U419 U421:U422 U428 U430 U432 U434 U437 U440 U444 U446 U450 U455 U460 U463 U465 U467 U472:U473 U476:U477 U479:U481 U484 U488:U489 U495 U497:U498 U501 U503 U505:U506 U508:U509 U511:U517 U520 U522:U524 U530 U532:U533 U535 U537 U541:U542 U544:U545 U547:U551 U556 U558:U559 U561 U563:U564 U566:U567 U570:U573 U575:U576 U578:U587 U592 U594 U597 U599 U603 U605 U607 U613:U617 U622:U623 U626:U627 U632 U634:U635 U639 U641:U642 U645:U647 U649 U656 U658 U662 U664:U665 U667:U668 U670:U671 U673 U675:U676 U678 U682 U684 U686 U688:U689 U691 U693:U694 U704:U705 U710 U717:U718 U722 U730:U745 U747:U764 U795:U796 U798:U801 U803:U812 U814:U816 U818:U829 U831:U852">
    <cfRule type="containsText" dxfId="6" priority="911" operator="containsText" text="Зниклі безвісти">
      <formula>NOT(ISERROR(SEARCH(("Зниклі безвісти"),(U17))))</formula>
    </cfRule>
  </conditionalFormatting>
  <conditionalFormatting sqref="U17 U21 U23 U37 U39 U42 U45 U50:U52 U56 U58 U60:U61 U63:U67 U70:U73 U75 U77:U81 U83:U86 U88 N92 U92:U94 U96 U99:U102 U104 U110:U111 U113 U116:U120 U126:U128 U131 U135:U137 U140:U141 U143:U144 U149 U152:U154 N153 U158 U160:U161 U163:U165 U167:U169 U171:U173 U176:U177 U179 U181:U184 U186 U188:U189 U191:U197 U199:U201 U207 U209:U210 U212 U214:U215 U218 U220:U227 U229 U232:U234 U236:U237 U239:U240 U242:U246 U250:U253 U255:U259 U267 U271:U273 U275:U281 U283:U289 U291:U293 U295 U297:U298 U303:U306 U309:U324 U326 U329:U332 U334:U335 U337:U340 U342:U343 U345:U353 U356 U358 U360:U365 U368 U370 U372 U381:U382 U392:U395 U398 U402 U404:U405 U407:U409 U411 U414 U416:U417 U419 U421:U422 U428 U430 U432 U434 U437 U440 U444 U446 U450 U455 U460 U463 U465 U467 U472:U473 U476:U477 U479:U481 U484 U488:U489 U495 U497:U498 U501 U503 U505:U506 U508:U509 U511:U517 U520 U522:U524 U530 U532:U533 U535 U537 U541:U542 U544:U545 U547:U551 U556 U558:U559 U561 U563:U564 U566:U567 U570:U573 U575:U576 U578:U587 U592 U594 U597 U599 U603 U605 U607 U613:U617 U622:U623 U626:U627 U632 U634:U635 U639 U641:U642 U645:U647 U649 U656 U658 U662 U664:U665 U667:U668 U670:U671 U673 U675:U676 U678 U682 U684 U686 U688:U689 U691 U693:U694 U704:U705 U710 U717:U718 U722 U730:U745 U747:U764 U795:U796 U798:U801 U803:U812 U814:U816 U818:U829 U831:U852">
    <cfRule type="containsText" dxfId="5" priority="912" operator="containsText" text="СЗЧ">
      <formula>NOT(ISERROR(SEARCH(("СЗЧ"),(U17))))</formula>
    </cfRule>
  </conditionalFormatting>
  <conditionalFormatting sqref="U17 U21 U23 U37 U39 U42 U45 U50:U52 U56 U58 U60:U61 U63:U67 U70:U73 U75 U77:U81 U83:U86 U88 N92 U92:U94 U96 U99:U102 U104 U110:U111 U113 U116:U120 U126:U128 U131 U135:U137 U140:U141 U143:U144 U149 U152:U154 N153 U158 U160:U161 U163:U165 U167:U169 U171:U173 U176:U177 U179 U181:U184 U186 U188:U189 U191:U197 U199:U201 U207 U209:U210 U212 U214:U215 U218 U220:U227 U229 U232:U234 U236:U237 U239:U240 U242:U246 U250:U253 U255:U259 U267 U271:U273 U275:U281 U283:U289 U291:U293 U295 U297:U298 U303:U306 U309:U324 U326 U329:U332 U334:U335 U337:U340 U342:U343 U345:U353 U356 U358 U360:U365 U368 U370 U372 U381:U382 U392:U395 U398 U402 U404:U405 U407:U409 U411 U414 U416:U417 U419 U421:U422 U428 U430 U432 U434 U437 U440 U444 U446 U450 U455 U460 U463 U465 U467 U472:U473 U476:U477 U479:U481 U484 U488:U489 U495 U497:U498 U501 U503 U505:U506 U508:U509 U511:U517 U520 U522:U524 U530 U532:U533 U535 U537 U541:U542 U544:U545 U547:U551 U556 U558:U559 U561 U563:U564 U566:U567 U570:U573 U575:U576 U578:U587 U592 U594 U597 U599 U603 U605 U607 U613:U617 U622:U623 U626:U627 U632 U634:U635 U639 U641:U642 U645:U647 U649 U656 U658 U662 U664:U665 U667:U668 U670:U671 U673 U675:U676 U678 U682 U684 U686 U688:U689 U691 U693:U694 U704:U705 U710 U717:U718 U722 U730:U745 U747:U764 U795:U796 U798:U801 U803:U812 U814:U816 U818:U829 U831:U852">
    <cfRule type="containsText" dxfId="4" priority="913" operator="containsText" text="Відпустка">
      <formula>NOT(ISERROR(SEARCH(("Відпустка"),(U17))))</formula>
    </cfRule>
  </conditionalFormatting>
  <conditionalFormatting sqref="U17 U21 U23 U37 U39 U42 U45 U50:U52 U56 U58 U60:U61 U63:U67 U70:U73 U75 U77:U81 U83:U86 U88 N92 U92:U94 U96 U99:U102 U104 U110:U111 U113 U116:U120 U126:U128 U131 U135:U137 U140:U141 U143:U144 U149 U152:U154 N153 U158 U160:U161 U163:U165 U167:U169 U171:U173 U176:U177 U179 U181:U184 U186 U188:U189 U191:U197 U199:U201 U207 U209:U210 U212 U214:U215 U218 U220:U227 U229 U232:U234 U236:U237 U239:U240 U242:U246 U250:U253 U255:U259 U267 U271:U273 U275:U281 U283:U289 U291:U293 U295 U297:U298 U303:U306 U309:U324 U326 U329:U332 U334:U335 U337:U340 U342:U343 U345:U353 U356 U358 U360:U365 U368 U370 U372 U381:U382 U392:U395 U398 U402 U404:U405 U407:U409 U411 U414 U416:U417 U419 U421:U422 U428 U430 U432 U434 U437 U440 U444 U446 U450 U455 U460 U463 U465 U467 U472:U473 U476:U477 U479:U481 U484 U488:U489 U495 U497:U498 U501 U503 U505:U506 U508:U509 U511:U517 U520 U522:U524 U530 U532:U533 U535 U537 U541:U542 U544:U545 U547:U551 U556 U558:U559 U561 U563:U564 U566:U567 U570:U573 U575:U576 U578:U587 U592 U594 U597 U599 U603 U605 U607 U613:U617 U622:U623 U626:U627 U632 U634:U635 U639 U641:U642 U645:U647 U649 U656 U658 U662 U664:U665 U667:U668 U670:U671 U673 U675:U676 U678 U682 U684 U686 U688:U689 U691 U693:U694 U704:U705 U710 U717:U718 U722 U730:U745 U747:U764 U795:U796 U798:U801 U803:U812 U814:U816 U818:U829 U831:U852">
    <cfRule type="containsText" dxfId="3" priority="914" operator="containsText" text="В строю">
      <formula>NOT(ISERROR(SEARCH(("В строю"),(U17))))</formula>
    </cfRule>
  </conditionalFormatting>
  <conditionalFormatting sqref="AK2:AL96 AK98:AL334 AK336:AL714 AK765:AL772 AK777:AL787">
    <cfRule type="containsText" dxfId="11" priority="915" operator="containsText" text="Зниклі безвісти">
      <formula>NOT(ISERROR(SEARCH(("Зниклі безвісти"),(AK2))))</formula>
    </cfRule>
  </conditionalFormatting>
  <conditionalFormatting sqref="AK2:AL96 AK98:AL334 AK336:AL714 AK765:AL772 AK777:AL787">
    <cfRule type="cellIs" dxfId="12" priority="916" operator="equal">
      <formula>SUM(AK2:AK13)</formula>
    </cfRule>
  </conditionalFormatting>
  <conditionalFormatting sqref="AK2:AL96 AK98:AL334 AK336:AL714 AK765:AL772 AK777:AL787">
    <cfRule type="containsText" dxfId="13" priority="917" operator="containsText" text="СЗЧ">
      <formula>NOT(ISERROR(SEARCH(("СЗЧ"),(AK2))))</formula>
    </cfRule>
  </conditionalFormatting>
  <conditionalFormatting sqref="AK2:AL96 AK98:AL334 AK336:AL714 AK765:AL772 AK777:AL787">
    <cfRule type="containsText" dxfId="14" priority="918" operator="containsText" text="Лікування">
      <formula>NOT(ISERROR(SEARCH(("Лікування"),(AK2))))</formula>
    </cfRule>
  </conditionalFormatting>
  <conditionalFormatting sqref="AK2:AL96 AK98:AL334 AK336:AL714 AK765:AL772 AK777:AL787">
    <cfRule type="containsText" dxfId="15" priority="919" operator="containsText" text="СТАТУС">
      <formula>NOT(ISERROR(SEARCH(("СТАТУС"),(AK2))))</formula>
    </cfRule>
  </conditionalFormatting>
  <conditionalFormatting sqref="AK2:AL96 AK98:AL334 AK336:AL714 AK765:AL772 AK777:AL787">
    <cfRule type="containsText" dxfId="16" priority="920" operator="containsText" text="Мед.пункт">
      <formula>NOT(ISERROR(SEARCH(("Мед.пункт"),(AK2))))</formula>
    </cfRule>
  </conditionalFormatting>
  <conditionalFormatting sqref="AK2:AL96 AK98:AL334 AK336:AL714 AK765:AL772 AK777:AL787">
    <cfRule type="containsText" dxfId="17" priority="921" operator="containsText" text="Відпустка">
      <formula>NOT(ISERROR(SEARCH(("Відпустка"),(AK2))))</formula>
    </cfRule>
  </conditionalFormatting>
  <conditionalFormatting sqref="AK2:AL96 AK98:AL334 AK336:AL714 AK765:AL772 AK777:AL787">
    <cfRule type="containsText" dxfId="8" priority="922" operator="containsText" text="Від-ні за межі бату">
      <formula>NOT(ISERROR(SEARCH(("Від-ні за межі бату"),(AK2))))</formula>
    </cfRule>
  </conditionalFormatting>
  <conditionalFormatting sqref="AK2:AL96 AK98:AL334 AK336:AL714 AK765:AL772 AK777:AL787">
    <cfRule type="containsText" dxfId="18" priority="923" operator="containsText" text="В строю">
      <formula>NOT(ISERROR(SEARCH(("В строю"),(AK2))))</formula>
    </cfRule>
  </conditionalFormatting>
  <conditionalFormatting sqref="U2:U40 U42:U45 U47:U48 N48 U50:U53 U55:U58 U60:U61 U63:U67 U70:U86 U88:U89 T89 W89 N92 U92:U96 U99:U108 U110:U111 U113 U115:U121 U123:U124 U126:U128 U130:U131 U133:U141 U143:U161 N153 U163:U184 U186 U188:U202 U205:U212 U214:U229 U232:U237 U239:U240 U242:U247 U249:U253 U255:U265 U267 U269:U273 U275:U293 U295:U300 U302:U324 O315 U326:U335 T333 U337:U343 U345:U368 U370:U376 U378:U379 U381:U386 U388 U390:U395 U397:U399 U401:U411 U414:U417 U419:U424 U426 U428:U430 U432:U437 U439:U440 U444:U455 U457 U459:U470 U472:U482 O484 U484 U486:U489 U491:U506 U508:U517 U520 U522:U525 U530 U532:U545 U547:U559 U561:U573 U575:U589 U591:U594 U596:U599 U601:U603 U605:U607 U609:U617 U620 U622:U624 U626:U628 U630:U636 U638:U658 U662 U664:U673 U675:U676 U678:U679 U681:U697 U700:U705 U707 U709:U711 U714:U719 U722 U730:U745 U747:U764 U778:U788 U790:U796 U798:U829 U831:U854">
    <cfRule type="containsText" dxfId="3" priority="924" operator="containsText" text="В строю">
      <formula>NOT(ISERROR(SEARCH(("В строю"),(U2))))</formula>
    </cfRule>
  </conditionalFormatting>
  <conditionalFormatting sqref="U2:U40 U42:U45 U47:U48 N48 U50:U53 U55:U58 U60:U61 U63:U67 U70:U86 U88:U89 T89 W89 N92 U92:U96 U99:U108 U110:U111 U113 U115:U121 U123:U124 U126:U128 U130:U131 U133:U141 U143:U161 N153 U163:U184 U186 U188:U202 U205:U212 U214:U229 U232:U237 U239:U240 U242:U247 U249:U253 U255:U265 U267 U269:U273 U275:U293 U295:U300 U302:U324 O315 U326:U335 T333 U337:U343 U345:U368 U370:U376 U378:U379 U381:U386 U388 U390:U395 U397:U399 U401:U411 U414:U417 U419:U424 U426 U428:U430 U432:U437 U439:U440 U444:U455 U457 U459:U470 U472:U482 O484 U484 U486:U489 U491:U506 U508:U517 U520 U522:U525 U530 U532:U545 U547:U559 U561:U573 U575:U589 U591:U594 U596:U599 U601:U603 U605:U607 U609:U617 U620 U622:U624 U626:U628 U630:U636 U638:U658 U662 U664:U673 U675:U676 U678:U679 U681:U697 U700:U705 U707 U709:U711 U714:U719 U722 U730:U745 U747:U764 U778:U788 U790:U796 U798:U829 U831:U854">
    <cfRule type="containsText" dxfId="4" priority="925" operator="containsText" text="Відпустка">
      <formula>NOT(ISERROR(SEARCH(("Відпустка"),(U2))))</formula>
    </cfRule>
  </conditionalFormatting>
  <conditionalFormatting sqref="U2:U40 U42:U45 U47:U48 N48 U50:U53 U55:U58 U60:U61 U63:U67 U70:U86 U88:U89 T89 W89 N92 U92:U96 U99:U108 U110:U111 U113 U115:U121 U123:U124 U126:U128 U130:U131 U133:U141 U143:U161 N153 U163:U184 U186 U188:U202 U205:U212 U214:U229 U232:U237 U239:U240 U242:U247 U249:U253 U255:U265 U267 U269:U273 U275:U293 U295:U300 U302:U324 O315 U326:U335 T333 U337:U343 U345:U368 U370:U376 U378:U379 U381:U386 U388 U390:U395 U397:U399 U401:U411 U414:U417 U419:U424 U426 U428:U430 U432:U437 U439:U440 U444:U455 U457 U459:U470 U472:U482 O484 U484 U486:U489 U491:U506 U508:U517 U520 U522:U525 U530 U532:U545 U547:U559 U561:U573 U575:U589 U591:U594 U596:U599 U601:U603 U605:U607 U609:U617 U620 U622:U624 U626:U628 U630:U636 U638:U658 U662 U664:U673 U675:U676 U678:U679 U681:U697 U700:U705 U707 U709:U711 U714:U719 U722 U730:U745 U747:U764 U778:U788 U790:U796 U798:U829 U831:U854">
    <cfRule type="containsText" dxfId="5" priority="926" operator="containsText" text="СЗЧ">
      <formula>NOT(ISERROR(SEARCH(("СЗЧ"),(U2))))</formula>
    </cfRule>
  </conditionalFormatting>
  <conditionalFormatting sqref="U2:U40 U42:U45 U47:U48 N48 U50:U53 U55:U58 U60:U61 U63:U67 U70:U86 U88:U89 T89 W89 N92 U92:U96 U99:U108 U110:U111 U113 U115:U121 U123:U124 U126:U128 U130:U131 U133:U141 U143:U161 N153 U163:U184 U186 U188:U202 U205:U212 U214:U229 U232:U237 U239:U240 U242:U247 U249:U253 U255:U265 U267 U269:U273 U275:U293 U295:U300 U302:U324 O315 U326:U335 T333 U337:U343 U345:U368 U370:U376 U378:U379 U381:U386 U388 U390:U395 U397:U399 U401:U411 U414:U417 U419:U424 U426 U428:U430 U432:U437 U439:U440 U444:U455 U457 U459:U470 U472:U482 O484 U484 U486:U489 U491:U506 U508:U517 U520 U522:U525 U530 U532:U545 U547:U559 U561:U573 U575:U589 U591:U594 U596:U599 U601:U603 U605:U607 U609:U617 U620 U622:U624 U626:U628 U630:U636 U638:U658 U662 U664:U673 U675:U676 U678:U679 U681:U697 U700:U705 U707 U709:U711 U714:U719 U722 U730:U745 U747:U764 U778:U788 U790:U796 U798:U829 U831:U854">
    <cfRule type="containsText" dxfId="6" priority="927" operator="containsText" text="Зниклі безвісти">
      <formula>NOT(ISERROR(SEARCH(("Зниклі безвісти"),(U2))))</formula>
    </cfRule>
  </conditionalFormatting>
  <conditionalFormatting sqref="U2:U40 U42:U45 U47:U48 N48 U50:U53 U55:U58 U60:U61 U63:U67 U70:U86 U88:U89 T89 W89 N92 U92:U96 U99:U108 U110:U111 U113 U115:U121 U123:U124 U126:U128 U130:U131 U133:U141 U143:U161 N153 U163:U184 U186 U188:U202 U205:U212 U214:U229 U232:U237 U239:U240 U242:U247 U249:U253 U255:U265 U267 U269:U273 U275:U293 U295:U300 U302:U324 O315 U326:U335 T333 U337:U343 U345:U368 U370:U376 U378:U379 U381:U386 U388 U390:U395 U397:U399 U401:U411 U414:U417 U419:U424 U426 U428:U430 U432:U437 U439:U440 U444:U455 U457 U459:U470 U472:U482 O484 U484 U486:U489 U491:U506 U508:U517 U520 U522:U525 U530 U532:U545 U547:U559 U561:U573 U575:U589 U591:U594 U596:U599 U601:U603 U605:U607 U609:U617 U620 U622:U624 U626:U628 U630:U636 U638:U658 U662 U664:U673 U675:U676 U678:U679 U681:U697 U700:U705 U707 U709:U711 U714:U719 U722 U730:U745 U747:U764 U778:U788 U790:U796 U798:U829 U831:U854">
    <cfRule type="containsText" dxfId="7" priority="928" operator="containsText" text="Від-ні навчання">
      <formula>NOT(ISERROR(SEARCH(("Від-ні навчання"),(U2))))</formula>
    </cfRule>
  </conditionalFormatting>
  <conditionalFormatting sqref="U2:U40 U42:U45 U47:U48 N48 U50:U53 U55:U58 U60:U61 U63:U67 U70:U86 U88:U89 T89 W89 N92 U92:U96 U99:U108 U110:U111 U113 U115:U121 U123:U124 U126:U128 U130:U131 U133:U141 U143:U161 N153 U163:U184 U186 U188:U202 U205:U212 U214:U229 U232:U237 U239:U240 U242:U247 U249:U253 U255:U265 U267 U269:U273 U275:U293 U295:U300 U302:U324 O315 U326:U335 T333 U337:U343 U345:U368 U370:U376 U378:U379 U381:U386 U388 U390:U395 U397:U399 U401:U411 U414:U417 U419:U424 U426 U428:U430 U432:U437 U439:U440 U444:U455 U457 U459:U470 U472:U482 O484 U484 U486:U489 U491:U506 U508:U517 U520 U522:U525 U530 U532:U545 U547:U559 U561:U573 U575:U589 U591:U594 U596:U599 U601:U603 U605:U607 U609:U617 U620 U622:U624 U626:U628 U630:U636 U638:U658 U662 U664:U673 U675:U676 U678:U679 U681:U697 U700:U705 U707 U709:U711 U714:U719 U722 U730:U745 U747:U764 U778:U788 U790:U796 U798:U829 U831:U854">
    <cfRule type="containsText" dxfId="8" priority="929" operator="containsText" text="Відком. за межі ПБ">
      <formula>NOT(ISERROR(SEARCH(("Відком. за межі ПБ"),(U2))))</formula>
    </cfRule>
  </conditionalFormatting>
  <conditionalFormatting sqref="U2:U40 U42:U45 U47:U48 N48 U50:U53 U55:U58 U60:U61 U63:U67 U70:U86 U88:U89 T89 W89 N92 U92:U96 U99:U108 U110:U111 U113 U115:U121 U123:U124 U126:U128 U130:U131 U133:U141 U143:U161 N153 U163:U184 U186 U188:U202 U205:U212 U214:U229 U232:U237 U239:U240 U242:U247 U249:U253 U255:U265 U267 U269:U273 U275:U293 U295:U300 U302:U324 O315 U326:U335 T333 U337:U343 U345:U368 U370:U376 U378:U379 U381:U386 U388 U390:U395 U397:U399 U401:U411 U414:U417 U419:U424 U426 U428:U430 U432:U437 U439:U440 U444:U455 U457 U459:U470 U472:U482 O484 U484 U486:U489 U491:U506 U508:U517 U520 U522:U525 U530 U532:U545 U547:U559 U561:U573 U575:U589 U591:U594 U596:U599 U601:U603 U605:U607 U609:U617 U620 U622:U624 U626:U628 U630:U636 U638:U658 U662 U664:U673 U675:U676 U678:U679 U681:U697 U700:U705 U707 U709:U711 U714:U719 U722 U730:U745 U747:U764 U778:U788 U790:U796 U798:U829 U831:U854">
    <cfRule type="containsText" dxfId="9" priority="930" operator="containsText" text="Загиблі">
      <formula>NOT(ISERROR(SEARCH(("Загиблі"),(U2))))</formula>
    </cfRule>
  </conditionalFormatting>
  <conditionalFormatting sqref="U2:U40 U42:U45 U47:U48 N48 U50:U53 U55:U58 U60:U61 U63:U67 U70:U86 U88:U89 T89 W89 N92 U92:U96 U99:U108 U110:U111 U113 U115:U121 U123:U124 U126:U128 U130:U131 U133:U141 U143:U161 N153 U163:U184 U186 U188:U202 U205:U212 U214:U229 U232:U237 U239:U240 U242:U247 U249:U253 U255:U265 U267 U269:U273 U275:U293 U295:U300 U302:U324 O315 U326:U335 T333 U337:U343 U345:U368 U370:U376 U378:U379 U381:U386 U388 U390:U395 U397:U399 U401:U411 U414:U417 U419:U424 U426 U428:U430 U432:U437 U439:U440 U444:U455 U457 U459:U470 U472:U482 O484 U484 U486:U489 U491:U506 U508:U517 U520 U522:U525 U530 U532:U545 U547:U559 U561:U573 U575:U589 U591:U594 U596:U599 U601:U603 U605:U607 U609:U617 U620 U622:U624 U626:U628 U630:U636 U638:U658 U662 U664:U673 U675:U676 U678:U679 U681:U697 U700:U705 U707 U709:U711 U714:U719 U722 U730:U745 U747:U764 U778:U788 U790:U796 U798:U829 U831:U854">
    <cfRule type="containsText" dxfId="10" priority="931" operator="containsText" text="Лікування">
      <formula>NOT(ISERROR(SEARCH(("Лікування"),(U2))))</formula>
    </cfRule>
  </conditionalFormatting>
  <conditionalFormatting sqref="U652 U695">
    <cfRule type="containsText" dxfId="8" priority="932" operator="containsText" text="Відрядження в ПБ">
      <formula>NOT(ISERROR(SEARCH(("Відрядження в ПБ"),(U652))))</formula>
    </cfRule>
  </conditionalFormatting>
  <conditionalFormatting sqref="N1:N16 O1 U1 N18 N20 N22 N24:N27 N29:N36 M35 N38:N44 O39 O41 K44 O44 N46:N52 M47 O47:O49 P48 N54:N58 K57 O58 N60:N61 O61 N63:N64 N66:P66 K68 N68 N73:N74 N76:N79 N82:N84 N86 N89:N92 O94:O95 N95 N99:N104 M101 O101 N106:N109 O107:O108 N111:O111 N113 N115 N118:N125 M119 O119:O120 O123:P123 O125 N128:N130 O129 N132:N135 O132:O133 P132 N137:N138 M138 O138 N140:N141 O141 N146:N151 N153:N163 O155:P155 M158 O158 O160 K162 N165:N166 O166 K168 N168 N170:N172 M172 O172 K174 N174:N175 O175:Q175 AD175 N178 O179 K180 N180:N181 N185:N186 N188:N190 K189 O190:O191 P190 N192:N193 N195:N196 N198 N200:N201 N205:N206 O205:P205 N209 N211 N217:N218 N220 N222:N223 N225:N231 O226:P226 M228 O228:O229 N233:N240 M234:M235 O234:O235 K237 O239 M240 N242:P242 N245:N247 N249 N256:N265 O257 O264:P264 N267 N269:N270 O270 N272:O272 K274 N274:N277 O274 N280 N283:N285 N288:N290 O288 N292 N295:O296 P295 N298:N300 N305:N314 O306 O308:O311 P308:P309 M310:M311 N319:N323 N327:N331 O328:P328 N333:N335 M335 N338:N339 O338:P338 N341 N343 N345:N347 N349:N350 N352:N367 O357:O359 P358 N370:N376 O371:P371 N378:N379 O378:P378 N381 N383:N386 O383 O386:P386 N388 N390:N391 O392 N393 P394 K395 N395 N397:N399 O397:P397 N401 N403:O403 N405:N408 O406 N413:O413 N415:N417 O415 N420:N424 O420:P420 O422:O424 P423 N426 O430 N432:N433 O433:P433 N436:N437 N439:N440 N445:N449 N451:N455 N457 N459:N465 O459 O463:P463 N467 N469 O472 N473:N474 N476 N478:N482 N484 M486 N486:N487 N489:O489 N491:N503 O493 O495:P495 K496 N505 N507:N508 O508:P508 N510 N513 N517 N520 N522:N525 O524:P525 N530:P530 N532:N534 N536:N542 N544:N545 K545 O545 N547:N553 O551:O552 P552:Q552 AF552 N555:N556 N559 N565:N570 O565:P565 O569 N572 N575:N577 N580 N582:N589 O584 N591:N594 O594 N596 N598:N599 N601 N603:P603 N605 N608:N609 N613 N616:N617 N620 N622:N624 K623 O624:Q624 AF624 N627:N628 N630:N634 N636:N637 N640:N642 N645:N646 M646 N648:N654 O648 O654 N656:N659 O656:P656 O659:P659 N662 N664 N666:N673 O668:P668 N678 K681 N681:N683 N685:N687 N689:N691 N694:N695 O694:P694 N697 N700:N705 O701:O702 K702 P702 K707 N707:O707 N709:N711 N714:N719 M718 O718 N722 N730:O745 M731:M745 M747:M762 N747:N764 O747:O762 N766 N769 N772:O772 N778:N788 O778:O787 P778:P782 K790 N790 N803:N829 N831:N843 N845:N855 O855:P855">
    <cfRule type="expression" dxfId="0" priority="933">
      <formula>COUNTIF($N$1:$N855, N1) &gt; 1</formula>
    </cfRule>
  </conditionalFormatting>
  <conditionalFormatting sqref="Q2:Q20 Q22:Q40 Q42:Q61 Q63:Q68 Q70:Q71 Q73:Q86 Q88:Q96 Q99:Q111 Q113:Q123 Q126:Q131 Q133:Q141 Q143:Q181 Q183:Q186 Q188:Q201 Q205:Q214 Q216:Q253 Q255:Q267 Q269:Q293 Q295:Q318 Q320:Q335 Q337:Q343 Q345:Q368 Q370:Q376 Q378:Q386 Q388 Q390:Q391 Q393:Q395 Q397:Q411 Q413:Q417 Q419:Q424 Q426 Q428 Q430 Q432:Q437 Q439:Q440 Q442 Q444:Q447 Q449:Q455 Q457 Q459 Q461:Q470 Q472:Q482 Q484:Q494 Q496:Q507 Q509:Q517 Q520 Q522:Q525 Q530 Q532:Q545 Q547:Q559 Q561:Q573 Q575:Q577 Q579:Q589 Q591:Q594 Q596:Q599 Q601:Q603 Q605:Q611 Q613:Q618 Q620:Q624 Q626:Q634 Q636 Q638:Q658 Q662 Q664:Q673 Q675:Q679 Q681:Q691 Q693:Q697 Q700:Q705 Q707:Q711 Q714:Q719 Q722 Q730:Q745 Q747:Q764 Q769 Q772 Q778:Q788 Q790:Q796 Q798:Q801 Q803:Q812 Q814:Q854">
    <cfRule type="cellIs" dxfId="3" priority="934" operator="equal">
      <formula>P2</formula>
    </cfRule>
  </conditionalFormatting>
  <conditionalFormatting sqref="Q2:Q20 Q22:Q40 Q42:Q61 Q63:Q68 Q70:Q71 Q73:Q86 Q88:Q96 Q99:Q111 Q113:Q123 Q126:Q131 Q133:Q141 Q143:Q181 Q183:Q186 Q188:Q201 Q205:Q214 Q216:Q253 Q255:Q267 Q269:Q293 Q295:Q318 Q320:Q335 Q337:Q343 Q345:Q368 Q370:Q376 Q378:Q386 Q388 Q390:Q391 Q393:Q395 Q397:Q411 Q413:Q417 Q419:Q424 Q426 Q428 Q430 Q432:Q437 Q439:Q440 Q442 Q444:Q447 Q449:Q455 Q457 Q459 Q461:Q470 Q472:Q482 Q484:Q494 Q496:Q507 Q509:Q517 Q520 Q522:Q525 Q530 Q532:Q545 Q547:Q559 Q561:Q573 Q575:Q577 Q579:Q589 Q591:Q594 Q596:Q599 Q601:Q603 Q605:Q611 Q613:Q618 Q620:Q624 Q626:Q634 Q636 Q638:Q658 Q662 Q664:Q673 Q675:Q679 Q681:Q691 Q693:Q697 Q700:Q705 Q707:Q711 Q714:Q719 Q722 Q730:Q745 Q747:Q764 Q769 Q772 Q778:Q788 Q790:Q796 Q798:Q801 Q803:Q812 Q814:Q854">
    <cfRule type="cellIs" dxfId="9" priority="935" operator="notEqual">
      <formula>P2</formula>
    </cfRule>
  </conditionalFormatting>
  <dataValidations>
    <dataValidation type="list" allowBlank="1" showErrorMessage="1" sqref="W27">
      <formula1>#REF!</formula1>
    </dataValidation>
    <dataValidation type="list" allowBlank="1" showErrorMessage="1" sqref="W2:W26 W28:W46 W48:W84 W86:W114 W116:W124 W126:W183 W185:W186 W188:W231 W233:W234 W236 W238:W243 W245:W319 W321:W361 W363:W408 W410:W413 W415:W417 W419:W424 W426:W428 W430:W438 W440:W467 W469 W471:W490 W492:W503 W505:W522 W524:W535 W537:W544 W546:W550 W552:W554 W556:W570 W572:W577 W579:W585 W587:W588 W590:W592 W594:W609 W613:W619 W621:W652 W654:W664 W666:W675 W677:W679 W681:W705 W707 W709:W724 W726:W796 U797:W797 W798:W816 W818:W829 W831:W843 W845:W854">
      <formula1>'1.ОС Загальний список'!$AQ$2:$AQ$3</formula1>
    </dataValidation>
    <dataValidation type="list" allowBlank="1" showErrorMessage="1" sqref="AB2:AB20 AB22:AB26 AB28:AB45 AB48 AB50:AB53 AB55:AB67 AB69:AB71 AB73:AB84 AB86:AB88 AB91:AB106 AB108 AB110:AB111 AB113:AB114 AB116:AB121 AB123:AB124 AB126:AB161 AB163:AB165 AB167:AB183 AB186 AB188:AB189 AB191:AB203 AB206:AB214 AB216:AB229 AB233:AB234 AB236 AB239:AB241 AB243 AB245:AB273 AB275:AB318 AB321:AB349 AB352:AB357 AB359:AB361 AB363:AB382 AB384:AB396 AB398:AB402 AB404:AB405 AB407:AB413 AB415:AB417 AB419 AB421:AB422 AB424 AB426:AB428 AB430:AB438 AB440:AB462 AB464:AB467 AB469 AB471:AB490 AB492:AB503 AB505:AB506 AB508:AB522 AB524:AB530 AB532:AB535 AB537:AB544 AB546:AB550 AB552:AB554 AB556:AB570 AB572:AB577 AB579:AB585 AB587:AB588 AB590:AB592 AB594:AB609 AB613:AB619 AB621:AB624 AB626:AB652 AB655:AB660 AB662:AB664 AB666:AB675 AB677:AB679 AB681:AB705 AB707 AB709:AB724 AB726:AB768 AB771:AB779 AB785:AB816 AB818:AB829 AB831:AB843 AB845:AB854">
      <formula1>'1.ОС Загальний список'!$AP$2:$AP$4</formula1>
    </dataValidation>
    <dataValidation type="list" allowBlank="1" showErrorMessage="1" sqref="AC27:AC28 AE2:AE47 AE49:AE84 AE86:AE114 AE116:AE186 AC198 AE188:AE234 AE236 AC302 AC367 AE238:AE417 AE419:AE424 AC454 AE426:AE467 AE469:AE490 AE492:AE522 AE524:AE535 AE537:AE554 AC572 AE556:AE585 AE587:AE588 AE590:AE592 AE594:AE609 AE611:AE652 AC675 AE654:AE675 AE677:AE679 AC686 AC690 AC695 AC698 AE681:AE705 AE707 AE709:AE816 AE818:AE829 AE831:AE843 AE845:AE854">
      <formula1>'1.ОС Загальний список'!$AO$2:$AO$39</formula1>
    </dataValidation>
    <dataValidation type="list" allowBlank="1" showErrorMessage="1" sqref="AB27">
      <formula1>#REF!</formula1>
    </dataValidation>
    <dataValidation type="list" allowBlank="1" showErrorMessage="1" sqref="V2:V46 V48:V84 V86:V124 V126:V183 V185:V186 V188:V231 V233:V234 V236 V238:V243 V245:V319 V321:V408 V410:V413 V415:V417 V419:V424 V426:V428 V430:V467 V469 V471:V490 V492:V503 V505:V522 V524:V535 V537:V550 V552:V554 V556:V570 V572:V577 V579:V585 V587:V588 V590:V592 V594:V609 V613:V619 V621:V652 V654:V664 V666:V675 V677:V679 V681:V705 V707 V709:V796 V798:V816 V818:V829 V831:V843 V845:V854">
      <formula1>'1.ОС Загальний список'!$AM$2:$AM$20</formula1>
    </dataValidation>
    <dataValidation type="list" allowBlank="1" showErrorMessage="1" sqref="X2:X20 X22:X26 X28:X45 X48:X53 X55:X71 X73:X84 X86:X88 X90:X111 X113:X114 X116:X121 X123:X124 X126:X183 X185:X186 X188:X214 X216:X231 X233:X234 X236 X239:X243 X245:X319 X321:X349 X351:X361 X363:X405 X407:X408 X410:X413 X415:X417 X419:X424 X426:X428 X430:X438 X440:X467 X469 X471:X490 X492:X503 X505:X506 X508:X522 X524:X535 X537:X544 X546:X550 X552:X554 X556:X570 X572:X577 X579:X585 X587:X588 X590:X592 X594:X609 X613:X619 X621:X652 X654:X660 X662:X664 X666:X675 X677:X679 X681:X705 X707 X709:X722 X726:X769 X771:X783 X785:X788 X790:X816 X818:X829 X831:X843 X845:X854">
      <formula1>'1.ОС Загальний список'!$AN$2:$AN$4</formula1>
    </dataValidation>
    <dataValidation type="list" allowBlank="1" showErrorMessage="1" sqref="AB21 AB46 AB54 AB68 AB72 AB90 AB107 AB109 AB112 AB122 AB162 AB166 AB185 AB190 AB204:AB205 AB215 AB230:AB231 AB238 AB242 AB274 AB358 AB383 AB397 AB403 AB406 AB420 AB423 AB463 AB507 AB625 AB654 AB661 AB769:AB770 AB780:AB784">
      <formula1>'1.ОС Загальний список'!$AP$2:$AP$4</formula1>
    </dataValidation>
    <dataValidation type="list" allowBlank="1" showErrorMessage="1" sqref="U2:U84 U86:U186 U188:U234 U236 U238:U417 U419:U424 U426:U467 U469:U490 U492:U522 U524:U535 U537:U554 U556:U585 U587:U588 U590:U592 U594:U609 U611:U652 U654:U675 U677:U679 U681:U705 U707 U709:U796 U798:U816 U818:U829 U831:U843 U845:U854">
      <formula1>'1.ОС Загальний список'!$AL$2:$AL$13</formula1>
    </dataValidation>
    <dataValidation type="list" allowBlank="1" showErrorMessage="1" sqref="X27">
      <formula1>#REF!</formula1>
    </dataValidation>
    <dataValidation type="list" allowBlank="1" showDropDown="1" showErrorMessage="1" sqref="G2:I28 G29:G33 I29:I33 G34:I459 G460:L460 G461:I722 G726:I777 G778:H778 G779:I779 G780:H781 G782:I797 G799:I854">
      <formula1>#REF!</formula1>
    </dataValidation>
    <dataValidation type="list" allowBlank="1" showErrorMessage="1" sqref="X21 X46 X54 X72 X112 X122 X215 X238 X406 X507 X661 X770 X784">
      <formula1>'1.ОС Загальний список'!$AN$2:$AN$4</formula1>
    </dataValidation>
  </dataValidations>
  <printOptions/>
  <pageMargins bottom="0.75" footer="0.0" header="0.0" left="0.7" right="0.7" top="0.75"/>
  <pageSetup paperSize="9" orientation="portrait"/>
  <drawing ns1: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20.13"/>
    <col customWidth="1" min="3" max="3" width="18.0"/>
    <col customWidth="1" min="4" max="4" width="13.5"/>
    <col customWidth="1" min="5" max="5" width="42.63"/>
    <col customWidth="1" min="6" max="6" width="17.5"/>
    <col customWidth="1" min="7" max="7" width="14.13"/>
    <col customWidth="1" min="8" max="8" width="19.63"/>
    <col customWidth="1" min="9" max="9" width="10.13"/>
    <col customWidth="1" min="10" max="10" width="9.75"/>
    <col customWidth="1" min="11" max="11" width="28.13"/>
    <col customWidth="1" min="12" max="12" width="27.38"/>
    <col customWidth="1" min="13" max="13" width="82.38"/>
  </cols>
  <sheetData>
    <row r="1">
      <c r="A1" s="6" t="s">
        <v>2</v>
      </c>
      <c r="B1" s="6" t="s">
        <v>24</v>
      </c>
      <c r="C1" s="11" t="s">
        <v>27</v>
      </c>
      <c r="D1" s="13" t="s">
        <v>29</v>
      </c>
      <c r="E1" s="6" t="s">
        <v>31</v>
      </c>
      <c r="F1" s="6" t="s">
        <v>32</v>
      </c>
      <c r="G1" s="19" t="s">
        <v>34</v>
      </c>
      <c r="H1" s="22" t="s">
        <v>41</v>
      </c>
      <c r="I1" s="6"/>
      <c r="J1" s="6" t="s">
        <v>43</v>
      </c>
      <c r="K1" s="6" t="s">
        <v>44</v>
      </c>
      <c r="L1" s="13" t="s">
        <v>45</v>
      </c>
      <c r="M1" s="27" t="s">
        <v>26</v>
      </c>
      <c r="N1" s="29"/>
      <c r="O1" s="29"/>
      <c r="P1" s="29"/>
      <c r="Q1" s="29"/>
      <c r="R1" s="29"/>
      <c r="S1" s="29"/>
      <c r="T1" s="29"/>
      <c r="U1" s="29"/>
      <c r="V1" s="29"/>
      <c r="W1" s="29"/>
      <c r="X1" s="29"/>
      <c r="Y1" s="29"/>
      <c r="Z1" s="29"/>
      <c r="AA1" s="29"/>
      <c r="AB1" s="29"/>
      <c r="AC1" s="29"/>
      <c r="AD1" s="29"/>
      <c r="AE1" s="29"/>
      <c r="AF1" s="29"/>
      <c r="AG1" s="29"/>
    </row>
    <row r="2">
      <c r="A2" s="40" t="s">
        <v>54</v>
      </c>
      <c r="B2" s="40" t="s">
        <v>56</v>
      </c>
      <c r="C2" s="44" t="s">
        <v>58</v>
      </c>
      <c r="D2" s="47" t="s">
        <v>60</v>
      </c>
      <c r="E2" s="40" t="s">
        <v>64</v>
      </c>
      <c r="F2" s="40" t="s">
        <v>67</v>
      </c>
      <c r="G2" s="50" t="s">
        <v>70</v>
      </c>
      <c r="H2" s="53">
        <v>45813.0</v>
      </c>
      <c r="I2" s="63">
        <f>IFERROR(__xludf.DUMMYFUNCTION("IF(ISBLANK(H2), TODAY()-TO_DATE(G2), TO_DATE(H2)-TO_DATE(G2))+1"),3.0)</f>
        <v>3</v>
      </c>
      <c r="J2" s="40">
        <v>500.0</v>
      </c>
      <c r="K2" s="65" t="s">
        <v>107</v>
      </c>
      <c r="L2" s="69" t="s">
        <v>110</v>
      </c>
      <c r="M2" s="72"/>
      <c r="N2" s="29"/>
      <c r="O2" s="29"/>
      <c r="P2" s="29"/>
      <c r="Q2" s="29"/>
      <c r="R2" s="29"/>
      <c r="S2" s="29"/>
      <c r="T2" s="29"/>
      <c r="U2" s="29"/>
      <c r="V2" s="29"/>
      <c r="W2" s="29"/>
      <c r="X2" s="29"/>
      <c r="Y2" s="29"/>
      <c r="Z2" s="29"/>
      <c r="AA2" s="29"/>
      <c r="AB2" s="29"/>
      <c r="AC2" s="29"/>
      <c r="AD2" s="29"/>
      <c r="AE2" s="29"/>
      <c r="AF2" s="29"/>
      <c r="AG2" s="29"/>
    </row>
    <row r="3">
      <c r="A3" s="40" t="s">
        <v>54</v>
      </c>
      <c r="B3" s="40" t="s">
        <v>56</v>
      </c>
      <c r="C3" s="44" t="s">
        <v>58</v>
      </c>
      <c r="D3" s="47" t="s">
        <v>60</v>
      </c>
      <c r="E3" s="40" t="s">
        <v>123</v>
      </c>
      <c r="F3" s="40" t="s">
        <v>124</v>
      </c>
      <c r="G3" s="50" t="s">
        <v>70</v>
      </c>
      <c r="H3" s="53">
        <v>45813.0</v>
      </c>
      <c r="I3" s="63">
        <f>IFERROR(__xludf.DUMMYFUNCTION("IF(ISBLANK(H3), TODAY()-TO_DATE(G3), TO_DATE(H3)-TO_DATE(G3))+1"),3.0)</f>
        <v>3</v>
      </c>
      <c r="J3" s="40">
        <v>500.0</v>
      </c>
      <c r="K3" s="65" t="s">
        <v>131</v>
      </c>
      <c r="L3" s="69" t="s">
        <v>132</v>
      </c>
      <c r="M3" s="72"/>
      <c r="N3" s="29"/>
      <c r="O3" s="29"/>
      <c r="P3" s="29"/>
      <c r="Q3" s="29"/>
      <c r="R3" s="29"/>
      <c r="S3" s="29"/>
      <c r="T3" s="29"/>
      <c r="U3" s="29"/>
      <c r="V3" s="29"/>
      <c r="W3" s="29"/>
      <c r="X3" s="29"/>
      <c r="Y3" s="29"/>
      <c r="Z3" s="29"/>
      <c r="AA3" s="29"/>
      <c r="AB3" s="29"/>
      <c r="AC3" s="29"/>
      <c r="AD3" s="29"/>
      <c r="AE3" s="29"/>
      <c r="AF3" s="29"/>
      <c r="AG3" s="29"/>
    </row>
    <row r="4">
      <c r="A4" s="40" t="s">
        <v>54</v>
      </c>
      <c r="B4" s="40" t="s">
        <v>56</v>
      </c>
      <c r="C4" s="44" t="s">
        <v>139</v>
      </c>
      <c r="D4" s="47" t="s">
        <v>60</v>
      </c>
      <c r="E4" s="40" t="s">
        <v>140</v>
      </c>
      <c r="F4" s="40" t="s">
        <v>142</v>
      </c>
      <c r="G4" s="50" t="s">
        <v>70</v>
      </c>
      <c r="H4" s="53">
        <v>45813.0</v>
      </c>
      <c r="I4" s="63">
        <f>IFERROR(__xludf.DUMMYFUNCTION("IF(ISBLANK(H4), TODAY()-TO_DATE(G4), TO_DATE(H4)-TO_DATE(G4))+1"),3.0)</f>
        <v>3</v>
      </c>
      <c r="J4" s="40">
        <v>500.0</v>
      </c>
      <c r="K4" s="65" t="s">
        <v>147</v>
      </c>
      <c r="L4" s="88"/>
      <c r="M4" s="72"/>
      <c r="N4" s="29"/>
      <c r="O4" s="29"/>
      <c r="P4" s="29"/>
      <c r="Q4" s="29"/>
      <c r="R4" s="29"/>
      <c r="S4" s="29"/>
      <c r="T4" s="29"/>
      <c r="U4" s="29"/>
      <c r="V4" s="29"/>
      <c r="W4" s="29"/>
      <c r="X4" s="29"/>
      <c r="Y4" s="29"/>
      <c r="Z4" s="29"/>
      <c r="AA4" s="29"/>
      <c r="AB4" s="29"/>
      <c r="AC4" s="29"/>
      <c r="AD4" s="29"/>
      <c r="AE4" s="29"/>
      <c r="AF4" s="29"/>
      <c r="AG4" s="29"/>
    </row>
    <row r="5">
      <c r="A5" s="40" t="s">
        <v>54</v>
      </c>
      <c r="B5" s="40" t="s">
        <v>56</v>
      </c>
      <c r="C5" s="44" t="s">
        <v>158</v>
      </c>
      <c r="D5" s="47" t="s">
        <v>60</v>
      </c>
      <c r="E5" s="40" t="s">
        <v>159</v>
      </c>
      <c r="F5" s="40" t="s">
        <v>162</v>
      </c>
      <c r="G5" s="50" t="s">
        <v>70</v>
      </c>
      <c r="H5" s="53">
        <v>45814.0</v>
      </c>
      <c r="I5" s="63">
        <f>IFERROR(__xludf.DUMMYFUNCTION("IF(ISBLANK(H5), TODAY()-TO_DATE(G5), TO_DATE(H5)-TO_DATE(G5))+1"),4.0)</f>
        <v>4</v>
      </c>
      <c r="J5" s="40">
        <v>500.0</v>
      </c>
      <c r="K5" s="65" t="s">
        <v>167</v>
      </c>
      <c r="L5" s="88"/>
      <c r="M5" s="72"/>
      <c r="N5" s="29"/>
      <c r="O5" s="29"/>
      <c r="P5" s="29"/>
      <c r="Q5" s="29"/>
      <c r="R5" s="29"/>
      <c r="S5" s="29"/>
      <c r="T5" s="29"/>
      <c r="U5" s="29"/>
      <c r="V5" s="29"/>
      <c r="W5" s="29"/>
      <c r="X5" s="29"/>
      <c r="Y5" s="29"/>
      <c r="Z5" s="29"/>
      <c r="AA5" s="29"/>
      <c r="AB5" s="29"/>
      <c r="AC5" s="29"/>
      <c r="AD5" s="29"/>
      <c r="AE5" s="29"/>
      <c r="AF5" s="29"/>
      <c r="AG5" s="29"/>
    </row>
    <row r="6">
      <c r="A6" s="40" t="s">
        <v>54</v>
      </c>
      <c r="B6" s="40" t="s">
        <v>56</v>
      </c>
      <c r="C6" s="44" t="s">
        <v>139</v>
      </c>
      <c r="D6" s="47" t="s">
        <v>60</v>
      </c>
      <c r="E6" s="40" t="s">
        <v>173</v>
      </c>
      <c r="F6" s="40" t="s">
        <v>174</v>
      </c>
      <c r="G6" s="50" t="s">
        <v>70</v>
      </c>
      <c r="H6" s="53">
        <v>45814.0</v>
      </c>
      <c r="I6" s="63">
        <f>IFERROR(__xludf.DUMMYFUNCTION("IF(ISBLANK(H6), TODAY()-TO_DATE(G6), TO_DATE(H6)-TO_DATE(G6))+1"),4.0)</f>
        <v>4</v>
      </c>
      <c r="J6" s="40">
        <v>500.0</v>
      </c>
      <c r="K6" s="65" t="s">
        <v>179</v>
      </c>
      <c r="L6" s="88"/>
      <c r="M6" s="72"/>
      <c r="N6" s="29"/>
      <c r="O6" s="29"/>
      <c r="P6" s="29"/>
      <c r="Q6" s="29"/>
      <c r="R6" s="29"/>
      <c r="S6" s="29"/>
      <c r="T6" s="29"/>
      <c r="U6" s="29"/>
      <c r="V6" s="29"/>
      <c r="W6" s="29"/>
      <c r="X6" s="29"/>
      <c r="Y6" s="29"/>
      <c r="Z6" s="29"/>
      <c r="AA6" s="29"/>
      <c r="AB6" s="29"/>
      <c r="AC6" s="29"/>
      <c r="AD6" s="29"/>
      <c r="AE6" s="29"/>
      <c r="AF6" s="29"/>
      <c r="AG6" s="29"/>
    </row>
    <row r="7">
      <c r="A7" s="40" t="s">
        <v>54</v>
      </c>
      <c r="B7" s="40" t="s">
        <v>56</v>
      </c>
      <c r="C7" s="44" t="s">
        <v>187</v>
      </c>
      <c r="D7" s="47" t="s">
        <v>60</v>
      </c>
      <c r="E7" s="40" t="s">
        <v>191</v>
      </c>
      <c r="F7" s="40" t="s">
        <v>193</v>
      </c>
      <c r="G7" s="50" t="s">
        <v>70</v>
      </c>
      <c r="H7" s="53">
        <v>45814.0</v>
      </c>
      <c r="I7" s="63">
        <f>IFERROR(__xludf.DUMMYFUNCTION("IF(ISBLANK(H7), TODAY()-TO_DATE(G7), TO_DATE(H7)-TO_DATE(G7))+1"),4.0)</f>
        <v>4</v>
      </c>
      <c r="J7" s="40">
        <v>500.0</v>
      </c>
      <c r="K7" s="65" t="s">
        <v>198</v>
      </c>
      <c r="L7" s="69" t="s">
        <v>199</v>
      </c>
      <c r="M7" s="72"/>
      <c r="N7" s="29"/>
      <c r="O7" s="29"/>
      <c r="P7" s="29"/>
      <c r="Q7" s="29"/>
      <c r="R7" s="29"/>
      <c r="S7" s="29"/>
      <c r="T7" s="29"/>
      <c r="U7" s="29"/>
      <c r="V7" s="29"/>
      <c r="W7" s="29"/>
      <c r="X7" s="29"/>
      <c r="Y7" s="29"/>
      <c r="Z7" s="29"/>
      <c r="AA7" s="29"/>
      <c r="AB7" s="29"/>
      <c r="AC7" s="29"/>
      <c r="AD7" s="29"/>
      <c r="AE7" s="29"/>
      <c r="AF7" s="29"/>
      <c r="AG7" s="29"/>
    </row>
    <row r="8">
      <c r="A8" s="40" t="s">
        <v>54</v>
      </c>
      <c r="B8" s="40" t="s">
        <v>56</v>
      </c>
      <c r="C8" s="44" t="s">
        <v>201</v>
      </c>
      <c r="D8" s="47" t="s">
        <v>60</v>
      </c>
      <c r="E8" s="40" t="s">
        <v>202</v>
      </c>
      <c r="F8" s="40" t="s">
        <v>203</v>
      </c>
      <c r="G8" s="50" t="s">
        <v>70</v>
      </c>
      <c r="H8" s="53">
        <v>45821.0</v>
      </c>
      <c r="I8" s="63">
        <f>IFERROR(__xludf.DUMMYFUNCTION("IF(ISBLANK(H8), TODAY()-TO_DATE(G8), TO_DATE(H8)-TO_DATE(G8))+1"),11.0)</f>
        <v>11</v>
      </c>
      <c r="J8" s="40">
        <v>300.0</v>
      </c>
      <c r="K8" s="65" t="s">
        <v>207</v>
      </c>
      <c r="L8" s="69" t="s">
        <v>208</v>
      </c>
      <c r="M8" s="72"/>
      <c r="N8" s="29"/>
      <c r="O8" s="29"/>
      <c r="P8" s="29"/>
      <c r="Q8" s="29"/>
      <c r="R8" s="29"/>
      <c r="S8" s="29"/>
      <c r="T8" s="29"/>
      <c r="U8" s="29"/>
      <c r="V8" s="29"/>
      <c r="W8" s="29"/>
      <c r="X8" s="29"/>
      <c r="Y8" s="29"/>
      <c r="Z8" s="29"/>
      <c r="AA8" s="29"/>
      <c r="AB8" s="29"/>
      <c r="AC8" s="29"/>
      <c r="AD8" s="29"/>
      <c r="AE8" s="29"/>
      <c r="AF8" s="29"/>
      <c r="AG8" s="29"/>
    </row>
    <row r="9">
      <c r="A9" s="40" t="s">
        <v>54</v>
      </c>
      <c r="B9" s="40" t="s">
        <v>56</v>
      </c>
      <c r="C9" s="44" t="s">
        <v>213</v>
      </c>
      <c r="D9" s="47" t="s">
        <v>60</v>
      </c>
      <c r="E9" s="40" t="s">
        <v>215</v>
      </c>
      <c r="F9" s="40" t="s">
        <v>216</v>
      </c>
      <c r="G9" s="50" t="s">
        <v>70</v>
      </c>
      <c r="H9" s="53">
        <v>45815.0</v>
      </c>
      <c r="I9" s="63">
        <f>IFERROR(__xludf.DUMMYFUNCTION("IF(ISBLANK(H9), TODAY()-TO_DATE(G9), TO_DATE(H9)-TO_DATE(G9))+1"),5.0)</f>
        <v>5</v>
      </c>
      <c r="J9" s="40">
        <v>500.0</v>
      </c>
      <c r="K9" s="65" t="s">
        <v>221</v>
      </c>
      <c r="L9" s="88"/>
      <c r="M9" s="72"/>
      <c r="N9" s="29"/>
      <c r="O9" s="29"/>
      <c r="P9" s="29"/>
      <c r="Q9" s="29"/>
      <c r="R9" s="29"/>
      <c r="S9" s="29"/>
      <c r="T9" s="29"/>
      <c r="U9" s="29"/>
      <c r="V9" s="29"/>
      <c r="W9" s="29"/>
      <c r="X9" s="29"/>
      <c r="Y9" s="29"/>
      <c r="Z9" s="29"/>
      <c r="AA9" s="29"/>
      <c r="AB9" s="29"/>
      <c r="AC9" s="29"/>
      <c r="AD9" s="29"/>
      <c r="AE9" s="29"/>
      <c r="AF9" s="29"/>
      <c r="AG9" s="29"/>
    </row>
    <row r="10">
      <c r="A10" s="40" t="s">
        <v>54</v>
      </c>
      <c r="B10" s="40" t="s">
        <v>56</v>
      </c>
      <c r="C10" s="44" t="s">
        <v>228</v>
      </c>
      <c r="D10" s="47" t="s">
        <v>60</v>
      </c>
      <c r="E10" s="40" t="s">
        <v>229</v>
      </c>
      <c r="F10" s="40" t="s">
        <v>230</v>
      </c>
      <c r="G10" s="50" t="s">
        <v>70</v>
      </c>
      <c r="H10" s="53">
        <v>45815.0</v>
      </c>
      <c r="I10" s="63">
        <f>IFERROR(__xludf.DUMMYFUNCTION("IF(ISBLANK(H10), TODAY()-TO_DATE(G10), TO_DATE(H10)-TO_DATE(G10))+1"),5.0)</f>
        <v>5</v>
      </c>
      <c r="J10" s="40">
        <v>500.0</v>
      </c>
      <c r="K10" s="65" t="s">
        <v>237</v>
      </c>
      <c r="L10" s="88"/>
      <c r="M10" s="72"/>
      <c r="N10" s="29"/>
      <c r="O10" s="29"/>
      <c r="P10" s="29"/>
      <c r="Q10" s="29"/>
      <c r="R10" s="29"/>
      <c r="S10" s="29"/>
      <c r="T10" s="29"/>
      <c r="U10" s="29"/>
      <c r="V10" s="29"/>
      <c r="W10" s="29"/>
      <c r="X10" s="29"/>
      <c r="Y10" s="29"/>
      <c r="Z10" s="29"/>
      <c r="AA10" s="29"/>
      <c r="AB10" s="29"/>
      <c r="AC10" s="29"/>
      <c r="AD10" s="29"/>
      <c r="AE10" s="29"/>
      <c r="AF10" s="29"/>
      <c r="AG10" s="29"/>
    </row>
    <row r="11">
      <c r="A11" s="40" t="s">
        <v>54</v>
      </c>
      <c r="B11" s="40" t="s">
        <v>56</v>
      </c>
      <c r="C11" s="44" t="s">
        <v>158</v>
      </c>
      <c r="D11" s="47" t="s">
        <v>60</v>
      </c>
      <c r="E11" s="40" t="s">
        <v>242</v>
      </c>
      <c r="F11" s="40" t="s">
        <v>244</v>
      </c>
      <c r="G11" s="50" t="s">
        <v>70</v>
      </c>
      <c r="H11" s="53">
        <v>45815.0</v>
      </c>
      <c r="I11" s="63">
        <f>IFERROR(__xludf.DUMMYFUNCTION("IF(ISBLANK(H11), TODAY()-TO_DATE(G11), TO_DATE(H11)-TO_DATE(G11))+1"),5.0)</f>
        <v>5</v>
      </c>
      <c r="J11" s="40">
        <v>500.0</v>
      </c>
      <c r="K11" s="65" t="s">
        <v>245</v>
      </c>
      <c r="L11" s="88"/>
      <c r="M11" s="72"/>
      <c r="N11" s="29"/>
      <c r="O11" s="29"/>
      <c r="P11" s="29"/>
      <c r="Q11" s="29"/>
      <c r="R11" s="29"/>
      <c r="S11" s="29"/>
      <c r="T11" s="29"/>
      <c r="U11" s="29"/>
      <c r="V11" s="29"/>
      <c r="W11" s="29"/>
      <c r="X11" s="29"/>
      <c r="Y11" s="29"/>
      <c r="Z11" s="29"/>
      <c r="AA11" s="29"/>
      <c r="AB11" s="29"/>
      <c r="AC11" s="29"/>
      <c r="AD11" s="29"/>
      <c r="AE11" s="29"/>
      <c r="AF11" s="29"/>
      <c r="AG11" s="29"/>
    </row>
    <row r="12">
      <c r="A12" s="40" t="s">
        <v>54</v>
      </c>
      <c r="B12" s="40" t="s">
        <v>56</v>
      </c>
      <c r="C12" s="44" t="s">
        <v>212</v>
      </c>
      <c r="D12" s="47" t="s">
        <v>60</v>
      </c>
      <c r="E12" s="40" t="s">
        <v>252</v>
      </c>
      <c r="F12" s="40" t="s">
        <v>253</v>
      </c>
      <c r="G12" s="50" t="s">
        <v>70</v>
      </c>
      <c r="H12" s="53">
        <v>45818.0</v>
      </c>
      <c r="I12" s="63">
        <f>IFERROR(__xludf.DUMMYFUNCTION("IF(ISBLANK(H12), TODAY()-TO_DATE(G12), TO_DATE(H12)-TO_DATE(G12))+1"),8.0)</f>
        <v>8</v>
      </c>
      <c r="J12" s="40">
        <v>300.0</v>
      </c>
      <c r="K12" s="65" t="s">
        <v>258</v>
      </c>
      <c r="L12" s="69" t="s">
        <v>260</v>
      </c>
      <c r="M12" s="72"/>
      <c r="N12" s="29"/>
      <c r="O12" s="29"/>
      <c r="P12" s="29"/>
      <c r="Q12" s="29"/>
      <c r="R12" s="29"/>
      <c r="S12" s="29"/>
      <c r="T12" s="29"/>
      <c r="U12" s="29"/>
      <c r="V12" s="29"/>
      <c r="W12" s="29"/>
      <c r="X12" s="29"/>
      <c r="Y12" s="29"/>
      <c r="Z12" s="29"/>
      <c r="AA12" s="29"/>
      <c r="AB12" s="29"/>
      <c r="AC12" s="29"/>
      <c r="AD12" s="29"/>
      <c r="AE12" s="29"/>
      <c r="AF12" s="29"/>
      <c r="AG12" s="29"/>
    </row>
    <row r="13">
      <c r="A13" s="40" t="s">
        <v>54</v>
      </c>
      <c r="B13" s="40" t="s">
        <v>56</v>
      </c>
      <c r="C13" s="44" t="s">
        <v>266</v>
      </c>
      <c r="D13" s="47" t="s">
        <v>60</v>
      </c>
      <c r="E13" s="40" t="s">
        <v>268</v>
      </c>
      <c r="F13" s="40" t="s">
        <v>272</v>
      </c>
      <c r="G13" s="50" t="s">
        <v>70</v>
      </c>
      <c r="H13" s="53">
        <v>45816.0</v>
      </c>
      <c r="I13" s="63">
        <f>IFERROR(__xludf.DUMMYFUNCTION("IF(ISBLANK(H13), TODAY()-TO_DATE(G13), TO_DATE(H13)-TO_DATE(G13))+1"),6.0)</f>
        <v>6</v>
      </c>
      <c r="J13" s="40">
        <v>300.0</v>
      </c>
      <c r="K13" s="65" t="s">
        <v>274</v>
      </c>
      <c r="L13" s="69" t="s">
        <v>276</v>
      </c>
      <c r="M13" s="72"/>
      <c r="N13" s="29"/>
      <c r="O13" s="29"/>
      <c r="P13" s="29"/>
      <c r="Q13" s="29"/>
      <c r="R13" s="29"/>
      <c r="S13" s="29"/>
      <c r="T13" s="29"/>
      <c r="U13" s="29"/>
      <c r="V13" s="29"/>
      <c r="W13" s="29"/>
      <c r="X13" s="29"/>
      <c r="Y13" s="29"/>
      <c r="Z13" s="29"/>
      <c r="AA13" s="29"/>
      <c r="AB13" s="29"/>
      <c r="AC13" s="29"/>
      <c r="AD13" s="29"/>
      <c r="AE13" s="29"/>
      <c r="AF13" s="29"/>
      <c r="AG13" s="29"/>
    </row>
    <row r="14">
      <c r="A14" s="40" t="s">
        <v>54</v>
      </c>
      <c r="B14" s="40" t="s">
        <v>56</v>
      </c>
      <c r="C14" s="44" t="s">
        <v>187</v>
      </c>
      <c r="D14" s="47" t="s">
        <v>60</v>
      </c>
      <c r="E14" s="40" t="s">
        <v>283</v>
      </c>
      <c r="F14" s="40" t="s">
        <v>284</v>
      </c>
      <c r="G14" s="50" t="s">
        <v>70</v>
      </c>
      <c r="H14" s="53">
        <v>45815.0</v>
      </c>
      <c r="I14" s="63">
        <f>IFERROR(__xludf.DUMMYFUNCTION("IF(ISBLANK(H14), TODAY()-TO_DATE(G14), TO_DATE(H14)-TO_DATE(G14))+1"),5.0)</f>
        <v>5</v>
      </c>
      <c r="J14" s="40">
        <v>300.0</v>
      </c>
      <c r="K14" s="65" t="s">
        <v>289</v>
      </c>
      <c r="L14" s="88"/>
      <c r="M14" s="72"/>
      <c r="N14" s="29"/>
      <c r="O14" s="29"/>
      <c r="P14" s="29"/>
      <c r="Q14" s="29"/>
      <c r="R14" s="29"/>
      <c r="S14" s="29"/>
      <c r="T14" s="29"/>
      <c r="U14" s="29"/>
      <c r="V14" s="29"/>
      <c r="W14" s="29"/>
      <c r="X14" s="29"/>
      <c r="Y14" s="29"/>
      <c r="Z14" s="29"/>
      <c r="AA14" s="29"/>
      <c r="AB14" s="29"/>
      <c r="AC14" s="29"/>
      <c r="AD14" s="29"/>
      <c r="AE14" s="29"/>
      <c r="AF14" s="29"/>
      <c r="AG14" s="29"/>
    </row>
    <row r="15">
      <c r="A15" s="40" t="s">
        <v>54</v>
      </c>
      <c r="B15" s="40" t="s">
        <v>56</v>
      </c>
      <c r="C15" s="44" t="s">
        <v>178</v>
      </c>
      <c r="D15" s="47" t="s">
        <v>60</v>
      </c>
      <c r="E15" s="40" t="s">
        <v>297</v>
      </c>
      <c r="F15" s="40" t="s">
        <v>298</v>
      </c>
      <c r="G15" s="50" t="s">
        <v>70</v>
      </c>
      <c r="H15" s="53">
        <v>45815.0</v>
      </c>
      <c r="I15" s="63">
        <f>IFERROR(__xludf.DUMMYFUNCTION("IF(ISBLANK(H15), TODAY()-TO_DATE(G15), TO_DATE(H15)-TO_DATE(G15))+1"),5.0)</f>
        <v>5</v>
      </c>
      <c r="J15" s="40">
        <v>300.0</v>
      </c>
      <c r="K15" s="65" t="s">
        <v>299</v>
      </c>
      <c r="L15" s="88"/>
      <c r="M15" s="72"/>
      <c r="N15" s="29"/>
      <c r="O15" s="29"/>
      <c r="P15" s="29"/>
      <c r="Q15" s="29"/>
      <c r="R15" s="29"/>
      <c r="S15" s="29"/>
      <c r="T15" s="29"/>
      <c r="U15" s="29"/>
      <c r="V15" s="29"/>
      <c r="W15" s="29"/>
      <c r="X15" s="29"/>
      <c r="Y15" s="29"/>
      <c r="Z15" s="29"/>
      <c r="AA15" s="29"/>
      <c r="AB15" s="29"/>
      <c r="AC15" s="29"/>
      <c r="AD15" s="29"/>
      <c r="AE15" s="29"/>
      <c r="AF15" s="29"/>
      <c r="AG15" s="29"/>
    </row>
    <row r="16">
      <c r="A16" s="40" t="s">
        <v>54</v>
      </c>
      <c r="B16" s="40" t="s">
        <v>56</v>
      </c>
      <c r="C16" s="44" t="s">
        <v>158</v>
      </c>
      <c r="D16" s="47" t="s">
        <v>60</v>
      </c>
      <c r="E16" s="40" t="s">
        <v>306</v>
      </c>
      <c r="F16" s="40" t="s">
        <v>209</v>
      </c>
      <c r="G16" s="50" t="s">
        <v>70</v>
      </c>
      <c r="H16" s="53">
        <v>45815.0</v>
      </c>
      <c r="I16" s="63">
        <f>IFERROR(__xludf.DUMMYFUNCTION("IF(ISBLANK(H16), TODAY()-TO_DATE(G16), TO_DATE(H16)-TO_DATE(G16))+1"),5.0)</f>
        <v>5</v>
      </c>
      <c r="J16" s="40">
        <v>300.0</v>
      </c>
      <c r="K16" s="65" t="s">
        <v>312</v>
      </c>
      <c r="L16" s="88"/>
      <c r="M16" s="72"/>
      <c r="N16" s="29"/>
      <c r="O16" s="29"/>
      <c r="P16" s="29"/>
      <c r="Q16" s="29"/>
      <c r="R16" s="29"/>
      <c r="S16" s="29"/>
      <c r="T16" s="29"/>
      <c r="U16" s="29"/>
      <c r="V16" s="29"/>
      <c r="W16" s="29"/>
      <c r="X16" s="29"/>
      <c r="Y16" s="29"/>
      <c r="Z16" s="29"/>
      <c r="AA16" s="29"/>
      <c r="AB16" s="29"/>
      <c r="AC16" s="29"/>
      <c r="AD16" s="29"/>
      <c r="AE16" s="29"/>
      <c r="AF16" s="29"/>
      <c r="AG16" s="29"/>
    </row>
    <row r="17">
      <c r="A17" s="40" t="s">
        <v>54</v>
      </c>
      <c r="B17" s="40" t="s">
        <v>56</v>
      </c>
      <c r="C17" s="44" t="s">
        <v>158</v>
      </c>
      <c r="D17" s="47" t="s">
        <v>60</v>
      </c>
      <c r="E17" s="40" t="s">
        <v>317</v>
      </c>
      <c r="F17" s="40" t="s">
        <v>319</v>
      </c>
      <c r="G17" s="50" t="s">
        <v>70</v>
      </c>
      <c r="H17" s="53">
        <v>45818.0</v>
      </c>
      <c r="I17" s="63">
        <f>IFERROR(__xludf.DUMMYFUNCTION("IF(ISBLANK(H17), TODAY()-TO_DATE(G17), TO_DATE(H17)-TO_DATE(G17))+1"),8.0)</f>
        <v>8</v>
      </c>
      <c r="J17" s="40">
        <v>500.0</v>
      </c>
      <c r="K17" s="65" t="s">
        <v>323</v>
      </c>
      <c r="L17" s="69" t="s">
        <v>199</v>
      </c>
      <c r="M17" s="72"/>
      <c r="N17" s="29"/>
      <c r="O17" s="29"/>
      <c r="P17" s="29"/>
      <c r="Q17" s="29"/>
      <c r="R17" s="29"/>
      <c r="S17" s="29"/>
      <c r="T17" s="29"/>
      <c r="U17" s="29"/>
      <c r="V17" s="29"/>
      <c r="W17" s="29"/>
      <c r="X17" s="29"/>
      <c r="Y17" s="29"/>
      <c r="Z17" s="29"/>
      <c r="AA17" s="29"/>
      <c r="AB17" s="29"/>
      <c r="AC17" s="29"/>
      <c r="AD17" s="29"/>
      <c r="AE17" s="29"/>
      <c r="AF17" s="29"/>
      <c r="AG17" s="29"/>
    </row>
    <row r="18">
      <c r="A18" s="40" t="s">
        <v>54</v>
      </c>
      <c r="B18" s="40" t="s">
        <v>56</v>
      </c>
      <c r="C18" s="44" t="s">
        <v>331</v>
      </c>
      <c r="D18" s="47" t="s">
        <v>60</v>
      </c>
      <c r="E18" s="40" t="s">
        <v>332</v>
      </c>
      <c r="F18" s="40" t="s">
        <v>334</v>
      </c>
      <c r="G18" s="50" t="s">
        <v>70</v>
      </c>
      <c r="H18" s="53">
        <v>45815.0</v>
      </c>
      <c r="I18" s="63">
        <f>IFERROR(__xludf.DUMMYFUNCTION("IF(ISBLANK(H18), TODAY()-TO_DATE(G18), TO_DATE(H18)-TO_DATE(G18))+1"),5.0)</f>
        <v>5</v>
      </c>
      <c r="J18" s="40" t="s">
        <v>197</v>
      </c>
      <c r="K18" s="65" t="s">
        <v>339</v>
      </c>
      <c r="L18" s="69" t="s">
        <v>340</v>
      </c>
      <c r="M18" s="72"/>
      <c r="N18" s="29"/>
      <c r="O18" s="29"/>
      <c r="P18" s="29"/>
      <c r="Q18" s="29"/>
      <c r="R18" s="29"/>
      <c r="S18" s="29"/>
      <c r="T18" s="29"/>
      <c r="U18" s="29"/>
      <c r="V18" s="29"/>
      <c r="W18" s="29"/>
      <c r="X18" s="29"/>
      <c r="Y18" s="29"/>
      <c r="Z18" s="29"/>
      <c r="AA18" s="29"/>
      <c r="AB18" s="29"/>
      <c r="AC18" s="29"/>
      <c r="AD18" s="29"/>
      <c r="AE18" s="29"/>
      <c r="AF18" s="29"/>
      <c r="AG18" s="29"/>
    </row>
    <row r="19">
      <c r="A19" s="40" t="s">
        <v>54</v>
      </c>
      <c r="B19" s="40" t="s">
        <v>56</v>
      </c>
      <c r="C19" s="44" t="s">
        <v>58</v>
      </c>
      <c r="D19" s="47" t="s">
        <v>60</v>
      </c>
      <c r="E19" s="40" t="s">
        <v>347</v>
      </c>
      <c r="F19" s="40" t="s">
        <v>349</v>
      </c>
      <c r="G19" s="50" t="s">
        <v>70</v>
      </c>
      <c r="H19" s="53">
        <v>45816.0</v>
      </c>
      <c r="I19" s="63">
        <f>IFERROR(__xludf.DUMMYFUNCTION("IF(ISBLANK(H19), TODAY()-TO_DATE(G19), TO_DATE(H19)-TO_DATE(G19))+1"),6.0)</f>
        <v>6</v>
      </c>
      <c r="J19" s="40">
        <v>300.0</v>
      </c>
      <c r="K19" s="65" t="s">
        <v>354</v>
      </c>
      <c r="L19" s="88"/>
      <c r="M19" s="72"/>
      <c r="N19" s="29"/>
      <c r="O19" s="29"/>
      <c r="P19" s="29"/>
      <c r="Q19" s="29"/>
      <c r="R19" s="29"/>
      <c r="S19" s="29"/>
      <c r="T19" s="29"/>
      <c r="U19" s="29"/>
      <c r="V19" s="29"/>
      <c r="W19" s="29"/>
      <c r="X19" s="29"/>
      <c r="Y19" s="29"/>
      <c r="Z19" s="29"/>
      <c r="AA19" s="29"/>
      <c r="AB19" s="29"/>
      <c r="AC19" s="29"/>
      <c r="AD19" s="29"/>
      <c r="AE19" s="29"/>
      <c r="AF19" s="29"/>
      <c r="AG19" s="29"/>
    </row>
    <row r="20">
      <c r="A20" s="40" t="s">
        <v>54</v>
      </c>
      <c r="B20" s="40" t="s">
        <v>56</v>
      </c>
      <c r="C20" s="44" t="s">
        <v>213</v>
      </c>
      <c r="D20" s="47" t="s">
        <v>360</v>
      </c>
      <c r="E20" s="40" t="s">
        <v>362</v>
      </c>
      <c r="F20" s="40" t="s">
        <v>364</v>
      </c>
      <c r="G20" s="50" t="s">
        <v>70</v>
      </c>
      <c r="H20" s="53">
        <v>45816.0</v>
      </c>
      <c r="I20" s="63">
        <f>IFERROR(__xludf.DUMMYFUNCTION("IF(ISBLANK(H20), TODAY()-TO_DATE(G20), TO_DATE(H20)-TO_DATE(G20))+1"),6.0)</f>
        <v>6</v>
      </c>
      <c r="J20" s="40">
        <v>300.0</v>
      </c>
      <c r="K20" s="65" t="s">
        <v>370</v>
      </c>
      <c r="L20" s="88"/>
      <c r="M20" s="72"/>
      <c r="N20" s="29"/>
      <c r="O20" s="29"/>
      <c r="P20" s="29"/>
      <c r="Q20" s="29"/>
      <c r="R20" s="29"/>
      <c r="S20" s="29"/>
      <c r="T20" s="29"/>
      <c r="U20" s="29"/>
      <c r="V20" s="29"/>
      <c r="W20" s="29"/>
      <c r="X20" s="29"/>
      <c r="Y20" s="29"/>
      <c r="Z20" s="29"/>
      <c r="AA20" s="29"/>
      <c r="AB20" s="29"/>
      <c r="AC20" s="29"/>
      <c r="AD20" s="29"/>
      <c r="AE20" s="29"/>
      <c r="AF20" s="29"/>
      <c r="AG20" s="29"/>
    </row>
    <row r="21">
      <c r="A21" s="40" t="s">
        <v>54</v>
      </c>
      <c r="B21" s="40" t="s">
        <v>56</v>
      </c>
      <c r="C21" s="44" t="s">
        <v>228</v>
      </c>
      <c r="D21" s="47" t="s">
        <v>60</v>
      </c>
      <c r="E21" s="40" t="s">
        <v>362</v>
      </c>
      <c r="F21" s="40" t="s">
        <v>377</v>
      </c>
      <c r="G21" s="50" t="s">
        <v>70</v>
      </c>
      <c r="H21" s="53">
        <v>45818.0</v>
      </c>
      <c r="I21" s="63">
        <f>IFERROR(__xludf.DUMMYFUNCTION("IF(ISBLANK(H21), TODAY()-TO_DATE(G21), TO_DATE(H21)-TO_DATE(G21))+1"),8.0)</f>
        <v>8</v>
      </c>
      <c r="J21" s="40">
        <v>300.0</v>
      </c>
      <c r="K21" s="65" t="s">
        <v>380</v>
      </c>
      <c r="L21" s="88"/>
      <c r="M21" s="72"/>
      <c r="N21" s="29"/>
      <c r="O21" s="29"/>
      <c r="P21" s="29"/>
      <c r="Q21" s="29"/>
      <c r="R21" s="29"/>
      <c r="S21" s="29"/>
      <c r="T21" s="29"/>
      <c r="U21" s="29"/>
      <c r="V21" s="29"/>
      <c r="W21" s="29"/>
      <c r="X21" s="29"/>
      <c r="Y21" s="29"/>
      <c r="Z21" s="29"/>
      <c r="AA21" s="29"/>
      <c r="AB21" s="29"/>
      <c r="AC21" s="29"/>
      <c r="AD21" s="29"/>
      <c r="AE21" s="29"/>
      <c r="AF21" s="29"/>
      <c r="AG21" s="29"/>
    </row>
    <row r="22">
      <c r="A22" s="40" t="s">
        <v>54</v>
      </c>
      <c r="B22" s="40" t="s">
        <v>56</v>
      </c>
      <c r="C22" s="44" t="s">
        <v>212</v>
      </c>
      <c r="D22" s="47" t="s">
        <v>60</v>
      </c>
      <c r="E22" s="40" t="s">
        <v>386</v>
      </c>
      <c r="F22" s="40" t="s">
        <v>387</v>
      </c>
      <c r="G22" s="50" t="s">
        <v>388</v>
      </c>
      <c r="H22" s="53">
        <v>45822.0</v>
      </c>
      <c r="I22" s="63">
        <f>IFERROR(__xludf.DUMMYFUNCTION("IF(ISBLANK(H22), TODAY()-TO_DATE(G22), TO_DATE(H22)-TO_DATE(G22))+1"),11.0)</f>
        <v>11</v>
      </c>
      <c r="J22" s="40" t="s">
        <v>390</v>
      </c>
      <c r="K22" s="65" t="s">
        <v>391</v>
      </c>
      <c r="L22" s="144" t="s">
        <v>199</v>
      </c>
      <c r="M22" s="72"/>
      <c r="N22" s="29"/>
      <c r="O22" s="29"/>
      <c r="P22" s="29"/>
      <c r="Q22" s="29"/>
      <c r="R22" s="29"/>
      <c r="S22" s="29"/>
      <c r="T22" s="29"/>
      <c r="U22" s="29"/>
      <c r="V22" s="29"/>
      <c r="W22" s="29"/>
      <c r="X22" s="29"/>
      <c r="Y22" s="29"/>
      <c r="Z22" s="29"/>
      <c r="AA22" s="29"/>
      <c r="AB22" s="29"/>
      <c r="AC22" s="29"/>
      <c r="AD22" s="29"/>
      <c r="AE22" s="29"/>
      <c r="AF22" s="29"/>
      <c r="AG22" s="29"/>
    </row>
    <row r="23">
      <c r="A23" s="40" t="s">
        <v>54</v>
      </c>
      <c r="B23" s="40" t="s">
        <v>56</v>
      </c>
      <c r="C23" s="44" t="s">
        <v>58</v>
      </c>
      <c r="D23" s="47" t="s">
        <v>60</v>
      </c>
      <c r="E23" s="40" t="s">
        <v>399</v>
      </c>
      <c r="F23" s="40" t="s">
        <v>400</v>
      </c>
      <c r="G23" s="50" t="s">
        <v>388</v>
      </c>
      <c r="H23" s="53">
        <v>45817.0</v>
      </c>
      <c r="I23" s="63">
        <f>IFERROR(__xludf.DUMMYFUNCTION("IF(ISBLANK(H23), TODAY()-TO_DATE(G23), TO_DATE(H23)-TO_DATE(G23))+1"),6.0)</f>
        <v>6</v>
      </c>
      <c r="J23" s="40" t="s">
        <v>197</v>
      </c>
      <c r="K23" s="65" t="s">
        <v>402</v>
      </c>
      <c r="L23" s="144" t="s">
        <v>405</v>
      </c>
      <c r="M23" s="72"/>
      <c r="N23" s="29"/>
      <c r="O23" s="29"/>
      <c r="P23" s="29"/>
      <c r="Q23" s="29"/>
      <c r="R23" s="29"/>
      <c r="S23" s="29"/>
      <c r="T23" s="29"/>
      <c r="U23" s="29"/>
      <c r="V23" s="29"/>
      <c r="W23" s="29"/>
      <c r="X23" s="29"/>
      <c r="Y23" s="29"/>
      <c r="Z23" s="29"/>
      <c r="AA23" s="29"/>
      <c r="AB23" s="29"/>
      <c r="AC23" s="29"/>
      <c r="AD23" s="29"/>
      <c r="AE23" s="29"/>
      <c r="AF23" s="29"/>
      <c r="AG23" s="29"/>
    </row>
    <row r="24">
      <c r="A24" s="40" t="s">
        <v>54</v>
      </c>
      <c r="B24" s="40" t="s">
        <v>56</v>
      </c>
      <c r="C24" s="44" t="s">
        <v>201</v>
      </c>
      <c r="D24" s="47" t="s">
        <v>60</v>
      </c>
      <c r="E24" s="76" t="s">
        <v>411</v>
      </c>
      <c r="F24" s="40" t="s">
        <v>414</v>
      </c>
      <c r="G24" s="50" t="s">
        <v>388</v>
      </c>
      <c r="H24" s="53">
        <v>45817.0</v>
      </c>
      <c r="I24" s="63">
        <f>IFERROR(__xludf.DUMMYFUNCTION("IF(ISBLANK(H24), TODAY()-TO_DATE(G24), TO_DATE(H24)-TO_DATE(G24))+1"),6.0)</f>
        <v>6</v>
      </c>
      <c r="J24" s="40">
        <v>300.0</v>
      </c>
      <c r="K24" s="65" t="s">
        <v>417</v>
      </c>
      <c r="L24" s="147"/>
      <c r="M24" s="72"/>
      <c r="N24" s="29"/>
      <c r="O24" s="29"/>
      <c r="P24" s="29"/>
      <c r="Q24" s="29"/>
      <c r="R24" s="29"/>
      <c r="S24" s="29"/>
      <c r="T24" s="29"/>
      <c r="U24" s="29"/>
      <c r="V24" s="29"/>
      <c r="W24" s="29"/>
      <c r="X24" s="29"/>
      <c r="Y24" s="29"/>
      <c r="Z24" s="29"/>
      <c r="AA24" s="29"/>
      <c r="AB24" s="29"/>
      <c r="AC24" s="29"/>
      <c r="AD24" s="29"/>
      <c r="AE24" s="29"/>
      <c r="AF24" s="29"/>
      <c r="AG24" s="29"/>
    </row>
    <row r="25">
      <c r="A25" s="40" t="s">
        <v>54</v>
      </c>
      <c r="B25" s="40" t="s">
        <v>56</v>
      </c>
      <c r="C25" s="44" t="s">
        <v>228</v>
      </c>
      <c r="D25" s="47" t="s">
        <v>60</v>
      </c>
      <c r="E25" s="40" t="s">
        <v>428</v>
      </c>
      <c r="F25" s="40" t="s">
        <v>430</v>
      </c>
      <c r="G25" s="50" t="s">
        <v>388</v>
      </c>
      <c r="H25" s="53">
        <v>45816.0</v>
      </c>
      <c r="I25" s="63">
        <f>IFERROR(__xludf.DUMMYFUNCTION("IF(ISBLANK(H25), TODAY()-TO_DATE(G25), TO_DATE(H25)-TO_DATE(G25))+1"),5.0)</f>
        <v>5</v>
      </c>
      <c r="J25" s="40">
        <v>300.0</v>
      </c>
      <c r="K25" s="65" t="s">
        <v>434</v>
      </c>
      <c r="L25" s="147"/>
      <c r="M25" s="72"/>
      <c r="N25" s="29"/>
      <c r="O25" s="29"/>
      <c r="P25" s="29"/>
      <c r="Q25" s="29"/>
      <c r="R25" s="29"/>
      <c r="S25" s="29"/>
      <c r="T25" s="29"/>
      <c r="U25" s="29"/>
      <c r="V25" s="29"/>
      <c r="W25" s="29"/>
      <c r="X25" s="29"/>
      <c r="Y25" s="29"/>
      <c r="Z25" s="29"/>
      <c r="AA25" s="29"/>
      <c r="AB25" s="29"/>
      <c r="AC25" s="29"/>
      <c r="AD25" s="29"/>
      <c r="AE25" s="29"/>
      <c r="AF25" s="29"/>
      <c r="AG25" s="29"/>
    </row>
    <row r="26">
      <c r="A26" s="40" t="s">
        <v>54</v>
      </c>
      <c r="B26" s="40" t="s">
        <v>56</v>
      </c>
      <c r="C26" s="44" t="s">
        <v>213</v>
      </c>
      <c r="D26" s="47" t="s">
        <v>60</v>
      </c>
      <c r="E26" s="40" t="s">
        <v>439</v>
      </c>
      <c r="F26" s="40" t="s">
        <v>440</v>
      </c>
      <c r="G26" s="50" t="s">
        <v>388</v>
      </c>
      <c r="H26" s="53">
        <v>45817.0</v>
      </c>
      <c r="I26" s="63">
        <f>IFERROR(__xludf.DUMMYFUNCTION("IF(ISBLANK(H26), TODAY()-TO_DATE(G26), TO_DATE(H26)-TO_DATE(G26))+1"),6.0)</f>
        <v>6</v>
      </c>
      <c r="J26" s="40" t="s">
        <v>197</v>
      </c>
      <c r="K26" s="65" t="s">
        <v>444</v>
      </c>
      <c r="L26" s="147"/>
      <c r="M26" s="72"/>
      <c r="N26" s="29"/>
      <c r="O26" s="29"/>
      <c r="P26" s="29"/>
      <c r="Q26" s="29"/>
      <c r="R26" s="29"/>
      <c r="S26" s="29"/>
      <c r="T26" s="29"/>
      <c r="U26" s="29"/>
      <c r="V26" s="29"/>
      <c r="W26" s="29"/>
      <c r="X26" s="29"/>
      <c r="Y26" s="29"/>
      <c r="Z26" s="29"/>
      <c r="AA26" s="29"/>
      <c r="AB26" s="29"/>
      <c r="AC26" s="29"/>
      <c r="AD26" s="29"/>
      <c r="AE26" s="29"/>
      <c r="AF26" s="29"/>
      <c r="AG26" s="29"/>
    </row>
    <row r="27">
      <c r="A27" s="40" t="s">
        <v>54</v>
      </c>
      <c r="B27" s="40" t="s">
        <v>56</v>
      </c>
      <c r="C27" s="44" t="s">
        <v>213</v>
      </c>
      <c r="D27" s="47" t="s">
        <v>60</v>
      </c>
      <c r="E27" s="40" t="s">
        <v>450</v>
      </c>
      <c r="F27" s="40" t="s">
        <v>451</v>
      </c>
      <c r="G27" s="50" t="s">
        <v>388</v>
      </c>
      <c r="H27" s="53">
        <v>45822.0</v>
      </c>
      <c r="I27" s="63">
        <f>IFERROR(__xludf.DUMMYFUNCTION("IF(ISBLANK(H27), TODAY()-TO_DATE(G27), TO_DATE(H27)-TO_DATE(G27))+1"),11.0)</f>
        <v>11</v>
      </c>
      <c r="J27" s="40" t="s">
        <v>390</v>
      </c>
      <c r="K27" s="65" t="s">
        <v>456</v>
      </c>
      <c r="L27" s="147"/>
      <c r="M27" s="72"/>
      <c r="N27" s="29"/>
      <c r="O27" s="29"/>
      <c r="P27" s="29"/>
      <c r="Q27" s="29"/>
      <c r="R27" s="29"/>
      <c r="S27" s="29"/>
      <c r="T27" s="29"/>
      <c r="U27" s="29"/>
      <c r="V27" s="29"/>
      <c r="W27" s="29"/>
      <c r="X27" s="29"/>
      <c r="Y27" s="29"/>
      <c r="Z27" s="29"/>
      <c r="AA27" s="29"/>
      <c r="AB27" s="29"/>
      <c r="AC27" s="29"/>
      <c r="AD27" s="29"/>
      <c r="AE27" s="29"/>
      <c r="AF27" s="29"/>
      <c r="AG27" s="29"/>
    </row>
    <row r="28">
      <c r="A28" s="40" t="s">
        <v>54</v>
      </c>
      <c r="B28" s="40" t="s">
        <v>56</v>
      </c>
      <c r="C28" s="44" t="s">
        <v>460</v>
      </c>
      <c r="D28" s="47" t="s">
        <v>60</v>
      </c>
      <c r="E28" s="40" t="s">
        <v>461</v>
      </c>
      <c r="F28" s="40" t="s">
        <v>462</v>
      </c>
      <c r="G28" s="50" t="s">
        <v>388</v>
      </c>
      <c r="H28" s="53">
        <v>45818.0</v>
      </c>
      <c r="I28" s="63">
        <f>IFERROR(__xludf.DUMMYFUNCTION("IF(ISBLANK(H28), TODAY()-TO_DATE(G28), TO_DATE(H28)-TO_DATE(G28))+1"),7.0)</f>
        <v>7</v>
      </c>
      <c r="J28" s="40">
        <v>500.0</v>
      </c>
      <c r="K28" s="65" t="s">
        <v>470</v>
      </c>
      <c r="L28" s="147"/>
      <c r="M28" s="72"/>
      <c r="N28" s="29"/>
      <c r="O28" s="29"/>
      <c r="P28" s="29"/>
      <c r="Q28" s="29"/>
      <c r="R28" s="29"/>
      <c r="S28" s="29"/>
      <c r="T28" s="29"/>
      <c r="U28" s="29"/>
      <c r="V28" s="29"/>
      <c r="W28" s="29"/>
      <c r="X28" s="29"/>
      <c r="Y28" s="29"/>
      <c r="Z28" s="29"/>
      <c r="AA28" s="29"/>
      <c r="AB28" s="29"/>
      <c r="AC28" s="29"/>
      <c r="AD28" s="29"/>
      <c r="AE28" s="29"/>
      <c r="AF28" s="29"/>
      <c r="AG28" s="29"/>
    </row>
    <row r="29">
      <c r="A29" s="40" t="s">
        <v>54</v>
      </c>
      <c r="B29" s="40" t="s">
        <v>56</v>
      </c>
      <c r="C29" s="44" t="s">
        <v>139</v>
      </c>
      <c r="D29" s="47" t="s">
        <v>60</v>
      </c>
      <c r="E29" s="40" t="s">
        <v>474</v>
      </c>
      <c r="F29" s="40" t="s">
        <v>475</v>
      </c>
      <c r="G29" s="50" t="s">
        <v>388</v>
      </c>
      <c r="H29" s="53">
        <v>45816.0</v>
      </c>
      <c r="I29" s="63">
        <f>IFERROR(__xludf.DUMMYFUNCTION("IF(ISBLANK(H29), TODAY()-TO_DATE(G29), TO_DATE(H29)-TO_DATE(G29))+1"),5.0)</f>
        <v>5</v>
      </c>
      <c r="J29" s="40" t="s">
        <v>197</v>
      </c>
      <c r="K29" s="65" t="s">
        <v>479</v>
      </c>
      <c r="L29" s="88"/>
      <c r="M29" s="72"/>
      <c r="N29" s="29"/>
      <c r="O29" s="29"/>
      <c r="P29" s="29"/>
      <c r="Q29" s="29"/>
      <c r="R29" s="29"/>
      <c r="S29" s="29"/>
      <c r="T29" s="29"/>
      <c r="U29" s="29"/>
      <c r="V29" s="29"/>
      <c r="W29" s="29"/>
      <c r="X29" s="29"/>
      <c r="Y29" s="29"/>
      <c r="Z29" s="29"/>
      <c r="AA29" s="29"/>
      <c r="AB29" s="29"/>
      <c r="AC29" s="29"/>
      <c r="AD29" s="29"/>
      <c r="AE29" s="29"/>
      <c r="AF29" s="29"/>
      <c r="AG29" s="29"/>
    </row>
    <row r="30">
      <c r="A30" s="40" t="s">
        <v>54</v>
      </c>
      <c r="B30" s="40" t="s">
        <v>56</v>
      </c>
      <c r="C30" s="44" t="s">
        <v>213</v>
      </c>
      <c r="D30" s="47" t="s">
        <v>60</v>
      </c>
      <c r="E30" s="40" t="s">
        <v>484</v>
      </c>
      <c r="F30" s="40" t="s">
        <v>485</v>
      </c>
      <c r="G30" s="50" t="s">
        <v>388</v>
      </c>
      <c r="H30" s="53">
        <v>45816.0</v>
      </c>
      <c r="I30" s="63">
        <f>IFERROR(__xludf.DUMMYFUNCTION("IF(ISBLANK(H30), TODAY()-TO_DATE(G30), TO_DATE(H30)-TO_DATE(G30))+1"),5.0)</f>
        <v>5</v>
      </c>
      <c r="J30" s="40">
        <v>300.0</v>
      </c>
      <c r="K30" s="65" t="s">
        <v>489</v>
      </c>
      <c r="L30" s="88"/>
      <c r="M30" s="72"/>
      <c r="N30" s="29"/>
      <c r="O30" s="29"/>
      <c r="P30" s="29"/>
      <c r="Q30" s="29"/>
      <c r="R30" s="29"/>
      <c r="S30" s="29"/>
      <c r="T30" s="29"/>
      <c r="U30" s="29"/>
      <c r="V30" s="29"/>
      <c r="W30" s="29"/>
      <c r="X30" s="29"/>
      <c r="Y30" s="29"/>
      <c r="Z30" s="29"/>
      <c r="AA30" s="29"/>
      <c r="AB30" s="29"/>
      <c r="AC30" s="29"/>
      <c r="AD30" s="29"/>
      <c r="AE30" s="29"/>
      <c r="AF30" s="29"/>
      <c r="AG30" s="29"/>
    </row>
    <row r="31">
      <c r="A31" s="40" t="s">
        <v>54</v>
      </c>
      <c r="B31" s="40" t="s">
        <v>56</v>
      </c>
      <c r="C31" s="44" t="s">
        <v>58</v>
      </c>
      <c r="D31" s="47" t="s">
        <v>60</v>
      </c>
      <c r="E31" s="40" t="s">
        <v>496</v>
      </c>
      <c r="F31" s="40" t="s">
        <v>498</v>
      </c>
      <c r="G31" s="50" t="s">
        <v>388</v>
      </c>
      <c r="H31" s="53">
        <v>45816.0</v>
      </c>
      <c r="I31" s="63">
        <f>IFERROR(__xludf.DUMMYFUNCTION("IF(ISBLANK(H31), TODAY()-TO_DATE(G31), TO_DATE(H31)-TO_DATE(G31))+1"),5.0)</f>
        <v>5</v>
      </c>
      <c r="J31" s="40">
        <v>500.0</v>
      </c>
      <c r="K31" s="65" t="s">
        <v>505</v>
      </c>
      <c r="L31" s="88"/>
      <c r="M31" s="72"/>
      <c r="N31" s="29"/>
      <c r="O31" s="29"/>
      <c r="P31" s="29"/>
      <c r="Q31" s="29"/>
      <c r="R31" s="29"/>
      <c r="S31" s="29"/>
      <c r="T31" s="29"/>
      <c r="U31" s="29"/>
      <c r="V31" s="29"/>
      <c r="W31" s="29"/>
      <c r="X31" s="29"/>
      <c r="Y31" s="29"/>
      <c r="Z31" s="29"/>
      <c r="AA31" s="29"/>
      <c r="AB31" s="29"/>
      <c r="AC31" s="29"/>
      <c r="AD31" s="29"/>
      <c r="AE31" s="29"/>
      <c r="AF31" s="29"/>
      <c r="AG31" s="29"/>
    </row>
    <row r="32">
      <c r="A32" s="40" t="s">
        <v>54</v>
      </c>
      <c r="B32" s="40" t="s">
        <v>56</v>
      </c>
      <c r="C32" s="44" t="s">
        <v>187</v>
      </c>
      <c r="D32" s="47" t="s">
        <v>60</v>
      </c>
      <c r="E32" s="40" t="s">
        <v>508</v>
      </c>
      <c r="F32" s="40" t="s">
        <v>509</v>
      </c>
      <c r="G32" s="50" t="s">
        <v>511</v>
      </c>
      <c r="H32" s="53">
        <v>45821.0</v>
      </c>
      <c r="I32" s="63">
        <f>IFERROR(__xludf.DUMMYFUNCTION("IF(ISBLANK(H32), TODAY()-TO_DATE(G32), TO_DATE(H32)-TO_DATE(G32))+1"),7.0)</f>
        <v>7</v>
      </c>
      <c r="J32" s="40">
        <v>500.0</v>
      </c>
      <c r="K32" s="65" t="s">
        <v>548</v>
      </c>
      <c r="L32" s="144" t="s">
        <v>550</v>
      </c>
      <c r="M32" s="72"/>
      <c r="N32" s="29"/>
      <c r="O32" s="29"/>
      <c r="P32" s="29"/>
      <c r="Q32" s="29"/>
      <c r="R32" s="29"/>
      <c r="S32" s="29"/>
      <c r="T32" s="29"/>
      <c r="U32" s="29"/>
      <c r="V32" s="29"/>
      <c r="W32" s="29"/>
      <c r="X32" s="29"/>
      <c r="Y32" s="29"/>
      <c r="Z32" s="29"/>
      <c r="AA32" s="29"/>
      <c r="AB32" s="29"/>
      <c r="AC32" s="29"/>
      <c r="AD32" s="29"/>
      <c r="AE32" s="29"/>
      <c r="AF32" s="29"/>
      <c r="AG32" s="29"/>
    </row>
    <row r="33">
      <c r="A33" s="40" t="s">
        <v>54</v>
      </c>
      <c r="B33" s="40" t="s">
        <v>56</v>
      </c>
      <c r="C33" s="44" t="s">
        <v>201</v>
      </c>
      <c r="D33" s="47" t="s">
        <v>60</v>
      </c>
      <c r="E33" s="40" t="s">
        <v>556</v>
      </c>
      <c r="F33" s="40" t="s">
        <v>557</v>
      </c>
      <c r="G33" s="50" t="s">
        <v>511</v>
      </c>
      <c r="H33" s="53">
        <v>45819.0</v>
      </c>
      <c r="I33" s="63">
        <f>IFERROR(__xludf.DUMMYFUNCTION("IF(ISBLANK(H33), TODAY()-TO_DATE(G33), TO_DATE(H33)-TO_DATE(G33))+1"),5.0)</f>
        <v>5</v>
      </c>
      <c r="J33" s="40">
        <v>300.0</v>
      </c>
      <c r="K33" s="65" t="s">
        <v>559</v>
      </c>
      <c r="L33" s="144" t="s">
        <v>560</v>
      </c>
      <c r="M33" s="72"/>
      <c r="N33" s="29"/>
      <c r="O33" s="29"/>
      <c r="P33" s="29"/>
      <c r="Q33" s="29"/>
      <c r="R33" s="29"/>
      <c r="S33" s="29"/>
      <c r="T33" s="29"/>
      <c r="U33" s="29"/>
      <c r="V33" s="29"/>
      <c r="W33" s="29"/>
      <c r="X33" s="29"/>
      <c r="Y33" s="29"/>
      <c r="Z33" s="29"/>
      <c r="AA33" s="29"/>
      <c r="AB33" s="29"/>
      <c r="AC33" s="29"/>
      <c r="AD33" s="29"/>
      <c r="AE33" s="29"/>
      <c r="AF33" s="29"/>
      <c r="AG33" s="29"/>
    </row>
    <row r="34">
      <c r="A34" s="40" t="s">
        <v>54</v>
      </c>
      <c r="B34" s="40" t="s">
        <v>56</v>
      </c>
      <c r="C34" s="44" t="s">
        <v>158</v>
      </c>
      <c r="D34" s="47" t="s">
        <v>60</v>
      </c>
      <c r="E34" s="40" t="s">
        <v>571</v>
      </c>
      <c r="F34" s="40" t="s">
        <v>573</v>
      </c>
      <c r="G34" s="50" t="s">
        <v>511</v>
      </c>
      <c r="H34" s="53">
        <v>45819.0</v>
      </c>
      <c r="I34" s="63">
        <f>IFERROR(__xludf.DUMMYFUNCTION("IF(ISBLANK(H34), TODAY()-TO_DATE(G34), TO_DATE(H34)-TO_DATE(G34))+1"),5.0)</f>
        <v>5</v>
      </c>
      <c r="J34" s="40" t="s">
        <v>197</v>
      </c>
      <c r="K34" s="65" t="s">
        <v>578</v>
      </c>
      <c r="L34" s="88"/>
      <c r="M34" s="72"/>
      <c r="N34" s="29"/>
      <c r="O34" s="29"/>
      <c r="P34" s="29"/>
      <c r="Q34" s="29"/>
      <c r="R34" s="29"/>
      <c r="S34" s="29"/>
      <c r="T34" s="29"/>
      <c r="U34" s="29"/>
      <c r="V34" s="29"/>
      <c r="W34" s="29"/>
      <c r="X34" s="29"/>
      <c r="Y34" s="29"/>
      <c r="Z34" s="29"/>
      <c r="AA34" s="29"/>
      <c r="AB34" s="29"/>
      <c r="AC34" s="29"/>
      <c r="AD34" s="29"/>
      <c r="AE34" s="29"/>
      <c r="AF34" s="29"/>
      <c r="AG34" s="29"/>
    </row>
    <row r="35">
      <c r="A35" s="40" t="s">
        <v>54</v>
      </c>
      <c r="B35" s="40" t="s">
        <v>56</v>
      </c>
      <c r="C35" s="44" t="s">
        <v>187</v>
      </c>
      <c r="D35" s="47" t="s">
        <v>60</v>
      </c>
      <c r="E35" s="40" t="s">
        <v>582</v>
      </c>
      <c r="F35" s="40" t="s">
        <v>584</v>
      </c>
      <c r="G35" s="50" t="s">
        <v>511</v>
      </c>
      <c r="H35" s="53">
        <v>45822.0</v>
      </c>
      <c r="I35" s="63">
        <f>IFERROR(__xludf.DUMMYFUNCTION("IF(ISBLANK(H35), TODAY()-TO_DATE(G35), TO_DATE(H35)-TO_DATE(G35))+1"),8.0)</f>
        <v>8</v>
      </c>
      <c r="J35" s="40" t="s">
        <v>390</v>
      </c>
      <c r="K35" s="65" t="s">
        <v>590</v>
      </c>
      <c r="L35" s="88"/>
      <c r="M35" s="72"/>
      <c r="N35" s="29"/>
      <c r="O35" s="29"/>
      <c r="P35" s="29"/>
      <c r="Q35" s="29"/>
      <c r="R35" s="29"/>
      <c r="S35" s="29"/>
      <c r="T35" s="29"/>
      <c r="U35" s="29"/>
      <c r="V35" s="29"/>
      <c r="W35" s="29"/>
      <c r="X35" s="29"/>
      <c r="Y35" s="29"/>
      <c r="Z35" s="29"/>
      <c r="AA35" s="29"/>
      <c r="AB35" s="29"/>
      <c r="AC35" s="29"/>
      <c r="AD35" s="29"/>
      <c r="AE35" s="29"/>
      <c r="AF35" s="29"/>
      <c r="AG35" s="29"/>
    </row>
    <row r="36">
      <c r="A36" s="40" t="s">
        <v>54</v>
      </c>
      <c r="B36" s="40" t="s">
        <v>56</v>
      </c>
      <c r="C36" s="44" t="s">
        <v>287</v>
      </c>
      <c r="D36" s="47" t="s">
        <v>60</v>
      </c>
      <c r="E36" s="40" t="s">
        <v>595</v>
      </c>
      <c r="F36" s="40" t="s">
        <v>596</v>
      </c>
      <c r="G36" s="50" t="s">
        <v>511</v>
      </c>
      <c r="H36" s="53">
        <v>45821.0</v>
      </c>
      <c r="I36" s="63">
        <f>IFERROR(__xludf.DUMMYFUNCTION("IF(ISBLANK(H36), TODAY()-TO_DATE(G36), TO_DATE(H36)-TO_DATE(G36))+1"),7.0)</f>
        <v>7</v>
      </c>
      <c r="J36" s="40">
        <v>500.0</v>
      </c>
      <c r="K36" s="65" t="s">
        <v>599</v>
      </c>
      <c r="L36" s="88"/>
      <c r="M36" s="72"/>
      <c r="N36" s="29"/>
      <c r="O36" s="29"/>
      <c r="P36" s="29"/>
      <c r="Q36" s="29"/>
      <c r="R36" s="29"/>
      <c r="S36" s="29"/>
      <c r="T36" s="29"/>
      <c r="U36" s="29"/>
      <c r="V36" s="29"/>
      <c r="W36" s="29"/>
      <c r="X36" s="29"/>
      <c r="Y36" s="29"/>
      <c r="Z36" s="29"/>
      <c r="AA36" s="29"/>
      <c r="AB36" s="29"/>
      <c r="AC36" s="29"/>
      <c r="AD36" s="29"/>
      <c r="AE36" s="29"/>
      <c r="AF36" s="29"/>
      <c r="AG36" s="29"/>
    </row>
    <row r="37">
      <c r="A37" s="40" t="s">
        <v>54</v>
      </c>
      <c r="B37" s="40" t="s">
        <v>56</v>
      </c>
      <c r="C37" s="44" t="s">
        <v>158</v>
      </c>
      <c r="D37" s="47" t="s">
        <v>60</v>
      </c>
      <c r="E37" s="40" t="s">
        <v>604</v>
      </c>
      <c r="F37" s="40" t="s">
        <v>608</v>
      </c>
      <c r="G37" s="50" t="s">
        <v>511</v>
      </c>
      <c r="H37" s="53">
        <v>45822.0</v>
      </c>
      <c r="I37" s="63">
        <f>IFERROR(__xludf.DUMMYFUNCTION("IF(ISBLANK(H37), TODAY()-TO_DATE(G37), TO_DATE(H37)-TO_DATE(G37))+1"),8.0)</f>
        <v>8</v>
      </c>
      <c r="J37" s="40" t="s">
        <v>390</v>
      </c>
      <c r="K37" s="65" t="s">
        <v>614</v>
      </c>
      <c r="L37" s="144" t="s">
        <v>615</v>
      </c>
      <c r="M37" s="72"/>
      <c r="N37" s="29"/>
      <c r="O37" s="29"/>
      <c r="P37" s="29"/>
      <c r="Q37" s="29"/>
      <c r="R37" s="29"/>
      <c r="S37" s="29"/>
      <c r="T37" s="29"/>
      <c r="U37" s="29"/>
      <c r="V37" s="29"/>
      <c r="W37" s="29"/>
      <c r="X37" s="29"/>
      <c r="Y37" s="29"/>
      <c r="Z37" s="29"/>
      <c r="AA37" s="29"/>
      <c r="AB37" s="29"/>
      <c r="AC37" s="29"/>
      <c r="AD37" s="29"/>
      <c r="AE37" s="29"/>
      <c r="AF37" s="29"/>
      <c r="AG37" s="29"/>
    </row>
    <row r="38">
      <c r="A38" s="40" t="s">
        <v>54</v>
      </c>
      <c r="B38" s="40" t="s">
        <v>56</v>
      </c>
      <c r="C38" s="44" t="s">
        <v>228</v>
      </c>
      <c r="D38" s="47" t="s">
        <v>326</v>
      </c>
      <c r="E38" s="40" t="s">
        <v>616</v>
      </c>
      <c r="F38" s="40" t="s">
        <v>617</v>
      </c>
      <c r="G38" s="50" t="s">
        <v>511</v>
      </c>
      <c r="H38" s="53">
        <v>45822.0</v>
      </c>
      <c r="I38" s="63">
        <f>IFERROR(__xludf.DUMMYFUNCTION("IF(ISBLANK(H38), TODAY()-TO_DATE(G38), TO_DATE(H38)-TO_DATE(G38))+1"),8.0)</f>
        <v>8</v>
      </c>
      <c r="J38" s="40" t="s">
        <v>390</v>
      </c>
      <c r="K38" s="65" t="s">
        <v>623</v>
      </c>
      <c r="L38" s="144" t="s">
        <v>625</v>
      </c>
      <c r="M38" s="72"/>
      <c r="N38" s="29"/>
      <c r="O38" s="29"/>
      <c r="P38" s="29"/>
      <c r="Q38" s="29"/>
      <c r="R38" s="29"/>
      <c r="S38" s="29"/>
      <c r="T38" s="29"/>
      <c r="U38" s="29"/>
      <c r="V38" s="29"/>
      <c r="W38" s="29"/>
      <c r="X38" s="29"/>
      <c r="Y38" s="29"/>
      <c r="Z38" s="29"/>
      <c r="AA38" s="29"/>
      <c r="AB38" s="29"/>
      <c r="AC38" s="29"/>
      <c r="AD38" s="29"/>
      <c r="AE38" s="29"/>
      <c r="AF38" s="29"/>
      <c r="AG38" s="29"/>
    </row>
    <row r="39">
      <c r="A39" s="40" t="s">
        <v>54</v>
      </c>
      <c r="B39" s="40" t="s">
        <v>56</v>
      </c>
      <c r="C39" s="44" t="s">
        <v>139</v>
      </c>
      <c r="D39" s="47" t="s">
        <v>60</v>
      </c>
      <c r="E39" s="40" t="s">
        <v>627</v>
      </c>
      <c r="F39" s="40" t="s">
        <v>628</v>
      </c>
      <c r="G39" s="50" t="s">
        <v>511</v>
      </c>
      <c r="H39" s="53">
        <v>45822.0</v>
      </c>
      <c r="I39" s="63">
        <f>IFERROR(__xludf.DUMMYFUNCTION("IF(ISBLANK(H39), TODAY()-TO_DATE(G39), TO_DATE(H39)-TO_DATE(G39))+1"),8.0)</f>
        <v>8</v>
      </c>
      <c r="J39" s="40" t="s">
        <v>197</v>
      </c>
      <c r="K39" s="65" t="s">
        <v>633</v>
      </c>
      <c r="L39" s="88"/>
      <c r="M39" s="72"/>
      <c r="N39" s="29"/>
      <c r="O39" s="29"/>
      <c r="P39" s="29"/>
      <c r="Q39" s="29"/>
      <c r="R39" s="29"/>
      <c r="S39" s="29"/>
      <c r="T39" s="29"/>
      <c r="U39" s="29"/>
      <c r="V39" s="29"/>
      <c r="W39" s="29"/>
      <c r="X39" s="29"/>
      <c r="Y39" s="29"/>
      <c r="Z39" s="29"/>
      <c r="AA39" s="29"/>
      <c r="AB39" s="29"/>
      <c r="AC39" s="29"/>
      <c r="AD39" s="29"/>
      <c r="AE39" s="29"/>
      <c r="AF39" s="29"/>
      <c r="AG39" s="29"/>
    </row>
    <row r="40">
      <c r="A40" s="40" t="s">
        <v>54</v>
      </c>
      <c r="B40" s="40" t="s">
        <v>56</v>
      </c>
      <c r="C40" s="44" t="s">
        <v>213</v>
      </c>
      <c r="D40" s="47" t="s">
        <v>60</v>
      </c>
      <c r="E40" s="40" t="s">
        <v>638</v>
      </c>
      <c r="F40" s="40" t="s">
        <v>640</v>
      </c>
      <c r="G40" s="50" t="s">
        <v>511</v>
      </c>
      <c r="H40" s="53">
        <v>45820.0</v>
      </c>
      <c r="I40" s="63">
        <f>IFERROR(__xludf.DUMMYFUNCTION("IF(ISBLANK(H40), TODAY()-TO_DATE(G40), TO_DATE(H40)-TO_DATE(G40))+1"),6.0)</f>
        <v>6</v>
      </c>
      <c r="J40" s="40">
        <v>200.0</v>
      </c>
      <c r="K40" s="65" t="s">
        <v>645</v>
      </c>
      <c r="L40" s="88"/>
      <c r="M40" s="72"/>
      <c r="N40" s="29"/>
      <c r="O40" s="29"/>
      <c r="P40" s="29"/>
      <c r="Q40" s="29"/>
      <c r="R40" s="29"/>
      <c r="S40" s="29"/>
      <c r="T40" s="29"/>
      <c r="U40" s="29"/>
      <c r="V40" s="29"/>
      <c r="W40" s="29"/>
      <c r="X40" s="29"/>
      <c r="Y40" s="29"/>
      <c r="Z40" s="29"/>
      <c r="AA40" s="29"/>
      <c r="AB40" s="29"/>
      <c r="AC40" s="29"/>
      <c r="AD40" s="29"/>
      <c r="AE40" s="29"/>
      <c r="AF40" s="29"/>
      <c r="AG40" s="29"/>
    </row>
    <row r="41">
      <c r="A41" s="40" t="s">
        <v>54</v>
      </c>
      <c r="B41" s="40" t="s">
        <v>56</v>
      </c>
      <c r="C41" s="44" t="s">
        <v>158</v>
      </c>
      <c r="D41" s="47" t="s">
        <v>60</v>
      </c>
      <c r="E41" s="40" t="s">
        <v>651</v>
      </c>
      <c r="F41" s="40" t="s">
        <v>652</v>
      </c>
      <c r="G41" s="50" t="s">
        <v>511</v>
      </c>
      <c r="H41" s="53">
        <v>45821.0</v>
      </c>
      <c r="I41" s="63">
        <f>IFERROR(__xludf.DUMMYFUNCTION("IF(ISBLANK(H41), TODAY()-TO_DATE(G41), TO_DATE(H41)-TO_DATE(G41))+1"),7.0)</f>
        <v>7</v>
      </c>
      <c r="J41" s="40">
        <v>500.0</v>
      </c>
      <c r="K41" s="65" t="s">
        <v>655</v>
      </c>
      <c r="L41" s="88"/>
      <c r="M41" s="72"/>
      <c r="N41" s="29"/>
      <c r="O41" s="29"/>
      <c r="P41" s="29"/>
      <c r="Q41" s="29"/>
      <c r="R41" s="29"/>
      <c r="S41" s="29"/>
      <c r="T41" s="29"/>
      <c r="U41" s="29"/>
      <c r="V41" s="29"/>
      <c r="W41" s="29"/>
      <c r="X41" s="29"/>
      <c r="Y41" s="29"/>
      <c r="Z41" s="29"/>
      <c r="AA41" s="29"/>
      <c r="AB41" s="29"/>
      <c r="AC41" s="29"/>
      <c r="AD41" s="29"/>
      <c r="AE41" s="29"/>
      <c r="AF41" s="29"/>
      <c r="AG41" s="29"/>
    </row>
    <row r="42">
      <c r="A42" s="40" t="s">
        <v>660</v>
      </c>
      <c r="B42" s="40" t="s">
        <v>661</v>
      </c>
      <c r="C42" s="44" t="s">
        <v>187</v>
      </c>
      <c r="D42" s="47" t="s">
        <v>60</v>
      </c>
      <c r="E42" s="40" t="s">
        <v>662</v>
      </c>
      <c r="F42" s="40" t="s">
        <v>663</v>
      </c>
      <c r="G42" s="50" t="s">
        <v>511</v>
      </c>
      <c r="H42" s="53">
        <v>45835.0</v>
      </c>
      <c r="I42" s="63">
        <f>IFERROR(__xludf.DUMMYFUNCTION("IF(ISBLANK(H42), TODAY()-TO_DATE(G42), TO_DATE(H42)-TO_DATE(G42))+1"),21.0)</f>
        <v>21</v>
      </c>
      <c r="J42" s="40">
        <v>500.0</v>
      </c>
      <c r="K42" s="40" t="s">
        <v>666</v>
      </c>
      <c r="L42" s="88"/>
      <c r="M42" s="72"/>
      <c r="N42" s="29"/>
      <c r="O42" s="29"/>
      <c r="P42" s="29"/>
      <c r="Q42" s="29"/>
      <c r="R42" s="29"/>
      <c r="S42" s="29"/>
      <c r="T42" s="29"/>
      <c r="U42" s="29"/>
      <c r="V42" s="29"/>
      <c r="W42" s="29"/>
      <c r="X42" s="29"/>
      <c r="Y42" s="29"/>
      <c r="Z42" s="29"/>
      <c r="AA42" s="29"/>
      <c r="AB42" s="29"/>
      <c r="AC42" s="29"/>
      <c r="AD42" s="29"/>
      <c r="AE42" s="29"/>
      <c r="AF42" s="29"/>
      <c r="AG42" s="29"/>
    </row>
    <row r="43">
      <c r="A43" s="40" t="s">
        <v>660</v>
      </c>
      <c r="B43" s="40" t="s">
        <v>661</v>
      </c>
      <c r="C43" s="44" t="s">
        <v>212</v>
      </c>
      <c r="D43" s="47" t="s">
        <v>60</v>
      </c>
      <c r="E43" s="40" t="s">
        <v>670</v>
      </c>
      <c r="F43" s="40" t="s">
        <v>671</v>
      </c>
      <c r="G43" s="50" t="s">
        <v>511</v>
      </c>
      <c r="H43" s="53">
        <v>45832.0</v>
      </c>
      <c r="I43" s="63">
        <f>IFERROR(__xludf.DUMMYFUNCTION("IF(ISBLANK(H43), TODAY()-TO_DATE(G43), TO_DATE(H43)-TO_DATE(G43))+1"),18.0)</f>
        <v>18</v>
      </c>
      <c r="J43" s="40">
        <v>500.0</v>
      </c>
      <c r="K43" s="40" t="s">
        <v>677</v>
      </c>
      <c r="L43" s="88"/>
      <c r="M43" s="72"/>
      <c r="N43" s="29"/>
      <c r="O43" s="29"/>
      <c r="P43" s="29"/>
      <c r="Q43" s="29"/>
      <c r="R43" s="29"/>
      <c r="S43" s="29"/>
      <c r="T43" s="29"/>
      <c r="U43" s="29"/>
      <c r="V43" s="29"/>
      <c r="W43" s="29"/>
      <c r="X43" s="29"/>
      <c r="Y43" s="29"/>
      <c r="Z43" s="29"/>
      <c r="AA43" s="29"/>
      <c r="AB43" s="29"/>
      <c r="AC43" s="29"/>
      <c r="AD43" s="29"/>
      <c r="AE43" s="29"/>
      <c r="AF43" s="29"/>
      <c r="AG43" s="29"/>
    </row>
    <row r="44">
      <c r="A44" s="40" t="s">
        <v>660</v>
      </c>
      <c r="B44" s="40" t="s">
        <v>661</v>
      </c>
      <c r="C44" s="44" t="s">
        <v>213</v>
      </c>
      <c r="D44" s="47" t="s">
        <v>60</v>
      </c>
      <c r="E44" s="40" t="s">
        <v>682</v>
      </c>
      <c r="F44" s="40" t="s">
        <v>683</v>
      </c>
      <c r="G44" s="50" t="s">
        <v>511</v>
      </c>
      <c r="H44" s="53">
        <v>45832.0</v>
      </c>
      <c r="I44" s="63">
        <f>IFERROR(__xludf.DUMMYFUNCTION("IF(ISBLANK(H44), TODAY()-TO_DATE(G44), TO_DATE(H44)-TO_DATE(G44))+1"),18.0)</f>
        <v>18</v>
      </c>
      <c r="J44" s="40">
        <v>500.0</v>
      </c>
      <c r="K44" s="40" t="s">
        <v>687</v>
      </c>
      <c r="L44" s="88"/>
      <c r="M44" s="72"/>
      <c r="N44" s="29"/>
      <c r="O44" s="29"/>
      <c r="P44" s="29"/>
      <c r="Q44" s="29"/>
      <c r="R44" s="29"/>
      <c r="S44" s="29"/>
      <c r="T44" s="29"/>
      <c r="U44" s="29"/>
      <c r="V44" s="29"/>
      <c r="W44" s="29"/>
      <c r="X44" s="29"/>
      <c r="Y44" s="29"/>
      <c r="Z44" s="29"/>
      <c r="AA44" s="29"/>
      <c r="AB44" s="29"/>
      <c r="AC44" s="29"/>
      <c r="AD44" s="29"/>
      <c r="AE44" s="29"/>
      <c r="AF44" s="29"/>
      <c r="AG44" s="29"/>
    </row>
    <row r="45">
      <c r="A45" s="40" t="s">
        <v>692</v>
      </c>
      <c r="B45" s="40" t="s">
        <v>661</v>
      </c>
      <c r="C45" s="173"/>
      <c r="D45" s="47" t="s">
        <v>60</v>
      </c>
      <c r="E45" s="40" t="s">
        <v>698</v>
      </c>
      <c r="F45" s="40" t="s">
        <v>699</v>
      </c>
      <c r="G45" s="50" t="s">
        <v>511</v>
      </c>
      <c r="H45" s="53">
        <v>45823.0</v>
      </c>
      <c r="I45" s="63">
        <f>IFERROR(__xludf.DUMMYFUNCTION("IF(ISBLANK(H45), TODAY()-TO_DATE(G45), TO_DATE(H45)-TO_DATE(G45))+1"),9.0)</f>
        <v>9</v>
      </c>
      <c r="J45" s="40">
        <v>500.0</v>
      </c>
      <c r="K45" s="40" t="s">
        <v>711</v>
      </c>
      <c r="L45" s="88"/>
      <c r="M45" s="72"/>
      <c r="N45" s="29"/>
      <c r="O45" s="29"/>
      <c r="P45" s="29"/>
      <c r="Q45" s="29"/>
      <c r="R45" s="29"/>
      <c r="S45" s="29"/>
      <c r="T45" s="29"/>
      <c r="U45" s="29"/>
      <c r="V45" s="29"/>
      <c r="W45" s="29"/>
      <c r="X45" s="29"/>
      <c r="Y45" s="29"/>
      <c r="Z45" s="29"/>
      <c r="AA45" s="29"/>
      <c r="AB45" s="29"/>
      <c r="AC45" s="29"/>
      <c r="AD45" s="29"/>
      <c r="AE45" s="29"/>
      <c r="AF45" s="29"/>
      <c r="AG45" s="29"/>
    </row>
    <row r="46">
      <c r="A46" s="40" t="s">
        <v>660</v>
      </c>
      <c r="B46" s="40" t="s">
        <v>661</v>
      </c>
      <c r="C46" s="44" t="s">
        <v>213</v>
      </c>
      <c r="D46" s="47" t="s">
        <v>60</v>
      </c>
      <c r="E46" s="40" t="s">
        <v>719</v>
      </c>
      <c r="F46" s="40" t="s">
        <v>721</v>
      </c>
      <c r="G46" s="50" t="s">
        <v>511</v>
      </c>
      <c r="H46" s="53">
        <v>45823.0</v>
      </c>
      <c r="I46" s="63">
        <f>IFERROR(__xludf.DUMMYFUNCTION("IF(ISBLANK(H46), TODAY()-TO_DATE(G46), TO_DATE(H46)-TO_DATE(G46))+1"),9.0)</f>
        <v>9</v>
      </c>
      <c r="J46" s="40">
        <v>500.0</v>
      </c>
      <c r="K46" s="40" t="s">
        <v>727</v>
      </c>
      <c r="L46" s="88"/>
      <c r="M46" s="72"/>
      <c r="N46" s="29"/>
      <c r="O46" s="29"/>
      <c r="P46" s="29"/>
      <c r="Q46" s="29"/>
      <c r="R46" s="29"/>
      <c r="S46" s="29"/>
      <c r="T46" s="29"/>
      <c r="U46" s="29"/>
      <c r="V46" s="29"/>
      <c r="W46" s="29"/>
      <c r="X46" s="29"/>
      <c r="Y46" s="29"/>
      <c r="Z46" s="29"/>
      <c r="AA46" s="29"/>
      <c r="AB46" s="29"/>
      <c r="AC46" s="29"/>
      <c r="AD46" s="29"/>
      <c r="AE46" s="29"/>
      <c r="AF46" s="29"/>
      <c r="AG46" s="29"/>
    </row>
    <row r="47">
      <c r="A47" s="40" t="s">
        <v>660</v>
      </c>
      <c r="B47" s="40" t="s">
        <v>661</v>
      </c>
      <c r="C47" s="44" t="s">
        <v>139</v>
      </c>
      <c r="D47" s="47" t="s">
        <v>60</v>
      </c>
      <c r="E47" s="40" t="s">
        <v>733</v>
      </c>
      <c r="F47" s="40" t="s">
        <v>734</v>
      </c>
      <c r="G47" s="50" t="s">
        <v>511</v>
      </c>
      <c r="H47" s="53">
        <v>45823.0</v>
      </c>
      <c r="I47" s="63">
        <f>IFERROR(__xludf.DUMMYFUNCTION("IF(ISBLANK(H47), TODAY()-TO_DATE(G47), TO_DATE(H47)-TO_DATE(G47))+1"),9.0)</f>
        <v>9</v>
      </c>
      <c r="J47" s="40">
        <v>500.0</v>
      </c>
      <c r="K47" s="40" t="s">
        <v>740</v>
      </c>
      <c r="L47" s="88"/>
      <c r="M47" s="72"/>
      <c r="N47" s="29"/>
      <c r="O47" s="29"/>
      <c r="P47" s="29"/>
      <c r="Q47" s="29"/>
      <c r="R47" s="29"/>
      <c r="S47" s="29"/>
      <c r="T47" s="29"/>
      <c r="U47" s="29"/>
      <c r="V47" s="29"/>
      <c r="W47" s="29"/>
      <c r="X47" s="29"/>
      <c r="Y47" s="29"/>
      <c r="Z47" s="29"/>
      <c r="AA47" s="29"/>
      <c r="AB47" s="29"/>
      <c r="AC47" s="29"/>
      <c r="AD47" s="29"/>
      <c r="AE47" s="29"/>
      <c r="AF47" s="29"/>
      <c r="AG47" s="29"/>
    </row>
    <row r="48">
      <c r="A48" s="40" t="s">
        <v>744</v>
      </c>
      <c r="B48" s="40" t="s">
        <v>661</v>
      </c>
      <c r="C48" s="44" t="s">
        <v>536</v>
      </c>
      <c r="D48" s="47" t="s">
        <v>60</v>
      </c>
      <c r="E48" s="40" t="s">
        <v>747</v>
      </c>
      <c r="F48" s="40" t="s">
        <v>748</v>
      </c>
      <c r="G48" s="50" t="s">
        <v>511</v>
      </c>
      <c r="H48" s="53">
        <v>45823.0</v>
      </c>
      <c r="I48" s="63">
        <f>IFERROR(__xludf.DUMMYFUNCTION("IF(ISBLANK(H48), TODAY()-TO_DATE(G48), TO_DATE(H48)-TO_DATE(G48))+1"),9.0)</f>
        <v>9</v>
      </c>
      <c r="J48" s="40">
        <v>500.0</v>
      </c>
      <c r="K48" s="40" t="s">
        <v>750</v>
      </c>
      <c r="L48" s="88"/>
      <c r="M48" s="72"/>
      <c r="N48" s="29"/>
      <c r="O48" s="29"/>
      <c r="P48" s="29"/>
      <c r="Q48" s="29"/>
      <c r="R48" s="29"/>
      <c r="S48" s="29"/>
      <c r="T48" s="29"/>
      <c r="U48" s="29"/>
      <c r="V48" s="29"/>
      <c r="W48" s="29"/>
      <c r="X48" s="29"/>
      <c r="Y48" s="29"/>
      <c r="Z48" s="29"/>
      <c r="AA48" s="29"/>
      <c r="AB48" s="29"/>
      <c r="AC48" s="29"/>
      <c r="AD48" s="29"/>
      <c r="AE48" s="29"/>
      <c r="AF48" s="29"/>
      <c r="AG48" s="29"/>
    </row>
    <row r="49">
      <c r="A49" s="40" t="s">
        <v>660</v>
      </c>
      <c r="B49" s="40" t="s">
        <v>661</v>
      </c>
      <c r="C49" s="44" t="s">
        <v>536</v>
      </c>
      <c r="D49" s="47" t="s">
        <v>60</v>
      </c>
      <c r="E49" s="40" t="s">
        <v>757</v>
      </c>
      <c r="F49" s="40" t="s">
        <v>758</v>
      </c>
      <c r="G49" s="50" t="s">
        <v>511</v>
      </c>
      <c r="H49" s="53">
        <v>45847.0</v>
      </c>
      <c r="I49" s="63">
        <f>IFERROR(__xludf.DUMMYFUNCTION("IF(ISBLANK(H49), TODAY()-TO_DATE(G49), TO_DATE(H49)-TO_DATE(G49))+1"),33.0)</f>
        <v>33</v>
      </c>
      <c r="J49" s="40">
        <v>500.0</v>
      </c>
      <c r="K49" s="40" t="s">
        <v>764</v>
      </c>
      <c r="L49" s="88"/>
      <c r="M49" s="72"/>
      <c r="N49" s="29"/>
      <c r="O49" s="29"/>
      <c r="P49" s="29"/>
      <c r="Q49" s="29"/>
      <c r="R49" s="29"/>
      <c r="S49" s="29"/>
      <c r="T49" s="29"/>
      <c r="U49" s="29"/>
      <c r="V49" s="29"/>
      <c r="W49" s="29"/>
      <c r="X49" s="29"/>
      <c r="Y49" s="29"/>
      <c r="Z49" s="29"/>
      <c r="AA49" s="29"/>
      <c r="AB49" s="29"/>
      <c r="AC49" s="29"/>
      <c r="AD49" s="29"/>
      <c r="AE49" s="29"/>
      <c r="AF49" s="29"/>
      <c r="AG49" s="29"/>
    </row>
    <row r="50">
      <c r="A50" s="40" t="s">
        <v>660</v>
      </c>
      <c r="B50" s="40" t="s">
        <v>661</v>
      </c>
      <c r="C50" s="44" t="s">
        <v>228</v>
      </c>
      <c r="D50" s="47" t="s">
        <v>60</v>
      </c>
      <c r="E50" s="40" t="s">
        <v>776</v>
      </c>
      <c r="F50" s="40" t="s">
        <v>777</v>
      </c>
      <c r="G50" s="50" t="s">
        <v>511</v>
      </c>
      <c r="H50" s="53">
        <v>45825.0</v>
      </c>
      <c r="I50" s="63">
        <f>IFERROR(__xludf.DUMMYFUNCTION("IF(ISBLANK(H50), TODAY()-TO_DATE(G50), TO_DATE(H50)-TO_DATE(G50))+1"),11.0)</f>
        <v>11</v>
      </c>
      <c r="J50" s="40">
        <v>500.0</v>
      </c>
      <c r="K50" s="40" t="s">
        <v>788</v>
      </c>
      <c r="L50" s="88"/>
      <c r="M50" s="72"/>
      <c r="N50" s="29"/>
      <c r="O50" s="29"/>
      <c r="P50" s="29"/>
      <c r="Q50" s="29"/>
      <c r="R50" s="29"/>
      <c r="S50" s="29"/>
      <c r="T50" s="29"/>
      <c r="U50" s="29"/>
      <c r="V50" s="29"/>
      <c r="W50" s="29"/>
      <c r="X50" s="29"/>
      <c r="Y50" s="29"/>
      <c r="Z50" s="29"/>
      <c r="AA50" s="29"/>
      <c r="AB50" s="29"/>
      <c r="AC50" s="29"/>
      <c r="AD50" s="29"/>
      <c r="AE50" s="29"/>
      <c r="AF50" s="29"/>
      <c r="AG50" s="29"/>
    </row>
    <row r="51">
      <c r="A51" s="40" t="s">
        <v>660</v>
      </c>
      <c r="B51" s="40" t="s">
        <v>661</v>
      </c>
      <c r="C51" s="44" t="s">
        <v>139</v>
      </c>
      <c r="D51" s="47" t="s">
        <v>60</v>
      </c>
      <c r="E51" s="40" t="s">
        <v>796</v>
      </c>
      <c r="F51" s="40" t="s">
        <v>798</v>
      </c>
      <c r="G51" s="50" t="s">
        <v>511</v>
      </c>
      <c r="H51" s="53">
        <v>45819.0</v>
      </c>
      <c r="I51" s="63">
        <f>IFERROR(__xludf.DUMMYFUNCTION("IF(ISBLANK(H51), TODAY()-TO_DATE(G51), TO_DATE(H51)-TO_DATE(G51))+1"),5.0)</f>
        <v>5</v>
      </c>
      <c r="J51" s="40">
        <v>500.0</v>
      </c>
      <c r="K51" s="40" t="s">
        <v>805</v>
      </c>
      <c r="L51" s="88"/>
      <c r="M51" s="72"/>
      <c r="N51" s="29"/>
      <c r="O51" s="29"/>
      <c r="P51" s="29"/>
      <c r="Q51" s="29"/>
      <c r="R51" s="29"/>
      <c r="S51" s="29"/>
      <c r="T51" s="29"/>
      <c r="U51" s="29"/>
      <c r="V51" s="29"/>
      <c r="W51" s="29"/>
      <c r="X51" s="29"/>
      <c r="Y51" s="29"/>
      <c r="Z51" s="29"/>
      <c r="AA51" s="29"/>
      <c r="AB51" s="29"/>
      <c r="AC51" s="29"/>
      <c r="AD51" s="29"/>
      <c r="AE51" s="29"/>
      <c r="AF51" s="29"/>
      <c r="AG51" s="29"/>
    </row>
    <row r="52">
      <c r="A52" s="40" t="s">
        <v>660</v>
      </c>
      <c r="B52" s="40" t="s">
        <v>661</v>
      </c>
      <c r="C52" s="44" t="s">
        <v>158</v>
      </c>
      <c r="D52" s="47" t="s">
        <v>60</v>
      </c>
      <c r="E52" s="40" t="s">
        <v>813</v>
      </c>
      <c r="F52" s="40" t="s">
        <v>815</v>
      </c>
      <c r="G52" s="50" t="s">
        <v>511</v>
      </c>
      <c r="H52" s="53">
        <v>45819.0</v>
      </c>
      <c r="I52" s="63">
        <f>IFERROR(__xludf.DUMMYFUNCTION("IF(ISBLANK(H52), TODAY()-TO_DATE(G52), TO_DATE(H52)-TO_DATE(G52))+1"),5.0)</f>
        <v>5</v>
      </c>
      <c r="J52" s="40">
        <v>500.0</v>
      </c>
      <c r="K52" s="40" t="s">
        <v>824</v>
      </c>
      <c r="L52" s="88"/>
      <c r="M52" s="72"/>
      <c r="N52" s="29"/>
      <c r="O52" s="29"/>
      <c r="P52" s="29"/>
      <c r="Q52" s="29"/>
      <c r="R52" s="29"/>
      <c r="S52" s="29"/>
      <c r="T52" s="29"/>
      <c r="U52" s="29"/>
      <c r="V52" s="29"/>
      <c r="W52" s="29"/>
      <c r="X52" s="29"/>
      <c r="Y52" s="29"/>
      <c r="Z52" s="29"/>
      <c r="AA52" s="29"/>
      <c r="AB52" s="29"/>
      <c r="AC52" s="29"/>
      <c r="AD52" s="29"/>
      <c r="AE52" s="29"/>
      <c r="AF52" s="29"/>
      <c r="AG52" s="29"/>
    </row>
    <row r="53">
      <c r="A53" s="40" t="s">
        <v>660</v>
      </c>
      <c r="B53" s="40" t="s">
        <v>661</v>
      </c>
      <c r="C53" s="44" t="s">
        <v>213</v>
      </c>
      <c r="D53" s="47" t="s">
        <v>60</v>
      </c>
      <c r="E53" s="40" t="s">
        <v>832</v>
      </c>
      <c r="F53" s="40" t="s">
        <v>833</v>
      </c>
      <c r="G53" s="50" t="s">
        <v>511</v>
      </c>
      <c r="H53" s="53">
        <v>45818.0</v>
      </c>
      <c r="I53" s="63">
        <f>IFERROR(__xludf.DUMMYFUNCTION("IF(ISBLANK(H53), TODAY()-TO_DATE(G53), TO_DATE(H53)-TO_DATE(G53))+1"),4.0)</f>
        <v>4</v>
      </c>
      <c r="J53" s="40">
        <v>500.0</v>
      </c>
      <c r="K53" s="40" t="s">
        <v>840</v>
      </c>
      <c r="L53" s="88"/>
      <c r="M53" s="72"/>
      <c r="N53" s="29"/>
      <c r="O53" s="29"/>
      <c r="P53" s="29"/>
      <c r="Q53" s="29"/>
      <c r="R53" s="29"/>
      <c r="S53" s="29"/>
      <c r="T53" s="29"/>
      <c r="U53" s="29"/>
      <c r="V53" s="29"/>
      <c r="W53" s="29"/>
      <c r="X53" s="29"/>
      <c r="Y53" s="29"/>
      <c r="Z53" s="29"/>
      <c r="AA53" s="29"/>
      <c r="AB53" s="29"/>
      <c r="AC53" s="29"/>
      <c r="AD53" s="29"/>
      <c r="AE53" s="29"/>
      <c r="AF53" s="29"/>
      <c r="AG53" s="29"/>
    </row>
    <row r="54">
      <c r="A54" s="40" t="s">
        <v>660</v>
      </c>
      <c r="B54" s="40" t="s">
        <v>661</v>
      </c>
      <c r="C54" s="44" t="s">
        <v>58</v>
      </c>
      <c r="D54" s="47" t="s">
        <v>60</v>
      </c>
      <c r="E54" s="40" t="s">
        <v>847</v>
      </c>
      <c r="F54" s="40" t="s">
        <v>848</v>
      </c>
      <c r="G54" s="50" t="s">
        <v>511</v>
      </c>
      <c r="H54" s="53">
        <v>45817.0</v>
      </c>
      <c r="I54" s="63">
        <f>IFERROR(__xludf.DUMMYFUNCTION("IF(ISBLANK(H54), TODAY()-TO_DATE(G54), TO_DATE(H54)-TO_DATE(G54))+1"),3.0)</f>
        <v>3</v>
      </c>
      <c r="J54" s="40">
        <v>500.0</v>
      </c>
      <c r="K54" s="40" t="s">
        <v>856</v>
      </c>
      <c r="L54" s="88"/>
      <c r="M54" s="72"/>
      <c r="N54" s="29"/>
      <c r="O54" s="29"/>
      <c r="P54" s="29"/>
      <c r="Q54" s="29"/>
      <c r="R54" s="29"/>
      <c r="S54" s="29"/>
      <c r="T54" s="29"/>
      <c r="U54" s="29"/>
      <c r="V54" s="29"/>
      <c r="W54" s="29"/>
      <c r="X54" s="29"/>
      <c r="Y54" s="29"/>
      <c r="Z54" s="29"/>
      <c r="AA54" s="29"/>
      <c r="AB54" s="29"/>
      <c r="AC54" s="29"/>
      <c r="AD54" s="29"/>
      <c r="AE54" s="29"/>
      <c r="AF54" s="29"/>
      <c r="AG54" s="29"/>
    </row>
    <row r="55">
      <c r="A55" s="40" t="s">
        <v>54</v>
      </c>
      <c r="B55" s="40" t="s">
        <v>56</v>
      </c>
      <c r="C55" s="44" t="s">
        <v>178</v>
      </c>
      <c r="D55" s="47" t="s">
        <v>60</v>
      </c>
      <c r="E55" s="40" t="s">
        <v>865</v>
      </c>
      <c r="F55" s="40" t="s">
        <v>866</v>
      </c>
      <c r="G55" s="50" t="s">
        <v>867</v>
      </c>
      <c r="H55" s="53">
        <v>45819.0</v>
      </c>
      <c r="I55" s="63">
        <f>IFERROR(__xludf.DUMMYFUNCTION("IF(ISBLANK(H55), TODAY()-TO_DATE(G55), TO_DATE(H55)-TO_DATE(G55))+1"),4.0)</f>
        <v>4</v>
      </c>
      <c r="J55" s="40">
        <v>500.0</v>
      </c>
      <c r="K55" s="65" t="s">
        <v>874</v>
      </c>
      <c r="L55" s="144" t="s">
        <v>875</v>
      </c>
      <c r="M55" s="72"/>
      <c r="N55" s="29"/>
      <c r="O55" s="29"/>
      <c r="P55" s="29"/>
      <c r="Q55" s="29"/>
      <c r="R55" s="29"/>
      <c r="S55" s="29"/>
      <c r="T55" s="29"/>
      <c r="U55" s="29"/>
      <c r="V55" s="29"/>
      <c r="W55" s="29"/>
      <c r="X55" s="29"/>
      <c r="Y55" s="29"/>
      <c r="Z55" s="29"/>
      <c r="AA55" s="29"/>
      <c r="AB55" s="29"/>
      <c r="AC55" s="29"/>
      <c r="AD55" s="29"/>
      <c r="AE55" s="29"/>
      <c r="AF55" s="29"/>
      <c r="AG55" s="29"/>
    </row>
    <row r="56">
      <c r="A56" s="40" t="s">
        <v>54</v>
      </c>
      <c r="B56" s="40" t="s">
        <v>56</v>
      </c>
      <c r="C56" s="44" t="s">
        <v>287</v>
      </c>
      <c r="D56" s="47" t="s">
        <v>60</v>
      </c>
      <c r="E56" s="40" t="s">
        <v>881</v>
      </c>
      <c r="F56" s="40" t="s">
        <v>882</v>
      </c>
      <c r="G56" s="50" t="s">
        <v>867</v>
      </c>
      <c r="H56" s="53">
        <v>45820.0</v>
      </c>
      <c r="I56" s="63">
        <f>IFERROR(__xludf.DUMMYFUNCTION("IF(ISBLANK(H56), TODAY()-TO_DATE(G56), TO_DATE(H56)-TO_DATE(G56))+1"),5.0)</f>
        <v>5</v>
      </c>
      <c r="J56" s="40">
        <v>300.0</v>
      </c>
      <c r="K56" s="65" t="s">
        <v>886</v>
      </c>
      <c r="L56" s="144" t="s">
        <v>888</v>
      </c>
      <c r="M56" s="72"/>
      <c r="N56" s="29"/>
      <c r="O56" s="29"/>
      <c r="P56" s="29"/>
      <c r="Q56" s="29"/>
      <c r="R56" s="29"/>
      <c r="S56" s="29"/>
      <c r="T56" s="29"/>
      <c r="U56" s="29"/>
      <c r="V56" s="29"/>
      <c r="W56" s="29"/>
      <c r="X56" s="29"/>
      <c r="Y56" s="29"/>
      <c r="Z56" s="29"/>
      <c r="AA56" s="29"/>
      <c r="AB56" s="29"/>
      <c r="AC56" s="29"/>
      <c r="AD56" s="29"/>
      <c r="AE56" s="29"/>
      <c r="AF56" s="29"/>
      <c r="AG56" s="29"/>
    </row>
    <row r="57">
      <c r="A57" s="40" t="s">
        <v>54</v>
      </c>
      <c r="B57" s="40" t="s">
        <v>56</v>
      </c>
      <c r="C57" s="44" t="s">
        <v>213</v>
      </c>
      <c r="D57" s="47" t="s">
        <v>60</v>
      </c>
      <c r="E57" s="40" t="s">
        <v>895</v>
      </c>
      <c r="F57" s="40" t="s">
        <v>896</v>
      </c>
      <c r="G57" s="50" t="s">
        <v>867</v>
      </c>
      <c r="H57" s="53">
        <v>45820.0</v>
      </c>
      <c r="I57" s="63">
        <f>IFERROR(__xludf.DUMMYFUNCTION("IF(ISBLANK(H57), TODAY()-TO_DATE(G57), TO_DATE(H57)-TO_DATE(G57))+1"),5.0)</f>
        <v>5</v>
      </c>
      <c r="J57" s="40" t="s">
        <v>197</v>
      </c>
      <c r="K57" s="65" t="s">
        <v>900</v>
      </c>
      <c r="L57" s="88"/>
      <c r="M57" s="72"/>
      <c r="N57" s="29"/>
      <c r="O57" s="29"/>
      <c r="P57" s="29"/>
      <c r="Q57" s="29"/>
      <c r="R57" s="29"/>
      <c r="S57" s="29"/>
      <c r="T57" s="29"/>
      <c r="U57" s="29"/>
      <c r="V57" s="29"/>
      <c r="W57" s="29"/>
      <c r="X57" s="29"/>
      <c r="Y57" s="29"/>
      <c r="Z57" s="29"/>
      <c r="AA57" s="29"/>
      <c r="AB57" s="29"/>
      <c r="AC57" s="29"/>
      <c r="AD57" s="29"/>
      <c r="AE57" s="29"/>
      <c r="AF57" s="29"/>
      <c r="AG57" s="29"/>
    </row>
    <row r="58">
      <c r="A58" s="40" t="s">
        <v>54</v>
      </c>
      <c r="B58" s="40" t="s">
        <v>56</v>
      </c>
      <c r="C58" s="44" t="s">
        <v>213</v>
      </c>
      <c r="D58" s="47" t="s">
        <v>360</v>
      </c>
      <c r="E58" s="40" t="s">
        <v>905</v>
      </c>
      <c r="F58" s="40" t="s">
        <v>654</v>
      </c>
      <c r="G58" s="50" t="s">
        <v>867</v>
      </c>
      <c r="H58" s="53">
        <v>45818.0</v>
      </c>
      <c r="I58" s="63">
        <f>IFERROR(__xludf.DUMMYFUNCTION("IF(ISBLANK(H58), TODAY()-TO_DATE(G58), TO_DATE(H58)-TO_DATE(G58))+1"),3.0)</f>
        <v>3</v>
      </c>
      <c r="J58" s="40">
        <v>500.0</v>
      </c>
      <c r="K58" s="65" t="s">
        <v>910</v>
      </c>
      <c r="L58" s="88"/>
      <c r="M58" s="72"/>
      <c r="N58" s="29"/>
      <c r="O58" s="29"/>
      <c r="P58" s="29"/>
      <c r="Q58" s="29"/>
      <c r="R58" s="29"/>
      <c r="S58" s="29"/>
      <c r="T58" s="29"/>
      <c r="U58" s="29"/>
      <c r="V58" s="29"/>
      <c r="W58" s="29"/>
      <c r="X58" s="29"/>
      <c r="Y58" s="29"/>
      <c r="Z58" s="29"/>
      <c r="AA58" s="29"/>
      <c r="AB58" s="29"/>
      <c r="AC58" s="29"/>
      <c r="AD58" s="29"/>
      <c r="AE58" s="29"/>
      <c r="AF58" s="29"/>
      <c r="AG58" s="29"/>
    </row>
    <row r="59">
      <c r="A59" s="40" t="s">
        <v>54</v>
      </c>
      <c r="B59" s="40" t="s">
        <v>56</v>
      </c>
      <c r="C59" s="44" t="s">
        <v>187</v>
      </c>
      <c r="D59" s="47" t="s">
        <v>60</v>
      </c>
      <c r="E59" s="40" t="s">
        <v>916</v>
      </c>
      <c r="F59" s="40" t="s">
        <v>918</v>
      </c>
      <c r="G59" s="50" t="s">
        <v>867</v>
      </c>
      <c r="H59" s="53">
        <v>45821.0</v>
      </c>
      <c r="I59" s="63">
        <f>IFERROR(__xludf.DUMMYFUNCTION("IF(ISBLANK(H59), TODAY()-TO_DATE(G59), TO_DATE(H59)-TO_DATE(G59))+1"),6.0)</f>
        <v>6</v>
      </c>
      <c r="J59" s="40">
        <v>500.0</v>
      </c>
      <c r="K59" s="65" t="s">
        <v>921</v>
      </c>
      <c r="L59" s="88"/>
      <c r="M59" s="72"/>
      <c r="N59" s="29"/>
      <c r="O59" s="29"/>
      <c r="P59" s="29"/>
      <c r="Q59" s="29"/>
      <c r="R59" s="29"/>
      <c r="S59" s="29"/>
      <c r="T59" s="29"/>
      <c r="U59" s="29"/>
      <c r="V59" s="29"/>
      <c r="W59" s="29"/>
      <c r="X59" s="29"/>
      <c r="Y59" s="29"/>
      <c r="Z59" s="29"/>
      <c r="AA59" s="29"/>
      <c r="AB59" s="29"/>
      <c r="AC59" s="29"/>
      <c r="AD59" s="29"/>
      <c r="AE59" s="29"/>
      <c r="AF59" s="29"/>
      <c r="AG59" s="29"/>
    </row>
    <row r="60">
      <c r="A60" s="40" t="s">
        <v>660</v>
      </c>
      <c r="B60" s="40" t="s">
        <v>661</v>
      </c>
      <c r="C60" s="44" t="s">
        <v>213</v>
      </c>
      <c r="D60" s="47" t="s">
        <v>60</v>
      </c>
      <c r="E60" s="40" t="s">
        <v>927</v>
      </c>
      <c r="F60" s="40" t="s">
        <v>928</v>
      </c>
      <c r="G60" s="50" t="s">
        <v>867</v>
      </c>
      <c r="H60" s="53">
        <v>45841.0</v>
      </c>
      <c r="I60" s="63">
        <f>IFERROR(__xludf.DUMMYFUNCTION("IF(ISBLANK(H60), TODAY()-TO_DATE(G60), TO_DATE(H60)-TO_DATE(G60))+1"),26.0)</f>
        <v>26</v>
      </c>
      <c r="J60" s="40">
        <v>500.0</v>
      </c>
      <c r="K60" s="40" t="s">
        <v>932</v>
      </c>
      <c r="L60" s="88"/>
      <c r="M60" s="72"/>
      <c r="N60" s="29"/>
      <c r="O60" s="29"/>
      <c r="P60" s="29"/>
      <c r="Q60" s="29"/>
      <c r="R60" s="29"/>
      <c r="S60" s="29"/>
      <c r="T60" s="29"/>
      <c r="U60" s="29"/>
      <c r="V60" s="29"/>
      <c r="W60" s="29"/>
      <c r="X60" s="29"/>
      <c r="Y60" s="29"/>
      <c r="Z60" s="29"/>
      <c r="AA60" s="29"/>
      <c r="AB60" s="29"/>
      <c r="AC60" s="29"/>
      <c r="AD60" s="29"/>
      <c r="AE60" s="29"/>
      <c r="AF60" s="29"/>
      <c r="AG60" s="29"/>
    </row>
    <row r="61">
      <c r="A61" s="40" t="s">
        <v>660</v>
      </c>
      <c r="B61" s="40" t="s">
        <v>661</v>
      </c>
      <c r="C61" s="44" t="s">
        <v>331</v>
      </c>
      <c r="D61" s="47" t="s">
        <v>60</v>
      </c>
      <c r="E61" s="40" t="s">
        <v>936</v>
      </c>
      <c r="F61" s="40" t="s">
        <v>937</v>
      </c>
      <c r="G61" s="50" t="s">
        <v>867</v>
      </c>
      <c r="H61" s="53">
        <v>45832.0</v>
      </c>
      <c r="I61" s="63">
        <f>IFERROR(__xludf.DUMMYFUNCTION("IF(ISBLANK(H61), TODAY()-TO_DATE(G61), TO_DATE(H61)-TO_DATE(G61))+1"),17.0)</f>
        <v>17</v>
      </c>
      <c r="J61" s="40">
        <v>500.0</v>
      </c>
      <c r="K61" s="40" t="s">
        <v>941</v>
      </c>
      <c r="L61" s="88"/>
      <c r="M61" s="72"/>
      <c r="N61" s="29"/>
      <c r="O61" s="29"/>
      <c r="P61" s="29"/>
      <c r="Q61" s="29"/>
      <c r="R61" s="29"/>
      <c r="S61" s="29"/>
      <c r="T61" s="29"/>
      <c r="U61" s="29"/>
      <c r="V61" s="29"/>
      <c r="W61" s="29"/>
      <c r="X61" s="29"/>
      <c r="Y61" s="29"/>
      <c r="Z61" s="29"/>
      <c r="AA61" s="29"/>
      <c r="AB61" s="29"/>
      <c r="AC61" s="29"/>
      <c r="AD61" s="29"/>
      <c r="AE61" s="29"/>
      <c r="AF61" s="29"/>
      <c r="AG61" s="29"/>
    </row>
    <row r="62">
      <c r="A62" s="40" t="s">
        <v>660</v>
      </c>
      <c r="B62" s="40" t="s">
        <v>661</v>
      </c>
      <c r="C62" s="44" t="s">
        <v>266</v>
      </c>
      <c r="D62" s="47" t="s">
        <v>60</v>
      </c>
      <c r="E62" s="40" t="s">
        <v>947</v>
      </c>
      <c r="F62" s="40" t="s">
        <v>949</v>
      </c>
      <c r="G62" s="50" t="s">
        <v>867</v>
      </c>
      <c r="H62" s="53">
        <v>45832.0</v>
      </c>
      <c r="I62" s="63">
        <f>IFERROR(__xludf.DUMMYFUNCTION("IF(ISBLANK(H62), TODAY()-TO_DATE(G62), TO_DATE(H62)-TO_DATE(G62))+1"),17.0)</f>
        <v>17</v>
      </c>
      <c r="J62" s="40">
        <v>500.0</v>
      </c>
      <c r="K62" s="40" t="s">
        <v>955</v>
      </c>
      <c r="L62" s="88"/>
      <c r="M62" s="72"/>
      <c r="N62" s="29"/>
      <c r="O62" s="29"/>
      <c r="P62" s="29"/>
      <c r="Q62" s="29"/>
      <c r="R62" s="29"/>
      <c r="S62" s="29"/>
      <c r="T62" s="29"/>
      <c r="U62" s="29"/>
      <c r="V62" s="29"/>
      <c r="W62" s="29"/>
      <c r="X62" s="29"/>
      <c r="Y62" s="29"/>
      <c r="Z62" s="29"/>
      <c r="AA62" s="29"/>
      <c r="AB62" s="29"/>
      <c r="AC62" s="29"/>
      <c r="AD62" s="29"/>
      <c r="AE62" s="29"/>
      <c r="AF62" s="29"/>
      <c r="AG62" s="29"/>
    </row>
    <row r="63">
      <c r="A63" s="40" t="s">
        <v>660</v>
      </c>
      <c r="B63" s="40" t="s">
        <v>661</v>
      </c>
      <c r="C63" s="44" t="s">
        <v>213</v>
      </c>
      <c r="D63" s="47" t="s">
        <v>60</v>
      </c>
      <c r="E63" s="40" t="s">
        <v>962</v>
      </c>
      <c r="F63" s="40" t="s">
        <v>964</v>
      </c>
      <c r="G63" s="50" t="s">
        <v>867</v>
      </c>
      <c r="H63" s="53">
        <v>45828.0</v>
      </c>
      <c r="I63" s="63">
        <f>IFERROR(__xludf.DUMMYFUNCTION("IF(ISBLANK(H63), TODAY()-TO_DATE(G63), TO_DATE(H63)-TO_DATE(G63))+1"),13.0)</f>
        <v>13</v>
      </c>
      <c r="J63" s="40">
        <v>500.0</v>
      </c>
      <c r="K63" s="40" t="s">
        <v>968</v>
      </c>
      <c r="L63" s="88"/>
      <c r="M63" s="72"/>
      <c r="N63" s="29"/>
      <c r="O63" s="29"/>
      <c r="P63" s="29"/>
      <c r="Q63" s="29"/>
      <c r="R63" s="29"/>
      <c r="S63" s="29"/>
      <c r="T63" s="29"/>
      <c r="U63" s="29"/>
      <c r="V63" s="29"/>
      <c r="W63" s="29"/>
      <c r="X63" s="29"/>
      <c r="Y63" s="29"/>
      <c r="Z63" s="29"/>
      <c r="AA63" s="29"/>
      <c r="AB63" s="29"/>
      <c r="AC63" s="29"/>
      <c r="AD63" s="29"/>
      <c r="AE63" s="29"/>
      <c r="AF63" s="29"/>
      <c r="AG63" s="29"/>
    </row>
    <row r="64">
      <c r="A64" s="40" t="s">
        <v>660</v>
      </c>
      <c r="B64" s="40" t="s">
        <v>661</v>
      </c>
      <c r="C64" s="44" t="s">
        <v>213</v>
      </c>
      <c r="D64" s="47" t="s">
        <v>60</v>
      </c>
      <c r="E64" s="40" t="s">
        <v>976</v>
      </c>
      <c r="F64" s="40" t="s">
        <v>978</v>
      </c>
      <c r="G64" s="50" t="s">
        <v>867</v>
      </c>
      <c r="H64" s="53">
        <v>45823.0</v>
      </c>
      <c r="I64" s="63">
        <f>IFERROR(__xludf.DUMMYFUNCTION("IF(ISBLANK(H64), TODAY()-TO_DATE(G64), TO_DATE(H64)-TO_DATE(G64))+1"),8.0)</f>
        <v>8</v>
      </c>
      <c r="J64" s="40">
        <v>500.0</v>
      </c>
      <c r="K64" s="40" t="s">
        <v>983</v>
      </c>
      <c r="L64" s="88"/>
      <c r="M64" s="72"/>
      <c r="N64" s="29"/>
      <c r="O64" s="29"/>
      <c r="P64" s="29"/>
      <c r="Q64" s="29"/>
      <c r="R64" s="29"/>
      <c r="S64" s="29"/>
      <c r="T64" s="29"/>
      <c r="U64" s="29"/>
      <c r="V64" s="29"/>
      <c r="W64" s="29"/>
      <c r="X64" s="29"/>
      <c r="Y64" s="29"/>
      <c r="Z64" s="29"/>
      <c r="AA64" s="29"/>
      <c r="AB64" s="29"/>
      <c r="AC64" s="29"/>
      <c r="AD64" s="29"/>
      <c r="AE64" s="29"/>
      <c r="AF64" s="29"/>
      <c r="AG64" s="29"/>
    </row>
    <row r="65">
      <c r="A65" s="40" t="s">
        <v>660</v>
      </c>
      <c r="B65" s="40" t="s">
        <v>661</v>
      </c>
      <c r="C65" s="44" t="s">
        <v>187</v>
      </c>
      <c r="D65" s="47" t="s">
        <v>60</v>
      </c>
      <c r="E65" s="40" t="s">
        <v>987</v>
      </c>
      <c r="F65" s="40" t="s">
        <v>858</v>
      </c>
      <c r="G65" s="50" t="s">
        <v>867</v>
      </c>
      <c r="H65" s="53">
        <v>45823.0</v>
      </c>
      <c r="I65" s="63">
        <f>IFERROR(__xludf.DUMMYFUNCTION("IF(ISBLANK(H65), TODAY()-TO_DATE(G65), TO_DATE(H65)-TO_DATE(G65))+1"),8.0)</f>
        <v>8</v>
      </c>
      <c r="J65" s="40">
        <v>500.0</v>
      </c>
      <c r="K65" s="40" t="s">
        <v>992</v>
      </c>
      <c r="L65" s="88"/>
      <c r="M65" s="72"/>
      <c r="N65" s="29"/>
      <c r="O65" s="29"/>
      <c r="P65" s="29"/>
      <c r="Q65" s="29"/>
      <c r="R65" s="29"/>
      <c r="S65" s="29"/>
      <c r="T65" s="29"/>
      <c r="U65" s="29"/>
      <c r="V65" s="29"/>
      <c r="W65" s="29"/>
      <c r="X65" s="29"/>
      <c r="Y65" s="29"/>
      <c r="Z65" s="29"/>
      <c r="AA65" s="29"/>
      <c r="AB65" s="29"/>
      <c r="AC65" s="29"/>
      <c r="AD65" s="29"/>
      <c r="AE65" s="29"/>
      <c r="AF65" s="29"/>
      <c r="AG65" s="29"/>
    </row>
    <row r="66">
      <c r="A66" s="40" t="s">
        <v>660</v>
      </c>
      <c r="B66" s="40" t="s">
        <v>661</v>
      </c>
      <c r="C66" s="44" t="s">
        <v>158</v>
      </c>
      <c r="D66" s="47" t="s">
        <v>60</v>
      </c>
      <c r="E66" s="40" t="s">
        <v>1001</v>
      </c>
      <c r="F66" s="40" t="s">
        <v>1003</v>
      </c>
      <c r="G66" s="50" t="s">
        <v>867</v>
      </c>
      <c r="H66" s="53">
        <v>45820.0</v>
      </c>
      <c r="I66" s="63">
        <f>IFERROR(__xludf.DUMMYFUNCTION("IF(ISBLANK(H66), TODAY()-TO_DATE(G66), TO_DATE(H66)-TO_DATE(G66))+1"),5.0)</f>
        <v>5</v>
      </c>
      <c r="J66" s="40">
        <v>300.0</v>
      </c>
      <c r="K66" s="40" t="s">
        <v>1005</v>
      </c>
      <c r="L66" s="88"/>
      <c r="M66" s="72"/>
      <c r="N66" s="29"/>
      <c r="O66" s="29"/>
      <c r="P66" s="29"/>
      <c r="Q66" s="29"/>
      <c r="R66" s="29"/>
      <c r="S66" s="29"/>
      <c r="T66" s="29"/>
      <c r="U66" s="29"/>
      <c r="V66" s="29"/>
      <c r="W66" s="29"/>
      <c r="X66" s="29"/>
      <c r="Y66" s="29"/>
      <c r="Z66" s="29"/>
      <c r="AA66" s="29"/>
      <c r="AB66" s="29"/>
      <c r="AC66" s="29"/>
      <c r="AD66" s="29"/>
      <c r="AE66" s="29"/>
      <c r="AF66" s="29"/>
      <c r="AG66" s="29"/>
    </row>
    <row r="67">
      <c r="A67" s="40" t="s">
        <v>660</v>
      </c>
      <c r="B67" s="40" t="s">
        <v>661</v>
      </c>
      <c r="C67" s="44" t="s">
        <v>58</v>
      </c>
      <c r="D67" s="47" t="s">
        <v>60</v>
      </c>
      <c r="E67" s="40" t="s">
        <v>1010</v>
      </c>
      <c r="F67" s="40" t="s">
        <v>1011</v>
      </c>
      <c r="G67" s="50" t="s">
        <v>867</v>
      </c>
      <c r="H67" s="53">
        <v>45818.0</v>
      </c>
      <c r="I67" s="63">
        <f>IFERROR(__xludf.DUMMYFUNCTION("IF(ISBLANK(H67), TODAY()-TO_DATE(G67), TO_DATE(H67)-TO_DATE(G67))+1"),3.0)</f>
        <v>3</v>
      </c>
      <c r="J67" s="40">
        <v>300.0</v>
      </c>
      <c r="K67" s="40" t="s">
        <v>1016</v>
      </c>
      <c r="L67" s="88"/>
      <c r="M67" s="72"/>
      <c r="N67" s="29"/>
      <c r="O67" s="29"/>
      <c r="P67" s="29"/>
      <c r="Q67" s="29"/>
      <c r="R67" s="29"/>
      <c r="S67" s="29"/>
      <c r="T67" s="29"/>
      <c r="U67" s="29"/>
      <c r="V67" s="29"/>
      <c r="W67" s="29"/>
      <c r="X67" s="29"/>
      <c r="Y67" s="29"/>
      <c r="Z67" s="29"/>
      <c r="AA67" s="29"/>
      <c r="AB67" s="29"/>
      <c r="AC67" s="29"/>
      <c r="AD67" s="29"/>
      <c r="AE67" s="29"/>
      <c r="AF67" s="29"/>
      <c r="AG67" s="29"/>
    </row>
    <row r="68">
      <c r="A68" s="40" t="s">
        <v>660</v>
      </c>
      <c r="B68" s="40" t="s">
        <v>661</v>
      </c>
      <c r="C68" s="44" t="s">
        <v>213</v>
      </c>
      <c r="D68" s="47" t="s">
        <v>60</v>
      </c>
      <c r="E68" s="40" t="s">
        <v>1020</v>
      </c>
      <c r="F68" s="40" t="s">
        <v>1021</v>
      </c>
      <c r="G68" s="50" t="s">
        <v>867</v>
      </c>
      <c r="H68" s="53">
        <v>45822.0</v>
      </c>
      <c r="I68" s="63">
        <f>IFERROR(__xludf.DUMMYFUNCTION("IF(ISBLANK(H68), TODAY()-TO_DATE(G68), TO_DATE(H68)-TO_DATE(G68))+1"),7.0)</f>
        <v>7</v>
      </c>
      <c r="J68" s="40">
        <v>300.0</v>
      </c>
      <c r="K68" s="40" t="s">
        <v>1024</v>
      </c>
      <c r="L68" s="88"/>
      <c r="M68" s="72"/>
      <c r="N68" s="29"/>
      <c r="O68" s="29"/>
      <c r="P68" s="29"/>
      <c r="Q68" s="29"/>
      <c r="R68" s="29"/>
      <c r="S68" s="29"/>
      <c r="T68" s="29"/>
      <c r="U68" s="29"/>
      <c r="V68" s="29"/>
      <c r="W68" s="29"/>
      <c r="X68" s="29"/>
      <c r="Y68" s="29"/>
      <c r="Z68" s="29"/>
      <c r="AA68" s="29"/>
      <c r="AB68" s="29"/>
      <c r="AC68" s="29"/>
      <c r="AD68" s="29"/>
      <c r="AE68" s="29"/>
      <c r="AF68" s="29"/>
      <c r="AG68" s="29"/>
    </row>
    <row r="69">
      <c r="A69" s="40" t="s">
        <v>660</v>
      </c>
      <c r="B69" s="40" t="s">
        <v>661</v>
      </c>
      <c r="C69" s="44" t="s">
        <v>213</v>
      </c>
      <c r="D69" s="47" t="s">
        <v>60</v>
      </c>
      <c r="E69" s="40" t="s">
        <v>1028</v>
      </c>
      <c r="F69" s="40" t="s">
        <v>1029</v>
      </c>
      <c r="G69" s="50" t="s">
        <v>867</v>
      </c>
      <c r="H69" s="53">
        <v>45826.0</v>
      </c>
      <c r="I69" s="63">
        <f>IFERROR(__xludf.DUMMYFUNCTION("IF(ISBLANK(H69), TODAY()-TO_DATE(G69), TO_DATE(H69)-TO_DATE(G69))+1"),11.0)</f>
        <v>11</v>
      </c>
      <c r="J69" s="40">
        <v>300.0</v>
      </c>
      <c r="K69" s="40" t="s">
        <v>1031</v>
      </c>
      <c r="L69" s="88"/>
      <c r="M69" s="72"/>
      <c r="N69" s="29"/>
      <c r="O69" s="29"/>
      <c r="P69" s="29"/>
      <c r="Q69" s="29"/>
      <c r="R69" s="29"/>
      <c r="S69" s="29"/>
      <c r="T69" s="29"/>
      <c r="U69" s="29"/>
      <c r="V69" s="29"/>
      <c r="W69" s="29"/>
      <c r="X69" s="29"/>
      <c r="Y69" s="29"/>
      <c r="Z69" s="29"/>
      <c r="AA69" s="29"/>
      <c r="AB69" s="29"/>
      <c r="AC69" s="29"/>
      <c r="AD69" s="29"/>
      <c r="AE69" s="29"/>
      <c r="AF69" s="29"/>
      <c r="AG69" s="29"/>
    </row>
    <row r="70">
      <c r="A70" s="40" t="s">
        <v>660</v>
      </c>
      <c r="B70" s="40" t="s">
        <v>661</v>
      </c>
      <c r="C70" s="44" t="s">
        <v>228</v>
      </c>
      <c r="D70" s="47" t="s">
        <v>60</v>
      </c>
      <c r="E70" s="40" t="s">
        <v>1036</v>
      </c>
      <c r="F70" s="40" t="s">
        <v>1037</v>
      </c>
      <c r="G70" s="50" t="s">
        <v>867</v>
      </c>
      <c r="H70" s="53">
        <v>45824.0</v>
      </c>
      <c r="I70" s="63">
        <f>IFERROR(__xludf.DUMMYFUNCTION("IF(ISBLANK(H70), TODAY()-TO_DATE(G70), TO_DATE(H70)-TO_DATE(G70))+1"),9.0)</f>
        <v>9</v>
      </c>
      <c r="J70" s="40">
        <v>300.0</v>
      </c>
      <c r="K70" s="40" t="s">
        <v>1040</v>
      </c>
      <c r="L70" s="88"/>
      <c r="M70" s="72"/>
      <c r="N70" s="29"/>
      <c r="O70" s="29"/>
      <c r="P70" s="29"/>
      <c r="Q70" s="29"/>
      <c r="R70" s="29"/>
      <c r="S70" s="29"/>
      <c r="T70" s="29"/>
      <c r="U70" s="29"/>
      <c r="V70" s="29"/>
      <c r="W70" s="29"/>
      <c r="X70" s="29"/>
      <c r="Y70" s="29"/>
      <c r="Z70" s="29"/>
      <c r="AA70" s="29"/>
      <c r="AB70" s="29"/>
      <c r="AC70" s="29"/>
      <c r="AD70" s="29"/>
      <c r="AE70" s="29"/>
      <c r="AF70" s="29"/>
      <c r="AG70" s="29"/>
    </row>
    <row r="71">
      <c r="A71" s="40" t="s">
        <v>54</v>
      </c>
      <c r="B71" s="40" t="s">
        <v>56</v>
      </c>
      <c r="C71" s="44" t="s">
        <v>295</v>
      </c>
      <c r="D71" s="47" t="s">
        <v>60</v>
      </c>
      <c r="E71" s="40" t="s">
        <v>1045</v>
      </c>
      <c r="F71" s="40" t="s">
        <v>1046</v>
      </c>
      <c r="G71" s="50" t="s">
        <v>1047</v>
      </c>
      <c r="H71" s="53">
        <v>45823.0</v>
      </c>
      <c r="I71" s="63">
        <f>IFERROR(__xludf.DUMMYFUNCTION("IF(ISBLANK(H71), TODAY()-TO_DATE(G71), TO_DATE(H71)-TO_DATE(G71))+1"),7.0)</f>
        <v>7</v>
      </c>
      <c r="J71" s="40" t="s">
        <v>197</v>
      </c>
      <c r="K71" s="65" t="s">
        <v>1051</v>
      </c>
      <c r="L71" s="144" t="s">
        <v>1052</v>
      </c>
      <c r="M71" s="72"/>
      <c r="N71" s="29"/>
      <c r="O71" s="29"/>
      <c r="P71" s="29"/>
      <c r="Q71" s="29"/>
      <c r="R71" s="29"/>
      <c r="S71" s="29"/>
      <c r="T71" s="29"/>
      <c r="U71" s="29"/>
      <c r="V71" s="29"/>
      <c r="W71" s="29"/>
      <c r="X71" s="29"/>
      <c r="Y71" s="29"/>
      <c r="Z71" s="29"/>
      <c r="AA71" s="29"/>
      <c r="AB71" s="29"/>
      <c r="AC71" s="29"/>
      <c r="AD71" s="29"/>
      <c r="AE71" s="29"/>
      <c r="AF71" s="29"/>
      <c r="AG71" s="29"/>
    </row>
    <row r="72">
      <c r="A72" s="40" t="s">
        <v>54</v>
      </c>
      <c r="B72" s="40" t="s">
        <v>56</v>
      </c>
      <c r="C72" s="44" t="s">
        <v>536</v>
      </c>
      <c r="D72" s="47" t="s">
        <v>60</v>
      </c>
      <c r="E72" s="40" t="s">
        <v>1059</v>
      </c>
      <c r="F72" s="40" t="s">
        <v>1060</v>
      </c>
      <c r="G72" s="50" t="s">
        <v>1047</v>
      </c>
      <c r="H72" s="53">
        <v>45819.0</v>
      </c>
      <c r="I72" s="63">
        <f>IFERROR(__xludf.DUMMYFUNCTION("IF(ISBLANK(H72), TODAY()-TO_DATE(G72), TO_DATE(H72)-TO_DATE(G72))+1"),3.0)</f>
        <v>3</v>
      </c>
      <c r="J72" s="40">
        <v>500.0</v>
      </c>
      <c r="K72" s="65" t="s">
        <v>1064</v>
      </c>
      <c r="L72" s="144" t="s">
        <v>1066</v>
      </c>
      <c r="M72" s="72"/>
      <c r="N72" s="29"/>
      <c r="O72" s="29"/>
      <c r="P72" s="29"/>
      <c r="Q72" s="29"/>
      <c r="R72" s="29"/>
      <c r="S72" s="29"/>
      <c r="T72" s="29"/>
      <c r="U72" s="29"/>
      <c r="V72" s="29"/>
      <c r="W72" s="29"/>
      <c r="X72" s="29"/>
      <c r="Y72" s="29"/>
      <c r="Z72" s="29"/>
      <c r="AA72" s="29"/>
      <c r="AB72" s="29"/>
      <c r="AC72" s="29"/>
      <c r="AD72" s="29"/>
      <c r="AE72" s="29"/>
      <c r="AF72" s="29"/>
      <c r="AG72" s="29"/>
    </row>
    <row r="73">
      <c r="A73" s="40" t="s">
        <v>54</v>
      </c>
      <c r="B73" s="40" t="s">
        <v>56</v>
      </c>
      <c r="C73" s="44" t="s">
        <v>201</v>
      </c>
      <c r="D73" s="47" t="s">
        <v>60</v>
      </c>
      <c r="E73" s="40" t="s">
        <v>1071</v>
      </c>
      <c r="F73" s="40" t="s">
        <v>1073</v>
      </c>
      <c r="G73" s="50" t="s">
        <v>1047</v>
      </c>
      <c r="H73" s="53">
        <v>45823.0</v>
      </c>
      <c r="I73" s="63">
        <f>IFERROR(__xludf.DUMMYFUNCTION("IF(ISBLANK(H73), TODAY()-TO_DATE(G73), TO_DATE(H73)-TO_DATE(G73))+1"),7.0)</f>
        <v>7</v>
      </c>
      <c r="J73" s="40">
        <v>300.0</v>
      </c>
      <c r="K73" s="65" t="s">
        <v>1074</v>
      </c>
      <c r="L73" s="88"/>
      <c r="M73" s="72"/>
      <c r="N73" s="29"/>
      <c r="O73" s="29"/>
      <c r="P73" s="29"/>
      <c r="Q73" s="29"/>
      <c r="R73" s="29"/>
      <c r="S73" s="29"/>
      <c r="T73" s="29"/>
      <c r="U73" s="29"/>
      <c r="V73" s="29"/>
      <c r="W73" s="29"/>
      <c r="X73" s="29"/>
      <c r="Y73" s="29"/>
      <c r="Z73" s="29"/>
      <c r="AA73" s="29"/>
      <c r="AB73" s="29"/>
      <c r="AC73" s="29"/>
      <c r="AD73" s="29"/>
      <c r="AE73" s="29"/>
      <c r="AF73" s="29"/>
      <c r="AG73" s="29"/>
    </row>
    <row r="74">
      <c r="A74" s="40" t="s">
        <v>54</v>
      </c>
      <c r="B74" s="40" t="s">
        <v>56</v>
      </c>
      <c r="C74" s="44" t="s">
        <v>187</v>
      </c>
      <c r="D74" s="47" t="s">
        <v>60</v>
      </c>
      <c r="E74" s="40" t="s">
        <v>1078</v>
      </c>
      <c r="F74" s="40" t="s">
        <v>1079</v>
      </c>
      <c r="G74" s="50" t="s">
        <v>1047</v>
      </c>
      <c r="H74" s="53">
        <v>45823.0</v>
      </c>
      <c r="I74" s="63">
        <f>IFERROR(__xludf.DUMMYFUNCTION("IF(ISBLANK(H74), TODAY()-TO_DATE(G74), TO_DATE(H74)-TO_DATE(G74))+1"),7.0)</f>
        <v>7</v>
      </c>
      <c r="J74" s="40" t="s">
        <v>197</v>
      </c>
      <c r="K74" s="65" t="s">
        <v>1085</v>
      </c>
      <c r="L74" s="144" t="s">
        <v>1087</v>
      </c>
      <c r="M74" s="72"/>
      <c r="N74" s="29"/>
      <c r="O74" s="29"/>
      <c r="P74" s="29"/>
      <c r="Q74" s="29"/>
      <c r="R74" s="29"/>
      <c r="S74" s="29"/>
      <c r="T74" s="29"/>
      <c r="U74" s="29"/>
      <c r="V74" s="29"/>
      <c r="W74" s="29"/>
      <c r="X74" s="29"/>
      <c r="Y74" s="29"/>
      <c r="Z74" s="29"/>
      <c r="AA74" s="29"/>
      <c r="AB74" s="29"/>
      <c r="AC74" s="29"/>
      <c r="AD74" s="29"/>
      <c r="AE74" s="29"/>
      <c r="AF74" s="29"/>
      <c r="AG74" s="29"/>
    </row>
    <row r="75">
      <c r="A75" s="40" t="s">
        <v>54</v>
      </c>
      <c r="B75" s="40" t="s">
        <v>56</v>
      </c>
      <c r="C75" s="44" t="s">
        <v>331</v>
      </c>
      <c r="D75" s="47" t="s">
        <v>60</v>
      </c>
      <c r="E75" s="40" t="s">
        <v>1093</v>
      </c>
      <c r="F75" s="40" t="s">
        <v>1094</v>
      </c>
      <c r="G75" s="50" t="s">
        <v>1047</v>
      </c>
      <c r="H75" s="53">
        <v>45823.0</v>
      </c>
      <c r="I75" s="63">
        <f>IFERROR(__xludf.DUMMYFUNCTION("IF(ISBLANK(H75), TODAY()-TO_DATE(G75), TO_DATE(H75)-TO_DATE(G75))+1"),7.0)</f>
        <v>7</v>
      </c>
      <c r="J75" s="40" t="s">
        <v>197</v>
      </c>
      <c r="K75" s="65" t="s">
        <v>1095</v>
      </c>
      <c r="L75" s="144" t="s">
        <v>1096</v>
      </c>
      <c r="M75" s="72"/>
      <c r="N75" s="29"/>
      <c r="O75" s="29"/>
      <c r="P75" s="29"/>
      <c r="Q75" s="29"/>
      <c r="R75" s="29"/>
      <c r="S75" s="29"/>
      <c r="T75" s="29"/>
      <c r="U75" s="29"/>
      <c r="V75" s="29"/>
      <c r="W75" s="29"/>
      <c r="X75" s="29"/>
      <c r="Y75" s="29"/>
      <c r="Z75" s="29"/>
      <c r="AA75" s="29"/>
      <c r="AB75" s="29"/>
      <c r="AC75" s="29"/>
      <c r="AD75" s="29"/>
      <c r="AE75" s="29"/>
      <c r="AF75" s="29"/>
      <c r="AG75" s="29"/>
    </row>
    <row r="76">
      <c r="A76" s="40" t="s">
        <v>54</v>
      </c>
      <c r="B76" s="40" t="s">
        <v>56</v>
      </c>
      <c r="C76" s="44" t="s">
        <v>201</v>
      </c>
      <c r="D76" s="47" t="s">
        <v>60</v>
      </c>
      <c r="E76" s="40" t="s">
        <v>1102</v>
      </c>
      <c r="F76" s="40" t="s">
        <v>284</v>
      </c>
      <c r="G76" s="50" t="s">
        <v>1047</v>
      </c>
      <c r="H76" s="53">
        <v>45823.0</v>
      </c>
      <c r="I76" s="63">
        <f>IFERROR(__xludf.DUMMYFUNCTION("IF(ISBLANK(H76), TODAY()-TO_DATE(G76), TO_DATE(H76)-TO_DATE(G76))+1"),7.0)</f>
        <v>7</v>
      </c>
      <c r="J76" s="40" t="s">
        <v>197</v>
      </c>
      <c r="K76" s="65" t="s">
        <v>1107</v>
      </c>
      <c r="L76" s="88"/>
      <c r="M76" s="72"/>
      <c r="N76" s="29"/>
      <c r="O76" s="29"/>
      <c r="P76" s="29"/>
      <c r="Q76" s="29"/>
      <c r="R76" s="29"/>
      <c r="S76" s="29"/>
      <c r="T76" s="29"/>
      <c r="U76" s="29"/>
      <c r="V76" s="29"/>
      <c r="W76" s="29"/>
      <c r="X76" s="29"/>
      <c r="Y76" s="29"/>
      <c r="Z76" s="29"/>
      <c r="AA76" s="29"/>
      <c r="AB76" s="29"/>
      <c r="AC76" s="29"/>
      <c r="AD76" s="29"/>
      <c r="AE76" s="29"/>
      <c r="AF76" s="29"/>
      <c r="AG76" s="29"/>
    </row>
    <row r="77">
      <c r="A77" s="40" t="s">
        <v>660</v>
      </c>
      <c r="B77" s="40" t="s">
        <v>661</v>
      </c>
      <c r="C77" s="44" t="s">
        <v>139</v>
      </c>
      <c r="D77" s="47" t="s">
        <v>60</v>
      </c>
      <c r="E77" s="40" t="s">
        <v>1113</v>
      </c>
      <c r="F77" s="40" t="s">
        <v>255</v>
      </c>
      <c r="G77" s="50" t="s">
        <v>1047</v>
      </c>
      <c r="H77" s="53">
        <v>45846.0</v>
      </c>
      <c r="I77" s="63">
        <f>IFERROR(__xludf.DUMMYFUNCTION("IF(ISBLANK(H77), TODAY()-TO_DATE(G77), TO_DATE(H77)-TO_DATE(G77))+1"),30.0)</f>
        <v>30</v>
      </c>
      <c r="J77" s="40">
        <v>500.0</v>
      </c>
      <c r="K77" s="40" t="s">
        <v>1115</v>
      </c>
      <c r="L77" s="88"/>
      <c r="M77" s="72"/>
      <c r="N77" s="29"/>
      <c r="O77" s="29"/>
      <c r="P77" s="29"/>
      <c r="Q77" s="29"/>
      <c r="R77" s="29"/>
      <c r="S77" s="29"/>
      <c r="T77" s="29"/>
      <c r="U77" s="29"/>
      <c r="V77" s="29"/>
      <c r="W77" s="29"/>
      <c r="X77" s="29"/>
      <c r="Y77" s="29"/>
      <c r="Z77" s="29"/>
      <c r="AA77" s="29"/>
      <c r="AB77" s="29"/>
      <c r="AC77" s="29"/>
      <c r="AD77" s="29"/>
      <c r="AE77" s="29"/>
      <c r="AF77" s="29"/>
      <c r="AG77" s="29"/>
    </row>
    <row r="78">
      <c r="A78" s="40" t="s">
        <v>660</v>
      </c>
      <c r="B78" s="40" t="s">
        <v>661</v>
      </c>
      <c r="C78" s="44" t="s">
        <v>228</v>
      </c>
      <c r="D78" s="47" t="s">
        <v>60</v>
      </c>
      <c r="E78" s="40" t="s">
        <v>1121</v>
      </c>
      <c r="F78" s="40" t="s">
        <v>1123</v>
      </c>
      <c r="G78" s="50" t="s">
        <v>1047</v>
      </c>
      <c r="H78" s="53">
        <v>45838.0</v>
      </c>
      <c r="I78" s="63">
        <f>IFERROR(__xludf.DUMMYFUNCTION("IF(ISBLANK(H78), TODAY()-TO_DATE(G78), TO_DATE(H78)-TO_DATE(G78))+1"),22.0)</f>
        <v>22</v>
      </c>
      <c r="J78" s="40">
        <v>500.0</v>
      </c>
      <c r="K78" s="40" t="s">
        <v>1128</v>
      </c>
      <c r="L78" s="88"/>
      <c r="M78" s="72"/>
      <c r="N78" s="29"/>
      <c r="O78" s="29"/>
      <c r="P78" s="29"/>
      <c r="Q78" s="29"/>
      <c r="R78" s="29"/>
      <c r="S78" s="29"/>
      <c r="T78" s="29"/>
      <c r="U78" s="29"/>
      <c r="V78" s="29"/>
      <c r="W78" s="29"/>
      <c r="X78" s="29"/>
      <c r="Y78" s="29"/>
      <c r="Z78" s="29"/>
      <c r="AA78" s="29"/>
      <c r="AB78" s="29"/>
      <c r="AC78" s="29"/>
      <c r="AD78" s="29"/>
      <c r="AE78" s="29"/>
      <c r="AF78" s="29"/>
      <c r="AG78" s="29"/>
    </row>
    <row r="79">
      <c r="A79" s="40" t="s">
        <v>660</v>
      </c>
      <c r="B79" s="40" t="s">
        <v>661</v>
      </c>
      <c r="C79" s="44" t="s">
        <v>201</v>
      </c>
      <c r="D79" s="47" t="s">
        <v>60</v>
      </c>
      <c r="E79" s="40" t="s">
        <v>1133</v>
      </c>
      <c r="F79" s="40" t="s">
        <v>1134</v>
      </c>
      <c r="G79" s="50" t="s">
        <v>1047</v>
      </c>
      <c r="H79" s="53">
        <v>45835.0</v>
      </c>
      <c r="I79" s="63">
        <f>IFERROR(__xludf.DUMMYFUNCTION("IF(ISBLANK(H79), TODAY()-TO_DATE(G79), TO_DATE(H79)-TO_DATE(G79))+1"),19.0)</f>
        <v>19</v>
      </c>
      <c r="J79" s="40">
        <v>500.0</v>
      </c>
      <c r="K79" s="72"/>
      <c r="L79" s="88"/>
      <c r="M79" s="72"/>
      <c r="N79" s="29"/>
      <c r="O79" s="29"/>
      <c r="P79" s="29"/>
      <c r="Q79" s="29"/>
      <c r="R79" s="29"/>
      <c r="S79" s="29"/>
      <c r="T79" s="29"/>
      <c r="U79" s="29"/>
      <c r="V79" s="29"/>
      <c r="W79" s="29"/>
      <c r="X79" s="29"/>
      <c r="Y79" s="29"/>
      <c r="Z79" s="29"/>
      <c r="AA79" s="29"/>
      <c r="AB79" s="29"/>
      <c r="AC79" s="29"/>
      <c r="AD79" s="29"/>
      <c r="AE79" s="29"/>
      <c r="AF79" s="29"/>
      <c r="AG79" s="29"/>
    </row>
    <row r="80">
      <c r="A80" s="40" t="s">
        <v>660</v>
      </c>
      <c r="B80" s="40" t="s">
        <v>661</v>
      </c>
      <c r="C80" s="44" t="s">
        <v>213</v>
      </c>
      <c r="D80" s="47" t="s">
        <v>60</v>
      </c>
      <c r="E80" s="40" t="s">
        <v>1145</v>
      </c>
      <c r="F80" s="40" t="s">
        <v>1146</v>
      </c>
      <c r="G80" s="50" t="s">
        <v>1047</v>
      </c>
      <c r="H80" s="53">
        <v>45832.0</v>
      </c>
      <c r="I80" s="63">
        <f>IFERROR(__xludf.DUMMYFUNCTION("IF(ISBLANK(H80), TODAY()-TO_DATE(G80), TO_DATE(H80)-TO_DATE(G80))+1"),16.0)</f>
        <v>16</v>
      </c>
      <c r="J80" s="40">
        <v>500.0</v>
      </c>
      <c r="K80" s="40" t="s">
        <v>1152</v>
      </c>
      <c r="L80" s="88"/>
      <c r="M80" s="72"/>
      <c r="N80" s="29"/>
      <c r="O80" s="29"/>
      <c r="P80" s="29"/>
      <c r="Q80" s="29"/>
      <c r="R80" s="29"/>
      <c r="S80" s="29"/>
      <c r="T80" s="29"/>
      <c r="U80" s="29"/>
      <c r="V80" s="29"/>
      <c r="W80" s="29"/>
      <c r="X80" s="29"/>
      <c r="Y80" s="29"/>
      <c r="Z80" s="29"/>
      <c r="AA80" s="29"/>
      <c r="AB80" s="29"/>
      <c r="AC80" s="29"/>
      <c r="AD80" s="29"/>
      <c r="AE80" s="29"/>
      <c r="AF80" s="29"/>
      <c r="AG80" s="29"/>
    </row>
    <row r="81">
      <c r="A81" s="40" t="s">
        <v>660</v>
      </c>
      <c r="B81" s="40" t="s">
        <v>661</v>
      </c>
      <c r="C81" s="44" t="s">
        <v>158</v>
      </c>
      <c r="D81" s="47" t="s">
        <v>60</v>
      </c>
      <c r="E81" s="40" t="s">
        <v>1156</v>
      </c>
      <c r="F81" s="40" t="s">
        <v>1158</v>
      </c>
      <c r="G81" s="50" t="s">
        <v>1047</v>
      </c>
      <c r="H81" s="53">
        <v>45830.0</v>
      </c>
      <c r="I81" s="63">
        <f>IFERROR(__xludf.DUMMYFUNCTION("IF(ISBLANK(H81), TODAY()-TO_DATE(G81), TO_DATE(H81)-TO_DATE(G81))+1"),14.0)</f>
        <v>14</v>
      </c>
      <c r="J81" s="40">
        <v>500.0</v>
      </c>
      <c r="K81" s="40" t="s">
        <v>1166</v>
      </c>
      <c r="L81" s="88"/>
      <c r="M81" s="72"/>
      <c r="N81" s="29"/>
      <c r="O81" s="29"/>
      <c r="P81" s="29"/>
      <c r="Q81" s="29"/>
      <c r="R81" s="29"/>
      <c r="S81" s="29"/>
      <c r="T81" s="29"/>
      <c r="U81" s="29"/>
      <c r="V81" s="29"/>
      <c r="W81" s="29"/>
      <c r="X81" s="29"/>
      <c r="Y81" s="29"/>
      <c r="Z81" s="29"/>
      <c r="AA81" s="29"/>
      <c r="AB81" s="29"/>
      <c r="AC81" s="29"/>
      <c r="AD81" s="29"/>
      <c r="AE81" s="29"/>
      <c r="AF81" s="29"/>
      <c r="AG81" s="29"/>
    </row>
    <row r="82">
      <c r="A82" s="40" t="s">
        <v>660</v>
      </c>
      <c r="B82" s="40" t="s">
        <v>661</v>
      </c>
      <c r="C82" s="44" t="s">
        <v>58</v>
      </c>
      <c r="D82" s="47" t="s">
        <v>60</v>
      </c>
      <c r="E82" s="40" t="s">
        <v>1170</v>
      </c>
      <c r="F82" s="40" t="s">
        <v>485</v>
      </c>
      <c r="G82" s="50" t="s">
        <v>1047</v>
      </c>
      <c r="H82" s="53">
        <v>45830.0</v>
      </c>
      <c r="I82" s="63">
        <f>IFERROR(__xludf.DUMMYFUNCTION("IF(ISBLANK(H82), TODAY()-TO_DATE(G82), TO_DATE(H82)-TO_DATE(G82))+1"),14.0)</f>
        <v>14</v>
      </c>
      <c r="J82" s="40">
        <v>500.0</v>
      </c>
      <c r="K82" s="40" t="s">
        <v>1176</v>
      </c>
      <c r="L82" s="88"/>
      <c r="M82" s="72"/>
      <c r="N82" s="29"/>
      <c r="O82" s="29"/>
      <c r="P82" s="29"/>
      <c r="Q82" s="29"/>
      <c r="R82" s="29"/>
      <c r="S82" s="29"/>
      <c r="T82" s="29"/>
      <c r="U82" s="29"/>
      <c r="V82" s="29"/>
      <c r="W82" s="29"/>
      <c r="X82" s="29"/>
      <c r="Y82" s="29"/>
      <c r="Z82" s="29"/>
      <c r="AA82" s="29"/>
      <c r="AB82" s="29"/>
      <c r="AC82" s="29"/>
      <c r="AD82" s="29"/>
      <c r="AE82" s="29"/>
      <c r="AF82" s="29"/>
      <c r="AG82" s="29"/>
    </row>
    <row r="83">
      <c r="A83" s="40" t="s">
        <v>660</v>
      </c>
      <c r="B83" s="40" t="s">
        <v>661</v>
      </c>
      <c r="C83" s="44" t="s">
        <v>201</v>
      </c>
      <c r="D83" s="47" t="s">
        <v>60</v>
      </c>
      <c r="E83" s="40" t="s">
        <v>1181</v>
      </c>
      <c r="F83" s="40" t="s">
        <v>1183</v>
      </c>
      <c r="G83" s="50" t="s">
        <v>1047</v>
      </c>
      <c r="H83" s="53">
        <v>45830.0</v>
      </c>
      <c r="I83" s="63">
        <f>IFERROR(__xludf.DUMMYFUNCTION("IF(ISBLANK(H83), TODAY()-TO_DATE(G83), TO_DATE(H83)-TO_DATE(G83))+1"),14.0)</f>
        <v>14</v>
      </c>
      <c r="J83" s="40">
        <v>500.0</v>
      </c>
      <c r="K83" s="40" t="s">
        <v>1186</v>
      </c>
      <c r="L83" s="88"/>
      <c r="M83" s="72"/>
      <c r="N83" s="29"/>
      <c r="O83" s="29"/>
      <c r="P83" s="29"/>
      <c r="Q83" s="29"/>
      <c r="R83" s="29"/>
      <c r="S83" s="29"/>
      <c r="T83" s="29"/>
      <c r="U83" s="29"/>
      <c r="V83" s="29"/>
      <c r="W83" s="29"/>
      <c r="X83" s="29"/>
      <c r="Y83" s="29"/>
      <c r="Z83" s="29"/>
      <c r="AA83" s="29"/>
      <c r="AB83" s="29"/>
      <c r="AC83" s="29"/>
      <c r="AD83" s="29"/>
      <c r="AE83" s="29"/>
      <c r="AF83" s="29"/>
      <c r="AG83" s="29"/>
    </row>
    <row r="84">
      <c r="A84" s="40" t="s">
        <v>660</v>
      </c>
      <c r="B84" s="40" t="s">
        <v>661</v>
      </c>
      <c r="C84" s="44" t="s">
        <v>178</v>
      </c>
      <c r="D84" s="47" t="s">
        <v>60</v>
      </c>
      <c r="E84" s="40" t="s">
        <v>1192</v>
      </c>
      <c r="F84" s="40" t="s">
        <v>1193</v>
      </c>
      <c r="G84" s="50" t="s">
        <v>1047</v>
      </c>
      <c r="H84" s="53">
        <v>45828.0</v>
      </c>
      <c r="I84" s="63">
        <f>IFERROR(__xludf.DUMMYFUNCTION("IF(ISBLANK(H84), TODAY()-TO_DATE(G84), TO_DATE(H84)-TO_DATE(G84))+1"),12.0)</f>
        <v>12</v>
      </c>
      <c r="J84" s="40">
        <v>500.0</v>
      </c>
      <c r="K84" s="40" t="s">
        <v>1201</v>
      </c>
      <c r="L84" s="88"/>
      <c r="M84" s="72"/>
      <c r="N84" s="29"/>
      <c r="O84" s="29"/>
      <c r="P84" s="29"/>
      <c r="Q84" s="29"/>
      <c r="R84" s="29"/>
      <c r="S84" s="29"/>
      <c r="T84" s="29"/>
      <c r="U84" s="29"/>
      <c r="V84" s="29"/>
      <c r="W84" s="29"/>
      <c r="X84" s="29"/>
      <c r="Y84" s="29"/>
      <c r="Z84" s="29"/>
      <c r="AA84" s="29"/>
      <c r="AB84" s="29"/>
      <c r="AC84" s="29"/>
      <c r="AD84" s="29"/>
      <c r="AE84" s="29"/>
      <c r="AF84" s="29"/>
      <c r="AG84" s="29"/>
    </row>
    <row r="85">
      <c r="A85" s="40" t="s">
        <v>660</v>
      </c>
      <c r="B85" s="40" t="s">
        <v>661</v>
      </c>
      <c r="C85" s="44" t="s">
        <v>178</v>
      </c>
      <c r="D85" s="47" t="s">
        <v>60</v>
      </c>
      <c r="E85" s="40" t="s">
        <v>1202</v>
      </c>
      <c r="F85" s="40" t="s">
        <v>1203</v>
      </c>
      <c r="G85" s="50" t="s">
        <v>1047</v>
      </c>
      <c r="H85" s="53">
        <v>45819.0</v>
      </c>
      <c r="I85" s="63">
        <f>IFERROR(__xludf.DUMMYFUNCTION("IF(ISBLANK(H85), TODAY()-TO_DATE(G85), TO_DATE(H85)-TO_DATE(G85))+1"),3.0)</f>
        <v>3</v>
      </c>
      <c r="J85" s="40">
        <v>500.0</v>
      </c>
      <c r="K85" s="40" t="s">
        <v>1209</v>
      </c>
      <c r="L85" s="88"/>
      <c r="M85" s="72"/>
      <c r="N85" s="29"/>
      <c r="O85" s="29"/>
      <c r="P85" s="29"/>
      <c r="Q85" s="29"/>
      <c r="R85" s="29"/>
      <c r="S85" s="29"/>
      <c r="T85" s="29"/>
      <c r="U85" s="29"/>
      <c r="V85" s="29"/>
      <c r="W85" s="29"/>
      <c r="X85" s="29"/>
      <c r="Y85" s="29"/>
      <c r="Z85" s="29"/>
      <c r="AA85" s="29"/>
      <c r="AB85" s="29"/>
      <c r="AC85" s="29"/>
      <c r="AD85" s="29"/>
      <c r="AE85" s="29"/>
      <c r="AF85" s="29"/>
      <c r="AG85" s="29"/>
    </row>
    <row r="86">
      <c r="A86" s="40" t="s">
        <v>660</v>
      </c>
      <c r="B86" s="40" t="s">
        <v>661</v>
      </c>
      <c r="C86" s="44" t="s">
        <v>158</v>
      </c>
      <c r="D86" s="47" t="s">
        <v>60</v>
      </c>
      <c r="E86" s="40" t="s">
        <v>1215</v>
      </c>
      <c r="F86" s="40" t="s">
        <v>1217</v>
      </c>
      <c r="G86" s="50" t="s">
        <v>1047</v>
      </c>
      <c r="H86" s="53">
        <v>45819.0</v>
      </c>
      <c r="I86" s="63">
        <f>IFERROR(__xludf.DUMMYFUNCTION("IF(ISBLANK(H86), TODAY()-TO_DATE(G86), TO_DATE(H86)-TO_DATE(G86))+1"),3.0)</f>
        <v>3</v>
      </c>
      <c r="J86" s="40">
        <v>500.0</v>
      </c>
      <c r="K86" s="40" t="s">
        <v>1223</v>
      </c>
      <c r="L86" s="88"/>
      <c r="M86" s="72"/>
      <c r="N86" s="29"/>
      <c r="O86" s="29"/>
      <c r="P86" s="29"/>
      <c r="Q86" s="29"/>
      <c r="R86" s="29"/>
      <c r="S86" s="29"/>
      <c r="T86" s="29"/>
      <c r="U86" s="29"/>
      <c r="V86" s="29"/>
      <c r="W86" s="29"/>
      <c r="X86" s="29"/>
      <c r="Y86" s="29"/>
      <c r="Z86" s="29"/>
      <c r="AA86" s="29"/>
      <c r="AB86" s="29"/>
      <c r="AC86" s="29"/>
      <c r="AD86" s="29"/>
      <c r="AE86" s="29"/>
      <c r="AF86" s="29"/>
      <c r="AG86" s="29"/>
    </row>
    <row r="87">
      <c r="A87" s="40" t="s">
        <v>660</v>
      </c>
      <c r="B87" s="40" t="s">
        <v>661</v>
      </c>
      <c r="C87" s="44" t="s">
        <v>187</v>
      </c>
      <c r="D87" s="47" t="s">
        <v>60</v>
      </c>
      <c r="E87" s="40" t="s">
        <v>1230</v>
      </c>
      <c r="F87" s="40" t="s">
        <v>1232</v>
      </c>
      <c r="G87" s="50" t="s">
        <v>1047</v>
      </c>
      <c r="H87" s="53">
        <v>45818.0</v>
      </c>
      <c r="I87" s="63">
        <f>IFERROR(__xludf.DUMMYFUNCTION("IF(ISBLANK(H87), TODAY()-TO_DATE(G87), TO_DATE(H87)-TO_DATE(G87))+1"),2.0)</f>
        <v>2</v>
      </c>
      <c r="J87" s="40">
        <v>500.0</v>
      </c>
      <c r="K87" s="40" t="s">
        <v>1233</v>
      </c>
      <c r="L87" s="88"/>
      <c r="M87" s="72"/>
      <c r="N87" s="29"/>
      <c r="O87" s="29"/>
      <c r="P87" s="29"/>
      <c r="Q87" s="29"/>
      <c r="R87" s="29"/>
      <c r="S87" s="29"/>
      <c r="T87" s="29"/>
      <c r="U87" s="29"/>
      <c r="V87" s="29"/>
      <c r="W87" s="29"/>
      <c r="X87" s="29"/>
      <c r="Y87" s="29"/>
      <c r="Z87" s="29"/>
      <c r="AA87" s="29"/>
      <c r="AB87" s="29"/>
      <c r="AC87" s="29"/>
      <c r="AD87" s="29"/>
      <c r="AE87" s="29"/>
      <c r="AF87" s="29"/>
      <c r="AG87" s="29"/>
    </row>
    <row r="88">
      <c r="A88" s="40" t="s">
        <v>660</v>
      </c>
      <c r="B88" s="40" t="s">
        <v>661</v>
      </c>
      <c r="C88" s="44" t="s">
        <v>158</v>
      </c>
      <c r="D88" s="47" t="s">
        <v>60</v>
      </c>
      <c r="E88" s="40" t="s">
        <v>1239</v>
      </c>
      <c r="F88" s="40" t="s">
        <v>1240</v>
      </c>
      <c r="G88" s="50" t="s">
        <v>1047</v>
      </c>
      <c r="H88" s="53">
        <v>45818.0</v>
      </c>
      <c r="I88" s="63">
        <f>IFERROR(__xludf.DUMMYFUNCTION("IF(ISBLANK(H88), TODAY()-TO_DATE(G88), TO_DATE(H88)-TO_DATE(G88))+1"),2.0)</f>
        <v>2</v>
      </c>
      <c r="J88" s="40">
        <v>500.0</v>
      </c>
      <c r="K88" s="40" t="s">
        <v>1246</v>
      </c>
      <c r="L88" s="88"/>
      <c r="M88" s="72"/>
      <c r="N88" s="29"/>
      <c r="O88" s="29"/>
      <c r="P88" s="29"/>
      <c r="Q88" s="29"/>
      <c r="R88" s="29"/>
      <c r="S88" s="29"/>
      <c r="T88" s="29"/>
      <c r="U88" s="29"/>
      <c r="V88" s="29"/>
      <c r="W88" s="29"/>
      <c r="X88" s="29"/>
      <c r="Y88" s="29"/>
      <c r="Z88" s="29"/>
      <c r="AA88" s="29"/>
      <c r="AB88" s="29"/>
      <c r="AC88" s="29"/>
      <c r="AD88" s="29"/>
      <c r="AE88" s="29"/>
      <c r="AF88" s="29"/>
      <c r="AG88" s="29"/>
    </row>
    <row r="89">
      <c r="A89" s="40" t="s">
        <v>660</v>
      </c>
      <c r="B89" s="40" t="s">
        <v>661</v>
      </c>
      <c r="C89" s="44" t="s">
        <v>201</v>
      </c>
      <c r="D89" s="47" t="s">
        <v>60</v>
      </c>
      <c r="E89" s="40" t="s">
        <v>1252</v>
      </c>
      <c r="F89" s="40" t="s">
        <v>1253</v>
      </c>
      <c r="G89" s="50" t="s">
        <v>1047</v>
      </c>
      <c r="H89" s="53">
        <v>45818.0</v>
      </c>
      <c r="I89" s="63">
        <f>IFERROR(__xludf.DUMMYFUNCTION("IF(ISBLANK(H89), TODAY()-TO_DATE(G89), TO_DATE(H89)-TO_DATE(G89))+1"),2.0)</f>
        <v>2</v>
      </c>
      <c r="J89" s="40">
        <v>500.0</v>
      </c>
      <c r="K89" s="40" t="s">
        <v>1256</v>
      </c>
      <c r="L89" s="88"/>
      <c r="M89" s="72"/>
      <c r="N89" s="29"/>
      <c r="O89" s="29"/>
      <c r="P89" s="29"/>
      <c r="Q89" s="29"/>
      <c r="R89" s="29"/>
      <c r="S89" s="29"/>
      <c r="T89" s="29"/>
      <c r="U89" s="29"/>
      <c r="V89" s="29"/>
      <c r="W89" s="29"/>
      <c r="X89" s="29"/>
      <c r="Y89" s="29"/>
      <c r="Z89" s="29"/>
      <c r="AA89" s="29"/>
      <c r="AB89" s="29"/>
      <c r="AC89" s="29"/>
      <c r="AD89" s="29"/>
      <c r="AE89" s="29"/>
      <c r="AF89" s="29"/>
      <c r="AG89" s="29"/>
    </row>
    <row r="90">
      <c r="A90" s="40" t="s">
        <v>660</v>
      </c>
      <c r="B90" s="40" t="s">
        <v>661</v>
      </c>
      <c r="C90" s="44" t="s">
        <v>158</v>
      </c>
      <c r="D90" s="47" t="s">
        <v>60</v>
      </c>
      <c r="E90" s="40" t="s">
        <v>1259</v>
      </c>
      <c r="F90" s="40" t="s">
        <v>1261</v>
      </c>
      <c r="G90" s="50" t="s">
        <v>1047</v>
      </c>
      <c r="H90" s="53">
        <v>45817.0</v>
      </c>
      <c r="I90" s="63">
        <f>IFERROR(__xludf.DUMMYFUNCTION("IF(ISBLANK(H90), TODAY()-TO_DATE(G90), TO_DATE(H90)-TO_DATE(G90))+1"),1.0)</f>
        <v>1</v>
      </c>
      <c r="J90" s="40">
        <v>500.0</v>
      </c>
      <c r="K90" s="40" t="s">
        <v>1267</v>
      </c>
      <c r="L90" s="88"/>
      <c r="M90" s="72"/>
      <c r="N90" s="29"/>
      <c r="O90" s="29"/>
      <c r="P90" s="29"/>
      <c r="Q90" s="29"/>
      <c r="R90" s="29"/>
      <c r="S90" s="29"/>
      <c r="T90" s="29"/>
      <c r="U90" s="29"/>
      <c r="V90" s="29"/>
      <c r="W90" s="29"/>
      <c r="X90" s="29"/>
      <c r="Y90" s="29"/>
      <c r="Z90" s="29"/>
      <c r="AA90" s="29"/>
      <c r="AB90" s="29"/>
      <c r="AC90" s="29"/>
      <c r="AD90" s="29"/>
      <c r="AE90" s="29"/>
      <c r="AF90" s="29"/>
      <c r="AG90" s="29"/>
    </row>
    <row r="91">
      <c r="A91" s="40" t="s">
        <v>660</v>
      </c>
      <c r="B91" s="40" t="s">
        <v>661</v>
      </c>
      <c r="C91" s="44" t="s">
        <v>213</v>
      </c>
      <c r="D91" s="47" t="s">
        <v>60</v>
      </c>
      <c r="E91" s="40" t="s">
        <v>1273</v>
      </c>
      <c r="F91" s="40" t="s">
        <v>1274</v>
      </c>
      <c r="G91" s="50" t="s">
        <v>1047</v>
      </c>
      <c r="H91" s="53">
        <v>45817.0</v>
      </c>
      <c r="I91" s="63">
        <f>IFERROR(__xludf.DUMMYFUNCTION("IF(ISBLANK(H91), TODAY()-TO_DATE(G91), TO_DATE(H91)-TO_DATE(G91))+1"),1.0)</f>
        <v>1</v>
      </c>
      <c r="J91" s="40">
        <v>500.0</v>
      </c>
      <c r="K91" s="40" t="s">
        <v>1278</v>
      </c>
      <c r="L91" s="88"/>
      <c r="M91" s="72"/>
      <c r="N91" s="29"/>
      <c r="O91" s="29"/>
      <c r="P91" s="29"/>
      <c r="Q91" s="29"/>
      <c r="R91" s="29"/>
      <c r="S91" s="29"/>
      <c r="T91" s="29"/>
      <c r="U91" s="29"/>
      <c r="V91" s="29"/>
      <c r="W91" s="29"/>
      <c r="X91" s="29"/>
      <c r="Y91" s="29"/>
      <c r="Z91" s="29"/>
      <c r="AA91" s="29"/>
      <c r="AB91" s="29"/>
      <c r="AC91" s="29"/>
      <c r="AD91" s="29"/>
      <c r="AE91" s="29"/>
      <c r="AF91" s="29"/>
      <c r="AG91" s="29"/>
    </row>
    <row r="92">
      <c r="A92" s="40" t="s">
        <v>660</v>
      </c>
      <c r="B92" s="40" t="s">
        <v>661</v>
      </c>
      <c r="C92" s="44" t="s">
        <v>58</v>
      </c>
      <c r="D92" s="47" t="s">
        <v>60</v>
      </c>
      <c r="E92" s="40" t="s">
        <v>1282</v>
      </c>
      <c r="F92" s="40" t="s">
        <v>1283</v>
      </c>
      <c r="G92" s="50" t="s">
        <v>1047</v>
      </c>
      <c r="H92" s="53">
        <v>45819.0</v>
      </c>
      <c r="I92" s="63">
        <f>IFERROR(__xludf.DUMMYFUNCTION("IF(ISBLANK(H92), TODAY()-TO_DATE(G92), TO_DATE(H92)-TO_DATE(G92))+1"),3.0)</f>
        <v>3</v>
      </c>
      <c r="J92" s="40">
        <v>300.0</v>
      </c>
      <c r="K92" s="40" t="s">
        <v>1289</v>
      </c>
      <c r="L92" s="88"/>
      <c r="M92" s="72"/>
      <c r="N92" s="29"/>
      <c r="O92" s="29"/>
      <c r="P92" s="29"/>
      <c r="Q92" s="29"/>
      <c r="R92" s="29"/>
      <c r="S92" s="29"/>
      <c r="T92" s="29"/>
      <c r="U92" s="29"/>
      <c r="V92" s="29"/>
      <c r="W92" s="29"/>
      <c r="X92" s="29"/>
      <c r="Y92" s="29"/>
      <c r="Z92" s="29"/>
      <c r="AA92" s="29"/>
      <c r="AB92" s="29"/>
      <c r="AC92" s="29"/>
      <c r="AD92" s="29"/>
      <c r="AE92" s="29"/>
      <c r="AF92" s="29"/>
      <c r="AG92" s="29"/>
    </row>
    <row r="93">
      <c r="A93" s="40" t="s">
        <v>660</v>
      </c>
      <c r="B93" s="40" t="s">
        <v>661</v>
      </c>
      <c r="C93" s="44" t="s">
        <v>228</v>
      </c>
      <c r="D93" s="47" t="s">
        <v>60</v>
      </c>
      <c r="E93" s="40" t="s">
        <v>1292</v>
      </c>
      <c r="F93" s="40" t="s">
        <v>1293</v>
      </c>
      <c r="G93" s="50" t="s">
        <v>1047</v>
      </c>
      <c r="H93" s="53">
        <v>45827.0</v>
      </c>
      <c r="I93" s="63">
        <f>IFERROR(__xludf.DUMMYFUNCTION("IF(ISBLANK(H93), TODAY()-TO_DATE(G93), TO_DATE(H93)-TO_DATE(G93))+1"),11.0)</f>
        <v>11</v>
      </c>
      <c r="J93" s="40">
        <v>300.0</v>
      </c>
      <c r="K93" s="40" t="s">
        <v>1296</v>
      </c>
      <c r="L93" s="88"/>
      <c r="M93" s="72"/>
      <c r="N93" s="29"/>
      <c r="O93" s="29"/>
      <c r="P93" s="29"/>
      <c r="Q93" s="29"/>
      <c r="R93" s="29"/>
      <c r="S93" s="29"/>
      <c r="T93" s="29"/>
      <c r="U93" s="29"/>
      <c r="V93" s="29"/>
      <c r="W93" s="29"/>
      <c r="X93" s="29"/>
      <c r="Y93" s="29"/>
      <c r="Z93" s="29"/>
      <c r="AA93" s="29"/>
      <c r="AB93" s="29"/>
      <c r="AC93" s="29"/>
      <c r="AD93" s="29"/>
      <c r="AE93" s="29"/>
      <c r="AF93" s="29"/>
      <c r="AG93" s="29"/>
    </row>
    <row r="94">
      <c r="A94" s="40" t="s">
        <v>660</v>
      </c>
      <c r="B94" s="40" t="s">
        <v>661</v>
      </c>
      <c r="C94" s="44" t="s">
        <v>1195</v>
      </c>
      <c r="D94" s="47" t="s">
        <v>60</v>
      </c>
      <c r="E94" s="40" t="s">
        <v>1301</v>
      </c>
      <c r="F94" s="40" t="s">
        <v>203</v>
      </c>
      <c r="G94" s="50" t="s">
        <v>1047</v>
      </c>
      <c r="H94" s="53">
        <v>45820.0</v>
      </c>
      <c r="I94" s="63">
        <f>IFERROR(__xludf.DUMMYFUNCTION("IF(ISBLANK(H94), TODAY()-TO_DATE(G94), TO_DATE(H94)-TO_DATE(G94))+1"),4.0)</f>
        <v>4</v>
      </c>
      <c r="J94" s="40">
        <v>300.0</v>
      </c>
      <c r="K94" s="40" t="s">
        <v>1304</v>
      </c>
      <c r="L94" s="88"/>
      <c r="M94" s="72"/>
      <c r="N94" s="29"/>
      <c r="O94" s="29"/>
      <c r="P94" s="29"/>
      <c r="Q94" s="29"/>
      <c r="R94" s="29"/>
      <c r="S94" s="29"/>
      <c r="T94" s="29"/>
      <c r="U94" s="29"/>
      <c r="V94" s="29"/>
      <c r="W94" s="29"/>
      <c r="X94" s="29"/>
      <c r="Y94" s="29"/>
      <c r="Z94" s="29"/>
      <c r="AA94" s="29"/>
      <c r="AB94" s="29"/>
      <c r="AC94" s="29"/>
      <c r="AD94" s="29"/>
      <c r="AE94" s="29"/>
      <c r="AF94" s="29"/>
      <c r="AG94" s="29"/>
    </row>
    <row r="95">
      <c r="A95" s="40" t="s">
        <v>660</v>
      </c>
      <c r="B95" s="40" t="s">
        <v>661</v>
      </c>
      <c r="C95" s="44" t="s">
        <v>119</v>
      </c>
      <c r="D95" s="47" t="s">
        <v>60</v>
      </c>
      <c r="E95" s="40" t="s">
        <v>1103</v>
      </c>
      <c r="F95" s="40" t="s">
        <v>1104</v>
      </c>
      <c r="G95" s="50" t="s">
        <v>1047</v>
      </c>
      <c r="H95" s="53">
        <v>45824.0</v>
      </c>
      <c r="I95" s="63">
        <f>IFERROR(__xludf.DUMMYFUNCTION("IF(ISBLANK(H95), TODAY()-TO_DATE(G95), TO_DATE(H95)-TO_DATE(G95))+1"),8.0)</f>
        <v>8</v>
      </c>
      <c r="J95" s="40" t="s">
        <v>197</v>
      </c>
      <c r="K95" s="40" t="s">
        <v>1310</v>
      </c>
      <c r="L95" s="88"/>
      <c r="M95" s="72"/>
      <c r="N95" s="29"/>
      <c r="O95" s="29"/>
      <c r="P95" s="29"/>
      <c r="Q95" s="29"/>
      <c r="R95" s="29"/>
      <c r="S95" s="29"/>
      <c r="T95" s="29"/>
      <c r="U95" s="29"/>
      <c r="V95" s="29"/>
      <c r="W95" s="29"/>
      <c r="X95" s="29"/>
      <c r="Y95" s="29"/>
      <c r="Z95" s="29"/>
      <c r="AA95" s="29"/>
      <c r="AB95" s="29"/>
      <c r="AC95" s="29"/>
      <c r="AD95" s="29"/>
      <c r="AE95" s="29"/>
      <c r="AF95" s="29"/>
      <c r="AG95" s="29"/>
    </row>
    <row r="96">
      <c r="A96" s="40" t="s">
        <v>1315</v>
      </c>
      <c r="B96" s="40" t="s">
        <v>661</v>
      </c>
      <c r="C96" s="44" t="s">
        <v>187</v>
      </c>
      <c r="D96" s="47" t="s">
        <v>60</v>
      </c>
      <c r="E96" s="40" t="s">
        <v>1316</v>
      </c>
      <c r="F96" s="40" t="s">
        <v>223</v>
      </c>
      <c r="G96" s="50" t="s">
        <v>1318</v>
      </c>
      <c r="H96" s="53">
        <v>45831.0</v>
      </c>
      <c r="I96" s="63">
        <f>IFERROR(__xludf.DUMMYFUNCTION("IF(ISBLANK(H96), TODAY()-TO_DATE(G96), TO_DATE(H96)-TO_DATE(G96))+1"),14.0)</f>
        <v>14</v>
      </c>
      <c r="J96" s="40">
        <v>300.0</v>
      </c>
      <c r="K96" s="40" t="s">
        <v>1322</v>
      </c>
      <c r="L96" s="88"/>
      <c r="M96" s="72"/>
      <c r="N96" s="29"/>
      <c r="O96" s="29"/>
      <c r="P96" s="29"/>
      <c r="Q96" s="29"/>
      <c r="R96" s="29"/>
      <c r="S96" s="29"/>
      <c r="T96" s="29"/>
      <c r="U96" s="29"/>
      <c r="V96" s="29"/>
      <c r="W96" s="29"/>
      <c r="X96" s="29"/>
      <c r="Y96" s="29"/>
      <c r="Z96" s="29"/>
      <c r="AA96" s="29"/>
      <c r="AB96" s="29"/>
      <c r="AC96" s="29"/>
      <c r="AD96" s="29"/>
      <c r="AE96" s="29"/>
      <c r="AF96" s="29"/>
      <c r="AG96" s="29"/>
    </row>
    <row r="97">
      <c r="A97" s="40" t="s">
        <v>1315</v>
      </c>
      <c r="B97" s="40" t="s">
        <v>661</v>
      </c>
      <c r="C97" s="44" t="s">
        <v>139</v>
      </c>
      <c r="D97" s="47" t="s">
        <v>60</v>
      </c>
      <c r="E97" s="40" t="s">
        <v>1326</v>
      </c>
      <c r="F97" s="40" t="s">
        <v>1328</v>
      </c>
      <c r="G97" s="50" t="s">
        <v>1318</v>
      </c>
      <c r="H97" s="53">
        <v>45828.0</v>
      </c>
      <c r="I97" s="63">
        <f>IFERROR(__xludf.DUMMYFUNCTION("IF(ISBLANK(H97), TODAY()-TO_DATE(G97), TO_DATE(H97)-TO_DATE(G97))+1"),11.0)</f>
        <v>11</v>
      </c>
      <c r="J97" s="40">
        <v>300.0</v>
      </c>
      <c r="K97" s="40" t="s">
        <v>1332</v>
      </c>
      <c r="L97" s="88"/>
      <c r="M97" s="72"/>
      <c r="N97" s="29"/>
      <c r="O97" s="29"/>
      <c r="P97" s="29"/>
      <c r="Q97" s="29"/>
      <c r="R97" s="29"/>
      <c r="S97" s="29"/>
      <c r="T97" s="29"/>
      <c r="U97" s="29"/>
      <c r="V97" s="29"/>
      <c r="W97" s="29"/>
      <c r="X97" s="29"/>
      <c r="Y97" s="29"/>
      <c r="Z97" s="29"/>
      <c r="AA97" s="29"/>
      <c r="AB97" s="29"/>
      <c r="AC97" s="29"/>
      <c r="AD97" s="29"/>
      <c r="AE97" s="29"/>
      <c r="AF97" s="29"/>
      <c r="AG97" s="29"/>
    </row>
    <row r="98">
      <c r="A98" s="40" t="s">
        <v>660</v>
      </c>
      <c r="B98" s="40" t="s">
        <v>661</v>
      </c>
      <c r="C98" s="44" t="s">
        <v>295</v>
      </c>
      <c r="D98" s="47" t="s">
        <v>60</v>
      </c>
      <c r="E98" s="40" t="s">
        <v>1338</v>
      </c>
      <c r="F98" s="40" t="s">
        <v>1339</v>
      </c>
      <c r="G98" s="50" t="s">
        <v>1318</v>
      </c>
      <c r="H98" s="53">
        <v>45820.0</v>
      </c>
      <c r="I98" s="63">
        <f>IFERROR(__xludf.DUMMYFUNCTION("IF(ISBLANK(H98), TODAY()-TO_DATE(G98), TO_DATE(H98)-TO_DATE(G98))+1"),3.0)</f>
        <v>3</v>
      </c>
      <c r="J98" s="40">
        <v>500.0</v>
      </c>
      <c r="K98" s="40" t="s">
        <v>1342</v>
      </c>
      <c r="L98" s="88"/>
      <c r="M98" s="72"/>
      <c r="N98" s="29"/>
      <c r="O98" s="29"/>
      <c r="P98" s="29"/>
      <c r="Q98" s="29"/>
      <c r="R98" s="29"/>
      <c r="S98" s="29"/>
      <c r="T98" s="29"/>
      <c r="U98" s="29"/>
      <c r="V98" s="29"/>
      <c r="W98" s="29"/>
      <c r="X98" s="29"/>
      <c r="Y98" s="29"/>
      <c r="Z98" s="29"/>
      <c r="AA98" s="29"/>
      <c r="AB98" s="29"/>
      <c r="AC98" s="29"/>
      <c r="AD98" s="29"/>
      <c r="AE98" s="29"/>
      <c r="AF98" s="29"/>
      <c r="AG98" s="29"/>
    </row>
    <row r="99">
      <c r="A99" s="40" t="s">
        <v>660</v>
      </c>
      <c r="B99" s="40" t="s">
        <v>661</v>
      </c>
      <c r="C99" s="44" t="s">
        <v>213</v>
      </c>
      <c r="D99" s="47" t="s">
        <v>60</v>
      </c>
      <c r="E99" s="40" t="s">
        <v>1347</v>
      </c>
      <c r="F99" s="40" t="s">
        <v>1143</v>
      </c>
      <c r="G99" s="50" t="s">
        <v>1318</v>
      </c>
      <c r="H99" s="53">
        <v>45820.0</v>
      </c>
      <c r="I99" s="63">
        <f>IFERROR(__xludf.DUMMYFUNCTION("IF(ISBLANK(H99), TODAY()-TO_DATE(G99), TO_DATE(H99)-TO_DATE(G99))+1"),3.0)</f>
        <v>3</v>
      </c>
      <c r="J99" s="40">
        <v>500.0</v>
      </c>
      <c r="K99" s="40" t="s">
        <v>1349</v>
      </c>
      <c r="L99" s="88"/>
      <c r="M99" s="72"/>
      <c r="N99" s="29"/>
      <c r="O99" s="29"/>
      <c r="P99" s="29"/>
      <c r="Q99" s="29"/>
      <c r="R99" s="29"/>
      <c r="S99" s="29"/>
      <c r="T99" s="29"/>
      <c r="U99" s="29"/>
      <c r="V99" s="29"/>
      <c r="W99" s="29"/>
      <c r="X99" s="29"/>
      <c r="Y99" s="29"/>
      <c r="Z99" s="29"/>
      <c r="AA99" s="29"/>
      <c r="AB99" s="29"/>
      <c r="AC99" s="29"/>
      <c r="AD99" s="29"/>
      <c r="AE99" s="29"/>
      <c r="AF99" s="29"/>
      <c r="AG99" s="29"/>
    </row>
    <row r="100">
      <c r="A100" s="40" t="s">
        <v>660</v>
      </c>
      <c r="B100" s="40" t="s">
        <v>661</v>
      </c>
      <c r="C100" s="44" t="s">
        <v>58</v>
      </c>
      <c r="D100" s="47" t="s">
        <v>60</v>
      </c>
      <c r="E100" s="40" t="s">
        <v>1353</v>
      </c>
      <c r="F100" s="40" t="s">
        <v>1354</v>
      </c>
      <c r="G100" s="50" t="s">
        <v>1318</v>
      </c>
      <c r="H100" s="53">
        <v>45820.0</v>
      </c>
      <c r="I100" s="63">
        <f>IFERROR(__xludf.DUMMYFUNCTION("IF(ISBLANK(H100), TODAY()-TO_DATE(G100), TO_DATE(H100)-TO_DATE(G100))+1"),3.0)</f>
        <v>3</v>
      </c>
      <c r="J100" s="40">
        <v>500.0</v>
      </c>
      <c r="K100" s="40" t="s">
        <v>1357</v>
      </c>
      <c r="L100" s="88"/>
      <c r="M100" s="72"/>
      <c r="N100" s="29"/>
      <c r="O100" s="29"/>
      <c r="P100" s="29"/>
      <c r="Q100" s="29"/>
      <c r="R100" s="29"/>
      <c r="S100" s="29"/>
      <c r="T100" s="29"/>
      <c r="U100" s="29"/>
      <c r="V100" s="29"/>
      <c r="W100" s="29"/>
      <c r="X100" s="29"/>
      <c r="Y100" s="29"/>
      <c r="Z100" s="29"/>
      <c r="AA100" s="29"/>
      <c r="AB100" s="29"/>
      <c r="AC100" s="29"/>
      <c r="AD100" s="29"/>
      <c r="AE100" s="29"/>
      <c r="AF100" s="29"/>
      <c r="AG100" s="29"/>
    </row>
    <row r="101">
      <c r="A101" s="40" t="s">
        <v>660</v>
      </c>
      <c r="B101" s="40" t="s">
        <v>661</v>
      </c>
      <c r="C101" s="44" t="s">
        <v>187</v>
      </c>
      <c r="D101" s="47" t="s">
        <v>60</v>
      </c>
      <c r="E101" s="40" t="s">
        <v>1364</v>
      </c>
      <c r="F101" s="40" t="s">
        <v>1366</v>
      </c>
      <c r="G101" s="50" t="s">
        <v>1318</v>
      </c>
      <c r="H101" s="53">
        <v>45820.0</v>
      </c>
      <c r="I101" s="63">
        <f>IFERROR(__xludf.DUMMYFUNCTION("IF(ISBLANK(H101), TODAY()-TO_DATE(G101), TO_DATE(H101)-TO_DATE(G101))+1"),3.0)</f>
        <v>3</v>
      </c>
      <c r="J101" s="40">
        <v>500.0</v>
      </c>
      <c r="K101" s="40" t="s">
        <v>1372</v>
      </c>
      <c r="L101" s="88"/>
      <c r="M101" s="72"/>
      <c r="N101" s="29"/>
      <c r="O101" s="29"/>
      <c r="P101" s="29"/>
      <c r="Q101" s="29"/>
      <c r="R101" s="29"/>
      <c r="S101" s="29"/>
      <c r="T101" s="29"/>
      <c r="U101" s="29"/>
      <c r="V101" s="29"/>
      <c r="W101" s="29"/>
      <c r="X101" s="29"/>
      <c r="Y101" s="29"/>
      <c r="Z101" s="29"/>
      <c r="AA101" s="29"/>
      <c r="AB101" s="29"/>
      <c r="AC101" s="29"/>
      <c r="AD101" s="29"/>
      <c r="AE101" s="29"/>
      <c r="AF101" s="29"/>
      <c r="AG101" s="29"/>
    </row>
    <row r="102">
      <c r="A102" s="40" t="s">
        <v>660</v>
      </c>
      <c r="B102" s="40" t="s">
        <v>661</v>
      </c>
      <c r="C102" s="44" t="s">
        <v>213</v>
      </c>
      <c r="D102" s="47" t="s">
        <v>60</v>
      </c>
      <c r="E102" s="40" t="s">
        <v>1377</v>
      </c>
      <c r="F102" s="40" t="s">
        <v>1378</v>
      </c>
      <c r="G102" s="50" t="s">
        <v>1318</v>
      </c>
      <c r="H102" s="53">
        <v>45819.0</v>
      </c>
      <c r="I102" s="63">
        <f>IFERROR(__xludf.DUMMYFUNCTION("IF(ISBLANK(H102), TODAY()-TO_DATE(G102), TO_DATE(H102)-TO_DATE(G102))+1"),2.0)</f>
        <v>2</v>
      </c>
      <c r="J102" s="40">
        <v>300.0</v>
      </c>
      <c r="K102" s="40" t="s">
        <v>1380</v>
      </c>
      <c r="L102" s="88"/>
      <c r="M102" s="72"/>
      <c r="N102" s="29"/>
      <c r="O102" s="29"/>
      <c r="P102" s="29"/>
      <c r="Q102" s="29"/>
      <c r="R102" s="29"/>
      <c r="S102" s="29"/>
      <c r="T102" s="29"/>
      <c r="U102" s="29"/>
      <c r="V102" s="29"/>
      <c r="W102" s="29"/>
      <c r="X102" s="29"/>
      <c r="Y102" s="29"/>
      <c r="Z102" s="29"/>
      <c r="AA102" s="29"/>
      <c r="AB102" s="29"/>
      <c r="AC102" s="29"/>
      <c r="AD102" s="29"/>
      <c r="AE102" s="29"/>
      <c r="AF102" s="29"/>
      <c r="AG102" s="29"/>
    </row>
    <row r="103">
      <c r="A103" s="40" t="s">
        <v>660</v>
      </c>
      <c r="B103" s="40" t="s">
        <v>661</v>
      </c>
      <c r="C103" s="44" t="s">
        <v>287</v>
      </c>
      <c r="D103" s="47" t="s">
        <v>60</v>
      </c>
      <c r="E103" s="40" t="s">
        <v>1383</v>
      </c>
      <c r="F103" s="40" t="s">
        <v>1384</v>
      </c>
      <c r="G103" s="50" t="s">
        <v>1318</v>
      </c>
      <c r="H103" s="53">
        <v>45821.0</v>
      </c>
      <c r="I103" s="63">
        <f>IFERROR(__xludf.DUMMYFUNCTION("IF(ISBLANK(H103), TODAY()-TO_DATE(G103), TO_DATE(H103)-TO_DATE(G103))+1"),4.0)</f>
        <v>4</v>
      </c>
      <c r="J103" s="40">
        <v>300.0</v>
      </c>
      <c r="K103" s="40" t="s">
        <v>1386</v>
      </c>
      <c r="L103" s="88"/>
      <c r="M103" s="72"/>
      <c r="N103" s="29"/>
      <c r="O103" s="29"/>
      <c r="P103" s="29"/>
      <c r="Q103" s="29"/>
      <c r="R103" s="29"/>
      <c r="S103" s="29"/>
      <c r="T103" s="29"/>
      <c r="U103" s="29"/>
      <c r="V103" s="29"/>
      <c r="W103" s="29"/>
      <c r="X103" s="29"/>
      <c r="Y103" s="29"/>
      <c r="Z103" s="29"/>
      <c r="AA103" s="29"/>
      <c r="AB103" s="29"/>
      <c r="AC103" s="29"/>
      <c r="AD103" s="29"/>
      <c r="AE103" s="29"/>
      <c r="AF103" s="29"/>
      <c r="AG103" s="29"/>
    </row>
    <row r="104">
      <c r="A104" s="40" t="s">
        <v>660</v>
      </c>
      <c r="B104" s="40" t="s">
        <v>661</v>
      </c>
      <c r="C104" s="44" t="s">
        <v>139</v>
      </c>
      <c r="D104" s="47" t="s">
        <v>60</v>
      </c>
      <c r="E104" s="40" t="s">
        <v>1390</v>
      </c>
      <c r="F104" s="40" t="s">
        <v>1391</v>
      </c>
      <c r="G104" s="50" t="s">
        <v>1318</v>
      </c>
      <c r="H104" s="53">
        <v>45827.0</v>
      </c>
      <c r="I104" s="63">
        <f>IFERROR(__xludf.DUMMYFUNCTION("IF(ISBLANK(H104), TODAY()-TO_DATE(G104), TO_DATE(H104)-TO_DATE(G104))+1"),10.0)</f>
        <v>10</v>
      </c>
      <c r="J104" s="40">
        <v>300.0</v>
      </c>
      <c r="K104" s="40" t="s">
        <v>1393</v>
      </c>
      <c r="L104" s="88"/>
      <c r="M104" s="72"/>
      <c r="N104" s="29"/>
      <c r="O104" s="29"/>
      <c r="P104" s="29"/>
      <c r="Q104" s="29"/>
      <c r="R104" s="29"/>
      <c r="S104" s="29"/>
      <c r="T104" s="29"/>
      <c r="U104" s="29"/>
      <c r="V104" s="29"/>
      <c r="W104" s="29"/>
      <c r="X104" s="29"/>
      <c r="Y104" s="29"/>
      <c r="Z104" s="29"/>
      <c r="AA104" s="29"/>
      <c r="AB104" s="29"/>
      <c r="AC104" s="29"/>
      <c r="AD104" s="29"/>
      <c r="AE104" s="29"/>
      <c r="AF104" s="29"/>
      <c r="AG104" s="29"/>
    </row>
    <row r="105">
      <c r="A105" s="40" t="s">
        <v>660</v>
      </c>
      <c r="B105" s="40" t="s">
        <v>661</v>
      </c>
      <c r="C105" s="44" t="s">
        <v>58</v>
      </c>
      <c r="D105" s="47" t="s">
        <v>60</v>
      </c>
      <c r="E105" s="40" t="s">
        <v>1397</v>
      </c>
      <c r="F105" s="40" t="s">
        <v>943</v>
      </c>
      <c r="G105" s="50" t="s">
        <v>1398</v>
      </c>
      <c r="H105" s="53">
        <v>45829.0</v>
      </c>
      <c r="I105" s="63">
        <f>IFERROR(__xludf.DUMMYFUNCTION("IF(ISBLANK(H105), TODAY()-TO_DATE(G105), TO_DATE(H105)-TO_DATE(G105))+1"),10.0)</f>
        <v>10</v>
      </c>
      <c r="J105" s="40">
        <v>300.0</v>
      </c>
      <c r="K105" s="40" t="s">
        <v>1401</v>
      </c>
      <c r="L105" s="88"/>
      <c r="M105" s="72"/>
      <c r="N105" s="29"/>
      <c r="O105" s="29"/>
      <c r="P105" s="29"/>
      <c r="Q105" s="29"/>
      <c r="R105" s="29"/>
      <c r="S105" s="29"/>
      <c r="T105" s="29"/>
      <c r="U105" s="29"/>
      <c r="V105" s="29"/>
      <c r="W105" s="29"/>
      <c r="X105" s="29"/>
      <c r="Y105" s="29"/>
      <c r="Z105" s="29"/>
      <c r="AA105" s="29"/>
      <c r="AB105" s="29"/>
      <c r="AC105" s="29"/>
      <c r="AD105" s="29"/>
      <c r="AE105" s="29"/>
      <c r="AF105" s="29"/>
      <c r="AG105" s="29"/>
    </row>
    <row r="106">
      <c r="A106" s="40" t="s">
        <v>660</v>
      </c>
      <c r="B106" s="40" t="s">
        <v>661</v>
      </c>
      <c r="C106" s="44" t="s">
        <v>287</v>
      </c>
      <c r="D106" s="47" t="s">
        <v>60</v>
      </c>
      <c r="E106" s="40" t="s">
        <v>1405</v>
      </c>
      <c r="F106" s="40" t="s">
        <v>1406</v>
      </c>
      <c r="G106" s="50" t="s">
        <v>1398</v>
      </c>
      <c r="H106" s="53">
        <v>45834.0</v>
      </c>
      <c r="I106" s="63">
        <f>IFERROR(__xludf.DUMMYFUNCTION("IF(ISBLANK(H106), TODAY()-TO_DATE(G106), TO_DATE(H106)-TO_DATE(G106))+1"),15.0)</f>
        <v>15</v>
      </c>
      <c r="J106" s="40" t="s">
        <v>197</v>
      </c>
      <c r="K106" s="40" t="s">
        <v>1410</v>
      </c>
      <c r="L106" s="88"/>
      <c r="M106" s="72"/>
      <c r="N106" s="29"/>
      <c r="O106" s="29"/>
      <c r="P106" s="29"/>
      <c r="Q106" s="29"/>
      <c r="R106" s="29"/>
      <c r="S106" s="29"/>
      <c r="T106" s="29"/>
      <c r="U106" s="29"/>
      <c r="V106" s="29"/>
      <c r="W106" s="29"/>
      <c r="X106" s="29"/>
      <c r="Y106" s="29"/>
      <c r="Z106" s="29"/>
      <c r="AA106" s="29"/>
      <c r="AB106" s="29"/>
      <c r="AC106" s="29"/>
      <c r="AD106" s="29"/>
      <c r="AE106" s="29"/>
      <c r="AF106" s="29"/>
      <c r="AG106" s="29"/>
    </row>
    <row r="107">
      <c r="A107" s="40" t="s">
        <v>660</v>
      </c>
      <c r="B107" s="40" t="s">
        <v>661</v>
      </c>
      <c r="C107" s="44" t="s">
        <v>158</v>
      </c>
      <c r="D107" s="47" t="s">
        <v>60</v>
      </c>
      <c r="E107" s="40" t="s">
        <v>1414</v>
      </c>
      <c r="F107" s="40" t="s">
        <v>943</v>
      </c>
      <c r="G107" s="50" t="s">
        <v>1398</v>
      </c>
      <c r="H107" s="53">
        <v>45822.0</v>
      </c>
      <c r="I107" s="63">
        <f>IFERROR(__xludf.DUMMYFUNCTION("IF(ISBLANK(H107), TODAY()-TO_DATE(G107), TO_DATE(H107)-TO_DATE(G107))+1"),3.0)</f>
        <v>3</v>
      </c>
      <c r="J107" s="40">
        <v>300.0</v>
      </c>
      <c r="K107" s="40" t="s">
        <v>1419</v>
      </c>
      <c r="L107" s="69" t="s">
        <v>1420</v>
      </c>
      <c r="M107" s="72"/>
      <c r="N107" s="29"/>
      <c r="O107" s="29"/>
      <c r="P107" s="29"/>
      <c r="Q107" s="29"/>
      <c r="R107" s="29"/>
      <c r="S107" s="29"/>
      <c r="T107" s="29"/>
      <c r="U107" s="29"/>
      <c r="V107" s="29"/>
      <c r="W107" s="29"/>
      <c r="X107" s="29"/>
      <c r="Y107" s="29"/>
      <c r="Z107" s="29"/>
      <c r="AA107" s="29"/>
      <c r="AB107" s="29"/>
      <c r="AC107" s="29"/>
      <c r="AD107" s="29"/>
      <c r="AE107" s="29"/>
      <c r="AF107" s="29"/>
      <c r="AG107" s="29"/>
    </row>
    <row r="108">
      <c r="A108" s="27" t="s">
        <v>660</v>
      </c>
      <c r="B108" s="27" t="s">
        <v>1423</v>
      </c>
      <c r="C108" s="251" t="s">
        <v>1157</v>
      </c>
      <c r="D108" s="47" t="s">
        <v>60</v>
      </c>
      <c r="E108" s="27" t="s">
        <v>1427</v>
      </c>
      <c r="F108" s="27" t="s">
        <v>1428</v>
      </c>
      <c r="G108" s="252" t="s">
        <v>1398</v>
      </c>
      <c r="H108" s="253">
        <v>45953.0</v>
      </c>
      <c r="I108" s="189">
        <f>IFERROR(__xludf.DUMMYFUNCTION("IF(ISBLANK(H108), TODAY()-TO_DATE(G108), TO_DATE(H108)-TO_DATE(G108))+1"),134.0)</f>
        <v>134</v>
      </c>
      <c r="J108" s="27" t="s">
        <v>197</v>
      </c>
      <c r="K108" s="27" t="s">
        <v>1441</v>
      </c>
      <c r="L108" s="255"/>
      <c r="M108" s="27" t="s">
        <v>1444</v>
      </c>
      <c r="N108" s="29"/>
      <c r="O108" s="29"/>
      <c r="P108" s="29"/>
      <c r="Q108" s="29"/>
      <c r="R108" s="29"/>
      <c r="S108" s="29"/>
      <c r="T108" s="29"/>
      <c r="U108" s="29"/>
      <c r="V108" s="29"/>
      <c r="W108" s="29"/>
      <c r="X108" s="29"/>
      <c r="Y108" s="29"/>
      <c r="Z108" s="29"/>
      <c r="AA108" s="29"/>
      <c r="AB108" s="29"/>
      <c r="AC108" s="29"/>
      <c r="AD108" s="29"/>
      <c r="AE108" s="29"/>
      <c r="AF108" s="29"/>
      <c r="AG108" s="29"/>
    </row>
    <row r="109">
      <c r="A109" s="40" t="s">
        <v>1448</v>
      </c>
      <c r="B109" s="40" t="s">
        <v>697</v>
      </c>
      <c r="C109" s="44" t="s">
        <v>178</v>
      </c>
      <c r="D109" s="47" t="s">
        <v>60</v>
      </c>
      <c r="E109" s="40" t="s">
        <v>1451</v>
      </c>
      <c r="F109" s="40" t="s">
        <v>918</v>
      </c>
      <c r="G109" s="50" t="s">
        <v>1453</v>
      </c>
      <c r="H109" s="53">
        <v>45837.0</v>
      </c>
      <c r="I109" s="63">
        <f>IFERROR(__xludf.DUMMYFUNCTION("IF(ISBLANK(H109), TODAY()-TO_DATE(G109), TO_DATE(H109)-TO_DATE(G109))+1"),14.0)</f>
        <v>14</v>
      </c>
      <c r="J109" s="40">
        <v>500.0</v>
      </c>
      <c r="K109" s="40" t="s">
        <v>1454</v>
      </c>
      <c r="L109" s="69" t="s">
        <v>1455</v>
      </c>
      <c r="M109" s="72"/>
      <c r="N109" s="29"/>
      <c r="O109" s="29"/>
      <c r="P109" s="29"/>
      <c r="Q109" s="29"/>
      <c r="R109" s="29"/>
      <c r="S109" s="29"/>
      <c r="T109" s="29"/>
      <c r="U109" s="29"/>
      <c r="V109" s="29"/>
      <c r="W109" s="29"/>
      <c r="X109" s="29"/>
      <c r="Y109" s="29"/>
      <c r="Z109" s="29"/>
      <c r="AA109" s="29"/>
      <c r="AB109" s="29"/>
      <c r="AC109" s="29"/>
      <c r="AD109" s="29"/>
      <c r="AE109" s="29"/>
      <c r="AF109" s="29"/>
      <c r="AG109" s="29"/>
    </row>
    <row r="110">
      <c r="A110" s="40" t="s">
        <v>1448</v>
      </c>
      <c r="B110" s="40" t="s">
        <v>697</v>
      </c>
      <c r="C110" s="44" t="s">
        <v>331</v>
      </c>
      <c r="D110" s="47" t="s">
        <v>60</v>
      </c>
      <c r="E110" s="40" t="s">
        <v>1458</v>
      </c>
      <c r="F110" s="40" t="s">
        <v>1459</v>
      </c>
      <c r="G110" s="50" t="s">
        <v>1453</v>
      </c>
      <c r="H110" s="53">
        <v>45831.0</v>
      </c>
      <c r="I110" s="63">
        <f>IFERROR(__xludf.DUMMYFUNCTION("IF(ISBLANK(H110), TODAY()-TO_DATE(G110), TO_DATE(H110)-TO_DATE(G110))+1"),8.0)</f>
        <v>8</v>
      </c>
      <c r="J110" s="40">
        <v>500.0</v>
      </c>
      <c r="K110" s="40" t="s">
        <v>1462</v>
      </c>
      <c r="L110" s="88"/>
      <c r="M110" s="72"/>
      <c r="N110" s="29"/>
      <c r="O110" s="29"/>
      <c r="P110" s="29"/>
      <c r="Q110" s="29"/>
      <c r="R110" s="29"/>
      <c r="S110" s="29"/>
      <c r="T110" s="29"/>
      <c r="U110" s="29"/>
      <c r="V110" s="29"/>
      <c r="W110" s="29"/>
      <c r="X110" s="29"/>
      <c r="Y110" s="29"/>
      <c r="Z110" s="29"/>
      <c r="AA110" s="29"/>
      <c r="AB110" s="29"/>
      <c r="AC110" s="29"/>
      <c r="AD110" s="29"/>
      <c r="AE110" s="29"/>
      <c r="AF110" s="29"/>
      <c r="AG110" s="29"/>
    </row>
    <row r="111">
      <c r="A111" s="40" t="s">
        <v>1448</v>
      </c>
      <c r="B111" s="40" t="s">
        <v>697</v>
      </c>
      <c r="C111" s="44" t="s">
        <v>1466</v>
      </c>
      <c r="D111" s="47" t="s">
        <v>60</v>
      </c>
      <c r="E111" s="40" t="s">
        <v>1467</v>
      </c>
      <c r="F111" s="40" t="s">
        <v>1468</v>
      </c>
      <c r="G111" s="50" t="s">
        <v>1453</v>
      </c>
      <c r="H111" s="53">
        <v>45829.0</v>
      </c>
      <c r="I111" s="63">
        <f>IFERROR(__xludf.DUMMYFUNCTION("IF(ISBLANK(H111), TODAY()-TO_DATE(G111), TO_DATE(H111)-TO_DATE(G111))+1"),6.0)</f>
        <v>6</v>
      </c>
      <c r="J111" s="40">
        <v>500.0</v>
      </c>
      <c r="K111" s="40" t="s">
        <v>1470</v>
      </c>
      <c r="L111" s="69" t="s">
        <v>1471</v>
      </c>
      <c r="M111" s="72"/>
      <c r="N111" s="29"/>
      <c r="O111" s="29"/>
      <c r="P111" s="29"/>
      <c r="Q111" s="29"/>
      <c r="R111" s="29"/>
      <c r="S111" s="29"/>
      <c r="T111" s="29"/>
      <c r="U111" s="29"/>
      <c r="V111" s="29"/>
      <c r="W111" s="29"/>
      <c r="X111" s="29"/>
      <c r="Y111" s="29"/>
      <c r="Z111" s="29"/>
      <c r="AA111" s="29"/>
      <c r="AB111" s="29"/>
      <c r="AC111" s="29"/>
      <c r="AD111" s="29"/>
      <c r="AE111" s="29"/>
      <c r="AF111" s="29"/>
      <c r="AG111" s="29"/>
    </row>
    <row r="112">
      <c r="A112" s="40" t="s">
        <v>1473</v>
      </c>
      <c r="B112" s="40" t="s">
        <v>697</v>
      </c>
      <c r="C112" s="44" t="s">
        <v>178</v>
      </c>
      <c r="D112" s="47" t="s">
        <v>60</v>
      </c>
      <c r="E112" s="40" t="s">
        <v>1475</v>
      </c>
      <c r="F112" s="40" t="s">
        <v>1476</v>
      </c>
      <c r="G112" s="50" t="s">
        <v>1453</v>
      </c>
      <c r="H112" s="53">
        <v>45829.0</v>
      </c>
      <c r="I112" s="63">
        <f>IFERROR(__xludf.DUMMYFUNCTION("IF(ISBLANK(H112), TODAY()-TO_DATE(G112), TO_DATE(H112)-TO_DATE(G112))+1"),6.0)</f>
        <v>6</v>
      </c>
      <c r="J112" s="40">
        <v>500.0</v>
      </c>
      <c r="K112" s="40" t="s">
        <v>1480</v>
      </c>
      <c r="L112" s="88"/>
      <c r="M112" s="72"/>
      <c r="N112" s="29"/>
      <c r="O112" s="29"/>
      <c r="P112" s="29"/>
      <c r="Q112" s="29"/>
      <c r="R112" s="29"/>
      <c r="S112" s="29"/>
      <c r="T112" s="29"/>
      <c r="U112" s="29"/>
      <c r="V112" s="29"/>
      <c r="W112" s="29"/>
      <c r="X112" s="29"/>
      <c r="Y112" s="29"/>
      <c r="Z112" s="29"/>
      <c r="AA112" s="29"/>
      <c r="AB112" s="29"/>
      <c r="AC112" s="29"/>
      <c r="AD112" s="29"/>
      <c r="AE112" s="29"/>
      <c r="AF112" s="29"/>
      <c r="AG112" s="29"/>
    </row>
    <row r="113">
      <c r="A113" s="40" t="s">
        <v>1448</v>
      </c>
      <c r="B113" s="40" t="s">
        <v>697</v>
      </c>
      <c r="C113" s="44" t="s">
        <v>287</v>
      </c>
      <c r="D113" s="47" t="s">
        <v>60</v>
      </c>
      <c r="E113" s="40" t="s">
        <v>1483</v>
      </c>
      <c r="F113" s="40" t="s">
        <v>1484</v>
      </c>
      <c r="G113" s="50" t="s">
        <v>1453</v>
      </c>
      <c r="H113" s="53">
        <v>45829.0</v>
      </c>
      <c r="I113" s="63">
        <f>IFERROR(__xludf.DUMMYFUNCTION("IF(ISBLANK(H113), TODAY()-TO_DATE(G113), TO_DATE(H113)-TO_DATE(G113))+1"),6.0)</f>
        <v>6</v>
      </c>
      <c r="J113" s="40">
        <v>500.0</v>
      </c>
      <c r="K113" s="40" t="s">
        <v>1487</v>
      </c>
      <c r="L113" s="88"/>
      <c r="M113" s="72"/>
      <c r="N113" s="29"/>
      <c r="O113" s="29"/>
      <c r="P113" s="29"/>
      <c r="Q113" s="29"/>
      <c r="R113" s="29"/>
      <c r="S113" s="29"/>
      <c r="T113" s="29"/>
      <c r="U113" s="29"/>
      <c r="V113" s="29"/>
      <c r="W113" s="29"/>
      <c r="X113" s="29"/>
      <c r="Y113" s="29"/>
      <c r="Z113" s="29"/>
      <c r="AA113" s="29"/>
      <c r="AB113" s="29"/>
      <c r="AC113" s="29"/>
      <c r="AD113" s="29"/>
      <c r="AE113" s="29"/>
      <c r="AF113" s="29"/>
      <c r="AG113" s="29"/>
    </row>
    <row r="114">
      <c r="A114" s="40" t="s">
        <v>1448</v>
      </c>
      <c r="B114" s="40" t="s">
        <v>697</v>
      </c>
      <c r="C114" s="44" t="s">
        <v>1488</v>
      </c>
      <c r="D114" s="47" t="s">
        <v>60</v>
      </c>
      <c r="E114" s="40" t="s">
        <v>1491</v>
      </c>
      <c r="F114" s="40" t="s">
        <v>1492</v>
      </c>
      <c r="G114" s="50" t="s">
        <v>1453</v>
      </c>
      <c r="H114" s="53">
        <v>45826.0</v>
      </c>
      <c r="I114" s="63">
        <f>IFERROR(__xludf.DUMMYFUNCTION("IF(ISBLANK(H114), TODAY()-TO_DATE(G114), TO_DATE(H114)-TO_DATE(G114))+1"),3.0)</f>
        <v>3</v>
      </c>
      <c r="J114" s="40">
        <v>300.0</v>
      </c>
      <c r="K114" s="40" t="s">
        <v>1495</v>
      </c>
      <c r="L114" s="88"/>
      <c r="M114" s="72"/>
      <c r="N114" s="29"/>
      <c r="O114" s="29"/>
      <c r="P114" s="29"/>
      <c r="Q114" s="29"/>
      <c r="R114" s="29"/>
      <c r="S114" s="29"/>
      <c r="T114" s="29"/>
      <c r="U114" s="29"/>
      <c r="V114" s="29"/>
      <c r="W114" s="29"/>
      <c r="X114" s="29"/>
      <c r="Y114" s="29"/>
      <c r="Z114" s="29"/>
      <c r="AA114" s="29"/>
      <c r="AB114" s="29"/>
      <c r="AC114" s="29"/>
      <c r="AD114" s="29"/>
      <c r="AE114" s="29"/>
      <c r="AF114" s="29"/>
      <c r="AG114" s="29"/>
    </row>
    <row r="115">
      <c r="A115" s="40" t="s">
        <v>1448</v>
      </c>
      <c r="B115" s="40" t="s">
        <v>697</v>
      </c>
      <c r="C115" s="44" t="s">
        <v>213</v>
      </c>
      <c r="D115" s="47" t="s">
        <v>60</v>
      </c>
      <c r="E115" s="40" t="s">
        <v>1497</v>
      </c>
      <c r="F115" s="40" t="s">
        <v>1498</v>
      </c>
      <c r="G115" s="50" t="s">
        <v>1453</v>
      </c>
      <c r="H115" s="53">
        <v>45824.0</v>
      </c>
      <c r="I115" s="63">
        <f>IFERROR(__xludf.DUMMYFUNCTION("IF(ISBLANK(H115), TODAY()-TO_DATE(G115), TO_DATE(H115)-TO_DATE(G115))+1"),1.0)</f>
        <v>1</v>
      </c>
      <c r="J115" s="40" t="s">
        <v>136</v>
      </c>
      <c r="K115" s="40" t="s">
        <v>1502</v>
      </c>
      <c r="L115" s="88"/>
      <c r="M115" s="72"/>
      <c r="N115" s="29"/>
      <c r="O115" s="29"/>
      <c r="P115" s="29"/>
      <c r="Q115" s="29"/>
      <c r="R115" s="29"/>
      <c r="S115" s="29"/>
      <c r="T115" s="29"/>
      <c r="U115" s="29"/>
      <c r="V115" s="29"/>
      <c r="W115" s="29"/>
      <c r="X115" s="29"/>
      <c r="Y115" s="29"/>
      <c r="Z115" s="29"/>
      <c r="AA115" s="29"/>
      <c r="AB115" s="29"/>
      <c r="AC115" s="29"/>
      <c r="AD115" s="29"/>
      <c r="AE115" s="29"/>
      <c r="AF115" s="29"/>
      <c r="AG115" s="29"/>
    </row>
    <row r="116">
      <c r="A116" s="40" t="s">
        <v>1473</v>
      </c>
      <c r="B116" s="40" t="s">
        <v>697</v>
      </c>
      <c r="C116" s="44" t="s">
        <v>331</v>
      </c>
      <c r="D116" s="47" t="s">
        <v>60</v>
      </c>
      <c r="E116" s="40" t="s">
        <v>1503</v>
      </c>
      <c r="F116" s="40" t="s">
        <v>1287</v>
      </c>
      <c r="G116" s="50" t="s">
        <v>1453</v>
      </c>
      <c r="H116" s="53">
        <v>45832.0</v>
      </c>
      <c r="I116" s="63">
        <f>IFERROR(__xludf.DUMMYFUNCTION("IF(ISBLANK(H116), TODAY()-TO_DATE(G116), TO_DATE(H116)-TO_DATE(G116))+1"),9.0)</f>
        <v>9</v>
      </c>
      <c r="J116" s="40">
        <v>300.0</v>
      </c>
      <c r="K116" s="40" t="s">
        <v>1507</v>
      </c>
      <c r="L116" s="69" t="s">
        <v>1508</v>
      </c>
      <c r="M116" s="72"/>
      <c r="N116" s="29"/>
      <c r="O116" s="29"/>
      <c r="P116" s="29"/>
      <c r="Q116" s="29"/>
      <c r="R116" s="29"/>
      <c r="S116" s="29"/>
      <c r="T116" s="29"/>
      <c r="U116" s="29"/>
      <c r="V116" s="29"/>
      <c r="W116" s="29"/>
      <c r="X116" s="29"/>
      <c r="Y116" s="29"/>
      <c r="Z116" s="29"/>
      <c r="AA116" s="29"/>
      <c r="AB116" s="29"/>
      <c r="AC116" s="29"/>
      <c r="AD116" s="29"/>
      <c r="AE116" s="29"/>
      <c r="AF116" s="29"/>
      <c r="AG116" s="29"/>
    </row>
    <row r="117">
      <c r="A117" s="40" t="s">
        <v>1510</v>
      </c>
      <c r="B117" s="40" t="s">
        <v>697</v>
      </c>
      <c r="C117" s="44" t="s">
        <v>331</v>
      </c>
      <c r="D117" s="47" t="s">
        <v>60</v>
      </c>
      <c r="E117" s="40" t="s">
        <v>1513</v>
      </c>
      <c r="F117" s="40" t="s">
        <v>1515</v>
      </c>
      <c r="G117" s="50" t="s">
        <v>1453</v>
      </c>
      <c r="H117" s="53">
        <v>45836.0</v>
      </c>
      <c r="I117" s="63">
        <f>IFERROR(__xludf.DUMMYFUNCTION("IF(ISBLANK(H117), TODAY()-TO_DATE(G117), TO_DATE(H117)-TO_DATE(G117))+1"),13.0)</f>
        <v>13</v>
      </c>
      <c r="J117" s="40">
        <v>500.0</v>
      </c>
      <c r="K117" s="40" t="s">
        <v>1518</v>
      </c>
      <c r="L117" s="88"/>
      <c r="M117" s="72"/>
      <c r="N117" s="29"/>
      <c r="O117" s="29"/>
      <c r="P117" s="29"/>
      <c r="Q117" s="29"/>
      <c r="R117" s="29"/>
      <c r="S117" s="29"/>
      <c r="T117" s="29"/>
      <c r="U117" s="29"/>
      <c r="V117" s="29"/>
      <c r="W117" s="29"/>
      <c r="X117" s="29"/>
      <c r="Y117" s="29"/>
      <c r="Z117" s="29"/>
      <c r="AA117" s="29"/>
      <c r="AB117" s="29"/>
      <c r="AC117" s="29"/>
      <c r="AD117" s="29"/>
      <c r="AE117" s="29"/>
      <c r="AF117" s="29"/>
      <c r="AG117" s="29"/>
    </row>
    <row r="118">
      <c r="A118" s="40" t="s">
        <v>1510</v>
      </c>
      <c r="B118" s="40" t="s">
        <v>697</v>
      </c>
      <c r="C118" s="44" t="s">
        <v>1522</v>
      </c>
      <c r="D118" s="47" t="s">
        <v>60</v>
      </c>
      <c r="E118" s="40" t="s">
        <v>1525</v>
      </c>
      <c r="F118" s="40" t="s">
        <v>1527</v>
      </c>
      <c r="G118" s="50" t="s">
        <v>1453</v>
      </c>
      <c r="H118" s="53">
        <v>45831.0</v>
      </c>
      <c r="I118" s="63">
        <f>IFERROR(__xludf.DUMMYFUNCTION("IF(ISBLANK(H118), TODAY()-TO_DATE(G118), TO_DATE(H118)-TO_DATE(G118))+1"),8.0)</f>
        <v>8</v>
      </c>
      <c r="J118" s="40">
        <v>500.0</v>
      </c>
      <c r="K118" s="40" t="s">
        <v>1533</v>
      </c>
      <c r="L118" s="88"/>
      <c r="M118" s="72"/>
      <c r="N118" s="29"/>
      <c r="O118" s="29"/>
      <c r="P118" s="29"/>
      <c r="Q118" s="29"/>
      <c r="R118" s="29"/>
      <c r="S118" s="29"/>
      <c r="T118" s="29"/>
      <c r="U118" s="29"/>
      <c r="V118" s="29"/>
      <c r="W118" s="29"/>
      <c r="X118" s="29"/>
      <c r="Y118" s="29"/>
      <c r="Z118" s="29"/>
      <c r="AA118" s="29"/>
      <c r="AB118" s="29"/>
      <c r="AC118" s="29"/>
      <c r="AD118" s="29"/>
      <c r="AE118" s="29"/>
      <c r="AF118" s="29"/>
      <c r="AG118" s="29"/>
    </row>
    <row r="119">
      <c r="A119" s="40" t="s">
        <v>1510</v>
      </c>
      <c r="B119" s="40" t="s">
        <v>697</v>
      </c>
      <c r="C119" s="44" t="s">
        <v>1536</v>
      </c>
      <c r="D119" s="47" t="s">
        <v>60</v>
      </c>
      <c r="E119" s="40" t="s">
        <v>1537</v>
      </c>
      <c r="F119" s="40" t="s">
        <v>1538</v>
      </c>
      <c r="G119" s="50" t="s">
        <v>1453</v>
      </c>
      <c r="H119" s="53">
        <v>45831.0</v>
      </c>
      <c r="I119" s="63">
        <f>IFERROR(__xludf.DUMMYFUNCTION("IF(ISBLANK(H119), TODAY()-TO_DATE(G119), TO_DATE(H119)-TO_DATE(G119))+1"),8.0)</f>
        <v>8</v>
      </c>
      <c r="J119" s="40">
        <v>500.0</v>
      </c>
      <c r="K119" s="40" t="s">
        <v>1539</v>
      </c>
      <c r="L119" s="88"/>
      <c r="M119" s="72"/>
      <c r="N119" s="29"/>
      <c r="O119" s="29"/>
      <c r="P119" s="29"/>
      <c r="Q119" s="29"/>
      <c r="R119" s="29"/>
      <c r="S119" s="29"/>
      <c r="T119" s="29"/>
      <c r="U119" s="29"/>
      <c r="V119" s="29"/>
      <c r="W119" s="29"/>
      <c r="X119" s="29"/>
      <c r="Y119" s="29"/>
      <c r="Z119" s="29"/>
      <c r="AA119" s="29"/>
      <c r="AB119" s="29"/>
      <c r="AC119" s="29"/>
      <c r="AD119" s="29"/>
      <c r="AE119" s="29"/>
      <c r="AF119" s="29"/>
      <c r="AG119" s="29"/>
    </row>
    <row r="120">
      <c r="A120" s="40" t="s">
        <v>1540</v>
      </c>
      <c r="B120" s="40" t="s">
        <v>697</v>
      </c>
      <c r="C120" s="44" t="s">
        <v>178</v>
      </c>
      <c r="D120" s="47" t="s">
        <v>60</v>
      </c>
      <c r="E120" s="40" t="s">
        <v>1541</v>
      </c>
      <c r="F120" s="40" t="s">
        <v>1542</v>
      </c>
      <c r="G120" s="50" t="s">
        <v>1453</v>
      </c>
      <c r="H120" s="53">
        <v>45831.0</v>
      </c>
      <c r="I120" s="63">
        <f>IFERROR(__xludf.DUMMYFUNCTION("IF(ISBLANK(H120), TODAY()-TO_DATE(G120), TO_DATE(H120)-TO_DATE(G120))+1"),8.0)</f>
        <v>8</v>
      </c>
      <c r="J120" s="40">
        <v>500.0</v>
      </c>
      <c r="K120" s="40" t="s">
        <v>1544</v>
      </c>
      <c r="L120" s="88"/>
      <c r="M120" s="72"/>
      <c r="N120" s="29"/>
      <c r="O120" s="29"/>
      <c r="P120" s="29"/>
      <c r="Q120" s="29"/>
      <c r="R120" s="29"/>
      <c r="S120" s="29"/>
      <c r="T120" s="29"/>
      <c r="U120" s="29"/>
      <c r="V120" s="29"/>
      <c r="W120" s="29"/>
      <c r="X120" s="29"/>
      <c r="Y120" s="29"/>
      <c r="Z120" s="29"/>
      <c r="AA120" s="29"/>
      <c r="AB120" s="29"/>
      <c r="AC120" s="29"/>
      <c r="AD120" s="29"/>
      <c r="AE120" s="29"/>
      <c r="AF120" s="29"/>
      <c r="AG120" s="29"/>
    </row>
    <row r="121">
      <c r="A121" s="40" t="s">
        <v>1510</v>
      </c>
      <c r="B121" s="40" t="s">
        <v>697</v>
      </c>
      <c r="C121" s="44" t="s">
        <v>1522</v>
      </c>
      <c r="D121" s="47" t="s">
        <v>60</v>
      </c>
      <c r="E121" s="40" t="s">
        <v>1546</v>
      </c>
      <c r="F121" s="40" t="s">
        <v>1547</v>
      </c>
      <c r="G121" s="50" t="s">
        <v>1453</v>
      </c>
      <c r="H121" s="53">
        <v>45831.0</v>
      </c>
      <c r="I121" s="63">
        <f>IFERROR(__xludf.DUMMYFUNCTION("IF(ISBLANK(H121), TODAY()-TO_DATE(G121), TO_DATE(H121)-TO_DATE(G121))+1"),8.0)</f>
        <v>8</v>
      </c>
      <c r="J121" s="40">
        <v>500.0</v>
      </c>
      <c r="K121" s="40" t="s">
        <v>1549</v>
      </c>
      <c r="L121" s="88"/>
      <c r="M121" s="72"/>
      <c r="N121" s="29"/>
      <c r="O121" s="29"/>
      <c r="P121" s="29"/>
      <c r="Q121" s="29"/>
      <c r="R121" s="29"/>
      <c r="S121" s="29"/>
      <c r="T121" s="29"/>
      <c r="U121" s="29"/>
      <c r="V121" s="29"/>
      <c r="W121" s="29"/>
      <c r="X121" s="29"/>
      <c r="Y121" s="29"/>
      <c r="Z121" s="29"/>
      <c r="AA121" s="29"/>
      <c r="AB121" s="29"/>
      <c r="AC121" s="29"/>
      <c r="AD121" s="29"/>
      <c r="AE121" s="29"/>
      <c r="AF121" s="29"/>
      <c r="AG121" s="29"/>
    </row>
    <row r="122">
      <c r="A122" s="40" t="s">
        <v>1540</v>
      </c>
      <c r="B122" s="72"/>
      <c r="C122" s="44" t="s">
        <v>213</v>
      </c>
      <c r="D122" s="47" t="s">
        <v>60</v>
      </c>
      <c r="E122" s="40" t="s">
        <v>1550</v>
      </c>
      <c r="F122" s="40" t="s">
        <v>1551</v>
      </c>
      <c r="G122" s="50" t="s">
        <v>1453</v>
      </c>
      <c r="H122" s="53">
        <v>45829.0</v>
      </c>
      <c r="I122" s="63">
        <f>IFERROR(__xludf.DUMMYFUNCTION("IF(ISBLANK(H122), TODAY()-TO_DATE(G122), TO_DATE(H122)-TO_DATE(G122))+1"),6.0)</f>
        <v>6</v>
      </c>
      <c r="J122" s="40">
        <v>300.0</v>
      </c>
      <c r="K122" s="40" t="s">
        <v>1554</v>
      </c>
      <c r="L122" s="88"/>
      <c r="M122" s="72"/>
      <c r="N122" s="29"/>
      <c r="O122" s="29"/>
      <c r="P122" s="29"/>
      <c r="Q122" s="29"/>
      <c r="R122" s="29"/>
      <c r="S122" s="29"/>
      <c r="T122" s="29"/>
      <c r="U122" s="29"/>
      <c r="V122" s="29"/>
      <c r="W122" s="29"/>
      <c r="X122" s="29"/>
      <c r="Y122" s="29"/>
      <c r="Z122" s="29"/>
      <c r="AA122" s="29"/>
      <c r="AB122" s="29"/>
      <c r="AC122" s="29"/>
      <c r="AD122" s="29"/>
      <c r="AE122" s="29"/>
      <c r="AF122" s="29"/>
      <c r="AG122" s="29"/>
    </row>
    <row r="123">
      <c r="A123" s="40" t="s">
        <v>1448</v>
      </c>
      <c r="B123" s="40" t="s">
        <v>697</v>
      </c>
      <c r="C123" s="44" t="s">
        <v>287</v>
      </c>
      <c r="D123" s="47" t="s">
        <v>60</v>
      </c>
      <c r="E123" s="40" t="s">
        <v>1556</v>
      </c>
      <c r="F123" s="40" t="s">
        <v>1557</v>
      </c>
      <c r="G123" s="50" t="s">
        <v>1558</v>
      </c>
      <c r="H123" s="53">
        <v>45839.0</v>
      </c>
      <c r="I123" s="63">
        <f>IFERROR(__xludf.DUMMYFUNCTION("IF(ISBLANK(H123), TODAY()-TO_DATE(G123), TO_DATE(H123)-TO_DATE(G123))+1"),15.0)</f>
        <v>15</v>
      </c>
      <c r="J123" s="40">
        <v>500.0</v>
      </c>
      <c r="K123" s="40" t="s">
        <v>1560</v>
      </c>
      <c r="L123" s="88"/>
      <c r="M123" s="72"/>
      <c r="N123" s="29"/>
      <c r="O123" s="29"/>
      <c r="P123" s="29"/>
      <c r="Q123" s="29"/>
      <c r="R123" s="29"/>
      <c r="S123" s="29"/>
      <c r="T123" s="29"/>
      <c r="U123" s="29"/>
      <c r="V123" s="29"/>
      <c r="W123" s="29"/>
      <c r="X123" s="29"/>
      <c r="Y123" s="29"/>
      <c r="Z123" s="29"/>
      <c r="AA123" s="29"/>
      <c r="AB123" s="29"/>
      <c r="AC123" s="29"/>
      <c r="AD123" s="29"/>
      <c r="AE123" s="29"/>
      <c r="AF123" s="29"/>
      <c r="AG123" s="29"/>
    </row>
    <row r="124">
      <c r="A124" s="40" t="s">
        <v>1540</v>
      </c>
      <c r="B124" s="40" t="s">
        <v>697</v>
      </c>
      <c r="C124" s="44" t="s">
        <v>287</v>
      </c>
      <c r="D124" s="47" t="s">
        <v>60</v>
      </c>
      <c r="E124" s="40" t="s">
        <v>1561</v>
      </c>
      <c r="F124" s="40" t="s">
        <v>1563</v>
      </c>
      <c r="G124" s="50" t="s">
        <v>1558</v>
      </c>
      <c r="H124" s="53">
        <v>45839.0</v>
      </c>
      <c r="I124" s="63">
        <f>IFERROR(__xludf.DUMMYFUNCTION("IF(ISBLANK(H124), TODAY()-TO_DATE(G124), TO_DATE(H124)-TO_DATE(G124))+1"),15.0)</f>
        <v>15</v>
      </c>
      <c r="J124" s="40">
        <v>500.0</v>
      </c>
      <c r="K124" s="40" t="s">
        <v>1567</v>
      </c>
      <c r="L124" s="88"/>
      <c r="M124" s="72"/>
      <c r="N124" s="29"/>
      <c r="O124" s="29"/>
      <c r="P124" s="29"/>
      <c r="Q124" s="29"/>
      <c r="R124" s="29"/>
      <c r="S124" s="29"/>
      <c r="T124" s="29"/>
      <c r="U124" s="29"/>
      <c r="V124" s="29"/>
      <c r="W124" s="29"/>
      <c r="X124" s="29"/>
      <c r="Y124" s="29"/>
      <c r="Z124" s="29"/>
      <c r="AA124" s="29"/>
      <c r="AB124" s="29"/>
      <c r="AC124" s="29"/>
      <c r="AD124" s="29"/>
      <c r="AE124" s="29"/>
      <c r="AF124" s="29"/>
      <c r="AG124" s="29"/>
    </row>
    <row r="125">
      <c r="A125" s="40" t="s">
        <v>1540</v>
      </c>
      <c r="B125" s="40" t="s">
        <v>697</v>
      </c>
      <c r="C125" s="44" t="s">
        <v>287</v>
      </c>
      <c r="D125" s="47" t="s">
        <v>60</v>
      </c>
      <c r="E125" s="40" t="s">
        <v>1570</v>
      </c>
      <c r="F125" s="40" t="s">
        <v>1571</v>
      </c>
      <c r="G125" s="50" t="s">
        <v>1558</v>
      </c>
      <c r="H125" s="53">
        <v>45833.0</v>
      </c>
      <c r="I125" s="63">
        <f>IFERROR(__xludf.DUMMYFUNCTION("IF(ISBLANK(H125), TODAY()-TO_DATE(G125), TO_DATE(H125)-TO_DATE(G125))+1"),9.0)</f>
        <v>9</v>
      </c>
      <c r="J125" s="40">
        <v>500.0</v>
      </c>
      <c r="K125" s="40" t="s">
        <v>1572</v>
      </c>
      <c r="L125" s="69" t="s">
        <v>1573</v>
      </c>
      <c r="M125" s="72"/>
      <c r="N125" s="29"/>
      <c r="O125" s="29"/>
      <c r="P125" s="29"/>
      <c r="Q125" s="29"/>
      <c r="R125" s="29"/>
      <c r="S125" s="29"/>
      <c r="T125" s="29"/>
      <c r="U125" s="29"/>
      <c r="V125" s="29"/>
      <c r="W125" s="29"/>
      <c r="X125" s="29"/>
      <c r="Y125" s="29"/>
      <c r="Z125" s="29"/>
      <c r="AA125" s="29"/>
      <c r="AB125" s="29"/>
      <c r="AC125" s="29"/>
      <c r="AD125" s="29"/>
      <c r="AE125" s="29"/>
      <c r="AF125" s="29"/>
      <c r="AG125" s="29"/>
    </row>
    <row r="126">
      <c r="A126" s="40" t="s">
        <v>1540</v>
      </c>
      <c r="B126" s="40" t="s">
        <v>697</v>
      </c>
      <c r="C126" s="44" t="s">
        <v>178</v>
      </c>
      <c r="D126" s="47" t="s">
        <v>60</v>
      </c>
      <c r="E126" s="40" t="s">
        <v>1576</v>
      </c>
      <c r="F126" s="40" t="s">
        <v>1578</v>
      </c>
      <c r="G126" s="50" t="s">
        <v>1558</v>
      </c>
      <c r="H126" s="53">
        <v>45833.0</v>
      </c>
      <c r="I126" s="63">
        <f>IFERROR(__xludf.DUMMYFUNCTION("IF(ISBLANK(H126), TODAY()-TO_DATE(G126), TO_DATE(H126)-TO_DATE(G126))+1"),9.0)</f>
        <v>9</v>
      </c>
      <c r="J126" s="40">
        <v>500.0</v>
      </c>
      <c r="K126" s="40" t="s">
        <v>1581</v>
      </c>
      <c r="L126" s="88"/>
      <c r="M126" s="72"/>
      <c r="N126" s="29"/>
      <c r="O126" s="29"/>
      <c r="P126" s="29"/>
      <c r="Q126" s="29"/>
      <c r="R126" s="29"/>
      <c r="S126" s="29"/>
      <c r="T126" s="29"/>
      <c r="U126" s="29"/>
      <c r="V126" s="29"/>
      <c r="W126" s="29"/>
      <c r="X126" s="29"/>
      <c r="Y126" s="29"/>
      <c r="Z126" s="29"/>
      <c r="AA126" s="29"/>
      <c r="AB126" s="29"/>
      <c r="AC126" s="29"/>
      <c r="AD126" s="29"/>
      <c r="AE126" s="29"/>
      <c r="AF126" s="29"/>
      <c r="AG126" s="29"/>
    </row>
    <row r="127">
      <c r="A127" s="40" t="s">
        <v>1448</v>
      </c>
      <c r="B127" s="40" t="s">
        <v>697</v>
      </c>
      <c r="C127" s="44" t="s">
        <v>331</v>
      </c>
      <c r="D127" s="47" t="s">
        <v>60</v>
      </c>
      <c r="E127" s="40" t="s">
        <v>1585</v>
      </c>
      <c r="F127" s="40" t="s">
        <v>1586</v>
      </c>
      <c r="G127" s="50" t="s">
        <v>1558</v>
      </c>
      <c r="H127" s="53">
        <v>45827.0</v>
      </c>
      <c r="I127" s="63">
        <f>IFERROR(__xludf.DUMMYFUNCTION("IF(ISBLANK(H127), TODAY()-TO_DATE(G127), TO_DATE(H127)-TO_DATE(G127))+1"),3.0)</f>
        <v>3</v>
      </c>
      <c r="J127" s="40">
        <v>300.0</v>
      </c>
      <c r="K127" s="40" t="s">
        <v>1591</v>
      </c>
      <c r="L127" s="88"/>
      <c r="M127" s="72"/>
      <c r="N127" s="29"/>
      <c r="O127" s="29"/>
      <c r="P127" s="29"/>
      <c r="Q127" s="29"/>
      <c r="R127" s="29"/>
      <c r="S127" s="29"/>
      <c r="T127" s="29"/>
      <c r="U127" s="29"/>
      <c r="V127" s="29"/>
      <c r="W127" s="29"/>
      <c r="X127" s="29"/>
      <c r="Y127" s="29"/>
      <c r="Z127" s="29"/>
      <c r="AA127" s="29"/>
      <c r="AB127" s="29"/>
      <c r="AC127" s="29"/>
      <c r="AD127" s="29"/>
      <c r="AE127" s="29"/>
      <c r="AF127" s="29"/>
      <c r="AG127" s="29"/>
    </row>
    <row r="128">
      <c r="A128" s="40" t="s">
        <v>1448</v>
      </c>
      <c r="B128" s="40" t="s">
        <v>697</v>
      </c>
      <c r="C128" s="44" t="s">
        <v>213</v>
      </c>
      <c r="D128" s="47" t="s">
        <v>60</v>
      </c>
      <c r="E128" s="40" t="s">
        <v>1595</v>
      </c>
      <c r="F128" s="40" t="s">
        <v>1596</v>
      </c>
      <c r="G128" s="50" t="s">
        <v>1558</v>
      </c>
      <c r="H128" s="53">
        <v>45827.0</v>
      </c>
      <c r="I128" s="63">
        <f>IFERROR(__xludf.DUMMYFUNCTION("IF(ISBLANK(H128), TODAY()-TO_DATE(G128), TO_DATE(H128)-TO_DATE(G128))+1"),3.0)</f>
        <v>3</v>
      </c>
      <c r="J128" s="40">
        <v>300.0</v>
      </c>
      <c r="K128" s="40" t="s">
        <v>1600</v>
      </c>
      <c r="L128" s="88"/>
      <c r="M128" s="72"/>
      <c r="N128" s="29"/>
      <c r="O128" s="29"/>
      <c r="P128" s="29"/>
      <c r="Q128" s="29"/>
      <c r="R128" s="29"/>
      <c r="S128" s="29"/>
      <c r="T128" s="29"/>
      <c r="U128" s="29"/>
      <c r="V128" s="29"/>
      <c r="W128" s="29"/>
      <c r="X128" s="29"/>
      <c r="Y128" s="29"/>
      <c r="Z128" s="29"/>
      <c r="AA128" s="29"/>
      <c r="AB128" s="29"/>
      <c r="AC128" s="29"/>
      <c r="AD128" s="29"/>
      <c r="AE128" s="29"/>
      <c r="AF128" s="29"/>
      <c r="AG128" s="29"/>
    </row>
    <row r="129">
      <c r="A129" s="40" t="s">
        <v>1473</v>
      </c>
      <c r="B129" s="40" t="s">
        <v>697</v>
      </c>
      <c r="C129" s="44" t="s">
        <v>331</v>
      </c>
      <c r="D129" s="47" t="s">
        <v>60</v>
      </c>
      <c r="E129" s="40" t="s">
        <v>1603</v>
      </c>
      <c r="F129" s="40" t="s">
        <v>1448</v>
      </c>
      <c r="G129" s="50" t="s">
        <v>1558</v>
      </c>
      <c r="H129" s="53">
        <v>45869.0</v>
      </c>
      <c r="I129" s="63">
        <f>IFERROR(__xludf.DUMMYFUNCTION("IF(ISBLANK(H129), TODAY()-TO_DATE(G129), TO_DATE(H129)-TO_DATE(G129))+1"),45.0)</f>
        <v>45</v>
      </c>
      <c r="J129" s="40">
        <v>300.0</v>
      </c>
      <c r="K129" s="40" t="s">
        <v>1608</v>
      </c>
      <c r="L129" s="69" t="s">
        <v>1609</v>
      </c>
      <c r="M129" s="72"/>
      <c r="N129" s="29"/>
      <c r="O129" s="29"/>
      <c r="P129" s="29"/>
      <c r="Q129" s="29"/>
      <c r="R129" s="29"/>
      <c r="S129" s="29"/>
      <c r="T129" s="29"/>
      <c r="U129" s="29"/>
      <c r="V129" s="29"/>
      <c r="W129" s="29"/>
      <c r="X129" s="29"/>
      <c r="Y129" s="29"/>
      <c r="Z129" s="29"/>
      <c r="AA129" s="29"/>
      <c r="AB129" s="29"/>
      <c r="AC129" s="29"/>
      <c r="AD129" s="29"/>
      <c r="AE129" s="29"/>
      <c r="AF129" s="29"/>
      <c r="AG129" s="29"/>
    </row>
    <row r="130">
      <c r="A130" s="40" t="s">
        <v>1448</v>
      </c>
      <c r="B130" s="40" t="s">
        <v>697</v>
      </c>
      <c r="C130" s="44" t="s">
        <v>1488</v>
      </c>
      <c r="D130" s="47" t="s">
        <v>60</v>
      </c>
      <c r="E130" s="40" t="s">
        <v>1612</v>
      </c>
      <c r="F130" s="40" t="s">
        <v>1614</v>
      </c>
      <c r="G130" s="50" t="s">
        <v>1558</v>
      </c>
      <c r="H130" s="53">
        <v>45829.0</v>
      </c>
      <c r="I130" s="63">
        <f>IFERROR(__xludf.DUMMYFUNCTION("IF(ISBLANK(H130), TODAY()-TO_DATE(G130), TO_DATE(H130)-TO_DATE(G130))+1"),5.0)</f>
        <v>5</v>
      </c>
      <c r="J130" s="40">
        <v>300.0</v>
      </c>
      <c r="K130" s="40" t="s">
        <v>1618</v>
      </c>
      <c r="L130" s="69" t="s">
        <v>1619</v>
      </c>
      <c r="M130" s="72"/>
      <c r="N130" s="29"/>
      <c r="O130" s="29"/>
      <c r="P130" s="29"/>
      <c r="Q130" s="29"/>
      <c r="R130" s="29"/>
      <c r="S130" s="29"/>
      <c r="T130" s="29"/>
      <c r="U130" s="29"/>
      <c r="V130" s="29"/>
      <c r="W130" s="29"/>
      <c r="X130" s="29"/>
      <c r="Y130" s="29"/>
      <c r="Z130" s="29"/>
      <c r="AA130" s="29"/>
      <c r="AB130" s="29"/>
      <c r="AC130" s="29"/>
      <c r="AD130" s="29"/>
      <c r="AE130" s="29"/>
      <c r="AF130" s="29"/>
      <c r="AG130" s="29"/>
    </row>
    <row r="131">
      <c r="A131" s="40" t="s">
        <v>1473</v>
      </c>
      <c r="B131" s="40" t="s">
        <v>697</v>
      </c>
      <c r="C131" s="44" t="s">
        <v>331</v>
      </c>
      <c r="D131" s="47" t="s">
        <v>60</v>
      </c>
      <c r="E131" s="40" t="s">
        <v>1622</v>
      </c>
      <c r="F131" s="40" t="s">
        <v>1624</v>
      </c>
      <c r="G131" s="50" t="s">
        <v>1558</v>
      </c>
      <c r="H131" s="53">
        <v>45846.0</v>
      </c>
      <c r="I131" s="63">
        <f>IFERROR(__xludf.DUMMYFUNCTION("IF(ISBLANK(H131), TODAY()-TO_DATE(G131), TO_DATE(H131)-TO_DATE(G131))+1"),22.0)</f>
        <v>22</v>
      </c>
      <c r="J131" s="40">
        <v>200.0</v>
      </c>
      <c r="K131" s="40" t="s">
        <v>1626</v>
      </c>
      <c r="L131" s="88"/>
      <c r="M131" s="72"/>
      <c r="N131" s="29"/>
      <c r="O131" s="29"/>
      <c r="P131" s="29"/>
      <c r="Q131" s="29"/>
      <c r="R131" s="29"/>
      <c r="S131" s="29"/>
      <c r="T131" s="29"/>
      <c r="U131" s="29"/>
      <c r="V131" s="29"/>
      <c r="W131" s="29"/>
      <c r="X131" s="29"/>
      <c r="Y131" s="29"/>
      <c r="Z131" s="29"/>
      <c r="AA131" s="29"/>
      <c r="AB131" s="29"/>
      <c r="AC131" s="29"/>
      <c r="AD131" s="29"/>
      <c r="AE131" s="29"/>
      <c r="AF131" s="29"/>
      <c r="AG131" s="29"/>
    </row>
    <row r="132">
      <c r="A132" s="40" t="s">
        <v>1540</v>
      </c>
      <c r="B132" s="40" t="s">
        <v>697</v>
      </c>
      <c r="C132" s="44" t="s">
        <v>213</v>
      </c>
      <c r="D132" s="47" t="s">
        <v>60</v>
      </c>
      <c r="E132" s="40" t="s">
        <v>1629</v>
      </c>
      <c r="F132" s="40" t="s">
        <v>1630</v>
      </c>
      <c r="G132" s="50" t="s">
        <v>1631</v>
      </c>
      <c r="H132" s="53">
        <v>45841.0</v>
      </c>
      <c r="I132" s="63">
        <f>IFERROR(__xludf.DUMMYFUNCTION("IF(ISBLANK(H132), TODAY()-TO_DATE(G132), TO_DATE(H132)-TO_DATE(G132))+1"),14.0)</f>
        <v>14</v>
      </c>
      <c r="J132" s="40">
        <v>500.0</v>
      </c>
      <c r="K132" s="40" t="s">
        <v>1633</v>
      </c>
      <c r="L132" s="88"/>
      <c r="M132" s="72"/>
      <c r="N132" s="29"/>
      <c r="O132" s="29"/>
      <c r="P132" s="29"/>
      <c r="Q132" s="29"/>
      <c r="R132" s="29"/>
      <c r="S132" s="29"/>
      <c r="T132" s="29"/>
      <c r="U132" s="29"/>
      <c r="V132" s="29"/>
      <c r="W132" s="29"/>
      <c r="X132" s="29"/>
      <c r="Y132" s="29"/>
      <c r="Z132" s="29"/>
      <c r="AA132" s="29"/>
      <c r="AB132" s="29"/>
      <c r="AC132" s="29"/>
      <c r="AD132" s="29"/>
      <c r="AE132" s="29"/>
      <c r="AF132" s="29"/>
      <c r="AG132" s="29"/>
    </row>
    <row r="133">
      <c r="A133" s="40" t="s">
        <v>1510</v>
      </c>
      <c r="B133" s="40" t="s">
        <v>697</v>
      </c>
      <c r="C133" s="44" t="s">
        <v>1637</v>
      </c>
      <c r="D133" s="47" t="s">
        <v>60</v>
      </c>
      <c r="E133" s="40" t="s">
        <v>1640</v>
      </c>
      <c r="F133" s="40" t="s">
        <v>1641</v>
      </c>
      <c r="G133" s="50" t="s">
        <v>1631</v>
      </c>
      <c r="H133" s="53">
        <v>45841.0</v>
      </c>
      <c r="I133" s="63">
        <f>IFERROR(__xludf.DUMMYFUNCTION("IF(ISBLANK(H133), TODAY()-TO_DATE(G133), TO_DATE(H133)-TO_DATE(G133))+1"),14.0)</f>
        <v>14</v>
      </c>
      <c r="J133" s="40">
        <v>500.0</v>
      </c>
      <c r="K133" s="40" t="s">
        <v>1643</v>
      </c>
      <c r="L133" s="69" t="s">
        <v>1644</v>
      </c>
      <c r="M133" s="72"/>
      <c r="N133" s="29"/>
      <c r="O133" s="29"/>
      <c r="P133" s="29"/>
      <c r="Q133" s="29"/>
      <c r="R133" s="29"/>
      <c r="S133" s="29"/>
      <c r="T133" s="29"/>
      <c r="U133" s="29"/>
      <c r="V133" s="29"/>
      <c r="W133" s="29"/>
      <c r="X133" s="29"/>
      <c r="Y133" s="29"/>
      <c r="Z133" s="29"/>
      <c r="AA133" s="29"/>
      <c r="AB133" s="29"/>
      <c r="AC133" s="29"/>
      <c r="AD133" s="29"/>
      <c r="AE133" s="29"/>
      <c r="AF133" s="29"/>
      <c r="AG133" s="29"/>
    </row>
    <row r="134">
      <c r="A134" s="40" t="s">
        <v>1540</v>
      </c>
      <c r="B134" s="40" t="s">
        <v>697</v>
      </c>
      <c r="C134" s="44" t="s">
        <v>58</v>
      </c>
      <c r="D134" s="47" t="s">
        <v>60</v>
      </c>
      <c r="E134" s="40" t="s">
        <v>1649</v>
      </c>
      <c r="F134" s="40" t="s">
        <v>1650</v>
      </c>
      <c r="G134" s="50" t="s">
        <v>1631</v>
      </c>
      <c r="H134" s="53">
        <v>45841.0</v>
      </c>
      <c r="I134" s="63">
        <f>IFERROR(__xludf.DUMMYFUNCTION("IF(ISBLANK(H134), TODAY()-TO_DATE(G134), TO_DATE(H134)-TO_DATE(G134))+1"),14.0)</f>
        <v>14</v>
      </c>
      <c r="J134" s="40">
        <v>500.0</v>
      </c>
      <c r="K134" s="40" t="s">
        <v>1651</v>
      </c>
      <c r="L134" s="88"/>
      <c r="M134" s="72"/>
      <c r="N134" s="29"/>
      <c r="O134" s="29"/>
      <c r="P134" s="29"/>
      <c r="Q134" s="29"/>
      <c r="R134" s="29"/>
      <c r="S134" s="29"/>
      <c r="T134" s="29"/>
      <c r="U134" s="29"/>
      <c r="V134" s="29"/>
      <c r="W134" s="29"/>
      <c r="X134" s="29"/>
      <c r="Y134" s="29"/>
      <c r="Z134" s="29"/>
      <c r="AA134" s="29"/>
      <c r="AB134" s="29"/>
      <c r="AC134" s="29"/>
      <c r="AD134" s="29"/>
      <c r="AE134" s="29"/>
      <c r="AF134" s="29"/>
      <c r="AG134" s="29"/>
    </row>
    <row r="135">
      <c r="A135" s="40" t="s">
        <v>1510</v>
      </c>
      <c r="B135" s="40" t="s">
        <v>697</v>
      </c>
      <c r="C135" s="44" t="s">
        <v>201</v>
      </c>
      <c r="D135" s="47" t="s">
        <v>60</v>
      </c>
      <c r="E135" s="40" t="s">
        <v>1658</v>
      </c>
      <c r="F135" s="40" t="s">
        <v>1659</v>
      </c>
      <c r="G135" s="50" t="s">
        <v>1631</v>
      </c>
      <c r="H135" s="53">
        <v>45841.0</v>
      </c>
      <c r="I135" s="63">
        <f>IFERROR(__xludf.DUMMYFUNCTION("IF(ISBLANK(H135), TODAY()-TO_DATE(G135), TO_DATE(H135)-TO_DATE(G135))+1"),14.0)</f>
        <v>14</v>
      </c>
      <c r="J135" s="40">
        <v>500.0</v>
      </c>
      <c r="K135" s="40" t="s">
        <v>1660</v>
      </c>
      <c r="L135" s="69" t="s">
        <v>1661</v>
      </c>
      <c r="M135" s="72"/>
      <c r="N135" s="29"/>
      <c r="O135" s="29"/>
      <c r="P135" s="29"/>
      <c r="Q135" s="29"/>
      <c r="R135" s="29"/>
      <c r="S135" s="29"/>
      <c r="T135" s="29"/>
      <c r="U135" s="29"/>
      <c r="V135" s="29"/>
      <c r="W135" s="29"/>
      <c r="X135" s="29"/>
      <c r="Y135" s="29"/>
      <c r="Z135" s="29"/>
      <c r="AA135" s="29"/>
      <c r="AB135" s="29"/>
      <c r="AC135" s="29"/>
      <c r="AD135" s="29"/>
      <c r="AE135" s="29"/>
      <c r="AF135" s="29"/>
      <c r="AG135" s="29"/>
    </row>
    <row r="136">
      <c r="A136" s="40" t="s">
        <v>1540</v>
      </c>
      <c r="B136" s="40" t="s">
        <v>697</v>
      </c>
      <c r="C136" s="44" t="s">
        <v>213</v>
      </c>
      <c r="D136" s="47" t="s">
        <v>60</v>
      </c>
      <c r="E136" s="40" t="s">
        <v>1665</v>
      </c>
      <c r="F136" s="40" t="s">
        <v>1666</v>
      </c>
      <c r="G136" s="50" t="s">
        <v>1631</v>
      </c>
      <c r="H136" s="53">
        <v>45840.0</v>
      </c>
      <c r="I136" s="63">
        <f>IFERROR(__xludf.DUMMYFUNCTION("IF(ISBLANK(H136), TODAY()-TO_DATE(G136), TO_DATE(H136)-TO_DATE(G136))+1"),13.0)</f>
        <v>13</v>
      </c>
      <c r="J136" s="40">
        <v>500.0</v>
      </c>
      <c r="K136" s="40" t="s">
        <v>1668</v>
      </c>
      <c r="L136" s="88"/>
      <c r="M136" s="72"/>
      <c r="N136" s="29"/>
      <c r="O136" s="29"/>
      <c r="P136" s="29"/>
      <c r="Q136" s="29"/>
      <c r="R136" s="29"/>
      <c r="S136" s="29"/>
      <c r="T136" s="29"/>
      <c r="U136" s="29"/>
      <c r="V136" s="29"/>
      <c r="W136" s="29"/>
      <c r="X136" s="29"/>
      <c r="Y136" s="29"/>
      <c r="Z136" s="29"/>
      <c r="AA136" s="29"/>
      <c r="AB136" s="29"/>
      <c r="AC136" s="29"/>
      <c r="AD136" s="29"/>
      <c r="AE136" s="29"/>
      <c r="AF136" s="29"/>
      <c r="AG136" s="29"/>
    </row>
    <row r="137">
      <c r="A137" s="40" t="s">
        <v>1510</v>
      </c>
      <c r="B137" s="40" t="s">
        <v>697</v>
      </c>
      <c r="C137" s="44" t="s">
        <v>287</v>
      </c>
      <c r="D137" s="47" t="s">
        <v>60</v>
      </c>
      <c r="E137" s="40" t="s">
        <v>1673</v>
      </c>
      <c r="F137" s="40" t="s">
        <v>1674</v>
      </c>
      <c r="G137" s="50" t="s">
        <v>1631</v>
      </c>
      <c r="H137" s="53">
        <v>45840.0</v>
      </c>
      <c r="I137" s="63">
        <f>IFERROR(__xludf.DUMMYFUNCTION("IF(ISBLANK(H137), TODAY()-TO_DATE(G137), TO_DATE(H137)-TO_DATE(G137))+1"),13.0)</f>
        <v>13</v>
      </c>
      <c r="J137" s="40">
        <v>500.0</v>
      </c>
      <c r="K137" s="40" t="s">
        <v>1676</v>
      </c>
      <c r="L137" s="88"/>
      <c r="M137" s="72"/>
      <c r="N137" s="29"/>
      <c r="O137" s="29"/>
      <c r="P137" s="29"/>
      <c r="Q137" s="29"/>
      <c r="R137" s="29"/>
      <c r="S137" s="29"/>
      <c r="T137" s="29"/>
      <c r="U137" s="29"/>
      <c r="V137" s="29"/>
      <c r="W137" s="29"/>
      <c r="X137" s="29"/>
      <c r="Y137" s="29"/>
      <c r="Z137" s="29"/>
      <c r="AA137" s="29"/>
      <c r="AB137" s="29"/>
      <c r="AC137" s="29"/>
      <c r="AD137" s="29"/>
      <c r="AE137" s="29"/>
      <c r="AF137" s="29"/>
      <c r="AG137" s="29"/>
    </row>
    <row r="138">
      <c r="A138" s="40" t="s">
        <v>1510</v>
      </c>
      <c r="B138" s="40" t="s">
        <v>697</v>
      </c>
      <c r="C138" s="44" t="s">
        <v>212</v>
      </c>
      <c r="D138" s="47" t="s">
        <v>60</v>
      </c>
      <c r="E138" s="40" t="s">
        <v>1680</v>
      </c>
      <c r="F138" s="40" t="s">
        <v>1681</v>
      </c>
      <c r="G138" s="50" t="s">
        <v>1631</v>
      </c>
      <c r="H138" s="53">
        <v>45840.0</v>
      </c>
      <c r="I138" s="63">
        <f>IFERROR(__xludf.DUMMYFUNCTION("IF(ISBLANK(H138), TODAY()-TO_DATE(G138), TO_DATE(H138)-TO_DATE(G138))+1"),13.0)</f>
        <v>13</v>
      </c>
      <c r="J138" s="40">
        <v>500.0</v>
      </c>
      <c r="K138" s="40" t="s">
        <v>1683</v>
      </c>
      <c r="L138" s="88"/>
      <c r="M138" s="72"/>
      <c r="N138" s="29"/>
      <c r="O138" s="29"/>
      <c r="P138" s="29"/>
      <c r="Q138" s="29"/>
      <c r="R138" s="29"/>
      <c r="S138" s="29"/>
      <c r="T138" s="29"/>
      <c r="U138" s="29"/>
      <c r="V138" s="29"/>
      <c r="W138" s="29"/>
      <c r="X138" s="29"/>
      <c r="Y138" s="29"/>
      <c r="Z138" s="29"/>
      <c r="AA138" s="29"/>
      <c r="AB138" s="29"/>
      <c r="AC138" s="29"/>
      <c r="AD138" s="29"/>
      <c r="AE138" s="29"/>
      <c r="AF138" s="29"/>
      <c r="AG138" s="29"/>
    </row>
    <row r="139">
      <c r="A139" s="40" t="s">
        <v>660</v>
      </c>
      <c r="B139" s="40" t="s">
        <v>697</v>
      </c>
      <c r="C139" s="44" t="s">
        <v>58</v>
      </c>
      <c r="D139" s="47" t="s">
        <v>60</v>
      </c>
      <c r="E139" s="40" t="s">
        <v>1686</v>
      </c>
      <c r="F139" s="40" t="s">
        <v>1687</v>
      </c>
      <c r="G139" s="50" t="s">
        <v>1631</v>
      </c>
      <c r="H139" s="53">
        <v>45871.0</v>
      </c>
      <c r="I139" s="63">
        <f>IFERROR(__xludf.DUMMYFUNCTION("IF(ISBLANK(H139), TODAY()-TO_DATE(G139), TO_DATE(H139)-TO_DATE(G139))+1"),44.0)</f>
        <v>44</v>
      </c>
      <c r="J139" s="40">
        <v>500.0</v>
      </c>
      <c r="K139" s="40" t="s">
        <v>1691</v>
      </c>
      <c r="L139" s="88"/>
      <c r="M139" s="72"/>
      <c r="N139" s="29"/>
      <c r="O139" s="29"/>
      <c r="P139" s="29"/>
      <c r="Q139" s="29"/>
      <c r="R139" s="29"/>
      <c r="S139" s="29"/>
      <c r="T139" s="29"/>
      <c r="U139" s="29"/>
      <c r="V139" s="29"/>
      <c r="W139" s="29"/>
      <c r="X139" s="29"/>
      <c r="Y139" s="29"/>
      <c r="Z139" s="29"/>
      <c r="AA139" s="29"/>
      <c r="AB139" s="29"/>
      <c r="AC139" s="29"/>
      <c r="AD139" s="29"/>
      <c r="AE139" s="29"/>
      <c r="AF139" s="29"/>
      <c r="AG139" s="29"/>
    </row>
    <row r="140">
      <c r="A140" s="40" t="s">
        <v>660</v>
      </c>
      <c r="B140" s="40" t="s">
        <v>697</v>
      </c>
      <c r="C140" s="44" t="s">
        <v>201</v>
      </c>
      <c r="D140" s="47" t="s">
        <v>60</v>
      </c>
      <c r="E140" s="40" t="s">
        <v>1694</v>
      </c>
      <c r="F140" s="40" t="s">
        <v>1695</v>
      </c>
      <c r="G140" s="50" t="s">
        <v>1631</v>
      </c>
      <c r="H140" s="53">
        <v>45871.0</v>
      </c>
      <c r="I140" s="63">
        <f>IFERROR(__xludf.DUMMYFUNCTION("IF(ISBLANK(H140), TODAY()-TO_DATE(G140), TO_DATE(H140)-TO_DATE(G140))+1"),44.0)</f>
        <v>44</v>
      </c>
      <c r="J140" s="40">
        <v>500.0</v>
      </c>
      <c r="K140" s="40" t="s">
        <v>1697</v>
      </c>
      <c r="L140" s="69" t="s">
        <v>1698</v>
      </c>
      <c r="M140" s="72"/>
      <c r="N140" s="29"/>
      <c r="O140" s="29"/>
      <c r="P140" s="29"/>
      <c r="Q140" s="29"/>
      <c r="R140" s="29"/>
      <c r="S140" s="29"/>
      <c r="T140" s="29"/>
      <c r="U140" s="29"/>
      <c r="V140" s="29"/>
      <c r="W140" s="29"/>
      <c r="X140" s="29"/>
      <c r="Y140" s="29"/>
      <c r="Z140" s="29"/>
      <c r="AA140" s="29"/>
      <c r="AB140" s="29"/>
      <c r="AC140" s="29"/>
      <c r="AD140" s="29"/>
      <c r="AE140" s="29"/>
      <c r="AF140" s="29"/>
      <c r="AG140" s="29"/>
    </row>
    <row r="141">
      <c r="A141" s="40" t="s">
        <v>660</v>
      </c>
      <c r="B141" s="40" t="s">
        <v>697</v>
      </c>
      <c r="C141" s="44" t="s">
        <v>287</v>
      </c>
      <c r="D141" s="47" t="s">
        <v>60</v>
      </c>
      <c r="E141" s="40" t="s">
        <v>1701</v>
      </c>
      <c r="F141" s="40" t="s">
        <v>1702</v>
      </c>
      <c r="G141" s="50" t="s">
        <v>1631</v>
      </c>
      <c r="H141" s="53">
        <v>45870.0</v>
      </c>
      <c r="I141" s="63">
        <f>IFERROR(__xludf.DUMMYFUNCTION("IF(ISBLANK(H141), TODAY()-TO_DATE(G141), TO_DATE(H141)-TO_DATE(G141))+1"),43.0)</f>
        <v>43</v>
      </c>
      <c r="J141" s="40">
        <v>500.0</v>
      </c>
      <c r="K141" s="40" t="s">
        <v>1707</v>
      </c>
      <c r="L141" s="69" t="s">
        <v>1708</v>
      </c>
      <c r="M141" s="72"/>
      <c r="N141" s="29"/>
      <c r="O141" s="29"/>
      <c r="P141" s="29"/>
      <c r="Q141" s="29"/>
      <c r="R141" s="29"/>
      <c r="S141" s="29"/>
      <c r="T141" s="29"/>
      <c r="U141" s="29"/>
      <c r="V141" s="29"/>
      <c r="W141" s="29"/>
      <c r="X141" s="29"/>
      <c r="Y141" s="29"/>
      <c r="Z141" s="29"/>
      <c r="AA141" s="29"/>
      <c r="AB141" s="29"/>
      <c r="AC141" s="29"/>
      <c r="AD141" s="29"/>
      <c r="AE141" s="29"/>
      <c r="AF141" s="29"/>
      <c r="AG141" s="29"/>
    </row>
    <row r="142">
      <c r="A142" s="40" t="s">
        <v>660</v>
      </c>
      <c r="B142" s="40" t="s">
        <v>697</v>
      </c>
      <c r="C142" s="44" t="s">
        <v>201</v>
      </c>
      <c r="D142" s="47" t="s">
        <v>60</v>
      </c>
      <c r="E142" s="40" t="s">
        <v>1713</v>
      </c>
      <c r="F142" s="40" t="s">
        <v>1714</v>
      </c>
      <c r="G142" s="50" t="s">
        <v>1631</v>
      </c>
      <c r="H142" s="53">
        <v>45870.0</v>
      </c>
      <c r="I142" s="63">
        <f>IFERROR(__xludf.DUMMYFUNCTION("IF(ISBLANK(H142), TODAY()-TO_DATE(G142), TO_DATE(H142)-TO_DATE(G142))+1"),43.0)</f>
        <v>43</v>
      </c>
      <c r="J142" s="40">
        <v>500.0</v>
      </c>
      <c r="K142" s="40" t="s">
        <v>1716</v>
      </c>
      <c r="L142" s="88"/>
      <c r="M142" s="72"/>
      <c r="N142" s="29"/>
      <c r="O142" s="29"/>
      <c r="P142" s="29"/>
      <c r="Q142" s="29"/>
      <c r="R142" s="29"/>
      <c r="S142" s="29"/>
      <c r="T142" s="29"/>
      <c r="U142" s="29"/>
      <c r="V142" s="29"/>
      <c r="W142" s="29"/>
      <c r="X142" s="29"/>
      <c r="Y142" s="29"/>
      <c r="Z142" s="29"/>
      <c r="AA142" s="29"/>
      <c r="AB142" s="29"/>
      <c r="AC142" s="29"/>
      <c r="AD142" s="29"/>
      <c r="AE142" s="29"/>
      <c r="AF142" s="29"/>
      <c r="AG142" s="29"/>
    </row>
    <row r="143">
      <c r="A143" s="40" t="s">
        <v>660</v>
      </c>
      <c r="B143" s="40" t="s">
        <v>697</v>
      </c>
      <c r="C143" s="44" t="s">
        <v>228</v>
      </c>
      <c r="D143" s="47" t="s">
        <v>60</v>
      </c>
      <c r="E143" s="40" t="s">
        <v>1722</v>
      </c>
      <c r="F143" s="40" t="s">
        <v>1723</v>
      </c>
      <c r="G143" s="50" t="s">
        <v>1631</v>
      </c>
      <c r="H143" s="53">
        <v>45856.0</v>
      </c>
      <c r="I143" s="63">
        <f>IFERROR(__xludf.DUMMYFUNCTION("IF(ISBLANK(H143), TODAY()-TO_DATE(G143), TO_DATE(H143)-TO_DATE(G143))+1"),29.0)</f>
        <v>29</v>
      </c>
      <c r="J143" s="40">
        <v>500.0</v>
      </c>
      <c r="K143" s="40" t="s">
        <v>1726</v>
      </c>
      <c r="L143" s="69" t="s">
        <v>1727</v>
      </c>
      <c r="M143" s="72"/>
      <c r="N143" s="29"/>
      <c r="O143" s="29"/>
      <c r="P143" s="29"/>
      <c r="Q143" s="29"/>
      <c r="R143" s="29"/>
      <c r="S143" s="29"/>
      <c r="T143" s="29"/>
      <c r="U143" s="29"/>
      <c r="V143" s="29"/>
      <c r="W143" s="29"/>
      <c r="X143" s="29"/>
      <c r="Y143" s="29"/>
      <c r="Z143" s="29"/>
      <c r="AA143" s="29"/>
      <c r="AB143" s="29"/>
      <c r="AC143" s="29"/>
      <c r="AD143" s="29"/>
      <c r="AE143" s="29"/>
      <c r="AF143" s="29"/>
      <c r="AG143" s="29"/>
    </row>
    <row r="144">
      <c r="A144" s="40" t="s">
        <v>660</v>
      </c>
      <c r="B144" s="40" t="s">
        <v>697</v>
      </c>
      <c r="C144" s="44" t="s">
        <v>178</v>
      </c>
      <c r="D144" s="47" t="s">
        <v>60</v>
      </c>
      <c r="E144" s="40" t="s">
        <v>1732</v>
      </c>
      <c r="F144" s="40" t="s">
        <v>1476</v>
      </c>
      <c r="G144" s="50" t="s">
        <v>1631</v>
      </c>
      <c r="H144" s="53">
        <v>45833.0</v>
      </c>
      <c r="I144" s="63">
        <f>IFERROR(__xludf.DUMMYFUNCTION("IF(ISBLANK(H144), TODAY()-TO_DATE(G144), TO_DATE(H144)-TO_DATE(G144))+1"),6.0)</f>
        <v>6</v>
      </c>
      <c r="J144" s="40">
        <v>300.0</v>
      </c>
      <c r="K144" s="40" t="s">
        <v>1737</v>
      </c>
      <c r="L144" s="69" t="s">
        <v>1738</v>
      </c>
      <c r="M144" s="72"/>
      <c r="N144" s="29"/>
      <c r="O144" s="29"/>
      <c r="P144" s="29"/>
      <c r="Q144" s="29"/>
      <c r="R144" s="29"/>
      <c r="S144" s="29"/>
      <c r="T144" s="29"/>
      <c r="U144" s="29"/>
      <c r="V144" s="29"/>
      <c r="W144" s="29"/>
      <c r="X144" s="29"/>
      <c r="Y144" s="29"/>
      <c r="Z144" s="29"/>
      <c r="AA144" s="29"/>
      <c r="AB144" s="29"/>
      <c r="AC144" s="29"/>
      <c r="AD144" s="29"/>
      <c r="AE144" s="29"/>
      <c r="AF144" s="29"/>
      <c r="AG144" s="29"/>
    </row>
    <row r="145">
      <c r="A145" s="40" t="s">
        <v>1510</v>
      </c>
      <c r="B145" s="40" t="s">
        <v>697</v>
      </c>
      <c r="C145" s="44" t="s">
        <v>139</v>
      </c>
      <c r="D145" s="47" t="s">
        <v>60</v>
      </c>
      <c r="E145" s="40" t="s">
        <v>1742</v>
      </c>
      <c r="F145" s="40" t="s">
        <v>1743</v>
      </c>
      <c r="G145" s="50" t="s">
        <v>1744</v>
      </c>
      <c r="H145" s="53">
        <v>45872.0</v>
      </c>
      <c r="I145" s="63">
        <f>IFERROR(__xludf.DUMMYFUNCTION("IF(ISBLANK(H145), TODAY()-TO_DATE(G145), TO_DATE(H145)-TO_DATE(G145))+1"),44.0)</f>
        <v>44</v>
      </c>
      <c r="J145" s="40">
        <v>500.0</v>
      </c>
      <c r="K145" s="40" t="s">
        <v>1748</v>
      </c>
      <c r="L145" s="69" t="s">
        <v>1750</v>
      </c>
      <c r="M145" s="72"/>
      <c r="N145" s="29"/>
      <c r="O145" s="29"/>
      <c r="P145" s="29"/>
      <c r="Q145" s="29"/>
      <c r="R145" s="29"/>
      <c r="S145" s="29"/>
      <c r="T145" s="29"/>
      <c r="U145" s="29"/>
      <c r="V145" s="29"/>
      <c r="W145" s="29"/>
      <c r="X145" s="29"/>
      <c r="Y145" s="29"/>
      <c r="Z145" s="29"/>
      <c r="AA145" s="29"/>
      <c r="AB145" s="29"/>
      <c r="AC145" s="29"/>
      <c r="AD145" s="29"/>
      <c r="AE145" s="29"/>
      <c r="AF145" s="29"/>
      <c r="AG145" s="29"/>
    </row>
    <row r="146">
      <c r="A146" s="40" t="s">
        <v>1510</v>
      </c>
      <c r="B146" s="40" t="s">
        <v>697</v>
      </c>
      <c r="C146" s="44" t="s">
        <v>1756</v>
      </c>
      <c r="D146" s="47" t="s">
        <v>60</v>
      </c>
      <c r="E146" s="40" t="s">
        <v>1757</v>
      </c>
      <c r="F146" s="40" t="s">
        <v>1759</v>
      </c>
      <c r="G146" s="50" t="s">
        <v>1744</v>
      </c>
      <c r="H146" s="53">
        <v>45851.0</v>
      </c>
      <c r="I146" s="63">
        <f>IFERROR(__xludf.DUMMYFUNCTION("IF(ISBLANK(H146), TODAY()-TO_DATE(G146), TO_DATE(H146)-TO_DATE(G146))+1"),23.0)</f>
        <v>23</v>
      </c>
      <c r="J146" s="40">
        <v>500.0</v>
      </c>
      <c r="K146" s="40" t="s">
        <v>1766</v>
      </c>
      <c r="L146" s="69" t="s">
        <v>1767</v>
      </c>
      <c r="M146" s="72"/>
      <c r="N146" s="29"/>
      <c r="O146" s="29"/>
      <c r="P146" s="29"/>
      <c r="Q146" s="29"/>
      <c r="R146" s="29"/>
      <c r="S146" s="29"/>
      <c r="T146" s="29"/>
      <c r="U146" s="29"/>
      <c r="V146" s="29"/>
      <c r="W146" s="29"/>
      <c r="X146" s="29"/>
      <c r="Y146" s="29"/>
      <c r="Z146" s="29"/>
      <c r="AA146" s="29"/>
      <c r="AB146" s="29"/>
      <c r="AC146" s="29"/>
      <c r="AD146" s="29"/>
      <c r="AE146" s="29"/>
      <c r="AF146" s="29"/>
      <c r="AG146" s="29"/>
    </row>
    <row r="147">
      <c r="A147" s="40" t="s">
        <v>1510</v>
      </c>
      <c r="B147" s="40" t="s">
        <v>697</v>
      </c>
      <c r="C147" s="44" t="s">
        <v>786</v>
      </c>
      <c r="D147" s="47" t="s">
        <v>60</v>
      </c>
      <c r="E147" s="40" t="s">
        <v>1771</v>
      </c>
      <c r="F147" s="40" t="s">
        <v>1772</v>
      </c>
      <c r="G147" s="50" t="s">
        <v>1744</v>
      </c>
      <c r="H147" s="53">
        <v>45844.0</v>
      </c>
      <c r="I147" s="63">
        <f>IFERROR(__xludf.DUMMYFUNCTION("IF(ISBLANK(H147), TODAY()-TO_DATE(G147), TO_DATE(H147)-TO_DATE(G147))+1"),16.0)</f>
        <v>16</v>
      </c>
      <c r="J147" s="40">
        <v>500.0</v>
      </c>
      <c r="K147" s="40" t="s">
        <v>1776</v>
      </c>
      <c r="L147" s="88"/>
      <c r="M147" s="72"/>
      <c r="N147" s="29"/>
      <c r="O147" s="29"/>
      <c r="P147" s="29"/>
      <c r="Q147" s="29"/>
      <c r="R147" s="29"/>
      <c r="S147" s="29"/>
      <c r="T147" s="29"/>
      <c r="U147" s="29"/>
      <c r="V147" s="29"/>
      <c r="W147" s="29"/>
      <c r="X147" s="29"/>
      <c r="Y147" s="29"/>
      <c r="Z147" s="29"/>
      <c r="AA147" s="29"/>
      <c r="AB147" s="29"/>
      <c r="AC147" s="29"/>
      <c r="AD147" s="29"/>
      <c r="AE147" s="29"/>
      <c r="AF147" s="29"/>
      <c r="AG147" s="29"/>
    </row>
    <row r="148">
      <c r="A148" s="40" t="s">
        <v>1510</v>
      </c>
      <c r="B148" s="40" t="s">
        <v>697</v>
      </c>
      <c r="C148" s="44" t="s">
        <v>1637</v>
      </c>
      <c r="D148" s="47" t="s">
        <v>60</v>
      </c>
      <c r="E148" s="40" t="s">
        <v>1783</v>
      </c>
      <c r="F148" s="40" t="s">
        <v>1784</v>
      </c>
      <c r="G148" s="50" t="s">
        <v>1744</v>
      </c>
      <c r="H148" s="53">
        <v>45839.0</v>
      </c>
      <c r="I148" s="63">
        <f>IFERROR(__xludf.DUMMYFUNCTION("IF(ISBLANK(H148), TODAY()-TO_DATE(G148), TO_DATE(H148)-TO_DATE(G148))+1"),11.0)</f>
        <v>11</v>
      </c>
      <c r="J148" s="40">
        <v>500.0</v>
      </c>
      <c r="K148" s="40" t="s">
        <v>1785</v>
      </c>
      <c r="L148" s="69" t="s">
        <v>1786</v>
      </c>
      <c r="M148" s="72"/>
      <c r="N148" s="29"/>
      <c r="O148" s="29"/>
      <c r="P148" s="29"/>
      <c r="Q148" s="29"/>
      <c r="R148" s="29"/>
      <c r="S148" s="29"/>
      <c r="T148" s="29"/>
      <c r="U148" s="29"/>
      <c r="V148" s="29"/>
      <c r="W148" s="29"/>
      <c r="X148" s="29"/>
      <c r="Y148" s="29"/>
      <c r="Z148" s="29"/>
      <c r="AA148" s="29"/>
      <c r="AB148" s="29"/>
      <c r="AC148" s="29"/>
      <c r="AD148" s="29"/>
      <c r="AE148" s="29"/>
      <c r="AF148" s="29"/>
      <c r="AG148" s="29"/>
    </row>
    <row r="149">
      <c r="A149" s="40" t="s">
        <v>1510</v>
      </c>
      <c r="B149" s="40" t="s">
        <v>697</v>
      </c>
      <c r="C149" s="44" t="s">
        <v>1522</v>
      </c>
      <c r="D149" s="47" t="s">
        <v>60</v>
      </c>
      <c r="E149" s="40" t="s">
        <v>1791</v>
      </c>
      <c r="F149" s="40" t="s">
        <v>1792</v>
      </c>
      <c r="G149" s="50" t="s">
        <v>1744</v>
      </c>
      <c r="H149" s="53">
        <v>45839.0</v>
      </c>
      <c r="I149" s="63">
        <f>IFERROR(__xludf.DUMMYFUNCTION("IF(ISBLANK(H149), TODAY()-TO_DATE(G149), TO_DATE(H149)-TO_DATE(G149))+1"),11.0)</f>
        <v>11</v>
      </c>
      <c r="J149" s="40">
        <v>500.0</v>
      </c>
      <c r="K149" s="40" t="s">
        <v>1798</v>
      </c>
      <c r="L149" s="88"/>
      <c r="M149" s="72"/>
      <c r="N149" s="29"/>
      <c r="O149" s="29"/>
      <c r="P149" s="29"/>
      <c r="Q149" s="29"/>
      <c r="R149" s="29"/>
      <c r="S149" s="29"/>
      <c r="T149" s="29"/>
      <c r="U149" s="29"/>
      <c r="V149" s="29"/>
      <c r="W149" s="29"/>
      <c r="X149" s="29"/>
      <c r="Y149" s="29"/>
      <c r="Z149" s="29"/>
      <c r="AA149" s="29"/>
      <c r="AB149" s="29"/>
      <c r="AC149" s="29"/>
      <c r="AD149" s="29"/>
      <c r="AE149" s="29"/>
      <c r="AF149" s="29"/>
      <c r="AG149" s="29"/>
    </row>
    <row r="150">
      <c r="A150" s="40" t="s">
        <v>1510</v>
      </c>
      <c r="B150" s="40" t="s">
        <v>697</v>
      </c>
      <c r="C150" s="44" t="s">
        <v>1637</v>
      </c>
      <c r="D150" s="47" t="s">
        <v>60</v>
      </c>
      <c r="E150" s="40" t="s">
        <v>1800</v>
      </c>
      <c r="F150" s="40" t="s">
        <v>1802</v>
      </c>
      <c r="G150" s="50" t="s">
        <v>1744</v>
      </c>
      <c r="H150" s="53">
        <v>45833.0</v>
      </c>
      <c r="I150" s="63">
        <f>IFERROR(__xludf.DUMMYFUNCTION("IF(ISBLANK(H150), TODAY()-TO_DATE(G150), TO_DATE(H150)-TO_DATE(G150))+1"),5.0)</f>
        <v>5</v>
      </c>
      <c r="J150" s="40">
        <v>500.0</v>
      </c>
      <c r="K150" s="40" t="s">
        <v>1808</v>
      </c>
      <c r="L150" s="88"/>
      <c r="M150" s="72"/>
      <c r="N150" s="29"/>
      <c r="O150" s="29"/>
      <c r="P150" s="29"/>
      <c r="Q150" s="29"/>
      <c r="R150" s="29"/>
      <c r="S150" s="29"/>
      <c r="T150" s="29"/>
      <c r="U150" s="29"/>
      <c r="V150" s="29"/>
      <c r="W150" s="29"/>
      <c r="X150" s="29"/>
      <c r="Y150" s="29"/>
      <c r="Z150" s="29"/>
      <c r="AA150" s="29"/>
      <c r="AB150" s="29"/>
      <c r="AC150" s="29"/>
      <c r="AD150" s="29"/>
      <c r="AE150" s="29"/>
      <c r="AF150" s="29"/>
      <c r="AG150" s="29"/>
    </row>
    <row r="151">
      <c r="A151" s="65" t="s">
        <v>1540</v>
      </c>
      <c r="B151" s="40" t="s">
        <v>697</v>
      </c>
      <c r="C151" s="44" t="s">
        <v>213</v>
      </c>
      <c r="D151" s="47" t="s">
        <v>60</v>
      </c>
      <c r="E151" s="40" t="s">
        <v>1811</v>
      </c>
      <c r="F151" s="40" t="s">
        <v>1275</v>
      </c>
      <c r="G151" s="296" t="s">
        <v>1814</v>
      </c>
      <c r="H151" s="297">
        <v>45837.0</v>
      </c>
      <c r="I151" s="63">
        <f>IFERROR(__xludf.DUMMYFUNCTION("IF(ISBLANK(H151), TODAY()-TO_DATE(G151), TO_DATE(H151)-TO_DATE(G151))+1"),5.0)</f>
        <v>5</v>
      </c>
      <c r="J151" s="65">
        <v>300.0</v>
      </c>
      <c r="K151" s="65" t="s">
        <v>1818</v>
      </c>
      <c r="L151" s="147"/>
      <c r="M151" s="72"/>
      <c r="N151" s="29"/>
      <c r="O151" s="29"/>
      <c r="P151" s="29"/>
      <c r="Q151" s="29"/>
      <c r="R151" s="29"/>
      <c r="S151" s="29"/>
      <c r="T151" s="29"/>
      <c r="U151" s="29"/>
      <c r="V151" s="29"/>
      <c r="W151" s="29"/>
      <c r="X151" s="29"/>
      <c r="Y151" s="29"/>
      <c r="Z151" s="29"/>
      <c r="AA151" s="29"/>
      <c r="AB151" s="29"/>
      <c r="AC151" s="29"/>
      <c r="AD151" s="29"/>
      <c r="AE151" s="29"/>
      <c r="AF151" s="29"/>
      <c r="AG151" s="29"/>
    </row>
    <row r="152">
      <c r="A152" s="65" t="s">
        <v>1540</v>
      </c>
      <c r="B152" s="40" t="s">
        <v>697</v>
      </c>
      <c r="C152" s="44" t="s">
        <v>139</v>
      </c>
      <c r="D152" s="47" t="s">
        <v>60</v>
      </c>
      <c r="E152" s="40" t="s">
        <v>1824</v>
      </c>
      <c r="F152" s="40" t="s">
        <v>1825</v>
      </c>
      <c r="G152" s="296" t="s">
        <v>1814</v>
      </c>
      <c r="H152" s="297">
        <v>45840.0</v>
      </c>
      <c r="I152" s="63">
        <f>IFERROR(__xludf.DUMMYFUNCTION("IF(ISBLANK(H152), TODAY()-TO_DATE(G152), TO_DATE(H152)-TO_DATE(G152))+1"),8.0)</f>
        <v>8</v>
      </c>
      <c r="J152" s="65">
        <v>300.0</v>
      </c>
      <c r="K152" s="65" t="s">
        <v>1827</v>
      </c>
      <c r="L152" s="147"/>
      <c r="M152" s="72"/>
      <c r="N152" s="29"/>
      <c r="O152" s="29"/>
      <c r="P152" s="29"/>
      <c r="Q152" s="29"/>
      <c r="R152" s="29"/>
      <c r="S152" s="29"/>
      <c r="T152" s="29"/>
      <c r="U152" s="29"/>
      <c r="V152" s="29"/>
      <c r="W152" s="29"/>
      <c r="X152" s="29"/>
      <c r="Y152" s="29"/>
      <c r="Z152" s="29"/>
      <c r="AA152" s="29"/>
      <c r="AB152" s="29"/>
      <c r="AC152" s="29"/>
      <c r="AD152" s="29"/>
      <c r="AE152" s="29"/>
      <c r="AF152" s="29"/>
      <c r="AG152" s="29"/>
    </row>
    <row r="153">
      <c r="A153" s="65" t="s">
        <v>1540</v>
      </c>
      <c r="B153" s="40" t="s">
        <v>697</v>
      </c>
      <c r="C153" s="44" t="s">
        <v>170</v>
      </c>
      <c r="D153" s="47" t="s">
        <v>96</v>
      </c>
      <c r="E153" s="40" t="s">
        <v>1833</v>
      </c>
      <c r="F153" s="40" t="s">
        <v>1834</v>
      </c>
      <c r="G153" s="296" t="s">
        <v>1814</v>
      </c>
      <c r="H153" s="297">
        <v>45845.0</v>
      </c>
      <c r="I153" s="63">
        <f>IFERROR(__xludf.DUMMYFUNCTION("IF(ISBLANK(H153), TODAY()-TO_DATE(G153), TO_DATE(H153)-TO_DATE(G153))+1"),13.0)</f>
        <v>13</v>
      </c>
      <c r="J153" s="65">
        <v>300.0</v>
      </c>
      <c r="K153" s="65" t="s">
        <v>1835</v>
      </c>
      <c r="L153" s="147"/>
      <c r="M153" s="72"/>
      <c r="N153" s="29"/>
      <c r="O153" s="29"/>
      <c r="P153" s="29"/>
      <c r="Q153" s="29"/>
      <c r="R153" s="29"/>
      <c r="S153" s="29"/>
      <c r="T153" s="29"/>
      <c r="U153" s="29"/>
      <c r="V153" s="29"/>
      <c r="W153" s="29"/>
      <c r="X153" s="29"/>
      <c r="Y153" s="29"/>
      <c r="Z153" s="29"/>
      <c r="AA153" s="29"/>
      <c r="AB153" s="29"/>
      <c r="AC153" s="29"/>
      <c r="AD153" s="29"/>
      <c r="AE153" s="29"/>
      <c r="AF153" s="29"/>
      <c r="AG153" s="29"/>
    </row>
    <row r="154">
      <c r="A154" s="65" t="s">
        <v>1540</v>
      </c>
      <c r="B154" s="40" t="s">
        <v>697</v>
      </c>
      <c r="C154" s="44" t="s">
        <v>1839</v>
      </c>
      <c r="D154" s="47" t="s">
        <v>60</v>
      </c>
      <c r="E154" s="40" t="s">
        <v>1841</v>
      </c>
      <c r="F154" s="40" t="s">
        <v>1842</v>
      </c>
      <c r="G154" s="296" t="s">
        <v>1814</v>
      </c>
      <c r="H154" s="297">
        <v>45840.0</v>
      </c>
      <c r="I154" s="63">
        <f>IFERROR(__xludf.DUMMYFUNCTION("IF(ISBLANK(H154), TODAY()-TO_DATE(G154), TO_DATE(H154)-TO_DATE(G154))+1"),8.0)</f>
        <v>8</v>
      </c>
      <c r="J154" s="65">
        <v>500.0</v>
      </c>
      <c r="K154" s="65" t="s">
        <v>1845</v>
      </c>
      <c r="L154" s="147"/>
      <c r="M154" s="72"/>
      <c r="N154" s="29"/>
      <c r="O154" s="29"/>
      <c r="P154" s="29"/>
      <c r="Q154" s="29"/>
      <c r="R154" s="29"/>
      <c r="S154" s="29"/>
      <c r="T154" s="29"/>
      <c r="U154" s="29"/>
      <c r="V154" s="29"/>
      <c r="W154" s="29"/>
      <c r="X154" s="29"/>
      <c r="Y154" s="29"/>
      <c r="Z154" s="29"/>
      <c r="AA154" s="29"/>
      <c r="AB154" s="29"/>
      <c r="AC154" s="29"/>
      <c r="AD154" s="29"/>
      <c r="AE154" s="29"/>
      <c r="AF154" s="29"/>
      <c r="AG154" s="29"/>
    </row>
    <row r="155">
      <c r="A155" s="65" t="s">
        <v>1540</v>
      </c>
      <c r="B155" s="40" t="s">
        <v>697</v>
      </c>
      <c r="C155" s="44" t="s">
        <v>58</v>
      </c>
      <c r="D155" s="47" t="s">
        <v>60</v>
      </c>
      <c r="E155" s="40" t="s">
        <v>1848</v>
      </c>
      <c r="F155" s="40" t="s">
        <v>1003</v>
      </c>
      <c r="G155" s="296" t="s">
        <v>1814</v>
      </c>
      <c r="H155" s="297">
        <v>45843.0</v>
      </c>
      <c r="I155" s="63">
        <f>IFERROR(__xludf.DUMMYFUNCTION("IF(ISBLANK(H155), TODAY()-TO_DATE(G155), TO_DATE(H155)-TO_DATE(G155))+1"),11.0)</f>
        <v>11</v>
      </c>
      <c r="J155" s="65">
        <v>200.0</v>
      </c>
      <c r="K155" s="65" t="s">
        <v>1851</v>
      </c>
      <c r="L155" s="147"/>
      <c r="M155" s="72"/>
      <c r="N155" s="29"/>
      <c r="O155" s="29"/>
      <c r="P155" s="29"/>
      <c r="Q155" s="29"/>
      <c r="R155" s="29"/>
      <c r="S155" s="29"/>
      <c r="T155" s="29"/>
      <c r="U155" s="29"/>
      <c r="V155" s="29"/>
      <c r="W155" s="29"/>
      <c r="X155" s="29"/>
      <c r="Y155" s="29"/>
      <c r="Z155" s="29"/>
      <c r="AA155" s="29"/>
      <c r="AB155" s="29"/>
      <c r="AC155" s="29"/>
      <c r="AD155" s="29"/>
      <c r="AE155" s="29"/>
      <c r="AF155" s="29"/>
      <c r="AG155" s="29"/>
    </row>
    <row r="156">
      <c r="A156" s="40" t="s">
        <v>1315</v>
      </c>
      <c r="B156" s="40" t="s">
        <v>697</v>
      </c>
      <c r="C156" s="44" t="s">
        <v>213</v>
      </c>
      <c r="D156" s="47" t="s">
        <v>60</v>
      </c>
      <c r="E156" s="40" t="s">
        <v>1854</v>
      </c>
      <c r="F156" s="40" t="s">
        <v>1856</v>
      </c>
      <c r="G156" s="50" t="s">
        <v>1814</v>
      </c>
      <c r="H156" s="53">
        <v>45836.0</v>
      </c>
      <c r="I156" s="63">
        <f>IFERROR(__xludf.DUMMYFUNCTION("IF(ISBLANK(H156), TODAY()-TO_DATE(G156), TO_DATE(H156)-TO_DATE(G156))+1"),4.0)</f>
        <v>4</v>
      </c>
      <c r="J156" s="40">
        <v>500.0</v>
      </c>
      <c r="K156" s="40" t="s">
        <v>1857</v>
      </c>
      <c r="L156" s="69" t="s">
        <v>1858</v>
      </c>
      <c r="M156" s="72"/>
      <c r="N156" s="29"/>
      <c r="O156" s="29"/>
      <c r="P156" s="29"/>
      <c r="Q156" s="29"/>
      <c r="R156" s="29"/>
      <c r="S156" s="29"/>
      <c r="T156" s="29"/>
      <c r="U156" s="29"/>
      <c r="V156" s="29"/>
      <c r="W156" s="29"/>
      <c r="X156" s="29"/>
      <c r="Y156" s="29"/>
      <c r="Z156" s="29"/>
      <c r="AA156" s="29"/>
      <c r="AB156" s="29"/>
      <c r="AC156" s="29"/>
      <c r="AD156" s="29"/>
      <c r="AE156" s="29"/>
      <c r="AF156" s="29"/>
      <c r="AG156" s="29"/>
    </row>
    <row r="157">
      <c r="A157" s="40" t="s">
        <v>1448</v>
      </c>
      <c r="B157" s="40" t="s">
        <v>697</v>
      </c>
      <c r="C157" s="44" t="s">
        <v>170</v>
      </c>
      <c r="D157" s="47" t="s">
        <v>60</v>
      </c>
      <c r="E157" s="40" t="s">
        <v>1863</v>
      </c>
      <c r="F157" s="40" t="s">
        <v>1864</v>
      </c>
      <c r="G157" s="50" t="s">
        <v>1814</v>
      </c>
      <c r="H157" s="53">
        <v>45836.0</v>
      </c>
      <c r="I157" s="63">
        <f>IFERROR(__xludf.DUMMYFUNCTION("IF(ISBLANK(H157), TODAY()-TO_DATE(G157), TO_DATE(H157)-TO_DATE(G157))+1"),4.0)</f>
        <v>4</v>
      </c>
      <c r="J157" s="40">
        <v>500.0</v>
      </c>
      <c r="K157" s="40" t="s">
        <v>1866</v>
      </c>
      <c r="L157" s="69" t="s">
        <v>1867</v>
      </c>
      <c r="M157" s="72"/>
      <c r="N157" s="29"/>
      <c r="O157" s="29"/>
      <c r="P157" s="29"/>
      <c r="Q157" s="29"/>
      <c r="R157" s="29"/>
      <c r="S157" s="29"/>
      <c r="T157" s="29"/>
      <c r="U157" s="29"/>
      <c r="V157" s="29"/>
      <c r="W157" s="29"/>
      <c r="X157" s="29"/>
      <c r="Y157" s="29"/>
      <c r="Z157" s="29"/>
      <c r="AA157" s="29"/>
      <c r="AB157" s="29"/>
      <c r="AC157" s="29"/>
      <c r="AD157" s="29"/>
      <c r="AE157" s="29"/>
      <c r="AF157" s="29"/>
      <c r="AG157" s="29"/>
    </row>
    <row r="158">
      <c r="A158" s="40" t="s">
        <v>1473</v>
      </c>
      <c r="B158" s="40" t="s">
        <v>697</v>
      </c>
      <c r="C158" s="44" t="s">
        <v>331</v>
      </c>
      <c r="D158" s="47" t="s">
        <v>60</v>
      </c>
      <c r="E158" s="40" t="s">
        <v>1872</v>
      </c>
      <c r="F158" s="40" t="s">
        <v>1873</v>
      </c>
      <c r="G158" s="50" t="s">
        <v>1814</v>
      </c>
      <c r="H158" s="53">
        <v>45836.0</v>
      </c>
      <c r="I158" s="63">
        <f>IFERROR(__xludf.DUMMYFUNCTION("IF(ISBLANK(H158), TODAY()-TO_DATE(G158), TO_DATE(H158)-TO_DATE(G158))+1"),4.0)</f>
        <v>4</v>
      </c>
      <c r="J158" s="40">
        <v>500.0</v>
      </c>
      <c r="K158" s="40" t="s">
        <v>1876</v>
      </c>
      <c r="L158" s="88"/>
      <c r="M158" s="72"/>
      <c r="N158" s="29"/>
      <c r="O158" s="29"/>
      <c r="P158" s="29"/>
      <c r="Q158" s="29"/>
      <c r="R158" s="29"/>
      <c r="S158" s="29"/>
      <c r="T158" s="29"/>
      <c r="U158" s="29"/>
      <c r="V158" s="29"/>
      <c r="W158" s="29"/>
      <c r="X158" s="29"/>
      <c r="Y158" s="29"/>
      <c r="Z158" s="29"/>
      <c r="AA158" s="29"/>
      <c r="AB158" s="29"/>
      <c r="AC158" s="29"/>
      <c r="AD158" s="29"/>
      <c r="AE158" s="29"/>
      <c r="AF158" s="29"/>
      <c r="AG158" s="29"/>
    </row>
    <row r="159">
      <c r="A159" s="40" t="s">
        <v>660</v>
      </c>
      <c r="B159" s="40" t="s">
        <v>697</v>
      </c>
      <c r="C159" s="44" t="s">
        <v>228</v>
      </c>
      <c r="D159" s="47" t="s">
        <v>60</v>
      </c>
      <c r="E159" s="40" t="s">
        <v>1882</v>
      </c>
      <c r="F159" s="40" t="s">
        <v>1883</v>
      </c>
      <c r="G159" s="50" t="s">
        <v>1814</v>
      </c>
      <c r="H159" s="53">
        <v>45872.0</v>
      </c>
      <c r="I159" s="63">
        <f>IFERROR(__xludf.DUMMYFUNCTION("IF(ISBLANK(H159), TODAY()-TO_DATE(G159), TO_DATE(H159)-TO_DATE(G159))+1"),40.0)</f>
        <v>40</v>
      </c>
      <c r="J159" s="40">
        <v>500.0</v>
      </c>
      <c r="K159" s="40" t="s">
        <v>1886</v>
      </c>
      <c r="L159" s="88"/>
      <c r="M159" s="72"/>
      <c r="N159" s="29"/>
      <c r="O159" s="29"/>
      <c r="P159" s="29"/>
      <c r="Q159" s="29"/>
      <c r="R159" s="29"/>
      <c r="S159" s="29"/>
      <c r="T159" s="29"/>
      <c r="U159" s="29"/>
      <c r="V159" s="29"/>
      <c r="W159" s="29"/>
      <c r="X159" s="29"/>
      <c r="Y159" s="29"/>
      <c r="Z159" s="29"/>
      <c r="AA159" s="29"/>
      <c r="AB159" s="29"/>
      <c r="AC159" s="29"/>
      <c r="AD159" s="29"/>
      <c r="AE159" s="29"/>
      <c r="AF159" s="29"/>
      <c r="AG159" s="29"/>
    </row>
    <row r="160">
      <c r="A160" s="40" t="s">
        <v>660</v>
      </c>
      <c r="B160" s="40" t="s">
        <v>697</v>
      </c>
      <c r="C160" s="44" t="s">
        <v>139</v>
      </c>
      <c r="D160" s="47" t="s">
        <v>60</v>
      </c>
      <c r="E160" s="40" t="s">
        <v>1890</v>
      </c>
      <c r="F160" s="40" t="s">
        <v>1891</v>
      </c>
      <c r="G160" s="50" t="s">
        <v>1814</v>
      </c>
      <c r="H160" s="53">
        <v>45859.0</v>
      </c>
      <c r="I160" s="63">
        <f>IFERROR(__xludf.DUMMYFUNCTION("IF(ISBLANK(H160), TODAY()-TO_DATE(G160), TO_DATE(H160)-TO_DATE(G160))+1"),27.0)</f>
        <v>27</v>
      </c>
      <c r="J160" s="40">
        <v>500.0</v>
      </c>
      <c r="K160" s="40" t="s">
        <v>1894</v>
      </c>
      <c r="L160" s="69" t="s">
        <v>1738</v>
      </c>
      <c r="M160" s="72"/>
      <c r="N160" s="29"/>
      <c r="O160" s="29"/>
      <c r="P160" s="29"/>
      <c r="Q160" s="29"/>
      <c r="R160" s="29"/>
      <c r="S160" s="29"/>
      <c r="T160" s="29"/>
      <c r="U160" s="29"/>
      <c r="V160" s="29"/>
      <c r="W160" s="29"/>
      <c r="X160" s="29"/>
      <c r="Y160" s="29"/>
      <c r="Z160" s="29"/>
      <c r="AA160" s="29"/>
      <c r="AB160" s="29"/>
      <c r="AC160" s="29"/>
      <c r="AD160" s="29"/>
      <c r="AE160" s="29"/>
      <c r="AF160" s="29"/>
      <c r="AG160" s="29"/>
    </row>
    <row r="161">
      <c r="A161" s="40" t="s">
        <v>660</v>
      </c>
      <c r="B161" s="40" t="s">
        <v>697</v>
      </c>
      <c r="C161" s="44" t="s">
        <v>58</v>
      </c>
      <c r="D161" s="47" t="s">
        <v>60</v>
      </c>
      <c r="E161" s="40" t="s">
        <v>1901</v>
      </c>
      <c r="F161" s="40" t="s">
        <v>1903</v>
      </c>
      <c r="G161" s="50" t="s">
        <v>1814</v>
      </c>
      <c r="H161" s="53">
        <v>45847.0</v>
      </c>
      <c r="I161" s="63">
        <f>IFERROR(__xludf.DUMMYFUNCTION("IF(ISBLANK(H161), TODAY()-TO_DATE(G161), TO_DATE(H161)-TO_DATE(G161))+1"),15.0)</f>
        <v>15</v>
      </c>
      <c r="J161" s="40">
        <v>500.0</v>
      </c>
      <c r="K161" s="40" t="s">
        <v>1904</v>
      </c>
      <c r="L161" s="88"/>
      <c r="M161" s="72"/>
      <c r="N161" s="29"/>
      <c r="O161" s="29"/>
      <c r="P161" s="29"/>
      <c r="Q161" s="29"/>
      <c r="R161" s="29"/>
      <c r="S161" s="29"/>
      <c r="T161" s="29"/>
      <c r="U161" s="29"/>
      <c r="V161" s="29"/>
      <c r="W161" s="29"/>
      <c r="X161" s="29"/>
      <c r="Y161" s="29"/>
      <c r="Z161" s="29"/>
      <c r="AA161" s="29"/>
      <c r="AB161" s="29"/>
      <c r="AC161" s="29"/>
      <c r="AD161" s="29"/>
      <c r="AE161" s="29"/>
      <c r="AF161" s="29"/>
      <c r="AG161" s="29"/>
    </row>
    <row r="162">
      <c r="A162" s="40" t="s">
        <v>660</v>
      </c>
      <c r="B162" s="40" t="s">
        <v>697</v>
      </c>
      <c r="C162" s="44" t="s">
        <v>213</v>
      </c>
      <c r="D162" s="47" t="s">
        <v>60</v>
      </c>
      <c r="E162" s="40" t="s">
        <v>1908</v>
      </c>
      <c r="F162" s="40" t="s">
        <v>1909</v>
      </c>
      <c r="G162" s="50" t="s">
        <v>1814</v>
      </c>
      <c r="H162" s="53">
        <v>45847.0</v>
      </c>
      <c r="I162" s="63">
        <f>IFERROR(__xludf.DUMMYFUNCTION("IF(ISBLANK(H162), TODAY()-TO_DATE(G162), TO_DATE(H162)-TO_DATE(G162))+1"),15.0)</f>
        <v>15</v>
      </c>
      <c r="J162" s="40">
        <v>500.0</v>
      </c>
      <c r="K162" s="40" t="s">
        <v>1911</v>
      </c>
      <c r="L162" s="88"/>
      <c r="M162" s="72"/>
      <c r="N162" s="29"/>
      <c r="O162" s="29"/>
      <c r="P162" s="29"/>
      <c r="Q162" s="29"/>
      <c r="R162" s="29"/>
      <c r="S162" s="29"/>
      <c r="T162" s="29"/>
      <c r="U162" s="29"/>
      <c r="V162" s="29"/>
      <c r="W162" s="29"/>
      <c r="X162" s="29"/>
      <c r="Y162" s="29"/>
      <c r="Z162" s="29"/>
      <c r="AA162" s="29"/>
      <c r="AB162" s="29"/>
      <c r="AC162" s="29"/>
      <c r="AD162" s="29"/>
      <c r="AE162" s="29"/>
      <c r="AF162" s="29"/>
      <c r="AG162" s="29"/>
    </row>
    <row r="163">
      <c r="A163" s="40" t="s">
        <v>660</v>
      </c>
      <c r="B163" s="40" t="s">
        <v>697</v>
      </c>
      <c r="C163" s="44" t="s">
        <v>228</v>
      </c>
      <c r="D163" s="47" t="s">
        <v>60</v>
      </c>
      <c r="E163" s="40" t="s">
        <v>1915</v>
      </c>
      <c r="F163" s="40" t="s">
        <v>1917</v>
      </c>
      <c r="G163" s="50" t="s">
        <v>1814</v>
      </c>
      <c r="H163" s="53">
        <v>45846.0</v>
      </c>
      <c r="I163" s="63">
        <f>IFERROR(__xludf.DUMMYFUNCTION("IF(ISBLANK(H163), TODAY()-TO_DATE(G163), TO_DATE(H163)-TO_DATE(G163))+1"),14.0)</f>
        <v>14</v>
      </c>
      <c r="J163" s="40">
        <v>500.0</v>
      </c>
      <c r="K163" s="40" t="s">
        <v>1922</v>
      </c>
      <c r="L163" s="88"/>
      <c r="M163" s="72"/>
      <c r="N163" s="29"/>
      <c r="O163" s="29"/>
      <c r="P163" s="29"/>
      <c r="Q163" s="29"/>
      <c r="R163" s="29"/>
      <c r="S163" s="29"/>
      <c r="T163" s="29"/>
      <c r="U163" s="29"/>
      <c r="V163" s="29"/>
      <c r="W163" s="29"/>
      <c r="X163" s="29"/>
      <c r="Y163" s="29"/>
      <c r="Z163" s="29"/>
      <c r="AA163" s="29"/>
      <c r="AB163" s="29"/>
      <c r="AC163" s="29"/>
      <c r="AD163" s="29"/>
      <c r="AE163" s="29"/>
      <c r="AF163" s="29"/>
      <c r="AG163" s="29"/>
    </row>
    <row r="164">
      <c r="A164" s="40" t="s">
        <v>1923</v>
      </c>
      <c r="B164" s="40" t="s">
        <v>697</v>
      </c>
      <c r="C164" s="44" t="s">
        <v>1924</v>
      </c>
      <c r="D164" s="47" t="s">
        <v>102</v>
      </c>
      <c r="E164" s="40" t="s">
        <v>176</v>
      </c>
      <c r="F164" s="40" t="s">
        <v>177</v>
      </c>
      <c r="G164" s="50" t="s">
        <v>1926</v>
      </c>
      <c r="H164" s="53">
        <v>45838.0</v>
      </c>
      <c r="I164" s="63">
        <f>IFERROR(__xludf.DUMMYFUNCTION("IF(ISBLANK(H164), TODAY()-TO_DATE(G164), TO_DATE(H164)-TO_DATE(G164))+1"),5.0)</f>
        <v>5</v>
      </c>
      <c r="J164" s="40" t="s">
        <v>197</v>
      </c>
      <c r="K164" s="40" t="s">
        <v>1927</v>
      </c>
      <c r="L164" s="69" t="s">
        <v>1929</v>
      </c>
      <c r="M164" s="72"/>
      <c r="N164" s="29"/>
      <c r="O164" s="29"/>
      <c r="P164" s="29"/>
      <c r="Q164" s="29"/>
      <c r="R164" s="29"/>
      <c r="S164" s="29"/>
      <c r="T164" s="29"/>
      <c r="U164" s="29"/>
      <c r="V164" s="29"/>
      <c r="W164" s="29"/>
      <c r="X164" s="29"/>
      <c r="Y164" s="29"/>
      <c r="Z164" s="29"/>
      <c r="AA164" s="29"/>
      <c r="AB164" s="29"/>
      <c r="AC164" s="29"/>
      <c r="AD164" s="29"/>
      <c r="AE164" s="29"/>
      <c r="AF164" s="29"/>
      <c r="AG164" s="29"/>
    </row>
    <row r="165">
      <c r="A165" s="40" t="s">
        <v>1923</v>
      </c>
      <c r="B165" s="40" t="s">
        <v>697</v>
      </c>
      <c r="C165" s="44" t="s">
        <v>1466</v>
      </c>
      <c r="D165" s="47" t="s">
        <v>60</v>
      </c>
      <c r="E165" s="40" t="s">
        <v>1935</v>
      </c>
      <c r="F165" s="40" t="s">
        <v>1936</v>
      </c>
      <c r="G165" s="50" t="s">
        <v>1926</v>
      </c>
      <c r="H165" s="53">
        <v>45838.0</v>
      </c>
      <c r="I165" s="63">
        <f>IFERROR(__xludf.DUMMYFUNCTION("IF(ISBLANK(H165), TODAY()-TO_DATE(G165), TO_DATE(H165)-TO_DATE(G165))+1"),5.0)</f>
        <v>5</v>
      </c>
      <c r="J165" s="40" t="s">
        <v>197</v>
      </c>
      <c r="K165" s="40" t="s">
        <v>1937</v>
      </c>
      <c r="L165" s="69" t="s">
        <v>1938</v>
      </c>
      <c r="M165" s="72"/>
      <c r="N165" s="29"/>
      <c r="O165" s="29"/>
      <c r="P165" s="29"/>
      <c r="Q165" s="29"/>
      <c r="R165" s="29"/>
      <c r="S165" s="29"/>
      <c r="T165" s="29"/>
      <c r="U165" s="29"/>
      <c r="V165" s="29"/>
      <c r="W165" s="29"/>
      <c r="X165" s="29"/>
      <c r="Y165" s="29"/>
      <c r="Z165" s="29"/>
      <c r="AA165" s="29"/>
      <c r="AB165" s="29"/>
      <c r="AC165" s="29"/>
      <c r="AD165" s="29"/>
      <c r="AE165" s="29"/>
      <c r="AF165" s="29"/>
      <c r="AG165" s="29"/>
    </row>
    <row r="166">
      <c r="A166" s="40" t="s">
        <v>1923</v>
      </c>
      <c r="B166" s="40" t="s">
        <v>697</v>
      </c>
      <c r="C166" s="44" t="s">
        <v>1466</v>
      </c>
      <c r="D166" s="47" t="s">
        <v>326</v>
      </c>
      <c r="E166" s="40" t="s">
        <v>1941</v>
      </c>
      <c r="F166" s="40" t="s">
        <v>1943</v>
      </c>
      <c r="G166" s="50" t="s">
        <v>1926</v>
      </c>
      <c r="H166" s="53">
        <v>45838.0</v>
      </c>
      <c r="I166" s="63">
        <f>IFERROR(__xludf.DUMMYFUNCTION("IF(ISBLANK(H166), TODAY()-TO_DATE(G166), TO_DATE(H166)-TO_DATE(G166))+1"),5.0)</f>
        <v>5</v>
      </c>
      <c r="J166" s="40" t="s">
        <v>197</v>
      </c>
      <c r="K166" s="40" t="s">
        <v>1947</v>
      </c>
      <c r="L166" s="69" t="s">
        <v>1949</v>
      </c>
      <c r="M166" s="72"/>
      <c r="N166" s="29"/>
      <c r="O166" s="29"/>
      <c r="P166" s="29"/>
      <c r="Q166" s="29"/>
      <c r="R166" s="29"/>
      <c r="S166" s="29"/>
      <c r="T166" s="29"/>
      <c r="U166" s="29"/>
      <c r="V166" s="29"/>
      <c r="W166" s="29"/>
      <c r="X166" s="29"/>
      <c r="Y166" s="29"/>
      <c r="Z166" s="29"/>
      <c r="AA166" s="29"/>
      <c r="AB166" s="29"/>
      <c r="AC166" s="29"/>
      <c r="AD166" s="29"/>
      <c r="AE166" s="29"/>
      <c r="AF166" s="29"/>
      <c r="AG166" s="29"/>
    </row>
    <row r="167">
      <c r="A167" s="40" t="s">
        <v>1923</v>
      </c>
      <c r="B167" s="40" t="s">
        <v>697</v>
      </c>
      <c r="C167" s="44" t="s">
        <v>1466</v>
      </c>
      <c r="D167" s="47" t="s">
        <v>60</v>
      </c>
      <c r="E167" s="40" t="s">
        <v>1950</v>
      </c>
      <c r="F167" s="40" t="s">
        <v>118</v>
      </c>
      <c r="G167" s="50" t="s">
        <v>1926</v>
      </c>
      <c r="H167" s="53">
        <v>45838.0</v>
      </c>
      <c r="I167" s="63">
        <f>IFERROR(__xludf.DUMMYFUNCTION("IF(ISBLANK(H167), TODAY()-TO_DATE(G167), TO_DATE(H167)-TO_DATE(G167))+1"),5.0)</f>
        <v>5</v>
      </c>
      <c r="J167" s="40" t="s">
        <v>197</v>
      </c>
      <c r="K167" s="40" t="s">
        <v>1955</v>
      </c>
      <c r="L167" s="69" t="s">
        <v>1956</v>
      </c>
      <c r="M167" s="72"/>
      <c r="N167" s="29"/>
      <c r="O167" s="29"/>
      <c r="P167" s="29"/>
      <c r="Q167" s="29"/>
      <c r="R167" s="29"/>
      <c r="S167" s="29"/>
      <c r="T167" s="29"/>
      <c r="U167" s="29"/>
      <c r="V167" s="29"/>
      <c r="W167" s="29"/>
      <c r="X167" s="29"/>
      <c r="Y167" s="29"/>
      <c r="Z167" s="29"/>
      <c r="AA167" s="29"/>
      <c r="AB167" s="29"/>
      <c r="AC167" s="29"/>
      <c r="AD167" s="29"/>
      <c r="AE167" s="29"/>
      <c r="AF167" s="29"/>
      <c r="AG167" s="29"/>
    </row>
    <row r="168">
      <c r="A168" s="65" t="s">
        <v>1540</v>
      </c>
      <c r="B168" s="40" t="s">
        <v>697</v>
      </c>
      <c r="C168" s="44" t="s">
        <v>187</v>
      </c>
      <c r="D168" s="47" t="s">
        <v>60</v>
      </c>
      <c r="E168" s="40" t="s">
        <v>1957</v>
      </c>
      <c r="F168" s="40" t="s">
        <v>1958</v>
      </c>
      <c r="G168" s="296" t="s">
        <v>1926</v>
      </c>
      <c r="H168" s="297">
        <v>45837.0</v>
      </c>
      <c r="I168" s="63">
        <f>IFERROR(__xludf.DUMMYFUNCTION("IF(ISBLANK(H168), TODAY()-TO_DATE(G168), TO_DATE(H168)-TO_DATE(G168))+1"),4.0)</f>
        <v>4</v>
      </c>
      <c r="J168" s="65">
        <v>300.0</v>
      </c>
      <c r="K168" s="65" t="s">
        <v>1961</v>
      </c>
      <c r="L168" s="147"/>
      <c r="M168" s="72"/>
      <c r="N168" s="29"/>
      <c r="O168" s="29"/>
      <c r="P168" s="29"/>
      <c r="Q168" s="29"/>
      <c r="R168" s="29"/>
      <c r="S168" s="29"/>
      <c r="T168" s="29"/>
      <c r="U168" s="29"/>
      <c r="V168" s="29"/>
      <c r="W168" s="29"/>
      <c r="X168" s="29"/>
      <c r="Y168" s="29"/>
      <c r="Z168" s="29"/>
      <c r="AA168" s="29"/>
      <c r="AB168" s="29"/>
      <c r="AC168" s="29"/>
      <c r="AD168" s="29"/>
      <c r="AE168" s="29"/>
      <c r="AF168" s="29"/>
      <c r="AG168" s="29"/>
    </row>
    <row r="169">
      <c r="A169" s="65" t="s">
        <v>1540</v>
      </c>
      <c r="B169" s="40" t="s">
        <v>697</v>
      </c>
      <c r="C169" s="44" t="s">
        <v>1839</v>
      </c>
      <c r="D169" s="47" t="s">
        <v>60</v>
      </c>
      <c r="E169" s="40" t="s">
        <v>1966</v>
      </c>
      <c r="F169" s="40" t="s">
        <v>1968</v>
      </c>
      <c r="G169" s="296" t="s">
        <v>1926</v>
      </c>
      <c r="H169" s="297">
        <v>45837.0</v>
      </c>
      <c r="I169" s="63">
        <f>IFERROR(__xludf.DUMMYFUNCTION("IF(ISBLANK(H169), TODAY()-TO_DATE(G169), TO_DATE(H169)-TO_DATE(G169))+1"),4.0)</f>
        <v>4</v>
      </c>
      <c r="J169" s="65" t="s">
        <v>197</v>
      </c>
      <c r="K169" s="65" t="s">
        <v>1972</v>
      </c>
      <c r="L169" s="144" t="s">
        <v>1973</v>
      </c>
      <c r="M169" s="72"/>
      <c r="N169" s="29"/>
      <c r="O169" s="29"/>
      <c r="P169" s="29"/>
      <c r="Q169" s="29"/>
      <c r="R169" s="29"/>
      <c r="S169" s="29"/>
      <c r="T169" s="29"/>
      <c r="U169" s="29"/>
      <c r="V169" s="29"/>
      <c r="W169" s="29"/>
      <c r="X169" s="29"/>
      <c r="Y169" s="29"/>
      <c r="Z169" s="29"/>
      <c r="AA169" s="29"/>
      <c r="AB169" s="29"/>
      <c r="AC169" s="29"/>
      <c r="AD169" s="29"/>
      <c r="AE169" s="29"/>
      <c r="AF169" s="29"/>
      <c r="AG169" s="29"/>
    </row>
    <row r="170">
      <c r="A170" s="65" t="s">
        <v>1540</v>
      </c>
      <c r="B170" s="40" t="s">
        <v>697</v>
      </c>
      <c r="C170" s="44" t="s">
        <v>212</v>
      </c>
      <c r="D170" s="47" t="s">
        <v>60</v>
      </c>
      <c r="E170" s="40" t="s">
        <v>1975</v>
      </c>
      <c r="F170" s="40" t="s">
        <v>1138</v>
      </c>
      <c r="G170" s="296" t="s">
        <v>1926</v>
      </c>
      <c r="H170" s="297">
        <v>45836.0</v>
      </c>
      <c r="I170" s="63">
        <f>IFERROR(__xludf.DUMMYFUNCTION("IF(ISBLANK(H170), TODAY()-TO_DATE(G170), TO_DATE(H170)-TO_DATE(G170))+1"),3.0)</f>
        <v>3</v>
      </c>
      <c r="J170" s="65">
        <v>500.0</v>
      </c>
      <c r="K170" s="65" t="s">
        <v>1981</v>
      </c>
      <c r="L170" s="147"/>
      <c r="M170" s="72"/>
      <c r="N170" s="29"/>
      <c r="O170" s="29"/>
      <c r="P170" s="29"/>
      <c r="Q170" s="29"/>
      <c r="R170" s="29"/>
      <c r="S170" s="29"/>
      <c r="T170" s="29"/>
      <c r="U170" s="29"/>
      <c r="V170" s="29"/>
      <c r="W170" s="29"/>
      <c r="X170" s="29"/>
      <c r="Y170" s="29"/>
      <c r="Z170" s="29"/>
      <c r="AA170" s="29"/>
      <c r="AB170" s="29"/>
      <c r="AC170" s="29"/>
      <c r="AD170" s="29"/>
      <c r="AE170" s="29"/>
      <c r="AF170" s="29"/>
      <c r="AG170" s="29"/>
    </row>
    <row r="171">
      <c r="A171" s="65" t="s">
        <v>1540</v>
      </c>
      <c r="B171" s="40" t="s">
        <v>697</v>
      </c>
      <c r="C171" s="44" t="s">
        <v>178</v>
      </c>
      <c r="D171" s="47" t="s">
        <v>60</v>
      </c>
      <c r="E171" s="40" t="s">
        <v>1983</v>
      </c>
      <c r="F171" s="40" t="s">
        <v>1984</v>
      </c>
      <c r="G171" s="296" t="s">
        <v>1926</v>
      </c>
      <c r="H171" s="297">
        <v>45840.0</v>
      </c>
      <c r="I171" s="63">
        <f>IFERROR(__xludf.DUMMYFUNCTION("IF(ISBLANK(H171), TODAY()-TO_DATE(G171), TO_DATE(H171)-TO_DATE(G171))+1"),7.0)</f>
        <v>7</v>
      </c>
      <c r="J171" s="65">
        <v>500.0</v>
      </c>
      <c r="K171" s="65" t="s">
        <v>1989</v>
      </c>
      <c r="L171" s="147"/>
      <c r="M171" s="72"/>
      <c r="N171" s="29"/>
      <c r="O171" s="29"/>
      <c r="P171" s="29"/>
      <c r="Q171" s="29"/>
      <c r="R171" s="29"/>
      <c r="S171" s="29"/>
      <c r="T171" s="29"/>
      <c r="U171" s="29"/>
      <c r="V171" s="29"/>
      <c r="W171" s="29"/>
      <c r="X171" s="29"/>
      <c r="Y171" s="29"/>
      <c r="Z171" s="29"/>
      <c r="AA171" s="29"/>
      <c r="AB171" s="29"/>
      <c r="AC171" s="29"/>
      <c r="AD171" s="29"/>
      <c r="AE171" s="29"/>
      <c r="AF171" s="29"/>
      <c r="AG171" s="29"/>
    </row>
    <row r="172">
      <c r="A172" s="65" t="s">
        <v>1540</v>
      </c>
      <c r="B172" s="40" t="s">
        <v>697</v>
      </c>
      <c r="C172" s="44" t="s">
        <v>212</v>
      </c>
      <c r="D172" s="47" t="s">
        <v>60</v>
      </c>
      <c r="E172" s="40" t="s">
        <v>1992</v>
      </c>
      <c r="F172" s="40" t="s">
        <v>1993</v>
      </c>
      <c r="G172" s="296" t="s">
        <v>1926</v>
      </c>
      <c r="H172" s="297">
        <v>45836.0</v>
      </c>
      <c r="I172" s="63">
        <f>IFERROR(__xludf.DUMMYFUNCTION("IF(ISBLANK(H172), TODAY()-TO_DATE(G172), TO_DATE(H172)-TO_DATE(G172))+1"),3.0)</f>
        <v>3</v>
      </c>
      <c r="J172" s="65">
        <v>500.0</v>
      </c>
      <c r="K172" s="65" t="s">
        <v>1996</v>
      </c>
      <c r="L172" s="147"/>
      <c r="M172" s="72"/>
      <c r="N172" s="29"/>
      <c r="O172" s="29"/>
      <c r="P172" s="29"/>
      <c r="Q172" s="29"/>
      <c r="R172" s="29"/>
      <c r="S172" s="29"/>
      <c r="T172" s="29"/>
      <c r="U172" s="29"/>
      <c r="V172" s="29"/>
      <c r="W172" s="29"/>
      <c r="X172" s="29"/>
      <c r="Y172" s="29"/>
      <c r="Z172" s="29"/>
      <c r="AA172" s="29"/>
      <c r="AB172" s="29"/>
      <c r="AC172" s="29"/>
      <c r="AD172" s="29"/>
      <c r="AE172" s="29"/>
      <c r="AF172" s="29"/>
      <c r="AG172" s="29"/>
    </row>
    <row r="173">
      <c r="A173" s="65" t="s">
        <v>1540</v>
      </c>
      <c r="B173" s="40" t="s">
        <v>697</v>
      </c>
      <c r="C173" s="44" t="s">
        <v>139</v>
      </c>
      <c r="D173" s="47" t="s">
        <v>60</v>
      </c>
      <c r="E173" s="40" t="s">
        <v>2002</v>
      </c>
      <c r="F173" s="40" t="s">
        <v>1624</v>
      </c>
      <c r="G173" s="296" t="s">
        <v>1926</v>
      </c>
      <c r="H173" s="297">
        <v>45840.0</v>
      </c>
      <c r="I173" s="63">
        <f>IFERROR(__xludf.DUMMYFUNCTION("IF(ISBLANK(H173), TODAY()-TO_DATE(G173), TO_DATE(H173)-TO_DATE(G173))+1"),7.0)</f>
        <v>7</v>
      </c>
      <c r="J173" s="65">
        <v>500.0</v>
      </c>
      <c r="K173" s="65" t="s">
        <v>2009</v>
      </c>
      <c r="L173" s="147"/>
      <c r="M173" s="72"/>
      <c r="N173" s="29"/>
      <c r="O173" s="29"/>
      <c r="P173" s="29"/>
      <c r="Q173" s="29"/>
      <c r="R173" s="29"/>
      <c r="S173" s="29"/>
      <c r="T173" s="29"/>
      <c r="U173" s="29"/>
      <c r="V173" s="29"/>
      <c r="W173" s="29"/>
      <c r="X173" s="29"/>
      <c r="Y173" s="29"/>
      <c r="Z173" s="29"/>
      <c r="AA173" s="29"/>
      <c r="AB173" s="29"/>
      <c r="AC173" s="29"/>
      <c r="AD173" s="29"/>
      <c r="AE173" s="29"/>
      <c r="AF173" s="29"/>
      <c r="AG173" s="29"/>
    </row>
    <row r="174">
      <c r="A174" s="65" t="s">
        <v>1540</v>
      </c>
      <c r="B174" s="40" t="s">
        <v>697</v>
      </c>
      <c r="C174" s="44" t="s">
        <v>187</v>
      </c>
      <c r="D174" s="47" t="s">
        <v>102</v>
      </c>
      <c r="E174" s="40" t="s">
        <v>2012</v>
      </c>
      <c r="F174" s="40" t="s">
        <v>2014</v>
      </c>
      <c r="G174" s="296" t="s">
        <v>1926</v>
      </c>
      <c r="H174" s="297">
        <v>45837.0</v>
      </c>
      <c r="I174" s="63">
        <f>IFERROR(__xludf.DUMMYFUNCTION("IF(ISBLANK(H174), TODAY()-TO_DATE(G174), TO_DATE(H174)-TO_DATE(G174))+1"),4.0)</f>
        <v>4</v>
      </c>
      <c r="J174" s="65">
        <v>500.0</v>
      </c>
      <c r="K174" s="65" t="s">
        <v>2017</v>
      </c>
      <c r="L174" s="147"/>
      <c r="M174" s="72"/>
      <c r="N174" s="29"/>
      <c r="O174" s="29"/>
      <c r="P174" s="29"/>
      <c r="Q174" s="29"/>
      <c r="R174" s="29"/>
      <c r="S174" s="29"/>
      <c r="T174" s="29"/>
      <c r="U174" s="29"/>
      <c r="V174" s="29"/>
      <c r="W174" s="29"/>
      <c r="X174" s="29"/>
      <c r="Y174" s="29"/>
      <c r="Z174" s="29"/>
      <c r="AA174" s="29"/>
      <c r="AB174" s="29"/>
      <c r="AC174" s="29"/>
      <c r="AD174" s="29"/>
      <c r="AE174" s="29"/>
      <c r="AF174" s="29"/>
      <c r="AG174" s="29"/>
    </row>
    <row r="175">
      <c r="A175" s="65" t="s">
        <v>1540</v>
      </c>
      <c r="B175" s="40" t="s">
        <v>697</v>
      </c>
      <c r="C175" s="44" t="s">
        <v>213</v>
      </c>
      <c r="D175" s="47" t="s">
        <v>60</v>
      </c>
      <c r="E175" s="40" t="s">
        <v>2021</v>
      </c>
      <c r="F175" s="40" t="s">
        <v>2022</v>
      </c>
      <c r="G175" s="296" t="s">
        <v>1926</v>
      </c>
      <c r="H175" s="297">
        <v>45837.0</v>
      </c>
      <c r="I175" s="63">
        <f>IFERROR(__xludf.DUMMYFUNCTION("IF(ISBLANK(H175), TODAY()-TO_DATE(G175), TO_DATE(H175)-TO_DATE(G175))+1"),4.0)</f>
        <v>4</v>
      </c>
      <c r="J175" s="65">
        <v>500.0</v>
      </c>
      <c r="K175" s="65" t="s">
        <v>2026</v>
      </c>
      <c r="L175" s="147"/>
      <c r="M175" s="72"/>
      <c r="N175" s="29"/>
      <c r="O175" s="29"/>
      <c r="P175" s="29"/>
      <c r="Q175" s="29"/>
      <c r="R175" s="29"/>
      <c r="S175" s="29"/>
      <c r="T175" s="29"/>
      <c r="U175" s="29"/>
      <c r="V175" s="29"/>
      <c r="W175" s="29"/>
      <c r="X175" s="29"/>
      <c r="Y175" s="29"/>
      <c r="Z175" s="29"/>
      <c r="AA175" s="29"/>
      <c r="AB175" s="29"/>
      <c r="AC175" s="29"/>
      <c r="AD175" s="29"/>
      <c r="AE175" s="29"/>
      <c r="AF175" s="29"/>
      <c r="AG175" s="29"/>
    </row>
    <row r="176">
      <c r="A176" s="65" t="s">
        <v>1540</v>
      </c>
      <c r="B176" s="40" t="s">
        <v>697</v>
      </c>
      <c r="C176" s="44" t="s">
        <v>187</v>
      </c>
      <c r="D176" s="47" t="s">
        <v>60</v>
      </c>
      <c r="E176" s="40" t="s">
        <v>2030</v>
      </c>
      <c r="F176" s="40" t="s">
        <v>2031</v>
      </c>
      <c r="G176" s="296" t="s">
        <v>1926</v>
      </c>
      <c r="H176" s="297">
        <v>45839.0</v>
      </c>
      <c r="I176" s="63">
        <f>IFERROR(__xludf.DUMMYFUNCTION("IF(ISBLANK(H176), TODAY()-TO_DATE(G176), TO_DATE(H176)-TO_DATE(G176))+1"),6.0)</f>
        <v>6</v>
      </c>
      <c r="J176" s="65">
        <v>500.0</v>
      </c>
      <c r="K176" s="65" t="s">
        <v>2034</v>
      </c>
      <c r="L176" s="144"/>
      <c r="M176" s="72"/>
      <c r="N176" s="29"/>
      <c r="O176" s="29"/>
      <c r="P176" s="29"/>
      <c r="Q176" s="29"/>
      <c r="R176" s="29"/>
      <c r="S176" s="29"/>
      <c r="T176" s="29"/>
      <c r="U176" s="29"/>
      <c r="V176" s="29"/>
      <c r="W176" s="29"/>
      <c r="X176" s="29"/>
      <c r="Y176" s="29"/>
      <c r="Z176" s="29"/>
      <c r="AA176" s="29"/>
      <c r="AB176" s="29"/>
      <c r="AC176" s="29"/>
      <c r="AD176" s="29"/>
      <c r="AE176" s="29"/>
      <c r="AF176" s="29"/>
      <c r="AG176" s="29"/>
    </row>
    <row r="177">
      <c r="A177" s="65" t="s">
        <v>1540</v>
      </c>
      <c r="B177" s="40" t="s">
        <v>697</v>
      </c>
      <c r="C177" s="44" t="s">
        <v>1839</v>
      </c>
      <c r="D177" s="47" t="s">
        <v>60</v>
      </c>
      <c r="E177" s="40" t="s">
        <v>2036</v>
      </c>
      <c r="F177" s="40" t="s">
        <v>2037</v>
      </c>
      <c r="G177" s="296" t="s">
        <v>1926</v>
      </c>
      <c r="H177" s="297">
        <v>45839.0</v>
      </c>
      <c r="I177" s="63">
        <f>IFERROR(__xludf.DUMMYFUNCTION("IF(ISBLANK(H177), TODAY()-TO_DATE(G177), TO_DATE(H177)-TO_DATE(G177))+1"),6.0)</f>
        <v>6</v>
      </c>
      <c r="J177" s="65">
        <v>500.0</v>
      </c>
      <c r="K177" s="65" t="s">
        <v>2043</v>
      </c>
      <c r="L177" s="147"/>
      <c r="M177" s="72"/>
      <c r="N177" s="29"/>
      <c r="O177" s="29"/>
      <c r="P177" s="29"/>
      <c r="Q177" s="29"/>
      <c r="R177" s="29"/>
      <c r="S177" s="29"/>
      <c r="T177" s="29"/>
      <c r="U177" s="29"/>
      <c r="V177" s="29"/>
      <c r="W177" s="29"/>
      <c r="X177" s="29"/>
      <c r="Y177" s="29"/>
      <c r="Z177" s="29"/>
      <c r="AA177" s="29"/>
      <c r="AB177" s="29"/>
      <c r="AC177" s="29"/>
      <c r="AD177" s="29"/>
      <c r="AE177" s="29"/>
      <c r="AF177" s="29"/>
      <c r="AG177" s="29"/>
    </row>
    <row r="178">
      <c r="A178" s="65" t="s">
        <v>1540</v>
      </c>
      <c r="B178" s="40" t="s">
        <v>697</v>
      </c>
      <c r="C178" s="44" t="s">
        <v>187</v>
      </c>
      <c r="D178" s="47" t="s">
        <v>60</v>
      </c>
      <c r="E178" s="40" t="s">
        <v>2045</v>
      </c>
      <c r="F178" s="40" t="s">
        <v>2048</v>
      </c>
      <c r="G178" s="296" t="s">
        <v>1926</v>
      </c>
      <c r="H178" s="297">
        <v>45839.0</v>
      </c>
      <c r="I178" s="63">
        <f>IFERROR(__xludf.DUMMYFUNCTION("IF(ISBLANK(H178), TODAY()-TO_DATE(G178), TO_DATE(H178)-TO_DATE(G178))+1"),6.0)</f>
        <v>6</v>
      </c>
      <c r="J178" s="65">
        <v>500.0</v>
      </c>
      <c r="K178" s="65" t="s">
        <v>2053</v>
      </c>
      <c r="L178" s="147"/>
      <c r="M178" s="72"/>
      <c r="N178" s="29"/>
      <c r="O178" s="29"/>
      <c r="P178" s="29"/>
      <c r="Q178" s="29"/>
      <c r="R178" s="29"/>
      <c r="S178" s="29"/>
      <c r="T178" s="29"/>
      <c r="U178" s="29"/>
      <c r="V178" s="29"/>
      <c r="W178" s="29"/>
      <c r="X178" s="29"/>
      <c r="Y178" s="29"/>
      <c r="Z178" s="29"/>
      <c r="AA178" s="29"/>
      <c r="AB178" s="29"/>
      <c r="AC178" s="29"/>
      <c r="AD178" s="29"/>
      <c r="AE178" s="29"/>
      <c r="AF178" s="29"/>
      <c r="AG178" s="29"/>
    </row>
    <row r="179">
      <c r="A179" s="65" t="s">
        <v>1540</v>
      </c>
      <c r="B179" s="40" t="s">
        <v>697</v>
      </c>
      <c r="C179" s="44" t="s">
        <v>139</v>
      </c>
      <c r="D179" s="47" t="s">
        <v>60</v>
      </c>
      <c r="E179" s="40" t="s">
        <v>2055</v>
      </c>
      <c r="F179" s="40" t="s">
        <v>1089</v>
      </c>
      <c r="G179" s="296" t="s">
        <v>1926</v>
      </c>
      <c r="H179" s="297">
        <v>45839.0</v>
      </c>
      <c r="I179" s="63">
        <f>IFERROR(__xludf.DUMMYFUNCTION("IF(ISBLANK(H179), TODAY()-TO_DATE(G179), TO_DATE(H179)-TO_DATE(G179))+1"),6.0)</f>
        <v>6</v>
      </c>
      <c r="J179" s="65">
        <v>500.0</v>
      </c>
      <c r="K179" s="65" t="s">
        <v>2060</v>
      </c>
      <c r="L179" s="147"/>
      <c r="M179" s="72"/>
      <c r="N179" s="29"/>
      <c r="O179" s="29"/>
      <c r="P179" s="29"/>
      <c r="Q179" s="29"/>
      <c r="R179" s="29"/>
      <c r="S179" s="29"/>
      <c r="T179" s="29"/>
      <c r="U179" s="29"/>
      <c r="V179" s="29"/>
      <c r="W179" s="29"/>
      <c r="X179" s="29"/>
      <c r="Y179" s="29"/>
      <c r="Z179" s="29"/>
      <c r="AA179" s="29"/>
      <c r="AB179" s="29"/>
      <c r="AC179" s="29"/>
      <c r="AD179" s="29"/>
      <c r="AE179" s="29"/>
      <c r="AF179" s="29"/>
      <c r="AG179" s="29"/>
    </row>
    <row r="180">
      <c r="A180" s="65" t="s">
        <v>1540</v>
      </c>
      <c r="B180" s="40" t="s">
        <v>697</v>
      </c>
      <c r="C180" s="44" t="s">
        <v>1839</v>
      </c>
      <c r="D180" s="47" t="s">
        <v>60</v>
      </c>
      <c r="E180" s="40" t="s">
        <v>2063</v>
      </c>
      <c r="F180" s="40" t="s">
        <v>2064</v>
      </c>
      <c r="G180" s="296" t="s">
        <v>1926</v>
      </c>
      <c r="H180" s="297">
        <v>45840.0</v>
      </c>
      <c r="I180" s="63">
        <f>IFERROR(__xludf.DUMMYFUNCTION("IF(ISBLANK(H180), TODAY()-TO_DATE(G180), TO_DATE(H180)-TO_DATE(G180))+1"),7.0)</f>
        <v>7</v>
      </c>
      <c r="J180" s="65">
        <v>500.0</v>
      </c>
      <c r="K180" s="65" t="s">
        <v>2069</v>
      </c>
      <c r="L180" s="147"/>
      <c r="M180" s="72"/>
      <c r="N180" s="29"/>
      <c r="O180" s="29"/>
      <c r="P180" s="29"/>
      <c r="Q180" s="29"/>
      <c r="R180" s="29"/>
      <c r="S180" s="29"/>
      <c r="T180" s="29"/>
      <c r="U180" s="29"/>
      <c r="V180" s="29"/>
      <c r="W180" s="29"/>
      <c r="X180" s="29"/>
      <c r="Y180" s="29"/>
      <c r="Z180" s="29"/>
      <c r="AA180" s="29"/>
      <c r="AB180" s="29"/>
      <c r="AC180" s="29"/>
      <c r="AD180" s="29"/>
      <c r="AE180" s="29"/>
      <c r="AF180" s="29"/>
      <c r="AG180" s="29"/>
    </row>
    <row r="181">
      <c r="A181" s="65" t="s">
        <v>1540</v>
      </c>
      <c r="B181" s="40" t="s">
        <v>697</v>
      </c>
      <c r="C181" s="44" t="s">
        <v>58</v>
      </c>
      <c r="D181" s="47" t="s">
        <v>60</v>
      </c>
      <c r="E181" s="40" t="s">
        <v>2074</v>
      </c>
      <c r="F181" s="40" t="s">
        <v>2075</v>
      </c>
      <c r="G181" s="296" t="s">
        <v>1926</v>
      </c>
      <c r="H181" s="297">
        <v>45839.0</v>
      </c>
      <c r="I181" s="63">
        <f>IFERROR(__xludf.DUMMYFUNCTION("IF(ISBLANK(H181), TODAY()-TO_DATE(G181), TO_DATE(H181)-TO_DATE(G181))+1"),6.0)</f>
        <v>6</v>
      </c>
      <c r="J181" s="65">
        <v>300.0</v>
      </c>
      <c r="K181" s="65" t="s">
        <v>2078</v>
      </c>
      <c r="L181" s="144" t="s">
        <v>2079</v>
      </c>
      <c r="M181" s="72"/>
      <c r="N181" s="29"/>
      <c r="O181" s="29"/>
      <c r="P181" s="29"/>
      <c r="Q181" s="29"/>
      <c r="R181" s="29"/>
      <c r="S181" s="29"/>
      <c r="T181" s="29"/>
      <c r="U181" s="29"/>
      <c r="V181" s="29"/>
      <c r="W181" s="29"/>
      <c r="X181" s="29"/>
      <c r="Y181" s="29"/>
      <c r="Z181" s="29"/>
      <c r="AA181" s="29"/>
      <c r="AB181" s="29"/>
      <c r="AC181" s="29"/>
      <c r="AD181" s="29"/>
      <c r="AE181" s="29"/>
      <c r="AF181" s="29"/>
      <c r="AG181" s="29"/>
    </row>
    <row r="182">
      <c r="A182" s="65" t="s">
        <v>1540</v>
      </c>
      <c r="B182" s="40" t="s">
        <v>697</v>
      </c>
      <c r="C182" s="44" t="s">
        <v>295</v>
      </c>
      <c r="D182" s="47" t="s">
        <v>60</v>
      </c>
      <c r="E182" s="40" t="s">
        <v>2083</v>
      </c>
      <c r="F182" s="40" t="s">
        <v>2084</v>
      </c>
      <c r="G182" s="296" t="s">
        <v>1926</v>
      </c>
      <c r="H182" s="297">
        <v>45837.0</v>
      </c>
      <c r="I182" s="63">
        <f>IFERROR(__xludf.DUMMYFUNCTION("IF(ISBLANK(H182), TODAY()-TO_DATE(G182), TO_DATE(H182)-TO_DATE(G182))+1"),4.0)</f>
        <v>4</v>
      </c>
      <c r="J182" s="65">
        <v>300.0</v>
      </c>
      <c r="K182" s="65" t="s">
        <v>2089</v>
      </c>
      <c r="L182" s="147"/>
      <c r="M182" s="72"/>
      <c r="N182" s="29"/>
      <c r="O182" s="29"/>
      <c r="P182" s="29"/>
      <c r="Q182" s="29"/>
      <c r="R182" s="29"/>
      <c r="S182" s="29"/>
      <c r="T182" s="29"/>
      <c r="U182" s="29"/>
      <c r="V182" s="29"/>
      <c r="W182" s="29"/>
      <c r="X182" s="29"/>
      <c r="Y182" s="29"/>
      <c r="Z182" s="29"/>
      <c r="AA182" s="29"/>
      <c r="AB182" s="29"/>
      <c r="AC182" s="29"/>
      <c r="AD182" s="29"/>
      <c r="AE182" s="29"/>
      <c r="AF182" s="29"/>
      <c r="AG182" s="29"/>
    </row>
    <row r="183">
      <c r="A183" s="65" t="s">
        <v>1540</v>
      </c>
      <c r="B183" s="65" t="s">
        <v>2094</v>
      </c>
      <c r="C183" s="44" t="s">
        <v>2095</v>
      </c>
      <c r="D183" s="47" t="s">
        <v>60</v>
      </c>
      <c r="E183" s="40" t="s">
        <v>2098</v>
      </c>
      <c r="F183" s="40" t="s">
        <v>2100</v>
      </c>
      <c r="G183" s="296" t="s">
        <v>1926</v>
      </c>
      <c r="H183" s="297">
        <v>45853.0</v>
      </c>
      <c r="I183" s="63">
        <f>IFERROR(__xludf.DUMMYFUNCTION("IF(ISBLANK(H183), TODAY()-TO_DATE(G183), TO_DATE(H183)-TO_DATE(G183))+1"),20.0)</f>
        <v>20</v>
      </c>
      <c r="J183" s="65">
        <v>300.0</v>
      </c>
      <c r="K183" s="65" t="s">
        <v>2105</v>
      </c>
      <c r="L183" s="147"/>
      <c r="M183" s="72"/>
      <c r="N183" s="29"/>
      <c r="O183" s="29"/>
      <c r="P183" s="29"/>
      <c r="Q183" s="29"/>
      <c r="R183" s="29"/>
      <c r="S183" s="29"/>
      <c r="T183" s="29"/>
      <c r="U183" s="29"/>
      <c r="V183" s="29"/>
      <c r="W183" s="29"/>
      <c r="X183" s="29"/>
      <c r="Y183" s="29"/>
      <c r="Z183" s="29"/>
      <c r="AA183" s="29"/>
      <c r="AB183" s="29"/>
      <c r="AC183" s="29"/>
      <c r="AD183" s="29"/>
      <c r="AE183" s="29"/>
      <c r="AF183" s="29"/>
      <c r="AG183" s="29"/>
    </row>
    <row r="184">
      <c r="A184" s="40" t="s">
        <v>1540</v>
      </c>
      <c r="B184" s="40" t="s">
        <v>697</v>
      </c>
      <c r="C184" s="44" t="s">
        <v>536</v>
      </c>
      <c r="D184" s="47" t="s">
        <v>60</v>
      </c>
      <c r="E184" s="40" t="s">
        <v>2108</v>
      </c>
      <c r="F184" s="40" t="s">
        <v>1261</v>
      </c>
      <c r="G184" s="50" t="s">
        <v>1926</v>
      </c>
      <c r="H184" s="53">
        <v>45865.0</v>
      </c>
      <c r="I184" s="63">
        <f>IFERROR(__xludf.DUMMYFUNCTION("IF(ISBLANK(H184), TODAY()-TO_DATE(G184), TO_DATE(H184)-TO_DATE(G184))+1"),32.0)</f>
        <v>32</v>
      </c>
      <c r="J184" s="40">
        <v>300.0</v>
      </c>
      <c r="K184" s="40" t="s">
        <v>2113</v>
      </c>
      <c r="L184" s="88"/>
      <c r="M184" s="72"/>
      <c r="N184" s="29"/>
      <c r="O184" s="29"/>
      <c r="P184" s="29"/>
      <c r="Q184" s="29"/>
      <c r="R184" s="29"/>
      <c r="S184" s="29"/>
      <c r="T184" s="29"/>
      <c r="U184" s="29"/>
      <c r="V184" s="29"/>
      <c r="W184" s="29"/>
      <c r="X184" s="29"/>
      <c r="Y184" s="29"/>
      <c r="Z184" s="29"/>
      <c r="AA184" s="29"/>
      <c r="AB184" s="29"/>
      <c r="AC184" s="29"/>
      <c r="AD184" s="29"/>
      <c r="AE184" s="29"/>
      <c r="AF184" s="29"/>
      <c r="AG184" s="29"/>
    </row>
    <row r="185">
      <c r="A185" s="65" t="s">
        <v>1540</v>
      </c>
      <c r="B185" s="40" t="s">
        <v>697</v>
      </c>
      <c r="C185" s="44" t="s">
        <v>213</v>
      </c>
      <c r="D185" s="47" t="s">
        <v>102</v>
      </c>
      <c r="E185" s="40" t="s">
        <v>2120</v>
      </c>
      <c r="F185" s="40" t="s">
        <v>2121</v>
      </c>
      <c r="G185" s="296" t="s">
        <v>2122</v>
      </c>
      <c r="H185" s="297">
        <v>45838.0</v>
      </c>
      <c r="I185" s="63">
        <f>IFERROR(__xludf.DUMMYFUNCTION("IF(ISBLANK(H185), TODAY()-TO_DATE(G185), TO_DATE(H185)-TO_DATE(G185))+1"),3.0)</f>
        <v>3</v>
      </c>
      <c r="J185" s="65">
        <v>500.0</v>
      </c>
      <c r="K185" s="65" t="s">
        <v>2123</v>
      </c>
      <c r="L185" s="147"/>
      <c r="M185" s="72"/>
      <c r="N185" s="29"/>
      <c r="O185" s="29"/>
      <c r="P185" s="29"/>
      <c r="Q185" s="29"/>
      <c r="R185" s="29"/>
      <c r="S185" s="29"/>
      <c r="T185" s="29"/>
      <c r="U185" s="29"/>
      <c r="V185" s="29"/>
      <c r="W185" s="29"/>
      <c r="X185" s="29"/>
      <c r="Y185" s="29"/>
      <c r="Z185" s="29"/>
      <c r="AA185" s="29"/>
      <c r="AB185" s="29"/>
      <c r="AC185" s="29"/>
      <c r="AD185" s="29"/>
      <c r="AE185" s="29"/>
      <c r="AF185" s="29"/>
      <c r="AG185" s="29"/>
    </row>
    <row r="186">
      <c r="A186" s="65" t="s">
        <v>1540</v>
      </c>
      <c r="B186" s="40" t="s">
        <v>697</v>
      </c>
      <c r="C186" s="44" t="s">
        <v>228</v>
      </c>
      <c r="D186" s="47" t="s">
        <v>60</v>
      </c>
      <c r="E186" s="40" t="s">
        <v>2127</v>
      </c>
      <c r="F186" s="40" t="s">
        <v>2128</v>
      </c>
      <c r="G186" s="50" t="s">
        <v>2122</v>
      </c>
      <c r="H186" s="53">
        <v>45838.0</v>
      </c>
      <c r="I186" s="63">
        <f>IFERROR(__xludf.DUMMYFUNCTION("IF(ISBLANK(H186), TODAY()-TO_DATE(G186), TO_DATE(H186)-TO_DATE(G186))+1"),3.0)</f>
        <v>3</v>
      </c>
      <c r="J186" s="40">
        <v>500.0</v>
      </c>
      <c r="K186" s="40" t="s">
        <v>2133</v>
      </c>
      <c r="L186" s="147"/>
      <c r="M186" s="72"/>
      <c r="N186" s="29"/>
      <c r="O186" s="29"/>
      <c r="P186" s="29"/>
      <c r="Q186" s="29"/>
      <c r="R186" s="29"/>
      <c r="S186" s="29"/>
      <c r="T186" s="29"/>
      <c r="U186" s="29"/>
      <c r="V186" s="29"/>
      <c r="W186" s="29"/>
      <c r="X186" s="29"/>
      <c r="Y186" s="29"/>
      <c r="Z186" s="29"/>
      <c r="AA186" s="29"/>
      <c r="AB186" s="29"/>
      <c r="AC186" s="29"/>
      <c r="AD186" s="29"/>
      <c r="AE186" s="29"/>
      <c r="AF186" s="29"/>
      <c r="AG186" s="29"/>
    </row>
    <row r="187">
      <c r="A187" s="65" t="s">
        <v>1540</v>
      </c>
      <c r="B187" s="40" t="s">
        <v>697</v>
      </c>
      <c r="C187" s="44" t="s">
        <v>119</v>
      </c>
      <c r="D187" s="47" t="s">
        <v>60</v>
      </c>
      <c r="E187" s="40" t="s">
        <v>2139</v>
      </c>
      <c r="F187" s="40" t="s">
        <v>2140</v>
      </c>
      <c r="G187" s="296" t="s">
        <v>2122</v>
      </c>
      <c r="H187" s="297">
        <v>45839.0</v>
      </c>
      <c r="I187" s="63">
        <f>IFERROR(__xludf.DUMMYFUNCTION("IF(ISBLANK(H187), TODAY()-TO_DATE(G187), TO_DATE(H187)-TO_DATE(G187))+1"),4.0)</f>
        <v>4</v>
      </c>
      <c r="J187" s="65">
        <v>300.0</v>
      </c>
      <c r="K187" s="65" t="s">
        <v>2142</v>
      </c>
      <c r="L187" s="144" t="s">
        <v>2144</v>
      </c>
      <c r="M187" s="72"/>
      <c r="N187" s="29"/>
      <c r="O187" s="29"/>
      <c r="P187" s="29"/>
      <c r="Q187" s="29"/>
      <c r="R187" s="29"/>
      <c r="S187" s="29"/>
      <c r="T187" s="29"/>
      <c r="U187" s="29"/>
      <c r="V187" s="29"/>
      <c r="W187" s="29"/>
      <c r="X187" s="29"/>
      <c r="Y187" s="29"/>
      <c r="Z187" s="29"/>
      <c r="AA187" s="29"/>
      <c r="AB187" s="29"/>
      <c r="AC187" s="29"/>
      <c r="AD187" s="29"/>
      <c r="AE187" s="29"/>
      <c r="AF187" s="29"/>
      <c r="AG187" s="29"/>
    </row>
    <row r="188">
      <c r="A188" s="65" t="s">
        <v>1540</v>
      </c>
      <c r="B188" s="40" t="s">
        <v>697</v>
      </c>
      <c r="C188" s="44" t="s">
        <v>139</v>
      </c>
      <c r="D188" s="47" t="s">
        <v>60</v>
      </c>
      <c r="E188" s="40" t="s">
        <v>2149</v>
      </c>
      <c r="F188" s="40" t="s">
        <v>230</v>
      </c>
      <c r="G188" s="296" t="s">
        <v>2122</v>
      </c>
      <c r="H188" s="297">
        <v>45839.0</v>
      </c>
      <c r="I188" s="63">
        <f>IFERROR(__xludf.DUMMYFUNCTION("IF(ISBLANK(H188), TODAY()-TO_DATE(G188), TO_DATE(H188)-TO_DATE(G188))+1"),4.0)</f>
        <v>4</v>
      </c>
      <c r="J188" s="40">
        <v>300.0</v>
      </c>
      <c r="K188" s="65" t="s">
        <v>2154</v>
      </c>
      <c r="L188" s="147"/>
      <c r="M188" s="72"/>
      <c r="N188" s="29"/>
      <c r="O188" s="29"/>
      <c r="P188" s="29"/>
      <c r="Q188" s="29"/>
      <c r="R188" s="29"/>
      <c r="S188" s="29"/>
      <c r="T188" s="29"/>
      <c r="U188" s="29"/>
      <c r="V188" s="29"/>
      <c r="W188" s="29"/>
      <c r="X188" s="29"/>
      <c r="Y188" s="29"/>
      <c r="Z188" s="29"/>
      <c r="AA188" s="29"/>
      <c r="AB188" s="29"/>
      <c r="AC188" s="29"/>
      <c r="AD188" s="29"/>
      <c r="AE188" s="29"/>
      <c r="AF188" s="29"/>
      <c r="AG188" s="29"/>
    </row>
    <row r="189">
      <c r="A189" s="65" t="s">
        <v>1540</v>
      </c>
      <c r="B189" s="40" t="s">
        <v>697</v>
      </c>
      <c r="C189" s="44" t="s">
        <v>213</v>
      </c>
      <c r="D189" s="47" t="s">
        <v>60</v>
      </c>
      <c r="E189" s="40" t="s">
        <v>2160</v>
      </c>
      <c r="F189" s="40" t="s">
        <v>928</v>
      </c>
      <c r="G189" s="296" t="s">
        <v>2122</v>
      </c>
      <c r="H189" s="297">
        <v>45863.0</v>
      </c>
      <c r="I189" s="63">
        <f>IFERROR(__xludf.DUMMYFUNCTION("IF(ISBLANK(H189), TODAY()-TO_DATE(G189), TO_DATE(H189)-TO_DATE(G189))+1"),28.0)</f>
        <v>28</v>
      </c>
      <c r="J189" s="40">
        <v>500.0</v>
      </c>
      <c r="K189" s="65" t="s">
        <v>2163</v>
      </c>
      <c r="L189" s="144" t="s">
        <v>2164</v>
      </c>
      <c r="M189" s="72"/>
      <c r="N189" s="29"/>
      <c r="O189" s="29"/>
      <c r="P189" s="29"/>
      <c r="Q189" s="29"/>
      <c r="R189" s="29"/>
      <c r="S189" s="29"/>
      <c r="T189" s="29"/>
      <c r="U189" s="29"/>
      <c r="V189" s="29"/>
      <c r="W189" s="29"/>
      <c r="X189" s="29"/>
      <c r="Y189" s="29"/>
      <c r="Z189" s="29"/>
      <c r="AA189" s="29"/>
      <c r="AB189" s="29"/>
      <c r="AC189" s="29"/>
      <c r="AD189" s="29"/>
      <c r="AE189" s="29"/>
      <c r="AF189" s="29"/>
      <c r="AG189" s="29"/>
    </row>
    <row r="190">
      <c r="A190" s="65" t="s">
        <v>1540</v>
      </c>
      <c r="B190" s="40" t="s">
        <v>697</v>
      </c>
      <c r="C190" s="44" t="s">
        <v>213</v>
      </c>
      <c r="D190" s="47" t="s">
        <v>60</v>
      </c>
      <c r="E190" s="40" t="s">
        <v>2169</v>
      </c>
      <c r="F190" s="40" t="s">
        <v>2170</v>
      </c>
      <c r="G190" s="296" t="s">
        <v>2171</v>
      </c>
      <c r="H190" s="297">
        <v>45846.0</v>
      </c>
      <c r="I190" s="63">
        <f>IFERROR(__xludf.DUMMYFUNCTION("IF(ISBLANK(H190), TODAY()-TO_DATE(G190), TO_DATE(H190)-TO_DATE(G190))+1"),10.0)</f>
        <v>10</v>
      </c>
      <c r="J190" s="65">
        <v>500.0</v>
      </c>
      <c r="K190" s="65" t="s">
        <v>2174</v>
      </c>
      <c r="L190" s="147"/>
      <c r="M190" s="72"/>
      <c r="N190" s="29"/>
      <c r="O190" s="29"/>
      <c r="P190" s="29"/>
      <c r="Q190" s="29"/>
      <c r="R190" s="29"/>
      <c r="S190" s="29"/>
      <c r="T190" s="29"/>
      <c r="U190" s="29"/>
      <c r="V190" s="29"/>
      <c r="W190" s="29"/>
      <c r="X190" s="29"/>
      <c r="Y190" s="29"/>
      <c r="Z190" s="29"/>
      <c r="AA190" s="29"/>
      <c r="AB190" s="29"/>
      <c r="AC190" s="29"/>
      <c r="AD190" s="29"/>
      <c r="AE190" s="29"/>
      <c r="AF190" s="29"/>
      <c r="AG190" s="29"/>
    </row>
    <row r="191">
      <c r="A191" s="65" t="s">
        <v>1540</v>
      </c>
      <c r="B191" s="40" t="s">
        <v>697</v>
      </c>
      <c r="C191" s="44" t="s">
        <v>139</v>
      </c>
      <c r="D191" s="47" t="s">
        <v>60</v>
      </c>
      <c r="E191" s="40" t="s">
        <v>2177</v>
      </c>
      <c r="F191" s="40" t="s">
        <v>2178</v>
      </c>
      <c r="G191" s="296" t="s">
        <v>2171</v>
      </c>
      <c r="H191" s="297">
        <v>45848.0</v>
      </c>
      <c r="I191" s="63">
        <f>IFERROR(__xludf.DUMMYFUNCTION("IF(ISBLANK(H191), TODAY()-TO_DATE(G191), TO_DATE(H191)-TO_DATE(G191))+1"),12.0)</f>
        <v>12</v>
      </c>
      <c r="J191" s="65">
        <v>500.0</v>
      </c>
      <c r="K191" s="65" t="s">
        <v>2179</v>
      </c>
      <c r="L191" s="147"/>
      <c r="M191" s="72"/>
      <c r="N191" s="29"/>
      <c r="O191" s="29"/>
      <c r="P191" s="29"/>
      <c r="Q191" s="29"/>
      <c r="R191" s="29"/>
      <c r="S191" s="29"/>
      <c r="T191" s="29"/>
      <c r="U191" s="29"/>
      <c r="V191" s="29"/>
      <c r="W191" s="29"/>
      <c r="X191" s="29"/>
      <c r="Y191" s="29"/>
      <c r="Z191" s="29"/>
      <c r="AA191" s="29"/>
      <c r="AB191" s="29"/>
      <c r="AC191" s="29"/>
      <c r="AD191" s="29"/>
      <c r="AE191" s="29"/>
      <c r="AF191" s="29"/>
      <c r="AG191" s="29"/>
    </row>
    <row r="192">
      <c r="A192" s="65" t="s">
        <v>1540</v>
      </c>
      <c r="B192" s="40" t="s">
        <v>697</v>
      </c>
      <c r="C192" s="44" t="s">
        <v>228</v>
      </c>
      <c r="D192" s="47" t="s">
        <v>102</v>
      </c>
      <c r="E192" s="40" t="s">
        <v>1413</v>
      </c>
      <c r="F192" s="40" t="s">
        <v>1415</v>
      </c>
      <c r="G192" s="50" t="s">
        <v>2171</v>
      </c>
      <c r="H192" s="53">
        <v>45863.0</v>
      </c>
      <c r="I192" s="63">
        <f>IFERROR(__xludf.DUMMYFUNCTION("IF(ISBLANK(H192), TODAY()-TO_DATE(G192), TO_DATE(H192)-TO_DATE(G192))+1"),27.0)</f>
        <v>27</v>
      </c>
      <c r="J192" s="40">
        <v>300.0</v>
      </c>
      <c r="K192" s="40" t="s">
        <v>2189</v>
      </c>
      <c r="L192" s="144" t="s">
        <v>2190</v>
      </c>
      <c r="M192" s="72"/>
      <c r="N192" s="29"/>
      <c r="O192" s="29"/>
      <c r="P192" s="29"/>
      <c r="Q192" s="29"/>
      <c r="R192" s="29"/>
      <c r="S192" s="29"/>
      <c r="T192" s="29"/>
      <c r="U192" s="29"/>
      <c r="V192" s="29"/>
      <c r="W192" s="29"/>
      <c r="X192" s="29"/>
      <c r="Y192" s="29"/>
      <c r="Z192" s="29"/>
      <c r="AA192" s="29"/>
      <c r="AB192" s="29"/>
      <c r="AC192" s="29"/>
      <c r="AD192" s="29"/>
      <c r="AE192" s="29"/>
      <c r="AF192" s="29"/>
      <c r="AG192" s="29"/>
    </row>
    <row r="193">
      <c r="A193" s="65" t="s">
        <v>1540</v>
      </c>
      <c r="B193" s="40" t="s">
        <v>697</v>
      </c>
      <c r="C193" s="44" t="s">
        <v>213</v>
      </c>
      <c r="D193" s="47" t="s">
        <v>60</v>
      </c>
      <c r="E193" s="40" t="s">
        <v>2195</v>
      </c>
      <c r="F193" s="40" t="s">
        <v>414</v>
      </c>
      <c r="G193" s="296" t="s">
        <v>2171</v>
      </c>
      <c r="H193" s="297">
        <v>45852.0</v>
      </c>
      <c r="I193" s="63">
        <f>IFERROR(__xludf.DUMMYFUNCTION("IF(ISBLANK(H193), TODAY()-TO_DATE(G193), TO_DATE(H193)-TO_DATE(G193))+1"),16.0)</f>
        <v>16</v>
      </c>
      <c r="J193" s="40">
        <v>500.0</v>
      </c>
      <c r="K193" s="65" t="s">
        <v>2200</v>
      </c>
      <c r="L193" s="144" t="s">
        <v>2201</v>
      </c>
      <c r="M193" s="72"/>
      <c r="N193" s="29"/>
      <c r="O193" s="29"/>
      <c r="P193" s="29"/>
      <c r="Q193" s="29"/>
      <c r="R193" s="29"/>
      <c r="S193" s="29"/>
      <c r="T193" s="29"/>
      <c r="U193" s="29"/>
      <c r="V193" s="29"/>
      <c r="W193" s="29"/>
      <c r="X193" s="29"/>
      <c r="Y193" s="29"/>
      <c r="Z193" s="29"/>
      <c r="AA193" s="29"/>
      <c r="AB193" s="29"/>
      <c r="AC193" s="29"/>
      <c r="AD193" s="29"/>
      <c r="AE193" s="29"/>
      <c r="AF193" s="29"/>
      <c r="AG193" s="29"/>
    </row>
    <row r="194">
      <c r="A194" s="65" t="s">
        <v>1540</v>
      </c>
      <c r="B194" s="40" t="s">
        <v>697</v>
      </c>
      <c r="C194" s="44" t="s">
        <v>201</v>
      </c>
      <c r="D194" s="47" t="s">
        <v>326</v>
      </c>
      <c r="E194" s="40" t="s">
        <v>2207</v>
      </c>
      <c r="F194" s="40" t="s">
        <v>918</v>
      </c>
      <c r="G194" s="296" t="s">
        <v>2171</v>
      </c>
      <c r="H194" s="297">
        <v>45841.0</v>
      </c>
      <c r="I194" s="63">
        <f>IFERROR(__xludf.DUMMYFUNCTION("IF(ISBLANK(H194), TODAY()-TO_DATE(G194), TO_DATE(H194)-TO_DATE(G194))+1"),5.0)</f>
        <v>5</v>
      </c>
      <c r="J194" s="40">
        <v>300.0</v>
      </c>
      <c r="K194" s="65" t="s">
        <v>2208</v>
      </c>
      <c r="L194" s="147"/>
      <c r="M194" s="72"/>
      <c r="N194" s="29"/>
      <c r="O194" s="29"/>
      <c r="P194" s="29"/>
      <c r="Q194" s="29"/>
      <c r="R194" s="29"/>
      <c r="S194" s="29"/>
      <c r="T194" s="29"/>
      <c r="U194" s="29"/>
      <c r="V194" s="29"/>
      <c r="W194" s="29"/>
      <c r="X194" s="29"/>
      <c r="Y194" s="29"/>
      <c r="Z194" s="29"/>
      <c r="AA194" s="29"/>
      <c r="AB194" s="29"/>
      <c r="AC194" s="29"/>
      <c r="AD194" s="29"/>
      <c r="AE194" s="29"/>
      <c r="AF194" s="29"/>
      <c r="AG194" s="29"/>
    </row>
    <row r="195">
      <c r="A195" s="65" t="s">
        <v>1540</v>
      </c>
      <c r="B195" s="40" t="s">
        <v>697</v>
      </c>
      <c r="C195" s="44" t="s">
        <v>178</v>
      </c>
      <c r="D195" s="47" t="s">
        <v>102</v>
      </c>
      <c r="E195" s="40" t="s">
        <v>2210</v>
      </c>
      <c r="F195" s="40" t="s">
        <v>2211</v>
      </c>
      <c r="G195" s="296" t="s">
        <v>2171</v>
      </c>
      <c r="H195" s="297">
        <v>45851.0</v>
      </c>
      <c r="I195" s="63">
        <f>IFERROR(__xludf.DUMMYFUNCTION("IF(ISBLANK(H195), TODAY()-TO_DATE(G195), TO_DATE(H195)-TO_DATE(G195))+1"),15.0)</f>
        <v>15</v>
      </c>
      <c r="J195" s="40">
        <v>300.0</v>
      </c>
      <c r="K195" s="65" t="s">
        <v>2216</v>
      </c>
      <c r="L195" s="144" t="s">
        <v>2217</v>
      </c>
      <c r="M195" s="72"/>
      <c r="N195" s="29"/>
      <c r="O195" s="29"/>
      <c r="P195" s="29"/>
      <c r="Q195" s="29"/>
      <c r="R195" s="29"/>
      <c r="S195" s="29"/>
      <c r="T195" s="29"/>
      <c r="U195" s="29"/>
      <c r="V195" s="29"/>
      <c r="W195" s="29"/>
      <c r="X195" s="29"/>
      <c r="Y195" s="29"/>
      <c r="Z195" s="29"/>
      <c r="AA195" s="29"/>
      <c r="AB195" s="29"/>
      <c r="AC195" s="29"/>
      <c r="AD195" s="29"/>
      <c r="AE195" s="29"/>
      <c r="AF195" s="29"/>
      <c r="AG195" s="29"/>
    </row>
    <row r="196">
      <c r="A196" s="40" t="s">
        <v>1540</v>
      </c>
      <c r="B196" s="40" t="s">
        <v>697</v>
      </c>
      <c r="C196" s="44" t="s">
        <v>187</v>
      </c>
      <c r="D196" s="47" t="s">
        <v>60</v>
      </c>
      <c r="E196" s="40" t="s">
        <v>2221</v>
      </c>
      <c r="F196" s="40" t="s">
        <v>943</v>
      </c>
      <c r="G196" s="50" t="s">
        <v>2171</v>
      </c>
      <c r="H196" s="53">
        <v>45909.0</v>
      </c>
      <c r="I196" s="63">
        <f>IFERROR(__xludf.DUMMYFUNCTION("IF(ISBLANK(H196), TODAY()-TO_DATE(G196), TO_DATE(H196)-TO_DATE(G196))+1"),73.0)</f>
        <v>73</v>
      </c>
      <c r="J196" s="40" t="s">
        <v>197</v>
      </c>
      <c r="K196" s="40" t="s">
        <v>2229</v>
      </c>
      <c r="L196" s="69" t="s">
        <v>2230</v>
      </c>
      <c r="M196" s="72"/>
      <c r="N196" s="29"/>
      <c r="O196" s="29"/>
      <c r="P196" s="29"/>
      <c r="Q196" s="29"/>
      <c r="R196" s="29"/>
      <c r="S196" s="29"/>
      <c r="T196" s="29"/>
      <c r="U196" s="29"/>
      <c r="V196" s="29"/>
      <c r="W196" s="29"/>
      <c r="X196" s="29"/>
      <c r="Y196" s="29"/>
      <c r="Z196" s="29"/>
      <c r="AA196" s="29"/>
      <c r="AB196" s="29"/>
      <c r="AC196" s="29"/>
      <c r="AD196" s="29"/>
      <c r="AE196" s="29"/>
      <c r="AF196" s="29"/>
      <c r="AG196" s="29"/>
    </row>
    <row r="197">
      <c r="A197" s="40" t="s">
        <v>1923</v>
      </c>
      <c r="B197" s="40" t="s">
        <v>697</v>
      </c>
      <c r="C197" s="44" t="s">
        <v>201</v>
      </c>
      <c r="D197" s="47" t="s">
        <v>326</v>
      </c>
      <c r="E197" s="40" t="s">
        <v>2234</v>
      </c>
      <c r="F197" s="40" t="s">
        <v>1394</v>
      </c>
      <c r="G197" s="50" t="s">
        <v>2236</v>
      </c>
      <c r="H197" s="53">
        <v>45844.0</v>
      </c>
      <c r="I197" s="63">
        <f>IFERROR(__xludf.DUMMYFUNCTION("IF(ISBLANK(H197), TODAY()-TO_DATE(G197), TO_DATE(H197)-TO_DATE(G197))+1"),7.0)</f>
        <v>7</v>
      </c>
      <c r="J197" s="40" t="s">
        <v>197</v>
      </c>
      <c r="K197" s="40" t="s">
        <v>2240</v>
      </c>
      <c r="L197" s="69" t="s">
        <v>1929</v>
      </c>
      <c r="M197" s="72"/>
      <c r="N197" s="29"/>
      <c r="O197" s="29"/>
      <c r="P197" s="29"/>
      <c r="Q197" s="29"/>
      <c r="R197" s="29"/>
      <c r="S197" s="29"/>
      <c r="T197" s="29"/>
      <c r="U197" s="29"/>
      <c r="V197" s="29"/>
      <c r="W197" s="29"/>
      <c r="X197" s="29"/>
      <c r="Y197" s="29"/>
      <c r="Z197" s="29"/>
      <c r="AA197" s="29"/>
      <c r="AB197" s="29"/>
      <c r="AC197" s="29"/>
      <c r="AD197" s="29"/>
      <c r="AE197" s="29"/>
      <c r="AF197" s="29"/>
      <c r="AG197" s="29"/>
    </row>
    <row r="198">
      <c r="A198" s="40" t="s">
        <v>1923</v>
      </c>
      <c r="B198" s="40" t="s">
        <v>697</v>
      </c>
      <c r="C198" s="44" t="s">
        <v>201</v>
      </c>
      <c r="D198" s="47" t="s">
        <v>60</v>
      </c>
      <c r="E198" s="40" t="s">
        <v>2245</v>
      </c>
      <c r="F198" s="40" t="s">
        <v>2246</v>
      </c>
      <c r="G198" s="50" t="s">
        <v>2236</v>
      </c>
      <c r="H198" s="53">
        <v>45844.0</v>
      </c>
      <c r="I198" s="63">
        <f>IFERROR(__xludf.DUMMYFUNCTION("IF(ISBLANK(H198), TODAY()-TO_DATE(G198), TO_DATE(H198)-TO_DATE(G198))+1"),7.0)</f>
        <v>7</v>
      </c>
      <c r="J198" s="40" t="s">
        <v>197</v>
      </c>
      <c r="K198" s="40" t="s">
        <v>2249</v>
      </c>
      <c r="L198" s="69" t="s">
        <v>1938</v>
      </c>
      <c r="M198" s="72"/>
      <c r="N198" s="29"/>
      <c r="O198" s="29"/>
      <c r="P198" s="29"/>
      <c r="Q198" s="29"/>
      <c r="R198" s="29"/>
      <c r="S198" s="29"/>
      <c r="T198" s="29"/>
      <c r="U198" s="29"/>
      <c r="V198" s="29"/>
      <c r="W198" s="29"/>
      <c r="X198" s="29"/>
      <c r="Y198" s="29"/>
      <c r="Z198" s="29"/>
      <c r="AA198" s="29"/>
      <c r="AB198" s="29"/>
      <c r="AC198" s="29"/>
      <c r="AD198" s="29"/>
      <c r="AE198" s="29"/>
      <c r="AF198" s="29"/>
      <c r="AG198" s="29"/>
    </row>
    <row r="199">
      <c r="A199" s="40" t="s">
        <v>1923</v>
      </c>
      <c r="B199" s="40" t="s">
        <v>697</v>
      </c>
      <c r="C199" s="44" t="s">
        <v>331</v>
      </c>
      <c r="D199" s="47" t="s">
        <v>60</v>
      </c>
      <c r="E199" s="40" t="s">
        <v>2254</v>
      </c>
      <c r="F199" s="40" t="s">
        <v>758</v>
      </c>
      <c r="G199" s="50" t="s">
        <v>2236</v>
      </c>
      <c r="H199" s="53">
        <v>45844.0</v>
      </c>
      <c r="I199" s="63">
        <f>IFERROR(__xludf.DUMMYFUNCTION("IF(ISBLANK(H199), TODAY()-TO_DATE(G199), TO_DATE(H199)-TO_DATE(G199))+1"),7.0)</f>
        <v>7</v>
      </c>
      <c r="J199" s="40" t="s">
        <v>197</v>
      </c>
      <c r="K199" s="40" t="s">
        <v>2256</v>
      </c>
      <c r="L199" s="69" t="s">
        <v>1949</v>
      </c>
      <c r="M199" s="72"/>
      <c r="N199" s="29"/>
      <c r="O199" s="29"/>
      <c r="P199" s="29"/>
      <c r="Q199" s="29"/>
      <c r="R199" s="29"/>
      <c r="S199" s="29"/>
      <c r="T199" s="29"/>
      <c r="U199" s="29"/>
      <c r="V199" s="29"/>
      <c r="W199" s="29"/>
      <c r="X199" s="29"/>
      <c r="Y199" s="29"/>
      <c r="Z199" s="29"/>
      <c r="AA199" s="29"/>
      <c r="AB199" s="29"/>
      <c r="AC199" s="29"/>
      <c r="AD199" s="29"/>
      <c r="AE199" s="29"/>
      <c r="AF199" s="29"/>
      <c r="AG199" s="29"/>
    </row>
    <row r="200">
      <c r="A200" s="40" t="s">
        <v>1923</v>
      </c>
      <c r="B200" s="40" t="s">
        <v>697</v>
      </c>
      <c r="C200" s="44" t="s">
        <v>1924</v>
      </c>
      <c r="D200" s="47" t="s">
        <v>102</v>
      </c>
      <c r="E200" s="40" t="s">
        <v>2260</v>
      </c>
      <c r="F200" s="40" t="s">
        <v>334</v>
      </c>
      <c r="G200" s="50" t="s">
        <v>2236</v>
      </c>
      <c r="H200" s="53">
        <v>45844.0</v>
      </c>
      <c r="I200" s="63">
        <f>IFERROR(__xludf.DUMMYFUNCTION("IF(ISBLANK(H200), TODAY()-TO_DATE(G200), TO_DATE(H200)-TO_DATE(G200))+1"),7.0)</f>
        <v>7</v>
      </c>
      <c r="J200" s="40" t="s">
        <v>197</v>
      </c>
      <c r="K200" s="40" t="s">
        <v>2263</v>
      </c>
      <c r="L200" s="69" t="s">
        <v>2264</v>
      </c>
      <c r="M200" s="72"/>
      <c r="N200" s="29"/>
      <c r="O200" s="29"/>
      <c r="P200" s="29"/>
      <c r="Q200" s="29"/>
      <c r="R200" s="29"/>
      <c r="S200" s="29"/>
      <c r="T200" s="29"/>
      <c r="U200" s="29"/>
      <c r="V200" s="29"/>
      <c r="W200" s="29"/>
      <c r="X200" s="29"/>
      <c r="Y200" s="29"/>
      <c r="Z200" s="29"/>
      <c r="AA200" s="29"/>
      <c r="AB200" s="29"/>
      <c r="AC200" s="29"/>
      <c r="AD200" s="29"/>
      <c r="AE200" s="29"/>
      <c r="AF200" s="29"/>
      <c r="AG200" s="29"/>
    </row>
    <row r="201">
      <c r="A201" s="65" t="s">
        <v>1540</v>
      </c>
      <c r="B201" s="40" t="s">
        <v>697</v>
      </c>
      <c r="C201" s="44" t="s">
        <v>58</v>
      </c>
      <c r="D201" s="47" t="s">
        <v>60</v>
      </c>
      <c r="E201" s="40" t="s">
        <v>2270</v>
      </c>
      <c r="F201" s="40" t="s">
        <v>2271</v>
      </c>
      <c r="G201" s="296" t="s">
        <v>2236</v>
      </c>
      <c r="H201" s="297">
        <v>45842.0</v>
      </c>
      <c r="I201" s="63">
        <f>IFERROR(__xludf.DUMMYFUNCTION("IF(ISBLANK(H201), TODAY()-TO_DATE(G201), TO_DATE(H201)-TO_DATE(G201))+1"),5.0)</f>
        <v>5</v>
      </c>
      <c r="J201" s="40">
        <v>300.0</v>
      </c>
      <c r="K201" s="65" t="s">
        <v>2274</v>
      </c>
      <c r="L201" s="147"/>
      <c r="M201" s="72"/>
      <c r="N201" s="29"/>
      <c r="O201" s="29"/>
      <c r="P201" s="29"/>
      <c r="Q201" s="29"/>
      <c r="R201" s="29"/>
      <c r="S201" s="29"/>
      <c r="T201" s="29"/>
      <c r="U201" s="29"/>
      <c r="V201" s="29"/>
      <c r="W201" s="29"/>
      <c r="X201" s="29"/>
      <c r="Y201" s="29"/>
      <c r="Z201" s="29"/>
      <c r="AA201" s="29"/>
      <c r="AB201" s="29"/>
      <c r="AC201" s="29"/>
      <c r="AD201" s="29"/>
      <c r="AE201" s="29"/>
      <c r="AF201" s="29"/>
      <c r="AG201" s="29"/>
    </row>
    <row r="202">
      <c r="A202" s="65" t="s">
        <v>1540</v>
      </c>
      <c r="B202" s="40" t="s">
        <v>697</v>
      </c>
      <c r="C202" s="44" t="s">
        <v>228</v>
      </c>
      <c r="D202" s="47" t="s">
        <v>60</v>
      </c>
      <c r="E202" s="40" t="s">
        <v>2276</v>
      </c>
      <c r="F202" s="40" t="s">
        <v>2279</v>
      </c>
      <c r="G202" s="50" t="s">
        <v>2236</v>
      </c>
      <c r="H202" s="53">
        <v>45848.0</v>
      </c>
      <c r="I202" s="63">
        <f>IFERROR(__xludf.DUMMYFUNCTION("IF(ISBLANK(H202), TODAY()-TO_DATE(G202), TO_DATE(H202)-TO_DATE(G202))+1"),11.0)</f>
        <v>11</v>
      </c>
      <c r="J202" s="40">
        <v>300.0</v>
      </c>
      <c r="K202" s="40" t="s">
        <v>2284</v>
      </c>
      <c r="L202" s="144" t="s">
        <v>2286</v>
      </c>
      <c r="M202" s="72"/>
      <c r="N202" s="29"/>
      <c r="O202" s="29"/>
      <c r="P202" s="29"/>
      <c r="Q202" s="29"/>
      <c r="R202" s="29"/>
      <c r="S202" s="29"/>
      <c r="T202" s="29"/>
      <c r="U202" s="29"/>
      <c r="V202" s="29"/>
      <c r="W202" s="29"/>
      <c r="X202" s="29"/>
      <c r="Y202" s="29"/>
      <c r="Z202" s="29"/>
      <c r="AA202" s="29"/>
      <c r="AB202" s="29"/>
      <c r="AC202" s="29"/>
      <c r="AD202" s="29"/>
      <c r="AE202" s="29"/>
      <c r="AF202" s="29"/>
      <c r="AG202" s="29"/>
    </row>
    <row r="203">
      <c r="A203" s="65" t="s">
        <v>1540</v>
      </c>
      <c r="B203" s="40" t="s">
        <v>697</v>
      </c>
      <c r="C203" s="44" t="s">
        <v>213</v>
      </c>
      <c r="D203" s="47" t="s">
        <v>60</v>
      </c>
      <c r="E203" s="40" t="s">
        <v>2292</v>
      </c>
      <c r="F203" s="40" t="s">
        <v>2293</v>
      </c>
      <c r="G203" s="296" t="s">
        <v>2294</v>
      </c>
      <c r="H203" s="297">
        <v>45846.0</v>
      </c>
      <c r="I203" s="63">
        <f>IFERROR(__xludf.DUMMYFUNCTION("IF(ISBLANK(H203), TODAY()-TO_DATE(G203), TO_DATE(H203)-TO_DATE(G203))+1"),5.0)</f>
        <v>5</v>
      </c>
      <c r="J203" s="65">
        <v>500.0</v>
      </c>
      <c r="K203" s="65" t="s">
        <v>2295</v>
      </c>
      <c r="L203" s="147"/>
      <c r="M203" s="72"/>
      <c r="N203" s="29"/>
      <c r="O203" s="29"/>
      <c r="P203" s="29"/>
      <c r="Q203" s="29"/>
      <c r="R203" s="29"/>
      <c r="S203" s="29"/>
      <c r="T203" s="29"/>
      <c r="U203" s="29"/>
      <c r="V203" s="29"/>
      <c r="W203" s="29"/>
      <c r="X203" s="29"/>
      <c r="Y203" s="29"/>
      <c r="Z203" s="29"/>
      <c r="AA203" s="29"/>
      <c r="AB203" s="29"/>
      <c r="AC203" s="29"/>
      <c r="AD203" s="29"/>
      <c r="AE203" s="29"/>
      <c r="AF203" s="29"/>
      <c r="AG203" s="29"/>
    </row>
    <row r="204">
      <c r="A204" s="65" t="s">
        <v>1540</v>
      </c>
      <c r="B204" s="40" t="s">
        <v>697</v>
      </c>
      <c r="C204" s="44" t="s">
        <v>213</v>
      </c>
      <c r="D204" s="47" t="s">
        <v>60</v>
      </c>
      <c r="E204" s="40" t="s">
        <v>2300</v>
      </c>
      <c r="F204" s="40" t="s">
        <v>2301</v>
      </c>
      <c r="G204" s="296" t="s">
        <v>2294</v>
      </c>
      <c r="H204" s="297">
        <v>45848.0</v>
      </c>
      <c r="I204" s="63">
        <f>IFERROR(__xludf.DUMMYFUNCTION("IF(ISBLANK(H204), TODAY()-TO_DATE(G204), TO_DATE(H204)-TO_DATE(G204))+1"),7.0)</f>
        <v>7</v>
      </c>
      <c r="J204" s="65">
        <v>300.0</v>
      </c>
      <c r="K204" s="65" t="s">
        <v>2305</v>
      </c>
      <c r="L204" s="147"/>
      <c r="M204" s="72"/>
      <c r="N204" s="29"/>
      <c r="O204" s="29"/>
      <c r="P204" s="29"/>
      <c r="Q204" s="29"/>
      <c r="R204" s="29"/>
      <c r="S204" s="29"/>
      <c r="T204" s="29"/>
      <c r="U204" s="29"/>
      <c r="V204" s="29"/>
      <c r="W204" s="29"/>
      <c r="X204" s="29"/>
      <c r="Y204" s="29"/>
      <c r="Z204" s="29"/>
      <c r="AA204" s="29"/>
      <c r="AB204" s="29"/>
      <c r="AC204" s="29"/>
      <c r="AD204" s="29"/>
      <c r="AE204" s="29"/>
      <c r="AF204" s="29"/>
      <c r="AG204" s="29"/>
    </row>
    <row r="205">
      <c r="A205" s="65" t="s">
        <v>1540</v>
      </c>
      <c r="B205" s="40" t="s">
        <v>697</v>
      </c>
      <c r="C205" s="44" t="s">
        <v>228</v>
      </c>
      <c r="D205" s="47" t="s">
        <v>60</v>
      </c>
      <c r="E205" s="40" t="s">
        <v>2308</v>
      </c>
      <c r="F205" s="40" t="s">
        <v>2309</v>
      </c>
      <c r="G205" s="296" t="s">
        <v>2310</v>
      </c>
      <c r="H205" s="297">
        <v>45852.0</v>
      </c>
      <c r="I205" s="63">
        <f>IFERROR(__xludf.DUMMYFUNCTION("IF(ISBLANK(H205), TODAY()-TO_DATE(G205), TO_DATE(H205)-TO_DATE(G205))+1"),10.0)</f>
        <v>10</v>
      </c>
      <c r="J205" s="65">
        <v>300.0</v>
      </c>
      <c r="K205" s="65" t="s">
        <v>2312</v>
      </c>
      <c r="L205" s="147"/>
      <c r="M205" s="72"/>
      <c r="N205" s="29"/>
      <c r="O205" s="29"/>
      <c r="P205" s="29"/>
      <c r="Q205" s="29"/>
      <c r="R205" s="29"/>
      <c r="S205" s="29"/>
      <c r="T205" s="29"/>
      <c r="U205" s="29"/>
      <c r="V205" s="29"/>
      <c r="W205" s="29"/>
      <c r="X205" s="29"/>
      <c r="Y205" s="29"/>
      <c r="Z205" s="29"/>
      <c r="AA205" s="29"/>
      <c r="AB205" s="29"/>
      <c r="AC205" s="29"/>
      <c r="AD205" s="29"/>
      <c r="AE205" s="29"/>
      <c r="AF205" s="29"/>
      <c r="AG205" s="29"/>
    </row>
    <row r="206">
      <c r="A206" s="40" t="s">
        <v>1923</v>
      </c>
      <c r="B206" s="40" t="s">
        <v>697</v>
      </c>
      <c r="C206" s="44" t="s">
        <v>1924</v>
      </c>
      <c r="D206" s="47" t="s">
        <v>102</v>
      </c>
      <c r="E206" s="40" t="s">
        <v>176</v>
      </c>
      <c r="F206" s="40" t="s">
        <v>177</v>
      </c>
      <c r="G206" s="50" t="s">
        <v>2318</v>
      </c>
      <c r="H206" s="53">
        <v>45852.0</v>
      </c>
      <c r="I206" s="63">
        <f>IFERROR(__xludf.DUMMYFUNCTION("IF(ISBLANK(H206), TODAY()-TO_DATE(G206), TO_DATE(H206)-TO_DATE(G206))+1"),9.0)</f>
        <v>9</v>
      </c>
      <c r="J206" s="40" t="s">
        <v>197</v>
      </c>
      <c r="K206" s="40" t="s">
        <v>1927</v>
      </c>
      <c r="L206" s="69" t="s">
        <v>1929</v>
      </c>
      <c r="M206" s="72"/>
      <c r="N206" s="29"/>
      <c r="O206" s="29"/>
      <c r="P206" s="29"/>
      <c r="Q206" s="29"/>
      <c r="R206" s="29"/>
      <c r="S206" s="29"/>
      <c r="T206" s="29"/>
      <c r="U206" s="29"/>
      <c r="V206" s="29"/>
      <c r="W206" s="29"/>
      <c r="X206" s="29"/>
      <c r="Y206" s="29"/>
      <c r="Z206" s="29"/>
      <c r="AA206" s="29"/>
      <c r="AB206" s="29"/>
      <c r="AC206" s="29"/>
      <c r="AD206" s="29"/>
      <c r="AE206" s="29"/>
      <c r="AF206" s="29"/>
      <c r="AG206" s="29"/>
    </row>
    <row r="207">
      <c r="A207" s="40" t="s">
        <v>1923</v>
      </c>
      <c r="B207" s="40" t="s">
        <v>697</v>
      </c>
      <c r="C207" s="44" t="s">
        <v>1466</v>
      </c>
      <c r="D207" s="47" t="s">
        <v>60</v>
      </c>
      <c r="E207" s="40" t="s">
        <v>1935</v>
      </c>
      <c r="F207" s="40" t="s">
        <v>1936</v>
      </c>
      <c r="G207" s="50" t="s">
        <v>2318</v>
      </c>
      <c r="H207" s="53">
        <v>45852.0</v>
      </c>
      <c r="I207" s="63">
        <f>IFERROR(__xludf.DUMMYFUNCTION("IF(ISBLANK(H207), TODAY()-TO_DATE(G207), TO_DATE(H207)-TO_DATE(G207))+1"),9.0)</f>
        <v>9</v>
      </c>
      <c r="J207" s="40" t="s">
        <v>197</v>
      </c>
      <c r="K207" s="40" t="s">
        <v>1937</v>
      </c>
      <c r="L207" s="69" t="s">
        <v>1938</v>
      </c>
      <c r="M207" s="72"/>
      <c r="N207" s="29"/>
      <c r="O207" s="29"/>
      <c r="P207" s="29"/>
      <c r="Q207" s="29"/>
      <c r="R207" s="29"/>
      <c r="S207" s="29"/>
      <c r="T207" s="29"/>
      <c r="U207" s="29"/>
      <c r="V207" s="29"/>
      <c r="W207" s="29"/>
      <c r="X207" s="29"/>
      <c r="Y207" s="29"/>
      <c r="Z207" s="29"/>
      <c r="AA207" s="29"/>
      <c r="AB207" s="29"/>
      <c r="AC207" s="29"/>
      <c r="AD207" s="29"/>
      <c r="AE207" s="29"/>
      <c r="AF207" s="29"/>
      <c r="AG207" s="29"/>
    </row>
    <row r="208">
      <c r="A208" s="40" t="s">
        <v>1923</v>
      </c>
      <c r="B208" s="40" t="s">
        <v>697</v>
      </c>
      <c r="C208" s="44" t="s">
        <v>1466</v>
      </c>
      <c r="D208" s="47" t="s">
        <v>326</v>
      </c>
      <c r="E208" s="40" t="s">
        <v>1941</v>
      </c>
      <c r="F208" s="40" t="s">
        <v>1943</v>
      </c>
      <c r="G208" s="50" t="s">
        <v>2318</v>
      </c>
      <c r="H208" s="53">
        <v>45852.0</v>
      </c>
      <c r="I208" s="63">
        <f>IFERROR(__xludf.DUMMYFUNCTION("IF(ISBLANK(H208), TODAY()-TO_DATE(G208), TO_DATE(H208)-TO_DATE(G208))+1"),9.0)</f>
        <v>9</v>
      </c>
      <c r="J208" s="40" t="s">
        <v>197</v>
      </c>
      <c r="K208" s="40" t="s">
        <v>1947</v>
      </c>
      <c r="L208" s="69" t="s">
        <v>1949</v>
      </c>
      <c r="M208" s="72"/>
      <c r="N208" s="29"/>
      <c r="O208" s="29"/>
      <c r="P208" s="29"/>
      <c r="Q208" s="29"/>
      <c r="R208" s="29"/>
      <c r="S208" s="29"/>
      <c r="T208" s="29"/>
      <c r="U208" s="29"/>
      <c r="V208" s="29"/>
      <c r="W208" s="29"/>
      <c r="X208" s="29"/>
      <c r="Y208" s="29"/>
      <c r="Z208" s="29"/>
      <c r="AA208" s="29"/>
      <c r="AB208" s="29"/>
      <c r="AC208" s="29"/>
      <c r="AD208" s="29"/>
      <c r="AE208" s="29"/>
      <c r="AF208" s="29"/>
      <c r="AG208" s="29"/>
    </row>
    <row r="209">
      <c r="A209" s="40" t="s">
        <v>1923</v>
      </c>
      <c r="B209" s="40" t="s">
        <v>697</v>
      </c>
      <c r="C209" s="44" t="s">
        <v>1466</v>
      </c>
      <c r="D209" s="47" t="s">
        <v>60</v>
      </c>
      <c r="E209" s="40" t="s">
        <v>1950</v>
      </c>
      <c r="F209" s="40" t="s">
        <v>118</v>
      </c>
      <c r="G209" s="50" t="s">
        <v>2318</v>
      </c>
      <c r="H209" s="53">
        <v>45852.0</v>
      </c>
      <c r="I209" s="63">
        <f>IFERROR(__xludf.DUMMYFUNCTION("IF(ISBLANK(H209), TODAY()-TO_DATE(G209), TO_DATE(H209)-TO_DATE(G209))+1"),9.0)</f>
        <v>9</v>
      </c>
      <c r="J209" s="40" t="s">
        <v>197</v>
      </c>
      <c r="K209" s="40" t="s">
        <v>1955</v>
      </c>
      <c r="L209" s="69" t="s">
        <v>2264</v>
      </c>
      <c r="M209" s="72"/>
      <c r="N209" s="29"/>
      <c r="O209" s="29"/>
      <c r="P209" s="29"/>
      <c r="Q209" s="29"/>
      <c r="R209" s="29"/>
      <c r="S209" s="29"/>
      <c r="T209" s="29"/>
      <c r="U209" s="29"/>
      <c r="V209" s="29"/>
      <c r="W209" s="29"/>
      <c r="X209" s="29"/>
      <c r="Y209" s="29"/>
      <c r="Z209" s="29"/>
      <c r="AA209" s="29"/>
      <c r="AB209" s="29"/>
      <c r="AC209" s="29"/>
      <c r="AD209" s="29"/>
      <c r="AE209" s="29"/>
      <c r="AF209" s="29"/>
      <c r="AG209" s="29"/>
    </row>
    <row r="210">
      <c r="A210" s="40" t="s">
        <v>660</v>
      </c>
      <c r="B210" s="40" t="s">
        <v>697</v>
      </c>
      <c r="C210" s="44" t="s">
        <v>287</v>
      </c>
      <c r="D210" s="47" t="s">
        <v>60</v>
      </c>
      <c r="E210" s="40" t="s">
        <v>1405</v>
      </c>
      <c r="F210" s="40" t="s">
        <v>1406</v>
      </c>
      <c r="G210" s="50" t="s">
        <v>2353</v>
      </c>
      <c r="H210" s="53">
        <v>45850.0</v>
      </c>
      <c r="I210" s="63">
        <f>IFERROR(__xludf.DUMMYFUNCTION("IF(ISBLANK(H210), TODAY()-TO_DATE(G210), TO_DATE(H210)-TO_DATE(G210))+1"),6.0)</f>
        <v>6</v>
      </c>
      <c r="J210" s="40" t="s">
        <v>197</v>
      </c>
      <c r="K210" s="40" t="s">
        <v>1410</v>
      </c>
      <c r="L210" s="88"/>
      <c r="M210" s="325" t="s">
        <v>2356</v>
      </c>
      <c r="N210" s="29"/>
      <c r="O210" s="29"/>
      <c r="P210" s="29"/>
      <c r="Q210" s="29"/>
      <c r="R210" s="29"/>
      <c r="S210" s="29"/>
      <c r="T210" s="29"/>
      <c r="U210" s="29"/>
      <c r="V210" s="29"/>
      <c r="W210" s="29"/>
      <c r="X210" s="29"/>
      <c r="Y210" s="29"/>
      <c r="Z210" s="29"/>
      <c r="AA210" s="29"/>
      <c r="AB210" s="29"/>
      <c r="AC210" s="29"/>
      <c r="AD210" s="29"/>
      <c r="AE210" s="29"/>
      <c r="AF210" s="29"/>
      <c r="AG210" s="29"/>
    </row>
    <row r="211">
      <c r="A211" s="65" t="s">
        <v>1540</v>
      </c>
      <c r="B211" s="40" t="s">
        <v>697</v>
      </c>
      <c r="C211" s="44" t="s">
        <v>213</v>
      </c>
      <c r="D211" s="47" t="s">
        <v>60</v>
      </c>
      <c r="E211" s="40" t="s">
        <v>2361</v>
      </c>
      <c r="F211" s="40" t="s">
        <v>2362</v>
      </c>
      <c r="G211" s="296" t="s">
        <v>2363</v>
      </c>
      <c r="H211" s="297">
        <v>45866.0</v>
      </c>
      <c r="I211" s="63">
        <f>IFERROR(__xludf.DUMMYFUNCTION("IF(ISBLANK(H211), TODAY()-TO_DATE(G211), TO_DATE(H211)-TO_DATE(G211))+1"),19.0)</f>
        <v>19</v>
      </c>
      <c r="J211" s="40">
        <v>500.0</v>
      </c>
      <c r="K211" s="65" t="s">
        <v>2365</v>
      </c>
      <c r="L211" s="147"/>
      <c r="M211" s="72"/>
      <c r="N211" s="29"/>
      <c r="O211" s="29"/>
      <c r="P211" s="29"/>
      <c r="Q211" s="29"/>
      <c r="R211" s="29"/>
      <c r="S211" s="29"/>
      <c r="T211" s="29"/>
      <c r="U211" s="29"/>
      <c r="V211" s="29"/>
      <c r="W211" s="29"/>
      <c r="X211" s="29"/>
      <c r="Y211" s="29"/>
      <c r="Z211" s="29"/>
      <c r="AA211" s="29"/>
      <c r="AB211" s="29"/>
      <c r="AC211" s="29"/>
      <c r="AD211" s="29"/>
      <c r="AE211" s="29"/>
      <c r="AF211" s="29"/>
      <c r="AG211" s="29"/>
    </row>
    <row r="212">
      <c r="A212" s="65" t="s">
        <v>1540</v>
      </c>
      <c r="B212" s="40" t="s">
        <v>697</v>
      </c>
      <c r="C212" s="44" t="s">
        <v>187</v>
      </c>
      <c r="D212" s="47" t="s">
        <v>60</v>
      </c>
      <c r="E212" s="40" t="s">
        <v>137</v>
      </c>
      <c r="F212" s="40" t="s">
        <v>138</v>
      </c>
      <c r="G212" s="296" t="s">
        <v>2363</v>
      </c>
      <c r="H212" s="297">
        <v>45879.0</v>
      </c>
      <c r="I212" s="63">
        <f>IFERROR(__xludf.DUMMYFUNCTION("IF(ISBLANK(H212), TODAY()-TO_DATE(G212), TO_DATE(H212)-TO_DATE(G212))+1"),32.0)</f>
        <v>32</v>
      </c>
      <c r="J212" s="40" t="s">
        <v>197</v>
      </c>
      <c r="K212" s="65" t="s">
        <v>2370</v>
      </c>
      <c r="L212" s="144" t="s">
        <v>2371</v>
      </c>
      <c r="M212" s="72"/>
      <c r="N212" s="29"/>
      <c r="O212" s="29"/>
      <c r="P212" s="29"/>
      <c r="Q212" s="29"/>
      <c r="R212" s="29"/>
      <c r="S212" s="29"/>
      <c r="T212" s="29"/>
      <c r="U212" s="29"/>
      <c r="V212" s="29"/>
      <c r="W212" s="29"/>
      <c r="X212" s="29"/>
      <c r="Y212" s="29"/>
      <c r="Z212" s="29"/>
      <c r="AA212" s="29"/>
      <c r="AB212" s="29"/>
      <c r="AC212" s="29"/>
      <c r="AD212" s="29"/>
      <c r="AE212" s="29"/>
      <c r="AF212" s="29"/>
      <c r="AG212" s="29"/>
    </row>
    <row r="213">
      <c r="A213" s="65" t="s">
        <v>1540</v>
      </c>
      <c r="B213" s="40" t="s">
        <v>697</v>
      </c>
      <c r="C213" s="44" t="s">
        <v>178</v>
      </c>
      <c r="D213" s="47" t="s">
        <v>60</v>
      </c>
      <c r="E213" s="40" t="s">
        <v>2376</v>
      </c>
      <c r="F213" s="40" t="s">
        <v>2378</v>
      </c>
      <c r="G213" s="296" t="s">
        <v>2363</v>
      </c>
      <c r="H213" s="297">
        <v>45853.0</v>
      </c>
      <c r="I213" s="63">
        <f>IFERROR(__xludf.DUMMYFUNCTION("IF(ISBLANK(H213), TODAY()-TO_DATE(G213), TO_DATE(H213)-TO_DATE(G213))+1"),6.0)</f>
        <v>6</v>
      </c>
      <c r="J213" s="40">
        <v>300.0</v>
      </c>
      <c r="K213" s="65" t="s">
        <v>2380</v>
      </c>
      <c r="L213" s="144" t="s">
        <v>2381</v>
      </c>
      <c r="M213" s="72"/>
      <c r="N213" s="29"/>
      <c r="O213" s="29"/>
      <c r="P213" s="29"/>
      <c r="Q213" s="29"/>
      <c r="R213" s="29"/>
      <c r="S213" s="29"/>
      <c r="T213" s="29"/>
      <c r="U213" s="29"/>
      <c r="V213" s="29"/>
      <c r="W213" s="29"/>
      <c r="X213" s="29"/>
      <c r="Y213" s="29"/>
      <c r="Z213" s="29"/>
      <c r="AA213" s="29"/>
      <c r="AB213" s="29"/>
      <c r="AC213" s="29"/>
      <c r="AD213" s="29"/>
      <c r="AE213" s="29"/>
      <c r="AF213" s="29"/>
      <c r="AG213" s="29"/>
    </row>
    <row r="214">
      <c r="A214" s="40" t="s">
        <v>1473</v>
      </c>
      <c r="B214" s="40" t="s">
        <v>697</v>
      </c>
      <c r="C214" s="44" t="s">
        <v>331</v>
      </c>
      <c r="D214" s="47" t="s">
        <v>60</v>
      </c>
      <c r="E214" s="40" t="s">
        <v>2382</v>
      </c>
      <c r="F214" s="40" t="s">
        <v>2383</v>
      </c>
      <c r="G214" s="50" t="s">
        <v>2363</v>
      </c>
      <c r="H214" s="53">
        <v>45873.0</v>
      </c>
      <c r="I214" s="63">
        <f>IFERROR(__xludf.DUMMYFUNCTION("IF(ISBLANK(H214), TODAY()-TO_DATE(G214), TO_DATE(H214)-TO_DATE(G214))+1"),26.0)</f>
        <v>26</v>
      </c>
      <c r="J214" s="40">
        <v>300.0</v>
      </c>
      <c r="K214" s="40" t="s">
        <v>2388</v>
      </c>
      <c r="L214" s="69" t="s">
        <v>2389</v>
      </c>
      <c r="M214" s="72"/>
      <c r="N214" s="29"/>
      <c r="O214" s="29"/>
      <c r="P214" s="29"/>
      <c r="Q214" s="29"/>
      <c r="R214" s="29"/>
      <c r="S214" s="29"/>
      <c r="T214" s="29"/>
      <c r="U214" s="29"/>
      <c r="V214" s="29"/>
      <c r="W214" s="29"/>
      <c r="X214" s="29"/>
      <c r="Y214" s="29"/>
      <c r="Z214" s="29"/>
      <c r="AA214" s="29"/>
      <c r="AB214" s="29"/>
      <c r="AC214" s="29"/>
      <c r="AD214" s="29"/>
      <c r="AE214" s="29"/>
      <c r="AF214" s="29"/>
      <c r="AG214" s="29"/>
    </row>
    <row r="215">
      <c r="A215" s="40" t="s">
        <v>660</v>
      </c>
      <c r="B215" s="40" t="s">
        <v>697</v>
      </c>
      <c r="C215" s="44" t="s">
        <v>213</v>
      </c>
      <c r="D215" s="47" t="s">
        <v>60</v>
      </c>
      <c r="E215" s="40" t="s">
        <v>2393</v>
      </c>
      <c r="F215" s="40" t="s">
        <v>2395</v>
      </c>
      <c r="G215" s="50" t="s">
        <v>2363</v>
      </c>
      <c r="H215" s="53">
        <v>45873.0</v>
      </c>
      <c r="I215" s="63">
        <f>IFERROR(__xludf.DUMMYFUNCTION("IF(ISBLANK(H215), TODAY()-TO_DATE(G215), TO_DATE(H215)-TO_DATE(G215))+1"),26.0)</f>
        <v>26</v>
      </c>
      <c r="J215" s="40" t="s">
        <v>136</v>
      </c>
      <c r="K215" s="40" t="s">
        <v>2399</v>
      </c>
      <c r="L215" s="88"/>
      <c r="M215" s="325" t="s">
        <v>2400</v>
      </c>
      <c r="N215" s="29"/>
      <c r="O215" s="29"/>
      <c r="P215" s="29"/>
      <c r="Q215" s="29"/>
      <c r="R215" s="29"/>
      <c r="S215" s="29"/>
      <c r="T215" s="29"/>
      <c r="U215" s="29"/>
      <c r="V215" s="29"/>
      <c r="W215" s="29"/>
      <c r="X215" s="29"/>
      <c r="Y215" s="29"/>
      <c r="Z215" s="29"/>
      <c r="AA215" s="29"/>
      <c r="AB215" s="29"/>
      <c r="AC215" s="29"/>
      <c r="AD215" s="29"/>
      <c r="AE215" s="29"/>
      <c r="AF215" s="29"/>
      <c r="AG215" s="29"/>
    </row>
    <row r="216">
      <c r="A216" s="40" t="s">
        <v>660</v>
      </c>
      <c r="B216" s="40" t="s">
        <v>697</v>
      </c>
      <c r="C216" s="44" t="s">
        <v>187</v>
      </c>
      <c r="D216" s="47" t="s">
        <v>60</v>
      </c>
      <c r="E216" s="40" t="s">
        <v>2406</v>
      </c>
      <c r="F216" s="40" t="s">
        <v>2407</v>
      </c>
      <c r="G216" s="50" t="s">
        <v>2363</v>
      </c>
      <c r="H216" s="53">
        <v>45867.0</v>
      </c>
      <c r="I216" s="63">
        <f>IFERROR(__xludf.DUMMYFUNCTION("IF(ISBLANK(H216), TODAY()-TO_DATE(G216), TO_DATE(H216)-TO_DATE(G216))+1"),20.0)</f>
        <v>20</v>
      </c>
      <c r="J216" s="40">
        <v>500.0</v>
      </c>
      <c r="K216" s="40" t="s">
        <v>2412</v>
      </c>
      <c r="L216" s="88"/>
      <c r="M216" s="72"/>
      <c r="N216" s="29"/>
      <c r="O216" s="29"/>
      <c r="P216" s="29"/>
      <c r="Q216" s="29"/>
      <c r="R216" s="29"/>
      <c r="S216" s="29"/>
      <c r="T216" s="29"/>
      <c r="U216" s="29"/>
      <c r="V216" s="29"/>
      <c r="W216" s="29"/>
      <c r="X216" s="29"/>
      <c r="Y216" s="29"/>
      <c r="Z216" s="29"/>
      <c r="AA216" s="29"/>
      <c r="AB216" s="29"/>
      <c r="AC216" s="29"/>
      <c r="AD216" s="29"/>
      <c r="AE216" s="29"/>
      <c r="AF216" s="29"/>
      <c r="AG216" s="29"/>
    </row>
    <row r="217">
      <c r="A217" s="40" t="s">
        <v>660</v>
      </c>
      <c r="B217" s="40" t="s">
        <v>697</v>
      </c>
      <c r="C217" s="44" t="s">
        <v>139</v>
      </c>
      <c r="D217" s="47" t="s">
        <v>60</v>
      </c>
      <c r="E217" s="40" t="s">
        <v>2417</v>
      </c>
      <c r="F217" s="40" t="s">
        <v>2418</v>
      </c>
      <c r="G217" s="50" t="s">
        <v>2363</v>
      </c>
      <c r="H217" s="53">
        <v>45866.0</v>
      </c>
      <c r="I217" s="63">
        <f>IFERROR(__xludf.DUMMYFUNCTION("IF(ISBLANK(H217), TODAY()-TO_DATE(G217), TO_DATE(H217)-TO_DATE(G217))+1"),19.0)</f>
        <v>19</v>
      </c>
      <c r="J217" s="40">
        <v>500.0</v>
      </c>
      <c r="K217" s="40" t="s">
        <v>2422</v>
      </c>
      <c r="L217" s="88"/>
      <c r="M217" s="72"/>
      <c r="N217" s="29"/>
      <c r="O217" s="29"/>
      <c r="P217" s="29"/>
      <c r="Q217" s="29"/>
      <c r="R217" s="29"/>
      <c r="S217" s="29"/>
      <c r="T217" s="29"/>
      <c r="U217" s="29"/>
      <c r="V217" s="29"/>
      <c r="W217" s="29"/>
      <c r="X217" s="29"/>
      <c r="Y217" s="29"/>
      <c r="Z217" s="29"/>
      <c r="AA217" s="29"/>
      <c r="AB217" s="29"/>
      <c r="AC217" s="29"/>
      <c r="AD217" s="29"/>
      <c r="AE217" s="29"/>
      <c r="AF217" s="29"/>
      <c r="AG217" s="29"/>
    </row>
    <row r="218">
      <c r="A218" s="40" t="s">
        <v>660</v>
      </c>
      <c r="B218" s="40" t="s">
        <v>697</v>
      </c>
      <c r="C218" s="44" t="s">
        <v>212</v>
      </c>
      <c r="D218" s="47" t="s">
        <v>60</v>
      </c>
      <c r="E218" s="40" t="s">
        <v>2426</v>
      </c>
      <c r="F218" s="40" t="s">
        <v>2427</v>
      </c>
      <c r="G218" s="50" t="s">
        <v>2363</v>
      </c>
      <c r="H218" s="53">
        <v>45851.0</v>
      </c>
      <c r="I218" s="63">
        <f>IFERROR(__xludf.DUMMYFUNCTION("IF(ISBLANK(H218), TODAY()-TO_DATE(G218), TO_DATE(H218)-TO_DATE(G218))+1"),4.0)</f>
        <v>4</v>
      </c>
      <c r="J218" s="40">
        <v>200.0</v>
      </c>
      <c r="K218" s="40" t="s">
        <v>2431</v>
      </c>
      <c r="L218" s="69" t="s">
        <v>2433</v>
      </c>
      <c r="M218" s="72"/>
      <c r="N218" s="29"/>
      <c r="O218" s="29"/>
      <c r="P218" s="29"/>
      <c r="Q218" s="29"/>
      <c r="R218" s="29"/>
      <c r="S218" s="29"/>
      <c r="T218" s="29"/>
      <c r="U218" s="29"/>
      <c r="V218" s="29"/>
      <c r="W218" s="29"/>
      <c r="X218" s="29"/>
      <c r="Y218" s="29"/>
      <c r="Z218" s="29"/>
      <c r="AA218" s="29"/>
      <c r="AB218" s="29"/>
      <c r="AC218" s="29"/>
      <c r="AD218" s="29"/>
      <c r="AE218" s="29"/>
      <c r="AF218" s="29"/>
      <c r="AG218" s="29"/>
    </row>
    <row r="219">
      <c r="A219" s="40" t="s">
        <v>1923</v>
      </c>
      <c r="B219" s="40" t="s">
        <v>697</v>
      </c>
      <c r="C219" s="44" t="s">
        <v>201</v>
      </c>
      <c r="D219" s="47" t="s">
        <v>60</v>
      </c>
      <c r="E219" s="40" t="s">
        <v>2245</v>
      </c>
      <c r="F219" s="40" t="s">
        <v>2246</v>
      </c>
      <c r="G219" s="50" t="s">
        <v>2438</v>
      </c>
      <c r="H219" s="53">
        <v>45858.0</v>
      </c>
      <c r="I219" s="63">
        <f>IFERROR(__xludf.DUMMYFUNCTION("IF(ISBLANK(H219), TODAY()-TO_DATE(G219), TO_DATE(H219)-TO_DATE(G219))+1"),7.0)</f>
        <v>7</v>
      </c>
      <c r="J219" s="40" t="s">
        <v>197</v>
      </c>
      <c r="K219" s="40" t="s">
        <v>2249</v>
      </c>
      <c r="L219" s="69" t="s">
        <v>1938</v>
      </c>
      <c r="M219" s="72"/>
      <c r="N219" s="29"/>
      <c r="O219" s="29"/>
      <c r="P219" s="29"/>
      <c r="Q219" s="29"/>
      <c r="R219" s="29"/>
      <c r="S219" s="29"/>
      <c r="T219" s="29"/>
      <c r="U219" s="29"/>
      <c r="V219" s="29"/>
      <c r="W219" s="29"/>
      <c r="X219" s="29"/>
      <c r="Y219" s="29"/>
      <c r="Z219" s="29"/>
      <c r="AA219" s="29"/>
      <c r="AB219" s="29"/>
      <c r="AC219" s="29"/>
      <c r="AD219" s="29"/>
      <c r="AE219" s="29"/>
      <c r="AF219" s="29"/>
      <c r="AG219" s="29"/>
    </row>
    <row r="220">
      <c r="A220" s="40" t="s">
        <v>1923</v>
      </c>
      <c r="B220" s="40" t="s">
        <v>697</v>
      </c>
      <c r="C220" s="44" t="s">
        <v>331</v>
      </c>
      <c r="D220" s="47" t="s">
        <v>60</v>
      </c>
      <c r="E220" s="40" t="s">
        <v>2254</v>
      </c>
      <c r="F220" s="40" t="s">
        <v>758</v>
      </c>
      <c r="G220" s="50" t="s">
        <v>2438</v>
      </c>
      <c r="H220" s="53">
        <v>45858.0</v>
      </c>
      <c r="I220" s="63">
        <f>IFERROR(__xludf.DUMMYFUNCTION("IF(ISBLANK(H220), TODAY()-TO_DATE(G220), TO_DATE(H220)-TO_DATE(G220))+1"),7.0)</f>
        <v>7</v>
      </c>
      <c r="J220" s="40" t="s">
        <v>197</v>
      </c>
      <c r="K220" s="40" t="s">
        <v>2256</v>
      </c>
      <c r="L220" s="69" t="s">
        <v>1949</v>
      </c>
      <c r="M220" s="72"/>
      <c r="N220" s="29"/>
      <c r="O220" s="29"/>
      <c r="P220" s="29"/>
      <c r="Q220" s="29"/>
      <c r="R220" s="29"/>
      <c r="S220" s="29"/>
      <c r="T220" s="29"/>
      <c r="U220" s="29"/>
      <c r="V220" s="29"/>
      <c r="W220" s="29"/>
      <c r="X220" s="29"/>
      <c r="Y220" s="29"/>
      <c r="Z220" s="29"/>
      <c r="AA220" s="29"/>
      <c r="AB220" s="29"/>
      <c r="AC220" s="29"/>
      <c r="AD220" s="29"/>
      <c r="AE220" s="29"/>
      <c r="AF220" s="29"/>
      <c r="AG220" s="29"/>
    </row>
    <row r="221">
      <c r="A221" s="40" t="s">
        <v>1923</v>
      </c>
      <c r="B221" s="40" t="s">
        <v>697</v>
      </c>
      <c r="C221" s="44" t="s">
        <v>1924</v>
      </c>
      <c r="D221" s="47" t="s">
        <v>102</v>
      </c>
      <c r="E221" s="40" t="s">
        <v>2260</v>
      </c>
      <c r="F221" s="40" t="s">
        <v>334</v>
      </c>
      <c r="G221" s="50" t="s">
        <v>2438</v>
      </c>
      <c r="H221" s="53">
        <v>45858.0</v>
      </c>
      <c r="I221" s="63">
        <f>IFERROR(__xludf.DUMMYFUNCTION("IF(ISBLANK(H221), TODAY()-TO_DATE(G221), TO_DATE(H221)-TO_DATE(G221))+1"),7.0)</f>
        <v>7</v>
      </c>
      <c r="J221" s="40" t="s">
        <v>197</v>
      </c>
      <c r="K221" s="40" t="s">
        <v>2263</v>
      </c>
      <c r="L221" s="69" t="s">
        <v>2264</v>
      </c>
      <c r="M221" s="72"/>
      <c r="N221" s="29"/>
      <c r="O221" s="29"/>
      <c r="P221" s="29"/>
      <c r="Q221" s="29"/>
      <c r="R221" s="29"/>
      <c r="S221" s="29"/>
      <c r="T221" s="29"/>
      <c r="U221" s="29"/>
      <c r="V221" s="29"/>
      <c r="W221" s="29"/>
      <c r="X221" s="29"/>
      <c r="Y221" s="29"/>
      <c r="Z221" s="29"/>
      <c r="AA221" s="29"/>
      <c r="AB221" s="29"/>
      <c r="AC221" s="29"/>
      <c r="AD221" s="29"/>
      <c r="AE221" s="29"/>
      <c r="AF221" s="29"/>
      <c r="AG221" s="29"/>
    </row>
    <row r="222">
      <c r="A222" s="65" t="s">
        <v>1540</v>
      </c>
      <c r="B222" s="40" t="s">
        <v>697</v>
      </c>
      <c r="C222" s="44" t="s">
        <v>213</v>
      </c>
      <c r="D222" s="47" t="s">
        <v>60</v>
      </c>
      <c r="E222" s="40" t="s">
        <v>2453</v>
      </c>
      <c r="F222" s="40" t="s">
        <v>2454</v>
      </c>
      <c r="G222" s="296" t="s">
        <v>2438</v>
      </c>
      <c r="H222" s="297">
        <v>45862.0</v>
      </c>
      <c r="I222" s="63">
        <f>IFERROR(__xludf.DUMMYFUNCTION("IF(ISBLANK(H222), TODAY()-TO_DATE(G222), TO_DATE(H222)-TO_DATE(G222))+1"),11.0)</f>
        <v>11</v>
      </c>
      <c r="J222" s="40">
        <v>200.0</v>
      </c>
      <c r="K222" s="65" t="s">
        <v>2459</v>
      </c>
      <c r="L222" s="144" t="s">
        <v>2460</v>
      </c>
      <c r="M222" s="72"/>
      <c r="N222" s="29"/>
      <c r="O222" s="29"/>
      <c r="P222" s="29"/>
      <c r="Q222" s="29"/>
      <c r="R222" s="29"/>
      <c r="S222" s="29"/>
      <c r="T222" s="29"/>
      <c r="U222" s="29"/>
      <c r="V222" s="29"/>
      <c r="W222" s="29"/>
      <c r="X222" s="29"/>
      <c r="Y222" s="29"/>
      <c r="Z222" s="29"/>
      <c r="AA222" s="29"/>
      <c r="AB222" s="29"/>
      <c r="AC222" s="29"/>
      <c r="AD222" s="29"/>
      <c r="AE222" s="29"/>
      <c r="AF222" s="29"/>
      <c r="AG222" s="29"/>
    </row>
    <row r="223">
      <c r="A223" s="40" t="s">
        <v>1473</v>
      </c>
      <c r="B223" s="40" t="s">
        <v>697</v>
      </c>
      <c r="C223" s="44" t="s">
        <v>1466</v>
      </c>
      <c r="D223" s="47" t="s">
        <v>60</v>
      </c>
      <c r="E223" s="40" t="s">
        <v>2467</v>
      </c>
      <c r="F223" s="40" t="s">
        <v>2468</v>
      </c>
      <c r="G223" s="50" t="s">
        <v>2438</v>
      </c>
      <c r="H223" s="53">
        <v>45853.0</v>
      </c>
      <c r="I223" s="63">
        <f>IFERROR(__xludf.DUMMYFUNCTION("IF(ISBLANK(H223), TODAY()-TO_DATE(G223), TO_DATE(H223)-TO_DATE(G223))+1"),2.0)</f>
        <v>2</v>
      </c>
      <c r="J223" s="40">
        <v>300.0</v>
      </c>
      <c r="K223" s="40" t="s">
        <v>2470</v>
      </c>
      <c r="L223" s="88"/>
      <c r="M223" s="72"/>
      <c r="N223" s="29"/>
      <c r="O223" s="29"/>
      <c r="P223" s="29"/>
      <c r="Q223" s="29"/>
      <c r="R223" s="29"/>
      <c r="S223" s="29"/>
      <c r="T223" s="29"/>
      <c r="U223" s="29"/>
      <c r="V223" s="29"/>
      <c r="W223" s="29"/>
      <c r="X223" s="29"/>
      <c r="Y223" s="29"/>
      <c r="Z223" s="29"/>
      <c r="AA223" s="29"/>
      <c r="AB223" s="29"/>
      <c r="AC223" s="29"/>
      <c r="AD223" s="29"/>
      <c r="AE223" s="29"/>
      <c r="AF223" s="29"/>
      <c r="AG223" s="29"/>
    </row>
    <row r="224">
      <c r="A224" s="40" t="s">
        <v>1510</v>
      </c>
      <c r="B224" s="40" t="s">
        <v>697</v>
      </c>
      <c r="C224" s="44" t="s">
        <v>178</v>
      </c>
      <c r="D224" s="47" t="s">
        <v>60</v>
      </c>
      <c r="E224" s="40" t="s">
        <v>2476</v>
      </c>
      <c r="F224" s="40" t="s">
        <v>2049</v>
      </c>
      <c r="G224" s="50" t="s">
        <v>2438</v>
      </c>
      <c r="H224" s="53">
        <v>45858.0</v>
      </c>
      <c r="I224" s="63">
        <f>IFERROR(__xludf.DUMMYFUNCTION("IF(ISBLANK(H224), TODAY()-TO_DATE(G224), TO_DATE(H224)-TO_DATE(G224))+1"),7.0)</f>
        <v>7</v>
      </c>
      <c r="J224" s="40" t="s">
        <v>197</v>
      </c>
      <c r="K224" s="40" t="s">
        <v>2479</v>
      </c>
      <c r="L224" s="88"/>
      <c r="M224" s="72"/>
      <c r="N224" s="29"/>
      <c r="O224" s="29"/>
      <c r="P224" s="29"/>
      <c r="Q224" s="29"/>
      <c r="R224" s="29"/>
      <c r="S224" s="29"/>
      <c r="T224" s="29"/>
      <c r="U224" s="29"/>
      <c r="V224" s="29"/>
      <c r="W224" s="29"/>
      <c r="X224" s="29"/>
      <c r="Y224" s="29"/>
      <c r="Z224" s="29"/>
      <c r="AA224" s="29"/>
      <c r="AB224" s="29"/>
      <c r="AC224" s="29"/>
      <c r="AD224" s="29"/>
      <c r="AE224" s="29"/>
      <c r="AF224" s="29"/>
      <c r="AG224" s="29"/>
    </row>
    <row r="225">
      <c r="A225" s="40" t="s">
        <v>2483</v>
      </c>
      <c r="B225" s="40" t="s">
        <v>697</v>
      </c>
      <c r="C225" s="44" t="s">
        <v>331</v>
      </c>
      <c r="D225" s="47" t="s">
        <v>60</v>
      </c>
      <c r="E225" s="40" t="s">
        <v>2485</v>
      </c>
      <c r="F225" s="40" t="s">
        <v>2487</v>
      </c>
      <c r="G225" s="50" t="s">
        <v>2438</v>
      </c>
      <c r="H225" s="53">
        <v>45913.0</v>
      </c>
      <c r="I225" s="63">
        <f>IFERROR(__xludf.DUMMYFUNCTION("IF(ISBLANK(H225), TODAY()-TO_DATE(G225), TO_DATE(H225)-TO_DATE(G225))+1"),62.0)</f>
        <v>62</v>
      </c>
      <c r="J225" s="40" t="s">
        <v>197</v>
      </c>
      <c r="K225" s="40" t="s">
        <v>2489</v>
      </c>
      <c r="L225" s="69" t="s">
        <v>2490</v>
      </c>
      <c r="M225" s="72"/>
      <c r="N225" s="29"/>
      <c r="O225" s="29"/>
      <c r="P225" s="29"/>
      <c r="Q225" s="29"/>
      <c r="R225" s="29"/>
      <c r="S225" s="29"/>
      <c r="T225" s="29"/>
      <c r="U225" s="29"/>
      <c r="V225" s="29"/>
      <c r="W225" s="29"/>
      <c r="X225" s="29"/>
      <c r="Y225" s="29"/>
      <c r="Z225" s="29"/>
      <c r="AA225" s="29"/>
      <c r="AB225" s="29"/>
      <c r="AC225" s="29"/>
      <c r="AD225" s="29"/>
      <c r="AE225" s="29"/>
      <c r="AF225" s="29"/>
      <c r="AG225" s="29"/>
    </row>
    <row r="226">
      <c r="A226" s="40" t="s">
        <v>2483</v>
      </c>
      <c r="B226" s="40" t="s">
        <v>697</v>
      </c>
      <c r="C226" s="44" t="s">
        <v>331</v>
      </c>
      <c r="D226" s="47" t="s">
        <v>60</v>
      </c>
      <c r="E226" s="40" t="s">
        <v>2495</v>
      </c>
      <c r="F226" s="40" t="s">
        <v>2496</v>
      </c>
      <c r="G226" s="50" t="s">
        <v>2438</v>
      </c>
      <c r="H226" s="53">
        <v>45913.0</v>
      </c>
      <c r="I226" s="63">
        <f>IFERROR(__xludf.DUMMYFUNCTION("IF(ISBLANK(H226), TODAY()-TO_DATE(G226), TO_DATE(H226)-TO_DATE(G226))+1"),62.0)</f>
        <v>62</v>
      </c>
      <c r="J226" s="40" t="s">
        <v>197</v>
      </c>
      <c r="K226" s="40" t="s">
        <v>2502</v>
      </c>
      <c r="L226" s="69" t="s">
        <v>2503</v>
      </c>
      <c r="M226" s="72"/>
      <c r="N226" s="29"/>
      <c r="O226" s="29"/>
      <c r="P226" s="29"/>
      <c r="Q226" s="29"/>
      <c r="R226" s="29"/>
      <c r="S226" s="29"/>
      <c r="T226" s="29"/>
      <c r="U226" s="29"/>
      <c r="V226" s="29"/>
      <c r="W226" s="29"/>
      <c r="X226" s="29"/>
      <c r="Y226" s="29"/>
      <c r="Z226" s="29"/>
      <c r="AA226" s="29"/>
      <c r="AB226" s="29"/>
      <c r="AC226" s="29"/>
      <c r="AD226" s="29"/>
      <c r="AE226" s="29"/>
      <c r="AF226" s="29"/>
      <c r="AG226" s="29"/>
    </row>
    <row r="227">
      <c r="A227" s="40" t="s">
        <v>2483</v>
      </c>
      <c r="B227" s="40" t="s">
        <v>697</v>
      </c>
      <c r="C227" s="44" t="s">
        <v>331</v>
      </c>
      <c r="D227" s="47" t="s">
        <v>60</v>
      </c>
      <c r="E227" s="40" t="s">
        <v>887</v>
      </c>
      <c r="F227" s="40" t="s">
        <v>889</v>
      </c>
      <c r="G227" s="50" t="s">
        <v>2438</v>
      </c>
      <c r="H227" s="53">
        <v>45859.0</v>
      </c>
      <c r="I227" s="63">
        <f>IFERROR(__xludf.DUMMYFUNCTION("IF(ISBLANK(H227), TODAY()-TO_DATE(G227), TO_DATE(H227)-TO_DATE(G227))+1"),8.0)</f>
        <v>8</v>
      </c>
      <c r="J227" s="40">
        <v>500.0</v>
      </c>
      <c r="K227" s="40" t="s">
        <v>2511</v>
      </c>
      <c r="L227" s="88"/>
      <c r="M227" s="72"/>
      <c r="N227" s="29"/>
      <c r="O227" s="29"/>
      <c r="P227" s="29"/>
      <c r="Q227" s="29"/>
      <c r="R227" s="29"/>
      <c r="S227" s="29"/>
      <c r="T227" s="29"/>
      <c r="U227" s="29"/>
      <c r="V227" s="29"/>
      <c r="W227" s="29"/>
      <c r="X227" s="29"/>
      <c r="Y227" s="29"/>
      <c r="Z227" s="29"/>
      <c r="AA227" s="29"/>
      <c r="AB227" s="29"/>
      <c r="AC227" s="29"/>
      <c r="AD227" s="29"/>
      <c r="AE227" s="29"/>
      <c r="AF227" s="29"/>
      <c r="AG227" s="29"/>
    </row>
    <row r="228">
      <c r="A228" s="40" t="s">
        <v>2483</v>
      </c>
      <c r="B228" s="40" t="s">
        <v>697</v>
      </c>
      <c r="C228" s="44" t="s">
        <v>331</v>
      </c>
      <c r="D228" s="47" t="s">
        <v>60</v>
      </c>
      <c r="E228" s="40" t="s">
        <v>950</v>
      </c>
      <c r="F228" s="40" t="s">
        <v>951</v>
      </c>
      <c r="G228" s="50" t="s">
        <v>2438</v>
      </c>
      <c r="H228" s="53">
        <v>45855.0</v>
      </c>
      <c r="I228" s="63">
        <f>IFERROR(__xludf.DUMMYFUNCTION("IF(ISBLANK(H228), TODAY()-TO_DATE(G228), TO_DATE(H228)-TO_DATE(G228))+1"),4.0)</f>
        <v>4</v>
      </c>
      <c r="J228" s="40">
        <v>300.0</v>
      </c>
      <c r="K228" s="40" t="s">
        <v>2520</v>
      </c>
      <c r="L228" s="88"/>
      <c r="M228" s="72"/>
      <c r="N228" s="29"/>
      <c r="O228" s="29"/>
      <c r="P228" s="29"/>
      <c r="Q228" s="29"/>
      <c r="R228" s="29"/>
      <c r="S228" s="29"/>
      <c r="T228" s="29"/>
      <c r="U228" s="29"/>
      <c r="V228" s="29"/>
      <c r="W228" s="29"/>
      <c r="X228" s="29"/>
      <c r="Y228" s="29"/>
      <c r="Z228" s="29"/>
      <c r="AA228" s="29"/>
      <c r="AB228" s="29"/>
      <c r="AC228" s="29"/>
      <c r="AD228" s="29"/>
      <c r="AE228" s="29"/>
      <c r="AF228" s="29"/>
      <c r="AG228" s="29"/>
    </row>
    <row r="229">
      <c r="A229" s="40" t="s">
        <v>2483</v>
      </c>
      <c r="B229" s="40" t="s">
        <v>697</v>
      </c>
      <c r="C229" s="44" t="s">
        <v>331</v>
      </c>
      <c r="D229" s="47" t="s">
        <v>60</v>
      </c>
      <c r="E229" s="40" t="s">
        <v>2375</v>
      </c>
      <c r="F229" s="40" t="s">
        <v>2379</v>
      </c>
      <c r="G229" s="50" t="s">
        <v>2438</v>
      </c>
      <c r="H229" s="53">
        <v>45862.0</v>
      </c>
      <c r="I229" s="63">
        <f>IFERROR(__xludf.DUMMYFUNCTION("IF(ISBLANK(H229), TODAY()-TO_DATE(G229), TO_DATE(H229)-TO_DATE(G229))+1"),11.0)</f>
        <v>11</v>
      </c>
      <c r="J229" s="40">
        <v>300.0</v>
      </c>
      <c r="K229" s="40" t="s">
        <v>2530</v>
      </c>
      <c r="L229" s="88"/>
      <c r="M229" s="72"/>
      <c r="N229" s="29"/>
      <c r="O229" s="29"/>
      <c r="P229" s="29"/>
      <c r="Q229" s="29"/>
      <c r="R229" s="29"/>
      <c r="S229" s="29"/>
      <c r="T229" s="29"/>
      <c r="U229" s="29"/>
      <c r="V229" s="29"/>
      <c r="W229" s="29"/>
      <c r="X229" s="29"/>
      <c r="Y229" s="29"/>
      <c r="Z229" s="29"/>
      <c r="AA229" s="29"/>
      <c r="AB229" s="29"/>
      <c r="AC229" s="29"/>
      <c r="AD229" s="29"/>
      <c r="AE229" s="29"/>
      <c r="AF229" s="29"/>
      <c r="AG229" s="29"/>
    </row>
    <row r="230">
      <c r="A230" s="40" t="s">
        <v>2483</v>
      </c>
      <c r="B230" s="40" t="s">
        <v>697</v>
      </c>
      <c r="C230" s="44" t="s">
        <v>331</v>
      </c>
      <c r="D230" s="47" t="s">
        <v>60</v>
      </c>
      <c r="E230" s="40" t="s">
        <v>872</v>
      </c>
      <c r="F230" s="40" t="s">
        <v>414</v>
      </c>
      <c r="G230" s="50" t="s">
        <v>2438</v>
      </c>
      <c r="H230" s="53">
        <v>45866.0</v>
      </c>
      <c r="I230" s="63">
        <f>IFERROR(__xludf.DUMMYFUNCTION("IF(ISBLANK(H230), TODAY()-TO_DATE(G230), TO_DATE(H230)-TO_DATE(G230))+1"),15.0)</f>
        <v>15</v>
      </c>
      <c r="J230" s="40">
        <v>200.0</v>
      </c>
      <c r="K230" s="40" t="s">
        <v>2535</v>
      </c>
      <c r="L230" s="69" t="s">
        <v>2537</v>
      </c>
      <c r="M230" s="72"/>
      <c r="N230" s="29"/>
      <c r="O230" s="29"/>
      <c r="P230" s="29"/>
      <c r="Q230" s="29"/>
      <c r="R230" s="29"/>
      <c r="S230" s="29"/>
      <c r="T230" s="29"/>
      <c r="U230" s="29"/>
      <c r="V230" s="29"/>
      <c r="W230" s="29"/>
      <c r="X230" s="29"/>
      <c r="Y230" s="29"/>
      <c r="Z230" s="29"/>
      <c r="AA230" s="29"/>
      <c r="AB230" s="29"/>
      <c r="AC230" s="29"/>
      <c r="AD230" s="29"/>
      <c r="AE230" s="29"/>
      <c r="AF230" s="29"/>
      <c r="AG230" s="29"/>
    </row>
    <row r="231">
      <c r="A231" s="40" t="s">
        <v>2483</v>
      </c>
      <c r="B231" s="40" t="s">
        <v>697</v>
      </c>
      <c r="C231" s="44" t="s">
        <v>331</v>
      </c>
      <c r="D231" s="47" t="s">
        <v>60</v>
      </c>
      <c r="E231" s="40" t="s">
        <v>2544</v>
      </c>
      <c r="F231" s="40" t="s">
        <v>1960</v>
      </c>
      <c r="G231" s="50" t="s">
        <v>2546</v>
      </c>
      <c r="H231" s="53">
        <v>45881.0</v>
      </c>
      <c r="I231" s="63">
        <f>IFERROR(__xludf.DUMMYFUNCTION("IF(ISBLANK(H231), TODAY()-TO_DATE(G231), TO_DATE(H231)-TO_DATE(G231))+1"),29.0)</f>
        <v>29</v>
      </c>
      <c r="J231" s="40" t="s">
        <v>197</v>
      </c>
      <c r="K231" s="40" t="s">
        <v>2550</v>
      </c>
      <c r="L231" s="69" t="s">
        <v>2551</v>
      </c>
      <c r="M231" s="72"/>
      <c r="N231" s="29"/>
      <c r="O231" s="29"/>
      <c r="P231" s="29"/>
      <c r="Q231" s="29"/>
      <c r="R231" s="29"/>
      <c r="S231" s="29"/>
      <c r="T231" s="29"/>
      <c r="U231" s="29"/>
      <c r="V231" s="29"/>
      <c r="W231" s="29"/>
      <c r="X231" s="29"/>
      <c r="Y231" s="29"/>
      <c r="Z231" s="29"/>
      <c r="AA231" s="29"/>
      <c r="AB231" s="29"/>
      <c r="AC231" s="29"/>
      <c r="AD231" s="29"/>
      <c r="AE231" s="29"/>
      <c r="AF231" s="29"/>
      <c r="AG231" s="29"/>
    </row>
    <row r="232">
      <c r="A232" s="40" t="s">
        <v>2483</v>
      </c>
      <c r="B232" s="40" t="s">
        <v>697</v>
      </c>
      <c r="C232" s="44" t="s">
        <v>331</v>
      </c>
      <c r="D232" s="47" t="s">
        <v>60</v>
      </c>
      <c r="E232" s="40" t="s">
        <v>907</v>
      </c>
      <c r="F232" s="40" t="s">
        <v>725</v>
      </c>
      <c r="G232" s="50" t="s">
        <v>2546</v>
      </c>
      <c r="H232" s="53">
        <v>45867.0</v>
      </c>
      <c r="I232" s="63">
        <f>IFERROR(__xludf.DUMMYFUNCTION("IF(ISBLANK(H232), TODAY()-TO_DATE(G232), TO_DATE(H232)-TO_DATE(G232))+1"),15.0)</f>
        <v>15</v>
      </c>
      <c r="J232" s="40">
        <v>300.0</v>
      </c>
      <c r="K232" s="40" t="s">
        <v>2560</v>
      </c>
      <c r="L232" s="88"/>
      <c r="M232" s="72"/>
      <c r="N232" s="29"/>
      <c r="O232" s="29"/>
      <c r="P232" s="29"/>
      <c r="Q232" s="29"/>
      <c r="R232" s="29"/>
      <c r="S232" s="29"/>
      <c r="T232" s="29"/>
      <c r="U232" s="29"/>
      <c r="V232" s="29"/>
      <c r="W232" s="29"/>
      <c r="X232" s="29"/>
      <c r="Y232" s="29"/>
      <c r="Z232" s="29"/>
      <c r="AA232" s="29"/>
      <c r="AB232" s="29"/>
      <c r="AC232" s="29"/>
      <c r="AD232" s="29"/>
      <c r="AE232" s="29"/>
      <c r="AF232" s="29"/>
      <c r="AG232" s="29"/>
    </row>
    <row r="233">
      <c r="A233" s="65" t="s">
        <v>1540</v>
      </c>
      <c r="B233" s="40" t="s">
        <v>697</v>
      </c>
      <c r="C233" s="44" t="s">
        <v>213</v>
      </c>
      <c r="D233" s="47" t="s">
        <v>60</v>
      </c>
      <c r="E233" s="40" t="s">
        <v>2566</v>
      </c>
      <c r="F233" s="40" t="s">
        <v>2567</v>
      </c>
      <c r="G233" s="296" t="s">
        <v>2568</v>
      </c>
      <c r="H233" s="297">
        <v>45874.0</v>
      </c>
      <c r="I233" s="63">
        <f>IFERROR(__xludf.DUMMYFUNCTION("IF(ISBLANK(H233), TODAY()-TO_DATE(G233), TO_DATE(H233)-TO_DATE(G233))+1"),20.0)</f>
        <v>20</v>
      </c>
      <c r="J233" s="65">
        <v>300.0</v>
      </c>
      <c r="K233" s="65" t="s">
        <v>2573</v>
      </c>
      <c r="L233" s="88"/>
      <c r="M233" s="72"/>
      <c r="N233" s="29"/>
      <c r="O233" s="29"/>
      <c r="P233" s="29"/>
      <c r="Q233" s="29"/>
      <c r="R233" s="29"/>
      <c r="S233" s="29"/>
      <c r="T233" s="29"/>
      <c r="U233" s="29"/>
      <c r="V233" s="29"/>
      <c r="W233" s="29"/>
      <c r="X233" s="29"/>
      <c r="Y233" s="29"/>
      <c r="Z233" s="29"/>
      <c r="AA233" s="29"/>
      <c r="AB233" s="29"/>
      <c r="AC233" s="29"/>
      <c r="AD233" s="29"/>
      <c r="AE233" s="29"/>
      <c r="AF233" s="29"/>
      <c r="AG233" s="29"/>
    </row>
    <row r="234">
      <c r="A234" s="65" t="s">
        <v>1540</v>
      </c>
      <c r="B234" s="40" t="s">
        <v>697</v>
      </c>
      <c r="C234" s="44" t="s">
        <v>58</v>
      </c>
      <c r="D234" s="47" t="s">
        <v>60</v>
      </c>
      <c r="E234" s="40" t="s">
        <v>2074</v>
      </c>
      <c r="F234" s="40" t="s">
        <v>2075</v>
      </c>
      <c r="G234" s="296" t="s">
        <v>2568</v>
      </c>
      <c r="H234" s="297">
        <v>45909.0</v>
      </c>
      <c r="I234" s="63">
        <f>IFERROR(__xludf.DUMMYFUNCTION("IF(ISBLANK(H234), TODAY()-TO_DATE(G234), TO_DATE(H234)-TO_DATE(G234))+1"),55.0)</f>
        <v>55</v>
      </c>
      <c r="J234" s="65" t="s">
        <v>197</v>
      </c>
      <c r="K234" s="65" t="s">
        <v>2581</v>
      </c>
      <c r="L234" s="88"/>
      <c r="M234" s="72"/>
      <c r="N234" s="29"/>
      <c r="O234" s="29"/>
      <c r="P234" s="29"/>
      <c r="Q234" s="29"/>
      <c r="R234" s="29"/>
      <c r="S234" s="29"/>
      <c r="T234" s="29"/>
      <c r="U234" s="29"/>
      <c r="V234" s="29"/>
      <c r="W234" s="29"/>
      <c r="X234" s="29"/>
      <c r="Y234" s="29"/>
      <c r="Z234" s="29"/>
      <c r="AA234" s="29"/>
      <c r="AB234" s="29"/>
      <c r="AC234" s="29"/>
      <c r="AD234" s="29"/>
      <c r="AE234" s="29"/>
      <c r="AF234" s="29"/>
      <c r="AG234" s="29"/>
    </row>
    <row r="235">
      <c r="A235" s="65" t="s">
        <v>1540</v>
      </c>
      <c r="B235" s="40" t="s">
        <v>697</v>
      </c>
      <c r="C235" s="44" t="s">
        <v>2233</v>
      </c>
      <c r="D235" s="47" t="s">
        <v>60</v>
      </c>
      <c r="E235" s="40" t="s">
        <v>2587</v>
      </c>
      <c r="F235" s="40" t="s">
        <v>2589</v>
      </c>
      <c r="G235" s="296" t="s">
        <v>2568</v>
      </c>
      <c r="H235" s="297">
        <v>45909.0</v>
      </c>
      <c r="I235" s="63">
        <f>IFERROR(__xludf.DUMMYFUNCTION("IF(ISBLANK(H235), TODAY()-TO_DATE(G235), TO_DATE(H235)-TO_DATE(G235))+1"),55.0)</f>
        <v>55</v>
      </c>
      <c r="J235" s="65" t="s">
        <v>197</v>
      </c>
      <c r="K235" s="65" t="s">
        <v>2590</v>
      </c>
      <c r="L235" s="88"/>
      <c r="M235" s="72"/>
      <c r="N235" s="29"/>
      <c r="O235" s="29"/>
      <c r="P235" s="29"/>
      <c r="Q235" s="29"/>
      <c r="R235" s="29"/>
      <c r="S235" s="29"/>
      <c r="T235" s="29"/>
      <c r="U235" s="29"/>
      <c r="V235" s="29"/>
      <c r="W235" s="29"/>
      <c r="X235" s="29"/>
      <c r="Y235" s="29"/>
      <c r="Z235" s="29"/>
      <c r="AA235" s="29"/>
      <c r="AB235" s="29"/>
      <c r="AC235" s="29"/>
      <c r="AD235" s="29"/>
      <c r="AE235" s="29"/>
      <c r="AF235" s="29"/>
      <c r="AG235" s="29"/>
    </row>
    <row r="236">
      <c r="A236" s="40" t="s">
        <v>1448</v>
      </c>
      <c r="B236" s="40" t="s">
        <v>697</v>
      </c>
      <c r="C236" s="44" t="s">
        <v>1466</v>
      </c>
      <c r="D236" s="47" t="s">
        <v>60</v>
      </c>
      <c r="E236" s="40" t="s">
        <v>2595</v>
      </c>
      <c r="F236" s="40" t="s">
        <v>866</v>
      </c>
      <c r="G236" s="50" t="s">
        <v>2568</v>
      </c>
      <c r="H236" s="53">
        <v>45898.0</v>
      </c>
      <c r="I236" s="63">
        <f>IFERROR(__xludf.DUMMYFUNCTION("IF(ISBLANK(H236), TODAY()-TO_DATE(G236), TO_DATE(H236)-TO_DATE(G236))+1"),44.0)</f>
        <v>44</v>
      </c>
      <c r="J236" s="40">
        <v>300.0</v>
      </c>
      <c r="K236" s="40" t="s">
        <v>2596</v>
      </c>
      <c r="L236" s="69" t="s">
        <v>2597</v>
      </c>
      <c r="M236" s="72"/>
      <c r="N236" s="29"/>
      <c r="O236" s="29"/>
      <c r="P236" s="29"/>
      <c r="Q236" s="29"/>
      <c r="R236" s="29"/>
      <c r="S236" s="29"/>
      <c r="T236" s="29"/>
      <c r="U236" s="29"/>
      <c r="V236" s="29"/>
      <c r="W236" s="29"/>
      <c r="X236" s="29"/>
      <c r="Y236" s="29"/>
      <c r="Z236" s="29"/>
      <c r="AA236" s="29"/>
      <c r="AB236" s="29"/>
      <c r="AC236" s="29"/>
      <c r="AD236" s="29"/>
      <c r="AE236" s="29"/>
      <c r="AF236" s="29"/>
      <c r="AG236" s="29"/>
    </row>
    <row r="237">
      <c r="A237" s="40" t="s">
        <v>1473</v>
      </c>
      <c r="B237" s="40" t="s">
        <v>697</v>
      </c>
      <c r="C237" s="44" t="s">
        <v>331</v>
      </c>
      <c r="D237" s="47" t="s">
        <v>60</v>
      </c>
      <c r="E237" s="40" t="s">
        <v>2600</v>
      </c>
      <c r="F237" s="40" t="s">
        <v>2601</v>
      </c>
      <c r="G237" s="50" t="s">
        <v>2568</v>
      </c>
      <c r="H237" s="53">
        <v>45870.0</v>
      </c>
      <c r="I237" s="63">
        <f>IFERROR(__xludf.DUMMYFUNCTION("IF(ISBLANK(H237), TODAY()-TO_DATE(G237), TO_DATE(H237)-TO_DATE(G237))+1"),16.0)</f>
        <v>16</v>
      </c>
      <c r="J237" s="40">
        <v>300.0</v>
      </c>
      <c r="K237" s="40" t="s">
        <v>2603</v>
      </c>
      <c r="L237" s="88"/>
      <c r="M237" s="72"/>
      <c r="N237" s="29"/>
      <c r="O237" s="29"/>
      <c r="P237" s="29"/>
      <c r="Q237" s="29"/>
      <c r="R237" s="29"/>
      <c r="S237" s="29"/>
      <c r="T237" s="29"/>
      <c r="U237" s="29"/>
      <c r="V237" s="29"/>
      <c r="W237" s="29"/>
      <c r="X237" s="29"/>
      <c r="Y237" s="29"/>
      <c r="Z237" s="29"/>
      <c r="AA237" s="29"/>
      <c r="AB237" s="29"/>
      <c r="AC237" s="29"/>
      <c r="AD237" s="29"/>
      <c r="AE237" s="29"/>
      <c r="AF237" s="29"/>
      <c r="AG237" s="29"/>
    </row>
    <row r="238">
      <c r="A238" s="40" t="s">
        <v>2483</v>
      </c>
      <c r="B238" s="40" t="s">
        <v>697</v>
      </c>
      <c r="C238" s="44" t="s">
        <v>331</v>
      </c>
      <c r="D238" s="47" t="s">
        <v>60</v>
      </c>
      <c r="E238" s="40" t="s">
        <v>855</v>
      </c>
      <c r="F238" s="40" t="s">
        <v>581</v>
      </c>
      <c r="G238" s="50" t="s">
        <v>2568</v>
      </c>
      <c r="H238" s="53">
        <v>45858.0</v>
      </c>
      <c r="I238" s="63">
        <f>IFERROR(__xludf.DUMMYFUNCTION("IF(ISBLANK(H238), TODAY()-TO_DATE(G238), TO_DATE(H238)-TO_DATE(G238))+1"),4.0)</f>
        <v>4</v>
      </c>
      <c r="J238" s="40">
        <v>200.0</v>
      </c>
      <c r="K238" s="40" t="s">
        <v>2606</v>
      </c>
      <c r="L238" s="88"/>
      <c r="M238" s="72"/>
      <c r="N238" s="29"/>
      <c r="O238" s="29"/>
      <c r="P238" s="29"/>
      <c r="Q238" s="29"/>
      <c r="R238" s="29"/>
      <c r="S238" s="29"/>
      <c r="T238" s="29"/>
      <c r="U238" s="29"/>
      <c r="V238" s="29"/>
      <c r="W238" s="29"/>
      <c r="X238" s="29"/>
      <c r="Y238" s="29"/>
      <c r="Z238" s="29"/>
      <c r="AA238" s="29"/>
      <c r="AB238" s="29"/>
      <c r="AC238" s="29"/>
      <c r="AD238" s="29"/>
      <c r="AE238" s="29"/>
      <c r="AF238" s="29"/>
      <c r="AG238" s="29"/>
    </row>
    <row r="239">
      <c r="A239" s="40" t="s">
        <v>660</v>
      </c>
      <c r="B239" s="40" t="s">
        <v>697</v>
      </c>
      <c r="C239" s="44" t="s">
        <v>331</v>
      </c>
      <c r="D239" s="47" t="s">
        <v>60</v>
      </c>
      <c r="E239" s="40" t="s">
        <v>2609</v>
      </c>
      <c r="F239" s="40" t="s">
        <v>2610</v>
      </c>
      <c r="G239" s="50" t="s">
        <v>2568</v>
      </c>
      <c r="H239" s="53">
        <v>45909.0</v>
      </c>
      <c r="I239" s="63">
        <f>IFERROR(__xludf.DUMMYFUNCTION("IF(ISBLANK(H239), TODAY()-TO_DATE(G239), TO_DATE(H239)-TO_DATE(G239))+1"),55.0)</f>
        <v>55</v>
      </c>
      <c r="J239" s="40" t="s">
        <v>197</v>
      </c>
      <c r="K239" s="40" t="s">
        <v>2615</v>
      </c>
      <c r="L239" s="69" t="s">
        <v>2617</v>
      </c>
      <c r="M239" s="72"/>
      <c r="N239" s="29"/>
      <c r="O239" s="29"/>
      <c r="P239" s="29"/>
      <c r="Q239" s="29"/>
      <c r="R239" s="29"/>
      <c r="S239" s="29"/>
      <c r="T239" s="29"/>
      <c r="U239" s="29"/>
      <c r="V239" s="29"/>
      <c r="W239" s="29"/>
      <c r="X239" s="29"/>
      <c r="Y239" s="29"/>
      <c r="Z239" s="29"/>
      <c r="AA239" s="29"/>
      <c r="AB239" s="29"/>
      <c r="AC239" s="29"/>
      <c r="AD239" s="29"/>
      <c r="AE239" s="29"/>
      <c r="AF239" s="29"/>
      <c r="AG239" s="29"/>
    </row>
    <row r="240">
      <c r="A240" s="40" t="s">
        <v>660</v>
      </c>
      <c r="B240" s="40" t="s">
        <v>697</v>
      </c>
      <c r="C240" s="44" t="s">
        <v>287</v>
      </c>
      <c r="D240" s="47" t="s">
        <v>60</v>
      </c>
      <c r="E240" s="40" t="s">
        <v>2618</v>
      </c>
      <c r="F240" s="40" t="s">
        <v>327</v>
      </c>
      <c r="G240" s="50" t="s">
        <v>2568</v>
      </c>
      <c r="H240" s="53">
        <v>45909.0</v>
      </c>
      <c r="I240" s="63">
        <f>IFERROR(__xludf.DUMMYFUNCTION("IF(ISBLANK(H240), TODAY()-TO_DATE(G240), TO_DATE(H240)-TO_DATE(G240))+1"),55.0)</f>
        <v>55</v>
      </c>
      <c r="J240" s="40" t="s">
        <v>197</v>
      </c>
      <c r="K240" s="40" t="s">
        <v>2623</v>
      </c>
      <c r="L240" s="69" t="s">
        <v>2624</v>
      </c>
      <c r="M240" s="72"/>
      <c r="N240" s="29"/>
      <c r="O240" s="29"/>
      <c r="P240" s="29"/>
      <c r="Q240" s="29"/>
      <c r="R240" s="29"/>
      <c r="S240" s="29"/>
      <c r="T240" s="29"/>
      <c r="U240" s="29"/>
      <c r="V240" s="29"/>
      <c r="W240" s="29"/>
      <c r="X240" s="29"/>
      <c r="Y240" s="29"/>
      <c r="Z240" s="29"/>
      <c r="AA240" s="29"/>
      <c r="AB240" s="29"/>
      <c r="AC240" s="29"/>
      <c r="AD240" s="29"/>
      <c r="AE240" s="29"/>
      <c r="AF240" s="29"/>
      <c r="AG240" s="29"/>
    </row>
    <row r="241">
      <c r="A241" s="40" t="s">
        <v>660</v>
      </c>
      <c r="B241" s="40" t="s">
        <v>697</v>
      </c>
      <c r="C241" s="44" t="s">
        <v>287</v>
      </c>
      <c r="D241" s="47" t="s">
        <v>60</v>
      </c>
      <c r="E241" s="40" t="s">
        <v>1405</v>
      </c>
      <c r="F241" s="40" t="s">
        <v>1406</v>
      </c>
      <c r="G241" s="50" t="s">
        <v>2568</v>
      </c>
      <c r="H241" s="53">
        <v>45860.0</v>
      </c>
      <c r="I241" s="63">
        <f>IFERROR(__xludf.DUMMYFUNCTION("IF(ISBLANK(H241), TODAY()-TO_DATE(G241), TO_DATE(H241)-TO_DATE(G241))+1"),6.0)</f>
        <v>6</v>
      </c>
      <c r="J241" s="40" t="s">
        <v>197</v>
      </c>
      <c r="K241" s="40" t="s">
        <v>1410</v>
      </c>
      <c r="L241" s="88"/>
      <c r="M241" s="325" t="s">
        <v>2356</v>
      </c>
      <c r="N241" s="29"/>
      <c r="O241" s="29"/>
      <c r="P241" s="29"/>
      <c r="Q241" s="29"/>
      <c r="R241" s="29"/>
      <c r="S241" s="29"/>
      <c r="T241" s="29"/>
      <c r="U241" s="29"/>
      <c r="V241" s="29"/>
      <c r="W241" s="29"/>
      <c r="X241" s="29"/>
      <c r="Y241" s="29"/>
      <c r="Z241" s="29"/>
      <c r="AA241" s="29"/>
      <c r="AB241" s="29"/>
      <c r="AC241" s="29"/>
      <c r="AD241" s="29"/>
      <c r="AE241" s="29"/>
      <c r="AF241" s="29"/>
      <c r="AG241" s="29"/>
    </row>
    <row r="242">
      <c r="A242" s="40" t="s">
        <v>1923</v>
      </c>
      <c r="B242" s="40" t="s">
        <v>697</v>
      </c>
      <c r="C242" s="44" t="s">
        <v>201</v>
      </c>
      <c r="D242" s="47" t="s">
        <v>326</v>
      </c>
      <c r="E242" s="40" t="s">
        <v>2234</v>
      </c>
      <c r="F242" s="40" t="s">
        <v>1394</v>
      </c>
      <c r="G242" s="50" t="s">
        <v>2638</v>
      </c>
      <c r="H242" s="53">
        <v>45859.0</v>
      </c>
      <c r="I242" s="63">
        <f>IFERROR(__xludf.DUMMYFUNCTION("IF(ISBLANK(H242), TODAY()-TO_DATE(G242), TO_DATE(H242)-TO_DATE(G242))+1"),2.0)</f>
        <v>2</v>
      </c>
      <c r="J242" s="40">
        <v>200.0</v>
      </c>
      <c r="K242" s="40" t="s">
        <v>2240</v>
      </c>
      <c r="L242" s="69" t="s">
        <v>1929</v>
      </c>
      <c r="M242" s="72"/>
      <c r="N242" s="29"/>
      <c r="O242" s="29"/>
      <c r="P242" s="29"/>
      <c r="Q242" s="29"/>
      <c r="R242" s="29"/>
      <c r="S242" s="29"/>
      <c r="T242" s="29"/>
      <c r="U242" s="29"/>
      <c r="V242" s="29"/>
      <c r="W242" s="29"/>
      <c r="X242" s="29"/>
      <c r="Y242" s="29"/>
      <c r="Z242" s="29"/>
      <c r="AA242" s="29"/>
      <c r="AB242" s="29"/>
      <c r="AC242" s="29"/>
      <c r="AD242" s="29"/>
      <c r="AE242" s="29"/>
      <c r="AF242" s="29"/>
      <c r="AG242" s="29"/>
    </row>
    <row r="243">
      <c r="A243" s="40" t="s">
        <v>1923</v>
      </c>
      <c r="B243" s="40" t="s">
        <v>697</v>
      </c>
      <c r="C243" s="44" t="s">
        <v>1466</v>
      </c>
      <c r="D243" s="47" t="s">
        <v>60</v>
      </c>
      <c r="E243" s="40" t="s">
        <v>1935</v>
      </c>
      <c r="F243" s="40" t="s">
        <v>1936</v>
      </c>
      <c r="G243" s="50" t="s">
        <v>2638</v>
      </c>
      <c r="H243" s="53">
        <v>45859.0</v>
      </c>
      <c r="I243" s="63">
        <f>IFERROR(__xludf.DUMMYFUNCTION("IF(ISBLANK(H243), TODAY()-TO_DATE(G243), TO_DATE(H243)-TO_DATE(G243))+1"),2.0)</f>
        <v>2</v>
      </c>
      <c r="J243" s="40">
        <v>200.0</v>
      </c>
      <c r="K243" s="40" t="s">
        <v>1937</v>
      </c>
      <c r="L243" s="69" t="s">
        <v>1938</v>
      </c>
      <c r="M243" s="72"/>
      <c r="N243" s="29"/>
      <c r="O243" s="29"/>
      <c r="P243" s="29"/>
      <c r="Q243" s="29"/>
      <c r="R243" s="29"/>
      <c r="S243" s="29"/>
      <c r="T243" s="29"/>
      <c r="U243" s="29"/>
      <c r="V243" s="29"/>
      <c r="W243" s="29"/>
      <c r="X243" s="29"/>
      <c r="Y243" s="29"/>
      <c r="Z243" s="29"/>
      <c r="AA243" s="29"/>
      <c r="AB243" s="29"/>
      <c r="AC243" s="29"/>
      <c r="AD243" s="29"/>
      <c r="AE243" s="29"/>
      <c r="AF243" s="29"/>
      <c r="AG243" s="29"/>
    </row>
    <row r="244">
      <c r="A244" s="40" t="s">
        <v>1923</v>
      </c>
      <c r="B244" s="40" t="s">
        <v>697</v>
      </c>
      <c r="C244" s="44" t="s">
        <v>1466</v>
      </c>
      <c r="D244" s="47" t="s">
        <v>326</v>
      </c>
      <c r="E244" s="40" t="s">
        <v>1941</v>
      </c>
      <c r="F244" s="40" t="s">
        <v>1943</v>
      </c>
      <c r="G244" s="50" t="s">
        <v>2638</v>
      </c>
      <c r="H244" s="53">
        <v>45859.0</v>
      </c>
      <c r="I244" s="63">
        <f>IFERROR(__xludf.DUMMYFUNCTION("IF(ISBLANK(H244), TODAY()-TO_DATE(G244), TO_DATE(H244)-TO_DATE(G244))+1"),2.0)</f>
        <v>2</v>
      </c>
      <c r="J244" s="40">
        <v>200.0</v>
      </c>
      <c r="K244" s="40" t="s">
        <v>1947</v>
      </c>
      <c r="L244" s="69" t="s">
        <v>1949</v>
      </c>
      <c r="M244" s="72"/>
      <c r="N244" s="29"/>
      <c r="O244" s="29"/>
      <c r="P244" s="29"/>
      <c r="Q244" s="29"/>
      <c r="R244" s="29"/>
      <c r="S244" s="29"/>
      <c r="T244" s="29"/>
      <c r="U244" s="29"/>
      <c r="V244" s="29"/>
      <c r="W244" s="29"/>
      <c r="X244" s="29"/>
      <c r="Y244" s="29"/>
      <c r="Z244" s="29"/>
      <c r="AA244" s="29"/>
      <c r="AB244" s="29"/>
      <c r="AC244" s="29"/>
      <c r="AD244" s="29"/>
      <c r="AE244" s="29"/>
      <c r="AF244" s="29"/>
      <c r="AG244" s="29"/>
    </row>
    <row r="245">
      <c r="A245" s="40" t="s">
        <v>1923</v>
      </c>
      <c r="B245" s="40" t="s">
        <v>697</v>
      </c>
      <c r="C245" s="44" t="s">
        <v>1466</v>
      </c>
      <c r="D245" s="47" t="s">
        <v>60</v>
      </c>
      <c r="E245" s="40" t="s">
        <v>1950</v>
      </c>
      <c r="F245" s="40" t="s">
        <v>118</v>
      </c>
      <c r="G245" s="50" t="s">
        <v>2638</v>
      </c>
      <c r="H245" s="53">
        <v>45859.0</v>
      </c>
      <c r="I245" s="63">
        <f>IFERROR(__xludf.DUMMYFUNCTION("IF(ISBLANK(H245), TODAY()-TO_DATE(G245), TO_DATE(H245)-TO_DATE(G245))+1"),2.0)</f>
        <v>2</v>
      </c>
      <c r="J245" s="40">
        <v>300.0</v>
      </c>
      <c r="K245" s="40" t="s">
        <v>1955</v>
      </c>
      <c r="L245" s="69" t="s">
        <v>2264</v>
      </c>
      <c r="M245" s="72"/>
      <c r="N245" s="29"/>
      <c r="O245" s="29"/>
      <c r="P245" s="29"/>
      <c r="Q245" s="29"/>
      <c r="R245" s="29"/>
      <c r="S245" s="29"/>
      <c r="T245" s="29"/>
      <c r="U245" s="29"/>
      <c r="V245" s="29"/>
      <c r="W245" s="29"/>
      <c r="X245" s="29"/>
      <c r="Y245" s="29"/>
      <c r="Z245" s="29"/>
      <c r="AA245" s="29"/>
      <c r="AB245" s="29"/>
      <c r="AC245" s="29"/>
      <c r="AD245" s="29"/>
      <c r="AE245" s="29"/>
      <c r="AF245" s="29"/>
      <c r="AG245" s="29"/>
    </row>
    <row r="246">
      <c r="A246" s="65" t="s">
        <v>54</v>
      </c>
      <c r="B246" s="40" t="s">
        <v>697</v>
      </c>
      <c r="C246" s="44" t="s">
        <v>201</v>
      </c>
      <c r="D246" s="47" t="s">
        <v>60</v>
      </c>
      <c r="E246" s="40" t="s">
        <v>2653</v>
      </c>
      <c r="F246" s="40" t="s">
        <v>2654</v>
      </c>
      <c r="G246" s="296" t="s">
        <v>2655</v>
      </c>
      <c r="H246" s="297">
        <v>45906.0</v>
      </c>
      <c r="I246" s="63">
        <f>IFERROR(__xludf.DUMMYFUNCTION("IF(ISBLANK(H246), TODAY()-TO_DATE(G246), TO_DATE(H246)-TO_DATE(G246))+1"),45.0)</f>
        <v>45</v>
      </c>
      <c r="J246" s="65" t="s">
        <v>197</v>
      </c>
      <c r="K246" s="40" t="s">
        <v>2657</v>
      </c>
      <c r="L246" s="144" t="s">
        <v>2659</v>
      </c>
      <c r="M246" s="72"/>
      <c r="N246" s="29"/>
      <c r="O246" s="29"/>
      <c r="P246" s="29"/>
      <c r="Q246" s="29"/>
      <c r="R246" s="29"/>
      <c r="S246" s="29"/>
      <c r="T246" s="29"/>
      <c r="U246" s="29"/>
      <c r="V246" s="29"/>
      <c r="W246" s="29"/>
      <c r="X246" s="29"/>
      <c r="Y246" s="29"/>
      <c r="Z246" s="29"/>
      <c r="AA246" s="29"/>
      <c r="AB246" s="29"/>
      <c r="AC246" s="29"/>
      <c r="AD246" s="29"/>
      <c r="AE246" s="29"/>
      <c r="AF246" s="29"/>
      <c r="AG246" s="29"/>
    </row>
    <row r="247">
      <c r="A247" s="65" t="s">
        <v>54</v>
      </c>
      <c r="B247" s="40" t="s">
        <v>697</v>
      </c>
      <c r="C247" s="44" t="s">
        <v>212</v>
      </c>
      <c r="D247" s="47" t="s">
        <v>60</v>
      </c>
      <c r="E247" s="40" t="s">
        <v>2662</v>
      </c>
      <c r="F247" s="40" t="s">
        <v>2663</v>
      </c>
      <c r="G247" s="296" t="s">
        <v>2655</v>
      </c>
      <c r="H247" s="297">
        <v>45885.0</v>
      </c>
      <c r="I247" s="63">
        <f>IFERROR(__xludf.DUMMYFUNCTION("IF(ISBLANK(H247), TODAY()-TO_DATE(G247), TO_DATE(H247)-TO_DATE(G247))+1"),24.0)</f>
        <v>24</v>
      </c>
      <c r="J247" s="65">
        <v>200.0</v>
      </c>
      <c r="K247" s="40" t="s">
        <v>2667</v>
      </c>
      <c r="L247" s="366" t="s">
        <v>1956</v>
      </c>
      <c r="M247" s="72"/>
      <c r="N247" s="29"/>
      <c r="O247" s="29"/>
      <c r="P247" s="29"/>
      <c r="Q247" s="29"/>
      <c r="R247" s="29"/>
      <c r="S247" s="29"/>
      <c r="T247" s="29"/>
      <c r="U247" s="29"/>
      <c r="V247" s="29"/>
      <c r="W247" s="29"/>
      <c r="X247" s="29"/>
      <c r="Y247" s="29"/>
      <c r="Z247" s="29"/>
      <c r="AA247" s="29"/>
      <c r="AB247" s="29"/>
      <c r="AC247" s="29"/>
      <c r="AD247" s="29"/>
      <c r="AE247" s="29"/>
      <c r="AF247" s="29"/>
      <c r="AG247" s="29"/>
    </row>
    <row r="248">
      <c r="A248" s="65" t="s">
        <v>54</v>
      </c>
      <c r="B248" s="40" t="s">
        <v>697</v>
      </c>
      <c r="C248" s="44" t="s">
        <v>139</v>
      </c>
      <c r="D248" s="47" t="s">
        <v>60</v>
      </c>
      <c r="E248" s="40" t="s">
        <v>2672</v>
      </c>
      <c r="F248" s="40" t="s">
        <v>2673</v>
      </c>
      <c r="G248" s="296" t="s">
        <v>2655</v>
      </c>
      <c r="H248" s="297">
        <v>45873.0</v>
      </c>
      <c r="I248" s="63">
        <f>IFERROR(__xludf.DUMMYFUNCTION("IF(ISBLANK(H248), TODAY()-TO_DATE(G248), TO_DATE(H248)-TO_DATE(G248))+1"),12.0)</f>
        <v>12</v>
      </c>
      <c r="J248" s="65">
        <v>300.0</v>
      </c>
      <c r="K248" s="40" t="s">
        <v>2581</v>
      </c>
      <c r="L248" s="144" t="s">
        <v>2677</v>
      </c>
      <c r="M248" s="72"/>
      <c r="N248" s="29"/>
      <c r="O248" s="29"/>
      <c r="P248" s="29"/>
      <c r="Q248" s="29"/>
      <c r="R248" s="29"/>
      <c r="S248" s="29"/>
      <c r="T248" s="29"/>
      <c r="U248" s="29"/>
      <c r="V248" s="29"/>
      <c r="W248" s="29"/>
      <c r="X248" s="29"/>
      <c r="Y248" s="29"/>
      <c r="Z248" s="29"/>
      <c r="AA248" s="29"/>
      <c r="AB248" s="29"/>
      <c r="AC248" s="29"/>
      <c r="AD248" s="29"/>
      <c r="AE248" s="29"/>
      <c r="AF248" s="29"/>
      <c r="AG248" s="29"/>
    </row>
    <row r="249">
      <c r="A249" s="65" t="s">
        <v>54</v>
      </c>
      <c r="B249" s="40" t="s">
        <v>697</v>
      </c>
      <c r="C249" s="44" t="s">
        <v>321</v>
      </c>
      <c r="D249" s="47" t="s">
        <v>60</v>
      </c>
      <c r="E249" s="40" t="s">
        <v>2680</v>
      </c>
      <c r="F249" s="40" t="s">
        <v>2681</v>
      </c>
      <c r="G249" s="296" t="s">
        <v>2655</v>
      </c>
      <c r="H249" s="297">
        <v>45873.0</v>
      </c>
      <c r="I249" s="63">
        <f>IFERROR(__xludf.DUMMYFUNCTION("IF(ISBLANK(H249), TODAY()-TO_DATE(G249), TO_DATE(H249)-TO_DATE(G249))+1"),12.0)</f>
        <v>12</v>
      </c>
      <c r="J249" s="65">
        <v>300.0</v>
      </c>
      <c r="K249" s="40" t="s">
        <v>2684</v>
      </c>
      <c r="L249" s="147"/>
      <c r="M249" s="72"/>
      <c r="N249" s="29"/>
      <c r="O249" s="29"/>
      <c r="P249" s="29"/>
      <c r="Q249" s="29"/>
      <c r="R249" s="29"/>
      <c r="S249" s="29"/>
      <c r="T249" s="29"/>
      <c r="U249" s="29"/>
      <c r="V249" s="29"/>
      <c r="W249" s="29"/>
      <c r="X249" s="29"/>
      <c r="Y249" s="29"/>
      <c r="Z249" s="29"/>
      <c r="AA249" s="29"/>
      <c r="AB249" s="29"/>
      <c r="AC249" s="29"/>
      <c r="AD249" s="29"/>
      <c r="AE249" s="29"/>
      <c r="AF249" s="29"/>
      <c r="AG249" s="29"/>
    </row>
    <row r="250">
      <c r="A250" s="65" t="s">
        <v>54</v>
      </c>
      <c r="B250" s="40" t="s">
        <v>697</v>
      </c>
      <c r="C250" s="44" t="s">
        <v>58</v>
      </c>
      <c r="D250" s="47" t="s">
        <v>60</v>
      </c>
      <c r="E250" s="40" t="s">
        <v>2686</v>
      </c>
      <c r="F250" s="40" t="s">
        <v>1022</v>
      </c>
      <c r="G250" s="296" t="s">
        <v>2655</v>
      </c>
      <c r="H250" s="297">
        <v>45873.0</v>
      </c>
      <c r="I250" s="63">
        <f>IFERROR(__xludf.DUMMYFUNCTION("IF(ISBLANK(H250), TODAY()-TO_DATE(G250), TO_DATE(H250)-TO_DATE(G250))+1"),12.0)</f>
        <v>12</v>
      </c>
      <c r="J250" s="65">
        <v>300.0</v>
      </c>
      <c r="K250" s="40" t="s">
        <v>2690</v>
      </c>
      <c r="L250" s="144" t="s">
        <v>2691</v>
      </c>
      <c r="M250" s="72"/>
      <c r="N250" s="29"/>
      <c r="O250" s="29"/>
      <c r="P250" s="29"/>
      <c r="Q250" s="29"/>
      <c r="R250" s="29"/>
      <c r="S250" s="29"/>
      <c r="T250" s="29"/>
      <c r="U250" s="29"/>
      <c r="V250" s="29"/>
      <c r="W250" s="29"/>
      <c r="X250" s="29"/>
      <c r="Y250" s="29"/>
      <c r="Z250" s="29"/>
      <c r="AA250" s="29"/>
      <c r="AB250" s="29"/>
      <c r="AC250" s="29"/>
      <c r="AD250" s="29"/>
      <c r="AE250" s="29"/>
      <c r="AF250" s="29"/>
      <c r="AG250" s="29"/>
    </row>
    <row r="251">
      <c r="A251" s="65" t="s">
        <v>54</v>
      </c>
      <c r="B251" s="40" t="s">
        <v>697</v>
      </c>
      <c r="C251" s="44" t="s">
        <v>213</v>
      </c>
      <c r="D251" s="47" t="s">
        <v>60</v>
      </c>
      <c r="E251" s="40" t="s">
        <v>2695</v>
      </c>
      <c r="F251" s="40" t="s">
        <v>2696</v>
      </c>
      <c r="G251" s="296" t="s">
        <v>2655</v>
      </c>
      <c r="H251" s="297">
        <v>45880.0</v>
      </c>
      <c r="I251" s="63">
        <f>IFERROR(__xludf.DUMMYFUNCTION("IF(ISBLANK(H251), TODAY()-TO_DATE(G251), TO_DATE(H251)-TO_DATE(G251))+1"),19.0)</f>
        <v>19</v>
      </c>
      <c r="J251" s="65">
        <v>500.0</v>
      </c>
      <c r="K251" s="40" t="s">
        <v>2700</v>
      </c>
      <c r="L251" s="144" t="s">
        <v>2703</v>
      </c>
      <c r="M251" s="72"/>
      <c r="N251" s="29"/>
      <c r="O251" s="29"/>
      <c r="P251" s="29"/>
      <c r="Q251" s="29"/>
      <c r="R251" s="29"/>
      <c r="S251" s="29"/>
      <c r="T251" s="29"/>
      <c r="U251" s="29"/>
      <c r="V251" s="29"/>
      <c r="W251" s="29"/>
      <c r="X251" s="29"/>
      <c r="Y251" s="29"/>
      <c r="Z251" s="29"/>
      <c r="AA251" s="29"/>
      <c r="AB251" s="29"/>
      <c r="AC251" s="29"/>
      <c r="AD251" s="29"/>
      <c r="AE251" s="29"/>
      <c r="AF251" s="29"/>
      <c r="AG251" s="29"/>
    </row>
    <row r="252">
      <c r="A252" s="65" t="s">
        <v>54</v>
      </c>
      <c r="B252" s="40" t="s">
        <v>697</v>
      </c>
      <c r="C252" s="44" t="s">
        <v>213</v>
      </c>
      <c r="D252" s="47" t="s">
        <v>60</v>
      </c>
      <c r="E252" s="40" t="s">
        <v>2705</v>
      </c>
      <c r="F252" s="40" t="s">
        <v>2707</v>
      </c>
      <c r="G252" s="50" t="s">
        <v>2655</v>
      </c>
      <c r="H252" s="53">
        <v>45876.0</v>
      </c>
      <c r="I252" s="63">
        <f>IFERROR(__xludf.DUMMYFUNCTION("IF(ISBLANK(H252), TODAY()-TO_DATE(G252), TO_DATE(H252)-TO_DATE(G252))+1"),15.0)</f>
        <v>15</v>
      </c>
      <c r="J252" s="65">
        <v>500.0</v>
      </c>
      <c r="K252" s="40" t="s">
        <v>2708</v>
      </c>
      <c r="L252" s="88"/>
      <c r="M252" s="72"/>
      <c r="N252" s="29"/>
      <c r="O252" s="29"/>
      <c r="P252" s="29"/>
      <c r="Q252" s="29"/>
      <c r="R252" s="29"/>
      <c r="S252" s="29"/>
      <c r="T252" s="29"/>
      <c r="U252" s="29"/>
      <c r="V252" s="29"/>
      <c r="W252" s="29"/>
      <c r="X252" s="29"/>
      <c r="Y252" s="29"/>
      <c r="Z252" s="29"/>
      <c r="AA252" s="29"/>
      <c r="AB252" s="29"/>
      <c r="AC252" s="29"/>
      <c r="AD252" s="29"/>
      <c r="AE252" s="29"/>
      <c r="AF252" s="29"/>
      <c r="AG252" s="29"/>
    </row>
    <row r="253">
      <c r="A253" s="65" t="s">
        <v>54</v>
      </c>
      <c r="B253" s="40" t="s">
        <v>697</v>
      </c>
      <c r="C253" s="376" t="s">
        <v>213</v>
      </c>
      <c r="D253" s="47" t="s">
        <v>60</v>
      </c>
      <c r="E253" s="40" t="s">
        <v>2719</v>
      </c>
      <c r="F253" s="40" t="s">
        <v>2720</v>
      </c>
      <c r="G253" s="50" t="s">
        <v>2655</v>
      </c>
      <c r="H253" s="53">
        <v>45882.0</v>
      </c>
      <c r="I253" s="63">
        <f>IFERROR(__xludf.DUMMYFUNCTION("IF(ISBLANK(H253), TODAY()-TO_DATE(G253), TO_DATE(H253)-TO_DATE(G253))+1"),21.0)</f>
        <v>21</v>
      </c>
      <c r="J253" s="65">
        <v>300.0</v>
      </c>
      <c r="K253" s="40" t="s">
        <v>2721</v>
      </c>
      <c r="L253" s="69" t="s">
        <v>2722</v>
      </c>
      <c r="M253" s="72"/>
      <c r="N253" s="29"/>
      <c r="O253" s="29"/>
      <c r="P253" s="29"/>
      <c r="Q253" s="29"/>
      <c r="R253" s="29"/>
      <c r="S253" s="29"/>
      <c r="T253" s="29"/>
      <c r="U253" s="29"/>
      <c r="V253" s="29"/>
      <c r="W253" s="29"/>
      <c r="X253" s="29"/>
      <c r="Y253" s="29"/>
      <c r="Z253" s="29"/>
      <c r="AA253" s="29"/>
      <c r="AB253" s="29"/>
      <c r="AC253" s="29"/>
      <c r="AD253" s="29"/>
      <c r="AE253" s="29"/>
      <c r="AF253" s="29"/>
      <c r="AG253" s="29"/>
    </row>
    <row r="254">
      <c r="A254" s="65" t="s">
        <v>54</v>
      </c>
      <c r="B254" s="40" t="s">
        <v>697</v>
      </c>
      <c r="C254" s="376" t="s">
        <v>201</v>
      </c>
      <c r="D254" s="47" t="s">
        <v>60</v>
      </c>
      <c r="E254" s="40" t="s">
        <v>2725</v>
      </c>
      <c r="F254" s="40" t="s">
        <v>2727</v>
      </c>
      <c r="G254" s="50" t="s">
        <v>2655</v>
      </c>
      <c r="H254" s="53">
        <v>45884.0</v>
      </c>
      <c r="I254" s="63">
        <f>IFERROR(__xludf.DUMMYFUNCTION("IF(ISBLANK(H254), TODAY()-TO_DATE(G254), TO_DATE(H254)-TO_DATE(G254))+1"),23.0)</f>
        <v>23</v>
      </c>
      <c r="J254" s="65">
        <v>300.0</v>
      </c>
      <c r="K254" s="40" t="s">
        <v>2733</v>
      </c>
      <c r="L254" s="88"/>
      <c r="M254" s="72"/>
      <c r="N254" s="29"/>
      <c r="O254" s="29"/>
      <c r="P254" s="29"/>
      <c r="Q254" s="29"/>
      <c r="R254" s="29"/>
      <c r="S254" s="29"/>
      <c r="T254" s="29"/>
      <c r="U254" s="29"/>
      <c r="V254" s="29"/>
      <c r="W254" s="29"/>
      <c r="X254" s="29"/>
      <c r="Y254" s="29"/>
      <c r="Z254" s="29"/>
      <c r="AA254" s="29"/>
      <c r="AB254" s="29"/>
      <c r="AC254" s="29"/>
      <c r="AD254" s="29"/>
      <c r="AE254" s="29"/>
      <c r="AF254" s="29"/>
      <c r="AG254" s="29"/>
    </row>
    <row r="255">
      <c r="A255" s="65" t="s">
        <v>54</v>
      </c>
      <c r="B255" s="40" t="s">
        <v>697</v>
      </c>
      <c r="C255" s="376" t="s">
        <v>213</v>
      </c>
      <c r="D255" s="47" t="s">
        <v>60</v>
      </c>
      <c r="E255" s="40" t="s">
        <v>2738</v>
      </c>
      <c r="F255" s="40" t="s">
        <v>2739</v>
      </c>
      <c r="G255" s="50" t="s">
        <v>2655</v>
      </c>
      <c r="H255" s="53">
        <v>45868.0</v>
      </c>
      <c r="I255" s="63">
        <f>IFERROR(__xludf.DUMMYFUNCTION("IF(ISBLANK(H255), TODAY()-TO_DATE(G255), TO_DATE(H255)-TO_DATE(G255))+1"),7.0)</f>
        <v>7</v>
      </c>
      <c r="J255" s="65">
        <v>300.0</v>
      </c>
      <c r="K255" s="40" t="s">
        <v>2743</v>
      </c>
      <c r="L255" s="69" t="s">
        <v>2745</v>
      </c>
      <c r="M255" s="72"/>
      <c r="N255" s="29"/>
      <c r="O255" s="29"/>
      <c r="P255" s="29"/>
      <c r="Q255" s="29"/>
      <c r="R255" s="29"/>
      <c r="S255" s="29"/>
      <c r="T255" s="29"/>
      <c r="U255" s="29"/>
      <c r="V255" s="29"/>
      <c r="W255" s="29"/>
      <c r="X255" s="29"/>
      <c r="Y255" s="29"/>
      <c r="Z255" s="29"/>
      <c r="AA255" s="29"/>
      <c r="AB255" s="29"/>
      <c r="AC255" s="29"/>
      <c r="AD255" s="29"/>
      <c r="AE255" s="29"/>
      <c r="AF255" s="29"/>
      <c r="AG255" s="29"/>
    </row>
    <row r="256">
      <c r="A256" s="40" t="s">
        <v>54</v>
      </c>
      <c r="B256" s="40" t="s">
        <v>697</v>
      </c>
      <c r="C256" s="44" t="s">
        <v>536</v>
      </c>
      <c r="D256" s="47" t="s">
        <v>60</v>
      </c>
      <c r="E256" s="40" t="s">
        <v>1669</v>
      </c>
      <c r="F256" s="40" t="s">
        <v>748</v>
      </c>
      <c r="G256" s="50" t="s">
        <v>2752</v>
      </c>
      <c r="H256" s="53">
        <v>45879.0</v>
      </c>
      <c r="I256" s="63">
        <f>IFERROR(__xludf.DUMMYFUNCTION("IF(ISBLANK(H256), TODAY()-TO_DATE(G256), TO_DATE(H256)-TO_DATE(G256))+1"),15.0)</f>
        <v>15</v>
      </c>
      <c r="J256" s="65" t="s">
        <v>197</v>
      </c>
      <c r="K256" s="40" t="s">
        <v>2755</v>
      </c>
      <c r="L256" s="69"/>
      <c r="M256" s="72"/>
      <c r="N256" s="29"/>
      <c r="O256" s="29"/>
      <c r="P256" s="29"/>
      <c r="Q256" s="29"/>
      <c r="R256" s="29"/>
      <c r="S256" s="29"/>
      <c r="T256" s="29"/>
      <c r="U256" s="29"/>
      <c r="V256" s="29"/>
      <c r="W256" s="29"/>
      <c r="X256" s="29"/>
      <c r="Y256" s="29"/>
      <c r="Z256" s="29"/>
      <c r="AA256" s="29"/>
      <c r="AB256" s="29"/>
      <c r="AC256" s="29"/>
      <c r="AD256" s="29"/>
      <c r="AE256" s="29"/>
      <c r="AF256" s="29"/>
      <c r="AG256" s="29"/>
    </row>
    <row r="257">
      <c r="A257" s="65" t="s">
        <v>54</v>
      </c>
      <c r="B257" s="40" t="s">
        <v>697</v>
      </c>
      <c r="C257" s="376" t="s">
        <v>139</v>
      </c>
      <c r="D257" s="47" t="s">
        <v>60</v>
      </c>
      <c r="E257" s="40" t="s">
        <v>2759</v>
      </c>
      <c r="F257" s="40" t="s">
        <v>2104</v>
      </c>
      <c r="G257" s="50" t="s">
        <v>2752</v>
      </c>
      <c r="H257" s="53">
        <v>45879.0</v>
      </c>
      <c r="I257" s="63">
        <f>IFERROR(__xludf.DUMMYFUNCTION("IF(ISBLANK(H257), TODAY()-TO_DATE(G257), TO_DATE(H257)-TO_DATE(G257))+1"),15.0)</f>
        <v>15</v>
      </c>
      <c r="J257" s="65">
        <v>300.0</v>
      </c>
      <c r="K257" s="40" t="s">
        <v>2762</v>
      </c>
      <c r="L257" s="69" t="s">
        <v>2763</v>
      </c>
      <c r="M257" s="72"/>
      <c r="N257" s="29"/>
      <c r="O257" s="29"/>
      <c r="P257" s="29"/>
      <c r="Q257" s="29"/>
      <c r="R257" s="29"/>
      <c r="S257" s="29"/>
      <c r="T257" s="29"/>
      <c r="U257" s="29"/>
      <c r="V257" s="29"/>
      <c r="W257" s="29"/>
      <c r="X257" s="29"/>
      <c r="Y257" s="29"/>
      <c r="Z257" s="29"/>
      <c r="AA257" s="29"/>
      <c r="AB257" s="29"/>
      <c r="AC257" s="29"/>
      <c r="AD257" s="29"/>
      <c r="AE257" s="29"/>
      <c r="AF257" s="29"/>
      <c r="AG257" s="29"/>
    </row>
    <row r="258">
      <c r="A258" s="65" t="s">
        <v>54</v>
      </c>
      <c r="B258" s="40" t="s">
        <v>697</v>
      </c>
      <c r="C258" s="376" t="s">
        <v>213</v>
      </c>
      <c r="D258" s="47" t="s">
        <v>60</v>
      </c>
      <c r="E258" s="40" t="s">
        <v>2687</v>
      </c>
      <c r="F258" s="40" t="s">
        <v>2688</v>
      </c>
      <c r="G258" s="50" t="s">
        <v>2752</v>
      </c>
      <c r="H258" s="297">
        <v>45906.0</v>
      </c>
      <c r="I258" s="63">
        <f>IFERROR(__xludf.DUMMYFUNCTION("IF(ISBLANK(H258), TODAY()-TO_DATE(G258), TO_DATE(H258)-TO_DATE(G258))+1"),42.0)</f>
        <v>42</v>
      </c>
      <c r="J258" s="65" t="s">
        <v>197</v>
      </c>
      <c r="K258" s="40" t="s">
        <v>2771</v>
      </c>
      <c r="L258" s="69" t="s">
        <v>2773</v>
      </c>
      <c r="M258" s="72"/>
      <c r="N258" s="29"/>
      <c r="O258" s="29"/>
      <c r="P258" s="29"/>
      <c r="Q258" s="29"/>
      <c r="R258" s="29"/>
      <c r="S258" s="29"/>
      <c r="T258" s="29"/>
      <c r="U258" s="29"/>
      <c r="V258" s="29"/>
      <c r="W258" s="29"/>
      <c r="X258" s="29"/>
      <c r="Y258" s="29"/>
      <c r="Z258" s="29"/>
      <c r="AA258" s="29"/>
      <c r="AB258" s="29"/>
      <c r="AC258" s="29"/>
      <c r="AD258" s="29"/>
      <c r="AE258" s="29"/>
      <c r="AF258" s="29"/>
      <c r="AG258" s="29"/>
    </row>
    <row r="259">
      <c r="A259" s="65" t="s">
        <v>54</v>
      </c>
      <c r="B259" s="40" t="s">
        <v>697</v>
      </c>
      <c r="C259" s="376" t="s">
        <v>213</v>
      </c>
      <c r="D259" s="47" t="s">
        <v>60</v>
      </c>
      <c r="E259" s="40" t="s">
        <v>2777</v>
      </c>
      <c r="F259" s="40" t="s">
        <v>2778</v>
      </c>
      <c r="G259" s="50" t="s">
        <v>2779</v>
      </c>
      <c r="H259" s="53">
        <v>45879.0</v>
      </c>
      <c r="I259" s="63">
        <f>IFERROR(__xludf.DUMMYFUNCTION("IF(ISBLANK(H259), TODAY()-TO_DATE(G259), TO_DATE(H259)-TO_DATE(G259))+1"),14.0)</f>
        <v>14</v>
      </c>
      <c r="J259" s="65">
        <v>300.0</v>
      </c>
      <c r="K259" s="40" t="s">
        <v>2782</v>
      </c>
      <c r="L259" s="69" t="s">
        <v>2783</v>
      </c>
      <c r="M259" s="72"/>
      <c r="N259" s="29"/>
      <c r="O259" s="29"/>
      <c r="P259" s="29"/>
      <c r="Q259" s="29"/>
      <c r="R259" s="29"/>
      <c r="S259" s="29"/>
      <c r="T259" s="29"/>
      <c r="U259" s="29"/>
      <c r="V259" s="29"/>
      <c r="W259" s="29"/>
      <c r="X259" s="29"/>
      <c r="Y259" s="29"/>
      <c r="Z259" s="29"/>
      <c r="AA259" s="29"/>
      <c r="AB259" s="29"/>
      <c r="AC259" s="29"/>
      <c r="AD259" s="29"/>
      <c r="AE259" s="29"/>
      <c r="AF259" s="29"/>
      <c r="AG259" s="29"/>
    </row>
    <row r="260">
      <c r="A260" s="65" t="s">
        <v>54</v>
      </c>
      <c r="B260" s="40" t="s">
        <v>697</v>
      </c>
      <c r="C260" s="376" t="s">
        <v>139</v>
      </c>
      <c r="D260" s="47" t="s">
        <v>102</v>
      </c>
      <c r="E260" s="40" t="s">
        <v>2785</v>
      </c>
      <c r="F260" s="40" t="s">
        <v>989</v>
      </c>
      <c r="G260" s="50" t="s">
        <v>2779</v>
      </c>
      <c r="H260" s="297">
        <v>45885.0</v>
      </c>
      <c r="I260" s="63">
        <f>IFERROR(__xludf.DUMMYFUNCTION("IF(ISBLANK(H260), TODAY()-TO_DATE(G260), TO_DATE(H260)-TO_DATE(G260))+1"),20.0)</f>
        <v>20</v>
      </c>
      <c r="J260" s="65">
        <v>200.0</v>
      </c>
      <c r="K260" s="40" t="s">
        <v>2789</v>
      </c>
      <c r="L260" s="69" t="s">
        <v>2790</v>
      </c>
      <c r="M260" s="72"/>
      <c r="N260" s="29"/>
      <c r="O260" s="29"/>
      <c r="P260" s="29"/>
      <c r="Q260" s="29"/>
      <c r="R260" s="29"/>
      <c r="S260" s="29"/>
      <c r="T260" s="29"/>
      <c r="U260" s="29"/>
      <c r="V260" s="29"/>
      <c r="W260" s="29"/>
      <c r="X260" s="29"/>
      <c r="Y260" s="29"/>
      <c r="Z260" s="29"/>
      <c r="AA260" s="29"/>
      <c r="AB260" s="29"/>
      <c r="AC260" s="29"/>
      <c r="AD260" s="29"/>
      <c r="AE260" s="29"/>
      <c r="AF260" s="29"/>
      <c r="AG260" s="29"/>
    </row>
    <row r="261">
      <c r="A261" s="65" t="s">
        <v>54</v>
      </c>
      <c r="B261" s="40" t="s">
        <v>697</v>
      </c>
      <c r="C261" s="376" t="s">
        <v>2795</v>
      </c>
      <c r="D261" s="47" t="s">
        <v>360</v>
      </c>
      <c r="E261" s="40" t="s">
        <v>2796</v>
      </c>
      <c r="F261" s="40">
        <v>36.0</v>
      </c>
      <c r="G261" s="50" t="s">
        <v>2779</v>
      </c>
      <c r="H261" s="53">
        <v>45882.0</v>
      </c>
      <c r="I261" s="63">
        <f>IFERROR(__xludf.DUMMYFUNCTION("IF(ISBLANK(H261), TODAY()-TO_DATE(G261), TO_DATE(H261)-TO_DATE(G261))+1"),17.0)</f>
        <v>17</v>
      </c>
      <c r="J261" s="65" t="s">
        <v>197</v>
      </c>
      <c r="K261" s="40" t="s">
        <v>2798</v>
      </c>
      <c r="L261" s="88"/>
      <c r="M261" s="72"/>
      <c r="N261" s="29"/>
      <c r="O261" s="29"/>
      <c r="P261" s="29"/>
      <c r="Q261" s="29"/>
      <c r="R261" s="29"/>
      <c r="S261" s="29"/>
      <c r="T261" s="29"/>
      <c r="U261" s="29"/>
      <c r="V261" s="29"/>
      <c r="W261" s="29"/>
      <c r="X261" s="29"/>
      <c r="Y261" s="29"/>
      <c r="Z261" s="29"/>
      <c r="AA261" s="29"/>
      <c r="AB261" s="29"/>
      <c r="AC261" s="29"/>
      <c r="AD261" s="29"/>
      <c r="AE261" s="29"/>
      <c r="AF261" s="29"/>
      <c r="AG261" s="29"/>
    </row>
    <row r="262">
      <c r="A262" s="65" t="s">
        <v>54</v>
      </c>
      <c r="B262" s="40" t="s">
        <v>697</v>
      </c>
      <c r="C262" s="376" t="s">
        <v>158</v>
      </c>
      <c r="D262" s="47" t="s">
        <v>60</v>
      </c>
      <c r="E262" s="40" t="s">
        <v>2800</v>
      </c>
      <c r="F262" s="40" t="s">
        <v>2802</v>
      </c>
      <c r="G262" s="50" t="s">
        <v>2779</v>
      </c>
      <c r="H262" s="297">
        <v>45870.0</v>
      </c>
      <c r="I262" s="63">
        <f>IFERROR(__xludf.DUMMYFUNCTION("IF(ISBLANK(H262), TODAY()-TO_DATE(G262), TO_DATE(H262)-TO_DATE(G262))+1"),5.0)</f>
        <v>5</v>
      </c>
      <c r="J262" s="65" t="s">
        <v>197</v>
      </c>
      <c r="K262" s="40" t="s">
        <v>2805</v>
      </c>
      <c r="L262" s="88"/>
      <c r="M262" s="72"/>
      <c r="N262" s="29"/>
      <c r="O262" s="29"/>
      <c r="P262" s="29"/>
      <c r="Q262" s="29"/>
      <c r="R262" s="29"/>
      <c r="S262" s="29"/>
      <c r="T262" s="29"/>
      <c r="U262" s="29"/>
      <c r="V262" s="29"/>
      <c r="W262" s="29"/>
      <c r="X262" s="29"/>
      <c r="Y262" s="29"/>
      <c r="Z262" s="29"/>
      <c r="AA262" s="29"/>
      <c r="AB262" s="29"/>
      <c r="AC262" s="29"/>
      <c r="AD262" s="29"/>
      <c r="AE262" s="29"/>
      <c r="AF262" s="29"/>
      <c r="AG262" s="29"/>
    </row>
    <row r="263">
      <c r="A263" s="65" t="s">
        <v>54</v>
      </c>
      <c r="B263" s="40" t="s">
        <v>697</v>
      </c>
      <c r="C263" s="376" t="s">
        <v>201</v>
      </c>
      <c r="D263" s="47" t="s">
        <v>60</v>
      </c>
      <c r="E263" s="65" t="s">
        <v>2809</v>
      </c>
      <c r="F263" s="65" t="s">
        <v>2810</v>
      </c>
      <c r="G263" s="296" t="s">
        <v>2779</v>
      </c>
      <c r="H263" s="297">
        <v>45901.0</v>
      </c>
      <c r="I263" s="63">
        <f>IFERROR(__xludf.DUMMYFUNCTION("IF(ISBLANK(H263), TODAY()-TO_DATE(G263), TO_DATE(H263)-TO_DATE(G263))+1"),36.0)</f>
        <v>36</v>
      </c>
      <c r="J263" s="65">
        <v>300.0</v>
      </c>
      <c r="K263" s="65" t="s">
        <v>2811</v>
      </c>
      <c r="L263" s="144" t="s">
        <v>2812</v>
      </c>
      <c r="M263" s="72"/>
      <c r="N263" s="29"/>
      <c r="O263" s="29"/>
      <c r="P263" s="29"/>
      <c r="Q263" s="29"/>
      <c r="R263" s="29"/>
      <c r="S263" s="29"/>
      <c r="T263" s="29"/>
      <c r="U263" s="29"/>
      <c r="V263" s="29"/>
      <c r="W263" s="29"/>
      <c r="X263" s="29"/>
      <c r="Y263" s="29"/>
      <c r="Z263" s="29"/>
      <c r="AA263" s="29"/>
      <c r="AB263" s="29"/>
      <c r="AC263" s="29"/>
      <c r="AD263" s="29"/>
      <c r="AE263" s="29"/>
      <c r="AF263" s="29"/>
      <c r="AG263" s="29"/>
    </row>
    <row r="264">
      <c r="A264" s="40" t="s">
        <v>660</v>
      </c>
      <c r="B264" s="40" t="s">
        <v>697</v>
      </c>
      <c r="C264" s="44" t="s">
        <v>287</v>
      </c>
      <c r="D264" s="47" t="s">
        <v>60</v>
      </c>
      <c r="E264" s="40" t="s">
        <v>1405</v>
      </c>
      <c r="F264" s="40" t="s">
        <v>1406</v>
      </c>
      <c r="G264" s="50" t="s">
        <v>2779</v>
      </c>
      <c r="H264" s="53">
        <v>45870.0</v>
      </c>
      <c r="I264" s="63">
        <f>IFERROR(__xludf.DUMMYFUNCTION("IF(ISBLANK(H264), TODAY()-TO_DATE(G264), TO_DATE(H264)-TO_DATE(G264))+1"),5.0)</f>
        <v>5</v>
      </c>
      <c r="J264" s="40" t="s">
        <v>197</v>
      </c>
      <c r="K264" s="40" t="s">
        <v>1410</v>
      </c>
      <c r="L264" s="88"/>
      <c r="M264" s="325" t="s">
        <v>2356</v>
      </c>
      <c r="N264" s="29"/>
      <c r="O264" s="29"/>
      <c r="P264" s="29"/>
      <c r="Q264" s="29"/>
      <c r="R264" s="29"/>
      <c r="S264" s="29"/>
      <c r="T264" s="29"/>
      <c r="U264" s="29"/>
      <c r="V264" s="29"/>
      <c r="W264" s="29"/>
      <c r="X264" s="29"/>
      <c r="Y264" s="29"/>
      <c r="Z264" s="29"/>
      <c r="AA264" s="29"/>
      <c r="AB264" s="29"/>
      <c r="AC264" s="29"/>
      <c r="AD264" s="29"/>
      <c r="AE264" s="29"/>
      <c r="AF264" s="29"/>
      <c r="AG264" s="29"/>
    </row>
    <row r="265">
      <c r="A265" s="65" t="s">
        <v>2451</v>
      </c>
      <c r="B265" s="40" t="s">
        <v>697</v>
      </c>
      <c r="C265" s="44" t="s">
        <v>213</v>
      </c>
      <c r="D265" s="47" t="s">
        <v>60</v>
      </c>
      <c r="E265" s="40" t="s">
        <v>2824</v>
      </c>
      <c r="F265" s="40" t="s">
        <v>2605</v>
      </c>
      <c r="G265" s="296" t="s">
        <v>2825</v>
      </c>
      <c r="H265" s="297">
        <v>45869.0</v>
      </c>
      <c r="I265" s="63">
        <f>IFERROR(__xludf.DUMMYFUNCTION("IF(ISBLANK(H265), TODAY()-TO_DATE(G265), TO_DATE(H265)-TO_DATE(G265))+1"),3.0)</f>
        <v>3</v>
      </c>
      <c r="J265" s="65">
        <v>500.0</v>
      </c>
      <c r="K265" s="72"/>
      <c r="L265" s="147"/>
      <c r="M265" s="72"/>
      <c r="N265" s="29"/>
      <c r="O265" s="29"/>
      <c r="P265" s="29"/>
      <c r="Q265" s="29"/>
      <c r="R265" s="29"/>
      <c r="S265" s="29"/>
      <c r="T265" s="29"/>
      <c r="U265" s="29"/>
      <c r="V265" s="29"/>
      <c r="W265" s="29"/>
      <c r="X265" s="29"/>
      <c r="Y265" s="29"/>
      <c r="Z265" s="29"/>
      <c r="AA265" s="29"/>
      <c r="AB265" s="29"/>
      <c r="AC265" s="29"/>
      <c r="AD265" s="29"/>
      <c r="AE265" s="29"/>
      <c r="AF265" s="29"/>
      <c r="AG265" s="29"/>
    </row>
    <row r="266">
      <c r="A266" s="65" t="s">
        <v>1540</v>
      </c>
      <c r="B266" s="40" t="s">
        <v>2833</v>
      </c>
      <c r="C266" s="44" t="s">
        <v>213</v>
      </c>
      <c r="D266" s="47" t="s">
        <v>60</v>
      </c>
      <c r="E266" s="40" t="s">
        <v>2834</v>
      </c>
      <c r="F266" s="40" t="s">
        <v>2837</v>
      </c>
      <c r="G266" s="50" t="s">
        <v>2838</v>
      </c>
      <c r="H266" s="53">
        <v>45878.0</v>
      </c>
      <c r="I266" s="63">
        <f>IFERROR(__xludf.DUMMYFUNCTION("IF(ISBLANK(H266), TODAY()-TO_DATE(G266), TO_DATE(H266)-TO_DATE(G266))+1"),11.0)</f>
        <v>11</v>
      </c>
      <c r="J266" s="40">
        <v>500.0</v>
      </c>
      <c r="K266" s="65" t="s">
        <v>2840</v>
      </c>
      <c r="L266" s="147"/>
      <c r="M266" s="72"/>
      <c r="N266" s="29"/>
      <c r="O266" s="29"/>
      <c r="P266" s="29"/>
      <c r="Q266" s="29"/>
      <c r="R266" s="29"/>
      <c r="S266" s="29"/>
      <c r="T266" s="29"/>
      <c r="U266" s="29"/>
      <c r="V266" s="29"/>
      <c r="W266" s="29"/>
      <c r="X266" s="29"/>
      <c r="Y266" s="29"/>
      <c r="Z266" s="29"/>
      <c r="AA266" s="29"/>
      <c r="AB266" s="29"/>
      <c r="AC266" s="29"/>
      <c r="AD266" s="29"/>
      <c r="AE266" s="29"/>
      <c r="AF266" s="29"/>
      <c r="AG266" s="29"/>
    </row>
    <row r="267">
      <c r="A267" s="65" t="s">
        <v>1540</v>
      </c>
      <c r="B267" s="40" t="s">
        <v>2833</v>
      </c>
      <c r="C267" s="44" t="s">
        <v>178</v>
      </c>
      <c r="D267" s="47" t="s">
        <v>102</v>
      </c>
      <c r="E267" s="40" t="s">
        <v>2846</v>
      </c>
      <c r="F267" s="40" t="s">
        <v>2847</v>
      </c>
      <c r="G267" s="50" t="s">
        <v>2838</v>
      </c>
      <c r="H267" s="53">
        <v>45878.0</v>
      </c>
      <c r="I267" s="63">
        <f>IFERROR(__xludf.DUMMYFUNCTION("IF(ISBLANK(H267), TODAY()-TO_DATE(G267), TO_DATE(H267)-TO_DATE(G267))+1"),11.0)</f>
        <v>11</v>
      </c>
      <c r="J267" s="40">
        <v>500.0</v>
      </c>
      <c r="K267" s="65" t="s">
        <v>2850</v>
      </c>
      <c r="L267" s="147"/>
      <c r="M267" s="72"/>
      <c r="N267" s="29"/>
      <c r="O267" s="29"/>
      <c r="P267" s="29"/>
      <c r="Q267" s="29"/>
      <c r="R267" s="29"/>
      <c r="S267" s="29"/>
      <c r="T267" s="29"/>
      <c r="U267" s="29"/>
      <c r="V267" s="29"/>
      <c r="W267" s="29"/>
      <c r="X267" s="29"/>
      <c r="Y267" s="29"/>
      <c r="Z267" s="29"/>
      <c r="AA267" s="29"/>
      <c r="AB267" s="29"/>
      <c r="AC267" s="29"/>
      <c r="AD267" s="29"/>
      <c r="AE267" s="29"/>
      <c r="AF267" s="29"/>
      <c r="AG267" s="29"/>
    </row>
    <row r="268">
      <c r="A268" s="40" t="s">
        <v>1923</v>
      </c>
      <c r="B268" s="40" t="s">
        <v>697</v>
      </c>
      <c r="C268" s="44" t="s">
        <v>1924</v>
      </c>
      <c r="D268" s="47" t="s">
        <v>102</v>
      </c>
      <c r="E268" s="40" t="s">
        <v>176</v>
      </c>
      <c r="F268" s="40" t="s">
        <v>177</v>
      </c>
      <c r="G268" s="50" t="s">
        <v>2858</v>
      </c>
      <c r="H268" s="53">
        <v>45877.0</v>
      </c>
      <c r="I268" s="63">
        <f>IFERROR(__xludf.DUMMYFUNCTION("IF(ISBLANK(H268), TODAY()-TO_DATE(G268), TO_DATE(H268)-TO_DATE(G268))+1"),8.0)</f>
        <v>8</v>
      </c>
      <c r="J268" s="40" t="s">
        <v>197</v>
      </c>
      <c r="K268" s="40" t="s">
        <v>1927</v>
      </c>
      <c r="L268" s="69" t="s">
        <v>1949</v>
      </c>
      <c r="M268" s="72"/>
      <c r="N268" s="29"/>
      <c r="O268" s="29"/>
      <c r="P268" s="29"/>
      <c r="Q268" s="29"/>
      <c r="R268" s="29"/>
      <c r="S268" s="29"/>
      <c r="T268" s="29"/>
      <c r="U268" s="29"/>
      <c r="V268" s="29"/>
      <c r="W268" s="29"/>
      <c r="X268" s="29"/>
      <c r="Y268" s="29"/>
      <c r="Z268" s="29"/>
      <c r="AA268" s="29"/>
      <c r="AB268" s="29"/>
      <c r="AC268" s="29"/>
      <c r="AD268" s="29"/>
      <c r="AE268" s="29"/>
      <c r="AF268" s="29"/>
      <c r="AG268" s="29"/>
    </row>
    <row r="269">
      <c r="A269" s="40" t="s">
        <v>1923</v>
      </c>
      <c r="B269" s="40" t="s">
        <v>697</v>
      </c>
      <c r="C269" s="44" t="s">
        <v>201</v>
      </c>
      <c r="D269" s="47" t="s">
        <v>60</v>
      </c>
      <c r="E269" s="40" t="s">
        <v>2245</v>
      </c>
      <c r="F269" s="40" t="s">
        <v>2246</v>
      </c>
      <c r="G269" s="50" t="s">
        <v>2858</v>
      </c>
      <c r="H269" s="53">
        <v>45877.0</v>
      </c>
      <c r="I269" s="63">
        <f>IFERROR(__xludf.DUMMYFUNCTION("IF(ISBLANK(H269), TODAY()-TO_DATE(G269), TO_DATE(H269)-TO_DATE(G269))+1"),8.0)</f>
        <v>8</v>
      </c>
      <c r="J269" s="40" t="s">
        <v>197</v>
      </c>
      <c r="K269" s="40" t="s">
        <v>2249</v>
      </c>
      <c r="L269" s="69" t="s">
        <v>2264</v>
      </c>
      <c r="M269" s="72"/>
      <c r="N269" s="29"/>
      <c r="O269" s="29"/>
      <c r="P269" s="29"/>
      <c r="Q269" s="29"/>
      <c r="R269" s="29"/>
      <c r="S269" s="29"/>
      <c r="T269" s="29"/>
      <c r="U269" s="29"/>
      <c r="V269" s="29"/>
      <c r="W269" s="29"/>
      <c r="X269" s="29"/>
      <c r="Y269" s="29"/>
      <c r="Z269" s="29"/>
      <c r="AA269" s="29"/>
      <c r="AB269" s="29"/>
      <c r="AC269" s="29"/>
      <c r="AD269" s="29"/>
      <c r="AE269" s="29"/>
      <c r="AF269" s="29"/>
      <c r="AG269" s="29"/>
    </row>
    <row r="270">
      <c r="A270" s="40" t="s">
        <v>1923</v>
      </c>
      <c r="B270" s="40" t="s">
        <v>697</v>
      </c>
      <c r="C270" s="44" t="s">
        <v>201</v>
      </c>
      <c r="D270" s="47" t="s">
        <v>60</v>
      </c>
      <c r="E270" s="40" t="s">
        <v>1747</v>
      </c>
      <c r="F270" s="40" t="s">
        <v>1749</v>
      </c>
      <c r="G270" s="50" t="s">
        <v>2858</v>
      </c>
      <c r="H270" s="53">
        <v>45877.0</v>
      </c>
      <c r="I270" s="63">
        <f>IFERROR(__xludf.DUMMYFUNCTION("IF(ISBLANK(H270), TODAY()-TO_DATE(G270), TO_DATE(H270)-TO_DATE(G270))+1"),8.0)</f>
        <v>8</v>
      </c>
      <c r="J270" s="40" t="s">
        <v>197</v>
      </c>
      <c r="K270" s="40" t="s">
        <v>2240</v>
      </c>
      <c r="L270" s="69" t="s">
        <v>2264</v>
      </c>
      <c r="M270" s="72"/>
      <c r="N270" s="29"/>
      <c r="O270" s="29"/>
      <c r="P270" s="29"/>
      <c r="Q270" s="29"/>
      <c r="R270" s="29"/>
      <c r="S270" s="29"/>
      <c r="T270" s="29"/>
      <c r="U270" s="29"/>
      <c r="V270" s="29"/>
      <c r="W270" s="29"/>
      <c r="X270" s="29"/>
      <c r="Y270" s="29"/>
      <c r="Z270" s="29"/>
      <c r="AA270" s="29"/>
      <c r="AB270" s="29"/>
      <c r="AC270" s="29"/>
      <c r="AD270" s="29"/>
      <c r="AE270" s="29"/>
      <c r="AF270" s="29"/>
      <c r="AG270" s="29"/>
    </row>
    <row r="271">
      <c r="A271" s="40" t="s">
        <v>1923</v>
      </c>
      <c r="B271" s="40" t="s">
        <v>697</v>
      </c>
      <c r="C271" s="44" t="s">
        <v>331</v>
      </c>
      <c r="D271" s="47" t="s">
        <v>60</v>
      </c>
      <c r="E271" s="40" t="s">
        <v>2872</v>
      </c>
      <c r="F271" s="40" t="s">
        <v>2874</v>
      </c>
      <c r="G271" s="50" t="s">
        <v>2858</v>
      </c>
      <c r="H271" s="53">
        <v>45877.0</v>
      </c>
      <c r="I271" s="63">
        <f>IFERROR(__xludf.DUMMYFUNCTION("IF(ISBLANK(H271), TODAY()-TO_DATE(G271), TO_DATE(H271)-TO_DATE(G271))+1"),8.0)</f>
        <v>8</v>
      </c>
      <c r="J271" s="40" t="s">
        <v>197</v>
      </c>
      <c r="K271" s="40" t="s">
        <v>1947</v>
      </c>
      <c r="L271" s="69" t="s">
        <v>1956</v>
      </c>
      <c r="M271" s="72"/>
      <c r="N271" s="29"/>
      <c r="O271" s="29"/>
      <c r="P271" s="29"/>
      <c r="Q271" s="29"/>
      <c r="R271" s="29"/>
      <c r="S271" s="29"/>
      <c r="T271" s="29"/>
      <c r="U271" s="29"/>
      <c r="V271" s="29"/>
      <c r="W271" s="29"/>
      <c r="X271" s="29"/>
      <c r="Y271" s="29"/>
      <c r="Z271" s="29"/>
      <c r="AA271" s="29"/>
      <c r="AB271" s="29"/>
      <c r="AC271" s="29"/>
      <c r="AD271" s="29"/>
      <c r="AE271" s="29"/>
      <c r="AF271" s="29"/>
      <c r="AG271" s="29"/>
    </row>
    <row r="272">
      <c r="A272" s="27" t="s">
        <v>1540</v>
      </c>
      <c r="B272" s="27" t="s">
        <v>2833</v>
      </c>
      <c r="C272" s="251" t="s">
        <v>2095</v>
      </c>
      <c r="D272" s="47" t="s">
        <v>60</v>
      </c>
      <c r="E272" s="27" t="s">
        <v>2098</v>
      </c>
      <c r="F272" s="27" t="s">
        <v>2100</v>
      </c>
      <c r="G272" s="252" t="s">
        <v>2880</v>
      </c>
      <c r="H272" s="253">
        <v>45882.0</v>
      </c>
      <c r="I272" s="189">
        <f>IFERROR(__xludf.DUMMYFUNCTION("IF(ISBLANK(H272), TODAY()-TO_DATE(G272), TO_DATE(H272)-TO_DATE(G272))+1"),12.0)</f>
        <v>12</v>
      </c>
      <c r="J272" s="27" t="s">
        <v>197</v>
      </c>
      <c r="K272" s="27" t="s">
        <v>2105</v>
      </c>
      <c r="L272" s="69" t="s">
        <v>2886</v>
      </c>
      <c r="M272" s="72"/>
      <c r="N272" s="29"/>
      <c r="O272" s="29"/>
      <c r="P272" s="29"/>
      <c r="Q272" s="29"/>
      <c r="R272" s="29"/>
      <c r="S272" s="29"/>
      <c r="T272" s="29"/>
      <c r="U272" s="29"/>
      <c r="V272" s="29"/>
      <c r="W272" s="29"/>
      <c r="X272" s="29"/>
      <c r="Y272" s="29"/>
      <c r="Z272" s="29"/>
      <c r="AA272" s="29"/>
      <c r="AB272" s="29"/>
      <c r="AC272" s="29"/>
      <c r="AD272" s="29"/>
      <c r="AE272" s="29"/>
      <c r="AF272" s="29"/>
      <c r="AG272" s="29"/>
    </row>
    <row r="273">
      <c r="A273" s="65" t="s">
        <v>54</v>
      </c>
      <c r="B273" s="40" t="s">
        <v>697</v>
      </c>
      <c r="C273" s="376" t="s">
        <v>187</v>
      </c>
      <c r="D273" s="47" t="s">
        <v>60</v>
      </c>
      <c r="E273" s="40" t="s">
        <v>2891</v>
      </c>
      <c r="F273" s="40" t="s">
        <v>2781</v>
      </c>
      <c r="G273" s="296" t="s">
        <v>2880</v>
      </c>
      <c r="H273" s="297">
        <v>45879.0</v>
      </c>
      <c r="I273" s="63">
        <f>IFERROR(__xludf.DUMMYFUNCTION("IF(ISBLANK(H273), TODAY()-TO_DATE(G273), TO_DATE(H273)-TO_DATE(G273))+1"),9.0)</f>
        <v>9</v>
      </c>
      <c r="J273" s="65">
        <v>300.0</v>
      </c>
      <c r="K273" s="65" t="s">
        <v>2895</v>
      </c>
      <c r="L273" s="144" t="s">
        <v>2896</v>
      </c>
      <c r="M273" s="72"/>
      <c r="N273" s="29"/>
      <c r="O273" s="29"/>
      <c r="P273" s="29"/>
      <c r="Q273" s="29"/>
      <c r="R273" s="29"/>
      <c r="S273" s="29"/>
      <c r="T273" s="29"/>
      <c r="U273" s="29"/>
      <c r="V273" s="29"/>
      <c r="W273" s="29"/>
      <c r="X273" s="29"/>
      <c r="Y273" s="29"/>
      <c r="Z273" s="29"/>
      <c r="AA273" s="29"/>
      <c r="AB273" s="29"/>
      <c r="AC273" s="29"/>
      <c r="AD273" s="29"/>
      <c r="AE273" s="29"/>
      <c r="AF273" s="29"/>
      <c r="AG273" s="29"/>
    </row>
    <row r="274">
      <c r="A274" s="65" t="s">
        <v>54</v>
      </c>
      <c r="B274" s="40" t="s">
        <v>697</v>
      </c>
      <c r="C274" s="376" t="s">
        <v>213</v>
      </c>
      <c r="D274" s="47" t="s">
        <v>60</v>
      </c>
      <c r="E274" s="40" t="s">
        <v>2902</v>
      </c>
      <c r="F274" s="40" t="s">
        <v>2904</v>
      </c>
      <c r="G274" s="296" t="s">
        <v>2880</v>
      </c>
      <c r="H274" s="297">
        <v>45884.0</v>
      </c>
      <c r="I274" s="63">
        <f>IFERROR(__xludf.DUMMYFUNCTION("IF(ISBLANK(H274), TODAY()-TO_DATE(G274), TO_DATE(H274)-TO_DATE(G274))+1"),14.0)</f>
        <v>14</v>
      </c>
      <c r="J274" s="65">
        <v>300.0</v>
      </c>
      <c r="K274" s="65" t="s">
        <v>2907</v>
      </c>
      <c r="L274" s="147"/>
      <c r="M274" s="72"/>
      <c r="N274" s="29"/>
      <c r="O274" s="29"/>
      <c r="P274" s="29"/>
      <c r="Q274" s="29"/>
      <c r="R274" s="29"/>
      <c r="S274" s="29"/>
      <c r="T274" s="29"/>
      <c r="U274" s="29"/>
      <c r="V274" s="29"/>
      <c r="W274" s="29"/>
      <c r="X274" s="29"/>
      <c r="Y274" s="29"/>
      <c r="Z274" s="29"/>
      <c r="AA274" s="29"/>
      <c r="AB274" s="29"/>
      <c r="AC274" s="29"/>
      <c r="AD274" s="29"/>
      <c r="AE274" s="29"/>
      <c r="AF274" s="29"/>
      <c r="AG274" s="29"/>
    </row>
    <row r="275">
      <c r="A275" s="65" t="s">
        <v>54</v>
      </c>
      <c r="B275" s="40" t="s">
        <v>697</v>
      </c>
      <c r="C275" s="376" t="s">
        <v>58</v>
      </c>
      <c r="D275" s="47" t="s">
        <v>60</v>
      </c>
      <c r="E275" s="40" t="s">
        <v>2801</v>
      </c>
      <c r="F275" s="40" t="s">
        <v>2803</v>
      </c>
      <c r="G275" s="296" t="s">
        <v>2880</v>
      </c>
      <c r="H275" s="53">
        <v>45879.0</v>
      </c>
      <c r="I275" s="63">
        <f>IFERROR(__xludf.DUMMYFUNCTION("IF(ISBLANK(H275), TODAY()-TO_DATE(G275), TO_DATE(H275)-TO_DATE(G275))+1"),9.0)</f>
        <v>9</v>
      </c>
      <c r="J275" s="65">
        <v>300.0</v>
      </c>
      <c r="K275" s="65" t="s">
        <v>2913</v>
      </c>
      <c r="L275" s="144" t="s">
        <v>2914</v>
      </c>
      <c r="M275" s="72"/>
      <c r="N275" s="29"/>
      <c r="O275" s="29"/>
      <c r="P275" s="29"/>
      <c r="Q275" s="29"/>
      <c r="R275" s="29"/>
      <c r="S275" s="29"/>
      <c r="T275" s="29"/>
      <c r="U275" s="29"/>
      <c r="V275" s="29"/>
      <c r="W275" s="29"/>
      <c r="X275" s="29"/>
      <c r="Y275" s="29"/>
      <c r="Z275" s="29"/>
      <c r="AA275" s="29"/>
      <c r="AB275" s="29"/>
      <c r="AC275" s="29"/>
      <c r="AD275" s="29"/>
      <c r="AE275" s="29"/>
      <c r="AF275" s="29"/>
      <c r="AG275" s="29"/>
    </row>
    <row r="276">
      <c r="A276" s="65" t="s">
        <v>54</v>
      </c>
      <c r="B276" s="40" t="s">
        <v>697</v>
      </c>
      <c r="C276" s="376" t="s">
        <v>2795</v>
      </c>
      <c r="D276" s="47" t="s">
        <v>326</v>
      </c>
      <c r="E276" s="65" t="s">
        <v>2921</v>
      </c>
      <c r="F276" s="65" t="s">
        <v>2922</v>
      </c>
      <c r="G276" s="296" t="s">
        <v>2880</v>
      </c>
      <c r="H276" s="53">
        <v>45882.0</v>
      </c>
      <c r="I276" s="63">
        <f>IFERROR(__xludf.DUMMYFUNCTION("IF(ISBLANK(H276), TODAY()-TO_DATE(G276), TO_DATE(H276)-TO_DATE(G276))+1"),12.0)</f>
        <v>12</v>
      </c>
      <c r="J276" s="65">
        <v>300.0</v>
      </c>
      <c r="K276" s="65" t="s">
        <v>2927</v>
      </c>
      <c r="L276" s="147"/>
      <c r="M276" s="72"/>
      <c r="N276" s="29"/>
      <c r="O276" s="29"/>
      <c r="P276" s="29"/>
      <c r="Q276" s="29"/>
      <c r="R276" s="29"/>
      <c r="S276" s="29"/>
      <c r="T276" s="29"/>
      <c r="U276" s="29"/>
      <c r="V276" s="29"/>
      <c r="W276" s="29"/>
      <c r="X276" s="29"/>
      <c r="Y276" s="29"/>
      <c r="Z276" s="29"/>
      <c r="AA276" s="29"/>
      <c r="AB276" s="29"/>
      <c r="AC276" s="29"/>
      <c r="AD276" s="29"/>
      <c r="AE276" s="29"/>
      <c r="AF276" s="29"/>
      <c r="AG276" s="29"/>
    </row>
    <row r="277">
      <c r="A277" s="65" t="s">
        <v>54</v>
      </c>
      <c r="B277" s="40" t="s">
        <v>697</v>
      </c>
      <c r="C277" s="376" t="s">
        <v>187</v>
      </c>
      <c r="D277" s="47" t="s">
        <v>60</v>
      </c>
      <c r="E277" s="65" t="s">
        <v>2932</v>
      </c>
      <c r="F277" s="65" t="s">
        <v>2933</v>
      </c>
      <c r="G277" s="296" t="s">
        <v>2880</v>
      </c>
      <c r="H277" s="297">
        <v>45880.0</v>
      </c>
      <c r="I277" s="63">
        <f>IFERROR(__xludf.DUMMYFUNCTION("IF(ISBLANK(H277), TODAY()-TO_DATE(G277), TO_DATE(H277)-TO_DATE(G277))+1"),10.0)</f>
        <v>10</v>
      </c>
      <c r="J277" s="65">
        <v>500.0</v>
      </c>
      <c r="K277" s="65" t="s">
        <v>2938</v>
      </c>
      <c r="L277" s="144" t="s">
        <v>2940</v>
      </c>
      <c r="M277" s="72"/>
      <c r="N277" s="29"/>
      <c r="O277" s="29"/>
      <c r="P277" s="29"/>
      <c r="Q277" s="29"/>
      <c r="R277" s="29"/>
      <c r="S277" s="29"/>
      <c r="T277" s="29"/>
      <c r="U277" s="29"/>
      <c r="V277" s="29"/>
      <c r="W277" s="29"/>
      <c r="X277" s="29"/>
      <c r="Y277" s="29"/>
      <c r="Z277" s="29"/>
      <c r="AA277" s="29"/>
      <c r="AB277" s="29"/>
      <c r="AC277" s="29"/>
      <c r="AD277" s="29"/>
      <c r="AE277" s="29"/>
      <c r="AF277" s="29"/>
      <c r="AG277" s="29"/>
    </row>
    <row r="278">
      <c r="A278" s="65" t="s">
        <v>54</v>
      </c>
      <c r="B278" s="40" t="s">
        <v>697</v>
      </c>
      <c r="C278" s="376" t="s">
        <v>213</v>
      </c>
      <c r="D278" s="47" t="s">
        <v>60</v>
      </c>
      <c r="E278" s="65" t="s">
        <v>2947</v>
      </c>
      <c r="F278" s="65" t="s">
        <v>2948</v>
      </c>
      <c r="G278" s="296" t="s">
        <v>2880</v>
      </c>
      <c r="H278" s="297">
        <v>45887.0</v>
      </c>
      <c r="I278" s="63">
        <f>IFERROR(__xludf.DUMMYFUNCTION("IF(ISBLANK(H278), TODAY()-TO_DATE(G278), TO_DATE(H278)-TO_DATE(G278))+1"),17.0)</f>
        <v>17</v>
      </c>
      <c r="J278" s="65">
        <v>300.0</v>
      </c>
      <c r="K278" s="65" t="s">
        <v>2952</v>
      </c>
      <c r="L278" s="147"/>
      <c r="M278" s="72"/>
      <c r="N278" s="29"/>
      <c r="O278" s="29"/>
      <c r="P278" s="29"/>
      <c r="Q278" s="29"/>
      <c r="R278" s="29"/>
      <c r="S278" s="29"/>
      <c r="T278" s="29"/>
      <c r="U278" s="29"/>
      <c r="V278" s="29"/>
      <c r="W278" s="29"/>
      <c r="X278" s="29"/>
      <c r="Y278" s="29"/>
      <c r="Z278" s="29"/>
      <c r="AA278" s="29"/>
      <c r="AB278" s="29"/>
      <c r="AC278" s="29"/>
      <c r="AD278" s="29"/>
      <c r="AE278" s="29"/>
      <c r="AF278" s="29"/>
      <c r="AG278" s="29"/>
    </row>
    <row r="279">
      <c r="A279" s="65" t="s">
        <v>54</v>
      </c>
      <c r="B279" s="40" t="s">
        <v>697</v>
      </c>
      <c r="C279" s="376" t="s">
        <v>213</v>
      </c>
      <c r="D279" s="47" t="s">
        <v>60</v>
      </c>
      <c r="E279" s="65" t="s">
        <v>2957</v>
      </c>
      <c r="F279" s="65" t="s">
        <v>255</v>
      </c>
      <c r="G279" s="296" t="s">
        <v>2880</v>
      </c>
      <c r="H279" s="297">
        <v>45873.0</v>
      </c>
      <c r="I279" s="63">
        <f>IFERROR(__xludf.DUMMYFUNCTION("IF(ISBLANK(H279), TODAY()-TO_DATE(G279), TO_DATE(H279)-TO_DATE(G279))+1"),3.0)</f>
        <v>3</v>
      </c>
      <c r="J279" s="65">
        <v>300.0</v>
      </c>
      <c r="K279" s="65" t="s">
        <v>2961</v>
      </c>
      <c r="L279" s="144" t="s">
        <v>2963</v>
      </c>
      <c r="M279" s="72"/>
      <c r="N279" s="29"/>
      <c r="O279" s="29"/>
      <c r="P279" s="29"/>
      <c r="Q279" s="29"/>
      <c r="R279" s="29"/>
      <c r="S279" s="29"/>
      <c r="T279" s="29"/>
      <c r="U279" s="29"/>
      <c r="V279" s="29"/>
      <c r="W279" s="29"/>
      <c r="X279" s="29"/>
      <c r="Y279" s="29"/>
      <c r="Z279" s="29"/>
      <c r="AA279" s="29"/>
      <c r="AB279" s="29"/>
      <c r="AC279" s="29"/>
      <c r="AD279" s="29"/>
      <c r="AE279" s="29"/>
      <c r="AF279" s="29"/>
      <c r="AG279" s="29"/>
    </row>
    <row r="280">
      <c r="A280" s="40" t="s">
        <v>54</v>
      </c>
      <c r="B280" s="40" t="s">
        <v>2967</v>
      </c>
      <c r="C280" s="44" t="s">
        <v>302</v>
      </c>
      <c r="D280" s="47" t="s">
        <v>60</v>
      </c>
      <c r="E280" s="40" t="s">
        <v>2968</v>
      </c>
      <c r="F280" s="40" t="s">
        <v>891</v>
      </c>
      <c r="G280" s="50" t="s">
        <v>2880</v>
      </c>
      <c r="H280" s="53">
        <v>45882.0</v>
      </c>
      <c r="I280" s="63">
        <f>IFERROR(__xludf.DUMMYFUNCTION("IF(ISBLANK(H280), TODAY()-TO_DATE(G280), TO_DATE(H280)-TO_DATE(G280))+1"),12.0)</f>
        <v>12</v>
      </c>
      <c r="J280" s="40" t="s">
        <v>197</v>
      </c>
      <c r="K280" s="65" t="s">
        <v>2993</v>
      </c>
      <c r="L280" s="88"/>
      <c r="M280" s="72"/>
      <c r="N280" s="29"/>
      <c r="O280" s="29"/>
      <c r="P280" s="29"/>
      <c r="Q280" s="29"/>
      <c r="R280" s="29"/>
      <c r="S280" s="29"/>
      <c r="T280" s="29"/>
      <c r="U280" s="29"/>
      <c r="V280" s="29"/>
      <c r="W280" s="29"/>
      <c r="X280" s="29"/>
      <c r="Y280" s="29"/>
      <c r="Z280" s="29"/>
      <c r="AA280" s="29"/>
      <c r="AB280" s="29"/>
      <c r="AC280" s="29"/>
      <c r="AD280" s="29"/>
      <c r="AE280" s="29"/>
      <c r="AF280" s="29"/>
      <c r="AG280" s="29"/>
    </row>
    <row r="281">
      <c r="A281" s="40" t="s">
        <v>660</v>
      </c>
      <c r="B281" s="40" t="s">
        <v>2967</v>
      </c>
      <c r="C281" s="44" t="s">
        <v>187</v>
      </c>
      <c r="D281" s="47" t="s">
        <v>60</v>
      </c>
      <c r="E281" s="40" t="s">
        <v>2999</v>
      </c>
      <c r="F281" s="40" t="s">
        <v>1299</v>
      </c>
      <c r="G281" s="50" t="s">
        <v>2880</v>
      </c>
      <c r="H281" s="53">
        <v>45878.0</v>
      </c>
      <c r="I281" s="63">
        <f>IFERROR(__xludf.DUMMYFUNCTION("IF(ISBLANK(H281), TODAY()-TO_DATE(G281), TO_DATE(H281)-TO_DATE(G281))+1"),8.0)</f>
        <v>8</v>
      </c>
      <c r="J281" s="40">
        <v>300.0</v>
      </c>
      <c r="K281" s="40" t="s">
        <v>3004</v>
      </c>
      <c r="L281" s="69" t="s">
        <v>3005</v>
      </c>
      <c r="M281" s="72"/>
      <c r="N281" s="29"/>
      <c r="O281" s="29"/>
      <c r="P281" s="29"/>
      <c r="Q281" s="29"/>
      <c r="R281" s="29"/>
      <c r="S281" s="29"/>
      <c r="T281" s="29"/>
      <c r="U281" s="29"/>
      <c r="V281" s="29"/>
      <c r="W281" s="29"/>
      <c r="X281" s="29"/>
      <c r="Y281" s="29"/>
      <c r="Z281" s="29"/>
      <c r="AA281" s="29"/>
      <c r="AB281" s="29"/>
      <c r="AC281" s="29"/>
      <c r="AD281" s="29"/>
      <c r="AE281" s="29"/>
      <c r="AF281" s="29"/>
      <c r="AG281" s="29"/>
    </row>
    <row r="282">
      <c r="A282" s="40" t="s">
        <v>660</v>
      </c>
      <c r="B282" s="40" t="s">
        <v>2967</v>
      </c>
      <c r="C282" s="44" t="s">
        <v>321</v>
      </c>
      <c r="D282" s="47" t="s">
        <v>60</v>
      </c>
      <c r="E282" s="40" t="s">
        <v>3012</v>
      </c>
      <c r="F282" s="40" t="s">
        <v>3013</v>
      </c>
      <c r="G282" s="50" t="s">
        <v>2880</v>
      </c>
      <c r="H282" s="53">
        <v>45877.0</v>
      </c>
      <c r="I282" s="63">
        <f>IFERROR(__xludf.DUMMYFUNCTION("IF(ISBLANK(H282), TODAY()-TO_DATE(G282), TO_DATE(H282)-TO_DATE(G282))+1"),7.0)</f>
        <v>7</v>
      </c>
      <c r="J282" s="40" t="s">
        <v>197</v>
      </c>
      <c r="K282" s="40" t="s">
        <v>3022</v>
      </c>
      <c r="L282" s="69" t="s">
        <v>1956</v>
      </c>
      <c r="M282" s="72"/>
      <c r="N282" s="29"/>
      <c r="O282" s="29"/>
      <c r="P282" s="29"/>
      <c r="Q282" s="29"/>
      <c r="R282" s="29"/>
      <c r="S282" s="29"/>
      <c r="T282" s="29"/>
      <c r="U282" s="29"/>
      <c r="V282" s="29"/>
      <c r="W282" s="29"/>
      <c r="X282" s="29"/>
      <c r="Y282" s="29"/>
      <c r="Z282" s="29"/>
      <c r="AA282" s="29"/>
      <c r="AB282" s="29"/>
      <c r="AC282" s="29"/>
      <c r="AD282" s="29"/>
      <c r="AE282" s="29"/>
      <c r="AF282" s="29"/>
      <c r="AG282" s="29"/>
    </row>
    <row r="283">
      <c r="A283" s="40" t="s">
        <v>660</v>
      </c>
      <c r="B283" s="40" t="s">
        <v>2967</v>
      </c>
      <c r="C283" s="44" t="s">
        <v>213</v>
      </c>
      <c r="D283" s="47" t="s">
        <v>60</v>
      </c>
      <c r="E283" s="40" t="s">
        <v>3026</v>
      </c>
      <c r="F283" s="40" t="s">
        <v>343</v>
      </c>
      <c r="G283" s="50" t="s">
        <v>2880</v>
      </c>
      <c r="H283" s="53">
        <v>45872.0</v>
      </c>
      <c r="I283" s="63">
        <f>IFERROR(__xludf.DUMMYFUNCTION("IF(ISBLANK(H283), TODAY()-TO_DATE(G283), TO_DATE(H283)-TO_DATE(G283))+1"),2.0)</f>
        <v>2</v>
      </c>
      <c r="J283" s="40">
        <v>300.0</v>
      </c>
      <c r="K283" s="40" t="s">
        <v>3029</v>
      </c>
      <c r="L283" s="69" t="s">
        <v>1956</v>
      </c>
      <c r="M283" s="72"/>
      <c r="N283" s="29"/>
      <c r="O283" s="29"/>
      <c r="P283" s="29"/>
      <c r="Q283" s="29"/>
      <c r="R283" s="29"/>
      <c r="S283" s="29"/>
      <c r="T283" s="29"/>
      <c r="U283" s="29"/>
      <c r="V283" s="29"/>
      <c r="W283" s="29"/>
      <c r="X283" s="29"/>
      <c r="Y283" s="29"/>
      <c r="Z283" s="29"/>
      <c r="AA283" s="29"/>
      <c r="AB283" s="29"/>
      <c r="AC283" s="29"/>
      <c r="AD283" s="29"/>
      <c r="AE283" s="29"/>
      <c r="AF283" s="29"/>
      <c r="AG283" s="29"/>
    </row>
    <row r="284">
      <c r="A284" s="40" t="s">
        <v>660</v>
      </c>
      <c r="B284" s="40" t="s">
        <v>2967</v>
      </c>
      <c r="C284" s="44" t="s">
        <v>187</v>
      </c>
      <c r="D284" s="47" t="s">
        <v>60</v>
      </c>
      <c r="E284" s="40" t="s">
        <v>3032</v>
      </c>
      <c r="F284" s="40" t="s">
        <v>1514</v>
      </c>
      <c r="G284" s="50" t="s">
        <v>2880</v>
      </c>
      <c r="H284" s="53">
        <v>45882.0</v>
      </c>
      <c r="I284" s="63">
        <f>IFERROR(__xludf.DUMMYFUNCTION("IF(ISBLANK(H284), TODAY()-TO_DATE(G284), TO_DATE(H284)-TO_DATE(G284))+1"),12.0)</f>
        <v>12</v>
      </c>
      <c r="J284" s="40" t="s">
        <v>197</v>
      </c>
      <c r="K284" s="40" t="s">
        <v>3039</v>
      </c>
      <c r="L284" s="69" t="s">
        <v>3040</v>
      </c>
      <c r="M284" s="72"/>
      <c r="N284" s="29"/>
      <c r="O284" s="29"/>
      <c r="P284" s="29"/>
      <c r="Q284" s="29"/>
      <c r="R284" s="29"/>
      <c r="S284" s="29"/>
      <c r="T284" s="29"/>
      <c r="U284" s="29"/>
      <c r="V284" s="29"/>
      <c r="W284" s="29"/>
      <c r="X284" s="29"/>
      <c r="Y284" s="29"/>
      <c r="Z284" s="29"/>
      <c r="AA284" s="29"/>
      <c r="AB284" s="29"/>
      <c r="AC284" s="29"/>
      <c r="AD284" s="29"/>
      <c r="AE284" s="29"/>
      <c r="AF284" s="29"/>
      <c r="AG284" s="29"/>
    </row>
    <row r="285">
      <c r="A285" s="40" t="s">
        <v>660</v>
      </c>
      <c r="B285" s="40" t="s">
        <v>2967</v>
      </c>
      <c r="C285" s="44" t="s">
        <v>58</v>
      </c>
      <c r="D285" s="47" t="s">
        <v>60</v>
      </c>
      <c r="E285" s="40" t="s">
        <v>3044</v>
      </c>
      <c r="F285" s="40" t="s">
        <v>3045</v>
      </c>
      <c r="G285" s="50" t="s">
        <v>2880</v>
      </c>
      <c r="H285" s="53">
        <v>45877.0</v>
      </c>
      <c r="I285" s="63">
        <f>IFERROR(__xludf.DUMMYFUNCTION("IF(ISBLANK(H285), TODAY()-TO_DATE(G285), TO_DATE(H285)-TO_DATE(G285))+1"),7.0)</f>
        <v>7</v>
      </c>
      <c r="J285" s="40">
        <v>300.0</v>
      </c>
      <c r="K285" s="40" t="s">
        <v>3050</v>
      </c>
      <c r="L285" s="69" t="s">
        <v>3052</v>
      </c>
      <c r="M285" s="72"/>
      <c r="N285" s="29"/>
      <c r="O285" s="29"/>
      <c r="P285" s="29"/>
      <c r="Q285" s="29"/>
      <c r="R285" s="29"/>
      <c r="S285" s="29"/>
      <c r="T285" s="29"/>
      <c r="U285" s="29"/>
      <c r="V285" s="29"/>
      <c r="W285" s="29"/>
      <c r="X285" s="29"/>
      <c r="Y285" s="29"/>
      <c r="Z285" s="29"/>
      <c r="AA285" s="29"/>
      <c r="AB285" s="29"/>
      <c r="AC285" s="29"/>
      <c r="AD285" s="29"/>
      <c r="AE285" s="29"/>
      <c r="AF285" s="29"/>
      <c r="AG285" s="29"/>
    </row>
    <row r="286">
      <c r="A286" s="40" t="s">
        <v>660</v>
      </c>
      <c r="B286" s="40" t="s">
        <v>2967</v>
      </c>
      <c r="C286" s="44" t="s">
        <v>58</v>
      </c>
      <c r="D286" s="47" t="s">
        <v>60</v>
      </c>
      <c r="E286" s="40" t="s">
        <v>3054</v>
      </c>
      <c r="F286" s="40" t="s">
        <v>3056</v>
      </c>
      <c r="G286" s="50" t="s">
        <v>2880</v>
      </c>
      <c r="H286" s="53">
        <v>45877.0</v>
      </c>
      <c r="I286" s="63">
        <f>IFERROR(__xludf.DUMMYFUNCTION("IF(ISBLANK(H286), TODAY()-TO_DATE(G286), TO_DATE(H286)-TO_DATE(G286))+1"),7.0)</f>
        <v>7</v>
      </c>
      <c r="J286" s="40">
        <v>300.0</v>
      </c>
      <c r="K286" s="40" t="s">
        <v>3060</v>
      </c>
      <c r="L286" s="69" t="s">
        <v>3061</v>
      </c>
      <c r="M286" s="72"/>
      <c r="N286" s="29"/>
      <c r="O286" s="29"/>
      <c r="P286" s="29"/>
      <c r="Q286" s="29"/>
      <c r="R286" s="29"/>
      <c r="S286" s="29"/>
      <c r="T286" s="29"/>
      <c r="U286" s="29"/>
      <c r="V286" s="29"/>
      <c r="W286" s="29"/>
      <c r="X286" s="29"/>
      <c r="Y286" s="29"/>
      <c r="Z286" s="29"/>
      <c r="AA286" s="29"/>
      <c r="AB286" s="29"/>
      <c r="AC286" s="29"/>
      <c r="AD286" s="29"/>
      <c r="AE286" s="29"/>
      <c r="AF286" s="29"/>
      <c r="AG286" s="29"/>
    </row>
    <row r="287">
      <c r="A287" s="40" t="s">
        <v>660</v>
      </c>
      <c r="B287" s="40" t="s">
        <v>2967</v>
      </c>
      <c r="C287" s="44" t="s">
        <v>213</v>
      </c>
      <c r="D287" s="47" t="s">
        <v>60</v>
      </c>
      <c r="E287" s="40" t="s">
        <v>3067</v>
      </c>
      <c r="F287" s="40" t="s">
        <v>3068</v>
      </c>
      <c r="G287" s="50" t="s">
        <v>2880</v>
      </c>
      <c r="H287" s="53">
        <v>45872.0</v>
      </c>
      <c r="I287" s="63">
        <f>IFERROR(__xludf.DUMMYFUNCTION("IF(ISBLANK(H287), TODAY()-TO_DATE(G287), TO_DATE(H287)-TO_DATE(G287))+1"),2.0)</f>
        <v>2</v>
      </c>
      <c r="J287" s="40">
        <v>300.0</v>
      </c>
      <c r="K287" s="40" t="s">
        <v>3070</v>
      </c>
      <c r="L287" s="69" t="s">
        <v>3073</v>
      </c>
      <c r="M287" s="72"/>
      <c r="N287" s="29"/>
      <c r="O287" s="29"/>
      <c r="P287" s="29"/>
      <c r="Q287" s="29"/>
      <c r="R287" s="29"/>
      <c r="S287" s="29"/>
      <c r="T287" s="29"/>
      <c r="U287" s="29"/>
      <c r="V287" s="29"/>
      <c r="W287" s="29"/>
      <c r="X287" s="29"/>
      <c r="Y287" s="29"/>
      <c r="Z287" s="29"/>
      <c r="AA287" s="29"/>
      <c r="AB287" s="29"/>
      <c r="AC287" s="29"/>
      <c r="AD287" s="29"/>
      <c r="AE287" s="29"/>
      <c r="AF287" s="29"/>
      <c r="AG287" s="29"/>
    </row>
    <row r="288">
      <c r="A288" s="40" t="s">
        <v>660</v>
      </c>
      <c r="B288" s="40" t="s">
        <v>2967</v>
      </c>
      <c r="C288" s="44" t="s">
        <v>178</v>
      </c>
      <c r="D288" s="47" t="s">
        <v>102</v>
      </c>
      <c r="E288" s="40" t="s">
        <v>3088</v>
      </c>
      <c r="F288" s="40" t="s">
        <v>721</v>
      </c>
      <c r="G288" s="50" t="s">
        <v>2880</v>
      </c>
      <c r="H288" s="53">
        <v>45883.0</v>
      </c>
      <c r="I288" s="63">
        <f>IFERROR(__xludf.DUMMYFUNCTION("IF(ISBLANK(H288), TODAY()-TO_DATE(G288), TO_DATE(H288)-TO_DATE(G288))+1"),13.0)</f>
        <v>13</v>
      </c>
      <c r="J288" s="40">
        <v>500.0</v>
      </c>
      <c r="K288" s="40" t="s">
        <v>3103</v>
      </c>
      <c r="L288" s="88"/>
      <c r="M288" s="72"/>
      <c r="N288" s="29"/>
      <c r="O288" s="29"/>
      <c r="P288" s="29"/>
      <c r="Q288" s="29"/>
      <c r="R288" s="29"/>
      <c r="S288" s="29"/>
      <c r="T288" s="29"/>
      <c r="U288" s="29"/>
      <c r="V288" s="29"/>
      <c r="W288" s="29"/>
      <c r="X288" s="29"/>
      <c r="Y288" s="29"/>
      <c r="Z288" s="29"/>
      <c r="AA288" s="29"/>
      <c r="AB288" s="29"/>
      <c r="AC288" s="29"/>
      <c r="AD288" s="29"/>
      <c r="AE288" s="29"/>
      <c r="AF288" s="29"/>
      <c r="AG288" s="29"/>
    </row>
    <row r="289">
      <c r="A289" s="40" t="s">
        <v>660</v>
      </c>
      <c r="B289" s="40" t="s">
        <v>2967</v>
      </c>
      <c r="C289" s="44" t="s">
        <v>201</v>
      </c>
      <c r="D289" s="47" t="s">
        <v>60</v>
      </c>
      <c r="E289" s="40" t="s">
        <v>3108</v>
      </c>
      <c r="F289" s="40" t="s">
        <v>3110</v>
      </c>
      <c r="G289" s="50" t="s">
        <v>2880</v>
      </c>
      <c r="H289" s="53">
        <v>45877.0</v>
      </c>
      <c r="I289" s="63">
        <f>IFERROR(__xludf.DUMMYFUNCTION("IF(ISBLANK(H289), TODAY()-TO_DATE(G289), TO_DATE(H289)-TO_DATE(G289))+1"),7.0)</f>
        <v>7</v>
      </c>
      <c r="J289" s="40">
        <v>300.0</v>
      </c>
      <c r="K289" s="40" t="s">
        <v>3114</v>
      </c>
      <c r="L289" s="88"/>
      <c r="M289" s="72"/>
      <c r="N289" s="29"/>
      <c r="O289" s="29"/>
      <c r="P289" s="29"/>
      <c r="Q289" s="29"/>
      <c r="R289" s="29"/>
      <c r="S289" s="29"/>
      <c r="T289" s="29"/>
      <c r="U289" s="29"/>
      <c r="V289" s="29"/>
      <c r="W289" s="29"/>
      <c r="X289" s="29"/>
      <c r="Y289" s="29"/>
      <c r="Z289" s="29"/>
      <c r="AA289" s="29"/>
      <c r="AB289" s="29"/>
      <c r="AC289" s="29"/>
      <c r="AD289" s="29"/>
      <c r="AE289" s="29"/>
      <c r="AF289" s="29"/>
      <c r="AG289" s="29"/>
    </row>
    <row r="290">
      <c r="A290" s="40" t="s">
        <v>660</v>
      </c>
      <c r="B290" s="40" t="s">
        <v>2967</v>
      </c>
      <c r="C290" s="44" t="s">
        <v>212</v>
      </c>
      <c r="D290" s="47" t="s">
        <v>60</v>
      </c>
      <c r="E290" s="40" t="s">
        <v>3119</v>
      </c>
      <c r="F290" s="40" t="s">
        <v>3120</v>
      </c>
      <c r="G290" s="50" t="s">
        <v>2880</v>
      </c>
      <c r="H290" s="53">
        <v>45876.0</v>
      </c>
      <c r="I290" s="63">
        <f>IFERROR(__xludf.DUMMYFUNCTION("IF(ISBLANK(H290), TODAY()-TO_DATE(G290), TO_DATE(H290)-TO_DATE(G290))+1"),6.0)</f>
        <v>6</v>
      </c>
      <c r="J290" s="40">
        <v>500.0</v>
      </c>
      <c r="K290" s="40" t="s">
        <v>299</v>
      </c>
      <c r="L290" s="69" t="s">
        <v>3124</v>
      </c>
      <c r="M290" s="72"/>
      <c r="N290" s="29"/>
      <c r="O290" s="29"/>
      <c r="P290" s="29"/>
      <c r="Q290" s="29"/>
      <c r="R290" s="29"/>
      <c r="S290" s="29"/>
      <c r="T290" s="29"/>
      <c r="U290" s="29"/>
      <c r="V290" s="29"/>
      <c r="W290" s="29"/>
      <c r="X290" s="29"/>
      <c r="Y290" s="29"/>
      <c r="Z290" s="29"/>
      <c r="AA290" s="29"/>
      <c r="AB290" s="29"/>
      <c r="AC290" s="29"/>
      <c r="AD290" s="29"/>
      <c r="AE290" s="29"/>
      <c r="AF290" s="29"/>
      <c r="AG290" s="29"/>
    </row>
    <row r="291">
      <c r="A291" s="40" t="s">
        <v>660</v>
      </c>
      <c r="B291" s="40" t="s">
        <v>2967</v>
      </c>
      <c r="C291" s="44" t="s">
        <v>213</v>
      </c>
      <c r="D291" s="47" t="s">
        <v>60</v>
      </c>
      <c r="E291" s="40" t="s">
        <v>3129</v>
      </c>
      <c r="F291" s="40" t="s">
        <v>3130</v>
      </c>
      <c r="G291" s="50" t="s">
        <v>2880</v>
      </c>
      <c r="H291" s="53">
        <v>45882.0</v>
      </c>
      <c r="I291" s="63">
        <f>IFERROR(__xludf.DUMMYFUNCTION("IF(ISBLANK(H291), TODAY()-TO_DATE(G291), TO_DATE(H291)-TO_DATE(G291))+1"),12.0)</f>
        <v>12</v>
      </c>
      <c r="J291" s="40" t="s">
        <v>197</v>
      </c>
      <c r="K291" s="40" t="s">
        <v>3135</v>
      </c>
      <c r="L291" s="69" t="s">
        <v>3136</v>
      </c>
      <c r="M291" s="72"/>
      <c r="N291" s="29"/>
      <c r="O291" s="29"/>
      <c r="P291" s="29"/>
      <c r="Q291" s="29"/>
      <c r="R291" s="29"/>
      <c r="S291" s="29"/>
      <c r="T291" s="29"/>
      <c r="U291" s="29"/>
      <c r="V291" s="29"/>
      <c r="W291" s="29"/>
      <c r="X291" s="29"/>
      <c r="Y291" s="29"/>
      <c r="Z291" s="29"/>
      <c r="AA291" s="29"/>
      <c r="AB291" s="29"/>
      <c r="AC291" s="29"/>
      <c r="AD291" s="29"/>
      <c r="AE291" s="29"/>
      <c r="AF291" s="29"/>
      <c r="AG291" s="29"/>
    </row>
    <row r="292">
      <c r="A292" s="40" t="s">
        <v>660</v>
      </c>
      <c r="B292" s="40" t="s">
        <v>2967</v>
      </c>
      <c r="C292" s="44" t="s">
        <v>213</v>
      </c>
      <c r="D292" s="47" t="s">
        <v>60</v>
      </c>
      <c r="E292" s="40" t="s">
        <v>3143</v>
      </c>
      <c r="F292" s="40" t="s">
        <v>3145</v>
      </c>
      <c r="G292" s="50" t="s">
        <v>2880</v>
      </c>
      <c r="H292" s="53">
        <v>45876.0</v>
      </c>
      <c r="I292" s="63">
        <f>IFERROR(__xludf.DUMMYFUNCTION("IF(ISBLANK(H292), TODAY()-TO_DATE(G292), TO_DATE(H292)-TO_DATE(G292))+1"),6.0)</f>
        <v>6</v>
      </c>
      <c r="J292" s="40">
        <v>500.0</v>
      </c>
      <c r="K292" s="40" t="s">
        <v>3150</v>
      </c>
      <c r="L292" s="69" t="s">
        <v>3151</v>
      </c>
      <c r="M292" s="72"/>
      <c r="N292" s="29"/>
      <c r="O292" s="29"/>
      <c r="P292" s="29"/>
      <c r="Q292" s="29"/>
      <c r="R292" s="29"/>
      <c r="S292" s="29"/>
      <c r="T292" s="29"/>
      <c r="U292" s="29"/>
      <c r="V292" s="29"/>
      <c r="W292" s="29"/>
      <c r="X292" s="29"/>
      <c r="Y292" s="29"/>
      <c r="Z292" s="29"/>
      <c r="AA292" s="29"/>
      <c r="AB292" s="29"/>
      <c r="AC292" s="29"/>
      <c r="AD292" s="29"/>
      <c r="AE292" s="29"/>
      <c r="AF292" s="29"/>
      <c r="AG292" s="29"/>
    </row>
    <row r="293">
      <c r="A293" s="40" t="s">
        <v>660</v>
      </c>
      <c r="B293" s="40" t="s">
        <v>2967</v>
      </c>
      <c r="C293" s="44" t="s">
        <v>302</v>
      </c>
      <c r="D293" s="47" t="s">
        <v>60</v>
      </c>
      <c r="E293" s="40" t="s">
        <v>3157</v>
      </c>
      <c r="F293" s="40" t="s">
        <v>3159</v>
      </c>
      <c r="G293" s="50" t="s">
        <v>2880</v>
      </c>
      <c r="H293" s="53">
        <v>45877.0</v>
      </c>
      <c r="I293" s="63">
        <f>IFERROR(__xludf.DUMMYFUNCTION("IF(ISBLANK(H293), TODAY()-TO_DATE(G293), TO_DATE(H293)-TO_DATE(G293))+1"),7.0)</f>
        <v>7</v>
      </c>
      <c r="J293" s="40">
        <v>500.0</v>
      </c>
      <c r="K293" s="40" t="s">
        <v>3163</v>
      </c>
      <c r="L293" s="88"/>
      <c r="M293" s="72"/>
      <c r="N293" s="29"/>
      <c r="O293" s="29"/>
      <c r="P293" s="29"/>
      <c r="Q293" s="29"/>
      <c r="R293" s="29"/>
      <c r="S293" s="29"/>
      <c r="T293" s="29"/>
      <c r="U293" s="29"/>
      <c r="V293" s="29"/>
      <c r="W293" s="29"/>
      <c r="X293" s="29"/>
      <c r="Y293" s="29"/>
      <c r="Z293" s="29"/>
      <c r="AA293" s="29"/>
      <c r="AB293" s="29"/>
      <c r="AC293" s="29"/>
      <c r="AD293" s="29"/>
      <c r="AE293" s="29"/>
      <c r="AF293" s="29"/>
      <c r="AG293" s="29"/>
    </row>
    <row r="294">
      <c r="A294" s="40" t="s">
        <v>660</v>
      </c>
      <c r="B294" s="40" t="s">
        <v>2967</v>
      </c>
      <c r="C294" s="44" t="s">
        <v>460</v>
      </c>
      <c r="D294" s="47" t="s">
        <v>326</v>
      </c>
      <c r="E294" s="40" t="s">
        <v>3166</v>
      </c>
      <c r="F294" s="40" t="s">
        <v>1422</v>
      </c>
      <c r="G294" s="50" t="s">
        <v>2880</v>
      </c>
      <c r="H294" s="53">
        <v>45882.0</v>
      </c>
      <c r="I294" s="63">
        <f>IFERROR(__xludf.DUMMYFUNCTION("IF(ISBLANK(H294), TODAY()-TO_DATE(G294), TO_DATE(H294)-TO_DATE(G294))+1"),12.0)</f>
        <v>12</v>
      </c>
      <c r="J294" s="40" t="s">
        <v>197</v>
      </c>
      <c r="K294" s="40" t="s">
        <v>3171</v>
      </c>
      <c r="L294" s="69" t="s">
        <v>3172</v>
      </c>
      <c r="M294" s="72"/>
      <c r="N294" s="29"/>
      <c r="O294" s="29"/>
      <c r="P294" s="29"/>
      <c r="Q294" s="29"/>
      <c r="R294" s="29"/>
      <c r="S294" s="29"/>
      <c r="T294" s="29"/>
      <c r="U294" s="29"/>
      <c r="V294" s="29"/>
      <c r="W294" s="29"/>
      <c r="X294" s="29"/>
      <c r="Y294" s="29"/>
      <c r="Z294" s="29"/>
      <c r="AA294" s="29"/>
      <c r="AB294" s="29"/>
      <c r="AC294" s="29"/>
      <c r="AD294" s="29"/>
      <c r="AE294" s="29"/>
      <c r="AF294" s="29"/>
      <c r="AG294" s="29"/>
    </row>
    <row r="295">
      <c r="A295" s="40" t="s">
        <v>660</v>
      </c>
      <c r="B295" s="40" t="s">
        <v>2967</v>
      </c>
      <c r="C295" s="44" t="s">
        <v>139</v>
      </c>
      <c r="D295" s="47" t="s">
        <v>60</v>
      </c>
      <c r="E295" s="40" t="s">
        <v>3180</v>
      </c>
      <c r="F295" s="40" t="s">
        <v>3181</v>
      </c>
      <c r="G295" s="50" t="s">
        <v>2880</v>
      </c>
      <c r="H295" s="53">
        <v>45882.0</v>
      </c>
      <c r="I295" s="63">
        <f>IFERROR(__xludf.DUMMYFUNCTION("IF(ISBLANK(H295), TODAY()-TO_DATE(G295), TO_DATE(H295)-TO_DATE(G295))+1"),12.0)</f>
        <v>12</v>
      </c>
      <c r="J295" s="40" t="s">
        <v>197</v>
      </c>
      <c r="K295" s="40" t="s">
        <v>3185</v>
      </c>
      <c r="L295" s="88"/>
      <c r="M295" s="72"/>
      <c r="N295" s="29"/>
      <c r="O295" s="29"/>
      <c r="P295" s="29"/>
      <c r="Q295" s="29"/>
      <c r="R295" s="29"/>
      <c r="S295" s="29"/>
      <c r="T295" s="29"/>
      <c r="U295" s="29"/>
      <c r="V295" s="29"/>
      <c r="W295" s="29"/>
      <c r="X295" s="29"/>
      <c r="Y295" s="29"/>
      <c r="Z295" s="29"/>
      <c r="AA295" s="29"/>
      <c r="AB295" s="29"/>
      <c r="AC295" s="29"/>
      <c r="AD295" s="29"/>
      <c r="AE295" s="29"/>
      <c r="AF295" s="29"/>
      <c r="AG295" s="29"/>
    </row>
    <row r="296">
      <c r="A296" s="40" t="s">
        <v>660</v>
      </c>
      <c r="B296" s="40" t="s">
        <v>2967</v>
      </c>
      <c r="C296" s="44" t="s">
        <v>213</v>
      </c>
      <c r="D296" s="47" t="s">
        <v>60</v>
      </c>
      <c r="E296" s="40" t="s">
        <v>3189</v>
      </c>
      <c r="F296" s="40" t="s">
        <v>3190</v>
      </c>
      <c r="G296" s="50" t="s">
        <v>2880</v>
      </c>
      <c r="H296" s="53">
        <v>45882.0</v>
      </c>
      <c r="I296" s="63">
        <f>IFERROR(__xludf.DUMMYFUNCTION("IF(ISBLANK(H296), TODAY()-TO_DATE(G296), TO_DATE(H296)-TO_DATE(G296))+1"),12.0)</f>
        <v>12</v>
      </c>
      <c r="J296" s="40" t="s">
        <v>197</v>
      </c>
      <c r="K296" s="40" t="s">
        <v>3193</v>
      </c>
      <c r="L296" s="69" t="s">
        <v>3194</v>
      </c>
      <c r="M296" s="72"/>
      <c r="N296" s="29"/>
      <c r="O296" s="29"/>
      <c r="P296" s="29"/>
      <c r="Q296" s="29"/>
      <c r="R296" s="29"/>
      <c r="S296" s="29"/>
      <c r="T296" s="29"/>
      <c r="U296" s="29"/>
      <c r="V296" s="29"/>
      <c r="W296" s="29"/>
      <c r="X296" s="29"/>
      <c r="Y296" s="29"/>
      <c r="Z296" s="29"/>
      <c r="AA296" s="29"/>
      <c r="AB296" s="29"/>
      <c r="AC296" s="29"/>
      <c r="AD296" s="29"/>
      <c r="AE296" s="29"/>
      <c r="AF296" s="29"/>
      <c r="AG296" s="29"/>
    </row>
    <row r="297">
      <c r="A297" s="40" t="s">
        <v>660</v>
      </c>
      <c r="B297" s="40" t="s">
        <v>2967</v>
      </c>
      <c r="C297" s="44" t="s">
        <v>58</v>
      </c>
      <c r="D297" s="47" t="s">
        <v>60</v>
      </c>
      <c r="E297" s="40" t="s">
        <v>3199</v>
      </c>
      <c r="F297" s="40" t="s">
        <v>472</v>
      </c>
      <c r="G297" s="50" t="s">
        <v>2880</v>
      </c>
      <c r="H297" s="53">
        <v>45877.0</v>
      </c>
      <c r="I297" s="63">
        <f>IFERROR(__xludf.DUMMYFUNCTION("IF(ISBLANK(H297), TODAY()-TO_DATE(G297), TO_DATE(H297)-TO_DATE(G297))+1"),7.0)</f>
        <v>7</v>
      </c>
      <c r="J297" s="40">
        <v>500.0</v>
      </c>
      <c r="K297" s="40" t="s">
        <v>3202</v>
      </c>
      <c r="L297" s="88"/>
      <c r="M297" s="72"/>
      <c r="N297" s="29"/>
      <c r="O297" s="29"/>
      <c r="P297" s="29"/>
      <c r="Q297" s="29"/>
      <c r="R297" s="29"/>
      <c r="S297" s="29"/>
      <c r="T297" s="29"/>
      <c r="U297" s="29"/>
      <c r="V297" s="29"/>
      <c r="W297" s="29"/>
      <c r="X297" s="29"/>
      <c r="Y297" s="29"/>
      <c r="Z297" s="29"/>
      <c r="AA297" s="29"/>
      <c r="AB297" s="29"/>
      <c r="AC297" s="29"/>
      <c r="AD297" s="29"/>
      <c r="AE297" s="29"/>
      <c r="AF297" s="29"/>
      <c r="AG297" s="29"/>
    </row>
    <row r="298">
      <c r="A298" s="40" t="s">
        <v>660</v>
      </c>
      <c r="B298" s="40" t="s">
        <v>2967</v>
      </c>
      <c r="C298" s="44" t="s">
        <v>302</v>
      </c>
      <c r="D298" s="47" t="s">
        <v>60</v>
      </c>
      <c r="E298" s="40" t="s">
        <v>3207</v>
      </c>
      <c r="F298" s="40" t="s">
        <v>3208</v>
      </c>
      <c r="G298" s="50" t="s">
        <v>2880</v>
      </c>
      <c r="H298" s="53">
        <v>45873.0</v>
      </c>
      <c r="I298" s="63">
        <f>IFERROR(__xludf.DUMMYFUNCTION("IF(ISBLANK(H298), TODAY()-TO_DATE(G298), TO_DATE(H298)-TO_DATE(G298))+1"),3.0)</f>
        <v>3</v>
      </c>
      <c r="J298" s="40">
        <v>500.0</v>
      </c>
      <c r="K298" s="40" t="s">
        <v>3210</v>
      </c>
      <c r="L298" s="88"/>
      <c r="M298" s="72"/>
      <c r="N298" s="29"/>
      <c r="O298" s="29"/>
      <c r="P298" s="29"/>
      <c r="Q298" s="29"/>
      <c r="R298" s="29"/>
      <c r="S298" s="29"/>
      <c r="T298" s="29"/>
      <c r="U298" s="29"/>
      <c r="V298" s="29"/>
      <c r="W298" s="29"/>
      <c r="X298" s="29"/>
      <c r="Y298" s="29"/>
      <c r="Z298" s="29"/>
      <c r="AA298" s="29"/>
      <c r="AB298" s="29"/>
      <c r="AC298" s="29"/>
      <c r="AD298" s="29"/>
      <c r="AE298" s="29"/>
      <c r="AF298" s="29"/>
      <c r="AG298" s="29"/>
    </row>
    <row r="299">
      <c r="A299" s="40" t="s">
        <v>660</v>
      </c>
      <c r="B299" s="40" t="s">
        <v>2967</v>
      </c>
      <c r="C299" s="44" t="s">
        <v>213</v>
      </c>
      <c r="D299" s="47" t="s">
        <v>60</v>
      </c>
      <c r="E299" s="40" t="s">
        <v>3213</v>
      </c>
      <c r="F299" s="40" t="s">
        <v>3214</v>
      </c>
      <c r="G299" s="50" t="s">
        <v>2880</v>
      </c>
      <c r="H299" s="53">
        <v>45875.0</v>
      </c>
      <c r="I299" s="63">
        <f>IFERROR(__xludf.DUMMYFUNCTION("IF(ISBLANK(H299), TODAY()-TO_DATE(G299), TO_DATE(H299)-TO_DATE(G299))+1"),5.0)</f>
        <v>5</v>
      </c>
      <c r="J299" s="40">
        <v>500.0</v>
      </c>
      <c r="K299" s="40" t="s">
        <v>3216</v>
      </c>
      <c r="L299" s="88"/>
      <c r="M299" s="72"/>
      <c r="N299" s="29"/>
      <c r="O299" s="29"/>
      <c r="P299" s="29"/>
      <c r="Q299" s="29"/>
      <c r="R299" s="29"/>
      <c r="S299" s="29"/>
      <c r="T299" s="29"/>
      <c r="U299" s="29"/>
      <c r="V299" s="29"/>
      <c r="W299" s="29"/>
      <c r="X299" s="29"/>
      <c r="Y299" s="29"/>
      <c r="Z299" s="29"/>
      <c r="AA299" s="29"/>
      <c r="AB299" s="29"/>
      <c r="AC299" s="29"/>
      <c r="AD299" s="29"/>
      <c r="AE299" s="29"/>
      <c r="AF299" s="29"/>
      <c r="AG299" s="29"/>
    </row>
    <row r="300">
      <c r="A300" s="40" t="s">
        <v>660</v>
      </c>
      <c r="B300" s="40" t="s">
        <v>2967</v>
      </c>
      <c r="C300" s="44" t="s">
        <v>139</v>
      </c>
      <c r="D300" s="47" t="s">
        <v>60</v>
      </c>
      <c r="E300" s="40" t="s">
        <v>3220</v>
      </c>
      <c r="F300" s="40" t="s">
        <v>652</v>
      </c>
      <c r="G300" s="50" t="s">
        <v>2880</v>
      </c>
      <c r="H300" s="53">
        <v>45875.0</v>
      </c>
      <c r="I300" s="63">
        <f>IFERROR(__xludf.DUMMYFUNCTION("IF(ISBLANK(H300), TODAY()-TO_DATE(G300), TO_DATE(H300)-TO_DATE(G300))+1"),5.0)</f>
        <v>5</v>
      </c>
      <c r="J300" s="40">
        <v>500.0</v>
      </c>
      <c r="K300" s="40" t="s">
        <v>3222</v>
      </c>
      <c r="L300" s="69" t="s">
        <v>3224</v>
      </c>
      <c r="M300" s="72"/>
      <c r="N300" s="29"/>
      <c r="O300" s="29"/>
      <c r="P300" s="29"/>
      <c r="Q300" s="29"/>
      <c r="R300" s="29"/>
      <c r="S300" s="29"/>
      <c r="T300" s="29"/>
      <c r="U300" s="29"/>
      <c r="V300" s="29"/>
      <c r="W300" s="29"/>
      <c r="X300" s="29"/>
      <c r="Y300" s="29"/>
      <c r="Z300" s="29"/>
      <c r="AA300" s="29"/>
      <c r="AB300" s="29"/>
      <c r="AC300" s="29"/>
      <c r="AD300" s="29"/>
      <c r="AE300" s="29"/>
      <c r="AF300" s="29"/>
      <c r="AG300" s="29"/>
    </row>
    <row r="301">
      <c r="A301" s="40" t="s">
        <v>660</v>
      </c>
      <c r="B301" s="40" t="s">
        <v>2967</v>
      </c>
      <c r="C301" s="44" t="s">
        <v>201</v>
      </c>
      <c r="D301" s="47" t="s">
        <v>60</v>
      </c>
      <c r="E301" s="40" t="s">
        <v>3227</v>
      </c>
      <c r="F301" s="40" t="s">
        <v>1476</v>
      </c>
      <c r="G301" s="50" t="s">
        <v>2880</v>
      </c>
      <c r="H301" s="53">
        <v>45875.0</v>
      </c>
      <c r="I301" s="63">
        <f>IFERROR(__xludf.DUMMYFUNCTION("IF(ISBLANK(H301), TODAY()-TO_DATE(G301), TO_DATE(H301)-TO_DATE(G301))+1"),5.0)</f>
        <v>5</v>
      </c>
      <c r="J301" s="40">
        <v>500.0</v>
      </c>
      <c r="K301" s="40" t="s">
        <v>3231</v>
      </c>
      <c r="L301" s="88"/>
      <c r="M301" s="72"/>
      <c r="N301" s="29"/>
      <c r="O301" s="29"/>
      <c r="P301" s="29"/>
      <c r="Q301" s="29"/>
      <c r="R301" s="29"/>
      <c r="S301" s="29"/>
      <c r="T301" s="29"/>
      <c r="U301" s="29"/>
      <c r="V301" s="29"/>
      <c r="W301" s="29"/>
      <c r="X301" s="29"/>
      <c r="Y301" s="29"/>
      <c r="Z301" s="29"/>
      <c r="AA301" s="29"/>
      <c r="AB301" s="29"/>
      <c r="AC301" s="29"/>
      <c r="AD301" s="29"/>
      <c r="AE301" s="29"/>
      <c r="AF301" s="29"/>
      <c r="AG301" s="29"/>
    </row>
    <row r="302">
      <c r="A302" s="40" t="s">
        <v>660</v>
      </c>
      <c r="B302" s="40" t="s">
        <v>2967</v>
      </c>
      <c r="C302" s="44" t="s">
        <v>536</v>
      </c>
      <c r="D302" s="47" t="s">
        <v>60</v>
      </c>
      <c r="E302" s="40" t="s">
        <v>3234</v>
      </c>
      <c r="F302" s="40" t="s">
        <v>2533</v>
      </c>
      <c r="G302" s="50" t="s">
        <v>2880</v>
      </c>
      <c r="H302" s="53">
        <v>45872.0</v>
      </c>
      <c r="I302" s="63">
        <f>IFERROR(__xludf.DUMMYFUNCTION("IF(ISBLANK(H302), TODAY()-TO_DATE(G302), TO_DATE(H302)-TO_DATE(G302))+1"),2.0)</f>
        <v>2</v>
      </c>
      <c r="J302" s="40">
        <v>300.0</v>
      </c>
      <c r="K302" s="40" t="s">
        <v>3236</v>
      </c>
      <c r="L302" s="69" t="s">
        <v>1956</v>
      </c>
      <c r="M302" s="72"/>
      <c r="N302" s="29"/>
      <c r="O302" s="29"/>
      <c r="P302" s="29"/>
      <c r="Q302" s="29"/>
      <c r="R302" s="29"/>
      <c r="S302" s="29"/>
      <c r="T302" s="29"/>
      <c r="U302" s="29"/>
      <c r="V302" s="29"/>
      <c r="W302" s="29"/>
      <c r="X302" s="29"/>
      <c r="Y302" s="29"/>
      <c r="Z302" s="29"/>
      <c r="AA302" s="29"/>
      <c r="AB302" s="29"/>
      <c r="AC302" s="29"/>
      <c r="AD302" s="29"/>
      <c r="AE302" s="29"/>
      <c r="AF302" s="29"/>
      <c r="AG302" s="29"/>
    </row>
    <row r="303">
      <c r="A303" s="40" t="s">
        <v>660</v>
      </c>
      <c r="B303" s="40" t="s">
        <v>2967</v>
      </c>
      <c r="C303" s="44" t="s">
        <v>295</v>
      </c>
      <c r="D303" s="47" t="s">
        <v>60</v>
      </c>
      <c r="E303" s="40" t="s">
        <v>2124</v>
      </c>
      <c r="F303" s="40" t="s">
        <v>2125</v>
      </c>
      <c r="G303" s="50" t="s">
        <v>2880</v>
      </c>
      <c r="H303" s="53">
        <v>45882.0</v>
      </c>
      <c r="I303" s="63">
        <f>IFERROR(__xludf.DUMMYFUNCTION("IF(ISBLANK(H303), TODAY()-TO_DATE(G303), TO_DATE(H303)-TO_DATE(G303))+1"),12.0)</f>
        <v>12</v>
      </c>
      <c r="J303" s="40" t="s">
        <v>197</v>
      </c>
      <c r="K303" s="40" t="s">
        <v>3241</v>
      </c>
      <c r="L303" s="88"/>
      <c r="M303" s="72"/>
      <c r="N303" s="29"/>
      <c r="O303" s="29"/>
      <c r="P303" s="29"/>
      <c r="Q303" s="29"/>
      <c r="R303" s="29"/>
      <c r="S303" s="29"/>
      <c r="T303" s="29"/>
      <c r="U303" s="29"/>
      <c r="V303" s="29"/>
      <c r="W303" s="29"/>
      <c r="X303" s="29"/>
      <c r="Y303" s="29"/>
      <c r="Z303" s="29"/>
      <c r="AA303" s="29"/>
      <c r="AB303" s="29"/>
      <c r="AC303" s="29"/>
      <c r="AD303" s="29"/>
      <c r="AE303" s="29"/>
      <c r="AF303" s="29"/>
      <c r="AG303" s="29"/>
    </row>
    <row r="304">
      <c r="A304" s="65" t="s">
        <v>1540</v>
      </c>
      <c r="B304" s="65" t="s">
        <v>2833</v>
      </c>
      <c r="C304" s="44" t="s">
        <v>321</v>
      </c>
      <c r="D304" s="47" t="s">
        <v>60</v>
      </c>
      <c r="E304" s="40" t="s">
        <v>3242</v>
      </c>
      <c r="F304" s="40" t="s">
        <v>1203</v>
      </c>
      <c r="G304" s="296" t="s">
        <v>3243</v>
      </c>
      <c r="H304" s="297">
        <v>45882.0</v>
      </c>
      <c r="I304" s="63">
        <f>IFERROR(__xludf.DUMMYFUNCTION("IF(ISBLANK(H304), TODAY()-TO_DATE(G304), TO_DATE(H304)-TO_DATE(G304))+1"),11.0)</f>
        <v>11</v>
      </c>
      <c r="J304" s="65" t="s">
        <v>197</v>
      </c>
      <c r="K304" s="65" t="s">
        <v>3245</v>
      </c>
      <c r="L304" s="88"/>
      <c r="M304" s="72"/>
      <c r="N304" s="29"/>
      <c r="O304" s="29"/>
      <c r="P304" s="29"/>
      <c r="Q304" s="29"/>
      <c r="R304" s="29"/>
      <c r="S304" s="29"/>
      <c r="T304" s="29"/>
      <c r="U304" s="29"/>
      <c r="V304" s="29"/>
      <c r="W304" s="29"/>
      <c r="X304" s="29"/>
      <c r="Y304" s="29"/>
      <c r="Z304" s="29"/>
      <c r="AA304" s="29"/>
      <c r="AB304" s="29"/>
      <c r="AC304" s="29"/>
      <c r="AD304" s="29"/>
      <c r="AE304" s="29"/>
      <c r="AF304" s="29"/>
      <c r="AG304" s="29"/>
    </row>
    <row r="305">
      <c r="A305" s="40" t="s">
        <v>1510</v>
      </c>
      <c r="B305" s="40" t="s">
        <v>2967</v>
      </c>
      <c r="C305" s="44" t="s">
        <v>1536</v>
      </c>
      <c r="D305" s="47" t="s">
        <v>60</v>
      </c>
      <c r="E305" s="40" t="s">
        <v>3248</v>
      </c>
      <c r="F305" s="40" t="s">
        <v>1641</v>
      </c>
      <c r="G305" s="50" t="s">
        <v>3249</v>
      </c>
      <c r="H305" s="53">
        <v>45876.0</v>
      </c>
      <c r="I305" s="63">
        <f>IFERROR(__xludf.DUMMYFUNCTION("IF(ISBLANK(H305), TODAY()-TO_DATE(G305), TO_DATE(H305)-TO_DATE(G305))+1"),2.0)</f>
        <v>2</v>
      </c>
      <c r="J305" s="40">
        <v>300.0</v>
      </c>
      <c r="K305" s="40" t="s">
        <v>3250</v>
      </c>
      <c r="L305" s="88"/>
      <c r="M305" s="72"/>
      <c r="N305" s="29"/>
      <c r="O305" s="29"/>
      <c r="P305" s="29"/>
      <c r="Q305" s="29"/>
      <c r="R305" s="29"/>
      <c r="S305" s="29"/>
      <c r="T305" s="29"/>
      <c r="U305" s="29"/>
      <c r="V305" s="29"/>
      <c r="W305" s="29"/>
      <c r="X305" s="29"/>
      <c r="Y305" s="29"/>
      <c r="Z305" s="29"/>
      <c r="AA305" s="29"/>
      <c r="AB305" s="29"/>
      <c r="AC305" s="29"/>
      <c r="AD305" s="29"/>
      <c r="AE305" s="29"/>
      <c r="AF305" s="29"/>
      <c r="AG305" s="29"/>
    </row>
    <row r="306">
      <c r="A306" s="40" t="s">
        <v>1510</v>
      </c>
      <c r="B306" s="40" t="s">
        <v>2967</v>
      </c>
      <c r="C306" s="44" t="s">
        <v>1932</v>
      </c>
      <c r="D306" s="47" t="s">
        <v>60</v>
      </c>
      <c r="E306" s="40" t="s">
        <v>3254</v>
      </c>
      <c r="F306" s="40" t="s">
        <v>1126</v>
      </c>
      <c r="G306" s="50" t="s">
        <v>3249</v>
      </c>
      <c r="H306" s="53">
        <v>45882.0</v>
      </c>
      <c r="I306" s="63">
        <f>IFERROR(__xludf.DUMMYFUNCTION("IF(ISBLANK(H306), TODAY()-TO_DATE(G306), TO_DATE(H306)-TO_DATE(G306))+1"),8.0)</f>
        <v>8</v>
      </c>
      <c r="J306" s="40" t="s">
        <v>197</v>
      </c>
      <c r="K306" s="40" t="s">
        <v>3255</v>
      </c>
      <c r="L306" s="144" t="s">
        <v>3256</v>
      </c>
      <c r="M306" s="72"/>
      <c r="N306" s="29"/>
      <c r="O306" s="29"/>
      <c r="P306" s="29"/>
      <c r="Q306" s="29"/>
      <c r="R306" s="29"/>
      <c r="S306" s="29"/>
      <c r="T306" s="29"/>
      <c r="U306" s="29"/>
      <c r="V306" s="29"/>
      <c r="W306" s="29"/>
      <c r="X306" s="29"/>
      <c r="Y306" s="29"/>
      <c r="Z306" s="29"/>
      <c r="AA306" s="29"/>
      <c r="AB306" s="29"/>
      <c r="AC306" s="29"/>
      <c r="AD306" s="29"/>
      <c r="AE306" s="29"/>
      <c r="AF306" s="29"/>
      <c r="AG306" s="29"/>
    </row>
    <row r="307">
      <c r="A307" s="40" t="s">
        <v>1510</v>
      </c>
      <c r="B307" s="40" t="s">
        <v>2967</v>
      </c>
      <c r="C307" s="44" t="s">
        <v>1637</v>
      </c>
      <c r="D307" s="47" t="s">
        <v>60</v>
      </c>
      <c r="E307" s="40" t="s">
        <v>3259</v>
      </c>
      <c r="F307" s="40" t="s">
        <v>193</v>
      </c>
      <c r="G307" s="50" t="s">
        <v>3249</v>
      </c>
      <c r="H307" s="53">
        <v>45879.0</v>
      </c>
      <c r="I307" s="63">
        <f>IFERROR(__xludf.DUMMYFUNCTION("IF(ISBLANK(H307), TODAY()-TO_DATE(G307), TO_DATE(H307)-TO_DATE(G307))+1"),5.0)</f>
        <v>5</v>
      </c>
      <c r="J307" s="40">
        <v>500.0</v>
      </c>
      <c r="K307" s="40" t="s">
        <v>3261</v>
      </c>
      <c r="L307" s="147"/>
      <c r="M307" s="72"/>
      <c r="N307" s="29"/>
      <c r="O307" s="29"/>
      <c r="P307" s="29"/>
      <c r="Q307" s="29"/>
      <c r="R307" s="29"/>
      <c r="S307" s="29"/>
      <c r="T307" s="29"/>
      <c r="U307" s="29"/>
      <c r="V307" s="29"/>
      <c r="W307" s="29"/>
      <c r="X307" s="29"/>
      <c r="Y307" s="29"/>
      <c r="Z307" s="29"/>
      <c r="AA307" s="29"/>
      <c r="AB307" s="29"/>
      <c r="AC307" s="29"/>
      <c r="AD307" s="29"/>
      <c r="AE307" s="29"/>
      <c r="AF307" s="29"/>
      <c r="AG307" s="29"/>
    </row>
    <row r="308">
      <c r="A308" s="40" t="s">
        <v>1510</v>
      </c>
      <c r="B308" s="40" t="s">
        <v>2967</v>
      </c>
      <c r="C308" s="44" t="s">
        <v>1756</v>
      </c>
      <c r="D308" s="47" t="s">
        <v>60</v>
      </c>
      <c r="E308" s="65" t="s">
        <v>3262</v>
      </c>
      <c r="F308" s="65" t="s">
        <v>827</v>
      </c>
      <c r="G308" s="50" t="s">
        <v>3249</v>
      </c>
      <c r="H308" s="53">
        <v>45878.0</v>
      </c>
      <c r="I308" s="63">
        <f>IFERROR(__xludf.DUMMYFUNCTION("IF(ISBLANK(H308), TODAY()-TO_DATE(G308), TO_DATE(H308)-TO_DATE(G308))+1"),4.0)</f>
        <v>4</v>
      </c>
      <c r="J308" s="40">
        <v>300.0</v>
      </c>
      <c r="K308" s="40" t="s">
        <v>3266</v>
      </c>
      <c r="L308" s="144" t="s">
        <v>3267</v>
      </c>
      <c r="M308" s="72"/>
      <c r="N308" s="29"/>
      <c r="O308" s="29"/>
      <c r="P308" s="29"/>
      <c r="Q308" s="29"/>
      <c r="R308" s="29"/>
      <c r="S308" s="29"/>
      <c r="T308" s="29"/>
      <c r="U308" s="29"/>
      <c r="V308" s="29"/>
      <c r="W308" s="29"/>
      <c r="X308" s="29"/>
      <c r="Y308" s="29"/>
      <c r="Z308" s="29"/>
      <c r="AA308" s="29"/>
      <c r="AB308" s="29"/>
      <c r="AC308" s="29"/>
      <c r="AD308" s="29"/>
      <c r="AE308" s="29"/>
      <c r="AF308" s="29"/>
      <c r="AG308" s="29"/>
    </row>
    <row r="309">
      <c r="A309" s="40" t="s">
        <v>1510</v>
      </c>
      <c r="B309" s="40" t="s">
        <v>2967</v>
      </c>
      <c r="C309" s="44" t="s">
        <v>331</v>
      </c>
      <c r="D309" s="47" t="s">
        <v>60</v>
      </c>
      <c r="E309" s="65" t="s">
        <v>3268</v>
      </c>
      <c r="F309" s="65" t="s">
        <v>3269</v>
      </c>
      <c r="G309" s="50" t="s">
        <v>3249</v>
      </c>
      <c r="H309" s="53">
        <v>45879.0</v>
      </c>
      <c r="I309" s="63">
        <f>IFERROR(__xludf.DUMMYFUNCTION("IF(ISBLANK(H309), TODAY()-TO_DATE(G309), TO_DATE(H309)-TO_DATE(G309))+1"),5.0)</f>
        <v>5</v>
      </c>
      <c r="J309" s="40">
        <v>500.0</v>
      </c>
      <c r="K309" s="40" t="s">
        <v>3270</v>
      </c>
      <c r="L309" s="147"/>
      <c r="M309" s="72"/>
      <c r="N309" s="29"/>
      <c r="O309" s="29"/>
      <c r="P309" s="29"/>
      <c r="Q309" s="29"/>
      <c r="R309" s="29"/>
      <c r="S309" s="29"/>
      <c r="T309" s="29"/>
      <c r="U309" s="29"/>
      <c r="V309" s="29"/>
      <c r="W309" s="29"/>
      <c r="X309" s="29"/>
      <c r="Y309" s="29"/>
      <c r="Z309" s="29"/>
      <c r="AA309" s="29"/>
      <c r="AB309" s="29"/>
      <c r="AC309" s="29"/>
      <c r="AD309" s="29"/>
      <c r="AE309" s="29"/>
      <c r="AF309" s="29"/>
      <c r="AG309" s="29"/>
    </row>
    <row r="310">
      <c r="A310" s="40" t="s">
        <v>1510</v>
      </c>
      <c r="B310" s="40" t="s">
        <v>2967</v>
      </c>
      <c r="C310" s="44" t="s">
        <v>1637</v>
      </c>
      <c r="D310" s="47" t="s">
        <v>60</v>
      </c>
      <c r="E310" s="40" t="s">
        <v>3034</v>
      </c>
      <c r="F310" s="40" t="s">
        <v>3036</v>
      </c>
      <c r="G310" s="50" t="s">
        <v>3249</v>
      </c>
      <c r="H310" s="53">
        <v>45882.0</v>
      </c>
      <c r="I310" s="63">
        <f>IFERROR(__xludf.DUMMYFUNCTION("IF(ISBLANK(H310), TODAY()-TO_DATE(G310), TO_DATE(H310)-TO_DATE(G310))+1"),8.0)</f>
        <v>8</v>
      </c>
      <c r="J310" s="40" t="s">
        <v>197</v>
      </c>
      <c r="K310" s="40" t="s">
        <v>3273</v>
      </c>
      <c r="L310" s="147"/>
      <c r="M310" s="72"/>
      <c r="N310" s="29"/>
      <c r="O310" s="29"/>
      <c r="P310" s="29"/>
      <c r="Q310" s="29"/>
      <c r="R310" s="29"/>
      <c r="S310" s="29"/>
      <c r="T310" s="29"/>
      <c r="U310" s="29"/>
      <c r="V310" s="29"/>
      <c r="W310" s="29"/>
      <c r="X310" s="29"/>
      <c r="Y310" s="29"/>
      <c r="Z310" s="29"/>
      <c r="AA310" s="29"/>
      <c r="AB310" s="29"/>
      <c r="AC310" s="29"/>
      <c r="AD310" s="29"/>
      <c r="AE310" s="29"/>
      <c r="AF310" s="29"/>
      <c r="AG310" s="29"/>
    </row>
    <row r="311">
      <c r="A311" s="40" t="s">
        <v>1923</v>
      </c>
      <c r="B311" s="40" t="s">
        <v>697</v>
      </c>
      <c r="C311" s="44" t="s">
        <v>331</v>
      </c>
      <c r="D311" s="47" t="s">
        <v>60</v>
      </c>
      <c r="E311" s="40" t="s">
        <v>3276</v>
      </c>
      <c r="F311" s="40" t="s">
        <v>3277</v>
      </c>
      <c r="G311" s="50" t="s">
        <v>3278</v>
      </c>
      <c r="H311" s="53">
        <v>45885.0</v>
      </c>
      <c r="I311" s="63">
        <f>IFERROR(__xludf.DUMMYFUNCTION("IF(ISBLANK(H311), TODAY()-TO_DATE(G311), TO_DATE(H311)-TO_DATE(G311))+1"),9.0)</f>
        <v>9</v>
      </c>
      <c r="J311" s="40" t="s">
        <v>197</v>
      </c>
      <c r="K311" s="40" t="s">
        <v>3280</v>
      </c>
      <c r="L311" s="69" t="s">
        <v>3281</v>
      </c>
      <c r="M311" s="72"/>
      <c r="N311" s="29"/>
      <c r="O311" s="29"/>
      <c r="P311" s="29"/>
      <c r="Q311" s="29"/>
      <c r="R311" s="29"/>
      <c r="S311" s="29"/>
      <c r="T311" s="29"/>
      <c r="U311" s="29"/>
      <c r="V311" s="29"/>
      <c r="W311" s="29"/>
      <c r="X311" s="29"/>
      <c r="Y311" s="29"/>
      <c r="Z311" s="29"/>
      <c r="AA311" s="29"/>
      <c r="AB311" s="29"/>
      <c r="AC311" s="29"/>
      <c r="AD311" s="29"/>
      <c r="AE311" s="29"/>
      <c r="AF311" s="29"/>
      <c r="AG311" s="29"/>
    </row>
    <row r="312">
      <c r="A312" s="40" t="s">
        <v>1923</v>
      </c>
      <c r="B312" s="40" t="s">
        <v>697</v>
      </c>
      <c r="C312" s="44" t="s">
        <v>331</v>
      </c>
      <c r="D312" s="47" t="s">
        <v>60</v>
      </c>
      <c r="E312" s="40" t="s">
        <v>3020</v>
      </c>
      <c r="F312" s="40" t="s">
        <v>3024</v>
      </c>
      <c r="G312" s="50" t="s">
        <v>3278</v>
      </c>
      <c r="H312" s="53">
        <v>45885.0</v>
      </c>
      <c r="I312" s="63">
        <f>IFERROR(__xludf.DUMMYFUNCTION("IF(ISBLANK(H312), TODAY()-TO_DATE(G312), TO_DATE(H312)-TO_DATE(G312))+1"),9.0)</f>
        <v>9</v>
      </c>
      <c r="J312" s="40" t="s">
        <v>197</v>
      </c>
      <c r="K312" s="40" t="s">
        <v>3287</v>
      </c>
      <c r="L312" s="69" t="s">
        <v>2264</v>
      </c>
      <c r="M312" s="72"/>
      <c r="N312" s="29"/>
      <c r="O312" s="29"/>
      <c r="P312" s="29"/>
      <c r="Q312" s="29"/>
      <c r="R312" s="29"/>
      <c r="S312" s="29"/>
      <c r="T312" s="29"/>
      <c r="U312" s="29"/>
      <c r="V312" s="29"/>
      <c r="W312" s="29"/>
      <c r="X312" s="29"/>
      <c r="Y312" s="29"/>
      <c r="Z312" s="29"/>
      <c r="AA312" s="29"/>
      <c r="AB312" s="29"/>
      <c r="AC312" s="29"/>
      <c r="AD312" s="29"/>
      <c r="AE312" s="29"/>
      <c r="AF312" s="29"/>
      <c r="AG312" s="29"/>
    </row>
    <row r="313">
      <c r="A313" s="40" t="s">
        <v>1923</v>
      </c>
      <c r="B313" s="40" t="s">
        <v>697</v>
      </c>
      <c r="C313" s="44" t="s">
        <v>331</v>
      </c>
      <c r="D313" s="47" t="s">
        <v>60</v>
      </c>
      <c r="E313" s="40" t="s">
        <v>3288</v>
      </c>
      <c r="F313" s="40" t="s">
        <v>3289</v>
      </c>
      <c r="G313" s="50" t="s">
        <v>3278</v>
      </c>
      <c r="H313" s="53">
        <v>45885.0</v>
      </c>
      <c r="I313" s="63">
        <f>IFERROR(__xludf.DUMMYFUNCTION("IF(ISBLANK(H313), TODAY()-TO_DATE(G313), TO_DATE(H313)-TO_DATE(G313))+1"),9.0)</f>
        <v>9</v>
      </c>
      <c r="J313" s="40" t="s">
        <v>197</v>
      </c>
      <c r="K313" s="40" t="s">
        <v>3291</v>
      </c>
      <c r="L313" s="69" t="s">
        <v>3292</v>
      </c>
      <c r="M313" s="72"/>
      <c r="N313" s="29"/>
      <c r="O313" s="29"/>
      <c r="P313" s="29"/>
      <c r="Q313" s="29"/>
      <c r="R313" s="29"/>
      <c r="S313" s="29"/>
      <c r="T313" s="29"/>
      <c r="U313" s="29"/>
      <c r="V313" s="29"/>
      <c r="W313" s="29"/>
      <c r="X313" s="29"/>
      <c r="Y313" s="29"/>
      <c r="Z313" s="29"/>
      <c r="AA313" s="29"/>
      <c r="AB313" s="29"/>
      <c r="AC313" s="29"/>
      <c r="AD313" s="29"/>
      <c r="AE313" s="29"/>
      <c r="AF313" s="29"/>
      <c r="AG313" s="29"/>
    </row>
    <row r="314">
      <c r="A314" s="40" t="s">
        <v>1923</v>
      </c>
      <c r="B314" s="40" t="s">
        <v>697</v>
      </c>
      <c r="C314" s="44" t="s">
        <v>1924</v>
      </c>
      <c r="D314" s="47" t="s">
        <v>102</v>
      </c>
      <c r="E314" s="40" t="s">
        <v>2260</v>
      </c>
      <c r="F314" s="40" t="s">
        <v>334</v>
      </c>
      <c r="G314" s="50" t="s">
        <v>3278</v>
      </c>
      <c r="H314" s="53">
        <v>45885.0</v>
      </c>
      <c r="I314" s="63">
        <f>IFERROR(__xludf.DUMMYFUNCTION("IF(ISBLANK(H314), TODAY()-TO_DATE(G314), TO_DATE(H314)-TO_DATE(G314))+1"),9.0)</f>
        <v>9</v>
      </c>
      <c r="J314" s="40" t="s">
        <v>197</v>
      </c>
      <c r="K314" s="40" t="s">
        <v>2263</v>
      </c>
      <c r="L314" s="69" t="s">
        <v>3296</v>
      </c>
      <c r="M314" s="72"/>
      <c r="N314" s="29"/>
      <c r="O314" s="29"/>
      <c r="P314" s="29"/>
      <c r="Q314" s="29"/>
      <c r="R314" s="29"/>
      <c r="S314" s="29"/>
      <c r="T314" s="29"/>
      <c r="U314" s="29"/>
      <c r="V314" s="29"/>
      <c r="W314" s="29"/>
      <c r="X314" s="29"/>
      <c r="Y314" s="29"/>
      <c r="Z314" s="29"/>
      <c r="AA314" s="29"/>
      <c r="AB314" s="29"/>
      <c r="AC314" s="29"/>
      <c r="AD314" s="29"/>
      <c r="AE314" s="29"/>
      <c r="AF314" s="29"/>
      <c r="AG314" s="29"/>
    </row>
    <row r="315">
      <c r="A315" s="40" t="s">
        <v>54</v>
      </c>
      <c r="B315" s="40" t="s">
        <v>697</v>
      </c>
      <c r="C315" s="44" t="s">
        <v>178</v>
      </c>
      <c r="D315" s="47" t="s">
        <v>60</v>
      </c>
      <c r="E315" s="40" t="s">
        <v>332</v>
      </c>
      <c r="F315" s="40" t="s">
        <v>334</v>
      </c>
      <c r="G315" s="50" t="s">
        <v>3278</v>
      </c>
      <c r="H315" s="53">
        <v>45881.0</v>
      </c>
      <c r="I315" s="63">
        <f>IFERROR(__xludf.DUMMYFUNCTION("IF(ISBLANK(H315), TODAY()-TO_DATE(G315), TO_DATE(H315)-TO_DATE(G315))+1"),5.0)</f>
        <v>5</v>
      </c>
      <c r="J315" s="40">
        <v>200.0</v>
      </c>
      <c r="K315" s="40" t="s">
        <v>3300</v>
      </c>
      <c r="L315" s="69" t="s">
        <v>3301</v>
      </c>
      <c r="M315" s="72"/>
      <c r="N315" s="29"/>
      <c r="O315" s="29"/>
      <c r="P315" s="29"/>
      <c r="Q315" s="29"/>
      <c r="R315" s="29"/>
      <c r="S315" s="29"/>
      <c r="T315" s="29"/>
      <c r="U315" s="29"/>
      <c r="V315" s="29"/>
      <c r="W315" s="29"/>
      <c r="X315" s="29"/>
      <c r="Y315" s="29"/>
      <c r="Z315" s="29"/>
      <c r="AA315" s="29"/>
      <c r="AB315" s="29"/>
      <c r="AC315" s="29"/>
      <c r="AD315" s="29"/>
      <c r="AE315" s="29"/>
      <c r="AF315" s="29"/>
      <c r="AG315" s="29"/>
    </row>
    <row r="316">
      <c r="A316" s="40" t="s">
        <v>54</v>
      </c>
      <c r="B316" s="40" t="s">
        <v>697</v>
      </c>
      <c r="C316" s="44" t="s">
        <v>187</v>
      </c>
      <c r="D316" s="47" t="s">
        <v>60</v>
      </c>
      <c r="E316" s="40" t="s">
        <v>3303</v>
      </c>
      <c r="F316" s="40" t="s">
        <v>3304</v>
      </c>
      <c r="G316" s="50" t="s">
        <v>3278</v>
      </c>
      <c r="H316" s="53">
        <v>45882.0</v>
      </c>
      <c r="I316" s="63">
        <f>IFERROR(__xludf.DUMMYFUNCTION("IF(ISBLANK(H316), TODAY()-TO_DATE(G316), TO_DATE(H316)-TO_DATE(G316))+1"),6.0)</f>
        <v>6</v>
      </c>
      <c r="J316" s="40" t="s">
        <v>197</v>
      </c>
      <c r="K316" s="40" t="s">
        <v>3305</v>
      </c>
      <c r="L316" s="88"/>
      <c r="M316" s="72"/>
      <c r="N316" s="29"/>
      <c r="O316" s="29"/>
      <c r="P316" s="29"/>
      <c r="Q316" s="29"/>
      <c r="R316" s="29"/>
      <c r="S316" s="29"/>
      <c r="T316" s="29"/>
      <c r="U316" s="29"/>
      <c r="V316" s="29"/>
      <c r="W316" s="29"/>
      <c r="X316" s="29"/>
      <c r="Y316" s="29"/>
      <c r="Z316" s="29"/>
      <c r="AA316" s="29"/>
      <c r="AB316" s="29"/>
      <c r="AC316" s="29"/>
      <c r="AD316" s="29"/>
      <c r="AE316" s="29"/>
      <c r="AF316" s="29"/>
      <c r="AG316" s="29"/>
    </row>
    <row r="317">
      <c r="A317" s="40" t="s">
        <v>54</v>
      </c>
      <c r="B317" s="40" t="s">
        <v>697</v>
      </c>
      <c r="C317" s="44" t="s">
        <v>201</v>
      </c>
      <c r="D317" s="47" t="s">
        <v>60</v>
      </c>
      <c r="E317" s="40" t="s">
        <v>373</v>
      </c>
      <c r="F317" s="40" t="s">
        <v>374</v>
      </c>
      <c r="G317" s="50" t="s">
        <v>3278</v>
      </c>
      <c r="H317" s="53">
        <v>45882.0</v>
      </c>
      <c r="I317" s="63">
        <f>IFERROR(__xludf.DUMMYFUNCTION("IF(ISBLANK(H317), TODAY()-TO_DATE(G317), TO_DATE(H317)-TO_DATE(G317))+1"),6.0)</f>
        <v>6</v>
      </c>
      <c r="J317" s="40" t="s">
        <v>197</v>
      </c>
      <c r="K317" s="40" t="s">
        <v>3313</v>
      </c>
      <c r="L317" s="88"/>
      <c r="M317" s="72"/>
      <c r="N317" s="29"/>
      <c r="O317" s="29"/>
      <c r="P317" s="29"/>
      <c r="Q317" s="29"/>
      <c r="R317" s="29"/>
      <c r="S317" s="29"/>
      <c r="T317" s="29"/>
      <c r="U317" s="29"/>
      <c r="V317" s="29"/>
      <c r="W317" s="29"/>
      <c r="X317" s="29"/>
      <c r="Y317" s="29"/>
      <c r="Z317" s="29"/>
      <c r="AA317" s="29"/>
      <c r="AB317" s="29"/>
      <c r="AC317" s="29"/>
      <c r="AD317" s="29"/>
      <c r="AE317" s="29"/>
      <c r="AF317" s="29"/>
      <c r="AG317" s="29"/>
    </row>
    <row r="318">
      <c r="A318" s="40" t="s">
        <v>54</v>
      </c>
      <c r="B318" s="40" t="s">
        <v>697</v>
      </c>
      <c r="C318" s="44" t="s">
        <v>331</v>
      </c>
      <c r="D318" s="47" t="s">
        <v>360</v>
      </c>
      <c r="E318" s="40" t="s">
        <v>3315</v>
      </c>
      <c r="F318" s="40" t="s">
        <v>3316</v>
      </c>
      <c r="G318" s="50" t="s">
        <v>3278</v>
      </c>
      <c r="H318" s="53">
        <v>45882.0</v>
      </c>
      <c r="I318" s="63">
        <f>IFERROR(__xludf.DUMMYFUNCTION("IF(ISBLANK(H318), TODAY()-TO_DATE(G318), TO_DATE(H318)-TO_DATE(G318))+1"),6.0)</f>
        <v>6</v>
      </c>
      <c r="J318" s="40" t="s">
        <v>197</v>
      </c>
      <c r="K318" s="40" t="s">
        <v>3319</v>
      </c>
      <c r="L318" s="69" t="s">
        <v>3321</v>
      </c>
      <c r="M318" s="72"/>
      <c r="N318" s="29"/>
      <c r="O318" s="29"/>
      <c r="P318" s="29"/>
      <c r="Q318" s="29"/>
      <c r="R318" s="29"/>
      <c r="S318" s="29"/>
      <c r="T318" s="29"/>
      <c r="U318" s="29"/>
      <c r="V318" s="29"/>
      <c r="W318" s="29"/>
      <c r="X318" s="29"/>
      <c r="Y318" s="29"/>
      <c r="Z318" s="29"/>
      <c r="AA318" s="29"/>
      <c r="AB318" s="29"/>
      <c r="AC318" s="29"/>
      <c r="AD318" s="29"/>
      <c r="AE318" s="29"/>
      <c r="AF318" s="29"/>
      <c r="AG318" s="29"/>
    </row>
    <row r="319">
      <c r="A319" s="40" t="s">
        <v>54</v>
      </c>
      <c r="B319" s="40" t="s">
        <v>697</v>
      </c>
      <c r="C319" s="44" t="s">
        <v>187</v>
      </c>
      <c r="D319" s="47" t="s">
        <v>60</v>
      </c>
      <c r="E319" s="40" t="s">
        <v>3324</v>
      </c>
      <c r="F319" s="40" t="s">
        <v>3325</v>
      </c>
      <c r="G319" s="50" t="s">
        <v>3278</v>
      </c>
      <c r="H319" s="53">
        <v>45923.0</v>
      </c>
      <c r="I319" s="63">
        <f>IFERROR(__xludf.DUMMYFUNCTION("IF(ISBLANK(H319), TODAY()-TO_DATE(G319), TO_DATE(H319)-TO_DATE(G319))+1"),47.0)</f>
        <v>47</v>
      </c>
      <c r="J319" s="40" t="s">
        <v>197</v>
      </c>
      <c r="K319" s="40" t="s">
        <v>3328</v>
      </c>
      <c r="L319" s="69" t="s">
        <v>3329</v>
      </c>
      <c r="M319" s="72"/>
      <c r="N319" s="29"/>
      <c r="O319" s="29"/>
      <c r="P319" s="29"/>
      <c r="Q319" s="29"/>
      <c r="R319" s="29"/>
      <c r="S319" s="29"/>
      <c r="T319" s="29"/>
      <c r="U319" s="29"/>
      <c r="V319" s="29"/>
      <c r="W319" s="29"/>
      <c r="X319" s="29"/>
      <c r="Y319" s="29"/>
      <c r="Z319" s="29"/>
      <c r="AA319" s="29"/>
      <c r="AB319" s="29"/>
      <c r="AC319" s="29"/>
      <c r="AD319" s="29"/>
      <c r="AE319" s="29"/>
      <c r="AF319" s="29"/>
      <c r="AG319" s="29"/>
    </row>
    <row r="320">
      <c r="A320" s="40" t="s">
        <v>54</v>
      </c>
      <c r="B320" s="40" t="s">
        <v>697</v>
      </c>
      <c r="C320" s="44" t="s">
        <v>213</v>
      </c>
      <c r="D320" s="47" t="s">
        <v>60</v>
      </c>
      <c r="E320" s="40" t="s">
        <v>2738</v>
      </c>
      <c r="F320" s="40" t="s">
        <v>3330</v>
      </c>
      <c r="G320" s="50" t="s">
        <v>3278</v>
      </c>
      <c r="H320" s="53">
        <v>45879.0</v>
      </c>
      <c r="I320" s="63">
        <f>IFERROR(__xludf.DUMMYFUNCTION("IF(ISBLANK(H320), TODAY()-TO_DATE(G320), TO_DATE(H320)-TO_DATE(G320))+1"),3.0)</f>
        <v>3</v>
      </c>
      <c r="J320" s="40">
        <v>300.0</v>
      </c>
      <c r="K320" s="40" t="s">
        <v>2743</v>
      </c>
      <c r="L320" s="88"/>
      <c r="M320" s="72"/>
      <c r="N320" s="29"/>
      <c r="O320" s="29"/>
      <c r="P320" s="29"/>
      <c r="Q320" s="29"/>
      <c r="R320" s="29"/>
      <c r="S320" s="29"/>
      <c r="T320" s="29"/>
      <c r="U320" s="29"/>
      <c r="V320" s="29"/>
      <c r="W320" s="29"/>
      <c r="X320" s="29"/>
      <c r="Y320" s="29"/>
      <c r="Z320" s="29"/>
      <c r="AA320" s="29"/>
      <c r="AB320" s="29"/>
      <c r="AC320" s="29"/>
      <c r="AD320" s="29"/>
      <c r="AE320" s="29"/>
      <c r="AF320" s="29"/>
      <c r="AG320" s="29"/>
    </row>
    <row r="321">
      <c r="A321" s="40" t="s">
        <v>660</v>
      </c>
      <c r="B321" s="40" t="s">
        <v>697</v>
      </c>
      <c r="C321" s="44" t="s">
        <v>287</v>
      </c>
      <c r="D321" s="47" t="s">
        <v>60</v>
      </c>
      <c r="E321" s="40" t="s">
        <v>1405</v>
      </c>
      <c r="F321" s="40" t="s">
        <v>1406</v>
      </c>
      <c r="G321" s="50" t="s">
        <v>3278</v>
      </c>
      <c r="H321" s="53">
        <v>45884.0</v>
      </c>
      <c r="I321" s="63">
        <f>IFERROR(__xludf.DUMMYFUNCTION("IF(ISBLANK(H321), TODAY()-TO_DATE(G321), TO_DATE(H321)-TO_DATE(G321))+1"),8.0)</f>
        <v>8</v>
      </c>
      <c r="J321" s="40" t="s">
        <v>197</v>
      </c>
      <c r="K321" s="40" t="s">
        <v>1410</v>
      </c>
      <c r="L321" s="88"/>
      <c r="M321" s="325" t="s">
        <v>2356</v>
      </c>
      <c r="N321" s="29"/>
      <c r="O321" s="29"/>
      <c r="P321" s="29"/>
      <c r="Q321" s="29"/>
      <c r="R321" s="29"/>
      <c r="S321" s="29"/>
      <c r="T321" s="29"/>
      <c r="U321" s="29"/>
      <c r="V321" s="29"/>
      <c r="W321" s="29"/>
      <c r="X321" s="29"/>
      <c r="Y321" s="29"/>
      <c r="Z321" s="29"/>
      <c r="AA321" s="29"/>
      <c r="AB321" s="29"/>
      <c r="AC321" s="29"/>
      <c r="AD321" s="29"/>
      <c r="AE321" s="29"/>
      <c r="AF321" s="29"/>
      <c r="AG321" s="29"/>
    </row>
    <row r="322">
      <c r="A322" s="40" t="s">
        <v>1510</v>
      </c>
      <c r="B322" s="40" t="s">
        <v>697</v>
      </c>
      <c r="C322" s="44" t="s">
        <v>1522</v>
      </c>
      <c r="D322" s="47" t="s">
        <v>60</v>
      </c>
      <c r="E322" s="40" t="s">
        <v>3339</v>
      </c>
      <c r="F322" s="40" t="s">
        <v>2781</v>
      </c>
      <c r="G322" s="50" t="s">
        <v>3340</v>
      </c>
      <c r="H322" s="53">
        <v>45884.0</v>
      </c>
      <c r="I322" s="63">
        <f>IFERROR(__xludf.DUMMYFUNCTION("IF(ISBLANK(H322), TODAY()-TO_DATE(G322), TO_DATE(H322)-TO_DATE(G322))+1"),4.0)</f>
        <v>4</v>
      </c>
      <c r="J322" s="40">
        <v>200.0</v>
      </c>
      <c r="K322" s="40" t="s">
        <v>3343</v>
      </c>
      <c r="L322" s="147"/>
      <c r="M322" s="72"/>
      <c r="N322" s="29"/>
      <c r="O322" s="29"/>
      <c r="P322" s="29"/>
      <c r="Q322" s="29"/>
      <c r="R322" s="29"/>
      <c r="S322" s="29"/>
      <c r="T322" s="29"/>
      <c r="U322" s="29"/>
      <c r="V322" s="29"/>
      <c r="W322" s="29"/>
      <c r="X322" s="29"/>
      <c r="Y322" s="29"/>
      <c r="Z322" s="29"/>
      <c r="AA322" s="29"/>
      <c r="AB322" s="29"/>
      <c r="AC322" s="29"/>
      <c r="AD322" s="29"/>
      <c r="AE322" s="29"/>
      <c r="AF322" s="29"/>
      <c r="AG322" s="29"/>
    </row>
    <row r="323">
      <c r="A323" s="40" t="s">
        <v>1510</v>
      </c>
      <c r="B323" s="40" t="s">
        <v>697</v>
      </c>
      <c r="C323" s="44" t="s">
        <v>212</v>
      </c>
      <c r="D323" s="47" t="s">
        <v>326</v>
      </c>
      <c r="E323" s="40" t="s">
        <v>3345</v>
      </c>
      <c r="F323" s="40" t="s">
        <v>3346</v>
      </c>
      <c r="G323" s="50" t="s">
        <v>3340</v>
      </c>
      <c r="H323" s="53">
        <v>45884.0</v>
      </c>
      <c r="I323" s="63">
        <f>IFERROR(__xludf.DUMMYFUNCTION("IF(ISBLANK(H323), TODAY()-TO_DATE(G323), TO_DATE(H323)-TO_DATE(G323))+1"),4.0)</f>
        <v>4</v>
      </c>
      <c r="J323" s="40">
        <v>500.0</v>
      </c>
      <c r="K323" s="40" t="s">
        <v>3349</v>
      </c>
      <c r="L323" s="144" t="s">
        <v>3351</v>
      </c>
      <c r="M323" s="72"/>
      <c r="N323" s="29"/>
      <c r="O323" s="29"/>
      <c r="P323" s="29"/>
      <c r="Q323" s="29"/>
      <c r="R323" s="29"/>
      <c r="S323" s="29"/>
      <c r="T323" s="29"/>
      <c r="U323" s="29"/>
      <c r="V323" s="29"/>
      <c r="W323" s="29"/>
      <c r="X323" s="29"/>
      <c r="Y323" s="29"/>
      <c r="Z323" s="29"/>
      <c r="AA323" s="29"/>
      <c r="AB323" s="29"/>
      <c r="AC323" s="29"/>
      <c r="AD323" s="29"/>
      <c r="AE323" s="29"/>
      <c r="AF323" s="29"/>
      <c r="AG323" s="29"/>
    </row>
    <row r="324">
      <c r="A324" s="40" t="s">
        <v>1510</v>
      </c>
      <c r="B324" s="40" t="s">
        <v>697</v>
      </c>
      <c r="C324" s="44" t="s">
        <v>295</v>
      </c>
      <c r="D324" s="47" t="s">
        <v>60</v>
      </c>
      <c r="E324" s="40" t="s">
        <v>3353</v>
      </c>
      <c r="F324" s="40" t="s">
        <v>2145</v>
      </c>
      <c r="G324" s="50" t="s">
        <v>3340</v>
      </c>
      <c r="H324" s="53">
        <v>45884.0</v>
      </c>
      <c r="I324" s="63">
        <f>IFERROR(__xludf.DUMMYFUNCTION("IF(ISBLANK(H324), TODAY()-TO_DATE(G324), TO_DATE(H324)-TO_DATE(G324))+1"),4.0)</f>
        <v>4</v>
      </c>
      <c r="J324" s="40">
        <v>200.0</v>
      </c>
      <c r="K324" s="40" t="s">
        <v>3355</v>
      </c>
      <c r="L324" s="147"/>
      <c r="M324" s="72"/>
      <c r="N324" s="29"/>
      <c r="O324" s="29"/>
      <c r="P324" s="29"/>
      <c r="Q324" s="29"/>
      <c r="R324" s="29"/>
      <c r="S324" s="29"/>
      <c r="T324" s="29"/>
      <c r="U324" s="29"/>
      <c r="V324" s="29"/>
      <c r="W324" s="29"/>
      <c r="X324" s="29"/>
      <c r="Y324" s="29"/>
      <c r="Z324" s="29"/>
      <c r="AA324" s="29"/>
      <c r="AB324" s="29"/>
      <c r="AC324" s="29"/>
      <c r="AD324" s="29"/>
      <c r="AE324" s="29"/>
      <c r="AF324" s="29"/>
      <c r="AG324" s="29"/>
    </row>
    <row r="325">
      <c r="A325" s="40" t="s">
        <v>54</v>
      </c>
      <c r="B325" s="40" t="s">
        <v>697</v>
      </c>
      <c r="C325" s="44" t="s">
        <v>212</v>
      </c>
      <c r="D325" s="47" t="s">
        <v>60</v>
      </c>
      <c r="E325" s="40" t="s">
        <v>3358</v>
      </c>
      <c r="F325" s="40" t="s">
        <v>3359</v>
      </c>
      <c r="G325" s="50" t="s">
        <v>3360</v>
      </c>
      <c r="H325" s="53">
        <v>45890.0</v>
      </c>
      <c r="I325" s="63">
        <f>IFERROR(__xludf.DUMMYFUNCTION("IF(ISBLANK(H325), TODAY()-TO_DATE(G325), TO_DATE(H325)-TO_DATE(G325))+1"),9.0)</f>
        <v>9</v>
      </c>
      <c r="J325" s="40">
        <v>500.0</v>
      </c>
      <c r="K325" s="40" t="s">
        <v>3363</v>
      </c>
      <c r="L325" s="88"/>
      <c r="M325" s="72"/>
      <c r="N325" s="29"/>
      <c r="O325" s="29"/>
      <c r="P325" s="29"/>
      <c r="Q325" s="29"/>
      <c r="R325" s="29"/>
      <c r="S325" s="29"/>
      <c r="T325" s="29"/>
      <c r="U325" s="29"/>
      <c r="V325" s="29"/>
      <c r="W325" s="29"/>
      <c r="X325" s="29"/>
      <c r="Y325" s="29"/>
      <c r="Z325" s="29"/>
      <c r="AA325" s="29"/>
      <c r="AB325" s="29"/>
      <c r="AC325" s="29"/>
      <c r="AD325" s="29"/>
      <c r="AE325" s="29"/>
      <c r="AF325" s="29"/>
      <c r="AG325" s="29"/>
    </row>
    <row r="326">
      <c r="A326" s="40" t="s">
        <v>54</v>
      </c>
      <c r="B326" s="40" t="s">
        <v>697</v>
      </c>
      <c r="C326" s="44" t="s">
        <v>139</v>
      </c>
      <c r="D326" s="47" t="s">
        <v>60</v>
      </c>
      <c r="E326" s="40" t="s">
        <v>3366</v>
      </c>
      <c r="F326" s="40" t="s">
        <v>3367</v>
      </c>
      <c r="G326" s="50" t="s">
        <v>3360</v>
      </c>
      <c r="H326" s="53">
        <v>45893.0</v>
      </c>
      <c r="I326" s="63">
        <f>IFERROR(__xludf.DUMMYFUNCTION("IF(ISBLANK(H326), TODAY()-TO_DATE(G326), TO_DATE(H326)-TO_DATE(G326))+1"),12.0)</f>
        <v>12</v>
      </c>
      <c r="J326" s="40">
        <v>500.0</v>
      </c>
      <c r="K326" s="40" t="s">
        <v>3368</v>
      </c>
      <c r="L326" s="88"/>
      <c r="M326" s="72"/>
      <c r="N326" s="29"/>
      <c r="O326" s="29"/>
      <c r="P326" s="29"/>
      <c r="Q326" s="29"/>
      <c r="R326" s="29"/>
      <c r="S326" s="29"/>
      <c r="T326" s="29"/>
      <c r="U326" s="29"/>
      <c r="V326" s="29"/>
      <c r="W326" s="29"/>
      <c r="X326" s="29"/>
      <c r="Y326" s="29"/>
      <c r="Z326" s="29"/>
      <c r="AA326" s="29"/>
      <c r="AB326" s="29"/>
      <c r="AC326" s="29"/>
      <c r="AD326" s="29"/>
      <c r="AE326" s="29"/>
      <c r="AF326" s="29"/>
      <c r="AG326" s="29"/>
    </row>
    <row r="327">
      <c r="A327" s="40" t="s">
        <v>54</v>
      </c>
      <c r="B327" s="40" t="s">
        <v>697</v>
      </c>
      <c r="C327" s="44" t="s">
        <v>321</v>
      </c>
      <c r="D327" s="47" t="s">
        <v>60</v>
      </c>
      <c r="E327" s="40" t="s">
        <v>3373</v>
      </c>
      <c r="F327" s="40" t="s">
        <v>3375</v>
      </c>
      <c r="G327" s="50" t="s">
        <v>3360</v>
      </c>
      <c r="H327" s="53">
        <v>45889.0</v>
      </c>
      <c r="I327" s="63">
        <f>IFERROR(__xludf.DUMMYFUNCTION("IF(ISBLANK(H327), TODAY()-TO_DATE(G327), TO_DATE(H327)-TO_DATE(G327))+1"),8.0)</f>
        <v>8</v>
      </c>
      <c r="J327" s="40">
        <v>500.0</v>
      </c>
      <c r="K327" s="40" t="s">
        <v>3376</v>
      </c>
      <c r="L327" s="69" t="s">
        <v>3377</v>
      </c>
      <c r="M327" s="72"/>
      <c r="N327" s="29"/>
      <c r="O327" s="29"/>
      <c r="P327" s="29"/>
      <c r="Q327" s="29"/>
      <c r="R327" s="29"/>
      <c r="S327" s="29"/>
      <c r="T327" s="29"/>
      <c r="U327" s="29"/>
      <c r="V327" s="29"/>
      <c r="W327" s="29"/>
      <c r="X327" s="29"/>
      <c r="Y327" s="29"/>
      <c r="Z327" s="29"/>
      <c r="AA327" s="29"/>
      <c r="AB327" s="29"/>
      <c r="AC327" s="29"/>
      <c r="AD327" s="29"/>
      <c r="AE327" s="29"/>
      <c r="AF327" s="29"/>
      <c r="AG327" s="29"/>
    </row>
    <row r="328">
      <c r="A328" s="40" t="s">
        <v>54</v>
      </c>
      <c r="B328" s="40" t="s">
        <v>697</v>
      </c>
      <c r="C328" s="44" t="s">
        <v>139</v>
      </c>
      <c r="D328" s="47" t="s">
        <v>60</v>
      </c>
      <c r="E328" s="40" t="s">
        <v>3380</v>
      </c>
      <c r="F328" s="40" t="s">
        <v>1946</v>
      </c>
      <c r="G328" s="50" t="s">
        <v>3360</v>
      </c>
      <c r="H328" s="53">
        <v>45891.0</v>
      </c>
      <c r="I328" s="63">
        <f>IFERROR(__xludf.DUMMYFUNCTION("IF(ISBLANK(H328), TODAY()-TO_DATE(G328), TO_DATE(H328)-TO_DATE(G328))+1"),10.0)</f>
        <v>10</v>
      </c>
      <c r="J328" s="40">
        <v>500.0</v>
      </c>
      <c r="K328" s="40" t="s">
        <v>3381</v>
      </c>
      <c r="L328" s="88"/>
      <c r="M328" s="72"/>
      <c r="N328" s="29"/>
      <c r="O328" s="29"/>
      <c r="P328" s="29"/>
      <c r="Q328" s="29"/>
      <c r="R328" s="29"/>
      <c r="S328" s="29"/>
      <c r="T328" s="29"/>
      <c r="U328" s="29"/>
      <c r="V328" s="29"/>
      <c r="W328" s="29"/>
      <c r="X328" s="29"/>
      <c r="Y328" s="29"/>
      <c r="Z328" s="29"/>
      <c r="AA328" s="29"/>
      <c r="AB328" s="29"/>
      <c r="AC328" s="29"/>
      <c r="AD328" s="29"/>
      <c r="AE328" s="29"/>
      <c r="AF328" s="29"/>
      <c r="AG328" s="29"/>
    </row>
    <row r="329">
      <c r="A329" s="40" t="s">
        <v>54</v>
      </c>
      <c r="B329" s="40" t="s">
        <v>697</v>
      </c>
      <c r="C329" s="44" t="s">
        <v>302</v>
      </c>
      <c r="D329" s="47" t="s">
        <v>60</v>
      </c>
      <c r="E329" s="40" t="s">
        <v>3385</v>
      </c>
      <c r="F329" s="40" t="s">
        <v>3024</v>
      </c>
      <c r="G329" s="50" t="s">
        <v>3360</v>
      </c>
      <c r="H329" s="53">
        <v>45894.0</v>
      </c>
      <c r="I329" s="63">
        <f>IFERROR(__xludf.DUMMYFUNCTION("IF(ISBLANK(H329), TODAY()-TO_DATE(G329), TO_DATE(H329)-TO_DATE(G329))+1"),13.0)</f>
        <v>13</v>
      </c>
      <c r="J329" s="40">
        <v>300.0</v>
      </c>
      <c r="K329" s="40" t="s">
        <v>3386</v>
      </c>
      <c r="L329" s="69" t="s">
        <v>3388</v>
      </c>
      <c r="M329" s="72"/>
      <c r="N329" s="29"/>
      <c r="O329" s="29"/>
      <c r="P329" s="29"/>
      <c r="Q329" s="29"/>
      <c r="R329" s="29"/>
      <c r="S329" s="29"/>
      <c r="T329" s="29"/>
      <c r="U329" s="29"/>
      <c r="V329" s="29"/>
      <c r="W329" s="29"/>
      <c r="X329" s="29"/>
      <c r="Y329" s="29"/>
      <c r="Z329" s="29"/>
      <c r="AA329" s="29"/>
      <c r="AB329" s="29"/>
      <c r="AC329" s="29"/>
      <c r="AD329" s="29"/>
      <c r="AE329" s="29"/>
      <c r="AF329" s="29"/>
      <c r="AG329" s="29"/>
    </row>
    <row r="330">
      <c r="A330" s="40" t="s">
        <v>54</v>
      </c>
      <c r="B330" s="40" t="s">
        <v>697</v>
      </c>
      <c r="C330" s="44" t="s">
        <v>302</v>
      </c>
      <c r="D330" s="47" t="s">
        <v>326</v>
      </c>
      <c r="E330" s="40" t="s">
        <v>3393</v>
      </c>
      <c r="F330" s="40" t="s">
        <v>3394</v>
      </c>
      <c r="G330" s="50" t="s">
        <v>3360</v>
      </c>
      <c r="H330" s="53">
        <v>45934.0</v>
      </c>
      <c r="I330" s="63">
        <f>IFERROR(__xludf.DUMMYFUNCTION("IF(ISBLANK(H330), TODAY()-TO_DATE(G330), TO_DATE(H330)-TO_DATE(G330))+1"),53.0)</f>
        <v>53</v>
      </c>
      <c r="J330" s="40" t="s">
        <v>197</v>
      </c>
      <c r="K330" s="40" t="s">
        <v>3395</v>
      </c>
      <c r="L330" s="69" t="s">
        <v>3396</v>
      </c>
      <c r="M330" s="72"/>
      <c r="N330" s="29"/>
      <c r="O330" s="29"/>
      <c r="P330" s="29"/>
      <c r="Q330" s="29"/>
      <c r="R330" s="29"/>
      <c r="S330" s="29"/>
      <c r="T330" s="29"/>
      <c r="U330" s="29"/>
      <c r="V330" s="29"/>
      <c r="W330" s="29"/>
      <c r="X330" s="29"/>
      <c r="Y330" s="29"/>
      <c r="Z330" s="29"/>
      <c r="AA330" s="29"/>
      <c r="AB330" s="29"/>
      <c r="AC330" s="29"/>
      <c r="AD330" s="29"/>
      <c r="AE330" s="29"/>
      <c r="AF330" s="29"/>
      <c r="AG330" s="29"/>
    </row>
    <row r="331">
      <c r="A331" s="40" t="s">
        <v>54</v>
      </c>
      <c r="B331" s="40" t="s">
        <v>697</v>
      </c>
      <c r="C331" s="44" t="s">
        <v>187</v>
      </c>
      <c r="D331" s="47" t="s">
        <v>60</v>
      </c>
      <c r="E331" s="40" t="s">
        <v>2428</v>
      </c>
      <c r="F331" s="40" t="s">
        <v>2429</v>
      </c>
      <c r="G331" s="50" t="s">
        <v>3360</v>
      </c>
      <c r="H331" s="53">
        <v>45895.0</v>
      </c>
      <c r="I331" s="63">
        <f>IFERROR(__xludf.DUMMYFUNCTION("IF(ISBLANK(H331), TODAY()-TO_DATE(G331), TO_DATE(H331)-TO_DATE(G331))+1"),14.0)</f>
        <v>14</v>
      </c>
      <c r="J331" s="40">
        <v>300.0</v>
      </c>
      <c r="K331" s="40" t="s">
        <v>3398</v>
      </c>
      <c r="L331" s="88"/>
      <c r="M331" s="72"/>
      <c r="N331" s="29"/>
      <c r="O331" s="29"/>
      <c r="P331" s="29"/>
      <c r="Q331" s="29"/>
      <c r="R331" s="29"/>
      <c r="S331" s="29"/>
      <c r="T331" s="29"/>
      <c r="U331" s="29"/>
      <c r="V331" s="29"/>
      <c r="W331" s="29"/>
      <c r="X331" s="29"/>
      <c r="Y331" s="29"/>
      <c r="Z331" s="29"/>
      <c r="AA331" s="29"/>
      <c r="AB331" s="29"/>
      <c r="AC331" s="29"/>
      <c r="AD331" s="29"/>
      <c r="AE331" s="29"/>
      <c r="AF331" s="29"/>
      <c r="AG331" s="29"/>
    </row>
    <row r="332">
      <c r="A332" s="40" t="s">
        <v>54</v>
      </c>
      <c r="B332" s="40" t="s">
        <v>697</v>
      </c>
      <c r="C332" s="44" t="s">
        <v>213</v>
      </c>
      <c r="D332" s="47" t="s">
        <v>60</v>
      </c>
      <c r="E332" s="40" t="s">
        <v>3038</v>
      </c>
      <c r="F332" s="40" t="s">
        <v>2478</v>
      </c>
      <c r="G332" s="50" t="s">
        <v>3360</v>
      </c>
      <c r="H332" s="53">
        <v>45926.0</v>
      </c>
      <c r="I332" s="63">
        <f>IFERROR(__xludf.DUMMYFUNCTION("IF(ISBLANK(H332), TODAY()-TO_DATE(G332), TO_DATE(H332)-TO_DATE(G332))+1"),45.0)</f>
        <v>45</v>
      </c>
      <c r="J332" s="40" t="s">
        <v>197</v>
      </c>
      <c r="K332" s="40" t="s">
        <v>3401</v>
      </c>
      <c r="L332" s="69" t="s">
        <v>3402</v>
      </c>
      <c r="M332" s="72"/>
      <c r="N332" s="29"/>
      <c r="O332" s="29"/>
      <c r="P332" s="29"/>
      <c r="Q332" s="29"/>
      <c r="R332" s="29"/>
      <c r="S332" s="29"/>
      <c r="T332" s="29"/>
      <c r="U332" s="29"/>
      <c r="V332" s="29"/>
      <c r="W332" s="29"/>
      <c r="X332" s="29"/>
      <c r="Y332" s="29"/>
      <c r="Z332" s="29"/>
      <c r="AA332" s="29"/>
      <c r="AB332" s="29"/>
      <c r="AC332" s="29"/>
      <c r="AD332" s="29"/>
      <c r="AE332" s="29"/>
      <c r="AF332" s="29"/>
      <c r="AG332" s="29"/>
    </row>
    <row r="333">
      <c r="A333" s="40" t="s">
        <v>54</v>
      </c>
      <c r="B333" s="40" t="s">
        <v>697</v>
      </c>
      <c r="C333" s="44" t="s">
        <v>321</v>
      </c>
      <c r="D333" s="47" t="s">
        <v>60</v>
      </c>
      <c r="E333" s="40" t="s">
        <v>2800</v>
      </c>
      <c r="F333" s="40" t="s">
        <v>2802</v>
      </c>
      <c r="G333" s="50" t="s">
        <v>3360</v>
      </c>
      <c r="H333" s="53">
        <v>45892.0</v>
      </c>
      <c r="I333" s="63">
        <f>IFERROR(__xludf.DUMMYFUNCTION("IF(ISBLANK(H333), TODAY()-TO_DATE(G333), TO_DATE(H333)-TO_DATE(G333))+1"),11.0)</f>
        <v>11</v>
      </c>
      <c r="J333" s="40">
        <v>500.0</v>
      </c>
      <c r="K333" s="40" t="s">
        <v>2805</v>
      </c>
      <c r="L333" s="69" t="s">
        <v>3404</v>
      </c>
      <c r="M333" s="72"/>
      <c r="N333" s="29"/>
      <c r="O333" s="29"/>
      <c r="P333" s="29"/>
      <c r="Q333" s="29"/>
      <c r="R333" s="29"/>
      <c r="S333" s="29"/>
      <c r="T333" s="29"/>
      <c r="U333" s="29"/>
      <c r="V333" s="29"/>
      <c r="W333" s="29"/>
      <c r="X333" s="29"/>
      <c r="Y333" s="29"/>
      <c r="Z333" s="29"/>
      <c r="AA333" s="29"/>
      <c r="AB333" s="29"/>
      <c r="AC333" s="29"/>
      <c r="AD333" s="29"/>
      <c r="AE333" s="29"/>
      <c r="AF333" s="29"/>
      <c r="AG333" s="29"/>
    </row>
    <row r="334">
      <c r="A334" s="40" t="s">
        <v>54</v>
      </c>
      <c r="B334" s="40" t="s">
        <v>697</v>
      </c>
      <c r="C334" s="44" t="s">
        <v>139</v>
      </c>
      <c r="D334" s="47" t="s">
        <v>60</v>
      </c>
      <c r="E334" s="40" t="s">
        <v>3405</v>
      </c>
      <c r="F334" s="40" t="s">
        <v>3406</v>
      </c>
      <c r="G334" s="50" t="s">
        <v>3360</v>
      </c>
      <c r="H334" s="53">
        <v>45887.0</v>
      </c>
      <c r="I334" s="63">
        <f>IFERROR(__xludf.DUMMYFUNCTION("IF(ISBLANK(H334), TODAY()-TO_DATE(G334), TO_DATE(H334)-TO_DATE(G334))+1"),6.0)</f>
        <v>6</v>
      </c>
      <c r="J334" s="40">
        <v>200.0</v>
      </c>
      <c r="K334" s="40" t="s">
        <v>3408</v>
      </c>
      <c r="L334" s="88"/>
      <c r="M334" s="72"/>
      <c r="N334" s="29"/>
      <c r="O334" s="29"/>
      <c r="P334" s="29"/>
      <c r="Q334" s="29"/>
      <c r="R334" s="29"/>
      <c r="S334" s="29"/>
      <c r="T334" s="29"/>
      <c r="U334" s="29"/>
      <c r="V334" s="29"/>
      <c r="W334" s="29"/>
      <c r="X334" s="29"/>
      <c r="Y334" s="29"/>
      <c r="Z334" s="29"/>
      <c r="AA334" s="29"/>
      <c r="AB334" s="29"/>
      <c r="AC334" s="29"/>
      <c r="AD334" s="29"/>
      <c r="AE334" s="29"/>
      <c r="AF334" s="29"/>
      <c r="AG334" s="29"/>
    </row>
    <row r="335">
      <c r="A335" s="27" t="s">
        <v>1540</v>
      </c>
      <c r="B335" s="27" t="s">
        <v>697</v>
      </c>
      <c r="C335" s="440" t="s">
        <v>213</v>
      </c>
      <c r="D335" s="47" t="s">
        <v>60</v>
      </c>
      <c r="E335" s="441" t="s">
        <v>3412</v>
      </c>
      <c r="F335" s="441" t="s">
        <v>3414</v>
      </c>
      <c r="G335" s="253">
        <v>45883.0</v>
      </c>
      <c r="H335" s="253">
        <v>45953.0</v>
      </c>
      <c r="I335" s="189">
        <f>IFERROR(__xludf.DUMMYFUNCTION("IF(ISBLANK(H335), TODAY()-TO_DATE(G335), TO_DATE(H335)-TO_DATE(G335))+1"),71.0)</f>
        <v>71</v>
      </c>
      <c r="J335" s="27" t="s">
        <v>197</v>
      </c>
      <c r="K335" s="27"/>
      <c r="L335" s="47"/>
      <c r="M335" s="47" t="s">
        <v>3415</v>
      </c>
      <c r="N335" s="29"/>
      <c r="O335" s="29"/>
      <c r="P335" s="29"/>
      <c r="Q335" s="29"/>
      <c r="R335" s="29"/>
      <c r="S335" s="29"/>
      <c r="T335" s="29"/>
      <c r="U335" s="29"/>
      <c r="V335" s="29"/>
      <c r="W335" s="29"/>
      <c r="X335" s="29"/>
      <c r="Y335" s="29"/>
      <c r="Z335" s="29"/>
      <c r="AA335" s="29"/>
      <c r="AB335" s="29"/>
      <c r="AC335" s="29"/>
      <c r="AD335" s="29"/>
      <c r="AE335" s="29"/>
      <c r="AF335" s="29"/>
      <c r="AG335" s="29"/>
    </row>
    <row r="336">
      <c r="A336" s="40" t="s">
        <v>1540</v>
      </c>
      <c r="B336" s="40" t="s">
        <v>697</v>
      </c>
      <c r="C336" s="44" t="s">
        <v>213</v>
      </c>
      <c r="D336" s="47" t="s">
        <v>60</v>
      </c>
      <c r="E336" s="40" t="s">
        <v>3418</v>
      </c>
      <c r="F336" s="40" t="s">
        <v>1607</v>
      </c>
      <c r="G336" s="50" t="s">
        <v>3419</v>
      </c>
      <c r="H336" s="53">
        <v>45886.0</v>
      </c>
      <c r="I336" s="63">
        <f>IFERROR(__xludf.DUMMYFUNCTION("IF(ISBLANK(H336), TODAY()-TO_DATE(G336), TO_DATE(H336)-TO_DATE(G336))+1"),3.0)</f>
        <v>3</v>
      </c>
      <c r="J336" s="40">
        <v>500.0</v>
      </c>
      <c r="K336" s="40" t="s">
        <v>3420</v>
      </c>
      <c r="L336" s="69" t="s">
        <v>3421</v>
      </c>
      <c r="M336" s="72"/>
      <c r="N336" s="29"/>
      <c r="O336" s="29"/>
      <c r="P336" s="29"/>
      <c r="Q336" s="29"/>
      <c r="R336" s="29"/>
      <c r="S336" s="29"/>
      <c r="T336" s="29"/>
      <c r="U336" s="29"/>
      <c r="V336" s="29"/>
      <c r="W336" s="29"/>
      <c r="X336" s="29"/>
      <c r="Y336" s="29"/>
      <c r="Z336" s="29"/>
      <c r="AA336" s="29"/>
      <c r="AB336" s="29"/>
      <c r="AC336" s="29"/>
      <c r="AD336" s="29"/>
      <c r="AE336" s="29"/>
      <c r="AF336" s="29"/>
      <c r="AG336" s="29"/>
    </row>
    <row r="337">
      <c r="A337" s="40" t="s">
        <v>1540</v>
      </c>
      <c r="B337" s="40" t="s">
        <v>697</v>
      </c>
      <c r="C337" s="44" t="s">
        <v>201</v>
      </c>
      <c r="D337" s="47" t="s">
        <v>60</v>
      </c>
      <c r="E337" s="40" t="s">
        <v>3422</v>
      </c>
      <c r="F337" s="40" t="s">
        <v>1447</v>
      </c>
      <c r="G337" s="50" t="s">
        <v>3419</v>
      </c>
      <c r="H337" s="53">
        <v>45900.0</v>
      </c>
      <c r="I337" s="63">
        <f>IFERROR(__xludf.DUMMYFUNCTION("IF(ISBLANK(H337), TODAY()-TO_DATE(G337), TO_DATE(H337)-TO_DATE(G337))+1"),17.0)</f>
        <v>17</v>
      </c>
      <c r="J337" s="40">
        <v>300.0</v>
      </c>
      <c r="K337" s="40" t="s">
        <v>3425</v>
      </c>
      <c r="L337" s="88"/>
      <c r="M337" s="72"/>
      <c r="N337" s="29"/>
      <c r="O337" s="29"/>
      <c r="P337" s="29"/>
      <c r="Q337" s="29"/>
      <c r="R337" s="29"/>
      <c r="S337" s="29"/>
      <c r="T337" s="29"/>
      <c r="U337" s="29"/>
      <c r="V337" s="29"/>
      <c r="W337" s="29"/>
      <c r="X337" s="29"/>
      <c r="Y337" s="29"/>
      <c r="Z337" s="29"/>
      <c r="AA337" s="29"/>
      <c r="AB337" s="29"/>
      <c r="AC337" s="29"/>
      <c r="AD337" s="29"/>
      <c r="AE337" s="29"/>
      <c r="AF337" s="29"/>
      <c r="AG337" s="29"/>
    </row>
    <row r="338">
      <c r="A338" s="40" t="s">
        <v>1540</v>
      </c>
      <c r="B338" s="40" t="s">
        <v>697</v>
      </c>
      <c r="C338" s="44" t="s">
        <v>321</v>
      </c>
      <c r="D338" s="47" t="s">
        <v>60</v>
      </c>
      <c r="E338" s="40" t="s">
        <v>3429</v>
      </c>
      <c r="F338" s="40" t="s">
        <v>3430</v>
      </c>
      <c r="G338" s="50" t="s">
        <v>3419</v>
      </c>
      <c r="H338" s="53">
        <v>45886.0</v>
      </c>
      <c r="I338" s="63">
        <f>IFERROR(__xludf.DUMMYFUNCTION("IF(ISBLANK(H338), TODAY()-TO_DATE(G338), TO_DATE(H338)-TO_DATE(G338))+1"),3.0)</f>
        <v>3</v>
      </c>
      <c r="J338" s="40">
        <v>500.0</v>
      </c>
      <c r="K338" s="40" t="s">
        <v>3433</v>
      </c>
      <c r="L338" s="69" t="s">
        <v>3435</v>
      </c>
      <c r="M338" s="72"/>
      <c r="N338" s="29"/>
      <c r="O338" s="29"/>
      <c r="P338" s="29"/>
      <c r="Q338" s="29"/>
      <c r="R338" s="29"/>
      <c r="S338" s="29"/>
      <c r="T338" s="29"/>
      <c r="U338" s="29"/>
      <c r="V338" s="29"/>
      <c r="W338" s="29"/>
      <c r="X338" s="29"/>
      <c r="Y338" s="29"/>
      <c r="Z338" s="29"/>
      <c r="AA338" s="29"/>
      <c r="AB338" s="29"/>
      <c r="AC338" s="29"/>
      <c r="AD338" s="29"/>
      <c r="AE338" s="29"/>
      <c r="AF338" s="29"/>
      <c r="AG338" s="29"/>
    </row>
    <row r="339">
      <c r="A339" s="40" t="s">
        <v>1540</v>
      </c>
      <c r="B339" s="40" t="s">
        <v>697</v>
      </c>
      <c r="C339" s="44" t="s">
        <v>213</v>
      </c>
      <c r="D339" s="47" t="s">
        <v>60</v>
      </c>
      <c r="E339" s="40" t="s">
        <v>3438</v>
      </c>
      <c r="F339" s="40" t="s">
        <v>3439</v>
      </c>
      <c r="G339" s="50" t="s">
        <v>3419</v>
      </c>
      <c r="H339" s="53">
        <v>45896.0</v>
      </c>
      <c r="I339" s="63">
        <f>IFERROR(__xludf.DUMMYFUNCTION("IF(ISBLANK(H339), TODAY()-TO_DATE(G339), TO_DATE(H339)-TO_DATE(G339))+1"),13.0)</f>
        <v>13</v>
      </c>
      <c r="J339" s="40">
        <v>300.0</v>
      </c>
      <c r="K339" s="40" t="s">
        <v>3441</v>
      </c>
      <c r="L339" s="147"/>
      <c r="M339" s="72"/>
      <c r="N339" s="29"/>
      <c r="O339" s="29"/>
      <c r="P339" s="29"/>
      <c r="Q339" s="29"/>
      <c r="R339" s="29"/>
      <c r="S339" s="29"/>
      <c r="T339" s="29"/>
      <c r="U339" s="29"/>
      <c r="V339" s="29"/>
      <c r="W339" s="29"/>
      <c r="X339" s="29"/>
      <c r="Y339" s="29"/>
      <c r="Z339" s="29"/>
      <c r="AA339" s="29"/>
      <c r="AB339" s="29"/>
      <c r="AC339" s="29"/>
      <c r="AD339" s="29"/>
      <c r="AE339" s="29"/>
      <c r="AF339" s="29"/>
      <c r="AG339" s="29"/>
    </row>
    <row r="340">
      <c r="A340" s="40" t="s">
        <v>1540</v>
      </c>
      <c r="B340" s="40" t="s">
        <v>697</v>
      </c>
      <c r="C340" s="44" t="s">
        <v>178</v>
      </c>
      <c r="D340" s="47" t="s">
        <v>102</v>
      </c>
      <c r="E340" s="40" t="s">
        <v>3446</v>
      </c>
      <c r="F340" s="40" t="s">
        <v>3447</v>
      </c>
      <c r="G340" s="50" t="s">
        <v>3419</v>
      </c>
      <c r="H340" s="53">
        <v>45897.0</v>
      </c>
      <c r="I340" s="63">
        <f>IFERROR(__xludf.DUMMYFUNCTION("IF(ISBLANK(H340), TODAY()-TO_DATE(G340), TO_DATE(H340)-TO_DATE(G340))+1"),14.0)</f>
        <v>14</v>
      </c>
      <c r="J340" s="40">
        <v>300.0</v>
      </c>
      <c r="K340" s="40" t="s">
        <v>3449</v>
      </c>
      <c r="L340" s="69" t="s">
        <v>3450</v>
      </c>
      <c r="M340" s="72"/>
      <c r="N340" s="29"/>
      <c r="O340" s="29"/>
      <c r="P340" s="29"/>
      <c r="Q340" s="29"/>
      <c r="R340" s="29"/>
      <c r="S340" s="29"/>
      <c r="T340" s="29"/>
      <c r="U340" s="29"/>
      <c r="V340" s="29"/>
      <c r="W340" s="29"/>
      <c r="X340" s="29"/>
      <c r="Y340" s="29"/>
      <c r="Z340" s="29"/>
      <c r="AA340" s="29"/>
      <c r="AB340" s="29"/>
      <c r="AC340" s="29"/>
      <c r="AD340" s="29"/>
      <c r="AE340" s="29"/>
      <c r="AF340" s="29"/>
      <c r="AG340" s="29"/>
    </row>
    <row r="341">
      <c r="A341" s="40" t="s">
        <v>1540</v>
      </c>
      <c r="B341" s="40" t="s">
        <v>697</v>
      </c>
      <c r="C341" s="44" t="s">
        <v>139</v>
      </c>
      <c r="D341" s="47" t="s">
        <v>60</v>
      </c>
      <c r="E341" s="40" t="s">
        <v>3452</v>
      </c>
      <c r="F341" s="40" t="s">
        <v>3453</v>
      </c>
      <c r="G341" s="50" t="s">
        <v>3419</v>
      </c>
      <c r="H341" s="53">
        <v>45887.0</v>
      </c>
      <c r="I341" s="63">
        <f>IFERROR(__xludf.DUMMYFUNCTION("IF(ISBLANK(H341), TODAY()-TO_DATE(G341), TO_DATE(H341)-TO_DATE(G341))+1"),4.0)</f>
        <v>4</v>
      </c>
      <c r="J341" s="40">
        <v>300.0</v>
      </c>
      <c r="K341" s="40" t="s">
        <v>3456</v>
      </c>
      <c r="L341" s="88"/>
      <c r="M341" s="72"/>
      <c r="N341" s="29"/>
      <c r="O341" s="29"/>
      <c r="P341" s="29"/>
      <c r="Q341" s="29"/>
      <c r="R341" s="29"/>
      <c r="S341" s="29"/>
      <c r="T341" s="29"/>
      <c r="U341" s="29"/>
      <c r="V341" s="29"/>
      <c r="W341" s="29"/>
      <c r="X341" s="29"/>
      <c r="Y341" s="29"/>
      <c r="Z341" s="29"/>
      <c r="AA341" s="29"/>
      <c r="AB341" s="29"/>
      <c r="AC341" s="29"/>
      <c r="AD341" s="29"/>
      <c r="AE341" s="29"/>
      <c r="AF341" s="29"/>
      <c r="AG341" s="29"/>
    </row>
    <row r="342">
      <c r="A342" s="40" t="s">
        <v>1540</v>
      </c>
      <c r="B342" s="40" t="s">
        <v>2967</v>
      </c>
      <c r="C342" s="44" t="s">
        <v>139</v>
      </c>
      <c r="D342" s="47" t="s">
        <v>60</v>
      </c>
      <c r="E342" s="40" t="s">
        <v>2098</v>
      </c>
      <c r="F342" s="40" t="s">
        <v>2100</v>
      </c>
      <c r="G342" s="50" t="s">
        <v>3419</v>
      </c>
      <c r="H342" s="53">
        <v>45886.0</v>
      </c>
      <c r="I342" s="63">
        <f>IFERROR(__xludf.DUMMYFUNCTION("IF(ISBLANK(H342), TODAY()-TO_DATE(G342), TO_DATE(H342)-TO_DATE(G342))+1"),3.0)</f>
        <v>3</v>
      </c>
      <c r="J342" s="40" t="s">
        <v>197</v>
      </c>
      <c r="K342" s="40" t="s">
        <v>2105</v>
      </c>
      <c r="L342" s="147"/>
      <c r="M342" s="72"/>
      <c r="N342" s="29"/>
      <c r="O342" s="29"/>
      <c r="P342" s="29"/>
      <c r="Q342" s="29"/>
      <c r="R342" s="29"/>
      <c r="S342" s="29"/>
      <c r="T342" s="29"/>
      <c r="U342" s="29"/>
      <c r="V342" s="29"/>
      <c r="W342" s="29"/>
      <c r="X342" s="29"/>
      <c r="Y342" s="29"/>
      <c r="Z342" s="29"/>
      <c r="AA342" s="29"/>
      <c r="AB342" s="29"/>
      <c r="AC342" s="29"/>
      <c r="AD342" s="29"/>
      <c r="AE342" s="29"/>
      <c r="AF342" s="29"/>
      <c r="AG342" s="29"/>
    </row>
    <row r="343">
      <c r="A343" s="40" t="s">
        <v>1510</v>
      </c>
      <c r="B343" s="40" t="s">
        <v>2967</v>
      </c>
      <c r="C343" s="44" t="s">
        <v>1637</v>
      </c>
      <c r="D343" s="47" t="s">
        <v>326</v>
      </c>
      <c r="E343" s="40" t="s">
        <v>3034</v>
      </c>
      <c r="F343" s="40" t="s">
        <v>3036</v>
      </c>
      <c r="G343" s="50" t="s">
        <v>3419</v>
      </c>
      <c r="H343" s="53">
        <v>45886.0</v>
      </c>
      <c r="I343" s="63">
        <f>IFERROR(__xludf.DUMMYFUNCTION("IF(ISBLANK(H343), TODAY()-TO_DATE(G343), TO_DATE(H343)-TO_DATE(G343))+1"),3.0)</f>
        <v>3</v>
      </c>
      <c r="J343" s="40" t="s">
        <v>197</v>
      </c>
      <c r="K343" s="40" t="s">
        <v>3273</v>
      </c>
      <c r="L343" s="147"/>
      <c r="M343" s="72"/>
      <c r="N343" s="29"/>
      <c r="O343" s="29"/>
      <c r="P343" s="29"/>
      <c r="Q343" s="29"/>
      <c r="R343" s="29"/>
      <c r="S343" s="29"/>
      <c r="T343" s="29"/>
      <c r="U343" s="29"/>
      <c r="V343" s="29"/>
      <c r="W343" s="29"/>
      <c r="X343" s="29"/>
      <c r="Y343" s="29"/>
      <c r="Z343" s="29"/>
      <c r="AA343" s="29"/>
      <c r="AB343" s="29"/>
      <c r="AC343" s="29"/>
      <c r="AD343" s="29"/>
      <c r="AE343" s="29"/>
      <c r="AF343" s="29"/>
      <c r="AG343" s="29"/>
    </row>
    <row r="344">
      <c r="A344" s="40" t="s">
        <v>660</v>
      </c>
      <c r="B344" s="40" t="s">
        <v>2967</v>
      </c>
      <c r="C344" s="44" t="s">
        <v>58</v>
      </c>
      <c r="D344" s="47" t="s">
        <v>60</v>
      </c>
      <c r="E344" s="40" t="s">
        <v>3462</v>
      </c>
      <c r="F344" s="40" t="s">
        <v>3463</v>
      </c>
      <c r="G344" s="50" t="s">
        <v>3419</v>
      </c>
      <c r="H344" s="53">
        <v>45890.0</v>
      </c>
      <c r="I344" s="63">
        <f>IFERROR(__xludf.DUMMYFUNCTION("IF(ISBLANK(H344), TODAY()-TO_DATE(G344), TO_DATE(H344)-TO_DATE(G344))+1"),7.0)</f>
        <v>7</v>
      </c>
      <c r="J344" s="40" t="s">
        <v>197</v>
      </c>
      <c r="K344" s="40" t="s">
        <v>3465</v>
      </c>
      <c r="L344" s="144" t="s">
        <v>3466</v>
      </c>
      <c r="M344" s="72"/>
      <c r="N344" s="29"/>
      <c r="O344" s="29"/>
      <c r="P344" s="29"/>
      <c r="Q344" s="29"/>
      <c r="R344" s="29"/>
      <c r="S344" s="29"/>
      <c r="T344" s="29"/>
      <c r="U344" s="29"/>
      <c r="V344" s="29"/>
      <c r="W344" s="29"/>
      <c r="X344" s="29"/>
      <c r="Y344" s="29"/>
      <c r="Z344" s="29"/>
      <c r="AA344" s="29"/>
      <c r="AB344" s="29"/>
      <c r="AC344" s="29"/>
      <c r="AD344" s="29"/>
      <c r="AE344" s="29"/>
      <c r="AF344" s="29"/>
      <c r="AG344" s="29"/>
    </row>
    <row r="345">
      <c r="A345" s="40" t="s">
        <v>660</v>
      </c>
      <c r="B345" s="40" t="s">
        <v>2967</v>
      </c>
      <c r="C345" s="44" t="s">
        <v>187</v>
      </c>
      <c r="D345" s="47" t="s">
        <v>60</v>
      </c>
      <c r="E345" s="40" t="s">
        <v>3471</v>
      </c>
      <c r="F345" s="40" t="s">
        <v>3472</v>
      </c>
      <c r="G345" s="50" t="s">
        <v>3419</v>
      </c>
      <c r="H345" s="53">
        <v>45889.0</v>
      </c>
      <c r="I345" s="63">
        <f>IFERROR(__xludf.DUMMYFUNCTION("IF(ISBLANK(H345), TODAY()-TO_DATE(G345), TO_DATE(H345)-TO_DATE(G345))+1"),6.0)</f>
        <v>6</v>
      </c>
      <c r="J345" s="40">
        <v>300.0</v>
      </c>
      <c r="K345" s="40" t="s">
        <v>3474</v>
      </c>
      <c r="L345" s="144" t="s">
        <v>3475</v>
      </c>
      <c r="M345" s="72"/>
      <c r="N345" s="29"/>
      <c r="O345" s="29"/>
      <c r="P345" s="29"/>
      <c r="Q345" s="29"/>
      <c r="R345" s="29"/>
      <c r="S345" s="29"/>
      <c r="T345" s="29"/>
      <c r="U345" s="29"/>
      <c r="V345" s="29"/>
      <c r="W345" s="29"/>
      <c r="X345" s="29"/>
      <c r="Y345" s="29"/>
      <c r="Z345" s="29"/>
      <c r="AA345" s="29"/>
      <c r="AB345" s="29"/>
      <c r="AC345" s="29"/>
      <c r="AD345" s="29"/>
      <c r="AE345" s="29"/>
      <c r="AF345" s="29"/>
      <c r="AG345" s="29"/>
    </row>
    <row r="346">
      <c r="A346" s="40" t="s">
        <v>660</v>
      </c>
      <c r="B346" s="40" t="s">
        <v>2967</v>
      </c>
      <c r="C346" s="44" t="s">
        <v>213</v>
      </c>
      <c r="D346" s="47" t="s">
        <v>60</v>
      </c>
      <c r="E346" s="40" t="s">
        <v>3480</v>
      </c>
      <c r="F346" s="40" t="s">
        <v>3481</v>
      </c>
      <c r="G346" s="50" t="s">
        <v>3419</v>
      </c>
      <c r="H346" s="53">
        <v>45888.0</v>
      </c>
      <c r="I346" s="63">
        <f>IFERROR(__xludf.DUMMYFUNCTION("IF(ISBLANK(H346), TODAY()-TO_DATE(G346), TO_DATE(H346)-TO_DATE(G346))+1"),5.0)</f>
        <v>5</v>
      </c>
      <c r="J346" s="40">
        <v>500.0</v>
      </c>
      <c r="K346" s="40" t="s">
        <v>3485</v>
      </c>
      <c r="L346" s="147"/>
      <c r="M346" s="72"/>
      <c r="N346" s="29"/>
      <c r="O346" s="29"/>
      <c r="P346" s="29"/>
      <c r="Q346" s="29"/>
      <c r="R346" s="29"/>
      <c r="S346" s="29"/>
      <c r="T346" s="29"/>
      <c r="U346" s="29"/>
      <c r="V346" s="29"/>
      <c r="W346" s="29"/>
      <c r="X346" s="29"/>
      <c r="Y346" s="29"/>
      <c r="Z346" s="29"/>
      <c r="AA346" s="29"/>
      <c r="AB346" s="29"/>
      <c r="AC346" s="29"/>
      <c r="AD346" s="29"/>
      <c r="AE346" s="29"/>
      <c r="AF346" s="29"/>
      <c r="AG346" s="29"/>
    </row>
    <row r="347">
      <c r="A347" s="40" t="s">
        <v>660</v>
      </c>
      <c r="B347" s="40" t="s">
        <v>2967</v>
      </c>
      <c r="C347" s="44" t="s">
        <v>321</v>
      </c>
      <c r="D347" s="47" t="s">
        <v>60</v>
      </c>
      <c r="E347" s="40" t="s">
        <v>3492</v>
      </c>
      <c r="F347" s="40" t="s">
        <v>3493</v>
      </c>
      <c r="G347" s="50" t="s">
        <v>3419</v>
      </c>
      <c r="H347" s="53">
        <v>45890.0</v>
      </c>
      <c r="I347" s="63">
        <f>IFERROR(__xludf.DUMMYFUNCTION("IF(ISBLANK(H347), TODAY()-TO_DATE(G347), TO_DATE(H347)-TO_DATE(G347))+1"),7.0)</f>
        <v>7</v>
      </c>
      <c r="J347" s="40" t="s">
        <v>197</v>
      </c>
      <c r="K347" s="40" t="s">
        <v>3495</v>
      </c>
      <c r="L347" s="147"/>
      <c r="M347" s="72"/>
      <c r="N347" s="29"/>
      <c r="O347" s="29"/>
      <c r="P347" s="29"/>
      <c r="Q347" s="29"/>
      <c r="R347" s="29"/>
      <c r="S347" s="29"/>
      <c r="T347" s="29"/>
      <c r="U347" s="29"/>
      <c r="V347" s="29"/>
      <c r="W347" s="29"/>
      <c r="X347" s="29"/>
      <c r="Y347" s="29"/>
      <c r="Z347" s="29"/>
      <c r="AA347" s="29"/>
      <c r="AB347" s="29"/>
      <c r="AC347" s="29"/>
      <c r="AD347" s="29"/>
      <c r="AE347" s="29"/>
      <c r="AF347" s="29"/>
      <c r="AG347" s="29"/>
    </row>
    <row r="348">
      <c r="A348" s="40" t="s">
        <v>660</v>
      </c>
      <c r="B348" s="40" t="s">
        <v>2967</v>
      </c>
      <c r="C348" s="44" t="s">
        <v>213</v>
      </c>
      <c r="D348" s="47" t="s">
        <v>60</v>
      </c>
      <c r="E348" s="40" t="s">
        <v>3497</v>
      </c>
      <c r="F348" s="40" t="s">
        <v>3498</v>
      </c>
      <c r="G348" s="50" t="s">
        <v>3419</v>
      </c>
      <c r="H348" s="53">
        <v>45889.0</v>
      </c>
      <c r="I348" s="63">
        <f>IFERROR(__xludf.DUMMYFUNCTION("IF(ISBLANK(H348), TODAY()-TO_DATE(G348), TO_DATE(H348)-TO_DATE(G348))+1"),6.0)</f>
        <v>6</v>
      </c>
      <c r="J348" s="40">
        <v>300.0</v>
      </c>
      <c r="K348" s="40" t="s">
        <v>3501</v>
      </c>
      <c r="L348" s="144" t="s">
        <v>3502</v>
      </c>
      <c r="M348" s="72"/>
      <c r="N348" s="29"/>
      <c r="O348" s="29"/>
      <c r="P348" s="29"/>
      <c r="Q348" s="29"/>
      <c r="R348" s="29"/>
      <c r="S348" s="29"/>
      <c r="T348" s="29"/>
      <c r="U348" s="29"/>
      <c r="V348" s="29"/>
      <c r="W348" s="29"/>
      <c r="X348" s="29"/>
      <c r="Y348" s="29"/>
      <c r="Z348" s="29"/>
      <c r="AA348" s="29"/>
      <c r="AB348" s="29"/>
      <c r="AC348" s="29"/>
      <c r="AD348" s="29"/>
      <c r="AE348" s="29"/>
      <c r="AF348" s="29"/>
      <c r="AG348" s="29"/>
    </row>
    <row r="349">
      <c r="A349" s="40" t="s">
        <v>660</v>
      </c>
      <c r="B349" s="40" t="s">
        <v>2967</v>
      </c>
      <c r="C349" s="44" t="s">
        <v>213</v>
      </c>
      <c r="D349" s="47" t="s">
        <v>60</v>
      </c>
      <c r="E349" s="40" t="s">
        <v>3506</v>
      </c>
      <c r="F349" s="40" t="s">
        <v>2545</v>
      </c>
      <c r="G349" s="50" t="s">
        <v>3419</v>
      </c>
      <c r="H349" s="53">
        <v>45890.0</v>
      </c>
      <c r="I349" s="63">
        <f>IFERROR(__xludf.DUMMYFUNCTION("IF(ISBLANK(H349), TODAY()-TO_DATE(G349), TO_DATE(H349)-TO_DATE(G349))+1"),7.0)</f>
        <v>7</v>
      </c>
      <c r="J349" s="40" t="s">
        <v>197</v>
      </c>
      <c r="K349" s="40" t="s">
        <v>3510</v>
      </c>
      <c r="L349" s="144" t="s">
        <v>3511</v>
      </c>
      <c r="M349" s="72"/>
      <c r="N349" s="29"/>
      <c r="O349" s="29"/>
      <c r="P349" s="29"/>
      <c r="Q349" s="29"/>
      <c r="R349" s="29"/>
      <c r="S349" s="29"/>
      <c r="T349" s="29"/>
      <c r="U349" s="29"/>
      <c r="V349" s="29"/>
      <c r="W349" s="29"/>
      <c r="X349" s="29"/>
      <c r="Y349" s="29"/>
      <c r="Z349" s="29"/>
      <c r="AA349" s="29"/>
      <c r="AB349" s="29"/>
      <c r="AC349" s="29"/>
      <c r="AD349" s="29"/>
      <c r="AE349" s="29"/>
      <c r="AF349" s="29"/>
      <c r="AG349" s="29"/>
    </row>
    <row r="350">
      <c r="A350" s="40" t="s">
        <v>660</v>
      </c>
      <c r="B350" s="40" t="s">
        <v>2967</v>
      </c>
      <c r="C350" s="44" t="s">
        <v>201</v>
      </c>
      <c r="D350" s="47" t="s">
        <v>60</v>
      </c>
      <c r="E350" s="40" t="s">
        <v>3512</v>
      </c>
      <c r="F350" s="40" t="s">
        <v>3513</v>
      </c>
      <c r="G350" s="50" t="s">
        <v>3419</v>
      </c>
      <c r="H350" s="53">
        <v>45888.0</v>
      </c>
      <c r="I350" s="63">
        <f>IFERROR(__xludf.DUMMYFUNCTION("IF(ISBLANK(H350), TODAY()-TO_DATE(G350), TO_DATE(H350)-TO_DATE(G350))+1"),5.0)</f>
        <v>5</v>
      </c>
      <c r="J350" s="40">
        <v>500.0</v>
      </c>
      <c r="K350" s="40" t="s">
        <v>3516</v>
      </c>
      <c r="L350" s="147"/>
      <c r="M350" s="72"/>
      <c r="N350" s="29"/>
      <c r="O350" s="29"/>
      <c r="P350" s="29"/>
      <c r="Q350" s="29"/>
      <c r="R350" s="29"/>
      <c r="S350" s="29"/>
      <c r="T350" s="29"/>
      <c r="U350" s="29"/>
      <c r="V350" s="29"/>
      <c r="W350" s="29"/>
      <c r="X350" s="29"/>
      <c r="Y350" s="29"/>
      <c r="Z350" s="29"/>
      <c r="AA350" s="29"/>
      <c r="AB350" s="29"/>
      <c r="AC350" s="29"/>
      <c r="AD350" s="29"/>
      <c r="AE350" s="29"/>
      <c r="AF350" s="29"/>
      <c r="AG350" s="29"/>
    </row>
    <row r="351">
      <c r="A351" s="40" t="s">
        <v>660</v>
      </c>
      <c r="B351" s="40" t="s">
        <v>2967</v>
      </c>
      <c r="C351" s="44" t="s">
        <v>321</v>
      </c>
      <c r="D351" s="47" t="s">
        <v>60</v>
      </c>
      <c r="E351" s="40" t="s">
        <v>3517</v>
      </c>
      <c r="F351" s="40" t="s">
        <v>3518</v>
      </c>
      <c r="G351" s="50" t="s">
        <v>3419</v>
      </c>
      <c r="H351" s="53">
        <v>45890.0</v>
      </c>
      <c r="I351" s="63">
        <f>IFERROR(__xludf.DUMMYFUNCTION("IF(ISBLANK(H351), TODAY()-TO_DATE(G351), TO_DATE(H351)-TO_DATE(G351))+1"),7.0)</f>
        <v>7</v>
      </c>
      <c r="J351" s="40" t="s">
        <v>197</v>
      </c>
      <c r="K351" s="40" t="s">
        <v>3520</v>
      </c>
      <c r="L351" s="147"/>
      <c r="M351" s="72"/>
      <c r="N351" s="29"/>
      <c r="O351" s="29"/>
      <c r="P351" s="29"/>
      <c r="Q351" s="29"/>
      <c r="R351" s="29"/>
      <c r="S351" s="29"/>
      <c r="T351" s="29"/>
      <c r="U351" s="29"/>
      <c r="V351" s="29"/>
      <c r="W351" s="29"/>
      <c r="X351" s="29"/>
      <c r="Y351" s="29"/>
      <c r="Z351" s="29"/>
      <c r="AA351" s="29"/>
      <c r="AB351" s="29"/>
      <c r="AC351" s="29"/>
      <c r="AD351" s="29"/>
      <c r="AE351" s="29"/>
      <c r="AF351" s="29"/>
      <c r="AG351" s="29"/>
    </row>
    <row r="352">
      <c r="A352" s="40" t="s">
        <v>660</v>
      </c>
      <c r="B352" s="40" t="s">
        <v>2967</v>
      </c>
      <c r="C352" s="44" t="s">
        <v>321</v>
      </c>
      <c r="D352" s="47" t="s">
        <v>60</v>
      </c>
      <c r="E352" s="40" t="s">
        <v>3012</v>
      </c>
      <c r="F352" s="40" t="s">
        <v>3013</v>
      </c>
      <c r="G352" s="50" t="s">
        <v>3419</v>
      </c>
      <c r="H352" s="53">
        <v>45888.0</v>
      </c>
      <c r="I352" s="63">
        <f>IFERROR(__xludf.DUMMYFUNCTION("IF(ISBLANK(H352), TODAY()-TO_DATE(G352), TO_DATE(H352)-TO_DATE(G352))+1"),5.0)</f>
        <v>5</v>
      </c>
      <c r="J352" s="40">
        <v>500.0</v>
      </c>
      <c r="K352" s="40" t="s">
        <v>3524</v>
      </c>
      <c r="L352" s="144" t="s">
        <v>3525</v>
      </c>
      <c r="M352" s="72"/>
      <c r="N352" s="29"/>
      <c r="O352" s="29"/>
      <c r="P352" s="29"/>
      <c r="Q352" s="29"/>
      <c r="R352" s="29"/>
      <c r="S352" s="29"/>
      <c r="T352" s="29"/>
      <c r="U352" s="29"/>
      <c r="V352" s="29"/>
      <c r="W352" s="29"/>
      <c r="X352" s="29"/>
      <c r="Y352" s="29"/>
      <c r="Z352" s="29"/>
      <c r="AA352" s="29"/>
      <c r="AB352" s="29"/>
      <c r="AC352" s="29"/>
      <c r="AD352" s="29"/>
      <c r="AE352" s="29"/>
      <c r="AF352" s="29"/>
      <c r="AG352" s="29"/>
    </row>
    <row r="353">
      <c r="A353" s="40" t="s">
        <v>660</v>
      </c>
      <c r="B353" s="40" t="s">
        <v>2967</v>
      </c>
      <c r="C353" s="44" t="s">
        <v>187</v>
      </c>
      <c r="D353" s="47" t="s">
        <v>60</v>
      </c>
      <c r="E353" s="40" t="s">
        <v>3526</v>
      </c>
      <c r="F353" s="40" t="s">
        <v>3527</v>
      </c>
      <c r="G353" s="50" t="s">
        <v>3419</v>
      </c>
      <c r="H353" s="53">
        <v>45889.0</v>
      </c>
      <c r="I353" s="63">
        <f>IFERROR(__xludf.DUMMYFUNCTION("IF(ISBLANK(H353), TODAY()-TO_DATE(G353), TO_DATE(H353)-TO_DATE(G353))+1"),6.0)</f>
        <v>6</v>
      </c>
      <c r="J353" s="40">
        <v>300.0</v>
      </c>
      <c r="K353" s="40" t="s">
        <v>3529</v>
      </c>
      <c r="L353" s="144" t="s">
        <v>3530</v>
      </c>
      <c r="M353" s="72"/>
      <c r="N353" s="29"/>
      <c r="O353" s="29"/>
      <c r="P353" s="29"/>
      <c r="Q353" s="29"/>
      <c r="R353" s="29"/>
      <c r="S353" s="29"/>
      <c r="T353" s="29"/>
      <c r="U353" s="29"/>
      <c r="V353" s="29"/>
      <c r="W353" s="29"/>
      <c r="X353" s="29"/>
      <c r="Y353" s="29"/>
      <c r="Z353" s="29"/>
      <c r="AA353" s="29"/>
      <c r="AB353" s="29"/>
      <c r="AC353" s="29"/>
      <c r="AD353" s="29"/>
      <c r="AE353" s="29"/>
      <c r="AF353" s="29"/>
      <c r="AG353" s="29"/>
    </row>
    <row r="354">
      <c r="A354" s="40" t="s">
        <v>660</v>
      </c>
      <c r="B354" s="40" t="s">
        <v>2967</v>
      </c>
      <c r="C354" s="44" t="s">
        <v>139</v>
      </c>
      <c r="D354" s="47" t="s">
        <v>60</v>
      </c>
      <c r="E354" s="40" t="s">
        <v>3532</v>
      </c>
      <c r="F354" s="40" t="s">
        <v>3533</v>
      </c>
      <c r="G354" s="50" t="s">
        <v>3419</v>
      </c>
      <c r="H354" s="53">
        <v>45889.0</v>
      </c>
      <c r="I354" s="63">
        <f>IFERROR(__xludf.DUMMYFUNCTION("IF(ISBLANK(H354), TODAY()-TO_DATE(G354), TO_DATE(H354)-TO_DATE(G354))+1"),6.0)</f>
        <v>6</v>
      </c>
      <c r="J354" s="40">
        <v>500.0</v>
      </c>
      <c r="K354" s="40" t="s">
        <v>3535</v>
      </c>
      <c r="L354" s="147"/>
      <c r="M354" s="72"/>
      <c r="N354" s="29"/>
      <c r="O354" s="29"/>
      <c r="P354" s="29"/>
      <c r="Q354" s="29"/>
      <c r="R354" s="29"/>
      <c r="S354" s="29"/>
      <c r="T354" s="29"/>
      <c r="U354" s="29"/>
      <c r="V354" s="29"/>
      <c r="W354" s="29"/>
      <c r="X354" s="29"/>
      <c r="Y354" s="29"/>
      <c r="Z354" s="29"/>
      <c r="AA354" s="29"/>
      <c r="AB354" s="29"/>
      <c r="AC354" s="29"/>
      <c r="AD354" s="29"/>
      <c r="AE354" s="29"/>
      <c r="AF354" s="29"/>
      <c r="AG354" s="29"/>
    </row>
    <row r="355">
      <c r="A355" s="40" t="s">
        <v>660</v>
      </c>
      <c r="B355" s="40" t="s">
        <v>2967</v>
      </c>
      <c r="C355" s="44" t="s">
        <v>187</v>
      </c>
      <c r="D355" s="47" t="s">
        <v>60</v>
      </c>
      <c r="E355" s="40" t="s">
        <v>3536</v>
      </c>
      <c r="F355" s="40" t="s">
        <v>3538</v>
      </c>
      <c r="G355" s="50" t="s">
        <v>3419</v>
      </c>
      <c r="H355" s="53">
        <v>45889.0</v>
      </c>
      <c r="I355" s="63">
        <f>IFERROR(__xludf.DUMMYFUNCTION("IF(ISBLANK(H355), TODAY()-TO_DATE(G355), TO_DATE(H355)-TO_DATE(G355))+1"),6.0)</f>
        <v>6</v>
      </c>
      <c r="J355" s="40">
        <v>500.0</v>
      </c>
      <c r="K355" s="40" t="s">
        <v>3540</v>
      </c>
      <c r="L355" s="147"/>
      <c r="M355" s="72"/>
      <c r="N355" s="29"/>
      <c r="O355" s="29"/>
      <c r="P355" s="29"/>
      <c r="Q355" s="29"/>
      <c r="R355" s="29"/>
      <c r="S355" s="29"/>
      <c r="T355" s="29"/>
      <c r="U355" s="29"/>
      <c r="V355" s="29"/>
      <c r="W355" s="29"/>
      <c r="X355" s="29"/>
      <c r="Y355" s="29"/>
      <c r="Z355" s="29"/>
      <c r="AA355" s="29"/>
      <c r="AB355" s="29"/>
      <c r="AC355" s="29"/>
      <c r="AD355" s="29"/>
      <c r="AE355" s="29"/>
      <c r="AF355" s="29"/>
      <c r="AG355" s="29"/>
    </row>
    <row r="356">
      <c r="A356" s="40" t="s">
        <v>1923</v>
      </c>
      <c r="B356" s="40" t="s">
        <v>697</v>
      </c>
      <c r="C356" s="44" t="s">
        <v>1924</v>
      </c>
      <c r="D356" s="47" t="s">
        <v>102</v>
      </c>
      <c r="E356" s="40" t="s">
        <v>176</v>
      </c>
      <c r="F356" s="40" t="s">
        <v>177</v>
      </c>
      <c r="G356" s="50" t="s">
        <v>3542</v>
      </c>
      <c r="H356" s="53">
        <v>45893.0</v>
      </c>
      <c r="I356" s="63">
        <f>IFERROR(__xludf.DUMMYFUNCTION("IF(ISBLANK(H356), TODAY()-TO_DATE(G356), TO_DATE(H356)-TO_DATE(G356))+1"),9.0)</f>
        <v>9</v>
      </c>
      <c r="J356" s="40" t="s">
        <v>197</v>
      </c>
      <c r="K356" s="40" t="s">
        <v>3543</v>
      </c>
      <c r="L356" s="69" t="s">
        <v>3296</v>
      </c>
      <c r="M356" s="72"/>
      <c r="N356" s="29"/>
      <c r="O356" s="29"/>
      <c r="P356" s="29"/>
      <c r="Q356" s="29"/>
      <c r="R356" s="29"/>
      <c r="S356" s="29"/>
      <c r="T356" s="29"/>
      <c r="U356" s="29"/>
      <c r="V356" s="29"/>
      <c r="W356" s="29"/>
      <c r="X356" s="29"/>
      <c r="Y356" s="29"/>
      <c r="Z356" s="29"/>
      <c r="AA356" s="29"/>
      <c r="AB356" s="29"/>
      <c r="AC356" s="29"/>
      <c r="AD356" s="29"/>
      <c r="AE356" s="29"/>
      <c r="AF356" s="29"/>
      <c r="AG356" s="29"/>
    </row>
    <row r="357">
      <c r="A357" s="40" t="s">
        <v>1923</v>
      </c>
      <c r="B357" s="40" t="s">
        <v>697</v>
      </c>
      <c r="C357" s="44" t="s">
        <v>201</v>
      </c>
      <c r="D357" s="47" t="s">
        <v>60</v>
      </c>
      <c r="E357" s="40" t="s">
        <v>2245</v>
      </c>
      <c r="F357" s="40" t="s">
        <v>2246</v>
      </c>
      <c r="G357" s="50" t="s">
        <v>3542</v>
      </c>
      <c r="H357" s="53">
        <v>45893.0</v>
      </c>
      <c r="I357" s="63">
        <f>IFERROR(__xludf.DUMMYFUNCTION("IF(ISBLANK(H357), TODAY()-TO_DATE(G357), TO_DATE(H357)-TO_DATE(G357))+1"),9.0)</f>
        <v>9</v>
      </c>
      <c r="J357" s="40" t="s">
        <v>197</v>
      </c>
      <c r="K357" s="40" t="s">
        <v>2249</v>
      </c>
      <c r="L357" s="69" t="s">
        <v>2264</v>
      </c>
      <c r="M357" s="72"/>
      <c r="N357" s="29"/>
      <c r="O357" s="29"/>
      <c r="P357" s="29"/>
      <c r="Q357" s="29"/>
      <c r="R357" s="29"/>
      <c r="S357" s="29"/>
      <c r="T357" s="29"/>
      <c r="U357" s="29"/>
      <c r="V357" s="29"/>
      <c r="W357" s="29"/>
      <c r="X357" s="29"/>
      <c r="Y357" s="29"/>
      <c r="Z357" s="29"/>
      <c r="AA357" s="29"/>
      <c r="AB357" s="29"/>
      <c r="AC357" s="29"/>
      <c r="AD357" s="29"/>
      <c r="AE357" s="29"/>
      <c r="AF357" s="29"/>
      <c r="AG357" s="29"/>
    </row>
    <row r="358">
      <c r="A358" s="40" t="s">
        <v>1923</v>
      </c>
      <c r="B358" s="40" t="s">
        <v>697</v>
      </c>
      <c r="C358" s="44" t="s">
        <v>331</v>
      </c>
      <c r="D358" s="47" t="s">
        <v>60</v>
      </c>
      <c r="E358" s="40" t="s">
        <v>2872</v>
      </c>
      <c r="F358" s="40" t="s">
        <v>2874</v>
      </c>
      <c r="G358" s="50" t="s">
        <v>3542</v>
      </c>
      <c r="H358" s="53">
        <v>45893.0</v>
      </c>
      <c r="I358" s="63">
        <f>IFERROR(__xludf.DUMMYFUNCTION("IF(ISBLANK(H358), TODAY()-TO_DATE(G358), TO_DATE(H358)-TO_DATE(G358))+1"),9.0)</f>
        <v>9</v>
      </c>
      <c r="J358" s="40" t="s">
        <v>197</v>
      </c>
      <c r="K358" s="40" t="s">
        <v>1947</v>
      </c>
      <c r="L358" s="69" t="s">
        <v>3281</v>
      </c>
      <c r="M358" s="72"/>
      <c r="N358" s="29"/>
      <c r="O358" s="29"/>
      <c r="P358" s="29"/>
      <c r="Q358" s="29"/>
      <c r="R358" s="29"/>
      <c r="S358" s="29"/>
      <c r="T358" s="29"/>
      <c r="U358" s="29"/>
      <c r="V358" s="29"/>
      <c r="W358" s="29"/>
      <c r="X358" s="29"/>
      <c r="Y358" s="29"/>
      <c r="Z358" s="29"/>
      <c r="AA358" s="29"/>
      <c r="AB358" s="29"/>
      <c r="AC358" s="29"/>
      <c r="AD358" s="29"/>
      <c r="AE358" s="29"/>
      <c r="AF358" s="29"/>
      <c r="AG358" s="29"/>
    </row>
    <row r="359">
      <c r="A359" s="40" t="s">
        <v>1923</v>
      </c>
      <c r="B359" s="40" t="s">
        <v>697</v>
      </c>
      <c r="C359" s="44" t="s">
        <v>331</v>
      </c>
      <c r="D359" s="47" t="s">
        <v>60</v>
      </c>
      <c r="E359" s="40" t="s">
        <v>2856</v>
      </c>
      <c r="F359" s="40" t="s">
        <v>2857</v>
      </c>
      <c r="G359" s="50" t="s">
        <v>3542</v>
      </c>
      <c r="H359" s="53">
        <v>45893.0</v>
      </c>
      <c r="I359" s="63">
        <f>IFERROR(__xludf.DUMMYFUNCTION("IF(ISBLANK(H359), TODAY()-TO_DATE(G359), TO_DATE(H359)-TO_DATE(G359))+1"),9.0)</f>
        <v>9</v>
      </c>
      <c r="J359" s="40" t="s">
        <v>197</v>
      </c>
      <c r="K359" s="40" t="s">
        <v>3557</v>
      </c>
      <c r="L359" s="69" t="s">
        <v>3292</v>
      </c>
      <c r="M359" s="72"/>
      <c r="N359" s="29"/>
      <c r="O359" s="29"/>
      <c r="P359" s="29"/>
      <c r="Q359" s="29"/>
      <c r="R359" s="29"/>
      <c r="S359" s="29"/>
      <c r="T359" s="29"/>
      <c r="U359" s="29"/>
      <c r="V359" s="29"/>
      <c r="W359" s="29"/>
      <c r="X359" s="29"/>
      <c r="Y359" s="29"/>
      <c r="Z359" s="29"/>
      <c r="AA359" s="29"/>
      <c r="AB359" s="29"/>
      <c r="AC359" s="29"/>
      <c r="AD359" s="29"/>
      <c r="AE359" s="29"/>
      <c r="AF359" s="29"/>
      <c r="AG359" s="29"/>
    </row>
    <row r="360">
      <c r="A360" s="40" t="s">
        <v>1540</v>
      </c>
      <c r="B360" s="40" t="s">
        <v>697</v>
      </c>
      <c r="C360" s="44" t="s">
        <v>187</v>
      </c>
      <c r="D360" s="47" t="s">
        <v>60</v>
      </c>
      <c r="E360" s="40" t="s">
        <v>3562</v>
      </c>
      <c r="F360" s="40" t="s">
        <v>2028</v>
      </c>
      <c r="G360" s="50" t="s">
        <v>3563</v>
      </c>
      <c r="H360" s="53">
        <v>45897.0</v>
      </c>
      <c r="I360" s="63">
        <f>IFERROR(__xludf.DUMMYFUNCTION("IF(ISBLANK(H360), TODAY()-TO_DATE(G360), TO_DATE(H360)-TO_DATE(G360))+1"),12.0)</f>
        <v>12</v>
      </c>
      <c r="J360" s="40">
        <v>300.0</v>
      </c>
      <c r="K360" s="40" t="s">
        <v>3569</v>
      </c>
      <c r="L360" s="69" t="s">
        <v>3570</v>
      </c>
      <c r="M360" s="72"/>
      <c r="N360" s="29"/>
      <c r="O360" s="29"/>
      <c r="P360" s="29"/>
      <c r="Q360" s="29"/>
      <c r="R360" s="29"/>
      <c r="S360" s="29"/>
      <c r="T360" s="29"/>
      <c r="U360" s="29"/>
      <c r="V360" s="29"/>
      <c r="W360" s="29"/>
      <c r="X360" s="29"/>
      <c r="Y360" s="29"/>
      <c r="Z360" s="29"/>
      <c r="AA360" s="29"/>
      <c r="AB360" s="29"/>
      <c r="AC360" s="29"/>
      <c r="AD360" s="29"/>
      <c r="AE360" s="29"/>
      <c r="AF360" s="29"/>
      <c r="AG360" s="29"/>
    </row>
    <row r="361">
      <c r="A361" s="40" t="s">
        <v>1540</v>
      </c>
      <c r="B361" s="40" t="s">
        <v>697</v>
      </c>
      <c r="C361" s="44" t="s">
        <v>212</v>
      </c>
      <c r="D361" s="47" t="s">
        <v>326</v>
      </c>
      <c r="E361" s="40" t="s">
        <v>3574</v>
      </c>
      <c r="F361" s="40" t="s">
        <v>3575</v>
      </c>
      <c r="G361" s="50" t="s">
        <v>3563</v>
      </c>
      <c r="H361" s="53">
        <v>45919.0</v>
      </c>
      <c r="I361" s="63">
        <f>IFERROR(__xludf.DUMMYFUNCTION("IF(ISBLANK(H361), TODAY()-TO_DATE(G361), TO_DATE(H361)-TO_DATE(G361))+1"),34.0)</f>
        <v>34</v>
      </c>
      <c r="J361" s="40">
        <v>500.0</v>
      </c>
      <c r="K361" s="40" t="s">
        <v>3577</v>
      </c>
      <c r="L361" s="69" t="s">
        <v>3579</v>
      </c>
      <c r="M361" s="72"/>
      <c r="N361" s="29"/>
      <c r="O361" s="29"/>
      <c r="P361" s="29"/>
      <c r="Q361" s="29"/>
      <c r="R361" s="29"/>
      <c r="S361" s="29"/>
      <c r="T361" s="29"/>
      <c r="U361" s="29"/>
      <c r="V361" s="29"/>
      <c r="W361" s="29"/>
      <c r="X361" s="29"/>
      <c r="Y361" s="29"/>
      <c r="Z361" s="29"/>
      <c r="AA361" s="29"/>
      <c r="AB361" s="29"/>
      <c r="AC361" s="29"/>
      <c r="AD361" s="29"/>
      <c r="AE361" s="29"/>
      <c r="AF361" s="29"/>
      <c r="AG361" s="29"/>
    </row>
    <row r="362">
      <c r="A362" s="40" t="s">
        <v>1540</v>
      </c>
      <c r="B362" s="40" t="s">
        <v>697</v>
      </c>
      <c r="C362" s="44" t="s">
        <v>213</v>
      </c>
      <c r="D362" s="47" t="s">
        <v>60</v>
      </c>
      <c r="E362" s="40" t="s">
        <v>3585</v>
      </c>
      <c r="F362" s="40" t="s">
        <v>3586</v>
      </c>
      <c r="G362" s="50" t="s">
        <v>3563</v>
      </c>
      <c r="H362" s="53">
        <v>45896.0</v>
      </c>
      <c r="I362" s="63">
        <f>IFERROR(__xludf.DUMMYFUNCTION("IF(ISBLANK(H362), TODAY()-TO_DATE(G362), TO_DATE(H362)-TO_DATE(G362))+1"),11.0)</f>
        <v>11</v>
      </c>
      <c r="J362" s="40">
        <v>300.0</v>
      </c>
      <c r="K362" s="40" t="s">
        <v>3588</v>
      </c>
      <c r="L362" s="69" t="s">
        <v>3589</v>
      </c>
      <c r="M362" s="72"/>
      <c r="N362" s="29"/>
      <c r="O362" s="29"/>
      <c r="P362" s="29"/>
      <c r="Q362" s="29"/>
      <c r="R362" s="29"/>
      <c r="S362" s="29"/>
      <c r="T362" s="29"/>
      <c r="U362" s="29"/>
      <c r="V362" s="29"/>
      <c r="W362" s="29"/>
      <c r="X362" s="29"/>
      <c r="Y362" s="29"/>
      <c r="Z362" s="29"/>
      <c r="AA362" s="29"/>
      <c r="AB362" s="29"/>
      <c r="AC362" s="29"/>
      <c r="AD362" s="29"/>
      <c r="AE362" s="29"/>
      <c r="AF362" s="29"/>
      <c r="AG362" s="29"/>
    </row>
    <row r="363">
      <c r="A363" s="40" t="s">
        <v>1540</v>
      </c>
      <c r="B363" s="40" t="s">
        <v>697</v>
      </c>
      <c r="C363" s="44" t="s">
        <v>187</v>
      </c>
      <c r="D363" s="47" t="s">
        <v>60</v>
      </c>
      <c r="E363" s="40" t="s">
        <v>3593</v>
      </c>
      <c r="F363" s="40" t="s">
        <v>3595</v>
      </c>
      <c r="G363" s="50" t="s">
        <v>3563</v>
      </c>
      <c r="H363" s="53">
        <v>45894.0</v>
      </c>
      <c r="I363" s="63">
        <f>IFERROR(__xludf.DUMMYFUNCTION("IF(ISBLANK(H363), TODAY()-TO_DATE(G363), TO_DATE(H363)-TO_DATE(G363))+1"),9.0)</f>
        <v>9</v>
      </c>
      <c r="J363" s="40">
        <v>200.0</v>
      </c>
      <c r="K363" s="40" t="s">
        <v>3597</v>
      </c>
      <c r="L363" s="88"/>
      <c r="M363" s="72"/>
      <c r="N363" s="29"/>
      <c r="O363" s="29"/>
      <c r="P363" s="29"/>
      <c r="Q363" s="29"/>
      <c r="R363" s="29"/>
      <c r="S363" s="29"/>
      <c r="T363" s="29"/>
      <c r="U363" s="29"/>
      <c r="V363" s="29"/>
      <c r="W363" s="29"/>
      <c r="X363" s="29"/>
      <c r="Y363" s="29"/>
      <c r="Z363" s="29"/>
      <c r="AA363" s="29"/>
      <c r="AB363" s="29"/>
      <c r="AC363" s="29"/>
      <c r="AD363" s="29"/>
      <c r="AE363" s="29"/>
      <c r="AF363" s="29"/>
      <c r="AG363" s="29"/>
    </row>
    <row r="364">
      <c r="A364" s="40" t="s">
        <v>1540</v>
      </c>
      <c r="B364" s="40" t="s">
        <v>697</v>
      </c>
      <c r="C364" s="44" t="s">
        <v>139</v>
      </c>
      <c r="D364" s="47" t="s">
        <v>60</v>
      </c>
      <c r="E364" s="40" t="s">
        <v>3599</v>
      </c>
      <c r="F364" s="40" t="s">
        <v>3600</v>
      </c>
      <c r="G364" s="50" t="s">
        <v>3563</v>
      </c>
      <c r="H364" s="53">
        <v>45896.0</v>
      </c>
      <c r="I364" s="63">
        <f>IFERROR(__xludf.DUMMYFUNCTION("IF(ISBLANK(H364), TODAY()-TO_DATE(G364), TO_DATE(H364)-TO_DATE(G364))+1"),11.0)</f>
        <v>11</v>
      </c>
      <c r="J364" s="40">
        <v>300.0</v>
      </c>
      <c r="K364" s="40" t="s">
        <v>3604</v>
      </c>
      <c r="L364" s="88"/>
      <c r="M364" s="72"/>
      <c r="N364" s="29"/>
      <c r="O364" s="29"/>
      <c r="P364" s="29"/>
      <c r="Q364" s="29"/>
      <c r="R364" s="29"/>
      <c r="S364" s="29"/>
      <c r="T364" s="29"/>
      <c r="U364" s="29"/>
      <c r="V364" s="29"/>
      <c r="W364" s="29"/>
      <c r="X364" s="29"/>
      <c r="Y364" s="29"/>
      <c r="Z364" s="29"/>
      <c r="AA364" s="29"/>
      <c r="AB364" s="29"/>
      <c r="AC364" s="29"/>
      <c r="AD364" s="29"/>
      <c r="AE364" s="29"/>
      <c r="AF364" s="29"/>
      <c r="AG364" s="29"/>
    </row>
    <row r="365">
      <c r="A365" s="40" t="s">
        <v>1540</v>
      </c>
      <c r="B365" s="40" t="s">
        <v>697</v>
      </c>
      <c r="C365" s="44" t="s">
        <v>213</v>
      </c>
      <c r="D365" s="47" t="s">
        <v>60</v>
      </c>
      <c r="E365" s="40" t="s">
        <v>3605</v>
      </c>
      <c r="F365" s="40" t="s">
        <v>3208</v>
      </c>
      <c r="G365" s="50" t="s">
        <v>3563</v>
      </c>
      <c r="H365" s="53">
        <v>45925.0</v>
      </c>
      <c r="I365" s="63">
        <f>IFERROR(__xludf.DUMMYFUNCTION("IF(ISBLANK(H365), TODAY()-TO_DATE(G365), TO_DATE(H365)-TO_DATE(G365))+1"),40.0)</f>
        <v>40</v>
      </c>
      <c r="J365" s="40" t="s">
        <v>197</v>
      </c>
      <c r="K365" s="40" t="s">
        <v>3608</v>
      </c>
      <c r="L365" s="88"/>
      <c r="M365" s="72"/>
      <c r="N365" s="29"/>
      <c r="O365" s="29"/>
      <c r="P365" s="29"/>
      <c r="Q365" s="29"/>
      <c r="R365" s="29"/>
      <c r="S365" s="29"/>
      <c r="T365" s="29"/>
      <c r="U365" s="29"/>
      <c r="V365" s="29"/>
      <c r="W365" s="29"/>
      <c r="X365" s="29"/>
      <c r="Y365" s="29"/>
      <c r="Z365" s="29"/>
      <c r="AA365" s="29"/>
      <c r="AB365" s="29"/>
      <c r="AC365" s="29"/>
      <c r="AD365" s="29"/>
      <c r="AE365" s="29"/>
      <c r="AF365" s="29"/>
      <c r="AG365" s="29"/>
    </row>
    <row r="366">
      <c r="A366" s="40" t="s">
        <v>1540</v>
      </c>
      <c r="B366" s="40" t="s">
        <v>2967</v>
      </c>
      <c r="C366" s="44" t="s">
        <v>139</v>
      </c>
      <c r="D366" s="47" t="s">
        <v>60</v>
      </c>
      <c r="E366" s="40" t="s">
        <v>2149</v>
      </c>
      <c r="F366" s="40" t="s">
        <v>230</v>
      </c>
      <c r="G366" s="50" t="s">
        <v>3611</v>
      </c>
      <c r="H366" s="53">
        <v>45890.0</v>
      </c>
      <c r="I366" s="63">
        <f>IFERROR(__xludf.DUMMYFUNCTION("IF(ISBLANK(H366), TODAY()-TO_DATE(G366), TO_DATE(H366)-TO_DATE(G366))+1"),4.0)</f>
        <v>4</v>
      </c>
      <c r="J366" s="40" t="s">
        <v>197</v>
      </c>
      <c r="K366" s="40" t="s">
        <v>2154</v>
      </c>
      <c r="L366" s="69" t="s">
        <v>3612</v>
      </c>
      <c r="M366" s="40"/>
      <c r="N366" s="29"/>
      <c r="O366" s="29"/>
      <c r="P366" s="29"/>
      <c r="Q366" s="29"/>
      <c r="R366" s="29"/>
      <c r="S366" s="29"/>
      <c r="T366" s="29"/>
      <c r="U366" s="29"/>
      <c r="V366" s="29"/>
      <c r="W366" s="29"/>
      <c r="X366" s="29"/>
      <c r="Y366" s="29"/>
      <c r="Z366" s="29"/>
      <c r="AA366" s="29"/>
      <c r="AB366" s="29"/>
      <c r="AC366" s="29"/>
      <c r="AD366" s="29"/>
      <c r="AE366" s="29"/>
      <c r="AF366" s="29"/>
      <c r="AG366" s="29"/>
    </row>
    <row r="367">
      <c r="A367" s="40" t="s">
        <v>1540</v>
      </c>
      <c r="B367" s="40" t="s">
        <v>2967</v>
      </c>
      <c r="C367" s="44" t="s">
        <v>321</v>
      </c>
      <c r="D367" s="47" t="s">
        <v>60</v>
      </c>
      <c r="E367" s="40" t="s">
        <v>3613</v>
      </c>
      <c r="F367" s="40" t="s">
        <v>3614</v>
      </c>
      <c r="G367" s="50" t="s">
        <v>3611</v>
      </c>
      <c r="H367" s="53">
        <v>45890.0</v>
      </c>
      <c r="I367" s="63">
        <f>IFERROR(__xludf.DUMMYFUNCTION("IF(ISBLANK(H367), TODAY()-TO_DATE(G367), TO_DATE(H367)-TO_DATE(G367))+1"),4.0)</f>
        <v>4</v>
      </c>
      <c r="J367" s="40" t="s">
        <v>197</v>
      </c>
      <c r="K367" s="40" t="s">
        <v>3617</v>
      </c>
      <c r="L367" s="88"/>
      <c r="M367" s="72"/>
      <c r="N367" s="29"/>
      <c r="O367" s="29"/>
      <c r="P367" s="29"/>
      <c r="Q367" s="29"/>
      <c r="R367" s="29"/>
      <c r="S367" s="29"/>
      <c r="T367" s="29"/>
      <c r="U367" s="29"/>
      <c r="V367" s="29"/>
      <c r="W367" s="29"/>
      <c r="X367" s="29"/>
      <c r="Y367" s="29"/>
      <c r="Z367" s="29"/>
      <c r="AA367" s="29"/>
      <c r="AB367" s="29"/>
      <c r="AC367" s="29"/>
      <c r="AD367" s="29"/>
      <c r="AE367" s="29"/>
      <c r="AF367" s="29"/>
      <c r="AG367" s="29"/>
    </row>
    <row r="368">
      <c r="A368" s="40" t="s">
        <v>1540</v>
      </c>
      <c r="B368" s="40" t="s">
        <v>2967</v>
      </c>
      <c r="C368" s="44" t="s">
        <v>213</v>
      </c>
      <c r="D368" s="47" t="s">
        <v>60</v>
      </c>
      <c r="E368" s="40" t="s">
        <v>3618</v>
      </c>
      <c r="F368" s="40" t="s">
        <v>3619</v>
      </c>
      <c r="G368" s="50" t="s">
        <v>3611</v>
      </c>
      <c r="H368" s="53">
        <v>45890.0</v>
      </c>
      <c r="I368" s="63">
        <f>IFERROR(__xludf.DUMMYFUNCTION("IF(ISBLANK(H368), TODAY()-TO_DATE(G368), TO_DATE(H368)-TO_DATE(G368))+1"),4.0)</f>
        <v>4</v>
      </c>
      <c r="J368" s="40" t="s">
        <v>197</v>
      </c>
      <c r="K368" s="40" t="s">
        <v>3621</v>
      </c>
      <c r="L368" s="88"/>
      <c r="M368" s="72"/>
      <c r="N368" s="29"/>
      <c r="O368" s="29"/>
      <c r="P368" s="29"/>
      <c r="Q368" s="29"/>
      <c r="R368" s="29"/>
      <c r="S368" s="29"/>
      <c r="T368" s="29"/>
      <c r="U368" s="29"/>
      <c r="V368" s="29"/>
      <c r="W368" s="29"/>
      <c r="X368" s="29"/>
      <c r="Y368" s="29"/>
      <c r="Z368" s="29"/>
      <c r="AA368" s="29"/>
      <c r="AB368" s="29"/>
      <c r="AC368" s="29"/>
      <c r="AD368" s="29"/>
      <c r="AE368" s="29"/>
      <c r="AF368" s="29"/>
      <c r="AG368" s="29"/>
    </row>
    <row r="369">
      <c r="A369" s="40" t="s">
        <v>1540</v>
      </c>
      <c r="B369" s="40" t="s">
        <v>697</v>
      </c>
      <c r="C369" s="44" t="s">
        <v>302</v>
      </c>
      <c r="D369" s="47" t="s">
        <v>326</v>
      </c>
      <c r="E369" s="40" t="s">
        <v>3624</v>
      </c>
      <c r="F369" s="40" t="s">
        <v>3625</v>
      </c>
      <c r="G369" s="50" t="s">
        <v>3611</v>
      </c>
      <c r="H369" s="53">
        <v>45921.0</v>
      </c>
      <c r="I369" s="63">
        <f>IFERROR(__xludf.DUMMYFUNCTION("IF(ISBLANK(H369), TODAY()-TO_DATE(G369), TO_DATE(H369)-TO_DATE(G369))+1"),35.0)</f>
        <v>35</v>
      </c>
      <c r="J369" s="40">
        <v>300.0</v>
      </c>
      <c r="K369" s="40" t="s">
        <v>3626</v>
      </c>
      <c r="L369" s="69" t="s">
        <v>3329</v>
      </c>
      <c r="M369" s="72"/>
      <c r="N369" s="29"/>
      <c r="O369" s="29"/>
      <c r="P369" s="29"/>
      <c r="Q369" s="29"/>
      <c r="R369" s="29"/>
      <c r="S369" s="29"/>
      <c r="T369" s="29"/>
      <c r="U369" s="29"/>
      <c r="V369" s="29"/>
      <c r="W369" s="29"/>
      <c r="X369" s="29"/>
      <c r="Y369" s="29"/>
      <c r="Z369" s="29"/>
      <c r="AA369" s="29"/>
      <c r="AB369" s="29"/>
      <c r="AC369" s="29"/>
      <c r="AD369" s="29"/>
      <c r="AE369" s="29"/>
      <c r="AF369" s="29"/>
      <c r="AG369" s="29"/>
    </row>
    <row r="370">
      <c r="A370" s="40" t="s">
        <v>1540</v>
      </c>
      <c r="B370" s="40" t="s">
        <v>2967</v>
      </c>
      <c r="C370" s="44" t="s">
        <v>178</v>
      </c>
      <c r="D370" s="47" t="s">
        <v>102</v>
      </c>
      <c r="E370" s="40" t="s">
        <v>3630</v>
      </c>
      <c r="F370" s="40" t="s">
        <v>3631</v>
      </c>
      <c r="G370" s="50" t="s">
        <v>3611</v>
      </c>
      <c r="H370" s="53">
        <v>45890.0</v>
      </c>
      <c r="I370" s="63">
        <f>IFERROR(__xludf.DUMMYFUNCTION("IF(ISBLANK(H370), TODAY()-TO_DATE(G370), TO_DATE(H370)-TO_DATE(G370))+1"),4.0)</f>
        <v>4</v>
      </c>
      <c r="J370" s="40" t="s">
        <v>197</v>
      </c>
      <c r="K370" s="40" t="s">
        <v>3632</v>
      </c>
      <c r="L370" s="88"/>
      <c r="M370" s="72"/>
      <c r="N370" s="29"/>
      <c r="O370" s="29"/>
      <c r="P370" s="29"/>
      <c r="Q370" s="29"/>
      <c r="R370" s="29"/>
      <c r="S370" s="29"/>
      <c r="T370" s="29"/>
      <c r="U370" s="29"/>
      <c r="V370" s="29"/>
      <c r="W370" s="29"/>
      <c r="X370" s="29"/>
      <c r="Y370" s="29"/>
      <c r="Z370" s="29"/>
      <c r="AA370" s="29"/>
      <c r="AB370" s="29"/>
      <c r="AC370" s="29"/>
      <c r="AD370" s="29"/>
      <c r="AE370" s="29"/>
      <c r="AF370" s="29"/>
      <c r="AG370" s="29"/>
    </row>
    <row r="371">
      <c r="A371" s="40" t="s">
        <v>1540</v>
      </c>
      <c r="B371" s="40" t="s">
        <v>2967</v>
      </c>
      <c r="C371" s="44" t="s">
        <v>178</v>
      </c>
      <c r="D371" s="47" t="s">
        <v>102</v>
      </c>
      <c r="E371" s="40" t="s">
        <v>3634</v>
      </c>
      <c r="F371" s="40" t="s">
        <v>3635</v>
      </c>
      <c r="G371" s="50" t="s">
        <v>3611</v>
      </c>
      <c r="H371" s="53">
        <v>45890.0</v>
      </c>
      <c r="I371" s="63">
        <f>IFERROR(__xludf.DUMMYFUNCTION("IF(ISBLANK(H371), TODAY()-TO_DATE(G371), TO_DATE(H371)-TO_DATE(G371))+1"),4.0)</f>
        <v>4</v>
      </c>
      <c r="J371" s="40" t="s">
        <v>197</v>
      </c>
      <c r="K371" s="40" t="s">
        <v>3636</v>
      </c>
      <c r="L371" s="88"/>
      <c r="M371" s="72"/>
      <c r="N371" s="29"/>
      <c r="O371" s="29"/>
      <c r="P371" s="29"/>
      <c r="Q371" s="29"/>
      <c r="R371" s="29"/>
      <c r="S371" s="29"/>
      <c r="T371" s="29"/>
      <c r="U371" s="29"/>
      <c r="V371" s="29"/>
      <c r="W371" s="29"/>
      <c r="X371" s="29"/>
      <c r="Y371" s="29"/>
      <c r="Z371" s="29"/>
      <c r="AA371" s="29"/>
      <c r="AB371" s="29"/>
      <c r="AC371" s="29"/>
      <c r="AD371" s="29"/>
      <c r="AE371" s="29"/>
      <c r="AF371" s="29"/>
      <c r="AG371" s="29"/>
    </row>
    <row r="372">
      <c r="A372" s="40" t="s">
        <v>660</v>
      </c>
      <c r="B372" s="40" t="s">
        <v>2967</v>
      </c>
      <c r="C372" s="44" t="s">
        <v>213</v>
      </c>
      <c r="D372" s="47" t="s">
        <v>60</v>
      </c>
      <c r="E372" s="40" t="s">
        <v>3641</v>
      </c>
      <c r="F372" s="40" t="s">
        <v>3190</v>
      </c>
      <c r="G372" s="50" t="s">
        <v>3611</v>
      </c>
      <c r="H372" s="53">
        <v>45890.0</v>
      </c>
      <c r="I372" s="63">
        <f>IFERROR(__xludf.DUMMYFUNCTION("IF(ISBLANK(H372), TODAY()-TO_DATE(G372), TO_DATE(H372)-TO_DATE(G372))+1"),4.0)</f>
        <v>4</v>
      </c>
      <c r="J372" s="40" t="s">
        <v>197</v>
      </c>
      <c r="K372" s="40" t="s">
        <v>3644</v>
      </c>
      <c r="L372" s="69" t="s">
        <v>3645</v>
      </c>
      <c r="M372" s="72"/>
      <c r="N372" s="29"/>
      <c r="O372" s="29"/>
      <c r="P372" s="29"/>
      <c r="Q372" s="29"/>
      <c r="R372" s="29"/>
      <c r="S372" s="29"/>
      <c r="T372" s="29"/>
      <c r="U372" s="29"/>
      <c r="V372" s="29"/>
      <c r="W372" s="29"/>
      <c r="X372" s="29"/>
      <c r="Y372" s="29"/>
      <c r="Z372" s="29"/>
      <c r="AA372" s="29"/>
      <c r="AB372" s="29"/>
      <c r="AC372" s="29"/>
      <c r="AD372" s="29"/>
      <c r="AE372" s="29"/>
      <c r="AF372" s="29"/>
      <c r="AG372" s="29"/>
    </row>
    <row r="373">
      <c r="A373" s="40" t="s">
        <v>660</v>
      </c>
      <c r="B373" s="40" t="s">
        <v>2967</v>
      </c>
      <c r="C373" s="44" t="s">
        <v>187</v>
      </c>
      <c r="D373" s="47" t="s">
        <v>60</v>
      </c>
      <c r="E373" s="40" t="s">
        <v>3032</v>
      </c>
      <c r="F373" s="40" t="s">
        <v>1514</v>
      </c>
      <c r="G373" s="50" t="s">
        <v>3611</v>
      </c>
      <c r="H373" s="53">
        <v>45890.0</v>
      </c>
      <c r="I373" s="63">
        <f>IFERROR(__xludf.DUMMYFUNCTION("IF(ISBLANK(H373), TODAY()-TO_DATE(G373), TO_DATE(H373)-TO_DATE(G373))+1"),4.0)</f>
        <v>4</v>
      </c>
      <c r="J373" s="40" t="s">
        <v>197</v>
      </c>
      <c r="K373" s="40" t="s">
        <v>3649</v>
      </c>
      <c r="L373" s="69" t="s">
        <v>2691</v>
      </c>
      <c r="M373" s="72"/>
      <c r="N373" s="29"/>
      <c r="O373" s="29"/>
      <c r="P373" s="29"/>
      <c r="Q373" s="29"/>
      <c r="R373" s="29"/>
      <c r="S373" s="29"/>
      <c r="T373" s="29"/>
      <c r="U373" s="29"/>
      <c r="V373" s="29"/>
      <c r="W373" s="29"/>
      <c r="X373" s="29"/>
      <c r="Y373" s="29"/>
      <c r="Z373" s="29"/>
      <c r="AA373" s="29"/>
      <c r="AB373" s="29"/>
      <c r="AC373" s="29"/>
      <c r="AD373" s="29"/>
      <c r="AE373" s="29"/>
      <c r="AF373" s="29"/>
      <c r="AG373" s="29"/>
    </row>
    <row r="374">
      <c r="A374" s="40" t="s">
        <v>1540</v>
      </c>
      <c r="B374" s="40" t="s">
        <v>697</v>
      </c>
      <c r="C374" s="44" t="s">
        <v>201</v>
      </c>
      <c r="D374" s="47" t="s">
        <v>60</v>
      </c>
      <c r="E374" s="40" t="s">
        <v>373</v>
      </c>
      <c r="F374" s="40" t="s">
        <v>3650</v>
      </c>
      <c r="G374" s="50" t="s">
        <v>3651</v>
      </c>
      <c r="H374" s="53">
        <v>45929.0</v>
      </c>
      <c r="I374" s="63">
        <f>IFERROR(__xludf.DUMMYFUNCTION("IF(ISBLANK(H374), TODAY()-TO_DATE(G374), TO_DATE(H374)-TO_DATE(G374))+1"),42.0)</f>
        <v>42</v>
      </c>
      <c r="J374" s="40" t="s">
        <v>197</v>
      </c>
      <c r="K374" s="40" t="s">
        <v>3313</v>
      </c>
      <c r="L374" s="69" t="s">
        <v>3654</v>
      </c>
      <c r="M374" s="72"/>
      <c r="N374" s="29"/>
      <c r="O374" s="29"/>
      <c r="P374" s="29"/>
      <c r="Q374" s="29"/>
      <c r="R374" s="29"/>
      <c r="S374" s="29"/>
      <c r="T374" s="29"/>
      <c r="U374" s="29"/>
      <c r="V374" s="29"/>
      <c r="W374" s="29"/>
      <c r="X374" s="29"/>
      <c r="Y374" s="29"/>
      <c r="Z374" s="29"/>
      <c r="AA374" s="29"/>
      <c r="AB374" s="29"/>
      <c r="AC374" s="29"/>
      <c r="AD374" s="29"/>
      <c r="AE374" s="29"/>
      <c r="AF374" s="29"/>
      <c r="AG374" s="29"/>
    </row>
    <row r="375">
      <c r="A375" s="40" t="s">
        <v>1540</v>
      </c>
      <c r="B375" s="40" t="s">
        <v>697</v>
      </c>
      <c r="C375" s="44" t="s">
        <v>213</v>
      </c>
      <c r="D375" s="47" t="s">
        <v>60</v>
      </c>
      <c r="E375" s="40" t="s">
        <v>2796</v>
      </c>
      <c r="F375" s="40" t="s">
        <v>3640</v>
      </c>
      <c r="G375" s="50" t="s">
        <v>3651</v>
      </c>
      <c r="H375" s="53">
        <v>45932.0</v>
      </c>
      <c r="I375" s="63">
        <f>IFERROR(__xludf.DUMMYFUNCTION("IF(ISBLANK(H375), TODAY()-TO_DATE(G375), TO_DATE(H375)-TO_DATE(G375))+1"),45.0)</f>
        <v>45</v>
      </c>
      <c r="J375" s="40" t="s">
        <v>197</v>
      </c>
      <c r="K375" s="40" t="s">
        <v>2798</v>
      </c>
      <c r="L375" s="69" t="s">
        <v>3657</v>
      </c>
      <c r="M375" s="72"/>
      <c r="N375" s="29"/>
      <c r="O375" s="29"/>
      <c r="P375" s="29"/>
      <c r="Q375" s="29"/>
      <c r="R375" s="29"/>
      <c r="S375" s="29"/>
      <c r="T375" s="29"/>
      <c r="U375" s="29"/>
      <c r="V375" s="29"/>
      <c r="W375" s="29"/>
      <c r="X375" s="29"/>
      <c r="Y375" s="29"/>
      <c r="Z375" s="29"/>
      <c r="AA375" s="29"/>
      <c r="AB375" s="29"/>
      <c r="AC375" s="29"/>
      <c r="AD375" s="29"/>
      <c r="AE375" s="29"/>
      <c r="AF375" s="29"/>
      <c r="AG375" s="29"/>
    </row>
    <row r="376">
      <c r="A376" s="40" t="s">
        <v>1540</v>
      </c>
      <c r="B376" s="40" t="s">
        <v>697</v>
      </c>
      <c r="C376" s="44" t="s">
        <v>331</v>
      </c>
      <c r="D376" s="47" t="s">
        <v>360</v>
      </c>
      <c r="E376" s="40" t="s">
        <v>3315</v>
      </c>
      <c r="F376" s="40" t="s">
        <v>3316</v>
      </c>
      <c r="G376" s="50" t="s">
        <v>3651</v>
      </c>
      <c r="H376" s="53">
        <v>45932.0</v>
      </c>
      <c r="I376" s="63">
        <f>IFERROR(__xludf.DUMMYFUNCTION("IF(ISBLANK(H376), TODAY()-TO_DATE(G376), TO_DATE(H376)-TO_DATE(G376))+1"),45.0)</f>
        <v>45</v>
      </c>
      <c r="J376" s="40" t="s">
        <v>197</v>
      </c>
      <c r="K376" s="40" t="s">
        <v>3319</v>
      </c>
      <c r="L376" s="88"/>
      <c r="M376" s="72"/>
      <c r="N376" s="29"/>
      <c r="O376" s="29"/>
      <c r="P376" s="29"/>
      <c r="Q376" s="29"/>
      <c r="R376" s="29"/>
      <c r="S376" s="29"/>
      <c r="T376" s="29"/>
      <c r="U376" s="29"/>
      <c r="V376" s="29"/>
      <c r="W376" s="29"/>
      <c r="X376" s="29"/>
      <c r="Y376" s="29"/>
      <c r="Z376" s="29"/>
      <c r="AA376" s="29"/>
      <c r="AB376" s="29"/>
      <c r="AC376" s="29"/>
      <c r="AD376" s="29"/>
      <c r="AE376" s="29"/>
      <c r="AF376" s="29"/>
      <c r="AG376" s="29"/>
    </row>
    <row r="377">
      <c r="A377" s="40" t="s">
        <v>660</v>
      </c>
      <c r="B377" s="40" t="s">
        <v>697</v>
      </c>
      <c r="C377" s="44" t="s">
        <v>213</v>
      </c>
      <c r="D377" s="47" t="s">
        <v>60</v>
      </c>
      <c r="E377" s="40" t="s">
        <v>3664</v>
      </c>
      <c r="F377" s="40" t="s">
        <v>3130</v>
      </c>
      <c r="G377" s="50" t="s">
        <v>3651</v>
      </c>
      <c r="H377" s="53">
        <v>45926.0</v>
      </c>
      <c r="I377" s="63">
        <f>IFERROR(__xludf.DUMMYFUNCTION("IF(ISBLANK(H377), TODAY()-TO_DATE(G377), TO_DATE(H377)-TO_DATE(G377))+1"),39.0)</f>
        <v>39</v>
      </c>
      <c r="J377" s="40" t="s">
        <v>197</v>
      </c>
      <c r="K377" s="40" t="s">
        <v>3665</v>
      </c>
      <c r="L377" s="88"/>
      <c r="M377" s="72"/>
      <c r="N377" s="29"/>
      <c r="O377" s="29"/>
      <c r="P377" s="29"/>
      <c r="Q377" s="29"/>
      <c r="R377" s="29"/>
      <c r="S377" s="29"/>
      <c r="T377" s="29"/>
      <c r="U377" s="29"/>
      <c r="V377" s="29"/>
      <c r="W377" s="29"/>
      <c r="X377" s="29"/>
      <c r="Y377" s="29"/>
      <c r="Z377" s="29"/>
      <c r="AA377" s="29"/>
      <c r="AB377" s="29"/>
      <c r="AC377" s="29"/>
      <c r="AD377" s="29"/>
      <c r="AE377" s="29"/>
      <c r="AF377" s="29"/>
      <c r="AG377" s="29"/>
    </row>
    <row r="378">
      <c r="A378" s="40" t="s">
        <v>1510</v>
      </c>
      <c r="B378" s="40" t="s">
        <v>697</v>
      </c>
      <c r="C378" s="44" t="s">
        <v>1431</v>
      </c>
      <c r="D378" s="47" t="s">
        <v>60</v>
      </c>
      <c r="E378" s="40" t="s">
        <v>3669</v>
      </c>
      <c r="F378" s="40" t="s">
        <v>3670</v>
      </c>
      <c r="G378" s="50" t="s">
        <v>3672</v>
      </c>
      <c r="H378" s="53">
        <v>45916.0</v>
      </c>
      <c r="I378" s="63">
        <f>IFERROR(__xludf.DUMMYFUNCTION("IF(ISBLANK(H378), TODAY()-TO_DATE(G378), TO_DATE(H378)-TO_DATE(G378))+1"),26.0)</f>
        <v>26</v>
      </c>
      <c r="J378" s="40">
        <v>300.0</v>
      </c>
      <c r="K378" s="40" t="s">
        <v>3677</v>
      </c>
      <c r="L378" s="69" t="s">
        <v>3678</v>
      </c>
      <c r="M378" s="72"/>
      <c r="N378" s="29"/>
      <c r="O378" s="29"/>
      <c r="P378" s="29"/>
      <c r="Q378" s="29"/>
      <c r="R378" s="29"/>
      <c r="S378" s="29"/>
      <c r="T378" s="29"/>
      <c r="U378" s="29"/>
      <c r="V378" s="29"/>
      <c r="W378" s="29"/>
      <c r="X378" s="29"/>
      <c r="Y378" s="29"/>
      <c r="Z378" s="29"/>
      <c r="AA378" s="29"/>
      <c r="AB378" s="29"/>
      <c r="AC378" s="29"/>
      <c r="AD378" s="29"/>
      <c r="AE378" s="29"/>
      <c r="AF378" s="29"/>
      <c r="AG378" s="29"/>
    </row>
    <row r="379">
      <c r="A379" s="40" t="s">
        <v>1510</v>
      </c>
      <c r="B379" s="40" t="s">
        <v>697</v>
      </c>
      <c r="C379" s="44" t="s">
        <v>1522</v>
      </c>
      <c r="D379" s="47" t="s">
        <v>60</v>
      </c>
      <c r="E379" s="40" t="s">
        <v>3682</v>
      </c>
      <c r="F379" s="40" t="s">
        <v>3683</v>
      </c>
      <c r="G379" s="50" t="s">
        <v>3672</v>
      </c>
      <c r="H379" s="53">
        <v>45913.0</v>
      </c>
      <c r="I379" s="63">
        <f>IFERROR(__xludf.DUMMYFUNCTION("IF(ISBLANK(H379), TODAY()-TO_DATE(G379), TO_DATE(H379)-TO_DATE(G379))+1"),23.0)</f>
        <v>23</v>
      </c>
      <c r="J379" s="40">
        <v>500.0</v>
      </c>
      <c r="K379" s="40" t="s">
        <v>3686</v>
      </c>
      <c r="L379" s="69" t="s">
        <v>3688</v>
      </c>
      <c r="M379" s="72"/>
      <c r="N379" s="29"/>
      <c r="O379" s="29"/>
      <c r="P379" s="29"/>
      <c r="Q379" s="29"/>
      <c r="R379" s="29"/>
      <c r="S379" s="29"/>
      <c r="T379" s="29"/>
      <c r="U379" s="29"/>
      <c r="V379" s="29"/>
      <c r="W379" s="29"/>
      <c r="X379" s="29"/>
      <c r="Y379" s="29"/>
      <c r="Z379" s="29"/>
      <c r="AA379" s="29"/>
      <c r="AB379" s="29"/>
      <c r="AC379" s="29"/>
      <c r="AD379" s="29"/>
      <c r="AE379" s="29"/>
      <c r="AF379" s="29"/>
      <c r="AG379" s="29"/>
    </row>
    <row r="380">
      <c r="A380" s="40" t="s">
        <v>1510</v>
      </c>
      <c r="B380" s="40" t="s">
        <v>697</v>
      </c>
      <c r="C380" s="44" t="s">
        <v>139</v>
      </c>
      <c r="D380" s="47" t="s">
        <v>60</v>
      </c>
      <c r="E380" s="40" t="s">
        <v>3691</v>
      </c>
      <c r="F380" s="40" t="s">
        <v>3692</v>
      </c>
      <c r="G380" s="50" t="s">
        <v>3672</v>
      </c>
      <c r="H380" s="53">
        <v>45927.0</v>
      </c>
      <c r="I380" s="63">
        <f>IFERROR(__xludf.DUMMYFUNCTION("IF(ISBLANK(H380), TODAY()-TO_DATE(G380), TO_DATE(H380)-TO_DATE(G380))+1"),37.0)</f>
        <v>37</v>
      </c>
      <c r="J380" s="40" t="s">
        <v>197</v>
      </c>
      <c r="K380" s="40" t="s">
        <v>3699</v>
      </c>
      <c r="L380" s="69" t="s">
        <v>3700</v>
      </c>
      <c r="M380" s="72"/>
      <c r="N380" s="29"/>
      <c r="O380" s="29"/>
      <c r="P380" s="29"/>
      <c r="Q380" s="29"/>
      <c r="R380" s="29"/>
      <c r="S380" s="29"/>
      <c r="T380" s="29"/>
      <c r="U380" s="29"/>
      <c r="V380" s="29"/>
      <c r="W380" s="29"/>
      <c r="X380" s="29"/>
      <c r="Y380" s="29"/>
      <c r="Z380" s="29"/>
      <c r="AA380" s="29"/>
      <c r="AB380" s="29"/>
      <c r="AC380" s="29"/>
      <c r="AD380" s="29"/>
      <c r="AE380" s="29"/>
      <c r="AF380" s="29"/>
      <c r="AG380" s="29"/>
    </row>
    <row r="381">
      <c r="A381" s="40" t="s">
        <v>1510</v>
      </c>
      <c r="B381" s="40" t="s">
        <v>697</v>
      </c>
      <c r="C381" s="44" t="s">
        <v>201</v>
      </c>
      <c r="D381" s="47" t="s">
        <v>60</v>
      </c>
      <c r="E381" s="40" t="s">
        <v>3705</v>
      </c>
      <c r="F381" s="40" t="s">
        <v>3706</v>
      </c>
      <c r="G381" s="50" t="s">
        <v>3672</v>
      </c>
      <c r="H381" s="53">
        <v>45901.0</v>
      </c>
      <c r="I381" s="63">
        <f>IFERROR(__xludf.DUMMYFUNCTION("IF(ISBLANK(H381), TODAY()-TO_DATE(G381), TO_DATE(H381)-TO_DATE(G381))+1"),11.0)</f>
        <v>11</v>
      </c>
      <c r="J381" s="40">
        <v>500.0</v>
      </c>
      <c r="K381" s="40" t="s">
        <v>3710</v>
      </c>
      <c r="L381" s="88"/>
      <c r="M381" s="72"/>
      <c r="N381" s="29"/>
      <c r="O381" s="29"/>
      <c r="P381" s="29"/>
      <c r="Q381" s="29"/>
      <c r="R381" s="29"/>
      <c r="S381" s="29"/>
      <c r="T381" s="29"/>
      <c r="U381" s="29"/>
      <c r="V381" s="29"/>
      <c r="W381" s="29"/>
      <c r="X381" s="29"/>
      <c r="Y381" s="29"/>
      <c r="Z381" s="29"/>
      <c r="AA381" s="29"/>
      <c r="AB381" s="29"/>
      <c r="AC381" s="29"/>
      <c r="AD381" s="29"/>
      <c r="AE381" s="29"/>
      <c r="AF381" s="29"/>
      <c r="AG381" s="29"/>
    </row>
    <row r="382">
      <c r="A382" s="40" t="s">
        <v>1510</v>
      </c>
      <c r="B382" s="40" t="s">
        <v>697</v>
      </c>
      <c r="C382" s="44" t="s">
        <v>1637</v>
      </c>
      <c r="D382" s="47" t="s">
        <v>60</v>
      </c>
      <c r="E382" s="40" t="s">
        <v>2827</v>
      </c>
      <c r="F382" s="40" t="s">
        <v>2828</v>
      </c>
      <c r="G382" s="50" t="s">
        <v>3672</v>
      </c>
      <c r="H382" s="53">
        <v>45904.0</v>
      </c>
      <c r="I382" s="63">
        <f>IFERROR(__xludf.DUMMYFUNCTION("IF(ISBLANK(H382), TODAY()-TO_DATE(G382), TO_DATE(H382)-TO_DATE(G382))+1"),14.0)</f>
        <v>14</v>
      </c>
      <c r="J382" s="40">
        <v>300.0</v>
      </c>
      <c r="K382" s="40" t="s">
        <v>3721</v>
      </c>
      <c r="L382" s="69" t="s">
        <v>3723</v>
      </c>
      <c r="M382" s="72"/>
      <c r="N382" s="29"/>
      <c r="O382" s="29"/>
      <c r="P382" s="29"/>
      <c r="Q382" s="29"/>
      <c r="R382" s="29"/>
      <c r="S382" s="29"/>
      <c r="T382" s="29"/>
      <c r="U382" s="29"/>
      <c r="V382" s="29"/>
      <c r="W382" s="29"/>
      <c r="X382" s="29"/>
      <c r="Y382" s="29"/>
      <c r="Z382" s="29"/>
      <c r="AA382" s="29"/>
      <c r="AB382" s="29"/>
      <c r="AC382" s="29"/>
      <c r="AD382" s="29"/>
      <c r="AE382" s="29"/>
      <c r="AF382" s="29"/>
      <c r="AG382" s="29"/>
    </row>
    <row r="383">
      <c r="A383" s="40" t="s">
        <v>1510</v>
      </c>
      <c r="B383" s="40" t="s">
        <v>697</v>
      </c>
      <c r="C383" s="44" t="s">
        <v>201</v>
      </c>
      <c r="D383" s="47" t="s">
        <v>60</v>
      </c>
      <c r="E383" s="40" t="s">
        <v>3729</v>
      </c>
      <c r="F383" s="40" t="s">
        <v>3406</v>
      </c>
      <c r="G383" s="50" t="s">
        <v>3672</v>
      </c>
      <c r="H383" s="53">
        <v>45918.0</v>
      </c>
      <c r="I383" s="63">
        <f>IFERROR(__xludf.DUMMYFUNCTION("IF(ISBLANK(H383), TODAY()-TO_DATE(G383), TO_DATE(H383)-TO_DATE(G383))+1"),28.0)</f>
        <v>28</v>
      </c>
      <c r="J383" s="40">
        <v>500.0</v>
      </c>
      <c r="K383" s="40" t="s">
        <v>3736</v>
      </c>
      <c r="L383" s="88"/>
      <c r="M383" s="72"/>
      <c r="N383" s="29"/>
      <c r="O383" s="29"/>
      <c r="P383" s="29"/>
      <c r="Q383" s="29"/>
      <c r="R383" s="29"/>
      <c r="S383" s="29"/>
      <c r="T383" s="29"/>
      <c r="U383" s="29"/>
      <c r="V383" s="29"/>
      <c r="W383" s="29"/>
      <c r="X383" s="29"/>
      <c r="Y383" s="29"/>
      <c r="Z383" s="29"/>
      <c r="AA383" s="29"/>
      <c r="AB383" s="29"/>
      <c r="AC383" s="29"/>
      <c r="AD383" s="29"/>
      <c r="AE383" s="29"/>
      <c r="AF383" s="29"/>
      <c r="AG383" s="29"/>
    </row>
    <row r="384">
      <c r="A384" s="40" t="s">
        <v>1510</v>
      </c>
      <c r="B384" s="40" t="s">
        <v>697</v>
      </c>
      <c r="C384" s="44" t="s">
        <v>786</v>
      </c>
      <c r="D384" s="47" t="s">
        <v>60</v>
      </c>
      <c r="E384" s="40" t="s">
        <v>3741</v>
      </c>
      <c r="F384" s="40" t="s">
        <v>3744</v>
      </c>
      <c r="G384" s="50" t="s">
        <v>3672</v>
      </c>
      <c r="H384" s="53">
        <v>45900.0</v>
      </c>
      <c r="I384" s="63">
        <f>IFERROR(__xludf.DUMMYFUNCTION("IF(ISBLANK(H384), TODAY()-TO_DATE(G384), TO_DATE(H384)-TO_DATE(G384))+1"),10.0)</f>
        <v>10</v>
      </c>
      <c r="J384" s="40">
        <v>500.0</v>
      </c>
      <c r="K384" s="40" t="s">
        <v>3748</v>
      </c>
      <c r="L384" s="88"/>
      <c r="M384" s="72"/>
      <c r="N384" s="29"/>
      <c r="O384" s="29"/>
      <c r="P384" s="29"/>
      <c r="Q384" s="29"/>
      <c r="R384" s="29"/>
      <c r="S384" s="29"/>
      <c r="T384" s="29"/>
      <c r="U384" s="29"/>
      <c r="V384" s="29"/>
      <c r="W384" s="29"/>
      <c r="X384" s="29"/>
      <c r="Y384" s="29"/>
      <c r="Z384" s="29"/>
      <c r="AA384" s="29"/>
      <c r="AB384" s="29"/>
      <c r="AC384" s="29"/>
      <c r="AD384" s="29"/>
      <c r="AE384" s="29"/>
      <c r="AF384" s="29"/>
      <c r="AG384" s="29"/>
    </row>
    <row r="385">
      <c r="A385" s="40" t="s">
        <v>1510</v>
      </c>
      <c r="B385" s="40" t="s">
        <v>697</v>
      </c>
      <c r="C385" s="44" t="s">
        <v>1522</v>
      </c>
      <c r="D385" s="47" t="s">
        <v>60</v>
      </c>
      <c r="E385" s="40" t="s">
        <v>3754</v>
      </c>
      <c r="F385" s="40" t="s">
        <v>2836</v>
      </c>
      <c r="G385" s="50" t="s">
        <v>3672</v>
      </c>
      <c r="H385" s="53">
        <v>45902.0</v>
      </c>
      <c r="I385" s="63">
        <f>IFERROR(__xludf.DUMMYFUNCTION("IF(ISBLANK(H385), TODAY()-TO_DATE(G385), TO_DATE(H385)-TO_DATE(G385))+1"),12.0)</f>
        <v>12</v>
      </c>
      <c r="J385" s="40">
        <v>500.0</v>
      </c>
      <c r="K385" s="40" t="s">
        <v>3758</v>
      </c>
      <c r="L385" s="88"/>
      <c r="M385" s="72"/>
      <c r="N385" s="29"/>
      <c r="O385" s="29"/>
      <c r="P385" s="29"/>
      <c r="Q385" s="29"/>
      <c r="R385" s="29"/>
      <c r="S385" s="29"/>
      <c r="T385" s="29"/>
      <c r="U385" s="29"/>
      <c r="V385" s="29"/>
      <c r="W385" s="29"/>
      <c r="X385" s="29"/>
      <c r="Y385" s="29"/>
      <c r="Z385" s="29"/>
      <c r="AA385" s="29"/>
      <c r="AB385" s="29"/>
      <c r="AC385" s="29"/>
      <c r="AD385" s="29"/>
      <c r="AE385" s="29"/>
      <c r="AF385" s="29"/>
      <c r="AG385" s="29"/>
    </row>
    <row r="386">
      <c r="A386" s="40" t="s">
        <v>1510</v>
      </c>
      <c r="B386" s="40" t="s">
        <v>697</v>
      </c>
      <c r="C386" s="44" t="s">
        <v>2562</v>
      </c>
      <c r="D386" s="47" t="s">
        <v>60</v>
      </c>
      <c r="E386" s="40" t="s">
        <v>1387</v>
      </c>
      <c r="F386" s="40" t="s">
        <v>1388</v>
      </c>
      <c r="G386" s="50" t="s">
        <v>3672</v>
      </c>
      <c r="H386" s="53">
        <v>45915.0</v>
      </c>
      <c r="I386" s="63">
        <f>IFERROR(__xludf.DUMMYFUNCTION("IF(ISBLANK(H386), TODAY()-TO_DATE(G386), TO_DATE(H386)-TO_DATE(G386))+1"),25.0)</f>
        <v>25</v>
      </c>
      <c r="J386" s="40">
        <v>300.0</v>
      </c>
      <c r="K386" s="40" t="s">
        <v>3767</v>
      </c>
      <c r="L386" s="69" t="s">
        <v>3768</v>
      </c>
      <c r="M386" s="72"/>
      <c r="N386" s="29"/>
      <c r="O386" s="29"/>
      <c r="P386" s="29"/>
      <c r="Q386" s="29"/>
      <c r="R386" s="29"/>
      <c r="S386" s="29"/>
      <c r="T386" s="29"/>
      <c r="U386" s="29"/>
      <c r="V386" s="29"/>
      <c r="W386" s="29"/>
      <c r="X386" s="29"/>
      <c r="Y386" s="29"/>
      <c r="Z386" s="29"/>
      <c r="AA386" s="29"/>
      <c r="AB386" s="29"/>
      <c r="AC386" s="29"/>
      <c r="AD386" s="29"/>
      <c r="AE386" s="29"/>
      <c r="AF386" s="29"/>
      <c r="AG386" s="29"/>
    </row>
    <row r="387">
      <c r="A387" s="40" t="s">
        <v>1510</v>
      </c>
      <c r="B387" s="40" t="s">
        <v>697</v>
      </c>
      <c r="C387" s="44" t="s">
        <v>178</v>
      </c>
      <c r="D387" s="47" t="s">
        <v>60</v>
      </c>
      <c r="E387" s="40" t="s">
        <v>3773</v>
      </c>
      <c r="F387" s="40" t="s">
        <v>3774</v>
      </c>
      <c r="G387" s="50" t="s">
        <v>3672</v>
      </c>
      <c r="H387" s="53">
        <v>45905.0</v>
      </c>
      <c r="I387" s="63">
        <f>IFERROR(__xludf.DUMMYFUNCTION("IF(ISBLANK(H387), TODAY()-TO_DATE(G387), TO_DATE(H387)-TO_DATE(G387))+1"),15.0)</f>
        <v>15</v>
      </c>
      <c r="J387" s="40">
        <v>500.0</v>
      </c>
      <c r="K387" s="40" t="s">
        <v>3777</v>
      </c>
      <c r="L387" s="69" t="s">
        <v>3778</v>
      </c>
      <c r="M387" s="72"/>
      <c r="N387" s="29"/>
      <c r="O387" s="29"/>
      <c r="P387" s="29"/>
      <c r="Q387" s="29"/>
      <c r="R387" s="29"/>
      <c r="S387" s="29"/>
      <c r="T387" s="29"/>
      <c r="U387" s="29"/>
      <c r="V387" s="29"/>
      <c r="W387" s="29"/>
      <c r="X387" s="29"/>
      <c r="Y387" s="29"/>
      <c r="Z387" s="29"/>
      <c r="AA387" s="29"/>
      <c r="AB387" s="29"/>
      <c r="AC387" s="29"/>
      <c r="AD387" s="29"/>
      <c r="AE387" s="29"/>
      <c r="AF387" s="29"/>
      <c r="AG387" s="29"/>
    </row>
    <row r="388">
      <c r="A388" s="40" t="s">
        <v>1923</v>
      </c>
      <c r="B388" s="40" t="s">
        <v>697</v>
      </c>
      <c r="C388" s="44" t="s">
        <v>1924</v>
      </c>
      <c r="D388" s="47" t="s">
        <v>102</v>
      </c>
      <c r="E388" s="40" t="s">
        <v>2260</v>
      </c>
      <c r="F388" s="40" t="s">
        <v>334</v>
      </c>
      <c r="G388" s="50" t="s">
        <v>3783</v>
      </c>
      <c r="H388" s="53">
        <v>45900.0</v>
      </c>
      <c r="I388" s="63">
        <f>IFERROR(__xludf.DUMMYFUNCTION("IF(ISBLANK(H388), TODAY()-TO_DATE(G388), TO_DATE(H388)-TO_DATE(G388))+1"),8.0)</f>
        <v>8</v>
      </c>
      <c r="J388" s="40" t="s">
        <v>197</v>
      </c>
      <c r="K388" s="40" t="s">
        <v>3787</v>
      </c>
      <c r="L388" s="69" t="s">
        <v>3296</v>
      </c>
      <c r="M388" s="72"/>
      <c r="N388" s="29"/>
      <c r="O388" s="29"/>
      <c r="P388" s="29"/>
      <c r="Q388" s="29"/>
      <c r="R388" s="29"/>
      <c r="S388" s="29"/>
      <c r="T388" s="29"/>
      <c r="U388" s="29"/>
      <c r="V388" s="29"/>
      <c r="W388" s="29"/>
      <c r="X388" s="29"/>
      <c r="Y388" s="29"/>
      <c r="Z388" s="29"/>
      <c r="AA388" s="29"/>
      <c r="AB388" s="29"/>
      <c r="AC388" s="29"/>
      <c r="AD388" s="29"/>
      <c r="AE388" s="29"/>
      <c r="AF388" s="29"/>
      <c r="AG388" s="29"/>
    </row>
    <row r="389">
      <c r="A389" s="40" t="s">
        <v>1923</v>
      </c>
      <c r="B389" s="40" t="s">
        <v>697</v>
      </c>
      <c r="C389" s="44" t="s">
        <v>331</v>
      </c>
      <c r="D389" s="47" t="s">
        <v>60</v>
      </c>
      <c r="E389" s="40" t="s">
        <v>3020</v>
      </c>
      <c r="F389" s="40" t="s">
        <v>3024</v>
      </c>
      <c r="G389" s="50" t="s">
        <v>3783</v>
      </c>
      <c r="H389" s="53">
        <v>45900.0</v>
      </c>
      <c r="I389" s="63">
        <f>IFERROR(__xludf.DUMMYFUNCTION("IF(ISBLANK(H389), TODAY()-TO_DATE(G389), TO_DATE(H389)-TO_DATE(G389))+1"),8.0)</f>
        <v>8</v>
      </c>
      <c r="J389" s="40" t="s">
        <v>197</v>
      </c>
      <c r="K389" s="40" t="s">
        <v>3287</v>
      </c>
      <c r="L389" s="69" t="s">
        <v>2264</v>
      </c>
      <c r="M389" s="72"/>
      <c r="N389" s="29"/>
      <c r="O389" s="29"/>
      <c r="P389" s="29"/>
      <c r="Q389" s="29"/>
      <c r="R389" s="29"/>
      <c r="S389" s="29"/>
      <c r="T389" s="29"/>
      <c r="U389" s="29"/>
      <c r="V389" s="29"/>
      <c r="W389" s="29"/>
      <c r="X389" s="29"/>
      <c r="Y389" s="29"/>
      <c r="Z389" s="29"/>
      <c r="AA389" s="29"/>
      <c r="AB389" s="29"/>
      <c r="AC389" s="29"/>
      <c r="AD389" s="29"/>
      <c r="AE389" s="29"/>
      <c r="AF389" s="29"/>
      <c r="AG389" s="29"/>
    </row>
    <row r="390">
      <c r="A390" s="40" t="s">
        <v>1923</v>
      </c>
      <c r="B390" s="40" t="s">
        <v>697</v>
      </c>
      <c r="C390" s="44" t="s">
        <v>331</v>
      </c>
      <c r="D390" s="47" t="s">
        <v>60</v>
      </c>
      <c r="E390" s="40" t="s">
        <v>3276</v>
      </c>
      <c r="F390" s="40" t="s">
        <v>3277</v>
      </c>
      <c r="G390" s="50" t="s">
        <v>3783</v>
      </c>
      <c r="H390" s="53">
        <v>45900.0</v>
      </c>
      <c r="I390" s="63">
        <f>IFERROR(__xludf.DUMMYFUNCTION("IF(ISBLANK(H390), TODAY()-TO_DATE(G390), TO_DATE(H390)-TO_DATE(G390))+1"),8.0)</f>
        <v>8</v>
      </c>
      <c r="J390" s="40" t="s">
        <v>197</v>
      </c>
      <c r="K390" s="40" t="s">
        <v>3280</v>
      </c>
      <c r="L390" s="69" t="s">
        <v>3281</v>
      </c>
      <c r="M390" s="72"/>
      <c r="N390" s="29"/>
      <c r="O390" s="29"/>
      <c r="P390" s="29"/>
      <c r="Q390" s="29"/>
      <c r="R390" s="29"/>
      <c r="S390" s="29"/>
      <c r="T390" s="29"/>
      <c r="U390" s="29"/>
      <c r="V390" s="29"/>
      <c r="W390" s="29"/>
      <c r="X390" s="29"/>
      <c r="Y390" s="29"/>
      <c r="Z390" s="29"/>
      <c r="AA390" s="29"/>
      <c r="AB390" s="29"/>
      <c r="AC390" s="29"/>
      <c r="AD390" s="29"/>
      <c r="AE390" s="29"/>
      <c r="AF390" s="29"/>
      <c r="AG390" s="29"/>
    </row>
    <row r="391">
      <c r="A391" s="40" t="s">
        <v>1923</v>
      </c>
      <c r="B391" s="40" t="s">
        <v>697</v>
      </c>
      <c r="C391" s="44" t="s">
        <v>331</v>
      </c>
      <c r="D391" s="47" t="s">
        <v>60</v>
      </c>
      <c r="E391" s="40" t="s">
        <v>3288</v>
      </c>
      <c r="F391" s="40" t="s">
        <v>3289</v>
      </c>
      <c r="G391" s="50" t="s">
        <v>3783</v>
      </c>
      <c r="H391" s="53">
        <v>45900.0</v>
      </c>
      <c r="I391" s="63">
        <f>IFERROR(__xludf.DUMMYFUNCTION("IF(ISBLANK(H391), TODAY()-TO_DATE(G391), TO_DATE(H391)-TO_DATE(G391))+1"),8.0)</f>
        <v>8</v>
      </c>
      <c r="J391" s="40" t="s">
        <v>197</v>
      </c>
      <c r="K391" s="40" t="s">
        <v>3291</v>
      </c>
      <c r="L391" s="69" t="s">
        <v>3292</v>
      </c>
      <c r="M391" s="72"/>
      <c r="N391" s="29"/>
      <c r="O391" s="29"/>
      <c r="P391" s="29"/>
      <c r="Q391" s="29"/>
      <c r="R391" s="29"/>
      <c r="S391" s="29"/>
      <c r="T391" s="29"/>
      <c r="U391" s="29"/>
      <c r="V391" s="29"/>
      <c r="W391" s="29"/>
      <c r="X391" s="29"/>
      <c r="Y391" s="29"/>
      <c r="Z391" s="29"/>
      <c r="AA391" s="29"/>
      <c r="AB391" s="29"/>
      <c r="AC391" s="29"/>
      <c r="AD391" s="29"/>
      <c r="AE391" s="29"/>
      <c r="AF391" s="29"/>
      <c r="AG391" s="29"/>
    </row>
    <row r="392">
      <c r="A392" s="40" t="s">
        <v>1923</v>
      </c>
      <c r="B392" s="40" t="s">
        <v>697</v>
      </c>
      <c r="C392" s="44" t="s">
        <v>1924</v>
      </c>
      <c r="D392" s="47" t="s">
        <v>102</v>
      </c>
      <c r="E392" s="40" t="s">
        <v>176</v>
      </c>
      <c r="F392" s="40" t="s">
        <v>177</v>
      </c>
      <c r="G392" s="50" t="s">
        <v>3821</v>
      </c>
      <c r="H392" s="53">
        <v>45898.0</v>
      </c>
      <c r="I392" s="63">
        <f>IFERROR(__xludf.DUMMYFUNCTION("IF(ISBLANK(H392), TODAY()-TO_DATE(G392), TO_DATE(H392)-TO_DATE(G392))+1"),2.0)</f>
        <v>2</v>
      </c>
      <c r="J392" s="40" t="s">
        <v>197</v>
      </c>
      <c r="K392" s="40" t="s">
        <v>1927</v>
      </c>
      <c r="L392" s="69" t="s">
        <v>3292</v>
      </c>
      <c r="M392" s="72"/>
      <c r="N392" s="29"/>
      <c r="O392" s="29"/>
      <c r="P392" s="29"/>
      <c r="Q392" s="29"/>
      <c r="R392" s="29"/>
      <c r="S392" s="29"/>
      <c r="T392" s="29"/>
      <c r="U392" s="29"/>
      <c r="V392" s="29"/>
      <c r="W392" s="29"/>
      <c r="X392" s="29"/>
      <c r="Y392" s="29"/>
      <c r="Z392" s="29"/>
      <c r="AA392" s="29"/>
      <c r="AB392" s="29"/>
      <c r="AC392" s="29"/>
      <c r="AD392" s="29"/>
      <c r="AE392" s="29"/>
      <c r="AF392" s="29"/>
      <c r="AG392" s="29"/>
    </row>
    <row r="393">
      <c r="A393" s="40" t="s">
        <v>1923</v>
      </c>
      <c r="B393" s="40" t="s">
        <v>697</v>
      </c>
      <c r="C393" s="44" t="s">
        <v>201</v>
      </c>
      <c r="D393" s="47" t="s">
        <v>60</v>
      </c>
      <c r="E393" s="40" t="s">
        <v>1747</v>
      </c>
      <c r="F393" s="40" t="s">
        <v>1749</v>
      </c>
      <c r="G393" s="50" t="s">
        <v>3821</v>
      </c>
      <c r="H393" s="53">
        <v>45898.0</v>
      </c>
      <c r="I393" s="63">
        <f>IFERROR(__xludf.DUMMYFUNCTION("IF(ISBLANK(H393), TODAY()-TO_DATE(G393), TO_DATE(H393)-TO_DATE(G393))+1"),2.0)</f>
        <v>2</v>
      </c>
      <c r="J393" s="40" t="s">
        <v>197</v>
      </c>
      <c r="K393" s="40" t="s">
        <v>2240</v>
      </c>
      <c r="L393" s="88"/>
      <c r="M393" s="72"/>
      <c r="N393" s="29"/>
      <c r="O393" s="29"/>
      <c r="P393" s="29"/>
      <c r="Q393" s="29"/>
      <c r="R393" s="29"/>
      <c r="S393" s="29"/>
      <c r="T393" s="29"/>
      <c r="U393" s="29"/>
      <c r="V393" s="29"/>
      <c r="W393" s="29"/>
      <c r="X393" s="29"/>
      <c r="Y393" s="29"/>
      <c r="Z393" s="29"/>
      <c r="AA393" s="29"/>
      <c r="AB393" s="29"/>
      <c r="AC393" s="29"/>
      <c r="AD393" s="29"/>
      <c r="AE393" s="29"/>
      <c r="AF393" s="29"/>
      <c r="AG393" s="29"/>
    </row>
    <row r="394">
      <c r="A394" s="40" t="s">
        <v>1540</v>
      </c>
      <c r="B394" s="40" t="s">
        <v>697</v>
      </c>
      <c r="C394" s="44" t="s">
        <v>139</v>
      </c>
      <c r="D394" s="47" t="s">
        <v>60</v>
      </c>
      <c r="E394" s="40" t="s">
        <v>2149</v>
      </c>
      <c r="F394" s="40" t="s">
        <v>230</v>
      </c>
      <c r="G394" s="50" t="s">
        <v>3835</v>
      </c>
      <c r="H394" s="53">
        <v>45911.0</v>
      </c>
      <c r="I394" s="63">
        <f>IFERROR(__xludf.DUMMYFUNCTION("IF(ISBLANK(H394), TODAY()-TO_DATE(G394), TO_DATE(H394)-TO_DATE(G394))+1"),14.0)</f>
        <v>14</v>
      </c>
      <c r="J394" s="40">
        <v>500.0</v>
      </c>
      <c r="K394" s="40" t="s">
        <v>3839</v>
      </c>
      <c r="L394" s="69" t="s">
        <v>3840</v>
      </c>
      <c r="M394" s="72"/>
      <c r="N394" s="29"/>
      <c r="O394" s="29"/>
      <c r="P394" s="29"/>
      <c r="Q394" s="29"/>
      <c r="R394" s="29"/>
      <c r="S394" s="29"/>
      <c r="T394" s="29"/>
      <c r="U394" s="29"/>
      <c r="V394" s="29"/>
      <c r="W394" s="29"/>
      <c r="X394" s="29"/>
      <c r="Y394" s="29"/>
      <c r="Z394" s="29"/>
      <c r="AA394" s="29"/>
      <c r="AB394" s="29"/>
      <c r="AC394" s="29"/>
      <c r="AD394" s="29"/>
      <c r="AE394" s="29"/>
      <c r="AF394" s="29"/>
      <c r="AG394" s="29"/>
    </row>
    <row r="395">
      <c r="A395" s="40" t="s">
        <v>1540</v>
      </c>
      <c r="B395" s="40" t="s">
        <v>697</v>
      </c>
      <c r="C395" s="44" t="s">
        <v>178</v>
      </c>
      <c r="D395" s="47" t="s">
        <v>102</v>
      </c>
      <c r="E395" s="40" t="s">
        <v>3630</v>
      </c>
      <c r="F395" s="40" t="s">
        <v>3631</v>
      </c>
      <c r="G395" s="50" t="s">
        <v>3835</v>
      </c>
      <c r="H395" s="53">
        <v>45915.0</v>
      </c>
      <c r="I395" s="63">
        <f>IFERROR(__xludf.DUMMYFUNCTION("IF(ISBLANK(H395), TODAY()-TO_DATE(G395), TO_DATE(H395)-TO_DATE(G395))+1"),18.0)</f>
        <v>18</v>
      </c>
      <c r="J395" s="40">
        <v>500.0</v>
      </c>
      <c r="K395" s="40" t="s">
        <v>3632</v>
      </c>
      <c r="L395" s="88"/>
      <c r="M395" s="72"/>
      <c r="N395" s="29"/>
      <c r="O395" s="29"/>
      <c r="P395" s="29"/>
      <c r="Q395" s="29"/>
      <c r="R395" s="29"/>
      <c r="S395" s="29"/>
      <c r="T395" s="29"/>
      <c r="U395" s="29"/>
      <c r="V395" s="29"/>
      <c r="W395" s="29"/>
      <c r="X395" s="29"/>
      <c r="Y395" s="29"/>
      <c r="Z395" s="29"/>
      <c r="AA395" s="29"/>
      <c r="AB395" s="29"/>
      <c r="AC395" s="29"/>
      <c r="AD395" s="29"/>
      <c r="AE395" s="29"/>
      <c r="AF395" s="29"/>
      <c r="AG395" s="29"/>
    </row>
    <row r="396">
      <c r="A396" s="40" t="s">
        <v>1540</v>
      </c>
      <c r="B396" s="40" t="s">
        <v>697</v>
      </c>
      <c r="C396" s="44" t="s">
        <v>213</v>
      </c>
      <c r="D396" s="47" t="s">
        <v>60</v>
      </c>
      <c r="E396" s="40" t="s">
        <v>3618</v>
      </c>
      <c r="F396" s="40" t="s">
        <v>3619</v>
      </c>
      <c r="G396" s="50" t="s">
        <v>3835</v>
      </c>
      <c r="H396" s="53">
        <v>45901.0</v>
      </c>
      <c r="I396" s="63">
        <f>IFERROR(__xludf.DUMMYFUNCTION("IF(ISBLANK(H396), TODAY()-TO_DATE(G396), TO_DATE(H396)-TO_DATE(G396))+1"),4.0)</f>
        <v>4</v>
      </c>
      <c r="J396" s="40">
        <v>300.0</v>
      </c>
      <c r="K396" s="40" t="s">
        <v>3621</v>
      </c>
      <c r="L396" s="69" t="s">
        <v>3858</v>
      </c>
      <c r="M396" s="72"/>
      <c r="N396" s="29"/>
      <c r="O396" s="29"/>
      <c r="P396" s="29"/>
      <c r="Q396" s="29"/>
      <c r="R396" s="29"/>
      <c r="S396" s="29"/>
      <c r="T396" s="29"/>
      <c r="U396" s="29"/>
      <c r="V396" s="29"/>
      <c r="W396" s="29"/>
      <c r="X396" s="29"/>
      <c r="Y396" s="29"/>
      <c r="Z396" s="29"/>
      <c r="AA396" s="29"/>
      <c r="AB396" s="29"/>
      <c r="AC396" s="29"/>
      <c r="AD396" s="29"/>
      <c r="AE396" s="29"/>
      <c r="AF396" s="29"/>
      <c r="AG396" s="29"/>
    </row>
    <row r="397">
      <c r="A397" s="40" t="s">
        <v>2515</v>
      </c>
      <c r="B397" s="40" t="s">
        <v>697</v>
      </c>
      <c r="C397" s="44" t="s">
        <v>194</v>
      </c>
      <c r="D397" s="47" t="s">
        <v>326</v>
      </c>
      <c r="E397" s="40" t="s">
        <v>189</v>
      </c>
      <c r="F397" s="40" t="s">
        <v>190</v>
      </c>
      <c r="G397" s="50" t="s">
        <v>3835</v>
      </c>
      <c r="H397" s="53">
        <v>45916.0</v>
      </c>
      <c r="I397" s="63">
        <f>IFERROR(__xludf.DUMMYFUNCTION("IF(ISBLANK(H397), TODAY()-TO_DATE(G397), TO_DATE(H397)-TO_DATE(G397))+1"),19.0)</f>
        <v>19</v>
      </c>
      <c r="J397" s="40" t="s">
        <v>197</v>
      </c>
      <c r="K397" s="40" t="s">
        <v>3865</v>
      </c>
      <c r="L397" s="69" t="s">
        <v>3867</v>
      </c>
      <c r="M397" s="72"/>
      <c r="N397" s="29"/>
      <c r="O397" s="29"/>
      <c r="P397" s="29"/>
      <c r="Q397" s="29"/>
      <c r="R397" s="29"/>
      <c r="S397" s="29"/>
      <c r="T397" s="29"/>
      <c r="U397" s="29"/>
      <c r="V397" s="29"/>
      <c r="W397" s="29"/>
      <c r="X397" s="29"/>
      <c r="Y397" s="29"/>
      <c r="Z397" s="29"/>
      <c r="AA397" s="29"/>
      <c r="AB397" s="29"/>
      <c r="AC397" s="29"/>
      <c r="AD397" s="29"/>
      <c r="AE397" s="29"/>
      <c r="AF397" s="29"/>
      <c r="AG397" s="29"/>
    </row>
    <row r="398">
      <c r="A398" s="40" t="s">
        <v>2515</v>
      </c>
      <c r="B398" s="40" t="s">
        <v>697</v>
      </c>
      <c r="C398" s="44" t="s">
        <v>1431</v>
      </c>
      <c r="D398" s="47" t="s">
        <v>60</v>
      </c>
      <c r="E398" s="40" t="s">
        <v>3871</v>
      </c>
      <c r="F398" s="40" t="s">
        <v>3872</v>
      </c>
      <c r="G398" s="50" t="s">
        <v>3835</v>
      </c>
      <c r="H398" s="53">
        <v>45934.0</v>
      </c>
      <c r="I398" s="63">
        <f>IFERROR(__xludf.DUMMYFUNCTION("IF(ISBLANK(H398), TODAY()-TO_DATE(G398), TO_DATE(H398)-TO_DATE(G398))+1"),37.0)</f>
        <v>37</v>
      </c>
      <c r="J398" s="40" t="s">
        <v>197</v>
      </c>
      <c r="K398" s="40" t="s">
        <v>3878</v>
      </c>
      <c r="L398" s="88"/>
      <c r="M398" s="72"/>
      <c r="N398" s="29"/>
      <c r="O398" s="29"/>
      <c r="P398" s="29"/>
      <c r="Q398" s="29"/>
      <c r="R398" s="29"/>
      <c r="S398" s="29"/>
      <c r="T398" s="29"/>
      <c r="U398" s="29"/>
      <c r="V398" s="29"/>
      <c r="W398" s="29"/>
      <c r="X398" s="29"/>
      <c r="Y398" s="29"/>
      <c r="Z398" s="29"/>
      <c r="AA398" s="29"/>
      <c r="AB398" s="29"/>
      <c r="AC398" s="29"/>
      <c r="AD398" s="29"/>
      <c r="AE398" s="29"/>
      <c r="AF398" s="29"/>
      <c r="AG398" s="29"/>
    </row>
    <row r="399">
      <c r="A399" s="40" t="s">
        <v>1923</v>
      </c>
      <c r="B399" s="40" t="s">
        <v>697</v>
      </c>
      <c r="C399" s="44" t="s">
        <v>213</v>
      </c>
      <c r="D399" s="47" t="s">
        <v>60</v>
      </c>
      <c r="E399" s="40" t="s">
        <v>3641</v>
      </c>
      <c r="F399" s="40" t="s">
        <v>3190</v>
      </c>
      <c r="G399" s="50" t="s">
        <v>3882</v>
      </c>
      <c r="H399" s="53">
        <v>45907.0</v>
      </c>
      <c r="I399" s="63">
        <f>IFERROR(__xludf.DUMMYFUNCTION("IF(ISBLANK(H399), TODAY()-TO_DATE(G399), TO_DATE(H399)-TO_DATE(G399))+1"),9.0)</f>
        <v>9</v>
      </c>
      <c r="J399" s="40" t="s">
        <v>197</v>
      </c>
      <c r="K399" s="40" t="s">
        <v>3193</v>
      </c>
      <c r="L399" s="69" t="s">
        <v>3886</v>
      </c>
      <c r="M399" s="72"/>
      <c r="N399" s="29"/>
      <c r="O399" s="29"/>
      <c r="P399" s="29"/>
      <c r="Q399" s="29"/>
      <c r="R399" s="29"/>
      <c r="S399" s="29"/>
      <c r="T399" s="29"/>
      <c r="U399" s="29"/>
      <c r="V399" s="29"/>
      <c r="W399" s="29"/>
      <c r="X399" s="29"/>
      <c r="Y399" s="29"/>
      <c r="Z399" s="29"/>
      <c r="AA399" s="29"/>
      <c r="AB399" s="29"/>
      <c r="AC399" s="29"/>
      <c r="AD399" s="29"/>
      <c r="AE399" s="29"/>
      <c r="AF399" s="29"/>
      <c r="AG399" s="29"/>
    </row>
    <row r="400">
      <c r="A400" s="40" t="s">
        <v>1923</v>
      </c>
      <c r="B400" s="40" t="s">
        <v>697</v>
      </c>
      <c r="C400" s="44" t="s">
        <v>201</v>
      </c>
      <c r="D400" s="47" t="s">
        <v>60</v>
      </c>
      <c r="E400" s="40" t="s">
        <v>1747</v>
      </c>
      <c r="F400" s="40" t="s">
        <v>1749</v>
      </c>
      <c r="G400" s="50" t="s">
        <v>3882</v>
      </c>
      <c r="H400" s="53">
        <v>45907.0</v>
      </c>
      <c r="I400" s="63">
        <f>IFERROR(__xludf.DUMMYFUNCTION("IF(ISBLANK(H400), TODAY()-TO_DATE(G400), TO_DATE(H400)-TO_DATE(G400))+1"),9.0)</f>
        <v>9</v>
      </c>
      <c r="J400" s="40" t="s">
        <v>197</v>
      </c>
      <c r="K400" s="40" t="s">
        <v>2240</v>
      </c>
      <c r="L400" s="88"/>
      <c r="M400" s="72"/>
      <c r="N400" s="29"/>
      <c r="O400" s="29"/>
      <c r="P400" s="29"/>
      <c r="Q400" s="29"/>
      <c r="R400" s="29"/>
      <c r="S400" s="29"/>
      <c r="T400" s="29"/>
      <c r="U400" s="29"/>
      <c r="V400" s="29"/>
      <c r="W400" s="29"/>
      <c r="X400" s="29"/>
      <c r="Y400" s="29"/>
      <c r="Z400" s="29"/>
      <c r="AA400" s="29"/>
      <c r="AB400" s="29"/>
      <c r="AC400" s="29"/>
      <c r="AD400" s="29"/>
      <c r="AE400" s="29"/>
      <c r="AF400" s="29"/>
      <c r="AG400" s="29"/>
    </row>
    <row r="401">
      <c r="A401" s="40" t="s">
        <v>1923</v>
      </c>
      <c r="B401" s="40" t="s">
        <v>697</v>
      </c>
      <c r="C401" s="44" t="s">
        <v>1924</v>
      </c>
      <c r="D401" s="47" t="s">
        <v>102</v>
      </c>
      <c r="E401" s="40" t="s">
        <v>176</v>
      </c>
      <c r="F401" s="40" t="s">
        <v>177</v>
      </c>
      <c r="G401" s="50" t="s">
        <v>3896</v>
      </c>
      <c r="H401" s="53">
        <v>45908.0</v>
      </c>
      <c r="I401" s="63">
        <f>IFERROR(__xludf.DUMMYFUNCTION("IF(ISBLANK(H401), TODAY()-TO_DATE(G401), TO_DATE(H401)-TO_DATE(G401))+1"),9.0)</f>
        <v>9</v>
      </c>
      <c r="J401" s="40" t="s">
        <v>197</v>
      </c>
      <c r="K401" s="40" t="s">
        <v>3543</v>
      </c>
      <c r="L401" s="69" t="s">
        <v>1949</v>
      </c>
      <c r="M401" s="72"/>
      <c r="N401" s="29"/>
      <c r="O401" s="29"/>
      <c r="P401" s="29"/>
      <c r="Q401" s="29"/>
      <c r="R401" s="29"/>
      <c r="S401" s="29"/>
      <c r="T401" s="29"/>
      <c r="U401" s="29"/>
      <c r="V401" s="29"/>
      <c r="W401" s="29"/>
      <c r="X401" s="29"/>
      <c r="Y401" s="29"/>
      <c r="Z401" s="29"/>
      <c r="AA401" s="29"/>
      <c r="AB401" s="29"/>
      <c r="AC401" s="29"/>
      <c r="AD401" s="29"/>
      <c r="AE401" s="29"/>
      <c r="AF401" s="29"/>
      <c r="AG401" s="29"/>
    </row>
    <row r="402">
      <c r="A402" s="40" t="s">
        <v>1923</v>
      </c>
      <c r="B402" s="40" t="s">
        <v>697</v>
      </c>
      <c r="C402" s="44" t="s">
        <v>201</v>
      </c>
      <c r="D402" s="47" t="s">
        <v>60</v>
      </c>
      <c r="E402" s="40" t="s">
        <v>2245</v>
      </c>
      <c r="F402" s="40" t="s">
        <v>2246</v>
      </c>
      <c r="G402" s="50" t="s">
        <v>3896</v>
      </c>
      <c r="H402" s="53">
        <v>45908.0</v>
      </c>
      <c r="I402" s="63">
        <f>IFERROR(__xludf.DUMMYFUNCTION("IF(ISBLANK(H402), TODAY()-TO_DATE(G402), TO_DATE(H402)-TO_DATE(G402))+1"),9.0)</f>
        <v>9</v>
      </c>
      <c r="J402" s="40" t="s">
        <v>197</v>
      </c>
      <c r="K402" s="40" t="s">
        <v>2249</v>
      </c>
      <c r="L402" s="69" t="s">
        <v>2264</v>
      </c>
      <c r="M402" s="72"/>
      <c r="N402" s="29"/>
      <c r="O402" s="29"/>
      <c r="P402" s="29"/>
      <c r="Q402" s="29"/>
      <c r="R402" s="29"/>
      <c r="S402" s="29"/>
      <c r="T402" s="29"/>
      <c r="U402" s="29"/>
      <c r="V402" s="29"/>
      <c r="W402" s="29"/>
      <c r="X402" s="29"/>
      <c r="Y402" s="29"/>
      <c r="Z402" s="29"/>
      <c r="AA402" s="29"/>
      <c r="AB402" s="29"/>
      <c r="AC402" s="29"/>
      <c r="AD402" s="29"/>
      <c r="AE402" s="29"/>
      <c r="AF402" s="29"/>
      <c r="AG402" s="29"/>
    </row>
    <row r="403">
      <c r="A403" s="40" t="s">
        <v>1923</v>
      </c>
      <c r="B403" s="40" t="s">
        <v>697</v>
      </c>
      <c r="C403" s="44" t="s">
        <v>331</v>
      </c>
      <c r="D403" s="47" t="s">
        <v>60</v>
      </c>
      <c r="E403" s="40" t="s">
        <v>2872</v>
      </c>
      <c r="F403" s="40" t="s">
        <v>2874</v>
      </c>
      <c r="G403" s="50" t="s">
        <v>3896</v>
      </c>
      <c r="H403" s="53">
        <v>45908.0</v>
      </c>
      <c r="I403" s="63">
        <f>IFERROR(__xludf.DUMMYFUNCTION("IF(ISBLANK(H403), TODAY()-TO_DATE(G403), TO_DATE(H403)-TO_DATE(G403))+1"),9.0)</f>
        <v>9</v>
      </c>
      <c r="J403" s="40" t="s">
        <v>197</v>
      </c>
      <c r="K403" s="40" t="s">
        <v>1947</v>
      </c>
      <c r="L403" s="69" t="s">
        <v>3281</v>
      </c>
      <c r="M403" s="72"/>
      <c r="N403" s="29"/>
      <c r="O403" s="29"/>
      <c r="P403" s="29"/>
      <c r="Q403" s="29"/>
      <c r="R403" s="29"/>
      <c r="S403" s="29"/>
      <c r="T403" s="29"/>
      <c r="U403" s="29"/>
      <c r="V403" s="29"/>
      <c r="W403" s="29"/>
      <c r="X403" s="29"/>
      <c r="Y403" s="29"/>
      <c r="Z403" s="29"/>
      <c r="AA403" s="29"/>
      <c r="AB403" s="29"/>
      <c r="AC403" s="29"/>
      <c r="AD403" s="29"/>
      <c r="AE403" s="29"/>
      <c r="AF403" s="29"/>
      <c r="AG403" s="29"/>
    </row>
    <row r="404">
      <c r="A404" s="40" t="s">
        <v>1923</v>
      </c>
      <c r="B404" s="40" t="s">
        <v>697</v>
      </c>
      <c r="C404" s="44" t="s">
        <v>331</v>
      </c>
      <c r="D404" s="47" t="s">
        <v>60</v>
      </c>
      <c r="E404" s="40" t="s">
        <v>2856</v>
      </c>
      <c r="F404" s="40" t="s">
        <v>2857</v>
      </c>
      <c r="G404" s="50" t="s">
        <v>3896</v>
      </c>
      <c r="H404" s="53">
        <v>45908.0</v>
      </c>
      <c r="I404" s="63">
        <f>IFERROR(__xludf.DUMMYFUNCTION("IF(ISBLANK(H404), TODAY()-TO_DATE(G404), TO_DATE(H404)-TO_DATE(G404))+1"),9.0)</f>
        <v>9</v>
      </c>
      <c r="J404" s="40" t="s">
        <v>197</v>
      </c>
      <c r="K404" s="40" t="s">
        <v>3557</v>
      </c>
      <c r="L404" s="69" t="s">
        <v>3292</v>
      </c>
      <c r="M404" s="72"/>
      <c r="N404" s="29"/>
      <c r="O404" s="29"/>
      <c r="P404" s="29"/>
      <c r="Q404" s="29"/>
      <c r="R404" s="29"/>
      <c r="S404" s="29"/>
      <c r="T404" s="29"/>
      <c r="U404" s="29"/>
      <c r="V404" s="29"/>
      <c r="W404" s="29"/>
      <c r="X404" s="29"/>
      <c r="Y404" s="29"/>
      <c r="Z404" s="29"/>
      <c r="AA404" s="29"/>
      <c r="AB404" s="29"/>
      <c r="AC404" s="29"/>
      <c r="AD404" s="29"/>
      <c r="AE404" s="29"/>
      <c r="AF404" s="29"/>
      <c r="AG404" s="29"/>
    </row>
    <row r="405">
      <c r="A405" s="40" t="s">
        <v>1540</v>
      </c>
      <c r="B405" s="40" t="s">
        <v>697</v>
      </c>
      <c r="C405" s="44" t="s">
        <v>201</v>
      </c>
      <c r="D405" s="47" t="s">
        <v>60</v>
      </c>
      <c r="E405" s="40" t="s">
        <v>3921</v>
      </c>
      <c r="F405" s="40" t="s">
        <v>3922</v>
      </c>
      <c r="G405" s="50" t="s">
        <v>3923</v>
      </c>
      <c r="H405" s="53">
        <v>45906.0</v>
      </c>
      <c r="I405" s="63">
        <f>IFERROR(__xludf.DUMMYFUNCTION("IF(ISBLANK(H405), TODAY()-TO_DATE(G405), TO_DATE(H405)-TO_DATE(G405))+1"),5.0)</f>
        <v>5</v>
      </c>
      <c r="J405" s="40">
        <v>300.0</v>
      </c>
      <c r="K405" s="40" t="s">
        <v>3928</v>
      </c>
      <c r="L405" s="69" t="s">
        <v>3929</v>
      </c>
      <c r="M405" s="72"/>
      <c r="N405" s="29"/>
      <c r="O405" s="29"/>
      <c r="P405" s="29"/>
      <c r="Q405" s="29"/>
      <c r="R405" s="29"/>
      <c r="S405" s="29"/>
      <c r="T405" s="29"/>
      <c r="U405" s="29"/>
      <c r="V405" s="29"/>
      <c r="W405" s="29"/>
      <c r="X405" s="29"/>
      <c r="Y405" s="29"/>
      <c r="Z405" s="29"/>
      <c r="AA405" s="29"/>
      <c r="AB405" s="29"/>
      <c r="AC405" s="29"/>
      <c r="AD405" s="29"/>
      <c r="AE405" s="29"/>
      <c r="AF405" s="29"/>
      <c r="AG405" s="29"/>
    </row>
    <row r="406">
      <c r="A406" s="40" t="s">
        <v>54</v>
      </c>
      <c r="B406" s="40" t="s">
        <v>697</v>
      </c>
      <c r="C406" s="44" t="s">
        <v>139</v>
      </c>
      <c r="D406" s="47" t="s">
        <v>60</v>
      </c>
      <c r="E406" s="40" t="s">
        <v>3932</v>
      </c>
      <c r="F406" s="40" t="s">
        <v>3933</v>
      </c>
      <c r="G406" s="50" t="s">
        <v>3923</v>
      </c>
      <c r="H406" s="53">
        <v>45903.0</v>
      </c>
      <c r="I406" s="63">
        <f>IFERROR(__xludf.DUMMYFUNCTION("IF(ISBLANK(H406), TODAY()-TO_DATE(G406), TO_DATE(H406)-TO_DATE(G406))+1"),2.0)</f>
        <v>2</v>
      </c>
      <c r="J406" s="40">
        <v>500.0</v>
      </c>
      <c r="K406" s="40" t="s">
        <v>3937</v>
      </c>
      <c r="L406" s="69" t="s">
        <v>3939</v>
      </c>
      <c r="M406" s="72"/>
      <c r="N406" s="29"/>
      <c r="O406" s="29"/>
      <c r="P406" s="29"/>
      <c r="Q406" s="29"/>
      <c r="R406" s="29"/>
      <c r="S406" s="29"/>
      <c r="T406" s="29"/>
      <c r="U406" s="29"/>
      <c r="V406" s="29"/>
      <c r="W406" s="29"/>
      <c r="X406" s="29"/>
      <c r="Y406" s="29"/>
      <c r="Z406" s="29"/>
      <c r="AA406" s="29"/>
      <c r="AB406" s="29"/>
      <c r="AC406" s="29"/>
      <c r="AD406" s="29"/>
      <c r="AE406" s="29"/>
      <c r="AF406" s="29"/>
      <c r="AG406" s="29"/>
    </row>
    <row r="407">
      <c r="A407" s="40" t="s">
        <v>54</v>
      </c>
      <c r="B407" s="40" t="s">
        <v>697</v>
      </c>
      <c r="C407" s="44" t="s">
        <v>321</v>
      </c>
      <c r="D407" s="47" t="s">
        <v>60</v>
      </c>
      <c r="E407" s="40" t="s">
        <v>3944</v>
      </c>
      <c r="F407" s="40" t="s">
        <v>2935</v>
      </c>
      <c r="G407" s="50" t="s">
        <v>3923</v>
      </c>
      <c r="H407" s="53">
        <v>45906.0</v>
      </c>
      <c r="I407" s="63">
        <f>IFERROR(__xludf.DUMMYFUNCTION("IF(ISBLANK(H407), TODAY()-TO_DATE(G407), TO_DATE(H407)-TO_DATE(G407))+1"),5.0)</f>
        <v>5</v>
      </c>
      <c r="J407" s="40" t="s">
        <v>197</v>
      </c>
      <c r="K407" s="40" t="s">
        <v>3948</v>
      </c>
      <c r="L407" s="69" t="s">
        <v>3950</v>
      </c>
      <c r="M407" s="72"/>
      <c r="N407" s="29"/>
      <c r="O407" s="29"/>
      <c r="P407" s="29"/>
      <c r="Q407" s="29"/>
      <c r="R407" s="29"/>
      <c r="S407" s="29"/>
      <c r="T407" s="29"/>
      <c r="U407" s="29"/>
      <c r="V407" s="29"/>
      <c r="W407" s="29"/>
      <c r="X407" s="29"/>
      <c r="Y407" s="29"/>
      <c r="Z407" s="29"/>
      <c r="AA407" s="29"/>
      <c r="AB407" s="29"/>
      <c r="AC407" s="29"/>
      <c r="AD407" s="29"/>
      <c r="AE407" s="29"/>
      <c r="AF407" s="29"/>
      <c r="AG407" s="29"/>
    </row>
    <row r="408">
      <c r="A408" s="40" t="s">
        <v>54</v>
      </c>
      <c r="B408" s="40" t="s">
        <v>697</v>
      </c>
      <c r="C408" s="44" t="s">
        <v>58</v>
      </c>
      <c r="D408" s="47" t="s">
        <v>60</v>
      </c>
      <c r="E408" s="40" t="s">
        <v>2693</v>
      </c>
      <c r="F408" s="40" t="s">
        <v>2694</v>
      </c>
      <c r="G408" s="50" t="s">
        <v>3923</v>
      </c>
      <c r="H408" s="53">
        <v>45935.0</v>
      </c>
      <c r="I408" s="63">
        <f>IFERROR(__xludf.DUMMYFUNCTION("IF(ISBLANK(H408), TODAY()-TO_DATE(G408), TO_DATE(H408)-TO_DATE(G408))+1"),34.0)</f>
        <v>34</v>
      </c>
      <c r="J408" s="40" t="s">
        <v>197</v>
      </c>
      <c r="K408" s="40" t="s">
        <v>3954</v>
      </c>
      <c r="L408" s="88"/>
      <c r="M408" s="72"/>
      <c r="N408" s="29"/>
      <c r="O408" s="29"/>
      <c r="P408" s="29"/>
      <c r="Q408" s="29"/>
      <c r="R408" s="29"/>
      <c r="S408" s="29"/>
      <c r="T408" s="29"/>
      <c r="U408" s="29"/>
      <c r="V408" s="29"/>
      <c r="W408" s="29"/>
      <c r="X408" s="29"/>
      <c r="Y408" s="29"/>
      <c r="Z408" s="29"/>
      <c r="AA408" s="29"/>
      <c r="AB408" s="29"/>
      <c r="AC408" s="29"/>
      <c r="AD408" s="29"/>
      <c r="AE408" s="29"/>
      <c r="AF408" s="29"/>
      <c r="AG408" s="29"/>
    </row>
    <row r="409">
      <c r="A409" s="40" t="s">
        <v>54</v>
      </c>
      <c r="B409" s="40" t="s">
        <v>697</v>
      </c>
      <c r="C409" s="44" t="s">
        <v>536</v>
      </c>
      <c r="D409" s="47" t="s">
        <v>60</v>
      </c>
      <c r="E409" s="40" t="s">
        <v>1669</v>
      </c>
      <c r="F409" s="40" t="s">
        <v>748</v>
      </c>
      <c r="G409" s="50" t="s">
        <v>3923</v>
      </c>
      <c r="H409" s="53">
        <v>45935.0</v>
      </c>
      <c r="I409" s="63">
        <f>IFERROR(__xludf.DUMMYFUNCTION("IF(ISBLANK(H409), TODAY()-TO_DATE(G409), TO_DATE(H409)-TO_DATE(G409))+1"),34.0)</f>
        <v>34</v>
      </c>
      <c r="J409" s="40" t="s">
        <v>197</v>
      </c>
      <c r="K409" s="40" t="s">
        <v>2755</v>
      </c>
      <c r="L409" s="69" t="s">
        <v>3961</v>
      </c>
      <c r="M409" s="72"/>
      <c r="N409" s="29"/>
      <c r="O409" s="29"/>
      <c r="P409" s="29"/>
      <c r="Q409" s="29"/>
      <c r="R409" s="29"/>
      <c r="S409" s="29"/>
      <c r="T409" s="29"/>
      <c r="U409" s="29"/>
      <c r="V409" s="29"/>
      <c r="W409" s="29"/>
      <c r="X409" s="29"/>
      <c r="Y409" s="29"/>
      <c r="Z409" s="29"/>
      <c r="AA409" s="29"/>
      <c r="AB409" s="29"/>
      <c r="AC409" s="29"/>
      <c r="AD409" s="29"/>
      <c r="AE409" s="29"/>
      <c r="AF409" s="29"/>
      <c r="AG409" s="29"/>
    </row>
    <row r="410">
      <c r="A410" s="40" t="s">
        <v>54</v>
      </c>
      <c r="B410" s="40" t="s">
        <v>697</v>
      </c>
      <c r="C410" s="44" t="s">
        <v>287</v>
      </c>
      <c r="D410" s="47" t="s">
        <v>60</v>
      </c>
      <c r="E410" s="40" t="s">
        <v>3964</v>
      </c>
      <c r="F410" s="40" t="s">
        <v>3965</v>
      </c>
      <c r="G410" s="50" t="s">
        <v>3923</v>
      </c>
      <c r="H410" s="53">
        <v>45907.0</v>
      </c>
      <c r="I410" s="63">
        <f>IFERROR(__xludf.DUMMYFUNCTION("IF(ISBLANK(H410), TODAY()-TO_DATE(G410), TO_DATE(H410)-TO_DATE(G410))+1"),6.0)</f>
        <v>6</v>
      </c>
      <c r="J410" s="40">
        <v>500.0</v>
      </c>
      <c r="K410" s="40" t="s">
        <v>3968</v>
      </c>
      <c r="L410" s="88"/>
      <c r="M410" s="72"/>
      <c r="N410" s="29"/>
      <c r="O410" s="29"/>
      <c r="P410" s="29"/>
      <c r="Q410" s="29"/>
      <c r="R410" s="29"/>
      <c r="S410" s="29"/>
      <c r="T410" s="29"/>
      <c r="U410" s="29"/>
      <c r="V410" s="29"/>
      <c r="W410" s="29"/>
      <c r="X410" s="29"/>
      <c r="Y410" s="29"/>
      <c r="Z410" s="29"/>
      <c r="AA410" s="29"/>
      <c r="AB410" s="29"/>
      <c r="AC410" s="29"/>
      <c r="AD410" s="29"/>
      <c r="AE410" s="29"/>
      <c r="AF410" s="29"/>
      <c r="AG410" s="29"/>
    </row>
    <row r="411">
      <c r="A411" s="40" t="s">
        <v>54</v>
      </c>
      <c r="B411" s="40" t="s">
        <v>697</v>
      </c>
      <c r="C411" s="44" t="s">
        <v>287</v>
      </c>
      <c r="D411" s="47" t="s">
        <v>60</v>
      </c>
      <c r="E411" s="40" t="s">
        <v>3973</v>
      </c>
      <c r="F411" s="40" t="s">
        <v>3974</v>
      </c>
      <c r="G411" s="50" t="s">
        <v>3923</v>
      </c>
      <c r="H411" s="53">
        <v>45906.0</v>
      </c>
      <c r="I411" s="63">
        <f>IFERROR(__xludf.DUMMYFUNCTION("IF(ISBLANK(H411), TODAY()-TO_DATE(G411), TO_DATE(H411)-TO_DATE(G411))+1"),5.0)</f>
        <v>5</v>
      </c>
      <c r="J411" s="40">
        <v>500.0</v>
      </c>
      <c r="K411" s="40" t="s">
        <v>3977</v>
      </c>
      <c r="L411" s="69" t="s">
        <v>3978</v>
      </c>
      <c r="M411" s="72"/>
      <c r="N411" s="29"/>
      <c r="O411" s="29"/>
      <c r="P411" s="29"/>
      <c r="Q411" s="29"/>
      <c r="R411" s="29"/>
      <c r="S411" s="29"/>
      <c r="T411" s="29"/>
      <c r="U411" s="29"/>
      <c r="V411" s="29"/>
      <c r="W411" s="29"/>
      <c r="X411" s="29"/>
      <c r="Y411" s="29"/>
      <c r="Z411" s="29"/>
      <c r="AA411" s="29"/>
      <c r="AB411" s="29"/>
      <c r="AC411" s="29"/>
      <c r="AD411" s="29"/>
      <c r="AE411" s="29"/>
      <c r="AF411" s="29"/>
      <c r="AG411" s="29"/>
    </row>
    <row r="412">
      <c r="A412" s="40" t="s">
        <v>54</v>
      </c>
      <c r="B412" s="40" t="s">
        <v>697</v>
      </c>
      <c r="C412" s="44" t="s">
        <v>178</v>
      </c>
      <c r="D412" s="47" t="s">
        <v>102</v>
      </c>
      <c r="E412" s="40" t="s">
        <v>3982</v>
      </c>
      <c r="F412" s="40" t="s">
        <v>3983</v>
      </c>
      <c r="G412" s="50" t="s">
        <v>3923</v>
      </c>
      <c r="H412" s="53">
        <v>45904.0</v>
      </c>
      <c r="I412" s="63">
        <f>IFERROR(__xludf.DUMMYFUNCTION("IF(ISBLANK(H412), TODAY()-TO_DATE(G412), TO_DATE(H412)-TO_DATE(G412))+1"),3.0)</f>
        <v>3</v>
      </c>
      <c r="J412" s="40">
        <v>500.0</v>
      </c>
      <c r="K412" s="40" t="s">
        <v>3987</v>
      </c>
      <c r="L412" s="88"/>
      <c r="M412" s="72"/>
      <c r="N412" s="29"/>
      <c r="O412" s="29"/>
      <c r="P412" s="29"/>
      <c r="Q412" s="29"/>
      <c r="R412" s="29"/>
      <c r="S412" s="29"/>
      <c r="T412" s="29"/>
      <c r="U412" s="29"/>
      <c r="V412" s="29"/>
      <c r="W412" s="29"/>
      <c r="X412" s="29"/>
      <c r="Y412" s="29"/>
      <c r="Z412" s="29"/>
      <c r="AA412" s="29"/>
      <c r="AB412" s="29"/>
      <c r="AC412" s="29"/>
      <c r="AD412" s="29"/>
      <c r="AE412" s="29"/>
      <c r="AF412" s="29"/>
      <c r="AG412" s="29"/>
    </row>
    <row r="413">
      <c r="A413" s="40" t="s">
        <v>1540</v>
      </c>
      <c r="B413" s="40" t="s">
        <v>697</v>
      </c>
      <c r="C413" s="44" t="s">
        <v>287</v>
      </c>
      <c r="D413" s="47" t="s">
        <v>60</v>
      </c>
      <c r="E413" s="40" t="s">
        <v>3993</v>
      </c>
      <c r="F413" s="40" t="s">
        <v>3995</v>
      </c>
      <c r="G413" s="50" t="s">
        <v>3997</v>
      </c>
      <c r="H413" s="53">
        <v>45906.0</v>
      </c>
      <c r="I413" s="63">
        <f>IFERROR(__xludf.DUMMYFUNCTION("IF(ISBLANK(H413), TODAY()-TO_DATE(G413), TO_DATE(H413)-TO_DATE(G413))+1"),4.0)</f>
        <v>4</v>
      </c>
      <c r="J413" s="40">
        <v>300.0</v>
      </c>
      <c r="K413" s="40" t="s">
        <v>4000</v>
      </c>
      <c r="L413" s="88"/>
      <c r="M413" s="72"/>
      <c r="N413" s="29"/>
      <c r="O413" s="29"/>
      <c r="P413" s="29"/>
      <c r="Q413" s="29"/>
      <c r="R413" s="29"/>
      <c r="S413" s="29"/>
      <c r="T413" s="29"/>
      <c r="U413" s="29"/>
      <c r="V413" s="29"/>
      <c r="W413" s="29"/>
      <c r="X413" s="29"/>
      <c r="Y413" s="29"/>
      <c r="Z413" s="29"/>
      <c r="AA413" s="29"/>
      <c r="AB413" s="29"/>
      <c r="AC413" s="29"/>
      <c r="AD413" s="29"/>
      <c r="AE413" s="29"/>
      <c r="AF413" s="29"/>
      <c r="AG413" s="29"/>
    </row>
    <row r="414">
      <c r="A414" s="40" t="s">
        <v>1540</v>
      </c>
      <c r="B414" s="40" t="s">
        <v>697</v>
      </c>
      <c r="C414" s="44" t="s">
        <v>287</v>
      </c>
      <c r="D414" s="47" t="s">
        <v>60</v>
      </c>
      <c r="E414" s="40" t="s">
        <v>4004</v>
      </c>
      <c r="F414" s="40" t="s">
        <v>4006</v>
      </c>
      <c r="G414" s="50" t="s">
        <v>3997</v>
      </c>
      <c r="H414" s="53">
        <v>45909.0</v>
      </c>
      <c r="I414" s="63">
        <f>IFERROR(__xludf.DUMMYFUNCTION("IF(ISBLANK(H414), TODAY()-TO_DATE(G414), TO_DATE(H414)-TO_DATE(G414))+1"),7.0)</f>
        <v>7</v>
      </c>
      <c r="J414" s="40">
        <v>500.0</v>
      </c>
      <c r="K414" s="40" t="s">
        <v>4009</v>
      </c>
      <c r="L414" s="88"/>
      <c r="M414" s="72"/>
      <c r="N414" s="29"/>
      <c r="O414" s="29"/>
      <c r="P414" s="29"/>
      <c r="Q414" s="29"/>
      <c r="R414" s="29"/>
      <c r="S414" s="29"/>
      <c r="T414" s="29"/>
      <c r="U414" s="29"/>
      <c r="V414" s="29"/>
      <c r="W414" s="29"/>
      <c r="X414" s="29"/>
      <c r="Y414" s="29"/>
      <c r="Z414" s="29"/>
      <c r="AA414" s="29"/>
      <c r="AB414" s="29"/>
      <c r="AC414" s="29"/>
      <c r="AD414" s="29"/>
      <c r="AE414" s="29"/>
      <c r="AF414" s="29"/>
      <c r="AG414" s="29"/>
    </row>
    <row r="415">
      <c r="A415" s="40" t="s">
        <v>1540</v>
      </c>
      <c r="B415" s="40" t="s">
        <v>697</v>
      </c>
      <c r="C415" s="44" t="s">
        <v>287</v>
      </c>
      <c r="D415" s="47" t="s">
        <v>60</v>
      </c>
      <c r="E415" s="40" t="s">
        <v>4013</v>
      </c>
      <c r="F415" s="40" t="s">
        <v>4017</v>
      </c>
      <c r="G415" s="50" t="s">
        <v>3997</v>
      </c>
      <c r="H415" s="53">
        <v>45906.0</v>
      </c>
      <c r="I415" s="63">
        <f>IFERROR(__xludf.DUMMYFUNCTION("IF(ISBLANK(H415), TODAY()-TO_DATE(G415), TO_DATE(H415)-TO_DATE(G415))+1"),4.0)</f>
        <v>4</v>
      </c>
      <c r="J415" s="40">
        <v>300.0</v>
      </c>
      <c r="K415" s="40" t="s">
        <v>4019</v>
      </c>
      <c r="L415" s="69" t="s">
        <v>4020</v>
      </c>
      <c r="M415" s="72"/>
      <c r="N415" s="29"/>
      <c r="O415" s="29"/>
      <c r="P415" s="29"/>
      <c r="Q415" s="29"/>
      <c r="R415" s="29"/>
      <c r="S415" s="29"/>
      <c r="T415" s="29"/>
      <c r="U415" s="29"/>
      <c r="V415" s="29"/>
      <c r="W415" s="29"/>
      <c r="X415" s="29"/>
      <c r="Y415" s="29"/>
      <c r="Z415" s="29"/>
      <c r="AA415" s="29"/>
      <c r="AB415" s="29"/>
      <c r="AC415" s="29"/>
      <c r="AD415" s="29"/>
      <c r="AE415" s="29"/>
      <c r="AF415" s="29"/>
      <c r="AG415" s="29"/>
    </row>
    <row r="416">
      <c r="A416" s="40" t="s">
        <v>1540</v>
      </c>
      <c r="B416" s="40" t="s">
        <v>697</v>
      </c>
      <c r="C416" s="44" t="s">
        <v>213</v>
      </c>
      <c r="D416" s="47" t="s">
        <v>60</v>
      </c>
      <c r="E416" s="40" t="s">
        <v>4023</v>
      </c>
      <c r="F416" s="40" t="s">
        <v>4024</v>
      </c>
      <c r="G416" s="50" t="s">
        <v>3997</v>
      </c>
      <c r="H416" s="53">
        <v>45907.0</v>
      </c>
      <c r="I416" s="63">
        <f>IFERROR(__xludf.DUMMYFUNCTION("IF(ISBLANK(H416), TODAY()-TO_DATE(G416), TO_DATE(H416)-TO_DATE(G416))+1"),5.0)</f>
        <v>5</v>
      </c>
      <c r="J416" s="40" t="s">
        <v>197</v>
      </c>
      <c r="K416" s="40" t="s">
        <v>4027</v>
      </c>
      <c r="L416" s="69" t="s">
        <v>2677</v>
      </c>
      <c r="M416" s="72"/>
      <c r="N416" s="29"/>
      <c r="O416" s="29"/>
      <c r="P416" s="29"/>
      <c r="Q416" s="29"/>
      <c r="R416" s="29"/>
      <c r="S416" s="29"/>
      <c r="T416" s="29"/>
      <c r="U416" s="29"/>
      <c r="V416" s="29"/>
      <c r="W416" s="29"/>
      <c r="X416" s="29"/>
      <c r="Y416" s="29"/>
      <c r="Z416" s="29"/>
      <c r="AA416" s="29"/>
      <c r="AB416" s="29"/>
      <c r="AC416" s="29"/>
      <c r="AD416" s="29"/>
      <c r="AE416" s="29"/>
      <c r="AF416" s="29"/>
      <c r="AG416" s="29"/>
    </row>
    <row r="417">
      <c r="A417" s="40" t="s">
        <v>1540</v>
      </c>
      <c r="B417" s="40" t="s">
        <v>697</v>
      </c>
      <c r="C417" s="44" t="s">
        <v>119</v>
      </c>
      <c r="D417" s="47" t="s">
        <v>504</v>
      </c>
      <c r="E417" s="40" t="s">
        <v>4040</v>
      </c>
      <c r="F417" s="40" t="s">
        <v>4041</v>
      </c>
      <c r="G417" s="50" t="s">
        <v>3997</v>
      </c>
      <c r="H417" s="53">
        <v>45929.0</v>
      </c>
      <c r="I417" s="63">
        <f>IFERROR(__xludf.DUMMYFUNCTION("IF(ISBLANK(H417), TODAY()-TO_DATE(G417), TO_DATE(H417)-TO_DATE(G417))+1"),27.0)</f>
        <v>27</v>
      </c>
      <c r="J417" s="40">
        <v>500.0</v>
      </c>
      <c r="K417" s="40" t="s">
        <v>4045</v>
      </c>
      <c r="L417" s="69" t="s">
        <v>4046</v>
      </c>
      <c r="M417" s="72"/>
      <c r="N417" s="29"/>
      <c r="O417" s="29"/>
      <c r="P417" s="29"/>
      <c r="Q417" s="29"/>
      <c r="R417" s="29"/>
      <c r="S417" s="29"/>
      <c r="T417" s="29"/>
      <c r="U417" s="29"/>
      <c r="V417" s="29"/>
      <c r="W417" s="29"/>
      <c r="X417" s="29"/>
      <c r="Y417" s="29"/>
      <c r="Z417" s="29"/>
      <c r="AA417" s="29"/>
      <c r="AB417" s="29"/>
      <c r="AC417" s="29"/>
      <c r="AD417" s="29"/>
      <c r="AE417" s="29"/>
      <c r="AF417" s="29"/>
      <c r="AG417" s="29"/>
    </row>
    <row r="418">
      <c r="A418" s="40" t="s">
        <v>1540</v>
      </c>
      <c r="B418" s="40" t="s">
        <v>697</v>
      </c>
      <c r="C418" s="44" t="s">
        <v>295</v>
      </c>
      <c r="D418" s="47" t="s">
        <v>60</v>
      </c>
      <c r="E418" s="40" t="s">
        <v>4051</v>
      </c>
      <c r="F418" s="40" t="s">
        <v>4053</v>
      </c>
      <c r="G418" s="50" t="s">
        <v>3997</v>
      </c>
      <c r="H418" s="53">
        <v>45908.0</v>
      </c>
      <c r="I418" s="63">
        <f>IFERROR(__xludf.DUMMYFUNCTION("IF(ISBLANK(H418), TODAY()-TO_DATE(G418), TO_DATE(H418)-TO_DATE(G418))+1"),6.0)</f>
        <v>6</v>
      </c>
      <c r="J418" s="40">
        <v>500.0</v>
      </c>
      <c r="K418" s="40" t="s">
        <v>4057</v>
      </c>
      <c r="L418" s="88"/>
      <c r="M418" s="72"/>
      <c r="N418" s="29"/>
      <c r="O418" s="29"/>
      <c r="P418" s="29"/>
      <c r="Q418" s="29"/>
      <c r="R418" s="29"/>
      <c r="S418" s="29"/>
      <c r="T418" s="29"/>
      <c r="U418" s="29"/>
      <c r="V418" s="29"/>
      <c r="W418" s="29"/>
      <c r="X418" s="29"/>
      <c r="Y418" s="29"/>
      <c r="Z418" s="29"/>
      <c r="AA418" s="29"/>
      <c r="AB418" s="29"/>
      <c r="AC418" s="29"/>
      <c r="AD418" s="29"/>
      <c r="AE418" s="29"/>
      <c r="AF418" s="29"/>
      <c r="AG418" s="29"/>
    </row>
    <row r="419">
      <c r="A419" s="40" t="s">
        <v>660</v>
      </c>
      <c r="B419" s="40" t="s">
        <v>697</v>
      </c>
      <c r="C419" s="44" t="s">
        <v>786</v>
      </c>
      <c r="D419" s="47" t="s">
        <v>326</v>
      </c>
      <c r="E419" s="40" t="s">
        <v>4060</v>
      </c>
      <c r="F419" s="40" t="s">
        <v>4061</v>
      </c>
      <c r="G419" s="50" t="s">
        <v>3997</v>
      </c>
      <c r="H419" s="53">
        <v>45910.0</v>
      </c>
      <c r="I419" s="63">
        <f>IFERROR(__xludf.DUMMYFUNCTION("IF(ISBLANK(H419), TODAY()-TO_DATE(G419), TO_DATE(H419)-TO_DATE(G419))+1"),8.0)</f>
        <v>8</v>
      </c>
      <c r="J419" s="40">
        <v>500.0</v>
      </c>
      <c r="K419" s="40" t="s">
        <v>4067</v>
      </c>
      <c r="L419" s="69" t="s">
        <v>4068</v>
      </c>
      <c r="M419" s="72"/>
      <c r="N419" s="29"/>
      <c r="O419" s="29"/>
      <c r="P419" s="29"/>
      <c r="Q419" s="29"/>
      <c r="R419" s="29"/>
      <c r="S419" s="29"/>
      <c r="T419" s="29"/>
      <c r="U419" s="29"/>
      <c r="V419" s="29"/>
      <c r="W419" s="29"/>
      <c r="X419" s="29"/>
      <c r="Y419" s="29"/>
      <c r="Z419" s="29"/>
      <c r="AA419" s="29"/>
      <c r="AB419" s="29"/>
      <c r="AC419" s="29"/>
      <c r="AD419" s="29"/>
      <c r="AE419" s="29"/>
      <c r="AF419" s="29"/>
      <c r="AG419" s="29"/>
    </row>
    <row r="420">
      <c r="A420" s="40" t="s">
        <v>660</v>
      </c>
      <c r="B420" s="40" t="s">
        <v>697</v>
      </c>
      <c r="C420" s="44" t="s">
        <v>331</v>
      </c>
      <c r="D420" s="47" t="s">
        <v>60</v>
      </c>
      <c r="E420" s="40" t="s">
        <v>4072</v>
      </c>
      <c r="F420" s="40" t="s">
        <v>4073</v>
      </c>
      <c r="G420" s="50" t="s">
        <v>3997</v>
      </c>
      <c r="H420" s="53">
        <v>45949.0</v>
      </c>
      <c r="I420" s="63">
        <f>IFERROR(__xludf.DUMMYFUNCTION("IF(ISBLANK(H420), TODAY()-TO_DATE(G420), TO_DATE(H420)-TO_DATE(G420))+1"),47.0)</f>
        <v>47</v>
      </c>
      <c r="J420" s="40" t="s">
        <v>197</v>
      </c>
      <c r="K420" s="40" t="s">
        <v>4076</v>
      </c>
      <c r="L420" s="69" t="s">
        <v>4077</v>
      </c>
      <c r="M420" s="72"/>
      <c r="N420" s="29"/>
      <c r="O420" s="29"/>
      <c r="P420" s="29"/>
      <c r="Q420" s="29"/>
      <c r="R420" s="29"/>
      <c r="S420" s="29"/>
      <c r="T420" s="29"/>
      <c r="U420" s="29"/>
      <c r="V420" s="29"/>
      <c r="W420" s="29"/>
      <c r="X420" s="29"/>
      <c r="Y420" s="29"/>
      <c r="Z420" s="29"/>
      <c r="AA420" s="29"/>
      <c r="AB420" s="29"/>
      <c r="AC420" s="29"/>
      <c r="AD420" s="29"/>
      <c r="AE420" s="29"/>
      <c r="AF420" s="29"/>
      <c r="AG420" s="29"/>
    </row>
    <row r="421">
      <c r="A421" s="40" t="s">
        <v>660</v>
      </c>
      <c r="B421" s="40" t="s">
        <v>697</v>
      </c>
      <c r="C421" s="44" t="s">
        <v>287</v>
      </c>
      <c r="D421" s="47" t="s">
        <v>60</v>
      </c>
      <c r="E421" s="40" t="s">
        <v>2266</v>
      </c>
      <c r="F421" s="40" t="s">
        <v>2267</v>
      </c>
      <c r="G421" s="50" t="s">
        <v>3997</v>
      </c>
      <c r="H421" s="53">
        <v>45949.0</v>
      </c>
      <c r="I421" s="63">
        <f>IFERROR(__xludf.DUMMYFUNCTION("IF(ISBLANK(H421), TODAY()-TO_DATE(G421), TO_DATE(H421)-TO_DATE(G421))+1"),47.0)</f>
        <v>47</v>
      </c>
      <c r="J421" s="40" t="s">
        <v>197</v>
      </c>
      <c r="K421" s="40" t="s">
        <v>4081</v>
      </c>
      <c r="L421" s="69" t="s">
        <v>4083</v>
      </c>
      <c r="M421" s="72"/>
      <c r="N421" s="29"/>
      <c r="O421" s="29"/>
      <c r="P421" s="29"/>
      <c r="Q421" s="29"/>
      <c r="R421" s="29"/>
      <c r="S421" s="29"/>
      <c r="T421" s="29"/>
      <c r="U421" s="29"/>
      <c r="V421" s="29"/>
      <c r="W421" s="29"/>
      <c r="X421" s="29"/>
      <c r="Y421" s="29"/>
      <c r="Z421" s="29"/>
      <c r="AA421" s="29"/>
      <c r="AB421" s="29"/>
      <c r="AC421" s="29"/>
      <c r="AD421" s="29"/>
      <c r="AE421" s="29"/>
      <c r="AF421" s="29"/>
      <c r="AG421" s="29"/>
    </row>
    <row r="422">
      <c r="A422" s="40" t="s">
        <v>660</v>
      </c>
      <c r="B422" s="40" t="s">
        <v>697</v>
      </c>
      <c r="C422" s="44" t="s">
        <v>1466</v>
      </c>
      <c r="D422" s="47" t="s">
        <v>60</v>
      </c>
      <c r="E422" s="40" t="s">
        <v>2434</v>
      </c>
      <c r="F422" s="40" t="s">
        <v>2435</v>
      </c>
      <c r="G422" s="50" t="s">
        <v>3997</v>
      </c>
      <c r="H422" s="493">
        <v>45937.0</v>
      </c>
      <c r="I422" s="63">
        <f>IFERROR(__xludf.DUMMYFUNCTION("IF(ISBLANK(H422), TODAY()-TO_DATE(G422), TO_DATE(H422)-TO_DATE(G422))+1"),35.0)</f>
        <v>35</v>
      </c>
      <c r="J422" s="40" t="s">
        <v>197</v>
      </c>
      <c r="K422" s="40" t="s">
        <v>4095</v>
      </c>
      <c r="L422" s="69" t="s">
        <v>4096</v>
      </c>
      <c r="M422" s="72"/>
      <c r="N422" s="29"/>
      <c r="O422" s="29"/>
      <c r="P422" s="29"/>
      <c r="Q422" s="29"/>
      <c r="R422" s="29"/>
      <c r="S422" s="29"/>
      <c r="T422" s="29"/>
      <c r="U422" s="29"/>
      <c r="V422" s="29"/>
      <c r="W422" s="29"/>
      <c r="X422" s="29"/>
      <c r="Y422" s="29"/>
      <c r="Z422" s="29"/>
      <c r="AA422" s="29"/>
      <c r="AB422" s="29"/>
      <c r="AC422" s="29"/>
      <c r="AD422" s="29"/>
      <c r="AE422" s="29"/>
      <c r="AF422" s="29"/>
      <c r="AG422" s="29"/>
    </row>
    <row r="423">
      <c r="A423" s="40" t="s">
        <v>660</v>
      </c>
      <c r="B423" s="40" t="s">
        <v>697</v>
      </c>
      <c r="C423" s="44" t="s">
        <v>213</v>
      </c>
      <c r="D423" s="47" t="s">
        <v>60</v>
      </c>
      <c r="E423" s="40" t="s">
        <v>4099</v>
      </c>
      <c r="F423" s="40" t="s">
        <v>4101</v>
      </c>
      <c r="G423" s="50" t="s">
        <v>4102</v>
      </c>
      <c r="H423" s="53">
        <v>45913.0</v>
      </c>
      <c r="I423" s="63">
        <f>IFERROR(__xludf.DUMMYFUNCTION("IF(ISBLANK(H423), TODAY()-TO_DATE(G423), TO_DATE(H423)-TO_DATE(G423))+1"),7.0)</f>
        <v>7</v>
      </c>
      <c r="J423" s="40">
        <v>500.0</v>
      </c>
      <c r="K423" s="40" t="s">
        <v>4106</v>
      </c>
      <c r="L423" s="69" t="s">
        <v>4107</v>
      </c>
      <c r="M423" s="72"/>
      <c r="N423" s="29"/>
      <c r="O423" s="29"/>
      <c r="P423" s="29"/>
      <c r="Q423" s="29"/>
      <c r="R423" s="29"/>
      <c r="S423" s="29"/>
      <c r="T423" s="29"/>
      <c r="U423" s="29"/>
      <c r="V423" s="29"/>
      <c r="W423" s="29"/>
      <c r="X423" s="29"/>
      <c r="Y423" s="29"/>
      <c r="Z423" s="29"/>
      <c r="AA423" s="29"/>
      <c r="AB423" s="29"/>
      <c r="AC423" s="29"/>
      <c r="AD423" s="29"/>
      <c r="AE423" s="29"/>
      <c r="AF423" s="29"/>
      <c r="AG423" s="29"/>
    </row>
    <row r="424">
      <c r="A424" s="40" t="s">
        <v>660</v>
      </c>
      <c r="B424" s="40" t="s">
        <v>697</v>
      </c>
      <c r="C424" s="44" t="s">
        <v>331</v>
      </c>
      <c r="D424" s="47" t="s">
        <v>60</v>
      </c>
      <c r="E424" s="40" t="s">
        <v>4110</v>
      </c>
      <c r="F424" s="40" t="s">
        <v>4112</v>
      </c>
      <c r="G424" s="50" t="s">
        <v>4102</v>
      </c>
      <c r="H424" s="53">
        <v>45916.0</v>
      </c>
      <c r="I424" s="63">
        <f>IFERROR(__xludf.DUMMYFUNCTION("IF(ISBLANK(H424), TODAY()-TO_DATE(G424), TO_DATE(H424)-TO_DATE(G424))+1"),10.0)</f>
        <v>10</v>
      </c>
      <c r="J424" s="40">
        <v>500.0</v>
      </c>
      <c r="K424" s="40" t="s">
        <v>4117</v>
      </c>
      <c r="L424" s="69" t="s">
        <v>4120</v>
      </c>
      <c r="M424" s="72"/>
      <c r="N424" s="29"/>
      <c r="O424" s="29"/>
      <c r="P424" s="29"/>
      <c r="Q424" s="29"/>
      <c r="R424" s="29"/>
      <c r="S424" s="29"/>
      <c r="T424" s="29"/>
      <c r="U424" s="29"/>
      <c r="V424" s="29"/>
      <c r="W424" s="29"/>
      <c r="X424" s="29"/>
      <c r="Y424" s="29"/>
      <c r="Z424" s="29"/>
      <c r="AA424" s="29"/>
      <c r="AB424" s="29"/>
      <c r="AC424" s="29"/>
      <c r="AD424" s="29"/>
      <c r="AE424" s="29"/>
      <c r="AF424" s="29"/>
      <c r="AG424" s="29"/>
    </row>
    <row r="425">
      <c r="A425" s="40" t="s">
        <v>660</v>
      </c>
      <c r="B425" s="40" t="s">
        <v>697</v>
      </c>
      <c r="C425" s="44" t="s">
        <v>321</v>
      </c>
      <c r="D425" s="47" t="s">
        <v>60</v>
      </c>
      <c r="E425" s="40" t="s">
        <v>4124</v>
      </c>
      <c r="F425" s="40" t="s">
        <v>4126</v>
      </c>
      <c r="G425" s="50" t="s">
        <v>4102</v>
      </c>
      <c r="H425" s="53">
        <v>45912.0</v>
      </c>
      <c r="I425" s="63">
        <f>IFERROR(__xludf.DUMMYFUNCTION("IF(ISBLANK(H425), TODAY()-TO_DATE(G425), TO_DATE(H425)-TO_DATE(G425))+1"),6.0)</f>
        <v>6</v>
      </c>
      <c r="J425" s="40">
        <v>500.0</v>
      </c>
      <c r="K425" s="40" t="s">
        <v>4128</v>
      </c>
      <c r="L425" s="69" t="s">
        <v>2217</v>
      </c>
      <c r="M425" s="72"/>
      <c r="N425" s="29"/>
      <c r="O425" s="29"/>
      <c r="P425" s="29"/>
      <c r="Q425" s="29"/>
      <c r="R425" s="29"/>
      <c r="S425" s="29"/>
      <c r="T425" s="29"/>
      <c r="U425" s="29"/>
      <c r="V425" s="29"/>
      <c r="W425" s="29"/>
      <c r="X425" s="29"/>
      <c r="Y425" s="29"/>
      <c r="Z425" s="29"/>
      <c r="AA425" s="29"/>
      <c r="AB425" s="29"/>
      <c r="AC425" s="29"/>
      <c r="AD425" s="29"/>
      <c r="AE425" s="29"/>
      <c r="AF425" s="29"/>
      <c r="AG425" s="29"/>
    </row>
    <row r="426">
      <c r="A426" s="40" t="s">
        <v>660</v>
      </c>
      <c r="B426" s="40" t="s">
        <v>697</v>
      </c>
      <c r="C426" s="44" t="s">
        <v>287</v>
      </c>
      <c r="D426" s="47" t="s">
        <v>60</v>
      </c>
      <c r="E426" s="40" t="s">
        <v>4131</v>
      </c>
      <c r="F426" s="40" t="s">
        <v>4132</v>
      </c>
      <c r="G426" s="50" t="s">
        <v>4102</v>
      </c>
      <c r="H426" s="53">
        <v>45916.0</v>
      </c>
      <c r="I426" s="63">
        <f>IFERROR(__xludf.DUMMYFUNCTION("IF(ISBLANK(H426), TODAY()-TO_DATE(G426), TO_DATE(H426)-TO_DATE(G426))+1"),10.0)</f>
        <v>10</v>
      </c>
      <c r="J426" s="40">
        <v>500.0</v>
      </c>
      <c r="K426" s="40" t="s">
        <v>4134</v>
      </c>
      <c r="L426" s="69" t="s">
        <v>4135</v>
      </c>
      <c r="M426" s="72"/>
      <c r="N426" s="29"/>
      <c r="O426" s="29"/>
      <c r="P426" s="29"/>
      <c r="Q426" s="29"/>
      <c r="R426" s="29"/>
      <c r="S426" s="29"/>
      <c r="T426" s="29"/>
      <c r="U426" s="29"/>
      <c r="V426" s="29"/>
      <c r="W426" s="29"/>
      <c r="X426" s="29"/>
      <c r="Y426" s="29"/>
      <c r="Z426" s="29"/>
      <c r="AA426" s="29"/>
      <c r="AB426" s="29"/>
      <c r="AC426" s="29"/>
      <c r="AD426" s="29"/>
      <c r="AE426" s="29"/>
      <c r="AF426" s="29"/>
      <c r="AG426" s="29"/>
    </row>
    <row r="427">
      <c r="A427" s="40" t="s">
        <v>660</v>
      </c>
      <c r="B427" s="40" t="s">
        <v>697</v>
      </c>
      <c r="C427" s="44" t="s">
        <v>213</v>
      </c>
      <c r="D427" s="47" t="s">
        <v>60</v>
      </c>
      <c r="E427" s="40" t="s">
        <v>4137</v>
      </c>
      <c r="F427" s="40" t="s">
        <v>4138</v>
      </c>
      <c r="G427" s="50" t="s">
        <v>4102</v>
      </c>
      <c r="H427" s="53">
        <v>45917.0</v>
      </c>
      <c r="I427" s="63">
        <f>IFERROR(__xludf.DUMMYFUNCTION("IF(ISBLANK(H427), TODAY()-TO_DATE(G427), TO_DATE(H427)-TO_DATE(G427))+1"),11.0)</f>
        <v>11</v>
      </c>
      <c r="J427" s="40">
        <v>500.0</v>
      </c>
      <c r="K427" s="40" t="s">
        <v>4142</v>
      </c>
      <c r="L427" s="88"/>
      <c r="M427" s="72"/>
      <c r="N427" s="29"/>
      <c r="O427" s="29"/>
      <c r="P427" s="29"/>
      <c r="Q427" s="29"/>
      <c r="R427" s="29"/>
      <c r="S427" s="29"/>
      <c r="T427" s="29"/>
      <c r="U427" s="29"/>
      <c r="V427" s="29"/>
      <c r="W427" s="29"/>
      <c r="X427" s="29"/>
      <c r="Y427" s="29"/>
      <c r="Z427" s="29"/>
      <c r="AA427" s="29"/>
      <c r="AB427" s="29"/>
      <c r="AC427" s="29"/>
      <c r="AD427" s="29"/>
      <c r="AE427" s="29"/>
      <c r="AF427" s="29"/>
      <c r="AG427" s="29"/>
    </row>
    <row r="428">
      <c r="A428" s="40" t="s">
        <v>1923</v>
      </c>
      <c r="B428" s="40" t="s">
        <v>697</v>
      </c>
      <c r="C428" s="44" t="s">
        <v>1924</v>
      </c>
      <c r="D428" s="47" t="s">
        <v>102</v>
      </c>
      <c r="E428" s="40" t="s">
        <v>2260</v>
      </c>
      <c r="F428" s="40" t="s">
        <v>334</v>
      </c>
      <c r="G428" s="296" t="s">
        <v>4144</v>
      </c>
      <c r="H428" s="297">
        <v>45918.0</v>
      </c>
      <c r="I428" s="63">
        <f>IFERROR(__xludf.DUMMYFUNCTION("IF(ISBLANK(H428), TODAY()-TO_DATE(G428), TO_DATE(H428)-TO_DATE(G428))+1"),11.0)</f>
        <v>11</v>
      </c>
      <c r="J428" s="40" t="s">
        <v>197</v>
      </c>
      <c r="K428" s="40" t="s">
        <v>3787</v>
      </c>
      <c r="L428" s="88"/>
      <c r="M428" s="72"/>
      <c r="N428" s="29"/>
      <c r="O428" s="29"/>
      <c r="P428" s="29"/>
      <c r="Q428" s="29"/>
      <c r="R428" s="29"/>
      <c r="S428" s="29"/>
      <c r="T428" s="29"/>
      <c r="U428" s="29"/>
      <c r="V428" s="29"/>
      <c r="W428" s="29"/>
      <c r="X428" s="29"/>
      <c r="Y428" s="29"/>
      <c r="Z428" s="29"/>
      <c r="AA428" s="29"/>
      <c r="AB428" s="29"/>
      <c r="AC428" s="29"/>
      <c r="AD428" s="29"/>
      <c r="AE428" s="29"/>
      <c r="AF428" s="29"/>
      <c r="AG428" s="29"/>
    </row>
    <row r="429">
      <c r="A429" s="40" t="s">
        <v>1923</v>
      </c>
      <c r="B429" s="40" t="s">
        <v>697</v>
      </c>
      <c r="C429" s="44" t="s">
        <v>331</v>
      </c>
      <c r="D429" s="47" t="s">
        <v>60</v>
      </c>
      <c r="E429" s="40" t="s">
        <v>3020</v>
      </c>
      <c r="F429" s="40" t="s">
        <v>3024</v>
      </c>
      <c r="G429" s="296" t="s">
        <v>4144</v>
      </c>
      <c r="H429" s="297">
        <v>45918.0</v>
      </c>
      <c r="I429" s="63">
        <f>IFERROR(__xludf.DUMMYFUNCTION("IF(ISBLANK(H429), TODAY()-TO_DATE(G429), TO_DATE(H429)-TO_DATE(G429))+1"),11.0)</f>
        <v>11</v>
      </c>
      <c r="J429" s="40" t="s">
        <v>197</v>
      </c>
      <c r="K429" s="40" t="s">
        <v>3287</v>
      </c>
      <c r="L429" s="88"/>
      <c r="M429" s="72"/>
      <c r="N429" s="29"/>
      <c r="O429" s="29"/>
      <c r="P429" s="29"/>
      <c r="Q429" s="29"/>
      <c r="R429" s="29"/>
      <c r="S429" s="29"/>
      <c r="T429" s="29"/>
      <c r="U429" s="29"/>
      <c r="V429" s="29"/>
      <c r="W429" s="29"/>
      <c r="X429" s="29"/>
      <c r="Y429" s="29"/>
      <c r="Z429" s="29"/>
      <c r="AA429" s="29"/>
      <c r="AB429" s="29"/>
      <c r="AC429" s="29"/>
      <c r="AD429" s="29"/>
      <c r="AE429" s="29"/>
      <c r="AF429" s="29"/>
      <c r="AG429" s="29"/>
    </row>
    <row r="430">
      <c r="A430" s="40" t="s">
        <v>1923</v>
      </c>
      <c r="B430" s="40" t="s">
        <v>697</v>
      </c>
      <c r="C430" s="44" t="s">
        <v>331</v>
      </c>
      <c r="D430" s="47" t="s">
        <v>60</v>
      </c>
      <c r="E430" s="40" t="s">
        <v>3276</v>
      </c>
      <c r="F430" s="40" t="s">
        <v>3277</v>
      </c>
      <c r="G430" s="296" t="s">
        <v>4144</v>
      </c>
      <c r="H430" s="297">
        <v>45918.0</v>
      </c>
      <c r="I430" s="63">
        <f>IFERROR(__xludf.DUMMYFUNCTION("IF(ISBLANK(H430), TODAY()-TO_DATE(G430), TO_DATE(H430)-TO_DATE(G430))+1"),11.0)</f>
        <v>11</v>
      </c>
      <c r="J430" s="40" t="s">
        <v>197</v>
      </c>
      <c r="K430" s="40" t="s">
        <v>3280</v>
      </c>
      <c r="L430" s="88"/>
      <c r="M430" s="72"/>
      <c r="N430" s="29"/>
      <c r="O430" s="29"/>
      <c r="P430" s="29"/>
      <c r="Q430" s="29"/>
      <c r="R430" s="29"/>
      <c r="S430" s="29"/>
      <c r="T430" s="29"/>
      <c r="U430" s="29"/>
      <c r="V430" s="29"/>
      <c r="W430" s="29"/>
      <c r="X430" s="29"/>
      <c r="Y430" s="29"/>
      <c r="Z430" s="29"/>
      <c r="AA430" s="29"/>
      <c r="AB430" s="29"/>
      <c r="AC430" s="29"/>
      <c r="AD430" s="29"/>
      <c r="AE430" s="29"/>
      <c r="AF430" s="29"/>
      <c r="AG430" s="29"/>
    </row>
    <row r="431">
      <c r="A431" s="40" t="s">
        <v>1923</v>
      </c>
      <c r="B431" s="40" t="s">
        <v>697</v>
      </c>
      <c r="C431" s="44" t="s">
        <v>331</v>
      </c>
      <c r="D431" s="47" t="s">
        <v>60</v>
      </c>
      <c r="E431" s="40" t="s">
        <v>3288</v>
      </c>
      <c r="F431" s="40" t="s">
        <v>3289</v>
      </c>
      <c r="G431" s="296" t="s">
        <v>4144</v>
      </c>
      <c r="H431" s="297">
        <v>45918.0</v>
      </c>
      <c r="I431" s="63">
        <f>IFERROR(__xludf.DUMMYFUNCTION("IF(ISBLANK(H431), TODAY()-TO_DATE(G431), TO_DATE(H431)-TO_DATE(G431))+1"),11.0)</f>
        <v>11</v>
      </c>
      <c r="J431" s="40" t="s">
        <v>197</v>
      </c>
      <c r="K431" s="40" t="s">
        <v>3291</v>
      </c>
      <c r="L431" s="88"/>
      <c r="M431" s="72"/>
      <c r="N431" s="29"/>
      <c r="O431" s="29"/>
      <c r="P431" s="29"/>
      <c r="Q431" s="29"/>
      <c r="R431" s="29"/>
      <c r="S431" s="29"/>
      <c r="T431" s="29"/>
      <c r="U431" s="29"/>
      <c r="V431" s="29"/>
      <c r="W431" s="29"/>
      <c r="X431" s="29"/>
      <c r="Y431" s="29"/>
      <c r="Z431" s="29"/>
      <c r="AA431" s="29"/>
      <c r="AB431" s="29"/>
      <c r="AC431" s="29"/>
      <c r="AD431" s="29"/>
      <c r="AE431" s="29"/>
      <c r="AF431" s="29"/>
      <c r="AG431" s="29"/>
    </row>
    <row r="432">
      <c r="A432" s="40" t="s">
        <v>660</v>
      </c>
      <c r="B432" s="40" t="s">
        <v>697</v>
      </c>
      <c r="C432" s="44" t="s">
        <v>331</v>
      </c>
      <c r="D432" s="47" t="s">
        <v>60</v>
      </c>
      <c r="E432" s="40" t="s">
        <v>2835</v>
      </c>
      <c r="F432" s="40" t="s">
        <v>2836</v>
      </c>
      <c r="G432" s="50" t="s">
        <v>4144</v>
      </c>
      <c r="H432" s="53">
        <v>45910.0</v>
      </c>
      <c r="I432" s="63">
        <f>IFERROR(__xludf.DUMMYFUNCTION("IF(ISBLANK(H432), TODAY()-TO_DATE(G432), TO_DATE(H432)-TO_DATE(G432))+1"),3.0)</f>
        <v>3</v>
      </c>
      <c r="J432" s="40">
        <v>300.0</v>
      </c>
      <c r="K432" s="40" t="s">
        <v>4172</v>
      </c>
      <c r="L432" s="88"/>
      <c r="M432" s="72"/>
      <c r="N432" s="29"/>
      <c r="O432" s="29"/>
      <c r="P432" s="29"/>
      <c r="Q432" s="29"/>
      <c r="R432" s="29"/>
      <c r="S432" s="29"/>
      <c r="T432" s="29"/>
      <c r="U432" s="29"/>
      <c r="V432" s="29"/>
      <c r="W432" s="29"/>
      <c r="X432" s="29"/>
      <c r="Y432" s="29"/>
      <c r="Z432" s="29"/>
      <c r="AA432" s="29"/>
      <c r="AB432" s="29"/>
      <c r="AC432" s="29"/>
      <c r="AD432" s="29"/>
      <c r="AE432" s="29"/>
      <c r="AF432" s="29"/>
      <c r="AG432" s="29"/>
    </row>
    <row r="433">
      <c r="A433" s="40" t="s">
        <v>660</v>
      </c>
      <c r="B433" s="40" t="s">
        <v>697</v>
      </c>
      <c r="C433" s="44" t="s">
        <v>331</v>
      </c>
      <c r="D433" s="47" t="s">
        <v>60</v>
      </c>
      <c r="E433" s="40" t="s">
        <v>4177</v>
      </c>
      <c r="F433" s="40" t="s">
        <v>4178</v>
      </c>
      <c r="G433" s="50" t="s">
        <v>4144</v>
      </c>
      <c r="H433" s="53">
        <v>45914.0</v>
      </c>
      <c r="I433" s="63">
        <f>IFERROR(__xludf.DUMMYFUNCTION("IF(ISBLANK(H433), TODAY()-TO_DATE(G433), TO_DATE(H433)-TO_DATE(G433))+1"),7.0)</f>
        <v>7</v>
      </c>
      <c r="J433" s="40">
        <v>300.0</v>
      </c>
      <c r="K433" s="40" t="s">
        <v>4181</v>
      </c>
      <c r="L433" s="69" t="s">
        <v>4182</v>
      </c>
      <c r="M433" s="72"/>
      <c r="N433" s="29"/>
      <c r="O433" s="29"/>
      <c r="P433" s="29"/>
      <c r="Q433" s="29"/>
      <c r="R433" s="29"/>
      <c r="S433" s="29"/>
      <c r="T433" s="29"/>
      <c r="U433" s="29"/>
      <c r="V433" s="29"/>
      <c r="W433" s="29"/>
      <c r="X433" s="29"/>
      <c r="Y433" s="29"/>
      <c r="Z433" s="29"/>
      <c r="AA433" s="29"/>
      <c r="AB433" s="29"/>
      <c r="AC433" s="29"/>
      <c r="AD433" s="29"/>
      <c r="AE433" s="29"/>
      <c r="AF433" s="29"/>
      <c r="AG433" s="29"/>
    </row>
    <row r="434">
      <c r="A434" s="40" t="s">
        <v>660</v>
      </c>
      <c r="B434" s="40" t="s">
        <v>697</v>
      </c>
      <c r="C434" s="44" t="s">
        <v>213</v>
      </c>
      <c r="D434" s="47" t="s">
        <v>60</v>
      </c>
      <c r="E434" s="40" t="s">
        <v>4186</v>
      </c>
      <c r="F434" s="40" t="s">
        <v>4188</v>
      </c>
      <c r="G434" s="50" t="s">
        <v>4144</v>
      </c>
      <c r="H434" s="53">
        <v>45922.0</v>
      </c>
      <c r="I434" s="63">
        <f>IFERROR(__xludf.DUMMYFUNCTION("IF(ISBLANK(H434), TODAY()-TO_DATE(G434), TO_DATE(H434)-TO_DATE(G434))+1"),15.0)</f>
        <v>15</v>
      </c>
      <c r="J434" s="40">
        <v>500.0</v>
      </c>
      <c r="K434" s="40" t="s">
        <v>4191</v>
      </c>
      <c r="L434" s="69" t="s">
        <v>4192</v>
      </c>
      <c r="M434" s="72"/>
      <c r="N434" s="29"/>
      <c r="O434" s="29"/>
      <c r="P434" s="29"/>
      <c r="Q434" s="29"/>
      <c r="R434" s="29"/>
      <c r="S434" s="29"/>
      <c r="T434" s="29"/>
      <c r="U434" s="29"/>
      <c r="V434" s="29"/>
      <c r="W434" s="29"/>
      <c r="X434" s="29"/>
      <c r="Y434" s="29"/>
      <c r="Z434" s="29"/>
      <c r="AA434" s="29"/>
      <c r="AB434" s="29"/>
      <c r="AC434" s="29"/>
      <c r="AD434" s="29"/>
      <c r="AE434" s="29"/>
      <c r="AF434" s="29"/>
      <c r="AG434" s="29"/>
    </row>
    <row r="435">
      <c r="A435" s="40" t="s">
        <v>1540</v>
      </c>
      <c r="B435" s="40" t="s">
        <v>697</v>
      </c>
      <c r="C435" s="44" t="s">
        <v>187</v>
      </c>
      <c r="D435" s="47" t="s">
        <v>60</v>
      </c>
      <c r="E435" s="40" t="s">
        <v>4197</v>
      </c>
      <c r="F435" s="40" t="s">
        <v>4198</v>
      </c>
      <c r="G435" s="50" t="s">
        <v>4144</v>
      </c>
      <c r="H435" s="53">
        <v>45929.0</v>
      </c>
      <c r="I435" s="63">
        <f>IFERROR(__xludf.DUMMYFUNCTION("IF(ISBLANK(H435), TODAY()-TO_DATE(G435), TO_DATE(H435)-TO_DATE(G435))+1"),22.0)</f>
        <v>22</v>
      </c>
      <c r="J435" s="40">
        <v>300.0</v>
      </c>
      <c r="K435" s="40" t="s">
        <v>4200</v>
      </c>
      <c r="L435" s="88"/>
      <c r="M435" s="72"/>
      <c r="N435" s="29"/>
      <c r="O435" s="29"/>
      <c r="P435" s="29"/>
      <c r="Q435" s="29"/>
      <c r="R435" s="29"/>
      <c r="S435" s="29"/>
      <c r="T435" s="29"/>
      <c r="U435" s="29"/>
      <c r="V435" s="29"/>
      <c r="W435" s="29"/>
      <c r="X435" s="29"/>
      <c r="Y435" s="29"/>
      <c r="Z435" s="29"/>
      <c r="AA435" s="29"/>
      <c r="AB435" s="29"/>
      <c r="AC435" s="29"/>
      <c r="AD435" s="29"/>
      <c r="AE435" s="29"/>
      <c r="AF435" s="29"/>
      <c r="AG435" s="29"/>
    </row>
    <row r="436">
      <c r="A436" s="40" t="s">
        <v>1540</v>
      </c>
      <c r="B436" s="40" t="s">
        <v>697</v>
      </c>
      <c r="C436" s="44" t="s">
        <v>321</v>
      </c>
      <c r="D436" s="47" t="s">
        <v>60</v>
      </c>
      <c r="E436" s="40" t="s">
        <v>3242</v>
      </c>
      <c r="F436" s="40" t="s">
        <v>1203</v>
      </c>
      <c r="G436" s="50" t="s">
        <v>4144</v>
      </c>
      <c r="H436" s="493">
        <v>45939.0</v>
      </c>
      <c r="I436" s="63">
        <f>IFERROR(__xludf.DUMMYFUNCTION("IF(ISBLANK(H436), TODAY()-TO_DATE(G436), TO_DATE(H436)-TO_DATE(G436))+1"),32.0)</f>
        <v>32</v>
      </c>
      <c r="J436" s="40" t="s">
        <v>197</v>
      </c>
      <c r="K436" s="40" t="s">
        <v>4208</v>
      </c>
      <c r="L436" s="88"/>
      <c r="M436" s="72"/>
      <c r="N436" s="29"/>
      <c r="O436" s="29"/>
      <c r="P436" s="29"/>
      <c r="Q436" s="29"/>
      <c r="R436" s="29"/>
      <c r="S436" s="29"/>
      <c r="T436" s="29"/>
      <c r="U436" s="29"/>
      <c r="V436" s="29"/>
      <c r="W436" s="29"/>
      <c r="X436" s="29"/>
      <c r="Y436" s="29"/>
      <c r="Z436" s="29"/>
      <c r="AA436" s="29"/>
      <c r="AB436" s="29"/>
      <c r="AC436" s="29"/>
      <c r="AD436" s="29"/>
      <c r="AE436" s="29"/>
      <c r="AF436" s="29"/>
      <c r="AG436" s="29"/>
    </row>
    <row r="437">
      <c r="A437" s="27" t="s">
        <v>1540</v>
      </c>
      <c r="B437" s="27" t="s">
        <v>697</v>
      </c>
      <c r="C437" s="251" t="s">
        <v>58</v>
      </c>
      <c r="D437" s="47" t="s">
        <v>60</v>
      </c>
      <c r="E437" s="27" t="s">
        <v>4214</v>
      </c>
      <c r="F437" s="27" t="s">
        <v>4216</v>
      </c>
      <c r="G437" s="252" t="s">
        <v>4144</v>
      </c>
      <c r="H437" s="253">
        <v>45955.0</v>
      </c>
      <c r="I437" s="189">
        <f>IFERROR(__xludf.DUMMYFUNCTION("IF(ISBLANK(H437), TODAY()-TO_DATE(G437), TO_DATE(H437)-TO_DATE(G437))+1"),48.0)</f>
        <v>48</v>
      </c>
      <c r="J437" s="27">
        <v>200.0</v>
      </c>
      <c r="K437" s="497"/>
      <c r="L437" s="255"/>
      <c r="M437" s="47" t="s">
        <v>3415</v>
      </c>
      <c r="N437" s="29"/>
      <c r="O437" s="29"/>
      <c r="P437" s="29"/>
      <c r="Q437" s="29"/>
      <c r="R437" s="29"/>
      <c r="S437" s="29"/>
      <c r="T437" s="29"/>
      <c r="U437" s="29"/>
      <c r="V437" s="29"/>
      <c r="W437" s="29"/>
      <c r="X437" s="29"/>
      <c r="Y437" s="29"/>
      <c r="Z437" s="29"/>
      <c r="AA437" s="29"/>
      <c r="AB437" s="29"/>
      <c r="AC437" s="29"/>
      <c r="AD437" s="29"/>
      <c r="AE437" s="29"/>
      <c r="AF437" s="29"/>
      <c r="AG437" s="29"/>
    </row>
    <row r="438">
      <c r="A438" s="40" t="s">
        <v>54</v>
      </c>
      <c r="B438" s="40" t="s">
        <v>697</v>
      </c>
      <c r="C438" s="44" t="s">
        <v>331</v>
      </c>
      <c r="D438" s="47" t="s">
        <v>60</v>
      </c>
      <c r="E438" s="40" t="s">
        <v>4225</v>
      </c>
      <c r="F438" s="40" t="s">
        <v>4226</v>
      </c>
      <c r="G438" s="50" t="s">
        <v>4228</v>
      </c>
      <c r="H438" s="53">
        <v>45918.0</v>
      </c>
      <c r="I438" s="63">
        <f>IFERROR(__xludf.DUMMYFUNCTION("IF(ISBLANK(H438), TODAY()-TO_DATE(G438), TO_DATE(H438)-TO_DATE(G438))+1"),10.0)</f>
        <v>10</v>
      </c>
      <c r="J438" s="40">
        <v>500.0</v>
      </c>
      <c r="K438" s="40" t="s">
        <v>4230</v>
      </c>
      <c r="L438" s="69" t="s">
        <v>4231</v>
      </c>
      <c r="M438" s="72"/>
      <c r="N438" s="29"/>
      <c r="O438" s="29"/>
      <c r="P438" s="29"/>
      <c r="Q438" s="29"/>
      <c r="R438" s="29"/>
      <c r="S438" s="29"/>
      <c r="T438" s="29"/>
      <c r="U438" s="29"/>
      <c r="V438" s="29"/>
      <c r="W438" s="29"/>
      <c r="X438" s="29"/>
      <c r="Y438" s="29"/>
      <c r="Z438" s="29"/>
      <c r="AA438" s="29"/>
      <c r="AB438" s="29"/>
      <c r="AC438" s="29"/>
      <c r="AD438" s="29"/>
      <c r="AE438" s="29"/>
      <c r="AF438" s="29"/>
      <c r="AG438" s="29"/>
    </row>
    <row r="439">
      <c r="A439" s="40" t="s">
        <v>54</v>
      </c>
      <c r="B439" s="40" t="s">
        <v>697</v>
      </c>
      <c r="C439" s="44" t="s">
        <v>213</v>
      </c>
      <c r="D439" s="47" t="s">
        <v>60</v>
      </c>
      <c r="E439" s="40" t="s">
        <v>4236</v>
      </c>
      <c r="F439" s="40" t="s">
        <v>4237</v>
      </c>
      <c r="G439" s="50" t="s">
        <v>4228</v>
      </c>
      <c r="H439" s="53">
        <v>45921.0</v>
      </c>
      <c r="I439" s="63">
        <f>IFERROR(__xludf.DUMMYFUNCTION("IF(ISBLANK(H439), TODAY()-TO_DATE(G439), TO_DATE(H439)-TO_DATE(G439))+1"),13.0)</f>
        <v>13</v>
      </c>
      <c r="J439" s="40">
        <v>500.0</v>
      </c>
      <c r="K439" s="40" t="s">
        <v>4241</v>
      </c>
      <c r="L439" s="69" t="s">
        <v>4244</v>
      </c>
      <c r="M439" s="72"/>
      <c r="N439" s="29"/>
      <c r="O439" s="29"/>
      <c r="P439" s="29"/>
      <c r="Q439" s="29"/>
      <c r="R439" s="29"/>
      <c r="S439" s="29"/>
      <c r="T439" s="29"/>
      <c r="U439" s="29"/>
      <c r="V439" s="29"/>
      <c r="W439" s="29"/>
      <c r="X439" s="29"/>
      <c r="Y439" s="29"/>
      <c r="Z439" s="29"/>
      <c r="AA439" s="29"/>
      <c r="AB439" s="29"/>
      <c r="AC439" s="29"/>
      <c r="AD439" s="29"/>
      <c r="AE439" s="29"/>
      <c r="AF439" s="29"/>
      <c r="AG439" s="29"/>
    </row>
    <row r="440">
      <c r="A440" s="40" t="s">
        <v>54</v>
      </c>
      <c r="B440" s="40" t="s">
        <v>697</v>
      </c>
      <c r="C440" s="44" t="s">
        <v>295</v>
      </c>
      <c r="D440" s="47" t="s">
        <v>60</v>
      </c>
      <c r="E440" s="40" t="s">
        <v>4250</v>
      </c>
      <c r="F440" s="40" t="s">
        <v>4251</v>
      </c>
      <c r="G440" s="50" t="s">
        <v>4228</v>
      </c>
      <c r="H440" s="53">
        <v>45915.0</v>
      </c>
      <c r="I440" s="63">
        <f>IFERROR(__xludf.DUMMYFUNCTION("IF(ISBLANK(H440), TODAY()-TO_DATE(G440), TO_DATE(H440)-TO_DATE(G440))+1"),7.0)</f>
        <v>7</v>
      </c>
      <c r="J440" s="40">
        <v>300.0</v>
      </c>
      <c r="K440" s="40" t="s">
        <v>4256</v>
      </c>
      <c r="L440" s="69" t="s">
        <v>4257</v>
      </c>
      <c r="M440" s="72"/>
      <c r="N440" s="29"/>
      <c r="O440" s="29"/>
      <c r="P440" s="29"/>
      <c r="Q440" s="29"/>
      <c r="R440" s="29"/>
      <c r="S440" s="29"/>
      <c r="T440" s="29"/>
      <c r="U440" s="29"/>
      <c r="V440" s="29"/>
      <c r="W440" s="29"/>
      <c r="X440" s="29"/>
      <c r="Y440" s="29"/>
      <c r="Z440" s="29"/>
      <c r="AA440" s="29"/>
      <c r="AB440" s="29"/>
      <c r="AC440" s="29"/>
      <c r="AD440" s="29"/>
      <c r="AE440" s="29"/>
      <c r="AF440" s="29"/>
      <c r="AG440" s="29"/>
    </row>
    <row r="441">
      <c r="A441" s="40" t="s">
        <v>660</v>
      </c>
      <c r="B441" s="40" t="s">
        <v>697</v>
      </c>
      <c r="C441" s="44" t="s">
        <v>331</v>
      </c>
      <c r="D441" s="47" t="s">
        <v>60</v>
      </c>
      <c r="E441" s="40" t="s">
        <v>4262</v>
      </c>
      <c r="F441" s="40" t="s">
        <v>1958</v>
      </c>
      <c r="G441" s="50" t="s">
        <v>4228</v>
      </c>
      <c r="H441" s="53">
        <v>45912.0</v>
      </c>
      <c r="I441" s="63">
        <f>IFERROR(__xludf.DUMMYFUNCTION("IF(ISBLANK(H441), TODAY()-TO_DATE(G441), TO_DATE(H441)-TO_DATE(G441))+1"),4.0)</f>
        <v>4</v>
      </c>
      <c r="J441" s="40">
        <v>300.0</v>
      </c>
      <c r="K441" s="40" t="s">
        <v>4266</v>
      </c>
      <c r="L441" s="88"/>
      <c r="M441" s="72"/>
      <c r="N441" s="29"/>
      <c r="O441" s="29"/>
      <c r="P441" s="29"/>
      <c r="Q441" s="29"/>
      <c r="R441" s="29"/>
      <c r="S441" s="29"/>
      <c r="T441" s="29"/>
      <c r="U441" s="29"/>
      <c r="V441" s="29"/>
      <c r="W441" s="29"/>
      <c r="X441" s="29"/>
      <c r="Y441" s="29"/>
      <c r="Z441" s="29"/>
      <c r="AA441" s="29"/>
      <c r="AB441" s="29"/>
      <c r="AC441" s="29"/>
      <c r="AD441" s="29"/>
      <c r="AE441" s="29"/>
      <c r="AF441" s="29"/>
      <c r="AG441" s="29"/>
    </row>
    <row r="442">
      <c r="A442" s="40" t="s">
        <v>660</v>
      </c>
      <c r="B442" s="40" t="s">
        <v>697</v>
      </c>
      <c r="C442" s="44" t="s">
        <v>1466</v>
      </c>
      <c r="D442" s="47" t="s">
        <v>60</v>
      </c>
      <c r="E442" s="40" t="s">
        <v>4273</v>
      </c>
      <c r="F442" s="40" t="s">
        <v>329</v>
      </c>
      <c r="G442" s="50" t="s">
        <v>4228</v>
      </c>
      <c r="H442" s="53">
        <v>45920.0</v>
      </c>
      <c r="I442" s="63">
        <f>IFERROR(__xludf.DUMMYFUNCTION("IF(ISBLANK(H442), TODAY()-TO_DATE(G442), TO_DATE(H442)-TO_DATE(G442))+1"),12.0)</f>
        <v>12</v>
      </c>
      <c r="J442" s="40">
        <v>500.0</v>
      </c>
      <c r="K442" s="40" t="s">
        <v>4278</v>
      </c>
      <c r="L442" s="88"/>
      <c r="M442" s="72"/>
      <c r="N442" s="29"/>
      <c r="O442" s="29"/>
      <c r="P442" s="29"/>
      <c r="Q442" s="29"/>
      <c r="R442" s="29"/>
      <c r="S442" s="29"/>
      <c r="T442" s="29"/>
      <c r="U442" s="29"/>
      <c r="V442" s="29"/>
      <c r="W442" s="29"/>
      <c r="X442" s="29"/>
      <c r="Y442" s="29"/>
      <c r="Z442" s="29"/>
      <c r="AA442" s="29"/>
      <c r="AB442" s="29"/>
      <c r="AC442" s="29"/>
      <c r="AD442" s="29"/>
      <c r="AE442" s="29"/>
      <c r="AF442" s="29"/>
      <c r="AG442" s="29"/>
    </row>
    <row r="443">
      <c r="A443" s="40" t="s">
        <v>54</v>
      </c>
      <c r="B443" s="40" t="s">
        <v>697</v>
      </c>
      <c r="C443" s="44" t="s">
        <v>321</v>
      </c>
      <c r="D443" s="47" t="s">
        <v>60</v>
      </c>
      <c r="E443" s="40" t="s">
        <v>4283</v>
      </c>
      <c r="F443" s="40" t="s">
        <v>1960</v>
      </c>
      <c r="G443" s="50" t="s">
        <v>4284</v>
      </c>
      <c r="H443" s="53">
        <v>45915.0</v>
      </c>
      <c r="I443" s="63">
        <f>IFERROR(__xludf.DUMMYFUNCTION("IF(ISBLANK(H443), TODAY()-TO_DATE(G443), TO_DATE(H443)-TO_DATE(G443))+1"),6.0)</f>
        <v>6</v>
      </c>
      <c r="J443" s="40">
        <v>500.0</v>
      </c>
      <c r="K443" s="40" t="s">
        <v>4287</v>
      </c>
      <c r="L443" s="69" t="s">
        <v>4288</v>
      </c>
      <c r="M443" s="72"/>
      <c r="N443" s="29"/>
      <c r="O443" s="29"/>
      <c r="P443" s="29"/>
      <c r="Q443" s="29"/>
      <c r="R443" s="29"/>
      <c r="S443" s="29"/>
      <c r="T443" s="29"/>
      <c r="U443" s="29"/>
      <c r="V443" s="29"/>
      <c r="W443" s="29"/>
      <c r="X443" s="29"/>
      <c r="Y443" s="29"/>
      <c r="Z443" s="29"/>
      <c r="AA443" s="29"/>
      <c r="AB443" s="29"/>
      <c r="AC443" s="29"/>
      <c r="AD443" s="29"/>
      <c r="AE443" s="29"/>
      <c r="AF443" s="29"/>
      <c r="AG443" s="29"/>
    </row>
    <row r="444">
      <c r="A444" s="40" t="s">
        <v>660</v>
      </c>
      <c r="B444" s="40" t="s">
        <v>697</v>
      </c>
      <c r="C444" s="44" t="s">
        <v>213</v>
      </c>
      <c r="D444" s="47" t="s">
        <v>60</v>
      </c>
      <c r="E444" s="40" t="s">
        <v>3506</v>
      </c>
      <c r="F444" s="40" t="s">
        <v>2545</v>
      </c>
      <c r="G444" s="50" t="s">
        <v>4284</v>
      </c>
      <c r="H444" s="53">
        <v>45914.0</v>
      </c>
      <c r="I444" s="63">
        <f>IFERROR(__xludf.DUMMYFUNCTION("IF(ISBLANK(H444), TODAY()-TO_DATE(G444), TO_DATE(H444)-TO_DATE(G444))+1"),5.0)</f>
        <v>5</v>
      </c>
      <c r="J444" s="40">
        <v>500.0</v>
      </c>
      <c r="K444" s="40" t="s">
        <v>4295</v>
      </c>
      <c r="L444" s="88"/>
      <c r="M444" s="72"/>
      <c r="N444" s="29"/>
      <c r="O444" s="29"/>
      <c r="P444" s="29"/>
      <c r="Q444" s="29"/>
      <c r="R444" s="29"/>
      <c r="S444" s="29"/>
      <c r="T444" s="29"/>
      <c r="U444" s="29"/>
      <c r="V444" s="29"/>
      <c r="W444" s="29"/>
      <c r="X444" s="29"/>
      <c r="Y444" s="29"/>
      <c r="Z444" s="29"/>
      <c r="AA444" s="29"/>
      <c r="AB444" s="29"/>
      <c r="AC444" s="29"/>
      <c r="AD444" s="29"/>
      <c r="AE444" s="29"/>
      <c r="AF444" s="29"/>
      <c r="AG444" s="29"/>
    </row>
    <row r="445">
      <c r="A445" s="40" t="s">
        <v>660</v>
      </c>
      <c r="B445" s="40" t="s">
        <v>697</v>
      </c>
      <c r="C445" s="44" t="s">
        <v>287</v>
      </c>
      <c r="D445" s="47" t="s">
        <v>60</v>
      </c>
      <c r="E445" s="40" t="s">
        <v>4299</v>
      </c>
      <c r="F445" s="40" t="s">
        <v>4300</v>
      </c>
      <c r="G445" s="50" t="s">
        <v>4284</v>
      </c>
      <c r="H445" s="53">
        <v>45917.0</v>
      </c>
      <c r="I445" s="63">
        <f>IFERROR(__xludf.DUMMYFUNCTION("IF(ISBLANK(H445), TODAY()-TO_DATE(G445), TO_DATE(H445)-TO_DATE(G445))+1"),8.0)</f>
        <v>8</v>
      </c>
      <c r="J445" s="40">
        <v>500.0</v>
      </c>
      <c r="K445" s="40" t="s">
        <v>4304</v>
      </c>
      <c r="L445" s="69" t="s">
        <v>4306</v>
      </c>
      <c r="M445" s="72"/>
      <c r="N445" s="29"/>
      <c r="O445" s="29"/>
      <c r="P445" s="29"/>
      <c r="Q445" s="29"/>
      <c r="R445" s="29"/>
      <c r="S445" s="29"/>
      <c r="T445" s="29"/>
      <c r="U445" s="29"/>
      <c r="V445" s="29"/>
      <c r="W445" s="29"/>
      <c r="X445" s="29"/>
      <c r="Y445" s="29"/>
      <c r="Z445" s="29"/>
      <c r="AA445" s="29"/>
      <c r="AB445" s="29"/>
      <c r="AC445" s="29"/>
      <c r="AD445" s="29"/>
      <c r="AE445" s="29"/>
      <c r="AF445" s="29"/>
      <c r="AG445" s="29"/>
    </row>
    <row r="446">
      <c r="A446" s="40" t="s">
        <v>660</v>
      </c>
      <c r="B446" s="40" t="s">
        <v>697</v>
      </c>
      <c r="C446" s="44" t="s">
        <v>331</v>
      </c>
      <c r="D446" s="47" t="s">
        <v>60</v>
      </c>
      <c r="E446" s="40" t="s">
        <v>4311</v>
      </c>
      <c r="F446" s="40" t="s">
        <v>4313</v>
      </c>
      <c r="G446" s="50" t="s">
        <v>4284</v>
      </c>
      <c r="H446" s="53">
        <v>45919.0</v>
      </c>
      <c r="I446" s="63">
        <f>IFERROR(__xludf.DUMMYFUNCTION("IF(ISBLANK(H446), TODAY()-TO_DATE(G446), TO_DATE(H446)-TO_DATE(G446))+1"),10.0)</f>
        <v>10</v>
      </c>
      <c r="J446" s="40">
        <v>500.0</v>
      </c>
      <c r="K446" s="40" t="s">
        <v>4316</v>
      </c>
      <c r="L446" s="88"/>
      <c r="M446" s="72"/>
      <c r="N446" s="29"/>
      <c r="O446" s="29"/>
      <c r="P446" s="29"/>
      <c r="Q446" s="29"/>
      <c r="R446" s="29"/>
      <c r="S446" s="29"/>
      <c r="T446" s="29"/>
      <c r="U446" s="29"/>
      <c r="V446" s="29"/>
      <c r="W446" s="29"/>
      <c r="X446" s="29"/>
      <c r="Y446" s="29"/>
      <c r="Z446" s="29"/>
      <c r="AA446" s="29"/>
      <c r="AB446" s="29"/>
      <c r="AC446" s="29"/>
      <c r="AD446" s="29"/>
      <c r="AE446" s="29"/>
      <c r="AF446" s="29"/>
      <c r="AG446" s="29"/>
    </row>
    <row r="447">
      <c r="A447" s="40" t="s">
        <v>660</v>
      </c>
      <c r="B447" s="40" t="s">
        <v>697</v>
      </c>
      <c r="C447" s="44" t="s">
        <v>201</v>
      </c>
      <c r="D447" s="47" t="s">
        <v>60</v>
      </c>
      <c r="E447" s="40" t="s">
        <v>4320</v>
      </c>
      <c r="F447" s="40" t="s">
        <v>1011</v>
      </c>
      <c r="G447" s="50" t="s">
        <v>4284</v>
      </c>
      <c r="H447" s="53">
        <v>45914.0</v>
      </c>
      <c r="I447" s="63">
        <f>IFERROR(__xludf.DUMMYFUNCTION("IF(ISBLANK(H447), TODAY()-TO_DATE(G447), TO_DATE(H447)-TO_DATE(G447))+1"),5.0)</f>
        <v>5</v>
      </c>
      <c r="J447" s="40">
        <v>500.0</v>
      </c>
      <c r="K447" s="40" t="s">
        <v>4323</v>
      </c>
      <c r="L447" s="88"/>
      <c r="M447" s="72"/>
      <c r="N447" s="29"/>
      <c r="O447" s="29"/>
      <c r="P447" s="29"/>
      <c r="Q447" s="29"/>
      <c r="R447" s="29"/>
      <c r="S447" s="29"/>
      <c r="T447" s="29"/>
      <c r="U447" s="29"/>
      <c r="V447" s="29"/>
      <c r="W447" s="29"/>
      <c r="X447" s="29"/>
      <c r="Y447" s="29"/>
      <c r="Z447" s="29"/>
      <c r="AA447" s="29"/>
      <c r="AB447" s="29"/>
      <c r="AC447" s="29"/>
      <c r="AD447" s="29"/>
      <c r="AE447" s="29"/>
      <c r="AF447" s="29"/>
      <c r="AG447" s="29"/>
    </row>
    <row r="448">
      <c r="A448" s="240" t="s">
        <v>1540</v>
      </c>
      <c r="B448" s="240" t="s">
        <v>1423</v>
      </c>
      <c r="C448" s="503" t="s">
        <v>321</v>
      </c>
      <c r="D448" s="85" t="s">
        <v>60</v>
      </c>
      <c r="E448" s="86" t="s">
        <v>4332</v>
      </c>
      <c r="F448" s="240" t="s">
        <v>4334</v>
      </c>
      <c r="G448" s="493">
        <v>45911.0</v>
      </c>
      <c r="H448" s="493">
        <v>45929.0</v>
      </c>
      <c r="I448" s="63">
        <f>IFERROR(__xludf.DUMMYFUNCTION("IF(ISBLANK(H448), TODAY()-TO_DATE(G448), TO_DATE(H448)-TO_DATE(G448))+1"),19.0)</f>
        <v>19</v>
      </c>
      <c r="J448" s="40" t="s">
        <v>197</v>
      </c>
      <c r="K448" s="63"/>
      <c r="L448" s="507"/>
      <c r="M448" s="240" t="s">
        <v>4344</v>
      </c>
      <c r="N448" s="29"/>
      <c r="O448" s="29"/>
      <c r="P448" s="29"/>
      <c r="Q448" s="29"/>
      <c r="R448" s="29"/>
      <c r="S448" s="29"/>
      <c r="T448" s="29"/>
      <c r="U448" s="29"/>
      <c r="V448" s="29"/>
      <c r="W448" s="29"/>
      <c r="X448" s="29"/>
      <c r="Y448" s="29"/>
      <c r="Z448" s="29"/>
      <c r="AA448" s="29"/>
      <c r="AB448" s="29"/>
      <c r="AC448" s="29"/>
      <c r="AD448" s="29"/>
      <c r="AE448" s="29"/>
      <c r="AF448" s="29"/>
      <c r="AG448" s="29"/>
    </row>
    <row r="449">
      <c r="A449" s="240" t="s">
        <v>1510</v>
      </c>
      <c r="B449" s="240" t="s">
        <v>697</v>
      </c>
      <c r="C449" s="44" t="s">
        <v>287</v>
      </c>
      <c r="D449" s="47" t="s">
        <v>60</v>
      </c>
      <c r="E449" s="86" t="s">
        <v>4352</v>
      </c>
      <c r="F449" s="240" t="s">
        <v>4354</v>
      </c>
      <c r="G449" s="493">
        <v>45913.0</v>
      </c>
      <c r="H449" s="493">
        <v>45918.0</v>
      </c>
      <c r="I449" s="63">
        <f>IFERROR(__xludf.DUMMYFUNCTION("IF(ISBLANK(H449), TODAY()-TO_DATE(G449), TO_DATE(H449)-TO_DATE(G449))+1"),6.0)</f>
        <v>6</v>
      </c>
      <c r="J449" s="40">
        <v>300.0</v>
      </c>
      <c r="K449" s="63" t="s">
        <v>4359</v>
      </c>
      <c r="L449" s="507" t="s">
        <v>4360</v>
      </c>
      <c r="M449" s="240"/>
      <c r="N449" s="29"/>
      <c r="O449" s="29"/>
      <c r="P449" s="29"/>
      <c r="Q449" s="29"/>
      <c r="R449" s="29"/>
      <c r="S449" s="29"/>
      <c r="T449" s="29"/>
      <c r="U449" s="29"/>
      <c r="V449" s="29"/>
      <c r="W449" s="29"/>
      <c r="X449" s="29"/>
      <c r="Y449" s="29"/>
      <c r="Z449" s="29"/>
      <c r="AA449" s="29"/>
      <c r="AB449" s="29"/>
      <c r="AC449" s="29"/>
      <c r="AD449" s="29"/>
      <c r="AE449" s="29"/>
      <c r="AF449" s="29"/>
      <c r="AG449" s="29"/>
    </row>
    <row r="450">
      <c r="A450" s="240" t="s">
        <v>1540</v>
      </c>
      <c r="B450" s="240" t="s">
        <v>697</v>
      </c>
      <c r="C450" s="44" t="s">
        <v>201</v>
      </c>
      <c r="D450" s="47" t="s">
        <v>60</v>
      </c>
      <c r="E450" s="86" t="s">
        <v>4366</v>
      </c>
      <c r="F450" s="240" t="s">
        <v>4367</v>
      </c>
      <c r="G450" s="493">
        <v>45913.0</v>
      </c>
      <c r="H450" s="53">
        <v>45916.0</v>
      </c>
      <c r="I450" s="63">
        <f>IFERROR(__xludf.DUMMYFUNCTION("IF(ISBLANK(H450), TODAY()-TO_DATE(G450), TO_DATE(H450)-TO_DATE(G450))+1"),4.0)</f>
        <v>4</v>
      </c>
      <c r="J450" s="40">
        <v>300.0</v>
      </c>
      <c r="K450" s="63" t="s">
        <v>4371</v>
      </c>
      <c r="L450" s="507"/>
      <c r="M450" s="240"/>
      <c r="N450" s="29"/>
      <c r="O450" s="29"/>
      <c r="P450" s="29"/>
      <c r="Q450" s="29"/>
      <c r="R450" s="29"/>
      <c r="S450" s="29"/>
      <c r="T450" s="29"/>
      <c r="U450" s="29"/>
      <c r="V450" s="29"/>
      <c r="W450" s="29"/>
      <c r="X450" s="29"/>
      <c r="Y450" s="29"/>
      <c r="Z450" s="29"/>
      <c r="AA450" s="29"/>
      <c r="AB450" s="29"/>
      <c r="AC450" s="29"/>
      <c r="AD450" s="29"/>
      <c r="AE450" s="29"/>
      <c r="AF450" s="29"/>
      <c r="AG450" s="29"/>
    </row>
    <row r="451">
      <c r="A451" s="240" t="s">
        <v>660</v>
      </c>
      <c r="B451" s="240" t="s">
        <v>697</v>
      </c>
      <c r="C451" s="44" t="s">
        <v>58</v>
      </c>
      <c r="D451" s="47" t="s">
        <v>60</v>
      </c>
      <c r="E451" s="86" t="s">
        <v>3462</v>
      </c>
      <c r="F451" s="240" t="s">
        <v>3463</v>
      </c>
      <c r="G451" s="493">
        <v>45913.0</v>
      </c>
      <c r="H451" s="493">
        <v>45924.0</v>
      </c>
      <c r="I451" s="63">
        <f>IFERROR(__xludf.DUMMYFUNCTION("IF(ISBLANK(H451), TODAY()-TO_DATE(G451), TO_DATE(H451)-TO_DATE(G451))+1"),12.0)</f>
        <v>12</v>
      </c>
      <c r="J451" s="40">
        <v>300.0</v>
      </c>
      <c r="K451" s="63" t="s">
        <v>4377</v>
      </c>
      <c r="L451" s="63" t="s">
        <v>4377</v>
      </c>
      <c r="M451" s="240"/>
      <c r="N451" s="29"/>
      <c r="O451" s="29"/>
      <c r="P451" s="29"/>
      <c r="Q451" s="29"/>
      <c r="R451" s="29"/>
      <c r="S451" s="29"/>
      <c r="T451" s="29"/>
      <c r="U451" s="29"/>
      <c r="V451" s="29"/>
      <c r="W451" s="29"/>
      <c r="X451" s="29"/>
      <c r="Y451" s="29"/>
      <c r="Z451" s="29"/>
      <c r="AA451" s="29"/>
      <c r="AB451" s="29"/>
      <c r="AC451" s="29"/>
      <c r="AD451" s="29"/>
      <c r="AE451" s="29"/>
      <c r="AF451" s="29"/>
      <c r="AG451" s="29"/>
    </row>
    <row r="452">
      <c r="A452" s="240" t="s">
        <v>660</v>
      </c>
      <c r="B452" s="240" t="s">
        <v>697</v>
      </c>
      <c r="C452" s="44" t="s">
        <v>187</v>
      </c>
      <c r="D452" s="47" t="s">
        <v>60</v>
      </c>
      <c r="E452" s="86" t="s">
        <v>3032</v>
      </c>
      <c r="F452" s="240" t="s">
        <v>1514</v>
      </c>
      <c r="G452" s="493">
        <v>45913.0</v>
      </c>
      <c r="H452" s="493">
        <v>45937.0</v>
      </c>
      <c r="I452" s="63">
        <f>IFERROR(__xludf.DUMMYFUNCTION("IF(ISBLANK(H452), TODAY()-TO_DATE(G452), TO_DATE(H452)-TO_DATE(G452))+1"),25.0)</f>
        <v>25</v>
      </c>
      <c r="J452" s="40" t="s">
        <v>197</v>
      </c>
      <c r="K452" s="63" t="s">
        <v>3649</v>
      </c>
      <c r="L452" s="507" t="s">
        <v>4388</v>
      </c>
      <c r="M452" s="240"/>
      <c r="N452" s="29"/>
      <c r="O452" s="29"/>
      <c r="P452" s="29"/>
      <c r="Q452" s="29"/>
      <c r="R452" s="29"/>
      <c r="S452" s="29"/>
      <c r="T452" s="29"/>
      <c r="U452" s="29"/>
      <c r="V452" s="29"/>
      <c r="W452" s="29"/>
      <c r="X452" s="29"/>
      <c r="Y452" s="29"/>
      <c r="Z452" s="29"/>
      <c r="AA452" s="29"/>
      <c r="AB452" s="29"/>
      <c r="AC452" s="29"/>
      <c r="AD452" s="29"/>
      <c r="AE452" s="29"/>
      <c r="AF452" s="29"/>
      <c r="AG452" s="29"/>
    </row>
    <row r="453">
      <c r="A453" s="240" t="s">
        <v>54</v>
      </c>
      <c r="B453" s="240" t="s">
        <v>697</v>
      </c>
      <c r="C453" s="44" t="s">
        <v>213</v>
      </c>
      <c r="D453" s="47" t="s">
        <v>60</v>
      </c>
      <c r="E453" s="86" t="s">
        <v>4393</v>
      </c>
      <c r="F453" s="240" t="s">
        <v>2778</v>
      </c>
      <c r="G453" s="493">
        <v>45913.0</v>
      </c>
      <c r="H453" s="53">
        <v>45920.0</v>
      </c>
      <c r="I453" s="63">
        <f>IFERROR(__xludf.DUMMYFUNCTION("IF(ISBLANK(H453), TODAY()-TO_DATE(G453), TO_DATE(H453)-TO_DATE(G453))+1"),8.0)</f>
        <v>8</v>
      </c>
      <c r="J453" s="40">
        <v>500.0</v>
      </c>
      <c r="K453" s="63" t="s">
        <v>4398</v>
      </c>
      <c r="L453" s="507" t="s">
        <v>4399</v>
      </c>
      <c r="M453" s="240"/>
      <c r="N453" s="29"/>
      <c r="O453" s="29"/>
      <c r="P453" s="29"/>
      <c r="Q453" s="29"/>
      <c r="R453" s="29"/>
      <c r="S453" s="29"/>
      <c r="T453" s="29"/>
      <c r="U453" s="29"/>
      <c r="V453" s="29"/>
      <c r="W453" s="29"/>
      <c r="X453" s="29"/>
      <c r="Y453" s="29"/>
      <c r="Z453" s="29"/>
      <c r="AA453" s="29"/>
      <c r="AB453" s="29"/>
      <c r="AC453" s="29"/>
      <c r="AD453" s="29"/>
      <c r="AE453" s="29"/>
      <c r="AF453" s="29"/>
      <c r="AG453" s="29"/>
    </row>
    <row r="454">
      <c r="A454" s="240" t="s">
        <v>1540</v>
      </c>
      <c r="B454" s="240" t="s">
        <v>697</v>
      </c>
      <c r="C454" s="44" t="s">
        <v>213</v>
      </c>
      <c r="D454" s="47" t="s">
        <v>60</v>
      </c>
      <c r="E454" s="86" t="s">
        <v>4404</v>
      </c>
      <c r="F454" s="240" t="s">
        <v>99</v>
      </c>
      <c r="G454" s="493">
        <v>45913.0</v>
      </c>
      <c r="H454" s="53">
        <v>45921.0</v>
      </c>
      <c r="I454" s="63">
        <f>IFERROR(__xludf.DUMMYFUNCTION("IF(ISBLANK(H454), TODAY()-TO_DATE(G454), TO_DATE(H454)-TO_DATE(G454))+1"),9.0)</f>
        <v>9</v>
      </c>
      <c r="J454" s="40">
        <v>500.0</v>
      </c>
      <c r="K454" s="63" t="s">
        <v>4409</v>
      </c>
      <c r="L454" s="507"/>
      <c r="M454" s="240"/>
      <c r="N454" s="29"/>
      <c r="O454" s="29"/>
      <c r="P454" s="29"/>
      <c r="Q454" s="29"/>
      <c r="R454" s="29"/>
      <c r="S454" s="29"/>
      <c r="T454" s="29"/>
      <c r="U454" s="29"/>
      <c r="V454" s="29"/>
      <c r="W454" s="29"/>
      <c r="X454" s="29"/>
      <c r="Y454" s="29"/>
      <c r="Z454" s="29"/>
      <c r="AA454" s="29"/>
      <c r="AB454" s="29"/>
      <c r="AC454" s="29"/>
      <c r="AD454" s="29"/>
      <c r="AE454" s="29"/>
      <c r="AF454" s="29"/>
      <c r="AG454" s="29"/>
    </row>
    <row r="455">
      <c r="A455" s="240" t="s">
        <v>1540</v>
      </c>
      <c r="B455" s="240" t="s">
        <v>697</v>
      </c>
      <c r="C455" s="44" t="s">
        <v>302</v>
      </c>
      <c r="D455" s="47" t="s">
        <v>60</v>
      </c>
      <c r="E455" s="86" t="s">
        <v>3624</v>
      </c>
      <c r="F455" s="240" t="s">
        <v>3625</v>
      </c>
      <c r="G455" s="493">
        <v>45913.0</v>
      </c>
      <c r="H455" s="493">
        <v>45920.0</v>
      </c>
      <c r="I455" s="63">
        <f>IFERROR(__xludf.DUMMYFUNCTION("IF(ISBLANK(H455), TODAY()-TO_DATE(G455), TO_DATE(H455)-TO_DATE(G455))+1"),8.0)</f>
        <v>8</v>
      </c>
      <c r="J455" s="40">
        <v>300.0</v>
      </c>
      <c r="K455" s="63" t="s">
        <v>3626</v>
      </c>
      <c r="L455" s="507" t="s">
        <v>4418</v>
      </c>
      <c r="M455" s="240"/>
      <c r="N455" s="29"/>
      <c r="O455" s="29"/>
      <c r="P455" s="29"/>
      <c r="Q455" s="29"/>
      <c r="R455" s="29"/>
      <c r="S455" s="29"/>
      <c r="T455" s="29"/>
      <c r="U455" s="29"/>
      <c r="V455" s="29"/>
      <c r="W455" s="29"/>
      <c r="X455" s="29"/>
      <c r="Y455" s="29"/>
      <c r="Z455" s="29"/>
      <c r="AA455" s="29"/>
      <c r="AB455" s="29"/>
      <c r="AC455" s="29"/>
      <c r="AD455" s="29"/>
      <c r="AE455" s="29"/>
      <c r="AF455" s="29"/>
      <c r="AG455" s="29"/>
    </row>
    <row r="456">
      <c r="A456" s="240" t="s">
        <v>660</v>
      </c>
      <c r="B456" s="240" t="s">
        <v>697</v>
      </c>
      <c r="C456" s="44" t="s">
        <v>139</v>
      </c>
      <c r="D456" s="47" t="s">
        <v>60</v>
      </c>
      <c r="E456" s="86" t="s">
        <v>4424</v>
      </c>
      <c r="F456" s="240" t="s">
        <v>3181</v>
      </c>
      <c r="G456" s="493">
        <v>45913.0</v>
      </c>
      <c r="H456" s="493">
        <v>45922.0</v>
      </c>
      <c r="I456" s="63">
        <f>IFERROR(__xludf.DUMMYFUNCTION("IF(ISBLANK(H456), TODAY()-TO_DATE(G456), TO_DATE(H456)-TO_DATE(G456))+1"),10.0)</f>
        <v>10</v>
      </c>
      <c r="J456" s="40">
        <v>500.0</v>
      </c>
      <c r="K456" s="63" t="s">
        <v>4430</v>
      </c>
      <c r="L456" s="507" t="s">
        <v>4431</v>
      </c>
      <c r="M456" s="240"/>
      <c r="N456" s="29"/>
      <c r="O456" s="29"/>
      <c r="P456" s="29"/>
      <c r="Q456" s="29"/>
      <c r="R456" s="29"/>
      <c r="S456" s="29"/>
      <c r="T456" s="29"/>
      <c r="U456" s="29"/>
      <c r="V456" s="29"/>
      <c r="W456" s="29"/>
      <c r="X456" s="29"/>
      <c r="Y456" s="29"/>
      <c r="Z456" s="29"/>
      <c r="AA456" s="29"/>
      <c r="AB456" s="29"/>
      <c r="AC456" s="29"/>
      <c r="AD456" s="29"/>
      <c r="AE456" s="29"/>
      <c r="AF456" s="29"/>
      <c r="AG456" s="29"/>
    </row>
    <row r="457">
      <c r="A457" s="240" t="s">
        <v>660</v>
      </c>
      <c r="B457" s="240" t="s">
        <v>697</v>
      </c>
      <c r="C457" s="44" t="s">
        <v>536</v>
      </c>
      <c r="D457" s="47" t="s">
        <v>60</v>
      </c>
      <c r="E457" s="86" t="s">
        <v>4435</v>
      </c>
      <c r="F457" s="240" t="s">
        <v>2359</v>
      </c>
      <c r="G457" s="493">
        <v>45913.0</v>
      </c>
      <c r="H457" s="493">
        <v>45918.0</v>
      </c>
      <c r="I457" s="63">
        <f>IFERROR(__xludf.DUMMYFUNCTION("IF(ISBLANK(H457), TODAY()-TO_DATE(G457), TO_DATE(H457)-TO_DATE(G457))+1"),6.0)</f>
        <v>6</v>
      </c>
      <c r="J457" s="40">
        <v>300.0</v>
      </c>
      <c r="K457" s="63" t="s">
        <v>4438</v>
      </c>
      <c r="L457" s="507" t="s">
        <v>4440</v>
      </c>
      <c r="M457" s="240"/>
      <c r="N457" s="29"/>
      <c r="O457" s="29"/>
      <c r="P457" s="29"/>
      <c r="Q457" s="29"/>
      <c r="R457" s="29"/>
      <c r="S457" s="29"/>
      <c r="T457" s="29"/>
      <c r="U457" s="29"/>
      <c r="V457" s="29"/>
      <c r="W457" s="29"/>
      <c r="X457" s="29"/>
      <c r="Y457" s="29"/>
      <c r="Z457" s="29"/>
      <c r="AA457" s="29"/>
      <c r="AB457" s="29"/>
      <c r="AC457" s="29"/>
      <c r="AD457" s="29"/>
      <c r="AE457" s="29"/>
      <c r="AF457" s="29"/>
      <c r="AG457" s="29"/>
    </row>
    <row r="458">
      <c r="A458" s="240" t="s">
        <v>1923</v>
      </c>
      <c r="B458" s="240" t="s">
        <v>4445</v>
      </c>
      <c r="C458" s="44" t="s">
        <v>1924</v>
      </c>
      <c r="D458" s="47" t="s">
        <v>360</v>
      </c>
      <c r="E458" s="86" t="s">
        <v>176</v>
      </c>
      <c r="F458" s="240" t="s">
        <v>177</v>
      </c>
      <c r="G458" s="493">
        <v>45914.0</v>
      </c>
      <c r="H458" s="493">
        <v>45922.0</v>
      </c>
      <c r="I458" s="63">
        <f>IFERROR(__xludf.DUMMYFUNCTION("IF(ISBLANK(H458), TODAY()-TO_DATE(G458), TO_DATE(H458)-TO_DATE(G458))+1"),9.0)</f>
        <v>9</v>
      </c>
      <c r="J458" s="40" t="s">
        <v>197</v>
      </c>
      <c r="K458" s="63" t="s">
        <v>4451</v>
      </c>
      <c r="L458" s="507" t="s">
        <v>4452</v>
      </c>
      <c r="M458" s="240" t="s">
        <v>4453</v>
      </c>
      <c r="N458" s="29"/>
      <c r="O458" s="29"/>
      <c r="P458" s="29"/>
      <c r="Q458" s="29"/>
      <c r="R458" s="29"/>
      <c r="S458" s="29"/>
      <c r="T458" s="29"/>
      <c r="U458" s="29"/>
      <c r="V458" s="29"/>
      <c r="W458" s="29"/>
      <c r="X458" s="29"/>
      <c r="Y458" s="29"/>
      <c r="Z458" s="29"/>
      <c r="AA458" s="29"/>
      <c r="AB458" s="29"/>
      <c r="AC458" s="29"/>
      <c r="AD458" s="29"/>
      <c r="AE458" s="29"/>
      <c r="AF458" s="29"/>
      <c r="AG458" s="29"/>
    </row>
    <row r="459">
      <c r="A459" s="240" t="s">
        <v>1923</v>
      </c>
      <c r="B459" s="240" t="s">
        <v>4445</v>
      </c>
      <c r="C459" s="44" t="s">
        <v>201</v>
      </c>
      <c r="D459" s="47" t="s">
        <v>60</v>
      </c>
      <c r="E459" s="86" t="s">
        <v>2245</v>
      </c>
      <c r="F459" s="240" t="s">
        <v>2246</v>
      </c>
      <c r="G459" s="493">
        <v>45914.0</v>
      </c>
      <c r="H459" s="493">
        <v>45922.0</v>
      </c>
      <c r="I459" s="63">
        <f>IFERROR(__xludf.DUMMYFUNCTION("IF(ISBLANK(H459), TODAY()-TO_DATE(G459), TO_DATE(H459)-TO_DATE(G459))+1"),9.0)</f>
        <v>9</v>
      </c>
      <c r="J459" s="40" t="s">
        <v>197</v>
      </c>
      <c r="K459" s="63" t="s">
        <v>2249</v>
      </c>
      <c r="L459" s="507" t="s">
        <v>4462</v>
      </c>
      <c r="M459" s="240"/>
      <c r="N459" s="29"/>
      <c r="O459" s="29"/>
      <c r="P459" s="29"/>
      <c r="Q459" s="29"/>
      <c r="R459" s="29"/>
      <c r="S459" s="29"/>
      <c r="T459" s="29"/>
      <c r="U459" s="29"/>
      <c r="V459" s="29"/>
      <c r="W459" s="29"/>
      <c r="X459" s="29"/>
      <c r="Y459" s="29"/>
      <c r="Z459" s="29"/>
      <c r="AA459" s="29"/>
      <c r="AB459" s="29"/>
      <c r="AC459" s="29"/>
      <c r="AD459" s="29"/>
      <c r="AE459" s="29"/>
      <c r="AF459" s="29"/>
      <c r="AG459" s="29"/>
    </row>
    <row r="460">
      <c r="A460" s="240" t="s">
        <v>1923</v>
      </c>
      <c r="B460" s="240" t="s">
        <v>4445</v>
      </c>
      <c r="C460" s="44" t="s">
        <v>1769</v>
      </c>
      <c r="D460" s="47" t="s">
        <v>60</v>
      </c>
      <c r="E460" s="86" t="s">
        <v>3641</v>
      </c>
      <c r="F460" s="240" t="s">
        <v>3190</v>
      </c>
      <c r="G460" s="493">
        <v>45914.0</v>
      </c>
      <c r="H460" s="493">
        <v>45922.0</v>
      </c>
      <c r="I460" s="63">
        <f>IFERROR(__xludf.DUMMYFUNCTION("IF(ISBLANK(H460), TODAY()-TO_DATE(G460), TO_DATE(H460)-TO_DATE(G460))+1"),9.0)</f>
        <v>9</v>
      </c>
      <c r="J460" s="40" t="s">
        <v>197</v>
      </c>
      <c r="K460" s="63" t="s">
        <v>3193</v>
      </c>
      <c r="L460" s="507"/>
      <c r="M460" s="240"/>
      <c r="N460" s="29"/>
      <c r="O460" s="29"/>
      <c r="P460" s="29"/>
      <c r="Q460" s="29"/>
      <c r="R460" s="29"/>
      <c r="S460" s="29"/>
      <c r="T460" s="29"/>
      <c r="U460" s="29"/>
      <c r="V460" s="29"/>
      <c r="W460" s="29"/>
      <c r="X460" s="29"/>
      <c r="Y460" s="29"/>
      <c r="Z460" s="29"/>
      <c r="AA460" s="29"/>
      <c r="AB460" s="29"/>
      <c r="AC460" s="29"/>
      <c r="AD460" s="29"/>
      <c r="AE460" s="29"/>
      <c r="AF460" s="29"/>
      <c r="AG460" s="29"/>
    </row>
    <row r="461">
      <c r="A461" s="240" t="s">
        <v>1923</v>
      </c>
      <c r="B461" s="240" t="s">
        <v>4445</v>
      </c>
      <c r="C461" s="44" t="s">
        <v>1466</v>
      </c>
      <c r="D461" s="47" t="s">
        <v>60</v>
      </c>
      <c r="E461" s="86" t="s">
        <v>2856</v>
      </c>
      <c r="F461" s="240" t="s">
        <v>2857</v>
      </c>
      <c r="G461" s="493">
        <v>45914.0</v>
      </c>
      <c r="H461" s="493">
        <v>45922.0</v>
      </c>
      <c r="I461" s="63">
        <f>IFERROR(__xludf.DUMMYFUNCTION("IF(ISBLANK(H461), TODAY()-TO_DATE(G461), TO_DATE(H461)-TO_DATE(G461))+1"),9.0)</f>
        <v>9</v>
      </c>
      <c r="J461" s="40" t="s">
        <v>197</v>
      </c>
      <c r="K461" s="63" t="s">
        <v>3557</v>
      </c>
      <c r="L461" s="507"/>
      <c r="M461" s="240"/>
      <c r="N461" s="29"/>
      <c r="O461" s="29"/>
      <c r="P461" s="29"/>
      <c r="Q461" s="29"/>
      <c r="R461" s="29"/>
      <c r="S461" s="29"/>
      <c r="T461" s="29"/>
      <c r="U461" s="29"/>
      <c r="V461" s="29"/>
      <c r="W461" s="29"/>
      <c r="X461" s="29"/>
      <c r="Y461" s="29"/>
      <c r="Z461" s="29"/>
      <c r="AA461" s="29"/>
      <c r="AB461" s="29"/>
      <c r="AC461" s="29"/>
      <c r="AD461" s="29"/>
      <c r="AE461" s="29"/>
      <c r="AF461" s="29"/>
      <c r="AG461" s="29"/>
    </row>
    <row r="462">
      <c r="A462" s="240" t="s">
        <v>1540</v>
      </c>
      <c r="B462" s="240" t="s">
        <v>697</v>
      </c>
      <c r="C462" s="44" t="s">
        <v>1195</v>
      </c>
      <c r="D462" s="47" t="s">
        <v>102</v>
      </c>
      <c r="E462" s="86" t="s">
        <v>2098</v>
      </c>
      <c r="F462" s="240" t="s">
        <v>2100</v>
      </c>
      <c r="G462" s="493">
        <v>45915.0</v>
      </c>
      <c r="H462" s="493">
        <v>45921.0</v>
      </c>
      <c r="I462" s="63">
        <f>IFERROR(__xludf.DUMMYFUNCTION("IF(ISBLANK(H462), TODAY()-TO_DATE(G462), TO_DATE(H462)-TO_DATE(G462))+1"),7.0)</f>
        <v>7</v>
      </c>
      <c r="J462" s="40" t="s">
        <v>197</v>
      </c>
      <c r="K462" s="63" t="s">
        <v>4485</v>
      </c>
      <c r="L462" s="321" t="s">
        <v>4486</v>
      </c>
      <c r="M462" s="240"/>
      <c r="N462" s="29"/>
      <c r="O462" s="29"/>
      <c r="P462" s="29"/>
      <c r="Q462" s="29"/>
      <c r="R462" s="29"/>
      <c r="S462" s="29"/>
      <c r="T462" s="29"/>
      <c r="U462" s="29"/>
      <c r="V462" s="29"/>
      <c r="W462" s="29"/>
      <c r="X462" s="29"/>
      <c r="Y462" s="29"/>
      <c r="Z462" s="29"/>
      <c r="AA462" s="29"/>
      <c r="AB462" s="29"/>
      <c r="AC462" s="29"/>
      <c r="AD462" s="29"/>
      <c r="AE462" s="29"/>
      <c r="AF462" s="29"/>
      <c r="AG462" s="29"/>
    </row>
    <row r="463">
      <c r="A463" s="240" t="s">
        <v>1510</v>
      </c>
      <c r="B463" s="240" t="s">
        <v>697</v>
      </c>
      <c r="C463" s="44" t="s">
        <v>1637</v>
      </c>
      <c r="D463" s="47" t="s">
        <v>60</v>
      </c>
      <c r="E463" s="86" t="s">
        <v>3034</v>
      </c>
      <c r="F463" s="240" t="s">
        <v>3036</v>
      </c>
      <c r="G463" s="493">
        <v>45915.0</v>
      </c>
      <c r="H463" s="493">
        <v>45939.0</v>
      </c>
      <c r="I463" s="63">
        <f>IFERROR(__xludf.DUMMYFUNCTION("IF(ISBLANK(H463), TODAY()-TO_DATE(G463), TO_DATE(H463)-TO_DATE(G463))+1"),25.0)</f>
        <v>25</v>
      </c>
      <c r="J463" s="40" t="s">
        <v>197</v>
      </c>
      <c r="K463" s="63" t="s">
        <v>4496</v>
      </c>
      <c r="L463" s="507"/>
      <c r="M463" s="240"/>
      <c r="N463" s="29"/>
      <c r="O463" s="29"/>
      <c r="P463" s="29"/>
      <c r="Q463" s="29"/>
      <c r="R463" s="29"/>
      <c r="S463" s="29"/>
      <c r="T463" s="29"/>
      <c r="U463" s="29"/>
      <c r="V463" s="29"/>
      <c r="W463" s="29"/>
      <c r="X463" s="29"/>
      <c r="Y463" s="29"/>
      <c r="Z463" s="29"/>
      <c r="AA463" s="29"/>
      <c r="AB463" s="29"/>
      <c r="AC463" s="29"/>
      <c r="AD463" s="29"/>
      <c r="AE463" s="29"/>
      <c r="AF463" s="29"/>
      <c r="AG463" s="29"/>
    </row>
    <row r="464">
      <c r="A464" s="240" t="s">
        <v>54</v>
      </c>
      <c r="B464" s="240" t="s">
        <v>697</v>
      </c>
      <c r="C464" s="44" t="s">
        <v>302</v>
      </c>
      <c r="D464" s="47" t="s">
        <v>60</v>
      </c>
      <c r="E464" s="86" t="s">
        <v>4501</v>
      </c>
      <c r="F464" s="240" t="s">
        <v>4502</v>
      </c>
      <c r="G464" s="493">
        <v>45919.0</v>
      </c>
      <c r="H464" s="493">
        <v>45924.0</v>
      </c>
      <c r="I464" s="63">
        <f>IFERROR(__xludf.DUMMYFUNCTION("IF(ISBLANK(H464), TODAY()-TO_DATE(G464), TO_DATE(H464)-TO_DATE(G464))+1"),6.0)</f>
        <v>6</v>
      </c>
      <c r="J464" s="40">
        <v>500.0</v>
      </c>
      <c r="K464" s="63" t="s">
        <v>4506</v>
      </c>
      <c r="L464" s="321" t="s">
        <v>4507</v>
      </c>
      <c r="M464" s="240"/>
      <c r="N464" s="29"/>
      <c r="O464" s="29"/>
      <c r="P464" s="29"/>
      <c r="Q464" s="29"/>
      <c r="R464" s="29"/>
      <c r="S464" s="29"/>
      <c r="T464" s="29"/>
      <c r="U464" s="29"/>
      <c r="V464" s="29"/>
      <c r="W464" s="29"/>
      <c r="X464" s="29"/>
      <c r="Y464" s="29"/>
      <c r="Z464" s="29"/>
      <c r="AA464" s="29"/>
      <c r="AB464" s="29"/>
      <c r="AC464" s="29"/>
      <c r="AD464" s="29"/>
      <c r="AE464" s="29"/>
      <c r="AF464" s="29"/>
      <c r="AG464" s="29"/>
    </row>
    <row r="465">
      <c r="A465" s="240" t="s">
        <v>54</v>
      </c>
      <c r="B465" s="240" t="s">
        <v>697</v>
      </c>
      <c r="C465" s="44" t="s">
        <v>139</v>
      </c>
      <c r="D465" s="47" t="s">
        <v>60</v>
      </c>
      <c r="E465" s="86" t="s">
        <v>4513</v>
      </c>
      <c r="F465" s="240" t="s">
        <v>1970</v>
      </c>
      <c r="G465" s="493">
        <v>45919.0</v>
      </c>
      <c r="H465" s="493">
        <v>45923.0</v>
      </c>
      <c r="I465" s="63">
        <f>IFERROR(__xludf.DUMMYFUNCTION("IF(ISBLANK(H465), TODAY()-TO_DATE(G465), TO_DATE(H465)-TO_DATE(G465))+1"),5.0)</f>
        <v>5</v>
      </c>
      <c r="J465" s="40" t="s">
        <v>197</v>
      </c>
      <c r="K465" s="63" t="s">
        <v>4518</v>
      </c>
      <c r="L465" s="507" t="s">
        <v>4520</v>
      </c>
      <c r="M465" s="240"/>
      <c r="N465" s="29"/>
      <c r="O465" s="29"/>
      <c r="P465" s="29"/>
      <c r="Q465" s="29"/>
      <c r="R465" s="29"/>
      <c r="S465" s="29"/>
      <c r="T465" s="29"/>
      <c r="U465" s="29"/>
      <c r="V465" s="29"/>
      <c r="W465" s="29"/>
      <c r="X465" s="29"/>
      <c r="Y465" s="29"/>
      <c r="Z465" s="29"/>
      <c r="AA465" s="29"/>
      <c r="AB465" s="29"/>
      <c r="AC465" s="29"/>
      <c r="AD465" s="29"/>
      <c r="AE465" s="29"/>
      <c r="AF465" s="29"/>
      <c r="AG465" s="29"/>
    </row>
    <row r="466">
      <c r="A466" s="240" t="s">
        <v>150</v>
      </c>
      <c r="B466" s="240" t="s">
        <v>697</v>
      </c>
      <c r="C466" s="44" t="s">
        <v>187</v>
      </c>
      <c r="D466" s="47" t="s">
        <v>60</v>
      </c>
      <c r="E466" s="86" t="s">
        <v>3671</v>
      </c>
      <c r="F466" s="240" t="s">
        <v>1476</v>
      </c>
      <c r="G466" s="493">
        <v>45919.0</v>
      </c>
      <c r="H466" s="493">
        <v>45942.0</v>
      </c>
      <c r="I466" s="63">
        <f>IFERROR(__xludf.DUMMYFUNCTION("IF(ISBLANK(H466), TODAY()-TO_DATE(G466), TO_DATE(H466)-TO_DATE(G466))+1"),24.0)</f>
        <v>24</v>
      </c>
      <c r="J466" s="40" t="s">
        <v>197</v>
      </c>
      <c r="K466" s="240" t="s">
        <v>4529</v>
      </c>
      <c r="L466" s="507"/>
      <c r="M466" s="240"/>
      <c r="N466" s="29"/>
      <c r="O466" s="29"/>
      <c r="P466" s="29"/>
      <c r="Q466" s="29"/>
      <c r="R466" s="29"/>
      <c r="S466" s="29"/>
      <c r="T466" s="29"/>
      <c r="U466" s="29"/>
      <c r="V466" s="29"/>
      <c r="W466" s="29"/>
      <c r="X466" s="29"/>
      <c r="Y466" s="29"/>
      <c r="Z466" s="29"/>
      <c r="AA466" s="29"/>
      <c r="AB466" s="29"/>
      <c r="AC466" s="29"/>
      <c r="AD466" s="29"/>
      <c r="AE466" s="29"/>
      <c r="AF466" s="29"/>
      <c r="AG466" s="29"/>
    </row>
    <row r="467">
      <c r="A467" s="240" t="s">
        <v>150</v>
      </c>
      <c r="B467" s="240" t="s">
        <v>697</v>
      </c>
      <c r="C467" s="44" t="s">
        <v>58</v>
      </c>
      <c r="D467" s="47" t="s">
        <v>60</v>
      </c>
      <c r="E467" s="86" t="s">
        <v>4536</v>
      </c>
      <c r="F467" s="240" t="s">
        <v>4538</v>
      </c>
      <c r="G467" s="493">
        <v>45919.0</v>
      </c>
      <c r="H467" s="493">
        <v>45926.0</v>
      </c>
      <c r="I467" s="63">
        <f>IFERROR(__xludf.DUMMYFUNCTION("IF(ISBLANK(H467), TODAY()-TO_DATE(G467), TO_DATE(H467)-TO_DATE(G467))+1"),8.0)</f>
        <v>8</v>
      </c>
      <c r="J467" s="40">
        <v>500.0</v>
      </c>
      <c r="K467" s="63" t="s">
        <v>4540</v>
      </c>
      <c r="L467" s="321"/>
      <c r="M467" s="240"/>
      <c r="N467" s="29"/>
      <c r="O467" s="29"/>
      <c r="P467" s="29"/>
      <c r="Q467" s="29"/>
      <c r="R467" s="29"/>
      <c r="S467" s="29"/>
      <c r="T467" s="29"/>
      <c r="U467" s="29"/>
      <c r="V467" s="29"/>
      <c r="W467" s="29"/>
      <c r="X467" s="29"/>
      <c r="Y467" s="29"/>
      <c r="Z467" s="29"/>
      <c r="AA467" s="29"/>
      <c r="AB467" s="29"/>
      <c r="AC467" s="29"/>
      <c r="AD467" s="29"/>
      <c r="AE467" s="29"/>
      <c r="AF467" s="29"/>
      <c r="AG467" s="29"/>
    </row>
    <row r="468">
      <c r="A468" s="240" t="s">
        <v>1032</v>
      </c>
      <c r="B468" s="240" t="s">
        <v>697</v>
      </c>
      <c r="C468" s="44" t="s">
        <v>302</v>
      </c>
      <c r="D468" s="47" t="s">
        <v>60</v>
      </c>
      <c r="E468" s="86" t="s">
        <v>4545</v>
      </c>
      <c r="F468" s="240" t="s">
        <v>4549</v>
      </c>
      <c r="G468" s="493">
        <v>45919.0</v>
      </c>
      <c r="H468" s="493">
        <v>45923.0</v>
      </c>
      <c r="I468" s="63">
        <f>IFERROR(__xludf.DUMMYFUNCTION("IF(ISBLANK(H468), TODAY()-TO_DATE(G468), TO_DATE(H468)-TO_DATE(G468))+1"),5.0)</f>
        <v>5</v>
      </c>
      <c r="J468" s="40">
        <v>500.0</v>
      </c>
      <c r="K468" s="240" t="s">
        <v>4553</v>
      </c>
      <c r="L468" s="507" t="s">
        <v>4554</v>
      </c>
      <c r="M468" s="240"/>
      <c r="N468" s="29"/>
      <c r="O468" s="29"/>
      <c r="P468" s="29"/>
      <c r="Q468" s="29"/>
      <c r="R468" s="29"/>
      <c r="S468" s="29"/>
      <c r="T468" s="29"/>
      <c r="U468" s="29"/>
      <c r="V468" s="29"/>
      <c r="W468" s="29"/>
      <c r="X468" s="29"/>
      <c r="Y468" s="29"/>
      <c r="Z468" s="29"/>
      <c r="AA468" s="29"/>
      <c r="AB468" s="29"/>
      <c r="AC468" s="29"/>
      <c r="AD468" s="29"/>
      <c r="AE468" s="29"/>
      <c r="AF468" s="29"/>
      <c r="AG468" s="29"/>
    </row>
    <row r="469">
      <c r="A469" s="240" t="s">
        <v>1032</v>
      </c>
      <c r="B469" s="240" t="s">
        <v>697</v>
      </c>
      <c r="C469" s="44" t="s">
        <v>331</v>
      </c>
      <c r="D469" s="47" t="s">
        <v>60</v>
      </c>
      <c r="E469" s="86" t="s">
        <v>4558</v>
      </c>
      <c r="F469" s="240" t="s">
        <v>4560</v>
      </c>
      <c r="G469" s="493">
        <v>45919.0</v>
      </c>
      <c r="H469" s="493">
        <v>45924.0</v>
      </c>
      <c r="I469" s="63">
        <f>IFERROR(__xludf.DUMMYFUNCTION("IF(ISBLANK(H469), TODAY()-TO_DATE(G469), TO_DATE(H469)-TO_DATE(G469))+1"),6.0)</f>
        <v>6</v>
      </c>
      <c r="J469" s="40">
        <v>500.0</v>
      </c>
      <c r="K469" s="63" t="s">
        <v>4563</v>
      </c>
      <c r="L469" s="507"/>
      <c r="M469" s="240"/>
      <c r="N469" s="29"/>
      <c r="O469" s="29"/>
      <c r="P469" s="29"/>
      <c r="Q469" s="29"/>
      <c r="R469" s="29"/>
      <c r="S469" s="29"/>
      <c r="T469" s="29"/>
      <c r="U469" s="29"/>
      <c r="V469" s="29"/>
      <c r="W469" s="29"/>
      <c r="X469" s="29"/>
      <c r="Y469" s="29"/>
      <c r="Z469" s="29"/>
      <c r="AA469" s="29"/>
      <c r="AB469" s="29"/>
      <c r="AC469" s="29"/>
      <c r="AD469" s="29"/>
      <c r="AE469" s="29"/>
      <c r="AF469" s="29"/>
      <c r="AG469" s="29"/>
    </row>
    <row r="470">
      <c r="A470" s="240" t="s">
        <v>1032</v>
      </c>
      <c r="B470" s="240" t="s">
        <v>697</v>
      </c>
      <c r="C470" s="518" t="s">
        <v>145</v>
      </c>
      <c r="D470" s="47" t="s">
        <v>102</v>
      </c>
      <c r="E470" s="86" t="s">
        <v>4570</v>
      </c>
      <c r="F470" s="240" t="s">
        <v>4571</v>
      </c>
      <c r="G470" s="493">
        <v>45919.0</v>
      </c>
      <c r="H470" s="493">
        <v>45927.0</v>
      </c>
      <c r="I470" s="63">
        <f>IFERROR(__xludf.DUMMYFUNCTION("IF(ISBLANK(H470), TODAY()-TO_DATE(G470), TO_DATE(H470)-TO_DATE(G470))+1"),9.0)</f>
        <v>9</v>
      </c>
      <c r="J470" s="40" t="s">
        <v>197</v>
      </c>
      <c r="K470" s="63" t="s">
        <v>4573</v>
      </c>
      <c r="L470" s="507"/>
      <c r="M470" s="240"/>
      <c r="N470" s="29"/>
      <c r="O470" s="29"/>
      <c r="P470" s="29"/>
      <c r="Q470" s="29"/>
      <c r="R470" s="29"/>
      <c r="S470" s="29"/>
      <c r="T470" s="29"/>
      <c r="U470" s="29"/>
      <c r="V470" s="29"/>
      <c r="W470" s="29"/>
      <c r="X470" s="29"/>
      <c r="Y470" s="29"/>
      <c r="Z470" s="29"/>
      <c r="AA470" s="29"/>
      <c r="AB470" s="29"/>
      <c r="AC470" s="29"/>
      <c r="AD470" s="29"/>
      <c r="AE470" s="29"/>
      <c r="AF470" s="29"/>
      <c r="AG470" s="29"/>
    </row>
    <row r="471">
      <c r="A471" s="240" t="s">
        <v>1032</v>
      </c>
      <c r="B471" s="240" t="s">
        <v>697</v>
      </c>
      <c r="C471" s="44" t="s">
        <v>139</v>
      </c>
      <c r="D471" s="47" t="s">
        <v>60</v>
      </c>
      <c r="E471" s="86" t="s">
        <v>4578</v>
      </c>
      <c r="F471" s="240" t="s">
        <v>4580</v>
      </c>
      <c r="G471" s="493">
        <v>45919.0</v>
      </c>
      <c r="H471" s="493">
        <v>45930.0</v>
      </c>
      <c r="I471" s="63">
        <f>IFERROR(__xludf.DUMMYFUNCTION("IF(ISBLANK(H471), TODAY()-TO_DATE(G471), TO_DATE(H471)-TO_DATE(G471))+1"),12.0)</f>
        <v>12</v>
      </c>
      <c r="J471" s="40">
        <v>500.0</v>
      </c>
      <c r="K471" s="63" t="s">
        <v>4586</v>
      </c>
      <c r="L471" s="321" t="s">
        <v>4587</v>
      </c>
      <c r="M471" s="240"/>
      <c r="N471" s="29"/>
      <c r="O471" s="29"/>
      <c r="P471" s="29"/>
      <c r="Q471" s="29"/>
      <c r="R471" s="29"/>
      <c r="S471" s="29"/>
      <c r="T471" s="29"/>
      <c r="U471" s="29"/>
      <c r="V471" s="29"/>
      <c r="W471" s="29"/>
      <c r="X471" s="29"/>
      <c r="Y471" s="29"/>
      <c r="Z471" s="29"/>
      <c r="AA471" s="29"/>
      <c r="AB471" s="29"/>
      <c r="AC471" s="29"/>
      <c r="AD471" s="29"/>
      <c r="AE471" s="29"/>
      <c r="AF471" s="29"/>
      <c r="AG471" s="29"/>
    </row>
    <row r="472">
      <c r="A472" s="240" t="s">
        <v>1032</v>
      </c>
      <c r="B472" s="240" t="s">
        <v>697</v>
      </c>
      <c r="C472" s="44" t="s">
        <v>119</v>
      </c>
      <c r="D472" s="47" t="s">
        <v>504</v>
      </c>
      <c r="E472" s="86" t="s">
        <v>4592</v>
      </c>
      <c r="F472" s="240" t="s">
        <v>4593</v>
      </c>
      <c r="G472" s="493">
        <v>45919.0</v>
      </c>
      <c r="H472" s="493">
        <v>45923.0</v>
      </c>
      <c r="I472" s="63">
        <f>IFERROR(__xludf.DUMMYFUNCTION("IF(ISBLANK(H472), TODAY()-TO_DATE(G472), TO_DATE(H472)-TO_DATE(G472))+1"),5.0)</f>
        <v>5</v>
      </c>
      <c r="J472" s="40">
        <v>500.0</v>
      </c>
      <c r="K472" s="63" t="s">
        <v>4117</v>
      </c>
      <c r="L472" s="321" t="s">
        <v>4598</v>
      </c>
      <c r="M472" s="240"/>
      <c r="N472" s="29"/>
      <c r="O472" s="29"/>
      <c r="P472" s="29"/>
      <c r="Q472" s="29"/>
      <c r="R472" s="29"/>
      <c r="S472" s="29"/>
      <c r="T472" s="29"/>
      <c r="U472" s="29"/>
      <c r="V472" s="29"/>
      <c r="W472" s="29"/>
      <c r="X472" s="29"/>
      <c r="Y472" s="29"/>
      <c r="Z472" s="29"/>
      <c r="AA472" s="29"/>
      <c r="AB472" s="29"/>
      <c r="AC472" s="29"/>
      <c r="AD472" s="29"/>
      <c r="AE472" s="29"/>
      <c r="AF472" s="29"/>
      <c r="AG472" s="29"/>
    </row>
    <row r="473">
      <c r="A473" s="240" t="s">
        <v>1032</v>
      </c>
      <c r="B473" s="240" t="s">
        <v>697</v>
      </c>
      <c r="C473" s="44" t="s">
        <v>58</v>
      </c>
      <c r="D473" s="47" t="s">
        <v>60</v>
      </c>
      <c r="E473" s="86" t="s">
        <v>4603</v>
      </c>
      <c r="F473" s="240" t="s">
        <v>4604</v>
      </c>
      <c r="G473" s="493">
        <v>45919.0</v>
      </c>
      <c r="H473" s="493">
        <v>45919.0</v>
      </c>
      <c r="I473" s="63">
        <f>IFERROR(__xludf.DUMMYFUNCTION("IF(ISBLANK(H473), TODAY()-TO_DATE(G473), TO_DATE(H473)-TO_DATE(G473))+1"),1.0)</f>
        <v>1</v>
      </c>
      <c r="J473" s="40" t="s">
        <v>197</v>
      </c>
      <c r="K473" s="63" t="s">
        <v>4607</v>
      </c>
      <c r="L473" s="507"/>
      <c r="M473" s="240"/>
      <c r="N473" s="29"/>
      <c r="O473" s="29"/>
      <c r="P473" s="29"/>
      <c r="Q473" s="29"/>
      <c r="R473" s="29"/>
      <c r="S473" s="29"/>
      <c r="T473" s="29"/>
      <c r="U473" s="29"/>
      <c r="V473" s="29"/>
      <c r="W473" s="29"/>
      <c r="X473" s="29"/>
      <c r="Y473" s="29"/>
      <c r="Z473" s="29"/>
      <c r="AA473" s="29"/>
      <c r="AB473" s="29"/>
      <c r="AC473" s="29"/>
      <c r="AD473" s="29"/>
      <c r="AE473" s="29"/>
      <c r="AF473" s="29"/>
      <c r="AG473" s="29"/>
    </row>
    <row r="474">
      <c r="A474" s="240" t="s">
        <v>1032</v>
      </c>
      <c r="B474" s="240" t="s">
        <v>697</v>
      </c>
      <c r="C474" s="44" t="s">
        <v>58</v>
      </c>
      <c r="D474" s="47" t="s">
        <v>60</v>
      </c>
      <c r="E474" s="40" t="s">
        <v>4612</v>
      </c>
      <c r="F474" s="40" t="s">
        <v>4614</v>
      </c>
      <c r="G474" s="493">
        <v>45919.0</v>
      </c>
      <c r="H474" s="493">
        <v>45922.0</v>
      </c>
      <c r="I474" s="63">
        <f>IFERROR(__xludf.DUMMYFUNCTION("IF(ISBLANK(H474), TODAY()-TO_DATE(G474), TO_DATE(H474)-TO_DATE(G474))+1"),4.0)</f>
        <v>4</v>
      </c>
      <c r="J474" s="40">
        <v>200.0</v>
      </c>
      <c r="K474" s="240" t="s">
        <v>4617</v>
      </c>
      <c r="L474" s="40" t="s">
        <v>4618</v>
      </c>
      <c r="M474" s="240"/>
      <c r="N474" s="29"/>
      <c r="O474" s="29"/>
      <c r="P474" s="29"/>
      <c r="Q474" s="29"/>
      <c r="R474" s="29"/>
      <c r="S474" s="29"/>
      <c r="T474" s="29"/>
      <c r="U474" s="29"/>
      <c r="V474" s="29"/>
      <c r="W474" s="29"/>
      <c r="X474" s="29"/>
      <c r="Y474" s="29"/>
      <c r="Z474" s="29"/>
      <c r="AA474" s="29"/>
      <c r="AB474" s="29"/>
      <c r="AC474" s="29"/>
      <c r="AD474" s="29"/>
      <c r="AE474" s="29"/>
      <c r="AF474" s="29"/>
      <c r="AG474" s="29"/>
    </row>
    <row r="475">
      <c r="A475" s="240" t="s">
        <v>150</v>
      </c>
      <c r="B475" s="240" t="s">
        <v>697</v>
      </c>
      <c r="C475" s="44" t="s">
        <v>302</v>
      </c>
      <c r="D475" s="47" t="s">
        <v>60</v>
      </c>
      <c r="E475" s="40" t="s">
        <v>4622</v>
      </c>
      <c r="F475" s="40" t="s">
        <v>4623</v>
      </c>
      <c r="G475" s="493">
        <v>45920.0</v>
      </c>
      <c r="H475" s="493">
        <v>45949.0</v>
      </c>
      <c r="I475" s="63">
        <f>IFERROR(__xludf.DUMMYFUNCTION("IF(ISBLANK(H475), TODAY()-TO_DATE(G475), TO_DATE(H475)-TO_DATE(G475))+1"),30.0)</f>
        <v>30</v>
      </c>
      <c r="J475" s="40" t="s">
        <v>197</v>
      </c>
      <c r="K475" s="240" t="s">
        <v>4627</v>
      </c>
      <c r="L475" s="40"/>
      <c r="M475" s="240"/>
      <c r="N475" s="29"/>
      <c r="O475" s="29"/>
      <c r="P475" s="29"/>
      <c r="Q475" s="29"/>
      <c r="R475" s="29"/>
      <c r="S475" s="29"/>
      <c r="T475" s="29"/>
      <c r="U475" s="29"/>
      <c r="V475" s="29"/>
      <c r="W475" s="29"/>
      <c r="X475" s="29"/>
      <c r="Y475" s="29"/>
      <c r="Z475" s="29"/>
      <c r="AA475" s="29"/>
      <c r="AB475" s="29"/>
      <c r="AC475" s="29"/>
      <c r="AD475" s="29"/>
      <c r="AE475" s="29"/>
      <c r="AF475" s="29"/>
      <c r="AG475" s="29"/>
    </row>
    <row r="476">
      <c r="A476" s="240" t="s">
        <v>2451</v>
      </c>
      <c r="B476" s="240" t="s">
        <v>697</v>
      </c>
      <c r="C476" s="44" t="s">
        <v>287</v>
      </c>
      <c r="D476" s="47" t="s">
        <v>60</v>
      </c>
      <c r="E476" s="40" t="s">
        <v>4632</v>
      </c>
      <c r="F476" s="40" t="s">
        <v>1563</v>
      </c>
      <c r="G476" s="493">
        <v>45921.0</v>
      </c>
      <c r="H476" s="493">
        <v>45925.0</v>
      </c>
      <c r="I476" s="63">
        <f>IFERROR(__xludf.DUMMYFUNCTION("IF(ISBLANK(H476), TODAY()-TO_DATE(G476), TO_DATE(H476)-TO_DATE(G476))+1"),5.0)</f>
        <v>5</v>
      </c>
      <c r="J476" s="40">
        <v>500.0</v>
      </c>
      <c r="K476" s="240" t="s">
        <v>4635</v>
      </c>
      <c r="L476" s="40" t="s">
        <v>4636</v>
      </c>
      <c r="M476" s="240"/>
      <c r="N476" s="29"/>
      <c r="O476" s="29"/>
      <c r="P476" s="29"/>
      <c r="Q476" s="29"/>
      <c r="R476" s="29"/>
      <c r="S476" s="29"/>
      <c r="T476" s="29"/>
      <c r="U476" s="29"/>
      <c r="V476" s="29"/>
      <c r="W476" s="29"/>
      <c r="X476" s="29"/>
      <c r="Y476" s="29"/>
      <c r="Z476" s="29"/>
      <c r="AA476" s="29"/>
      <c r="AB476" s="29"/>
      <c r="AC476" s="29"/>
      <c r="AD476" s="29"/>
      <c r="AE476" s="29"/>
      <c r="AF476" s="29"/>
      <c r="AG476" s="29"/>
    </row>
    <row r="477">
      <c r="A477" s="240" t="s">
        <v>2451</v>
      </c>
      <c r="B477" s="240" t="s">
        <v>697</v>
      </c>
      <c r="C477" s="44" t="s">
        <v>1536</v>
      </c>
      <c r="D477" s="47" t="s">
        <v>60</v>
      </c>
      <c r="E477" s="40" t="s">
        <v>4642</v>
      </c>
      <c r="F477" s="40" t="s">
        <v>4645</v>
      </c>
      <c r="G477" s="493">
        <v>45921.0</v>
      </c>
      <c r="H477" s="493">
        <v>45929.0</v>
      </c>
      <c r="I477" s="63">
        <f>IFERROR(__xludf.DUMMYFUNCTION("IF(ISBLANK(H477), TODAY()-TO_DATE(G477), TO_DATE(H477)-TO_DATE(G477))+1"),9.0)</f>
        <v>9</v>
      </c>
      <c r="J477" s="40">
        <v>500.0</v>
      </c>
      <c r="K477" s="240" t="s">
        <v>4648</v>
      </c>
      <c r="L477" s="40"/>
      <c r="M477" s="240"/>
      <c r="N477" s="29"/>
      <c r="O477" s="29"/>
      <c r="P477" s="29"/>
      <c r="Q477" s="29"/>
      <c r="R477" s="29"/>
      <c r="S477" s="29"/>
      <c r="T477" s="29"/>
      <c r="U477" s="29"/>
      <c r="V477" s="29"/>
      <c r="W477" s="29"/>
      <c r="X477" s="29"/>
      <c r="Y477" s="29"/>
      <c r="Z477" s="29"/>
      <c r="AA477" s="29"/>
      <c r="AB477" s="29"/>
      <c r="AC477" s="29"/>
      <c r="AD477" s="29"/>
      <c r="AE477" s="29"/>
      <c r="AF477" s="29"/>
      <c r="AG477" s="29"/>
    </row>
    <row r="478">
      <c r="A478" s="240" t="s">
        <v>2451</v>
      </c>
      <c r="B478" s="240" t="s">
        <v>697</v>
      </c>
      <c r="C478" s="44" t="s">
        <v>178</v>
      </c>
      <c r="D478" s="47" t="s">
        <v>60</v>
      </c>
      <c r="E478" s="40" t="s">
        <v>4652</v>
      </c>
      <c r="F478" s="40" t="s">
        <v>2157</v>
      </c>
      <c r="G478" s="493">
        <v>45921.0</v>
      </c>
      <c r="H478" s="493">
        <v>45931.0</v>
      </c>
      <c r="I478" s="63">
        <f>IFERROR(__xludf.DUMMYFUNCTION("IF(ISBLANK(H478), TODAY()-TO_DATE(G478), TO_DATE(H478)-TO_DATE(G478))+1"),11.0)</f>
        <v>11</v>
      </c>
      <c r="J478" s="40">
        <v>500.0</v>
      </c>
      <c r="K478" s="240" t="s">
        <v>4658</v>
      </c>
      <c r="L478" s="40"/>
      <c r="M478" s="240"/>
      <c r="N478" s="29"/>
      <c r="O478" s="29"/>
      <c r="P478" s="29"/>
      <c r="Q478" s="29"/>
      <c r="R478" s="29"/>
      <c r="S478" s="29"/>
      <c r="T478" s="29"/>
      <c r="U478" s="29"/>
      <c r="V478" s="29"/>
      <c r="W478" s="29"/>
      <c r="X478" s="29"/>
      <c r="Y478" s="29"/>
      <c r="Z478" s="29"/>
      <c r="AA478" s="29"/>
      <c r="AB478" s="29"/>
      <c r="AC478" s="29"/>
      <c r="AD478" s="29"/>
      <c r="AE478" s="29"/>
      <c r="AF478" s="29"/>
      <c r="AG478" s="29"/>
    </row>
    <row r="479">
      <c r="A479" s="240" t="s">
        <v>150</v>
      </c>
      <c r="B479" s="240" t="s">
        <v>697</v>
      </c>
      <c r="C479" s="44" t="s">
        <v>295</v>
      </c>
      <c r="D479" s="47" t="s">
        <v>656</v>
      </c>
      <c r="E479" s="40" t="s">
        <v>4665</v>
      </c>
      <c r="F479" s="40" t="s">
        <v>4666</v>
      </c>
      <c r="G479" s="493">
        <v>45921.0</v>
      </c>
      <c r="H479" s="493">
        <v>45924.0</v>
      </c>
      <c r="I479" s="63">
        <f>IFERROR(__xludf.DUMMYFUNCTION("IF(ISBLANK(H479), TODAY()-TO_DATE(G479), TO_DATE(H479)-TO_DATE(G479))+1"),4.0)</f>
        <v>4</v>
      </c>
      <c r="J479" s="40">
        <v>300.0</v>
      </c>
      <c r="K479" s="240" t="s">
        <v>4670</v>
      </c>
      <c r="L479" s="40" t="s">
        <v>4672</v>
      </c>
      <c r="M479" s="240"/>
      <c r="N479" s="29"/>
      <c r="O479" s="29"/>
      <c r="P479" s="29"/>
      <c r="Q479" s="29"/>
      <c r="R479" s="29"/>
      <c r="S479" s="29"/>
      <c r="T479" s="29"/>
      <c r="U479" s="29"/>
      <c r="V479" s="29"/>
      <c r="W479" s="29"/>
      <c r="X479" s="29"/>
      <c r="Y479" s="29"/>
      <c r="Z479" s="29"/>
      <c r="AA479" s="29"/>
      <c r="AB479" s="29"/>
      <c r="AC479" s="29"/>
      <c r="AD479" s="29"/>
      <c r="AE479" s="29"/>
      <c r="AF479" s="29"/>
      <c r="AG479" s="29"/>
    </row>
    <row r="480">
      <c r="A480" s="240" t="s">
        <v>150</v>
      </c>
      <c r="B480" s="240" t="s">
        <v>697</v>
      </c>
      <c r="C480" s="44" t="s">
        <v>139</v>
      </c>
      <c r="D480" s="47" t="s">
        <v>60</v>
      </c>
      <c r="E480" s="40" t="s">
        <v>4678</v>
      </c>
      <c r="F480" s="40" t="s">
        <v>4680</v>
      </c>
      <c r="G480" s="493">
        <v>45921.0</v>
      </c>
      <c r="H480" s="493">
        <v>45928.0</v>
      </c>
      <c r="I480" s="63">
        <f>IFERROR(__xludf.DUMMYFUNCTION("IF(ISBLANK(H480), TODAY()-TO_DATE(G480), TO_DATE(H480)-TO_DATE(G480))+1"),8.0)</f>
        <v>8</v>
      </c>
      <c r="J480" s="40">
        <v>500.0</v>
      </c>
      <c r="K480" s="240" t="s">
        <v>4684</v>
      </c>
      <c r="L480" s="40" t="s">
        <v>4685</v>
      </c>
      <c r="M480" s="240"/>
      <c r="N480" s="29"/>
      <c r="O480" s="29"/>
      <c r="P480" s="29"/>
      <c r="Q480" s="29"/>
      <c r="R480" s="29"/>
      <c r="S480" s="29"/>
      <c r="T480" s="29"/>
      <c r="U480" s="29"/>
      <c r="V480" s="29"/>
      <c r="W480" s="29"/>
      <c r="X480" s="29"/>
      <c r="Y480" s="29"/>
      <c r="Z480" s="29"/>
      <c r="AA480" s="29"/>
      <c r="AB480" s="29"/>
      <c r="AC480" s="29"/>
      <c r="AD480" s="29"/>
      <c r="AE480" s="29"/>
      <c r="AF480" s="29"/>
      <c r="AG480" s="29"/>
    </row>
    <row r="481">
      <c r="A481" s="240" t="s">
        <v>150</v>
      </c>
      <c r="B481" s="240" t="s">
        <v>697</v>
      </c>
      <c r="C481" s="44" t="s">
        <v>460</v>
      </c>
      <c r="D481" s="47" t="s">
        <v>60</v>
      </c>
      <c r="E481" s="40" t="s">
        <v>4692</v>
      </c>
      <c r="F481" s="40" t="s">
        <v>1515</v>
      </c>
      <c r="G481" s="493">
        <v>45921.0</v>
      </c>
      <c r="H481" s="493">
        <v>45927.0</v>
      </c>
      <c r="I481" s="63">
        <f>IFERROR(__xludf.DUMMYFUNCTION("IF(ISBLANK(H481), TODAY()-TO_DATE(G481), TO_DATE(H481)-TO_DATE(G481))+1"),7.0)</f>
        <v>7</v>
      </c>
      <c r="J481" s="40">
        <v>500.0</v>
      </c>
      <c r="K481" s="240" t="s">
        <v>4696</v>
      </c>
      <c r="L481" s="40"/>
      <c r="M481" s="240"/>
      <c r="N481" s="29"/>
      <c r="O481" s="29"/>
      <c r="P481" s="29"/>
      <c r="Q481" s="29"/>
      <c r="R481" s="29"/>
      <c r="S481" s="29"/>
      <c r="T481" s="29"/>
      <c r="U481" s="29"/>
      <c r="V481" s="29"/>
      <c r="W481" s="29"/>
      <c r="X481" s="29"/>
      <c r="Y481" s="29"/>
      <c r="Z481" s="29"/>
      <c r="AA481" s="29"/>
      <c r="AB481" s="29"/>
      <c r="AC481" s="29"/>
      <c r="AD481" s="29"/>
      <c r="AE481" s="29"/>
      <c r="AF481" s="29"/>
      <c r="AG481" s="29"/>
    </row>
    <row r="482">
      <c r="A482" s="240" t="s">
        <v>1032</v>
      </c>
      <c r="B482" s="240" t="s">
        <v>697</v>
      </c>
      <c r="C482" s="44" t="s">
        <v>213</v>
      </c>
      <c r="D482" s="47" t="s">
        <v>60</v>
      </c>
      <c r="E482" s="40" t="s">
        <v>4700</v>
      </c>
      <c r="F482" s="40" t="s">
        <v>4701</v>
      </c>
      <c r="G482" s="493">
        <v>45921.0</v>
      </c>
      <c r="H482" s="493">
        <v>45925.0</v>
      </c>
      <c r="I482" s="63">
        <f>IFERROR(__xludf.DUMMYFUNCTION("IF(ISBLANK(H482), TODAY()-TO_DATE(G482), TO_DATE(H482)-TO_DATE(G482))+1"),5.0)</f>
        <v>5</v>
      </c>
      <c r="J482" s="40">
        <v>500.0</v>
      </c>
      <c r="K482" s="240" t="s">
        <v>4707</v>
      </c>
      <c r="L482" s="40" t="s">
        <v>4709</v>
      </c>
      <c r="M482" s="240"/>
      <c r="N482" s="29"/>
      <c r="O482" s="29"/>
      <c r="P482" s="29"/>
      <c r="Q482" s="29"/>
      <c r="R482" s="29"/>
      <c r="S482" s="29"/>
      <c r="T482" s="29"/>
      <c r="U482" s="29"/>
      <c r="V482" s="29"/>
      <c r="W482" s="29"/>
      <c r="X482" s="29"/>
      <c r="Y482" s="29"/>
      <c r="Z482" s="29"/>
      <c r="AA482" s="29"/>
      <c r="AB482" s="29"/>
      <c r="AC482" s="29"/>
      <c r="AD482" s="29"/>
      <c r="AE482" s="29"/>
      <c r="AF482" s="29"/>
      <c r="AG482" s="29"/>
    </row>
    <row r="483">
      <c r="A483" s="76" t="s">
        <v>1032</v>
      </c>
      <c r="B483" s="76" t="s">
        <v>697</v>
      </c>
      <c r="C483" s="522" t="s">
        <v>302</v>
      </c>
      <c r="D483" s="47" t="s">
        <v>60</v>
      </c>
      <c r="E483" s="76" t="s">
        <v>4720</v>
      </c>
      <c r="F483" s="76" t="s">
        <v>4722</v>
      </c>
      <c r="G483" s="523">
        <v>45922.0</v>
      </c>
      <c r="H483" s="523">
        <v>45956.0</v>
      </c>
      <c r="I483" s="189">
        <f>IFERROR(__xludf.DUMMYFUNCTION("IF(ISBLANK(H483), TODAY()-TO_DATE(G483), TO_DATE(H483)-TO_DATE(G483))+1"),35.0)</f>
        <v>35</v>
      </c>
      <c r="J483" s="27" t="s">
        <v>197</v>
      </c>
      <c r="K483" s="27" t="s">
        <v>4727</v>
      </c>
      <c r="L483" s="157" t="s">
        <v>4728</v>
      </c>
      <c r="M483" s="189"/>
      <c r="N483" s="29"/>
      <c r="O483" s="29"/>
      <c r="P483" s="29"/>
      <c r="Q483" s="29"/>
      <c r="R483" s="29"/>
      <c r="S483" s="29"/>
      <c r="T483" s="29"/>
      <c r="U483" s="29"/>
      <c r="V483" s="29"/>
      <c r="W483" s="29"/>
      <c r="X483" s="29"/>
      <c r="Y483" s="29"/>
      <c r="Z483" s="29"/>
      <c r="AA483" s="29"/>
      <c r="AB483" s="29"/>
      <c r="AC483" s="29"/>
      <c r="AD483" s="29"/>
      <c r="AE483" s="29"/>
      <c r="AF483" s="29"/>
      <c r="AG483" s="29"/>
    </row>
    <row r="484">
      <c r="A484" s="76" t="s">
        <v>1032</v>
      </c>
      <c r="B484" s="76" t="s">
        <v>697</v>
      </c>
      <c r="C484" s="524" t="s">
        <v>302</v>
      </c>
      <c r="D484" s="47" t="s">
        <v>60</v>
      </c>
      <c r="E484" s="157" t="s">
        <v>4736</v>
      </c>
      <c r="F484" s="157" t="s">
        <v>4737</v>
      </c>
      <c r="G484" s="523">
        <v>45922.0</v>
      </c>
      <c r="H484" s="523">
        <v>45956.0</v>
      </c>
      <c r="I484" s="189">
        <f>IFERROR(__xludf.DUMMYFUNCTION("IF(ISBLANK(H484), TODAY()-TO_DATE(G484), TO_DATE(H484)-TO_DATE(G484))+1"),35.0)</f>
        <v>35</v>
      </c>
      <c r="J484" s="27" t="s">
        <v>197</v>
      </c>
      <c r="K484" s="27" t="s">
        <v>4742</v>
      </c>
      <c r="L484" s="157" t="s">
        <v>4744</v>
      </c>
      <c r="M484" s="189"/>
      <c r="N484" s="29"/>
      <c r="O484" s="29"/>
      <c r="P484" s="29"/>
      <c r="Q484" s="29"/>
      <c r="R484" s="29"/>
      <c r="S484" s="29"/>
      <c r="T484" s="29"/>
      <c r="U484" s="29"/>
      <c r="V484" s="29"/>
      <c r="W484" s="29"/>
      <c r="X484" s="29"/>
      <c r="Y484" s="29"/>
      <c r="Z484" s="29"/>
      <c r="AA484" s="29"/>
      <c r="AB484" s="29"/>
      <c r="AC484" s="29"/>
      <c r="AD484" s="29"/>
      <c r="AE484" s="29"/>
      <c r="AF484" s="29"/>
      <c r="AG484" s="29"/>
    </row>
    <row r="485">
      <c r="A485" s="76" t="s">
        <v>150</v>
      </c>
      <c r="B485" s="76" t="s">
        <v>697</v>
      </c>
      <c r="C485" s="522" t="s">
        <v>295</v>
      </c>
      <c r="D485" s="47" t="s">
        <v>60</v>
      </c>
      <c r="E485" s="27" t="s">
        <v>4748</v>
      </c>
      <c r="F485" s="27" t="s">
        <v>4749</v>
      </c>
      <c r="G485" s="523">
        <v>45922.0</v>
      </c>
      <c r="H485" s="523">
        <v>45974.0</v>
      </c>
      <c r="I485" s="189">
        <f>IFERROR(__xludf.DUMMYFUNCTION("IF(ISBLANK(H485), TODAY()-TO_DATE(G485), TO_DATE(H485)-TO_DATE(G485))+1"),53.0)</f>
        <v>53</v>
      </c>
      <c r="J485" s="27" t="s">
        <v>197</v>
      </c>
      <c r="K485" s="27" t="s">
        <v>4754</v>
      </c>
      <c r="L485" s="195"/>
      <c r="M485" s="189"/>
      <c r="N485" s="29"/>
      <c r="O485" s="29"/>
      <c r="P485" s="29"/>
      <c r="Q485" s="29"/>
      <c r="R485" s="29"/>
      <c r="S485" s="29"/>
      <c r="T485" s="29"/>
      <c r="U485" s="29"/>
      <c r="V485" s="29"/>
      <c r="W485" s="29"/>
      <c r="X485" s="29"/>
      <c r="Y485" s="29"/>
      <c r="Z485" s="29"/>
      <c r="AA485" s="29"/>
      <c r="AB485" s="29"/>
      <c r="AC485" s="29"/>
      <c r="AD485" s="29"/>
      <c r="AE485" s="29"/>
      <c r="AF485" s="29"/>
      <c r="AG485" s="29"/>
    </row>
    <row r="486">
      <c r="A486" s="240" t="s">
        <v>1923</v>
      </c>
      <c r="B486" s="240" t="s">
        <v>697</v>
      </c>
      <c r="C486" s="373" t="s">
        <v>1924</v>
      </c>
      <c r="D486" s="87" t="s">
        <v>102</v>
      </c>
      <c r="E486" s="27" t="s">
        <v>4765</v>
      </c>
      <c r="F486" s="40" t="s">
        <v>334</v>
      </c>
      <c r="G486" s="493">
        <v>45922.0</v>
      </c>
      <c r="H486" s="493">
        <v>45929.0</v>
      </c>
      <c r="I486" s="63">
        <f>IFERROR(__xludf.DUMMYFUNCTION("IF(ISBLANK(H486), TODAY()-TO_DATE(G486), TO_DATE(H486)-TO_DATE(G486))+1"),8.0)</f>
        <v>8</v>
      </c>
      <c r="J486" s="40" t="s">
        <v>197</v>
      </c>
      <c r="K486" s="65" t="s">
        <v>4770</v>
      </c>
      <c r="L486" s="144" t="s">
        <v>4771</v>
      </c>
      <c r="M486" s="69" t="s">
        <v>4773</v>
      </c>
      <c r="N486" s="29"/>
      <c r="O486" s="29"/>
      <c r="P486" s="29"/>
      <c r="Q486" s="29"/>
      <c r="R486" s="29"/>
      <c r="S486" s="29"/>
      <c r="T486" s="29"/>
      <c r="U486" s="29"/>
      <c r="V486" s="29"/>
      <c r="W486" s="29"/>
      <c r="X486" s="29"/>
      <c r="Y486" s="29"/>
      <c r="Z486" s="29"/>
      <c r="AA486" s="29"/>
      <c r="AB486" s="29"/>
      <c r="AC486" s="29"/>
      <c r="AD486" s="29"/>
      <c r="AE486" s="29"/>
      <c r="AF486" s="29"/>
      <c r="AG486" s="29"/>
    </row>
    <row r="487">
      <c r="A487" s="240" t="s">
        <v>1923</v>
      </c>
      <c r="B487" s="240" t="s">
        <v>697</v>
      </c>
      <c r="C487" s="373" t="s">
        <v>331</v>
      </c>
      <c r="D487" s="85" t="s">
        <v>60</v>
      </c>
      <c r="E487" s="40" t="s">
        <v>3020</v>
      </c>
      <c r="F487" s="40" t="s">
        <v>3024</v>
      </c>
      <c r="G487" s="493">
        <v>45922.0</v>
      </c>
      <c r="H487" s="493">
        <v>45929.0</v>
      </c>
      <c r="I487" s="63">
        <f>IFERROR(__xludf.DUMMYFUNCTION("IF(ISBLANK(H487), TODAY()-TO_DATE(G487), TO_DATE(H487)-TO_DATE(G487))+1"),8.0)</f>
        <v>8</v>
      </c>
      <c r="J487" s="40" t="s">
        <v>197</v>
      </c>
      <c r="K487" s="65" t="s">
        <v>3287</v>
      </c>
      <c r="L487" s="525" t="s">
        <v>4783</v>
      </c>
      <c r="M487" s="144" t="s">
        <v>4786</v>
      </c>
      <c r="N487" s="29"/>
      <c r="O487" s="29"/>
      <c r="P487" s="29"/>
      <c r="Q487" s="29"/>
      <c r="R487" s="29"/>
      <c r="S487" s="29"/>
      <c r="T487" s="29"/>
      <c r="U487" s="29"/>
      <c r="V487" s="29"/>
      <c r="W487" s="29"/>
      <c r="X487" s="29"/>
      <c r="Y487" s="29"/>
      <c r="Z487" s="29"/>
      <c r="AA487" s="29"/>
      <c r="AB487" s="29"/>
      <c r="AC487" s="29"/>
      <c r="AD487" s="29"/>
      <c r="AE487" s="29"/>
      <c r="AF487" s="29"/>
      <c r="AG487" s="29"/>
    </row>
    <row r="488">
      <c r="A488" s="240" t="s">
        <v>1923</v>
      </c>
      <c r="B488" s="240" t="s">
        <v>697</v>
      </c>
      <c r="C488" s="373" t="s">
        <v>201</v>
      </c>
      <c r="D488" s="85" t="s">
        <v>60</v>
      </c>
      <c r="E488" s="65" t="s">
        <v>3276</v>
      </c>
      <c r="F488" s="65" t="s">
        <v>4794</v>
      </c>
      <c r="G488" s="493">
        <v>45922.0</v>
      </c>
      <c r="H488" s="493">
        <v>45929.0</v>
      </c>
      <c r="I488" s="63">
        <f>IFERROR(__xludf.DUMMYFUNCTION("IF(ISBLANK(H488), TODAY()-TO_DATE(G488), TO_DATE(H488)-TO_DATE(G488))+1"),8.0)</f>
        <v>8</v>
      </c>
      <c r="J488" s="40" t="s">
        <v>197</v>
      </c>
      <c r="K488" s="65" t="s">
        <v>3280</v>
      </c>
      <c r="L488" s="525" t="s">
        <v>4462</v>
      </c>
      <c r="M488" s="144" t="s">
        <v>4799</v>
      </c>
      <c r="N488" s="29"/>
      <c r="O488" s="29"/>
      <c r="P488" s="29"/>
      <c r="Q488" s="29"/>
      <c r="R488" s="29"/>
      <c r="S488" s="29"/>
      <c r="T488" s="29"/>
      <c r="U488" s="29"/>
      <c r="V488" s="29"/>
      <c r="W488" s="29"/>
      <c r="X488" s="29"/>
      <c r="Y488" s="29"/>
      <c r="Z488" s="29"/>
      <c r="AA488" s="29"/>
      <c r="AB488" s="29"/>
      <c r="AC488" s="29"/>
      <c r="AD488" s="29"/>
      <c r="AE488" s="29"/>
      <c r="AF488" s="29"/>
      <c r="AG488" s="29"/>
    </row>
    <row r="489">
      <c r="A489" s="240" t="s">
        <v>1923</v>
      </c>
      <c r="B489" s="240" t="s">
        <v>697</v>
      </c>
      <c r="C489" s="373" t="s">
        <v>1466</v>
      </c>
      <c r="D489" s="85" t="s">
        <v>60</v>
      </c>
      <c r="E489" s="65" t="s">
        <v>3288</v>
      </c>
      <c r="F489" s="65" t="s">
        <v>3289</v>
      </c>
      <c r="G489" s="493">
        <v>45922.0</v>
      </c>
      <c r="H489" s="493">
        <v>45929.0</v>
      </c>
      <c r="I489" s="63">
        <f>IFERROR(__xludf.DUMMYFUNCTION("IF(ISBLANK(H489), TODAY()-TO_DATE(G489), TO_DATE(H489)-TO_DATE(G489))+1"),8.0)</f>
        <v>8</v>
      </c>
      <c r="J489" s="40" t="s">
        <v>197</v>
      </c>
      <c r="K489" s="65" t="s">
        <v>3291</v>
      </c>
      <c r="L489" s="525" t="s">
        <v>4809</v>
      </c>
      <c r="M489" s="144" t="s">
        <v>4812</v>
      </c>
      <c r="N489" s="29"/>
      <c r="O489" s="29"/>
      <c r="P489" s="29"/>
      <c r="Q489" s="29"/>
      <c r="R489" s="29"/>
      <c r="S489" s="29"/>
      <c r="T489" s="29"/>
      <c r="U489" s="29"/>
      <c r="V489" s="29"/>
      <c r="W489" s="29"/>
      <c r="X489" s="29"/>
      <c r="Y489" s="29"/>
      <c r="Z489" s="29"/>
      <c r="AA489" s="29"/>
      <c r="AB489" s="29"/>
      <c r="AC489" s="29"/>
      <c r="AD489" s="29"/>
      <c r="AE489" s="29"/>
      <c r="AF489" s="29"/>
      <c r="AG489" s="29"/>
    </row>
    <row r="490">
      <c r="A490" s="240" t="s">
        <v>2451</v>
      </c>
      <c r="B490" s="240" t="s">
        <v>697</v>
      </c>
      <c r="C490" s="373" t="s">
        <v>201</v>
      </c>
      <c r="D490" s="85" t="s">
        <v>60</v>
      </c>
      <c r="E490" s="65" t="s">
        <v>4258</v>
      </c>
      <c r="F490" s="65" t="s">
        <v>4818</v>
      </c>
      <c r="G490" s="493">
        <v>45924.0</v>
      </c>
      <c r="H490" s="493">
        <v>45930.0</v>
      </c>
      <c r="I490" s="63">
        <f>IFERROR(__xludf.DUMMYFUNCTION("IF(ISBLANK(H490), TODAY()-TO_DATE(G490), TO_DATE(H490)-TO_DATE(G490))+1"),7.0)</f>
        <v>7</v>
      </c>
      <c r="J490" s="40">
        <v>500.0</v>
      </c>
      <c r="K490" s="65" t="s">
        <v>4822</v>
      </c>
      <c r="L490" s="525" t="s">
        <v>4824</v>
      </c>
      <c r="M490" s="526"/>
      <c r="N490" s="29"/>
      <c r="O490" s="29"/>
      <c r="P490" s="29"/>
      <c r="Q490" s="29"/>
      <c r="R490" s="29"/>
      <c r="S490" s="29"/>
      <c r="T490" s="29"/>
      <c r="U490" s="29"/>
      <c r="V490" s="29"/>
      <c r="W490" s="29"/>
      <c r="X490" s="29"/>
      <c r="Y490" s="29"/>
      <c r="Z490" s="29"/>
      <c r="AA490" s="29"/>
      <c r="AB490" s="29"/>
      <c r="AC490" s="29"/>
      <c r="AD490" s="29"/>
      <c r="AE490" s="29"/>
      <c r="AF490" s="29"/>
      <c r="AG490" s="29"/>
    </row>
    <row r="491">
      <c r="A491" s="76" t="s">
        <v>2451</v>
      </c>
      <c r="B491" s="76" t="s">
        <v>697</v>
      </c>
      <c r="C491" s="251" t="s">
        <v>460</v>
      </c>
      <c r="D491" s="47" t="s">
        <v>60</v>
      </c>
      <c r="E491" s="27" t="s">
        <v>3566</v>
      </c>
      <c r="F491" s="27" t="s">
        <v>4831</v>
      </c>
      <c r="G491" s="523">
        <v>45924.0</v>
      </c>
      <c r="H491" s="523">
        <v>45958.0</v>
      </c>
      <c r="I491" s="189">
        <f>IFERROR(__xludf.DUMMYFUNCTION("IF(ISBLANK(H491), TODAY()-TO_DATE(G491), TO_DATE(H491)-TO_DATE(G491))+1"),35.0)</f>
        <v>35</v>
      </c>
      <c r="J491" s="27">
        <v>300.0</v>
      </c>
      <c r="K491" s="47" t="s">
        <v>4835</v>
      </c>
      <c r="L491" s="157" t="s">
        <v>4837</v>
      </c>
      <c r="M491" s="527"/>
      <c r="N491" s="29"/>
      <c r="O491" s="29"/>
      <c r="P491" s="29"/>
      <c r="Q491" s="29"/>
      <c r="R491" s="29"/>
      <c r="S491" s="29"/>
      <c r="T491" s="29"/>
      <c r="U491" s="29"/>
      <c r="V491" s="29"/>
      <c r="W491" s="29"/>
      <c r="X491" s="29"/>
      <c r="Y491" s="29"/>
      <c r="Z491" s="29"/>
      <c r="AA491" s="29"/>
      <c r="AB491" s="29"/>
      <c r="AC491" s="29"/>
      <c r="AD491" s="29"/>
      <c r="AE491" s="29"/>
      <c r="AF491" s="29"/>
      <c r="AG491" s="29"/>
    </row>
    <row r="492">
      <c r="A492" s="240" t="s">
        <v>2451</v>
      </c>
      <c r="B492" s="240" t="s">
        <v>697</v>
      </c>
      <c r="C492" s="44" t="s">
        <v>201</v>
      </c>
      <c r="D492" s="85" t="s">
        <v>60</v>
      </c>
      <c r="E492" s="65" t="s">
        <v>4844</v>
      </c>
      <c r="F492" s="65" t="s">
        <v>4845</v>
      </c>
      <c r="G492" s="493">
        <v>45924.0</v>
      </c>
      <c r="H492" s="493">
        <v>45932.0</v>
      </c>
      <c r="I492" s="63">
        <f>IFERROR(__xludf.DUMMYFUNCTION("IF(ISBLANK(H492), TODAY()-TO_DATE(G492), TO_DATE(H492)-TO_DATE(G492))+1"),9.0)</f>
        <v>9</v>
      </c>
      <c r="J492" s="40">
        <v>500.0</v>
      </c>
      <c r="K492" s="65" t="s">
        <v>4850</v>
      </c>
      <c r="L492" s="525" t="s">
        <v>4851</v>
      </c>
      <c r="M492" s="526"/>
      <c r="N492" s="29"/>
      <c r="O492" s="29"/>
      <c r="P492" s="29"/>
      <c r="Q492" s="29"/>
      <c r="R492" s="29"/>
      <c r="S492" s="29"/>
      <c r="T492" s="29"/>
      <c r="U492" s="29"/>
      <c r="V492" s="29"/>
      <c r="W492" s="29"/>
      <c r="X492" s="29"/>
      <c r="Y492" s="29"/>
      <c r="Z492" s="29"/>
      <c r="AA492" s="29"/>
      <c r="AB492" s="29"/>
      <c r="AC492" s="29"/>
      <c r="AD492" s="29"/>
      <c r="AE492" s="29"/>
      <c r="AF492" s="29"/>
      <c r="AG492" s="29"/>
    </row>
    <row r="493">
      <c r="A493" s="240" t="s">
        <v>150</v>
      </c>
      <c r="B493" s="240" t="s">
        <v>697</v>
      </c>
      <c r="C493" s="44" t="s">
        <v>201</v>
      </c>
      <c r="D493" s="85" t="s">
        <v>60</v>
      </c>
      <c r="E493" s="65" t="s">
        <v>3921</v>
      </c>
      <c r="F493" s="65" t="s">
        <v>3922</v>
      </c>
      <c r="G493" s="493">
        <v>45924.0</v>
      </c>
      <c r="H493" s="493">
        <v>45933.0</v>
      </c>
      <c r="I493" s="63">
        <f>IFERROR(__xludf.DUMMYFUNCTION("IF(ISBLANK(H493), TODAY()-TO_DATE(G493), TO_DATE(H493)-TO_DATE(G493))+1"),10.0)</f>
        <v>10</v>
      </c>
      <c r="J493" s="40">
        <v>500.0</v>
      </c>
      <c r="K493" s="65" t="s">
        <v>4863</v>
      </c>
      <c r="L493" s="525" t="s">
        <v>4864</v>
      </c>
      <c r="M493" s="144" t="s">
        <v>4866</v>
      </c>
      <c r="N493" s="29"/>
      <c r="O493" s="29"/>
      <c r="P493" s="29"/>
      <c r="Q493" s="29"/>
      <c r="R493" s="29"/>
      <c r="S493" s="29"/>
      <c r="T493" s="29"/>
      <c r="U493" s="29"/>
      <c r="V493" s="29"/>
      <c r="W493" s="29"/>
      <c r="X493" s="29"/>
      <c r="Y493" s="29"/>
      <c r="Z493" s="29"/>
      <c r="AA493" s="29"/>
      <c r="AB493" s="29"/>
      <c r="AC493" s="29"/>
      <c r="AD493" s="29"/>
      <c r="AE493" s="29"/>
      <c r="AF493" s="29"/>
      <c r="AG493" s="29"/>
    </row>
    <row r="494">
      <c r="A494" s="240" t="s">
        <v>2451</v>
      </c>
      <c r="B494" s="240" t="s">
        <v>697</v>
      </c>
      <c r="C494" s="44" t="s">
        <v>1932</v>
      </c>
      <c r="D494" s="85" t="s">
        <v>60</v>
      </c>
      <c r="E494" s="65" t="s">
        <v>4873</v>
      </c>
      <c r="F494" s="65" t="s">
        <v>4874</v>
      </c>
      <c r="G494" s="493">
        <v>45924.0</v>
      </c>
      <c r="H494" s="493">
        <v>45934.0</v>
      </c>
      <c r="I494" s="63">
        <f>IFERROR(__xludf.DUMMYFUNCTION("IF(ISBLANK(H494), TODAY()-TO_DATE(G494), TO_DATE(H494)-TO_DATE(G494))+1"),11.0)</f>
        <v>11</v>
      </c>
      <c r="J494" s="40">
        <v>500.0</v>
      </c>
      <c r="K494" s="65" t="s">
        <v>4876</v>
      </c>
      <c r="L494" s="525" t="s">
        <v>2963</v>
      </c>
      <c r="M494" s="144"/>
      <c r="N494" s="29"/>
      <c r="O494" s="29"/>
      <c r="P494" s="29"/>
      <c r="Q494" s="29"/>
      <c r="R494" s="29"/>
      <c r="S494" s="29"/>
      <c r="T494" s="29"/>
      <c r="U494" s="29"/>
      <c r="V494" s="29"/>
      <c r="W494" s="29"/>
      <c r="X494" s="29"/>
      <c r="Y494" s="29"/>
      <c r="Z494" s="29"/>
      <c r="AA494" s="29"/>
      <c r="AB494" s="29"/>
      <c r="AC494" s="29"/>
      <c r="AD494" s="29"/>
      <c r="AE494" s="29"/>
      <c r="AF494" s="29"/>
      <c r="AG494" s="29"/>
    </row>
    <row r="495">
      <c r="A495" s="240" t="s">
        <v>150</v>
      </c>
      <c r="B495" s="240" t="s">
        <v>697</v>
      </c>
      <c r="C495" s="44" t="s">
        <v>287</v>
      </c>
      <c r="D495" s="85" t="s">
        <v>60</v>
      </c>
      <c r="E495" s="65" t="s">
        <v>4013</v>
      </c>
      <c r="F495" s="65" t="s">
        <v>4017</v>
      </c>
      <c r="G495" s="493">
        <v>45924.0</v>
      </c>
      <c r="H495" s="493">
        <v>45933.0</v>
      </c>
      <c r="I495" s="63">
        <f>IFERROR(__xludf.DUMMYFUNCTION("IF(ISBLANK(H495), TODAY()-TO_DATE(G495), TO_DATE(H495)-TO_DATE(G495))+1"),10.0)</f>
        <v>10</v>
      </c>
      <c r="J495" s="40">
        <v>500.0</v>
      </c>
      <c r="K495" s="65" t="s">
        <v>4019</v>
      </c>
      <c r="L495" s="525" t="s">
        <v>4885</v>
      </c>
      <c r="M495" s="144" t="s">
        <v>4866</v>
      </c>
      <c r="N495" s="29"/>
      <c r="O495" s="29"/>
      <c r="P495" s="29"/>
      <c r="Q495" s="29"/>
      <c r="R495" s="29"/>
      <c r="S495" s="29"/>
      <c r="T495" s="29"/>
      <c r="U495" s="29"/>
      <c r="V495" s="29"/>
      <c r="W495" s="29"/>
      <c r="X495" s="29"/>
      <c r="Y495" s="29"/>
      <c r="Z495" s="29"/>
      <c r="AA495" s="29"/>
      <c r="AB495" s="29"/>
      <c r="AC495" s="29"/>
      <c r="AD495" s="29"/>
      <c r="AE495" s="29"/>
      <c r="AF495" s="29"/>
      <c r="AG495" s="29"/>
    </row>
    <row r="496">
      <c r="A496" s="240" t="s">
        <v>150</v>
      </c>
      <c r="B496" s="240" t="s">
        <v>697</v>
      </c>
      <c r="C496" s="44" t="s">
        <v>139</v>
      </c>
      <c r="D496" s="85" t="s">
        <v>60</v>
      </c>
      <c r="E496" s="65" t="s">
        <v>3599</v>
      </c>
      <c r="F496" s="65" t="s">
        <v>3600</v>
      </c>
      <c r="G496" s="493">
        <v>45924.0</v>
      </c>
      <c r="H496" s="493">
        <v>45931.0</v>
      </c>
      <c r="I496" s="63">
        <f>IFERROR(__xludf.DUMMYFUNCTION("IF(ISBLANK(H496), TODAY()-TO_DATE(G496), TO_DATE(H496)-TO_DATE(G496))+1"),8.0)</f>
        <v>8</v>
      </c>
      <c r="J496" s="40">
        <v>500.0</v>
      </c>
      <c r="K496" s="65" t="s">
        <v>3604</v>
      </c>
      <c r="L496" s="525" t="s">
        <v>4893</v>
      </c>
      <c r="M496" s="526"/>
      <c r="N496" s="29"/>
      <c r="O496" s="29"/>
      <c r="P496" s="29"/>
      <c r="Q496" s="29"/>
      <c r="R496" s="29"/>
      <c r="S496" s="29"/>
      <c r="T496" s="29"/>
      <c r="U496" s="29"/>
      <c r="V496" s="29"/>
      <c r="W496" s="29"/>
      <c r="X496" s="29"/>
      <c r="Y496" s="29"/>
      <c r="Z496" s="29"/>
      <c r="AA496" s="29"/>
      <c r="AB496" s="29"/>
      <c r="AC496" s="29"/>
      <c r="AD496" s="29"/>
      <c r="AE496" s="29"/>
      <c r="AF496" s="29"/>
      <c r="AG496" s="29"/>
    </row>
    <row r="497">
      <c r="A497" s="240" t="s">
        <v>1032</v>
      </c>
      <c r="B497" s="240" t="s">
        <v>697</v>
      </c>
      <c r="C497" s="44" t="s">
        <v>321</v>
      </c>
      <c r="D497" s="85" t="s">
        <v>360</v>
      </c>
      <c r="E497" s="65" t="s">
        <v>3517</v>
      </c>
      <c r="F497" s="65" t="s">
        <v>3518</v>
      </c>
      <c r="G497" s="493">
        <v>45924.0</v>
      </c>
      <c r="H497" s="493">
        <v>45928.0</v>
      </c>
      <c r="I497" s="63">
        <f>IFERROR(__xludf.DUMMYFUNCTION("IF(ISBLANK(H497), TODAY()-TO_DATE(G497), TO_DATE(H497)-TO_DATE(G497))+1"),5.0)</f>
        <v>5</v>
      </c>
      <c r="J497" s="40" t="s">
        <v>197</v>
      </c>
      <c r="K497" s="65" t="s">
        <v>4899</v>
      </c>
      <c r="L497" s="525" t="s">
        <v>4900</v>
      </c>
      <c r="M497" s="526"/>
      <c r="N497" s="29"/>
      <c r="O497" s="29"/>
      <c r="P497" s="29"/>
      <c r="Q497" s="29"/>
      <c r="R497" s="29"/>
      <c r="S497" s="29"/>
      <c r="T497" s="29"/>
      <c r="U497" s="29"/>
      <c r="V497" s="29"/>
      <c r="W497" s="29"/>
      <c r="X497" s="29"/>
      <c r="Y497" s="29"/>
      <c r="Z497" s="29"/>
      <c r="AA497" s="29"/>
      <c r="AB497" s="29"/>
      <c r="AC497" s="29"/>
      <c r="AD497" s="29"/>
      <c r="AE497" s="29"/>
      <c r="AF497" s="29"/>
      <c r="AG497" s="29"/>
    </row>
    <row r="498">
      <c r="A498" s="76" t="s">
        <v>150</v>
      </c>
      <c r="B498" s="76" t="s">
        <v>697</v>
      </c>
      <c r="C498" s="373" t="s">
        <v>58</v>
      </c>
      <c r="D498" s="85" t="s">
        <v>60</v>
      </c>
      <c r="E498" s="76" t="s">
        <v>2074</v>
      </c>
      <c r="F498" s="76" t="s">
        <v>2075</v>
      </c>
      <c r="G498" s="523">
        <v>45924.0</v>
      </c>
      <c r="H498" s="523">
        <v>45966.0</v>
      </c>
      <c r="I498" s="189">
        <f>IFERROR(__xludf.DUMMYFUNCTION("IF(ISBLANK(H498), TODAY()-TO_DATE(G498), TO_DATE(H498)-TO_DATE(G498))+1"),43.0)</f>
        <v>43</v>
      </c>
      <c r="J498" s="27" t="s">
        <v>197</v>
      </c>
      <c r="K498" s="85" t="s">
        <v>4910</v>
      </c>
      <c r="L498" s="85" t="s">
        <v>4912</v>
      </c>
      <c r="M498" s="76" t="s">
        <v>4913</v>
      </c>
      <c r="N498" s="29"/>
      <c r="O498" s="29"/>
      <c r="P498" s="29"/>
      <c r="Q498" s="29"/>
      <c r="R498" s="29"/>
      <c r="S498" s="29"/>
      <c r="T498" s="29"/>
      <c r="U498" s="29"/>
      <c r="V498" s="29"/>
      <c r="W498" s="29"/>
      <c r="X498" s="29"/>
      <c r="Y498" s="29"/>
      <c r="Z498" s="29"/>
      <c r="AA498" s="29"/>
      <c r="AB498" s="29"/>
      <c r="AC498" s="29"/>
      <c r="AD498" s="29"/>
      <c r="AE498" s="29"/>
      <c r="AF498" s="29"/>
      <c r="AG498" s="29"/>
    </row>
    <row r="499">
      <c r="A499" s="240" t="s">
        <v>1032</v>
      </c>
      <c r="B499" s="240" t="s">
        <v>697</v>
      </c>
      <c r="C499" s="373" t="s">
        <v>187</v>
      </c>
      <c r="D499" s="85" t="s">
        <v>60</v>
      </c>
      <c r="E499" s="240" t="s">
        <v>3526</v>
      </c>
      <c r="F499" s="240" t="s">
        <v>3527</v>
      </c>
      <c r="G499" s="493">
        <v>45924.0</v>
      </c>
      <c r="H499" s="493">
        <v>45932.0</v>
      </c>
      <c r="I499" s="63">
        <f>IFERROR(__xludf.DUMMYFUNCTION("IF(ISBLANK(H499), TODAY()-TO_DATE(G499), TO_DATE(H499)-TO_DATE(G499))+1"),9.0)</f>
        <v>9</v>
      </c>
      <c r="J499" s="40">
        <v>500.0</v>
      </c>
      <c r="K499" s="321" t="s">
        <v>4921</v>
      </c>
      <c r="L499" s="321" t="s">
        <v>3073</v>
      </c>
      <c r="M499" s="63"/>
      <c r="N499" s="29"/>
      <c r="O499" s="29"/>
      <c r="P499" s="29"/>
      <c r="Q499" s="29"/>
      <c r="R499" s="29"/>
      <c r="S499" s="29"/>
      <c r="T499" s="29"/>
      <c r="U499" s="29"/>
      <c r="V499" s="29"/>
      <c r="W499" s="29"/>
      <c r="X499" s="29"/>
      <c r="Y499" s="29"/>
      <c r="Z499" s="29"/>
      <c r="AA499" s="29"/>
      <c r="AB499" s="29"/>
      <c r="AC499" s="29"/>
      <c r="AD499" s="29"/>
      <c r="AE499" s="29"/>
      <c r="AF499" s="29"/>
      <c r="AG499" s="29"/>
    </row>
    <row r="500">
      <c r="A500" s="76" t="s">
        <v>2451</v>
      </c>
      <c r="B500" s="76" t="s">
        <v>697</v>
      </c>
      <c r="C500" s="529" t="s">
        <v>302</v>
      </c>
      <c r="D500" s="85" t="s">
        <v>60</v>
      </c>
      <c r="E500" s="76" t="s">
        <v>4926</v>
      </c>
      <c r="F500" s="76" t="s">
        <v>4930</v>
      </c>
      <c r="G500" s="523">
        <v>45928.0</v>
      </c>
      <c r="H500" s="523">
        <v>45975.0</v>
      </c>
      <c r="I500" s="189">
        <f>IFERROR(__xludf.DUMMYFUNCTION("IF(ISBLANK(H500), TODAY()-TO_DATE(G500), TO_DATE(H500)-TO_DATE(G500))+1"),48.0)</f>
        <v>48</v>
      </c>
      <c r="J500" s="27" t="s">
        <v>197</v>
      </c>
      <c r="K500" s="85" t="s">
        <v>4934</v>
      </c>
      <c r="L500" s="85"/>
      <c r="M500" s="189"/>
      <c r="N500" s="29"/>
      <c r="O500" s="29"/>
      <c r="P500" s="29"/>
      <c r="Q500" s="29"/>
      <c r="R500" s="29"/>
      <c r="S500" s="29"/>
      <c r="T500" s="29"/>
      <c r="U500" s="29"/>
      <c r="V500" s="29"/>
      <c r="W500" s="29"/>
      <c r="X500" s="29"/>
      <c r="Y500" s="29"/>
      <c r="Z500" s="29"/>
      <c r="AA500" s="29"/>
      <c r="AB500" s="29"/>
      <c r="AC500" s="29"/>
      <c r="AD500" s="29"/>
      <c r="AE500" s="29"/>
      <c r="AF500" s="29"/>
      <c r="AG500" s="29"/>
    </row>
    <row r="501">
      <c r="A501" s="240" t="s">
        <v>150</v>
      </c>
      <c r="B501" s="240" t="s">
        <v>697</v>
      </c>
      <c r="C501" s="373" t="s">
        <v>58</v>
      </c>
      <c r="D501" s="85" t="s">
        <v>60</v>
      </c>
      <c r="E501" s="240" t="s">
        <v>4941</v>
      </c>
      <c r="F501" s="240" t="s">
        <v>4942</v>
      </c>
      <c r="G501" s="493">
        <v>45928.0</v>
      </c>
      <c r="H501" s="493">
        <v>45935.0</v>
      </c>
      <c r="I501" s="63">
        <f>IFERROR(__xludf.DUMMYFUNCTION("IF(ISBLANK(H501), TODAY()-TO_DATE(G501), TO_DATE(H501)-TO_DATE(G501))+1"),8.0)</f>
        <v>8</v>
      </c>
      <c r="J501" s="40">
        <v>500.0</v>
      </c>
      <c r="K501" s="321" t="s">
        <v>4945</v>
      </c>
      <c r="L501" s="321" t="s">
        <v>4946</v>
      </c>
      <c r="M501" s="63"/>
      <c r="N501" s="29"/>
      <c r="O501" s="29"/>
      <c r="P501" s="29"/>
      <c r="Q501" s="29"/>
      <c r="R501" s="29"/>
      <c r="S501" s="29"/>
      <c r="T501" s="29"/>
      <c r="U501" s="29"/>
      <c r="V501" s="29"/>
      <c r="W501" s="29"/>
      <c r="X501" s="29"/>
      <c r="Y501" s="29"/>
      <c r="Z501" s="29"/>
      <c r="AA501" s="29"/>
      <c r="AB501" s="29"/>
      <c r="AC501" s="29"/>
      <c r="AD501" s="29"/>
      <c r="AE501" s="29"/>
      <c r="AF501" s="29"/>
      <c r="AG501" s="29"/>
    </row>
    <row r="502">
      <c r="A502" s="240" t="s">
        <v>150</v>
      </c>
      <c r="B502" s="240" t="s">
        <v>697</v>
      </c>
      <c r="C502" s="529" t="s">
        <v>302</v>
      </c>
      <c r="D502" s="85" t="s">
        <v>326</v>
      </c>
      <c r="E502" s="240" t="s">
        <v>4953</v>
      </c>
      <c r="F502" s="240" t="s">
        <v>4954</v>
      </c>
      <c r="G502" s="493">
        <v>45928.0</v>
      </c>
      <c r="H502" s="493">
        <v>45938.0</v>
      </c>
      <c r="I502" s="63">
        <f>IFERROR(__xludf.DUMMYFUNCTION("IF(ISBLANK(H502), TODAY()-TO_DATE(G502), TO_DATE(H502)-TO_DATE(G502))+1"),11.0)</f>
        <v>11</v>
      </c>
      <c r="J502" s="40">
        <v>500.0</v>
      </c>
      <c r="K502" s="321" t="s">
        <v>4956</v>
      </c>
      <c r="L502" s="321" t="s">
        <v>4957</v>
      </c>
      <c r="M502" s="63"/>
      <c r="N502" s="29"/>
      <c r="O502" s="29"/>
      <c r="P502" s="29"/>
      <c r="Q502" s="29"/>
      <c r="R502" s="29"/>
      <c r="S502" s="29"/>
      <c r="T502" s="29"/>
      <c r="U502" s="29"/>
      <c r="V502" s="29"/>
      <c r="W502" s="29"/>
      <c r="X502" s="29"/>
      <c r="Y502" s="29"/>
      <c r="Z502" s="29"/>
      <c r="AA502" s="29"/>
      <c r="AB502" s="29"/>
      <c r="AC502" s="29"/>
      <c r="AD502" s="29"/>
      <c r="AE502" s="29"/>
      <c r="AF502" s="29"/>
      <c r="AG502" s="29"/>
    </row>
    <row r="503">
      <c r="A503" s="240" t="s">
        <v>150</v>
      </c>
      <c r="B503" s="240" t="s">
        <v>697</v>
      </c>
      <c r="C503" s="529" t="s">
        <v>321</v>
      </c>
      <c r="D503" s="85" t="s">
        <v>60</v>
      </c>
      <c r="E503" s="240" t="s">
        <v>4961</v>
      </c>
      <c r="F503" s="240" t="s">
        <v>4962</v>
      </c>
      <c r="G503" s="493">
        <v>45928.0</v>
      </c>
      <c r="H503" s="493">
        <v>45940.0</v>
      </c>
      <c r="I503" s="63">
        <f>IFERROR(__xludf.DUMMYFUNCTION("IF(ISBLANK(H503), TODAY()-TO_DATE(G503), TO_DATE(H503)-TO_DATE(G503))+1"),13.0)</f>
        <v>13</v>
      </c>
      <c r="J503" s="40">
        <v>200.0</v>
      </c>
      <c r="K503" s="321" t="s">
        <v>4968</v>
      </c>
      <c r="L503" s="321" t="s">
        <v>3402</v>
      </c>
      <c r="M503" s="63"/>
      <c r="N503" s="29"/>
      <c r="O503" s="29"/>
      <c r="P503" s="29"/>
      <c r="Q503" s="29"/>
      <c r="R503" s="29"/>
      <c r="S503" s="29"/>
      <c r="T503" s="29"/>
      <c r="U503" s="29"/>
      <c r="V503" s="29"/>
      <c r="W503" s="29"/>
      <c r="X503" s="29"/>
      <c r="Y503" s="29"/>
      <c r="Z503" s="29"/>
      <c r="AA503" s="29"/>
      <c r="AB503" s="29"/>
      <c r="AC503" s="29"/>
      <c r="AD503" s="29"/>
      <c r="AE503" s="29"/>
      <c r="AF503" s="29"/>
      <c r="AG503" s="29"/>
    </row>
    <row r="504">
      <c r="A504" s="240" t="s">
        <v>150</v>
      </c>
      <c r="B504" s="240" t="s">
        <v>697</v>
      </c>
      <c r="C504" s="373" t="s">
        <v>213</v>
      </c>
      <c r="D504" s="85" t="s">
        <v>60</v>
      </c>
      <c r="E504" s="240" t="s">
        <v>4973</v>
      </c>
      <c r="F504" s="240" t="s">
        <v>4974</v>
      </c>
      <c r="G504" s="493">
        <v>45928.0</v>
      </c>
      <c r="H504" s="493">
        <v>45935.0</v>
      </c>
      <c r="I504" s="63">
        <f>IFERROR(__xludf.DUMMYFUNCTION("IF(ISBLANK(H504), TODAY()-TO_DATE(G504), TO_DATE(H504)-TO_DATE(G504))+1"),8.0)</f>
        <v>8</v>
      </c>
      <c r="J504" s="40">
        <v>500.0</v>
      </c>
      <c r="K504" s="321" t="s">
        <v>4976</v>
      </c>
      <c r="L504" s="321" t="s">
        <v>4977</v>
      </c>
      <c r="M504" s="63"/>
      <c r="N504" s="29"/>
      <c r="O504" s="29"/>
      <c r="P504" s="29"/>
      <c r="Q504" s="29"/>
      <c r="R504" s="29"/>
      <c r="S504" s="29"/>
      <c r="T504" s="29"/>
      <c r="U504" s="29"/>
      <c r="V504" s="29"/>
      <c r="W504" s="29"/>
      <c r="X504" s="29"/>
      <c r="Y504" s="29"/>
      <c r="Z504" s="29"/>
      <c r="AA504" s="29"/>
      <c r="AB504" s="29"/>
      <c r="AC504" s="29"/>
      <c r="AD504" s="29"/>
      <c r="AE504" s="29"/>
      <c r="AF504" s="29"/>
      <c r="AG504" s="29"/>
    </row>
    <row r="505">
      <c r="A505" s="240" t="s">
        <v>150</v>
      </c>
      <c r="B505" s="240" t="s">
        <v>697</v>
      </c>
      <c r="C505" s="373" t="s">
        <v>213</v>
      </c>
      <c r="D505" s="85" t="s">
        <v>60</v>
      </c>
      <c r="E505" s="240" t="s">
        <v>4981</v>
      </c>
      <c r="F505" s="240" t="s">
        <v>4982</v>
      </c>
      <c r="G505" s="493">
        <v>45928.0</v>
      </c>
      <c r="H505" s="493">
        <v>45938.0</v>
      </c>
      <c r="I505" s="63">
        <f>IFERROR(__xludf.DUMMYFUNCTION("IF(ISBLANK(H505), TODAY()-TO_DATE(G505), TO_DATE(H505)-TO_DATE(G505))+1"),11.0)</f>
        <v>11</v>
      </c>
      <c r="J505" s="40">
        <v>500.0</v>
      </c>
      <c r="K505" s="321" t="s">
        <v>4988</v>
      </c>
      <c r="L505" s="321" t="s">
        <v>4989</v>
      </c>
      <c r="M505" s="63"/>
      <c r="N505" s="29"/>
      <c r="O505" s="29"/>
      <c r="P505" s="29"/>
      <c r="Q505" s="29"/>
      <c r="R505" s="29"/>
      <c r="S505" s="29"/>
      <c r="T505" s="29"/>
      <c r="U505" s="29"/>
      <c r="V505" s="29"/>
      <c r="W505" s="29"/>
      <c r="X505" s="29"/>
      <c r="Y505" s="29"/>
      <c r="Z505" s="29"/>
      <c r="AA505" s="29"/>
      <c r="AB505" s="29"/>
      <c r="AC505" s="29"/>
      <c r="AD505" s="29"/>
      <c r="AE505" s="29"/>
      <c r="AF505" s="29"/>
      <c r="AG505" s="29"/>
    </row>
    <row r="506">
      <c r="A506" s="240" t="s">
        <v>1923</v>
      </c>
      <c r="B506" s="240" t="s">
        <v>697</v>
      </c>
      <c r="C506" s="373" t="s">
        <v>1924</v>
      </c>
      <c r="D506" s="85" t="s">
        <v>102</v>
      </c>
      <c r="E506" s="240" t="s">
        <v>176</v>
      </c>
      <c r="F506" s="240" t="s">
        <v>177</v>
      </c>
      <c r="G506" s="493">
        <v>45930.0</v>
      </c>
      <c r="H506" s="493">
        <v>45936.0</v>
      </c>
      <c r="I506" s="63">
        <f>IFERROR(__xludf.DUMMYFUNCTION("IF(ISBLANK(H506), TODAY()-TO_DATE(G506), TO_DATE(H506)-TO_DATE(G506))+1"),7.0)</f>
        <v>7</v>
      </c>
      <c r="J506" s="40" t="s">
        <v>197</v>
      </c>
      <c r="K506" s="321" t="s">
        <v>4451</v>
      </c>
      <c r="L506" s="321" t="s">
        <v>1949</v>
      </c>
      <c r="M506" s="63" t="s">
        <v>4773</v>
      </c>
      <c r="N506" s="29"/>
      <c r="O506" s="29"/>
      <c r="P506" s="29"/>
      <c r="Q506" s="29"/>
      <c r="R506" s="29"/>
      <c r="S506" s="29"/>
      <c r="T506" s="29"/>
      <c r="U506" s="29"/>
      <c r="V506" s="29"/>
      <c r="W506" s="29"/>
      <c r="X506" s="29"/>
      <c r="Y506" s="29"/>
      <c r="Z506" s="29"/>
      <c r="AA506" s="29"/>
      <c r="AB506" s="29"/>
      <c r="AC506" s="29"/>
      <c r="AD506" s="29"/>
      <c r="AE506" s="29"/>
      <c r="AF506" s="29"/>
      <c r="AG506" s="29"/>
    </row>
    <row r="507">
      <c r="A507" s="240" t="s">
        <v>1923</v>
      </c>
      <c r="B507" s="240" t="s">
        <v>697</v>
      </c>
      <c r="C507" s="373" t="s">
        <v>201</v>
      </c>
      <c r="D507" s="85" t="s">
        <v>60</v>
      </c>
      <c r="E507" s="240" t="s">
        <v>2245</v>
      </c>
      <c r="F507" s="240" t="s">
        <v>2246</v>
      </c>
      <c r="G507" s="493">
        <v>45930.0</v>
      </c>
      <c r="H507" s="493">
        <v>45936.0</v>
      </c>
      <c r="I507" s="63">
        <f>IFERROR(__xludf.DUMMYFUNCTION("IF(ISBLANK(H507), TODAY()-TO_DATE(G507), TO_DATE(H507)-TO_DATE(G507))+1"),7.0)</f>
        <v>7</v>
      </c>
      <c r="J507" s="40" t="s">
        <v>197</v>
      </c>
      <c r="K507" s="321" t="s">
        <v>2249</v>
      </c>
      <c r="L507" s="321" t="s">
        <v>1938</v>
      </c>
      <c r="M507" s="63" t="s">
        <v>4786</v>
      </c>
      <c r="N507" s="29"/>
      <c r="O507" s="29"/>
      <c r="P507" s="29"/>
      <c r="Q507" s="29"/>
      <c r="R507" s="29"/>
      <c r="S507" s="29"/>
      <c r="T507" s="29"/>
      <c r="U507" s="29"/>
      <c r="V507" s="29"/>
      <c r="W507" s="29"/>
      <c r="X507" s="29"/>
      <c r="Y507" s="29"/>
      <c r="Z507" s="29"/>
      <c r="AA507" s="29"/>
      <c r="AB507" s="29"/>
      <c r="AC507" s="29"/>
      <c r="AD507" s="29"/>
      <c r="AE507" s="29"/>
      <c r="AF507" s="29"/>
      <c r="AG507" s="29"/>
    </row>
    <row r="508">
      <c r="A508" s="240" t="s">
        <v>1923</v>
      </c>
      <c r="B508" s="240" t="s">
        <v>697</v>
      </c>
      <c r="C508" s="373" t="s">
        <v>331</v>
      </c>
      <c r="D508" s="85" t="s">
        <v>60</v>
      </c>
      <c r="E508" s="240" t="s">
        <v>2872</v>
      </c>
      <c r="F508" s="240" t="s">
        <v>2874</v>
      </c>
      <c r="G508" s="493">
        <v>45930.0</v>
      </c>
      <c r="H508" s="493">
        <v>45936.0</v>
      </c>
      <c r="I508" s="63">
        <f>IFERROR(__xludf.DUMMYFUNCTION("IF(ISBLANK(H508), TODAY()-TO_DATE(G508), TO_DATE(H508)-TO_DATE(G508))+1"),7.0)</f>
        <v>7</v>
      </c>
      <c r="J508" s="40" t="s">
        <v>197</v>
      </c>
      <c r="K508" s="321" t="s">
        <v>1947</v>
      </c>
      <c r="L508" s="321" t="s">
        <v>3281</v>
      </c>
      <c r="M508" s="63" t="s">
        <v>4799</v>
      </c>
      <c r="N508" s="29"/>
      <c r="O508" s="29"/>
      <c r="P508" s="29"/>
      <c r="Q508" s="29"/>
      <c r="R508" s="29"/>
      <c r="S508" s="29"/>
      <c r="T508" s="29"/>
      <c r="U508" s="29"/>
      <c r="V508" s="29"/>
      <c r="W508" s="29"/>
      <c r="X508" s="29"/>
      <c r="Y508" s="29"/>
      <c r="Z508" s="29"/>
      <c r="AA508" s="29"/>
      <c r="AB508" s="29"/>
      <c r="AC508" s="29"/>
      <c r="AD508" s="29"/>
      <c r="AE508" s="29"/>
      <c r="AF508" s="29"/>
      <c r="AG508" s="29"/>
    </row>
    <row r="509">
      <c r="A509" s="240" t="s">
        <v>1923</v>
      </c>
      <c r="B509" s="240" t="s">
        <v>697</v>
      </c>
      <c r="C509" s="373" t="s">
        <v>331</v>
      </c>
      <c r="D509" s="85" t="s">
        <v>60</v>
      </c>
      <c r="E509" s="240" t="s">
        <v>2856</v>
      </c>
      <c r="F509" s="240" t="s">
        <v>2857</v>
      </c>
      <c r="G509" s="493">
        <v>45930.0</v>
      </c>
      <c r="H509" s="493">
        <v>45936.0</v>
      </c>
      <c r="I509" s="63">
        <f>IFERROR(__xludf.DUMMYFUNCTION("IF(ISBLANK(H509), TODAY()-TO_DATE(G509), TO_DATE(H509)-TO_DATE(G509))+1"),7.0)</f>
        <v>7</v>
      </c>
      <c r="J509" s="40" t="s">
        <v>197</v>
      </c>
      <c r="K509" s="321" t="s">
        <v>3557</v>
      </c>
      <c r="L509" s="321" t="s">
        <v>3292</v>
      </c>
      <c r="M509" s="507" t="s">
        <v>4812</v>
      </c>
      <c r="N509" s="29"/>
      <c r="O509" s="29"/>
      <c r="P509" s="29"/>
      <c r="Q509" s="29"/>
      <c r="R509" s="29"/>
      <c r="S509" s="29"/>
      <c r="T509" s="29"/>
      <c r="U509" s="29"/>
      <c r="V509" s="29"/>
      <c r="W509" s="29"/>
      <c r="X509" s="29"/>
      <c r="Y509" s="29"/>
      <c r="Z509" s="29"/>
      <c r="AA509" s="29"/>
      <c r="AB509" s="29"/>
      <c r="AC509" s="29"/>
      <c r="AD509" s="29"/>
      <c r="AE509" s="29"/>
      <c r="AF509" s="29"/>
      <c r="AG509" s="29"/>
    </row>
    <row r="510">
      <c r="A510" s="76" t="s">
        <v>2451</v>
      </c>
      <c r="B510" s="76" t="s">
        <v>697</v>
      </c>
      <c r="C510" s="373" t="s">
        <v>1932</v>
      </c>
      <c r="D510" s="85" t="s">
        <v>60</v>
      </c>
      <c r="E510" s="76" t="s">
        <v>5030</v>
      </c>
      <c r="F510" s="76" t="s">
        <v>5032</v>
      </c>
      <c r="G510" s="523">
        <v>45931.0</v>
      </c>
      <c r="H510" s="523">
        <v>45954.0</v>
      </c>
      <c r="I510" s="189">
        <f>IFERROR(__xludf.DUMMYFUNCTION("IF(ISBLANK(H510), TODAY()-TO_DATE(G510), TO_DATE(H510)-TO_DATE(G510))+1"),24.0)</f>
        <v>24</v>
      </c>
      <c r="J510" s="27">
        <v>300.0</v>
      </c>
      <c r="K510" s="85" t="s">
        <v>5036</v>
      </c>
      <c r="L510" s="85" t="s">
        <v>4068</v>
      </c>
      <c r="M510" s="195"/>
      <c r="N510" s="29"/>
      <c r="O510" s="29"/>
      <c r="P510" s="29"/>
      <c r="Q510" s="29"/>
      <c r="R510" s="29"/>
      <c r="S510" s="29"/>
      <c r="T510" s="29"/>
      <c r="U510" s="29"/>
      <c r="V510" s="29"/>
      <c r="W510" s="29"/>
      <c r="X510" s="29"/>
      <c r="Y510" s="29"/>
      <c r="Z510" s="29"/>
      <c r="AA510" s="29"/>
      <c r="AB510" s="29"/>
      <c r="AC510" s="29"/>
      <c r="AD510" s="29"/>
      <c r="AE510" s="29"/>
      <c r="AF510" s="29"/>
      <c r="AG510" s="29"/>
    </row>
    <row r="511">
      <c r="A511" s="76" t="s">
        <v>2451</v>
      </c>
      <c r="B511" s="76" t="s">
        <v>697</v>
      </c>
      <c r="C511" s="373" t="s">
        <v>331</v>
      </c>
      <c r="D511" s="85" t="s">
        <v>60</v>
      </c>
      <c r="E511" s="76" t="s">
        <v>5044</v>
      </c>
      <c r="F511" s="76" t="s">
        <v>912</v>
      </c>
      <c r="G511" s="523">
        <v>45931.0</v>
      </c>
      <c r="H511" s="523">
        <v>45954.0</v>
      </c>
      <c r="I511" s="189">
        <f>IFERROR(__xludf.DUMMYFUNCTION("IF(ISBLANK(H511), TODAY()-TO_DATE(G511), TO_DATE(H511)-TO_DATE(G511))+1"),24.0)</f>
        <v>24</v>
      </c>
      <c r="J511" s="27">
        <v>300.0</v>
      </c>
      <c r="K511" s="85" t="s">
        <v>5048</v>
      </c>
      <c r="L511" s="85" t="s">
        <v>5049</v>
      </c>
      <c r="M511" s="195"/>
      <c r="N511" s="29"/>
      <c r="O511" s="29"/>
      <c r="P511" s="29"/>
      <c r="Q511" s="29"/>
      <c r="R511" s="29"/>
      <c r="S511" s="29"/>
      <c r="T511" s="29"/>
      <c r="U511" s="29"/>
      <c r="V511" s="29"/>
      <c r="W511" s="29"/>
      <c r="X511" s="29"/>
      <c r="Y511" s="29"/>
      <c r="Z511" s="29"/>
      <c r="AA511" s="29"/>
      <c r="AB511" s="29"/>
      <c r="AC511" s="29"/>
      <c r="AD511" s="29"/>
      <c r="AE511" s="29"/>
      <c r="AF511" s="29"/>
      <c r="AG511" s="29"/>
    </row>
    <row r="512">
      <c r="A512" s="76" t="s">
        <v>150</v>
      </c>
      <c r="B512" s="76" t="s">
        <v>697</v>
      </c>
      <c r="C512" s="529" t="s">
        <v>302</v>
      </c>
      <c r="D512" s="85" t="s">
        <v>60</v>
      </c>
      <c r="E512" s="76" t="s">
        <v>5059</v>
      </c>
      <c r="F512" s="76" t="s">
        <v>1375</v>
      </c>
      <c r="G512" s="523">
        <v>45931.0</v>
      </c>
      <c r="H512" s="523">
        <v>45954.0</v>
      </c>
      <c r="I512" s="189">
        <f>IFERROR(__xludf.DUMMYFUNCTION("IF(ISBLANK(H512), TODAY()-TO_DATE(G512), TO_DATE(H512)-TO_DATE(G512))+1"),24.0)</f>
        <v>24</v>
      </c>
      <c r="J512" s="27">
        <v>500.0</v>
      </c>
      <c r="K512" s="85" t="s">
        <v>5065</v>
      </c>
      <c r="L512" s="85" t="s">
        <v>5067</v>
      </c>
      <c r="M512" s="195"/>
      <c r="N512" s="29"/>
      <c r="O512" s="29"/>
      <c r="P512" s="29"/>
      <c r="Q512" s="29"/>
      <c r="R512" s="29"/>
      <c r="S512" s="29"/>
      <c r="T512" s="29"/>
      <c r="U512" s="29"/>
      <c r="V512" s="29"/>
      <c r="W512" s="29"/>
      <c r="X512" s="29"/>
      <c r="Y512" s="29"/>
      <c r="Z512" s="29"/>
      <c r="AA512" s="29"/>
      <c r="AB512" s="29"/>
      <c r="AC512" s="29"/>
      <c r="AD512" s="29"/>
      <c r="AE512" s="29"/>
      <c r="AF512" s="29"/>
      <c r="AG512" s="29"/>
    </row>
    <row r="513">
      <c r="A513" s="240" t="s">
        <v>150</v>
      </c>
      <c r="B513" s="240" t="s">
        <v>697</v>
      </c>
      <c r="C513" s="373" t="s">
        <v>213</v>
      </c>
      <c r="D513" s="85" t="s">
        <v>60</v>
      </c>
      <c r="E513" s="240" t="s">
        <v>5072</v>
      </c>
      <c r="F513" s="240" t="s">
        <v>5073</v>
      </c>
      <c r="G513" s="493">
        <v>45931.0</v>
      </c>
      <c r="H513" s="493">
        <v>45941.0</v>
      </c>
      <c r="I513" s="189">
        <f>IFERROR(__xludf.DUMMYFUNCTION("IF(ISBLANK(H513), TODAY()-TO_DATE(G513), TO_DATE(H513)-TO_DATE(G513))+1"),11.0)</f>
        <v>11</v>
      </c>
      <c r="J513" s="40">
        <v>500.0</v>
      </c>
      <c r="K513" s="321" t="s">
        <v>5077</v>
      </c>
      <c r="L513" s="321" t="s">
        <v>5078</v>
      </c>
      <c r="M513" s="507"/>
      <c r="N513" s="29"/>
      <c r="O513" s="29"/>
      <c r="P513" s="29"/>
      <c r="Q513" s="29"/>
      <c r="R513" s="29"/>
      <c r="S513" s="29"/>
      <c r="T513" s="29"/>
      <c r="U513" s="29"/>
      <c r="V513" s="29"/>
      <c r="W513" s="29"/>
      <c r="X513" s="29"/>
      <c r="Y513" s="29"/>
      <c r="Z513" s="29"/>
      <c r="AA513" s="29"/>
      <c r="AB513" s="29"/>
      <c r="AC513" s="29"/>
      <c r="AD513" s="29"/>
      <c r="AE513" s="29"/>
      <c r="AF513" s="29"/>
      <c r="AG513" s="29"/>
    </row>
    <row r="514">
      <c r="A514" s="76" t="s">
        <v>54</v>
      </c>
      <c r="B514" s="76" t="s">
        <v>697</v>
      </c>
      <c r="C514" s="524" t="s">
        <v>213</v>
      </c>
      <c r="D514" s="85" t="s">
        <v>60</v>
      </c>
      <c r="E514" s="76" t="s">
        <v>5085</v>
      </c>
      <c r="F514" s="76" t="s">
        <v>5087</v>
      </c>
      <c r="G514" s="523">
        <v>45933.0</v>
      </c>
      <c r="H514" s="523">
        <v>45953.0</v>
      </c>
      <c r="I514" s="189">
        <f>IFERROR(__xludf.DUMMYFUNCTION("IF(ISBLANK(H514), TODAY()-TO_DATE(G514), TO_DATE(H514)-TO_DATE(G514))+1"),21.0)</f>
        <v>21</v>
      </c>
      <c r="J514" s="27">
        <v>500.0</v>
      </c>
      <c r="K514" s="76" t="s">
        <v>5092</v>
      </c>
      <c r="L514" s="85" t="s">
        <v>5093</v>
      </c>
      <c r="M514" s="189"/>
      <c r="N514" s="29"/>
      <c r="O514" s="29"/>
      <c r="P514" s="29"/>
      <c r="Q514" s="29"/>
      <c r="R514" s="29"/>
      <c r="S514" s="29"/>
      <c r="T514" s="29"/>
      <c r="U514" s="29"/>
      <c r="V514" s="29"/>
      <c r="W514" s="29"/>
      <c r="X514" s="29"/>
      <c r="Y514" s="29"/>
      <c r="Z514" s="29"/>
      <c r="AA514" s="29"/>
      <c r="AB514" s="29"/>
      <c r="AC514" s="29"/>
      <c r="AD514" s="29"/>
      <c r="AE514" s="29"/>
      <c r="AF514" s="29"/>
      <c r="AG514" s="29"/>
    </row>
    <row r="515">
      <c r="A515" s="240" t="s">
        <v>1540</v>
      </c>
      <c r="B515" s="240" t="s">
        <v>697</v>
      </c>
      <c r="C515" s="218" t="s">
        <v>331</v>
      </c>
      <c r="D515" s="85" t="s">
        <v>60</v>
      </c>
      <c r="E515" s="240" t="s">
        <v>5101</v>
      </c>
      <c r="F515" s="240" t="s">
        <v>694</v>
      </c>
      <c r="G515" s="493">
        <v>45933.0</v>
      </c>
      <c r="H515" s="493">
        <v>45937.0</v>
      </c>
      <c r="I515" s="189">
        <f>IFERROR(__xludf.DUMMYFUNCTION("IF(ISBLANK(H515), TODAY()-TO_DATE(G515), TO_DATE(H515)-TO_DATE(G515))+1"),5.0)</f>
        <v>5</v>
      </c>
      <c r="J515" s="40" t="s">
        <v>197</v>
      </c>
      <c r="K515" s="240" t="s">
        <v>5103</v>
      </c>
      <c r="L515" s="321" t="s">
        <v>5104</v>
      </c>
      <c r="M515" s="63"/>
      <c r="N515" s="29"/>
      <c r="O515" s="29"/>
      <c r="P515" s="29"/>
      <c r="Q515" s="29"/>
      <c r="R515" s="29"/>
      <c r="S515" s="29"/>
      <c r="T515" s="29"/>
      <c r="U515" s="29"/>
      <c r="V515" s="29"/>
      <c r="W515" s="29"/>
      <c r="X515" s="29"/>
      <c r="Y515" s="29"/>
      <c r="Z515" s="29"/>
      <c r="AA515" s="29"/>
      <c r="AB515" s="29"/>
      <c r="AC515" s="29"/>
      <c r="AD515" s="29"/>
      <c r="AE515" s="29"/>
      <c r="AF515" s="29"/>
      <c r="AG515" s="29"/>
    </row>
    <row r="516">
      <c r="A516" s="240" t="s">
        <v>1540</v>
      </c>
      <c r="B516" s="240" t="s">
        <v>697</v>
      </c>
      <c r="C516" s="218" t="s">
        <v>321</v>
      </c>
      <c r="D516" s="85" t="s">
        <v>60</v>
      </c>
      <c r="E516" s="240" t="s">
        <v>5108</v>
      </c>
      <c r="F516" s="240" t="s">
        <v>5109</v>
      </c>
      <c r="G516" s="493">
        <v>45933.0</v>
      </c>
      <c r="H516" s="493">
        <v>45937.0</v>
      </c>
      <c r="I516" s="189">
        <f>IFERROR(__xludf.DUMMYFUNCTION("IF(ISBLANK(H516), TODAY()-TO_DATE(G516), TO_DATE(H516)-TO_DATE(G516))+1"),5.0)</f>
        <v>5</v>
      </c>
      <c r="J516" s="40" t="s">
        <v>197</v>
      </c>
      <c r="K516" s="240" t="s">
        <v>5113</v>
      </c>
      <c r="L516" s="321" t="s">
        <v>5115</v>
      </c>
      <c r="M516" s="63"/>
      <c r="N516" s="29"/>
      <c r="O516" s="29"/>
      <c r="P516" s="29"/>
      <c r="Q516" s="29"/>
      <c r="R516" s="29"/>
      <c r="S516" s="29"/>
      <c r="T516" s="29"/>
      <c r="U516" s="29"/>
      <c r="V516" s="29"/>
      <c r="W516" s="29"/>
      <c r="X516" s="29"/>
      <c r="Y516" s="29"/>
      <c r="Z516" s="29"/>
      <c r="AA516" s="29"/>
      <c r="AB516" s="29"/>
      <c r="AC516" s="29"/>
      <c r="AD516" s="29"/>
      <c r="AE516" s="29"/>
      <c r="AF516" s="29"/>
      <c r="AG516" s="29"/>
    </row>
    <row r="517">
      <c r="A517" s="76" t="s">
        <v>660</v>
      </c>
      <c r="B517" s="76" t="s">
        <v>697</v>
      </c>
      <c r="C517" s="524" t="s">
        <v>321</v>
      </c>
      <c r="D517" s="85" t="s">
        <v>60</v>
      </c>
      <c r="E517" s="76" t="s">
        <v>5121</v>
      </c>
      <c r="F517" s="76" t="s">
        <v>5123</v>
      </c>
      <c r="G517" s="523">
        <v>45933.0</v>
      </c>
      <c r="H517" s="523">
        <v>45953.0</v>
      </c>
      <c r="I517" s="189">
        <f>IFERROR(__xludf.DUMMYFUNCTION("IF(ISBLANK(H517), TODAY()-TO_DATE(G517), TO_DATE(H517)-TO_DATE(G517))+1"),21.0)</f>
        <v>21</v>
      </c>
      <c r="J517" s="27">
        <v>500.0</v>
      </c>
      <c r="K517" s="76" t="s">
        <v>5128</v>
      </c>
      <c r="L517" s="85" t="s">
        <v>5129</v>
      </c>
      <c r="M517" s="189"/>
      <c r="N517" s="29"/>
      <c r="O517" s="29"/>
      <c r="P517" s="29"/>
      <c r="Q517" s="29"/>
      <c r="R517" s="29"/>
      <c r="S517" s="29"/>
      <c r="T517" s="29"/>
      <c r="U517" s="29"/>
      <c r="V517" s="29"/>
      <c r="W517" s="29"/>
      <c r="X517" s="29"/>
      <c r="Y517" s="29"/>
      <c r="Z517" s="29"/>
      <c r="AA517" s="29"/>
      <c r="AB517" s="29"/>
      <c r="AC517" s="29"/>
      <c r="AD517" s="29"/>
      <c r="AE517" s="29"/>
      <c r="AF517" s="29"/>
      <c r="AG517" s="29"/>
    </row>
    <row r="518">
      <c r="A518" s="40" t="s">
        <v>1923</v>
      </c>
      <c r="B518" s="40" t="s">
        <v>697</v>
      </c>
      <c r="C518" s="44" t="s">
        <v>331</v>
      </c>
      <c r="D518" s="47" t="s">
        <v>60</v>
      </c>
      <c r="E518" s="40" t="s">
        <v>3276</v>
      </c>
      <c r="F518" s="40" t="s">
        <v>3277</v>
      </c>
      <c r="G518" s="53">
        <v>45937.0</v>
      </c>
      <c r="H518" s="53">
        <v>45944.0</v>
      </c>
      <c r="I518" s="63">
        <f>IFERROR(__xludf.DUMMYFUNCTION("IF(ISBLANK(H518), TODAY()-TO_DATE(G518), TO_DATE(H518)-TO_DATE(G518))+1"),8.0)</f>
        <v>8</v>
      </c>
      <c r="J518" s="40" t="s">
        <v>197</v>
      </c>
      <c r="K518" s="40" t="s">
        <v>3280</v>
      </c>
      <c r="L518" s="69" t="s">
        <v>3292</v>
      </c>
      <c r="M518" s="40" t="s">
        <v>5139</v>
      </c>
      <c r="N518" s="29"/>
      <c r="O518" s="29"/>
      <c r="P518" s="29"/>
      <c r="Q518" s="29"/>
      <c r="R518" s="29"/>
      <c r="S518" s="29"/>
      <c r="T518" s="29"/>
      <c r="U518" s="29"/>
      <c r="V518" s="29"/>
      <c r="W518" s="29"/>
      <c r="X518" s="29"/>
      <c r="Y518" s="29"/>
      <c r="Z518" s="29"/>
      <c r="AA518" s="29"/>
      <c r="AB518" s="29"/>
      <c r="AC518" s="29"/>
      <c r="AD518" s="29"/>
      <c r="AE518" s="29"/>
      <c r="AF518" s="29"/>
      <c r="AG518" s="29"/>
    </row>
    <row r="519">
      <c r="A519" s="40" t="s">
        <v>1923</v>
      </c>
      <c r="B519" s="40" t="s">
        <v>697</v>
      </c>
      <c r="C519" s="44" t="s">
        <v>331</v>
      </c>
      <c r="D519" s="47" t="s">
        <v>60</v>
      </c>
      <c r="E519" s="40" t="s">
        <v>3020</v>
      </c>
      <c r="F519" s="40" t="s">
        <v>3024</v>
      </c>
      <c r="G519" s="53">
        <v>45937.0</v>
      </c>
      <c r="H519" s="53">
        <v>45944.0</v>
      </c>
      <c r="I519" s="63">
        <f>IFERROR(__xludf.DUMMYFUNCTION("IF(ISBLANK(H519), TODAY()-TO_DATE(G519), TO_DATE(H519)-TO_DATE(G519))+1"),8.0)</f>
        <v>8</v>
      </c>
      <c r="J519" s="40" t="s">
        <v>197</v>
      </c>
      <c r="K519" s="40" t="s">
        <v>3287</v>
      </c>
      <c r="L519" s="69" t="s">
        <v>3281</v>
      </c>
      <c r="M519" s="40" t="s">
        <v>4799</v>
      </c>
      <c r="N519" s="29"/>
      <c r="O519" s="29"/>
      <c r="P519" s="29"/>
      <c r="Q519" s="29"/>
      <c r="R519" s="29"/>
      <c r="S519" s="29"/>
      <c r="T519" s="29"/>
      <c r="U519" s="29"/>
      <c r="V519" s="29"/>
      <c r="W519" s="29"/>
      <c r="X519" s="29"/>
      <c r="Y519" s="29"/>
      <c r="Z519" s="29"/>
      <c r="AA519" s="29"/>
      <c r="AB519" s="29"/>
      <c r="AC519" s="29"/>
      <c r="AD519" s="29"/>
      <c r="AE519" s="29"/>
      <c r="AF519" s="29"/>
      <c r="AG519" s="29"/>
    </row>
    <row r="520">
      <c r="A520" s="40" t="s">
        <v>1923</v>
      </c>
      <c r="B520" s="40" t="s">
        <v>697</v>
      </c>
      <c r="C520" s="44" t="s">
        <v>331</v>
      </c>
      <c r="D520" s="47" t="s">
        <v>60</v>
      </c>
      <c r="E520" s="40" t="s">
        <v>3288</v>
      </c>
      <c r="F520" s="40" t="s">
        <v>3289</v>
      </c>
      <c r="G520" s="53">
        <v>45937.0</v>
      </c>
      <c r="H520" s="53">
        <v>45944.0</v>
      </c>
      <c r="I520" s="63">
        <f>IFERROR(__xludf.DUMMYFUNCTION("IF(ISBLANK(H520), TODAY()-TO_DATE(G520), TO_DATE(H520)-TO_DATE(G520))+1"),8.0)</f>
        <v>8</v>
      </c>
      <c r="J520" s="40" t="s">
        <v>197</v>
      </c>
      <c r="K520" s="40" t="s">
        <v>3291</v>
      </c>
      <c r="L520" s="69"/>
      <c r="M520" s="72"/>
      <c r="N520" s="29"/>
      <c r="O520" s="29"/>
      <c r="P520" s="29"/>
      <c r="Q520" s="29"/>
      <c r="R520" s="29"/>
      <c r="S520" s="29"/>
      <c r="T520" s="29"/>
      <c r="U520" s="29"/>
      <c r="V520" s="29"/>
      <c r="W520" s="29"/>
      <c r="X520" s="29"/>
      <c r="Y520" s="29"/>
      <c r="Z520" s="29"/>
      <c r="AA520" s="29"/>
      <c r="AB520" s="29"/>
      <c r="AC520" s="29"/>
      <c r="AD520" s="29"/>
      <c r="AE520" s="29"/>
      <c r="AF520" s="29"/>
      <c r="AG520" s="29"/>
    </row>
    <row r="521">
      <c r="A521" s="40" t="s">
        <v>1923</v>
      </c>
      <c r="B521" s="40" t="s">
        <v>697</v>
      </c>
      <c r="C521" s="44" t="s">
        <v>1924</v>
      </c>
      <c r="D521" s="47" t="s">
        <v>102</v>
      </c>
      <c r="E521" s="40" t="s">
        <v>2260</v>
      </c>
      <c r="F521" s="40" t="s">
        <v>334</v>
      </c>
      <c r="G521" s="53">
        <v>45937.0</v>
      </c>
      <c r="H521" s="53">
        <v>45944.0</v>
      </c>
      <c r="I521" s="63">
        <f>IFERROR(__xludf.DUMMYFUNCTION("IF(ISBLANK(H521), TODAY()-TO_DATE(G521), TO_DATE(H521)-TO_DATE(G521))+1"),8.0)</f>
        <v>8</v>
      </c>
      <c r="J521" s="40">
        <v>300.0</v>
      </c>
      <c r="K521" s="40" t="s">
        <v>5167</v>
      </c>
      <c r="L521" s="69" t="s">
        <v>5170</v>
      </c>
      <c r="M521" s="40" t="s">
        <v>5171</v>
      </c>
      <c r="N521" s="29"/>
      <c r="O521" s="29"/>
      <c r="P521" s="29"/>
      <c r="Q521" s="29"/>
      <c r="R521" s="29"/>
      <c r="S521" s="29"/>
      <c r="T521" s="29"/>
      <c r="U521" s="29"/>
      <c r="V521" s="29"/>
      <c r="W521" s="29"/>
      <c r="X521" s="29"/>
      <c r="Y521" s="29"/>
      <c r="Z521" s="29"/>
      <c r="AA521" s="29"/>
      <c r="AB521" s="29"/>
      <c r="AC521" s="29"/>
      <c r="AD521" s="29"/>
      <c r="AE521" s="29"/>
      <c r="AF521" s="29"/>
      <c r="AG521" s="29"/>
    </row>
    <row r="522">
      <c r="A522" s="540" t="s">
        <v>5177</v>
      </c>
      <c r="B522" s="541" t="s">
        <v>351</v>
      </c>
      <c r="C522" s="542" t="s">
        <v>331</v>
      </c>
      <c r="D522" s="281" t="s">
        <v>326</v>
      </c>
      <c r="E522" s="543" t="s">
        <v>5189</v>
      </c>
      <c r="F522" s="544" t="s">
        <v>1993</v>
      </c>
      <c r="G522" s="545">
        <v>45938.0</v>
      </c>
      <c r="H522" s="545">
        <v>45953.0</v>
      </c>
      <c r="I522" s="546">
        <f>IFERROR(__xludf.DUMMYFUNCTION("IF(ISBLANK(H522), TODAY()-TO_DATE(G522), TO_DATE(H522)-TO_DATE(G522))+1"),16.0)</f>
        <v>16</v>
      </c>
      <c r="J522" s="546">
        <v>500.0</v>
      </c>
      <c r="K522" s="540" t="s">
        <v>5199</v>
      </c>
      <c r="L522" s="544"/>
      <c r="M522" s="547"/>
      <c r="N522" s="548"/>
      <c r="O522" s="548"/>
      <c r="P522" s="548"/>
      <c r="Q522" s="548"/>
      <c r="R522" s="548"/>
      <c r="S522" s="548"/>
      <c r="T522" s="548"/>
      <c r="U522" s="548"/>
      <c r="V522" s="548"/>
      <c r="W522" s="548"/>
      <c r="X522" s="548"/>
      <c r="Y522" s="548"/>
      <c r="Z522" s="548"/>
      <c r="AA522" s="548"/>
      <c r="AB522" s="548"/>
      <c r="AC522" s="548"/>
      <c r="AD522" s="548"/>
      <c r="AE522" s="548"/>
      <c r="AF522" s="548"/>
      <c r="AG522" s="548"/>
    </row>
    <row r="523">
      <c r="A523" s="540" t="s">
        <v>5177</v>
      </c>
      <c r="B523" s="541" t="s">
        <v>351</v>
      </c>
      <c r="C523" s="550" t="s">
        <v>5212</v>
      </c>
      <c r="D523" s="551" t="s">
        <v>60</v>
      </c>
      <c r="E523" s="543" t="s">
        <v>448</v>
      </c>
      <c r="F523" s="551" t="s">
        <v>452</v>
      </c>
      <c r="G523" s="545">
        <v>45938.0</v>
      </c>
      <c r="H523" s="545">
        <v>45953.0</v>
      </c>
      <c r="I523" s="546">
        <f>IFERROR(__xludf.DUMMYFUNCTION("IF(ISBLANK(H523), TODAY()-TO_DATE(G523), TO_DATE(H523)-TO_DATE(G523))+1"),16.0)</f>
        <v>16</v>
      </c>
      <c r="J523" s="546">
        <v>500.0</v>
      </c>
      <c r="K523" s="540" t="s">
        <v>5221</v>
      </c>
      <c r="L523" s="544"/>
      <c r="M523" s="547"/>
      <c r="N523" s="548"/>
      <c r="O523" s="548"/>
      <c r="P523" s="548"/>
      <c r="Q523" s="548"/>
      <c r="R523" s="548"/>
      <c r="S523" s="548"/>
      <c r="T523" s="548"/>
      <c r="U523" s="548"/>
      <c r="V523" s="548"/>
      <c r="W523" s="548"/>
      <c r="X523" s="548"/>
      <c r="Y523" s="548"/>
      <c r="Z523" s="548"/>
      <c r="AA523" s="548"/>
      <c r="AB523" s="548"/>
      <c r="AC523" s="548"/>
      <c r="AD523" s="548"/>
      <c r="AE523" s="548"/>
      <c r="AF523" s="548"/>
      <c r="AG523" s="548"/>
    </row>
    <row r="524">
      <c r="A524" s="553" t="s">
        <v>5177</v>
      </c>
      <c r="B524" s="554" t="s">
        <v>423</v>
      </c>
      <c r="C524" s="555" t="s">
        <v>5231</v>
      </c>
      <c r="D524" s="556" t="s">
        <v>326</v>
      </c>
      <c r="E524" s="557" t="s">
        <v>3662</v>
      </c>
      <c r="F524" s="553" t="s">
        <v>3663</v>
      </c>
      <c r="G524" s="558">
        <v>45938.0</v>
      </c>
      <c r="H524" s="558">
        <v>45939.0</v>
      </c>
      <c r="I524" s="559">
        <f>IFERROR(__xludf.DUMMYFUNCTION("IF(ISBLANK(H524), TODAY()-TO_DATE(G524), TO_DATE(H524)-TO_DATE(G524))+1"),2.0)</f>
        <v>2</v>
      </c>
      <c r="J524" s="559">
        <v>300.0</v>
      </c>
      <c r="K524" s="561" t="s">
        <v>5246</v>
      </c>
      <c r="L524" s="562"/>
      <c r="M524" s="563"/>
      <c r="N524" s="564"/>
      <c r="O524" s="564"/>
      <c r="P524" s="564"/>
      <c r="Q524" s="564"/>
      <c r="R524" s="564"/>
      <c r="S524" s="564"/>
      <c r="T524" s="564"/>
      <c r="U524" s="564"/>
      <c r="V524" s="564"/>
      <c r="W524" s="564"/>
      <c r="X524" s="564"/>
      <c r="Y524" s="564"/>
      <c r="Z524" s="564"/>
      <c r="AA524" s="564"/>
      <c r="AB524" s="564"/>
      <c r="AC524" s="564"/>
      <c r="AD524" s="564"/>
      <c r="AE524" s="564"/>
      <c r="AF524" s="564"/>
      <c r="AG524" s="564"/>
    </row>
    <row r="525">
      <c r="A525" s="540" t="s">
        <v>5177</v>
      </c>
      <c r="B525" s="541" t="s">
        <v>351</v>
      </c>
      <c r="C525" s="550" t="s">
        <v>5256</v>
      </c>
      <c r="D525" s="551" t="s">
        <v>60</v>
      </c>
      <c r="E525" s="543" t="s">
        <v>469</v>
      </c>
      <c r="F525" s="540" t="s">
        <v>193</v>
      </c>
      <c r="G525" s="545">
        <v>45938.0</v>
      </c>
      <c r="H525" s="545">
        <v>45954.0</v>
      </c>
      <c r="I525" s="546">
        <f>IFERROR(__xludf.DUMMYFUNCTION("IF(ISBLANK(H525), TODAY()-TO_DATE(G525), TO_DATE(H525)-TO_DATE(G525))+1"),17.0)</f>
        <v>17</v>
      </c>
      <c r="J525" s="546">
        <v>500.0</v>
      </c>
      <c r="K525" s="540" t="s">
        <v>5263</v>
      </c>
      <c r="L525" s="544"/>
      <c r="M525" s="547"/>
      <c r="N525" s="548"/>
      <c r="O525" s="548"/>
      <c r="P525" s="548"/>
      <c r="Q525" s="548"/>
      <c r="R525" s="548"/>
      <c r="S525" s="548"/>
      <c r="T525" s="548"/>
      <c r="U525" s="548"/>
      <c r="V525" s="548"/>
      <c r="W525" s="548"/>
      <c r="X525" s="548"/>
      <c r="Y525" s="548"/>
      <c r="Z525" s="548"/>
      <c r="AA525" s="548"/>
      <c r="AB525" s="548"/>
      <c r="AC525" s="548"/>
      <c r="AD525" s="548"/>
      <c r="AE525" s="548"/>
      <c r="AF525" s="548"/>
      <c r="AG525" s="548"/>
    </row>
    <row r="526">
      <c r="A526" s="540" t="s">
        <v>5177</v>
      </c>
      <c r="B526" s="541" t="s">
        <v>351</v>
      </c>
      <c r="C526" s="550" t="s">
        <v>5270</v>
      </c>
      <c r="D526" s="551" t="s">
        <v>326</v>
      </c>
      <c r="E526" s="543" t="s">
        <v>482</v>
      </c>
      <c r="F526" s="540" t="s">
        <v>483</v>
      </c>
      <c r="G526" s="545">
        <v>45938.0</v>
      </c>
      <c r="H526" s="545">
        <v>45953.0</v>
      </c>
      <c r="I526" s="546">
        <f>IFERROR(__xludf.DUMMYFUNCTION("IF(ISBLANK(H526), TODAY()-TO_DATE(G526), TO_DATE(H526)-TO_DATE(G526))+1"),16.0)</f>
        <v>16</v>
      </c>
      <c r="J526" s="546">
        <v>500.0</v>
      </c>
      <c r="K526" s="540" t="s">
        <v>5274</v>
      </c>
      <c r="L526" s="544"/>
      <c r="M526" s="547"/>
      <c r="N526" s="548"/>
      <c r="O526" s="548"/>
      <c r="P526" s="548"/>
      <c r="Q526" s="548"/>
      <c r="R526" s="548"/>
      <c r="S526" s="548"/>
      <c r="T526" s="548"/>
      <c r="U526" s="548"/>
      <c r="V526" s="548"/>
      <c r="W526" s="548"/>
      <c r="X526" s="548"/>
      <c r="Y526" s="548"/>
      <c r="Z526" s="548"/>
      <c r="AA526" s="548"/>
      <c r="AB526" s="548"/>
      <c r="AC526" s="548"/>
      <c r="AD526" s="548"/>
      <c r="AE526" s="548"/>
      <c r="AF526" s="548"/>
      <c r="AG526" s="548"/>
    </row>
    <row r="527">
      <c r="A527" s="540" t="s">
        <v>5177</v>
      </c>
      <c r="B527" s="541" t="s">
        <v>351</v>
      </c>
      <c r="C527" s="550" t="s">
        <v>5281</v>
      </c>
      <c r="D527" s="551" t="s">
        <v>60</v>
      </c>
      <c r="E527" s="543" t="s">
        <v>525</v>
      </c>
      <c r="F527" s="540" t="s">
        <v>529</v>
      </c>
      <c r="G527" s="545">
        <v>45938.0</v>
      </c>
      <c r="H527" s="545">
        <v>45953.0</v>
      </c>
      <c r="I527" s="546">
        <f>IFERROR(__xludf.DUMMYFUNCTION("IF(ISBLANK(H527), TODAY()-TO_DATE(G527), TO_DATE(H527)-TO_DATE(G527))+1"),16.0)</f>
        <v>16</v>
      </c>
      <c r="J527" s="546">
        <v>500.0</v>
      </c>
      <c r="K527" s="540" t="s">
        <v>5288</v>
      </c>
      <c r="L527" s="544"/>
      <c r="M527" s="547"/>
      <c r="N527" s="548"/>
      <c r="O527" s="548"/>
      <c r="P527" s="548"/>
      <c r="Q527" s="548"/>
      <c r="R527" s="548"/>
      <c r="S527" s="548"/>
      <c r="T527" s="548"/>
      <c r="U527" s="548"/>
      <c r="V527" s="548"/>
      <c r="W527" s="548"/>
      <c r="X527" s="548"/>
      <c r="Y527" s="548"/>
      <c r="Z527" s="548"/>
      <c r="AA527" s="548"/>
      <c r="AB527" s="548"/>
      <c r="AC527" s="548"/>
      <c r="AD527" s="548"/>
      <c r="AE527" s="548"/>
      <c r="AF527" s="548"/>
      <c r="AG527" s="548"/>
    </row>
    <row r="528">
      <c r="A528" s="566" t="s">
        <v>5177</v>
      </c>
      <c r="B528" s="567" t="s">
        <v>423</v>
      </c>
      <c r="C528" s="568" t="s">
        <v>5299</v>
      </c>
      <c r="D528" s="569" t="s">
        <v>60</v>
      </c>
      <c r="E528" s="570" t="s">
        <v>280</v>
      </c>
      <c r="F528" s="566" t="s">
        <v>282</v>
      </c>
      <c r="G528" s="571">
        <v>45938.0</v>
      </c>
      <c r="H528" s="571">
        <v>45939.0</v>
      </c>
      <c r="I528" s="573">
        <f>IFERROR(__xludf.DUMMYFUNCTION("IF(ISBLANK(H528), TODAY()-TO_DATE(G528), TO_DATE(H528)-TO_DATE(G528))+1"),2.0)</f>
        <v>2</v>
      </c>
      <c r="J528" s="573" t="s">
        <v>136</v>
      </c>
      <c r="K528" s="561" t="s">
        <v>5308</v>
      </c>
      <c r="L528" s="575"/>
      <c r="M528" s="575" t="s">
        <v>5311</v>
      </c>
      <c r="N528" s="576"/>
      <c r="O528" s="576"/>
      <c r="P528" s="576"/>
      <c r="Q528" s="576"/>
      <c r="R528" s="576"/>
      <c r="S528" s="576"/>
      <c r="T528" s="576"/>
      <c r="U528" s="576"/>
      <c r="V528" s="576"/>
      <c r="W528" s="576"/>
      <c r="X528" s="576"/>
      <c r="Y528" s="576"/>
      <c r="Z528" s="576"/>
      <c r="AA528" s="576"/>
      <c r="AB528" s="576"/>
      <c r="AC528" s="576"/>
      <c r="AD528" s="576"/>
      <c r="AE528" s="576"/>
      <c r="AF528" s="576"/>
      <c r="AG528" s="576"/>
    </row>
    <row r="529">
      <c r="A529" s="566" t="s">
        <v>5177</v>
      </c>
      <c r="B529" s="567" t="s">
        <v>423</v>
      </c>
      <c r="C529" s="568" t="s">
        <v>5316</v>
      </c>
      <c r="D529" s="569" t="s">
        <v>60</v>
      </c>
      <c r="E529" s="570" t="s">
        <v>305</v>
      </c>
      <c r="F529" s="566" t="s">
        <v>308</v>
      </c>
      <c r="G529" s="571">
        <v>45938.0</v>
      </c>
      <c r="H529" s="571">
        <v>45939.0</v>
      </c>
      <c r="I529" s="573">
        <f>IFERROR(__xludf.DUMMYFUNCTION("IF(ISBLANK(H529), TODAY()-TO_DATE(G529), TO_DATE(H529)-TO_DATE(G529))+1"),2.0)</f>
        <v>2</v>
      </c>
      <c r="J529" s="573" t="s">
        <v>136</v>
      </c>
      <c r="K529" s="561" t="s">
        <v>5322</v>
      </c>
      <c r="L529" s="575"/>
      <c r="M529" s="575" t="s">
        <v>5311</v>
      </c>
      <c r="N529" s="576"/>
      <c r="O529" s="576"/>
      <c r="P529" s="576"/>
      <c r="Q529" s="576"/>
      <c r="R529" s="576"/>
      <c r="S529" s="576"/>
      <c r="T529" s="576"/>
      <c r="U529" s="576"/>
      <c r="V529" s="576"/>
      <c r="W529" s="576"/>
      <c r="X529" s="576"/>
      <c r="Y529" s="576"/>
      <c r="Z529" s="576"/>
      <c r="AA529" s="576"/>
      <c r="AB529" s="576"/>
      <c r="AC529" s="576"/>
      <c r="AD529" s="576"/>
      <c r="AE529" s="576"/>
      <c r="AF529" s="576"/>
      <c r="AG529" s="576"/>
    </row>
    <row r="530">
      <c r="A530" s="580" t="s">
        <v>5177</v>
      </c>
      <c r="B530" s="581" t="s">
        <v>423</v>
      </c>
      <c r="C530" s="582" t="s">
        <v>5333</v>
      </c>
      <c r="D530" s="583" t="s">
        <v>60</v>
      </c>
      <c r="E530" s="585" t="s">
        <v>338</v>
      </c>
      <c r="F530" s="580" t="s">
        <v>341</v>
      </c>
      <c r="G530" s="586">
        <v>45938.0</v>
      </c>
      <c r="H530" s="586">
        <v>45938.0</v>
      </c>
      <c r="I530" s="587">
        <f>IFERROR(__xludf.DUMMYFUNCTION("IF(ISBLANK(H530), TODAY()-TO_DATE(G530), TO_DATE(H530)-TO_DATE(G530))+1"),1.0)</f>
        <v>1</v>
      </c>
      <c r="J530" s="587">
        <v>200.0</v>
      </c>
      <c r="K530" s="580" t="s">
        <v>5349</v>
      </c>
      <c r="L530" s="588"/>
      <c r="M530" s="589"/>
      <c r="N530" s="590"/>
      <c r="O530" s="590"/>
      <c r="P530" s="590"/>
      <c r="Q530" s="590"/>
      <c r="R530" s="590"/>
      <c r="S530" s="590"/>
      <c r="T530" s="590"/>
      <c r="U530" s="590"/>
      <c r="V530" s="590"/>
      <c r="W530" s="590"/>
      <c r="X530" s="590"/>
      <c r="Y530" s="590"/>
      <c r="Z530" s="590"/>
      <c r="AA530" s="590"/>
      <c r="AB530" s="590"/>
      <c r="AC530" s="590"/>
      <c r="AD530" s="590"/>
      <c r="AE530" s="590"/>
      <c r="AF530" s="590"/>
      <c r="AG530" s="590"/>
    </row>
    <row r="531">
      <c r="A531" s="553" t="s">
        <v>5177</v>
      </c>
      <c r="B531" s="554" t="s">
        <v>423</v>
      </c>
      <c r="C531" s="591" t="s">
        <v>5360</v>
      </c>
      <c r="D531" s="592" t="s">
        <v>60</v>
      </c>
      <c r="E531" s="553" t="s">
        <v>2419</v>
      </c>
      <c r="F531" s="553" t="s">
        <v>483</v>
      </c>
      <c r="G531" s="558">
        <v>45938.0</v>
      </c>
      <c r="H531" s="593">
        <v>45939.0</v>
      </c>
      <c r="I531" s="559">
        <f>IFERROR(__xludf.DUMMYFUNCTION("IF(ISBLANK(H531), TODAY()-TO_DATE(G531), TO_DATE(H531)-TO_DATE(G531))+1"),2.0)</f>
        <v>2</v>
      </c>
      <c r="J531" s="559">
        <v>300.0</v>
      </c>
      <c r="K531" s="561" t="s">
        <v>5371</v>
      </c>
      <c r="L531" s="562"/>
      <c r="M531" s="563"/>
      <c r="N531" s="564"/>
      <c r="O531" s="564"/>
      <c r="P531" s="564"/>
      <c r="Q531" s="564"/>
      <c r="R531" s="564"/>
      <c r="S531" s="564"/>
      <c r="T531" s="564"/>
      <c r="U531" s="564"/>
      <c r="V531" s="564"/>
      <c r="W531" s="564"/>
      <c r="X531" s="564"/>
      <c r="Y531" s="564"/>
      <c r="Z531" s="564"/>
      <c r="AA531" s="564"/>
      <c r="AB531" s="564"/>
      <c r="AC531" s="564"/>
      <c r="AD531" s="564"/>
      <c r="AE531" s="564"/>
      <c r="AF531" s="564"/>
      <c r="AG531" s="564"/>
    </row>
    <row r="532">
      <c r="A532" s="540" t="s">
        <v>5177</v>
      </c>
      <c r="B532" s="541" t="s">
        <v>351</v>
      </c>
      <c r="C532" s="550" t="s">
        <v>5376</v>
      </c>
      <c r="D532" s="551" t="s">
        <v>60</v>
      </c>
      <c r="E532" s="543" t="s">
        <v>629</v>
      </c>
      <c r="F532" s="540" t="s">
        <v>631</v>
      </c>
      <c r="G532" s="545">
        <v>45938.0</v>
      </c>
      <c r="H532" s="545">
        <v>45954.0</v>
      </c>
      <c r="I532" s="546">
        <f>IFERROR(__xludf.DUMMYFUNCTION("IF(ISBLANK(H532), TODAY()-TO_DATE(G532), TO_DATE(H532)-TO_DATE(G532))+1"),17.0)</f>
        <v>17</v>
      </c>
      <c r="J532" s="546">
        <v>500.0</v>
      </c>
      <c r="K532" s="540" t="s">
        <v>5383</v>
      </c>
      <c r="L532" s="544"/>
      <c r="M532" s="547"/>
      <c r="N532" s="548"/>
      <c r="O532" s="548"/>
      <c r="P532" s="548"/>
      <c r="Q532" s="548"/>
      <c r="R532" s="548"/>
      <c r="S532" s="548"/>
      <c r="T532" s="548"/>
      <c r="U532" s="548"/>
      <c r="V532" s="548"/>
      <c r="W532" s="548"/>
      <c r="X532" s="548"/>
      <c r="Y532" s="548"/>
      <c r="Z532" s="548"/>
      <c r="AA532" s="548"/>
      <c r="AB532" s="548"/>
      <c r="AC532" s="548"/>
      <c r="AD532" s="548"/>
      <c r="AE532" s="548"/>
      <c r="AF532" s="548"/>
      <c r="AG532" s="548"/>
    </row>
    <row r="533">
      <c r="A533" s="566" t="s">
        <v>5177</v>
      </c>
      <c r="B533" s="567" t="s">
        <v>423</v>
      </c>
      <c r="C533" s="596" t="s">
        <v>5389</v>
      </c>
      <c r="D533" s="569" t="s">
        <v>60</v>
      </c>
      <c r="E533" s="570" t="s">
        <v>5392</v>
      </c>
      <c r="F533" s="566" t="s">
        <v>5394</v>
      </c>
      <c r="G533" s="571">
        <v>45938.0</v>
      </c>
      <c r="H533" s="571">
        <v>45946.0</v>
      </c>
      <c r="I533" s="573">
        <f>IFERROR(__xludf.DUMMYFUNCTION("IF(ISBLANK(H533), TODAY()-TO_DATE(G533), TO_DATE(H533)-TO_DATE(G533))+1"),9.0)</f>
        <v>9</v>
      </c>
      <c r="J533" s="573" t="s">
        <v>136</v>
      </c>
      <c r="K533" s="566" t="s">
        <v>4181</v>
      </c>
      <c r="L533" s="575"/>
      <c r="M533" s="597"/>
      <c r="N533" s="576"/>
      <c r="O533" s="576"/>
      <c r="P533" s="576"/>
      <c r="Q533" s="576"/>
      <c r="R533" s="576"/>
      <c r="S533" s="576"/>
      <c r="T533" s="576"/>
      <c r="U533" s="576"/>
      <c r="V533" s="576"/>
      <c r="W533" s="576"/>
      <c r="X533" s="576"/>
      <c r="Y533" s="576"/>
      <c r="Z533" s="576"/>
      <c r="AA533" s="576"/>
      <c r="AB533" s="576"/>
      <c r="AC533" s="576"/>
      <c r="AD533" s="576"/>
      <c r="AE533" s="576"/>
      <c r="AF533" s="576"/>
      <c r="AG533" s="576"/>
    </row>
    <row r="534">
      <c r="A534" s="540" t="s">
        <v>5177</v>
      </c>
      <c r="B534" s="541" t="s">
        <v>351</v>
      </c>
      <c r="C534" s="550" t="s">
        <v>5405</v>
      </c>
      <c r="D534" s="551" t="s">
        <v>60</v>
      </c>
      <c r="E534" s="543" t="s">
        <v>497</v>
      </c>
      <c r="F534" s="540" t="s">
        <v>501</v>
      </c>
      <c r="G534" s="545">
        <v>45939.0</v>
      </c>
      <c r="H534" s="545">
        <v>45951.0</v>
      </c>
      <c r="I534" s="546">
        <f>IFERROR(__xludf.DUMMYFUNCTION("IF(ISBLANK(H534), TODAY()-TO_DATE(G534), TO_DATE(H534)-TO_DATE(G534))+1"),13.0)</f>
        <v>13</v>
      </c>
      <c r="J534" s="546">
        <v>500.0</v>
      </c>
      <c r="K534" s="540" t="s">
        <v>5410</v>
      </c>
      <c r="L534" s="544"/>
      <c r="M534" s="547"/>
      <c r="N534" s="548"/>
      <c r="O534" s="548"/>
      <c r="P534" s="548"/>
      <c r="Q534" s="548"/>
      <c r="R534" s="548"/>
      <c r="S534" s="548"/>
      <c r="T534" s="548"/>
      <c r="U534" s="548"/>
      <c r="V534" s="548"/>
      <c r="W534" s="548"/>
      <c r="X534" s="548"/>
      <c r="Y534" s="548"/>
      <c r="Z534" s="548"/>
      <c r="AA534" s="548"/>
      <c r="AB534" s="548"/>
      <c r="AC534" s="548"/>
      <c r="AD534" s="548"/>
      <c r="AE534" s="548"/>
      <c r="AF534" s="548"/>
      <c r="AG534" s="548"/>
    </row>
    <row r="535">
      <c r="A535" s="540" t="s">
        <v>5177</v>
      </c>
      <c r="B535" s="541" t="s">
        <v>351</v>
      </c>
      <c r="C535" s="550" t="s">
        <v>5416</v>
      </c>
      <c r="D535" s="551" t="s">
        <v>60</v>
      </c>
      <c r="E535" s="543" t="s">
        <v>539</v>
      </c>
      <c r="F535" s="599" t="s">
        <v>540</v>
      </c>
      <c r="G535" s="545">
        <v>45939.0</v>
      </c>
      <c r="H535" s="545">
        <v>45951.0</v>
      </c>
      <c r="I535" s="546">
        <f>IFERROR(__xludf.DUMMYFUNCTION("IF(ISBLANK(H535), TODAY()-TO_DATE(G535), TO_DATE(H535)-TO_DATE(G535))+1"),13.0)</f>
        <v>13</v>
      </c>
      <c r="J535" s="546">
        <v>500.0</v>
      </c>
      <c r="K535" s="540" t="s">
        <v>4172</v>
      </c>
      <c r="L535" s="544"/>
      <c r="M535" s="547"/>
      <c r="N535" s="548"/>
      <c r="O535" s="548"/>
      <c r="P535" s="548"/>
      <c r="Q535" s="548"/>
      <c r="R535" s="548"/>
      <c r="S535" s="548"/>
      <c r="T535" s="548"/>
      <c r="U535" s="548"/>
      <c r="V535" s="548"/>
      <c r="W535" s="548"/>
      <c r="X535" s="548"/>
      <c r="Y535" s="548"/>
      <c r="Z535" s="548"/>
      <c r="AA535" s="548"/>
      <c r="AB535" s="548"/>
      <c r="AC535" s="548"/>
      <c r="AD535" s="548"/>
      <c r="AE535" s="548"/>
      <c r="AF535" s="548"/>
      <c r="AG535" s="548"/>
    </row>
    <row r="536">
      <c r="A536" s="553" t="s">
        <v>5177</v>
      </c>
      <c r="B536" s="554" t="s">
        <v>351</v>
      </c>
      <c r="C536" s="601" t="s">
        <v>5427</v>
      </c>
      <c r="D536" s="556" t="s">
        <v>60</v>
      </c>
      <c r="E536" s="557" t="s">
        <v>5432</v>
      </c>
      <c r="F536" s="553" t="s">
        <v>5433</v>
      </c>
      <c r="G536" s="558">
        <v>45939.0</v>
      </c>
      <c r="H536" s="558">
        <v>45964.0</v>
      </c>
      <c r="I536" s="559">
        <f>IFERROR(__xludf.DUMMYFUNCTION("IF(ISBLANK(H536), TODAY()-TO_DATE(G536), TO_DATE(H536)-TO_DATE(G536))+1"),26.0)</f>
        <v>26</v>
      </c>
      <c r="J536" s="559">
        <v>300.0</v>
      </c>
      <c r="K536" s="553" t="s">
        <v>5436</v>
      </c>
      <c r="L536" s="562"/>
      <c r="M536" s="563"/>
      <c r="N536" s="564"/>
      <c r="O536" s="564"/>
      <c r="P536" s="564"/>
      <c r="Q536" s="564"/>
      <c r="R536" s="564"/>
      <c r="S536" s="564"/>
      <c r="T536" s="564"/>
      <c r="U536" s="564"/>
      <c r="V536" s="564"/>
      <c r="W536" s="564"/>
      <c r="X536" s="564"/>
      <c r="Y536" s="564"/>
      <c r="Z536" s="564"/>
      <c r="AA536" s="564"/>
      <c r="AB536" s="564"/>
      <c r="AC536" s="564"/>
      <c r="AD536" s="564"/>
      <c r="AE536" s="564"/>
      <c r="AF536" s="564"/>
      <c r="AG536" s="564"/>
    </row>
    <row r="537">
      <c r="A537" s="540" t="s">
        <v>5177</v>
      </c>
      <c r="B537" s="541" t="s">
        <v>351</v>
      </c>
      <c r="C537" s="550" t="s">
        <v>5439</v>
      </c>
      <c r="D537" s="551" t="s">
        <v>60</v>
      </c>
      <c r="E537" s="543" t="s">
        <v>568</v>
      </c>
      <c r="F537" s="540" t="s">
        <v>569</v>
      </c>
      <c r="G537" s="545">
        <v>45939.0</v>
      </c>
      <c r="H537" s="545">
        <v>45951.0</v>
      </c>
      <c r="I537" s="546">
        <f>IFERROR(__xludf.DUMMYFUNCTION("IF(ISBLANK(H537), TODAY()-TO_DATE(G537), TO_DATE(H537)-TO_DATE(G537))+1"),13.0)</f>
        <v>13</v>
      </c>
      <c r="J537" s="546">
        <v>500.0</v>
      </c>
      <c r="K537" s="540" t="s">
        <v>5444</v>
      </c>
      <c r="L537" s="544"/>
      <c r="M537" s="547"/>
      <c r="N537" s="548"/>
      <c r="O537" s="548"/>
      <c r="P537" s="548"/>
      <c r="Q537" s="548"/>
      <c r="R537" s="548"/>
      <c r="S537" s="548"/>
      <c r="T537" s="548"/>
      <c r="U537" s="548"/>
      <c r="V537" s="548"/>
      <c r="W537" s="548"/>
      <c r="X537" s="548"/>
      <c r="Y537" s="548"/>
      <c r="Z537" s="548"/>
      <c r="AA537" s="548"/>
      <c r="AB537" s="548"/>
      <c r="AC537" s="548"/>
      <c r="AD537" s="548"/>
      <c r="AE537" s="548"/>
      <c r="AF537" s="548"/>
      <c r="AG537" s="548"/>
    </row>
    <row r="538">
      <c r="A538" s="540" t="s">
        <v>5177</v>
      </c>
      <c r="B538" s="541" t="s">
        <v>351</v>
      </c>
      <c r="C538" s="550" t="s">
        <v>5448</v>
      </c>
      <c r="D538" s="551" t="s">
        <v>60</v>
      </c>
      <c r="E538" s="543" t="s">
        <v>552</v>
      </c>
      <c r="F538" s="540">
        <v>37.0</v>
      </c>
      <c r="G538" s="545">
        <v>45939.0</v>
      </c>
      <c r="H538" s="545">
        <v>45951.0</v>
      </c>
      <c r="I538" s="546">
        <f>IFERROR(__xludf.DUMMYFUNCTION("IF(ISBLANK(H538), TODAY()-TO_DATE(G538), TO_DATE(H538)-TO_DATE(G538))+1"),13.0)</f>
        <v>13</v>
      </c>
      <c r="J538" s="546">
        <v>500.0</v>
      </c>
      <c r="K538" s="540" t="s">
        <v>5453</v>
      </c>
      <c r="L538" s="544"/>
      <c r="M538" s="547"/>
      <c r="N538" s="548"/>
      <c r="O538" s="548"/>
      <c r="P538" s="548"/>
      <c r="Q538" s="548"/>
      <c r="R538" s="548"/>
      <c r="S538" s="548"/>
      <c r="T538" s="548"/>
      <c r="U538" s="548"/>
      <c r="V538" s="548"/>
      <c r="W538" s="548"/>
      <c r="X538" s="548"/>
      <c r="Y538" s="548"/>
      <c r="Z538" s="548"/>
      <c r="AA538" s="548"/>
      <c r="AB538" s="548"/>
      <c r="AC538" s="548"/>
      <c r="AD538" s="548"/>
      <c r="AE538" s="548"/>
      <c r="AF538" s="548"/>
      <c r="AG538" s="548"/>
    </row>
    <row r="539">
      <c r="A539" s="540" t="s">
        <v>5177</v>
      </c>
      <c r="B539" s="541" t="s">
        <v>351</v>
      </c>
      <c r="C539" s="550" t="s">
        <v>5459</v>
      </c>
      <c r="D539" s="551" t="s">
        <v>610</v>
      </c>
      <c r="E539" s="543" t="s">
        <v>612</v>
      </c>
      <c r="F539" s="540" t="s">
        <v>613</v>
      </c>
      <c r="G539" s="545">
        <v>45939.0</v>
      </c>
      <c r="H539" s="605">
        <v>45966.0</v>
      </c>
      <c r="I539" s="546">
        <f>IFERROR(__xludf.DUMMYFUNCTION("IF(ISBLANK(H539), TODAY()-TO_DATE(G539), TO_DATE(H539)-TO_DATE(G539))+1"),28.0)</f>
        <v>28</v>
      </c>
      <c r="J539" s="546">
        <v>500.0</v>
      </c>
      <c r="K539" s="561" t="s">
        <v>5467</v>
      </c>
      <c r="L539" s="544"/>
      <c r="M539" s="547"/>
      <c r="N539" s="548"/>
      <c r="O539" s="548"/>
      <c r="P539" s="548"/>
      <c r="Q539" s="548"/>
      <c r="R539" s="548"/>
      <c r="S539" s="548"/>
      <c r="T539" s="548"/>
      <c r="U539" s="548"/>
      <c r="V539" s="548"/>
      <c r="W539" s="548"/>
      <c r="X539" s="548"/>
      <c r="Y539" s="548"/>
      <c r="Z539" s="548"/>
      <c r="AA539" s="548"/>
      <c r="AB539" s="548"/>
      <c r="AC539" s="548"/>
      <c r="AD539" s="548"/>
      <c r="AE539" s="548"/>
      <c r="AF539" s="548"/>
      <c r="AG539" s="548"/>
    </row>
    <row r="540">
      <c r="A540" s="27" t="s">
        <v>1032</v>
      </c>
      <c r="B540" s="40" t="s">
        <v>697</v>
      </c>
      <c r="C540" s="251" t="s">
        <v>331</v>
      </c>
      <c r="D540" s="47" t="s">
        <v>60</v>
      </c>
      <c r="E540" s="27" t="s">
        <v>2392</v>
      </c>
      <c r="F540" s="27" t="s">
        <v>2394</v>
      </c>
      <c r="G540" s="253">
        <v>45940.0</v>
      </c>
      <c r="H540" s="523">
        <v>45956.0</v>
      </c>
      <c r="I540" s="47">
        <f>IFERROR(__xludf.DUMMYFUNCTION("IF(ISBLANK(H540), TODAY()-TO_DATE(G540), TO_DATE(H540)-TO_DATE(G540))+1"),17.0)</f>
        <v>17</v>
      </c>
      <c r="J540" s="47" t="s">
        <v>197</v>
      </c>
      <c r="K540" s="47" t="s">
        <v>5475</v>
      </c>
      <c r="L540" s="47" t="s">
        <v>5476</v>
      </c>
      <c r="M540" s="27"/>
      <c r="N540" s="29"/>
      <c r="O540" s="29"/>
      <c r="P540" s="29"/>
      <c r="Q540" s="29"/>
      <c r="R540" s="29"/>
      <c r="S540" s="29"/>
      <c r="T540" s="29"/>
      <c r="U540" s="29"/>
      <c r="V540" s="29"/>
      <c r="W540" s="29"/>
      <c r="X540" s="29"/>
      <c r="Y540" s="29"/>
      <c r="Z540" s="29"/>
      <c r="AA540" s="29"/>
      <c r="AB540" s="29"/>
      <c r="AC540" s="29"/>
      <c r="AD540" s="29"/>
      <c r="AE540" s="29"/>
      <c r="AF540" s="29"/>
      <c r="AG540" s="29"/>
    </row>
    <row r="541">
      <c r="A541" s="27" t="s">
        <v>2451</v>
      </c>
      <c r="B541" s="40" t="s">
        <v>697</v>
      </c>
      <c r="C541" s="251" t="s">
        <v>213</v>
      </c>
      <c r="D541" s="47" t="s">
        <v>60</v>
      </c>
      <c r="E541" s="27" t="s">
        <v>5483</v>
      </c>
      <c r="F541" s="27" t="s">
        <v>310</v>
      </c>
      <c r="G541" s="253">
        <v>45940.0</v>
      </c>
      <c r="H541" s="253">
        <v>45956.0</v>
      </c>
      <c r="I541" s="47">
        <f>IFERROR(__xludf.DUMMYFUNCTION("IF(ISBLANK(H541), TODAY()-TO_DATE(G541), TO_DATE(H541)-TO_DATE(G541))+1"),17.0)</f>
        <v>17</v>
      </c>
      <c r="J541" s="47">
        <v>300.0</v>
      </c>
      <c r="K541" s="47" t="s">
        <v>5486</v>
      </c>
      <c r="L541" s="47" t="s">
        <v>5487</v>
      </c>
      <c r="M541" s="27"/>
      <c r="N541" s="29"/>
      <c r="O541" s="29"/>
      <c r="P541" s="29"/>
      <c r="Q541" s="29"/>
      <c r="R541" s="29"/>
      <c r="S541" s="29"/>
      <c r="T541" s="29"/>
      <c r="U541" s="29"/>
      <c r="V541" s="29"/>
      <c r="W541" s="29"/>
      <c r="X541" s="29"/>
      <c r="Y541" s="29"/>
      <c r="Z541" s="29"/>
      <c r="AA541" s="29"/>
      <c r="AB541" s="29"/>
      <c r="AC541" s="29"/>
      <c r="AD541" s="29"/>
      <c r="AE541" s="29"/>
      <c r="AF541" s="29"/>
      <c r="AG541" s="29"/>
    </row>
    <row r="542">
      <c r="A542" s="27" t="s">
        <v>2451</v>
      </c>
      <c r="B542" s="40" t="s">
        <v>697</v>
      </c>
      <c r="C542" s="251" t="s">
        <v>213</v>
      </c>
      <c r="D542" s="47" t="s">
        <v>60</v>
      </c>
      <c r="E542" s="27" t="s">
        <v>5492</v>
      </c>
      <c r="F542" s="27" t="s">
        <v>5494</v>
      </c>
      <c r="G542" s="253">
        <v>45940.0</v>
      </c>
      <c r="H542" s="253">
        <v>45956.0</v>
      </c>
      <c r="I542" s="47">
        <f>IFERROR(__xludf.DUMMYFUNCTION("IF(ISBLANK(H542), TODAY()-TO_DATE(G542), TO_DATE(H542)-TO_DATE(G542))+1"),17.0)</f>
        <v>17</v>
      </c>
      <c r="J542" s="47">
        <v>200.0</v>
      </c>
      <c r="K542" s="47" t="s">
        <v>5497</v>
      </c>
      <c r="L542" s="47" t="s">
        <v>5498</v>
      </c>
      <c r="M542" s="27"/>
      <c r="N542" s="29"/>
      <c r="O542" s="29"/>
      <c r="P542" s="29"/>
      <c r="Q542" s="29"/>
      <c r="R542" s="29"/>
      <c r="S542" s="29"/>
      <c r="T542" s="29"/>
      <c r="U542" s="29"/>
      <c r="V542" s="29"/>
      <c r="W542" s="29"/>
      <c r="X542" s="29"/>
      <c r="Y542" s="29"/>
      <c r="Z542" s="29"/>
      <c r="AA542" s="29"/>
      <c r="AB542" s="29"/>
      <c r="AC542" s="29"/>
      <c r="AD542" s="29"/>
      <c r="AE542" s="29"/>
      <c r="AF542" s="29"/>
      <c r="AG542" s="29"/>
    </row>
    <row r="543">
      <c r="A543" s="27" t="s">
        <v>1032</v>
      </c>
      <c r="B543" s="40" t="s">
        <v>697</v>
      </c>
      <c r="C543" s="251" t="s">
        <v>178</v>
      </c>
      <c r="D543" s="47" t="s">
        <v>360</v>
      </c>
      <c r="E543" s="27" t="s">
        <v>5506</v>
      </c>
      <c r="F543" s="27" t="s">
        <v>5507</v>
      </c>
      <c r="G543" s="253">
        <v>45940.0</v>
      </c>
      <c r="H543" s="253">
        <v>45956.0</v>
      </c>
      <c r="I543" s="47">
        <f>IFERROR(__xludf.DUMMYFUNCTION("IF(ISBLANK(H543), TODAY()-TO_DATE(G543), TO_DATE(H543)-TO_DATE(G543))+1"),17.0)</f>
        <v>17</v>
      </c>
      <c r="J543" s="47">
        <v>300.0</v>
      </c>
      <c r="K543" s="47" t="s">
        <v>5512</v>
      </c>
      <c r="L543" s="47" t="s">
        <v>5513</v>
      </c>
      <c r="M543" s="27"/>
      <c r="N543" s="29"/>
      <c r="O543" s="29"/>
      <c r="P543" s="29"/>
      <c r="Q543" s="29"/>
      <c r="R543" s="29"/>
      <c r="S543" s="29"/>
      <c r="T543" s="29"/>
      <c r="U543" s="29"/>
      <c r="V543" s="29"/>
      <c r="W543" s="29"/>
      <c r="X543" s="29"/>
      <c r="Y543" s="29"/>
      <c r="Z543" s="29"/>
      <c r="AA543" s="29"/>
      <c r="AB543" s="29"/>
      <c r="AC543" s="29"/>
      <c r="AD543" s="29"/>
      <c r="AE543" s="29"/>
      <c r="AF543" s="29"/>
      <c r="AG543" s="29"/>
    </row>
    <row r="544">
      <c r="A544" s="540" t="s">
        <v>5177</v>
      </c>
      <c r="B544" s="541" t="s">
        <v>423</v>
      </c>
      <c r="C544" s="542" t="s">
        <v>58</v>
      </c>
      <c r="D544" s="281" t="s">
        <v>60</v>
      </c>
      <c r="E544" s="540" t="s">
        <v>5517</v>
      </c>
      <c r="F544" s="540" t="s">
        <v>5518</v>
      </c>
      <c r="G544" s="545">
        <v>45942.0</v>
      </c>
      <c r="H544" s="545">
        <v>45957.0</v>
      </c>
      <c r="I544" s="546">
        <f>IFERROR(__xludf.DUMMYFUNCTION("IF(ISBLANK(H544), TODAY()-TO_DATE(G544), TO_DATE(H544)-TO_DATE(G544))+1"),16.0)</f>
        <v>16</v>
      </c>
      <c r="J544" s="546">
        <v>500.0</v>
      </c>
      <c r="K544" s="540" t="s">
        <v>3441</v>
      </c>
      <c r="L544" s="544" t="s">
        <v>5521</v>
      </c>
      <c r="M544" s="547"/>
      <c r="N544" s="548"/>
      <c r="O544" s="548"/>
      <c r="P544" s="548"/>
      <c r="Q544" s="548"/>
      <c r="R544" s="548"/>
      <c r="S544" s="548"/>
      <c r="T544" s="548"/>
      <c r="U544" s="548"/>
      <c r="V544" s="548"/>
      <c r="W544" s="548"/>
      <c r="X544" s="548"/>
      <c r="Y544" s="548"/>
      <c r="Z544" s="548"/>
      <c r="AA544" s="548"/>
      <c r="AB544" s="548"/>
      <c r="AC544" s="548"/>
      <c r="AD544" s="548"/>
      <c r="AE544" s="548"/>
      <c r="AF544" s="548"/>
      <c r="AG544" s="548"/>
    </row>
    <row r="545">
      <c r="A545" s="553" t="s">
        <v>5177</v>
      </c>
      <c r="B545" s="554" t="s">
        <v>423</v>
      </c>
      <c r="C545" s="591" t="s">
        <v>212</v>
      </c>
      <c r="D545" s="592" t="s">
        <v>60</v>
      </c>
      <c r="E545" s="553" t="s">
        <v>5528</v>
      </c>
      <c r="F545" s="553" t="s">
        <v>1391</v>
      </c>
      <c r="G545" s="558">
        <v>45942.0</v>
      </c>
      <c r="H545" s="608">
        <v>45954.0</v>
      </c>
      <c r="I545" s="559">
        <f>IFERROR(__xludf.DUMMYFUNCTION("IF(ISBLANK(H545), TODAY()-TO_DATE(G545), TO_DATE(H545)-TO_DATE(G545))+1"),13.0)</f>
        <v>13</v>
      </c>
      <c r="J545" s="559">
        <v>300.0</v>
      </c>
      <c r="K545" s="609" t="s">
        <v>5539</v>
      </c>
      <c r="L545" s="562" t="s">
        <v>5541</v>
      </c>
      <c r="M545" s="563"/>
      <c r="N545" s="564"/>
      <c r="O545" s="564"/>
      <c r="P545" s="564"/>
      <c r="Q545" s="564"/>
      <c r="R545" s="564"/>
      <c r="S545" s="564"/>
      <c r="T545" s="564"/>
      <c r="U545" s="564"/>
      <c r="V545" s="564"/>
      <c r="W545" s="564"/>
      <c r="X545" s="564"/>
      <c r="Y545" s="564"/>
      <c r="Z545" s="564"/>
      <c r="AA545" s="564"/>
      <c r="AB545" s="564"/>
      <c r="AC545" s="564"/>
      <c r="AD545" s="564"/>
      <c r="AE545" s="564"/>
      <c r="AF545" s="564"/>
      <c r="AG545" s="564"/>
    </row>
    <row r="546">
      <c r="A546" s="540" t="s">
        <v>5177</v>
      </c>
      <c r="B546" s="541" t="s">
        <v>423</v>
      </c>
      <c r="C546" s="610" t="s">
        <v>212</v>
      </c>
      <c r="D546" s="281" t="s">
        <v>60</v>
      </c>
      <c r="E546" s="540" t="s">
        <v>5545</v>
      </c>
      <c r="F546" s="540" t="s">
        <v>2068</v>
      </c>
      <c r="G546" s="545">
        <v>45942.0</v>
      </c>
      <c r="H546" s="545">
        <v>45947.0</v>
      </c>
      <c r="I546" s="546">
        <f>IFERROR(__xludf.DUMMYFUNCTION("IF(ISBLANK(H546), TODAY()-TO_DATE(G546), TO_DATE(H546)-TO_DATE(G546))+1"),6.0)</f>
        <v>6</v>
      </c>
      <c r="J546" s="546">
        <v>500.0</v>
      </c>
      <c r="K546" s="540" t="s">
        <v>5549</v>
      </c>
      <c r="L546" s="611"/>
      <c r="M546" s="547"/>
      <c r="N546" s="548"/>
      <c r="O546" s="548"/>
      <c r="P546" s="548"/>
      <c r="Q546" s="548"/>
      <c r="R546" s="548"/>
      <c r="S546" s="548"/>
      <c r="T546" s="548"/>
      <c r="U546" s="548"/>
      <c r="V546" s="548"/>
      <c r="W546" s="548"/>
      <c r="X546" s="548"/>
      <c r="Y546" s="548"/>
      <c r="Z546" s="548"/>
      <c r="AA546" s="548"/>
      <c r="AB546" s="548"/>
      <c r="AC546" s="548"/>
      <c r="AD546" s="548"/>
      <c r="AE546" s="548"/>
      <c r="AF546" s="548"/>
      <c r="AG546" s="548"/>
    </row>
    <row r="547">
      <c r="A547" s="553" t="s">
        <v>5177</v>
      </c>
      <c r="B547" s="554" t="s">
        <v>423</v>
      </c>
      <c r="C547" s="613" t="s">
        <v>331</v>
      </c>
      <c r="D547" s="592" t="s">
        <v>656</v>
      </c>
      <c r="E547" s="553" t="s">
        <v>5558</v>
      </c>
      <c r="F547" s="553" t="s">
        <v>5559</v>
      </c>
      <c r="G547" s="558">
        <v>45942.0</v>
      </c>
      <c r="H547" s="608">
        <v>45954.0</v>
      </c>
      <c r="I547" s="559">
        <f>IFERROR(__xludf.DUMMYFUNCTION("IF(ISBLANK(H547), TODAY()-TO_DATE(G547), TO_DATE(H547)-TO_DATE(G547))+1"),13.0)</f>
        <v>13</v>
      </c>
      <c r="J547" s="559">
        <v>300.0</v>
      </c>
      <c r="K547" s="561" t="s">
        <v>5564</v>
      </c>
      <c r="L547" s="615"/>
      <c r="M547" s="553"/>
      <c r="N547" s="564"/>
      <c r="O547" s="564"/>
      <c r="P547" s="564"/>
      <c r="Q547" s="564"/>
      <c r="R547" s="564"/>
      <c r="S547" s="564"/>
      <c r="T547" s="564"/>
      <c r="U547" s="564"/>
      <c r="V547" s="564"/>
      <c r="W547" s="564"/>
      <c r="X547" s="564"/>
      <c r="Y547" s="564"/>
      <c r="Z547" s="564"/>
      <c r="AA547" s="564"/>
      <c r="AB547" s="564"/>
      <c r="AC547" s="564"/>
      <c r="AD547" s="564"/>
      <c r="AE547" s="564"/>
      <c r="AF547" s="564"/>
      <c r="AG547" s="564"/>
    </row>
    <row r="548">
      <c r="A548" s="553" t="s">
        <v>5177</v>
      </c>
      <c r="B548" s="554" t="s">
        <v>423</v>
      </c>
      <c r="C548" s="591" t="s">
        <v>58</v>
      </c>
      <c r="D548" s="592" t="s">
        <v>60</v>
      </c>
      <c r="E548" s="553" t="s">
        <v>5570</v>
      </c>
      <c r="F548" s="553" t="s">
        <v>5571</v>
      </c>
      <c r="G548" s="558">
        <v>45942.0</v>
      </c>
      <c r="H548" s="608">
        <v>45960.0</v>
      </c>
      <c r="I548" s="559">
        <f>IFERROR(__xludf.DUMMYFUNCTION("IF(ISBLANK(H548), TODAY()-TO_DATE(G548), TO_DATE(H548)-TO_DATE(G548))+1"),19.0)</f>
        <v>19</v>
      </c>
      <c r="J548" s="559">
        <v>300.0</v>
      </c>
      <c r="K548" s="553" t="s">
        <v>5576</v>
      </c>
      <c r="L548" s="562" t="s">
        <v>5578</v>
      </c>
      <c r="M548" s="563"/>
      <c r="N548" s="564"/>
      <c r="O548" s="564"/>
      <c r="P548" s="564"/>
      <c r="Q548" s="564"/>
      <c r="R548" s="564"/>
      <c r="S548" s="564"/>
      <c r="T548" s="564"/>
      <c r="U548" s="564"/>
      <c r="V548" s="564"/>
      <c r="W548" s="564"/>
      <c r="X548" s="564"/>
      <c r="Y548" s="564"/>
      <c r="Z548" s="564"/>
      <c r="AA548" s="564"/>
      <c r="AB548" s="564"/>
      <c r="AC548" s="564"/>
      <c r="AD548" s="564"/>
      <c r="AE548" s="564"/>
      <c r="AF548" s="564"/>
      <c r="AG548" s="564"/>
    </row>
    <row r="549">
      <c r="A549" s="540" t="s">
        <v>5177</v>
      </c>
      <c r="B549" s="541" t="s">
        <v>423</v>
      </c>
      <c r="C549" s="542" t="s">
        <v>213</v>
      </c>
      <c r="D549" s="281" t="s">
        <v>60</v>
      </c>
      <c r="E549" s="540" t="s">
        <v>5583</v>
      </c>
      <c r="F549" s="540" t="s">
        <v>5584</v>
      </c>
      <c r="G549" s="545">
        <v>45942.0</v>
      </c>
      <c r="H549" s="545">
        <v>45957.0</v>
      </c>
      <c r="I549" s="546">
        <f>IFERROR(__xludf.DUMMYFUNCTION("IF(ISBLANK(H549), TODAY()-TO_DATE(G549), TO_DATE(H549)-TO_DATE(G549))+1"),16.0)</f>
        <v>16</v>
      </c>
      <c r="J549" s="546">
        <v>500.0</v>
      </c>
      <c r="K549" s="540" t="s">
        <v>5586</v>
      </c>
      <c r="L549" s="544" t="s">
        <v>5587</v>
      </c>
      <c r="M549" s="547"/>
      <c r="N549" s="548"/>
      <c r="O549" s="548"/>
      <c r="P549" s="548"/>
      <c r="Q549" s="548"/>
      <c r="R549" s="548"/>
      <c r="S549" s="548"/>
      <c r="T549" s="548"/>
      <c r="U549" s="548"/>
      <c r="V549" s="548"/>
      <c r="W549" s="548"/>
      <c r="X549" s="548"/>
      <c r="Y549" s="548"/>
      <c r="Z549" s="548"/>
      <c r="AA549" s="548"/>
      <c r="AB549" s="548"/>
      <c r="AC549" s="548"/>
      <c r="AD549" s="548"/>
      <c r="AE549" s="548"/>
      <c r="AF549" s="548"/>
      <c r="AG549" s="548"/>
    </row>
    <row r="550">
      <c r="A550" s="540" t="s">
        <v>5177</v>
      </c>
      <c r="B550" s="541" t="s">
        <v>423</v>
      </c>
      <c r="C550" s="542" t="s">
        <v>58</v>
      </c>
      <c r="D550" s="281" t="s">
        <v>60</v>
      </c>
      <c r="E550" s="540" t="s">
        <v>5594</v>
      </c>
      <c r="F550" s="540" t="s">
        <v>5595</v>
      </c>
      <c r="G550" s="545">
        <v>45942.0</v>
      </c>
      <c r="H550" s="616">
        <v>45958.0</v>
      </c>
      <c r="I550" s="546">
        <f>IFERROR(__xludf.DUMMYFUNCTION("IF(ISBLANK(H550), TODAY()-TO_DATE(G550), TO_DATE(H550)-TO_DATE(G550))+1"),17.0)</f>
        <v>17</v>
      </c>
      <c r="J550" s="546">
        <v>500.0</v>
      </c>
      <c r="K550" s="540" t="s">
        <v>5601</v>
      </c>
      <c r="L550" s="611"/>
      <c r="M550" s="547"/>
      <c r="N550" s="548"/>
      <c r="O550" s="548"/>
      <c r="P550" s="548"/>
      <c r="Q550" s="548"/>
      <c r="R550" s="548"/>
      <c r="S550" s="548"/>
      <c r="T550" s="548"/>
      <c r="U550" s="548"/>
      <c r="V550" s="548"/>
      <c r="W550" s="548"/>
      <c r="X550" s="548"/>
      <c r="Y550" s="548"/>
      <c r="Z550" s="548"/>
      <c r="AA550" s="548"/>
      <c r="AB550" s="548"/>
      <c r="AC550" s="548"/>
      <c r="AD550" s="548"/>
      <c r="AE550" s="548"/>
      <c r="AF550" s="548"/>
      <c r="AG550" s="548"/>
    </row>
    <row r="551">
      <c r="A551" s="540" t="s">
        <v>5177</v>
      </c>
      <c r="B551" s="541" t="s">
        <v>423</v>
      </c>
      <c r="C551" s="542" t="s">
        <v>201</v>
      </c>
      <c r="D551" s="281" t="s">
        <v>60</v>
      </c>
      <c r="E551" s="540" t="s">
        <v>5603</v>
      </c>
      <c r="F551" s="540" t="s">
        <v>5604</v>
      </c>
      <c r="G551" s="545">
        <v>45942.0</v>
      </c>
      <c r="H551" s="616">
        <v>45956.0</v>
      </c>
      <c r="I551" s="546">
        <f>IFERROR(__xludf.DUMMYFUNCTION("IF(ISBLANK(H551), TODAY()-TO_DATE(G551), TO_DATE(H551)-TO_DATE(G551))+1"),15.0)</f>
        <v>15</v>
      </c>
      <c r="J551" s="546">
        <v>500.0</v>
      </c>
      <c r="K551" s="540" t="s">
        <v>5564</v>
      </c>
      <c r="L551" s="611"/>
      <c r="M551" s="540" t="s">
        <v>5607</v>
      </c>
      <c r="N551" s="548"/>
      <c r="O551" s="548"/>
      <c r="P551" s="548"/>
      <c r="Q551" s="548"/>
      <c r="R551" s="548"/>
      <c r="S551" s="548"/>
      <c r="T551" s="548"/>
      <c r="U551" s="548"/>
      <c r="V551" s="548"/>
      <c r="W551" s="548"/>
      <c r="X551" s="548"/>
      <c r="Y551" s="548"/>
      <c r="Z551" s="548"/>
      <c r="AA551" s="548"/>
      <c r="AB551" s="548"/>
      <c r="AC551" s="548"/>
      <c r="AD551" s="548"/>
      <c r="AE551" s="548"/>
      <c r="AF551" s="548"/>
      <c r="AG551" s="548"/>
    </row>
    <row r="552">
      <c r="A552" s="27" t="s">
        <v>2451</v>
      </c>
      <c r="B552" s="40" t="s">
        <v>697</v>
      </c>
      <c r="C552" s="529" t="s">
        <v>302</v>
      </c>
      <c r="D552" s="47" t="s">
        <v>60</v>
      </c>
      <c r="E552" s="76" t="s">
        <v>2796</v>
      </c>
      <c r="F552" s="76" t="s">
        <v>3640</v>
      </c>
      <c r="G552" s="523">
        <v>45942.0</v>
      </c>
      <c r="H552" s="523">
        <v>45952.0</v>
      </c>
      <c r="I552" s="47">
        <f>IFERROR(__xludf.DUMMYFUNCTION("IF(ISBLANK(H552), TODAY()-TO_DATE(G552), TO_DATE(H552)-TO_DATE(G552))+1"),11.0)</f>
        <v>11</v>
      </c>
      <c r="J552" s="47" t="s">
        <v>197</v>
      </c>
      <c r="K552" s="76" t="s">
        <v>5616</v>
      </c>
      <c r="L552" s="85" t="s">
        <v>3194</v>
      </c>
      <c r="M552" s="76" t="s">
        <v>5620</v>
      </c>
      <c r="N552" s="29"/>
      <c r="O552" s="29"/>
      <c r="P552" s="29"/>
      <c r="Q552" s="29"/>
      <c r="R552" s="29"/>
      <c r="S552" s="29"/>
      <c r="T552" s="29"/>
      <c r="U552" s="29"/>
      <c r="V552" s="29"/>
      <c r="W552" s="29"/>
      <c r="X552" s="29"/>
      <c r="Y552" s="29"/>
      <c r="Z552" s="29"/>
      <c r="AA552" s="29"/>
      <c r="AB552" s="29"/>
      <c r="AC552" s="29"/>
      <c r="AD552" s="29"/>
      <c r="AE552" s="29"/>
      <c r="AF552" s="29"/>
      <c r="AG552" s="29"/>
    </row>
    <row r="553">
      <c r="A553" s="27" t="s">
        <v>2451</v>
      </c>
      <c r="B553" s="40" t="s">
        <v>697</v>
      </c>
      <c r="C553" s="373" t="s">
        <v>331</v>
      </c>
      <c r="D553" s="47" t="s">
        <v>60</v>
      </c>
      <c r="E553" s="76" t="s">
        <v>3315</v>
      </c>
      <c r="F553" s="76" t="s">
        <v>3316</v>
      </c>
      <c r="G553" s="523">
        <v>45942.0</v>
      </c>
      <c r="H553" s="523">
        <v>45952.0</v>
      </c>
      <c r="I553" s="47">
        <f>IFERROR(__xludf.DUMMYFUNCTION("IF(ISBLANK(H553), TODAY()-TO_DATE(G553), TO_DATE(H553)-TO_DATE(G553))+1"),11.0)</f>
        <v>11</v>
      </c>
      <c r="J553" s="47" t="s">
        <v>197</v>
      </c>
      <c r="K553" s="76" t="s">
        <v>5625</v>
      </c>
      <c r="L553" s="85" t="s">
        <v>5626</v>
      </c>
      <c r="M553" s="76" t="s">
        <v>5620</v>
      </c>
      <c r="N553" s="29"/>
      <c r="O553" s="29"/>
      <c r="P553" s="29"/>
      <c r="Q553" s="29"/>
      <c r="R553" s="29"/>
      <c r="S553" s="29"/>
      <c r="T553" s="29"/>
      <c r="U553" s="29"/>
      <c r="V553" s="29"/>
      <c r="W553" s="29"/>
      <c r="X553" s="29"/>
      <c r="Y553" s="29"/>
      <c r="Z553" s="29"/>
      <c r="AA553" s="29"/>
      <c r="AB553" s="29"/>
      <c r="AC553" s="29"/>
      <c r="AD553" s="29"/>
      <c r="AE553" s="29"/>
      <c r="AF553" s="29"/>
      <c r="AG553" s="29"/>
    </row>
    <row r="554">
      <c r="A554" s="76" t="s">
        <v>1032</v>
      </c>
      <c r="B554" s="40" t="s">
        <v>697</v>
      </c>
      <c r="C554" s="373" t="s">
        <v>58</v>
      </c>
      <c r="D554" s="47" t="s">
        <v>60</v>
      </c>
      <c r="E554" s="76" t="s">
        <v>1837</v>
      </c>
      <c r="F554" s="76" t="s">
        <v>1838</v>
      </c>
      <c r="G554" s="523">
        <v>45943.0</v>
      </c>
      <c r="H554" s="523">
        <v>45958.0</v>
      </c>
      <c r="I554" s="47">
        <f>IFERROR(__xludf.DUMMYFUNCTION("IF(ISBLANK(H554), TODAY()-TO_DATE(G554), TO_DATE(H554)-TO_DATE(G554))+1"),16.0)</f>
        <v>16</v>
      </c>
      <c r="J554" s="47" t="s">
        <v>197</v>
      </c>
      <c r="K554" s="76" t="s">
        <v>5632</v>
      </c>
      <c r="L554" s="195"/>
      <c r="M554" s="189"/>
      <c r="N554" s="29"/>
      <c r="O554" s="29"/>
      <c r="P554" s="29"/>
      <c r="Q554" s="29"/>
      <c r="R554" s="29"/>
      <c r="S554" s="29"/>
      <c r="T554" s="29"/>
      <c r="U554" s="29"/>
      <c r="V554" s="29"/>
      <c r="W554" s="29"/>
      <c r="X554" s="29"/>
      <c r="Y554" s="29"/>
      <c r="Z554" s="29"/>
      <c r="AA554" s="29"/>
      <c r="AB554" s="29"/>
      <c r="AC554" s="29"/>
      <c r="AD554" s="29"/>
      <c r="AE554" s="29"/>
      <c r="AF554" s="29"/>
      <c r="AG554" s="29"/>
    </row>
    <row r="555">
      <c r="A555" s="240" t="s">
        <v>1923</v>
      </c>
      <c r="B555" s="240" t="s">
        <v>697</v>
      </c>
      <c r="C555" s="373" t="s">
        <v>1924</v>
      </c>
      <c r="D555" s="85" t="s">
        <v>102</v>
      </c>
      <c r="E555" s="240" t="s">
        <v>176</v>
      </c>
      <c r="F555" s="240" t="s">
        <v>177</v>
      </c>
      <c r="G555" s="493">
        <v>45944.0</v>
      </c>
      <c r="H555" s="493">
        <v>45950.0</v>
      </c>
      <c r="I555" s="63">
        <f>IFERROR(__xludf.DUMMYFUNCTION("IF(ISBLANK(H555), TODAY()-TO_DATE(G555), TO_DATE(H555)-TO_DATE(G555))+1"),7.0)</f>
        <v>7</v>
      </c>
      <c r="J555" s="40" t="s">
        <v>197</v>
      </c>
      <c r="K555" s="321" t="s">
        <v>4451</v>
      </c>
      <c r="L555" s="321" t="s">
        <v>5170</v>
      </c>
      <c r="M555" s="240" t="s">
        <v>5643</v>
      </c>
      <c r="N555" s="29"/>
      <c r="O555" s="29"/>
      <c r="P555" s="29"/>
      <c r="Q555" s="29"/>
      <c r="R555" s="29"/>
      <c r="S555" s="29"/>
      <c r="T555" s="29"/>
      <c r="U555" s="29"/>
      <c r="V555" s="29"/>
      <c r="W555" s="29"/>
      <c r="X555" s="29"/>
      <c r="Y555" s="29"/>
      <c r="Z555" s="29"/>
      <c r="AA555" s="29"/>
      <c r="AB555" s="29"/>
      <c r="AC555" s="29"/>
      <c r="AD555" s="29"/>
      <c r="AE555" s="29"/>
      <c r="AF555" s="29"/>
      <c r="AG555" s="29"/>
    </row>
    <row r="556">
      <c r="A556" s="240" t="s">
        <v>1923</v>
      </c>
      <c r="B556" s="240" t="s">
        <v>697</v>
      </c>
      <c r="C556" s="373" t="s">
        <v>201</v>
      </c>
      <c r="D556" s="85" t="s">
        <v>60</v>
      </c>
      <c r="E556" s="240" t="s">
        <v>2245</v>
      </c>
      <c r="F556" s="240" t="s">
        <v>2246</v>
      </c>
      <c r="G556" s="493">
        <v>45944.0</v>
      </c>
      <c r="H556" s="493">
        <v>45950.0</v>
      </c>
      <c r="I556" s="63">
        <f>IFERROR(__xludf.DUMMYFUNCTION("IF(ISBLANK(H556), TODAY()-TO_DATE(G556), TO_DATE(H556)-TO_DATE(G556))+1"),7.0)</f>
        <v>7</v>
      </c>
      <c r="J556" s="40" t="s">
        <v>197</v>
      </c>
      <c r="K556" s="321" t="s">
        <v>2249</v>
      </c>
      <c r="L556" s="321" t="s">
        <v>3281</v>
      </c>
      <c r="M556" s="63" t="s">
        <v>4786</v>
      </c>
      <c r="N556" s="29"/>
      <c r="O556" s="29"/>
      <c r="P556" s="29"/>
      <c r="Q556" s="29"/>
      <c r="R556" s="29"/>
      <c r="S556" s="29"/>
      <c r="T556" s="29"/>
      <c r="U556" s="29"/>
      <c r="V556" s="29"/>
      <c r="W556" s="29"/>
      <c r="X556" s="29"/>
      <c r="Y556" s="29"/>
      <c r="Z556" s="29"/>
      <c r="AA556" s="29"/>
      <c r="AB556" s="29"/>
      <c r="AC556" s="29"/>
      <c r="AD556" s="29"/>
      <c r="AE556" s="29"/>
      <c r="AF556" s="29"/>
      <c r="AG556" s="29"/>
    </row>
    <row r="557">
      <c r="A557" s="240" t="s">
        <v>1923</v>
      </c>
      <c r="B557" s="240" t="s">
        <v>697</v>
      </c>
      <c r="C557" s="373" t="s">
        <v>1466</v>
      </c>
      <c r="D557" s="85" t="s">
        <v>60</v>
      </c>
      <c r="E557" s="86" t="s">
        <v>117</v>
      </c>
      <c r="F557" s="240" t="s">
        <v>118</v>
      </c>
      <c r="G557" s="493">
        <v>45944.0</v>
      </c>
      <c r="H557" s="493">
        <v>45950.0</v>
      </c>
      <c r="I557" s="63">
        <f>IFERROR(__xludf.DUMMYFUNCTION("IF(ISBLANK(H557), TODAY()-TO_DATE(G557), TO_DATE(H557)-TO_DATE(G557))+1"),7.0)</f>
        <v>7</v>
      </c>
      <c r="J557" s="40" t="s">
        <v>197</v>
      </c>
      <c r="K557" s="321" t="s">
        <v>5658</v>
      </c>
      <c r="L557" s="321" t="s">
        <v>3292</v>
      </c>
      <c r="M557" s="63" t="s">
        <v>4799</v>
      </c>
      <c r="N557" s="29"/>
      <c r="O557" s="29"/>
      <c r="P557" s="29"/>
      <c r="Q557" s="29"/>
      <c r="R557" s="29"/>
      <c r="S557" s="29"/>
      <c r="T557" s="29"/>
      <c r="U557" s="29"/>
      <c r="V557" s="29"/>
      <c r="W557" s="29"/>
      <c r="X557" s="29"/>
      <c r="Y557" s="29"/>
      <c r="Z557" s="29"/>
      <c r="AA557" s="29"/>
      <c r="AB557" s="29"/>
      <c r="AC557" s="29"/>
      <c r="AD557" s="29"/>
      <c r="AE557" s="29"/>
      <c r="AF557" s="29"/>
      <c r="AG557" s="29"/>
    </row>
    <row r="558">
      <c r="A558" s="240" t="s">
        <v>1923</v>
      </c>
      <c r="B558" s="240" t="s">
        <v>697</v>
      </c>
      <c r="C558" s="373" t="s">
        <v>331</v>
      </c>
      <c r="D558" s="85" t="s">
        <v>60</v>
      </c>
      <c r="E558" s="240" t="s">
        <v>2856</v>
      </c>
      <c r="F558" s="240" t="s">
        <v>2857</v>
      </c>
      <c r="G558" s="493">
        <v>45944.0</v>
      </c>
      <c r="H558" s="493">
        <v>45950.0</v>
      </c>
      <c r="I558" s="63">
        <f>IFERROR(__xludf.DUMMYFUNCTION("IF(ISBLANK(H558), TODAY()-TO_DATE(G558), TO_DATE(H558)-TO_DATE(G558))+1"),7.0)</f>
        <v>7</v>
      </c>
      <c r="J558" s="40" t="s">
        <v>197</v>
      </c>
      <c r="K558" s="321" t="s">
        <v>3557</v>
      </c>
      <c r="L558" s="321" t="s">
        <v>2264</v>
      </c>
      <c r="M558" s="507" t="s">
        <v>4812</v>
      </c>
      <c r="N558" s="29"/>
      <c r="O558" s="29"/>
      <c r="P558" s="29"/>
      <c r="Q558" s="29"/>
      <c r="R558" s="29"/>
      <c r="S558" s="29"/>
      <c r="T558" s="29"/>
      <c r="U558" s="29"/>
      <c r="V558" s="29"/>
      <c r="W558" s="29"/>
      <c r="X558" s="29"/>
      <c r="Y558" s="29"/>
      <c r="Z558" s="29"/>
      <c r="AA558" s="29"/>
      <c r="AB558" s="29"/>
      <c r="AC558" s="29"/>
      <c r="AD558" s="29"/>
      <c r="AE558" s="29"/>
      <c r="AF558" s="29"/>
      <c r="AG558" s="29"/>
    </row>
    <row r="559">
      <c r="A559" s="580" t="s">
        <v>5677</v>
      </c>
      <c r="B559" s="581" t="s">
        <v>5678</v>
      </c>
      <c r="C559" s="620" t="s">
        <v>5281</v>
      </c>
      <c r="D559" s="621" t="s">
        <v>60</v>
      </c>
      <c r="E559" s="580" t="s">
        <v>5686</v>
      </c>
      <c r="F559" s="580" t="s">
        <v>5690</v>
      </c>
      <c r="G559" s="586">
        <v>45944.0</v>
      </c>
      <c r="H559" s="586">
        <v>45949.0</v>
      </c>
      <c r="I559" s="589">
        <f>IFERROR(__xludf.DUMMYFUNCTION("IF(ISBLANK(H559), TODAY()-TO_DATE(G559), TO_DATE(H559)-TO_DATE(G559))+1"),6.0)</f>
        <v>6</v>
      </c>
      <c r="J559" s="623">
        <v>200.0</v>
      </c>
      <c r="K559" s="624" t="s">
        <v>5699</v>
      </c>
      <c r="L559" s="588" t="s">
        <v>5701</v>
      </c>
      <c r="M559" s="624" t="s">
        <v>5703</v>
      </c>
      <c r="N559" s="590"/>
      <c r="O559" s="590"/>
      <c r="P559" s="590"/>
      <c r="Q559" s="590"/>
      <c r="R559" s="590"/>
      <c r="S559" s="590"/>
      <c r="T559" s="590"/>
      <c r="U559" s="590"/>
      <c r="V559" s="590"/>
      <c r="W559" s="590"/>
      <c r="X559" s="590"/>
      <c r="Y559" s="590"/>
      <c r="Z559" s="590"/>
      <c r="AA559" s="590"/>
      <c r="AB559" s="590"/>
      <c r="AC559" s="590"/>
      <c r="AD559" s="590"/>
      <c r="AE559" s="590"/>
      <c r="AF559" s="590"/>
      <c r="AG559" s="590"/>
    </row>
    <row r="560">
      <c r="A560" s="240" t="s">
        <v>5677</v>
      </c>
      <c r="B560" s="231" t="s">
        <v>5678</v>
      </c>
      <c r="C560" s="373" t="s">
        <v>331</v>
      </c>
      <c r="D560" s="85" t="s">
        <v>60</v>
      </c>
      <c r="E560" s="240" t="s">
        <v>5715</v>
      </c>
      <c r="F560" s="240" t="s">
        <v>3406</v>
      </c>
      <c r="G560" s="493">
        <v>45944.0</v>
      </c>
      <c r="H560" s="493">
        <v>45962.0</v>
      </c>
      <c r="I560" s="63">
        <f>IFERROR(__xludf.DUMMYFUNCTION("IF(ISBLANK(H560), TODAY()-TO_DATE(G560), TO_DATE(H560)-TO_DATE(G560))+1"),19.0)</f>
        <v>19</v>
      </c>
      <c r="J560" s="40" t="s">
        <v>197</v>
      </c>
      <c r="K560" s="321" t="s">
        <v>5725</v>
      </c>
      <c r="L560" s="321"/>
      <c r="M560" s="507"/>
      <c r="N560" s="29"/>
      <c r="O560" s="29"/>
      <c r="P560" s="29"/>
      <c r="Q560" s="29"/>
      <c r="R560" s="29"/>
      <c r="S560" s="29"/>
      <c r="T560" s="29"/>
      <c r="U560" s="29"/>
      <c r="V560" s="29"/>
      <c r="W560" s="29"/>
      <c r="X560" s="29"/>
      <c r="Y560" s="29"/>
      <c r="Z560" s="29"/>
      <c r="AA560" s="29"/>
      <c r="AB560" s="29"/>
      <c r="AC560" s="29"/>
      <c r="AD560" s="29"/>
      <c r="AE560" s="29"/>
      <c r="AF560" s="29"/>
      <c r="AG560" s="29"/>
    </row>
    <row r="561">
      <c r="A561" s="553" t="s">
        <v>5677</v>
      </c>
      <c r="B561" s="554" t="s">
        <v>5678</v>
      </c>
      <c r="C561" s="601" t="s">
        <v>201</v>
      </c>
      <c r="D561" s="563" t="s">
        <v>60</v>
      </c>
      <c r="E561" s="627" t="s">
        <v>5735</v>
      </c>
      <c r="F561" s="615" t="s">
        <v>5032</v>
      </c>
      <c r="G561" s="558">
        <v>45944.0</v>
      </c>
      <c r="H561" s="558">
        <v>45950.0</v>
      </c>
      <c r="I561" s="563">
        <f>IFERROR(__xludf.DUMMYFUNCTION("IF(ISBLANK(H561), TODAY()-TO_DATE(G561), TO_DATE(H561)-TO_DATE(G561))+1"),7.0)</f>
        <v>7</v>
      </c>
      <c r="J561" s="628">
        <v>300.0</v>
      </c>
      <c r="K561" s="624" t="s">
        <v>5749</v>
      </c>
      <c r="L561" s="615"/>
      <c r="M561" s="563"/>
      <c r="N561" s="564"/>
      <c r="O561" s="564"/>
      <c r="P561" s="564"/>
      <c r="Q561" s="564"/>
      <c r="R561" s="564"/>
      <c r="S561" s="564"/>
      <c r="T561" s="564"/>
      <c r="U561" s="564"/>
      <c r="V561" s="564"/>
      <c r="W561" s="564"/>
      <c r="X561" s="564"/>
      <c r="Y561" s="564"/>
      <c r="Z561" s="564"/>
      <c r="AA561" s="564"/>
      <c r="AB561" s="564"/>
      <c r="AC561" s="564"/>
      <c r="AD561" s="564"/>
      <c r="AE561" s="564"/>
      <c r="AF561" s="564"/>
      <c r="AG561" s="564"/>
    </row>
    <row r="562">
      <c r="A562" s="553" t="s">
        <v>5677</v>
      </c>
      <c r="B562" s="554" t="s">
        <v>5678</v>
      </c>
      <c r="C562" s="629" t="s">
        <v>1753</v>
      </c>
      <c r="D562" s="118" t="s">
        <v>60</v>
      </c>
      <c r="E562" s="553" t="s">
        <v>5761</v>
      </c>
      <c r="F562" s="553" t="s">
        <v>3204</v>
      </c>
      <c r="G562" s="558">
        <v>45944.0</v>
      </c>
      <c r="H562" s="558">
        <v>45962.0</v>
      </c>
      <c r="I562" s="563">
        <f>IFERROR(__xludf.DUMMYFUNCTION("IF(ISBLANK(H562), TODAY()-TO_DATE(G562), TO_DATE(H562)-TO_DATE(G562))+1"),19.0)</f>
        <v>19</v>
      </c>
      <c r="J562" s="628">
        <v>300.0</v>
      </c>
      <c r="K562" s="624" t="s">
        <v>5768</v>
      </c>
      <c r="L562" s="562"/>
      <c r="M562" s="615"/>
      <c r="N562" s="564"/>
      <c r="O562" s="564"/>
      <c r="P562" s="564"/>
      <c r="Q562" s="564"/>
      <c r="R562" s="564"/>
      <c r="S562" s="564"/>
      <c r="T562" s="564"/>
      <c r="U562" s="564"/>
      <c r="V562" s="564"/>
      <c r="W562" s="564"/>
      <c r="X562" s="564"/>
      <c r="Y562" s="564"/>
      <c r="Z562" s="564"/>
      <c r="AA562" s="564"/>
      <c r="AB562" s="564"/>
      <c r="AC562" s="564"/>
      <c r="AD562" s="564"/>
      <c r="AE562" s="564"/>
      <c r="AF562" s="564"/>
      <c r="AG562" s="564"/>
    </row>
    <row r="563">
      <c r="A563" s="553" t="s">
        <v>5677</v>
      </c>
      <c r="B563" s="554" t="s">
        <v>5678</v>
      </c>
      <c r="C563" s="601" t="s">
        <v>394</v>
      </c>
      <c r="D563" s="563" t="s">
        <v>60</v>
      </c>
      <c r="E563" s="630" t="s">
        <v>395</v>
      </c>
      <c r="F563" s="615" t="s">
        <v>310</v>
      </c>
      <c r="G563" s="558">
        <v>45945.0</v>
      </c>
      <c r="H563" s="558">
        <v>45947.0</v>
      </c>
      <c r="I563" s="563">
        <f>IFERROR(__xludf.DUMMYFUNCTION("IF(ISBLANK(H563), TODAY()-TO_DATE(G563), TO_DATE(H563)-TO_DATE(G563))+1"),3.0)</f>
        <v>3</v>
      </c>
      <c r="J563" s="628">
        <v>300.0</v>
      </c>
      <c r="K563" s="624" t="s">
        <v>5773</v>
      </c>
      <c r="L563" s="615"/>
      <c r="M563" s="553"/>
      <c r="N563" s="564"/>
      <c r="O563" s="564"/>
      <c r="P563" s="564"/>
      <c r="Q563" s="564"/>
      <c r="R563" s="564"/>
      <c r="S563" s="564"/>
      <c r="T563" s="564"/>
      <c r="U563" s="564"/>
      <c r="V563" s="564"/>
      <c r="W563" s="564"/>
      <c r="X563" s="564"/>
      <c r="Y563" s="564"/>
      <c r="Z563" s="564"/>
      <c r="AA563" s="564"/>
      <c r="AB563" s="564"/>
      <c r="AC563" s="564"/>
      <c r="AD563" s="564"/>
      <c r="AE563" s="564"/>
      <c r="AF563" s="564"/>
      <c r="AG563" s="564"/>
    </row>
    <row r="564">
      <c r="A564" s="240" t="s">
        <v>5677</v>
      </c>
      <c r="B564" s="231" t="s">
        <v>5678</v>
      </c>
      <c r="C564" s="407" t="s">
        <v>1753</v>
      </c>
      <c r="D564" s="63" t="s">
        <v>60</v>
      </c>
      <c r="E564" s="631" t="s">
        <v>5778</v>
      </c>
      <c r="F564" s="507" t="s">
        <v>5782</v>
      </c>
      <c r="G564" s="493">
        <v>45945.0</v>
      </c>
      <c r="H564" s="493">
        <v>45962.0</v>
      </c>
      <c r="I564" s="63">
        <f>IFERROR(__xludf.DUMMYFUNCTION("IF(ISBLANK(H564), TODAY()-TO_DATE(G564), TO_DATE(H564)-TO_DATE(G564))+1"),18.0)</f>
        <v>18</v>
      </c>
      <c r="J564" s="40" t="s">
        <v>197</v>
      </c>
      <c r="K564" s="321" t="s">
        <v>5784</v>
      </c>
      <c r="L564" s="507"/>
      <c r="M564" s="63"/>
      <c r="N564" s="29"/>
      <c r="O564" s="29"/>
      <c r="P564" s="29"/>
      <c r="Q564" s="29"/>
      <c r="R564" s="29"/>
      <c r="S564" s="29"/>
      <c r="T564" s="29"/>
      <c r="U564" s="29"/>
      <c r="V564" s="29"/>
      <c r="W564" s="29"/>
      <c r="X564" s="29"/>
      <c r="Y564" s="29"/>
      <c r="Z564" s="29"/>
      <c r="AA564" s="29"/>
      <c r="AB564" s="29"/>
      <c r="AC564" s="29"/>
      <c r="AD564" s="29"/>
      <c r="AE564" s="29"/>
      <c r="AF564" s="29"/>
      <c r="AG564" s="29"/>
    </row>
    <row r="565">
      <c r="A565" s="240" t="s">
        <v>5677</v>
      </c>
      <c r="B565" s="231" t="s">
        <v>5678</v>
      </c>
      <c r="C565" s="407" t="s">
        <v>213</v>
      </c>
      <c r="D565" s="507" t="s">
        <v>60</v>
      </c>
      <c r="E565" s="631" t="s">
        <v>5790</v>
      </c>
      <c r="F565" s="507" t="s">
        <v>2367</v>
      </c>
      <c r="G565" s="493">
        <v>45945.0</v>
      </c>
      <c r="H565" s="493">
        <v>45962.0</v>
      </c>
      <c r="I565" s="63">
        <f>IFERROR(__xludf.DUMMYFUNCTION("IF(ISBLANK(H565), TODAY()-TO_DATE(G565), TO_DATE(H565)-TO_DATE(G565))+1"),18.0)</f>
        <v>18</v>
      </c>
      <c r="J565" s="40" t="s">
        <v>197</v>
      </c>
      <c r="K565" s="321" t="s">
        <v>5793</v>
      </c>
      <c r="L565" s="507"/>
      <c r="M565" s="63"/>
      <c r="N565" s="29"/>
      <c r="O565" s="29"/>
      <c r="P565" s="29"/>
      <c r="Q565" s="29"/>
      <c r="R565" s="29"/>
      <c r="S565" s="29"/>
      <c r="T565" s="29"/>
      <c r="U565" s="29"/>
      <c r="V565" s="29"/>
      <c r="W565" s="29"/>
      <c r="X565" s="29"/>
      <c r="Y565" s="29"/>
      <c r="Z565" s="29"/>
      <c r="AA565" s="29"/>
      <c r="AB565" s="29"/>
      <c r="AC565" s="29"/>
      <c r="AD565" s="29"/>
      <c r="AE565" s="29"/>
      <c r="AF565" s="29"/>
      <c r="AG565" s="29"/>
    </row>
    <row r="566">
      <c r="A566" s="553" t="s">
        <v>5677</v>
      </c>
      <c r="B566" s="554" t="s">
        <v>5678</v>
      </c>
      <c r="C566" s="601" t="s">
        <v>331</v>
      </c>
      <c r="D566" s="630" t="s">
        <v>656</v>
      </c>
      <c r="E566" s="627" t="s">
        <v>5795</v>
      </c>
      <c r="F566" s="615" t="s">
        <v>414</v>
      </c>
      <c r="G566" s="558">
        <v>45945.0</v>
      </c>
      <c r="H566" s="558">
        <v>45962.0</v>
      </c>
      <c r="I566" s="563">
        <f>IFERROR(__xludf.DUMMYFUNCTION("IF(ISBLANK(H566), TODAY()-TO_DATE(G566), TO_DATE(H566)-TO_DATE(G566))+1"),18.0)</f>
        <v>18</v>
      </c>
      <c r="J566" s="628">
        <v>300.0</v>
      </c>
      <c r="K566" s="624" t="s">
        <v>5800</v>
      </c>
      <c r="L566" s="615"/>
      <c r="M566" s="553" t="s">
        <v>5801</v>
      </c>
      <c r="N566" s="564"/>
      <c r="O566" s="564"/>
      <c r="P566" s="564"/>
      <c r="Q566" s="564"/>
      <c r="R566" s="564"/>
      <c r="S566" s="564"/>
      <c r="T566" s="564"/>
      <c r="U566" s="564"/>
      <c r="V566" s="564"/>
      <c r="W566" s="564"/>
      <c r="X566" s="564"/>
      <c r="Y566" s="564"/>
      <c r="Z566" s="564"/>
      <c r="AA566" s="564"/>
      <c r="AB566" s="564"/>
      <c r="AC566" s="564"/>
      <c r="AD566" s="564"/>
      <c r="AE566" s="564"/>
      <c r="AF566" s="564"/>
      <c r="AG566" s="564"/>
    </row>
    <row r="567">
      <c r="A567" s="553" t="s">
        <v>5677</v>
      </c>
      <c r="B567" s="554" t="s">
        <v>5678</v>
      </c>
      <c r="C567" s="601" t="s">
        <v>1536</v>
      </c>
      <c r="D567" s="563" t="s">
        <v>60</v>
      </c>
      <c r="E567" s="630" t="s">
        <v>5804</v>
      </c>
      <c r="F567" s="615" t="s">
        <v>5805</v>
      </c>
      <c r="G567" s="558">
        <v>45945.0</v>
      </c>
      <c r="H567" s="558">
        <v>45947.0</v>
      </c>
      <c r="I567" s="563">
        <f>IFERROR(__xludf.DUMMYFUNCTION("IF(ISBLANK(H567), TODAY()-TO_DATE(G567), TO_DATE(H567)-TO_DATE(G567))+1"),3.0)</f>
        <v>3</v>
      </c>
      <c r="J567" s="628">
        <v>300.0</v>
      </c>
      <c r="K567" s="624" t="s">
        <v>5809</v>
      </c>
      <c r="L567" s="615"/>
      <c r="M567" s="553"/>
      <c r="N567" s="564"/>
      <c r="O567" s="564"/>
      <c r="P567" s="564"/>
      <c r="Q567" s="564"/>
      <c r="R567" s="564"/>
      <c r="S567" s="564"/>
      <c r="T567" s="564"/>
      <c r="U567" s="564"/>
      <c r="V567" s="564"/>
      <c r="W567" s="564"/>
      <c r="X567" s="564"/>
      <c r="Y567" s="564"/>
      <c r="Z567" s="564"/>
      <c r="AA567" s="564"/>
      <c r="AB567" s="564"/>
      <c r="AC567" s="564"/>
      <c r="AD567" s="564"/>
      <c r="AE567" s="564"/>
      <c r="AF567" s="564"/>
      <c r="AG567" s="564"/>
    </row>
    <row r="568">
      <c r="A568" s="540" t="s">
        <v>5677</v>
      </c>
      <c r="B568" s="541" t="s">
        <v>5678</v>
      </c>
      <c r="C568" s="550" t="s">
        <v>786</v>
      </c>
      <c r="D568" s="632" t="s">
        <v>60</v>
      </c>
      <c r="E568" s="632" t="s">
        <v>5815</v>
      </c>
      <c r="F568" s="611" t="s">
        <v>3586</v>
      </c>
      <c r="G568" s="545">
        <v>45945.0</v>
      </c>
      <c r="H568" s="545">
        <v>45961.0</v>
      </c>
      <c r="I568" s="547">
        <f>IFERROR(__xludf.DUMMYFUNCTION("IF(ISBLANK(H568), TODAY()-TO_DATE(G568), TO_DATE(H568)-TO_DATE(G568))+1"),17.0)</f>
        <v>17</v>
      </c>
      <c r="J568" s="633">
        <v>500.0</v>
      </c>
      <c r="K568" s="544" t="s">
        <v>5820</v>
      </c>
      <c r="L568" s="611"/>
      <c r="M568" s="547"/>
      <c r="N568" s="548"/>
      <c r="O568" s="548"/>
      <c r="P568" s="548"/>
      <c r="Q568" s="548"/>
      <c r="R568" s="548"/>
      <c r="S568" s="548"/>
      <c r="T568" s="548"/>
      <c r="U568" s="548"/>
      <c r="V568" s="548"/>
      <c r="W568" s="548"/>
      <c r="X568" s="548"/>
      <c r="Y568" s="548"/>
      <c r="Z568" s="548"/>
      <c r="AA568" s="548"/>
      <c r="AB568" s="548"/>
      <c r="AC568" s="548"/>
      <c r="AD568" s="548"/>
      <c r="AE568" s="548"/>
      <c r="AF568" s="548"/>
      <c r="AG568" s="548"/>
    </row>
    <row r="569">
      <c r="A569" s="553" t="s">
        <v>5177</v>
      </c>
      <c r="B569" s="554" t="s">
        <v>351</v>
      </c>
      <c r="C569" s="601" t="s">
        <v>5825</v>
      </c>
      <c r="D569" s="559" t="s">
        <v>60</v>
      </c>
      <c r="E569" s="557" t="s">
        <v>5827</v>
      </c>
      <c r="F569" s="553" t="s">
        <v>5828</v>
      </c>
      <c r="G569" s="558">
        <v>45945.0</v>
      </c>
      <c r="H569" s="558">
        <v>45951.0</v>
      </c>
      <c r="I569" s="563">
        <f>IFERROR(__xludf.DUMMYFUNCTION("IF(ISBLANK(H569), TODAY()-TO_DATE(G569), TO_DATE(H569)-TO_DATE(G569))+1"),7.0)</f>
        <v>7</v>
      </c>
      <c r="J569" s="628">
        <v>300.0</v>
      </c>
      <c r="K569" s="561" t="s">
        <v>5830</v>
      </c>
      <c r="L569" s="562"/>
      <c r="M569" s="563"/>
      <c r="N569" s="564"/>
      <c r="O569" s="564"/>
      <c r="P569" s="564"/>
      <c r="Q569" s="564"/>
      <c r="R569" s="564"/>
      <c r="S569" s="564"/>
      <c r="T569" s="564"/>
      <c r="U569" s="564"/>
      <c r="V569" s="564"/>
      <c r="W569" s="564"/>
      <c r="X569" s="564"/>
      <c r="Y569" s="564"/>
      <c r="Z569" s="564"/>
      <c r="AA569" s="564"/>
      <c r="AB569" s="564"/>
      <c r="AC569" s="564"/>
      <c r="AD569" s="564"/>
      <c r="AE569" s="564"/>
      <c r="AF569" s="564"/>
      <c r="AG569" s="564"/>
    </row>
    <row r="570">
      <c r="A570" s="540" t="s">
        <v>5177</v>
      </c>
      <c r="B570" s="541" t="s">
        <v>351</v>
      </c>
      <c r="C570" s="550" t="s">
        <v>5834</v>
      </c>
      <c r="D570" s="546" t="s">
        <v>60</v>
      </c>
      <c r="E570" s="543" t="s">
        <v>515</v>
      </c>
      <c r="F570" s="540" t="s">
        <v>516</v>
      </c>
      <c r="G570" s="545">
        <v>45945.0</v>
      </c>
      <c r="H570" s="545">
        <v>45947.0</v>
      </c>
      <c r="I570" s="547">
        <f>IFERROR(__xludf.DUMMYFUNCTION("IF(ISBLANK(H570), TODAY()-TO_DATE(G570), TO_DATE(H570)-TO_DATE(G570))+1"),3.0)</f>
        <v>3</v>
      </c>
      <c r="J570" s="633">
        <v>500.0</v>
      </c>
      <c r="K570" s="561" t="s">
        <v>5838</v>
      </c>
      <c r="L570" s="544"/>
      <c r="M570" s="547"/>
      <c r="N570" s="548"/>
      <c r="O570" s="548"/>
      <c r="P570" s="548"/>
      <c r="Q570" s="548"/>
      <c r="R570" s="548"/>
      <c r="S570" s="548"/>
      <c r="T570" s="548"/>
      <c r="U570" s="548"/>
      <c r="V570" s="548"/>
      <c r="W570" s="548"/>
      <c r="X570" s="548"/>
      <c r="Y570" s="548"/>
      <c r="Z570" s="548"/>
      <c r="AA570" s="548"/>
      <c r="AB570" s="548"/>
      <c r="AC570" s="548"/>
      <c r="AD570" s="548"/>
      <c r="AE570" s="548"/>
      <c r="AF570" s="548"/>
      <c r="AG570" s="548"/>
    </row>
    <row r="571">
      <c r="A571" s="240" t="s">
        <v>5177</v>
      </c>
      <c r="B571" s="231" t="s">
        <v>351</v>
      </c>
      <c r="C571" s="407" t="s">
        <v>5841</v>
      </c>
      <c r="D571" s="69" t="s">
        <v>60</v>
      </c>
      <c r="E571" s="241" t="s">
        <v>5843</v>
      </c>
      <c r="F571" s="240" t="s">
        <v>5845</v>
      </c>
      <c r="G571" s="493">
        <v>45945.0</v>
      </c>
      <c r="H571" s="493">
        <v>45952.0</v>
      </c>
      <c r="I571" s="63">
        <f>IFERROR(__xludf.DUMMYFUNCTION("IF(ISBLANK(H571), TODAY()-TO_DATE(G571), TO_DATE(H571)-TO_DATE(G571))+1"),8.0)</f>
        <v>8</v>
      </c>
      <c r="J571" s="40" t="s">
        <v>197</v>
      </c>
      <c r="K571" s="240" t="s">
        <v>5849</v>
      </c>
      <c r="L571" s="507"/>
      <c r="M571" s="63"/>
      <c r="N571" s="29"/>
      <c r="O571" s="29"/>
      <c r="P571" s="29"/>
      <c r="Q571" s="29"/>
      <c r="R571" s="29"/>
      <c r="S571" s="29"/>
      <c r="T571" s="29"/>
      <c r="U571" s="29"/>
      <c r="V571" s="29"/>
      <c r="W571" s="29"/>
      <c r="X571" s="29"/>
      <c r="Y571" s="29"/>
      <c r="Z571" s="29"/>
      <c r="AA571" s="29"/>
      <c r="AB571" s="29"/>
      <c r="AC571" s="29"/>
      <c r="AD571" s="29"/>
      <c r="AE571" s="29"/>
      <c r="AF571" s="29"/>
      <c r="AG571" s="29"/>
    </row>
    <row r="572">
      <c r="A572" s="240" t="s">
        <v>5177</v>
      </c>
      <c r="B572" s="231" t="s">
        <v>5851</v>
      </c>
      <c r="C572" s="128"/>
      <c r="D572" s="507" t="s">
        <v>60</v>
      </c>
      <c r="E572" s="63" t="s">
        <v>3283</v>
      </c>
      <c r="F572" s="507" t="s">
        <v>3285</v>
      </c>
      <c r="G572" s="493">
        <v>45945.0</v>
      </c>
      <c r="H572" s="638">
        <v>45966.0</v>
      </c>
      <c r="I572" s="63">
        <f>IFERROR(__xludf.DUMMYFUNCTION("IF(ISBLANK(H572), TODAY()-TO_DATE(G572), TO_DATE(H572)-TO_DATE(G572))+1"),22.0)</f>
        <v>22</v>
      </c>
      <c r="J572" s="40">
        <v>500.0</v>
      </c>
      <c r="K572" s="561" t="s">
        <v>5857</v>
      </c>
      <c r="L572" s="507"/>
      <c r="M572" s="240" t="s">
        <v>5858</v>
      </c>
      <c r="N572" s="29"/>
      <c r="O572" s="29"/>
      <c r="P572" s="29"/>
      <c r="Q572" s="29"/>
      <c r="R572" s="29"/>
      <c r="S572" s="29"/>
      <c r="T572" s="29"/>
      <c r="U572" s="29"/>
      <c r="V572" s="29"/>
      <c r="W572" s="29"/>
      <c r="X572" s="29"/>
      <c r="Y572" s="29"/>
      <c r="Z572" s="29"/>
      <c r="AA572" s="29"/>
      <c r="AB572" s="29"/>
      <c r="AC572" s="29"/>
      <c r="AD572" s="29"/>
      <c r="AE572" s="29"/>
      <c r="AF572" s="29"/>
      <c r="AG572" s="29"/>
    </row>
    <row r="573">
      <c r="A573" s="240" t="s">
        <v>5177</v>
      </c>
      <c r="B573" s="231" t="s">
        <v>5851</v>
      </c>
      <c r="C573" s="128"/>
      <c r="D573" s="507" t="s">
        <v>60</v>
      </c>
      <c r="E573" s="63" t="s">
        <v>5862</v>
      </c>
      <c r="F573" s="63" t="s">
        <v>5864</v>
      </c>
      <c r="G573" s="493">
        <v>45945.0</v>
      </c>
      <c r="H573" s="638">
        <v>45966.0</v>
      </c>
      <c r="I573" s="63">
        <f>IFERROR(__xludf.DUMMYFUNCTION("IF(ISBLANK(H573), TODAY()-TO_DATE(G573), TO_DATE(H573)-TO_DATE(G573))+1"),22.0)</f>
        <v>22</v>
      </c>
      <c r="J573" s="40" t="s">
        <v>197</v>
      </c>
      <c r="K573" s="561" t="s">
        <v>5867</v>
      </c>
      <c r="L573" s="507"/>
      <c r="M573" s="240" t="s">
        <v>5858</v>
      </c>
      <c r="N573" s="29"/>
      <c r="O573" s="29"/>
      <c r="P573" s="29"/>
      <c r="Q573" s="29"/>
      <c r="R573" s="29"/>
      <c r="S573" s="29"/>
      <c r="T573" s="29"/>
      <c r="U573" s="29"/>
      <c r="V573" s="29"/>
      <c r="W573" s="29"/>
      <c r="X573" s="29"/>
      <c r="Y573" s="29"/>
      <c r="Z573" s="29"/>
      <c r="AA573" s="29"/>
      <c r="AB573" s="29"/>
      <c r="AC573" s="29"/>
      <c r="AD573" s="29"/>
      <c r="AE573" s="29"/>
      <c r="AF573" s="29"/>
      <c r="AG573" s="29"/>
    </row>
    <row r="574">
      <c r="A574" s="540" t="s">
        <v>5177</v>
      </c>
      <c r="B574" s="541" t="s">
        <v>423</v>
      </c>
      <c r="C574" s="550" t="s">
        <v>139</v>
      </c>
      <c r="D574" s="632" t="s">
        <v>60</v>
      </c>
      <c r="E574" s="540" t="s">
        <v>5870</v>
      </c>
      <c r="F574" s="540" t="s">
        <v>4354</v>
      </c>
      <c r="G574" s="545">
        <v>45946.0</v>
      </c>
      <c r="H574" s="545">
        <v>45950.0</v>
      </c>
      <c r="I574" s="547">
        <f>IFERROR(__xludf.DUMMYFUNCTION("IF(ISBLANK(H574), TODAY()-TO_DATE(G574), TO_DATE(H574)-TO_DATE(G574))+1"),5.0)</f>
        <v>5</v>
      </c>
      <c r="J574" s="633">
        <v>500.0</v>
      </c>
      <c r="K574" s="561" t="s">
        <v>5872</v>
      </c>
      <c r="L574" s="544" t="s">
        <v>5873</v>
      </c>
      <c r="M574" s="540" t="s">
        <v>5876</v>
      </c>
      <c r="N574" s="548"/>
      <c r="O574" s="548"/>
      <c r="P574" s="548"/>
      <c r="Q574" s="548"/>
      <c r="R574" s="548"/>
      <c r="S574" s="548"/>
      <c r="T574" s="548"/>
      <c r="U574" s="548"/>
      <c r="V574" s="548"/>
      <c r="W574" s="548"/>
      <c r="X574" s="548"/>
      <c r="Y574" s="548"/>
      <c r="Z574" s="548"/>
      <c r="AA574" s="548"/>
      <c r="AB574" s="548"/>
      <c r="AC574" s="548"/>
      <c r="AD574" s="548"/>
      <c r="AE574" s="548"/>
      <c r="AF574" s="548"/>
      <c r="AG574" s="548"/>
    </row>
    <row r="575">
      <c r="A575" s="540" t="s">
        <v>5177</v>
      </c>
      <c r="B575" s="541" t="s">
        <v>423</v>
      </c>
      <c r="C575" s="550" t="s">
        <v>302</v>
      </c>
      <c r="D575" s="632" t="s">
        <v>60</v>
      </c>
      <c r="E575" s="540" t="s">
        <v>5881</v>
      </c>
      <c r="F575" s="540" t="s">
        <v>5883</v>
      </c>
      <c r="G575" s="545">
        <v>45946.0</v>
      </c>
      <c r="H575" s="545">
        <v>45951.0</v>
      </c>
      <c r="I575" s="547">
        <f>IFERROR(__xludf.DUMMYFUNCTION("IF(ISBLANK(H575), TODAY()-TO_DATE(G575), TO_DATE(H575)-TO_DATE(G575))+1"),6.0)</f>
        <v>6</v>
      </c>
      <c r="J575" s="633">
        <v>500.0</v>
      </c>
      <c r="K575" s="540" t="s">
        <v>5885</v>
      </c>
      <c r="L575" s="544" t="s">
        <v>5886</v>
      </c>
      <c r="M575" s="540" t="s">
        <v>5887</v>
      </c>
      <c r="N575" s="548"/>
      <c r="O575" s="548"/>
      <c r="P575" s="548"/>
      <c r="Q575" s="548"/>
      <c r="R575" s="548"/>
      <c r="S575" s="548"/>
      <c r="T575" s="548"/>
      <c r="U575" s="548"/>
      <c r="V575" s="548"/>
      <c r="W575" s="548"/>
      <c r="X575" s="548"/>
      <c r="Y575" s="548"/>
      <c r="Z575" s="548"/>
      <c r="AA575" s="548"/>
      <c r="AB575" s="548"/>
      <c r="AC575" s="548"/>
      <c r="AD575" s="548"/>
      <c r="AE575" s="548"/>
      <c r="AF575" s="548"/>
      <c r="AG575" s="548"/>
    </row>
    <row r="576">
      <c r="A576" s="553" t="s">
        <v>5177</v>
      </c>
      <c r="B576" s="554" t="s">
        <v>423</v>
      </c>
      <c r="C576" s="601" t="s">
        <v>212</v>
      </c>
      <c r="D576" s="630" t="s">
        <v>60</v>
      </c>
      <c r="E576" s="553" t="s">
        <v>5890</v>
      </c>
      <c r="F576" s="553" t="s">
        <v>1492</v>
      </c>
      <c r="G576" s="558">
        <v>45946.0</v>
      </c>
      <c r="H576" s="608">
        <v>45954.0</v>
      </c>
      <c r="I576" s="563">
        <f>IFERROR(__xludf.DUMMYFUNCTION("IF(ISBLANK(H576), TODAY()-TO_DATE(G576), TO_DATE(H576)-TO_DATE(G576))+1"),9.0)</f>
        <v>9</v>
      </c>
      <c r="J576" s="628">
        <v>300.0</v>
      </c>
      <c r="K576" s="561" t="s">
        <v>5892</v>
      </c>
      <c r="L576" s="615"/>
      <c r="M576" s="563" t="s">
        <v>5893</v>
      </c>
      <c r="N576" s="564"/>
      <c r="O576" s="564"/>
      <c r="P576" s="564"/>
      <c r="Q576" s="564"/>
      <c r="R576" s="564"/>
      <c r="S576" s="564"/>
      <c r="T576" s="564"/>
      <c r="U576" s="564"/>
      <c r="V576" s="564"/>
      <c r="W576" s="564"/>
      <c r="X576" s="564"/>
      <c r="Y576" s="564"/>
      <c r="Z576" s="564"/>
      <c r="AA576" s="564"/>
      <c r="AB576" s="564"/>
      <c r="AC576" s="564"/>
      <c r="AD576" s="564"/>
      <c r="AE576" s="564"/>
      <c r="AF576" s="564"/>
      <c r="AG576" s="564"/>
    </row>
    <row r="577">
      <c r="A577" s="553" t="s">
        <v>5177</v>
      </c>
      <c r="B577" s="554" t="s">
        <v>423</v>
      </c>
      <c r="C577" s="601" t="s">
        <v>139</v>
      </c>
      <c r="D577" s="630" t="s">
        <v>60</v>
      </c>
      <c r="E577" s="553" t="s">
        <v>1124</v>
      </c>
      <c r="F577" s="553" t="s">
        <v>1126</v>
      </c>
      <c r="G577" s="558">
        <v>45946.0</v>
      </c>
      <c r="H577" s="608">
        <v>45954.0</v>
      </c>
      <c r="I577" s="563">
        <f>IFERROR(__xludf.DUMMYFUNCTION("IF(ISBLANK(H577), TODAY()-TO_DATE(G577), TO_DATE(H577)-TO_DATE(G577))+1"),9.0)</f>
        <v>9</v>
      </c>
      <c r="J577" s="628">
        <v>300.0</v>
      </c>
      <c r="K577" s="609" t="s">
        <v>5901</v>
      </c>
      <c r="L577" s="615"/>
      <c r="M577" s="563"/>
      <c r="N577" s="564"/>
      <c r="O577" s="564"/>
      <c r="P577" s="564"/>
      <c r="Q577" s="564"/>
      <c r="R577" s="564"/>
      <c r="S577" s="564"/>
      <c r="T577" s="564"/>
      <c r="U577" s="564"/>
      <c r="V577" s="564"/>
      <c r="W577" s="564"/>
      <c r="X577" s="564"/>
      <c r="Y577" s="564"/>
      <c r="Z577" s="564"/>
      <c r="AA577" s="564"/>
      <c r="AB577" s="564"/>
      <c r="AC577" s="564"/>
      <c r="AD577" s="564"/>
      <c r="AE577" s="564"/>
      <c r="AF577" s="564"/>
      <c r="AG577" s="564"/>
    </row>
    <row r="578">
      <c r="A578" s="553" t="s">
        <v>5177</v>
      </c>
      <c r="B578" s="554" t="s">
        <v>5904</v>
      </c>
      <c r="C578" s="601" t="s">
        <v>187</v>
      </c>
      <c r="D578" s="628" t="s">
        <v>60</v>
      </c>
      <c r="E578" s="553" t="s">
        <v>3562</v>
      </c>
      <c r="F578" s="553" t="s">
        <v>2028</v>
      </c>
      <c r="G578" s="558">
        <v>45946.0</v>
      </c>
      <c r="H578" s="608">
        <v>45954.0</v>
      </c>
      <c r="I578" s="563">
        <f>IFERROR(__xludf.DUMMYFUNCTION("IF(ISBLANK(H578), TODAY()-TO_DATE(G578), TO_DATE(H578)-TO_DATE(G578))+1"),9.0)</f>
        <v>9</v>
      </c>
      <c r="J578" s="628">
        <v>300.0</v>
      </c>
      <c r="K578" s="561" t="s">
        <v>3569</v>
      </c>
      <c r="L578" s="615" t="s">
        <v>5910</v>
      </c>
      <c r="M578" s="563"/>
      <c r="N578" s="564"/>
      <c r="O578" s="564"/>
      <c r="P578" s="564"/>
      <c r="Q578" s="564"/>
      <c r="R578" s="564"/>
      <c r="S578" s="564"/>
      <c r="T578" s="564"/>
      <c r="U578" s="564"/>
      <c r="V578" s="564"/>
      <c r="W578" s="564"/>
      <c r="X578" s="564"/>
      <c r="Y578" s="564"/>
      <c r="Z578" s="564"/>
      <c r="AA578" s="564"/>
      <c r="AB578" s="564"/>
      <c r="AC578" s="564"/>
      <c r="AD578" s="564"/>
      <c r="AE578" s="564"/>
      <c r="AF578" s="564"/>
      <c r="AG578" s="564"/>
    </row>
    <row r="579">
      <c r="A579" s="240" t="s">
        <v>5177</v>
      </c>
      <c r="B579" s="231" t="s">
        <v>5904</v>
      </c>
      <c r="C579" s="407" t="s">
        <v>213</v>
      </c>
      <c r="D579" s="40" t="s">
        <v>60</v>
      </c>
      <c r="E579" s="240" t="s">
        <v>3664</v>
      </c>
      <c r="F579" s="240" t="s">
        <v>3130</v>
      </c>
      <c r="G579" s="493">
        <v>45946.0</v>
      </c>
      <c r="H579" s="638">
        <v>45966.0</v>
      </c>
      <c r="I579" s="63">
        <f>IFERROR(__xludf.DUMMYFUNCTION("IF(ISBLANK(H579), TODAY()-TO_DATE(G579), TO_DATE(H579)-TO_DATE(G579))+1"),21.0)</f>
        <v>21</v>
      </c>
      <c r="J579" s="40" t="s">
        <v>197</v>
      </c>
      <c r="K579" s="561" t="s">
        <v>5915</v>
      </c>
      <c r="L579" s="321" t="s">
        <v>5916</v>
      </c>
      <c r="M579" s="63"/>
      <c r="N579" s="29"/>
      <c r="O579" s="29"/>
      <c r="P579" s="29"/>
      <c r="Q579" s="29"/>
      <c r="R579" s="29"/>
      <c r="S579" s="29"/>
      <c r="T579" s="29"/>
      <c r="U579" s="29"/>
      <c r="V579" s="29"/>
      <c r="W579" s="29"/>
      <c r="X579" s="29"/>
      <c r="Y579" s="29"/>
      <c r="Z579" s="29"/>
      <c r="AA579" s="29"/>
      <c r="AB579" s="29"/>
      <c r="AC579" s="29"/>
      <c r="AD579" s="29"/>
      <c r="AE579" s="29"/>
      <c r="AF579" s="29"/>
      <c r="AG579" s="29"/>
    </row>
    <row r="580">
      <c r="A580" s="240" t="s">
        <v>5177</v>
      </c>
      <c r="B580" s="231" t="s">
        <v>5904</v>
      </c>
      <c r="C580" s="407" t="s">
        <v>139</v>
      </c>
      <c r="D580" s="641" t="s">
        <v>326</v>
      </c>
      <c r="E580" s="240" t="s">
        <v>5925</v>
      </c>
      <c r="F580" s="240" t="s">
        <v>1538</v>
      </c>
      <c r="G580" s="493">
        <v>45946.0</v>
      </c>
      <c r="H580" s="638">
        <v>45966.0</v>
      </c>
      <c r="I580" s="63">
        <f>IFERROR(__xludf.DUMMYFUNCTION("IF(ISBLANK(H580), TODAY()-TO_DATE(G580), TO_DATE(H580)-TO_DATE(G580))+1"),21.0)</f>
        <v>21</v>
      </c>
      <c r="J580" s="40" t="s">
        <v>197</v>
      </c>
      <c r="K580" s="561" t="s">
        <v>5928</v>
      </c>
      <c r="L580" s="507"/>
      <c r="M580" s="63"/>
      <c r="N580" s="29"/>
      <c r="O580" s="29"/>
      <c r="P580" s="29"/>
      <c r="Q580" s="29"/>
      <c r="R580" s="29"/>
      <c r="S580" s="29"/>
      <c r="T580" s="29"/>
      <c r="U580" s="29"/>
      <c r="V580" s="29"/>
      <c r="W580" s="29"/>
      <c r="X580" s="29"/>
      <c r="Y580" s="29"/>
      <c r="Z580" s="29"/>
      <c r="AA580" s="29"/>
      <c r="AB580" s="29"/>
      <c r="AC580" s="29"/>
      <c r="AD580" s="29"/>
      <c r="AE580" s="29"/>
      <c r="AF580" s="29"/>
      <c r="AG580" s="29"/>
    </row>
    <row r="581">
      <c r="A581" s="240" t="s">
        <v>5177</v>
      </c>
      <c r="B581" s="231" t="s">
        <v>5904</v>
      </c>
      <c r="C581" s="407" t="s">
        <v>58</v>
      </c>
      <c r="D581" s="40" t="s">
        <v>60</v>
      </c>
      <c r="E581" s="240" t="s">
        <v>3675</v>
      </c>
      <c r="F581" s="240" t="s">
        <v>3676</v>
      </c>
      <c r="G581" s="493">
        <v>45946.0</v>
      </c>
      <c r="H581" s="642">
        <v>45960.0</v>
      </c>
      <c r="I581" s="63">
        <f>IFERROR(__xludf.DUMMYFUNCTION("IF(ISBLANK(H581), TODAY()-TO_DATE(G581), TO_DATE(H581)-TO_DATE(G581))+1"),15.0)</f>
        <v>15</v>
      </c>
      <c r="J581" s="40" t="s">
        <v>197</v>
      </c>
      <c r="K581" s="240" t="s">
        <v>5935</v>
      </c>
      <c r="L581" s="507" t="s">
        <v>5938</v>
      </c>
      <c r="M581" s="63"/>
      <c r="N581" s="29"/>
      <c r="O581" s="29"/>
      <c r="P581" s="29"/>
      <c r="Q581" s="29"/>
      <c r="R581" s="29"/>
      <c r="S581" s="29"/>
      <c r="T581" s="29"/>
      <c r="U581" s="29"/>
      <c r="V581" s="29"/>
      <c r="W581" s="29"/>
      <c r="X581" s="29"/>
      <c r="Y581" s="29"/>
      <c r="Z581" s="29"/>
      <c r="AA581" s="29"/>
      <c r="AB581" s="29"/>
      <c r="AC581" s="29"/>
      <c r="AD581" s="29"/>
      <c r="AE581" s="29"/>
      <c r="AF581" s="29"/>
      <c r="AG581" s="29"/>
    </row>
    <row r="582">
      <c r="A582" s="240" t="s">
        <v>5177</v>
      </c>
      <c r="B582" s="231" t="s">
        <v>5904</v>
      </c>
      <c r="C582" s="407" t="s">
        <v>213</v>
      </c>
      <c r="D582" s="40" t="s">
        <v>60</v>
      </c>
      <c r="E582" s="240" t="s">
        <v>3660</v>
      </c>
      <c r="F582" s="240" t="s">
        <v>2639</v>
      </c>
      <c r="G582" s="493">
        <v>45946.0</v>
      </c>
      <c r="H582" s="642">
        <v>45960.0</v>
      </c>
      <c r="I582" s="63">
        <f>IFERROR(__xludf.DUMMYFUNCTION("IF(ISBLANK(H582), TODAY()-TO_DATE(G582), TO_DATE(H582)-TO_DATE(G582))+1"),15.0)</f>
        <v>15</v>
      </c>
      <c r="J582" s="40" t="s">
        <v>197</v>
      </c>
      <c r="K582" s="240" t="s">
        <v>5944</v>
      </c>
      <c r="L582" s="507"/>
      <c r="M582" s="63"/>
      <c r="N582" s="29"/>
      <c r="O582" s="29"/>
      <c r="P582" s="29"/>
      <c r="Q582" s="29"/>
      <c r="R582" s="29"/>
      <c r="S582" s="29"/>
      <c r="T582" s="29"/>
      <c r="U582" s="29"/>
      <c r="V582" s="29"/>
      <c r="W582" s="29"/>
      <c r="X582" s="29"/>
      <c r="Y582" s="29"/>
      <c r="Z582" s="29"/>
      <c r="AA582" s="29"/>
      <c r="AB582" s="29"/>
      <c r="AC582" s="29"/>
      <c r="AD582" s="29"/>
      <c r="AE582" s="29"/>
      <c r="AF582" s="29"/>
      <c r="AG582" s="29"/>
    </row>
    <row r="583">
      <c r="A583" s="240" t="s">
        <v>5177</v>
      </c>
      <c r="B583" s="231" t="s">
        <v>5904</v>
      </c>
      <c r="C583" s="407" t="s">
        <v>213</v>
      </c>
      <c r="D583" s="40" t="s">
        <v>60</v>
      </c>
      <c r="E583" s="240" t="s">
        <v>5949</v>
      </c>
      <c r="F583" s="240" t="s">
        <v>5951</v>
      </c>
      <c r="G583" s="493">
        <v>45946.0</v>
      </c>
      <c r="H583" s="638">
        <v>45966.0</v>
      </c>
      <c r="I583" s="63">
        <f>IFERROR(__xludf.DUMMYFUNCTION("IF(ISBLANK(H583), TODAY()-TO_DATE(G583), TO_DATE(H583)-TO_DATE(G583))+1"),21.0)</f>
        <v>21</v>
      </c>
      <c r="J583" s="40" t="s">
        <v>197</v>
      </c>
      <c r="K583" s="609" t="s">
        <v>4027</v>
      </c>
      <c r="L583" s="507"/>
      <c r="M583" s="63"/>
      <c r="N583" s="29"/>
      <c r="O583" s="29"/>
      <c r="P583" s="29"/>
      <c r="Q583" s="29"/>
      <c r="R583" s="29"/>
      <c r="S583" s="29"/>
      <c r="T583" s="29"/>
      <c r="U583" s="29"/>
      <c r="V583" s="29"/>
      <c r="W583" s="29"/>
      <c r="X583" s="29"/>
      <c r="Y583" s="29"/>
      <c r="Z583" s="29"/>
      <c r="AA583" s="29"/>
      <c r="AB583" s="29"/>
      <c r="AC583" s="29"/>
      <c r="AD583" s="29"/>
      <c r="AE583" s="29"/>
      <c r="AF583" s="29"/>
      <c r="AG583" s="29"/>
    </row>
    <row r="584">
      <c r="A584" s="240" t="s">
        <v>5177</v>
      </c>
      <c r="B584" s="231" t="s">
        <v>5904</v>
      </c>
      <c r="C584" s="407" t="s">
        <v>536</v>
      </c>
      <c r="D584" s="40" t="s">
        <v>60</v>
      </c>
      <c r="E584" s="240" t="s">
        <v>3610</v>
      </c>
      <c r="F584" s="240" t="s">
        <v>2037</v>
      </c>
      <c r="G584" s="493">
        <v>45946.0</v>
      </c>
      <c r="H584" s="642">
        <v>45960.0</v>
      </c>
      <c r="I584" s="63">
        <f>IFERROR(__xludf.DUMMYFUNCTION("IF(ISBLANK(H584), TODAY()-TO_DATE(G584), TO_DATE(H584)-TO_DATE(G584))+1"),15.0)</f>
        <v>15</v>
      </c>
      <c r="J584" s="40" t="s">
        <v>197</v>
      </c>
      <c r="K584" s="240" t="s">
        <v>5964</v>
      </c>
      <c r="L584" s="507"/>
      <c r="M584" s="63"/>
      <c r="N584" s="29"/>
      <c r="O584" s="29"/>
      <c r="P584" s="29"/>
      <c r="Q584" s="29"/>
      <c r="R584" s="29"/>
      <c r="S584" s="29"/>
      <c r="T584" s="29"/>
      <c r="U584" s="29"/>
      <c r="V584" s="29"/>
      <c r="W584" s="29"/>
      <c r="X584" s="29"/>
      <c r="Y584" s="29"/>
      <c r="Z584" s="29"/>
      <c r="AA584" s="29"/>
      <c r="AB584" s="29"/>
      <c r="AC584" s="29"/>
      <c r="AD584" s="29"/>
      <c r="AE584" s="29"/>
      <c r="AF584" s="29"/>
      <c r="AG584" s="29"/>
    </row>
    <row r="585">
      <c r="A585" s="553" t="s">
        <v>5177</v>
      </c>
      <c r="B585" s="554" t="s">
        <v>5904</v>
      </c>
      <c r="C585" s="613" t="s">
        <v>331</v>
      </c>
      <c r="D585" s="118" t="s">
        <v>60</v>
      </c>
      <c r="E585" s="553" t="s">
        <v>5967</v>
      </c>
      <c r="F585" s="553" t="s">
        <v>2093</v>
      </c>
      <c r="G585" s="558">
        <v>45946.0</v>
      </c>
      <c r="H585" s="644">
        <v>45966.0</v>
      </c>
      <c r="I585" s="563">
        <f>IFERROR(__xludf.DUMMYFUNCTION("IF(ISBLANK(H585), TODAY()-TO_DATE(G585), TO_DATE(H585)-TO_DATE(G585))+1"),21.0)</f>
        <v>21</v>
      </c>
      <c r="J585" s="628">
        <v>300.0</v>
      </c>
      <c r="K585" s="561" t="s">
        <v>5970</v>
      </c>
      <c r="L585" s="615" t="s">
        <v>5972</v>
      </c>
      <c r="M585" s="563"/>
      <c r="N585" s="564"/>
      <c r="O585" s="564"/>
      <c r="P585" s="564"/>
      <c r="Q585" s="564"/>
      <c r="R585" s="564"/>
      <c r="S585" s="564"/>
      <c r="T585" s="564"/>
      <c r="U585" s="564"/>
      <c r="V585" s="564"/>
      <c r="W585" s="564"/>
      <c r="X585" s="564"/>
      <c r="Y585" s="564"/>
      <c r="Z585" s="564"/>
      <c r="AA585" s="564"/>
      <c r="AB585" s="564"/>
      <c r="AC585" s="564"/>
      <c r="AD585" s="564"/>
      <c r="AE585" s="564"/>
      <c r="AF585" s="564"/>
      <c r="AG585" s="564"/>
    </row>
    <row r="586">
      <c r="A586" s="240" t="s">
        <v>5177</v>
      </c>
      <c r="B586" s="231" t="s">
        <v>5904</v>
      </c>
      <c r="C586" s="218" t="s">
        <v>5976</v>
      </c>
      <c r="D586" s="85" t="s">
        <v>60</v>
      </c>
      <c r="E586" s="240" t="s">
        <v>5979</v>
      </c>
      <c r="F586" s="240" t="s">
        <v>748</v>
      </c>
      <c r="G586" s="493">
        <v>45946.0</v>
      </c>
      <c r="H586" s="642">
        <v>45960.0</v>
      </c>
      <c r="I586" s="63">
        <f>IFERROR(__xludf.DUMMYFUNCTION("IF(ISBLANK(H586), TODAY()-TO_DATE(G586), TO_DATE(H586)-TO_DATE(G586))+1"),15.0)</f>
        <v>15</v>
      </c>
      <c r="J586" s="40" t="s">
        <v>197</v>
      </c>
      <c r="K586" s="240" t="s">
        <v>5983</v>
      </c>
      <c r="L586" s="321" t="s">
        <v>5938</v>
      </c>
      <c r="M586" s="63"/>
      <c r="N586" s="29"/>
      <c r="O586" s="29"/>
      <c r="P586" s="29"/>
      <c r="Q586" s="29"/>
      <c r="R586" s="29"/>
      <c r="S586" s="29"/>
      <c r="T586" s="29"/>
      <c r="U586" s="29"/>
      <c r="V586" s="29"/>
      <c r="W586" s="29"/>
      <c r="X586" s="29"/>
      <c r="Y586" s="29"/>
      <c r="Z586" s="29"/>
      <c r="AA586" s="29"/>
      <c r="AB586" s="29"/>
      <c r="AC586" s="29"/>
      <c r="AD586" s="29"/>
      <c r="AE586" s="29"/>
      <c r="AF586" s="29"/>
      <c r="AG586" s="29"/>
    </row>
    <row r="587">
      <c r="A587" s="540" t="s">
        <v>5677</v>
      </c>
      <c r="B587" s="541" t="s">
        <v>5678</v>
      </c>
      <c r="C587" s="646" t="s">
        <v>1637</v>
      </c>
      <c r="D587" s="647" t="s">
        <v>60</v>
      </c>
      <c r="E587" s="540" t="s">
        <v>5992</v>
      </c>
      <c r="F587" s="540" t="s">
        <v>5993</v>
      </c>
      <c r="G587" s="545">
        <v>45946.0</v>
      </c>
      <c r="H587" s="545">
        <v>45955.0</v>
      </c>
      <c r="I587" s="547">
        <f>IFERROR(__xludf.DUMMYFUNCTION("IF(ISBLANK(H587), TODAY()-TO_DATE(G587), TO_DATE(H587)-TO_DATE(G587))+1"),10.0)</f>
        <v>10</v>
      </c>
      <c r="J587" s="633">
        <v>500.0</v>
      </c>
      <c r="K587" s="540" t="s">
        <v>5995</v>
      </c>
      <c r="L587" s="611"/>
      <c r="M587" s="547"/>
      <c r="N587" s="548"/>
      <c r="O587" s="548"/>
      <c r="P587" s="548"/>
      <c r="Q587" s="548"/>
      <c r="R587" s="548"/>
      <c r="S587" s="548"/>
      <c r="T587" s="548"/>
      <c r="U587" s="548"/>
      <c r="V587" s="548"/>
      <c r="W587" s="548"/>
      <c r="X587" s="548"/>
      <c r="Y587" s="548"/>
      <c r="Z587" s="548"/>
      <c r="AA587" s="548"/>
      <c r="AB587" s="548"/>
      <c r="AC587" s="548"/>
      <c r="AD587" s="548"/>
      <c r="AE587" s="548"/>
      <c r="AF587" s="548"/>
      <c r="AG587" s="548"/>
    </row>
    <row r="588">
      <c r="A588" s="540" t="s">
        <v>5677</v>
      </c>
      <c r="B588" s="541" t="s">
        <v>5678</v>
      </c>
      <c r="C588" s="646" t="s">
        <v>1637</v>
      </c>
      <c r="D588" s="647" t="s">
        <v>60</v>
      </c>
      <c r="E588" s="540" t="s">
        <v>5999</v>
      </c>
      <c r="F588" s="540" t="s">
        <v>6000</v>
      </c>
      <c r="G588" s="545">
        <v>45946.0</v>
      </c>
      <c r="H588" s="545">
        <v>45947.0</v>
      </c>
      <c r="I588" s="547">
        <f>IFERROR(__xludf.DUMMYFUNCTION("IF(ISBLANK(H588), TODAY()-TO_DATE(G588), TO_DATE(H588)-TO_DATE(G588))+1"),2.0)</f>
        <v>2</v>
      </c>
      <c r="J588" s="633">
        <v>500.0</v>
      </c>
      <c r="K588" s="540" t="s">
        <v>6002</v>
      </c>
      <c r="L588" s="611"/>
      <c r="M588" s="547"/>
      <c r="N588" s="548"/>
      <c r="O588" s="548"/>
      <c r="P588" s="548"/>
      <c r="Q588" s="548"/>
      <c r="R588" s="548"/>
      <c r="S588" s="548"/>
      <c r="T588" s="548"/>
      <c r="U588" s="548"/>
      <c r="V588" s="548"/>
      <c r="W588" s="548"/>
      <c r="X588" s="548"/>
      <c r="Y588" s="548"/>
      <c r="Z588" s="548"/>
      <c r="AA588" s="548"/>
      <c r="AB588" s="548"/>
      <c r="AC588" s="548"/>
      <c r="AD588" s="548"/>
      <c r="AE588" s="548"/>
      <c r="AF588" s="548"/>
      <c r="AG588" s="548"/>
    </row>
    <row r="589">
      <c r="A589" s="553" t="s">
        <v>5677</v>
      </c>
      <c r="B589" s="554" t="s">
        <v>5678</v>
      </c>
      <c r="C589" s="601" t="s">
        <v>331</v>
      </c>
      <c r="D589" s="559" t="s">
        <v>60</v>
      </c>
      <c r="E589" s="557" t="s">
        <v>6005</v>
      </c>
      <c r="F589" s="553" t="s">
        <v>6007</v>
      </c>
      <c r="G589" s="558">
        <v>45946.0</v>
      </c>
      <c r="H589" s="558">
        <v>45950.0</v>
      </c>
      <c r="I589" s="563">
        <f>IFERROR(__xludf.DUMMYFUNCTION("IF(ISBLANK(H589), TODAY()-TO_DATE(G589), TO_DATE(H589)-TO_DATE(G589))+1"),5.0)</f>
        <v>5</v>
      </c>
      <c r="J589" s="628">
        <v>300.0</v>
      </c>
      <c r="K589" s="561" t="s">
        <v>6012</v>
      </c>
      <c r="L589" s="615"/>
      <c r="M589" s="563"/>
      <c r="N589" s="564"/>
      <c r="O589" s="564"/>
      <c r="P589" s="564"/>
      <c r="Q589" s="564"/>
      <c r="R589" s="564"/>
      <c r="S589" s="564"/>
      <c r="T589" s="564"/>
      <c r="U589" s="564"/>
      <c r="V589" s="564"/>
      <c r="W589" s="564"/>
      <c r="X589" s="564"/>
      <c r="Y589" s="564"/>
      <c r="Z589" s="564"/>
      <c r="AA589" s="564"/>
      <c r="AB589" s="564"/>
      <c r="AC589" s="564"/>
      <c r="AD589" s="564"/>
      <c r="AE589" s="564"/>
      <c r="AF589" s="564"/>
      <c r="AG589" s="564"/>
    </row>
    <row r="590">
      <c r="A590" s="553" t="s">
        <v>5677</v>
      </c>
      <c r="B590" s="554" t="s">
        <v>5678</v>
      </c>
      <c r="C590" s="601" t="s">
        <v>213</v>
      </c>
      <c r="D590" s="559" t="s">
        <v>60</v>
      </c>
      <c r="E590" s="557" t="s">
        <v>6016</v>
      </c>
      <c r="F590" s="553" t="s">
        <v>6017</v>
      </c>
      <c r="G590" s="558">
        <v>45946.0</v>
      </c>
      <c r="H590" s="558">
        <v>45950.0</v>
      </c>
      <c r="I590" s="563">
        <f>IFERROR(__xludf.DUMMYFUNCTION("IF(ISBLANK(H590), TODAY()-TO_DATE(G590), TO_DATE(H590)-TO_DATE(G590))+1"),5.0)</f>
        <v>5</v>
      </c>
      <c r="J590" s="628">
        <v>300.0</v>
      </c>
      <c r="K590" s="649" t="s">
        <v>6021</v>
      </c>
      <c r="L590" s="562"/>
      <c r="M590" s="562" t="s">
        <v>6023</v>
      </c>
      <c r="N590" s="564"/>
      <c r="O590" s="564"/>
      <c r="P590" s="564"/>
      <c r="Q590" s="564"/>
      <c r="R590" s="564"/>
      <c r="S590" s="564"/>
      <c r="T590" s="564"/>
      <c r="U590" s="564"/>
      <c r="V590" s="564"/>
      <c r="W590" s="564"/>
      <c r="X590" s="564"/>
      <c r="Y590" s="564"/>
      <c r="Z590" s="564"/>
      <c r="AA590" s="564"/>
      <c r="AB590" s="564"/>
      <c r="AC590" s="564"/>
      <c r="AD590" s="564"/>
      <c r="AE590" s="564"/>
      <c r="AF590" s="564"/>
      <c r="AG590" s="564"/>
    </row>
    <row r="591">
      <c r="A591" s="553" t="s">
        <v>5177</v>
      </c>
      <c r="B591" s="554" t="s">
        <v>5904</v>
      </c>
      <c r="C591" s="651" t="s">
        <v>1466</v>
      </c>
      <c r="D591" s="118" t="s">
        <v>60</v>
      </c>
      <c r="E591" s="553" t="s">
        <v>2595</v>
      </c>
      <c r="F591" s="553" t="s">
        <v>866</v>
      </c>
      <c r="G591" s="558">
        <v>45946.0</v>
      </c>
      <c r="H591" s="608">
        <v>45959.0</v>
      </c>
      <c r="I591" s="563">
        <f>IFERROR(__xludf.DUMMYFUNCTION("IF(ISBLANK(H591), TODAY()-TO_DATE(G591), TO_DATE(H591)-TO_DATE(G591))+1"),14.0)</f>
        <v>14</v>
      </c>
      <c r="J591" s="628">
        <v>300.0</v>
      </c>
      <c r="K591" s="553" t="s">
        <v>6032</v>
      </c>
      <c r="L591" s="562" t="s">
        <v>5916</v>
      </c>
      <c r="M591" s="553" t="s">
        <v>6033</v>
      </c>
      <c r="N591" s="564"/>
      <c r="O591" s="564"/>
      <c r="P591" s="564"/>
      <c r="Q591" s="564"/>
      <c r="R591" s="564"/>
      <c r="S591" s="564"/>
      <c r="T591" s="564"/>
      <c r="U591" s="564"/>
      <c r="V591" s="564"/>
      <c r="W591" s="564"/>
      <c r="X591" s="564"/>
      <c r="Y591" s="564"/>
      <c r="Z591" s="564"/>
      <c r="AA591" s="564"/>
      <c r="AB591" s="564"/>
      <c r="AC591" s="564"/>
      <c r="AD591" s="564"/>
      <c r="AE591" s="564"/>
      <c r="AF591" s="564"/>
      <c r="AG591" s="564"/>
    </row>
    <row r="592">
      <c r="A592" s="540" t="s">
        <v>5177</v>
      </c>
      <c r="B592" s="541" t="s">
        <v>5904</v>
      </c>
      <c r="C592" s="322" t="s">
        <v>187</v>
      </c>
      <c r="D592" s="647" t="s">
        <v>60</v>
      </c>
      <c r="E592" s="540" t="s">
        <v>2221</v>
      </c>
      <c r="F592" s="540" t="s">
        <v>943</v>
      </c>
      <c r="G592" s="545">
        <v>45946.0</v>
      </c>
      <c r="H592" s="616">
        <v>45956.0</v>
      </c>
      <c r="I592" s="547">
        <f>IFERROR(__xludf.DUMMYFUNCTION("IF(ISBLANK(H592), TODAY()-TO_DATE(G592), TO_DATE(H592)-TO_DATE(G592))+1"),11.0)</f>
        <v>11</v>
      </c>
      <c r="J592" s="633">
        <v>500.0</v>
      </c>
      <c r="K592" s="540" t="s">
        <v>6041</v>
      </c>
      <c r="L592" s="544" t="s">
        <v>6043</v>
      </c>
      <c r="M592" s="540" t="s">
        <v>6044</v>
      </c>
      <c r="N592" s="548"/>
      <c r="O592" s="548"/>
      <c r="P592" s="548"/>
      <c r="Q592" s="548"/>
      <c r="R592" s="548"/>
      <c r="S592" s="548"/>
      <c r="T592" s="548"/>
      <c r="U592" s="548"/>
      <c r="V592" s="548"/>
      <c r="W592" s="548"/>
      <c r="X592" s="548"/>
      <c r="Y592" s="548"/>
      <c r="Z592" s="548"/>
      <c r="AA592" s="548"/>
      <c r="AB592" s="548"/>
      <c r="AC592" s="548"/>
      <c r="AD592" s="548"/>
      <c r="AE592" s="548"/>
      <c r="AF592" s="548"/>
      <c r="AG592" s="548"/>
    </row>
    <row r="593">
      <c r="A593" s="540" t="s">
        <v>5177</v>
      </c>
      <c r="B593" s="541" t="s">
        <v>5904</v>
      </c>
      <c r="C593" s="610" t="s">
        <v>295</v>
      </c>
      <c r="D593" s="652" t="s">
        <v>656</v>
      </c>
      <c r="E593" s="540" t="s">
        <v>6047</v>
      </c>
      <c r="F593" s="540" t="s">
        <v>230</v>
      </c>
      <c r="G593" s="545">
        <v>45946.0</v>
      </c>
      <c r="H593" s="616">
        <v>45956.0</v>
      </c>
      <c r="I593" s="547">
        <f>IFERROR(__xludf.DUMMYFUNCTION("IF(ISBLANK(H593), TODAY()-TO_DATE(G593), TO_DATE(H593)-TO_DATE(G593))+1"),11.0)</f>
        <v>11</v>
      </c>
      <c r="J593" s="633">
        <v>500.0</v>
      </c>
      <c r="K593" s="540" t="s">
        <v>6057</v>
      </c>
      <c r="L593" s="611"/>
      <c r="M593" s="540" t="s">
        <v>6044</v>
      </c>
      <c r="N593" s="548"/>
      <c r="O593" s="548"/>
      <c r="P593" s="548"/>
      <c r="Q593" s="548"/>
      <c r="R593" s="548"/>
      <c r="S593" s="548"/>
      <c r="T593" s="548"/>
      <c r="U593" s="548"/>
      <c r="V593" s="548"/>
      <c r="W593" s="548"/>
      <c r="X593" s="548"/>
      <c r="Y593" s="548"/>
      <c r="Z593" s="548"/>
      <c r="AA593" s="548"/>
      <c r="AB593" s="548"/>
      <c r="AC593" s="548"/>
      <c r="AD593" s="548"/>
      <c r="AE593" s="548"/>
      <c r="AF593" s="548"/>
      <c r="AG593" s="548"/>
    </row>
    <row r="594">
      <c r="A594" s="553" t="s">
        <v>5177</v>
      </c>
      <c r="B594" s="554" t="s">
        <v>5904</v>
      </c>
      <c r="C594" s="653" t="s">
        <v>6061</v>
      </c>
      <c r="D594" s="118" t="s">
        <v>60</v>
      </c>
      <c r="E594" s="553" t="s">
        <v>115</v>
      </c>
      <c r="F594" s="553" t="s">
        <v>129</v>
      </c>
      <c r="G594" s="558">
        <v>45946.0</v>
      </c>
      <c r="H594" s="558">
        <v>45951.0</v>
      </c>
      <c r="I594" s="563">
        <f>IFERROR(__xludf.DUMMYFUNCTION("IF(ISBLANK(H594), TODAY()-TO_DATE(G594), TO_DATE(H594)-TO_DATE(G594))+1"),6.0)</f>
        <v>6</v>
      </c>
      <c r="J594" s="628">
        <v>300.0</v>
      </c>
      <c r="K594" s="561" t="s">
        <v>6067</v>
      </c>
      <c r="L594" s="562" t="s">
        <v>6069</v>
      </c>
      <c r="M594" s="553" t="s">
        <v>6071</v>
      </c>
      <c r="N594" s="564"/>
      <c r="O594" s="564"/>
      <c r="P594" s="564"/>
      <c r="Q594" s="564"/>
      <c r="R594" s="564"/>
      <c r="S594" s="564"/>
      <c r="T594" s="564"/>
      <c r="U594" s="564"/>
      <c r="V594" s="564"/>
      <c r="W594" s="564"/>
      <c r="X594" s="564"/>
      <c r="Y594" s="564"/>
      <c r="Z594" s="564"/>
      <c r="AA594" s="564"/>
      <c r="AB594" s="564"/>
      <c r="AC594" s="564"/>
      <c r="AD594" s="564"/>
      <c r="AE594" s="564"/>
      <c r="AF594" s="564"/>
      <c r="AG594" s="564"/>
    </row>
    <row r="595">
      <c r="A595" s="540" t="s">
        <v>5177</v>
      </c>
      <c r="B595" s="541" t="s">
        <v>5904</v>
      </c>
      <c r="C595" s="655" t="s">
        <v>6074</v>
      </c>
      <c r="D595" s="647" t="s">
        <v>60</v>
      </c>
      <c r="E595" s="540" t="s">
        <v>433</v>
      </c>
      <c r="F595" s="540" t="s">
        <v>435</v>
      </c>
      <c r="G595" s="545">
        <v>45946.0</v>
      </c>
      <c r="H595" s="616">
        <v>45957.0</v>
      </c>
      <c r="I595" s="547">
        <f>IFERROR(__xludf.DUMMYFUNCTION("IF(ISBLANK(H595), TODAY()-TO_DATE(G595), TO_DATE(H595)-TO_DATE(G595))+1"),12.0)</f>
        <v>12</v>
      </c>
      <c r="J595" s="633">
        <v>500.0</v>
      </c>
      <c r="K595" s="540" t="s">
        <v>6079</v>
      </c>
      <c r="L595" s="544" t="s">
        <v>6080</v>
      </c>
      <c r="M595" s="540" t="s">
        <v>6081</v>
      </c>
      <c r="N595" s="548"/>
      <c r="O595" s="548"/>
      <c r="P595" s="548"/>
      <c r="Q595" s="548"/>
      <c r="R595" s="548"/>
      <c r="S595" s="548"/>
      <c r="T595" s="548"/>
      <c r="U595" s="548"/>
      <c r="V595" s="548"/>
      <c r="W595" s="548"/>
      <c r="X595" s="548"/>
      <c r="Y595" s="548"/>
      <c r="Z595" s="548"/>
      <c r="AA595" s="548"/>
      <c r="AB595" s="548"/>
      <c r="AC595" s="548"/>
      <c r="AD595" s="548"/>
      <c r="AE595" s="548"/>
      <c r="AF595" s="548"/>
      <c r="AG595" s="548"/>
    </row>
    <row r="596">
      <c r="A596" s="540" t="s">
        <v>5177</v>
      </c>
      <c r="B596" s="541" t="s">
        <v>5904</v>
      </c>
      <c r="C596" s="542" t="s">
        <v>331</v>
      </c>
      <c r="D596" s="647" t="s">
        <v>60</v>
      </c>
      <c r="E596" s="540" t="s">
        <v>6085</v>
      </c>
      <c r="F596" s="540" t="s">
        <v>6086</v>
      </c>
      <c r="G596" s="545">
        <v>45946.0</v>
      </c>
      <c r="H596" s="616">
        <v>45953.0</v>
      </c>
      <c r="I596" s="547">
        <f>IFERROR(__xludf.DUMMYFUNCTION("IF(ISBLANK(H596), TODAY()-TO_DATE(G596), TO_DATE(H596)-TO_DATE(G596))+1"),8.0)</f>
        <v>8</v>
      </c>
      <c r="J596" s="633">
        <v>500.0</v>
      </c>
      <c r="K596" s="540" t="s">
        <v>6088</v>
      </c>
      <c r="L596" s="611"/>
      <c r="M596" s="547"/>
      <c r="N596" s="548"/>
      <c r="O596" s="548"/>
      <c r="P596" s="548"/>
      <c r="Q596" s="548"/>
      <c r="R596" s="548"/>
      <c r="S596" s="548"/>
      <c r="T596" s="548"/>
      <c r="U596" s="548"/>
      <c r="V596" s="548"/>
      <c r="W596" s="548"/>
      <c r="X596" s="548"/>
      <c r="Y596" s="548"/>
      <c r="Z596" s="548"/>
      <c r="AA596" s="548"/>
      <c r="AB596" s="548"/>
      <c r="AC596" s="548"/>
      <c r="AD596" s="548"/>
      <c r="AE596" s="548"/>
      <c r="AF596" s="548"/>
      <c r="AG596" s="548"/>
    </row>
    <row r="597">
      <c r="A597" s="553" t="s">
        <v>5177</v>
      </c>
      <c r="B597" s="554" t="s">
        <v>5904</v>
      </c>
      <c r="C597" s="653" t="s">
        <v>6091</v>
      </c>
      <c r="D597" s="118" t="s">
        <v>60</v>
      </c>
      <c r="E597" s="553" t="s">
        <v>6093</v>
      </c>
      <c r="F597" s="553" t="s">
        <v>6094</v>
      </c>
      <c r="G597" s="558">
        <v>45946.0</v>
      </c>
      <c r="H597" s="558">
        <v>45950.0</v>
      </c>
      <c r="I597" s="563">
        <f>IFERROR(__xludf.DUMMYFUNCTION("IF(ISBLANK(H597), TODAY()-TO_DATE(G597), TO_DATE(H597)-TO_DATE(G597))+1"),5.0)</f>
        <v>5</v>
      </c>
      <c r="J597" s="628">
        <v>300.0</v>
      </c>
      <c r="K597" s="561" t="s">
        <v>6096</v>
      </c>
      <c r="L597" s="562" t="s">
        <v>6097</v>
      </c>
      <c r="M597" s="553"/>
      <c r="N597" s="564"/>
      <c r="O597" s="564"/>
      <c r="P597" s="564"/>
      <c r="Q597" s="564"/>
      <c r="R597" s="564"/>
      <c r="S597" s="564"/>
      <c r="T597" s="564"/>
      <c r="U597" s="564"/>
      <c r="V597" s="564"/>
      <c r="W597" s="564"/>
      <c r="X597" s="564"/>
      <c r="Y597" s="564"/>
      <c r="Z597" s="564"/>
      <c r="AA597" s="564"/>
      <c r="AB597" s="564"/>
      <c r="AC597" s="564"/>
      <c r="AD597" s="564"/>
      <c r="AE597" s="564"/>
      <c r="AF597" s="564"/>
      <c r="AG597" s="564"/>
    </row>
    <row r="598">
      <c r="A598" s="240" t="s">
        <v>5177</v>
      </c>
      <c r="B598" s="231" t="s">
        <v>5904</v>
      </c>
      <c r="C598" s="373" t="s">
        <v>213</v>
      </c>
      <c r="D598" s="85" t="s">
        <v>60</v>
      </c>
      <c r="E598" s="240" t="s">
        <v>6105</v>
      </c>
      <c r="F598" s="240" t="s">
        <v>6106</v>
      </c>
      <c r="G598" s="493">
        <v>45946.0</v>
      </c>
      <c r="H598" s="642">
        <v>45961.0</v>
      </c>
      <c r="I598" s="63">
        <f>IFERROR(__xludf.DUMMYFUNCTION("IF(ISBLANK(H598), TODAY()-TO_DATE(G598), TO_DATE(H598)-TO_DATE(G598))+1"),16.0)</f>
        <v>16</v>
      </c>
      <c r="J598" s="40" t="s">
        <v>197</v>
      </c>
      <c r="K598" s="240" t="s">
        <v>6110</v>
      </c>
      <c r="L598" s="321" t="s">
        <v>6111</v>
      </c>
      <c r="M598" s="240" t="s">
        <v>6112</v>
      </c>
      <c r="N598" s="29"/>
      <c r="O598" s="29"/>
      <c r="P598" s="29"/>
      <c r="Q598" s="29"/>
      <c r="R598" s="29"/>
      <c r="S598" s="29"/>
      <c r="T598" s="29"/>
      <c r="U598" s="29"/>
      <c r="V598" s="29"/>
      <c r="W598" s="29"/>
      <c r="X598" s="29"/>
      <c r="Y598" s="29"/>
      <c r="Z598" s="29"/>
      <c r="AA598" s="29"/>
      <c r="AB598" s="29"/>
      <c r="AC598" s="29"/>
      <c r="AD598" s="29"/>
      <c r="AE598" s="29"/>
      <c r="AF598" s="29"/>
      <c r="AG598" s="29"/>
    </row>
    <row r="599">
      <c r="A599" s="553" t="s">
        <v>5177</v>
      </c>
      <c r="B599" s="554" t="s">
        <v>5904</v>
      </c>
      <c r="C599" s="613" t="s">
        <v>187</v>
      </c>
      <c r="D599" s="118" t="s">
        <v>60</v>
      </c>
      <c r="E599" s="553" t="s">
        <v>6116</v>
      </c>
      <c r="F599" s="553" t="s">
        <v>891</v>
      </c>
      <c r="G599" s="558">
        <v>45946.0</v>
      </c>
      <c r="H599" s="558">
        <v>45951.0</v>
      </c>
      <c r="I599" s="563">
        <f>IFERROR(__xludf.DUMMYFUNCTION("IF(ISBLANK(H599), TODAY()-TO_DATE(G599), TO_DATE(H599)-TO_DATE(G599))+1"),6.0)</f>
        <v>6</v>
      </c>
      <c r="J599" s="628">
        <v>300.0</v>
      </c>
      <c r="K599" s="561" t="s">
        <v>6119</v>
      </c>
      <c r="L599" s="615"/>
      <c r="M599" s="563"/>
      <c r="N599" s="564"/>
      <c r="O599" s="564"/>
      <c r="P599" s="564"/>
      <c r="Q599" s="564"/>
      <c r="R599" s="564"/>
      <c r="S599" s="564"/>
      <c r="T599" s="564"/>
      <c r="U599" s="564"/>
      <c r="V599" s="564"/>
      <c r="W599" s="564"/>
      <c r="X599" s="564"/>
      <c r="Y599" s="564"/>
      <c r="Z599" s="564"/>
      <c r="AA599" s="564"/>
      <c r="AB599" s="564"/>
      <c r="AC599" s="564"/>
      <c r="AD599" s="564"/>
      <c r="AE599" s="564"/>
      <c r="AF599" s="564"/>
      <c r="AG599" s="564"/>
    </row>
    <row r="600">
      <c r="A600" s="553" t="s">
        <v>5177</v>
      </c>
      <c r="B600" s="554" t="s">
        <v>5851</v>
      </c>
      <c r="C600" s="601" t="s">
        <v>331</v>
      </c>
      <c r="D600" s="118" t="s">
        <v>60</v>
      </c>
      <c r="E600" s="563" t="s">
        <v>6122</v>
      </c>
      <c r="F600" s="553" t="s">
        <v>4016</v>
      </c>
      <c r="G600" s="558">
        <v>45946.0</v>
      </c>
      <c r="H600" s="558">
        <v>45953.0</v>
      </c>
      <c r="I600" s="563">
        <f>IFERROR(__xludf.DUMMYFUNCTION("IF(ISBLANK(H600), TODAY()-TO_DATE(G600), TO_DATE(H600)-TO_DATE(G600))+1"),8.0)</f>
        <v>8</v>
      </c>
      <c r="J600" s="628">
        <v>300.0</v>
      </c>
      <c r="K600" s="561" t="s">
        <v>6125</v>
      </c>
      <c r="L600" s="656"/>
      <c r="M600" s="563"/>
      <c r="N600" s="564"/>
      <c r="O600" s="564"/>
      <c r="P600" s="564"/>
      <c r="Q600" s="564"/>
      <c r="R600" s="564"/>
      <c r="S600" s="564"/>
      <c r="T600" s="564"/>
      <c r="U600" s="564"/>
      <c r="V600" s="564"/>
      <c r="W600" s="564"/>
      <c r="X600" s="564"/>
      <c r="Y600" s="564"/>
      <c r="Z600" s="564"/>
      <c r="AA600" s="564"/>
      <c r="AB600" s="564"/>
      <c r="AC600" s="564"/>
      <c r="AD600" s="564"/>
      <c r="AE600" s="564"/>
      <c r="AF600" s="564"/>
      <c r="AG600" s="564"/>
    </row>
    <row r="601">
      <c r="A601" s="580" t="s">
        <v>5177</v>
      </c>
      <c r="B601" s="581" t="s">
        <v>5851</v>
      </c>
      <c r="C601" s="657" t="s">
        <v>212</v>
      </c>
      <c r="D601" s="588" t="s">
        <v>60</v>
      </c>
      <c r="E601" s="589" t="s">
        <v>6131</v>
      </c>
      <c r="F601" s="580" t="s">
        <v>2218</v>
      </c>
      <c r="G601" s="586">
        <v>45946.0</v>
      </c>
      <c r="H601" s="658">
        <v>45954.0</v>
      </c>
      <c r="I601" s="589">
        <f>IFERROR(__xludf.DUMMYFUNCTION("IF(ISBLANK(H601), TODAY()-TO_DATE(G601), TO_DATE(H601)-TO_DATE(G601))+1"),9.0)</f>
        <v>9</v>
      </c>
      <c r="J601" s="623">
        <v>200.0</v>
      </c>
      <c r="K601" s="561" t="s">
        <v>6137</v>
      </c>
      <c r="L601" s="659"/>
      <c r="M601" s="589"/>
      <c r="N601" s="590"/>
      <c r="O601" s="590"/>
      <c r="P601" s="590"/>
      <c r="Q601" s="590"/>
      <c r="R601" s="590"/>
      <c r="S601" s="590"/>
      <c r="T601" s="590"/>
      <c r="U601" s="590"/>
      <c r="V601" s="590"/>
      <c r="W601" s="590"/>
      <c r="X601" s="590"/>
      <c r="Y601" s="590"/>
      <c r="Z601" s="590"/>
      <c r="AA601" s="590"/>
      <c r="AB601" s="590"/>
      <c r="AC601" s="590"/>
      <c r="AD601" s="590"/>
      <c r="AE601" s="590"/>
      <c r="AF601" s="590"/>
      <c r="AG601" s="590"/>
    </row>
    <row r="602">
      <c r="A602" s="553" t="s">
        <v>5677</v>
      </c>
      <c r="B602" s="554" t="s">
        <v>5678</v>
      </c>
      <c r="C602" s="601" t="s">
        <v>331</v>
      </c>
      <c r="D602" s="559" t="s">
        <v>60</v>
      </c>
      <c r="E602" s="557" t="s">
        <v>5554</v>
      </c>
      <c r="F602" s="553" t="s">
        <v>6145</v>
      </c>
      <c r="G602" s="558">
        <v>45947.0</v>
      </c>
      <c r="H602" s="558">
        <v>45950.0</v>
      </c>
      <c r="I602" s="563">
        <f>IFERROR(__xludf.DUMMYFUNCTION("IF(ISBLANK(H602), TODAY()-TO_DATE(G602), TO_DATE(H602)-TO_DATE(G602))+1"),4.0)</f>
        <v>4</v>
      </c>
      <c r="J602" s="628">
        <v>300.0</v>
      </c>
      <c r="K602" s="561" t="s">
        <v>6158</v>
      </c>
      <c r="L602" s="562" t="s">
        <v>6159</v>
      </c>
      <c r="M602" s="563"/>
      <c r="N602" s="564"/>
      <c r="O602" s="564"/>
      <c r="P602" s="564"/>
      <c r="Q602" s="564"/>
      <c r="R602" s="564"/>
      <c r="S602" s="564"/>
      <c r="T602" s="564"/>
      <c r="U602" s="564"/>
      <c r="V602" s="564"/>
      <c r="W602" s="564"/>
      <c r="X602" s="564"/>
      <c r="Y602" s="564"/>
      <c r="Z602" s="564"/>
      <c r="AA602" s="564"/>
      <c r="AB602" s="564"/>
      <c r="AC602" s="564"/>
      <c r="AD602" s="564"/>
      <c r="AE602" s="564"/>
      <c r="AF602" s="564"/>
      <c r="AG602" s="564"/>
    </row>
    <row r="603">
      <c r="A603" s="540" t="s">
        <v>5677</v>
      </c>
      <c r="B603" s="541" t="s">
        <v>5678</v>
      </c>
      <c r="C603" s="550" t="s">
        <v>201</v>
      </c>
      <c r="D603" s="546" t="s">
        <v>60</v>
      </c>
      <c r="E603" s="543" t="s">
        <v>6172</v>
      </c>
      <c r="F603" s="540" t="s">
        <v>1250</v>
      </c>
      <c r="G603" s="545">
        <v>45947.0</v>
      </c>
      <c r="H603" s="545">
        <v>45949.0</v>
      </c>
      <c r="I603" s="547">
        <f>IFERROR(__xludf.DUMMYFUNCTION("IF(ISBLANK(H603), TODAY()-TO_DATE(G603), TO_DATE(H603)-TO_DATE(G603))+1"),3.0)</f>
        <v>3</v>
      </c>
      <c r="J603" s="633">
        <v>500.0</v>
      </c>
      <c r="K603" s="540" t="s">
        <v>6178</v>
      </c>
      <c r="L603" s="611"/>
      <c r="M603" s="547"/>
      <c r="N603" s="548"/>
      <c r="O603" s="548"/>
      <c r="P603" s="548"/>
      <c r="Q603" s="548"/>
      <c r="R603" s="548"/>
      <c r="S603" s="548"/>
      <c r="T603" s="548"/>
      <c r="U603" s="548"/>
      <c r="V603" s="548"/>
      <c r="W603" s="548"/>
      <c r="X603" s="548"/>
      <c r="Y603" s="548"/>
      <c r="Z603" s="548"/>
      <c r="AA603" s="548"/>
      <c r="AB603" s="548"/>
      <c r="AC603" s="548"/>
      <c r="AD603" s="548"/>
      <c r="AE603" s="548"/>
      <c r="AF603" s="548"/>
      <c r="AG603" s="548"/>
    </row>
    <row r="604">
      <c r="A604" s="553" t="s">
        <v>5677</v>
      </c>
      <c r="B604" s="554" t="s">
        <v>5678</v>
      </c>
      <c r="C604" s="601" t="s">
        <v>139</v>
      </c>
      <c r="D604" s="559" t="s">
        <v>60</v>
      </c>
      <c r="E604" s="557" t="s">
        <v>6182</v>
      </c>
      <c r="F604" s="553" t="s">
        <v>1391</v>
      </c>
      <c r="G604" s="558">
        <v>45947.0</v>
      </c>
      <c r="H604" s="558">
        <v>45950.0</v>
      </c>
      <c r="I604" s="563">
        <f>IFERROR(__xludf.DUMMYFUNCTION("IF(ISBLANK(H604), TODAY()-TO_DATE(G604), TO_DATE(H604)-TO_DATE(G604))+1"),4.0)</f>
        <v>4</v>
      </c>
      <c r="J604" s="628">
        <v>300.0</v>
      </c>
      <c r="K604" s="561" t="s">
        <v>6185</v>
      </c>
      <c r="L604" s="563"/>
      <c r="M604" s="553" t="s">
        <v>6186</v>
      </c>
      <c r="N604" s="564"/>
      <c r="O604" s="564"/>
      <c r="P604" s="564"/>
      <c r="Q604" s="564"/>
      <c r="R604" s="564"/>
      <c r="S604" s="564"/>
      <c r="T604" s="564"/>
      <c r="U604" s="564"/>
      <c r="V604" s="564"/>
      <c r="W604" s="564"/>
      <c r="X604" s="564"/>
      <c r="Y604" s="564"/>
      <c r="Z604" s="564"/>
      <c r="AA604" s="564"/>
      <c r="AB604" s="564"/>
      <c r="AC604" s="564"/>
      <c r="AD604" s="564"/>
      <c r="AE604" s="564"/>
      <c r="AF604" s="564"/>
      <c r="AG604" s="564"/>
    </row>
    <row r="605">
      <c r="A605" s="553" t="s">
        <v>5677</v>
      </c>
      <c r="B605" s="554" t="s">
        <v>5678</v>
      </c>
      <c r="C605" s="601" t="s">
        <v>1932</v>
      </c>
      <c r="D605" s="559" t="s">
        <v>60</v>
      </c>
      <c r="E605" s="557" t="s">
        <v>6192</v>
      </c>
      <c r="F605" s="553" t="s">
        <v>6193</v>
      </c>
      <c r="G605" s="558">
        <v>45947.0</v>
      </c>
      <c r="H605" s="558">
        <v>45949.0</v>
      </c>
      <c r="I605" s="563">
        <f>IFERROR(__xludf.DUMMYFUNCTION("IF(ISBLANK(H605), TODAY()-TO_DATE(G605), TO_DATE(H605)-TO_DATE(G605))+1"),3.0)</f>
        <v>3</v>
      </c>
      <c r="J605" s="628">
        <v>300.0</v>
      </c>
      <c r="K605" s="561" t="s">
        <v>6194</v>
      </c>
      <c r="L605" s="615"/>
      <c r="M605" s="563"/>
      <c r="N605" s="564"/>
      <c r="O605" s="564"/>
      <c r="P605" s="564"/>
      <c r="Q605" s="564"/>
      <c r="R605" s="564"/>
      <c r="S605" s="564"/>
      <c r="T605" s="564"/>
      <c r="U605" s="564"/>
      <c r="V605" s="564"/>
      <c r="W605" s="564"/>
      <c r="X605" s="564"/>
      <c r="Y605" s="564"/>
      <c r="Z605" s="564"/>
      <c r="AA605" s="564"/>
      <c r="AB605" s="564"/>
      <c r="AC605" s="564"/>
      <c r="AD605" s="564"/>
      <c r="AE605" s="564"/>
      <c r="AF605" s="564"/>
      <c r="AG605" s="564"/>
    </row>
    <row r="606">
      <c r="A606" s="540" t="s">
        <v>5177</v>
      </c>
      <c r="B606" s="541" t="s">
        <v>5904</v>
      </c>
      <c r="C606" s="550" t="s">
        <v>213</v>
      </c>
      <c r="D606" s="647" t="s">
        <v>610</v>
      </c>
      <c r="E606" s="540" t="s">
        <v>6199</v>
      </c>
      <c r="F606" s="540" t="s">
        <v>1674</v>
      </c>
      <c r="G606" s="545">
        <v>45948.0</v>
      </c>
      <c r="H606" s="616">
        <v>45957.0</v>
      </c>
      <c r="I606" s="547">
        <f>IFERROR(__xludf.DUMMYFUNCTION("IF(ISBLANK(H606), TODAY()-TO_DATE(G606), TO_DATE(H606)-TO_DATE(G606))+1"),10.0)</f>
        <v>10</v>
      </c>
      <c r="J606" s="633">
        <v>500.0</v>
      </c>
      <c r="K606" s="540" t="s">
        <v>6201</v>
      </c>
      <c r="L606" s="540"/>
      <c r="M606" s="540" t="s">
        <v>6081</v>
      </c>
      <c r="N606" s="548"/>
      <c r="O606" s="548"/>
      <c r="P606" s="548"/>
      <c r="Q606" s="548"/>
      <c r="R606" s="548"/>
      <c r="S606" s="548"/>
      <c r="T606" s="548"/>
      <c r="U606" s="548"/>
      <c r="V606" s="548"/>
      <c r="W606" s="548"/>
      <c r="X606" s="548"/>
      <c r="Y606" s="548"/>
      <c r="Z606" s="548"/>
      <c r="AA606" s="548"/>
      <c r="AB606" s="548"/>
      <c r="AC606" s="548"/>
      <c r="AD606" s="548"/>
      <c r="AE606" s="548"/>
      <c r="AF606" s="548"/>
      <c r="AG606" s="548"/>
    </row>
    <row r="607">
      <c r="A607" s="540" t="s">
        <v>5177</v>
      </c>
      <c r="B607" s="541" t="s">
        <v>5904</v>
      </c>
      <c r="C607" s="550" t="s">
        <v>1932</v>
      </c>
      <c r="D607" s="546" t="s">
        <v>60</v>
      </c>
      <c r="E607" s="540" t="s">
        <v>6207</v>
      </c>
      <c r="F607" s="540" t="s">
        <v>3406</v>
      </c>
      <c r="G607" s="545">
        <v>45948.0</v>
      </c>
      <c r="H607" s="616">
        <v>45952.0</v>
      </c>
      <c r="I607" s="547">
        <f>IFERROR(__xludf.DUMMYFUNCTION("IF(ISBLANK(H607), TODAY()-TO_DATE(G607), TO_DATE(H607)-TO_DATE(G607))+1"),5.0)</f>
        <v>5</v>
      </c>
      <c r="J607" s="633">
        <v>500.0</v>
      </c>
      <c r="K607" s="540" t="s">
        <v>6214</v>
      </c>
      <c r="L607" s="540"/>
      <c r="M607" s="540"/>
      <c r="N607" s="548"/>
      <c r="O607" s="548"/>
      <c r="P607" s="548"/>
      <c r="Q607" s="548"/>
      <c r="R607" s="548"/>
      <c r="S607" s="548"/>
      <c r="T607" s="548"/>
      <c r="U607" s="548"/>
      <c r="V607" s="548"/>
      <c r="W607" s="548"/>
      <c r="X607" s="548"/>
      <c r="Y607" s="548"/>
      <c r="Z607" s="548"/>
      <c r="AA607" s="548"/>
      <c r="AB607" s="548"/>
      <c r="AC607" s="548"/>
      <c r="AD607" s="548"/>
      <c r="AE607" s="548"/>
      <c r="AF607" s="548"/>
      <c r="AG607" s="548"/>
    </row>
    <row r="608">
      <c r="A608" s="540" t="s">
        <v>5177</v>
      </c>
      <c r="B608" s="541" t="s">
        <v>5904</v>
      </c>
      <c r="C608" s="550" t="s">
        <v>213</v>
      </c>
      <c r="D608" s="546" t="s">
        <v>60</v>
      </c>
      <c r="E608" s="540" t="s">
        <v>3605</v>
      </c>
      <c r="F608" s="540" t="s">
        <v>3208</v>
      </c>
      <c r="G608" s="545">
        <v>45948.0</v>
      </c>
      <c r="H608" s="616">
        <v>45953.0</v>
      </c>
      <c r="I608" s="547">
        <f>IFERROR(__xludf.DUMMYFUNCTION("IF(ISBLANK(H608), TODAY()-TO_DATE(G608), TO_DATE(H608)-TO_DATE(G608))+1"),6.0)</f>
        <v>6</v>
      </c>
      <c r="J608" s="633">
        <v>500.0</v>
      </c>
      <c r="K608" s="540" t="s">
        <v>3608</v>
      </c>
      <c r="L608" s="540" t="s">
        <v>6224</v>
      </c>
      <c r="M608" s="540" t="s">
        <v>6226</v>
      </c>
      <c r="N608" s="548"/>
      <c r="O608" s="548"/>
      <c r="P608" s="548"/>
      <c r="Q608" s="548"/>
      <c r="R608" s="548"/>
      <c r="S608" s="548"/>
      <c r="T608" s="548"/>
      <c r="U608" s="548"/>
      <c r="V608" s="548"/>
      <c r="W608" s="548"/>
      <c r="X608" s="548"/>
      <c r="Y608" s="548"/>
      <c r="Z608" s="548"/>
      <c r="AA608" s="548"/>
      <c r="AB608" s="548"/>
      <c r="AC608" s="548"/>
      <c r="AD608" s="548"/>
      <c r="AE608" s="548"/>
      <c r="AF608" s="548"/>
      <c r="AG608" s="548"/>
    </row>
    <row r="609">
      <c r="A609" s="553" t="s">
        <v>5177</v>
      </c>
      <c r="B609" s="554" t="s">
        <v>5904</v>
      </c>
      <c r="C609" s="601" t="s">
        <v>1466</v>
      </c>
      <c r="D609" s="559" t="s">
        <v>60</v>
      </c>
      <c r="E609" s="553" t="s">
        <v>2434</v>
      </c>
      <c r="F609" s="553" t="s">
        <v>2435</v>
      </c>
      <c r="G609" s="558">
        <v>45948.0</v>
      </c>
      <c r="H609" s="608">
        <v>45953.0</v>
      </c>
      <c r="I609" s="563">
        <f>IFERROR(__xludf.DUMMYFUNCTION("IF(ISBLANK(H609), TODAY()-TO_DATE(G609), TO_DATE(H609)-TO_DATE(G609))+1"),6.0)</f>
        <v>6</v>
      </c>
      <c r="J609" s="628">
        <v>300.0</v>
      </c>
      <c r="K609" s="561" t="s">
        <v>4095</v>
      </c>
      <c r="L609" s="553" t="s">
        <v>6234</v>
      </c>
      <c r="M609" s="553" t="s">
        <v>6236</v>
      </c>
      <c r="N609" s="564"/>
      <c r="O609" s="564"/>
      <c r="P609" s="564"/>
      <c r="Q609" s="564"/>
      <c r="R609" s="564"/>
      <c r="S609" s="564"/>
      <c r="T609" s="564"/>
      <c r="U609" s="564"/>
      <c r="V609" s="564"/>
      <c r="W609" s="564"/>
      <c r="X609" s="564"/>
      <c r="Y609" s="564"/>
      <c r="Z609" s="564"/>
      <c r="AA609" s="564"/>
      <c r="AB609" s="564"/>
      <c r="AC609" s="564"/>
      <c r="AD609" s="564"/>
      <c r="AE609" s="564"/>
      <c r="AF609" s="564"/>
      <c r="AG609" s="564"/>
    </row>
    <row r="610">
      <c r="A610" s="540" t="s">
        <v>5177</v>
      </c>
      <c r="B610" s="541" t="s">
        <v>5904</v>
      </c>
      <c r="C610" s="550" t="s">
        <v>287</v>
      </c>
      <c r="D610" s="546" t="s">
        <v>60</v>
      </c>
      <c r="E610" s="540" t="s">
        <v>2618</v>
      </c>
      <c r="F610" s="540" t="s">
        <v>327</v>
      </c>
      <c r="G610" s="545">
        <v>45948.0</v>
      </c>
      <c r="H610" s="616">
        <v>45952.0</v>
      </c>
      <c r="I610" s="547">
        <f>IFERROR(__xludf.DUMMYFUNCTION("IF(ISBLANK(H610), TODAY()-TO_DATE(G610), TO_DATE(H610)-TO_DATE(G610))+1"),5.0)</f>
        <v>5</v>
      </c>
      <c r="J610" s="633">
        <v>500.0</v>
      </c>
      <c r="K610" s="540" t="s">
        <v>6244</v>
      </c>
      <c r="L610" s="540" t="s">
        <v>6245</v>
      </c>
      <c r="M610" s="540"/>
      <c r="N610" s="548"/>
      <c r="O610" s="548"/>
      <c r="P610" s="548"/>
      <c r="Q610" s="548"/>
      <c r="R610" s="548"/>
      <c r="S610" s="548"/>
      <c r="T610" s="548"/>
      <c r="U610" s="548"/>
      <c r="V610" s="548"/>
      <c r="W610" s="548"/>
      <c r="X610" s="548"/>
      <c r="Y610" s="548"/>
      <c r="Z610" s="548"/>
      <c r="AA610" s="548"/>
      <c r="AB610" s="548"/>
      <c r="AC610" s="548"/>
      <c r="AD610" s="548"/>
      <c r="AE610" s="548"/>
      <c r="AF610" s="548"/>
      <c r="AG610" s="548"/>
    </row>
    <row r="611">
      <c r="A611" s="553" t="s">
        <v>5177</v>
      </c>
      <c r="B611" s="554" t="s">
        <v>5904</v>
      </c>
      <c r="C611" s="601" t="s">
        <v>201</v>
      </c>
      <c r="D611" s="559" t="s">
        <v>60</v>
      </c>
      <c r="E611" s="553" t="s">
        <v>4366</v>
      </c>
      <c r="F611" s="553" t="s">
        <v>4367</v>
      </c>
      <c r="G611" s="558">
        <v>45948.0</v>
      </c>
      <c r="H611" s="608">
        <v>45953.0</v>
      </c>
      <c r="I611" s="563">
        <f>IFERROR(__xludf.DUMMYFUNCTION("IF(ISBLANK(H611), TODAY()-TO_DATE(G611), TO_DATE(H611)-TO_DATE(G611))+1"),6.0)</f>
        <v>6</v>
      </c>
      <c r="J611" s="628">
        <v>300.0</v>
      </c>
      <c r="K611" s="609" t="s">
        <v>4371</v>
      </c>
      <c r="L611" s="553"/>
      <c r="M611" s="553"/>
      <c r="N611" s="564"/>
      <c r="O611" s="564"/>
      <c r="P611" s="564"/>
      <c r="Q611" s="564"/>
      <c r="R611" s="564"/>
      <c r="S611" s="564"/>
      <c r="T611" s="564"/>
      <c r="U611" s="564"/>
      <c r="V611" s="564"/>
      <c r="W611" s="564"/>
      <c r="X611" s="564"/>
      <c r="Y611" s="564"/>
      <c r="Z611" s="564"/>
      <c r="AA611" s="564"/>
      <c r="AB611" s="564"/>
      <c r="AC611" s="564"/>
      <c r="AD611" s="564"/>
      <c r="AE611" s="564"/>
      <c r="AF611" s="564"/>
      <c r="AG611" s="564"/>
    </row>
    <row r="612">
      <c r="A612" s="540" t="s">
        <v>5177</v>
      </c>
      <c r="B612" s="541" t="s">
        <v>5904</v>
      </c>
      <c r="C612" s="646" t="s">
        <v>139</v>
      </c>
      <c r="D612" s="546" t="s">
        <v>60</v>
      </c>
      <c r="E612" s="540" t="s">
        <v>4513</v>
      </c>
      <c r="F612" s="540" t="s">
        <v>1970</v>
      </c>
      <c r="G612" s="545">
        <v>45949.0</v>
      </c>
      <c r="H612" s="616">
        <v>45960.0</v>
      </c>
      <c r="I612" s="547">
        <f>IFERROR(__xludf.DUMMYFUNCTION("IF(ISBLANK(H612), TODAY()-TO_DATE(G612), TO_DATE(H612)-TO_DATE(G612))+1"),12.0)</f>
        <v>12</v>
      </c>
      <c r="J612" s="633">
        <v>500.0</v>
      </c>
      <c r="K612" s="540" t="s">
        <v>6257</v>
      </c>
      <c r="L612" s="544" t="s">
        <v>6258</v>
      </c>
      <c r="M612" s="540" t="s">
        <v>6260</v>
      </c>
      <c r="N612" s="548"/>
      <c r="O612" s="548"/>
      <c r="P612" s="548"/>
      <c r="Q612" s="548"/>
      <c r="R612" s="548"/>
      <c r="S612" s="548"/>
      <c r="T612" s="548"/>
      <c r="U612" s="548"/>
      <c r="V612" s="548"/>
      <c r="W612" s="548"/>
      <c r="X612" s="548"/>
      <c r="Y612" s="548"/>
      <c r="Z612" s="548"/>
      <c r="AA612" s="548"/>
      <c r="AB612" s="548"/>
      <c r="AC612" s="548"/>
      <c r="AD612" s="548"/>
      <c r="AE612" s="548"/>
      <c r="AF612" s="548"/>
      <c r="AG612" s="548"/>
    </row>
    <row r="613">
      <c r="A613" s="553" t="s">
        <v>5177</v>
      </c>
      <c r="B613" s="554" t="s">
        <v>5904</v>
      </c>
      <c r="C613" s="651" t="s">
        <v>266</v>
      </c>
      <c r="D613" s="118" t="s">
        <v>360</v>
      </c>
      <c r="E613" s="553" t="s">
        <v>3434</v>
      </c>
      <c r="F613" s="553" t="s">
        <v>3436</v>
      </c>
      <c r="G613" s="558">
        <v>45949.0</v>
      </c>
      <c r="H613" s="644">
        <v>45966.0</v>
      </c>
      <c r="I613" s="563">
        <f>IFERROR(__xludf.DUMMYFUNCTION("IF(ISBLANK(H613), TODAY()-TO_DATE(G613), TO_DATE(H613)-TO_DATE(G613))+1"),18.0)</f>
        <v>18</v>
      </c>
      <c r="J613" s="628">
        <v>300.0</v>
      </c>
      <c r="K613" s="609" t="s">
        <v>6265</v>
      </c>
      <c r="L613" s="562" t="s">
        <v>6266</v>
      </c>
      <c r="M613" s="563"/>
      <c r="N613" s="564"/>
      <c r="O613" s="564"/>
      <c r="P613" s="564"/>
      <c r="Q613" s="564"/>
      <c r="R613" s="564"/>
      <c r="S613" s="564"/>
      <c r="T613" s="564"/>
      <c r="U613" s="564"/>
      <c r="V613" s="564"/>
      <c r="W613" s="564"/>
      <c r="X613" s="564"/>
      <c r="Y613" s="564"/>
      <c r="Z613" s="564"/>
      <c r="AA613" s="564"/>
      <c r="AB613" s="564"/>
      <c r="AC613" s="564"/>
      <c r="AD613" s="564"/>
      <c r="AE613" s="564"/>
      <c r="AF613" s="564"/>
      <c r="AG613" s="564"/>
    </row>
    <row r="614">
      <c r="A614" s="553" t="s">
        <v>5177</v>
      </c>
      <c r="B614" s="554" t="s">
        <v>5904</v>
      </c>
      <c r="C614" s="651" t="s">
        <v>321</v>
      </c>
      <c r="D614" s="559" t="s">
        <v>60</v>
      </c>
      <c r="E614" s="553" t="s">
        <v>3242</v>
      </c>
      <c r="F614" s="553" t="s">
        <v>1203</v>
      </c>
      <c r="G614" s="558">
        <v>45949.0</v>
      </c>
      <c r="H614" s="644">
        <v>45966.0</v>
      </c>
      <c r="I614" s="563">
        <f>IFERROR(__xludf.DUMMYFUNCTION("IF(ISBLANK(H614), TODAY()-TO_DATE(G614), TO_DATE(H614)-TO_DATE(G614))+1"),18.0)</f>
        <v>18</v>
      </c>
      <c r="J614" s="628">
        <v>300.0</v>
      </c>
      <c r="K614" s="561" t="s">
        <v>4208</v>
      </c>
      <c r="L614" s="562" t="s">
        <v>6275</v>
      </c>
      <c r="M614" s="563"/>
      <c r="N614" s="564"/>
      <c r="O614" s="564"/>
      <c r="P614" s="564"/>
      <c r="Q614" s="564"/>
      <c r="R614" s="564"/>
      <c r="S614" s="564"/>
      <c r="T614" s="564"/>
      <c r="U614" s="564"/>
      <c r="V614" s="564"/>
      <c r="W614" s="564"/>
      <c r="X614" s="564"/>
      <c r="Y614" s="564"/>
      <c r="Z614" s="564"/>
      <c r="AA614" s="564"/>
      <c r="AB614" s="564"/>
      <c r="AC614" s="564"/>
      <c r="AD614" s="564"/>
      <c r="AE614" s="564"/>
      <c r="AF614" s="564"/>
      <c r="AG614" s="564"/>
    </row>
    <row r="615">
      <c r="A615" s="240" t="s">
        <v>5177</v>
      </c>
      <c r="B615" s="231" t="s">
        <v>5904</v>
      </c>
      <c r="C615" s="218" t="s">
        <v>139</v>
      </c>
      <c r="D615" s="69" t="s">
        <v>60</v>
      </c>
      <c r="E615" s="240" t="s">
        <v>3691</v>
      </c>
      <c r="F615" s="240" t="s">
        <v>3692</v>
      </c>
      <c r="G615" s="493">
        <v>45949.0</v>
      </c>
      <c r="H615" s="638">
        <v>45966.0</v>
      </c>
      <c r="I615" s="63">
        <f>IFERROR(__xludf.DUMMYFUNCTION("IF(ISBLANK(H615), TODAY()-TO_DATE(G615), TO_DATE(H615)-TO_DATE(G615))+1"),18.0)</f>
        <v>18</v>
      </c>
      <c r="J615" s="40" t="s">
        <v>197</v>
      </c>
      <c r="K615" s="609" t="s">
        <v>6283</v>
      </c>
      <c r="L615" s="321" t="s">
        <v>6285</v>
      </c>
      <c r="M615" s="63"/>
      <c r="N615" s="29"/>
      <c r="O615" s="29"/>
      <c r="P615" s="29"/>
      <c r="Q615" s="29"/>
      <c r="R615" s="29"/>
      <c r="S615" s="29"/>
      <c r="T615" s="29"/>
      <c r="U615" s="29"/>
      <c r="V615" s="29"/>
      <c r="W615" s="29"/>
      <c r="X615" s="29"/>
      <c r="Y615" s="29"/>
      <c r="Z615" s="29"/>
      <c r="AA615" s="29"/>
      <c r="AB615" s="29"/>
      <c r="AC615" s="29"/>
      <c r="AD615" s="29"/>
      <c r="AE615" s="29"/>
      <c r="AF615" s="29"/>
      <c r="AG615" s="29"/>
    </row>
    <row r="616">
      <c r="A616" s="240" t="s">
        <v>5677</v>
      </c>
      <c r="B616" s="231" t="s">
        <v>5678</v>
      </c>
      <c r="C616" s="218" t="s">
        <v>212</v>
      </c>
      <c r="D616" s="69" t="s">
        <v>60</v>
      </c>
      <c r="E616" s="240" t="s">
        <v>6291</v>
      </c>
      <c r="F616" s="240" t="s">
        <v>6293</v>
      </c>
      <c r="G616" s="493">
        <v>45949.0</v>
      </c>
      <c r="H616" s="493">
        <v>45962.0</v>
      </c>
      <c r="I616" s="63">
        <f>IFERROR(__xludf.DUMMYFUNCTION("IF(ISBLANK(H616), TODAY()-TO_DATE(G616), TO_DATE(H616)-TO_DATE(G616))+1"),14.0)</f>
        <v>14</v>
      </c>
      <c r="J616" s="40" t="s">
        <v>197</v>
      </c>
      <c r="K616" s="240" t="s">
        <v>6296</v>
      </c>
      <c r="L616" s="321"/>
      <c r="M616" s="63"/>
      <c r="N616" s="29"/>
      <c r="O616" s="29"/>
      <c r="P616" s="29"/>
      <c r="Q616" s="29"/>
      <c r="R616" s="29"/>
      <c r="S616" s="29"/>
      <c r="T616" s="29"/>
      <c r="U616" s="29"/>
      <c r="V616" s="29"/>
      <c r="W616" s="29"/>
      <c r="X616" s="29"/>
      <c r="Y616" s="29"/>
      <c r="Z616" s="29"/>
      <c r="AA616" s="29"/>
      <c r="AB616" s="29"/>
      <c r="AC616" s="29"/>
      <c r="AD616" s="29"/>
      <c r="AE616" s="29"/>
      <c r="AF616" s="29"/>
      <c r="AG616" s="29"/>
    </row>
    <row r="617">
      <c r="A617" s="240" t="s">
        <v>5677</v>
      </c>
      <c r="B617" s="231" t="s">
        <v>5678</v>
      </c>
      <c r="C617" s="218" t="s">
        <v>1522</v>
      </c>
      <c r="D617" s="69" t="s">
        <v>60</v>
      </c>
      <c r="E617" s="240" t="s">
        <v>6299</v>
      </c>
      <c r="F617" s="240" t="s">
        <v>6301</v>
      </c>
      <c r="G617" s="493">
        <v>45949.0</v>
      </c>
      <c r="H617" s="493">
        <v>45962.0</v>
      </c>
      <c r="I617" s="63">
        <f>IFERROR(__xludf.DUMMYFUNCTION("IF(ISBLANK(H617), TODAY()-TO_DATE(G617), TO_DATE(H617)-TO_DATE(G617))+1"),14.0)</f>
        <v>14</v>
      </c>
      <c r="J617" s="40" t="s">
        <v>197</v>
      </c>
      <c r="K617" s="240" t="s">
        <v>6303</v>
      </c>
      <c r="L617" s="321"/>
      <c r="M617" s="63"/>
      <c r="N617" s="29"/>
      <c r="O617" s="29"/>
      <c r="P617" s="29"/>
      <c r="Q617" s="29"/>
      <c r="R617" s="29"/>
      <c r="S617" s="29"/>
      <c r="T617" s="29"/>
      <c r="U617" s="29"/>
      <c r="V617" s="29"/>
      <c r="W617" s="29"/>
      <c r="X617" s="29"/>
      <c r="Y617" s="29"/>
      <c r="Z617" s="29"/>
      <c r="AA617" s="29"/>
      <c r="AB617" s="29"/>
      <c r="AC617" s="29"/>
      <c r="AD617" s="29"/>
      <c r="AE617" s="29"/>
      <c r="AF617" s="29"/>
      <c r="AG617" s="29"/>
    </row>
    <row r="618">
      <c r="A618" s="540" t="s">
        <v>5177</v>
      </c>
      <c r="B618" s="541" t="s">
        <v>423</v>
      </c>
      <c r="C618" s="646" t="s">
        <v>404</v>
      </c>
      <c r="D618" s="546" t="s">
        <v>60</v>
      </c>
      <c r="E618" s="540" t="s">
        <v>409</v>
      </c>
      <c r="F618" s="540" t="s">
        <v>416</v>
      </c>
      <c r="G618" s="545">
        <v>45950.0</v>
      </c>
      <c r="H618" s="605">
        <v>45963.0</v>
      </c>
      <c r="I618" s="547">
        <f>IFERROR(__xludf.DUMMYFUNCTION("IF(ISBLANK(H618), TODAY()-TO_DATE(G618), TO_DATE(H618)-TO_DATE(G618))+1"),14.0)</f>
        <v>14</v>
      </c>
      <c r="J618" s="633">
        <v>500.0</v>
      </c>
      <c r="K618" s="540" t="s">
        <v>5564</v>
      </c>
      <c r="L618" s="544"/>
      <c r="M618" s="547"/>
      <c r="N618" s="548"/>
      <c r="O618" s="548"/>
      <c r="P618" s="548"/>
      <c r="Q618" s="548"/>
      <c r="R618" s="548"/>
      <c r="S618" s="548"/>
      <c r="T618" s="548"/>
      <c r="U618" s="548"/>
      <c r="V618" s="548"/>
      <c r="W618" s="548"/>
      <c r="X618" s="548"/>
      <c r="Y618" s="548"/>
      <c r="Z618" s="548"/>
      <c r="AA618" s="548"/>
      <c r="AB618" s="548"/>
      <c r="AC618" s="548"/>
      <c r="AD618" s="548"/>
      <c r="AE618" s="548"/>
      <c r="AF618" s="548"/>
      <c r="AG618" s="548"/>
    </row>
    <row r="619">
      <c r="A619" s="540" t="s">
        <v>5177</v>
      </c>
      <c r="B619" s="541" t="s">
        <v>423</v>
      </c>
      <c r="C619" s="542" t="s">
        <v>187</v>
      </c>
      <c r="D619" s="546" t="s">
        <v>60</v>
      </c>
      <c r="E619" s="540" t="s">
        <v>6311</v>
      </c>
      <c r="F619" s="540" t="s">
        <v>6313</v>
      </c>
      <c r="G619" s="545">
        <v>45950.0</v>
      </c>
      <c r="H619" s="605">
        <v>45963.0</v>
      </c>
      <c r="I619" s="547">
        <f>IFERROR(__xludf.DUMMYFUNCTION("IF(ISBLANK(H619), TODAY()-TO_DATE(G619), TO_DATE(H619)-TO_DATE(G619))+1"),14.0)</f>
        <v>14</v>
      </c>
      <c r="J619" s="633">
        <v>500.0</v>
      </c>
      <c r="K619" s="540" t="s">
        <v>6315</v>
      </c>
      <c r="L619" s="544" t="s">
        <v>6316</v>
      </c>
      <c r="M619" s="547"/>
      <c r="N619" s="548"/>
      <c r="O619" s="548"/>
      <c r="P619" s="548"/>
      <c r="Q619" s="548"/>
      <c r="R619" s="548"/>
      <c r="S619" s="548"/>
      <c r="T619" s="548"/>
      <c r="U619" s="548"/>
      <c r="V619" s="548"/>
      <c r="W619" s="548"/>
      <c r="X619" s="548"/>
      <c r="Y619" s="548"/>
      <c r="Z619" s="548"/>
      <c r="AA619" s="548"/>
      <c r="AB619" s="548"/>
      <c r="AC619" s="548"/>
      <c r="AD619" s="548"/>
      <c r="AE619" s="548"/>
      <c r="AF619" s="548"/>
      <c r="AG619" s="548"/>
    </row>
    <row r="620">
      <c r="A620" s="540" t="s">
        <v>5177</v>
      </c>
      <c r="B620" s="541" t="s">
        <v>423</v>
      </c>
      <c r="C620" s="542" t="s">
        <v>213</v>
      </c>
      <c r="D620" s="546" t="s">
        <v>60</v>
      </c>
      <c r="E620" s="540" t="s">
        <v>6318</v>
      </c>
      <c r="F620" s="540" t="s">
        <v>6320</v>
      </c>
      <c r="G620" s="545">
        <v>45950.0</v>
      </c>
      <c r="H620" s="605">
        <v>45963.0</v>
      </c>
      <c r="I620" s="547">
        <f>IFERROR(__xludf.DUMMYFUNCTION("IF(ISBLANK(H620), TODAY()-TO_DATE(G620), TO_DATE(H620)-TO_DATE(G620))+1"),14.0)</f>
        <v>14</v>
      </c>
      <c r="J620" s="633">
        <v>500.0</v>
      </c>
      <c r="K620" s="540" t="s">
        <v>6323</v>
      </c>
      <c r="L620" s="544" t="s">
        <v>6324</v>
      </c>
      <c r="M620" s="547"/>
      <c r="N620" s="548"/>
      <c r="O620" s="548"/>
      <c r="P620" s="548"/>
      <c r="Q620" s="548"/>
      <c r="R620" s="548"/>
      <c r="S620" s="548"/>
      <c r="T620" s="548"/>
      <c r="U620" s="548"/>
      <c r="V620" s="548"/>
      <c r="W620" s="548"/>
      <c r="X620" s="548"/>
      <c r="Y620" s="548"/>
      <c r="Z620" s="548"/>
      <c r="AA620" s="548"/>
      <c r="AB620" s="548"/>
      <c r="AC620" s="548"/>
      <c r="AD620" s="548"/>
      <c r="AE620" s="548"/>
      <c r="AF620" s="548"/>
      <c r="AG620" s="548"/>
    </row>
    <row r="621">
      <c r="A621" s="540" t="s">
        <v>5177</v>
      </c>
      <c r="B621" s="541" t="s">
        <v>423</v>
      </c>
      <c r="C621" s="542" t="s">
        <v>213</v>
      </c>
      <c r="D621" s="546" t="s">
        <v>60</v>
      </c>
      <c r="E621" s="540" t="s">
        <v>6328</v>
      </c>
      <c r="F621" s="540" t="s">
        <v>6329</v>
      </c>
      <c r="G621" s="545">
        <v>45950.0</v>
      </c>
      <c r="H621" s="605">
        <v>45963.0</v>
      </c>
      <c r="I621" s="547">
        <f>IFERROR(__xludf.DUMMYFUNCTION("IF(ISBLANK(H621), TODAY()-TO_DATE(G621), TO_DATE(H621)-TO_DATE(G621))+1"),14.0)</f>
        <v>14</v>
      </c>
      <c r="J621" s="633">
        <v>500.0</v>
      </c>
      <c r="K621" s="540" t="s">
        <v>6332</v>
      </c>
      <c r="L621" s="544"/>
      <c r="M621" s="547"/>
      <c r="N621" s="548"/>
      <c r="O621" s="548"/>
      <c r="P621" s="548"/>
      <c r="Q621" s="548"/>
      <c r="R621" s="548"/>
      <c r="S621" s="548"/>
      <c r="T621" s="548"/>
      <c r="U621" s="548"/>
      <c r="V621" s="548"/>
      <c r="W621" s="548"/>
      <c r="X621" s="548"/>
      <c r="Y621" s="548"/>
      <c r="Z621" s="548"/>
      <c r="AA621" s="548"/>
      <c r="AB621" s="548"/>
      <c r="AC621" s="548"/>
      <c r="AD621" s="548"/>
      <c r="AE621" s="548"/>
      <c r="AF621" s="548"/>
      <c r="AG621" s="548"/>
    </row>
    <row r="622">
      <c r="A622" s="240" t="s">
        <v>5177</v>
      </c>
      <c r="B622" s="231" t="s">
        <v>5904</v>
      </c>
      <c r="C622" s="218" t="s">
        <v>2345</v>
      </c>
      <c r="D622" s="69" t="s">
        <v>60</v>
      </c>
      <c r="E622" s="240" t="s">
        <v>2346</v>
      </c>
      <c r="F622" s="240" t="s">
        <v>6336</v>
      </c>
      <c r="G622" s="493">
        <v>45950.0</v>
      </c>
      <c r="H622" s="642">
        <v>45960.0</v>
      </c>
      <c r="I622" s="63">
        <f>IFERROR(__xludf.DUMMYFUNCTION("IF(ISBLANK(H622), TODAY()-TO_DATE(G622), TO_DATE(H622)-TO_DATE(G622))+1"),11.0)</f>
        <v>11</v>
      </c>
      <c r="J622" s="40" t="s">
        <v>197</v>
      </c>
      <c r="K622" s="240" t="s">
        <v>6340</v>
      </c>
      <c r="L622" s="321" t="s">
        <v>6342</v>
      </c>
      <c r="M622" s="63"/>
      <c r="N622" s="29"/>
      <c r="O622" s="29"/>
      <c r="P622" s="29"/>
      <c r="Q622" s="29"/>
      <c r="R622" s="29"/>
      <c r="S622" s="29"/>
      <c r="T622" s="29"/>
      <c r="U622" s="29"/>
      <c r="V622" s="29"/>
      <c r="W622" s="29"/>
      <c r="X622" s="29"/>
      <c r="Y622" s="29"/>
      <c r="Z622" s="29"/>
      <c r="AA622" s="29"/>
      <c r="AB622" s="29"/>
      <c r="AC622" s="29"/>
      <c r="AD622" s="29"/>
      <c r="AE622" s="29"/>
      <c r="AF622" s="29"/>
      <c r="AG622" s="29"/>
    </row>
    <row r="623">
      <c r="A623" s="553" t="s">
        <v>5177</v>
      </c>
      <c r="B623" s="554" t="s">
        <v>5904</v>
      </c>
      <c r="C623" s="662" t="s">
        <v>321</v>
      </c>
      <c r="D623" s="559" t="s">
        <v>60</v>
      </c>
      <c r="E623" s="553" t="s">
        <v>6349</v>
      </c>
      <c r="F623" s="553" t="s">
        <v>1180</v>
      </c>
      <c r="G623" s="558">
        <v>45950.0</v>
      </c>
      <c r="H623" s="558">
        <v>45951.0</v>
      </c>
      <c r="I623" s="563">
        <f>IFERROR(__xludf.DUMMYFUNCTION("IF(ISBLANK(H623), TODAY()-TO_DATE(G623), TO_DATE(H623)-TO_DATE(G623))+1"),2.0)</f>
        <v>2</v>
      </c>
      <c r="J623" s="628">
        <v>300.0</v>
      </c>
      <c r="K623" s="561" t="s">
        <v>6353</v>
      </c>
      <c r="L623" s="615"/>
      <c r="M623" s="563"/>
      <c r="N623" s="564"/>
      <c r="O623" s="564"/>
      <c r="P623" s="564"/>
      <c r="Q623" s="564"/>
      <c r="R623" s="564"/>
      <c r="S623" s="564"/>
      <c r="T623" s="564"/>
      <c r="U623" s="564"/>
      <c r="V623" s="564"/>
      <c r="W623" s="564"/>
      <c r="X623" s="564"/>
      <c r="Y623" s="564"/>
      <c r="Z623" s="564"/>
      <c r="AA623" s="564"/>
      <c r="AB623" s="564"/>
      <c r="AC623" s="564"/>
      <c r="AD623" s="564"/>
      <c r="AE623" s="564"/>
      <c r="AF623" s="564"/>
      <c r="AG623" s="564"/>
    </row>
    <row r="624">
      <c r="A624" s="553" t="s">
        <v>5177</v>
      </c>
      <c r="B624" s="554" t="s">
        <v>5904</v>
      </c>
      <c r="C624" s="662" t="s">
        <v>58</v>
      </c>
      <c r="D624" s="559" t="s">
        <v>60</v>
      </c>
      <c r="E624" s="553" t="s">
        <v>6357</v>
      </c>
      <c r="F624" s="553" t="s">
        <v>6358</v>
      </c>
      <c r="G624" s="558">
        <v>45950.0</v>
      </c>
      <c r="H624" s="644">
        <v>45965.0</v>
      </c>
      <c r="I624" s="563">
        <f>IFERROR(__xludf.DUMMYFUNCTION("IF(ISBLANK(H624), TODAY()-TO_DATE(G624), TO_DATE(H624)-TO_DATE(G624))+1"),16.0)</f>
        <v>16</v>
      </c>
      <c r="J624" s="628">
        <v>300.0</v>
      </c>
      <c r="K624" s="553" t="s">
        <v>6362</v>
      </c>
      <c r="L624" s="562" t="s">
        <v>6364</v>
      </c>
      <c r="M624" s="563"/>
      <c r="N624" s="564"/>
      <c r="O624" s="564"/>
      <c r="P624" s="564"/>
      <c r="Q624" s="564"/>
      <c r="R624" s="564"/>
      <c r="S624" s="564"/>
      <c r="T624" s="564"/>
      <c r="U624" s="564"/>
      <c r="V624" s="564"/>
      <c r="W624" s="564"/>
      <c r="X624" s="564"/>
      <c r="Y624" s="564"/>
      <c r="Z624" s="564"/>
      <c r="AA624" s="564"/>
      <c r="AB624" s="564"/>
      <c r="AC624" s="564"/>
      <c r="AD624" s="564"/>
      <c r="AE624" s="564"/>
      <c r="AF624" s="564"/>
      <c r="AG624" s="564"/>
    </row>
    <row r="625">
      <c r="A625" s="540" t="s">
        <v>5177</v>
      </c>
      <c r="B625" s="541" t="s">
        <v>5904</v>
      </c>
      <c r="C625" s="542" t="s">
        <v>139</v>
      </c>
      <c r="D625" s="546" t="s">
        <v>60</v>
      </c>
      <c r="E625" s="665" t="s">
        <v>6369</v>
      </c>
      <c r="F625" s="540" t="s">
        <v>6371</v>
      </c>
      <c r="G625" s="545">
        <v>45950.0</v>
      </c>
      <c r="H625" s="616">
        <v>45960.0</v>
      </c>
      <c r="I625" s="547">
        <f>IFERROR(__xludf.DUMMYFUNCTION("IF(ISBLANK(H625), TODAY()-TO_DATE(G625), TO_DATE(H625)-TO_DATE(G625))+1"),11.0)</f>
        <v>11</v>
      </c>
      <c r="J625" s="633">
        <v>500.0</v>
      </c>
      <c r="K625" s="540" t="s">
        <v>6373</v>
      </c>
      <c r="L625" s="544" t="s">
        <v>6374</v>
      </c>
      <c r="M625" s="540" t="s">
        <v>6375</v>
      </c>
      <c r="N625" s="548"/>
      <c r="O625" s="548"/>
      <c r="P625" s="548"/>
      <c r="Q625" s="548"/>
      <c r="R625" s="548"/>
      <c r="S625" s="548"/>
      <c r="T625" s="548"/>
      <c r="U625" s="548"/>
      <c r="V625" s="548"/>
      <c r="W625" s="548"/>
      <c r="X625" s="548"/>
      <c r="Y625" s="548"/>
      <c r="Z625" s="548"/>
      <c r="AA625" s="548"/>
      <c r="AB625" s="548"/>
      <c r="AC625" s="548"/>
      <c r="AD625" s="548"/>
      <c r="AE625" s="548"/>
      <c r="AF625" s="548"/>
      <c r="AG625" s="548"/>
    </row>
    <row r="626">
      <c r="A626" s="540" t="s">
        <v>5177</v>
      </c>
      <c r="B626" s="541" t="s">
        <v>5904</v>
      </c>
      <c r="C626" s="542" t="s">
        <v>213</v>
      </c>
      <c r="D626" s="546" t="s">
        <v>60</v>
      </c>
      <c r="E626" s="540" t="s">
        <v>6381</v>
      </c>
      <c r="F626" s="540" t="s">
        <v>6382</v>
      </c>
      <c r="G626" s="545">
        <v>45950.0</v>
      </c>
      <c r="H626" s="616">
        <v>45959.0</v>
      </c>
      <c r="I626" s="547">
        <f>IFERROR(__xludf.DUMMYFUNCTION("IF(ISBLANK(H626), TODAY()-TO_DATE(G626), TO_DATE(H626)-TO_DATE(G626))+1"),10.0)</f>
        <v>10</v>
      </c>
      <c r="J626" s="633">
        <v>500.0</v>
      </c>
      <c r="K626" s="561" t="s">
        <v>6384</v>
      </c>
      <c r="L626" s="544" t="s">
        <v>3388</v>
      </c>
      <c r="M626" s="540" t="s">
        <v>6375</v>
      </c>
      <c r="N626" s="548"/>
      <c r="O626" s="548"/>
      <c r="P626" s="548"/>
      <c r="Q626" s="548"/>
      <c r="R626" s="548"/>
      <c r="S626" s="548"/>
      <c r="T626" s="548"/>
      <c r="U626" s="548"/>
      <c r="V626" s="548"/>
      <c r="W626" s="548"/>
      <c r="X626" s="548"/>
      <c r="Y626" s="548"/>
      <c r="Z626" s="548"/>
      <c r="AA626" s="548"/>
      <c r="AB626" s="548"/>
      <c r="AC626" s="548"/>
      <c r="AD626" s="548"/>
      <c r="AE626" s="548"/>
      <c r="AF626" s="548"/>
      <c r="AG626" s="548"/>
    </row>
    <row r="627">
      <c r="A627" s="553" t="s">
        <v>5177</v>
      </c>
      <c r="B627" s="554" t="s">
        <v>5904</v>
      </c>
      <c r="C627" s="653" t="s">
        <v>6388</v>
      </c>
      <c r="D627" s="559" t="s">
        <v>60</v>
      </c>
      <c r="E627" s="553" t="s">
        <v>1463</v>
      </c>
      <c r="F627" s="553" t="s">
        <v>1464</v>
      </c>
      <c r="G627" s="558">
        <v>45950.0</v>
      </c>
      <c r="H627" s="608">
        <v>45950.0</v>
      </c>
      <c r="I627" s="563">
        <f>IFERROR(__xludf.DUMMYFUNCTION("IF(ISBLANK(H627), TODAY()-TO_DATE(G627), TO_DATE(H627)-TO_DATE(G627))+1"),1.0)</f>
        <v>1</v>
      </c>
      <c r="J627" s="628">
        <v>300.0</v>
      </c>
      <c r="K627" s="561" t="s">
        <v>6393</v>
      </c>
      <c r="L627" s="615"/>
      <c r="M627" s="563"/>
      <c r="N627" s="564"/>
      <c r="O627" s="564"/>
      <c r="P627" s="564"/>
      <c r="Q627" s="564"/>
      <c r="R627" s="564"/>
      <c r="S627" s="564"/>
      <c r="T627" s="564"/>
      <c r="U627" s="564"/>
      <c r="V627" s="564"/>
      <c r="W627" s="564"/>
      <c r="X627" s="564"/>
      <c r="Y627" s="564"/>
      <c r="Z627" s="564"/>
      <c r="AA627" s="564"/>
      <c r="AB627" s="564"/>
      <c r="AC627" s="564"/>
      <c r="AD627" s="564"/>
      <c r="AE627" s="564"/>
      <c r="AF627" s="564"/>
      <c r="AG627" s="564"/>
    </row>
    <row r="628">
      <c r="A628" s="240" t="s">
        <v>5177</v>
      </c>
      <c r="B628" s="231" t="s">
        <v>5904</v>
      </c>
      <c r="C628" s="373" t="s">
        <v>201</v>
      </c>
      <c r="D628" s="69" t="s">
        <v>60</v>
      </c>
      <c r="E628" s="240" t="s">
        <v>373</v>
      </c>
      <c r="F628" s="240" t="s">
        <v>374</v>
      </c>
      <c r="G628" s="493">
        <v>45950.0</v>
      </c>
      <c r="H628" s="642">
        <v>45960.0</v>
      </c>
      <c r="I628" s="63">
        <f>IFERROR(__xludf.DUMMYFUNCTION("IF(ISBLANK(H628), TODAY()-TO_DATE(G628), TO_DATE(H628)-TO_DATE(G628))+1"),11.0)</f>
        <v>11</v>
      </c>
      <c r="J628" s="40" t="s">
        <v>197</v>
      </c>
      <c r="K628" s="240" t="s">
        <v>6400</v>
      </c>
      <c r="L628" s="321" t="s">
        <v>6401</v>
      </c>
      <c r="M628" s="240" t="s">
        <v>6403</v>
      </c>
      <c r="N628" s="29"/>
      <c r="O628" s="29"/>
      <c r="P628" s="29"/>
      <c r="Q628" s="29"/>
      <c r="R628" s="29"/>
      <c r="S628" s="29"/>
      <c r="T628" s="29"/>
      <c r="U628" s="29"/>
      <c r="V628" s="29"/>
      <c r="W628" s="29"/>
      <c r="X628" s="29"/>
      <c r="Y628" s="29"/>
      <c r="Z628" s="29"/>
      <c r="AA628" s="29"/>
      <c r="AB628" s="29"/>
      <c r="AC628" s="29"/>
      <c r="AD628" s="29"/>
      <c r="AE628" s="29"/>
      <c r="AF628" s="29"/>
      <c r="AG628" s="29"/>
    </row>
    <row r="629">
      <c r="A629" s="240" t="s">
        <v>5177</v>
      </c>
      <c r="B629" s="231" t="s">
        <v>5904</v>
      </c>
      <c r="C629" s="373" t="s">
        <v>58</v>
      </c>
      <c r="D629" s="69" t="s">
        <v>60</v>
      </c>
      <c r="E629" s="240" t="s">
        <v>2693</v>
      </c>
      <c r="F629" s="240" t="s">
        <v>2694</v>
      </c>
      <c r="G629" s="493">
        <v>45950.0</v>
      </c>
      <c r="H629" s="642">
        <v>45960.0</v>
      </c>
      <c r="I629" s="63">
        <f>IFERROR(__xludf.DUMMYFUNCTION("IF(ISBLANK(H629), TODAY()-TO_DATE(G629), TO_DATE(H629)-TO_DATE(G629))+1"),11.0)</f>
        <v>11</v>
      </c>
      <c r="J629" s="40" t="s">
        <v>197</v>
      </c>
      <c r="K629" s="240" t="s">
        <v>6408</v>
      </c>
      <c r="L629" s="321"/>
      <c r="M629" s="63"/>
      <c r="N629" s="29"/>
      <c r="O629" s="29"/>
      <c r="P629" s="29"/>
      <c r="Q629" s="29"/>
      <c r="R629" s="29"/>
      <c r="S629" s="29"/>
      <c r="T629" s="29"/>
      <c r="U629" s="29"/>
      <c r="V629" s="29"/>
      <c r="W629" s="29"/>
      <c r="X629" s="29"/>
      <c r="Y629" s="29"/>
      <c r="Z629" s="29"/>
      <c r="AA629" s="29"/>
      <c r="AB629" s="29"/>
      <c r="AC629" s="29"/>
      <c r="AD629" s="29"/>
      <c r="AE629" s="29"/>
      <c r="AF629" s="29"/>
      <c r="AG629" s="29"/>
    </row>
    <row r="630">
      <c r="A630" s="240" t="s">
        <v>5177</v>
      </c>
      <c r="B630" s="231" t="s">
        <v>351</v>
      </c>
      <c r="C630" s="407" t="s">
        <v>6411</v>
      </c>
      <c r="D630" s="507" t="s">
        <v>60</v>
      </c>
      <c r="E630" s="63" t="s">
        <v>6414</v>
      </c>
      <c r="F630" s="240" t="s">
        <v>3367</v>
      </c>
      <c r="G630" s="493">
        <v>45950.0</v>
      </c>
      <c r="H630" s="642">
        <v>45960.0</v>
      </c>
      <c r="I630" s="63">
        <f>IFERROR(__xludf.DUMMYFUNCTION("IF(ISBLANK(H630), TODAY()-TO_DATE(G630), TO_DATE(H630)-TO_DATE(G630))+1"),11.0)</f>
        <v>11</v>
      </c>
      <c r="J630" s="40" t="s">
        <v>197</v>
      </c>
      <c r="K630" s="240" t="s">
        <v>4430</v>
      </c>
      <c r="L630" s="507"/>
      <c r="M630" s="63"/>
      <c r="N630" s="29"/>
      <c r="O630" s="29"/>
      <c r="P630" s="29"/>
      <c r="Q630" s="29"/>
      <c r="R630" s="29"/>
      <c r="S630" s="29"/>
      <c r="T630" s="29"/>
      <c r="U630" s="29"/>
      <c r="V630" s="29"/>
      <c r="W630" s="29"/>
      <c r="X630" s="29"/>
      <c r="Y630" s="29"/>
      <c r="Z630" s="29"/>
      <c r="AA630" s="29"/>
      <c r="AB630" s="29"/>
      <c r="AC630" s="29"/>
      <c r="AD630" s="29"/>
      <c r="AE630" s="29"/>
      <c r="AF630" s="29"/>
      <c r="AG630" s="29"/>
    </row>
    <row r="631">
      <c r="A631" s="553" t="s">
        <v>5177</v>
      </c>
      <c r="B631" s="554" t="s">
        <v>351</v>
      </c>
      <c r="C631" s="601" t="s">
        <v>6418</v>
      </c>
      <c r="D631" s="615" t="s">
        <v>102</v>
      </c>
      <c r="E631" s="563" t="s">
        <v>5659</v>
      </c>
      <c r="F631" s="553" t="s">
        <v>5660</v>
      </c>
      <c r="G631" s="558">
        <v>45950.0</v>
      </c>
      <c r="H631" s="667">
        <v>45954.0</v>
      </c>
      <c r="I631" s="563">
        <f>IFERROR(__xludf.DUMMYFUNCTION("IF(ISBLANK(H631), TODAY()-TO_DATE(G631), TO_DATE(H631)-TO_DATE(G631))+1"),5.0)</f>
        <v>5</v>
      </c>
      <c r="J631" s="628">
        <v>300.0</v>
      </c>
      <c r="K631" s="553" t="s">
        <v>6427</v>
      </c>
      <c r="L631" s="615"/>
      <c r="M631" s="563"/>
      <c r="N631" s="564"/>
      <c r="O631" s="564"/>
      <c r="P631" s="564"/>
      <c r="Q631" s="564"/>
      <c r="R631" s="564"/>
      <c r="S631" s="564"/>
      <c r="T631" s="564"/>
      <c r="U631" s="564"/>
      <c r="V631" s="564"/>
      <c r="W631" s="564"/>
      <c r="X631" s="564"/>
      <c r="Y631" s="564"/>
      <c r="Z631" s="564"/>
      <c r="AA631" s="564"/>
      <c r="AB631" s="564"/>
      <c r="AC631" s="564"/>
      <c r="AD631" s="564"/>
      <c r="AE631" s="564"/>
      <c r="AF631" s="564"/>
      <c r="AG631" s="564"/>
    </row>
    <row r="632">
      <c r="A632" s="553" t="s">
        <v>5177</v>
      </c>
      <c r="B632" s="554" t="s">
        <v>351</v>
      </c>
      <c r="C632" s="601" t="s">
        <v>6431</v>
      </c>
      <c r="D632" s="615" t="s">
        <v>60</v>
      </c>
      <c r="E632" s="563" t="s">
        <v>2396</v>
      </c>
      <c r="F632" s="553" t="s">
        <v>2398</v>
      </c>
      <c r="G632" s="558">
        <v>45950.0</v>
      </c>
      <c r="H632" s="667">
        <v>45954.0</v>
      </c>
      <c r="I632" s="563">
        <f>IFERROR(__xludf.DUMMYFUNCTION("IF(ISBLANK(H632), TODAY()-TO_DATE(G632), TO_DATE(H632)-TO_DATE(G632))+1"),5.0)</f>
        <v>5</v>
      </c>
      <c r="J632" s="628">
        <v>300.0</v>
      </c>
      <c r="K632" s="553" t="s">
        <v>6434</v>
      </c>
      <c r="L632" s="615"/>
      <c r="M632" s="563"/>
      <c r="N632" s="564"/>
      <c r="O632" s="564"/>
      <c r="P632" s="564"/>
      <c r="Q632" s="564"/>
      <c r="R632" s="564"/>
      <c r="S632" s="564"/>
      <c r="T632" s="564"/>
      <c r="U632" s="564"/>
      <c r="V632" s="564"/>
      <c r="W632" s="564"/>
      <c r="X632" s="564"/>
      <c r="Y632" s="564"/>
      <c r="Z632" s="564"/>
      <c r="AA632" s="564"/>
      <c r="AB632" s="564"/>
      <c r="AC632" s="564"/>
      <c r="AD632" s="564"/>
      <c r="AE632" s="564"/>
      <c r="AF632" s="564"/>
      <c r="AG632" s="564"/>
    </row>
    <row r="633">
      <c r="A633" s="540" t="s">
        <v>5177</v>
      </c>
      <c r="B633" s="541" t="s">
        <v>351</v>
      </c>
      <c r="C633" s="550" t="s">
        <v>6439</v>
      </c>
      <c r="D633" s="611" t="s">
        <v>60</v>
      </c>
      <c r="E633" s="547" t="s">
        <v>6440</v>
      </c>
      <c r="F633" s="540" t="s">
        <v>6441</v>
      </c>
      <c r="G633" s="545">
        <v>45950.0</v>
      </c>
      <c r="H633" s="668">
        <v>45961.0</v>
      </c>
      <c r="I633" s="547">
        <f>IFERROR(__xludf.DUMMYFUNCTION("IF(ISBLANK(H633), TODAY()-TO_DATE(G633), TO_DATE(H633)-TO_DATE(G633))+1"),12.0)</f>
        <v>12</v>
      </c>
      <c r="J633" s="633">
        <v>500.0</v>
      </c>
      <c r="K633" s="561" t="s">
        <v>6444</v>
      </c>
      <c r="L633" s="611"/>
      <c r="M633" s="547"/>
      <c r="N633" s="548"/>
      <c r="O633" s="548"/>
      <c r="P633" s="548"/>
      <c r="Q633" s="548"/>
      <c r="R633" s="548"/>
      <c r="S633" s="548"/>
      <c r="T633" s="548"/>
      <c r="U633" s="548"/>
      <c r="V633" s="548"/>
      <c r="W633" s="548"/>
      <c r="X633" s="548"/>
      <c r="Y633" s="548"/>
      <c r="Z633" s="548"/>
      <c r="AA633" s="548"/>
      <c r="AB633" s="548"/>
      <c r="AC633" s="548"/>
      <c r="AD633" s="548"/>
      <c r="AE633" s="548"/>
      <c r="AF633" s="548"/>
      <c r="AG633" s="548"/>
    </row>
    <row r="634">
      <c r="A634" s="553" t="s">
        <v>5177</v>
      </c>
      <c r="B634" s="554" t="s">
        <v>351</v>
      </c>
      <c r="C634" s="669" t="s">
        <v>6447</v>
      </c>
      <c r="D634" s="615" t="s">
        <v>102</v>
      </c>
      <c r="E634" s="563" t="s">
        <v>4570</v>
      </c>
      <c r="F634" s="553" t="s">
        <v>4571</v>
      </c>
      <c r="G634" s="558">
        <v>45950.0</v>
      </c>
      <c r="H634" s="667">
        <v>45954.0</v>
      </c>
      <c r="I634" s="563">
        <f>IFERROR(__xludf.DUMMYFUNCTION("IF(ISBLANK(H634), TODAY()-TO_DATE(G634), TO_DATE(H634)-TO_DATE(G634))+1"),5.0)</f>
        <v>5</v>
      </c>
      <c r="J634" s="628">
        <v>300.0</v>
      </c>
      <c r="K634" s="553" t="s">
        <v>4573</v>
      </c>
      <c r="L634" s="562"/>
      <c r="M634" s="563"/>
      <c r="N634" s="564"/>
      <c r="O634" s="564"/>
      <c r="P634" s="564"/>
      <c r="Q634" s="564"/>
      <c r="R634" s="564"/>
      <c r="S634" s="564"/>
      <c r="T634" s="564"/>
      <c r="U634" s="564"/>
      <c r="V634" s="564"/>
      <c r="W634" s="564"/>
      <c r="X634" s="564"/>
      <c r="Y634" s="564"/>
      <c r="Z634" s="564"/>
      <c r="AA634" s="564"/>
      <c r="AB634" s="564"/>
      <c r="AC634" s="564"/>
      <c r="AD634" s="564"/>
      <c r="AE634" s="564"/>
      <c r="AF634" s="564"/>
      <c r="AG634" s="564"/>
    </row>
    <row r="635">
      <c r="A635" s="553" t="s">
        <v>5177</v>
      </c>
      <c r="B635" s="554" t="s">
        <v>351</v>
      </c>
      <c r="C635" s="601" t="s">
        <v>6456</v>
      </c>
      <c r="D635" s="615" t="s">
        <v>60</v>
      </c>
      <c r="E635" s="553" t="s">
        <v>6457</v>
      </c>
      <c r="F635" s="553" t="s">
        <v>6459</v>
      </c>
      <c r="G635" s="558">
        <v>45950.0</v>
      </c>
      <c r="H635" s="667">
        <v>45954.0</v>
      </c>
      <c r="I635" s="563">
        <f>IFERROR(__xludf.DUMMYFUNCTION("IF(ISBLANK(H635), TODAY()-TO_DATE(G635), TO_DATE(H635)-TO_DATE(G635))+1"),5.0)</f>
        <v>5</v>
      </c>
      <c r="J635" s="628">
        <v>300.0</v>
      </c>
      <c r="K635" s="553" t="s">
        <v>6461</v>
      </c>
      <c r="L635" s="615"/>
      <c r="M635" s="563"/>
      <c r="N635" s="564"/>
      <c r="O635" s="564"/>
      <c r="P635" s="564"/>
      <c r="Q635" s="564"/>
      <c r="R635" s="564"/>
      <c r="S635" s="564"/>
      <c r="T635" s="564"/>
      <c r="U635" s="564"/>
      <c r="V635" s="564"/>
      <c r="W635" s="564"/>
      <c r="X635" s="564"/>
      <c r="Y635" s="564"/>
      <c r="Z635" s="564"/>
      <c r="AA635" s="564"/>
      <c r="AB635" s="564"/>
      <c r="AC635" s="564"/>
      <c r="AD635" s="564"/>
      <c r="AE635" s="564"/>
      <c r="AF635" s="564"/>
      <c r="AG635" s="564"/>
    </row>
    <row r="636">
      <c r="A636" s="240" t="s">
        <v>5177</v>
      </c>
      <c r="B636" s="231" t="s">
        <v>351</v>
      </c>
      <c r="C636" s="407" t="s">
        <v>6463</v>
      </c>
      <c r="D636" s="507" t="s">
        <v>60</v>
      </c>
      <c r="E636" s="240" t="s">
        <v>6466</v>
      </c>
      <c r="F636" s="240" t="s">
        <v>6467</v>
      </c>
      <c r="G636" s="493">
        <v>45950.0</v>
      </c>
      <c r="H636" s="493">
        <v>45966.0</v>
      </c>
      <c r="I636" s="63">
        <f>IFERROR(__xludf.DUMMYFUNCTION("IF(ISBLANK(H636), TODAY()-TO_DATE(G636), TO_DATE(H636)-TO_DATE(G636))+1"),17.0)</f>
        <v>17</v>
      </c>
      <c r="J636" s="40" t="s">
        <v>197</v>
      </c>
      <c r="K636" s="561" t="s">
        <v>6470</v>
      </c>
      <c r="L636" s="507"/>
      <c r="M636" s="63"/>
      <c r="N636" s="29"/>
      <c r="O636" s="29"/>
      <c r="P636" s="29"/>
      <c r="Q636" s="29"/>
      <c r="R636" s="29"/>
      <c r="S636" s="29"/>
      <c r="T636" s="29"/>
      <c r="U636" s="29"/>
      <c r="V636" s="29"/>
      <c r="W636" s="29"/>
      <c r="X636" s="29"/>
      <c r="Y636" s="29"/>
      <c r="Z636" s="29"/>
      <c r="AA636" s="29"/>
      <c r="AB636" s="29"/>
      <c r="AC636" s="29"/>
      <c r="AD636" s="29"/>
      <c r="AE636" s="29"/>
      <c r="AF636" s="29"/>
      <c r="AG636" s="29"/>
    </row>
    <row r="637">
      <c r="A637" s="540" t="s">
        <v>5177</v>
      </c>
      <c r="B637" s="541" t="s">
        <v>351</v>
      </c>
      <c r="C637" s="550" t="s">
        <v>6474</v>
      </c>
      <c r="D637" s="611" t="s">
        <v>326</v>
      </c>
      <c r="E637" s="547" t="s">
        <v>587</v>
      </c>
      <c r="F637" s="540" t="s">
        <v>6475</v>
      </c>
      <c r="G637" s="545">
        <v>45950.0</v>
      </c>
      <c r="H637" s="545">
        <v>45961.0</v>
      </c>
      <c r="I637" s="547">
        <f>IFERROR(__xludf.DUMMYFUNCTION("IF(ISBLANK(H637), TODAY()-TO_DATE(G637), TO_DATE(H637)-TO_DATE(G637))+1"),12.0)</f>
        <v>12</v>
      </c>
      <c r="J637" s="633">
        <v>500.0</v>
      </c>
      <c r="K637" s="540" t="s">
        <v>6478</v>
      </c>
      <c r="L637" s="544"/>
      <c r="M637" s="547"/>
      <c r="N637" s="548"/>
      <c r="O637" s="548"/>
      <c r="P637" s="548"/>
      <c r="Q637" s="548"/>
      <c r="R637" s="548"/>
      <c r="S637" s="548"/>
      <c r="T637" s="548"/>
      <c r="U637" s="548"/>
      <c r="V637" s="548"/>
      <c r="W637" s="548"/>
      <c r="X637" s="548"/>
      <c r="Y637" s="548"/>
      <c r="Z637" s="548"/>
      <c r="AA637" s="548"/>
      <c r="AB637" s="548"/>
      <c r="AC637" s="548"/>
      <c r="AD637" s="548"/>
      <c r="AE637" s="548"/>
      <c r="AF637" s="548"/>
      <c r="AG637" s="548"/>
    </row>
    <row r="638">
      <c r="A638" s="553" t="s">
        <v>5177</v>
      </c>
      <c r="B638" s="554" t="s">
        <v>351</v>
      </c>
      <c r="C638" s="601" t="s">
        <v>6481</v>
      </c>
      <c r="D638" s="615" t="s">
        <v>102</v>
      </c>
      <c r="E638" s="563" t="s">
        <v>2648</v>
      </c>
      <c r="F638" s="553" t="s">
        <v>2665</v>
      </c>
      <c r="G638" s="558">
        <v>45950.0</v>
      </c>
      <c r="H638" s="608">
        <v>45960.0</v>
      </c>
      <c r="I638" s="563">
        <f>IFERROR(__xludf.DUMMYFUNCTION("IF(ISBLANK(H638), TODAY()-TO_DATE(G638), TO_DATE(H638)-TO_DATE(G638))+1"),11.0)</f>
        <v>11</v>
      </c>
      <c r="J638" s="628">
        <v>300.0</v>
      </c>
      <c r="K638" s="553" t="s">
        <v>6485</v>
      </c>
      <c r="L638" s="615"/>
      <c r="M638" s="563"/>
      <c r="N638" s="564"/>
      <c r="O638" s="564"/>
      <c r="P638" s="564"/>
      <c r="Q638" s="564"/>
      <c r="R638" s="564"/>
      <c r="S638" s="564"/>
      <c r="T638" s="564"/>
      <c r="U638" s="564"/>
      <c r="V638" s="564"/>
      <c r="W638" s="564"/>
      <c r="X638" s="564"/>
      <c r="Y638" s="564"/>
      <c r="Z638" s="564"/>
      <c r="AA638" s="564"/>
      <c r="AB638" s="564"/>
      <c r="AC638" s="564"/>
      <c r="AD638" s="564"/>
      <c r="AE638" s="564"/>
      <c r="AF638" s="564"/>
      <c r="AG638" s="564"/>
    </row>
    <row r="639">
      <c r="A639" s="76" t="s">
        <v>1923</v>
      </c>
      <c r="B639" s="76" t="s">
        <v>697</v>
      </c>
      <c r="C639" s="529" t="s">
        <v>1466</v>
      </c>
      <c r="D639" s="85" t="s">
        <v>60</v>
      </c>
      <c r="E639" s="76" t="s">
        <v>3288</v>
      </c>
      <c r="F639" s="76" t="s">
        <v>3289</v>
      </c>
      <c r="G639" s="523">
        <v>45951.0</v>
      </c>
      <c r="H639" s="523">
        <v>45955.0</v>
      </c>
      <c r="I639" s="189">
        <f>IFERROR(__xludf.DUMMYFUNCTION("IF(ISBLANK(H639), TODAY()-TO_DATE(G639), TO_DATE(H639)-TO_DATE(G639))+1"),5.0)</f>
        <v>5</v>
      </c>
      <c r="J639" s="27" t="s">
        <v>197</v>
      </c>
      <c r="K639" s="76" t="s">
        <v>6495</v>
      </c>
      <c r="L639" s="85" t="s">
        <v>1938</v>
      </c>
      <c r="M639" s="195" t="s">
        <v>6498</v>
      </c>
      <c r="N639" s="29"/>
      <c r="O639" s="29"/>
      <c r="P639" s="29"/>
      <c r="Q639" s="29"/>
      <c r="R639" s="29"/>
      <c r="S639" s="29"/>
      <c r="T639" s="29"/>
      <c r="U639" s="29"/>
      <c r="V639" s="29"/>
      <c r="W639" s="29"/>
      <c r="X639" s="29"/>
      <c r="Y639" s="29"/>
      <c r="Z639" s="29"/>
      <c r="AA639" s="29"/>
      <c r="AB639" s="29"/>
      <c r="AC639" s="29"/>
      <c r="AD639" s="29"/>
      <c r="AE639" s="29"/>
      <c r="AF639" s="29"/>
      <c r="AG639" s="29"/>
    </row>
    <row r="640">
      <c r="A640" s="76" t="s">
        <v>1923</v>
      </c>
      <c r="B640" s="76" t="s">
        <v>697</v>
      </c>
      <c r="C640" s="529" t="s">
        <v>201</v>
      </c>
      <c r="D640" s="85" t="s">
        <v>60</v>
      </c>
      <c r="E640" s="76" t="s">
        <v>1747</v>
      </c>
      <c r="F640" s="76" t="s">
        <v>1749</v>
      </c>
      <c r="G640" s="523">
        <v>45951.0</v>
      </c>
      <c r="H640" s="523">
        <v>45955.0</v>
      </c>
      <c r="I640" s="189">
        <f>IFERROR(__xludf.DUMMYFUNCTION("IF(ISBLANK(H640), TODAY()-TO_DATE(G640), TO_DATE(H640)-TO_DATE(G640))+1"),5.0)</f>
        <v>5</v>
      </c>
      <c r="J640" s="27" t="s">
        <v>197</v>
      </c>
      <c r="K640" s="85" t="s">
        <v>2240</v>
      </c>
      <c r="L640" s="85" t="s">
        <v>3281</v>
      </c>
      <c r="M640" s="195" t="s">
        <v>6504</v>
      </c>
      <c r="N640" s="29"/>
      <c r="O640" s="29"/>
      <c r="P640" s="29"/>
      <c r="Q640" s="29"/>
      <c r="R640" s="29"/>
      <c r="S640" s="29"/>
      <c r="T640" s="29"/>
      <c r="U640" s="29"/>
      <c r="V640" s="29"/>
      <c r="W640" s="29"/>
      <c r="X640" s="29"/>
      <c r="Y640" s="29"/>
      <c r="Z640" s="29"/>
      <c r="AA640" s="29"/>
      <c r="AB640" s="29"/>
      <c r="AC640" s="29"/>
      <c r="AD640" s="29"/>
      <c r="AE640" s="29"/>
      <c r="AF640" s="29"/>
      <c r="AG640" s="29"/>
    </row>
    <row r="641">
      <c r="A641" s="76" t="s">
        <v>1923</v>
      </c>
      <c r="B641" s="76" t="s">
        <v>697</v>
      </c>
      <c r="C641" s="529" t="s">
        <v>331</v>
      </c>
      <c r="D641" s="85" t="s">
        <v>60</v>
      </c>
      <c r="E641" s="76" t="s">
        <v>3276</v>
      </c>
      <c r="F641" s="76" t="s">
        <v>6508</v>
      </c>
      <c r="G641" s="523">
        <v>45951.0</v>
      </c>
      <c r="H641" s="523">
        <v>45955.0</v>
      </c>
      <c r="I641" s="189">
        <f>IFERROR(__xludf.DUMMYFUNCTION("IF(ISBLANK(H641), TODAY()-TO_DATE(G641), TO_DATE(H641)-TO_DATE(G641))+1"),5.0)</f>
        <v>5</v>
      </c>
      <c r="J641" s="27" t="s">
        <v>197</v>
      </c>
      <c r="K641" s="85" t="s">
        <v>3280</v>
      </c>
      <c r="L641" s="85" t="s">
        <v>3292</v>
      </c>
      <c r="M641" s="195" t="s">
        <v>6510</v>
      </c>
      <c r="N641" s="29"/>
      <c r="O641" s="29"/>
      <c r="P641" s="29"/>
      <c r="Q641" s="29"/>
      <c r="R641" s="29"/>
      <c r="S641" s="29"/>
      <c r="T641" s="29"/>
      <c r="U641" s="29"/>
      <c r="V641" s="29"/>
      <c r="W641" s="29"/>
      <c r="X641" s="29"/>
      <c r="Y641" s="29"/>
      <c r="Z641" s="29"/>
      <c r="AA641" s="29"/>
      <c r="AB641" s="29"/>
      <c r="AC641" s="29"/>
      <c r="AD641" s="29"/>
      <c r="AE641" s="29"/>
      <c r="AF641" s="29"/>
      <c r="AG641" s="29"/>
    </row>
    <row r="642">
      <c r="A642" s="76" t="s">
        <v>1923</v>
      </c>
      <c r="B642" s="76" t="s">
        <v>697</v>
      </c>
      <c r="C642" s="529" t="s">
        <v>139</v>
      </c>
      <c r="D642" s="85" t="s">
        <v>60</v>
      </c>
      <c r="E642" s="76" t="s">
        <v>2672</v>
      </c>
      <c r="F642" s="76" t="s">
        <v>2673</v>
      </c>
      <c r="G642" s="523">
        <v>45951.0</v>
      </c>
      <c r="H642" s="523">
        <v>45955.0</v>
      </c>
      <c r="I642" s="189">
        <f>IFERROR(__xludf.DUMMYFUNCTION("IF(ISBLANK(H642), TODAY()-TO_DATE(G642), TO_DATE(H642)-TO_DATE(G642))+1"),5.0)</f>
        <v>5</v>
      </c>
      <c r="J642" s="27" t="s">
        <v>197</v>
      </c>
      <c r="K642" s="85" t="s">
        <v>6520</v>
      </c>
      <c r="L642" s="85" t="s">
        <v>2264</v>
      </c>
      <c r="M642" s="195"/>
      <c r="N642" s="29"/>
      <c r="O642" s="29"/>
      <c r="P642" s="29"/>
      <c r="Q642" s="29"/>
      <c r="R642" s="29"/>
      <c r="S642" s="29"/>
      <c r="T642" s="29"/>
      <c r="U642" s="29"/>
      <c r="V642" s="29"/>
      <c r="W642" s="29"/>
      <c r="X642" s="29"/>
      <c r="Y642" s="29"/>
      <c r="Z642" s="29"/>
      <c r="AA642" s="29"/>
      <c r="AB642" s="29"/>
      <c r="AC642" s="29"/>
      <c r="AD642" s="29"/>
      <c r="AE642" s="29"/>
      <c r="AF642" s="29"/>
      <c r="AG642" s="29"/>
    </row>
    <row r="643">
      <c r="A643" s="553" t="s">
        <v>5177</v>
      </c>
      <c r="B643" s="554" t="s">
        <v>5904</v>
      </c>
      <c r="C643" s="672" t="s">
        <v>6526</v>
      </c>
      <c r="D643" s="562" t="s">
        <v>60</v>
      </c>
      <c r="E643" s="563" t="s">
        <v>6528</v>
      </c>
      <c r="F643" s="553" t="s">
        <v>1055</v>
      </c>
      <c r="G643" s="558">
        <v>45952.0</v>
      </c>
      <c r="H643" s="558">
        <v>45954.0</v>
      </c>
      <c r="I643" s="563">
        <f>IFERROR(__xludf.DUMMYFUNCTION("IF(ISBLANK(H643), TODAY()-TO_DATE(G643), TO_DATE(H643)-TO_DATE(G643))+1"),3.0)</f>
        <v>3</v>
      </c>
      <c r="J643" s="628">
        <v>300.0</v>
      </c>
      <c r="K643" s="561" t="s">
        <v>6531</v>
      </c>
      <c r="L643" s="615"/>
      <c r="M643" s="563"/>
      <c r="N643" s="564"/>
      <c r="O643" s="564"/>
      <c r="P643" s="564"/>
      <c r="Q643" s="564"/>
      <c r="R643" s="564"/>
      <c r="S643" s="564"/>
      <c r="T643" s="564"/>
      <c r="U643" s="564"/>
      <c r="V643" s="564"/>
      <c r="W643" s="564"/>
      <c r="X643" s="564"/>
      <c r="Y643" s="564"/>
      <c r="Z643" s="564"/>
      <c r="AA643" s="564"/>
      <c r="AB643" s="564"/>
      <c r="AC643" s="564"/>
      <c r="AD643" s="564"/>
      <c r="AE643" s="564"/>
      <c r="AF643" s="564"/>
      <c r="AG643" s="564"/>
    </row>
    <row r="644">
      <c r="A644" s="540" t="s">
        <v>5177</v>
      </c>
      <c r="B644" s="541" t="s">
        <v>5904</v>
      </c>
      <c r="C644" s="550" t="s">
        <v>201</v>
      </c>
      <c r="D644" s="544" t="s">
        <v>60</v>
      </c>
      <c r="E644" s="540" t="s">
        <v>6538</v>
      </c>
      <c r="F644" s="540" t="s">
        <v>2037</v>
      </c>
      <c r="G644" s="545">
        <v>45952.0</v>
      </c>
      <c r="H644" s="545">
        <v>45961.0</v>
      </c>
      <c r="I644" s="547">
        <f>IFERROR(__xludf.DUMMYFUNCTION("IF(ISBLANK(H644), TODAY()-TO_DATE(G644), TO_DATE(H644)-TO_DATE(G644))+1"),10.0)</f>
        <v>10</v>
      </c>
      <c r="J644" s="633">
        <v>500.0</v>
      </c>
      <c r="K644" s="540" t="s">
        <v>6542</v>
      </c>
      <c r="L644" s="611" t="s">
        <v>6544</v>
      </c>
      <c r="M644" s="547"/>
      <c r="N644" s="548"/>
      <c r="O644" s="548"/>
      <c r="P644" s="548"/>
      <c r="Q644" s="548"/>
      <c r="R644" s="548"/>
      <c r="S644" s="548"/>
      <c r="T644" s="548"/>
      <c r="U644" s="548"/>
      <c r="V644" s="548"/>
      <c r="W644" s="548"/>
      <c r="X644" s="548"/>
      <c r="Y644" s="548"/>
      <c r="Z644" s="548"/>
      <c r="AA644" s="548"/>
      <c r="AB644" s="548"/>
      <c r="AC644" s="548"/>
      <c r="AD644" s="548"/>
      <c r="AE644" s="548"/>
      <c r="AF644" s="548"/>
      <c r="AG644" s="548"/>
    </row>
    <row r="645">
      <c r="A645" s="553" t="s">
        <v>5177</v>
      </c>
      <c r="B645" s="554" t="s">
        <v>5904</v>
      </c>
      <c r="C645" s="673" t="s">
        <v>6547</v>
      </c>
      <c r="D645" s="562" t="s">
        <v>656</v>
      </c>
      <c r="E645" s="563" t="s">
        <v>6552</v>
      </c>
      <c r="F645" s="553" t="s">
        <v>792</v>
      </c>
      <c r="G645" s="558">
        <v>45952.0</v>
      </c>
      <c r="H645" s="558">
        <v>45954.0</v>
      </c>
      <c r="I645" s="563">
        <f>IFERROR(__xludf.DUMMYFUNCTION("IF(ISBLANK(H645), TODAY()-TO_DATE(G645), TO_DATE(H645)-TO_DATE(G645))+1"),3.0)</f>
        <v>3</v>
      </c>
      <c r="J645" s="628">
        <v>300.0</v>
      </c>
      <c r="K645" s="561" t="s">
        <v>6555</v>
      </c>
      <c r="L645" s="615"/>
      <c r="M645" s="563"/>
      <c r="N645" s="564"/>
      <c r="O645" s="564"/>
      <c r="P645" s="564"/>
      <c r="Q645" s="564"/>
      <c r="R645" s="564"/>
      <c r="S645" s="564"/>
      <c r="T645" s="564"/>
      <c r="U645" s="564"/>
      <c r="V645" s="564"/>
      <c r="W645" s="564"/>
      <c r="X645" s="564"/>
      <c r="Y645" s="564"/>
      <c r="Z645" s="564"/>
      <c r="AA645" s="564"/>
      <c r="AB645" s="564"/>
      <c r="AC645" s="564"/>
      <c r="AD645" s="564"/>
      <c r="AE645" s="564"/>
      <c r="AF645" s="564"/>
      <c r="AG645" s="564"/>
    </row>
    <row r="646">
      <c r="A646" s="553" t="s">
        <v>5177</v>
      </c>
      <c r="B646" s="554" t="s">
        <v>5904</v>
      </c>
      <c r="C646" s="601" t="s">
        <v>6559</v>
      </c>
      <c r="D646" s="562" t="s">
        <v>60</v>
      </c>
      <c r="E646" s="563" t="s">
        <v>3871</v>
      </c>
      <c r="F646" s="553" t="s">
        <v>3872</v>
      </c>
      <c r="G646" s="558">
        <v>45952.0</v>
      </c>
      <c r="H646" s="558">
        <v>45954.0</v>
      </c>
      <c r="I646" s="563">
        <f>IFERROR(__xludf.DUMMYFUNCTION("IF(ISBLANK(H646), TODAY()-TO_DATE(G646), TO_DATE(H646)-TO_DATE(G646))+1"),3.0)</f>
        <v>3</v>
      </c>
      <c r="J646" s="628">
        <v>300.0</v>
      </c>
      <c r="K646" s="561" t="s">
        <v>3878</v>
      </c>
      <c r="L646" s="615" t="s">
        <v>6562</v>
      </c>
      <c r="M646" s="563"/>
      <c r="N646" s="564"/>
      <c r="O646" s="564"/>
      <c r="P646" s="564"/>
      <c r="Q646" s="564"/>
      <c r="R646" s="564"/>
      <c r="S646" s="564"/>
      <c r="T646" s="564"/>
      <c r="U646" s="564"/>
      <c r="V646" s="564"/>
      <c r="W646" s="564"/>
      <c r="X646" s="564"/>
      <c r="Y646" s="564"/>
      <c r="Z646" s="564"/>
      <c r="AA646" s="564"/>
      <c r="AB646" s="564"/>
      <c r="AC646" s="564"/>
      <c r="AD646" s="564"/>
      <c r="AE646" s="564"/>
      <c r="AF646" s="564"/>
      <c r="AG646" s="564"/>
    </row>
    <row r="647">
      <c r="A647" s="240" t="s">
        <v>5177</v>
      </c>
      <c r="B647" s="231" t="s">
        <v>423</v>
      </c>
      <c r="C647" s="407" t="s">
        <v>213</v>
      </c>
      <c r="D647" s="321" t="s">
        <v>60</v>
      </c>
      <c r="E647" s="63" t="s">
        <v>6565</v>
      </c>
      <c r="F647" s="240" t="s">
        <v>6568</v>
      </c>
      <c r="G647" s="493">
        <v>45952.0</v>
      </c>
      <c r="H647" s="642">
        <v>45960.0</v>
      </c>
      <c r="I647" s="63">
        <f>IFERROR(__xludf.DUMMYFUNCTION("IF(ISBLANK(H647), TODAY()-TO_DATE(G647), TO_DATE(H647)-TO_DATE(G647))+1"),9.0)</f>
        <v>9</v>
      </c>
      <c r="J647" s="40">
        <v>300.0</v>
      </c>
      <c r="K647" s="240" t="s">
        <v>6572</v>
      </c>
      <c r="L647" s="507" t="s">
        <v>6573</v>
      </c>
      <c r="M647" s="63"/>
      <c r="N647" s="29"/>
      <c r="O647" s="29"/>
      <c r="P647" s="29"/>
      <c r="Q647" s="29"/>
      <c r="R647" s="29"/>
      <c r="S647" s="29"/>
      <c r="T647" s="29"/>
      <c r="U647" s="29"/>
      <c r="V647" s="29"/>
      <c r="W647" s="29"/>
      <c r="X647" s="29"/>
      <c r="Y647" s="29"/>
      <c r="Z647" s="29"/>
      <c r="AA647" s="29"/>
      <c r="AB647" s="29"/>
      <c r="AC647" s="29"/>
      <c r="AD647" s="29"/>
      <c r="AE647" s="29"/>
      <c r="AF647" s="29"/>
      <c r="AG647" s="29"/>
    </row>
    <row r="648">
      <c r="A648" s="240" t="s">
        <v>5177</v>
      </c>
      <c r="B648" s="231" t="s">
        <v>423</v>
      </c>
      <c r="C648" s="407" t="s">
        <v>295</v>
      </c>
      <c r="D648" s="321" t="s">
        <v>656</v>
      </c>
      <c r="E648" s="63" t="s">
        <v>6577</v>
      </c>
      <c r="F648" s="240" t="s">
        <v>1447</v>
      </c>
      <c r="G648" s="493">
        <v>45952.0</v>
      </c>
      <c r="H648" s="642">
        <v>45960.0</v>
      </c>
      <c r="I648" s="63">
        <f>IFERROR(__xludf.DUMMYFUNCTION("IF(ISBLANK(H648), TODAY()-TO_DATE(G648), TO_DATE(H648)-TO_DATE(G648))+1"),9.0)</f>
        <v>9</v>
      </c>
      <c r="J648" s="40">
        <v>300.0</v>
      </c>
      <c r="K648" s="240" t="s">
        <v>6580</v>
      </c>
      <c r="L648" s="507" t="s">
        <v>6581</v>
      </c>
      <c r="M648" s="63"/>
      <c r="N648" s="29"/>
      <c r="O648" s="29"/>
      <c r="P648" s="29"/>
      <c r="Q648" s="29"/>
      <c r="R648" s="29"/>
      <c r="S648" s="29"/>
      <c r="T648" s="29"/>
      <c r="U648" s="29"/>
      <c r="V648" s="29"/>
      <c r="W648" s="29"/>
      <c r="X648" s="29"/>
      <c r="Y648" s="29"/>
      <c r="Z648" s="29"/>
      <c r="AA648" s="29"/>
      <c r="AB648" s="29"/>
      <c r="AC648" s="29"/>
      <c r="AD648" s="29"/>
      <c r="AE648" s="29"/>
      <c r="AF648" s="29"/>
      <c r="AG648" s="29"/>
    </row>
    <row r="649">
      <c r="A649" s="240" t="s">
        <v>5177</v>
      </c>
      <c r="B649" s="231" t="s">
        <v>423</v>
      </c>
      <c r="C649" s="407" t="s">
        <v>201</v>
      </c>
      <c r="D649" s="321" t="s">
        <v>60</v>
      </c>
      <c r="E649" s="63" t="s">
        <v>6584</v>
      </c>
      <c r="F649" s="240" t="s">
        <v>6585</v>
      </c>
      <c r="G649" s="493">
        <v>45952.0</v>
      </c>
      <c r="H649" s="642">
        <v>45958.0</v>
      </c>
      <c r="I649" s="63">
        <f>IFERROR(__xludf.DUMMYFUNCTION("IF(ISBLANK(H649), TODAY()-TO_DATE(G649), TO_DATE(H649)-TO_DATE(G649))+1"),7.0)</f>
        <v>7</v>
      </c>
      <c r="J649" s="40">
        <v>500.0</v>
      </c>
      <c r="K649" s="240" t="s">
        <v>4409</v>
      </c>
      <c r="L649" s="507"/>
      <c r="M649" s="63"/>
      <c r="N649" s="29"/>
      <c r="O649" s="29"/>
      <c r="P649" s="29"/>
      <c r="Q649" s="29"/>
      <c r="R649" s="29"/>
      <c r="S649" s="29"/>
      <c r="T649" s="29"/>
      <c r="U649" s="29"/>
      <c r="V649" s="29"/>
      <c r="W649" s="29"/>
      <c r="X649" s="29"/>
      <c r="Y649" s="29"/>
      <c r="Z649" s="29"/>
      <c r="AA649" s="29"/>
      <c r="AB649" s="29"/>
      <c r="AC649" s="29"/>
      <c r="AD649" s="29"/>
      <c r="AE649" s="29"/>
      <c r="AF649" s="29"/>
      <c r="AG649" s="29"/>
    </row>
    <row r="650">
      <c r="A650" s="240" t="s">
        <v>5177</v>
      </c>
      <c r="B650" s="231" t="s">
        <v>423</v>
      </c>
      <c r="C650" s="407" t="s">
        <v>58</v>
      </c>
      <c r="D650" s="321" t="s">
        <v>60</v>
      </c>
      <c r="E650" s="63" t="s">
        <v>6592</v>
      </c>
      <c r="F650" s="240" t="s">
        <v>6593</v>
      </c>
      <c r="G650" s="493">
        <v>45952.0</v>
      </c>
      <c r="H650" s="642">
        <v>45955.0</v>
      </c>
      <c r="I650" s="63">
        <f>IFERROR(__xludf.DUMMYFUNCTION("IF(ISBLANK(H650), TODAY()-TO_DATE(G650), TO_DATE(H650)-TO_DATE(G650))+1"),4.0)</f>
        <v>4</v>
      </c>
      <c r="J650" s="40">
        <v>500.0</v>
      </c>
      <c r="K650" s="240" t="s">
        <v>6596</v>
      </c>
      <c r="L650" s="507"/>
      <c r="M650" s="240" t="s">
        <v>6597</v>
      </c>
      <c r="N650" s="29"/>
      <c r="O650" s="29"/>
      <c r="P650" s="29"/>
      <c r="Q650" s="29"/>
      <c r="R650" s="29"/>
      <c r="S650" s="29"/>
      <c r="T650" s="29"/>
      <c r="U650" s="29"/>
      <c r="V650" s="29"/>
      <c r="W650" s="29"/>
      <c r="X650" s="29"/>
      <c r="Y650" s="29"/>
      <c r="Z650" s="29"/>
      <c r="AA650" s="29"/>
      <c r="AB650" s="29"/>
      <c r="AC650" s="29"/>
      <c r="AD650" s="29"/>
      <c r="AE650" s="29"/>
      <c r="AF650" s="29"/>
      <c r="AG650" s="29"/>
    </row>
    <row r="651">
      <c r="A651" s="240" t="s">
        <v>5177</v>
      </c>
      <c r="B651" s="231" t="s">
        <v>5904</v>
      </c>
      <c r="C651" s="407" t="s">
        <v>331</v>
      </c>
      <c r="D651" s="321" t="s">
        <v>656</v>
      </c>
      <c r="E651" s="63" t="s">
        <v>6601</v>
      </c>
      <c r="F651" s="240" t="s">
        <v>6602</v>
      </c>
      <c r="G651" s="493">
        <v>45953.0</v>
      </c>
      <c r="H651" s="642">
        <v>45958.0</v>
      </c>
      <c r="I651" s="63">
        <f>IFERROR(__xludf.DUMMYFUNCTION("IF(ISBLANK(H651), TODAY()-TO_DATE(G651), TO_DATE(H651)-TO_DATE(G651))+1"),6.0)</f>
        <v>6</v>
      </c>
      <c r="J651" s="40">
        <v>500.0</v>
      </c>
      <c r="K651" s="240" t="s">
        <v>6607</v>
      </c>
      <c r="L651" s="507"/>
      <c r="M651" s="240" t="s">
        <v>6608</v>
      </c>
      <c r="N651" s="29"/>
      <c r="O651" s="29"/>
      <c r="P651" s="29"/>
      <c r="Q651" s="29"/>
      <c r="R651" s="29"/>
      <c r="S651" s="29"/>
      <c r="T651" s="29"/>
      <c r="U651" s="29"/>
      <c r="V651" s="29"/>
      <c r="W651" s="29"/>
      <c r="X651" s="29"/>
      <c r="Y651" s="29"/>
      <c r="Z651" s="29"/>
      <c r="AA651" s="29"/>
      <c r="AB651" s="29"/>
      <c r="AC651" s="29"/>
      <c r="AD651" s="29"/>
      <c r="AE651" s="29"/>
      <c r="AF651" s="29"/>
      <c r="AG651" s="29"/>
    </row>
    <row r="652">
      <c r="A652" s="240" t="s">
        <v>5177</v>
      </c>
      <c r="B652" s="231" t="s">
        <v>5904</v>
      </c>
      <c r="C652" s="407" t="s">
        <v>1536</v>
      </c>
      <c r="D652" s="321" t="s">
        <v>656</v>
      </c>
      <c r="E652" s="63" t="s">
        <v>6611</v>
      </c>
      <c r="F652" s="240" t="s">
        <v>2068</v>
      </c>
      <c r="G652" s="493">
        <v>45953.0</v>
      </c>
      <c r="H652" s="642">
        <v>45958.0</v>
      </c>
      <c r="I652" s="63">
        <f>IFERROR(__xludf.DUMMYFUNCTION("IF(ISBLANK(H652), TODAY()-TO_DATE(G652), TO_DATE(H652)-TO_DATE(G652))+1"),6.0)</f>
        <v>6</v>
      </c>
      <c r="J652" s="40">
        <v>500.0</v>
      </c>
      <c r="K652" s="240" t="s">
        <v>4617</v>
      </c>
      <c r="L652" s="507"/>
      <c r="M652" s="240" t="s">
        <v>6608</v>
      </c>
      <c r="N652" s="29"/>
      <c r="O652" s="29"/>
      <c r="P652" s="29"/>
      <c r="Q652" s="29"/>
      <c r="R652" s="29"/>
      <c r="S652" s="29"/>
      <c r="T652" s="29"/>
      <c r="U652" s="29"/>
      <c r="V652" s="29"/>
      <c r="W652" s="29"/>
      <c r="X652" s="29"/>
      <c r="Y652" s="29"/>
      <c r="Z652" s="29"/>
      <c r="AA652" s="29"/>
      <c r="AB652" s="29"/>
      <c r="AC652" s="29"/>
      <c r="AD652" s="29"/>
      <c r="AE652" s="29"/>
      <c r="AF652" s="29"/>
      <c r="AG652" s="29"/>
    </row>
    <row r="653">
      <c r="A653" s="553" t="s">
        <v>5177</v>
      </c>
      <c r="B653" s="554" t="s">
        <v>5904</v>
      </c>
      <c r="C653" s="601" t="s">
        <v>201</v>
      </c>
      <c r="D653" s="562" t="s">
        <v>60</v>
      </c>
      <c r="E653" s="563" t="s">
        <v>1446</v>
      </c>
      <c r="F653" s="553" t="s">
        <v>1447</v>
      </c>
      <c r="G653" s="558">
        <v>45953.0</v>
      </c>
      <c r="H653" s="608">
        <v>45958.0</v>
      </c>
      <c r="I653" s="563">
        <f>IFERROR(__xludf.DUMMYFUNCTION("IF(ISBLANK(H653), TODAY()-TO_DATE(G653), TO_DATE(H653)-TO_DATE(G653))+1"),6.0)</f>
        <v>6</v>
      </c>
      <c r="J653" s="628">
        <v>300.0</v>
      </c>
      <c r="K653" s="561" t="s">
        <v>6621</v>
      </c>
      <c r="L653" s="656" t="s">
        <v>6623</v>
      </c>
      <c r="M653" s="563"/>
      <c r="N653" s="564"/>
      <c r="O653" s="564"/>
      <c r="P653" s="564"/>
      <c r="Q653" s="564"/>
      <c r="R653" s="564"/>
      <c r="S653" s="564"/>
      <c r="T653" s="564"/>
      <c r="U653" s="564"/>
      <c r="V653" s="564"/>
      <c r="W653" s="564"/>
      <c r="X653" s="564"/>
      <c r="Y653" s="564"/>
      <c r="Z653" s="564"/>
      <c r="AA653" s="564"/>
      <c r="AB653" s="564"/>
      <c r="AC653" s="564"/>
      <c r="AD653" s="564"/>
      <c r="AE653" s="564"/>
      <c r="AF653" s="564"/>
      <c r="AG653" s="564"/>
    </row>
    <row r="654">
      <c r="A654" s="240" t="s">
        <v>5177</v>
      </c>
      <c r="B654" s="231" t="s">
        <v>5904</v>
      </c>
      <c r="C654" s="407" t="s">
        <v>213</v>
      </c>
      <c r="D654" s="321" t="s">
        <v>60</v>
      </c>
      <c r="E654" s="63" t="s">
        <v>6628</v>
      </c>
      <c r="F654" s="240" t="s">
        <v>4054</v>
      </c>
      <c r="G654" s="493">
        <v>45953.0</v>
      </c>
      <c r="H654" s="642">
        <v>45959.0</v>
      </c>
      <c r="I654" s="63">
        <f>IFERROR(__xludf.DUMMYFUNCTION("IF(ISBLANK(H654), TODAY()-TO_DATE(G654), TO_DATE(H654)-TO_DATE(G654))+1"),7.0)</f>
        <v>7</v>
      </c>
      <c r="J654" s="40">
        <v>500.0</v>
      </c>
      <c r="K654" s="240" t="s">
        <v>6632</v>
      </c>
      <c r="L654" s="325" t="s">
        <v>6633</v>
      </c>
      <c r="M654" s="240" t="s">
        <v>6635</v>
      </c>
      <c r="N654" s="29"/>
      <c r="O654" s="29"/>
      <c r="P654" s="29"/>
      <c r="Q654" s="29"/>
      <c r="R654" s="29"/>
      <c r="S654" s="29"/>
      <c r="T654" s="29"/>
      <c r="U654" s="29"/>
      <c r="V654" s="29"/>
      <c r="W654" s="29"/>
      <c r="X654" s="29"/>
      <c r="Y654" s="29"/>
      <c r="Z654" s="29"/>
      <c r="AA654" s="29"/>
      <c r="AB654" s="29"/>
      <c r="AC654" s="29"/>
      <c r="AD654" s="29"/>
      <c r="AE654" s="29"/>
      <c r="AF654" s="29"/>
      <c r="AG654" s="29"/>
    </row>
    <row r="655">
      <c r="A655" s="240" t="s">
        <v>5177</v>
      </c>
      <c r="B655" s="231" t="s">
        <v>5904</v>
      </c>
      <c r="C655" s="407" t="s">
        <v>201</v>
      </c>
      <c r="D655" s="321" t="s">
        <v>60</v>
      </c>
      <c r="E655" s="63" t="s">
        <v>6639</v>
      </c>
      <c r="F655" s="240" t="s">
        <v>6640</v>
      </c>
      <c r="G655" s="493">
        <v>45954.0</v>
      </c>
      <c r="H655" s="642">
        <v>45956.0</v>
      </c>
      <c r="I655" s="63">
        <f>IFERROR(__xludf.DUMMYFUNCTION("IF(ISBLANK(H655), TODAY()-TO_DATE(G655), TO_DATE(H655)-TO_DATE(G655))+1"),3.0)</f>
        <v>3</v>
      </c>
      <c r="J655" s="40" t="s">
        <v>197</v>
      </c>
      <c r="K655" s="240" t="s">
        <v>6643</v>
      </c>
      <c r="L655" s="325" t="s">
        <v>6644</v>
      </c>
      <c r="M655" s="63"/>
      <c r="N655" s="29"/>
      <c r="O655" s="29"/>
      <c r="P655" s="29"/>
      <c r="Q655" s="29"/>
      <c r="R655" s="29"/>
      <c r="S655" s="29"/>
      <c r="T655" s="29"/>
      <c r="U655" s="29"/>
      <c r="V655" s="29"/>
      <c r="W655" s="29"/>
      <c r="X655" s="29"/>
      <c r="Y655" s="29"/>
      <c r="Z655" s="29"/>
      <c r="AA655" s="29"/>
      <c r="AB655" s="29"/>
      <c r="AC655" s="29"/>
      <c r="AD655" s="29"/>
      <c r="AE655" s="29"/>
      <c r="AF655" s="29"/>
      <c r="AG655" s="29"/>
    </row>
    <row r="656">
      <c r="A656" s="580" t="s">
        <v>5177</v>
      </c>
      <c r="B656" s="581" t="s">
        <v>5904</v>
      </c>
      <c r="C656" s="657" t="s">
        <v>331</v>
      </c>
      <c r="D656" s="588" t="s">
        <v>60</v>
      </c>
      <c r="E656" s="589" t="s">
        <v>6649</v>
      </c>
      <c r="F656" s="580" t="s">
        <v>671</v>
      </c>
      <c r="G656" s="586">
        <v>45954.0</v>
      </c>
      <c r="H656" s="658">
        <v>45955.0</v>
      </c>
      <c r="I656" s="589">
        <f>IFERROR(__xludf.DUMMYFUNCTION("IF(ISBLANK(H656), TODAY()-TO_DATE(G656), TO_DATE(H656)-TO_DATE(G656))+1"),2.0)</f>
        <v>2</v>
      </c>
      <c r="J656" s="623">
        <v>200.0</v>
      </c>
      <c r="K656" s="561" t="s">
        <v>6651</v>
      </c>
      <c r="L656" s="659" t="s">
        <v>6653</v>
      </c>
      <c r="M656" s="589"/>
      <c r="N656" s="590"/>
      <c r="O656" s="590"/>
      <c r="P656" s="590"/>
      <c r="Q656" s="590"/>
      <c r="R656" s="590"/>
      <c r="S656" s="590"/>
      <c r="T656" s="590"/>
      <c r="U656" s="590"/>
      <c r="V656" s="590"/>
      <c r="W656" s="590"/>
      <c r="X656" s="590"/>
      <c r="Y656" s="590"/>
      <c r="Z656" s="590"/>
      <c r="AA656" s="590"/>
      <c r="AB656" s="590"/>
      <c r="AC656" s="590"/>
      <c r="AD656" s="590"/>
      <c r="AE656" s="590"/>
      <c r="AF656" s="590"/>
      <c r="AG656" s="590"/>
    </row>
    <row r="657">
      <c r="A657" s="240" t="s">
        <v>5177</v>
      </c>
      <c r="B657" s="231" t="s">
        <v>5904</v>
      </c>
      <c r="C657" s="407" t="s">
        <v>302</v>
      </c>
      <c r="D657" s="321" t="s">
        <v>60</v>
      </c>
      <c r="E657" s="63" t="s">
        <v>6655</v>
      </c>
      <c r="F657" s="240" t="s">
        <v>6657</v>
      </c>
      <c r="G657" s="493">
        <v>45954.0</v>
      </c>
      <c r="H657" s="642">
        <v>45956.0</v>
      </c>
      <c r="I657" s="63">
        <f>IFERROR(__xludf.DUMMYFUNCTION("IF(ISBLANK(H657), TODAY()-TO_DATE(G657), TO_DATE(H657)-TO_DATE(G657))+1"),3.0)</f>
        <v>3</v>
      </c>
      <c r="J657" s="40" t="s">
        <v>197</v>
      </c>
      <c r="K657" s="240" t="s">
        <v>6659</v>
      </c>
      <c r="L657" s="325"/>
      <c r="M657" s="63"/>
      <c r="N657" s="29"/>
      <c r="O657" s="29"/>
      <c r="P657" s="29"/>
      <c r="Q657" s="29"/>
      <c r="R657" s="29"/>
      <c r="S657" s="29"/>
      <c r="T657" s="29"/>
      <c r="U657" s="29"/>
      <c r="V657" s="29"/>
      <c r="W657" s="29"/>
      <c r="X657" s="29"/>
      <c r="Y657" s="29"/>
      <c r="Z657" s="29"/>
      <c r="AA657" s="29"/>
      <c r="AB657" s="29"/>
      <c r="AC657" s="29"/>
      <c r="AD657" s="29"/>
      <c r="AE657" s="29"/>
      <c r="AF657" s="29"/>
      <c r="AG657" s="29"/>
    </row>
    <row r="658">
      <c r="A658" s="580" t="s">
        <v>5177</v>
      </c>
      <c r="B658" s="581" t="s">
        <v>5904</v>
      </c>
      <c r="C658" s="657" t="s">
        <v>58</v>
      </c>
      <c r="D658" s="588" t="s">
        <v>60</v>
      </c>
      <c r="E658" s="589" t="s">
        <v>6663</v>
      </c>
      <c r="F658" s="580" t="s">
        <v>1250</v>
      </c>
      <c r="G658" s="586">
        <v>45954.0</v>
      </c>
      <c r="H658" s="658">
        <v>45955.0</v>
      </c>
      <c r="I658" s="589">
        <f>IFERROR(__xludf.DUMMYFUNCTION("IF(ISBLANK(H658), TODAY()-TO_DATE(G658), TO_DATE(H658)-TO_DATE(G658))+1"),2.0)</f>
        <v>2</v>
      </c>
      <c r="J658" s="623">
        <v>200.0</v>
      </c>
      <c r="K658" s="561" t="s">
        <v>6667</v>
      </c>
      <c r="L658" s="659"/>
      <c r="M658" s="589"/>
      <c r="N658" s="590"/>
      <c r="O658" s="590"/>
      <c r="P658" s="590"/>
      <c r="Q658" s="590"/>
      <c r="R658" s="590"/>
      <c r="S658" s="590"/>
      <c r="T658" s="590"/>
      <c r="U658" s="590"/>
      <c r="V658" s="590"/>
      <c r="W658" s="590"/>
      <c r="X658" s="590"/>
      <c r="Y658" s="590"/>
      <c r="Z658" s="590"/>
      <c r="AA658" s="590"/>
      <c r="AB658" s="590"/>
      <c r="AC658" s="590"/>
      <c r="AD658" s="590"/>
      <c r="AE658" s="590"/>
      <c r="AF658" s="590"/>
      <c r="AG658" s="590"/>
    </row>
    <row r="659">
      <c r="A659" s="240" t="s">
        <v>5177</v>
      </c>
      <c r="B659" s="231" t="s">
        <v>5904</v>
      </c>
      <c r="C659" s="681" t="s">
        <v>5231</v>
      </c>
      <c r="D659" s="321" t="s">
        <v>60</v>
      </c>
      <c r="E659" s="63" t="s">
        <v>5287</v>
      </c>
      <c r="F659" s="240" t="s">
        <v>3539</v>
      </c>
      <c r="G659" s="493">
        <v>45954.0</v>
      </c>
      <c r="H659" s="642">
        <v>45956.0</v>
      </c>
      <c r="I659" s="63">
        <f>IFERROR(__xludf.DUMMYFUNCTION("IF(ISBLANK(H659), TODAY()-TO_DATE(G659), TO_DATE(H659)-TO_DATE(G659))+1"),3.0)</f>
        <v>3</v>
      </c>
      <c r="J659" s="40" t="s">
        <v>197</v>
      </c>
      <c r="K659" s="240" t="s">
        <v>6673</v>
      </c>
      <c r="L659" s="325"/>
      <c r="M659" s="63"/>
      <c r="N659" s="29"/>
      <c r="O659" s="29"/>
      <c r="P659" s="29"/>
      <c r="Q659" s="29"/>
      <c r="R659" s="29"/>
      <c r="S659" s="29"/>
      <c r="T659" s="29"/>
      <c r="U659" s="29"/>
      <c r="V659" s="29"/>
      <c r="W659" s="29"/>
      <c r="X659" s="29"/>
      <c r="Y659" s="29"/>
      <c r="Z659" s="29"/>
      <c r="AA659" s="29"/>
      <c r="AB659" s="29"/>
      <c r="AC659" s="29"/>
      <c r="AD659" s="29"/>
      <c r="AE659" s="29"/>
      <c r="AF659" s="29"/>
      <c r="AG659" s="29"/>
    </row>
    <row r="660">
      <c r="A660" s="240" t="s">
        <v>5177</v>
      </c>
      <c r="B660" s="231" t="s">
        <v>5904</v>
      </c>
      <c r="C660" s="407" t="s">
        <v>302</v>
      </c>
      <c r="D660" s="321" t="s">
        <v>60</v>
      </c>
      <c r="E660" s="63" t="s">
        <v>6677</v>
      </c>
      <c r="F660" s="240" t="s">
        <v>6678</v>
      </c>
      <c r="G660" s="493">
        <v>45954.0</v>
      </c>
      <c r="H660" s="642">
        <v>45956.0</v>
      </c>
      <c r="I660" s="63">
        <f>IFERROR(__xludf.DUMMYFUNCTION("IF(ISBLANK(H660), TODAY()-TO_DATE(G660), TO_DATE(H660)-TO_DATE(G660))+1"),3.0)</f>
        <v>3</v>
      </c>
      <c r="J660" s="40" t="s">
        <v>197</v>
      </c>
      <c r="K660" s="240" t="s">
        <v>6679</v>
      </c>
      <c r="L660" s="325" t="s">
        <v>6680</v>
      </c>
      <c r="M660" s="63"/>
      <c r="N660" s="29"/>
      <c r="O660" s="29"/>
      <c r="P660" s="29"/>
      <c r="Q660" s="29"/>
      <c r="R660" s="29"/>
      <c r="S660" s="29"/>
      <c r="T660" s="29"/>
      <c r="U660" s="29"/>
      <c r="V660" s="29"/>
      <c r="W660" s="29"/>
      <c r="X660" s="29"/>
      <c r="Y660" s="29"/>
      <c r="Z660" s="29"/>
      <c r="AA660" s="29"/>
      <c r="AB660" s="29"/>
      <c r="AC660" s="29"/>
      <c r="AD660" s="29"/>
      <c r="AE660" s="29"/>
      <c r="AF660" s="29"/>
      <c r="AG660" s="29"/>
    </row>
    <row r="661">
      <c r="A661" s="240" t="s">
        <v>5177</v>
      </c>
      <c r="B661" s="231" t="s">
        <v>5904</v>
      </c>
      <c r="C661" s="407" t="s">
        <v>302</v>
      </c>
      <c r="D661" s="321" t="s">
        <v>60</v>
      </c>
      <c r="E661" s="63" t="s">
        <v>6685</v>
      </c>
      <c r="F661" s="240" t="s">
        <v>1624</v>
      </c>
      <c r="G661" s="493">
        <v>45954.0</v>
      </c>
      <c r="H661" s="642">
        <v>45956.0</v>
      </c>
      <c r="I661" s="63">
        <f>IFERROR(__xludf.DUMMYFUNCTION("IF(ISBLANK(H661), TODAY()-TO_DATE(G661), TO_DATE(H661)-TO_DATE(G661))+1"),3.0)</f>
        <v>3</v>
      </c>
      <c r="J661" s="40" t="s">
        <v>197</v>
      </c>
      <c r="K661" s="240" t="s">
        <v>6689</v>
      </c>
      <c r="L661" s="325" t="s">
        <v>6623</v>
      </c>
      <c r="M661" s="63"/>
      <c r="N661" s="29"/>
      <c r="O661" s="29"/>
      <c r="P661" s="29"/>
      <c r="Q661" s="29"/>
      <c r="R661" s="29"/>
      <c r="S661" s="29"/>
      <c r="T661" s="29"/>
      <c r="U661" s="29"/>
      <c r="V661" s="29"/>
      <c r="W661" s="29"/>
      <c r="X661" s="29"/>
      <c r="Y661" s="29"/>
      <c r="Z661" s="29"/>
      <c r="AA661" s="29"/>
      <c r="AB661" s="29"/>
      <c r="AC661" s="29"/>
      <c r="AD661" s="29"/>
      <c r="AE661" s="29"/>
      <c r="AF661" s="29"/>
      <c r="AG661" s="29"/>
    </row>
    <row r="662">
      <c r="A662" s="240" t="s">
        <v>5177</v>
      </c>
      <c r="B662" s="231" t="s">
        <v>5904</v>
      </c>
      <c r="C662" s="407" t="s">
        <v>58</v>
      </c>
      <c r="D662" s="321" t="s">
        <v>60</v>
      </c>
      <c r="E662" s="63" t="s">
        <v>6691</v>
      </c>
      <c r="F662" s="240" t="s">
        <v>6692</v>
      </c>
      <c r="G662" s="493">
        <v>45954.0</v>
      </c>
      <c r="H662" s="642">
        <v>45956.0</v>
      </c>
      <c r="I662" s="63">
        <f>IFERROR(__xludf.DUMMYFUNCTION("IF(ISBLANK(H662), TODAY()-TO_DATE(G662), TO_DATE(H662)-TO_DATE(G662))+1"),3.0)</f>
        <v>3</v>
      </c>
      <c r="J662" s="40" t="s">
        <v>197</v>
      </c>
      <c r="K662" s="240" t="s">
        <v>6694</v>
      </c>
      <c r="L662" s="325"/>
      <c r="M662" s="63"/>
      <c r="N662" s="29"/>
      <c r="O662" s="29"/>
      <c r="P662" s="29"/>
      <c r="Q662" s="29"/>
      <c r="R662" s="29"/>
      <c r="S662" s="29"/>
      <c r="T662" s="29"/>
      <c r="U662" s="29"/>
      <c r="V662" s="29"/>
      <c r="W662" s="29"/>
      <c r="X662" s="29"/>
      <c r="Y662" s="29"/>
      <c r="Z662" s="29"/>
      <c r="AA662" s="29"/>
      <c r="AB662" s="29"/>
      <c r="AC662" s="29"/>
      <c r="AD662" s="29"/>
      <c r="AE662" s="29"/>
      <c r="AF662" s="29"/>
      <c r="AG662" s="29"/>
    </row>
    <row r="663">
      <c r="A663" s="240" t="s">
        <v>5177</v>
      </c>
      <c r="B663" s="231" t="s">
        <v>5904</v>
      </c>
      <c r="C663" s="407" t="s">
        <v>2233</v>
      </c>
      <c r="D663" s="321" t="s">
        <v>60</v>
      </c>
      <c r="E663" s="63" t="s">
        <v>2587</v>
      </c>
      <c r="F663" s="240" t="s">
        <v>2589</v>
      </c>
      <c r="G663" s="493">
        <v>45954.0</v>
      </c>
      <c r="H663" s="642">
        <v>45961.0</v>
      </c>
      <c r="I663" s="63">
        <f>IFERROR(__xludf.DUMMYFUNCTION("IF(ISBLANK(H663), TODAY()-TO_DATE(G663), TO_DATE(H663)-TO_DATE(G663))+1"),8.0)</f>
        <v>8</v>
      </c>
      <c r="J663" s="40" t="s">
        <v>197</v>
      </c>
      <c r="K663" s="240" t="s">
        <v>2590</v>
      </c>
      <c r="L663" s="325"/>
      <c r="M663" s="63"/>
      <c r="N663" s="29"/>
      <c r="O663" s="29"/>
      <c r="P663" s="29"/>
      <c r="Q663" s="29"/>
      <c r="R663" s="29"/>
      <c r="S663" s="29"/>
      <c r="T663" s="29"/>
      <c r="U663" s="29"/>
      <c r="V663" s="29"/>
      <c r="W663" s="29"/>
      <c r="X663" s="29"/>
      <c r="Y663" s="29"/>
      <c r="Z663" s="29"/>
      <c r="AA663" s="29"/>
      <c r="AB663" s="29"/>
      <c r="AC663" s="29"/>
      <c r="AD663" s="29"/>
      <c r="AE663" s="29"/>
      <c r="AF663" s="29"/>
      <c r="AG663" s="29"/>
    </row>
    <row r="664">
      <c r="A664" s="553" t="s">
        <v>5177</v>
      </c>
      <c r="B664" s="554" t="s">
        <v>5904</v>
      </c>
      <c r="C664" s="601" t="s">
        <v>2289</v>
      </c>
      <c r="D664" s="562" t="s">
        <v>60</v>
      </c>
      <c r="E664" s="563" t="s">
        <v>6700</v>
      </c>
      <c r="F664" s="553" t="s">
        <v>5596</v>
      </c>
      <c r="G664" s="558">
        <v>45954.0</v>
      </c>
      <c r="H664" s="644">
        <v>45966.0</v>
      </c>
      <c r="I664" s="563">
        <f>IFERROR(__xludf.DUMMYFUNCTION("IF(ISBLANK(H664), TODAY()-TO_DATE(G664), TO_DATE(H664)-TO_DATE(G664))+1"),13.0)</f>
        <v>13</v>
      </c>
      <c r="J664" s="628">
        <v>300.0</v>
      </c>
      <c r="K664" s="561" t="s">
        <v>6702</v>
      </c>
      <c r="L664" s="656"/>
      <c r="M664" s="563"/>
      <c r="N664" s="564"/>
      <c r="O664" s="564"/>
      <c r="P664" s="564"/>
      <c r="Q664" s="564"/>
      <c r="R664" s="564"/>
      <c r="S664" s="564"/>
      <c r="T664" s="564"/>
      <c r="U664" s="564"/>
      <c r="V664" s="564"/>
      <c r="W664" s="564"/>
      <c r="X664" s="564"/>
      <c r="Y664" s="564"/>
      <c r="Z664" s="564"/>
      <c r="AA664" s="564"/>
      <c r="AB664" s="564"/>
      <c r="AC664" s="564"/>
      <c r="AD664" s="564"/>
      <c r="AE664" s="564"/>
      <c r="AF664" s="564"/>
      <c r="AG664" s="564"/>
    </row>
    <row r="665">
      <c r="A665" s="553" t="s">
        <v>5177</v>
      </c>
      <c r="B665" s="554" t="s">
        <v>5904</v>
      </c>
      <c r="C665" s="601" t="s">
        <v>536</v>
      </c>
      <c r="D665" s="562" t="s">
        <v>60</v>
      </c>
      <c r="E665" s="563" t="s">
        <v>6704</v>
      </c>
      <c r="F665" s="553" t="s">
        <v>6705</v>
      </c>
      <c r="G665" s="558">
        <v>45954.0</v>
      </c>
      <c r="H665" s="644">
        <v>45966.0</v>
      </c>
      <c r="I665" s="563">
        <f>IFERROR(__xludf.DUMMYFUNCTION("IF(ISBLANK(H665), TODAY()-TO_DATE(G665), TO_DATE(H665)-TO_DATE(G665))+1"),13.0)</f>
        <v>13</v>
      </c>
      <c r="J665" s="628" t="s">
        <v>197</v>
      </c>
      <c r="K665" s="561" t="s">
        <v>6707</v>
      </c>
      <c r="L665" s="656"/>
      <c r="M665" s="563"/>
      <c r="N665" s="564"/>
      <c r="O665" s="564"/>
      <c r="P665" s="564"/>
      <c r="Q665" s="564"/>
      <c r="R665" s="564"/>
      <c r="S665" s="564"/>
      <c r="T665" s="564"/>
      <c r="U665" s="564"/>
      <c r="V665" s="564"/>
      <c r="W665" s="564"/>
      <c r="X665" s="564"/>
      <c r="Y665" s="564"/>
      <c r="Z665" s="564"/>
      <c r="AA665" s="564"/>
      <c r="AB665" s="564"/>
      <c r="AC665" s="564"/>
      <c r="AD665" s="564"/>
      <c r="AE665" s="564"/>
      <c r="AF665" s="564"/>
      <c r="AG665" s="564"/>
    </row>
    <row r="666">
      <c r="A666" s="553" t="s">
        <v>5177</v>
      </c>
      <c r="B666" s="554" t="s">
        <v>5904</v>
      </c>
      <c r="C666" s="601" t="s">
        <v>6710</v>
      </c>
      <c r="D666" s="562" t="s">
        <v>60</v>
      </c>
      <c r="E666" s="563" t="s">
        <v>6712</v>
      </c>
      <c r="F666" s="553" t="s">
        <v>230</v>
      </c>
      <c r="G666" s="558">
        <v>45954.0</v>
      </c>
      <c r="H666" s="644">
        <v>45964.0</v>
      </c>
      <c r="I666" s="563">
        <f>IFERROR(__xludf.DUMMYFUNCTION("IF(ISBLANK(H666), TODAY()-TO_DATE(G666), TO_DATE(H666)-TO_DATE(G666))+1"),11.0)</f>
        <v>11</v>
      </c>
      <c r="J666" s="628">
        <v>300.0</v>
      </c>
      <c r="K666" s="561" t="s">
        <v>6714</v>
      </c>
      <c r="L666" s="656"/>
      <c r="M666" s="563"/>
      <c r="N666" s="564"/>
      <c r="O666" s="564"/>
      <c r="P666" s="564"/>
      <c r="Q666" s="564"/>
      <c r="R666" s="564"/>
      <c r="S666" s="564"/>
      <c r="T666" s="564"/>
      <c r="U666" s="564"/>
      <c r="V666" s="564"/>
      <c r="W666" s="564"/>
      <c r="X666" s="564"/>
      <c r="Y666" s="564"/>
      <c r="Z666" s="564"/>
      <c r="AA666" s="564"/>
      <c r="AB666" s="564"/>
      <c r="AC666" s="564"/>
      <c r="AD666" s="564"/>
      <c r="AE666" s="564"/>
      <c r="AF666" s="564"/>
      <c r="AG666" s="564"/>
    </row>
    <row r="667">
      <c r="A667" s="240" t="s">
        <v>5177</v>
      </c>
      <c r="B667" s="231" t="s">
        <v>5904</v>
      </c>
      <c r="C667" s="407" t="s">
        <v>331</v>
      </c>
      <c r="D667" s="321" t="s">
        <v>656</v>
      </c>
      <c r="E667" s="63" t="s">
        <v>6718</v>
      </c>
      <c r="F667" s="240" t="s">
        <v>6719</v>
      </c>
      <c r="G667" s="493">
        <v>45954.0</v>
      </c>
      <c r="H667" s="642">
        <v>45961.0</v>
      </c>
      <c r="I667" s="63">
        <f>IFERROR(__xludf.DUMMYFUNCTION("IF(ISBLANK(H667), TODAY()-TO_DATE(G667), TO_DATE(H667)-TO_DATE(G667))+1"),8.0)</f>
        <v>8</v>
      </c>
      <c r="J667" s="40">
        <v>500.0</v>
      </c>
      <c r="K667" s="240" t="s">
        <v>6721</v>
      </c>
      <c r="L667" s="325"/>
      <c r="M667" s="63"/>
      <c r="N667" s="29"/>
      <c r="O667" s="29"/>
      <c r="P667" s="29"/>
      <c r="Q667" s="29"/>
      <c r="R667" s="29"/>
      <c r="S667" s="29"/>
      <c r="T667" s="29"/>
      <c r="U667" s="29"/>
      <c r="V667" s="29"/>
      <c r="W667" s="29"/>
      <c r="X667" s="29"/>
      <c r="Y667" s="29"/>
      <c r="Z667" s="29"/>
      <c r="AA667" s="29"/>
      <c r="AB667" s="29"/>
      <c r="AC667" s="29"/>
      <c r="AD667" s="29"/>
      <c r="AE667" s="29"/>
      <c r="AF667" s="29"/>
      <c r="AG667" s="29"/>
    </row>
    <row r="668">
      <c r="A668" s="240" t="s">
        <v>5177</v>
      </c>
      <c r="B668" s="231" t="s">
        <v>5904</v>
      </c>
      <c r="C668" s="407" t="s">
        <v>187</v>
      </c>
      <c r="D668" s="321" t="s">
        <v>60</v>
      </c>
      <c r="E668" s="63" t="s">
        <v>3362</v>
      </c>
      <c r="F668" s="240" t="s">
        <v>3365</v>
      </c>
      <c r="G668" s="493">
        <v>45954.0</v>
      </c>
      <c r="H668" s="638">
        <v>45966.0</v>
      </c>
      <c r="I668" s="63">
        <f>IFERROR(__xludf.DUMMYFUNCTION("IF(ISBLANK(H668), TODAY()-TO_DATE(G668), TO_DATE(H668)-TO_DATE(G668))+1"),13.0)</f>
        <v>13</v>
      </c>
      <c r="J668" s="40" t="s">
        <v>197</v>
      </c>
      <c r="K668" s="561" t="s">
        <v>6726</v>
      </c>
      <c r="L668" s="325"/>
      <c r="M668" s="63"/>
      <c r="N668" s="29"/>
      <c r="O668" s="29"/>
      <c r="P668" s="29"/>
      <c r="Q668" s="29"/>
      <c r="R668" s="29"/>
      <c r="S668" s="29"/>
      <c r="T668" s="29"/>
      <c r="U668" s="29"/>
      <c r="V668" s="29"/>
      <c r="W668" s="29"/>
      <c r="X668" s="29"/>
      <c r="Y668" s="29"/>
      <c r="Z668" s="29"/>
      <c r="AA668" s="29"/>
      <c r="AB668" s="29"/>
      <c r="AC668" s="29"/>
      <c r="AD668" s="29"/>
      <c r="AE668" s="29"/>
      <c r="AF668" s="29"/>
      <c r="AG668" s="29"/>
    </row>
    <row r="669">
      <c r="A669" s="240" t="s">
        <v>5177</v>
      </c>
      <c r="B669" s="231" t="s">
        <v>5904</v>
      </c>
      <c r="C669" s="407" t="s">
        <v>201</v>
      </c>
      <c r="D669" s="321" t="s">
        <v>102</v>
      </c>
      <c r="E669" s="63" t="s">
        <v>6730</v>
      </c>
      <c r="F669" s="240" t="s">
        <v>6732</v>
      </c>
      <c r="G669" s="493">
        <v>45954.0</v>
      </c>
      <c r="H669" s="642">
        <v>45959.0</v>
      </c>
      <c r="I669" s="63">
        <f>IFERROR(__xludf.DUMMYFUNCTION("IF(ISBLANK(H669), TODAY()-TO_DATE(G669), TO_DATE(H669)-TO_DATE(G669))+1"),6.0)</f>
        <v>6</v>
      </c>
      <c r="J669" s="40">
        <v>300.0</v>
      </c>
      <c r="K669" s="240" t="s">
        <v>6735</v>
      </c>
      <c r="L669" s="325"/>
      <c r="M669" s="63"/>
      <c r="N669" s="29"/>
      <c r="O669" s="29"/>
      <c r="P669" s="29"/>
      <c r="Q669" s="29"/>
      <c r="R669" s="29"/>
      <c r="S669" s="29"/>
      <c r="T669" s="29"/>
      <c r="U669" s="29"/>
      <c r="V669" s="29"/>
      <c r="W669" s="29"/>
      <c r="X669" s="29"/>
      <c r="Y669" s="29"/>
      <c r="Z669" s="29"/>
      <c r="AA669" s="29"/>
      <c r="AB669" s="29"/>
      <c r="AC669" s="29"/>
      <c r="AD669" s="29"/>
      <c r="AE669" s="29"/>
      <c r="AF669" s="29"/>
      <c r="AG669" s="29"/>
    </row>
    <row r="670">
      <c r="A670" s="553" t="s">
        <v>5177</v>
      </c>
      <c r="B670" s="554" t="s">
        <v>5904</v>
      </c>
      <c r="C670" s="601" t="s">
        <v>213</v>
      </c>
      <c r="D670" s="562" t="s">
        <v>60</v>
      </c>
      <c r="E670" s="563" t="s">
        <v>6737</v>
      </c>
      <c r="F670" s="553" t="s">
        <v>129</v>
      </c>
      <c r="G670" s="558">
        <v>45954.0</v>
      </c>
      <c r="H670" s="644">
        <v>45966.0</v>
      </c>
      <c r="I670" s="563">
        <f>IFERROR(__xludf.DUMMYFUNCTION("IF(ISBLANK(H670), TODAY()-TO_DATE(G670), TO_DATE(H670)-TO_DATE(G670))+1"),13.0)</f>
        <v>13</v>
      </c>
      <c r="J670" s="628">
        <v>300.0</v>
      </c>
      <c r="K670" s="561" t="s">
        <v>6739</v>
      </c>
      <c r="L670" s="656"/>
      <c r="M670" s="563"/>
      <c r="N670" s="564"/>
      <c r="O670" s="564"/>
      <c r="P670" s="564"/>
      <c r="Q670" s="564"/>
      <c r="R670" s="564"/>
      <c r="S670" s="564"/>
      <c r="T670" s="564"/>
      <c r="U670" s="564"/>
      <c r="V670" s="564"/>
      <c r="W670" s="564"/>
      <c r="X670" s="564"/>
      <c r="Y670" s="564"/>
      <c r="Z670" s="564"/>
      <c r="AA670" s="564"/>
      <c r="AB670" s="564"/>
      <c r="AC670" s="564"/>
      <c r="AD670" s="564"/>
      <c r="AE670" s="564"/>
      <c r="AF670" s="564"/>
      <c r="AG670" s="564"/>
    </row>
    <row r="671">
      <c r="A671" s="240" t="s">
        <v>5177</v>
      </c>
      <c r="B671" s="231" t="s">
        <v>5904</v>
      </c>
      <c r="C671" s="407" t="s">
        <v>287</v>
      </c>
      <c r="D671" s="321" t="s">
        <v>60</v>
      </c>
      <c r="E671" s="63" t="s">
        <v>2266</v>
      </c>
      <c r="F671" s="240" t="s">
        <v>2267</v>
      </c>
      <c r="G671" s="493">
        <v>45954.0</v>
      </c>
      <c r="H671" s="642">
        <v>45961.0</v>
      </c>
      <c r="I671" s="63">
        <f>IFERROR(__xludf.DUMMYFUNCTION("IF(ISBLANK(H671), TODAY()-TO_DATE(G671), TO_DATE(H671)-TO_DATE(G671))+1"),8.0)</f>
        <v>8</v>
      </c>
      <c r="J671" s="40" t="s">
        <v>197</v>
      </c>
      <c r="K671" s="240" t="s">
        <v>6743</v>
      </c>
      <c r="L671" s="325" t="s">
        <v>6111</v>
      </c>
      <c r="M671" s="63"/>
      <c r="N671" s="29"/>
      <c r="O671" s="29"/>
      <c r="P671" s="29"/>
      <c r="Q671" s="29"/>
      <c r="R671" s="29"/>
      <c r="S671" s="29"/>
      <c r="T671" s="29"/>
      <c r="U671" s="29"/>
      <c r="V671" s="29"/>
      <c r="W671" s="29"/>
      <c r="X671" s="29"/>
      <c r="Y671" s="29"/>
      <c r="Z671" s="29"/>
      <c r="AA671" s="29"/>
      <c r="AB671" s="29"/>
      <c r="AC671" s="29"/>
      <c r="AD671" s="29"/>
      <c r="AE671" s="29"/>
      <c r="AF671" s="29"/>
      <c r="AG671" s="29"/>
    </row>
    <row r="672">
      <c r="A672" s="76" t="s">
        <v>2515</v>
      </c>
      <c r="B672" s="76" t="s">
        <v>697</v>
      </c>
      <c r="C672" s="450" t="s">
        <v>194</v>
      </c>
      <c r="D672" s="87" t="s">
        <v>360</v>
      </c>
      <c r="E672" s="86" t="s">
        <v>6749</v>
      </c>
      <c r="F672" s="76" t="s">
        <v>6751</v>
      </c>
      <c r="G672" s="523">
        <v>45956.0</v>
      </c>
      <c r="H672" s="523">
        <v>45956.0</v>
      </c>
      <c r="I672" s="189">
        <f>IFERROR(__xludf.DUMMYFUNCTION("IF(ISBLANK(H672), TODAY()-TO_DATE(G672), TO_DATE(H672)-TO_DATE(G672))+1"),1.0)</f>
        <v>1</v>
      </c>
      <c r="J672" s="27">
        <v>200.0</v>
      </c>
      <c r="K672" s="76" t="s">
        <v>6753</v>
      </c>
      <c r="L672" s="195"/>
      <c r="M672" s="189"/>
      <c r="N672" s="29"/>
      <c r="O672" s="29"/>
      <c r="P672" s="29"/>
      <c r="Q672" s="29"/>
      <c r="R672" s="29"/>
      <c r="S672" s="29"/>
      <c r="T672" s="29"/>
      <c r="U672" s="29"/>
      <c r="V672" s="29"/>
      <c r="W672" s="29"/>
      <c r="X672" s="29"/>
      <c r="Y672" s="29"/>
      <c r="Z672" s="29"/>
      <c r="AA672" s="29"/>
      <c r="AB672" s="29"/>
      <c r="AC672" s="29"/>
      <c r="AD672" s="29"/>
      <c r="AE672" s="29"/>
      <c r="AF672" s="29"/>
      <c r="AG672" s="29"/>
    </row>
    <row r="673">
      <c r="A673" s="240" t="s">
        <v>1032</v>
      </c>
      <c r="B673" s="76" t="s">
        <v>697</v>
      </c>
      <c r="C673" s="686" t="s">
        <v>321</v>
      </c>
      <c r="D673" s="687" t="s">
        <v>60</v>
      </c>
      <c r="E673" s="688" t="s">
        <v>6760</v>
      </c>
      <c r="F673" s="240" t="s">
        <v>4788</v>
      </c>
      <c r="G673" s="523">
        <v>45956.0</v>
      </c>
      <c r="H673" s="523">
        <v>45956.0</v>
      </c>
      <c r="I673" s="189">
        <f>IFERROR(__xludf.DUMMYFUNCTION("IF(ISBLANK(H673), TODAY()-TO_DATE(G673), TO_DATE(H673)-TO_DATE(G673))+1"),1.0)</f>
        <v>1</v>
      </c>
      <c r="J673" s="240">
        <v>300.0</v>
      </c>
      <c r="K673" s="240" t="s">
        <v>6762</v>
      </c>
      <c r="L673" s="507"/>
      <c r="M673" s="63"/>
      <c r="N673" s="29"/>
      <c r="O673" s="29"/>
      <c r="P673" s="29"/>
      <c r="Q673" s="29"/>
      <c r="R673" s="29"/>
      <c r="S673" s="29"/>
      <c r="T673" s="29"/>
      <c r="U673" s="29"/>
      <c r="V673" s="29"/>
      <c r="W673" s="29"/>
      <c r="X673" s="29"/>
      <c r="Y673" s="29"/>
      <c r="Z673" s="29"/>
      <c r="AA673" s="29"/>
      <c r="AB673" s="29"/>
      <c r="AC673" s="29"/>
      <c r="AD673" s="29"/>
      <c r="AE673" s="29"/>
      <c r="AF673" s="29"/>
      <c r="AG673" s="29"/>
    </row>
    <row r="674">
      <c r="A674" s="240" t="s">
        <v>5177</v>
      </c>
      <c r="B674" s="231" t="s">
        <v>5904</v>
      </c>
      <c r="C674" s="407" t="s">
        <v>302</v>
      </c>
      <c r="D674" s="321" t="s">
        <v>60</v>
      </c>
      <c r="E674" s="63" t="s">
        <v>4736</v>
      </c>
      <c r="F674" s="240" t="s">
        <v>4737</v>
      </c>
      <c r="G674" s="493">
        <v>45959.0</v>
      </c>
      <c r="H674" s="638">
        <v>45966.0</v>
      </c>
      <c r="I674" s="63">
        <f>IFERROR(__xludf.DUMMYFUNCTION("IF(ISBLANK(H674), TODAY()-TO_DATE(G674), TO_DATE(H674)-TO_DATE(G674))+1"),8.0)</f>
        <v>8</v>
      </c>
      <c r="J674" s="40" t="s">
        <v>197</v>
      </c>
      <c r="K674" s="561" t="s">
        <v>4742</v>
      </c>
      <c r="L674" s="325" t="s">
        <v>3136</v>
      </c>
      <c r="M674" s="63"/>
      <c r="N674" s="29"/>
      <c r="O674" s="29"/>
      <c r="P674" s="29"/>
      <c r="Q674" s="29"/>
      <c r="R674" s="29"/>
      <c r="S674" s="29"/>
      <c r="T674" s="29"/>
      <c r="U674" s="29"/>
      <c r="V674" s="29"/>
      <c r="W674" s="29"/>
      <c r="X674" s="29"/>
      <c r="Y674" s="29"/>
      <c r="Z674" s="29"/>
      <c r="AA674" s="29"/>
      <c r="AB674" s="29"/>
      <c r="AC674" s="29"/>
      <c r="AD674" s="29"/>
      <c r="AE674" s="29"/>
      <c r="AF674" s="29"/>
      <c r="AG674" s="29"/>
    </row>
    <row r="675">
      <c r="A675" s="240" t="s">
        <v>5177</v>
      </c>
      <c r="B675" s="231" t="s">
        <v>5904</v>
      </c>
      <c r="C675" s="407" t="s">
        <v>302</v>
      </c>
      <c r="D675" s="321" t="s">
        <v>60</v>
      </c>
      <c r="E675" s="63" t="s">
        <v>3385</v>
      </c>
      <c r="F675" s="240" t="s">
        <v>3024</v>
      </c>
      <c r="G675" s="493">
        <v>45959.0</v>
      </c>
      <c r="H675" s="638">
        <v>45963.0</v>
      </c>
      <c r="I675" s="63">
        <f>IFERROR(__xludf.DUMMYFUNCTION("IF(ISBLANK(H675), TODAY()-TO_DATE(G675), TO_DATE(H675)-TO_DATE(G675))+1"),5.0)</f>
        <v>5</v>
      </c>
      <c r="J675" s="40">
        <v>500.0</v>
      </c>
      <c r="K675" s="240" t="s">
        <v>6772</v>
      </c>
      <c r="L675" s="325" t="s">
        <v>6773</v>
      </c>
      <c r="M675" s="240"/>
      <c r="N675" s="29"/>
      <c r="O675" s="29"/>
      <c r="P675" s="29"/>
      <c r="Q675" s="29"/>
      <c r="R675" s="29"/>
      <c r="S675" s="29"/>
      <c r="T675" s="29"/>
      <c r="U675" s="29"/>
      <c r="V675" s="29"/>
      <c r="W675" s="29"/>
      <c r="X675" s="29"/>
      <c r="Y675" s="29"/>
      <c r="Z675" s="29"/>
      <c r="AA675" s="29"/>
      <c r="AB675" s="29"/>
      <c r="AC675" s="29"/>
      <c r="AD675" s="29"/>
      <c r="AE675" s="29"/>
      <c r="AF675" s="29"/>
      <c r="AG675" s="29"/>
    </row>
    <row r="676">
      <c r="A676" s="240" t="s">
        <v>5177</v>
      </c>
      <c r="B676" s="231" t="s">
        <v>5904</v>
      </c>
      <c r="C676" s="407" t="s">
        <v>302</v>
      </c>
      <c r="D676" s="321" t="s">
        <v>60</v>
      </c>
      <c r="E676" s="63" t="s">
        <v>4720</v>
      </c>
      <c r="F676" s="240" t="s">
        <v>4722</v>
      </c>
      <c r="G676" s="493">
        <v>45959.0</v>
      </c>
      <c r="H676" s="638">
        <v>45963.0</v>
      </c>
      <c r="I676" s="63">
        <f>IFERROR(__xludf.DUMMYFUNCTION("IF(ISBLANK(H676), TODAY()-TO_DATE(G676), TO_DATE(H676)-TO_DATE(G676))+1"),5.0)</f>
        <v>5</v>
      </c>
      <c r="J676" s="40">
        <v>500.0</v>
      </c>
      <c r="K676" s="240" t="s">
        <v>4727</v>
      </c>
      <c r="L676" s="325"/>
      <c r="M676" s="63"/>
      <c r="N676" s="29"/>
      <c r="O676" s="29"/>
      <c r="P676" s="29"/>
      <c r="Q676" s="29"/>
      <c r="R676" s="29"/>
      <c r="S676" s="29"/>
      <c r="T676" s="29"/>
      <c r="U676" s="29"/>
      <c r="V676" s="29"/>
      <c r="W676" s="29"/>
      <c r="X676" s="29"/>
      <c r="Y676" s="29"/>
      <c r="Z676" s="29"/>
      <c r="AA676" s="29"/>
      <c r="AB676" s="29"/>
      <c r="AC676" s="29"/>
      <c r="AD676" s="29"/>
      <c r="AE676" s="29"/>
      <c r="AF676" s="29"/>
      <c r="AG676" s="29"/>
    </row>
    <row r="677">
      <c r="A677" s="240" t="s">
        <v>5177</v>
      </c>
      <c r="B677" s="231" t="s">
        <v>5904</v>
      </c>
      <c r="C677" s="407" t="s">
        <v>1157</v>
      </c>
      <c r="D677" s="321" t="s">
        <v>102</v>
      </c>
      <c r="E677" s="63" t="s">
        <v>6783</v>
      </c>
      <c r="F677" s="240" t="s">
        <v>6784</v>
      </c>
      <c r="G677" s="493">
        <v>45959.0</v>
      </c>
      <c r="H677" s="638">
        <v>45962.0</v>
      </c>
      <c r="I677" s="63">
        <f>IFERROR(__xludf.DUMMYFUNCTION("IF(ISBLANK(H677), TODAY()-TO_DATE(G677), TO_DATE(H677)-TO_DATE(G677))+1"),4.0)</f>
        <v>4</v>
      </c>
      <c r="J677" s="40">
        <v>500.0</v>
      </c>
      <c r="K677" s="240" t="s">
        <v>6786</v>
      </c>
      <c r="L677" s="325" t="s">
        <v>3005</v>
      </c>
      <c r="M677" s="63"/>
      <c r="N677" s="29"/>
      <c r="O677" s="29"/>
      <c r="P677" s="29"/>
      <c r="Q677" s="29"/>
      <c r="R677" s="29"/>
      <c r="S677" s="29"/>
      <c r="T677" s="29"/>
      <c r="U677" s="29"/>
      <c r="V677" s="29"/>
      <c r="W677" s="29"/>
      <c r="X677" s="29"/>
      <c r="Y677" s="29"/>
      <c r="Z677" s="29"/>
      <c r="AA677" s="29"/>
      <c r="AB677" s="29"/>
      <c r="AC677" s="29"/>
      <c r="AD677" s="29"/>
      <c r="AE677" s="29"/>
      <c r="AF677" s="29"/>
      <c r="AG677" s="29"/>
    </row>
    <row r="678">
      <c r="A678" s="689" t="s">
        <v>1032</v>
      </c>
      <c r="B678" s="240" t="s">
        <v>375</v>
      </c>
      <c r="C678" s="529" t="s">
        <v>331</v>
      </c>
      <c r="D678" s="687" t="s">
        <v>60</v>
      </c>
      <c r="E678" s="690" t="s">
        <v>2609</v>
      </c>
      <c r="F678" s="690" t="s">
        <v>6793</v>
      </c>
      <c r="G678" s="493">
        <v>45960.0</v>
      </c>
      <c r="H678" s="493">
        <v>45963.0</v>
      </c>
      <c r="I678" s="189">
        <f>IFERROR(__xludf.DUMMYFUNCTION("IF(ISBLANK(H678), TODAY()-TO_DATE(G678), TO_DATE(H678)-TO_DATE(G678))+1"),4.0)</f>
        <v>4</v>
      </c>
      <c r="J678" s="27">
        <v>500.0</v>
      </c>
      <c r="K678" s="240" t="s">
        <v>6795</v>
      </c>
      <c r="L678" s="321" t="s">
        <v>6796</v>
      </c>
      <c r="M678" s="63"/>
      <c r="N678" s="29"/>
      <c r="O678" s="29"/>
      <c r="P678" s="29"/>
      <c r="Q678" s="29"/>
      <c r="R678" s="29"/>
      <c r="S678" s="29"/>
      <c r="T678" s="29"/>
      <c r="U678" s="29"/>
      <c r="V678" s="29"/>
      <c r="W678" s="29"/>
      <c r="X678" s="29"/>
      <c r="Y678" s="29"/>
      <c r="Z678" s="29"/>
      <c r="AA678" s="29"/>
      <c r="AB678" s="29"/>
      <c r="AC678" s="29"/>
      <c r="AD678" s="29"/>
      <c r="AE678" s="29"/>
      <c r="AF678" s="29"/>
      <c r="AG678" s="29"/>
    </row>
    <row r="679">
      <c r="A679" s="689" t="s">
        <v>1032</v>
      </c>
      <c r="B679" s="240" t="s">
        <v>375</v>
      </c>
      <c r="C679" s="529" t="s">
        <v>187</v>
      </c>
      <c r="D679" s="687" t="s">
        <v>60</v>
      </c>
      <c r="E679" s="690" t="s">
        <v>3032</v>
      </c>
      <c r="F679" s="690" t="s">
        <v>162</v>
      </c>
      <c r="G679" s="493">
        <v>45960.0</v>
      </c>
      <c r="H679" s="493">
        <v>45970.0</v>
      </c>
      <c r="I679" s="189">
        <f>IFERROR(__xludf.DUMMYFUNCTION("IF(ISBLANK(H679), TODAY()-TO_DATE(G679), TO_DATE(H679)-TO_DATE(G679))+1"),11.0)</f>
        <v>11</v>
      </c>
      <c r="J679" s="27">
        <v>300.0</v>
      </c>
      <c r="K679" s="609" t="s">
        <v>6804</v>
      </c>
      <c r="L679" s="321" t="s">
        <v>6805</v>
      </c>
      <c r="M679" s="63"/>
      <c r="N679" s="564"/>
      <c r="O679" s="564"/>
      <c r="P679" s="564"/>
      <c r="Q679" s="564"/>
      <c r="R679" s="564"/>
      <c r="S679" s="564"/>
      <c r="T679" s="564"/>
      <c r="U679" s="564"/>
      <c r="V679" s="564"/>
      <c r="W679" s="564"/>
      <c r="X679" s="564"/>
      <c r="Y679" s="564"/>
      <c r="Z679" s="564"/>
      <c r="AA679" s="564"/>
      <c r="AB679" s="564"/>
      <c r="AC679" s="564"/>
      <c r="AD679" s="564"/>
      <c r="AE679" s="564"/>
      <c r="AF679" s="564"/>
      <c r="AG679" s="564"/>
    </row>
    <row r="680">
      <c r="A680" s="689" t="s">
        <v>2451</v>
      </c>
      <c r="B680" s="240" t="s">
        <v>375</v>
      </c>
      <c r="C680" s="691" t="s">
        <v>6808</v>
      </c>
      <c r="D680" s="687" t="s">
        <v>60</v>
      </c>
      <c r="E680" s="690" t="s">
        <v>5624</v>
      </c>
      <c r="F680" s="690" t="s">
        <v>1960</v>
      </c>
      <c r="G680" s="493">
        <v>45960.0</v>
      </c>
      <c r="H680" s="493">
        <v>45969.0</v>
      </c>
      <c r="I680" s="189">
        <f>IFERROR(__xludf.DUMMYFUNCTION("IF(ISBLANK(H680), TODAY()-TO_DATE(G680), TO_DATE(H680)-TO_DATE(G680))+1"),10.0)</f>
        <v>10</v>
      </c>
      <c r="J680" s="27">
        <v>300.0</v>
      </c>
      <c r="K680" s="240" t="s">
        <v>6810</v>
      </c>
      <c r="L680" s="507"/>
      <c r="M680" s="63"/>
      <c r="N680" s="29"/>
      <c r="O680" s="29"/>
      <c r="P680" s="29"/>
      <c r="Q680" s="29"/>
      <c r="R680" s="29"/>
      <c r="S680" s="29"/>
      <c r="T680" s="29"/>
      <c r="U680" s="29"/>
      <c r="V680" s="29"/>
      <c r="W680" s="29"/>
      <c r="X680" s="29"/>
      <c r="Y680" s="29"/>
      <c r="Z680" s="29"/>
      <c r="AA680" s="29"/>
      <c r="AB680" s="29"/>
      <c r="AC680" s="29"/>
      <c r="AD680" s="29"/>
      <c r="AE680" s="29"/>
      <c r="AF680" s="29"/>
      <c r="AG680" s="29"/>
    </row>
    <row r="681">
      <c r="A681" s="689" t="s">
        <v>2451</v>
      </c>
      <c r="B681" s="240" t="s">
        <v>375</v>
      </c>
      <c r="C681" s="529" t="s">
        <v>178</v>
      </c>
      <c r="D681" s="687" t="s">
        <v>60</v>
      </c>
      <c r="E681" s="690" t="s">
        <v>5844</v>
      </c>
      <c r="F681" s="690" t="s">
        <v>5847</v>
      </c>
      <c r="G681" s="493">
        <v>45960.0</v>
      </c>
      <c r="H681" s="493">
        <v>45970.0</v>
      </c>
      <c r="I681" s="189">
        <f>IFERROR(__xludf.DUMMYFUNCTION("IF(ISBLANK(H681), TODAY()-TO_DATE(G681), TO_DATE(H681)-TO_DATE(G681))+1"),11.0)</f>
        <v>11</v>
      </c>
      <c r="J681" s="27" t="s">
        <v>197</v>
      </c>
      <c r="K681" s="692" t="s">
        <v>6814</v>
      </c>
      <c r="L681" s="321" t="s">
        <v>2264</v>
      </c>
      <c r="M681" s="63"/>
      <c r="N681" s="29"/>
      <c r="O681" s="29"/>
      <c r="P681" s="29"/>
      <c r="Q681" s="29"/>
      <c r="R681" s="29"/>
      <c r="S681" s="29"/>
      <c r="T681" s="29"/>
      <c r="U681" s="29"/>
      <c r="V681" s="29"/>
      <c r="W681" s="29"/>
      <c r="X681" s="29"/>
      <c r="Y681" s="29"/>
      <c r="Z681" s="29"/>
      <c r="AA681" s="29"/>
      <c r="AB681" s="29"/>
      <c r="AC681" s="29"/>
      <c r="AD681" s="29"/>
      <c r="AE681" s="29"/>
      <c r="AF681" s="29"/>
      <c r="AG681" s="29"/>
    </row>
    <row r="682">
      <c r="A682" s="689" t="s">
        <v>2451</v>
      </c>
      <c r="B682" s="240" t="s">
        <v>375</v>
      </c>
      <c r="C682" s="686" t="s">
        <v>321</v>
      </c>
      <c r="D682" s="687" t="s">
        <v>60</v>
      </c>
      <c r="E682" s="690" t="s">
        <v>2750</v>
      </c>
      <c r="F682" s="690" t="s">
        <v>6817</v>
      </c>
      <c r="G682" s="493">
        <v>45960.0</v>
      </c>
      <c r="H682" s="493">
        <v>45966.0</v>
      </c>
      <c r="I682" s="189">
        <f>IFERROR(__xludf.DUMMYFUNCTION("IF(ISBLANK(H682), TODAY()-TO_DATE(G682), TO_DATE(H682)-TO_DATE(G682))+1"),7.0)</f>
        <v>7</v>
      </c>
      <c r="J682" s="27">
        <v>300.0</v>
      </c>
      <c r="K682" s="692" t="s">
        <v>6819</v>
      </c>
      <c r="L682" s="321" t="s">
        <v>3194</v>
      </c>
      <c r="M682" s="63"/>
      <c r="N682" s="29"/>
      <c r="O682" s="29"/>
      <c r="P682" s="29"/>
      <c r="Q682" s="29"/>
      <c r="R682" s="29"/>
      <c r="S682" s="29"/>
      <c r="T682" s="29"/>
      <c r="U682" s="29"/>
      <c r="V682" s="29"/>
      <c r="W682" s="29"/>
      <c r="X682" s="29"/>
      <c r="Y682" s="29"/>
      <c r="Z682" s="29"/>
      <c r="AA682" s="29"/>
      <c r="AB682" s="29"/>
      <c r="AC682" s="29"/>
      <c r="AD682" s="29"/>
      <c r="AE682" s="29"/>
      <c r="AF682" s="29"/>
      <c r="AG682" s="29"/>
    </row>
    <row r="683">
      <c r="A683" s="689" t="s">
        <v>2451</v>
      </c>
      <c r="B683" s="240" t="s">
        <v>375</v>
      </c>
      <c r="C683" s="529" t="s">
        <v>321</v>
      </c>
      <c r="D683" s="687" t="s">
        <v>60</v>
      </c>
      <c r="E683" s="690" t="s">
        <v>6823</v>
      </c>
      <c r="F683" s="690" t="s">
        <v>928</v>
      </c>
      <c r="G683" s="493">
        <v>45960.0</v>
      </c>
      <c r="H683" s="493">
        <v>45967.0</v>
      </c>
      <c r="I683" s="189">
        <f>IFERROR(__xludf.DUMMYFUNCTION("IF(ISBLANK(H683), TODAY()-TO_DATE(G683), TO_DATE(H683)-TO_DATE(G683))+1"),8.0)</f>
        <v>8</v>
      </c>
      <c r="J683" s="27">
        <v>500.0</v>
      </c>
      <c r="K683" s="692" t="s">
        <v>6824</v>
      </c>
      <c r="L683" s="507"/>
      <c r="M683" s="63"/>
      <c r="N683" s="29"/>
      <c r="O683" s="29"/>
      <c r="P683" s="29"/>
      <c r="Q683" s="29"/>
      <c r="R683" s="29"/>
      <c r="S683" s="29"/>
      <c r="T683" s="29"/>
      <c r="U683" s="29"/>
      <c r="V683" s="29"/>
      <c r="W683" s="29"/>
      <c r="X683" s="29"/>
      <c r="Y683" s="29"/>
      <c r="Z683" s="29"/>
      <c r="AA683" s="29"/>
      <c r="AB683" s="29"/>
      <c r="AC683" s="29"/>
      <c r="AD683" s="29"/>
      <c r="AE683" s="29"/>
      <c r="AF683" s="29"/>
      <c r="AG683" s="29"/>
    </row>
    <row r="684">
      <c r="A684" s="689" t="s">
        <v>1032</v>
      </c>
      <c r="B684" s="240" t="s">
        <v>375</v>
      </c>
      <c r="C684" s="686" t="s">
        <v>302</v>
      </c>
      <c r="D684" s="687" t="s">
        <v>60</v>
      </c>
      <c r="E684" s="690" t="s">
        <v>6685</v>
      </c>
      <c r="F684" s="690" t="s">
        <v>1624</v>
      </c>
      <c r="G684" s="493">
        <v>45960.0</v>
      </c>
      <c r="H684" s="493">
        <v>45968.0</v>
      </c>
      <c r="I684" s="189">
        <f>IFERROR(__xludf.DUMMYFUNCTION("IF(ISBLANK(H684), TODAY()-TO_DATE(G684), TO_DATE(H684)-TO_DATE(G684))+1"),9.0)</f>
        <v>9</v>
      </c>
      <c r="J684" s="27">
        <v>500.0</v>
      </c>
      <c r="K684" s="240" t="s">
        <v>6826</v>
      </c>
      <c r="L684" s="507"/>
      <c r="M684" s="63"/>
      <c r="N684" s="29"/>
      <c r="O684" s="29"/>
      <c r="P684" s="29"/>
      <c r="Q684" s="29"/>
      <c r="R684" s="29"/>
      <c r="S684" s="29"/>
      <c r="T684" s="29"/>
      <c r="U684" s="29"/>
      <c r="V684" s="29"/>
      <c r="W684" s="29"/>
      <c r="X684" s="29"/>
      <c r="Y684" s="29"/>
      <c r="Z684" s="29"/>
      <c r="AA684" s="29"/>
      <c r="AB684" s="29"/>
      <c r="AC684" s="29"/>
      <c r="AD684" s="29"/>
      <c r="AE684" s="29"/>
      <c r="AF684" s="29"/>
      <c r="AG684" s="29"/>
    </row>
    <row r="685">
      <c r="A685" s="689" t="s">
        <v>1032</v>
      </c>
      <c r="B685" s="240" t="s">
        <v>375</v>
      </c>
      <c r="C685" s="686" t="s">
        <v>302</v>
      </c>
      <c r="D685" s="687" t="s">
        <v>60</v>
      </c>
      <c r="E685" s="690" t="s">
        <v>6677</v>
      </c>
      <c r="F685" s="690" t="s">
        <v>6678</v>
      </c>
      <c r="G685" s="493">
        <v>45960.0</v>
      </c>
      <c r="H685" s="638">
        <v>45962.0</v>
      </c>
      <c r="I685" s="189">
        <f>IFERROR(__xludf.DUMMYFUNCTION("IF(ISBLANK(H685), TODAY()-TO_DATE(G685), TO_DATE(H685)-TO_DATE(G685))+1"),3.0)</f>
        <v>3</v>
      </c>
      <c r="J685" s="27">
        <v>500.0</v>
      </c>
      <c r="K685" s="240" t="s">
        <v>6831</v>
      </c>
      <c r="L685" s="321" t="s">
        <v>6832</v>
      </c>
      <c r="M685" s="240" t="s">
        <v>6833</v>
      </c>
      <c r="N685" s="29"/>
      <c r="O685" s="29"/>
      <c r="P685" s="29"/>
      <c r="Q685" s="29"/>
      <c r="R685" s="29"/>
      <c r="S685" s="29"/>
      <c r="T685" s="29"/>
      <c r="U685" s="29"/>
      <c r="V685" s="29"/>
      <c r="W685" s="29"/>
      <c r="X685" s="29"/>
      <c r="Y685" s="29"/>
      <c r="Z685" s="29"/>
      <c r="AA685" s="29"/>
      <c r="AB685" s="29"/>
      <c r="AC685" s="29"/>
      <c r="AD685" s="29"/>
      <c r="AE685" s="29"/>
      <c r="AF685" s="29"/>
      <c r="AG685" s="29"/>
    </row>
    <row r="686">
      <c r="A686" s="689" t="s">
        <v>150</v>
      </c>
      <c r="B686" s="240" t="s">
        <v>375</v>
      </c>
      <c r="C686" s="373" t="s">
        <v>201</v>
      </c>
      <c r="D686" s="687" t="s">
        <v>60</v>
      </c>
      <c r="E686" s="690" t="s">
        <v>6639</v>
      </c>
      <c r="F686" s="690" t="s">
        <v>6640</v>
      </c>
      <c r="G686" s="493">
        <v>45960.0</v>
      </c>
      <c r="H686" s="493">
        <v>45964.0</v>
      </c>
      <c r="I686" s="189">
        <f>IFERROR(__xludf.DUMMYFUNCTION("IF(ISBLANK(H686), TODAY()-TO_DATE(G686), TO_DATE(H686)-TO_DATE(G686))+1"),5.0)</f>
        <v>5</v>
      </c>
      <c r="J686" s="27" t="s">
        <v>197</v>
      </c>
      <c r="K686" s="240" t="s">
        <v>6839</v>
      </c>
      <c r="L686" s="321" t="s">
        <v>3256</v>
      </c>
      <c r="M686" s="63"/>
      <c r="N686" s="29"/>
      <c r="O686" s="29"/>
      <c r="P686" s="29"/>
      <c r="Q686" s="29"/>
      <c r="R686" s="29"/>
      <c r="S686" s="29"/>
      <c r="T686" s="29"/>
      <c r="U686" s="29"/>
      <c r="V686" s="29"/>
      <c r="W686" s="29"/>
      <c r="X686" s="29"/>
      <c r="Y686" s="29"/>
      <c r="Z686" s="29"/>
      <c r="AA686" s="29"/>
      <c r="AB686" s="29"/>
      <c r="AC686" s="29"/>
      <c r="AD686" s="29"/>
      <c r="AE686" s="29"/>
      <c r="AF686" s="29"/>
      <c r="AG686" s="29"/>
    </row>
    <row r="687">
      <c r="A687" s="689" t="s">
        <v>150</v>
      </c>
      <c r="B687" s="240" t="s">
        <v>375</v>
      </c>
      <c r="C687" s="686" t="s">
        <v>302</v>
      </c>
      <c r="D687" s="687" t="s">
        <v>60</v>
      </c>
      <c r="E687" s="690" t="s">
        <v>6655</v>
      </c>
      <c r="F687" s="690" t="s">
        <v>6657</v>
      </c>
      <c r="G687" s="493">
        <v>45960.0</v>
      </c>
      <c r="H687" s="493">
        <v>45966.0</v>
      </c>
      <c r="I687" s="189">
        <f>IFERROR(__xludf.DUMMYFUNCTION("IF(ISBLANK(H687), TODAY()-TO_DATE(G687), TO_DATE(H687)-TO_DATE(G687))+1"),7.0)</f>
        <v>7</v>
      </c>
      <c r="J687" s="27">
        <v>300.0</v>
      </c>
      <c r="K687" s="240" t="s">
        <v>6846</v>
      </c>
      <c r="L687" s="507"/>
      <c r="M687" s="63"/>
      <c r="N687" s="29"/>
      <c r="O687" s="29"/>
      <c r="P687" s="29"/>
      <c r="Q687" s="29"/>
      <c r="R687" s="29"/>
      <c r="S687" s="29"/>
      <c r="T687" s="29"/>
      <c r="U687" s="29"/>
      <c r="V687" s="29"/>
      <c r="W687" s="29"/>
      <c r="X687" s="29"/>
      <c r="Y687" s="29"/>
      <c r="Z687" s="29"/>
      <c r="AA687" s="29"/>
      <c r="AB687" s="29"/>
      <c r="AC687" s="29"/>
      <c r="AD687" s="29"/>
      <c r="AE687" s="29"/>
      <c r="AF687" s="29"/>
      <c r="AG687" s="29"/>
    </row>
    <row r="688">
      <c r="A688" s="689" t="s">
        <v>2451</v>
      </c>
      <c r="B688" s="240" t="s">
        <v>375</v>
      </c>
      <c r="C688" s="693" t="s">
        <v>394</v>
      </c>
      <c r="D688" s="687" t="s">
        <v>60</v>
      </c>
      <c r="E688" s="690" t="s">
        <v>395</v>
      </c>
      <c r="F688" s="690" t="s">
        <v>310</v>
      </c>
      <c r="G688" s="493">
        <v>45960.0</v>
      </c>
      <c r="H688" s="493">
        <v>45967.0</v>
      </c>
      <c r="I688" s="189">
        <f>IFERROR(__xludf.DUMMYFUNCTION("IF(ISBLANK(H688), TODAY()-TO_DATE(G688), TO_DATE(H688)-TO_DATE(G688))+1"),8.0)</f>
        <v>8</v>
      </c>
      <c r="J688" s="27">
        <v>500.0</v>
      </c>
      <c r="K688" s="692" t="s">
        <v>6854</v>
      </c>
      <c r="L688" s="507"/>
      <c r="M688" s="63"/>
      <c r="N688" s="29"/>
      <c r="O688" s="29"/>
      <c r="P688" s="29"/>
      <c r="Q688" s="29"/>
      <c r="R688" s="29"/>
      <c r="S688" s="29"/>
      <c r="T688" s="29"/>
      <c r="U688" s="29"/>
      <c r="V688" s="29"/>
      <c r="W688" s="29"/>
      <c r="X688" s="29"/>
      <c r="Y688" s="29"/>
      <c r="Z688" s="29"/>
      <c r="AA688" s="29"/>
      <c r="AB688" s="29"/>
      <c r="AC688" s="29"/>
      <c r="AD688" s="29"/>
      <c r="AE688" s="29"/>
      <c r="AF688" s="29"/>
      <c r="AG688" s="29"/>
    </row>
    <row r="689">
      <c r="A689" s="694" t="s">
        <v>150</v>
      </c>
      <c r="B689" s="240" t="s">
        <v>375</v>
      </c>
      <c r="C689" s="695" t="s">
        <v>58</v>
      </c>
      <c r="D689" s="687" t="s">
        <v>60</v>
      </c>
      <c r="E689" s="690" t="s">
        <v>6691</v>
      </c>
      <c r="F689" s="690" t="s">
        <v>6692</v>
      </c>
      <c r="G689" s="493">
        <v>45960.0</v>
      </c>
      <c r="H689" s="493">
        <v>45966.0</v>
      </c>
      <c r="I689" s="189">
        <f>IFERROR(__xludf.DUMMYFUNCTION("IF(ISBLANK(H689), TODAY()-TO_DATE(G689), TO_DATE(H689)-TO_DATE(G689))+1"),7.0)</f>
        <v>7</v>
      </c>
      <c r="J689" s="27">
        <v>300.0</v>
      </c>
      <c r="K689" s="240" t="s">
        <v>6860</v>
      </c>
      <c r="L689" s="507"/>
      <c r="M689" s="63"/>
      <c r="N689" s="29"/>
      <c r="O689" s="29"/>
      <c r="P689" s="29"/>
      <c r="Q689" s="29"/>
      <c r="R689" s="29"/>
      <c r="S689" s="29"/>
      <c r="T689" s="29"/>
      <c r="U689" s="29"/>
      <c r="V689" s="29"/>
      <c r="W689" s="29"/>
      <c r="X689" s="29"/>
      <c r="Y689" s="29"/>
      <c r="Z689" s="29"/>
      <c r="AA689" s="29"/>
      <c r="AB689" s="29"/>
      <c r="AC689" s="29"/>
      <c r="AD689" s="29"/>
      <c r="AE689" s="29"/>
      <c r="AF689" s="29"/>
      <c r="AG689" s="29"/>
    </row>
    <row r="690">
      <c r="A690" s="689" t="s">
        <v>1032</v>
      </c>
      <c r="B690" s="240" t="s">
        <v>375</v>
      </c>
      <c r="C690" s="686" t="s">
        <v>331</v>
      </c>
      <c r="D690" s="687" t="s">
        <v>60</v>
      </c>
      <c r="E690" s="690" t="s">
        <v>4072</v>
      </c>
      <c r="F690" s="690" t="s">
        <v>4073</v>
      </c>
      <c r="G690" s="493">
        <v>45961.0</v>
      </c>
      <c r="H690" s="493">
        <v>45966.0</v>
      </c>
      <c r="I690" s="189">
        <f>IFERROR(__xludf.DUMMYFUNCTION("IF(ISBLANK(H690), TODAY()-TO_DATE(G690), TO_DATE(H690)-TO_DATE(G690))+1"),6.0)</f>
        <v>6</v>
      </c>
      <c r="J690" s="27">
        <v>300.0</v>
      </c>
      <c r="K690" s="692" t="s">
        <v>6864</v>
      </c>
      <c r="L690" s="507"/>
      <c r="M690" s="63"/>
      <c r="N690" s="29"/>
      <c r="O690" s="29"/>
      <c r="P690" s="29"/>
      <c r="Q690" s="29"/>
      <c r="R690" s="29"/>
      <c r="S690" s="29"/>
      <c r="T690" s="29"/>
      <c r="U690" s="29"/>
      <c r="V690" s="29"/>
      <c r="W690" s="29"/>
      <c r="X690" s="29"/>
      <c r="Y690" s="29"/>
      <c r="Z690" s="29"/>
      <c r="AA690" s="29"/>
      <c r="AB690" s="29"/>
      <c r="AC690" s="29"/>
      <c r="AD690" s="29"/>
      <c r="AE690" s="29"/>
      <c r="AF690" s="29"/>
      <c r="AG690" s="29"/>
    </row>
    <row r="691">
      <c r="A691" s="689" t="s">
        <v>1032</v>
      </c>
      <c r="B691" s="240" t="s">
        <v>375</v>
      </c>
      <c r="C691" s="686" t="s">
        <v>331</v>
      </c>
      <c r="D691" s="687" t="s">
        <v>60</v>
      </c>
      <c r="E691" s="690" t="s">
        <v>2392</v>
      </c>
      <c r="F691" s="690" t="s">
        <v>2394</v>
      </c>
      <c r="G691" s="493">
        <v>45961.0</v>
      </c>
      <c r="H691" s="493">
        <v>45984.0</v>
      </c>
      <c r="I691" s="189">
        <f>IFERROR(__xludf.DUMMYFUNCTION("IF(ISBLANK(H691), TODAY()-TO_DATE(G691), TO_DATE(H691)-TO_DATE(G691))+1"),24.0)</f>
        <v>24</v>
      </c>
      <c r="J691" s="27" t="s">
        <v>197</v>
      </c>
      <c r="K691" s="240" t="s">
        <v>5475</v>
      </c>
      <c r="L691" s="321" t="s">
        <v>6680</v>
      </c>
      <c r="M691" s="240" t="s">
        <v>6869</v>
      </c>
      <c r="N691" s="29"/>
      <c r="O691" s="29"/>
      <c r="P691" s="29"/>
      <c r="Q691" s="29"/>
      <c r="R691" s="29"/>
      <c r="S691" s="29"/>
      <c r="T691" s="29"/>
      <c r="U691" s="29"/>
      <c r="V691" s="29"/>
      <c r="W691" s="29"/>
      <c r="X691" s="29"/>
      <c r="Y691" s="29"/>
      <c r="Z691" s="29"/>
      <c r="AA691" s="29"/>
      <c r="AB691" s="29"/>
      <c r="AC691" s="29"/>
      <c r="AD691" s="29"/>
      <c r="AE691" s="29"/>
      <c r="AF691" s="29"/>
      <c r="AG691" s="29"/>
    </row>
    <row r="692">
      <c r="A692" s="689" t="s">
        <v>1032</v>
      </c>
      <c r="B692" s="240" t="s">
        <v>375</v>
      </c>
      <c r="C692" s="697" t="s">
        <v>6872</v>
      </c>
      <c r="D692" s="687" t="s">
        <v>60</v>
      </c>
      <c r="E692" s="690" t="s">
        <v>2495</v>
      </c>
      <c r="F692" s="690" t="s">
        <v>2496</v>
      </c>
      <c r="G692" s="493">
        <v>45961.0</v>
      </c>
      <c r="H692" s="493">
        <v>45970.0</v>
      </c>
      <c r="I692" s="189">
        <f>IFERROR(__xludf.DUMMYFUNCTION("IF(ISBLANK(H692), TODAY()-TO_DATE(G692), TO_DATE(H692)-TO_DATE(G692))+1"),10.0)</f>
        <v>10</v>
      </c>
      <c r="J692" s="27">
        <v>300.0</v>
      </c>
      <c r="K692" s="240" t="s">
        <v>6876</v>
      </c>
      <c r="L692" s="321" t="s">
        <v>6653</v>
      </c>
      <c r="M692" s="63"/>
      <c r="N692" s="29"/>
      <c r="O692" s="29"/>
      <c r="P692" s="29"/>
      <c r="Q692" s="29"/>
      <c r="R692" s="29"/>
      <c r="S692" s="29"/>
      <c r="T692" s="29"/>
      <c r="U692" s="29"/>
      <c r="V692" s="29"/>
      <c r="W692" s="29"/>
      <c r="X692" s="29"/>
      <c r="Y692" s="29"/>
      <c r="Z692" s="29"/>
      <c r="AA692" s="29"/>
      <c r="AB692" s="29"/>
      <c r="AC692" s="29"/>
      <c r="AD692" s="29"/>
      <c r="AE692" s="29"/>
      <c r="AF692" s="29"/>
      <c r="AG692" s="29"/>
    </row>
    <row r="693">
      <c r="A693" s="689" t="s">
        <v>2451</v>
      </c>
      <c r="B693" s="240" t="s">
        <v>375</v>
      </c>
      <c r="C693" s="686" t="s">
        <v>331</v>
      </c>
      <c r="D693" s="321" t="s">
        <v>360</v>
      </c>
      <c r="E693" s="690" t="s">
        <v>3315</v>
      </c>
      <c r="F693" s="690" t="s">
        <v>3316</v>
      </c>
      <c r="G693" s="493">
        <v>45961.0</v>
      </c>
      <c r="H693" s="493">
        <v>45966.0</v>
      </c>
      <c r="I693" s="189">
        <f>IFERROR(__xludf.DUMMYFUNCTION("IF(ISBLANK(H693), TODAY()-TO_DATE(G693), TO_DATE(H693)-TO_DATE(G693))+1"),6.0)</f>
        <v>6</v>
      </c>
      <c r="J693" s="27">
        <v>300.0</v>
      </c>
      <c r="K693" s="240" t="s">
        <v>3319</v>
      </c>
      <c r="L693" s="321" t="s">
        <v>6644</v>
      </c>
      <c r="M693" s="63"/>
      <c r="N693" s="29"/>
      <c r="O693" s="29"/>
      <c r="P693" s="29"/>
      <c r="Q693" s="29"/>
      <c r="R693" s="29"/>
      <c r="S693" s="29"/>
      <c r="T693" s="29"/>
      <c r="U693" s="29"/>
      <c r="V693" s="29"/>
      <c r="W693" s="29"/>
      <c r="X693" s="29"/>
      <c r="Y693" s="29"/>
      <c r="Z693" s="29"/>
      <c r="AA693" s="29"/>
      <c r="AB693" s="29"/>
      <c r="AC693" s="29"/>
      <c r="AD693" s="29"/>
      <c r="AE693" s="29"/>
      <c r="AF693" s="29"/>
      <c r="AG693" s="29"/>
    </row>
    <row r="694">
      <c r="A694" s="689" t="s">
        <v>1032</v>
      </c>
      <c r="B694" s="240" t="s">
        <v>375</v>
      </c>
      <c r="C694" s="686" t="s">
        <v>302</v>
      </c>
      <c r="D694" s="687" t="s">
        <v>60</v>
      </c>
      <c r="E694" s="690" t="s">
        <v>6885</v>
      </c>
      <c r="F694" s="690" t="s">
        <v>6886</v>
      </c>
      <c r="G694" s="493">
        <v>45961.0</v>
      </c>
      <c r="H694" s="493">
        <v>45964.0</v>
      </c>
      <c r="I694" s="189">
        <f>IFERROR(__xludf.DUMMYFUNCTION("IF(ISBLANK(H694), TODAY()-TO_DATE(G694), TO_DATE(H694)-TO_DATE(G694))+1"),4.0)</f>
        <v>4</v>
      </c>
      <c r="J694" s="27">
        <v>500.0</v>
      </c>
      <c r="K694" s="692" t="s">
        <v>6889</v>
      </c>
      <c r="L694" s="507"/>
      <c r="M694" s="63"/>
      <c r="N694" s="29"/>
      <c r="O694" s="29"/>
      <c r="P694" s="29"/>
      <c r="Q694" s="29"/>
      <c r="R694" s="29"/>
      <c r="S694" s="29"/>
      <c r="T694" s="29"/>
      <c r="U694" s="29"/>
      <c r="V694" s="29"/>
      <c r="W694" s="29"/>
      <c r="X694" s="29"/>
      <c r="Y694" s="29"/>
      <c r="Z694" s="29"/>
      <c r="AA694" s="29"/>
      <c r="AB694" s="29"/>
      <c r="AC694" s="29"/>
      <c r="AD694" s="29"/>
      <c r="AE694" s="29"/>
      <c r="AF694" s="29"/>
      <c r="AG694" s="29"/>
    </row>
    <row r="695">
      <c r="A695" s="689" t="s">
        <v>150</v>
      </c>
      <c r="B695" s="240" t="s">
        <v>375</v>
      </c>
      <c r="C695" s="686" t="s">
        <v>213</v>
      </c>
      <c r="D695" s="687" t="s">
        <v>60</v>
      </c>
      <c r="E695" s="690" t="s">
        <v>3412</v>
      </c>
      <c r="F695" s="690" t="s">
        <v>3414</v>
      </c>
      <c r="G695" s="493">
        <v>45961.0</v>
      </c>
      <c r="H695" s="493">
        <v>45969.0</v>
      </c>
      <c r="I695" s="189">
        <f>IFERROR(__xludf.DUMMYFUNCTION("IF(ISBLANK(H695), TODAY()-TO_DATE(G695), TO_DATE(H695)-TO_DATE(G695))+1"),9.0)</f>
        <v>9</v>
      </c>
      <c r="J695" s="27">
        <v>300.0</v>
      </c>
      <c r="K695" s="240" t="s">
        <v>6893</v>
      </c>
      <c r="L695" s="507"/>
      <c r="M695" s="63"/>
      <c r="N695" s="29"/>
      <c r="O695" s="29"/>
      <c r="P695" s="29"/>
      <c r="Q695" s="29"/>
      <c r="R695" s="29"/>
      <c r="S695" s="29"/>
      <c r="T695" s="29"/>
      <c r="U695" s="29"/>
      <c r="V695" s="29"/>
      <c r="W695" s="29"/>
      <c r="X695" s="29"/>
      <c r="Y695" s="29"/>
      <c r="Z695" s="29"/>
      <c r="AA695" s="29"/>
      <c r="AB695" s="29"/>
      <c r="AC695" s="29"/>
      <c r="AD695" s="29"/>
      <c r="AE695" s="29"/>
      <c r="AF695" s="29"/>
      <c r="AG695" s="29"/>
    </row>
    <row r="696">
      <c r="A696" s="689" t="s">
        <v>2451</v>
      </c>
      <c r="B696" s="240" t="s">
        <v>375</v>
      </c>
      <c r="C696" s="686" t="s">
        <v>213</v>
      </c>
      <c r="D696" s="321" t="s">
        <v>60</v>
      </c>
      <c r="E696" s="690" t="s">
        <v>6897</v>
      </c>
      <c r="F696" s="690" t="s">
        <v>230</v>
      </c>
      <c r="G696" s="493">
        <v>45962.0</v>
      </c>
      <c r="H696" s="493">
        <v>46033.0</v>
      </c>
      <c r="I696" s="189">
        <f>IFERROR(__xludf.DUMMYFUNCTION("IF(ISBLANK(H696), TODAY()-TO_DATE(G696), TO_DATE(H696)-TO_DATE(G696))+1"),72.0)</f>
        <v>72</v>
      </c>
      <c r="J696" s="27" t="s">
        <v>197</v>
      </c>
      <c r="K696" s="240" t="s">
        <v>6900</v>
      </c>
      <c r="L696" s="321"/>
      <c r="M696" s="63"/>
      <c r="N696" s="29"/>
      <c r="O696" s="29"/>
      <c r="P696" s="29"/>
      <c r="Q696" s="29"/>
      <c r="R696" s="29"/>
      <c r="S696" s="29"/>
      <c r="T696" s="29"/>
      <c r="U696" s="29"/>
      <c r="V696" s="29"/>
      <c r="W696" s="29"/>
      <c r="X696" s="29"/>
      <c r="Y696" s="29"/>
      <c r="Z696" s="29"/>
      <c r="AA696" s="29"/>
      <c r="AB696" s="29"/>
      <c r="AC696" s="29"/>
      <c r="AD696" s="29"/>
      <c r="AE696" s="29"/>
      <c r="AF696" s="29"/>
      <c r="AG696" s="29"/>
    </row>
    <row r="697">
      <c r="A697" s="689" t="s">
        <v>2451</v>
      </c>
      <c r="B697" s="240" t="s">
        <v>375</v>
      </c>
      <c r="C697" s="686" t="s">
        <v>302</v>
      </c>
      <c r="D697" s="321" t="s">
        <v>360</v>
      </c>
      <c r="E697" s="690" t="s">
        <v>3639</v>
      </c>
      <c r="F697" s="690" t="s">
        <v>3640</v>
      </c>
      <c r="G697" s="493">
        <v>45962.0</v>
      </c>
      <c r="H697" s="493">
        <v>45984.0</v>
      </c>
      <c r="I697" s="189">
        <f>IFERROR(__xludf.DUMMYFUNCTION("IF(ISBLANK(H697), TODAY()-TO_DATE(G697), TO_DATE(H697)-TO_DATE(G697))+1"),23.0)</f>
        <v>23</v>
      </c>
      <c r="J697" s="27">
        <v>200.0</v>
      </c>
      <c r="K697" s="561" t="s">
        <v>2798</v>
      </c>
      <c r="L697" s="321"/>
      <c r="M697" s="63"/>
      <c r="N697" s="29"/>
      <c r="O697" s="29"/>
      <c r="P697" s="29"/>
      <c r="Q697" s="29"/>
      <c r="R697" s="29"/>
      <c r="S697" s="29"/>
      <c r="T697" s="29"/>
      <c r="U697" s="29"/>
      <c r="V697" s="29"/>
      <c r="W697" s="29"/>
      <c r="X697" s="29"/>
      <c r="Y697" s="29"/>
      <c r="Z697" s="29"/>
      <c r="AA697" s="29"/>
      <c r="AB697" s="29"/>
      <c r="AC697" s="29"/>
      <c r="AD697" s="29"/>
      <c r="AE697" s="29"/>
      <c r="AF697" s="29"/>
      <c r="AG697" s="29"/>
    </row>
    <row r="698">
      <c r="A698" s="689" t="s">
        <v>1032</v>
      </c>
      <c r="B698" s="240" t="s">
        <v>375</v>
      </c>
      <c r="C698" s="686" t="s">
        <v>58</v>
      </c>
      <c r="D698" s="321" t="s">
        <v>60</v>
      </c>
      <c r="E698" s="690" t="s">
        <v>3675</v>
      </c>
      <c r="F698" s="690" t="s">
        <v>3676</v>
      </c>
      <c r="G698" s="493">
        <v>45963.0</v>
      </c>
      <c r="H698" s="493">
        <v>45980.0</v>
      </c>
      <c r="I698" s="189">
        <f>IFERROR(__xludf.DUMMYFUNCTION("IF(ISBLANK(H698), TODAY()-TO_DATE(G698), TO_DATE(H698)-TO_DATE(G698))+1"),18.0)</f>
        <v>18</v>
      </c>
      <c r="J698" s="27" t="s">
        <v>197</v>
      </c>
      <c r="K698" s="240" t="s">
        <v>6909</v>
      </c>
      <c r="L698" s="321" t="s">
        <v>6910</v>
      </c>
      <c r="M698" s="63"/>
      <c r="N698" s="29"/>
      <c r="O698" s="29"/>
      <c r="P698" s="29"/>
      <c r="Q698" s="29"/>
      <c r="R698" s="29"/>
      <c r="S698" s="29"/>
      <c r="T698" s="29"/>
      <c r="U698" s="29"/>
      <c r="V698" s="29"/>
      <c r="W698" s="29"/>
      <c r="X698" s="29"/>
      <c r="Y698" s="29"/>
      <c r="Z698" s="29"/>
      <c r="AA698" s="29"/>
      <c r="AB698" s="29"/>
      <c r="AC698" s="29"/>
      <c r="AD698" s="29"/>
      <c r="AE698" s="29"/>
      <c r="AF698" s="29"/>
      <c r="AG698" s="29"/>
    </row>
    <row r="699">
      <c r="A699" s="689" t="s">
        <v>1032</v>
      </c>
      <c r="B699" s="240" t="s">
        <v>375</v>
      </c>
      <c r="C699" s="686" t="s">
        <v>213</v>
      </c>
      <c r="D699" s="321" t="s">
        <v>60</v>
      </c>
      <c r="E699" s="690" t="s">
        <v>3660</v>
      </c>
      <c r="F699" s="690" t="s">
        <v>2639</v>
      </c>
      <c r="G699" s="493">
        <v>45963.0</v>
      </c>
      <c r="H699" s="493">
        <v>45980.0</v>
      </c>
      <c r="I699" s="189">
        <f>IFERROR(__xludf.DUMMYFUNCTION("IF(ISBLANK(H699), TODAY()-TO_DATE(G699), TO_DATE(H699)-TO_DATE(G699))+1"),18.0)</f>
        <v>18</v>
      </c>
      <c r="J699" s="27" t="s">
        <v>197</v>
      </c>
      <c r="K699" s="240" t="s">
        <v>6914</v>
      </c>
      <c r="L699" s="321"/>
      <c r="M699" s="63"/>
      <c r="N699" s="29"/>
      <c r="O699" s="29"/>
      <c r="P699" s="29"/>
      <c r="Q699" s="29"/>
      <c r="R699" s="29"/>
      <c r="S699" s="29"/>
      <c r="T699" s="29"/>
      <c r="U699" s="29"/>
      <c r="V699" s="29"/>
      <c r="W699" s="29"/>
      <c r="X699" s="29"/>
      <c r="Y699" s="29"/>
      <c r="Z699" s="29"/>
      <c r="AA699" s="29"/>
      <c r="AB699" s="29"/>
      <c r="AC699" s="29"/>
      <c r="AD699" s="29"/>
      <c r="AE699" s="29"/>
      <c r="AF699" s="29"/>
      <c r="AG699" s="29"/>
    </row>
    <row r="700">
      <c r="A700" s="689" t="s">
        <v>1032</v>
      </c>
      <c r="B700" s="240" t="s">
        <v>375</v>
      </c>
      <c r="C700" s="686" t="s">
        <v>287</v>
      </c>
      <c r="D700" s="321" t="s">
        <v>60</v>
      </c>
      <c r="E700" s="690" t="s">
        <v>2266</v>
      </c>
      <c r="F700" s="690" t="s">
        <v>2267</v>
      </c>
      <c r="G700" s="493">
        <v>45963.0</v>
      </c>
      <c r="H700" s="493">
        <v>45976.0</v>
      </c>
      <c r="I700" s="189">
        <f>IFERROR(__xludf.DUMMYFUNCTION("IF(ISBLANK(H700), TODAY()-TO_DATE(G700), TO_DATE(H700)-TO_DATE(G700))+1"),14.0)</f>
        <v>14</v>
      </c>
      <c r="J700" s="27">
        <v>300.0</v>
      </c>
      <c r="K700" s="561" t="s">
        <v>6920</v>
      </c>
      <c r="L700" s="321"/>
      <c r="M700" s="63"/>
      <c r="N700" s="29"/>
      <c r="O700" s="29"/>
      <c r="P700" s="29"/>
      <c r="Q700" s="29"/>
      <c r="R700" s="29"/>
      <c r="S700" s="29"/>
      <c r="T700" s="29"/>
      <c r="U700" s="29"/>
      <c r="V700" s="29"/>
      <c r="W700" s="29"/>
      <c r="X700" s="29"/>
      <c r="Y700" s="29"/>
      <c r="Z700" s="29"/>
      <c r="AA700" s="29"/>
      <c r="AB700" s="29"/>
      <c r="AC700" s="29"/>
      <c r="AD700" s="29"/>
      <c r="AE700" s="29"/>
      <c r="AF700" s="29"/>
      <c r="AG700" s="29"/>
    </row>
    <row r="701">
      <c r="A701" s="689" t="s">
        <v>150</v>
      </c>
      <c r="B701" s="240" t="s">
        <v>375</v>
      </c>
      <c r="C701" s="686" t="s">
        <v>2233</v>
      </c>
      <c r="D701" s="321" t="s">
        <v>60</v>
      </c>
      <c r="E701" s="690" t="s">
        <v>2587</v>
      </c>
      <c r="F701" s="690" t="s">
        <v>2589</v>
      </c>
      <c r="G701" s="493">
        <v>45963.0</v>
      </c>
      <c r="H701" s="493">
        <v>45972.0</v>
      </c>
      <c r="I701" s="189">
        <f>IFERROR(__xludf.DUMMYFUNCTION("IF(ISBLANK(H701), TODAY()-TO_DATE(G701), TO_DATE(H701)-TO_DATE(G701))+1"),10.0)</f>
        <v>10</v>
      </c>
      <c r="J701" s="27">
        <v>500.0</v>
      </c>
      <c r="K701" s="240" t="s">
        <v>6927</v>
      </c>
      <c r="L701" s="321"/>
      <c r="M701" s="63"/>
      <c r="N701" s="29"/>
      <c r="O701" s="29"/>
      <c r="P701" s="29"/>
      <c r="Q701" s="29"/>
      <c r="R701" s="29"/>
      <c r="S701" s="29"/>
      <c r="T701" s="29"/>
      <c r="U701" s="29"/>
      <c r="V701" s="29"/>
      <c r="W701" s="29"/>
      <c r="X701" s="29"/>
      <c r="Y701" s="29"/>
      <c r="Z701" s="29"/>
      <c r="AA701" s="29"/>
      <c r="AB701" s="29"/>
      <c r="AC701" s="29"/>
      <c r="AD701" s="29"/>
      <c r="AE701" s="29"/>
      <c r="AF701" s="29"/>
      <c r="AG701" s="29"/>
    </row>
    <row r="702">
      <c r="A702" s="689" t="s">
        <v>1032</v>
      </c>
      <c r="B702" s="240" t="s">
        <v>375</v>
      </c>
      <c r="C702" s="686" t="s">
        <v>213</v>
      </c>
      <c r="D702" s="321" t="s">
        <v>656</v>
      </c>
      <c r="E702" s="690" t="s">
        <v>6105</v>
      </c>
      <c r="F702" s="690" t="s">
        <v>6106</v>
      </c>
      <c r="G702" s="493">
        <v>45963.0</v>
      </c>
      <c r="H702" s="493">
        <v>45974.0</v>
      </c>
      <c r="I702" s="189">
        <f>IFERROR(__xludf.DUMMYFUNCTION("IF(ISBLANK(H702), TODAY()-TO_DATE(G702), TO_DATE(H702)-TO_DATE(G702))+1"),12.0)</f>
        <v>12</v>
      </c>
      <c r="J702" s="27">
        <v>300.0</v>
      </c>
      <c r="K702" s="561" t="s">
        <v>6935</v>
      </c>
      <c r="L702" s="321" t="s">
        <v>6623</v>
      </c>
      <c r="M702" s="63"/>
      <c r="N702" s="29"/>
      <c r="O702" s="29"/>
      <c r="P702" s="29"/>
      <c r="Q702" s="29"/>
      <c r="R702" s="29"/>
      <c r="S702" s="29"/>
      <c r="T702" s="29"/>
      <c r="U702" s="29"/>
      <c r="V702" s="29"/>
      <c r="W702" s="29"/>
      <c r="X702" s="29"/>
      <c r="Y702" s="29"/>
      <c r="Z702" s="29"/>
      <c r="AA702" s="29"/>
      <c r="AB702" s="29"/>
      <c r="AC702" s="29"/>
      <c r="AD702" s="29"/>
      <c r="AE702" s="29"/>
      <c r="AF702" s="29"/>
      <c r="AG702" s="29"/>
    </row>
    <row r="703">
      <c r="A703" s="689" t="s">
        <v>1032</v>
      </c>
      <c r="B703" s="240" t="s">
        <v>375</v>
      </c>
      <c r="C703" s="686" t="s">
        <v>1522</v>
      </c>
      <c r="D703" s="321" t="s">
        <v>60</v>
      </c>
      <c r="E703" s="690" t="s">
        <v>6299</v>
      </c>
      <c r="F703" s="690" t="s">
        <v>6301</v>
      </c>
      <c r="G703" s="493">
        <v>45965.0</v>
      </c>
      <c r="H703" s="493">
        <v>45971.0</v>
      </c>
      <c r="I703" s="189">
        <f>IFERROR(__xludf.DUMMYFUNCTION("IF(ISBLANK(H703), TODAY()-TO_DATE(G703), TO_DATE(H703)-TO_DATE(G703))+1"),7.0)</f>
        <v>7</v>
      </c>
      <c r="J703" s="27">
        <v>500.0</v>
      </c>
      <c r="K703" s="240" t="s">
        <v>6943</v>
      </c>
      <c r="L703" s="321"/>
      <c r="M703" s="63"/>
      <c r="N703" s="29"/>
      <c r="O703" s="29"/>
      <c r="P703" s="29"/>
      <c r="Q703" s="29"/>
      <c r="R703" s="29"/>
      <c r="S703" s="29"/>
      <c r="T703" s="29"/>
      <c r="U703" s="29"/>
      <c r="V703" s="29"/>
      <c r="W703" s="29"/>
      <c r="X703" s="29"/>
      <c r="Y703" s="29"/>
      <c r="Z703" s="29"/>
      <c r="AA703" s="29"/>
      <c r="AB703" s="29"/>
      <c r="AC703" s="29"/>
      <c r="AD703" s="29"/>
      <c r="AE703" s="29"/>
      <c r="AF703" s="29"/>
      <c r="AG703" s="29"/>
    </row>
    <row r="704">
      <c r="A704" s="689" t="s">
        <v>1032</v>
      </c>
      <c r="B704" s="240" t="s">
        <v>375</v>
      </c>
      <c r="C704" s="686" t="s">
        <v>213</v>
      </c>
      <c r="D704" s="321" t="s">
        <v>60</v>
      </c>
      <c r="E704" s="690" t="s">
        <v>5790</v>
      </c>
      <c r="F704" s="690" t="s">
        <v>2367</v>
      </c>
      <c r="G704" s="493">
        <v>45965.0</v>
      </c>
      <c r="H704" s="493">
        <v>45984.0</v>
      </c>
      <c r="I704" s="189">
        <f>IFERROR(__xludf.DUMMYFUNCTION("IF(ISBLANK(H704), TODAY()-TO_DATE(G704), TO_DATE(H704)-TO_DATE(G704))+1"),20.0)</f>
        <v>20</v>
      </c>
      <c r="J704" s="27" t="s">
        <v>197</v>
      </c>
      <c r="K704" s="240" t="s">
        <v>6948</v>
      </c>
      <c r="L704" s="321"/>
      <c r="M704" s="240" t="s">
        <v>6949</v>
      </c>
      <c r="N704" s="29"/>
      <c r="O704" s="29"/>
      <c r="P704" s="29"/>
      <c r="Q704" s="29"/>
      <c r="R704" s="29"/>
      <c r="S704" s="29"/>
      <c r="T704" s="29"/>
      <c r="U704" s="29"/>
      <c r="V704" s="29"/>
      <c r="W704" s="29"/>
      <c r="X704" s="29"/>
      <c r="Y704" s="29"/>
      <c r="Z704" s="29"/>
      <c r="AA704" s="29"/>
      <c r="AB704" s="29"/>
      <c r="AC704" s="29"/>
      <c r="AD704" s="29"/>
      <c r="AE704" s="29"/>
      <c r="AF704" s="29"/>
      <c r="AG704" s="29"/>
    </row>
    <row r="705">
      <c r="A705" s="689" t="s">
        <v>1032</v>
      </c>
      <c r="B705" s="240" t="s">
        <v>375</v>
      </c>
      <c r="C705" s="686" t="s">
        <v>331</v>
      </c>
      <c r="D705" s="321" t="s">
        <v>60</v>
      </c>
      <c r="E705" s="690" t="s">
        <v>5715</v>
      </c>
      <c r="F705" s="690" t="s">
        <v>3406</v>
      </c>
      <c r="G705" s="493">
        <v>45965.0</v>
      </c>
      <c r="H705" s="493">
        <v>45971.0</v>
      </c>
      <c r="I705" s="189">
        <f>IFERROR(__xludf.DUMMYFUNCTION("IF(ISBLANK(H705), TODAY()-TO_DATE(G705), TO_DATE(H705)-TO_DATE(G705))+1"),7.0)</f>
        <v>7</v>
      </c>
      <c r="J705" s="27">
        <v>500.0</v>
      </c>
      <c r="K705" s="240" t="s">
        <v>6953</v>
      </c>
      <c r="L705" s="321"/>
      <c r="M705" s="63"/>
      <c r="N705" s="29"/>
      <c r="O705" s="29"/>
      <c r="P705" s="29"/>
      <c r="Q705" s="29"/>
      <c r="R705" s="29"/>
      <c r="S705" s="29"/>
      <c r="T705" s="29"/>
      <c r="U705" s="29"/>
      <c r="V705" s="29"/>
      <c r="W705" s="29"/>
      <c r="X705" s="29"/>
      <c r="Y705" s="29"/>
      <c r="Z705" s="29"/>
      <c r="AA705" s="29"/>
      <c r="AB705" s="29"/>
      <c r="AC705" s="29"/>
      <c r="AD705" s="29"/>
      <c r="AE705" s="29"/>
      <c r="AF705" s="29"/>
      <c r="AG705" s="29"/>
    </row>
    <row r="706">
      <c r="A706" s="689" t="s">
        <v>1032</v>
      </c>
      <c r="B706" s="240" t="s">
        <v>375</v>
      </c>
      <c r="C706" s="686" t="s">
        <v>1753</v>
      </c>
      <c r="D706" s="321" t="s">
        <v>60</v>
      </c>
      <c r="E706" s="690" t="s">
        <v>5778</v>
      </c>
      <c r="F706" s="690" t="s">
        <v>5782</v>
      </c>
      <c r="G706" s="493">
        <v>45965.0</v>
      </c>
      <c r="H706" s="493">
        <v>45969.0</v>
      </c>
      <c r="I706" s="189">
        <f>IFERROR(__xludf.DUMMYFUNCTION("IF(ISBLANK(H706), TODAY()-TO_DATE(G706), TO_DATE(H706)-TO_DATE(G706))+1"),5.0)</f>
        <v>5</v>
      </c>
      <c r="J706" s="27">
        <v>500.0</v>
      </c>
      <c r="K706" s="240" t="s">
        <v>6958</v>
      </c>
      <c r="L706" s="321"/>
      <c r="M706" s="63"/>
      <c r="N706" s="29"/>
      <c r="O706" s="29"/>
      <c r="P706" s="29"/>
      <c r="Q706" s="29"/>
      <c r="R706" s="29"/>
      <c r="S706" s="29"/>
      <c r="T706" s="29"/>
      <c r="U706" s="29"/>
      <c r="V706" s="29"/>
      <c r="W706" s="29"/>
      <c r="X706" s="29"/>
      <c r="Y706" s="29"/>
      <c r="Z706" s="29"/>
      <c r="AA706" s="29"/>
      <c r="AB706" s="29"/>
      <c r="AC706" s="29"/>
      <c r="AD706" s="29"/>
      <c r="AE706" s="29"/>
      <c r="AF706" s="29"/>
      <c r="AG706" s="29"/>
    </row>
    <row r="707">
      <c r="A707" s="689" t="s">
        <v>1510</v>
      </c>
      <c r="B707" s="240" t="s">
        <v>375</v>
      </c>
      <c r="C707" s="686" t="s">
        <v>212</v>
      </c>
      <c r="D707" s="321" t="s">
        <v>60</v>
      </c>
      <c r="E707" s="690" t="s">
        <v>6291</v>
      </c>
      <c r="F707" s="690" t="s">
        <v>6293</v>
      </c>
      <c r="G707" s="493">
        <v>45965.0</v>
      </c>
      <c r="H707" s="493">
        <v>45969.0</v>
      </c>
      <c r="I707" s="189">
        <f>IFERROR(__xludf.DUMMYFUNCTION("IF(ISBLANK(H707), TODAY()-TO_DATE(G707), TO_DATE(H707)-TO_DATE(G707))+1"),5.0)</f>
        <v>5</v>
      </c>
      <c r="J707" s="27">
        <v>500.0</v>
      </c>
      <c r="K707" s="240" t="s">
        <v>6963</v>
      </c>
      <c r="L707" s="321"/>
      <c r="M707" s="63"/>
      <c r="N707" s="29"/>
      <c r="O707" s="29"/>
      <c r="P707" s="29"/>
      <c r="Q707" s="29"/>
      <c r="R707" s="29"/>
      <c r="S707" s="29"/>
      <c r="T707" s="29"/>
      <c r="U707" s="29"/>
      <c r="V707" s="29"/>
      <c r="W707" s="29"/>
      <c r="X707" s="29"/>
      <c r="Y707" s="29"/>
      <c r="Z707" s="29"/>
      <c r="AA707" s="29"/>
      <c r="AB707" s="29"/>
      <c r="AC707" s="29"/>
      <c r="AD707" s="29"/>
      <c r="AE707" s="29"/>
      <c r="AF707" s="29"/>
      <c r="AG707" s="29"/>
    </row>
    <row r="708">
      <c r="A708" s="689" t="s">
        <v>145</v>
      </c>
      <c r="B708" s="240" t="s">
        <v>375</v>
      </c>
      <c r="C708" s="686"/>
      <c r="D708" s="321" t="s">
        <v>60</v>
      </c>
      <c r="E708" s="690" t="s">
        <v>383</v>
      </c>
      <c r="F708" s="690" t="s">
        <v>384</v>
      </c>
      <c r="G708" s="493">
        <v>45966.0</v>
      </c>
      <c r="H708" s="493">
        <v>45968.0</v>
      </c>
      <c r="I708" s="189">
        <f>IFERROR(__xludf.DUMMYFUNCTION("IF(ISBLANK(H708), TODAY()-TO_DATE(G708), TO_DATE(H708)-TO_DATE(G708))+1"),3.0)</f>
        <v>3</v>
      </c>
      <c r="J708" s="27" t="s">
        <v>197</v>
      </c>
      <c r="K708" s="240"/>
      <c r="L708" s="321"/>
      <c r="M708" s="63"/>
      <c r="N708" s="29"/>
      <c r="O708" s="29"/>
      <c r="P708" s="29"/>
      <c r="Q708" s="29"/>
      <c r="R708" s="29"/>
      <c r="S708" s="29"/>
      <c r="T708" s="29"/>
      <c r="U708" s="29"/>
      <c r="V708" s="29"/>
      <c r="W708" s="29"/>
      <c r="X708" s="29"/>
      <c r="Y708" s="29"/>
      <c r="Z708" s="29"/>
      <c r="AA708" s="29"/>
      <c r="AB708" s="29"/>
      <c r="AC708" s="29"/>
      <c r="AD708" s="29"/>
      <c r="AE708" s="29"/>
      <c r="AF708" s="29"/>
      <c r="AG708" s="29"/>
    </row>
    <row r="709">
      <c r="A709" s="689" t="s">
        <v>145</v>
      </c>
      <c r="B709" s="240" t="s">
        <v>375</v>
      </c>
      <c r="C709" s="686"/>
      <c r="D709" s="321" t="s">
        <v>60</v>
      </c>
      <c r="E709" s="690" t="s">
        <v>3603</v>
      </c>
      <c r="F709" s="690" t="s">
        <v>6973</v>
      </c>
      <c r="G709" s="493">
        <v>45966.0</v>
      </c>
      <c r="H709" s="493">
        <v>45968.0</v>
      </c>
      <c r="I709" s="189">
        <f>IFERROR(__xludf.DUMMYFUNCTION("IF(ISBLANK(H709), TODAY()-TO_DATE(G709), TO_DATE(H709)-TO_DATE(G709))+1"),3.0)</f>
        <v>3</v>
      </c>
      <c r="J709" s="27" t="s">
        <v>197</v>
      </c>
      <c r="K709" s="240"/>
      <c r="L709" s="321"/>
      <c r="M709" s="63"/>
      <c r="N709" s="29"/>
      <c r="O709" s="29"/>
      <c r="P709" s="29"/>
      <c r="Q709" s="29"/>
      <c r="R709" s="29"/>
      <c r="S709" s="29"/>
      <c r="T709" s="29"/>
      <c r="U709" s="29"/>
      <c r="V709" s="29"/>
      <c r="W709" s="29"/>
      <c r="X709" s="29"/>
      <c r="Y709" s="29"/>
      <c r="Z709" s="29"/>
      <c r="AA709" s="29"/>
      <c r="AB709" s="29"/>
      <c r="AC709" s="29"/>
      <c r="AD709" s="29"/>
      <c r="AE709" s="29"/>
      <c r="AF709" s="29"/>
      <c r="AG709" s="29"/>
    </row>
    <row r="710">
      <c r="A710" s="689" t="s">
        <v>6977</v>
      </c>
      <c r="B710" s="240" t="s">
        <v>375</v>
      </c>
      <c r="C710" s="686"/>
      <c r="D710" s="687" t="s">
        <v>360</v>
      </c>
      <c r="E710" s="690" t="s">
        <v>6978</v>
      </c>
      <c r="F710" s="690" t="s">
        <v>6979</v>
      </c>
      <c r="G710" s="493">
        <v>45966.0</v>
      </c>
      <c r="H710" s="493">
        <v>45990.0</v>
      </c>
      <c r="I710" s="189">
        <f>IFERROR(__xludf.DUMMYFUNCTION("IF(ISBLANK(H710), TODAY()-TO_DATE(G710), TO_DATE(H710)-TO_DATE(G710))+1"),25.0)</f>
        <v>25</v>
      </c>
      <c r="J710" s="27" t="s">
        <v>197</v>
      </c>
      <c r="K710" s="240" t="s">
        <v>6984</v>
      </c>
      <c r="L710" s="321"/>
      <c r="M710" s="240" t="s">
        <v>6985</v>
      </c>
      <c r="N710" s="29"/>
      <c r="O710" s="29"/>
      <c r="P710" s="29"/>
      <c r="Q710" s="29"/>
      <c r="R710" s="29"/>
      <c r="S710" s="29"/>
      <c r="T710" s="29"/>
      <c r="U710" s="29"/>
      <c r="V710" s="29"/>
      <c r="W710" s="29"/>
      <c r="X710" s="29"/>
      <c r="Y710" s="29"/>
      <c r="Z710" s="29"/>
      <c r="AA710" s="29"/>
      <c r="AB710" s="29"/>
      <c r="AC710" s="29"/>
      <c r="AD710" s="29"/>
      <c r="AE710" s="29"/>
      <c r="AF710" s="29"/>
      <c r="AG710" s="29"/>
    </row>
    <row r="711">
      <c r="A711" s="689" t="s">
        <v>6977</v>
      </c>
      <c r="B711" s="240" t="s">
        <v>375</v>
      </c>
      <c r="C711" s="686"/>
      <c r="D711" s="687" t="s">
        <v>102</v>
      </c>
      <c r="E711" s="690" t="s">
        <v>6989</v>
      </c>
      <c r="F711" s="690" t="s">
        <v>6990</v>
      </c>
      <c r="G711" s="493">
        <v>45966.0</v>
      </c>
      <c r="H711" s="493">
        <v>45990.0</v>
      </c>
      <c r="I711" s="189">
        <f>IFERROR(__xludf.DUMMYFUNCTION("IF(ISBLANK(H711), TODAY()-TO_DATE(G711), TO_DATE(H711)-TO_DATE(G711))+1"),25.0)</f>
        <v>25</v>
      </c>
      <c r="J711" s="27" t="s">
        <v>197</v>
      </c>
      <c r="K711" s="240" t="s">
        <v>6994</v>
      </c>
      <c r="L711" s="321"/>
      <c r="M711" s="240" t="s">
        <v>6985</v>
      </c>
      <c r="N711" s="29"/>
      <c r="O711" s="29"/>
      <c r="P711" s="29"/>
      <c r="Q711" s="29"/>
      <c r="R711" s="29"/>
      <c r="S711" s="29"/>
      <c r="T711" s="29"/>
      <c r="U711" s="29"/>
      <c r="V711" s="29"/>
      <c r="W711" s="29"/>
      <c r="X711" s="29"/>
      <c r="Y711" s="29"/>
      <c r="Z711" s="29"/>
      <c r="AA711" s="29"/>
      <c r="AB711" s="29"/>
      <c r="AC711" s="29"/>
      <c r="AD711" s="29"/>
      <c r="AE711" s="29"/>
      <c r="AF711" s="29"/>
      <c r="AG711" s="29"/>
    </row>
    <row r="712">
      <c r="A712" s="689" t="s">
        <v>6977</v>
      </c>
      <c r="B712" s="240" t="s">
        <v>375</v>
      </c>
      <c r="C712" s="686"/>
      <c r="D712" s="687" t="s">
        <v>60</v>
      </c>
      <c r="E712" s="690" t="s">
        <v>6998</v>
      </c>
      <c r="F712" s="690" t="s">
        <v>3367</v>
      </c>
      <c r="G712" s="493">
        <v>45966.0</v>
      </c>
      <c r="H712" s="493">
        <v>45990.0</v>
      </c>
      <c r="I712" s="189">
        <f>IFERROR(__xludf.DUMMYFUNCTION("IF(ISBLANK(H712), TODAY()-TO_DATE(G712), TO_DATE(H712)-TO_DATE(G712))+1"),25.0)</f>
        <v>25</v>
      </c>
      <c r="J712" s="27" t="s">
        <v>197</v>
      </c>
      <c r="K712" s="240" t="s">
        <v>7001</v>
      </c>
      <c r="L712" s="321"/>
      <c r="M712" s="240" t="s">
        <v>6985</v>
      </c>
      <c r="N712" s="29"/>
      <c r="O712" s="29"/>
      <c r="P712" s="29"/>
      <c r="Q712" s="29"/>
      <c r="R712" s="29"/>
      <c r="S712" s="29"/>
      <c r="T712" s="29"/>
      <c r="U712" s="29"/>
      <c r="V712" s="29"/>
      <c r="W712" s="29"/>
      <c r="X712" s="29"/>
      <c r="Y712" s="29"/>
      <c r="Z712" s="29"/>
      <c r="AA712" s="29"/>
      <c r="AB712" s="29"/>
      <c r="AC712" s="29"/>
      <c r="AD712" s="29"/>
      <c r="AE712" s="29"/>
      <c r="AF712" s="29"/>
      <c r="AG712" s="29"/>
    </row>
    <row r="713">
      <c r="A713" s="689" t="s">
        <v>6977</v>
      </c>
      <c r="B713" s="240" t="s">
        <v>375</v>
      </c>
      <c r="C713" s="686"/>
      <c r="D713" s="687" t="s">
        <v>102</v>
      </c>
      <c r="E713" s="690" t="s">
        <v>1779</v>
      </c>
      <c r="F713" s="690" t="s">
        <v>1415</v>
      </c>
      <c r="G713" s="493">
        <v>45966.0</v>
      </c>
      <c r="H713" s="493">
        <v>45975.0</v>
      </c>
      <c r="I713" s="189">
        <f>IFERROR(__xludf.DUMMYFUNCTION("IF(ISBLANK(H713), TODAY()-TO_DATE(G713), TO_DATE(H713)-TO_DATE(G713))+1"),10.0)</f>
        <v>10</v>
      </c>
      <c r="J713" s="27" t="s">
        <v>197</v>
      </c>
      <c r="K713" s="240" t="s">
        <v>7006</v>
      </c>
      <c r="L713" s="321"/>
      <c r="M713" s="240" t="s">
        <v>6985</v>
      </c>
      <c r="N713" s="29"/>
      <c r="O713" s="29"/>
      <c r="P713" s="29"/>
      <c r="Q713" s="29"/>
      <c r="R713" s="29"/>
      <c r="S713" s="29"/>
      <c r="T713" s="29"/>
      <c r="U713" s="29"/>
      <c r="V713" s="29"/>
      <c r="W713" s="29"/>
      <c r="X713" s="29"/>
      <c r="Y713" s="29"/>
      <c r="Z713" s="29"/>
      <c r="AA713" s="29"/>
      <c r="AB713" s="29"/>
      <c r="AC713" s="29"/>
      <c r="AD713" s="29"/>
      <c r="AE713" s="29"/>
      <c r="AF713" s="29"/>
      <c r="AG713" s="29"/>
    </row>
    <row r="714">
      <c r="A714" s="689" t="s">
        <v>6977</v>
      </c>
      <c r="B714" s="240" t="s">
        <v>375</v>
      </c>
      <c r="C714" s="686"/>
      <c r="D714" s="687" t="s">
        <v>360</v>
      </c>
      <c r="E714" s="690" t="s">
        <v>4184</v>
      </c>
      <c r="F714" s="690" t="s">
        <v>1960</v>
      </c>
      <c r="G714" s="493">
        <v>45966.0</v>
      </c>
      <c r="H714" s="493">
        <v>45973.0</v>
      </c>
      <c r="I714" s="189">
        <f>IFERROR(__xludf.DUMMYFUNCTION("IF(ISBLANK(H714), TODAY()-TO_DATE(G714), TO_DATE(H714)-TO_DATE(G714))+1"),8.0)</f>
        <v>8</v>
      </c>
      <c r="J714" s="27">
        <v>500.0</v>
      </c>
      <c r="K714" s="240" t="s">
        <v>7012</v>
      </c>
      <c r="L714" s="321"/>
      <c r="M714" s="63"/>
      <c r="N714" s="29"/>
      <c r="O714" s="29"/>
      <c r="P714" s="29"/>
      <c r="Q714" s="29"/>
      <c r="R714" s="29"/>
      <c r="S714" s="29"/>
      <c r="T714" s="29"/>
      <c r="U714" s="29"/>
      <c r="V714" s="29"/>
      <c r="W714" s="29"/>
      <c r="X714" s="29"/>
      <c r="Y714" s="29"/>
      <c r="Z714" s="29"/>
      <c r="AA714" s="29"/>
      <c r="AB714" s="29"/>
      <c r="AC714" s="29"/>
      <c r="AD714" s="29"/>
      <c r="AE714" s="29"/>
      <c r="AF714" s="29"/>
      <c r="AG714" s="29"/>
    </row>
    <row r="715">
      <c r="A715" s="689" t="s">
        <v>6977</v>
      </c>
      <c r="B715" s="240" t="s">
        <v>375</v>
      </c>
      <c r="C715" s="686"/>
      <c r="D715" s="687" t="s">
        <v>360</v>
      </c>
      <c r="E715" s="690" t="s">
        <v>4302</v>
      </c>
      <c r="F715" s="690" t="s">
        <v>4303</v>
      </c>
      <c r="G715" s="493">
        <v>45966.0</v>
      </c>
      <c r="H715" s="493">
        <v>45977.0</v>
      </c>
      <c r="I715" s="189">
        <f>IFERROR(__xludf.DUMMYFUNCTION("IF(ISBLANK(H715), TODAY()-TO_DATE(G715), TO_DATE(H715)-TO_DATE(G715))+1"),12.0)</f>
        <v>12</v>
      </c>
      <c r="J715" s="27">
        <v>500.0</v>
      </c>
      <c r="K715" s="240" t="s">
        <v>7018</v>
      </c>
      <c r="L715" s="321"/>
      <c r="M715" s="63"/>
      <c r="N715" s="29"/>
      <c r="O715" s="29"/>
      <c r="P715" s="29"/>
      <c r="Q715" s="29"/>
      <c r="R715" s="29"/>
      <c r="S715" s="29"/>
      <c r="T715" s="29"/>
      <c r="U715" s="29"/>
      <c r="V715" s="29"/>
      <c r="W715" s="29"/>
      <c r="X715" s="29"/>
      <c r="Y715" s="29"/>
      <c r="Z715" s="29"/>
      <c r="AA715" s="29"/>
      <c r="AB715" s="29"/>
      <c r="AC715" s="29"/>
      <c r="AD715" s="29"/>
      <c r="AE715" s="29"/>
      <c r="AF715" s="29"/>
      <c r="AG715" s="29"/>
    </row>
    <row r="716">
      <c r="A716" s="689" t="s">
        <v>6977</v>
      </c>
      <c r="B716" s="240" t="s">
        <v>375</v>
      </c>
      <c r="C716" s="686"/>
      <c r="D716" s="687" t="s">
        <v>102</v>
      </c>
      <c r="E716" s="690" t="s">
        <v>4149</v>
      </c>
      <c r="F716" s="690" t="s">
        <v>1206</v>
      </c>
      <c r="G716" s="493">
        <v>45966.0</v>
      </c>
      <c r="H716" s="703">
        <v>45968.0</v>
      </c>
      <c r="I716" s="189">
        <f>IFERROR(__xludf.DUMMYFUNCTION("IF(ISBLANK(H716), TODAY()-TO_DATE(G716), TO_DATE(H716)-TO_DATE(G716))+1"),3.0)</f>
        <v>3</v>
      </c>
      <c r="J716" s="27">
        <v>300.0</v>
      </c>
      <c r="K716" s="240" t="s">
        <v>7026</v>
      </c>
      <c r="L716" s="321"/>
      <c r="M716" s="63"/>
      <c r="N716" s="29"/>
      <c r="O716" s="29"/>
      <c r="P716" s="29"/>
      <c r="Q716" s="29"/>
      <c r="R716" s="29"/>
      <c r="S716" s="29"/>
      <c r="T716" s="29"/>
      <c r="U716" s="29"/>
      <c r="V716" s="29"/>
      <c r="W716" s="29"/>
      <c r="X716" s="29"/>
      <c r="Y716" s="29"/>
      <c r="Z716" s="29"/>
      <c r="AA716" s="29"/>
      <c r="AB716" s="29"/>
      <c r="AC716" s="29"/>
      <c r="AD716" s="29"/>
      <c r="AE716" s="29"/>
      <c r="AF716" s="29"/>
      <c r="AG716" s="29"/>
    </row>
    <row r="717">
      <c r="A717" s="689" t="s">
        <v>6977</v>
      </c>
      <c r="B717" s="240" t="s">
        <v>375</v>
      </c>
      <c r="C717" s="686"/>
      <c r="D717" s="706" t="s">
        <v>102</v>
      </c>
      <c r="E717" s="690" t="s">
        <v>2697</v>
      </c>
      <c r="F717" s="690" t="s">
        <v>2473</v>
      </c>
      <c r="G717" s="493">
        <v>45966.0</v>
      </c>
      <c r="H717" s="493">
        <v>45988.0</v>
      </c>
      <c r="I717" s="189">
        <f>IFERROR(__xludf.DUMMYFUNCTION("IF(ISBLANK(H717), TODAY()-TO_DATE(G717), TO_DATE(H717)-TO_DATE(G717))+1"),23.0)</f>
        <v>23</v>
      </c>
      <c r="J717" s="27" t="s">
        <v>197</v>
      </c>
      <c r="K717" s="240" t="s">
        <v>7033</v>
      </c>
      <c r="L717" s="321"/>
      <c r="M717" s="63"/>
      <c r="N717" s="29"/>
      <c r="O717" s="29"/>
      <c r="P717" s="29"/>
      <c r="Q717" s="29"/>
      <c r="R717" s="29"/>
      <c r="S717" s="29"/>
      <c r="T717" s="29"/>
      <c r="U717" s="29"/>
      <c r="V717" s="29"/>
      <c r="W717" s="29"/>
      <c r="X717" s="29"/>
      <c r="Y717" s="29"/>
      <c r="Z717" s="29"/>
      <c r="AA717" s="29"/>
      <c r="AB717" s="29"/>
      <c r="AC717" s="29"/>
      <c r="AD717" s="29"/>
      <c r="AE717" s="29"/>
      <c r="AF717" s="29"/>
      <c r="AG717" s="29"/>
    </row>
    <row r="718">
      <c r="A718" s="689" t="s">
        <v>6977</v>
      </c>
      <c r="B718" s="240" t="s">
        <v>375</v>
      </c>
      <c r="C718" s="686"/>
      <c r="D718" s="706" t="s">
        <v>504</v>
      </c>
      <c r="E718" s="690" t="s">
        <v>4161</v>
      </c>
      <c r="F718" s="690" t="s">
        <v>2654</v>
      </c>
      <c r="G718" s="493">
        <v>45966.0</v>
      </c>
      <c r="H718" s="493">
        <v>45975.0</v>
      </c>
      <c r="I718" s="189">
        <f>IFERROR(__xludf.DUMMYFUNCTION("IF(ISBLANK(H718), TODAY()-TO_DATE(G718), TO_DATE(H718)-TO_DATE(G718))+1"),10.0)</f>
        <v>10</v>
      </c>
      <c r="J718" s="27">
        <v>300.0</v>
      </c>
      <c r="K718" s="240" t="s">
        <v>7043</v>
      </c>
      <c r="L718" s="321"/>
      <c r="M718" s="240"/>
      <c r="N718" s="29"/>
      <c r="O718" s="29"/>
      <c r="P718" s="29"/>
      <c r="Q718" s="29"/>
      <c r="R718" s="29"/>
      <c r="S718" s="29"/>
      <c r="T718" s="29"/>
      <c r="U718" s="29"/>
      <c r="V718" s="29"/>
      <c r="W718" s="29"/>
      <c r="X718" s="29"/>
      <c r="Y718" s="29"/>
      <c r="Z718" s="29"/>
      <c r="AA718" s="29"/>
      <c r="AB718" s="29"/>
      <c r="AC718" s="29"/>
      <c r="AD718" s="29"/>
      <c r="AE718" s="29"/>
      <c r="AF718" s="29"/>
      <c r="AG718" s="29"/>
    </row>
    <row r="719">
      <c r="A719" s="689" t="s">
        <v>6977</v>
      </c>
      <c r="B719" s="240" t="s">
        <v>375</v>
      </c>
      <c r="C719" s="686"/>
      <c r="D719" s="687" t="s">
        <v>60</v>
      </c>
      <c r="E719" s="690" t="s">
        <v>1804</v>
      </c>
      <c r="F719" s="690" t="s">
        <v>1806</v>
      </c>
      <c r="G719" s="493">
        <v>45966.0</v>
      </c>
      <c r="H719" s="493">
        <v>45975.0</v>
      </c>
      <c r="I719" s="189">
        <f>IFERROR(__xludf.DUMMYFUNCTION("IF(ISBLANK(H719), TODAY()-TO_DATE(G719), TO_DATE(H719)-TO_DATE(G719))+1"),10.0)</f>
        <v>10</v>
      </c>
      <c r="J719" s="27" t="s">
        <v>197</v>
      </c>
      <c r="K719" s="240" t="s">
        <v>7047</v>
      </c>
      <c r="L719" s="321"/>
      <c r="M719" s="240" t="s">
        <v>6985</v>
      </c>
      <c r="N719" s="29"/>
      <c r="O719" s="29"/>
      <c r="P719" s="29"/>
      <c r="Q719" s="29"/>
      <c r="R719" s="29"/>
      <c r="S719" s="29"/>
      <c r="T719" s="29"/>
      <c r="U719" s="29"/>
      <c r="V719" s="29"/>
      <c r="W719" s="29"/>
      <c r="X719" s="29"/>
      <c r="Y719" s="29"/>
      <c r="Z719" s="29"/>
      <c r="AA719" s="29"/>
      <c r="AB719" s="29"/>
      <c r="AC719" s="29"/>
      <c r="AD719" s="29"/>
      <c r="AE719" s="29"/>
      <c r="AF719" s="29"/>
      <c r="AG719" s="29"/>
    </row>
    <row r="720">
      <c r="A720" s="689" t="s">
        <v>6977</v>
      </c>
      <c r="B720" s="240" t="s">
        <v>375</v>
      </c>
      <c r="C720" s="686"/>
      <c r="D720" s="706" t="s">
        <v>60</v>
      </c>
      <c r="E720" s="690" t="s">
        <v>1820</v>
      </c>
      <c r="F720" s="690" t="s">
        <v>1821</v>
      </c>
      <c r="G720" s="493">
        <v>45966.0</v>
      </c>
      <c r="H720" s="493">
        <v>45975.0</v>
      </c>
      <c r="I720" s="189">
        <f>IFERROR(__xludf.DUMMYFUNCTION("IF(ISBLANK(H720), TODAY()-TO_DATE(G720), TO_DATE(H720)-TO_DATE(G720))+1"),10.0)</f>
        <v>10</v>
      </c>
      <c r="J720" s="27" t="s">
        <v>197</v>
      </c>
      <c r="K720" s="240" t="s">
        <v>7055</v>
      </c>
      <c r="L720" s="321"/>
      <c r="M720" s="240" t="s">
        <v>6985</v>
      </c>
      <c r="N720" s="29"/>
      <c r="O720" s="29"/>
      <c r="P720" s="29"/>
      <c r="Q720" s="29"/>
      <c r="R720" s="29"/>
      <c r="S720" s="29"/>
      <c r="T720" s="29"/>
      <c r="U720" s="29"/>
      <c r="V720" s="29"/>
      <c r="W720" s="29"/>
      <c r="X720" s="29"/>
      <c r="Y720" s="29"/>
      <c r="Z720" s="29"/>
      <c r="AA720" s="29"/>
      <c r="AB720" s="29"/>
      <c r="AC720" s="29"/>
      <c r="AD720" s="29"/>
      <c r="AE720" s="29"/>
      <c r="AF720" s="29"/>
      <c r="AG720" s="29"/>
    </row>
    <row r="721">
      <c r="A721" s="689" t="s">
        <v>6977</v>
      </c>
      <c r="B721" s="240" t="s">
        <v>375</v>
      </c>
      <c r="C721" s="686"/>
      <c r="D721" s="706" t="s">
        <v>60</v>
      </c>
      <c r="E721" s="690" t="s">
        <v>4240</v>
      </c>
      <c r="F721" s="690" t="s">
        <v>2006</v>
      </c>
      <c r="G721" s="493">
        <v>45966.0</v>
      </c>
      <c r="H721" s="493">
        <v>45970.0</v>
      </c>
      <c r="I721" s="189">
        <f>IFERROR(__xludf.DUMMYFUNCTION("IF(ISBLANK(H721), TODAY()-TO_DATE(G721), TO_DATE(H721)-TO_DATE(G721))+1"),5.0)</f>
        <v>5</v>
      </c>
      <c r="J721" s="27" t="s">
        <v>197</v>
      </c>
      <c r="K721" s="240" t="s">
        <v>7064</v>
      </c>
      <c r="L721" s="321"/>
      <c r="M721" s="63"/>
      <c r="N721" s="29"/>
      <c r="O721" s="29"/>
      <c r="P721" s="29"/>
      <c r="Q721" s="29"/>
      <c r="R721" s="29"/>
      <c r="S721" s="29"/>
      <c r="T721" s="29"/>
      <c r="U721" s="29"/>
      <c r="V721" s="29"/>
      <c r="W721" s="29"/>
      <c r="X721" s="29"/>
      <c r="Y721" s="29"/>
      <c r="Z721" s="29"/>
      <c r="AA721" s="29"/>
      <c r="AB721" s="29"/>
      <c r="AC721" s="29"/>
      <c r="AD721" s="29"/>
      <c r="AE721" s="29"/>
      <c r="AF721" s="29"/>
      <c r="AG721" s="29"/>
    </row>
    <row r="722">
      <c r="A722" s="240" t="s">
        <v>1032</v>
      </c>
      <c r="B722" s="240" t="s">
        <v>375</v>
      </c>
      <c r="C722" s="218" t="s">
        <v>7066</v>
      </c>
      <c r="D722" s="321" t="s">
        <v>60</v>
      </c>
      <c r="E722" s="240" t="s">
        <v>5979</v>
      </c>
      <c r="F722" s="240" t="s">
        <v>748</v>
      </c>
      <c r="G722" s="493">
        <v>45967.0</v>
      </c>
      <c r="H722" s="493">
        <v>45968.0</v>
      </c>
      <c r="I722" s="189">
        <f>IFERROR(__xludf.DUMMYFUNCTION("IF(ISBLANK(H722), TODAY()-TO_DATE(G722), TO_DATE(H722)-TO_DATE(G722))+1"),2.0)</f>
        <v>2</v>
      </c>
      <c r="J722" s="27" t="s">
        <v>197</v>
      </c>
      <c r="K722" s="240" t="s">
        <v>7068</v>
      </c>
      <c r="L722" s="321" t="s">
        <v>7069</v>
      </c>
      <c r="M722" s="63"/>
      <c r="N722" s="29"/>
      <c r="O722" s="29"/>
      <c r="P722" s="29"/>
      <c r="Q722" s="29"/>
      <c r="R722" s="29"/>
      <c r="S722" s="29"/>
      <c r="T722" s="29"/>
      <c r="U722" s="29"/>
      <c r="V722" s="29"/>
      <c r="W722" s="29"/>
      <c r="X722" s="29"/>
      <c r="Y722" s="29"/>
      <c r="Z722" s="29"/>
      <c r="AA722" s="29"/>
      <c r="AB722" s="29"/>
      <c r="AC722" s="29"/>
      <c r="AD722" s="29"/>
      <c r="AE722" s="29"/>
      <c r="AF722" s="29"/>
      <c r="AG722" s="29"/>
    </row>
    <row r="723">
      <c r="A723" s="240" t="s">
        <v>1032</v>
      </c>
      <c r="B723" s="240" t="s">
        <v>375</v>
      </c>
      <c r="C723" s="218" t="s">
        <v>6411</v>
      </c>
      <c r="D723" s="321" t="s">
        <v>60</v>
      </c>
      <c r="E723" s="240" t="s">
        <v>6414</v>
      </c>
      <c r="F723" s="240" t="s">
        <v>3367</v>
      </c>
      <c r="G723" s="493">
        <v>45967.0</v>
      </c>
      <c r="H723" s="493">
        <v>45968.0</v>
      </c>
      <c r="I723" s="189">
        <f>IFERROR(__xludf.DUMMYFUNCTION("IF(ISBLANK(H723), TODAY()-TO_DATE(G723), TO_DATE(H723)-TO_DATE(G723))+1"),2.0)</f>
        <v>2</v>
      </c>
      <c r="J723" s="27" t="s">
        <v>197</v>
      </c>
      <c r="K723" s="240" t="s">
        <v>7076</v>
      </c>
      <c r="L723" s="321" t="s">
        <v>7078</v>
      </c>
      <c r="M723" s="63"/>
      <c r="N723" s="29"/>
      <c r="O723" s="29"/>
      <c r="P723" s="29"/>
      <c r="Q723" s="29"/>
      <c r="R723" s="29"/>
      <c r="S723" s="29"/>
      <c r="T723" s="29"/>
      <c r="U723" s="29"/>
      <c r="V723" s="29"/>
      <c r="W723" s="29"/>
      <c r="X723" s="29"/>
      <c r="Y723" s="29"/>
      <c r="Z723" s="29"/>
      <c r="AA723" s="29"/>
      <c r="AB723" s="29"/>
      <c r="AC723" s="29"/>
      <c r="AD723" s="29"/>
      <c r="AE723" s="29"/>
      <c r="AF723" s="29"/>
      <c r="AG723" s="29"/>
    </row>
    <row r="724">
      <c r="A724" s="240" t="s">
        <v>2451</v>
      </c>
      <c r="B724" s="240" t="s">
        <v>375</v>
      </c>
      <c r="C724" s="218" t="s">
        <v>119</v>
      </c>
      <c r="D724" s="85" t="s">
        <v>102</v>
      </c>
      <c r="E724" s="240" t="s">
        <v>2687</v>
      </c>
      <c r="F724" s="240" t="s">
        <v>2688</v>
      </c>
      <c r="G724" s="493">
        <v>45967.0</v>
      </c>
      <c r="H724" s="493">
        <v>45984.0</v>
      </c>
      <c r="I724" s="189">
        <f>IFERROR(__xludf.DUMMYFUNCTION("IF(ISBLANK(H724), TODAY()-TO_DATE(G724), TO_DATE(H724)-TO_DATE(G724))+1"),18.0)</f>
        <v>18</v>
      </c>
      <c r="J724" s="27" t="s">
        <v>197</v>
      </c>
      <c r="K724" s="240" t="s">
        <v>7083</v>
      </c>
      <c r="L724" s="321" t="s">
        <v>3450</v>
      </c>
      <c r="M724" s="63"/>
      <c r="N724" s="29"/>
      <c r="O724" s="29"/>
      <c r="P724" s="29"/>
      <c r="Q724" s="29"/>
      <c r="R724" s="29"/>
      <c r="S724" s="29"/>
      <c r="T724" s="29"/>
      <c r="U724" s="29"/>
      <c r="V724" s="29"/>
      <c r="W724" s="29"/>
      <c r="X724" s="29"/>
      <c r="Y724" s="29"/>
      <c r="Z724" s="29"/>
      <c r="AA724" s="29"/>
      <c r="AB724" s="29"/>
      <c r="AC724" s="29"/>
      <c r="AD724" s="29"/>
      <c r="AE724" s="29"/>
      <c r="AF724" s="29"/>
      <c r="AG724" s="29"/>
    </row>
    <row r="725">
      <c r="A725" s="240" t="s">
        <v>6977</v>
      </c>
      <c r="B725" s="240" t="s">
        <v>375</v>
      </c>
      <c r="C725" s="128"/>
      <c r="D725" s="687" t="s">
        <v>60</v>
      </c>
      <c r="E725" s="240" t="s">
        <v>4212</v>
      </c>
      <c r="F725" s="240" t="s">
        <v>4213</v>
      </c>
      <c r="G725" s="493">
        <v>45968.0</v>
      </c>
      <c r="H725" s="493">
        <v>45970.0</v>
      </c>
      <c r="I725" s="189">
        <f>IFERROR(__xludf.DUMMYFUNCTION("IF(ISBLANK(H725), TODAY()-TO_DATE(G725), TO_DATE(H725)-TO_DATE(G725))+1"),3.0)</f>
        <v>3</v>
      </c>
      <c r="J725" s="27">
        <v>500.0</v>
      </c>
      <c r="K725" s="240" t="s">
        <v>7091</v>
      </c>
      <c r="L725" s="321" t="s">
        <v>7092</v>
      </c>
      <c r="M725" s="63"/>
      <c r="N725" s="29"/>
      <c r="O725" s="29"/>
      <c r="P725" s="29"/>
      <c r="Q725" s="29"/>
      <c r="R725" s="29"/>
      <c r="S725" s="29"/>
      <c r="T725" s="29"/>
      <c r="U725" s="29"/>
      <c r="V725" s="29"/>
      <c r="W725" s="29"/>
      <c r="X725" s="29"/>
      <c r="Y725" s="29"/>
      <c r="Z725" s="29"/>
      <c r="AA725" s="29"/>
      <c r="AB725" s="29"/>
      <c r="AC725" s="29"/>
      <c r="AD725" s="29"/>
      <c r="AE725" s="29"/>
      <c r="AF725" s="29"/>
      <c r="AG725" s="29"/>
    </row>
    <row r="726">
      <c r="A726" s="240" t="s">
        <v>6977</v>
      </c>
      <c r="B726" s="240" t="s">
        <v>375</v>
      </c>
      <c r="C726" s="128"/>
      <c r="D726" s="706" t="s">
        <v>60</v>
      </c>
      <c r="E726" s="240" t="s">
        <v>4223</v>
      </c>
      <c r="F726" s="240" t="s">
        <v>4224</v>
      </c>
      <c r="G726" s="493">
        <v>45968.0</v>
      </c>
      <c r="H726" s="493">
        <v>45972.0</v>
      </c>
      <c r="I726" s="189">
        <f>IFERROR(__xludf.DUMMYFUNCTION("IF(ISBLANK(H726), TODAY()-TO_DATE(G726), TO_DATE(H726)-TO_DATE(G726))+1"),5.0)</f>
        <v>5</v>
      </c>
      <c r="J726" s="27">
        <v>500.0</v>
      </c>
      <c r="K726" s="240" t="s">
        <v>7098</v>
      </c>
      <c r="L726" s="507"/>
      <c r="M726" s="63"/>
      <c r="N726" s="29"/>
      <c r="O726" s="29"/>
      <c r="P726" s="29"/>
      <c r="Q726" s="29"/>
      <c r="R726" s="29"/>
      <c r="S726" s="29"/>
      <c r="T726" s="29"/>
      <c r="U726" s="29"/>
      <c r="V726" s="29"/>
      <c r="W726" s="29"/>
      <c r="X726" s="29"/>
      <c r="Y726" s="29"/>
      <c r="Z726" s="29"/>
      <c r="AA726" s="29"/>
      <c r="AB726" s="29"/>
      <c r="AC726" s="29"/>
      <c r="AD726" s="29"/>
      <c r="AE726" s="29"/>
      <c r="AF726" s="29"/>
      <c r="AG726" s="29"/>
    </row>
    <row r="727">
      <c r="A727" s="240" t="s">
        <v>6977</v>
      </c>
      <c r="B727" s="240" t="s">
        <v>375</v>
      </c>
      <c r="C727" s="128"/>
      <c r="D727" s="706" t="s">
        <v>60</v>
      </c>
      <c r="E727" s="240" t="s">
        <v>4253</v>
      </c>
      <c r="F727" s="240" t="s">
        <v>4254</v>
      </c>
      <c r="G727" s="493">
        <v>45968.0</v>
      </c>
      <c r="H727" s="493">
        <v>45975.0</v>
      </c>
      <c r="I727" s="189">
        <f>IFERROR(__xludf.DUMMYFUNCTION("IF(ISBLANK(H727), TODAY()-TO_DATE(G727), TO_DATE(H727)-TO_DATE(G727))+1"),8.0)</f>
        <v>8</v>
      </c>
      <c r="J727" s="27">
        <v>500.0</v>
      </c>
      <c r="K727" s="240" t="s">
        <v>7106</v>
      </c>
      <c r="L727" s="321" t="s">
        <v>7107</v>
      </c>
      <c r="M727" s="63"/>
      <c r="N727" s="29"/>
      <c r="O727" s="29"/>
      <c r="P727" s="29"/>
      <c r="Q727" s="29"/>
      <c r="R727" s="29"/>
      <c r="S727" s="29"/>
      <c r="T727" s="29"/>
      <c r="U727" s="29"/>
      <c r="V727" s="29"/>
      <c r="W727" s="29"/>
      <c r="X727" s="29"/>
      <c r="Y727" s="29"/>
      <c r="Z727" s="29"/>
      <c r="AA727" s="29"/>
      <c r="AB727" s="29"/>
      <c r="AC727" s="29"/>
      <c r="AD727" s="29"/>
      <c r="AE727" s="29"/>
      <c r="AF727" s="29"/>
      <c r="AG727" s="29"/>
    </row>
    <row r="728">
      <c r="A728" s="240" t="s">
        <v>6977</v>
      </c>
      <c r="B728" s="240" t="s">
        <v>375</v>
      </c>
      <c r="C728" s="128"/>
      <c r="D728" s="706" t="s">
        <v>60</v>
      </c>
      <c r="E728" s="240" t="s">
        <v>7114</v>
      </c>
      <c r="F728" s="240" t="s">
        <v>954</v>
      </c>
      <c r="G728" s="493">
        <v>45968.0</v>
      </c>
      <c r="H728" s="493">
        <v>45971.0</v>
      </c>
      <c r="I728" s="189">
        <f>IFERROR(__xludf.DUMMYFUNCTION("IF(ISBLANK(H728), TODAY()-TO_DATE(G728), TO_DATE(H728)-TO_DATE(G728))+1"),4.0)</f>
        <v>4</v>
      </c>
      <c r="J728" s="27">
        <v>300.0</v>
      </c>
      <c r="K728" s="240" t="s">
        <v>7117</v>
      </c>
      <c r="L728" s="507"/>
      <c r="M728" s="63"/>
      <c r="N728" s="29"/>
      <c r="O728" s="29"/>
      <c r="P728" s="29"/>
      <c r="Q728" s="29"/>
      <c r="R728" s="29"/>
      <c r="S728" s="29"/>
      <c r="T728" s="29"/>
      <c r="U728" s="29"/>
      <c r="V728" s="29"/>
      <c r="W728" s="29"/>
      <c r="X728" s="29"/>
      <c r="Y728" s="29"/>
      <c r="Z728" s="29"/>
      <c r="AA728" s="29"/>
      <c r="AB728" s="29"/>
      <c r="AC728" s="29"/>
      <c r="AD728" s="29"/>
      <c r="AE728" s="29"/>
      <c r="AF728" s="29"/>
      <c r="AG728" s="29"/>
    </row>
    <row r="729">
      <c r="A729" s="240" t="s">
        <v>6977</v>
      </c>
      <c r="B729" s="240" t="s">
        <v>375</v>
      </c>
      <c r="C729" s="128"/>
      <c r="D729" s="706" t="s">
        <v>60</v>
      </c>
      <c r="E729" s="240" t="s">
        <v>4267</v>
      </c>
      <c r="F729" s="240" t="s">
        <v>4268</v>
      </c>
      <c r="G729" s="493">
        <v>45968.0</v>
      </c>
      <c r="H729" s="493">
        <v>45975.0</v>
      </c>
      <c r="I729" s="189">
        <f>IFERROR(__xludf.DUMMYFUNCTION("IF(ISBLANK(H729), TODAY()-TO_DATE(G729), TO_DATE(H729)-TO_DATE(G729))+1"),8.0)</f>
        <v>8</v>
      </c>
      <c r="J729" s="27">
        <v>500.0</v>
      </c>
      <c r="K729" s="240" t="s">
        <v>7121</v>
      </c>
      <c r="L729" s="321"/>
      <c r="M729" s="63"/>
      <c r="N729" s="29"/>
      <c r="O729" s="29"/>
      <c r="P729" s="29"/>
      <c r="Q729" s="29"/>
      <c r="R729" s="29"/>
      <c r="S729" s="29"/>
      <c r="T729" s="29"/>
      <c r="U729" s="29"/>
      <c r="V729" s="29"/>
      <c r="W729" s="29"/>
      <c r="X729" s="29"/>
      <c r="Y729" s="29"/>
      <c r="Z729" s="29"/>
      <c r="AA729" s="29"/>
      <c r="AB729" s="29"/>
      <c r="AC729" s="29"/>
      <c r="AD729" s="29"/>
      <c r="AE729" s="29"/>
      <c r="AF729" s="29"/>
      <c r="AG729" s="29"/>
    </row>
    <row r="730">
      <c r="A730" s="240" t="s">
        <v>6977</v>
      </c>
      <c r="B730" s="240" t="s">
        <v>375</v>
      </c>
      <c r="C730" s="128"/>
      <c r="D730" s="687" t="s">
        <v>60</v>
      </c>
      <c r="E730" s="241" t="s">
        <v>4203</v>
      </c>
      <c r="F730" s="240" t="s">
        <v>4204</v>
      </c>
      <c r="G730" s="493">
        <v>45968.0</v>
      </c>
      <c r="H730" s="493">
        <v>45969.0</v>
      </c>
      <c r="I730" s="189">
        <f>IFERROR(__xludf.DUMMYFUNCTION("IF(ISBLANK(H730), TODAY()-TO_DATE(G730), TO_DATE(H730)-TO_DATE(G730))+1"),2.0)</f>
        <v>2</v>
      </c>
      <c r="J730" s="27">
        <v>500.0</v>
      </c>
      <c r="K730" s="240" t="s">
        <v>7129</v>
      </c>
      <c r="L730" s="321" t="s">
        <v>7131</v>
      </c>
      <c r="M730" s="63"/>
      <c r="N730" s="29"/>
      <c r="O730" s="29"/>
      <c r="P730" s="29"/>
      <c r="Q730" s="29"/>
      <c r="R730" s="29"/>
      <c r="S730" s="29"/>
      <c r="T730" s="29"/>
      <c r="U730" s="29"/>
      <c r="V730" s="29"/>
      <c r="W730" s="29"/>
      <c r="X730" s="29"/>
      <c r="Y730" s="29"/>
      <c r="Z730" s="29"/>
      <c r="AA730" s="29"/>
      <c r="AB730" s="29"/>
      <c r="AC730" s="29"/>
      <c r="AD730" s="29"/>
      <c r="AE730" s="29"/>
      <c r="AF730" s="29"/>
      <c r="AG730" s="29"/>
    </row>
    <row r="731">
      <c r="A731" s="240" t="s">
        <v>6977</v>
      </c>
      <c r="B731" s="240" t="s">
        <v>375</v>
      </c>
      <c r="C731" s="128"/>
      <c r="D731" s="321" t="s">
        <v>102</v>
      </c>
      <c r="E731" s="241" t="s">
        <v>4328</v>
      </c>
      <c r="F731" s="240" t="s">
        <v>2931</v>
      </c>
      <c r="G731" s="493">
        <v>45969.0</v>
      </c>
      <c r="H731" s="493">
        <v>46015.0</v>
      </c>
      <c r="I731" s="189">
        <f>IFERROR(__xludf.DUMMYFUNCTION("IF(ISBLANK(H731), TODAY()-TO_DATE(G731), TO_DATE(H731)-TO_DATE(G731))+1"),47.0)</f>
        <v>47</v>
      </c>
      <c r="J731" s="27">
        <v>500.0</v>
      </c>
      <c r="K731" s="240" t="s">
        <v>7138</v>
      </c>
      <c r="L731" s="321"/>
      <c r="M731" s="63"/>
      <c r="N731" s="29"/>
      <c r="O731" s="29"/>
      <c r="P731" s="29"/>
      <c r="Q731" s="29"/>
      <c r="R731" s="29"/>
      <c r="S731" s="29"/>
      <c r="T731" s="29"/>
      <c r="U731" s="29"/>
      <c r="V731" s="29"/>
      <c r="W731" s="29"/>
      <c r="X731" s="29"/>
      <c r="Y731" s="29"/>
      <c r="Z731" s="29"/>
      <c r="AA731" s="29"/>
      <c r="AB731" s="29"/>
      <c r="AC731" s="29"/>
      <c r="AD731" s="29"/>
      <c r="AE731" s="29"/>
      <c r="AF731" s="29"/>
      <c r="AG731" s="29"/>
    </row>
    <row r="732">
      <c r="A732" s="240" t="s">
        <v>6977</v>
      </c>
      <c r="B732" s="240" t="s">
        <v>375</v>
      </c>
      <c r="C732" s="128"/>
      <c r="D732" s="687" t="s">
        <v>60</v>
      </c>
      <c r="E732" s="241" t="s">
        <v>4194</v>
      </c>
      <c r="F732" s="240" t="s">
        <v>4195</v>
      </c>
      <c r="G732" s="493">
        <v>45969.0</v>
      </c>
      <c r="H732" s="493">
        <v>45972.0</v>
      </c>
      <c r="I732" s="189">
        <f>IFERROR(__xludf.DUMMYFUNCTION("IF(ISBLANK(H732), TODAY()-TO_DATE(G732), TO_DATE(H732)-TO_DATE(G732))+1"),4.0)</f>
        <v>4</v>
      </c>
      <c r="J732" s="27">
        <v>500.0</v>
      </c>
      <c r="K732" s="240" t="s">
        <v>7143</v>
      </c>
      <c r="L732" s="321"/>
      <c r="M732" s="63"/>
      <c r="N732" s="29"/>
      <c r="O732" s="29"/>
      <c r="P732" s="29"/>
      <c r="Q732" s="29"/>
      <c r="R732" s="29"/>
      <c r="S732" s="29"/>
      <c r="T732" s="29"/>
      <c r="U732" s="29"/>
      <c r="V732" s="29"/>
      <c r="W732" s="29"/>
      <c r="X732" s="29"/>
      <c r="Y732" s="29"/>
      <c r="Z732" s="29"/>
      <c r="AA732" s="29"/>
      <c r="AB732" s="29"/>
      <c r="AC732" s="29"/>
      <c r="AD732" s="29"/>
      <c r="AE732" s="29"/>
      <c r="AF732" s="29"/>
      <c r="AG732" s="29"/>
    </row>
    <row r="733">
      <c r="A733" s="240" t="s">
        <v>6977</v>
      </c>
      <c r="B733" s="240" t="s">
        <v>375</v>
      </c>
      <c r="C733" s="128"/>
      <c r="D733" s="687" t="s">
        <v>60</v>
      </c>
      <c r="E733" s="241" t="s">
        <v>4279</v>
      </c>
      <c r="F733" s="240" t="s">
        <v>4280</v>
      </c>
      <c r="G733" s="493">
        <v>45969.0</v>
      </c>
      <c r="H733" s="493">
        <v>45976.0</v>
      </c>
      <c r="I733" s="189">
        <f>IFERROR(__xludf.DUMMYFUNCTION("IF(ISBLANK(H733), TODAY()-TO_DATE(G733), TO_DATE(H733)-TO_DATE(G733))+1"),8.0)</f>
        <v>8</v>
      </c>
      <c r="J733" s="27">
        <v>500.0</v>
      </c>
      <c r="K733" s="240" t="s">
        <v>7151</v>
      </c>
      <c r="L733" s="321"/>
      <c r="M733" s="63"/>
      <c r="N733" s="29"/>
      <c r="O733" s="29"/>
      <c r="P733" s="29"/>
      <c r="Q733" s="29"/>
      <c r="R733" s="29"/>
      <c r="S733" s="29"/>
      <c r="T733" s="29"/>
      <c r="U733" s="29"/>
      <c r="V733" s="29"/>
      <c r="W733" s="29"/>
      <c r="X733" s="29"/>
      <c r="Y733" s="29"/>
      <c r="Z733" s="29"/>
      <c r="AA733" s="29"/>
      <c r="AB733" s="29"/>
      <c r="AC733" s="29"/>
      <c r="AD733" s="29"/>
      <c r="AE733" s="29"/>
      <c r="AF733" s="29"/>
      <c r="AG733" s="29"/>
    </row>
    <row r="734">
      <c r="A734" s="240" t="s">
        <v>6977</v>
      </c>
      <c r="B734" s="240" t="s">
        <v>375</v>
      </c>
      <c r="C734" s="128"/>
      <c r="D734" s="687" t="s">
        <v>60</v>
      </c>
      <c r="E734" s="241" t="s">
        <v>4317</v>
      </c>
      <c r="F734" s="240" t="s">
        <v>483</v>
      </c>
      <c r="G734" s="493">
        <v>45969.0</v>
      </c>
      <c r="H734" s="493">
        <v>45977.0</v>
      </c>
      <c r="I734" s="189">
        <f>IFERROR(__xludf.DUMMYFUNCTION("IF(ISBLANK(H734), TODAY()-TO_DATE(G734), TO_DATE(H734)-TO_DATE(G734))+1"),9.0)</f>
        <v>9</v>
      </c>
      <c r="J734" s="27">
        <v>500.0</v>
      </c>
      <c r="K734" s="240" t="s">
        <v>7157</v>
      </c>
      <c r="L734" s="321"/>
      <c r="M734" s="63"/>
      <c r="N734" s="29"/>
      <c r="O734" s="29"/>
      <c r="P734" s="29"/>
      <c r="Q734" s="29"/>
      <c r="R734" s="29"/>
      <c r="S734" s="29"/>
      <c r="T734" s="29"/>
      <c r="U734" s="29"/>
      <c r="V734" s="29"/>
      <c r="W734" s="29"/>
      <c r="X734" s="29"/>
      <c r="Y734" s="29"/>
      <c r="Z734" s="29"/>
      <c r="AA734" s="29"/>
      <c r="AB734" s="29"/>
      <c r="AC734" s="29"/>
      <c r="AD734" s="29"/>
      <c r="AE734" s="29"/>
      <c r="AF734" s="29"/>
      <c r="AG734" s="29"/>
    </row>
    <row r="735">
      <c r="A735" s="240" t="s">
        <v>6977</v>
      </c>
      <c r="B735" s="240" t="s">
        <v>375</v>
      </c>
      <c r="C735" s="128"/>
      <c r="D735" s="687" t="s">
        <v>60</v>
      </c>
      <c r="E735" s="241" t="s">
        <v>4173</v>
      </c>
      <c r="F735" s="240" t="s">
        <v>4174</v>
      </c>
      <c r="G735" s="493">
        <v>45969.0</v>
      </c>
      <c r="H735" s="493">
        <v>45982.0</v>
      </c>
      <c r="I735" s="189">
        <f>IFERROR(__xludf.DUMMYFUNCTION("IF(ISBLANK(H735), TODAY()-TO_DATE(G735), TO_DATE(H735)-TO_DATE(G735))+1"),14.0)</f>
        <v>14</v>
      </c>
      <c r="J735" s="27">
        <v>300.0</v>
      </c>
      <c r="K735" s="240" t="s">
        <v>7161</v>
      </c>
      <c r="L735" s="321"/>
      <c r="M735" s="63"/>
      <c r="N735" s="29"/>
      <c r="O735" s="29"/>
      <c r="P735" s="29"/>
      <c r="Q735" s="29"/>
      <c r="R735" s="29"/>
      <c r="S735" s="29"/>
      <c r="T735" s="29"/>
      <c r="U735" s="29"/>
      <c r="V735" s="29"/>
      <c r="W735" s="29"/>
      <c r="X735" s="29"/>
      <c r="Y735" s="29"/>
      <c r="Z735" s="29"/>
      <c r="AA735" s="29"/>
      <c r="AB735" s="29"/>
      <c r="AC735" s="29"/>
      <c r="AD735" s="29"/>
      <c r="AE735" s="29"/>
      <c r="AF735" s="29"/>
      <c r="AG735" s="29"/>
    </row>
    <row r="736">
      <c r="A736" s="240" t="s">
        <v>6977</v>
      </c>
      <c r="B736" s="240" t="s">
        <v>375</v>
      </c>
      <c r="C736" s="128"/>
      <c r="D736" s="687" t="s">
        <v>60</v>
      </c>
      <c r="E736" s="241" t="s">
        <v>4291</v>
      </c>
      <c r="F736" s="240" t="s">
        <v>2528</v>
      </c>
      <c r="G736" s="493">
        <v>45969.0</v>
      </c>
      <c r="H736" s="493">
        <v>45976.0</v>
      </c>
      <c r="I736" s="189">
        <f>IFERROR(__xludf.DUMMYFUNCTION("IF(ISBLANK(H736), TODAY()-TO_DATE(G736), TO_DATE(H736)-TO_DATE(G736))+1"),8.0)</f>
        <v>8</v>
      </c>
      <c r="J736" s="27">
        <v>500.0</v>
      </c>
      <c r="K736" s="240" t="s">
        <v>7169</v>
      </c>
      <c r="L736" s="321"/>
      <c r="M736" s="63"/>
      <c r="N736" s="29"/>
      <c r="O736" s="29"/>
      <c r="P736" s="29"/>
      <c r="Q736" s="29"/>
      <c r="R736" s="29"/>
      <c r="S736" s="29"/>
      <c r="T736" s="29"/>
      <c r="U736" s="29"/>
      <c r="V736" s="29"/>
      <c r="W736" s="29"/>
      <c r="X736" s="29"/>
      <c r="Y736" s="29"/>
      <c r="Z736" s="29"/>
      <c r="AA736" s="29"/>
      <c r="AB736" s="29"/>
      <c r="AC736" s="29"/>
      <c r="AD736" s="29"/>
      <c r="AE736" s="29"/>
      <c r="AF736" s="29"/>
      <c r="AG736" s="29"/>
    </row>
    <row r="737">
      <c r="A737" s="240" t="s">
        <v>1032</v>
      </c>
      <c r="B737" s="240" t="s">
        <v>375</v>
      </c>
      <c r="C737" s="407" t="s">
        <v>139</v>
      </c>
      <c r="D737" s="641" t="s">
        <v>326</v>
      </c>
      <c r="E737" s="240" t="s">
        <v>5925</v>
      </c>
      <c r="F737" s="240" t="s">
        <v>1538</v>
      </c>
      <c r="G737" s="493">
        <v>45969.0</v>
      </c>
      <c r="H737" s="638">
        <v>45974.0</v>
      </c>
      <c r="I737" s="63">
        <f>IFERROR(__xludf.DUMMYFUNCTION("IF(ISBLANK(H737), TODAY()-TO_DATE(G737), TO_DATE(H737)-TO_DATE(G737))+1"),6.0)</f>
        <v>6</v>
      </c>
      <c r="J737" s="40">
        <v>300.0</v>
      </c>
      <c r="K737" s="561" t="s">
        <v>5928</v>
      </c>
      <c r="L737" s="321" t="s">
        <v>6374</v>
      </c>
      <c r="M737" s="63"/>
      <c r="N737" s="29"/>
      <c r="O737" s="29"/>
      <c r="P737" s="29"/>
      <c r="Q737" s="29"/>
      <c r="R737" s="29"/>
      <c r="S737" s="29"/>
      <c r="T737" s="29"/>
      <c r="U737" s="29"/>
      <c r="V737" s="29"/>
      <c r="W737" s="29"/>
      <c r="X737" s="29"/>
      <c r="Y737" s="29"/>
      <c r="Z737" s="29"/>
      <c r="AA737" s="29"/>
      <c r="AB737" s="29"/>
      <c r="AC737" s="29"/>
      <c r="AD737" s="29"/>
      <c r="AE737" s="29"/>
      <c r="AF737" s="29"/>
      <c r="AG737" s="29"/>
    </row>
    <row r="738">
      <c r="A738" s="240" t="s">
        <v>1313</v>
      </c>
      <c r="B738" s="240" t="s">
        <v>375</v>
      </c>
      <c r="C738" s="128"/>
      <c r="D738" s="321" t="s">
        <v>96</v>
      </c>
      <c r="E738" s="241" t="s">
        <v>4760</v>
      </c>
      <c r="F738" s="240" t="s">
        <v>4762</v>
      </c>
      <c r="G738" s="493">
        <v>45970.0</v>
      </c>
      <c r="H738" s="493">
        <v>45973.0</v>
      </c>
      <c r="I738" s="189">
        <f>IFERROR(__xludf.DUMMYFUNCTION("IF(ISBLANK(H738), TODAY()-TO_DATE(G738), TO_DATE(H738)-TO_DATE(G738))+1"),4.0)</f>
        <v>4</v>
      </c>
      <c r="J738" s="27">
        <v>500.0</v>
      </c>
      <c r="K738" s="240" t="s">
        <v>7182</v>
      </c>
      <c r="L738" s="321" t="s">
        <v>7183</v>
      </c>
      <c r="M738" s="240" t="s">
        <v>7184</v>
      </c>
      <c r="N738" s="29"/>
      <c r="O738" s="29"/>
      <c r="P738" s="29"/>
      <c r="Q738" s="29"/>
      <c r="R738" s="29"/>
      <c r="S738" s="29"/>
      <c r="T738" s="29"/>
      <c r="U738" s="29"/>
      <c r="V738" s="29"/>
      <c r="W738" s="29"/>
      <c r="X738" s="29"/>
      <c r="Y738" s="29"/>
      <c r="Z738" s="29"/>
      <c r="AA738" s="29"/>
      <c r="AB738" s="29"/>
      <c r="AC738" s="29"/>
      <c r="AD738" s="29"/>
      <c r="AE738" s="29"/>
      <c r="AF738" s="29"/>
      <c r="AG738" s="29"/>
    </row>
    <row r="739">
      <c r="A739" s="240" t="s">
        <v>1313</v>
      </c>
      <c r="B739" s="240" t="s">
        <v>375</v>
      </c>
      <c r="C739" s="128"/>
      <c r="D739" s="687" t="s">
        <v>60</v>
      </c>
      <c r="E739" s="241" t="s">
        <v>4732</v>
      </c>
      <c r="F739" s="240" t="s">
        <v>4733</v>
      </c>
      <c r="G739" s="493">
        <v>45970.0</v>
      </c>
      <c r="H739" s="493">
        <v>45973.0</v>
      </c>
      <c r="I739" s="189">
        <f>IFERROR(__xludf.DUMMYFUNCTION("IF(ISBLANK(H739), TODAY()-TO_DATE(G739), TO_DATE(H739)-TO_DATE(G739))+1"),4.0)</f>
        <v>4</v>
      </c>
      <c r="J739" s="27">
        <v>500.0</v>
      </c>
      <c r="K739" s="240" t="s">
        <v>7193</v>
      </c>
      <c r="L739" s="321" t="s">
        <v>7195</v>
      </c>
      <c r="M739" s="63"/>
      <c r="N739" s="29"/>
      <c r="O739" s="29"/>
      <c r="P739" s="29"/>
      <c r="Q739" s="29"/>
      <c r="R739" s="29"/>
      <c r="S739" s="29"/>
      <c r="T739" s="29"/>
      <c r="U739" s="29"/>
      <c r="V739" s="29"/>
      <c r="W739" s="29"/>
      <c r="X739" s="29"/>
      <c r="Y739" s="29"/>
      <c r="Z739" s="29"/>
      <c r="AA739" s="29"/>
      <c r="AB739" s="29"/>
      <c r="AC739" s="29"/>
      <c r="AD739" s="29"/>
      <c r="AE739" s="29"/>
      <c r="AF739" s="29"/>
      <c r="AG739" s="29"/>
    </row>
    <row r="740">
      <c r="A740" s="240" t="s">
        <v>1313</v>
      </c>
      <c r="B740" s="240" t="s">
        <v>375</v>
      </c>
      <c r="C740" s="128"/>
      <c r="D740" s="687" t="s">
        <v>60</v>
      </c>
      <c r="E740" s="241" t="s">
        <v>7197</v>
      </c>
      <c r="F740" s="240" t="s">
        <v>4871</v>
      </c>
      <c r="G740" s="493">
        <v>45970.0</v>
      </c>
      <c r="H740" s="493">
        <v>45972.0</v>
      </c>
      <c r="I740" s="189">
        <f>IFERROR(__xludf.DUMMYFUNCTION("IF(ISBLANK(H740), TODAY()-TO_DATE(G740), TO_DATE(H740)-TO_DATE(G740))+1"),3.0)</f>
        <v>3</v>
      </c>
      <c r="J740" s="27">
        <v>300.0</v>
      </c>
      <c r="K740" s="240" t="s">
        <v>7201</v>
      </c>
      <c r="L740" s="321"/>
      <c r="M740" s="63"/>
      <c r="N740" s="29"/>
      <c r="O740" s="29"/>
      <c r="P740" s="29"/>
      <c r="Q740" s="29"/>
      <c r="R740" s="29"/>
      <c r="S740" s="29"/>
      <c r="T740" s="29"/>
      <c r="U740" s="29"/>
      <c r="V740" s="29"/>
      <c r="W740" s="29"/>
      <c r="X740" s="29"/>
      <c r="Y740" s="29"/>
      <c r="Z740" s="29"/>
      <c r="AA740" s="29"/>
      <c r="AB740" s="29"/>
      <c r="AC740" s="29"/>
      <c r="AD740" s="29"/>
      <c r="AE740" s="29"/>
      <c r="AF740" s="29"/>
      <c r="AG740" s="29"/>
    </row>
    <row r="741">
      <c r="A741" s="240" t="s">
        <v>1313</v>
      </c>
      <c r="B741" s="240" t="s">
        <v>375</v>
      </c>
      <c r="C741" s="128"/>
      <c r="D741" s="687" t="s">
        <v>326</v>
      </c>
      <c r="E741" s="241" t="s">
        <v>4646</v>
      </c>
      <c r="F741" s="240" t="s">
        <v>3316</v>
      </c>
      <c r="G741" s="493">
        <v>45970.0</v>
      </c>
      <c r="H741" s="493">
        <v>45971.0</v>
      </c>
      <c r="I741" s="189">
        <f>IFERROR(__xludf.DUMMYFUNCTION("IF(ISBLANK(H741), TODAY()-TO_DATE(G741), TO_DATE(H741)-TO_DATE(G741))+1"),2.0)</f>
        <v>2</v>
      </c>
      <c r="J741" s="27">
        <v>500.0</v>
      </c>
      <c r="K741" s="240" t="s">
        <v>7208</v>
      </c>
      <c r="L741" s="321" t="s">
        <v>7209</v>
      </c>
      <c r="M741" s="63" t="s">
        <v>7213</v>
      </c>
      <c r="N741" s="29"/>
      <c r="O741" s="29"/>
      <c r="P741" s="29"/>
      <c r="Q741" s="29"/>
      <c r="R741" s="29"/>
      <c r="S741" s="29"/>
      <c r="T741" s="29"/>
      <c r="U741" s="29"/>
      <c r="V741" s="29"/>
      <c r="W741" s="29"/>
      <c r="X741" s="29"/>
      <c r="Y741" s="29"/>
      <c r="Z741" s="29"/>
      <c r="AA741" s="29"/>
      <c r="AB741" s="29"/>
      <c r="AC741" s="29"/>
      <c r="AD741" s="29"/>
      <c r="AE741" s="29"/>
      <c r="AF741" s="29"/>
      <c r="AG741" s="29"/>
    </row>
    <row r="742">
      <c r="A742" s="240" t="s">
        <v>1313</v>
      </c>
      <c r="B742" s="240" t="s">
        <v>375</v>
      </c>
      <c r="C742" s="128"/>
      <c r="D742" s="687" t="s">
        <v>326</v>
      </c>
      <c r="E742" s="241" t="s">
        <v>4706</v>
      </c>
      <c r="F742" s="240" t="s">
        <v>4708</v>
      </c>
      <c r="G742" s="493">
        <v>45970.0</v>
      </c>
      <c r="H742" s="493">
        <v>45973.0</v>
      </c>
      <c r="I742" s="189">
        <f>IFERROR(__xludf.DUMMYFUNCTION("IF(ISBLANK(H742), TODAY()-TO_DATE(G742), TO_DATE(H742)-TO_DATE(G742))+1"),4.0)</f>
        <v>4</v>
      </c>
      <c r="J742" s="27">
        <v>500.0</v>
      </c>
      <c r="K742" s="240" t="s">
        <v>7217</v>
      </c>
      <c r="L742" s="321" t="s">
        <v>7218</v>
      </c>
      <c r="M742" s="63"/>
      <c r="N742" s="29"/>
      <c r="O742" s="29"/>
      <c r="P742" s="29"/>
      <c r="Q742" s="29"/>
      <c r="R742" s="29"/>
      <c r="S742" s="29"/>
      <c r="T742" s="29"/>
      <c r="U742" s="29"/>
      <c r="V742" s="29"/>
      <c r="W742" s="29"/>
      <c r="X742" s="29"/>
      <c r="Y742" s="29"/>
      <c r="Z742" s="29"/>
      <c r="AA742" s="29"/>
      <c r="AB742" s="29"/>
      <c r="AC742" s="29"/>
      <c r="AD742" s="29"/>
      <c r="AE742" s="29"/>
      <c r="AF742" s="29"/>
      <c r="AG742" s="29"/>
    </row>
    <row r="743">
      <c r="A743" s="240" t="s">
        <v>1313</v>
      </c>
      <c r="B743" s="240" t="s">
        <v>375</v>
      </c>
      <c r="C743" s="128"/>
      <c r="D743" s="687" t="s">
        <v>60</v>
      </c>
      <c r="E743" s="241" t="s">
        <v>4775</v>
      </c>
      <c r="F743" s="240" t="s">
        <v>4776</v>
      </c>
      <c r="G743" s="493">
        <v>45970.0</v>
      </c>
      <c r="H743" s="493">
        <v>45974.0</v>
      </c>
      <c r="I743" s="189">
        <f>IFERROR(__xludf.DUMMYFUNCTION("IF(ISBLANK(H743), TODAY()-TO_DATE(G743), TO_DATE(H743)-TO_DATE(G743))+1"),5.0)</f>
        <v>5</v>
      </c>
      <c r="J743" s="27">
        <v>500.0</v>
      </c>
      <c r="K743" s="240" t="s">
        <v>7226</v>
      </c>
      <c r="L743" s="321" t="s">
        <v>7227</v>
      </c>
      <c r="M743" s="63"/>
      <c r="N743" s="29"/>
      <c r="O743" s="29"/>
      <c r="P743" s="29"/>
      <c r="Q743" s="29"/>
      <c r="R743" s="29"/>
      <c r="S743" s="29"/>
      <c r="T743" s="29"/>
      <c r="U743" s="29"/>
      <c r="V743" s="29"/>
      <c r="W743" s="29"/>
      <c r="X743" s="29"/>
      <c r="Y743" s="29"/>
      <c r="Z743" s="29"/>
      <c r="AA743" s="29"/>
      <c r="AB743" s="29"/>
      <c r="AC743" s="29"/>
      <c r="AD743" s="29"/>
      <c r="AE743" s="29"/>
      <c r="AF743" s="29"/>
      <c r="AG743" s="29"/>
    </row>
    <row r="744">
      <c r="A744" s="240" t="s">
        <v>1313</v>
      </c>
      <c r="B744" s="240" t="s">
        <v>375</v>
      </c>
      <c r="C744" s="128"/>
      <c r="D744" s="687" t="s">
        <v>60</v>
      </c>
      <c r="E744" s="241" t="s">
        <v>4673</v>
      </c>
      <c r="F744" s="240" t="s">
        <v>4674</v>
      </c>
      <c r="G744" s="493">
        <v>45970.0</v>
      </c>
      <c r="H744" s="493">
        <v>45973.0</v>
      </c>
      <c r="I744" s="189">
        <f>IFERROR(__xludf.DUMMYFUNCTION("IF(ISBLANK(H744), TODAY()-TO_DATE(G744), TO_DATE(H744)-TO_DATE(G744))+1"),4.0)</f>
        <v>4</v>
      </c>
      <c r="J744" s="27">
        <v>500.0</v>
      </c>
      <c r="K744" s="240" t="s">
        <v>7235</v>
      </c>
      <c r="L744" s="321" t="s">
        <v>7237</v>
      </c>
      <c r="M744" s="63"/>
      <c r="N744" s="29"/>
      <c r="O744" s="29"/>
      <c r="P744" s="29"/>
      <c r="Q744" s="29"/>
      <c r="R744" s="29"/>
      <c r="S744" s="29"/>
      <c r="T744" s="29"/>
      <c r="U744" s="29"/>
      <c r="V744" s="29"/>
      <c r="W744" s="29"/>
      <c r="X744" s="29"/>
      <c r="Y744" s="29"/>
      <c r="Z744" s="29"/>
      <c r="AA744" s="29"/>
      <c r="AB744" s="29"/>
      <c r="AC744" s="29"/>
      <c r="AD744" s="29"/>
      <c r="AE744" s="29"/>
      <c r="AF744" s="29"/>
      <c r="AG744" s="29"/>
    </row>
    <row r="745">
      <c r="A745" s="240" t="s">
        <v>1313</v>
      </c>
      <c r="B745" s="240" t="s">
        <v>375</v>
      </c>
      <c r="C745" s="128"/>
      <c r="D745" s="687" t="s">
        <v>326</v>
      </c>
      <c r="E745" s="241" t="s">
        <v>4745</v>
      </c>
      <c r="F745" s="240" t="s">
        <v>2739</v>
      </c>
      <c r="G745" s="493">
        <v>45970.0</v>
      </c>
      <c r="H745" s="493">
        <v>45973.0</v>
      </c>
      <c r="I745" s="189">
        <f>IFERROR(__xludf.DUMMYFUNCTION("IF(ISBLANK(H745), TODAY()-TO_DATE(G745), TO_DATE(H745)-TO_DATE(G745))+1"),4.0)</f>
        <v>4</v>
      </c>
      <c r="J745" s="27">
        <v>500.0</v>
      </c>
      <c r="K745" s="240" t="s">
        <v>7246</v>
      </c>
      <c r="L745" s="321" t="s">
        <v>7247</v>
      </c>
      <c r="M745" s="63"/>
      <c r="N745" s="29"/>
      <c r="O745" s="29"/>
      <c r="P745" s="29"/>
      <c r="Q745" s="29"/>
      <c r="R745" s="29"/>
      <c r="S745" s="29"/>
      <c r="T745" s="29"/>
      <c r="U745" s="29"/>
      <c r="V745" s="29"/>
      <c r="W745" s="29"/>
      <c r="X745" s="29"/>
      <c r="Y745" s="29"/>
      <c r="Z745" s="29"/>
      <c r="AA745" s="29"/>
      <c r="AB745" s="29"/>
      <c r="AC745" s="29"/>
      <c r="AD745" s="29"/>
      <c r="AE745" s="29"/>
      <c r="AF745" s="29"/>
      <c r="AG745" s="29"/>
    </row>
    <row r="746">
      <c r="A746" s="240" t="s">
        <v>1313</v>
      </c>
      <c r="B746" s="240" t="s">
        <v>375</v>
      </c>
      <c r="C746" s="128"/>
      <c r="D746" s="687" t="s">
        <v>60</v>
      </c>
      <c r="E746" s="241" t="s">
        <v>4657</v>
      </c>
      <c r="F746" s="240" t="s">
        <v>792</v>
      </c>
      <c r="G746" s="493">
        <v>45970.0</v>
      </c>
      <c r="H746" s="493">
        <v>45971.0</v>
      </c>
      <c r="I746" s="189">
        <f>IFERROR(__xludf.DUMMYFUNCTION("IF(ISBLANK(H746), TODAY()-TO_DATE(G746), TO_DATE(H746)-TO_DATE(G746))+1"),2.0)</f>
        <v>2</v>
      </c>
      <c r="J746" s="27">
        <v>500.0</v>
      </c>
      <c r="K746" s="240" t="s">
        <v>7260</v>
      </c>
      <c r="L746" s="321"/>
      <c r="M746" s="63"/>
      <c r="N746" s="29"/>
      <c r="O746" s="29"/>
      <c r="P746" s="29"/>
      <c r="Q746" s="29"/>
      <c r="R746" s="29"/>
      <c r="S746" s="29"/>
      <c r="T746" s="29"/>
      <c r="U746" s="29"/>
      <c r="V746" s="29"/>
      <c r="W746" s="29"/>
      <c r="X746" s="29"/>
      <c r="Y746" s="29"/>
      <c r="Z746" s="29"/>
      <c r="AA746" s="29"/>
      <c r="AB746" s="29"/>
      <c r="AC746" s="29"/>
      <c r="AD746" s="29"/>
      <c r="AE746" s="29"/>
      <c r="AF746" s="29"/>
      <c r="AG746" s="29"/>
    </row>
    <row r="747">
      <c r="A747" s="240" t="s">
        <v>1313</v>
      </c>
      <c r="B747" s="240" t="s">
        <v>375</v>
      </c>
      <c r="C747" s="128"/>
      <c r="D747" s="687" t="s">
        <v>60</v>
      </c>
      <c r="E747" s="240" t="s">
        <v>4718</v>
      </c>
      <c r="F747" s="240" t="s">
        <v>4719</v>
      </c>
      <c r="G747" s="493">
        <v>45970.0</v>
      </c>
      <c r="H747" s="493">
        <v>45974.0</v>
      </c>
      <c r="I747" s="189">
        <f>IFERROR(__xludf.DUMMYFUNCTION("IF(ISBLANK(H747), TODAY()-TO_DATE(G747), TO_DATE(H747)-TO_DATE(G747))+1"),5.0)</f>
        <v>5</v>
      </c>
      <c r="J747" s="27">
        <v>500.0</v>
      </c>
      <c r="K747" s="240" t="s">
        <v>7270</v>
      </c>
      <c r="L747" s="321" t="s">
        <v>7272</v>
      </c>
      <c r="M747" s="63" t="s">
        <v>7213</v>
      </c>
      <c r="N747" s="29"/>
      <c r="O747" s="29"/>
      <c r="P747" s="29"/>
      <c r="Q747" s="29"/>
      <c r="R747" s="29"/>
      <c r="S747" s="29"/>
      <c r="T747" s="29"/>
      <c r="U747" s="29"/>
      <c r="V747" s="29"/>
      <c r="W747" s="29"/>
      <c r="X747" s="29"/>
      <c r="Y747" s="29"/>
      <c r="Z747" s="29"/>
      <c r="AA747" s="29"/>
      <c r="AB747" s="29"/>
      <c r="AC747" s="29"/>
      <c r="AD747" s="29"/>
      <c r="AE747" s="29"/>
      <c r="AF747" s="29"/>
      <c r="AG747" s="29"/>
    </row>
    <row r="748">
      <c r="A748" s="240" t="s">
        <v>1313</v>
      </c>
      <c r="B748" s="240" t="s">
        <v>375</v>
      </c>
      <c r="C748" s="128"/>
      <c r="D748" s="687" t="s">
        <v>60</v>
      </c>
      <c r="E748" s="241" t="s">
        <v>4855</v>
      </c>
      <c r="F748" s="240" t="s">
        <v>4857</v>
      </c>
      <c r="G748" s="493">
        <v>45970.0</v>
      </c>
      <c r="H748" s="493">
        <v>45974.0</v>
      </c>
      <c r="I748" s="189">
        <f>IFERROR(__xludf.DUMMYFUNCTION("IF(ISBLANK(H748), TODAY()-TO_DATE(G748), TO_DATE(H748)-TO_DATE(G748))+1"),5.0)</f>
        <v>5</v>
      </c>
      <c r="J748" s="27">
        <v>300.0</v>
      </c>
      <c r="K748" s="609" t="s">
        <v>7279</v>
      </c>
      <c r="L748" s="321"/>
      <c r="M748" s="63"/>
      <c r="N748" s="29"/>
      <c r="O748" s="29"/>
      <c r="P748" s="29"/>
      <c r="Q748" s="29"/>
      <c r="R748" s="29"/>
      <c r="S748" s="29"/>
      <c r="T748" s="29"/>
      <c r="U748" s="29"/>
      <c r="V748" s="29"/>
      <c r="W748" s="29"/>
      <c r="X748" s="29"/>
      <c r="Y748" s="29"/>
      <c r="Z748" s="29"/>
      <c r="AA748" s="29"/>
      <c r="AB748" s="29"/>
      <c r="AC748" s="29"/>
      <c r="AD748" s="29"/>
      <c r="AE748" s="29"/>
      <c r="AF748" s="29"/>
      <c r="AG748" s="29"/>
    </row>
    <row r="749">
      <c r="A749" s="240" t="s">
        <v>1313</v>
      </c>
      <c r="B749" s="240" t="s">
        <v>375</v>
      </c>
      <c r="C749" s="128"/>
      <c r="D749" s="321" t="s">
        <v>4800</v>
      </c>
      <c r="E749" s="241" t="s">
        <v>4693</v>
      </c>
      <c r="F749" s="240" t="s">
        <v>4694</v>
      </c>
      <c r="G749" s="493">
        <v>45970.0</v>
      </c>
      <c r="H749" s="493">
        <v>45970.0</v>
      </c>
      <c r="I749" s="189">
        <f>IFERROR(__xludf.DUMMYFUNCTION("IF(ISBLANK(H749), TODAY()-TO_DATE(G749), TO_DATE(H749)-TO_DATE(G749))+1"),1.0)</f>
        <v>1</v>
      </c>
      <c r="J749" s="27">
        <v>500.0</v>
      </c>
      <c r="K749" s="240" t="s">
        <v>7284</v>
      </c>
      <c r="L749" s="321" t="s">
        <v>7285</v>
      </c>
      <c r="M749" s="63" t="s">
        <v>7213</v>
      </c>
      <c r="N749" s="29"/>
      <c r="O749" s="29"/>
      <c r="P749" s="29"/>
      <c r="Q749" s="29"/>
      <c r="R749" s="29"/>
      <c r="S749" s="29"/>
      <c r="T749" s="29"/>
      <c r="U749" s="29"/>
      <c r="V749" s="29"/>
      <c r="W749" s="29"/>
      <c r="X749" s="29"/>
      <c r="Y749" s="29"/>
      <c r="Z749" s="29"/>
      <c r="AA749" s="29"/>
      <c r="AB749" s="29"/>
      <c r="AC749" s="29"/>
      <c r="AD749" s="29"/>
      <c r="AE749" s="29"/>
      <c r="AF749" s="29"/>
      <c r="AG749" s="29"/>
    </row>
    <row r="750">
      <c r="A750" s="240" t="s">
        <v>150</v>
      </c>
      <c r="B750" s="240" t="s">
        <v>375</v>
      </c>
      <c r="C750" s="218" t="s">
        <v>7291</v>
      </c>
      <c r="D750" s="85" t="s">
        <v>60</v>
      </c>
      <c r="E750" s="240" t="s">
        <v>383</v>
      </c>
      <c r="F750" s="240" t="s">
        <v>384</v>
      </c>
      <c r="G750" s="493">
        <v>45972.0</v>
      </c>
      <c r="H750" s="493">
        <v>45974.0</v>
      </c>
      <c r="I750" s="189">
        <f>IFERROR(__xludf.DUMMYFUNCTION("IF(ISBLANK(H750), TODAY()-TO_DATE(G750), TO_DATE(H750)-TO_DATE(G750))+1"),3.0)</f>
        <v>3</v>
      </c>
      <c r="J750" s="240">
        <v>500.0</v>
      </c>
      <c r="K750" s="240" t="s">
        <v>7295</v>
      </c>
      <c r="L750" s="321" t="s">
        <v>7296</v>
      </c>
      <c r="M750" s="63"/>
      <c r="N750" s="29"/>
      <c r="O750" s="29"/>
      <c r="P750" s="29"/>
      <c r="Q750" s="29"/>
      <c r="R750" s="29"/>
      <c r="S750" s="29"/>
      <c r="T750" s="29"/>
      <c r="U750" s="29"/>
      <c r="V750" s="29"/>
      <c r="W750" s="29"/>
      <c r="X750" s="29"/>
      <c r="Y750" s="29"/>
      <c r="Z750" s="29"/>
      <c r="AA750" s="29"/>
      <c r="AB750" s="29"/>
      <c r="AC750" s="29"/>
      <c r="AD750" s="29"/>
      <c r="AE750" s="29"/>
      <c r="AF750" s="29"/>
      <c r="AG750" s="29"/>
    </row>
    <row r="751">
      <c r="A751" s="240" t="s">
        <v>1032</v>
      </c>
      <c r="B751" s="240" t="s">
        <v>375</v>
      </c>
      <c r="C751" s="218" t="s">
        <v>5841</v>
      </c>
      <c r="D751" s="85" t="s">
        <v>60</v>
      </c>
      <c r="E751" s="240" t="s">
        <v>5843</v>
      </c>
      <c r="F751" s="240" t="s">
        <v>7299</v>
      </c>
      <c r="G751" s="493">
        <v>45972.0</v>
      </c>
      <c r="H751" s="493">
        <v>46000.0</v>
      </c>
      <c r="I751" s="189">
        <f>IFERROR(__xludf.DUMMYFUNCTION("IF(ISBLANK(H751), TODAY()-TO_DATE(G751), TO_DATE(H751)-TO_DATE(G751))+1"),29.0)</f>
        <v>29</v>
      </c>
      <c r="J751" s="240" t="s">
        <v>197</v>
      </c>
      <c r="K751" s="240" t="s">
        <v>7303</v>
      </c>
      <c r="L751" s="321" t="s">
        <v>7305</v>
      </c>
      <c r="M751" s="63"/>
      <c r="N751" s="29"/>
      <c r="O751" s="29"/>
      <c r="P751" s="29"/>
      <c r="Q751" s="29"/>
      <c r="R751" s="29"/>
      <c r="S751" s="29"/>
      <c r="T751" s="29"/>
      <c r="U751" s="29"/>
      <c r="V751" s="29"/>
      <c r="W751" s="29"/>
      <c r="X751" s="29"/>
      <c r="Y751" s="29"/>
      <c r="Z751" s="29"/>
      <c r="AA751" s="29"/>
      <c r="AB751" s="29"/>
      <c r="AC751" s="29"/>
      <c r="AD751" s="29"/>
      <c r="AE751" s="29"/>
      <c r="AF751" s="29"/>
      <c r="AG751" s="29"/>
    </row>
    <row r="752">
      <c r="A752" s="240" t="s">
        <v>1510</v>
      </c>
      <c r="B752" s="240" t="s">
        <v>375</v>
      </c>
      <c r="C752" s="171" t="s">
        <v>139</v>
      </c>
      <c r="D752" s="85" t="s">
        <v>60</v>
      </c>
      <c r="E752" s="240" t="s">
        <v>6182</v>
      </c>
      <c r="F752" s="240" t="s">
        <v>1391</v>
      </c>
      <c r="G752" s="493">
        <v>45972.0</v>
      </c>
      <c r="H752" s="493">
        <v>45974.0</v>
      </c>
      <c r="I752" s="189">
        <f>IFERROR(__xludf.DUMMYFUNCTION("IF(ISBLANK(H752), TODAY()-TO_DATE(G752), TO_DATE(H752)-TO_DATE(G752))+1"),3.0)</f>
        <v>3</v>
      </c>
      <c r="J752" s="240">
        <v>500.0</v>
      </c>
      <c r="K752" s="240" t="s">
        <v>7312</v>
      </c>
      <c r="L752" s="507"/>
      <c r="M752" s="63"/>
      <c r="N752" s="29"/>
      <c r="O752" s="29"/>
      <c r="P752" s="29"/>
      <c r="Q752" s="29"/>
      <c r="R752" s="29"/>
      <c r="S752" s="29"/>
      <c r="T752" s="29"/>
      <c r="U752" s="29"/>
      <c r="V752" s="29"/>
      <c r="W752" s="29"/>
      <c r="X752" s="29"/>
      <c r="Y752" s="29"/>
      <c r="Z752" s="29"/>
      <c r="AA752" s="29"/>
      <c r="AB752" s="29"/>
      <c r="AC752" s="29"/>
      <c r="AD752" s="29"/>
      <c r="AE752" s="29"/>
      <c r="AF752" s="29"/>
      <c r="AG752" s="29"/>
    </row>
    <row r="753">
      <c r="A753" s="240" t="s">
        <v>1032</v>
      </c>
      <c r="B753" s="240" t="s">
        <v>375</v>
      </c>
      <c r="C753" s="218" t="s">
        <v>7316</v>
      </c>
      <c r="D753" s="85" t="s">
        <v>60</v>
      </c>
      <c r="E753" s="241" t="s">
        <v>5250</v>
      </c>
      <c r="F753" s="240" t="s">
        <v>5251</v>
      </c>
      <c r="G753" s="493">
        <v>45972.0</v>
      </c>
      <c r="H753" s="493">
        <v>46003.0</v>
      </c>
      <c r="I753" s="189">
        <f>IFERROR(__xludf.DUMMYFUNCTION("IF(ISBLANK(H753), TODAY()-TO_DATE(G753), TO_DATE(H753)-TO_DATE(G753))+1"),32.0)</f>
        <v>32</v>
      </c>
      <c r="J753" s="240">
        <v>500.0</v>
      </c>
      <c r="K753" s="240" t="s">
        <v>7320</v>
      </c>
      <c r="L753" s="507"/>
      <c r="M753" s="63"/>
      <c r="N753" s="29"/>
      <c r="O753" s="29"/>
      <c r="P753" s="29"/>
      <c r="Q753" s="29"/>
      <c r="R753" s="29"/>
      <c r="S753" s="29"/>
      <c r="T753" s="29"/>
      <c r="U753" s="29"/>
      <c r="V753" s="29"/>
      <c r="W753" s="29"/>
      <c r="X753" s="29"/>
      <c r="Y753" s="29"/>
      <c r="Z753" s="29"/>
      <c r="AA753" s="29"/>
      <c r="AB753" s="29"/>
      <c r="AC753" s="29"/>
      <c r="AD753" s="29"/>
      <c r="AE753" s="29"/>
      <c r="AF753" s="29"/>
      <c r="AG753" s="29"/>
    </row>
    <row r="754">
      <c r="A754" s="240" t="s">
        <v>150</v>
      </c>
      <c r="B754" s="240" t="s">
        <v>375</v>
      </c>
      <c r="C754" s="218" t="s">
        <v>7324</v>
      </c>
      <c r="D754" s="85" t="s">
        <v>60</v>
      </c>
      <c r="E754" s="240" t="s">
        <v>2375</v>
      </c>
      <c r="F754" s="240" t="s">
        <v>2379</v>
      </c>
      <c r="G754" s="493">
        <v>45972.0</v>
      </c>
      <c r="H754" s="493">
        <v>45983.0</v>
      </c>
      <c r="I754" s="189">
        <f>IFERROR(__xludf.DUMMYFUNCTION("IF(ISBLANK(H754), TODAY()-TO_DATE(G754), TO_DATE(H754)-TO_DATE(G754))+1"),12.0)</f>
        <v>12</v>
      </c>
      <c r="J754" s="240">
        <v>500.0</v>
      </c>
      <c r="K754" s="240" t="s">
        <v>7327</v>
      </c>
      <c r="L754" s="321" t="s">
        <v>5938</v>
      </c>
      <c r="M754" s="63"/>
      <c r="N754" s="29"/>
      <c r="O754" s="29"/>
      <c r="P754" s="29"/>
      <c r="Q754" s="29"/>
      <c r="R754" s="29"/>
      <c r="S754" s="29"/>
      <c r="T754" s="29"/>
      <c r="U754" s="29"/>
      <c r="V754" s="29"/>
      <c r="W754" s="29"/>
      <c r="X754" s="29"/>
      <c r="Y754" s="29"/>
      <c r="Z754" s="29"/>
      <c r="AA754" s="29"/>
      <c r="AB754" s="29"/>
      <c r="AC754" s="29"/>
      <c r="AD754" s="29"/>
      <c r="AE754" s="29"/>
      <c r="AF754" s="29"/>
      <c r="AG754" s="29"/>
    </row>
    <row r="755">
      <c r="A755" s="240" t="s">
        <v>145</v>
      </c>
      <c r="B755" s="240" t="s">
        <v>375</v>
      </c>
      <c r="C755" s="83" t="s">
        <v>358</v>
      </c>
      <c r="D755" s="85" t="s">
        <v>60</v>
      </c>
      <c r="E755" s="241" t="s">
        <v>361</v>
      </c>
      <c r="F755" s="240" t="s">
        <v>365</v>
      </c>
      <c r="G755" s="493">
        <v>45973.0</v>
      </c>
      <c r="H755" s="493">
        <v>45977.0</v>
      </c>
      <c r="I755" s="189">
        <f>IFERROR(__xludf.DUMMYFUNCTION("IF(ISBLANK(H755), TODAY()-TO_DATE(G755), TO_DATE(H755)-TO_DATE(G755))+1"),5.0)</f>
        <v>5</v>
      </c>
      <c r="J755" s="240">
        <v>500.0</v>
      </c>
      <c r="K755" s="240" t="s">
        <v>7337</v>
      </c>
      <c r="L755" s="321" t="s">
        <v>7339</v>
      </c>
      <c r="M755" s="63"/>
      <c r="N755" s="29"/>
      <c r="O755" s="29"/>
      <c r="P755" s="29"/>
      <c r="Q755" s="29"/>
      <c r="R755" s="29"/>
      <c r="S755" s="29"/>
      <c r="T755" s="29"/>
      <c r="U755" s="29"/>
      <c r="V755" s="29"/>
      <c r="W755" s="29"/>
      <c r="X755" s="29"/>
      <c r="Y755" s="29"/>
      <c r="Z755" s="29"/>
      <c r="AA755" s="29"/>
      <c r="AB755" s="29"/>
      <c r="AC755" s="29"/>
      <c r="AD755" s="29"/>
      <c r="AE755" s="29"/>
      <c r="AF755" s="29"/>
      <c r="AG755" s="29"/>
    </row>
    <row r="756">
      <c r="A756" s="240" t="s">
        <v>1032</v>
      </c>
      <c r="B756" s="240" t="s">
        <v>375</v>
      </c>
      <c r="C756" s="218" t="s">
        <v>58</v>
      </c>
      <c r="D756" s="85" t="s">
        <v>60</v>
      </c>
      <c r="E756" s="241" t="s">
        <v>3283</v>
      </c>
      <c r="F756" s="240" t="s">
        <v>3285</v>
      </c>
      <c r="G756" s="493">
        <v>45973.0</v>
      </c>
      <c r="H756" s="493">
        <v>45996.0</v>
      </c>
      <c r="I756" s="189">
        <f>IFERROR(__xludf.DUMMYFUNCTION("IF(ISBLANK(H756), TODAY()-TO_DATE(G756), TO_DATE(H756)-TO_DATE(G756))+1"),24.0)</f>
        <v>24</v>
      </c>
      <c r="J756" s="240">
        <v>500.0</v>
      </c>
      <c r="K756" s="240" t="s">
        <v>2952</v>
      </c>
      <c r="L756" s="321" t="s">
        <v>6266</v>
      </c>
      <c r="M756" s="63"/>
      <c r="N756" s="29"/>
      <c r="O756" s="29"/>
      <c r="P756" s="29"/>
      <c r="Q756" s="29"/>
      <c r="R756" s="29"/>
      <c r="S756" s="29"/>
      <c r="T756" s="29"/>
      <c r="U756" s="29"/>
      <c r="V756" s="29"/>
      <c r="W756" s="29"/>
      <c r="X756" s="29"/>
      <c r="Y756" s="29"/>
      <c r="Z756" s="29"/>
      <c r="AA756" s="29"/>
      <c r="AB756" s="29"/>
      <c r="AC756" s="29"/>
      <c r="AD756" s="29"/>
      <c r="AE756" s="29"/>
      <c r="AF756" s="29"/>
      <c r="AG756" s="29"/>
    </row>
    <row r="757">
      <c r="A757" s="240" t="s">
        <v>1032</v>
      </c>
      <c r="B757" s="240" t="s">
        <v>375</v>
      </c>
      <c r="C757" s="218" t="s">
        <v>302</v>
      </c>
      <c r="D757" s="85" t="s">
        <v>60</v>
      </c>
      <c r="E757" s="240" t="s">
        <v>3624</v>
      </c>
      <c r="F757" s="240" t="s">
        <v>7349</v>
      </c>
      <c r="G757" s="493">
        <v>45973.0</v>
      </c>
      <c r="H757" s="493">
        <v>45977.0</v>
      </c>
      <c r="I757" s="189">
        <f>IFERROR(__xludf.DUMMYFUNCTION("IF(ISBLANK(H757), TODAY()-TO_DATE(G757), TO_DATE(H757)-TO_DATE(G757))+1"),5.0)</f>
        <v>5</v>
      </c>
      <c r="J757" s="240">
        <v>500.0</v>
      </c>
      <c r="K757" s="240" t="s">
        <v>7352</v>
      </c>
      <c r="L757" s="507"/>
      <c r="M757" s="63"/>
      <c r="N757" s="29"/>
      <c r="O757" s="29"/>
      <c r="P757" s="29"/>
      <c r="Q757" s="29"/>
      <c r="R757" s="29"/>
      <c r="S757" s="29"/>
      <c r="T757" s="29"/>
      <c r="U757" s="29"/>
      <c r="V757" s="29"/>
      <c r="W757" s="29"/>
      <c r="X757" s="29"/>
      <c r="Y757" s="29"/>
      <c r="Z757" s="29"/>
      <c r="AA757" s="29"/>
      <c r="AB757" s="29"/>
      <c r="AC757" s="29"/>
      <c r="AD757" s="29"/>
      <c r="AE757" s="29"/>
      <c r="AF757" s="29"/>
      <c r="AG757" s="29"/>
    </row>
    <row r="758">
      <c r="A758" s="240" t="s">
        <v>145</v>
      </c>
      <c r="B758" s="240" t="s">
        <v>375</v>
      </c>
      <c r="C758" s="218" t="s">
        <v>5231</v>
      </c>
      <c r="D758" s="85" t="s">
        <v>60</v>
      </c>
      <c r="E758" s="241" t="s">
        <v>5287</v>
      </c>
      <c r="F758" s="240" t="s">
        <v>3539</v>
      </c>
      <c r="G758" s="493">
        <v>45973.0</v>
      </c>
      <c r="H758" s="493">
        <v>45997.0</v>
      </c>
      <c r="I758" s="189">
        <f>IFERROR(__xludf.DUMMYFUNCTION("IF(ISBLANK(H758), TODAY()-TO_DATE(G758), TO_DATE(H758)-TO_DATE(G758))+1"),25.0)</f>
        <v>25</v>
      </c>
      <c r="J758" s="240">
        <v>500.0</v>
      </c>
      <c r="K758" s="240" t="s">
        <v>7359</v>
      </c>
      <c r="L758" s="321" t="s">
        <v>3388</v>
      </c>
      <c r="M758" s="63"/>
      <c r="N758" s="29"/>
      <c r="O758" s="29"/>
      <c r="P758" s="29"/>
      <c r="Q758" s="29"/>
      <c r="R758" s="29"/>
      <c r="S758" s="29"/>
      <c r="T758" s="29"/>
      <c r="U758" s="29"/>
      <c r="V758" s="29"/>
      <c r="W758" s="29"/>
      <c r="X758" s="29"/>
      <c r="Y758" s="29"/>
      <c r="Z758" s="29"/>
      <c r="AA758" s="29"/>
      <c r="AB758" s="29"/>
      <c r="AC758" s="29"/>
      <c r="AD758" s="29"/>
      <c r="AE758" s="29"/>
      <c r="AF758" s="29"/>
      <c r="AG758" s="29"/>
    </row>
    <row r="759">
      <c r="A759" s="240" t="s">
        <v>145</v>
      </c>
      <c r="B759" s="240" t="s">
        <v>375</v>
      </c>
      <c r="C759" s="83" t="s">
        <v>5439</v>
      </c>
      <c r="D759" s="85" t="s">
        <v>60</v>
      </c>
      <c r="E759" s="241" t="s">
        <v>7365</v>
      </c>
      <c r="F759" s="240" t="s">
        <v>7366</v>
      </c>
      <c r="G759" s="493">
        <v>45973.0</v>
      </c>
      <c r="H759" s="493">
        <v>45994.0</v>
      </c>
      <c r="I759" s="189">
        <f>IFERROR(__xludf.DUMMYFUNCTION("IF(ISBLANK(H759), TODAY()-TO_DATE(G759), TO_DATE(H759)-TO_DATE(G759))+1"),22.0)</f>
        <v>22</v>
      </c>
      <c r="J759" s="240">
        <v>500.0</v>
      </c>
      <c r="K759" s="240" t="s">
        <v>7371</v>
      </c>
      <c r="L759" s="507"/>
      <c r="M759" s="63"/>
      <c r="N759" s="29"/>
      <c r="O759" s="29"/>
      <c r="P759" s="29"/>
      <c r="Q759" s="29"/>
      <c r="R759" s="29"/>
      <c r="S759" s="29"/>
      <c r="T759" s="29"/>
      <c r="U759" s="29"/>
      <c r="V759" s="29"/>
      <c r="W759" s="29"/>
      <c r="X759" s="29"/>
      <c r="Y759" s="29"/>
      <c r="Z759" s="29"/>
      <c r="AA759" s="29"/>
      <c r="AB759" s="29"/>
      <c r="AC759" s="29"/>
      <c r="AD759" s="29"/>
      <c r="AE759" s="29"/>
      <c r="AF759" s="29"/>
      <c r="AG759" s="29"/>
    </row>
    <row r="760">
      <c r="A760" s="240" t="s">
        <v>6977</v>
      </c>
      <c r="B760" s="240" t="s">
        <v>375</v>
      </c>
      <c r="C760" s="218"/>
      <c r="D760" s="321" t="s">
        <v>326</v>
      </c>
      <c r="E760" s="241" t="s">
        <v>7374</v>
      </c>
      <c r="F760" s="240" t="s">
        <v>3539</v>
      </c>
      <c r="G760" s="493">
        <v>45973.0</v>
      </c>
      <c r="H760" s="493">
        <v>46115.0</v>
      </c>
      <c r="I760" s="189">
        <f>IFERROR(__xludf.DUMMYFUNCTION("IF(ISBLANK(H760), TODAY()-TO_DATE(G760), TO_DATE(H760)-TO_DATE(G760))+1"),143.0)</f>
        <v>143</v>
      </c>
      <c r="J760" s="240">
        <v>500.0</v>
      </c>
      <c r="K760" s="240" t="s">
        <v>7378</v>
      </c>
      <c r="L760" s="507"/>
      <c r="M760" s="63"/>
      <c r="N760" s="29"/>
      <c r="O760" s="29"/>
      <c r="P760" s="29"/>
      <c r="Q760" s="29"/>
      <c r="R760" s="29"/>
      <c r="S760" s="29"/>
      <c r="T760" s="29"/>
      <c r="U760" s="29"/>
      <c r="V760" s="29"/>
      <c r="W760" s="29"/>
      <c r="X760" s="29"/>
      <c r="Y760" s="29"/>
      <c r="Z760" s="29"/>
      <c r="AA760" s="29"/>
      <c r="AB760" s="29"/>
      <c r="AC760" s="29"/>
      <c r="AD760" s="29"/>
      <c r="AE760" s="29"/>
      <c r="AF760" s="29"/>
      <c r="AG760" s="29"/>
    </row>
    <row r="761">
      <c r="A761" s="240" t="s">
        <v>6977</v>
      </c>
      <c r="B761" s="240" t="s">
        <v>375</v>
      </c>
      <c r="C761" s="218"/>
      <c r="D761" s="85" t="s">
        <v>60</v>
      </c>
      <c r="E761" s="241" t="s">
        <v>4458</v>
      </c>
      <c r="F761" s="240" t="s">
        <v>4459</v>
      </c>
      <c r="G761" s="493">
        <v>45973.0</v>
      </c>
      <c r="H761" s="493">
        <v>46020.0</v>
      </c>
      <c r="I761" s="189">
        <f>IFERROR(__xludf.DUMMYFUNCTION("IF(ISBLANK(H761), TODAY()-TO_DATE(G761), TO_DATE(H761)-TO_DATE(G761))+1"),48.0)</f>
        <v>48</v>
      </c>
      <c r="J761" s="240">
        <v>500.0</v>
      </c>
      <c r="K761" s="240" t="s">
        <v>7384</v>
      </c>
      <c r="L761" s="321" t="s">
        <v>3194</v>
      </c>
      <c r="M761" s="63"/>
      <c r="N761" s="29"/>
      <c r="O761" s="29"/>
      <c r="P761" s="29"/>
      <c r="Q761" s="29"/>
      <c r="R761" s="29"/>
      <c r="S761" s="29"/>
      <c r="T761" s="29"/>
      <c r="U761" s="29"/>
      <c r="V761" s="29"/>
      <c r="W761" s="29"/>
      <c r="X761" s="29"/>
      <c r="Y761" s="29"/>
      <c r="Z761" s="29"/>
      <c r="AA761" s="29"/>
      <c r="AB761" s="29"/>
      <c r="AC761" s="29"/>
      <c r="AD761" s="29"/>
      <c r="AE761" s="29"/>
      <c r="AF761" s="29"/>
      <c r="AG761" s="29"/>
    </row>
    <row r="762">
      <c r="A762" s="240" t="s">
        <v>6977</v>
      </c>
      <c r="B762" s="240" t="s">
        <v>375</v>
      </c>
      <c r="C762" s="218"/>
      <c r="D762" s="321" t="s">
        <v>102</v>
      </c>
      <c r="E762" s="241" t="s">
        <v>4400</v>
      </c>
      <c r="F762" s="240" t="s">
        <v>294</v>
      </c>
      <c r="G762" s="493">
        <v>45973.0</v>
      </c>
      <c r="H762" s="493">
        <v>45994.0</v>
      </c>
      <c r="I762" s="189">
        <f>IFERROR(__xludf.DUMMYFUNCTION("IF(ISBLANK(H762), TODAY()-TO_DATE(G762), TO_DATE(H762)-TO_DATE(G762))+1"),22.0)</f>
        <v>22</v>
      </c>
      <c r="J762" s="240">
        <v>500.0</v>
      </c>
      <c r="K762" s="240" t="s">
        <v>7388</v>
      </c>
      <c r="L762" s="507"/>
      <c r="M762" s="63"/>
      <c r="N762" s="29"/>
      <c r="O762" s="29"/>
      <c r="P762" s="29"/>
      <c r="Q762" s="29"/>
      <c r="R762" s="29"/>
      <c r="S762" s="29"/>
      <c r="T762" s="29"/>
      <c r="U762" s="29"/>
      <c r="V762" s="29"/>
      <c r="W762" s="29"/>
      <c r="X762" s="29"/>
      <c r="Y762" s="29"/>
      <c r="Z762" s="29"/>
      <c r="AA762" s="29"/>
      <c r="AB762" s="29"/>
      <c r="AC762" s="29"/>
      <c r="AD762" s="29"/>
      <c r="AE762" s="29"/>
      <c r="AF762" s="29"/>
      <c r="AG762" s="29"/>
    </row>
    <row r="763">
      <c r="A763" s="240" t="s">
        <v>6977</v>
      </c>
      <c r="B763" s="240" t="s">
        <v>375</v>
      </c>
      <c r="C763" s="218"/>
      <c r="D763" s="321" t="s">
        <v>360</v>
      </c>
      <c r="E763" s="241" t="s">
        <v>4413</v>
      </c>
      <c r="F763" s="240" t="s">
        <v>4414</v>
      </c>
      <c r="G763" s="493">
        <v>45973.0</v>
      </c>
      <c r="H763" s="493">
        <v>46017.0</v>
      </c>
      <c r="I763" s="189">
        <f>IFERROR(__xludf.DUMMYFUNCTION("IF(ISBLANK(H763), TODAY()-TO_DATE(G763), TO_DATE(H763)-TO_DATE(G763))+1"),45.0)</f>
        <v>45</v>
      </c>
      <c r="J763" s="240">
        <v>500.0</v>
      </c>
      <c r="K763" s="240" t="s">
        <v>7393</v>
      </c>
      <c r="L763" s="321" t="s">
        <v>6266</v>
      </c>
      <c r="M763" s="63"/>
      <c r="N763" s="29"/>
      <c r="O763" s="29"/>
      <c r="P763" s="29"/>
      <c r="Q763" s="29"/>
      <c r="R763" s="29"/>
      <c r="S763" s="29"/>
      <c r="T763" s="29"/>
      <c r="U763" s="29"/>
      <c r="V763" s="29"/>
      <c r="W763" s="29"/>
      <c r="X763" s="29"/>
      <c r="Y763" s="29"/>
      <c r="Z763" s="29"/>
      <c r="AA763" s="29"/>
      <c r="AB763" s="29"/>
      <c r="AC763" s="29"/>
      <c r="AD763" s="29"/>
      <c r="AE763" s="29"/>
      <c r="AF763" s="29"/>
      <c r="AG763" s="29"/>
    </row>
    <row r="764">
      <c r="A764" s="240" t="s">
        <v>6977</v>
      </c>
      <c r="B764" s="240" t="s">
        <v>375</v>
      </c>
      <c r="C764" s="218"/>
      <c r="D764" s="321" t="s">
        <v>326</v>
      </c>
      <c r="E764" s="241" t="s">
        <v>7397</v>
      </c>
      <c r="F764" s="240" t="s">
        <v>1920</v>
      </c>
      <c r="G764" s="493">
        <v>45973.0</v>
      </c>
      <c r="H764" s="493">
        <v>46115.0</v>
      </c>
      <c r="I764" s="189">
        <f>IFERROR(__xludf.DUMMYFUNCTION("IF(ISBLANK(H764), TODAY()-TO_DATE(G764), TO_DATE(H764)-TO_DATE(G764))+1"),143.0)</f>
        <v>143</v>
      </c>
      <c r="J764" s="240">
        <v>500.0</v>
      </c>
      <c r="K764" s="240" t="s">
        <v>7400</v>
      </c>
      <c r="L764" s="321" t="s">
        <v>7401</v>
      </c>
      <c r="M764" s="63"/>
      <c r="N764" s="29"/>
      <c r="O764" s="29"/>
      <c r="P764" s="29"/>
      <c r="Q764" s="29"/>
      <c r="R764" s="29"/>
      <c r="S764" s="29"/>
      <c r="T764" s="29"/>
      <c r="U764" s="29"/>
      <c r="V764" s="29"/>
      <c r="W764" s="29"/>
      <c r="X764" s="29"/>
      <c r="Y764" s="29"/>
      <c r="Z764" s="29"/>
      <c r="AA764" s="29"/>
      <c r="AB764" s="29"/>
      <c r="AC764" s="29"/>
      <c r="AD764" s="29"/>
      <c r="AE764" s="29"/>
      <c r="AF764" s="29"/>
      <c r="AG764" s="29"/>
    </row>
    <row r="765">
      <c r="A765" s="240" t="s">
        <v>6977</v>
      </c>
      <c r="B765" s="240" t="s">
        <v>375</v>
      </c>
      <c r="C765" s="218"/>
      <c r="D765" s="85" t="s">
        <v>60</v>
      </c>
      <c r="E765" s="241" t="s">
        <v>7405</v>
      </c>
      <c r="F765" s="240" t="s">
        <v>7406</v>
      </c>
      <c r="G765" s="493">
        <v>45973.0</v>
      </c>
      <c r="H765" s="493">
        <v>46001.0</v>
      </c>
      <c r="I765" s="189">
        <f>IFERROR(__xludf.DUMMYFUNCTION("IF(ISBLANK(H765), TODAY()-TO_DATE(G765), TO_DATE(H765)-TO_DATE(G765))+1"),29.0)</f>
        <v>29</v>
      </c>
      <c r="J765" s="240" t="s">
        <v>197</v>
      </c>
      <c r="K765" s="240" t="s">
        <v>7409</v>
      </c>
      <c r="L765" s="507"/>
      <c r="M765" s="63"/>
      <c r="N765" s="29"/>
      <c r="O765" s="29"/>
      <c r="P765" s="29"/>
      <c r="Q765" s="29"/>
      <c r="R765" s="29"/>
      <c r="S765" s="29"/>
      <c r="T765" s="29"/>
      <c r="U765" s="29"/>
      <c r="V765" s="29"/>
      <c r="W765" s="29"/>
      <c r="X765" s="29"/>
      <c r="Y765" s="29"/>
      <c r="Z765" s="29"/>
      <c r="AA765" s="29"/>
      <c r="AB765" s="29"/>
      <c r="AC765" s="29"/>
      <c r="AD765" s="29"/>
      <c r="AE765" s="29"/>
      <c r="AF765" s="29"/>
      <c r="AG765" s="29"/>
    </row>
    <row r="766">
      <c r="A766" s="240" t="s">
        <v>1923</v>
      </c>
      <c r="B766" s="240" t="s">
        <v>3781</v>
      </c>
      <c r="C766" s="83" t="s">
        <v>1924</v>
      </c>
      <c r="D766" s="687" t="s">
        <v>102</v>
      </c>
      <c r="E766" s="240" t="s">
        <v>176</v>
      </c>
      <c r="F766" s="240" t="s">
        <v>177</v>
      </c>
      <c r="G766" s="493">
        <v>45973.0</v>
      </c>
      <c r="H766" s="493">
        <v>45992.0</v>
      </c>
      <c r="I766" s="189">
        <f>IFERROR(__xludf.DUMMYFUNCTION("IF(ISBLANK(H766), TODAY()-TO_DATE(G766), TO_DATE(H766)-TO_DATE(G766))+1"),20.0)</f>
        <v>20</v>
      </c>
      <c r="J766" s="240" t="s">
        <v>197</v>
      </c>
      <c r="K766" s="240" t="s">
        <v>7416</v>
      </c>
      <c r="L766" s="321" t="s">
        <v>1949</v>
      </c>
      <c r="M766" s="240" t="s">
        <v>7419</v>
      </c>
      <c r="N766" s="29"/>
      <c r="O766" s="29"/>
      <c r="P766" s="29"/>
      <c r="Q766" s="29"/>
      <c r="R766" s="29"/>
      <c r="S766" s="29"/>
      <c r="T766" s="29"/>
      <c r="U766" s="29"/>
      <c r="V766" s="29"/>
      <c r="W766" s="29"/>
      <c r="X766" s="29"/>
      <c r="Y766" s="29"/>
      <c r="Z766" s="29"/>
      <c r="AA766" s="29"/>
      <c r="AB766" s="29"/>
      <c r="AC766" s="29"/>
      <c r="AD766" s="29"/>
      <c r="AE766" s="29"/>
      <c r="AF766" s="29"/>
      <c r="AG766" s="29"/>
    </row>
    <row r="767">
      <c r="A767" s="240" t="s">
        <v>1923</v>
      </c>
      <c r="B767" s="240" t="s">
        <v>3781</v>
      </c>
      <c r="C767" s="83" t="s">
        <v>201</v>
      </c>
      <c r="D767" s="85" t="s">
        <v>60</v>
      </c>
      <c r="E767" s="240" t="s">
        <v>2245</v>
      </c>
      <c r="F767" s="240" t="s">
        <v>2246</v>
      </c>
      <c r="G767" s="493">
        <v>45973.0</v>
      </c>
      <c r="H767" s="493">
        <v>45992.0</v>
      </c>
      <c r="I767" s="189">
        <f>IFERROR(__xludf.DUMMYFUNCTION("IF(ISBLANK(H767), TODAY()-TO_DATE(G767), TO_DATE(H767)-TO_DATE(G767))+1"),20.0)</f>
        <v>20</v>
      </c>
      <c r="J767" s="240" t="s">
        <v>197</v>
      </c>
      <c r="K767" s="240" t="s">
        <v>2249</v>
      </c>
      <c r="L767" s="321" t="s">
        <v>7421</v>
      </c>
      <c r="M767" s="240" t="s">
        <v>7422</v>
      </c>
      <c r="N767" s="29"/>
      <c r="O767" s="29"/>
      <c r="P767" s="29"/>
      <c r="Q767" s="29"/>
      <c r="R767" s="29"/>
      <c r="S767" s="29"/>
      <c r="T767" s="29"/>
      <c r="U767" s="29"/>
      <c r="V767" s="29"/>
      <c r="W767" s="29"/>
      <c r="X767" s="29"/>
      <c r="Y767" s="29"/>
      <c r="Z767" s="29"/>
      <c r="AA767" s="29"/>
      <c r="AB767" s="29"/>
      <c r="AC767" s="29"/>
      <c r="AD767" s="29"/>
      <c r="AE767" s="29"/>
      <c r="AF767" s="29"/>
      <c r="AG767" s="29"/>
    </row>
    <row r="768">
      <c r="A768" s="240" t="s">
        <v>1923</v>
      </c>
      <c r="B768" s="240" t="s">
        <v>3781</v>
      </c>
      <c r="C768" s="83" t="s">
        <v>331</v>
      </c>
      <c r="D768" s="85" t="s">
        <v>60</v>
      </c>
      <c r="E768" s="240" t="s">
        <v>2872</v>
      </c>
      <c r="F768" s="240" t="s">
        <v>7425</v>
      </c>
      <c r="G768" s="493">
        <v>45973.0</v>
      </c>
      <c r="H768" s="493">
        <v>45992.0</v>
      </c>
      <c r="I768" s="189">
        <f>IFERROR(__xludf.DUMMYFUNCTION("IF(ISBLANK(H768), TODAY()-TO_DATE(G768), TO_DATE(H768)-TO_DATE(G768))+1"),20.0)</f>
        <v>20</v>
      </c>
      <c r="J768" s="240" t="s">
        <v>197</v>
      </c>
      <c r="K768" s="240" t="s">
        <v>1947</v>
      </c>
      <c r="L768" s="321" t="s">
        <v>5916</v>
      </c>
      <c r="M768" s="240" t="s">
        <v>6504</v>
      </c>
      <c r="N768" s="29"/>
      <c r="O768" s="29"/>
      <c r="P768" s="29"/>
      <c r="Q768" s="29"/>
      <c r="R768" s="29"/>
      <c r="S768" s="29"/>
      <c r="T768" s="29"/>
      <c r="U768" s="29"/>
      <c r="V768" s="29"/>
      <c r="W768" s="29"/>
      <c r="X768" s="29"/>
      <c r="Y768" s="29"/>
      <c r="Z768" s="29"/>
      <c r="AA768" s="29"/>
      <c r="AB768" s="29"/>
      <c r="AC768" s="29"/>
      <c r="AD768" s="29"/>
      <c r="AE768" s="29"/>
      <c r="AF768" s="29"/>
      <c r="AG768" s="29"/>
    </row>
    <row r="769">
      <c r="A769" s="240" t="s">
        <v>1923</v>
      </c>
      <c r="B769" s="240" t="s">
        <v>3781</v>
      </c>
      <c r="C769" s="83" t="s">
        <v>1466</v>
      </c>
      <c r="D769" s="85" t="s">
        <v>60</v>
      </c>
      <c r="E769" s="240" t="s">
        <v>2856</v>
      </c>
      <c r="F769" s="240" t="s">
        <v>7432</v>
      </c>
      <c r="G769" s="493">
        <v>45973.0</v>
      </c>
      <c r="H769" s="493">
        <v>45992.0</v>
      </c>
      <c r="I769" s="189">
        <f>IFERROR(__xludf.DUMMYFUNCTION("IF(ISBLANK(H769), TODAY()-TO_DATE(G769), TO_DATE(H769)-TO_DATE(G769))+1"),20.0)</f>
        <v>20</v>
      </c>
      <c r="J769" s="240" t="s">
        <v>197</v>
      </c>
      <c r="K769" s="240" t="s">
        <v>3557</v>
      </c>
      <c r="L769" s="507"/>
      <c r="M769" s="63"/>
      <c r="N769" s="29"/>
      <c r="O769" s="29"/>
      <c r="P769" s="29"/>
      <c r="Q769" s="29"/>
      <c r="R769" s="29"/>
      <c r="S769" s="29"/>
      <c r="T769" s="29"/>
      <c r="U769" s="29"/>
      <c r="V769" s="29"/>
      <c r="W769" s="29"/>
      <c r="X769" s="29"/>
      <c r="Y769" s="29"/>
      <c r="Z769" s="29"/>
      <c r="AA769" s="29"/>
      <c r="AB769" s="29"/>
      <c r="AC769" s="29"/>
      <c r="AD769" s="29"/>
      <c r="AE769" s="29"/>
      <c r="AF769" s="29"/>
      <c r="AG769" s="29"/>
    </row>
    <row r="770">
      <c r="A770" s="240" t="s">
        <v>1313</v>
      </c>
      <c r="B770" s="240" t="s">
        <v>375</v>
      </c>
      <c r="C770" s="218" t="s">
        <v>4796</v>
      </c>
      <c r="D770" s="321" t="s">
        <v>4800</v>
      </c>
      <c r="E770" s="325" t="s">
        <v>4801</v>
      </c>
      <c r="F770" s="325" t="s">
        <v>4802</v>
      </c>
      <c r="G770" s="493">
        <v>45975.0</v>
      </c>
      <c r="H770" s="493">
        <v>45977.0</v>
      </c>
      <c r="I770" s="189">
        <f>IFERROR(__xludf.DUMMYFUNCTION("IF(ISBLANK(H770), TODAY()-TO_DATE(G770), TO_DATE(H770)-TO_DATE(G770))+1"),3.0)</f>
        <v>3</v>
      </c>
      <c r="J770" s="240">
        <v>500.0</v>
      </c>
      <c r="K770" s="40" t="s">
        <v>7440</v>
      </c>
      <c r="L770" s="321" t="s">
        <v>3450</v>
      </c>
      <c r="M770" s="240" t="s">
        <v>7441</v>
      </c>
      <c r="N770" s="29"/>
      <c r="O770" s="29"/>
      <c r="P770" s="29"/>
      <c r="Q770" s="29"/>
      <c r="R770" s="29"/>
      <c r="S770" s="29"/>
      <c r="T770" s="29"/>
      <c r="U770" s="29"/>
      <c r="V770" s="29"/>
      <c r="W770" s="29"/>
      <c r="X770" s="29"/>
      <c r="Y770" s="29"/>
      <c r="Z770" s="29"/>
      <c r="AA770" s="29"/>
      <c r="AB770" s="29"/>
      <c r="AC770" s="29"/>
      <c r="AD770" s="29"/>
      <c r="AE770" s="29"/>
      <c r="AF770" s="29"/>
      <c r="AG770" s="29"/>
    </row>
    <row r="771">
      <c r="A771" s="240" t="s">
        <v>1313</v>
      </c>
      <c r="B771" s="240" t="s">
        <v>375</v>
      </c>
      <c r="C771" s="218" t="s">
        <v>4879</v>
      </c>
      <c r="D771" s="85" t="s">
        <v>60</v>
      </c>
      <c r="E771" s="325" t="s">
        <v>4883</v>
      </c>
      <c r="F771" s="325" t="s">
        <v>634</v>
      </c>
      <c r="G771" s="493">
        <v>45975.0</v>
      </c>
      <c r="H771" s="493">
        <v>45981.0</v>
      </c>
      <c r="I771" s="189">
        <f>IFERROR(__xludf.DUMMYFUNCTION("IF(ISBLANK(H771), TODAY()-TO_DATE(G771), TO_DATE(H771)-TO_DATE(G771))+1"),7.0)</f>
        <v>7</v>
      </c>
      <c r="J771" s="240">
        <v>300.0</v>
      </c>
      <c r="K771" s="40" t="s">
        <v>7446</v>
      </c>
      <c r="L771" s="321" t="s">
        <v>7078</v>
      </c>
      <c r="M771" s="240"/>
      <c r="N771" s="29"/>
      <c r="O771" s="29"/>
      <c r="P771" s="29"/>
      <c r="Q771" s="29"/>
      <c r="R771" s="29"/>
      <c r="S771" s="29"/>
      <c r="T771" s="29"/>
      <c r="U771" s="29"/>
      <c r="V771" s="29"/>
      <c r="W771" s="29"/>
      <c r="X771" s="29"/>
      <c r="Y771" s="29"/>
      <c r="Z771" s="29"/>
      <c r="AA771" s="29"/>
      <c r="AB771" s="29"/>
      <c r="AC771" s="29"/>
      <c r="AD771" s="29"/>
      <c r="AE771" s="29"/>
      <c r="AF771" s="29"/>
      <c r="AG771" s="29"/>
    </row>
    <row r="772">
      <c r="A772" s="240" t="s">
        <v>1313</v>
      </c>
      <c r="B772" s="240" t="s">
        <v>375</v>
      </c>
      <c r="C772" s="218" t="s">
        <v>7449</v>
      </c>
      <c r="D772" s="85" t="s">
        <v>60</v>
      </c>
      <c r="E772" s="325" t="s">
        <v>7451</v>
      </c>
      <c r="F772" s="325" t="s">
        <v>7452</v>
      </c>
      <c r="G772" s="493">
        <v>45975.0</v>
      </c>
      <c r="H772" s="493">
        <v>45978.0</v>
      </c>
      <c r="I772" s="189">
        <f>IFERROR(__xludf.DUMMYFUNCTION("IF(ISBLANK(H772), TODAY()-TO_DATE(G772), TO_DATE(H772)-TO_DATE(G772))+1"),4.0)</f>
        <v>4</v>
      </c>
      <c r="J772" s="240" t="s">
        <v>197</v>
      </c>
      <c r="K772" s="40" t="s">
        <v>7458</v>
      </c>
      <c r="L772" s="507"/>
      <c r="M772" s="240" t="s">
        <v>7460</v>
      </c>
      <c r="N772" s="29"/>
      <c r="O772" s="29"/>
      <c r="P772" s="29"/>
      <c r="Q772" s="29"/>
      <c r="R772" s="29"/>
      <c r="S772" s="29"/>
      <c r="T772" s="29"/>
      <c r="U772" s="29"/>
      <c r="V772" s="29"/>
      <c r="W772" s="29"/>
      <c r="X772" s="29"/>
      <c r="Y772" s="29"/>
      <c r="Z772" s="29"/>
      <c r="AA772" s="29"/>
      <c r="AB772" s="29"/>
      <c r="AC772" s="29"/>
      <c r="AD772" s="29"/>
      <c r="AE772" s="29"/>
      <c r="AF772" s="29"/>
      <c r="AG772" s="29"/>
    </row>
    <row r="773">
      <c r="A773" s="240" t="s">
        <v>1313</v>
      </c>
      <c r="B773" s="240" t="s">
        <v>375</v>
      </c>
      <c r="C773" s="218" t="s">
        <v>7462</v>
      </c>
      <c r="D773" s="85" t="s">
        <v>60</v>
      </c>
      <c r="E773" s="325" t="s">
        <v>7464</v>
      </c>
      <c r="F773" s="325" t="s">
        <v>3183</v>
      </c>
      <c r="G773" s="493">
        <v>45975.0</v>
      </c>
      <c r="H773" s="493">
        <v>46116.0</v>
      </c>
      <c r="I773" s="189">
        <f>IFERROR(__xludf.DUMMYFUNCTION("IF(ISBLANK(H773), TODAY()-TO_DATE(G773), TO_DATE(H773)-TO_DATE(G773))+1"),142.0)</f>
        <v>142</v>
      </c>
      <c r="J773" s="240">
        <v>500.0</v>
      </c>
      <c r="K773" s="40" t="s">
        <v>7466</v>
      </c>
      <c r="L773" s="321" t="s">
        <v>7467</v>
      </c>
      <c r="M773" s="63"/>
      <c r="N773" s="29"/>
      <c r="O773" s="29"/>
      <c r="P773" s="29"/>
      <c r="Q773" s="29"/>
      <c r="R773" s="29"/>
      <c r="S773" s="29"/>
      <c r="T773" s="29"/>
      <c r="U773" s="29"/>
      <c r="V773" s="29"/>
      <c r="W773" s="29"/>
      <c r="X773" s="29"/>
      <c r="Y773" s="29"/>
      <c r="Z773" s="29"/>
      <c r="AA773" s="29"/>
      <c r="AB773" s="29"/>
      <c r="AC773" s="29"/>
      <c r="AD773" s="29"/>
      <c r="AE773" s="29"/>
      <c r="AF773" s="29"/>
      <c r="AG773" s="29"/>
    </row>
    <row r="774">
      <c r="A774" s="240" t="s">
        <v>1313</v>
      </c>
      <c r="B774" s="240" t="s">
        <v>375</v>
      </c>
      <c r="C774" s="218" t="s">
        <v>7469</v>
      </c>
      <c r="D774" s="321" t="s">
        <v>4800</v>
      </c>
      <c r="E774" s="325" t="s">
        <v>7471</v>
      </c>
      <c r="F774" s="325" t="s">
        <v>7472</v>
      </c>
      <c r="G774" s="493">
        <v>45975.0</v>
      </c>
      <c r="H774" s="493">
        <v>46116.0</v>
      </c>
      <c r="I774" s="189">
        <f>IFERROR(__xludf.DUMMYFUNCTION("IF(ISBLANK(H774), TODAY()-TO_DATE(G774), TO_DATE(H774)-TO_DATE(G774))+1"),142.0)</f>
        <v>142</v>
      </c>
      <c r="J774" s="240">
        <v>500.0</v>
      </c>
      <c r="K774" s="40" t="s">
        <v>7474</v>
      </c>
      <c r="L774" s="321"/>
      <c r="M774" s="63"/>
      <c r="N774" s="29"/>
      <c r="O774" s="29"/>
      <c r="P774" s="29"/>
      <c r="Q774" s="29"/>
      <c r="R774" s="29"/>
      <c r="S774" s="29"/>
      <c r="T774" s="29"/>
      <c r="U774" s="29"/>
      <c r="V774" s="29"/>
      <c r="W774" s="29"/>
      <c r="X774" s="29"/>
      <c r="Y774" s="29"/>
      <c r="Z774" s="29"/>
      <c r="AA774" s="29"/>
      <c r="AB774" s="29"/>
      <c r="AC774" s="29"/>
      <c r="AD774" s="29"/>
      <c r="AE774" s="29"/>
      <c r="AF774" s="29"/>
      <c r="AG774" s="29"/>
    </row>
    <row r="775">
      <c r="A775" s="240" t="s">
        <v>1313</v>
      </c>
      <c r="B775" s="240" t="s">
        <v>375</v>
      </c>
      <c r="C775" s="218" t="s">
        <v>7478</v>
      </c>
      <c r="D775" s="321" t="s">
        <v>4800</v>
      </c>
      <c r="E775" s="325" t="s">
        <v>7481</v>
      </c>
      <c r="F775" s="325" t="s">
        <v>7483</v>
      </c>
      <c r="G775" s="493">
        <v>45975.0</v>
      </c>
      <c r="H775" s="493">
        <v>45978.0</v>
      </c>
      <c r="I775" s="189">
        <f>IFERROR(__xludf.DUMMYFUNCTION("IF(ISBLANK(H775), TODAY()-TO_DATE(G775), TO_DATE(H775)-TO_DATE(G775))+1"),4.0)</f>
        <v>4</v>
      </c>
      <c r="J775" s="240" t="s">
        <v>197</v>
      </c>
      <c r="K775" s="40" t="s">
        <v>7486</v>
      </c>
      <c r="L775" s="321"/>
      <c r="M775" s="240" t="s">
        <v>7460</v>
      </c>
      <c r="N775" s="29"/>
      <c r="O775" s="29"/>
      <c r="P775" s="29"/>
      <c r="Q775" s="29"/>
      <c r="R775" s="29"/>
      <c r="S775" s="29"/>
      <c r="T775" s="29"/>
      <c r="U775" s="29"/>
      <c r="V775" s="29"/>
      <c r="W775" s="29"/>
      <c r="X775" s="29"/>
      <c r="Y775" s="29"/>
      <c r="Z775" s="29"/>
      <c r="AA775" s="29"/>
      <c r="AB775" s="29"/>
      <c r="AC775" s="29"/>
      <c r="AD775" s="29"/>
      <c r="AE775" s="29"/>
      <c r="AF775" s="29"/>
      <c r="AG775" s="29"/>
    </row>
    <row r="776">
      <c r="A776" s="240" t="s">
        <v>1313</v>
      </c>
      <c r="B776" s="240" t="s">
        <v>375</v>
      </c>
      <c r="C776" s="128"/>
      <c r="D776" s="85" t="s">
        <v>60</v>
      </c>
      <c r="E776" s="325" t="s">
        <v>7493</v>
      </c>
      <c r="F776" s="325" t="s">
        <v>4788</v>
      </c>
      <c r="G776" s="493">
        <v>45975.0</v>
      </c>
      <c r="H776" s="493">
        <v>45978.0</v>
      </c>
      <c r="I776" s="189">
        <f>IFERROR(__xludf.DUMMYFUNCTION("IF(ISBLANK(H776), TODAY()-TO_DATE(G776), TO_DATE(H776)-TO_DATE(G776))+1"),4.0)</f>
        <v>4</v>
      </c>
      <c r="J776" s="240">
        <v>500.0</v>
      </c>
      <c r="K776" s="240" t="s">
        <v>7495</v>
      </c>
      <c r="L776" s="321" t="s">
        <v>7496</v>
      </c>
      <c r="M776" s="63" t="s">
        <v>7213</v>
      </c>
      <c r="N776" s="29"/>
      <c r="O776" s="29"/>
      <c r="P776" s="29"/>
      <c r="Q776" s="29"/>
      <c r="R776" s="29"/>
      <c r="S776" s="29"/>
      <c r="T776" s="29"/>
      <c r="U776" s="29"/>
      <c r="V776" s="29"/>
      <c r="W776" s="29"/>
      <c r="X776" s="29"/>
      <c r="Y776" s="29"/>
      <c r="Z776" s="29"/>
      <c r="AA776" s="29"/>
      <c r="AB776" s="29"/>
      <c r="AC776" s="29"/>
      <c r="AD776" s="29"/>
      <c r="AE776" s="29"/>
      <c r="AF776" s="29"/>
      <c r="AG776" s="29"/>
    </row>
    <row r="777">
      <c r="A777" s="240" t="s">
        <v>1313</v>
      </c>
      <c r="B777" s="240" t="s">
        <v>375</v>
      </c>
      <c r="C777" s="128"/>
      <c r="D777" s="321" t="s">
        <v>4800</v>
      </c>
      <c r="E777" s="325" t="s">
        <v>4814</v>
      </c>
      <c r="F777" s="325" t="s">
        <v>1350</v>
      </c>
      <c r="G777" s="493">
        <v>45975.0</v>
      </c>
      <c r="H777" s="493">
        <v>45978.0</v>
      </c>
      <c r="I777" s="189">
        <f>IFERROR(__xludf.DUMMYFUNCTION("IF(ISBLANK(H777), TODAY()-TO_DATE(G777), TO_DATE(H777)-TO_DATE(G777))+1"),4.0)</f>
        <v>4</v>
      </c>
      <c r="J777" s="240">
        <v>500.0</v>
      </c>
      <c r="K777" s="240" t="s">
        <v>7508</v>
      </c>
      <c r="L777" s="321" t="s">
        <v>6111</v>
      </c>
      <c r="M777" s="63" t="s">
        <v>7213</v>
      </c>
      <c r="N777" s="29"/>
      <c r="O777" s="29"/>
      <c r="P777" s="29"/>
      <c r="Q777" s="29"/>
      <c r="R777" s="29"/>
      <c r="S777" s="29"/>
      <c r="T777" s="29"/>
      <c r="U777" s="29"/>
      <c r="V777" s="29"/>
      <c r="W777" s="29"/>
      <c r="X777" s="29"/>
      <c r="Y777" s="29"/>
      <c r="Z777" s="29"/>
      <c r="AA777" s="29"/>
      <c r="AB777" s="29"/>
      <c r="AC777" s="29"/>
      <c r="AD777" s="29"/>
      <c r="AE777" s="29"/>
      <c r="AF777" s="29"/>
      <c r="AG777" s="29"/>
    </row>
    <row r="778">
      <c r="A778" s="240" t="s">
        <v>1313</v>
      </c>
      <c r="B778" s="240" t="s">
        <v>375</v>
      </c>
      <c r="C778" s="128"/>
      <c r="D778" s="687" t="s">
        <v>60</v>
      </c>
      <c r="E778" s="325" t="s">
        <v>4890</v>
      </c>
      <c r="F778" s="325" t="s">
        <v>4892</v>
      </c>
      <c r="G778" s="493">
        <v>45975.0</v>
      </c>
      <c r="H778" s="493">
        <v>45981.0</v>
      </c>
      <c r="I778" s="189">
        <f>IFERROR(__xludf.DUMMYFUNCTION("IF(ISBLANK(H778), TODAY()-TO_DATE(G778), TO_DATE(H778)-TO_DATE(G778))+1"),7.0)</f>
        <v>7</v>
      </c>
      <c r="J778" s="240">
        <v>300.0</v>
      </c>
      <c r="K778" s="240" t="s">
        <v>7512</v>
      </c>
      <c r="L778" s="321" t="s">
        <v>7514</v>
      </c>
      <c r="M778" s="63" t="s">
        <v>7213</v>
      </c>
      <c r="N778" s="29"/>
      <c r="O778" s="29"/>
      <c r="P778" s="29"/>
      <c r="Q778" s="29"/>
      <c r="R778" s="29"/>
      <c r="S778" s="29"/>
      <c r="T778" s="29"/>
      <c r="U778" s="29"/>
      <c r="V778" s="29"/>
      <c r="W778" s="29"/>
      <c r="X778" s="29"/>
      <c r="Y778" s="29"/>
      <c r="Z778" s="29"/>
      <c r="AA778" s="29"/>
      <c r="AB778" s="29"/>
      <c r="AC778" s="29"/>
      <c r="AD778" s="29"/>
      <c r="AE778" s="29"/>
      <c r="AF778" s="29"/>
      <c r="AG778" s="29"/>
    </row>
    <row r="779">
      <c r="A779" s="240" t="s">
        <v>1313</v>
      </c>
      <c r="B779" s="240" t="s">
        <v>375</v>
      </c>
      <c r="C779" s="128"/>
      <c r="D779" s="321" t="s">
        <v>60</v>
      </c>
      <c r="E779" s="325" t="s">
        <v>4826</v>
      </c>
      <c r="F779" s="325" t="s">
        <v>129</v>
      </c>
      <c r="G779" s="493">
        <v>45975.0</v>
      </c>
      <c r="H779" s="493">
        <v>45978.0</v>
      </c>
      <c r="I779" s="189">
        <f>IFERROR(__xludf.DUMMYFUNCTION("IF(ISBLANK(H779), TODAY()-TO_DATE(G779), TO_DATE(H779)-TO_DATE(G779))+1"),4.0)</f>
        <v>4</v>
      </c>
      <c r="J779" s="240">
        <v>500.0</v>
      </c>
      <c r="K779" s="240" t="s">
        <v>7523</v>
      </c>
      <c r="L779" s="321"/>
      <c r="M779" s="63"/>
      <c r="N779" s="29"/>
      <c r="O779" s="29"/>
      <c r="P779" s="29"/>
      <c r="Q779" s="29"/>
      <c r="R779" s="29"/>
      <c r="S779" s="29"/>
      <c r="T779" s="29"/>
      <c r="U779" s="29"/>
      <c r="V779" s="29"/>
      <c r="W779" s="29"/>
      <c r="X779" s="29"/>
      <c r="Y779" s="29"/>
      <c r="Z779" s="29"/>
      <c r="AA779" s="29"/>
      <c r="AB779" s="29"/>
      <c r="AC779" s="29"/>
      <c r="AD779" s="29"/>
      <c r="AE779" s="29"/>
      <c r="AF779" s="29"/>
      <c r="AG779" s="29"/>
    </row>
    <row r="780">
      <c r="A780" s="240" t="s">
        <v>6977</v>
      </c>
      <c r="B780" s="240" t="s">
        <v>375</v>
      </c>
      <c r="C780" s="128"/>
      <c r="D780" s="321" t="s">
        <v>60</v>
      </c>
      <c r="E780" s="325" t="s">
        <v>4380</v>
      </c>
      <c r="F780" s="325" t="s">
        <v>4381</v>
      </c>
      <c r="G780" s="493">
        <v>45975.0</v>
      </c>
      <c r="H780" s="493">
        <v>46007.0</v>
      </c>
      <c r="I780" s="189">
        <f>IFERROR(__xludf.DUMMYFUNCTION("IF(ISBLANK(H780), TODAY()-TO_DATE(G780), TO_DATE(H780)-TO_DATE(G780))+1"),33.0)</f>
        <v>33</v>
      </c>
      <c r="J780" s="240">
        <v>500.0</v>
      </c>
      <c r="K780" s="240" t="s">
        <v>7530</v>
      </c>
      <c r="L780" s="321"/>
      <c r="M780" s="63"/>
      <c r="N780" s="29"/>
      <c r="O780" s="29"/>
      <c r="P780" s="29"/>
      <c r="Q780" s="29"/>
      <c r="R780" s="29"/>
      <c r="S780" s="29"/>
      <c r="T780" s="29"/>
      <c r="U780" s="29"/>
      <c r="V780" s="29"/>
      <c r="W780" s="29"/>
      <c r="X780" s="29"/>
      <c r="Y780" s="29"/>
      <c r="Z780" s="29"/>
      <c r="AA780" s="29"/>
      <c r="AB780" s="29"/>
      <c r="AC780" s="29"/>
      <c r="AD780" s="29"/>
      <c r="AE780" s="29"/>
      <c r="AF780" s="29"/>
      <c r="AG780" s="29"/>
    </row>
    <row r="781">
      <c r="A781" s="240" t="s">
        <v>6977</v>
      </c>
      <c r="B781" s="240" t="s">
        <v>375</v>
      </c>
      <c r="C781" s="128"/>
      <c r="D781" s="321" t="s">
        <v>102</v>
      </c>
      <c r="E781" s="325" t="s">
        <v>4427</v>
      </c>
      <c r="F781" s="325" t="s">
        <v>4428</v>
      </c>
      <c r="G781" s="493">
        <v>45975.0</v>
      </c>
      <c r="H781" s="493">
        <v>46007.0</v>
      </c>
      <c r="I781" s="189">
        <f>IFERROR(__xludf.DUMMYFUNCTION("IF(ISBLANK(H781), TODAY()-TO_DATE(G781), TO_DATE(H781)-TO_DATE(G781))+1"),33.0)</f>
        <v>33</v>
      </c>
      <c r="J781" s="240">
        <v>500.0</v>
      </c>
      <c r="K781" s="240" t="s">
        <v>7534</v>
      </c>
      <c r="L781" s="321"/>
      <c r="M781" s="63"/>
      <c r="N781" s="29"/>
      <c r="O781" s="29"/>
      <c r="P781" s="29"/>
      <c r="Q781" s="29"/>
      <c r="R781" s="29"/>
      <c r="S781" s="29"/>
      <c r="T781" s="29"/>
      <c r="U781" s="29"/>
      <c r="V781" s="29"/>
      <c r="W781" s="29"/>
      <c r="X781" s="29"/>
      <c r="Y781" s="29"/>
      <c r="Z781" s="29"/>
      <c r="AA781" s="29"/>
      <c r="AB781" s="29"/>
      <c r="AC781" s="29"/>
      <c r="AD781" s="29"/>
      <c r="AE781" s="29"/>
      <c r="AF781" s="29"/>
      <c r="AG781" s="29"/>
    </row>
    <row r="782">
      <c r="A782" s="240" t="s">
        <v>1032</v>
      </c>
      <c r="B782" s="240" t="s">
        <v>375</v>
      </c>
      <c r="C782" s="128"/>
      <c r="D782" s="321" t="s">
        <v>60</v>
      </c>
      <c r="E782" s="325" t="s">
        <v>2536</v>
      </c>
      <c r="F782" s="325" t="s">
        <v>2538</v>
      </c>
      <c r="G782" s="493">
        <v>45978.0</v>
      </c>
      <c r="H782" s="493">
        <v>46120.0</v>
      </c>
      <c r="I782" s="189">
        <f>IFERROR(__xludf.DUMMYFUNCTION("IF(ISBLANK(H782), TODAY()-TO_DATE(G782), TO_DATE(H782)-TO_DATE(G782))+1"),143.0)</f>
        <v>143</v>
      </c>
      <c r="J782" s="240">
        <v>500.0</v>
      </c>
      <c r="K782" s="240" t="s">
        <v>7543</v>
      </c>
      <c r="L782" s="321" t="s">
        <v>7544</v>
      </c>
      <c r="M782" s="63"/>
      <c r="N782" s="29"/>
      <c r="O782" s="29"/>
      <c r="P782" s="29"/>
      <c r="Q782" s="29"/>
      <c r="R782" s="29"/>
      <c r="S782" s="29"/>
      <c r="T782" s="29"/>
      <c r="U782" s="29"/>
      <c r="V782" s="29"/>
      <c r="W782" s="29"/>
      <c r="X782" s="29"/>
      <c r="Y782" s="29"/>
      <c r="Z782" s="29"/>
      <c r="AA782" s="29"/>
      <c r="AB782" s="29"/>
      <c r="AC782" s="29"/>
      <c r="AD782" s="29"/>
      <c r="AE782" s="29"/>
      <c r="AF782" s="29"/>
      <c r="AG782" s="29"/>
    </row>
    <row r="783">
      <c r="A783" s="240" t="s">
        <v>1032</v>
      </c>
      <c r="B783" s="240" t="s">
        <v>375</v>
      </c>
      <c r="C783" s="128"/>
      <c r="D783" s="321" t="s">
        <v>60</v>
      </c>
      <c r="E783" s="325" t="s">
        <v>2547</v>
      </c>
      <c r="F783" s="325" t="s">
        <v>1624</v>
      </c>
      <c r="G783" s="493">
        <v>45978.0</v>
      </c>
      <c r="H783" s="493">
        <v>46120.0</v>
      </c>
      <c r="I783" s="189">
        <f>IFERROR(__xludf.DUMMYFUNCTION("IF(ISBLANK(H783), TODAY()-TO_DATE(G783), TO_DATE(H783)-TO_DATE(G783))+1"),143.0)</f>
        <v>143</v>
      </c>
      <c r="J783" s="240">
        <v>500.0</v>
      </c>
      <c r="K783" s="240" t="s">
        <v>7551</v>
      </c>
      <c r="L783" s="321" t="s">
        <v>7552</v>
      </c>
      <c r="M783" s="63"/>
      <c r="N783" s="29"/>
      <c r="O783" s="29"/>
      <c r="P783" s="29"/>
      <c r="Q783" s="29"/>
      <c r="R783" s="29"/>
      <c r="S783" s="29"/>
      <c r="T783" s="29"/>
      <c r="U783" s="29"/>
      <c r="V783" s="29"/>
      <c r="W783" s="29"/>
      <c r="X783" s="29"/>
      <c r="Y783" s="29"/>
      <c r="Z783" s="29"/>
      <c r="AA783" s="29"/>
      <c r="AB783" s="29"/>
      <c r="AC783" s="29"/>
      <c r="AD783" s="29"/>
      <c r="AE783" s="29"/>
      <c r="AF783" s="29"/>
      <c r="AG783" s="29"/>
    </row>
    <row r="784">
      <c r="A784" s="240" t="s">
        <v>1032</v>
      </c>
      <c r="B784" s="240" t="s">
        <v>375</v>
      </c>
      <c r="C784" s="128"/>
      <c r="D784" s="321" t="s">
        <v>60</v>
      </c>
      <c r="E784" s="325" t="s">
        <v>2860</v>
      </c>
      <c r="F784" s="325" t="s">
        <v>2862</v>
      </c>
      <c r="G784" s="493">
        <v>45978.0</v>
      </c>
      <c r="H784" s="493">
        <v>46040.0</v>
      </c>
      <c r="I784" s="189">
        <f>IFERROR(__xludf.DUMMYFUNCTION("IF(ISBLANK(H784), TODAY()-TO_DATE(G784), TO_DATE(H784)-TO_DATE(G784))+1"),63.0)</f>
        <v>63</v>
      </c>
      <c r="J784" s="240" t="s">
        <v>197</v>
      </c>
      <c r="K784" s="240" t="s">
        <v>7560</v>
      </c>
      <c r="L784" s="321"/>
      <c r="M784" s="63"/>
      <c r="N784" s="29"/>
      <c r="O784" s="29"/>
      <c r="P784" s="29"/>
      <c r="Q784" s="29"/>
      <c r="R784" s="29"/>
      <c r="S784" s="29"/>
      <c r="T784" s="29"/>
      <c r="U784" s="29"/>
      <c r="V784" s="29"/>
      <c r="W784" s="29"/>
      <c r="X784" s="29"/>
      <c r="Y784" s="29"/>
      <c r="Z784" s="29"/>
      <c r="AA784" s="29"/>
      <c r="AB784" s="29"/>
      <c r="AC784" s="29"/>
      <c r="AD784" s="29"/>
      <c r="AE784" s="29"/>
      <c r="AF784" s="29"/>
      <c r="AG784" s="29"/>
    </row>
    <row r="785">
      <c r="A785" s="240" t="s">
        <v>7563</v>
      </c>
      <c r="B785" s="240" t="s">
        <v>375</v>
      </c>
      <c r="C785" s="128"/>
      <c r="D785" s="321" t="s">
        <v>60</v>
      </c>
      <c r="E785" s="325" t="s">
        <v>5303</v>
      </c>
      <c r="F785" s="325" t="s">
        <v>5304</v>
      </c>
      <c r="G785" s="493">
        <v>45978.0</v>
      </c>
      <c r="H785" s="493">
        <v>45988.0</v>
      </c>
      <c r="I785" s="189">
        <f>IFERROR(__xludf.DUMMYFUNCTION("IF(ISBLANK(H785), TODAY()-TO_DATE(G785), TO_DATE(H785)-TO_DATE(G785))+1"),11.0)</f>
        <v>11</v>
      </c>
      <c r="J785" s="240" t="s">
        <v>197</v>
      </c>
      <c r="K785" s="240" t="s">
        <v>7567</v>
      </c>
      <c r="L785" s="321"/>
      <c r="M785" s="63"/>
      <c r="N785" s="29"/>
      <c r="O785" s="29"/>
      <c r="P785" s="29"/>
      <c r="Q785" s="29"/>
      <c r="R785" s="29"/>
      <c r="S785" s="29"/>
      <c r="T785" s="29"/>
      <c r="U785" s="29"/>
      <c r="V785" s="29"/>
      <c r="W785" s="29"/>
      <c r="X785" s="29"/>
      <c r="Y785" s="29"/>
      <c r="Z785" s="29"/>
      <c r="AA785" s="29"/>
      <c r="AB785" s="29"/>
      <c r="AC785" s="29"/>
      <c r="AD785" s="29"/>
      <c r="AE785" s="29"/>
      <c r="AF785" s="29"/>
      <c r="AG785" s="29"/>
    </row>
    <row r="786">
      <c r="A786" s="240" t="s">
        <v>1032</v>
      </c>
      <c r="B786" s="240" t="s">
        <v>375</v>
      </c>
      <c r="C786" s="128"/>
      <c r="D786" s="321" t="s">
        <v>60</v>
      </c>
      <c r="E786" s="325" t="s">
        <v>2306</v>
      </c>
      <c r="F786" s="325" t="s">
        <v>2307</v>
      </c>
      <c r="G786" s="493">
        <v>45978.0</v>
      </c>
      <c r="H786" s="493">
        <v>45989.0</v>
      </c>
      <c r="I786" s="189">
        <f>IFERROR(__xludf.DUMMYFUNCTION("IF(ISBLANK(H786), TODAY()-TO_DATE(G786), TO_DATE(H786)-TO_DATE(G786))+1"),12.0)</f>
        <v>12</v>
      </c>
      <c r="J786" s="240">
        <v>500.0</v>
      </c>
      <c r="K786" s="240" t="s">
        <v>7572</v>
      </c>
      <c r="L786" s="321"/>
      <c r="M786" s="63"/>
      <c r="N786" s="29"/>
      <c r="O786" s="29"/>
      <c r="P786" s="29"/>
      <c r="Q786" s="29"/>
      <c r="R786" s="29"/>
      <c r="S786" s="29"/>
      <c r="T786" s="29"/>
      <c r="U786" s="29"/>
      <c r="V786" s="29"/>
      <c r="W786" s="29"/>
      <c r="X786" s="29"/>
      <c r="Y786" s="29"/>
      <c r="Z786" s="29"/>
      <c r="AA786" s="767" t="s">
        <v>6617</v>
      </c>
      <c r="AB786" s="767"/>
      <c r="AC786" s="767"/>
      <c r="AD786" s="767"/>
      <c r="AE786" s="767"/>
      <c r="AF786" s="767"/>
      <c r="AG786" s="767"/>
    </row>
    <row r="787">
      <c r="A787" s="240" t="s">
        <v>2451</v>
      </c>
      <c r="B787" s="240" t="s">
        <v>375</v>
      </c>
      <c r="C787" s="128"/>
      <c r="D787" s="321" t="s">
        <v>60</v>
      </c>
      <c r="E787" s="325" t="s">
        <v>2592</v>
      </c>
      <c r="F787" s="325" t="s">
        <v>230</v>
      </c>
      <c r="G787" s="493">
        <v>45978.0</v>
      </c>
      <c r="H787" s="493">
        <v>46040.0</v>
      </c>
      <c r="I787" s="189">
        <f>IFERROR(__xludf.DUMMYFUNCTION("IF(ISBLANK(H787), TODAY()-TO_DATE(G787), TO_DATE(H787)-TO_DATE(G787))+1"),63.0)</f>
        <v>63</v>
      </c>
      <c r="J787" s="240" t="s">
        <v>197</v>
      </c>
      <c r="K787" s="240" t="s">
        <v>7605</v>
      </c>
      <c r="L787" s="770"/>
      <c r="M787" s="63"/>
      <c r="N787" s="29"/>
      <c r="O787" s="29"/>
      <c r="P787" s="29"/>
      <c r="Q787" s="29"/>
      <c r="R787" s="29"/>
      <c r="S787" s="29"/>
      <c r="T787" s="29"/>
      <c r="U787" s="29"/>
      <c r="V787" s="29"/>
      <c r="W787" s="29"/>
      <c r="X787" s="29"/>
      <c r="Y787" s="29"/>
      <c r="Z787" s="29"/>
      <c r="AA787" s="29"/>
      <c r="AB787" s="29"/>
      <c r="AC787" s="29"/>
      <c r="AD787" s="29"/>
      <c r="AE787" s="29"/>
      <c r="AF787" s="29"/>
      <c r="AG787" s="29"/>
    </row>
    <row r="788">
      <c r="A788" s="240" t="s">
        <v>7640</v>
      </c>
      <c r="B788" s="240" t="s">
        <v>375</v>
      </c>
      <c r="C788" s="218" t="s">
        <v>7642</v>
      </c>
      <c r="D788" s="321" t="s">
        <v>60</v>
      </c>
      <c r="E788" s="325" t="s">
        <v>1905</v>
      </c>
      <c r="F788" s="325" t="s">
        <v>1906</v>
      </c>
      <c r="G788" s="493">
        <v>45979.0</v>
      </c>
      <c r="H788" s="493">
        <v>45992.0</v>
      </c>
      <c r="I788" s="189">
        <f>IFERROR(__xludf.DUMMYFUNCTION("IF(ISBLANK(H788), TODAY()-TO_DATE(G788), TO_DATE(H788)-TO_DATE(G788))+1"),14.0)</f>
        <v>14</v>
      </c>
      <c r="J788" s="240">
        <v>300.0</v>
      </c>
      <c r="K788" s="240" t="s">
        <v>7652</v>
      </c>
      <c r="L788" s="321" t="s">
        <v>3256</v>
      </c>
      <c r="M788" s="63"/>
      <c r="N788" s="29"/>
      <c r="O788" s="29"/>
      <c r="P788" s="29"/>
      <c r="Q788" s="29"/>
      <c r="R788" s="29"/>
      <c r="S788" s="29"/>
      <c r="T788" s="29"/>
      <c r="U788" s="29"/>
      <c r="V788" s="29"/>
      <c r="W788" s="29"/>
      <c r="X788" s="29"/>
      <c r="Y788" s="29"/>
      <c r="Z788" s="29"/>
      <c r="AA788" s="29"/>
      <c r="AB788" s="29"/>
      <c r="AC788" s="29"/>
      <c r="AD788" s="29"/>
      <c r="AE788" s="29"/>
      <c r="AF788" s="29"/>
      <c r="AG788" s="29"/>
    </row>
    <row r="789">
      <c r="A789" s="240" t="s">
        <v>7563</v>
      </c>
      <c r="B789" s="240" t="s">
        <v>375</v>
      </c>
      <c r="C789" s="218" t="s">
        <v>7655</v>
      </c>
      <c r="D789" s="321" t="s">
        <v>60</v>
      </c>
      <c r="E789" s="325" t="s">
        <v>2366</v>
      </c>
      <c r="F789" s="325" t="s">
        <v>2367</v>
      </c>
      <c r="G789" s="493">
        <v>45979.0</v>
      </c>
      <c r="H789" s="493">
        <v>45984.0</v>
      </c>
      <c r="I789" s="189">
        <f>IFERROR(__xludf.DUMMYFUNCTION("IF(ISBLANK(H789), TODAY()-TO_DATE(G789), TO_DATE(H789)-TO_DATE(G789))+1"),6.0)</f>
        <v>6</v>
      </c>
      <c r="J789" s="240">
        <v>500.0</v>
      </c>
      <c r="K789" s="240" t="s">
        <v>7658</v>
      </c>
      <c r="L789" s="321" t="s">
        <v>7660</v>
      </c>
      <c r="M789" s="63"/>
      <c r="N789" s="29"/>
      <c r="O789" s="29"/>
      <c r="P789" s="29"/>
      <c r="Q789" s="29"/>
      <c r="R789" s="29"/>
      <c r="S789" s="29"/>
      <c r="T789" s="29"/>
      <c r="U789" s="29"/>
      <c r="V789" s="29"/>
      <c r="W789" s="29"/>
      <c r="X789" s="29"/>
      <c r="Y789" s="29"/>
      <c r="Z789" s="29"/>
      <c r="AA789" s="29"/>
      <c r="AB789" s="29"/>
      <c r="AC789" s="29"/>
      <c r="AD789" s="29"/>
      <c r="AE789" s="29"/>
      <c r="AF789" s="29"/>
      <c r="AG789" s="29"/>
    </row>
    <row r="790">
      <c r="A790" s="240" t="s">
        <v>7563</v>
      </c>
      <c r="B790" s="240" t="s">
        <v>375</v>
      </c>
      <c r="C790" s="218" t="s">
        <v>7663</v>
      </c>
      <c r="D790" s="321" t="s">
        <v>60</v>
      </c>
      <c r="E790" s="325" t="s">
        <v>5862</v>
      </c>
      <c r="F790" s="325" t="s">
        <v>7664</v>
      </c>
      <c r="G790" s="493">
        <v>45979.0</v>
      </c>
      <c r="H790" s="493">
        <v>45994.0</v>
      </c>
      <c r="I790" s="189">
        <f>IFERROR(__xludf.DUMMYFUNCTION("IF(ISBLANK(H790), TODAY()-TO_DATE(G790), TO_DATE(H790)-TO_DATE(G790))+1"),16.0)</f>
        <v>16</v>
      </c>
      <c r="J790" s="240" t="s">
        <v>197</v>
      </c>
      <c r="K790" s="240" t="s">
        <v>7670</v>
      </c>
      <c r="L790" s="321"/>
      <c r="M790" s="240" t="s">
        <v>7672</v>
      </c>
      <c r="N790" s="29"/>
      <c r="O790" s="29"/>
      <c r="P790" s="29"/>
      <c r="Q790" s="29"/>
      <c r="R790" s="29"/>
      <c r="S790" s="29"/>
      <c r="T790" s="29"/>
      <c r="U790" s="29"/>
      <c r="V790" s="29"/>
      <c r="W790" s="29"/>
      <c r="X790" s="29"/>
      <c r="Y790" s="29"/>
      <c r="Z790" s="29"/>
      <c r="AA790" s="29"/>
      <c r="AB790" s="29"/>
      <c r="AC790" s="29"/>
      <c r="AD790" s="29"/>
      <c r="AE790" s="29"/>
      <c r="AF790" s="29"/>
      <c r="AG790" s="29"/>
    </row>
    <row r="791">
      <c r="A791" s="240" t="s">
        <v>7563</v>
      </c>
      <c r="B791" s="240" t="s">
        <v>375</v>
      </c>
      <c r="C791" s="218" t="s">
        <v>7674</v>
      </c>
      <c r="D791" s="321" t="s">
        <v>60</v>
      </c>
      <c r="E791" s="325" t="s">
        <v>2334</v>
      </c>
      <c r="F791" s="325" t="s">
        <v>2335</v>
      </c>
      <c r="G791" s="493">
        <v>45979.0</v>
      </c>
      <c r="H791" s="493">
        <v>45989.0</v>
      </c>
      <c r="I791" s="189">
        <f>IFERROR(__xludf.DUMMYFUNCTION("IF(ISBLANK(H791), TODAY()-TO_DATE(G791), TO_DATE(H791)-TO_DATE(G791))+1"),11.0)</f>
        <v>11</v>
      </c>
      <c r="J791" s="240">
        <v>500.0</v>
      </c>
      <c r="K791" s="240" t="s">
        <v>7678</v>
      </c>
      <c r="L791" s="321"/>
      <c r="M791" s="63"/>
      <c r="N791" s="29"/>
      <c r="O791" s="29"/>
      <c r="P791" s="29"/>
      <c r="Q791" s="29"/>
      <c r="R791" s="29"/>
      <c r="S791" s="29"/>
      <c r="T791" s="29"/>
      <c r="U791" s="29"/>
      <c r="V791" s="29"/>
      <c r="W791" s="29"/>
      <c r="X791" s="29"/>
      <c r="Y791" s="29"/>
      <c r="Z791" s="29"/>
      <c r="AA791" s="29"/>
      <c r="AB791" s="29"/>
      <c r="AC791" s="29"/>
      <c r="AD791" s="29"/>
      <c r="AE791" s="29"/>
      <c r="AF791" s="29"/>
      <c r="AG791" s="29"/>
    </row>
    <row r="792">
      <c r="A792" s="240" t="s">
        <v>7563</v>
      </c>
      <c r="B792" s="240" t="s">
        <v>375</v>
      </c>
      <c r="C792" s="218" t="s">
        <v>2345</v>
      </c>
      <c r="D792" s="321" t="s">
        <v>60</v>
      </c>
      <c r="E792" s="325" t="s">
        <v>2346</v>
      </c>
      <c r="F792" s="240" t="s">
        <v>6336</v>
      </c>
      <c r="G792" s="493">
        <v>45979.0</v>
      </c>
      <c r="H792" s="493">
        <v>45982.0</v>
      </c>
      <c r="I792" s="189">
        <f>IFERROR(__xludf.DUMMYFUNCTION("IF(ISBLANK(H792), TODAY()-TO_DATE(G792), TO_DATE(H792)-TO_DATE(G792))+1"),4.0)</f>
        <v>4</v>
      </c>
      <c r="J792" s="240">
        <v>500.0</v>
      </c>
      <c r="K792" s="240" t="s">
        <v>7682</v>
      </c>
      <c r="L792" s="321"/>
      <c r="M792" s="63"/>
      <c r="N792" s="29"/>
      <c r="O792" s="29"/>
      <c r="P792" s="29"/>
      <c r="Q792" s="29"/>
      <c r="R792" s="29"/>
      <c r="S792" s="29"/>
      <c r="T792" s="29"/>
      <c r="U792" s="29"/>
      <c r="V792" s="29"/>
      <c r="W792" s="29"/>
      <c r="X792" s="29"/>
      <c r="Y792" s="29"/>
      <c r="Z792" s="29"/>
      <c r="AA792" s="29"/>
      <c r="AB792" s="29"/>
      <c r="AC792" s="29"/>
      <c r="AD792" s="29"/>
      <c r="AE792" s="29"/>
      <c r="AF792" s="29"/>
      <c r="AG792" s="29"/>
    </row>
    <row r="793">
      <c r="A793" s="240" t="s">
        <v>2451</v>
      </c>
      <c r="B793" s="240" t="s">
        <v>375</v>
      </c>
      <c r="C793" s="218" t="s">
        <v>213</v>
      </c>
      <c r="D793" s="321" t="s">
        <v>60</v>
      </c>
      <c r="E793" s="325" t="s">
        <v>7687</v>
      </c>
      <c r="F793" s="325" t="s">
        <v>7688</v>
      </c>
      <c r="G793" s="493">
        <v>45979.0</v>
      </c>
      <c r="H793" s="493">
        <v>45993.0</v>
      </c>
      <c r="I793" s="189">
        <f>IFERROR(__xludf.DUMMYFUNCTION("IF(ISBLANK(H793), TODAY()-TO_DATE(G793), TO_DATE(H793)-TO_DATE(G793))+1"),15.0)</f>
        <v>15</v>
      </c>
      <c r="J793" s="240">
        <v>300.0</v>
      </c>
      <c r="K793" s="240" t="s">
        <v>7691</v>
      </c>
      <c r="L793" s="321" t="s">
        <v>7692</v>
      </c>
      <c r="M793" s="63"/>
      <c r="N793" s="29"/>
      <c r="O793" s="29"/>
      <c r="P793" s="29"/>
      <c r="Q793" s="29"/>
      <c r="R793" s="29"/>
      <c r="S793" s="29"/>
      <c r="T793" s="29"/>
      <c r="U793" s="29"/>
      <c r="V793" s="29"/>
      <c r="W793" s="29"/>
      <c r="X793" s="29"/>
      <c r="Y793" s="29"/>
      <c r="Z793" s="29"/>
      <c r="AA793" s="29"/>
      <c r="AB793" s="29"/>
      <c r="AC793" s="29"/>
      <c r="AD793" s="29"/>
      <c r="AE793" s="29"/>
      <c r="AF793" s="29"/>
      <c r="AG793" s="29"/>
    </row>
    <row r="794">
      <c r="A794" s="240" t="s">
        <v>2451</v>
      </c>
      <c r="B794" s="240" t="s">
        <v>375</v>
      </c>
      <c r="C794" s="218" t="s">
        <v>139</v>
      </c>
      <c r="D794" s="85" t="s">
        <v>60</v>
      </c>
      <c r="E794" s="325" t="s">
        <v>7696</v>
      </c>
      <c r="F794" s="240" t="s">
        <v>7697</v>
      </c>
      <c r="G794" s="493">
        <v>45981.0</v>
      </c>
      <c r="H794" s="493">
        <v>46007.0</v>
      </c>
      <c r="I794" s="189">
        <f>IFERROR(__xludf.DUMMYFUNCTION("IF(ISBLANK(H794), TODAY()-TO_DATE(G794), TO_DATE(H794)-TO_DATE(G794))+1"),27.0)</f>
        <v>27</v>
      </c>
      <c r="J794" s="240">
        <v>300.0</v>
      </c>
      <c r="K794" s="325" t="s">
        <v>7701</v>
      </c>
      <c r="L794" s="507"/>
      <c r="M794" s="63"/>
      <c r="N794" s="29"/>
      <c r="O794" s="29"/>
      <c r="P794" s="29"/>
      <c r="Q794" s="29"/>
      <c r="R794" s="29"/>
      <c r="S794" s="29"/>
      <c r="T794" s="29"/>
      <c r="U794" s="29"/>
      <c r="V794" s="29"/>
      <c r="W794" s="29"/>
      <c r="X794" s="29"/>
      <c r="Y794" s="29"/>
      <c r="Z794" s="29"/>
      <c r="AA794" s="29"/>
      <c r="AB794" s="29"/>
      <c r="AC794" s="29"/>
      <c r="AD794" s="29"/>
      <c r="AE794" s="29"/>
      <c r="AF794" s="29"/>
      <c r="AG794" s="29"/>
    </row>
    <row r="795">
      <c r="A795" s="240" t="s">
        <v>145</v>
      </c>
      <c r="B795" s="240" t="s">
        <v>375</v>
      </c>
      <c r="C795" s="218" t="s">
        <v>7703</v>
      </c>
      <c r="D795" s="85" t="s">
        <v>60</v>
      </c>
      <c r="E795" s="325" t="s">
        <v>7704</v>
      </c>
      <c r="F795" s="325" t="s">
        <v>7706</v>
      </c>
      <c r="G795" s="493">
        <v>45983.0</v>
      </c>
      <c r="H795" s="493">
        <v>45983.0</v>
      </c>
      <c r="I795" s="189">
        <f>IFERROR(__xludf.DUMMYFUNCTION("IF(ISBLANK(H795), TODAY()-TO_DATE(G795), TO_DATE(H795)-TO_DATE(G795))+1"),1.0)</f>
        <v>1</v>
      </c>
      <c r="J795" s="240">
        <v>300.0</v>
      </c>
      <c r="K795" s="561" t="s">
        <v>7708</v>
      </c>
      <c r="L795" s="321"/>
      <c r="M795" s="63"/>
      <c r="N795" s="29"/>
      <c r="O795" s="29"/>
      <c r="P795" s="29"/>
      <c r="Q795" s="29"/>
      <c r="R795" s="29"/>
      <c r="S795" s="29"/>
      <c r="T795" s="29"/>
      <c r="U795" s="29"/>
      <c r="V795" s="29"/>
      <c r="W795" s="29"/>
      <c r="X795" s="29"/>
      <c r="Y795" s="29"/>
      <c r="Z795" s="29"/>
      <c r="AA795" s="29"/>
      <c r="AB795" s="29"/>
      <c r="AC795" s="29"/>
      <c r="AD795" s="29"/>
      <c r="AE795" s="29"/>
      <c r="AF795" s="29"/>
      <c r="AG795" s="29"/>
    </row>
    <row r="796">
      <c r="A796" s="240" t="s">
        <v>145</v>
      </c>
      <c r="B796" s="240" t="s">
        <v>375</v>
      </c>
      <c r="C796" s="218" t="s">
        <v>7712</v>
      </c>
      <c r="D796" s="85" t="s">
        <v>60</v>
      </c>
      <c r="E796" s="325" t="s">
        <v>6028</v>
      </c>
      <c r="F796" s="325" t="s">
        <v>665</v>
      </c>
      <c r="G796" s="493">
        <v>45984.0</v>
      </c>
      <c r="H796" s="493">
        <v>46036.0</v>
      </c>
      <c r="I796" s="189">
        <f>IFERROR(__xludf.DUMMYFUNCTION("IF(ISBLANK(H796), TODAY()-TO_DATE(G796), TO_DATE(H796)-TO_DATE(G796))+1"),53.0)</f>
        <v>53</v>
      </c>
      <c r="J796" s="240">
        <v>500.0</v>
      </c>
      <c r="K796" s="240" t="s">
        <v>7715</v>
      </c>
      <c r="L796" s="321"/>
      <c r="M796" s="240" t="s">
        <v>7716</v>
      </c>
      <c r="N796" s="29"/>
      <c r="O796" s="29"/>
      <c r="P796" s="29"/>
      <c r="Q796" s="29"/>
      <c r="R796" s="29"/>
      <c r="S796" s="29"/>
      <c r="T796" s="29"/>
      <c r="U796" s="29"/>
      <c r="V796" s="29"/>
      <c r="W796" s="29"/>
      <c r="X796" s="29"/>
      <c r="Y796" s="29"/>
      <c r="Z796" s="29"/>
      <c r="AA796" s="29"/>
      <c r="AB796" s="29"/>
      <c r="AC796" s="29"/>
      <c r="AD796" s="29"/>
      <c r="AE796" s="29"/>
      <c r="AF796" s="29"/>
      <c r="AG796" s="29"/>
    </row>
    <row r="797">
      <c r="A797" s="240" t="s">
        <v>145</v>
      </c>
      <c r="B797" s="240" t="s">
        <v>375</v>
      </c>
      <c r="C797" s="218" t="s">
        <v>7718</v>
      </c>
      <c r="D797" s="85" t="s">
        <v>60</v>
      </c>
      <c r="E797" s="325" t="s">
        <v>7719</v>
      </c>
      <c r="F797" s="325" t="s">
        <v>2814</v>
      </c>
      <c r="G797" s="493">
        <v>45983.0</v>
      </c>
      <c r="H797" s="493">
        <v>46048.0</v>
      </c>
      <c r="I797" s="189">
        <f>IFERROR(__xludf.DUMMYFUNCTION("IF(ISBLANK(H797), TODAY()-TO_DATE(G797), TO_DATE(H797)-TO_DATE(G797))+1"),66.0)</f>
        <v>66</v>
      </c>
      <c r="J797" s="240">
        <v>500.0</v>
      </c>
      <c r="K797" s="240" t="s">
        <v>4266</v>
      </c>
      <c r="L797" s="321" t="s">
        <v>7722</v>
      </c>
      <c r="M797" s="63"/>
      <c r="N797" s="29"/>
      <c r="O797" s="29"/>
      <c r="P797" s="29"/>
      <c r="Q797" s="29"/>
      <c r="R797" s="29"/>
      <c r="S797" s="29"/>
      <c r="T797" s="29"/>
      <c r="U797" s="29"/>
      <c r="V797" s="29"/>
      <c r="W797" s="29"/>
      <c r="X797" s="29"/>
      <c r="Y797" s="29"/>
      <c r="Z797" s="29"/>
      <c r="AA797" s="29"/>
      <c r="AB797" s="29"/>
      <c r="AC797" s="29"/>
      <c r="AD797" s="29"/>
      <c r="AE797" s="29"/>
      <c r="AF797" s="29"/>
      <c r="AG797" s="29"/>
    </row>
    <row r="798">
      <c r="A798" s="240" t="s">
        <v>145</v>
      </c>
      <c r="B798" s="240" t="s">
        <v>375</v>
      </c>
      <c r="C798" s="218" t="s">
        <v>7728</v>
      </c>
      <c r="D798" s="85" t="s">
        <v>60</v>
      </c>
      <c r="E798" s="325" t="s">
        <v>7730</v>
      </c>
      <c r="F798" s="325" t="s">
        <v>2478</v>
      </c>
      <c r="G798" s="493">
        <v>45984.0</v>
      </c>
      <c r="H798" s="493">
        <v>46001.0</v>
      </c>
      <c r="I798" s="189">
        <f>IFERROR(__xludf.DUMMYFUNCTION("IF(ISBLANK(H798), TODAY()-TO_DATE(G798), TO_DATE(H798)-TO_DATE(G798))+1"),18.0)</f>
        <v>18</v>
      </c>
      <c r="J798" s="240" t="s">
        <v>197</v>
      </c>
      <c r="K798" s="240" t="s">
        <v>7733</v>
      </c>
      <c r="L798" s="321" t="s">
        <v>7735</v>
      </c>
      <c r="M798" s="63"/>
      <c r="N798" s="29"/>
      <c r="O798" s="29"/>
      <c r="P798" s="29"/>
      <c r="Q798" s="29"/>
      <c r="R798" s="29"/>
      <c r="S798" s="29"/>
      <c r="T798" s="29"/>
      <c r="U798" s="29"/>
      <c r="V798" s="29"/>
      <c r="W798" s="29"/>
      <c r="X798" s="29"/>
      <c r="Y798" s="29"/>
      <c r="Z798" s="29"/>
      <c r="AA798" s="29"/>
      <c r="AB798" s="29"/>
      <c r="AC798" s="29"/>
      <c r="AD798" s="29"/>
      <c r="AE798" s="29"/>
      <c r="AF798" s="29"/>
      <c r="AG798" s="29"/>
    </row>
    <row r="799">
      <c r="A799" s="240" t="s">
        <v>145</v>
      </c>
      <c r="B799" s="240" t="s">
        <v>375</v>
      </c>
      <c r="C799" s="218" t="s">
        <v>7740</v>
      </c>
      <c r="D799" s="85" t="s">
        <v>60</v>
      </c>
      <c r="E799" s="325" t="s">
        <v>5754</v>
      </c>
      <c r="F799" s="325" t="s">
        <v>3183</v>
      </c>
      <c r="G799" s="493">
        <v>45984.0</v>
      </c>
      <c r="H799" s="493">
        <v>46030.0</v>
      </c>
      <c r="I799" s="189">
        <f>IFERROR(__xludf.DUMMYFUNCTION("IF(ISBLANK(H799), TODAY()-TO_DATE(G799), TO_DATE(H799)-TO_DATE(G799))+1"),47.0)</f>
        <v>47</v>
      </c>
      <c r="J799" s="240">
        <v>500.0</v>
      </c>
      <c r="K799" s="240" t="s">
        <v>7745</v>
      </c>
      <c r="L799" s="321"/>
      <c r="M799" s="240" t="s">
        <v>7746</v>
      </c>
      <c r="N799" s="29"/>
      <c r="O799" s="29"/>
      <c r="P799" s="29"/>
      <c r="Q799" s="29"/>
      <c r="R799" s="29"/>
      <c r="S799" s="29"/>
      <c r="T799" s="29"/>
      <c r="U799" s="29"/>
      <c r="V799" s="29"/>
      <c r="W799" s="29"/>
      <c r="X799" s="29"/>
      <c r="Y799" s="29"/>
      <c r="Z799" s="29"/>
      <c r="AA799" s="29"/>
      <c r="AB799" s="29"/>
      <c r="AC799" s="29"/>
      <c r="AD799" s="29"/>
      <c r="AE799" s="29"/>
      <c r="AF799" s="29"/>
      <c r="AG799" s="29"/>
    </row>
    <row r="800">
      <c r="A800" s="240" t="s">
        <v>145</v>
      </c>
      <c r="B800" s="240" t="s">
        <v>375</v>
      </c>
      <c r="C800" s="218" t="s">
        <v>7750</v>
      </c>
      <c r="D800" s="85" t="s">
        <v>60</v>
      </c>
      <c r="E800" s="325" t="s">
        <v>5922</v>
      </c>
      <c r="F800" s="325" t="s">
        <v>5924</v>
      </c>
      <c r="G800" s="493">
        <v>45983.0</v>
      </c>
      <c r="H800" s="493">
        <v>46036.0</v>
      </c>
      <c r="I800" s="189">
        <f>IFERROR(__xludf.DUMMYFUNCTION("IF(ISBLANK(H800), TODAY()-TO_DATE(G800), TO_DATE(H800)-TO_DATE(G800))+1"),54.0)</f>
        <v>54</v>
      </c>
      <c r="J800" s="240">
        <v>500.0</v>
      </c>
      <c r="K800" s="240" t="s">
        <v>7754</v>
      </c>
      <c r="L800" s="40" t="s">
        <v>7756</v>
      </c>
      <c r="M800" s="63"/>
      <c r="N800" s="29"/>
      <c r="O800" s="29"/>
      <c r="P800" s="29"/>
      <c r="Q800" s="29"/>
      <c r="R800" s="29"/>
      <c r="S800" s="29"/>
      <c r="T800" s="29"/>
      <c r="U800" s="29"/>
      <c r="V800" s="29"/>
      <c r="W800" s="29"/>
      <c r="X800" s="29"/>
      <c r="Y800" s="29"/>
      <c r="Z800" s="29"/>
      <c r="AA800" s="29"/>
      <c r="AB800" s="29"/>
      <c r="AC800" s="29"/>
      <c r="AD800" s="29"/>
      <c r="AE800" s="29"/>
      <c r="AF800" s="29"/>
      <c r="AG800" s="29"/>
    </row>
    <row r="801">
      <c r="A801" s="240" t="s">
        <v>145</v>
      </c>
      <c r="B801" s="240" t="s">
        <v>375</v>
      </c>
      <c r="C801" s="218" t="s">
        <v>7758</v>
      </c>
      <c r="D801" s="321" t="s">
        <v>102</v>
      </c>
      <c r="E801" s="325" t="s">
        <v>6322</v>
      </c>
      <c r="F801" s="325" t="s">
        <v>1490</v>
      </c>
      <c r="G801" s="493">
        <v>45983.0</v>
      </c>
      <c r="H801" s="493">
        <v>45999.0</v>
      </c>
      <c r="I801" s="189">
        <f>IFERROR(__xludf.DUMMYFUNCTION("IF(ISBLANK(H801), TODAY()-TO_DATE(G801), TO_DATE(H801)-TO_DATE(G801))+1"),17.0)</f>
        <v>17</v>
      </c>
      <c r="J801" s="240">
        <v>300.0</v>
      </c>
      <c r="K801" s="609" t="s">
        <v>7761</v>
      </c>
      <c r="L801" s="321" t="s">
        <v>7763</v>
      </c>
      <c r="M801" s="63"/>
      <c r="N801" s="29"/>
      <c r="O801" s="29"/>
      <c r="P801" s="29"/>
      <c r="Q801" s="29"/>
      <c r="R801" s="29"/>
      <c r="S801" s="29"/>
      <c r="T801" s="29"/>
      <c r="U801" s="29"/>
      <c r="V801" s="29"/>
      <c r="W801" s="29"/>
      <c r="X801" s="29"/>
      <c r="Y801" s="29"/>
      <c r="Z801" s="29"/>
      <c r="AA801" s="29"/>
      <c r="AB801" s="29"/>
      <c r="AC801" s="29"/>
      <c r="AD801" s="29"/>
      <c r="AE801" s="29"/>
      <c r="AF801" s="29"/>
      <c r="AG801" s="29"/>
    </row>
    <row r="802">
      <c r="A802" s="240" t="s">
        <v>145</v>
      </c>
      <c r="B802" s="240" t="s">
        <v>375</v>
      </c>
      <c r="C802" s="218" t="s">
        <v>7767</v>
      </c>
      <c r="D802" s="321" t="s">
        <v>60</v>
      </c>
      <c r="E802" s="325" t="s">
        <v>3652</v>
      </c>
      <c r="F802" s="325" t="s">
        <v>3653</v>
      </c>
      <c r="G802" s="493">
        <v>45983.0</v>
      </c>
      <c r="H802" s="493">
        <v>46032.0</v>
      </c>
      <c r="I802" s="189">
        <f>IFERROR(__xludf.DUMMYFUNCTION("IF(ISBLANK(H802), TODAY()-TO_DATE(G802), TO_DATE(H802)-TO_DATE(G802))+1"),50.0)</f>
        <v>50</v>
      </c>
      <c r="J802" s="240">
        <v>500.0</v>
      </c>
      <c r="K802" s="240" t="s">
        <v>6860</v>
      </c>
      <c r="L802" s="321" t="s">
        <v>7770</v>
      </c>
      <c r="M802" s="240" t="s">
        <v>7746</v>
      </c>
      <c r="N802" s="29"/>
      <c r="O802" s="29"/>
      <c r="P802" s="29"/>
      <c r="Q802" s="29"/>
      <c r="R802" s="29"/>
      <c r="S802" s="29"/>
      <c r="T802" s="29"/>
      <c r="U802" s="29"/>
      <c r="V802" s="29"/>
      <c r="W802" s="29"/>
      <c r="X802" s="29"/>
      <c r="Y802" s="29"/>
      <c r="Z802" s="29"/>
      <c r="AA802" s="29"/>
      <c r="AB802" s="29"/>
      <c r="AC802" s="29"/>
      <c r="AD802" s="29"/>
      <c r="AE802" s="29"/>
      <c r="AF802" s="29"/>
      <c r="AG802" s="29"/>
    </row>
    <row r="803">
      <c r="A803" s="540" t="s">
        <v>145</v>
      </c>
      <c r="B803" s="540" t="s">
        <v>375</v>
      </c>
      <c r="C803" s="646" t="s">
        <v>6463</v>
      </c>
      <c r="D803" s="544" t="s">
        <v>60</v>
      </c>
      <c r="E803" s="599" t="s">
        <v>7773</v>
      </c>
      <c r="F803" s="599" t="s">
        <v>1375</v>
      </c>
      <c r="G803" s="545">
        <v>45987.0</v>
      </c>
      <c r="H803" s="545">
        <v>46162.0</v>
      </c>
      <c r="I803" s="665">
        <f>IFERROR(__xludf.DUMMYFUNCTION("IF(ISBLANK(H803), TODAY()-TO_DATE(G803), TO_DATE(H803)-TO_DATE(G803))+1"),176.0)</f>
        <v>176</v>
      </c>
      <c r="J803" s="540">
        <v>500.0</v>
      </c>
      <c r="K803" s="540" t="s">
        <v>7778</v>
      </c>
      <c r="L803" s="544" t="s">
        <v>7779</v>
      </c>
      <c r="M803" s="540" t="s">
        <v>7780</v>
      </c>
      <c r="N803" s="548"/>
      <c r="O803" s="548"/>
      <c r="P803" s="548"/>
      <c r="Q803" s="548"/>
      <c r="R803" s="548"/>
      <c r="S803" s="548"/>
      <c r="T803" s="548"/>
      <c r="U803" s="548"/>
      <c r="V803" s="548"/>
      <c r="W803" s="548"/>
      <c r="X803" s="548"/>
      <c r="Y803" s="548"/>
      <c r="Z803" s="548"/>
      <c r="AA803" s="548"/>
      <c r="AB803" s="548"/>
      <c r="AC803" s="548"/>
      <c r="AD803" s="548"/>
      <c r="AE803" s="548"/>
      <c r="AF803" s="548"/>
      <c r="AG803" s="548"/>
    </row>
    <row r="804">
      <c r="A804" s="540" t="s">
        <v>145</v>
      </c>
      <c r="B804" s="540" t="s">
        <v>375</v>
      </c>
      <c r="C804" s="646" t="s">
        <v>7785</v>
      </c>
      <c r="D804" s="544" t="s">
        <v>60</v>
      </c>
      <c r="E804" s="599" t="s">
        <v>7786</v>
      </c>
      <c r="F804" s="599" t="s">
        <v>4303</v>
      </c>
      <c r="G804" s="545">
        <v>45987.0</v>
      </c>
      <c r="H804" s="605">
        <v>46162.0</v>
      </c>
      <c r="I804" s="665">
        <f>IFERROR(__xludf.DUMMYFUNCTION("IF(ISBLANK(H804), TODAY()-TO_DATE(G804), TO_DATE(H804)-TO_DATE(G804))+1"),176.0)</f>
        <v>176</v>
      </c>
      <c r="J804" s="540">
        <v>500.0</v>
      </c>
      <c r="K804" s="540" t="s">
        <v>7789</v>
      </c>
      <c r="L804" s="544"/>
      <c r="M804" s="547"/>
      <c r="N804" s="548"/>
      <c r="O804" s="548"/>
      <c r="P804" s="548"/>
      <c r="Q804" s="548"/>
      <c r="R804" s="548"/>
      <c r="S804" s="548"/>
      <c r="T804" s="548"/>
      <c r="U804" s="548"/>
      <c r="V804" s="548"/>
      <c r="W804" s="548"/>
      <c r="X804" s="548"/>
      <c r="Y804" s="548"/>
      <c r="Z804" s="548"/>
      <c r="AA804" s="548"/>
      <c r="AB804" s="548"/>
      <c r="AC804" s="548"/>
      <c r="AD804" s="548"/>
      <c r="AE804" s="548"/>
      <c r="AF804" s="548"/>
      <c r="AG804" s="548"/>
    </row>
    <row r="805">
      <c r="A805" s="240" t="s">
        <v>3780</v>
      </c>
      <c r="B805" s="240" t="s">
        <v>375</v>
      </c>
      <c r="C805" s="218" t="s">
        <v>7795</v>
      </c>
      <c r="D805" s="321" t="s">
        <v>60</v>
      </c>
      <c r="E805" s="325" t="s">
        <v>6414</v>
      </c>
      <c r="F805" s="325" t="s">
        <v>3367</v>
      </c>
      <c r="G805" s="493">
        <v>45987.0</v>
      </c>
      <c r="H805" s="493">
        <v>45995.0</v>
      </c>
      <c r="I805" s="189">
        <f>IFERROR(__xludf.DUMMYFUNCTION("IF(ISBLANK(H805), TODAY()-TO_DATE(G805), TO_DATE(H805)-TO_DATE(G805))+1"),9.0)</f>
        <v>9</v>
      </c>
      <c r="J805" s="240">
        <v>500.0</v>
      </c>
      <c r="K805" s="240" t="s">
        <v>3185</v>
      </c>
      <c r="L805" s="321"/>
      <c r="M805" s="63"/>
      <c r="N805" s="29"/>
      <c r="O805" s="29"/>
      <c r="P805" s="29"/>
      <c r="Q805" s="29"/>
      <c r="R805" s="29"/>
      <c r="S805" s="29"/>
      <c r="T805" s="29"/>
      <c r="U805" s="29"/>
      <c r="V805" s="29"/>
      <c r="W805" s="29"/>
      <c r="X805" s="29"/>
      <c r="Y805" s="29"/>
      <c r="Z805" s="29"/>
      <c r="AA805" s="29"/>
      <c r="AB805" s="29"/>
      <c r="AC805" s="29"/>
      <c r="AD805" s="29"/>
      <c r="AE805" s="29"/>
      <c r="AF805" s="29"/>
      <c r="AG805" s="29"/>
    </row>
    <row r="806">
      <c r="A806" s="240" t="s">
        <v>145</v>
      </c>
      <c r="B806" s="240" t="s">
        <v>375</v>
      </c>
      <c r="C806" s="218" t="s">
        <v>7804</v>
      </c>
      <c r="D806" s="321" t="s">
        <v>60</v>
      </c>
      <c r="E806" s="325" t="s">
        <v>7808</v>
      </c>
      <c r="F806" s="325" t="s">
        <v>7809</v>
      </c>
      <c r="G806" s="493">
        <v>45987.0</v>
      </c>
      <c r="H806" s="493">
        <v>46023.0</v>
      </c>
      <c r="I806" s="189">
        <f>IFERROR(__xludf.DUMMYFUNCTION("IF(ISBLANK(H806), TODAY()-TO_DATE(G806), TO_DATE(H806)-TO_DATE(G806))+1"),37.0)</f>
        <v>37</v>
      </c>
      <c r="J806" s="240">
        <v>300.0</v>
      </c>
      <c r="K806" s="609" t="s">
        <v>7813</v>
      </c>
      <c r="L806" s="321" t="s">
        <v>7814</v>
      </c>
      <c r="M806" s="63"/>
      <c r="N806" s="29"/>
      <c r="O806" s="29"/>
      <c r="P806" s="29"/>
      <c r="Q806" s="29"/>
      <c r="R806" s="29"/>
      <c r="S806" s="29"/>
      <c r="T806" s="29"/>
      <c r="U806" s="29"/>
      <c r="V806" s="29"/>
      <c r="W806" s="29"/>
      <c r="X806" s="29"/>
      <c r="Y806" s="29"/>
      <c r="Z806" s="29"/>
      <c r="AA806" s="29"/>
      <c r="AB806" s="29"/>
      <c r="AC806" s="29"/>
      <c r="AD806" s="29"/>
      <c r="AE806" s="29"/>
      <c r="AF806" s="29"/>
      <c r="AG806" s="29"/>
    </row>
    <row r="807">
      <c r="A807" s="240" t="s">
        <v>145</v>
      </c>
      <c r="B807" s="240" t="s">
        <v>375</v>
      </c>
      <c r="C807" s="218" t="s">
        <v>7817</v>
      </c>
      <c r="D807" s="321" t="s">
        <v>60</v>
      </c>
      <c r="E807" s="325" t="s">
        <v>5426</v>
      </c>
      <c r="F807" s="325" t="s">
        <v>5428</v>
      </c>
      <c r="G807" s="493">
        <v>45987.0</v>
      </c>
      <c r="H807" s="493">
        <v>46031.0</v>
      </c>
      <c r="I807" s="189">
        <f>IFERROR(__xludf.DUMMYFUNCTION("IF(ISBLANK(H807), TODAY()-TO_DATE(G807), TO_DATE(H807)-TO_DATE(G807))+1"),45.0)</f>
        <v>45</v>
      </c>
      <c r="J807" s="240">
        <v>500.0</v>
      </c>
      <c r="K807" s="240" t="s">
        <v>3039</v>
      </c>
      <c r="L807" s="321"/>
      <c r="M807" s="240" t="s">
        <v>7824</v>
      </c>
      <c r="N807" s="29"/>
      <c r="O807" s="29"/>
      <c r="P807" s="29"/>
      <c r="Q807" s="29"/>
      <c r="R807" s="29"/>
      <c r="S807" s="29"/>
      <c r="T807" s="29"/>
      <c r="U807" s="29"/>
      <c r="V807" s="29"/>
      <c r="W807" s="29"/>
      <c r="X807" s="29"/>
      <c r="Y807" s="29"/>
      <c r="Z807" s="29"/>
      <c r="AA807" s="29"/>
      <c r="AB807" s="29"/>
      <c r="AC807" s="29"/>
      <c r="AD807" s="29"/>
      <c r="AE807" s="29"/>
      <c r="AF807" s="29"/>
      <c r="AG807" s="29"/>
    </row>
    <row r="808">
      <c r="A808" s="240" t="s">
        <v>145</v>
      </c>
      <c r="B808" s="240" t="s">
        <v>375</v>
      </c>
      <c r="C808" s="218" t="s">
        <v>7828</v>
      </c>
      <c r="D808" s="321" t="s">
        <v>60</v>
      </c>
      <c r="E808" s="325" t="s">
        <v>7830</v>
      </c>
      <c r="F808" s="325" t="s">
        <v>7832</v>
      </c>
      <c r="G808" s="493">
        <v>45987.0</v>
      </c>
      <c r="H808" s="493">
        <v>46044.0</v>
      </c>
      <c r="I808" s="189">
        <f>IFERROR(__xludf.DUMMYFUNCTION("IF(ISBLANK(H808), TODAY()-TO_DATE(G808), TO_DATE(H808)-TO_DATE(G808))+1"),58.0)</f>
        <v>58</v>
      </c>
      <c r="J808" s="240" t="s">
        <v>197</v>
      </c>
      <c r="K808" s="240" t="s">
        <v>7836</v>
      </c>
      <c r="L808" s="321" t="s">
        <v>7837</v>
      </c>
      <c r="M808" s="240" t="s">
        <v>7824</v>
      </c>
      <c r="N808" s="29"/>
      <c r="O808" s="29"/>
      <c r="P808" s="29"/>
      <c r="Q808" s="29"/>
      <c r="R808" s="29"/>
      <c r="S808" s="29"/>
      <c r="T808" s="29"/>
      <c r="U808" s="29"/>
      <c r="V808" s="29"/>
      <c r="W808" s="29"/>
      <c r="X808" s="29"/>
      <c r="Y808" s="29"/>
      <c r="Z808" s="29"/>
      <c r="AA808" s="29"/>
      <c r="AB808" s="29"/>
      <c r="AC808" s="29"/>
      <c r="AD808" s="29"/>
      <c r="AE808" s="29"/>
      <c r="AF808" s="29"/>
      <c r="AG808" s="29"/>
    </row>
    <row r="809">
      <c r="A809" s="240" t="s">
        <v>145</v>
      </c>
      <c r="B809" s="240" t="s">
        <v>375</v>
      </c>
      <c r="C809" s="218" t="s">
        <v>7840</v>
      </c>
      <c r="D809" s="321" t="s">
        <v>60</v>
      </c>
      <c r="E809" s="325" t="s">
        <v>3623</v>
      </c>
      <c r="F809" s="325" t="s">
        <v>2093</v>
      </c>
      <c r="G809" s="493">
        <v>45987.0</v>
      </c>
      <c r="H809" s="493">
        <v>46029.0</v>
      </c>
      <c r="I809" s="189">
        <f>IFERROR(__xludf.DUMMYFUNCTION("IF(ISBLANK(H809), TODAY()-TO_DATE(G809), TO_DATE(H809)-TO_DATE(G809))+1"),43.0)</f>
        <v>43</v>
      </c>
      <c r="J809" s="240">
        <v>500.0</v>
      </c>
      <c r="K809" s="240" t="s">
        <v>7845</v>
      </c>
      <c r="L809" s="321"/>
      <c r="M809" s="240" t="s">
        <v>7824</v>
      </c>
      <c r="N809" s="29"/>
      <c r="O809" s="29"/>
      <c r="P809" s="29"/>
      <c r="Q809" s="29"/>
      <c r="R809" s="29"/>
      <c r="S809" s="29"/>
      <c r="T809" s="29"/>
      <c r="U809" s="29"/>
      <c r="V809" s="29"/>
      <c r="W809" s="29"/>
      <c r="X809" s="29"/>
      <c r="Y809" s="29"/>
      <c r="Z809" s="29"/>
      <c r="AA809" s="29"/>
      <c r="AB809" s="29"/>
      <c r="AC809" s="29"/>
      <c r="AD809" s="29"/>
      <c r="AE809" s="29"/>
      <c r="AF809" s="29"/>
      <c r="AG809" s="29"/>
    </row>
    <row r="810">
      <c r="A810" s="240" t="s">
        <v>715</v>
      </c>
      <c r="B810" s="240" t="s">
        <v>1852</v>
      </c>
      <c r="C810" s="128"/>
      <c r="D810" s="321" t="s">
        <v>60</v>
      </c>
      <c r="E810" s="325" t="s">
        <v>1844</v>
      </c>
      <c r="F810" s="325" t="s">
        <v>1846</v>
      </c>
      <c r="G810" s="493">
        <v>45987.0</v>
      </c>
      <c r="H810" s="493">
        <v>46019.0</v>
      </c>
      <c r="I810" s="189">
        <f>IFERROR(__xludf.DUMMYFUNCTION("IF(ISBLANK(H810), TODAY()-TO_DATE(G810), TO_DATE(H810)-TO_DATE(G810))+1"),33.0)</f>
        <v>33</v>
      </c>
      <c r="J810" s="240" t="s">
        <v>197</v>
      </c>
      <c r="K810" s="325" t="s">
        <v>7850</v>
      </c>
      <c r="L810" s="507"/>
      <c r="M810" s="63"/>
      <c r="N810" s="29"/>
      <c r="O810" s="29"/>
      <c r="P810" s="29"/>
      <c r="Q810" s="29"/>
      <c r="R810" s="29"/>
      <c r="S810" s="29"/>
      <c r="T810" s="29"/>
      <c r="U810" s="29"/>
      <c r="V810" s="29"/>
      <c r="W810" s="29"/>
      <c r="X810" s="29"/>
      <c r="Y810" s="29"/>
      <c r="Z810" s="29"/>
      <c r="AA810" s="29"/>
      <c r="AB810" s="29"/>
      <c r="AC810" s="29"/>
      <c r="AD810" s="29"/>
      <c r="AE810" s="29"/>
      <c r="AF810" s="29"/>
      <c r="AG810" s="29"/>
    </row>
    <row r="811">
      <c r="A811" s="240" t="s">
        <v>715</v>
      </c>
      <c r="B811" s="240" t="s">
        <v>1852</v>
      </c>
      <c r="C811" s="128"/>
      <c r="D811" s="321" t="s">
        <v>60</v>
      </c>
      <c r="E811" s="325" t="s">
        <v>7853</v>
      </c>
      <c r="F811" s="325" t="s">
        <v>2889</v>
      </c>
      <c r="G811" s="493">
        <v>45987.0</v>
      </c>
      <c r="H811" s="493">
        <v>45992.0</v>
      </c>
      <c r="I811" s="189">
        <f>IFERROR(__xludf.DUMMYFUNCTION("IF(ISBLANK(H811), TODAY()-TO_DATE(G811), TO_DATE(H811)-TO_DATE(G811))+1"),6.0)</f>
        <v>6</v>
      </c>
      <c r="J811" s="240">
        <v>300.0</v>
      </c>
      <c r="K811" s="780" t="s">
        <v>623</v>
      </c>
      <c r="L811" s="507"/>
      <c r="M811" s="63"/>
      <c r="N811" s="29"/>
      <c r="O811" s="29"/>
      <c r="P811" s="29"/>
      <c r="Q811" s="29"/>
      <c r="R811" s="29"/>
      <c r="S811" s="29"/>
      <c r="T811" s="29"/>
      <c r="U811" s="29"/>
      <c r="V811" s="29"/>
      <c r="W811" s="29"/>
      <c r="X811" s="29"/>
      <c r="Y811" s="29"/>
      <c r="Z811" s="29"/>
      <c r="AA811" s="29"/>
      <c r="AB811" s="29"/>
      <c r="AC811" s="29"/>
      <c r="AD811" s="29"/>
      <c r="AE811" s="29"/>
      <c r="AF811" s="29"/>
      <c r="AG811" s="29"/>
    </row>
    <row r="812">
      <c r="A812" s="240" t="s">
        <v>715</v>
      </c>
      <c r="B812" s="240" t="s">
        <v>1852</v>
      </c>
      <c r="C812" s="128"/>
      <c r="D812" s="321" t="s">
        <v>60</v>
      </c>
      <c r="E812" s="325" t="s">
        <v>2039</v>
      </c>
      <c r="F812" s="325" t="s">
        <v>2042</v>
      </c>
      <c r="G812" s="493">
        <v>45987.0</v>
      </c>
      <c r="H812" s="493">
        <v>46020.0</v>
      </c>
      <c r="I812" s="189">
        <f>IFERROR(__xludf.DUMMYFUNCTION("IF(ISBLANK(H812), TODAY()-TO_DATE(G812), TO_DATE(H812)-TO_DATE(G812))+1"),34.0)</f>
        <v>34</v>
      </c>
      <c r="J812" s="240" t="s">
        <v>197</v>
      </c>
      <c r="K812" s="325" t="s">
        <v>7860</v>
      </c>
      <c r="L812" s="507"/>
      <c r="M812" s="63"/>
      <c r="N812" s="29"/>
      <c r="O812" s="29"/>
      <c r="P812" s="29"/>
      <c r="Q812" s="29"/>
      <c r="R812" s="29"/>
      <c r="S812" s="29"/>
      <c r="T812" s="29"/>
      <c r="U812" s="29"/>
      <c r="V812" s="29"/>
      <c r="W812" s="29"/>
      <c r="X812" s="29"/>
      <c r="Y812" s="29"/>
      <c r="Z812" s="29"/>
      <c r="AA812" s="29"/>
      <c r="AB812" s="29"/>
      <c r="AC812" s="29"/>
      <c r="AD812" s="29"/>
      <c r="AE812" s="29"/>
      <c r="AF812" s="29"/>
      <c r="AG812" s="29"/>
    </row>
    <row r="813">
      <c r="A813" s="240" t="s">
        <v>715</v>
      </c>
      <c r="B813" s="240" t="s">
        <v>1852</v>
      </c>
      <c r="C813" s="218" t="s">
        <v>2969</v>
      </c>
      <c r="D813" s="85" t="s">
        <v>656</v>
      </c>
      <c r="E813" s="325" t="s">
        <v>2973</v>
      </c>
      <c r="F813" s="325" t="s">
        <v>1624</v>
      </c>
      <c r="G813" s="493">
        <v>45987.0</v>
      </c>
      <c r="H813" s="493">
        <v>45988.0</v>
      </c>
      <c r="I813" s="189">
        <f>IFERROR(__xludf.DUMMYFUNCTION("IF(ISBLANK(H813), TODAY()-TO_DATE(G813), TO_DATE(H813)-TO_DATE(G813))+1"),2.0)</f>
        <v>2</v>
      </c>
      <c r="J813" s="240">
        <v>300.0</v>
      </c>
      <c r="K813" s="325" t="s">
        <v>3767</v>
      </c>
      <c r="L813" s="507"/>
      <c r="M813" s="63"/>
      <c r="N813" s="29"/>
      <c r="O813" s="29"/>
      <c r="P813" s="29"/>
      <c r="Q813" s="29"/>
      <c r="R813" s="29"/>
      <c r="S813" s="29"/>
      <c r="T813" s="29"/>
      <c r="U813" s="29"/>
      <c r="V813" s="29"/>
      <c r="W813" s="29"/>
      <c r="X813" s="29"/>
      <c r="Y813" s="29"/>
      <c r="Z813" s="29"/>
      <c r="AA813" s="29"/>
      <c r="AB813" s="29"/>
      <c r="AC813" s="29"/>
      <c r="AD813" s="29"/>
      <c r="AE813" s="29"/>
      <c r="AF813" s="29"/>
      <c r="AG813" s="29"/>
    </row>
    <row r="814">
      <c r="A814" s="240" t="s">
        <v>715</v>
      </c>
      <c r="B814" s="240" t="s">
        <v>1852</v>
      </c>
      <c r="C814" s="128"/>
      <c r="D814" s="321" t="s">
        <v>60</v>
      </c>
      <c r="E814" s="325" t="s">
        <v>2265</v>
      </c>
      <c r="F814" s="325" t="s">
        <v>2268</v>
      </c>
      <c r="G814" s="493">
        <v>45987.0</v>
      </c>
      <c r="H814" s="493">
        <v>45992.0</v>
      </c>
      <c r="I814" s="189">
        <f>IFERROR(__xludf.DUMMYFUNCTION("IF(ISBLANK(H814), TODAY()-TO_DATE(G814), TO_DATE(H814)-TO_DATE(G814))+1"),6.0)</f>
        <v>6</v>
      </c>
      <c r="J814" s="240">
        <v>500.0</v>
      </c>
      <c r="K814" s="325" t="s">
        <v>7875</v>
      </c>
      <c r="L814" s="507"/>
      <c r="M814" s="240" t="s">
        <v>7876</v>
      </c>
      <c r="N814" s="29"/>
      <c r="O814" s="29"/>
      <c r="P814" s="29"/>
      <c r="Q814" s="29"/>
      <c r="R814" s="29"/>
      <c r="S814" s="29"/>
      <c r="T814" s="29"/>
      <c r="U814" s="29"/>
      <c r="V814" s="29"/>
      <c r="W814" s="29"/>
      <c r="X814" s="29"/>
      <c r="Y814" s="29"/>
      <c r="Z814" s="29"/>
      <c r="AA814" s="29"/>
      <c r="AB814" s="29"/>
      <c r="AC814" s="29"/>
      <c r="AD814" s="29"/>
      <c r="AE814" s="29"/>
      <c r="AF814" s="29"/>
      <c r="AG814" s="29"/>
    </row>
    <row r="815">
      <c r="A815" s="240" t="s">
        <v>715</v>
      </c>
      <c r="B815" s="240" t="s">
        <v>1852</v>
      </c>
      <c r="C815" s="128"/>
      <c r="D815" s="687" t="s">
        <v>60</v>
      </c>
      <c r="E815" s="325" t="s">
        <v>2152</v>
      </c>
      <c r="F815" s="325" t="s">
        <v>2153</v>
      </c>
      <c r="G815" s="493">
        <v>45987.0</v>
      </c>
      <c r="H815" s="493">
        <v>46017.0</v>
      </c>
      <c r="I815" s="189">
        <f>IFERROR(__xludf.DUMMYFUNCTION("IF(ISBLANK(H815), TODAY()-TO_DATE(G815), TO_DATE(H815)-TO_DATE(G815))+1"),31.0)</f>
        <v>31</v>
      </c>
      <c r="J815" s="240">
        <v>300.0</v>
      </c>
      <c r="K815" s="325" t="s">
        <v>7881</v>
      </c>
      <c r="L815" s="507"/>
      <c r="M815" s="63"/>
      <c r="N815" s="29"/>
      <c r="O815" s="29"/>
      <c r="P815" s="29"/>
      <c r="Q815" s="29"/>
      <c r="R815" s="29"/>
      <c r="S815" s="29"/>
      <c r="T815" s="29"/>
      <c r="U815" s="29"/>
      <c r="V815" s="29"/>
      <c r="W815" s="29"/>
      <c r="X815" s="29"/>
      <c r="Y815" s="29"/>
      <c r="Z815" s="29"/>
      <c r="AA815" s="29"/>
      <c r="AB815" s="29"/>
      <c r="AC815" s="29"/>
      <c r="AD815" s="29"/>
      <c r="AE815" s="29"/>
      <c r="AF815" s="29"/>
      <c r="AG815" s="29"/>
    </row>
    <row r="816">
      <c r="A816" s="240" t="s">
        <v>715</v>
      </c>
      <c r="B816" s="240" t="s">
        <v>1852</v>
      </c>
      <c r="C816" s="128"/>
      <c r="D816" s="687" t="s">
        <v>60</v>
      </c>
      <c r="E816" s="325" t="s">
        <v>2172</v>
      </c>
      <c r="F816" s="325" t="s">
        <v>2173</v>
      </c>
      <c r="G816" s="493">
        <v>45987.0</v>
      </c>
      <c r="H816" s="493">
        <v>46006.0</v>
      </c>
      <c r="I816" s="189">
        <f>IFERROR(__xludf.DUMMYFUNCTION("IF(ISBLANK(H816), TODAY()-TO_DATE(G816), TO_DATE(H816)-TO_DATE(G816))+1"),20.0)</f>
        <v>20</v>
      </c>
      <c r="J816" s="240">
        <v>500.0</v>
      </c>
      <c r="K816" s="782" t="s">
        <v>7893</v>
      </c>
      <c r="L816" s="507"/>
      <c r="M816" s="63"/>
      <c r="N816" s="29"/>
      <c r="O816" s="29"/>
      <c r="P816" s="29"/>
      <c r="Q816" s="29"/>
      <c r="R816" s="29"/>
      <c r="S816" s="29"/>
      <c r="T816" s="29"/>
      <c r="U816" s="29"/>
      <c r="V816" s="29"/>
      <c r="W816" s="29"/>
      <c r="X816" s="29"/>
      <c r="Y816" s="29"/>
      <c r="Z816" s="29"/>
      <c r="AA816" s="29"/>
      <c r="AB816" s="29"/>
      <c r="AC816" s="29"/>
      <c r="AD816" s="29"/>
      <c r="AE816" s="29"/>
      <c r="AF816" s="29"/>
      <c r="AG816" s="29"/>
    </row>
    <row r="817">
      <c r="A817" s="240" t="s">
        <v>715</v>
      </c>
      <c r="B817" s="240" t="s">
        <v>1852</v>
      </c>
      <c r="C817" s="128"/>
      <c r="D817" s="321" t="s">
        <v>60</v>
      </c>
      <c r="E817" s="325" t="s">
        <v>2235</v>
      </c>
      <c r="F817" s="325" t="s">
        <v>2238</v>
      </c>
      <c r="G817" s="493">
        <v>45987.0</v>
      </c>
      <c r="H817" s="493">
        <v>46016.0</v>
      </c>
      <c r="I817" s="189">
        <f>IFERROR(__xludf.DUMMYFUNCTION("IF(ISBLANK(H817), TODAY()-TO_DATE(G817), TO_DATE(H817)-TO_DATE(G817))+1"),30.0)</f>
        <v>30</v>
      </c>
      <c r="J817" s="240" t="s">
        <v>197</v>
      </c>
      <c r="K817" s="786" t="s">
        <v>7906</v>
      </c>
      <c r="L817" s="507"/>
      <c r="M817" s="240" t="s">
        <v>7908</v>
      </c>
      <c r="N817" s="29"/>
      <c r="O817" s="29"/>
      <c r="P817" s="29"/>
      <c r="Q817" s="29"/>
      <c r="R817" s="29"/>
      <c r="S817" s="29"/>
      <c r="T817" s="29"/>
      <c r="U817" s="29"/>
      <c r="V817" s="29"/>
      <c r="W817" s="29"/>
      <c r="X817" s="29"/>
      <c r="Y817" s="29"/>
      <c r="Z817" s="29"/>
      <c r="AA817" s="29"/>
      <c r="AB817" s="29"/>
      <c r="AC817" s="29"/>
      <c r="AD817" s="29"/>
      <c r="AE817" s="29"/>
      <c r="AF817" s="29"/>
      <c r="AG817" s="29"/>
    </row>
    <row r="818">
      <c r="A818" s="240" t="s">
        <v>715</v>
      </c>
      <c r="B818" s="240" t="s">
        <v>1852</v>
      </c>
      <c r="C818" s="128"/>
      <c r="D818" s="321" t="s">
        <v>60</v>
      </c>
      <c r="E818" s="325" t="s">
        <v>1898</v>
      </c>
      <c r="F818" s="325" t="s">
        <v>1902</v>
      </c>
      <c r="G818" s="493">
        <v>45988.0</v>
      </c>
      <c r="H818" s="493">
        <v>46000.0</v>
      </c>
      <c r="I818" s="189">
        <f>IFERROR(__xludf.DUMMYFUNCTION("IF(ISBLANK(H818), TODAY()-TO_DATE(G818), TO_DATE(H818)-TO_DATE(G818))+1"),13.0)</f>
        <v>13</v>
      </c>
      <c r="J818" s="240">
        <v>500.0</v>
      </c>
      <c r="K818" s="325" t="s">
        <v>7911</v>
      </c>
      <c r="L818" s="40" t="s">
        <v>7912</v>
      </c>
      <c r="M818" s="63"/>
      <c r="N818" s="29"/>
      <c r="O818" s="29"/>
      <c r="P818" s="29"/>
      <c r="Q818" s="29"/>
      <c r="R818" s="29"/>
      <c r="S818" s="29"/>
      <c r="T818" s="29"/>
      <c r="U818" s="29"/>
      <c r="V818" s="29"/>
      <c r="W818" s="29"/>
      <c r="X818" s="29"/>
      <c r="Y818" s="29"/>
      <c r="Z818" s="29"/>
      <c r="AA818" s="29"/>
      <c r="AB818" s="29"/>
      <c r="AC818" s="29"/>
      <c r="AD818" s="29"/>
      <c r="AE818" s="29"/>
      <c r="AF818" s="29"/>
      <c r="AG818" s="29"/>
    </row>
    <row r="819">
      <c r="A819" s="240" t="s">
        <v>715</v>
      </c>
      <c r="B819" s="240" t="s">
        <v>1852</v>
      </c>
      <c r="C819" s="128"/>
      <c r="D819" s="321" t="s">
        <v>60</v>
      </c>
      <c r="E819" s="325" t="s">
        <v>2024</v>
      </c>
      <c r="F819" s="325" t="s">
        <v>2025</v>
      </c>
      <c r="G819" s="493">
        <v>45988.0</v>
      </c>
      <c r="H819" s="493">
        <v>46002.0</v>
      </c>
      <c r="I819" s="189">
        <f>IFERROR(__xludf.DUMMYFUNCTION("IF(ISBLANK(H819), TODAY()-TO_DATE(G819), TO_DATE(H819)-TO_DATE(G819))+1"),15.0)</f>
        <v>15</v>
      </c>
      <c r="J819" s="240">
        <v>500.0</v>
      </c>
      <c r="K819" s="325" t="s">
        <v>7918</v>
      </c>
      <c r="L819" s="787"/>
      <c r="M819" s="63"/>
      <c r="N819" s="29"/>
      <c r="O819" s="29"/>
      <c r="P819" s="29"/>
      <c r="Q819" s="29"/>
      <c r="R819" s="29"/>
      <c r="S819" s="29"/>
      <c r="T819" s="29"/>
      <c r="U819" s="29"/>
      <c r="V819" s="29"/>
      <c r="W819" s="29"/>
      <c r="X819" s="29"/>
      <c r="Y819" s="29"/>
      <c r="Z819" s="29"/>
      <c r="AA819" s="29"/>
      <c r="AB819" s="29"/>
      <c r="AC819" s="29"/>
      <c r="AD819" s="29"/>
      <c r="AE819" s="29"/>
      <c r="AF819" s="29"/>
      <c r="AG819" s="29"/>
    </row>
    <row r="820">
      <c r="A820" s="240" t="s">
        <v>715</v>
      </c>
      <c r="B820" s="240" t="s">
        <v>1852</v>
      </c>
      <c r="C820" s="128"/>
      <c r="D820" s="321" t="s">
        <v>60</v>
      </c>
      <c r="E820" s="325" t="s">
        <v>7923</v>
      </c>
      <c r="F820" s="325" t="s">
        <v>1998</v>
      </c>
      <c r="G820" s="493">
        <v>45988.0</v>
      </c>
      <c r="H820" s="493">
        <v>46001.0</v>
      </c>
      <c r="I820" s="189">
        <f>IFERROR(__xludf.DUMMYFUNCTION("IF(ISBLANK(H820), TODAY()-TO_DATE(G820), TO_DATE(H820)-TO_DATE(G820))+1"),14.0)</f>
        <v>14</v>
      </c>
      <c r="J820" s="240">
        <v>500.0</v>
      </c>
      <c r="K820" s="40" t="s">
        <v>7926</v>
      </c>
      <c r="L820" s="40" t="s">
        <v>7928</v>
      </c>
      <c r="M820" s="63"/>
      <c r="N820" s="29"/>
      <c r="O820" s="29"/>
      <c r="P820" s="29"/>
      <c r="Q820" s="29"/>
      <c r="R820" s="29"/>
      <c r="S820" s="29"/>
      <c r="T820" s="29"/>
      <c r="U820" s="29"/>
      <c r="V820" s="29"/>
      <c r="W820" s="29"/>
      <c r="X820" s="29"/>
      <c r="Y820" s="29"/>
      <c r="Z820" s="29"/>
      <c r="AA820" s="29"/>
      <c r="AB820" s="29"/>
      <c r="AC820" s="29"/>
      <c r="AD820" s="29"/>
      <c r="AE820" s="29"/>
      <c r="AF820" s="29"/>
      <c r="AG820" s="29"/>
    </row>
    <row r="821">
      <c r="A821" s="240" t="s">
        <v>715</v>
      </c>
      <c r="B821" s="240" t="s">
        <v>1852</v>
      </c>
      <c r="C821" s="128"/>
      <c r="D821" s="321" t="s">
        <v>60</v>
      </c>
      <c r="E821" s="325" t="s">
        <v>2214</v>
      </c>
      <c r="F821" s="325" t="s">
        <v>7930</v>
      </c>
      <c r="G821" s="493">
        <v>45988.0</v>
      </c>
      <c r="H821" s="493">
        <v>45999.0</v>
      </c>
      <c r="I821" s="189">
        <f>IFERROR(__xludf.DUMMYFUNCTION("IF(ISBLANK(H821), TODAY()-TO_DATE(G821), TO_DATE(H821)-TO_DATE(G821))+1"),12.0)</f>
        <v>12</v>
      </c>
      <c r="J821" s="240" t="s">
        <v>197</v>
      </c>
      <c r="K821" s="325" t="s">
        <v>7932</v>
      </c>
      <c r="L821" s="787"/>
      <c r="M821" s="63"/>
      <c r="N821" s="29"/>
      <c r="O821" s="29"/>
      <c r="P821" s="29"/>
      <c r="Q821" s="29"/>
      <c r="R821" s="29"/>
      <c r="S821" s="29"/>
      <c r="T821" s="29"/>
      <c r="U821" s="29"/>
      <c r="V821" s="29"/>
      <c r="W821" s="29"/>
      <c r="X821" s="29"/>
      <c r="Y821" s="29"/>
      <c r="Z821" s="29"/>
      <c r="AA821" s="29"/>
      <c r="AB821" s="29"/>
      <c r="AC821" s="29"/>
      <c r="AD821" s="29"/>
      <c r="AE821" s="29"/>
      <c r="AF821" s="29"/>
      <c r="AG821" s="29"/>
    </row>
    <row r="822">
      <c r="A822" s="240" t="s">
        <v>715</v>
      </c>
      <c r="B822" s="240" t="s">
        <v>1852</v>
      </c>
      <c r="C822" s="128"/>
      <c r="D822" s="321" t="s">
        <v>60</v>
      </c>
      <c r="E822" s="325" t="s">
        <v>2202</v>
      </c>
      <c r="F822" s="325" t="s">
        <v>2157</v>
      </c>
      <c r="G822" s="493">
        <v>45988.0</v>
      </c>
      <c r="H822" s="493">
        <v>46019.0</v>
      </c>
      <c r="I822" s="189">
        <f>IFERROR(__xludf.DUMMYFUNCTION("IF(ISBLANK(H822), TODAY()-TO_DATE(G822), TO_DATE(H822)-TO_DATE(G822))+1"),32.0)</f>
        <v>32</v>
      </c>
      <c r="J822" s="240" t="s">
        <v>197</v>
      </c>
      <c r="K822" s="40" t="s">
        <v>7938</v>
      </c>
      <c r="L822" s="40" t="s">
        <v>7939</v>
      </c>
      <c r="M822" s="63"/>
      <c r="N822" s="29"/>
      <c r="O822" s="29"/>
      <c r="P822" s="29"/>
      <c r="Q822" s="29"/>
      <c r="R822" s="29"/>
      <c r="S822" s="29"/>
      <c r="T822" s="29"/>
      <c r="U822" s="29"/>
      <c r="V822" s="29"/>
      <c r="W822" s="29"/>
      <c r="X822" s="29"/>
      <c r="Y822" s="29"/>
      <c r="Z822" s="29"/>
      <c r="AA822" s="29"/>
      <c r="AB822" s="29"/>
      <c r="AC822" s="29"/>
      <c r="AD822" s="29"/>
      <c r="AE822" s="29"/>
      <c r="AF822" s="29"/>
      <c r="AG822" s="29"/>
    </row>
    <row r="823">
      <c r="A823" s="240" t="s">
        <v>715</v>
      </c>
      <c r="B823" s="240" t="s">
        <v>1852</v>
      </c>
      <c r="C823" s="128"/>
      <c r="D823" s="321" t="s">
        <v>60</v>
      </c>
      <c r="E823" s="325" t="s">
        <v>2252</v>
      </c>
      <c r="F823" s="325" t="s">
        <v>2253</v>
      </c>
      <c r="G823" s="493">
        <v>45988.0</v>
      </c>
      <c r="H823" s="493">
        <v>45992.0</v>
      </c>
      <c r="I823" s="189">
        <f>IFERROR(__xludf.DUMMYFUNCTION("IF(ISBLANK(H823), TODAY()-TO_DATE(G823), TO_DATE(H823)-TO_DATE(G823))+1"),5.0)</f>
        <v>5</v>
      </c>
      <c r="J823" s="240">
        <v>500.0</v>
      </c>
      <c r="K823" s="40" t="s">
        <v>7943</v>
      </c>
      <c r="L823" s="40"/>
      <c r="M823" s="240" t="s">
        <v>7944</v>
      </c>
      <c r="N823" s="29"/>
      <c r="O823" s="29"/>
      <c r="P823" s="29"/>
      <c r="Q823" s="29"/>
      <c r="R823" s="29"/>
      <c r="S823" s="29"/>
      <c r="T823" s="29"/>
      <c r="U823" s="29"/>
      <c r="V823" s="29"/>
      <c r="W823" s="29"/>
      <c r="X823" s="29"/>
      <c r="Y823" s="29"/>
      <c r="Z823" s="29"/>
      <c r="AA823" s="29"/>
      <c r="AB823" s="29"/>
      <c r="AC823" s="29"/>
      <c r="AD823" s="29"/>
      <c r="AE823" s="29"/>
      <c r="AF823" s="29"/>
      <c r="AG823" s="29"/>
    </row>
    <row r="824">
      <c r="A824" s="40" t="s">
        <v>1032</v>
      </c>
      <c r="B824" s="240" t="s">
        <v>375</v>
      </c>
      <c r="C824" s="171" t="s">
        <v>58</v>
      </c>
      <c r="D824" s="321" t="s">
        <v>60</v>
      </c>
      <c r="E824" s="325" t="s">
        <v>2871</v>
      </c>
      <c r="F824" s="325" t="s">
        <v>2873</v>
      </c>
      <c r="G824" s="493">
        <v>45989.0</v>
      </c>
      <c r="H824" s="493">
        <v>46007.0</v>
      </c>
      <c r="I824" s="189">
        <f>IFERROR(__xludf.DUMMYFUNCTION("IF(ISBLANK(H824), TODAY()-TO_DATE(G824), TO_DATE(H824)-TO_DATE(G824))+1"),19.0)</f>
        <v>19</v>
      </c>
      <c r="J824" s="240">
        <v>300.0</v>
      </c>
      <c r="K824" s="240" t="s">
        <v>7951</v>
      </c>
      <c r="L824" s="321" t="s">
        <v>3421</v>
      </c>
      <c r="M824" s="63"/>
      <c r="N824" s="29"/>
      <c r="O824" s="29"/>
      <c r="P824" s="29"/>
      <c r="Q824" s="29"/>
      <c r="R824" s="29"/>
      <c r="S824" s="29"/>
      <c r="T824" s="29"/>
      <c r="U824" s="29"/>
      <c r="V824" s="29"/>
      <c r="W824" s="29"/>
      <c r="X824" s="29"/>
      <c r="Y824" s="29"/>
      <c r="Z824" s="29"/>
      <c r="AA824" s="29"/>
      <c r="AB824" s="29"/>
      <c r="AC824" s="29"/>
      <c r="AD824" s="29"/>
      <c r="AE824" s="29"/>
      <c r="AF824" s="29"/>
      <c r="AG824" s="29"/>
    </row>
    <row r="825">
      <c r="A825" s="40" t="s">
        <v>2451</v>
      </c>
      <c r="B825" s="240" t="s">
        <v>375</v>
      </c>
      <c r="C825" s="171" t="s">
        <v>201</v>
      </c>
      <c r="D825" s="321" t="s">
        <v>60</v>
      </c>
      <c r="E825" s="325" t="s">
        <v>2770</v>
      </c>
      <c r="F825" s="325" t="s">
        <v>555</v>
      </c>
      <c r="G825" s="493">
        <v>45989.0</v>
      </c>
      <c r="H825" s="493">
        <v>45996.0</v>
      </c>
      <c r="I825" s="189">
        <f>IFERROR(__xludf.DUMMYFUNCTION("IF(ISBLANK(H825), TODAY()-TO_DATE(G825), TO_DATE(H825)-TO_DATE(G825))+1"),8.0)</f>
        <v>8</v>
      </c>
      <c r="J825" s="240">
        <v>500.0</v>
      </c>
      <c r="K825" s="240" t="s">
        <v>7958</v>
      </c>
      <c r="L825" s="321" t="s">
        <v>7959</v>
      </c>
      <c r="M825" s="63"/>
      <c r="N825" s="29"/>
      <c r="O825" s="29"/>
      <c r="P825" s="29"/>
      <c r="Q825" s="29"/>
      <c r="R825" s="29"/>
      <c r="S825" s="29"/>
      <c r="T825" s="29"/>
      <c r="U825" s="29"/>
      <c r="V825" s="29"/>
      <c r="W825" s="29"/>
      <c r="X825" s="29"/>
      <c r="Y825" s="29"/>
      <c r="Z825" s="29"/>
      <c r="AA825" s="29"/>
      <c r="AB825" s="29"/>
      <c r="AC825" s="29"/>
      <c r="AD825" s="29"/>
      <c r="AE825" s="29"/>
      <c r="AF825" s="29"/>
      <c r="AG825" s="29"/>
    </row>
    <row r="826">
      <c r="A826" s="40" t="s">
        <v>145</v>
      </c>
      <c r="B826" s="240" t="s">
        <v>375</v>
      </c>
      <c r="C826" s="648" t="s">
        <v>7066</v>
      </c>
      <c r="D826" s="321" t="s">
        <v>60</v>
      </c>
      <c r="E826" s="325" t="s">
        <v>5979</v>
      </c>
      <c r="F826" s="325" t="s">
        <v>748</v>
      </c>
      <c r="G826" s="493">
        <v>45989.0</v>
      </c>
      <c r="H826" s="493">
        <v>46008.0</v>
      </c>
      <c r="I826" s="189">
        <f>IFERROR(__xludf.DUMMYFUNCTION("IF(ISBLANK(H826), TODAY()-TO_DATE(G826), TO_DATE(H826)-TO_DATE(G826))+1"),20.0)</f>
        <v>20</v>
      </c>
      <c r="J826" s="240" t="s">
        <v>197</v>
      </c>
      <c r="K826" s="240" t="s">
        <v>7967</v>
      </c>
      <c r="L826" s="706"/>
      <c r="M826" s="63"/>
      <c r="N826" s="29"/>
      <c r="O826" s="29"/>
      <c r="P826" s="29"/>
      <c r="Q826" s="29"/>
      <c r="R826" s="29"/>
      <c r="S826" s="29"/>
      <c r="T826" s="29"/>
      <c r="U826" s="29"/>
      <c r="V826" s="29"/>
      <c r="W826" s="29"/>
      <c r="X826" s="29"/>
      <c r="Y826" s="29"/>
      <c r="Z826" s="29"/>
      <c r="AA826" s="29"/>
      <c r="AB826" s="29"/>
      <c r="AC826" s="29"/>
      <c r="AD826" s="29"/>
      <c r="AE826" s="29"/>
      <c r="AF826" s="29"/>
      <c r="AG826" s="29"/>
    </row>
    <row r="827">
      <c r="A827" s="40" t="s">
        <v>145</v>
      </c>
      <c r="B827" s="240" t="s">
        <v>375</v>
      </c>
      <c r="C827" s="648" t="s">
        <v>5473</v>
      </c>
      <c r="D827" s="321" t="s">
        <v>60</v>
      </c>
      <c r="E827" s="325" t="s">
        <v>5478</v>
      </c>
      <c r="F827" s="325" t="s">
        <v>5480</v>
      </c>
      <c r="G827" s="493">
        <v>45989.0</v>
      </c>
      <c r="H827" s="493">
        <v>45993.0</v>
      </c>
      <c r="I827" s="189">
        <f>IFERROR(__xludf.DUMMYFUNCTION("IF(ISBLANK(H827), TODAY()-TO_DATE(G827), TO_DATE(H827)-TO_DATE(G827))+1"),5.0)</f>
        <v>5</v>
      </c>
      <c r="J827" s="240">
        <v>500.0</v>
      </c>
      <c r="K827" s="240" t="s">
        <v>7977</v>
      </c>
      <c r="L827" s="706"/>
      <c r="M827" s="63"/>
      <c r="N827" s="29"/>
      <c r="O827" s="29"/>
      <c r="P827" s="29"/>
      <c r="Q827" s="29"/>
      <c r="R827" s="29"/>
      <c r="S827" s="29"/>
      <c r="T827" s="29"/>
      <c r="U827" s="29"/>
      <c r="V827" s="29"/>
      <c r="W827" s="29"/>
      <c r="X827" s="29"/>
      <c r="Y827" s="29"/>
      <c r="Z827" s="29"/>
      <c r="AA827" s="29"/>
      <c r="AB827" s="29"/>
      <c r="AC827" s="29"/>
      <c r="AD827" s="29"/>
      <c r="AE827" s="29"/>
      <c r="AF827" s="29"/>
      <c r="AG827" s="29"/>
    </row>
    <row r="828">
      <c r="A828" s="40" t="s">
        <v>2451</v>
      </c>
      <c r="B828" s="240" t="s">
        <v>375</v>
      </c>
      <c r="C828" s="266" t="s">
        <v>213</v>
      </c>
      <c r="D828" s="321" t="s">
        <v>60</v>
      </c>
      <c r="E828" s="325" t="s">
        <v>7982</v>
      </c>
      <c r="F828" s="325" t="s">
        <v>7984</v>
      </c>
      <c r="G828" s="493">
        <v>45990.0</v>
      </c>
      <c r="H828" s="493">
        <v>46000.0</v>
      </c>
      <c r="I828" s="189">
        <f>IFERROR(__xludf.DUMMYFUNCTION("IF(ISBLANK(H828), TODAY()-TO_DATE(G828), TO_DATE(H828)-TO_DATE(G828))+1"),11.0)</f>
        <v>11</v>
      </c>
      <c r="J828" s="240">
        <v>500.0</v>
      </c>
      <c r="K828" s="240" t="s">
        <v>7986</v>
      </c>
      <c r="L828" s="321" t="s">
        <v>7987</v>
      </c>
      <c r="M828" s="63"/>
      <c r="N828" s="29"/>
      <c r="O828" s="29"/>
      <c r="P828" s="29"/>
      <c r="Q828" s="29"/>
      <c r="R828" s="29"/>
      <c r="S828" s="29"/>
      <c r="T828" s="29"/>
      <c r="U828" s="29"/>
      <c r="V828" s="29"/>
      <c r="W828" s="29"/>
      <c r="X828" s="29"/>
      <c r="Y828" s="29"/>
      <c r="Z828" s="29"/>
      <c r="AA828" s="29"/>
      <c r="AB828" s="29"/>
      <c r="AC828" s="29"/>
      <c r="AD828" s="29"/>
      <c r="AE828" s="29"/>
      <c r="AF828" s="29"/>
      <c r="AG828" s="29"/>
    </row>
    <row r="829">
      <c r="A829" s="325" t="s">
        <v>150</v>
      </c>
      <c r="B829" s="240" t="s">
        <v>375</v>
      </c>
      <c r="C829" s="171" t="s">
        <v>201</v>
      </c>
      <c r="D829" s="321" t="s">
        <v>60</v>
      </c>
      <c r="E829" s="325" t="s">
        <v>7991</v>
      </c>
      <c r="F829" s="325" t="s">
        <v>833</v>
      </c>
      <c r="G829" s="493">
        <v>45990.0</v>
      </c>
      <c r="H829" s="493">
        <v>46001.0</v>
      </c>
      <c r="I829" s="189">
        <f>IFERROR(__xludf.DUMMYFUNCTION("IF(ISBLANK(H829), TODAY()-TO_DATE(G829), TO_DATE(H829)-TO_DATE(G829))+1"),12.0)</f>
        <v>12</v>
      </c>
      <c r="J829" s="240">
        <v>500.0</v>
      </c>
      <c r="K829" s="240" t="s">
        <v>7995</v>
      </c>
      <c r="L829" s="790"/>
      <c r="M829" s="63"/>
      <c r="N829" s="29"/>
      <c r="O829" s="29"/>
      <c r="P829" s="29"/>
      <c r="Q829" s="29"/>
      <c r="R829" s="29"/>
      <c r="S829" s="29"/>
      <c r="T829" s="29"/>
      <c r="U829" s="29"/>
      <c r="V829" s="29"/>
      <c r="W829" s="29"/>
      <c r="X829" s="29"/>
      <c r="Y829" s="29"/>
      <c r="Z829" s="29"/>
      <c r="AA829" s="29"/>
      <c r="AB829" s="29"/>
      <c r="AC829" s="29"/>
      <c r="AD829" s="29"/>
      <c r="AE829" s="29"/>
      <c r="AF829" s="29"/>
      <c r="AG829" s="29"/>
    </row>
    <row r="830">
      <c r="A830" s="325" t="s">
        <v>2451</v>
      </c>
      <c r="B830" s="240" t="s">
        <v>375</v>
      </c>
      <c r="C830" s="266" t="s">
        <v>213</v>
      </c>
      <c r="D830" s="321" t="s">
        <v>60</v>
      </c>
      <c r="E830" s="325" t="s">
        <v>8000</v>
      </c>
      <c r="F830" s="325" t="s">
        <v>8001</v>
      </c>
      <c r="G830" s="493">
        <v>45990.0</v>
      </c>
      <c r="H830" s="493">
        <v>46000.0</v>
      </c>
      <c r="I830" s="189">
        <f>IFERROR(__xludf.DUMMYFUNCTION("IF(ISBLANK(H830), TODAY()-TO_DATE(G830), TO_DATE(H830)-TO_DATE(G830))+1"),11.0)</f>
        <v>11</v>
      </c>
      <c r="J830" s="240">
        <v>500.0</v>
      </c>
      <c r="K830" s="240" t="s">
        <v>8004</v>
      </c>
      <c r="L830" s="321" t="s">
        <v>8005</v>
      </c>
      <c r="M830" s="63"/>
      <c r="N830" s="29"/>
      <c r="O830" s="29"/>
      <c r="P830" s="29"/>
      <c r="Q830" s="29"/>
      <c r="R830" s="29"/>
      <c r="S830" s="29"/>
      <c r="T830" s="29"/>
      <c r="U830" s="29"/>
      <c r="V830" s="29"/>
      <c r="W830" s="29"/>
      <c r="X830" s="29"/>
      <c r="Y830" s="29"/>
      <c r="Z830" s="29"/>
      <c r="AA830" s="29"/>
      <c r="AB830" s="29"/>
      <c r="AC830" s="29"/>
      <c r="AD830" s="29"/>
      <c r="AE830" s="29"/>
      <c r="AF830" s="29"/>
      <c r="AG830" s="29"/>
    </row>
    <row r="831">
      <c r="A831" s="325" t="s">
        <v>1032</v>
      </c>
      <c r="B831" s="240" t="s">
        <v>375</v>
      </c>
      <c r="C831" s="128"/>
      <c r="D831" s="321" t="s">
        <v>60</v>
      </c>
      <c r="E831" s="325" t="s">
        <v>5555</v>
      </c>
      <c r="F831" s="325" t="s">
        <v>5556</v>
      </c>
      <c r="G831" s="493">
        <v>45990.0</v>
      </c>
      <c r="H831" s="493">
        <v>46000.0</v>
      </c>
      <c r="I831" s="189">
        <f>IFERROR(__xludf.DUMMYFUNCTION("IF(ISBLANK(H831), TODAY()-TO_DATE(G831), TO_DATE(H831)-TO_DATE(G831))+1"),11.0)</f>
        <v>11</v>
      </c>
      <c r="J831" s="240">
        <v>500.0</v>
      </c>
      <c r="K831" s="325" t="s">
        <v>8012</v>
      </c>
      <c r="L831" s="790"/>
      <c r="M831" s="63"/>
      <c r="N831" s="29"/>
      <c r="O831" s="29"/>
      <c r="P831" s="29"/>
      <c r="Q831" s="29"/>
      <c r="R831" s="29"/>
      <c r="S831" s="29"/>
      <c r="T831" s="29"/>
      <c r="U831" s="29"/>
      <c r="V831" s="29"/>
      <c r="W831" s="29"/>
      <c r="X831" s="29"/>
      <c r="Y831" s="29"/>
      <c r="Z831" s="29"/>
      <c r="AA831" s="29"/>
      <c r="AB831" s="29"/>
      <c r="AC831" s="29"/>
      <c r="AD831" s="29"/>
      <c r="AE831" s="29"/>
      <c r="AF831" s="29"/>
      <c r="AG831" s="29"/>
    </row>
    <row r="832">
      <c r="A832" s="240" t="s">
        <v>715</v>
      </c>
      <c r="B832" s="240" t="s">
        <v>1852</v>
      </c>
      <c r="C832" s="128" t="s">
        <v>1877</v>
      </c>
      <c r="D832" s="321" t="s">
        <v>60</v>
      </c>
      <c r="E832" s="325" t="s">
        <v>1878</v>
      </c>
      <c r="F832" s="325" t="s">
        <v>1879</v>
      </c>
      <c r="G832" s="493">
        <v>45991.0</v>
      </c>
      <c r="H832" s="493">
        <v>46004.0</v>
      </c>
      <c r="I832" s="189">
        <f>IFERROR(__xludf.DUMMYFUNCTION("IF(ISBLANK(H832), TODAY()-TO_DATE(G832), TO_DATE(H832)-TO_DATE(G832))+1"),14.0)</f>
        <v>14</v>
      </c>
      <c r="J832" s="240">
        <v>500.0</v>
      </c>
      <c r="K832" s="793" t="s">
        <v>8023</v>
      </c>
      <c r="L832" s="40"/>
      <c r="M832" s="240" t="s">
        <v>8026</v>
      </c>
      <c r="N832" s="29"/>
      <c r="O832" s="29"/>
      <c r="P832" s="29"/>
      <c r="Q832" s="29"/>
      <c r="R832" s="29"/>
      <c r="S832" s="29"/>
      <c r="T832" s="29"/>
      <c r="U832" s="29"/>
      <c r="V832" s="29"/>
      <c r="W832" s="29"/>
      <c r="X832" s="29"/>
      <c r="Y832" s="29"/>
      <c r="Z832" s="29"/>
      <c r="AA832" s="29"/>
      <c r="AB832" s="29"/>
      <c r="AC832" s="29"/>
      <c r="AD832" s="29"/>
      <c r="AE832" s="29"/>
      <c r="AF832" s="29"/>
      <c r="AG832" s="29"/>
    </row>
    <row r="833">
      <c r="A833" s="240" t="s">
        <v>715</v>
      </c>
      <c r="B833" s="240" t="s">
        <v>1852</v>
      </c>
      <c r="C833" s="128" t="s">
        <v>1969</v>
      </c>
      <c r="D833" s="321" t="s">
        <v>60</v>
      </c>
      <c r="E833" s="325" t="s">
        <v>1974</v>
      </c>
      <c r="F833" s="325" t="s">
        <v>1979</v>
      </c>
      <c r="G833" s="493">
        <v>45991.0</v>
      </c>
      <c r="H833" s="493">
        <v>46003.0</v>
      </c>
      <c r="I833" s="189">
        <f>IFERROR(__xludf.DUMMYFUNCTION("IF(ISBLANK(H833), TODAY()-TO_DATE(G833), TO_DATE(H833)-TO_DATE(G833))+1"),13.0)</f>
        <v>13</v>
      </c>
      <c r="J833" s="240" t="s">
        <v>197</v>
      </c>
      <c r="K833" s="794" t="s">
        <v>8031</v>
      </c>
      <c r="L833" s="40" t="s">
        <v>8033</v>
      </c>
      <c r="M833" s="63"/>
      <c r="N833" s="29"/>
      <c r="O833" s="29"/>
      <c r="P833" s="29"/>
      <c r="Q833" s="29"/>
      <c r="R833" s="29"/>
      <c r="S833" s="29"/>
      <c r="T833" s="29"/>
      <c r="U833" s="29"/>
      <c r="V833" s="29"/>
      <c r="W833" s="29"/>
      <c r="X833" s="29"/>
      <c r="Y833" s="29"/>
      <c r="Z833" s="29"/>
      <c r="AA833" s="29"/>
      <c r="AB833" s="29"/>
      <c r="AC833" s="29"/>
      <c r="AD833" s="29"/>
      <c r="AE833" s="29"/>
      <c r="AF833" s="29"/>
      <c r="AG833" s="29"/>
    </row>
    <row r="834">
      <c r="A834" s="240" t="s">
        <v>715</v>
      </c>
      <c r="B834" s="240" t="s">
        <v>1852</v>
      </c>
      <c r="C834" s="128" t="s">
        <v>2091</v>
      </c>
      <c r="D834" s="321" t="s">
        <v>60</v>
      </c>
      <c r="E834" s="325" t="s">
        <v>2101</v>
      </c>
      <c r="F834" s="325" t="s">
        <v>2102</v>
      </c>
      <c r="G834" s="493">
        <v>45991.0</v>
      </c>
      <c r="H834" s="493">
        <v>46006.0</v>
      </c>
      <c r="I834" s="189">
        <f>IFERROR(__xludf.DUMMYFUNCTION("IF(ISBLANK(H834), TODAY()-TO_DATE(G834), TO_DATE(H834)-TO_DATE(G834))+1"),16.0)</f>
        <v>16</v>
      </c>
      <c r="J834" s="240">
        <v>500.0</v>
      </c>
      <c r="K834" s="40" t="s">
        <v>8041</v>
      </c>
      <c r="L834" s="40" t="s">
        <v>8042</v>
      </c>
      <c r="M834" s="63"/>
      <c r="N834" s="29"/>
      <c r="O834" s="29"/>
      <c r="P834" s="29"/>
      <c r="Q834" s="29"/>
      <c r="R834" s="29"/>
      <c r="S834" s="29"/>
      <c r="T834" s="29"/>
      <c r="U834" s="29"/>
      <c r="V834" s="29"/>
      <c r="W834" s="29"/>
      <c r="X834" s="29"/>
      <c r="Y834" s="29"/>
      <c r="Z834" s="29"/>
      <c r="AA834" s="29"/>
      <c r="AB834" s="29"/>
      <c r="AC834" s="29"/>
      <c r="AD834" s="29"/>
      <c r="AE834" s="29"/>
      <c r="AF834" s="29"/>
      <c r="AG834" s="29"/>
    </row>
    <row r="835">
      <c r="A835" s="240" t="s">
        <v>715</v>
      </c>
      <c r="B835" s="240" t="s">
        <v>1852</v>
      </c>
      <c r="C835" s="128" t="s">
        <v>2130</v>
      </c>
      <c r="D835" s="321" t="s">
        <v>60</v>
      </c>
      <c r="E835" s="325" t="s">
        <v>2134</v>
      </c>
      <c r="F835" s="325" t="s">
        <v>2135</v>
      </c>
      <c r="G835" s="493">
        <v>45991.0</v>
      </c>
      <c r="H835" s="493">
        <v>46015.0</v>
      </c>
      <c r="I835" s="189">
        <f>IFERROR(__xludf.DUMMYFUNCTION("IF(ISBLANK(H835), TODAY()-TO_DATE(G835), TO_DATE(H835)-TO_DATE(G835))+1"),25.0)</f>
        <v>25</v>
      </c>
      <c r="J835" s="240">
        <v>300.0</v>
      </c>
      <c r="K835" s="40" t="s">
        <v>8046</v>
      </c>
      <c r="L835" s="40"/>
      <c r="M835" s="63"/>
      <c r="N835" s="29"/>
      <c r="O835" s="29"/>
      <c r="P835" s="29"/>
      <c r="Q835" s="29"/>
      <c r="R835" s="29"/>
      <c r="S835" s="29"/>
      <c r="T835" s="29"/>
      <c r="U835" s="29"/>
      <c r="V835" s="29"/>
      <c r="W835" s="29"/>
      <c r="X835" s="29"/>
      <c r="Y835" s="29"/>
      <c r="Z835" s="29"/>
      <c r="AA835" s="29"/>
      <c r="AB835" s="29"/>
      <c r="AC835" s="29"/>
      <c r="AD835" s="29"/>
      <c r="AE835" s="29"/>
      <c r="AF835" s="29"/>
      <c r="AG835" s="29"/>
    </row>
    <row r="836">
      <c r="A836" s="240" t="s">
        <v>715</v>
      </c>
      <c r="B836" s="240" t="s">
        <v>1852</v>
      </c>
      <c r="C836" s="128" t="s">
        <v>2181</v>
      </c>
      <c r="D836" s="321" t="s">
        <v>60</v>
      </c>
      <c r="E836" s="325" t="s">
        <v>2186</v>
      </c>
      <c r="F836" s="325" t="s">
        <v>2187</v>
      </c>
      <c r="G836" s="493">
        <v>45991.0</v>
      </c>
      <c r="H836" s="493">
        <v>46000.0</v>
      </c>
      <c r="I836" s="189">
        <f>IFERROR(__xludf.DUMMYFUNCTION("IF(ISBLANK(H836), TODAY()-TO_DATE(G836), TO_DATE(H836)-TO_DATE(G836))+1"),10.0)</f>
        <v>10</v>
      </c>
      <c r="J836" s="240">
        <v>500.0</v>
      </c>
      <c r="K836" s="325" t="s">
        <v>8054</v>
      </c>
      <c r="L836" s="40" t="s">
        <v>8055</v>
      </c>
      <c r="M836" s="63"/>
      <c r="N836" s="29"/>
      <c r="O836" s="29"/>
      <c r="P836" s="29"/>
      <c r="Q836" s="29"/>
      <c r="R836" s="29"/>
      <c r="S836" s="29"/>
      <c r="T836" s="29"/>
      <c r="U836" s="29"/>
      <c r="V836" s="29"/>
      <c r="W836" s="29"/>
      <c r="X836" s="29"/>
      <c r="Y836" s="29"/>
      <c r="Z836" s="29"/>
      <c r="AA836" s="29"/>
      <c r="AB836" s="29"/>
      <c r="AC836" s="29"/>
      <c r="AD836" s="29"/>
      <c r="AE836" s="29"/>
      <c r="AF836" s="29"/>
      <c r="AG836" s="29"/>
    </row>
    <row r="837">
      <c r="A837" s="240" t="s">
        <v>2451</v>
      </c>
      <c r="B837" s="240" t="s">
        <v>375</v>
      </c>
      <c r="C837" s="163" t="s">
        <v>1431</v>
      </c>
      <c r="D837" s="321" t="s">
        <v>60</v>
      </c>
      <c r="E837" s="241" t="s">
        <v>1499</v>
      </c>
      <c r="F837" s="240" t="s">
        <v>8061</v>
      </c>
      <c r="G837" s="493">
        <v>45991.0</v>
      </c>
      <c r="H837" s="493">
        <v>45991.0</v>
      </c>
      <c r="I837" s="189">
        <f>IFERROR(__xludf.DUMMYFUNCTION("IF(ISBLANK(H837), TODAY()-TO_DATE(G837), TO_DATE(H837)-TO_DATE(G837))+1"),1.0)</f>
        <v>1</v>
      </c>
      <c r="J837" s="240">
        <v>300.0</v>
      </c>
      <c r="K837" s="240"/>
      <c r="L837" s="321"/>
      <c r="M837" s="240" t="s">
        <v>8064</v>
      </c>
      <c r="N837" s="29"/>
      <c r="O837" s="29"/>
      <c r="P837" s="29"/>
      <c r="Q837" s="29"/>
      <c r="R837" s="29"/>
      <c r="S837" s="29"/>
      <c r="T837" s="29"/>
      <c r="U837" s="29"/>
      <c r="V837" s="29"/>
      <c r="W837" s="29"/>
      <c r="X837" s="29"/>
      <c r="Y837" s="29"/>
      <c r="Z837" s="29"/>
      <c r="AA837" s="29"/>
      <c r="AB837" s="29"/>
      <c r="AC837" s="29"/>
      <c r="AD837" s="29"/>
      <c r="AE837" s="29"/>
      <c r="AF837" s="29"/>
      <c r="AG837" s="29"/>
    </row>
    <row r="838">
      <c r="A838" s="240" t="s">
        <v>2451</v>
      </c>
      <c r="B838" s="240" t="s">
        <v>375</v>
      </c>
      <c r="C838" s="422" t="s">
        <v>287</v>
      </c>
      <c r="D838" s="321" t="s">
        <v>60</v>
      </c>
      <c r="E838" s="688" t="s">
        <v>8070</v>
      </c>
      <c r="F838" s="240" t="s">
        <v>8071</v>
      </c>
      <c r="G838" s="493">
        <v>45991.0</v>
      </c>
      <c r="H838" s="493">
        <v>45991.0</v>
      </c>
      <c r="I838" s="189">
        <f>IFERROR(__xludf.DUMMYFUNCTION("IF(ISBLANK(H838), TODAY()-TO_DATE(G838), TO_DATE(H838)-TO_DATE(G838))+1"),1.0)</f>
        <v>1</v>
      </c>
      <c r="J838" s="240">
        <v>300.0</v>
      </c>
      <c r="K838" s="240"/>
      <c r="L838" s="321"/>
      <c r="M838" s="240" t="s">
        <v>8064</v>
      </c>
      <c r="N838" s="29"/>
      <c r="O838" s="29"/>
      <c r="P838" s="29"/>
      <c r="Q838" s="29"/>
      <c r="R838" s="29"/>
      <c r="S838" s="29"/>
      <c r="T838" s="29"/>
      <c r="U838" s="29"/>
      <c r="V838" s="29"/>
      <c r="W838" s="29"/>
      <c r="X838" s="29"/>
      <c r="Y838" s="29"/>
      <c r="Z838" s="29"/>
      <c r="AA838" s="29"/>
      <c r="AB838" s="29"/>
      <c r="AC838" s="29"/>
      <c r="AD838" s="29"/>
      <c r="AE838" s="29"/>
      <c r="AF838" s="29"/>
      <c r="AG838" s="29"/>
    </row>
    <row r="839">
      <c r="A839" s="240" t="s">
        <v>2451</v>
      </c>
      <c r="B839" s="240" t="s">
        <v>375</v>
      </c>
      <c r="C839" s="454" t="s">
        <v>321</v>
      </c>
      <c r="D839" s="321" t="s">
        <v>60</v>
      </c>
      <c r="E839" s="240" t="s">
        <v>8079</v>
      </c>
      <c r="F839" s="240" t="s">
        <v>8080</v>
      </c>
      <c r="G839" s="493">
        <v>45992.0</v>
      </c>
      <c r="H839" s="493">
        <v>46001.0</v>
      </c>
      <c r="I839" s="189">
        <f>IFERROR(__xludf.DUMMYFUNCTION("IF(ISBLANK(H839), TODAY()-TO_DATE(G839), TO_DATE(H839)-TO_DATE(G839))+1"),10.0)</f>
        <v>10</v>
      </c>
      <c r="J839" s="240">
        <v>500.0</v>
      </c>
      <c r="K839" s="240" t="s">
        <v>8082</v>
      </c>
      <c r="L839" s="321" t="s">
        <v>7069</v>
      </c>
      <c r="M839" s="63"/>
      <c r="N839" s="29"/>
      <c r="O839" s="29"/>
      <c r="P839" s="29"/>
      <c r="Q839" s="29"/>
      <c r="R839" s="29"/>
      <c r="S839" s="29"/>
      <c r="T839" s="29"/>
      <c r="U839" s="29"/>
      <c r="V839" s="29"/>
      <c r="W839" s="29"/>
      <c r="X839" s="29"/>
      <c r="Y839" s="29"/>
      <c r="Z839" s="29"/>
      <c r="AA839" s="29"/>
      <c r="AB839" s="29"/>
      <c r="AC839" s="29"/>
      <c r="AD839" s="29"/>
      <c r="AE839" s="29"/>
      <c r="AF839" s="29"/>
      <c r="AG839" s="29"/>
    </row>
    <row r="840">
      <c r="A840" s="240" t="s">
        <v>2451</v>
      </c>
      <c r="B840" s="240" t="s">
        <v>375</v>
      </c>
      <c r="C840" s="454" t="s">
        <v>321</v>
      </c>
      <c r="D840" s="321" t="s">
        <v>60</v>
      </c>
      <c r="E840" s="240" t="s">
        <v>3581</v>
      </c>
      <c r="F840" s="240" t="s">
        <v>3582</v>
      </c>
      <c r="G840" s="493">
        <v>45992.0</v>
      </c>
      <c r="H840" s="493">
        <v>46024.0</v>
      </c>
      <c r="I840" s="189">
        <f>IFERROR(__xludf.DUMMYFUNCTION("IF(ISBLANK(H840), TODAY()-TO_DATE(G840), TO_DATE(H840)-TO_DATE(G840))+1"),33.0)</f>
        <v>33</v>
      </c>
      <c r="J840" s="240">
        <v>500.0</v>
      </c>
      <c r="K840" s="240" t="s">
        <v>8085</v>
      </c>
      <c r="L840" s="507"/>
      <c r="M840" s="63"/>
      <c r="N840" s="29"/>
      <c r="O840" s="29"/>
      <c r="P840" s="29"/>
      <c r="Q840" s="29"/>
      <c r="R840" s="29"/>
      <c r="S840" s="29"/>
      <c r="T840" s="29"/>
      <c r="U840" s="29"/>
      <c r="V840" s="29"/>
      <c r="W840" s="29"/>
      <c r="X840" s="29"/>
      <c r="Y840" s="29"/>
      <c r="Z840" s="29"/>
      <c r="AA840" s="29"/>
      <c r="AB840" s="29"/>
      <c r="AC840" s="29"/>
      <c r="AD840" s="29"/>
      <c r="AE840" s="29"/>
      <c r="AF840" s="29"/>
      <c r="AG840" s="29"/>
    </row>
    <row r="841">
      <c r="A841" s="240" t="s">
        <v>1313</v>
      </c>
      <c r="B841" s="240" t="s">
        <v>375</v>
      </c>
      <c r="C841" s="128"/>
      <c r="D841" s="321" t="s">
        <v>60</v>
      </c>
      <c r="E841" s="240" t="s">
        <v>4566</v>
      </c>
      <c r="F841" s="240" t="s">
        <v>4567</v>
      </c>
      <c r="G841" s="493">
        <v>45992.0</v>
      </c>
      <c r="H841" s="493">
        <v>45998.0</v>
      </c>
      <c r="I841" s="189">
        <f>IFERROR(__xludf.DUMMYFUNCTION("IF(ISBLANK(H841), TODAY()-TO_DATE(G841), TO_DATE(H841)-TO_DATE(G841))+1"),7.0)</f>
        <v>7</v>
      </c>
      <c r="J841" s="240">
        <v>500.0</v>
      </c>
      <c r="K841" s="240" t="s">
        <v>8089</v>
      </c>
      <c r="L841" s="321" t="s">
        <v>8091</v>
      </c>
      <c r="M841" s="63"/>
      <c r="N841" s="29"/>
      <c r="O841" s="29"/>
      <c r="P841" s="29"/>
      <c r="Q841" s="29"/>
      <c r="R841" s="29"/>
      <c r="S841" s="29"/>
      <c r="T841" s="29"/>
      <c r="U841" s="29"/>
      <c r="V841" s="29"/>
      <c r="W841" s="29"/>
      <c r="X841" s="29"/>
      <c r="Y841" s="29"/>
      <c r="Z841" s="29"/>
      <c r="AA841" s="29"/>
      <c r="AB841" s="29"/>
      <c r="AC841" s="29"/>
      <c r="AD841" s="29"/>
      <c r="AE841" s="29"/>
      <c r="AF841" s="29"/>
      <c r="AG841" s="29"/>
    </row>
    <row r="842">
      <c r="A842" s="240" t="s">
        <v>1313</v>
      </c>
      <c r="B842" s="240" t="s">
        <v>375</v>
      </c>
      <c r="C842" s="128"/>
      <c r="D842" s="85" t="s">
        <v>360</v>
      </c>
      <c r="E842" s="240" t="s">
        <v>4551</v>
      </c>
      <c r="F842" s="240" t="s">
        <v>4552</v>
      </c>
      <c r="G842" s="493">
        <v>45992.0</v>
      </c>
      <c r="H842" s="493">
        <v>45998.0</v>
      </c>
      <c r="I842" s="189">
        <f>IFERROR(__xludf.DUMMYFUNCTION("IF(ISBLANK(H842), TODAY()-TO_DATE(G842), TO_DATE(H842)-TO_DATE(G842))+1"),7.0)</f>
        <v>7</v>
      </c>
      <c r="J842" s="240">
        <v>500.0</v>
      </c>
      <c r="K842" s="240" t="s">
        <v>8096</v>
      </c>
      <c r="L842" s="507"/>
      <c r="M842" s="63"/>
      <c r="N842" s="29"/>
      <c r="O842" s="29"/>
      <c r="P842" s="29"/>
      <c r="Q842" s="29"/>
      <c r="R842" s="29"/>
      <c r="S842" s="29"/>
      <c r="T842" s="29"/>
      <c r="U842" s="29"/>
      <c r="V842" s="29"/>
      <c r="W842" s="29"/>
      <c r="X842" s="29"/>
      <c r="Y842" s="29"/>
      <c r="Z842" s="29"/>
      <c r="AA842" s="29"/>
      <c r="AB842" s="29"/>
      <c r="AC842" s="29"/>
      <c r="AD842" s="29"/>
      <c r="AE842" s="29"/>
      <c r="AF842" s="29"/>
      <c r="AG842" s="29"/>
    </row>
    <row r="843">
      <c r="A843" s="240" t="s">
        <v>2451</v>
      </c>
      <c r="B843" s="240" t="s">
        <v>375</v>
      </c>
      <c r="C843" s="171" t="s">
        <v>139</v>
      </c>
      <c r="D843" s="706" t="s">
        <v>60</v>
      </c>
      <c r="E843" s="240" t="s">
        <v>8099</v>
      </c>
      <c r="F843" s="240" t="s">
        <v>8100</v>
      </c>
      <c r="G843" s="493">
        <v>45992.0</v>
      </c>
      <c r="H843" s="493">
        <v>46002.0</v>
      </c>
      <c r="I843" s="189">
        <f>IFERROR(__xludf.DUMMYFUNCTION("IF(ISBLANK(H843), TODAY()-TO_DATE(G843), TO_DATE(H843)-TO_DATE(G843))+1"),11.0)</f>
        <v>11</v>
      </c>
      <c r="J843" s="240">
        <v>500.0</v>
      </c>
      <c r="K843" s="240" t="s">
        <v>8102</v>
      </c>
      <c r="L843" s="507"/>
      <c r="M843" s="63"/>
      <c r="N843" s="29"/>
      <c r="O843" s="29"/>
      <c r="P843" s="29"/>
      <c r="Q843" s="29"/>
      <c r="R843" s="29"/>
      <c r="S843" s="29"/>
      <c r="T843" s="29"/>
      <c r="U843" s="29"/>
      <c r="V843" s="29"/>
      <c r="W843" s="29"/>
      <c r="X843" s="29"/>
      <c r="Y843" s="29"/>
      <c r="Z843" s="29"/>
      <c r="AA843" s="29"/>
      <c r="AB843" s="29"/>
      <c r="AC843" s="29"/>
      <c r="AD843" s="29"/>
      <c r="AE843" s="29"/>
      <c r="AF843" s="29"/>
      <c r="AG843" s="29"/>
    </row>
    <row r="844">
      <c r="A844" s="240" t="s">
        <v>145</v>
      </c>
      <c r="B844" s="240" t="s">
        <v>375</v>
      </c>
      <c r="C844" s="128" t="s">
        <v>5568</v>
      </c>
      <c r="D844" s="706" t="s">
        <v>60</v>
      </c>
      <c r="E844" s="240" t="s">
        <v>5574</v>
      </c>
      <c r="F844" s="240" t="s">
        <v>5575</v>
      </c>
      <c r="G844" s="493">
        <v>45992.0</v>
      </c>
      <c r="H844" s="493">
        <v>45996.0</v>
      </c>
      <c r="I844" s="189">
        <f>IFERROR(__xludf.DUMMYFUNCTION("IF(ISBLANK(H844), TODAY()-TO_DATE(G844), TO_DATE(H844)-TO_DATE(G844))+1"),5.0)</f>
        <v>5</v>
      </c>
      <c r="J844" s="240">
        <v>500.0</v>
      </c>
      <c r="K844" s="240" t="s">
        <v>8109</v>
      </c>
      <c r="L844" s="321" t="s">
        <v>8110</v>
      </c>
      <c r="M844" s="63"/>
      <c r="N844" s="29"/>
      <c r="O844" s="29"/>
      <c r="P844" s="29"/>
      <c r="Q844" s="29"/>
      <c r="R844" s="29"/>
      <c r="S844" s="29"/>
      <c r="T844" s="29"/>
      <c r="U844" s="29"/>
      <c r="V844" s="29"/>
      <c r="W844" s="29"/>
      <c r="X844" s="29"/>
      <c r="Y844" s="29"/>
      <c r="Z844" s="29"/>
      <c r="AA844" s="29"/>
      <c r="AB844" s="29"/>
      <c r="AC844" s="29"/>
      <c r="AD844" s="29"/>
      <c r="AE844" s="29"/>
      <c r="AF844" s="29"/>
      <c r="AG844" s="29"/>
    </row>
    <row r="845">
      <c r="A845" s="240" t="s">
        <v>715</v>
      </c>
      <c r="B845" s="240" t="s">
        <v>1852</v>
      </c>
      <c r="C845" s="128" t="s">
        <v>1914</v>
      </c>
      <c r="D845" s="706" t="s">
        <v>60</v>
      </c>
      <c r="E845" s="240" t="s">
        <v>1916</v>
      </c>
      <c r="F845" s="240" t="s">
        <v>1918</v>
      </c>
      <c r="G845" s="493">
        <v>45993.0</v>
      </c>
      <c r="H845" s="493">
        <v>46011.0</v>
      </c>
      <c r="I845" s="189">
        <f>IFERROR(__xludf.DUMMYFUNCTION("IF(ISBLANK(H845), TODAY()-TO_DATE(G845), TO_DATE(H845)-TO_DATE(G845))+1"),19.0)</f>
        <v>19</v>
      </c>
      <c r="J845" s="240">
        <v>200.0</v>
      </c>
      <c r="K845" s="240" t="s">
        <v>8111</v>
      </c>
      <c r="L845" s="321" t="s">
        <v>8112</v>
      </c>
      <c r="M845" s="63"/>
      <c r="N845" s="29"/>
      <c r="O845" s="29"/>
      <c r="P845" s="29"/>
      <c r="Q845" s="29"/>
      <c r="R845" s="29"/>
      <c r="S845" s="29"/>
      <c r="T845" s="29"/>
      <c r="U845" s="29"/>
      <c r="V845" s="29"/>
      <c r="W845" s="29"/>
      <c r="X845" s="29"/>
      <c r="Y845" s="29"/>
      <c r="Z845" s="29"/>
      <c r="AA845" s="29"/>
      <c r="AB845" s="29"/>
      <c r="AC845" s="29"/>
      <c r="AD845" s="29"/>
      <c r="AE845" s="29"/>
      <c r="AF845" s="29"/>
      <c r="AG845" s="29"/>
    </row>
    <row r="846">
      <c r="A846" s="240" t="s">
        <v>715</v>
      </c>
      <c r="B846" s="240" t="s">
        <v>1852</v>
      </c>
      <c r="C846" s="128" t="s">
        <v>2091</v>
      </c>
      <c r="D846" s="706" t="s">
        <v>60</v>
      </c>
      <c r="E846" s="240" t="s">
        <v>2115</v>
      </c>
      <c r="F846" s="240" t="s">
        <v>2117</v>
      </c>
      <c r="G846" s="493">
        <v>45993.0</v>
      </c>
      <c r="H846" s="493">
        <v>46019.0</v>
      </c>
      <c r="I846" s="189">
        <f>IFERROR(__xludf.DUMMYFUNCTION("IF(ISBLANK(H846), TODAY()-TO_DATE(G846), TO_DATE(H846)-TO_DATE(G846))+1"),27.0)</f>
        <v>27</v>
      </c>
      <c r="J846" s="240" t="s">
        <v>197</v>
      </c>
      <c r="K846" s="240" t="s">
        <v>8114</v>
      </c>
      <c r="L846" s="321"/>
      <c r="M846" s="63"/>
      <c r="N846" s="29"/>
      <c r="O846" s="29"/>
      <c r="P846" s="29"/>
      <c r="Q846" s="29"/>
      <c r="R846" s="29"/>
      <c r="S846" s="29"/>
      <c r="T846" s="29"/>
      <c r="U846" s="29"/>
      <c r="V846" s="29"/>
      <c r="W846" s="29"/>
      <c r="X846" s="29"/>
      <c r="Y846" s="29"/>
      <c r="Z846" s="29"/>
      <c r="AA846" s="29"/>
      <c r="AB846" s="29"/>
      <c r="AC846" s="29"/>
      <c r="AD846" s="29"/>
      <c r="AE846" s="29"/>
      <c r="AF846" s="29"/>
      <c r="AG846" s="29"/>
    </row>
    <row r="847">
      <c r="A847" s="240" t="s">
        <v>715</v>
      </c>
      <c r="B847" s="240" t="s">
        <v>1852</v>
      </c>
      <c r="C847" s="128" t="s">
        <v>2001</v>
      </c>
      <c r="D847" s="706" t="s">
        <v>60</v>
      </c>
      <c r="E847" s="240" t="s">
        <v>2004</v>
      </c>
      <c r="F847" s="240" t="s">
        <v>1055</v>
      </c>
      <c r="G847" s="493">
        <v>45993.0</v>
      </c>
      <c r="H847" s="493">
        <v>46003.0</v>
      </c>
      <c r="I847" s="189">
        <f>IFERROR(__xludf.DUMMYFUNCTION("IF(ISBLANK(H847), TODAY()-TO_DATE(G847), TO_DATE(H847)-TO_DATE(G847))+1"),11.0)</f>
        <v>11</v>
      </c>
      <c r="J847" s="240" t="s">
        <v>197</v>
      </c>
      <c r="K847" s="609" t="s">
        <v>8118</v>
      </c>
      <c r="L847" s="321" t="s">
        <v>8119</v>
      </c>
      <c r="M847" s="63"/>
      <c r="N847" s="29"/>
      <c r="O847" s="29"/>
      <c r="P847" s="29"/>
      <c r="Q847" s="29"/>
      <c r="R847" s="29"/>
      <c r="S847" s="29"/>
      <c r="T847" s="29"/>
      <c r="U847" s="29"/>
      <c r="V847" s="29"/>
      <c r="W847" s="29"/>
      <c r="X847" s="29"/>
      <c r="Y847" s="29"/>
      <c r="Z847" s="29"/>
      <c r="AA847" s="29"/>
      <c r="AB847" s="29"/>
      <c r="AC847" s="29"/>
      <c r="AD847" s="29"/>
      <c r="AE847" s="29"/>
      <c r="AF847" s="29"/>
      <c r="AG847" s="29"/>
    </row>
    <row r="848">
      <c r="A848" s="240" t="s">
        <v>715</v>
      </c>
      <c r="B848" s="240" t="s">
        <v>1852</v>
      </c>
      <c r="C848" s="128" t="s">
        <v>2054</v>
      </c>
      <c r="D848" s="706" t="s">
        <v>60</v>
      </c>
      <c r="E848" s="240" t="s">
        <v>2056</v>
      </c>
      <c r="F848" s="240" t="s">
        <v>2058</v>
      </c>
      <c r="G848" s="493">
        <v>45993.0</v>
      </c>
      <c r="H848" s="493">
        <v>45999.0</v>
      </c>
      <c r="I848" s="189">
        <f>IFERROR(__xludf.DUMMYFUNCTION("IF(ISBLANK(H848), TODAY()-TO_DATE(G848), TO_DATE(H848)-TO_DATE(G848))+1"),7.0)</f>
        <v>7</v>
      </c>
      <c r="J848" s="240">
        <v>300.0</v>
      </c>
      <c r="K848" s="240" t="s">
        <v>8125</v>
      </c>
      <c r="L848" s="321"/>
      <c r="M848" s="63"/>
      <c r="N848" s="29"/>
      <c r="O848" s="29"/>
      <c r="P848" s="29"/>
      <c r="Q848" s="29"/>
      <c r="R848" s="29"/>
      <c r="S848" s="29"/>
      <c r="T848" s="29"/>
      <c r="U848" s="29"/>
      <c r="V848" s="29"/>
      <c r="W848" s="29"/>
      <c r="X848" s="29"/>
      <c r="Y848" s="29"/>
      <c r="Z848" s="29"/>
      <c r="AA848" s="29"/>
      <c r="AB848" s="29"/>
      <c r="AC848" s="29"/>
      <c r="AD848" s="29"/>
      <c r="AE848" s="29"/>
      <c r="AF848" s="29"/>
      <c r="AG848" s="29"/>
    </row>
    <row r="849">
      <c r="A849" s="240" t="s">
        <v>715</v>
      </c>
      <c r="B849" s="240" t="s">
        <v>1852</v>
      </c>
      <c r="C849" s="128" t="s">
        <v>1933</v>
      </c>
      <c r="D849" s="706" t="s">
        <v>60</v>
      </c>
      <c r="E849" s="240" t="s">
        <v>1942</v>
      </c>
      <c r="F849" s="240" t="s">
        <v>1944</v>
      </c>
      <c r="G849" s="493">
        <v>45993.0</v>
      </c>
      <c r="H849" s="493">
        <v>46005.0</v>
      </c>
      <c r="I849" s="189">
        <f>IFERROR(__xludf.DUMMYFUNCTION("IF(ISBLANK(H849), TODAY()-TO_DATE(G849), TO_DATE(H849)-TO_DATE(G849))+1"),13.0)</f>
        <v>13</v>
      </c>
      <c r="J849" s="240">
        <v>300.0</v>
      </c>
      <c r="K849" s="240" t="s">
        <v>8133</v>
      </c>
      <c r="L849" s="321" t="s">
        <v>8134</v>
      </c>
      <c r="M849" s="63"/>
      <c r="N849" s="29"/>
      <c r="O849" s="29"/>
      <c r="P849" s="29"/>
      <c r="Q849" s="29"/>
      <c r="R849" s="29"/>
      <c r="S849" s="29"/>
      <c r="T849" s="29"/>
      <c r="U849" s="29"/>
      <c r="V849" s="29"/>
      <c r="W849" s="29"/>
      <c r="X849" s="29"/>
      <c r="Y849" s="29"/>
      <c r="Z849" s="29"/>
      <c r="AA849" s="29"/>
      <c r="AB849" s="29"/>
      <c r="AC849" s="29"/>
      <c r="AD849" s="29"/>
      <c r="AE849" s="29"/>
      <c r="AF849" s="29"/>
      <c r="AG849" s="29"/>
    </row>
    <row r="850">
      <c r="A850" s="240" t="s">
        <v>715</v>
      </c>
      <c r="B850" s="240" t="s">
        <v>1852</v>
      </c>
      <c r="C850" s="128" t="s">
        <v>2071</v>
      </c>
      <c r="D850" s="706" t="s">
        <v>60</v>
      </c>
      <c r="E850" s="240" t="s">
        <v>2076</v>
      </c>
      <c r="F850" s="240" t="s">
        <v>2077</v>
      </c>
      <c r="G850" s="493">
        <v>45993.0</v>
      </c>
      <c r="H850" s="493">
        <v>46001.0</v>
      </c>
      <c r="I850" s="189">
        <f>IFERROR(__xludf.DUMMYFUNCTION("IF(ISBLANK(H850), TODAY()-TO_DATE(G850), TO_DATE(H850)-TO_DATE(G850))+1"),9.0)</f>
        <v>9</v>
      </c>
      <c r="J850" s="240">
        <v>500.0</v>
      </c>
      <c r="K850" s="240" t="s">
        <v>7951</v>
      </c>
      <c r="L850" s="321"/>
      <c r="M850" s="63"/>
      <c r="N850" s="29"/>
      <c r="O850" s="29"/>
      <c r="P850" s="29"/>
      <c r="Q850" s="29"/>
      <c r="R850" s="29"/>
      <c r="S850" s="29"/>
      <c r="T850" s="29"/>
      <c r="U850" s="29"/>
      <c r="V850" s="29"/>
      <c r="W850" s="29"/>
      <c r="X850" s="29"/>
      <c r="Y850" s="29"/>
      <c r="Z850" s="29"/>
      <c r="AA850" s="29"/>
      <c r="AB850" s="29"/>
      <c r="AC850" s="29"/>
      <c r="AD850" s="29"/>
      <c r="AE850" s="29"/>
      <c r="AF850" s="29"/>
      <c r="AG850" s="29"/>
    </row>
    <row r="851">
      <c r="A851" s="240" t="s">
        <v>2451</v>
      </c>
      <c r="B851" s="240" t="s">
        <v>375</v>
      </c>
      <c r="C851" s="128" t="s">
        <v>3984</v>
      </c>
      <c r="D851" s="706" t="s">
        <v>60</v>
      </c>
      <c r="E851" s="240" t="s">
        <v>3990</v>
      </c>
      <c r="F851" s="240" t="s">
        <v>3991</v>
      </c>
      <c r="G851" s="493">
        <v>45993.0</v>
      </c>
      <c r="H851" s="493">
        <v>46015.0</v>
      </c>
      <c r="I851" s="189">
        <f>IFERROR(__xludf.DUMMYFUNCTION("IF(ISBLANK(H851), TODAY()-TO_DATE(G851), TO_DATE(H851)-TO_DATE(G851))+1"),23.0)</f>
        <v>23</v>
      </c>
      <c r="J851" s="240">
        <v>500.0</v>
      </c>
      <c r="K851" s="240" t="s">
        <v>8146</v>
      </c>
      <c r="L851" s="321" t="s">
        <v>8148</v>
      </c>
      <c r="M851" s="63"/>
      <c r="N851" s="29"/>
      <c r="O851" s="29"/>
      <c r="P851" s="29"/>
      <c r="Q851" s="29"/>
      <c r="R851" s="29"/>
      <c r="S851" s="29"/>
      <c r="T851" s="29"/>
      <c r="U851" s="29"/>
      <c r="V851" s="29"/>
      <c r="W851" s="29"/>
      <c r="X851" s="29"/>
      <c r="Y851" s="29"/>
      <c r="Z851" s="29"/>
      <c r="AA851" s="29"/>
      <c r="AB851" s="29"/>
      <c r="AC851" s="29"/>
      <c r="AD851" s="29"/>
      <c r="AE851" s="29"/>
      <c r="AF851" s="29"/>
      <c r="AG851" s="29"/>
    </row>
    <row r="852">
      <c r="A852" s="240" t="s">
        <v>715</v>
      </c>
      <c r="B852" s="240" t="s">
        <v>375</v>
      </c>
      <c r="C852" s="128" t="s">
        <v>1893</v>
      </c>
      <c r="D852" s="706" t="s">
        <v>656</v>
      </c>
      <c r="E852" s="240" t="s">
        <v>2903</v>
      </c>
      <c r="F852" s="240" t="s">
        <v>2905</v>
      </c>
      <c r="G852" s="493">
        <v>45993.0</v>
      </c>
      <c r="H852" s="493">
        <v>46001.0</v>
      </c>
      <c r="I852" s="189">
        <f>IFERROR(__xludf.DUMMYFUNCTION("IF(ISBLANK(H852), TODAY()-TO_DATE(G852), TO_DATE(H852)-TO_DATE(G852))+1"),9.0)</f>
        <v>9</v>
      </c>
      <c r="J852" s="240">
        <v>200.0</v>
      </c>
      <c r="K852" s="240" t="s">
        <v>8152</v>
      </c>
      <c r="L852" s="321"/>
      <c r="M852" s="63"/>
      <c r="N852" s="29"/>
      <c r="O852" s="29"/>
      <c r="P852" s="29"/>
      <c r="Q852" s="29"/>
      <c r="R852" s="29"/>
      <c r="S852" s="29"/>
      <c r="T852" s="29"/>
      <c r="U852" s="29"/>
      <c r="V852" s="29"/>
      <c r="W852" s="29"/>
      <c r="X852" s="29"/>
      <c r="Y852" s="29"/>
      <c r="Z852" s="29"/>
      <c r="AA852" s="29"/>
      <c r="AB852" s="29"/>
      <c r="AC852" s="29"/>
      <c r="AD852" s="29"/>
      <c r="AE852" s="29"/>
      <c r="AF852" s="29"/>
      <c r="AG852" s="29"/>
    </row>
    <row r="853">
      <c r="A853" s="540" t="s">
        <v>145</v>
      </c>
      <c r="B853" s="540" t="s">
        <v>375</v>
      </c>
      <c r="C853" s="820" t="s">
        <v>8156</v>
      </c>
      <c r="D853" s="551" t="s">
        <v>60</v>
      </c>
      <c r="E853" s="540" t="s">
        <v>8157</v>
      </c>
      <c r="F853" s="540" t="s">
        <v>8158</v>
      </c>
      <c r="G853" s="545">
        <v>45993.0</v>
      </c>
      <c r="H853" s="545">
        <v>46095.0</v>
      </c>
      <c r="I853" s="665">
        <f>IFERROR(__xludf.DUMMYFUNCTION("IF(ISBLANK(H853), TODAY()-TO_DATE(G853), TO_DATE(H853)-TO_DATE(G853))+1"),103.0)</f>
        <v>103</v>
      </c>
      <c r="J853" s="540">
        <v>500.0</v>
      </c>
      <c r="K853" s="540" t="s">
        <v>8161</v>
      </c>
      <c r="L853" s="544"/>
      <c r="M853" s="547"/>
      <c r="N853" s="548"/>
      <c r="O853" s="548"/>
      <c r="P853" s="548"/>
      <c r="Q853" s="548"/>
      <c r="R853" s="548"/>
      <c r="S853" s="548"/>
      <c r="T853" s="548"/>
      <c r="U853" s="548"/>
      <c r="V853" s="548"/>
      <c r="W853" s="548"/>
      <c r="X853" s="548"/>
      <c r="Y853" s="548"/>
      <c r="Z853" s="548"/>
      <c r="AA853" s="548"/>
      <c r="AB853" s="548"/>
      <c r="AC853" s="548"/>
      <c r="AD853" s="548"/>
      <c r="AE853" s="548"/>
      <c r="AF853" s="548"/>
      <c r="AG853" s="548"/>
    </row>
    <row r="854">
      <c r="A854" s="240" t="s">
        <v>145</v>
      </c>
      <c r="B854" s="240" t="s">
        <v>375</v>
      </c>
      <c r="C854" s="128" t="s">
        <v>5589</v>
      </c>
      <c r="D854" s="706" t="s">
        <v>60</v>
      </c>
      <c r="E854" s="240" t="s">
        <v>5593</v>
      </c>
      <c r="F854" s="240" t="s">
        <v>5596</v>
      </c>
      <c r="G854" s="493">
        <v>45993.0</v>
      </c>
      <c r="H854" s="493">
        <v>46004.0</v>
      </c>
      <c r="I854" s="189">
        <f>IFERROR(__xludf.DUMMYFUNCTION("IF(ISBLANK(H854), TODAY()-TO_DATE(G854), TO_DATE(H854)-TO_DATE(G854))+1"),12.0)</f>
        <v>12</v>
      </c>
      <c r="J854" s="240">
        <v>500.0</v>
      </c>
      <c r="K854" s="240" t="s">
        <v>8165</v>
      </c>
      <c r="L854" s="321" t="s">
        <v>8166</v>
      </c>
      <c r="M854" s="63"/>
      <c r="N854" s="29"/>
      <c r="O854" s="29"/>
      <c r="P854" s="29"/>
      <c r="Q854" s="29"/>
      <c r="R854" s="29"/>
      <c r="S854" s="29"/>
      <c r="T854" s="29"/>
      <c r="U854" s="29"/>
      <c r="V854" s="29"/>
      <c r="W854" s="29"/>
      <c r="X854" s="29"/>
      <c r="Y854" s="29"/>
      <c r="Z854" s="29"/>
      <c r="AA854" s="29"/>
      <c r="AB854" s="29"/>
      <c r="AC854" s="29"/>
      <c r="AD854" s="29"/>
      <c r="AE854" s="29"/>
      <c r="AF854" s="29"/>
      <c r="AG854" s="29"/>
    </row>
    <row r="855">
      <c r="A855" s="240" t="s">
        <v>145</v>
      </c>
      <c r="B855" s="240" t="s">
        <v>375</v>
      </c>
      <c r="C855" s="128" t="s">
        <v>5609</v>
      </c>
      <c r="D855" s="706" t="s">
        <v>60</v>
      </c>
      <c r="E855" s="240" t="s">
        <v>5613</v>
      </c>
      <c r="F855" s="240" t="s">
        <v>2145</v>
      </c>
      <c r="G855" s="493">
        <v>45993.0</v>
      </c>
      <c r="H855" s="493">
        <v>46008.0</v>
      </c>
      <c r="I855" s="189">
        <f>IFERROR(__xludf.DUMMYFUNCTION("IF(ISBLANK(H855), TODAY()-TO_DATE(G855), TO_DATE(H855)-TO_DATE(G855))+1"),16.0)</f>
        <v>16</v>
      </c>
      <c r="J855" s="240">
        <v>500.0</v>
      </c>
      <c r="K855" s="240" t="s">
        <v>2312</v>
      </c>
      <c r="L855" s="321"/>
      <c r="M855" s="63"/>
      <c r="N855" s="29"/>
      <c r="O855" s="29"/>
      <c r="P855" s="29"/>
      <c r="Q855" s="29"/>
      <c r="R855" s="29"/>
      <c r="S855" s="29"/>
      <c r="T855" s="29"/>
      <c r="U855" s="29"/>
      <c r="V855" s="29"/>
      <c r="W855" s="29"/>
      <c r="X855" s="29"/>
      <c r="Y855" s="29"/>
      <c r="Z855" s="29"/>
      <c r="AA855" s="29"/>
      <c r="AB855" s="29"/>
      <c r="AC855" s="29"/>
      <c r="AD855" s="29"/>
      <c r="AE855" s="29"/>
      <c r="AF855" s="29"/>
      <c r="AG855" s="29"/>
    </row>
    <row r="856">
      <c r="A856" s="240" t="s">
        <v>145</v>
      </c>
      <c r="B856" s="240" t="s">
        <v>375</v>
      </c>
      <c r="C856" s="128" t="s">
        <v>5455</v>
      </c>
      <c r="D856" s="706" t="s">
        <v>60</v>
      </c>
      <c r="E856" s="240" t="s">
        <v>5458</v>
      </c>
      <c r="F856" s="240" t="s">
        <v>5460</v>
      </c>
      <c r="G856" s="493">
        <v>45993.0</v>
      </c>
      <c r="H856" s="493">
        <v>46017.0</v>
      </c>
      <c r="I856" s="189">
        <f>IFERROR(__xludf.DUMMYFUNCTION("IF(ISBLANK(H856), TODAY()-TO_DATE(G856), TO_DATE(H856)-TO_DATE(G856))+1"),25.0)</f>
        <v>25</v>
      </c>
      <c r="J856" s="240">
        <v>500.0</v>
      </c>
      <c r="K856" s="240" t="s">
        <v>8179</v>
      </c>
      <c r="L856" s="321" t="s">
        <v>8180</v>
      </c>
      <c r="M856" s="240" t="s">
        <v>7441</v>
      </c>
      <c r="N856" s="29"/>
      <c r="O856" s="29"/>
      <c r="P856" s="29"/>
      <c r="Q856" s="29"/>
      <c r="R856" s="29"/>
      <c r="S856" s="29"/>
      <c r="T856" s="29"/>
      <c r="U856" s="29"/>
      <c r="V856" s="29"/>
      <c r="W856" s="29"/>
      <c r="X856" s="29"/>
      <c r="Y856" s="29"/>
      <c r="Z856" s="29"/>
      <c r="AA856" s="29"/>
      <c r="AB856" s="29"/>
      <c r="AC856" s="29"/>
      <c r="AD856" s="29"/>
      <c r="AE856" s="29"/>
      <c r="AF856" s="29"/>
      <c r="AG856" s="29"/>
    </row>
    <row r="857">
      <c r="A857" s="240" t="s">
        <v>715</v>
      </c>
      <c r="B857" s="240" t="s">
        <v>375</v>
      </c>
      <c r="C857" s="128" t="s">
        <v>2054</v>
      </c>
      <c r="D857" s="85" t="s">
        <v>60</v>
      </c>
      <c r="E857" s="40" t="s">
        <v>2911</v>
      </c>
      <c r="F857" s="40" t="s">
        <v>2912</v>
      </c>
      <c r="G857" s="638">
        <v>45995.0</v>
      </c>
      <c r="H857" s="493">
        <v>46003.0</v>
      </c>
      <c r="I857" s="189">
        <f>IFERROR(__xludf.DUMMYFUNCTION("IF(ISBLANK(H857), TODAY()-TO_DATE(G857), TO_DATE(H857)-TO_DATE(G857))+1"),9.0)</f>
        <v>9</v>
      </c>
      <c r="J857" s="240">
        <v>500.0</v>
      </c>
      <c r="K857" s="325" t="s">
        <v>8184</v>
      </c>
      <c r="L857" s="72"/>
      <c r="M857" s="63"/>
      <c r="N857" s="29"/>
      <c r="O857" s="29"/>
      <c r="P857" s="29"/>
      <c r="Q857" s="29"/>
      <c r="R857" s="29"/>
      <c r="S857" s="29"/>
      <c r="T857" s="29"/>
      <c r="U857" s="29"/>
      <c r="V857" s="29"/>
      <c r="W857" s="29"/>
      <c r="X857" s="29"/>
      <c r="Y857" s="29"/>
      <c r="Z857" s="29"/>
      <c r="AA857" s="29"/>
      <c r="AB857" s="29"/>
      <c r="AC857" s="29"/>
      <c r="AD857" s="29"/>
      <c r="AE857" s="29"/>
      <c r="AF857" s="29"/>
      <c r="AG857" s="29"/>
    </row>
    <row r="858">
      <c r="A858" s="240" t="s">
        <v>715</v>
      </c>
      <c r="B858" s="240" t="s">
        <v>375</v>
      </c>
      <c r="C858" s="128" t="s">
        <v>2130</v>
      </c>
      <c r="D858" s="85" t="s">
        <v>60</v>
      </c>
      <c r="E858" s="40" t="s">
        <v>2928</v>
      </c>
      <c r="F858" s="40" t="s">
        <v>2931</v>
      </c>
      <c r="G858" s="638">
        <v>45997.0</v>
      </c>
      <c r="H858" s="493">
        <v>46004.0</v>
      </c>
      <c r="I858" s="189">
        <f>IFERROR(__xludf.DUMMYFUNCTION("IF(ISBLANK(H858), TODAY()-TO_DATE(G858), TO_DATE(H858)-TO_DATE(G858))+1"),8.0)</f>
        <v>8</v>
      </c>
      <c r="J858" s="240">
        <v>500.0</v>
      </c>
      <c r="K858" s="240" t="s">
        <v>8190</v>
      </c>
      <c r="L858" s="321"/>
      <c r="M858" s="63"/>
      <c r="N858" s="29"/>
      <c r="O858" s="29"/>
      <c r="P858" s="29"/>
      <c r="Q858" s="29"/>
      <c r="R858" s="29"/>
      <c r="S858" s="29"/>
      <c r="T858" s="29"/>
      <c r="U858" s="29"/>
      <c r="V858" s="29"/>
      <c r="W858" s="29"/>
      <c r="X858" s="29"/>
      <c r="Y858" s="29"/>
      <c r="Z858" s="29"/>
      <c r="AA858" s="29"/>
      <c r="AB858" s="29"/>
      <c r="AC858" s="29"/>
      <c r="AD858" s="29"/>
      <c r="AE858" s="29"/>
      <c r="AF858" s="29"/>
      <c r="AG858" s="29"/>
    </row>
    <row r="859">
      <c r="A859" s="240" t="s">
        <v>715</v>
      </c>
      <c r="B859" s="240" t="s">
        <v>375</v>
      </c>
      <c r="C859" s="128" t="s">
        <v>2944</v>
      </c>
      <c r="D859" s="85" t="s">
        <v>60</v>
      </c>
      <c r="E859" s="40" t="s">
        <v>2949</v>
      </c>
      <c r="F859" s="40" t="s">
        <v>2955</v>
      </c>
      <c r="G859" s="638">
        <v>45995.0</v>
      </c>
      <c r="H859" s="493">
        <v>45999.0</v>
      </c>
      <c r="I859" s="189">
        <f>IFERROR(__xludf.DUMMYFUNCTION("IF(ISBLANK(H859), TODAY()-TO_DATE(G859), TO_DATE(H859)-TO_DATE(G859))+1"),5.0)</f>
        <v>5</v>
      </c>
      <c r="J859" s="240">
        <v>300.0</v>
      </c>
      <c r="K859" s="240" t="s">
        <v>8198</v>
      </c>
      <c r="L859" s="321" t="s">
        <v>8199</v>
      </c>
      <c r="M859" s="63"/>
      <c r="N859" s="29"/>
      <c r="O859" s="29"/>
      <c r="P859" s="29"/>
      <c r="Q859" s="29"/>
      <c r="R859" s="29"/>
      <c r="S859" s="29"/>
      <c r="T859" s="29"/>
      <c r="U859" s="29"/>
      <c r="V859" s="29"/>
      <c r="W859" s="29"/>
      <c r="X859" s="29"/>
      <c r="Y859" s="29"/>
      <c r="Z859" s="29"/>
      <c r="AA859" s="29"/>
      <c r="AB859" s="29"/>
      <c r="AC859" s="29"/>
      <c r="AD859" s="29"/>
      <c r="AE859" s="29"/>
      <c r="AF859" s="29"/>
      <c r="AG859" s="29"/>
    </row>
    <row r="860">
      <c r="A860" s="240" t="s">
        <v>715</v>
      </c>
      <c r="B860" s="240" t="s">
        <v>375</v>
      </c>
      <c r="C860" s="128" t="s">
        <v>2944</v>
      </c>
      <c r="D860" s="85" t="s">
        <v>60</v>
      </c>
      <c r="E860" s="40" t="s">
        <v>2988</v>
      </c>
      <c r="F860" s="40" t="s">
        <v>99</v>
      </c>
      <c r="G860" s="638">
        <v>45997.0</v>
      </c>
      <c r="H860" s="493">
        <v>46004.0</v>
      </c>
      <c r="I860" s="189">
        <f>IFERROR(__xludf.DUMMYFUNCTION("IF(ISBLANK(H860), TODAY()-TO_DATE(G860), TO_DATE(H860)-TO_DATE(G860))+1"),8.0)</f>
        <v>8</v>
      </c>
      <c r="J860" s="240">
        <v>500.0</v>
      </c>
      <c r="K860" s="240" t="s">
        <v>8203</v>
      </c>
      <c r="L860" s="321" t="s">
        <v>8204</v>
      </c>
      <c r="M860" s="63"/>
      <c r="N860" s="29"/>
      <c r="O860" s="29"/>
      <c r="P860" s="29"/>
      <c r="Q860" s="29"/>
      <c r="R860" s="29"/>
      <c r="S860" s="29"/>
      <c r="T860" s="29"/>
      <c r="U860" s="29"/>
      <c r="V860" s="29"/>
      <c r="W860" s="29"/>
      <c r="X860" s="29"/>
      <c r="Y860" s="29"/>
      <c r="Z860" s="29"/>
      <c r="AA860" s="29"/>
      <c r="AB860" s="29"/>
      <c r="AC860" s="29"/>
      <c r="AD860" s="29"/>
      <c r="AE860" s="29"/>
      <c r="AF860" s="29"/>
      <c r="AG860" s="29"/>
    </row>
    <row r="861">
      <c r="A861" s="40" t="s">
        <v>145</v>
      </c>
      <c r="B861" s="240" t="s">
        <v>375</v>
      </c>
      <c r="C861" s="128" t="s">
        <v>8208</v>
      </c>
      <c r="D861" s="85" t="s">
        <v>60</v>
      </c>
      <c r="E861" s="325" t="s">
        <v>8209</v>
      </c>
      <c r="F861" s="325" t="s">
        <v>8210</v>
      </c>
      <c r="G861" s="493">
        <v>45998.0</v>
      </c>
      <c r="H861" s="493">
        <v>46053.0</v>
      </c>
      <c r="I861" s="189">
        <f>IFERROR(__xludf.DUMMYFUNCTION("IF(ISBLANK(H861), TODAY()-TO_DATE(G861), TO_DATE(H861)-TO_DATE(G861))+1"),56.0)</f>
        <v>56</v>
      </c>
      <c r="J861" s="240">
        <v>500.0</v>
      </c>
      <c r="K861" s="325" t="s">
        <v>8211</v>
      </c>
      <c r="L861" s="40" t="s">
        <v>8213</v>
      </c>
      <c r="M861" s="240" t="s">
        <v>8214</v>
      </c>
      <c r="N861" s="29"/>
      <c r="O861" s="29"/>
      <c r="P861" s="29"/>
      <c r="Q861" s="29"/>
      <c r="R861" s="29"/>
      <c r="S861" s="29"/>
      <c r="T861" s="29"/>
      <c r="U861" s="29"/>
      <c r="V861" s="29"/>
      <c r="W861" s="29"/>
      <c r="X861" s="29"/>
      <c r="Y861" s="29"/>
      <c r="Z861" s="29"/>
      <c r="AA861" s="29"/>
      <c r="AB861" s="29"/>
      <c r="AC861" s="29"/>
      <c r="AD861" s="29"/>
      <c r="AE861" s="29"/>
      <c r="AF861" s="29"/>
      <c r="AG861" s="29"/>
    </row>
    <row r="862">
      <c r="A862" s="633" t="s">
        <v>145</v>
      </c>
      <c r="B862" s="540" t="s">
        <v>375</v>
      </c>
      <c r="C862" s="820" t="s">
        <v>8216</v>
      </c>
      <c r="D862" s="647" t="s">
        <v>60</v>
      </c>
      <c r="E862" s="599" t="s">
        <v>7293</v>
      </c>
      <c r="F862" s="599" t="s">
        <v>882</v>
      </c>
      <c r="G862" s="545">
        <v>45998.0</v>
      </c>
      <c r="H862" s="545">
        <v>46060.0</v>
      </c>
      <c r="I862" s="665">
        <f>IFERROR(__xludf.DUMMYFUNCTION("IF(ISBLANK(H862), TODAY()-TO_DATE(G862), TO_DATE(H862)-TO_DATE(G862))+1"),63.0)</f>
        <v>63</v>
      </c>
      <c r="J862" s="540">
        <v>500.0</v>
      </c>
      <c r="K862" s="826" t="s">
        <v>8220</v>
      </c>
      <c r="L862" s="828"/>
      <c r="M862" s="547"/>
      <c r="N862" s="548"/>
      <c r="O862" s="548"/>
      <c r="P862" s="548"/>
      <c r="Q862" s="548"/>
      <c r="R862" s="548"/>
      <c r="S862" s="548"/>
      <c r="T862" s="548"/>
      <c r="U862" s="548"/>
      <c r="V862" s="548"/>
      <c r="W862" s="548"/>
      <c r="X862" s="548"/>
      <c r="Y862" s="548"/>
      <c r="Z862" s="548"/>
      <c r="AA862" s="548"/>
      <c r="AB862" s="548"/>
      <c r="AC862" s="548"/>
      <c r="AD862" s="548"/>
      <c r="AE862" s="548"/>
      <c r="AF862" s="548"/>
      <c r="AG862" s="548"/>
    </row>
    <row r="863">
      <c r="A863" s="40" t="s">
        <v>145</v>
      </c>
      <c r="B863" s="240" t="s">
        <v>375</v>
      </c>
      <c r="C863" s="128" t="s">
        <v>8224</v>
      </c>
      <c r="D863" s="85" t="s">
        <v>60</v>
      </c>
      <c r="E863" s="325" t="s">
        <v>4918</v>
      </c>
      <c r="F863" s="325" t="s">
        <v>4919</v>
      </c>
      <c r="G863" s="493">
        <v>45998.0</v>
      </c>
      <c r="H863" s="493">
        <v>46008.0</v>
      </c>
      <c r="I863" s="189">
        <f>IFERROR(__xludf.DUMMYFUNCTION("IF(ISBLANK(H863), TODAY()-TO_DATE(G863), TO_DATE(H863)-TO_DATE(G863))+1"),11.0)</f>
        <v>11</v>
      </c>
      <c r="J863" s="240">
        <v>500.0</v>
      </c>
      <c r="K863" s="325" t="s">
        <v>8228</v>
      </c>
      <c r="L863" s="40" t="s">
        <v>8229</v>
      </c>
      <c r="M863" s="63"/>
      <c r="N863" s="29"/>
      <c r="O863" s="29"/>
      <c r="P863" s="29"/>
      <c r="Q863" s="29"/>
      <c r="R863" s="29"/>
      <c r="S863" s="29"/>
      <c r="T863" s="29"/>
      <c r="U863" s="29"/>
      <c r="V863" s="29"/>
      <c r="W863" s="29"/>
      <c r="X863" s="29"/>
      <c r="Y863" s="29"/>
      <c r="Z863" s="29"/>
      <c r="AA863" s="29"/>
      <c r="AB863" s="29"/>
      <c r="AC863" s="29"/>
      <c r="AD863" s="29"/>
      <c r="AE863" s="29"/>
      <c r="AF863" s="29"/>
      <c r="AG863" s="29"/>
    </row>
    <row r="864">
      <c r="A864" s="40" t="s">
        <v>145</v>
      </c>
      <c r="B864" s="240" t="s">
        <v>375</v>
      </c>
      <c r="C864" s="128" t="s">
        <v>8232</v>
      </c>
      <c r="D864" s="85" t="s">
        <v>60</v>
      </c>
      <c r="E864" s="325" t="s">
        <v>4927</v>
      </c>
      <c r="F864" s="325" t="s">
        <v>4928</v>
      </c>
      <c r="G864" s="493">
        <v>45998.0</v>
      </c>
      <c r="H864" s="493">
        <v>46003.0</v>
      </c>
      <c r="I864" s="189">
        <f>IFERROR(__xludf.DUMMYFUNCTION("IF(ISBLANK(H864), TODAY()-TO_DATE(G864), TO_DATE(H864)-TO_DATE(G864))+1"),6.0)</f>
        <v>6</v>
      </c>
      <c r="J864" s="240">
        <v>500.0</v>
      </c>
      <c r="K864" s="325" t="s">
        <v>8237</v>
      </c>
      <c r="L864" s="790"/>
      <c r="M864" s="63"/>
      <c r="N864" s="29"/>
      <c r="O864" s="29"/>
      <c r="P864" s="29"/>
      <c r="Q864" s="29"/>
      <c r="R864" s="29"/>
      <c r="S864" s="29"/>
      <c r="T864" s="29"/>
      <c r="U864" s="29"/>
      <c r="V864" s="29"/>
      <c r="W864" s="29"/>
      <c r="X864" s="29"/>
      <c r="Y864" s="29"/>
      <c r="Z864" s="29"/>
      <c r="AA864" s="29"/>
      <c r="AB864" s="29"/>
      <c r="AC864" s="29"/>
      <c r="AD864" s="29"/>
      <c r="AE864" s="29"/>
      <c r="AF864" s="29"/>
      <c r="AG864" s="29"/>
    </row>
    <row r="865">
      <c r="A865" s="240" t="s">
        <v>1923</v>
      </c>
      <c r="B865" s="240" t="s">
        <v>375</v>
      </c>
      <c r="C865" s="128" t="s">
        <v>1466</v>
      </c>
      <c r="D865" s="85" t="s">
        <v>60</v>
      </c>
      <c r="E865" s="240" t="s">
        <v>3288</v>
      </c>
      <c r="F865" s="240" t="s">
        <v>3289</v>
      </c>
      <c r="G865" s="493">
        <v>45998.0</v>
      </c>
      <c r="H865" s="493">
        <v>46010.0</v>
      </c>
      <c r="I865" s="189">
        <f>IFERROR(__xludf.DUMMYFUNCTION("IF(ISBLANK(H865), TODAY()-TO_DATE(G865), TO_DATE(H865)-TO_DATE(G865))+1"),13.0)</f>
        <v>13</v>
      </c>
      <c r="J865" s="240" t="s">
        <v>197</v>
      </c>
      <c r="K865" s="240" t="s">
        <v>8241</v>
      </c>
      <c r="L865" s="321" t="s">
        <v>8242</v>
      </c>
      <c r="M865" s="240" t="s">
        <v>7419</v>
      </c>
      <c r="N865" s="29"/>
      <c r="O865" s="29"/>
      <c r="P865" s="29"/>
      <c r="Q865" s="29"/>
      <c r="R865" s="29"/>
      <c r="S865" s="29"/>
      <c r="T865" s="29"/>
      <c r="U865" s="29"/>
      <c r="V865" s="29"/>
      <c r="W865" s="29"/>
      <c r="X865" s="29"/>
      <c r="Y865" s="29"/>
      <c r="Z865" s="29"/>
      <c r="AA865" s="29"/>
      <c r="AB865" s="29"/>
      <c r="AC865" s="29"/>
      <c r="AD865" s="29"/>
      <c r="AE865" s="29"/>
      <c r="AF865" s="29"/>
      <c r="AG865" s="29"/>
    </row>
    <row r="866">
      <c r="A866" s="240" t="s">
        <v>1923</v>
      </c>
      <c r="B866" s="240" t="s">
        <v>375</v>
      </c>
      <c r="C866" s="128" t="s">
        <v>201</v>
      </c>
      <c r="D866" s="85" t="s">
        <v>60</v>
      </c>
      <c r="E866" s="240" t="s">
        <v>3276</v>
      </c>
      <c r="F866" s="240" t="s">
        <v>4794</v>
      </c>
      <c r="G866" s="493">
        <v>45998.0</v>
      </c>
      <c r="H866" s="493">
        <v>46028.0</v>
      </c>
      <c r="I866" s="189">
        <f>IFERROR(__xludf.DUMMYFUNCTION("IF(ISBLANK(H866), TODAY()-TO_DATE(G866), TO_DATE(H866)-TO_DATE(G866))+1"),31.0)</f>
        <v>31</v>
      </c>
      <c r="J866" s="240" t="s">
        <v>197</v>
      </c>
      <c r="K866" s="240" t="s">
        <v>8246</v>
      </c>
      <c r="L866" s="321" t="s">
        <v>5916</v>
      </c>
      <c r="M866" s="240" t="s">
        <v>6510</v>
      </c>
      <c r="N866" s="29"/>
      <c r="O866" s="29"/>
      <c r="P866" s="29"/>
      <c r="Q866" s="29"/>
      <c r="R866" s="29"/>
      <c r="S866" s="29"/>
      <c r="T866" s="29"/>
      <c r="U866" s="29"/>
      <c r="V866" s="29"/>
      <c r="W866" s="29"/>
      <c r="X866" s="29"/>
      <c r="Y866" s="29"/>
      <c r="Z866" s="29"/>
      <c r="AA866" s="29"/>
      <c r="AB866" s="29"/>
      <c r="AC866" s="29"/>
      <c r="AD866" s="29"/>
      <c r="AE866" s="29"/>
      <c r="AF866" s="29"/>
      <c r="AG866" s="29"/>
    </row>
    <row r="867">
      <c r="A867" s="240" t="s">
        <v>1923</v>
      </c>
      <c r="B867" s="240" t="s">
        <v>375</v>
      </c>
      <c r="C867" s="128" t="s">
        <v>201</v>
      </c>
      <c r="D867" s="85" t="s">
        <v>60</v>
      </c>
      <c r="E867" s="240" t="s">
        <v>1747</v>
      </c>
      <c r="F867" s="240" t="s">
        <v>1749</v>
      </c>
      <c r="G867" s="493">
        <v>45998.0</v>
      </c>
      <c r="H867" s="493">
        <v>46028.0</v>
      </c>
      <c r="I867" s="189">
        <f>IFERROR(__xludf.DUMMYFUNCTION("IF(ISBLANK(H867), TODAY()-TO_DATE(G867), TO_DATE(H867)-TO_DATE(G867))+1"),31.0)</f>
        <v>31</v>
      </c>
      <c r="J867" s="240" t="s">
        <v>197</v>
      </c>
      <c r="K867" s="240" t="s">
        <v>8248</v>
      </c>
      <c r="L867" s="507"/>
      <c r="M867" s="240" t="s">
        <v>6504</v>
      </c>
      <c r="N867" s="29"/>
      <c r="O867" s="29"/>
      <c r="P867" s="29"/>
      <c r="Q867" s="29"/>
      <c r="R867" s="29"/>
      <c r="S867" s="29"/>
      <c r="T867" s="29"/>
      <c r="U867" s="29"/>
      <c r="V867" s="29"/>
      <c r="W867" s="29"/>
      <c r="X867" s="29"/>
      <c r="Y867" s="29"/>
      <c r="Z867" s="29"/>
      <c r="AA867" s="29"/>
      <c r="AB867" s="29"/>
      <c r="AC867" s="29"/>
      <c r="AD867" s="29"/>
      <c r="AE867" s="29"/>
      <c r="AF867" s="29"/>
      <c r="AG867" s="29"/>
    </row>
    <row r="868">
      <c r="A868" s="240" t="s">
        <v>1923</v>
      </c>
      <c r="B868" s="240" t="s">
        <v>375</v>
      </c>
      <c r="C868" s="128" t="s">
        <v>139</v>
      </c>
      <c r="D868" s="85" t="s">
        <v>60</v>
      </c>
      <c r="E868" s="240" t="s">
        <v>2672</v>
      </c>
      <c r="F868" s="240" t="s">
        <v>2673</v>
      </c>
      <c r="G868" s="493">
        <v>45998.0</v>
      </c>
      <c r="H868" s="493">
        <v>46028.0</v>
      </c>
      <c r="I868" s="189">
        <f>IFERROR(__xludf.DUMMYFUNCTION("IF(ISBLANK(H868), TODAY()-TO_DATE(G868), TO_DATE(H868)-TO_DATE(G868))+1"),31.0)</f>
        <v>31</v>
      </c>
      <c r="J868" s="240" t="s">
        <v>197</v>
      </c>
      <c r="K868" s="321" t="s">
        <v>8250</v>
      </c>
      <c r="L868" s="507"/>
      <c r="M868" s="63"/>
      <c r="N868" s="29"/>
      <c r="O868" s="29"/>
      <c r="P868" s="29"/>
      <c r="Q868" s="29"/>
      <c r="R868" s="29"/>
      <c r="S868" s="29"/>
      <c r="T868" s="29"/>
      <c r="U868" s="29"/>
      <c r="V868" s="29"/>
      <c r="W868" s="29"/>
      <c r="X868" s="29"/>
      <c r="Y868" s="29"/>
      <c r="Z868" s="29"/>
      <c r="AA868" s="29"/>
      <c r="AB868" s="29"/>
      <c r="AC868" s="29"/>
      <c r="AD868" s="29"/>
      <c r="AE868" s="29"/>
      <c r="AF868" s="29"/>
      <c r="AG868" s="29"/>
    </row>
    <row r="869">
      <c r="A869" s="540" t="s">
        <v>145</v>
      </c>
      <c r="B869" s="540" t="s">
        <v>375</v>
      </c>
      <c r="C869" s="820" t="s">
        <v>8254</v>
      </c>
      <c r="D869" s="647" t="s">
        <v>60</v>
      </c>
      <c r="E869" s="540" t="s">
        <v>807</v>
      </c>
      <c r="F869" s="540" t="s">
        <v>809</v>
      </c>
      <c r="G869" s="545">
        <v>46000.0</v>
      </c>
      <c r="H869" s="545">
        <v>46164.0</v>
      </c>
      <c r="I869" s="665">
        <f>IFERROR(__xludf.DUMMYFUNCTION("IF(ISBLANK(H869), TODAY()-TO_DATE(G869), TO_DATE(H869)-TO_DATE(G869))+1"),165.0)</f>
        <v>165</v>
      </c>
      <c r="J869" s="540">
        <v>500.0</v>
      </c>
      <c r="K869" s="540" t="s">
        <v>8256</v>
      </c>
      <c r="L869" s="544" t="s">
        <v>8148</v>
      </c>
      <c r="M869" s="547"/>
      <c r="N869" s="548"/>
      <c r="O869" s="548"/>
      <c r="P869" s="548"/>
      <c r="Q869" s="548"/>
      <c r="R869" s="548"/>
      <c r="S869" s="548"/>
      <c r="T869" s="548"/>
      <c r="U869" s="548"/>
      <c r="V869" s="548"/>
      <c r="W869" s="548"/>
      <c r="X869" s="548"/>
      <c r="Y869" s="548"/>
      <c r="Z869" s="548"/>
      <c r="AA869" s="548"/>
      <c r="AB869" s="548"/>
      <c r="AC869" s="548"/>
      <c r="AD869" s="548"/>
      <c r="AE869" s="548"/>
      <c r="AF869" s="548"/>
      <c r="AG869" s="548"/>
    </row>
    <row r="870">
      <c r="A870" s="240" t="s">
        <v>145</v>
      </c>
      <c r="B870" s="240" t="s">
        <v>375</v>
      </c>
      <c r="C870" s="128" t="s">
        <v>8260</v>
      </c>
      <c r="D870" s="85" t="s">
        <v>60</v>
      </c>
      <c r="E870" s="240" t="s">
        <v>6567</v>
      </c>
      <c r="F870" s="240" t="s">
        <v>6569</v>
      </c>
      <c r="G870" s="493">
        <v>46000.0</v>
      </c>
      <c r="H870" s="493">
        <v>46054.0</v>
      </c>
      <c r="I870" s="189">
        <f>IFERROR(__xludf.DUMMYFUNCTION("IF(ISBLANK(H870), TODAY()-TO_DATE(G870), TO_DATE(H870)-TO_DATE(G870))+1"),55.0)</f>
        <v>55</v>
      </c>
      <c r="J870" s="240">
        <v>500.0</v>
      </c>
      <c r="K870" s="240" t="s">
        <v>8261</v>
      </c>
      <c r="L870" s="321" t="s">
        <v>8166</v>
      </c>
      <c r="M870" s="240" t="s">
        <v>8263</v>
      </c>
      <c r="N870" s="29"/>
      <c r="O870" s="29"/>
      <c r="P870" s="29"/>
      <c r="Q870" s="29"/>
      <c r="R870" s="29"/>
      <c r="S870" s="29"/>
      <c r="T870" s="29"/>
      <c r="U870" s="29"/>
      <c r="V870" s="29"/>
      <c r="W870" s="29"/>
      <c r="X870" s="29"/>
      <c r="Y870" s="29"/>
      <c r="Z870" s="29"/>
      <c r="AA870" s="29"/>
      <c r="AB870" s="29"/>
      <c r="AC870" s="29"/>
      <c r="AD870" s="29"/>
      <c r="AE870" s="29"/>
      <c r="AF870" s="29"/>
      <c r="AG870" s="29"/>
    </row>
    <row r="871">
      <c r="A871" s="240" t="s">
        <v>1032</v>
      </c>
      <c r="B871" s="240" t="s">
        <v>375</v>
      </c>
      <c r="C871" s="128" t="s">
        <v>119</v>
      </c>
      <c r="D871" s="85" t="s">
        <v>102</v>
      </c>
      <c r="E871" s="240" t="s">
        <v>127</v>
      </c>
      <c r="F871" s="240" t="s">
        <v>128</v>
      </c>
      <c r="G871" s="493">
        <v>46000.0</v>
      </c>
      <c r="H871" s="493">
        <v>46007.0</v>
      </c>
      <c r="I871" s="189">
        <f>IFERROR(__xludf.DUMMYFUNCTION("IF(ISBLANK(H871), TODAY()-TO_DATE(G871), TO_DATE(H871)-TO_DATE(G871))+1"),8.0)</f>
        <v>8</v>
      </c>
      <c r="J871" s="240">
        <v>300.0</v>
      </c>
      <c r="K871" s="240" t="s">
        <v>8269</v>
      </c>
      <c r="L871" s="507"/>
      <c r="M871" s="240" t="s">
        <v>8270</v>
      </c>
      <c r="N871" s="29"/>
      <c r="O871" s="29"/>
      <c r="P871" s="29"/>
      <c r="Q871" s="29"/>
      <c r="R871" s="29"/>
      <c r="S871" s="29"/>
      <c r="T871" s="29"/>
      <c r="U871" s="29"/>
      <c r="V871" s="29"/>
      <c r="W871" s="29"/>
      <c r="X871" s="29"/>
      <c r="Y871" s="29"/>
      <c r="Z871" s="29"/>
      <c r="AA871" s="29"/>
      <c r="AB871" s="29"/>
      <c r="AC871" s="29"/>
      <c r="AD871" s="29"/>
      <c r="AE871" s="29"/>
      <c r="AF871" s="29"/>
      <c r="AG871" s="29"/>
    </row>
    <row r="872">
      <c r="A872" s="40" t="s">
        <v>2451</v>
      </c>
      <c r="B872" s="240" t="s">
        <v>375</v>
      </c>
      <c r="C872" s="128" t="s">
        <v>178</v>
      </c>
      <c r="D872" s="85" t="s">
        <v>360</v>
      </c>
      <c r="E872" s="40" t="s">
        <v>5844</v>
      </c>
      <c r="F872" s="829" t="s">
        <v>5847</v>
      </c>
      <c r="G872" s="493">
        <v>46002.0</v>
      </c>
      <c r="H872" s="493">
        <v>46039.0</v>
      </c>
      <c r="I872" s="189">
        <f>IFERROR(__xludf.DUMMYFUNCTION("IF(ISBLANK(H872), TODAY()-TO_DATE(G872), TO_DATE(H872)-TO_DATE(G872))+1"),38.0)</f>
        <v>38</v>
      </c>
      <c r="J872" s="240">
        <v>500.0</v>
      </c>
      <c r="K872" s="830" t="s">
        <v>8275</v>
      </c>
      <c r="L872" s="72"/>
      <c r="M872" s="63"/>
      <c r="N872" s="29"/>
      <c r="O872" s="29"/>
      <c r="P872" s="29"/>
      <c r="Q872" s="29"/>
      <c r="R872" s="29"/>
      <c r="S872" s="29"/>
      <c r="T872" s="29"/>
      <c r="U872" s="29"/>
      <c r="V872" s="29"/>
      <c r="W872" s="29"/>
      <c r="X872" s="29"/>
      <c r="Y872" s="29"/>
      <c r="Z872" s="29"/>
      <c r="AA872" s="29"/>
      <c r="AB872" s="29"/>
      <c r="AC872" s="29"/>
      <c r="AD872" s="29"/>
      <c r="AE872" s="29"/>
      <c r="AF872" s="29"/>
      <c r="AG872" s="29"/>
    </row>
    <row r="873">
      <c r="A873" s="40" t="s">
        <v>1032</v>
      </c>
      <c r="B873" s="240" t="s">
        <v>375</v>
      </c>
      <c r="C873" s="128" t="s">
        <v>4597</v>
      </c>
      <c r="D873" s="85" t="s">
        <v>60</v>
      </c>
      <c r="E873" s="40" t="s">
        <v>6216</v>
      </c>
      <c r="F873" s="831" t="s">
        <v>6217</v>
      </c>
      <c r="G873" s="493">
        <v>46002.0</v>
      </c>
      <c r="H873" s="493">
        <v>46039.0</v>
      </c>
      <c r="I873" s="189">
        <f>IFERROR(__xludf.DUMMYFUNCTION("IF(ISBLANK(H873), TODAY()-TO_DATE(G873), TO_DATE(H873)-TO_DATE(G873))+1"),38.0)</f>
        <v>38</v>
      </c>
      <c r="J873" s="240">
        <v>500.0</v>
      </c>
      <c r="K873" s="832" t="s">
        <v>8282</v>
      </c>
      <c r="L873" s="790"/>
      <c r="M873" s="63"/>
      <c r="N873" s="29"/>
      <c r="O873" s="29"/>
      <c r="P873" s="29"/>
      <c r="Q873" s="29"/>
      <c r="R873" s="29"/>
      <c r="S873" s="29"/>
      <c r="T873" s="29"/>
      <c r="U873" s="29"/>
      <c r="V873" s="29"/>
      <c r="W873" s="29"/>
      <c r="X873" s="29"/>
      <c r="Y873" s="29"/>
      <c r="Z873" s="29"/>
      <c r="AA873" s="29"/>
      <c r="AB873" s="29"/>
      <c r="AC873" s="29"/>
      <c r="AD873" s="29"/>
      <c r="AE873" s="29"/>
      <c r="AF873" s="29"/>
      <c r="AG873" s="29"/>
    </row>
    <row r="874">
      <c r="A874" s="40" t="s">
        <v>1032</v>
      </c>
      <c r="B874" s="240" t="s">
        <v>375</v>
      </c>
      <c r="C874" s="128" t="s">
        <v>178</v>
      </c>
      <c r="D874" s="85" t="s">
        <v>102</v>
      </c>
      <c r="E874" s="40" t="s">
        <v>6605</v>
      </c>
      <c r="F874" s="831" t="s">
        <v>6606</v>
      </c>
      <c r="G874" s="493">
        <v>46002.0</v>
      </c>
      <c r="H874" s="493">
        <v>46007.0</v>
      </c>
      <c r="I874" s="189">
        <f>IFERROR(__xludf.DUMMYFUNCTION("IF(ISBLANK(H874), TODAY()-TO_DATE(G874), TO_DATE(H874)-TO_DATE(G874))+1"),6.0)</f>
        <v>6</v>
      </c>
      <c r="J874" s="240">
        <v>300.0</v>
      </c>
      <c r="K874" s="832" t="s">
        <v>8288</v>
      </c>
      <c r="L874" s="325" t="s">
        <v>8289</v>
      </c>
      <c r="M874" s="63"/>
      <c r="N874" s="29"/>
      <c r="O874" s="29"/>
      <c r="P874" s="29"/>
      <c r="Q874" s="29"/>
      <c r="R874" s="29"/>
      <c r="S874" s="29"/>
      <c r="T874" s="29"/>
      <c r="U874" s="29"/>
      <c r="V874" s="29"/>
      <c r="W874" s="29"/>
      <c r="X874" s="29"/>
      <c r="Y874" s="29"/>
      <c r="Z874" s="29"/>
      <c r="AA874" s="29"/>
      <c r="AB874" s="29"/>
      <c r="AC874" s="29"/>
      <c r="AD874" s="29"/>
      <c r="AE874" s="29"/>
      <c r="AF874" s="29"/>
      <c r="AG874" s="29"/>
    </row>
    <row r="875">
      <c r="A875" s="40" t="s">
        <v>2451</v>
      </c>
      <c r="B875" s="240" t="s">
        <v>375</v>
      </c>
      <c r="C875" s="128" t="s">
        <v>287</v>
      </c>
      <c r="D875" s="85" t="s">
        <v>60</v>
      </c>
      <c r="E875" s="40" t="s">
        <v>8290</v>
      </c>
      <c r="F875" s="831" t="s">
        <v>8291</v>
      </c>
      <c r="G875" s="493">
        <v>46002.0</v>
      </c>
      <c r="H875" s="493">
        <v>46012.0</v>
      </c>
      <c r="I875" s="189">
        <f>IFERROR(__xludf.DUMMYFUNCTION("IF(ISBLANK(H875), TODAY()-TO_DATE(G875), TO_DATE(H875)-TO_DATE(G875))+1"),11.0)</f>
        <v>11</v>
      </c>
      <c r="J875" s="240">
        <v>300.0</v>
      </c>
      <c r="K875" s="833" t="s">
        <v>8294</v>
      </c>
      <c r="L875" s="325" t="s">
        <v>8295</v>
      </c>
      <c r="M875" s="63"/>
      <c r="N875" s="29"/>
      <c r="O875" s="29"/>
      <c r="P875" s="29"/>
      <c r="Q875" s="29"/>
      <c r="R875" s="29"/>
      <c r="S875" s="29"/>
      <c r="T875" s="29"/>
      <c r="U875" s="29"/>
      <c r="V875" s="29"/>
      <c r="W875" s="29"/>
      <c r="X875" s="29"/>
      <c r="Y875" s="29"/>
      <c r="Z875" s="29"/>
      <c r="AA875" s="29"/>
      <c r="AB875" s="29"/>
      <c r="AC875" s="29"/>
      <c r="AD875" s="29"/>
      <c r="AE875" s="29"/>
      <c r="AF875" s="29"/>
      <c r="AG875" s="29"/>
    </row>
    <row r="876">
      <c r="A876" s="40" t="s">
        <v>150</v>
      </c>
      <c r="B876" s="240" t="s">
        <v>375</v>
      </c>
      <c r="C876" s="128" t="s">
        <v>213</v>
      </c>
      <c r="D876" s="85" t="s">
        <v>60</v>
      </c>
      <c r="E876" s="40" t="s">
        <v>1242</v>
      </c>
      <c r="F876" s="831" t="s">
        <v>1244</v>
      </c>
      <c r="G876" s="493">
        <v>46002.0</v>
      </c>
      <c r="H876" s="493">
        <v>46007.0</v>
      </c>
      <c r="I876" s="189">
        <f>IFERROR(__xludf.DUMMYFUNCTION("IF(ISBLANK(H876), TODAY()-TO_DATE(G876), TO_DATE(H876)-TO_DATE(G876))+1"),6.0)</f>
        <v>6</v>
      </c>
      <c r="J876" s="240">
        <v>300.0</v>
      </c>
      <c r="K876" s="835" t="s">
        <v>8300</v>
      </c>
      <c r="L876" s="40" t="s">
        <v>8301</v>
      </c>
      <c r="M876" s="63"/>
      <c r="N876" s="29"/>
      <c r="O876" s="29"/>
      <c r="P876" s="29"/>
      <c r="Q876" s="29"/>
      <c r="R876" s="29"/>
      <c r="S876" s="29"/>
      <c r="T876" s="29"/>
      <c r="U876" s="29"/>
      <c r="V876" s="29"/>
      <c r="W876" s="29"/>
      <c r="X876" s="29"/>
      <c r="Y876" s="29"/>
      <c r="Z876" s="29"/>
      <c r="AA876" s="29"/>
      <c r="AB876" s="29"/>
      <c r="AC876" s="29"/>
      <c r="AD876" s="29"/>
      <c r="AE876" s="29"/>
      <c r="AF876" s="29"/>
      <c r="AG876" s="29"/>
    </row>
    <row r="877">
      <c r="A877" s="40" t="s">
        <v>145</v>
      </c>
      <c r="B877" s="240" t="s">
        <v>375</v>
      </c>
      <c r="C877" s="218" t="s">
        <v>8305</v>
      </c>
      <c r="D877" s="85" t="s">
        <v>60</v>
      </c>
      <c r="E877" s="40" t="s">
        <v>8306</v>
      </c>
      <c r="F877" s="831" t="s">
        <v>8307</v>
      </c>
      <c r="G877" s="493">
        <v>46007.0</v>
      </c>
      <c r="H877" s="493">
        <v>46021.0</v>
      </c>
      <c r="I877" s="189">
        <f>IFERROR(__xludf.DUMMYFUNCTION("IF(ISBLANK(H877), TODAY()-TO_DATE(G877), TO_DATE(H877)-TO_DATE(G877))+1"),15.0)</f>
        <v>15</v>
      </c>
      <c r="J877" s="240">
        <v>300.0</v>
      </c>
      <c r="K877" s="832" t="s">
        <v>2365</v>
      </c>
      <c r="L877" s="790"/>
      <c r="M877" s="63"/>
      <c r="N877" s="29"/>
      <c r="O877" s="29"/>
      <c r="P877" s="29"/>
      <c r="Q877" s="29"/>
      <c r="R877" s="29"/>
      <c r="S877" s="29"/>
      <c r="T877" s="29"/>
      <c r="U877" s="29"/>
      <c r="V877" s="29"/>
      <c r="W877" s="29"/>
      <c r="X877" s="29"/>
      <c r="Y877" s="29"/>
      <c r="Z877" s="29"/>
      <c r="AA877" s="29"/>
      <c r="AB877" s="29"/>
      <c r="AC877" s="29"/>
      <c r="AD877" s="29"/>
      <c r="AE877" s="29"/>
      <c r="AF877" s="29"/>
      <c r="AG877" s="29"/>
    </row>
    <row r="878">
      <c r="A878" s="40" t="s">
        <v>2451</v>
      </c>
      <c r="B878" s="240" t="s">
        <v>375</v>
      </c>
      <c r="C878" s="128" t="s">
        <v>295</v>
      </c>
      <c r="D878" s="85" t="s">
        <v>60</v>
      </c>
      <c r="E878" s="40" t="s">
        <v>3553</v>
      </c>
      <c r="F878" s="831" t="s">
        <v>3554</v>
      </c>
      <c r="G878" s="493">
        <v>46007.0</v>
      </c>
      <c r="H878" s="493">
        <v>46009.0</v>
      </c>
      <c r="I878" s="189">
        <f>IFERROR(__xludf.DUMMYFUNCTION("IF(ISBLANK(H878), TODAY()-TO_DATE(G878), TO_DATE(H878)-TO_DATE(G878))+1"),3.0)</f>
        <v>3</v>
      </c>
      <c r="J878" s="240">
        <v>500.0</v>
      </c>
      <c r="K878" s="832" t="s">
        <v>8313</v>
      </c>
      <c r="L878" s="790"/>
      <c r="M878" s="63"/>
      <c r="N878" s="29"/>
      <c r="O878" s="29"/>
      <c r="P878" s="29"/>
      <c r="Q878" s="29"/>
      <c r="R878" s="29"/>
      <c r="S878" s="29"/>
      <c r="T878" s="29"/>
      <c r="U878" s="29"/>
      <c r="V878" s="29"/>
      <c r="W878" s="29"/>
      <c r="X878" s="29"/>
      <c r="Y878" s="29"/>
      <c r="Z878" s="29"/>
      <c r="AA878" s="29"/>
      <c r="AB878" s="29"/>
      <c r="AC878" s="29"/>
      <c r="AD878" s="29"/>
      <c r="AE878" s="29"/>
      <c r="AF878" s="29"/>
      <c r="AG878" s="29"/>
    </row>
    <row r="879">
      <c r="A879" s="40" t="s">
        <v>145</v>
      </c>
      <c r="B879" s="240" t="s">
        <v>375</v>
      </c>
      <c r="C879" s="218" t="s">
        <v>8316</v>
      </c>
      <c r="D879" s="85" t="s">
        <v>60</v>
      </c>
      <c r="E879" s="40" t="s">
        <v>4904</v>
      </c>
      <c r="F879" s="831" t="s">
        <v>4905</v>
      </c>
      <c r="G879" s="493">
        <v>46007.0</v>
      </c>
      <c r="H879" s="493">
        <v>46010.0</v>
      </c>
      <c r="I879" s="189">
        <f>IFERROR(__xludf.DUMMYFUNCTION("IF(ISBLANK(H879), TODAY()-TO_DATE(G879), TO_DATE(H879)-TO_DATE(G879))+1"),4.0)</f>
        <v>4</v>
      </c>
      <c r="J879" s="240">
        <v>500.0</v>
      </c>
      <c r="K879" s="832" t="s">
        <v>8319</v>
      </c>
      <c r="L879" s="40" t="s">
        <v>8320</v>
      </c>
      <c r="M879" s="240" t="s">
        <v>8321</v>
      </c>
      <c r="N879" s="29"/>
      <c r="O879" s="29"/>
      <c r="P879" s="29"/>
      <c r="Q879" s="29"/>
      <c r="R879" s="29"/>
      <c r="S879" s="29"/>
      <c r="T879" s="29"/>
      <c r="U879" s="29"/>
      <c r="V879" s="29"/>
      <c r="W879" s="29"/>
      <c r="X879" s="29"/>
      <c r="Y879" s="29"/>
      <c r="Z879" s="29"/>
      <c r="AA879" s="29"/>
      <c r="AB879" s="29"/>
      <c r="AC879" s="29"/>
      <c r="AD879" s="29"/>
      <c r="AE879" s="29"/>
      <c r="AF879" s="29"/>
      <c r="AG879" s="29"/>
    </row>
    <row r="880">
      <c r="A880" s="40" t="s">
        <v>145</v>
      </c>
      <c r="B880" s="240" t="s">
        <v>375</v>
      </c>
      <c r="C880" s="218" t="s">
        <v>8232</v>
      </c>
      <c r="D880" s="85" t="s">
        <v>60</v>
      </c>
      <c r="E880" s="40" t="s">
        <v>4938</v>
      </c>
      <c r="F880" s="325" t="s">
        <v>4939</v>
      </c>
      <c r="G880" s="493">
        <v>46007.0</v>
      </c>
      <c r="H880" s="493">
        <v>46009.0</v>
      </c>
      <c r="I880" s="189">
        <f>IFERROR(__xludf.DUMMYFUNCTION("IF(ISBLANK(H880), TODAY()-TO_DATE(G880), TO_DATE(H880)-TO_DATE(G880))+1"),3.0)</f>
        <v>3</v>
      </c>
      <c r="J880" s="240">
        <v>500.0</v>
      </c>
      <c r="K880" s="832" t="s">
        <v>8325</v>
      </c>
      <c r="L880" s="40" t="s">
        <v>7305</v>
      </c>
      <c r="M880" s="240" t="s">
        <v>8214</v>
      </c>
      <c r="N880" s="29"/>
      <c r="O880" s="29"/>
      <c r="P880" s="29"/>
      <c r="Q880" s="29"/>
      <c r="R880" s="29"/>
      <c r="S880" s="29"/>
      <c r="T880" s="29"/>
      <c r="U880" s="29"/>
      <c r="V880" s="29"/>
      <c r="W880" s="29"/>
      <c r="X880" s="29"/>
      <c r="Y880" s="29"/>
      <c r="Z880" s="29"/>
      <c r="AA880" s="29"/>
      <c r="AB880" s="29"/>
      <c r="AC880" s="29"/>
      <c r="AD880" s="29"/>
      <c r="AE880" s="29"/>
      <c r="AF880" s="29"/>
      <c r="AG880" s="29"/>
    </row>
    <row r="881">
      <c r="A881" s="40" t="s">
        <v>145</v>
      </c>
      <c r="B881" s="240" t="s">
        <v>375</v>
      </c>
      <c r="C881" s="218" t="s">
        <v>8327</v>
      </c>
      <c r="D881" s="85" t="s">
        <v>60</v>
      </c>
      <c r="E881" s="325" t="s">
        <v>5004</v>
      </c>
      <c r="F881" s="325" t="s">
        <v>5006</v>
      </c>
      <c r="G881" s="493">
        <v>46007.0</v>
      </c>
      <c r="H881" s="493">
        <v>46010.0</v>
      </c>
      <c r="I881" s="189">
        <f>IFERROR(__xludf.DUMMYFUNCTION("IF(ISBLANK(H881), TODAY()-TO_DATE(G881), TO_DATE(H881)-TO_DATE(G881))+1"),4.0)</f>
        <v>4</v>
      </c>
      <c r="J881" s="240">
        <v>500.0</v>
      </c>
      <c r="K881" s="325" t="s">
        <v>8330</v>
      </c>
      <c r="L881" s="40" t="s">
        <v>8331</v>
      </c>
      <c r="M881" s="240" t="s">
        <v>8214</v>
      </c>
      <c r="N881" s="29"/>
      <c r="O881" s="29"/>
      <c r="P881" s="29"/>
      <c r="Q881" s="29"/>
      <c r="R881" s="29"/>
      <c r="S881" s="29"/>
      <c r="T881" s="29"/>
      <c r="U881" s="29"/>
      <c r="V881" s="29"/>
      <c r="W881" s="29"/>
      <c r="X881" s="29"/>
      <c r="Y881" s="29"/>
      <c r="Z881" s="29"/>
      <c r="AA881" s="29"/>
      <c r="AB881" s="29"/>
      <c r="AC881" s="29"/>
      <c r="AD881" s="29"/>
      <c r="AE881" s="29"/>
      <c r="AF881" s="29"/>
      <c r="AG881" s="29"/>
    </row>
    <row r="882">
      <c r="A882" s="40" t="s">
        <v>145</v>
      </c>
      <c r="B882" s="240" t="s">
        <v>375</v>
      </c>
      <c r="C882" s="218" t="s">
        <v>8334</v>
      </c>
      <c r="D882" s="85" t="s">
        <v>60</v>
      </c>
      <c r="E882" s="325" t="s">
        <v>8337</v>
      </c>
      <c r="F882" s="325" t="s">
        <v>8338</v>
      </c>
      <c r="G882" s="493">
        <v>46007.0</v>
      </c>
      <c r="H882" s="493">
        <v>46023.0</v>
      </c>
      <c r="I882" s="189">
        <f>IFERROR(__xludf.DUMMYFUNCTION("IF(ISBLANK(H882), TODAY()-TO_DATE(G882), TO_DATE(H882)-TO_DATE(G882))+1"),17.0)</f>
        <v>17</v>
      </c>
      <c r="J882" s="240">
        <v>300.0</v>
      </c>
      <c r="K882" s="845" t="s">
        <v>8343</v>
      </c>
      <c r="L882" s="790"/>
      <c r="M882" s="63"/>
      <c r="N882" s="29"/>
      <c r="O882" s="29"/>
      <c r="P882" s="29"/>
      <c r="Q882" s="29"/>
      <c r="R882" s="29"/>
      <c r="S882" s="29"/>
      <c r="T882" s="29"/>
      <c r="U882" s="29"/>
      <c r="V882" s="29"/>
      <c r="W882" s="29"/>
      <c r="X882" s="29"/>
      <c r="Y882" s="29"/>
      <c r="Z882" s="29"/>
      <c r="AA882" s="29"/>
      <c r="AB882" s="29"/>
      <c r="AC882" s="29"/>
      <c r="AD882" s="29"/>
      <c r="AE882" s="29"/>
      <c r="AF882" s="29"/>
      <c r="AG882" s="29"/>
    </row>
    <row r="883">
      <c r="A883" s="40" t="s">
        <v>2451</v>
      </c>
      <c r="B883" s="240" t="s">
        <v>375</v>
      </c>
      <c r="C883" s="218" t="s">
        <v>139</v>
      </c>
      <c r="D883" s="85" t="s">
        <v>60</v>
      </c>
      <c r="E883" s="325" t="s">
        <v>8346</v>
      </c>
      <c r="F883" s="325" t="s">
        <v>8347</v>
      </c>
      <c r="G883" s="493">
        <v>46007.0</v>
      </c>
      <c r="H883" s="493">
        <v>46010.0</v>
      </c>
      <c r="I883" s="189">
        <f>IFERROR(__xludf.DUMMYFUNCTION("IF(ISBLANK(H883), TODAY()-TO_DATE(G883), TO_DATE(H883)-TO_DATE(G883))+1"),4.0)</f>
        <v>4</v>
      </c>
      <c r="J883" s="240">
        <v>500.0</v>
      </c>
      <c r="K883" s="325" t="s">
        <v>8350</v>
      </c>
      <c r="L883" s="40" t="s">
        <v>8351</v>
      </c>
      <c r="M883" s="240" t="s">
        <v>8214</v>
      </c>
      <c r="N883" s="29"/>
      <c r="O883" s="29"/>
      <c r="P883" s="29"/>
      <c r="Q883" s="29"/>
      <c r="R883" s="29"/>
      <c r="S883" s="29"/>
      <c r="T883" s="29"/>
      <c r="U883" s="29"/>
      <c r="V883" s="29"/>
      <c r="W883" s="29"/>
      <c r="X883" s="29"/>
      <c r="Y883" s="29"/>
      <c r="Z883" s="29"/>
      <c r="AA883" s="29"/>
      <c r="AB883" s="29"/>
      <c r="AC883" s="29"/>
      <c r="AD883" s="29"/>
      <c r="AE883" s="29"/>
      <c r="AF883" s="29"/>
      <c r="AG883" s="29"/>
    </row>
    <row r="884">
      <c r="A884" s="40" t="s">
        <v>145</v>
      </c>
      <c r="B884" s="240" t="s">
        <v>375</v>
      </c>
      <c r="C884" s="218" t="s">
        <v>8357</v>
      </c>
      <c r="D884" s="85" t="s">
        <v>60</v>
      </c>
      <c r="E884" s="325" t="s">
        <v>3818</v>
      </c>
      <c r="F884" s="325" t="s">
        <v>3819</v>
      </c>
      <c r="G884" s="493">
        <v>46008.0</v>
      </c>
      <c r="H884" s="493">
        <v>46014.0</v>
      </c>
      <c r="I884" s="189">
        <f>IFERROR(__xludf.DUMMYFUNCTION("IF(ISBLANK(H884), TODAY()-TO_DATE(G884), TO_DATE(H884)-TO_DATE(G884))+1"),7.0)</f>
        <v>7</v>
      </c>
      <c r="J884" s="240">
        <v>500.0</v>
      </c>
      <c r="K884" s="832" t="s">
        <v>8359</v>
      </c>
      <c r="L884" s="40" t="s">
        <v>3421</v>
      </c>
      <c r="M884" s="240" t="s">
        <v>8214</v>
      </c>
      <c r="N884" s="29"/>
      <c r="O884" s="29"/>
      <c r="P884" s="29"/>
      <c r="Q884" s="29"/>
      <c r="R884" s="29"/>
      <c r="S884" s="29"/>
      <c r="T884" s="29"/>
      <c r="U884" s="29"/>
      <c r="V884" s="29"/>
      <c r="W884" s="29"/>
      <c r="X884" s="29"/>
      <c r="Y884" s="29"/>
      <c r="Z884" s="29"/>
      <c r="AA884" s="29"/>
      <c r="AB884" s="29"/>
      <c r="AC884" s="29"/>
      <c r="AD884" s="29"/>
      <c r="AE884" s="29"/>
      <c r="AF884" s="29"/>
      <c r="AG884" s="29"/>
    </row>
    <row r="885">
      <c r="A885" s="40" t="s">
        <v>145</v>
      </c>
      <c r="B885" s="240" t="s">
        <v>375</v>
      </c>
      <c r="C885" s="218" t="s">
        <v>5551</v>
      </c>
      <c r="D885" s="85" t="s">
        <v>60</v>
      </c>
      <c r="E885" s="325" t="s">
        <v>3851</v>
      </c>
      <c r="F885" s="325" t="s">
        <v>3852</v>
      </c>
      <c r="G885" s="493">
        <v>46008.0</v>
      </c>
      <c r="H885" s="493">
        <v>46014.0</v>
      </c>
      <c r="I885" s="189">
        <f>IFERROR(__xludf.DUMMYFUNCTION("IF(ISBLANK(H885), TODAY()-TO_DATE(G885), TO_DATE(H885)-TO_DATE(G885))+1"),7.0)</f>
        <v>7</v>
      </c>
      <c r="J885" s="240">
        <v>500.0</v>
      </c>
      <c r="K885" s="832" t="s">
        <v>8363</v>
      </c>
      <c r="L885" s="790"/>
      <c r="M885" s="240" t="s">
        <v>8364</v>
      </c>
      <c r="N885" s="29"/>
      <c r="O885" s="29"/>
      <c r="P885" s="29"/>
      <c r="Q885" s="29"/>
      <c r="R885" s="29"/>
      <c r="S885" s="29"/>
      <c r="T885" s="29"/>
      <c r="U885" s="29"/>
      <c r="V885" s="29"/>
      <c r="W885" s="29"/>
      <c r="X885" s="29"/>
      <c r="Y885" s="29"/>
      <c r="Z885" s="29"/>
      <c r="AA885" s="29"/>
      <c r="AB885" s="29"/>
      <c r="AC885" s="29"/>
      <c r="AD885" s="29"/>
      <c r="AE885" s="29"/>
      <c r="AF885" s="29"/>
      <c r="AG885" s="29"/>
    </row>
    <row r="886">
      <c r="A886" s="40" t="s">
        <v>145</v>
      </c>
      <c r="B886" s="240" t="s">
        <v>375</v>
      </c>
      <c r="C886" s="218" t="s">
        <v>8369</v>
      </c>
      <c r="D886" s="85" t="s">
        <v>60</v>
      </c>
      <c r="E886" s="325" t="s">
        <v>4991</v>
      </c>
      <c r="F886" s="325" t="s">
        <v>2799</v>
      </c>
      <c r="G886" s="493">
        <v>46008.0</v>
      </c>
      <c r="H886" s="493">
        <v>46016.0</v>
      </c>
      <c r="I886" s="189">
        <f>IFERROR(__xludf.DUMMYFUNCTION("IF(ISBLANK(H886), TODAY()-TO_DATE(G886), TO_DATE(H886)-TO_DATE(G886))+1"),9.0)</f>
        <v>9</v>
      </c>
      <c r="J886" s="240">
        <v>500.0</v>
      </c>
      <c r="K886" s="832" t="s">
        <v>8371</v>
      </c>
      <c r="L886" s="40" t="s">
        <v>8372</v>
      </c>
      <c r="M886" s="63"/>
      <c r="N886" s="29"/>
      <c r="O886" s="29"/>
      <c r="P886" s="29"/>
      <c r="Q886" s="29"/>
      <c r="R886" s="29"/>
      <c r="S886" s="29"/>
      <c r="T886" s="29"/>
      <c r="U886" s="29"/>
      <c r="V886" s="29"/>
      <c r="W886" s="29"/>
      <c r="X886" s="29"/>
      <c r="Y886" s="29"/>
      <c r="Z886" s="29"/>
      <c r="AA886" s="29"/>
      <c r="AB886" s="29"/>
      <c r="AC886" s="29"/>
      <c r="AD886" s="29"/>
      <c r="AE886" s="29"/>
      <c r="AF886" s="29"/>
      <c r="AG886" s="29"/>
    </row>
    <row r="887">
      <c r="A887" s="40" t="s">
        <v>145</v>
      </c>
      <c r="B887" s="240" t="s">
        <v>375</v>
      </c>
      <c r="C887" s="218" t="s">
        <v>8377</v>
      </c>
      <c r="D887" s="85" t="s">
        <v>60</v>
      </c>
      <c r="E887" s="325" t="s">
        <v>5718</v>
      </c>
      <c r="F887" s="325" t="s">
        <v>5719</v>
      </c>
      <c r="G887" s="493">
        <v>46008.0</v>
      </c>
      <c r="H887" s="493">
        <v>46053.0</v>
      </c>
      <c r="I887" s="189">
        <f>IFERROR(__xludf.DUMMYFUNCTION("IF(ISBLANK(H887), TODAY()-TO_DATE(G887), TO_DATE(H887)-TO_DATE(G887))+1"),46.0)</f>
        <v>46</v>
      </c>
      <c r="J887" s="240">
        <v>500.0</v>
      </c>
      <c r="K887" s="40" t="s">
        <v>8381</v>
      </c>
      <c r="L887" s="72"/>
      <c r="M887" s="240"/>
      <c r="N887" s="29"/>
      <c r="O887" s="29"/>
      <c r="P887" s="29"/>
      <c r="Q887" s="29"/>
      <c r="R887" s="29"/>
      <c r="S887" s="29"/>
      <c r="T887" s="29"/>
      <c r="U887" s="29"/>
      <c r="V887" s="29"/>
      <c r="W887" s="29"/>
      <c r="X887" s="29"/>
      <c r="Y887" s="29"/>
      <c r="Z887" s="29"/>
      <c r="AA887" s="29"/>
      <c r="AB887" s="29"/>
      <c r="AC887" s="29"/>
      <c r="AD887" s="29"/>
      <c r="AE887" s="29"/>
      <c r="AF887" s="29"/>
      <c r="AG887" s="29"/>
    </row>
    <row r="888">
      <c r="A888" s="40" t="s">
        <v>1032</v>
      </c>
      <c r="B888" s="240" t="s">
        <v>375</v>
      </c>
      <c r="C888" s="44"/>
      <c r="D888" s="47" t="s">
        <v>60</v>
      </c>
      <c r="E888" s="241" t="s">
        <v>8385</v>
      </c>
      <c r="F888" s="40" t="s">
        <v>949</v>
      </c>
      <c r="G888" s="493">
        <v>46009.0</v>
      </c>
      <c r="H888" s="53">
        <v>46010.0</v>
      </c>
      <c r="I888" s="63">
        <f>IFERROR(__xludf.DUMMYFUNCTION("IF(ISBLANK(H888), TODAY()-TO_DATE(G888), TO_DATE(H888)-TO_DATE(G888))+1"),2.0)</f>
        <v>2</v>
      </c>
      <c r="J888" s="40">
        <v>300.0</v>
      </c>
      <c r="K888" s="40"/>
      <c r="L888" s="69"/>
      <c r="M888" s="40" t="s">
        <v>8064</v>
      </c>
      <c r="N888" s="29"/>
      <c r="O888" s="29"/>
      <c r="P888" s="29"/>
      <c r="Q888" s="29"/>
      <c r="R888" s="29"/>
      <c r="S888" s="29"/>
      <c r="T888" s="29"/>
      <c r="U888" s="29"/>
      <c r="V888" s="29"/>
      <c r="W888" s="29"/>
      <c r="X888" s="29"/>
      <c r="Y888" s="29"/>
      <c r="Z888" s="29"/>
      <c r="AA888" s="29"/>
      <c r="AB888" s="29"/>
      <c r="AC888" s="29"/>
      <c r="AD888" s="29"/>
      <c r="AE888" s="29"/>
      <c r="AF888" s="29"/>
      <c r="AG888" s="29"/>
    </row>
    <row r="889">
      <c r="A889" s="40" t="s">
        <v>1923</v>
      </c>
      <c r="B889" s="40" t="s">
        <v>375</v>
      </c>
      <c r="C889" s="44" t="s">
        <v>1466</v>
      </c>
      <c r="D889" s="47" t="s">
        <v>60</v>
      </c>
      <c r="E889" s="40" t="s">
        <v>1950</v>
      </c>
      <c r="F889" s="40" t="s">
        <v>118</v>
      </c>
      <c r="G889" s="493">
        <v>46010.0</v>
      </c>
      <c r="H889" s="493">
        <v>46028.0</v>
      </c>
      <c r="I889" s="63">
        <f>IFERROR(__xludf.DUMMYFUNCTION("IF(ISBLANK(H889), TODAY()-TO_DATE(G889), TO_DATE(H889)-TO_DATE(G889))+1"),19.0)</f>
        <v>19</v>
      </c>
      <c r="J889" s="40" t="s">
        <v>197</v>
      </c>
      <c r="K889" s="40" t="s">
        <v>1955</v>
      </c>
      <c r="L889" s="69" t="s">
        <v>1956</v>
      </c>
      <c r="M889" s="72"/>
      <c r="N889" s="29"/>
      <c r="O889" s="29"/>
      <c r="P889" s="29"/>
      <c r="Q889" s="29"/>
      <c r="R889" s="29"/>
      <c r="S889" s="29"/>
      <c r="T889" s="29"/>
      <c r="U889" s="29"/>
      <c r="V889" s="29"/>
      <c r="W889" s="29"/>
      <c r="X889" s="29"/>
      <c r="Y889" s="29"/>
      <c r="Z889" s="29"/>
      <c r="AA889" s="29"/>
      <c r="AB889" s="29"/>
      <c r="AC889" s="29"/>
      <c r="AD889" s="29"/>
      <c r="AE889" s="29"/>
      <c r="AF889" s="29"/>
      <c r="AG889" s="29"/>
    </row>
    <row r="890">
      <c r="A890" s="40" t="s">
        <v>2451</v>
      </c>
      <c r="B890" s="240" t="s">
        <v>375</v>
      </c>
      <c r="C890" s="218" t="s">
        <v>178</v>
      </c>
      <c r="D890" s="85" t="s">
        <v>360</v>
      </c>
      <c r="E890" s="325" t="s">
        <v>6298</v>
      </c>
      <c r="F890" s="325" t="s">
        <v>1422</v>
      </c>
      <c r="G890" s="493">
        <v>46010.0</v>
      </c>
      <c r="H890" s="493">
        <v>46037.0</v>
      </c>
      <c r="I890" s="189">
        <f>IFERROR(__xludf.DUMMYFUNCTION("IF(ISBLANK(H890), TODAY()-TO_DATE(G890), TO_DATE(H890)-TO_DATE(G890))+1"),28.0)</f>
        <v>28</v>
      </c>
      <c r="J890" s="240">
        <v>200.0</v>
      </c>
      <c r="K890" s="40" t="s">
        <v>8396</v>
      </c>
      <c r="L890" s="72"/>
      <c r="M890" s="63"/>
      <c r="N890" s="29"/>
      <c r="O890" s="29"/>
      <c r="P890" s="29"/>
      <c r="Q890" s="29"/>
      <c r="R890" s="29"/>
      <c r="S890" s="29"/>
      <c r="T890" s="29"/>
      <c r="U890" s="29"/>
      <c r="V890" s="29"/>
      <c r="W890" s="29"/>
      <c r="X890" s="29"/>
      <c r="Y890" s="29"/>
      <c r="Z890" s="29"/>
      <c r="AA890" s="29"/>
      <c r="AB890" s="29"/>
      <c r="AC890" s="29"/>
      <c r="AD890" s="29"/>
      <c r="AE890" s="29"/>
      <c r="AF890" s="29"/>
      <c r="AG890" s="29"/>
    </row>
    <row r="891">
      <c r="A891" s="40" t="s">
        <v>2451</v>
      </c>
      <c r="B891" s="240" t="s">
        <v>375</v>
      </c>
      <c r="C891" s="218" t="s">
        <v>536</v>
      </c>
      <c r="D891" s="85" t="s">
        <v>60</v>
      </c>
      <c r="E891" s="325" t="s">
        <v>3610</v>
      </c>
      <c r="F891" s="325" t="s">
        <v>2037</v>
      </c>
      <c r="G891" s="493">
        <v>46010.0</v>
      </c>
      <c r="H891" s="493">
        <v>46018.0</v>
      </c>
      <c r="I891" s="189">
        <f>IFERROR(__xludf.DUMMYFUNCTION("IF(ISBLANK(H891), TODAY()-TO_DATE(G891), TO_DATE(H891)-TO_DATE(G891))+1"),9.0)</f>
        <v>9</v>
      </c>
      <c r="J891" s="240">
        <v>500.0</v>
      </c>
      <c r="K891" s="240" t="s">
        <v>8401</v>
      </c>
      <c r="L891" s="325" t="s">
        <v>8402</v>
      </c>
      <c r="M891" s="240" t="s">
        <v>8214</v>
      </c>
      <c r="N891" s="29"/>
      <c r="O891" s="29"/>
      <c r="P891" s="29"/>
      <c r="Q891" s="29"/>
      <c r="R891" s="29"/>
      <c r="S891" s="29"/>
      <c r="T891" s="29"/>
      <c r="U891" s="29"/>
      <c r="V891" s="29"/>
      <c r="W891" s="29"/>
      <c r="X891" s="29"/>
      <c r="Y891" s="29"/>
      <c r="Z891" s="29"/>
      <c r="AA891" s="29"/>
      <c r="AB891" s="29"/>
      <c r="AC891" s="29"/>
      <c r="AD891" s="29"/>
      <c r="AE891" s="29"/>
      <c r="AF891" s="29"/>
      <c r="AG891" s="29"/>
    </row>
    <row r="892">
      <c r="A892" s="40" t="s">
        <v>2515</v>
      </c>
      <c r="B892" s="240" t="s">
        <v>375</v>
      </c>
      <c r="C892" s="73" t="s">
        <v>2331</v>
      </c>
      <c r="D892" s="85" t="s">
        <v>60</v>
      </c>
      <c r="E892" s="325" t="s">
        <v>3603</v>
      </c>
      <c r="F892" s="325" t="s">
        <v>6973</v>
      </c>
      <c r="G892" s="493">
        <v>46010.0</v>
      </c>
      <c r="H892" s="493">
        <v>46087.0</v>
      </c>
      <c r="I892" s="189">
        <f>IFERROR(__xludf.DUMMYFUNCTION("IF(ISBLANK(H892), TODAY()-TO_DATE(G892), TO_DATE(H892)-TO_DATE(G892))+1"),78.0)</f>
        <v>78</v>
      </c>
      <c r="J892" s="240" t="s">
        <v>197</v>
      </c>
      <c r="K892" s="40" t="s">
        <v>8407</v>
      </c>
      <c r="L892" s="40" t="s">
        <v>8408</v>
      </c>
      <c r="M892" s="240" t="s">
        <v>8214</v>
      </c>
      <c r="N892" s="29"/>
      <c r="O892" s="29"/>
      <c r="P892" s="29"/>
      <c r="Q892" s="29"/>
      <c r="R892" s="29"/>
      <c r="S892" s="29"/>
      <c r="T892" s="29"/>
      <c r="U892" s="29"/>
      <c r="V892" s="29"/>
      <c r="W892" s="29"/>
      <c r="X892" s="29"/>
      <c r="Y892" s="29"/>
      <c r="Z892" s="29"/>
      <c r="AA892" s="29"/>
      <c r="AB892" s="29"/>
      <c r="AC892" s="29"/>
      <c r="AD892" s="29"/>
      <c r="AE892" s="29"/>
      <c r="AF892" s="29"/>
      <c r="AG892" s="29"/>
    </row>
    <row r="893">
      <c r="A893" s="40" t="s">
        <v>2451</v>
      </c>
      <c r="B893" s="240" t="s">
        <v>375</v>
      </c>
      <c r="C893" s="218"/>
      <c r="D893" s="85" t="s">
        <v>60</v>
      </c>
      <c r="E893" s="325" t="s">
        <v>6761</v>
      </c>
      <c r="F893" s="240" t="s">
        <v>7858</v>
      </c>
      <c r="G893" s="493">
        <v>46011.0</v>
      </c>
      <c r="H893" s="703">
        <v>46011.0</v>
      </c>
      <c r="I893" s="189">
        <f>IFERROR(__xludf.DUMMYFUNCTION("IF(ISBLANK(H893), TODAY()-TO_DATE(G893), TO_DATE(H893)-TO_DATE(G893))+1"),1.0)</f>
        <v>1</v>
      </c>
      <c r="J893" s="240">
        <v>300.0</v>
      </c>
      <c r="K893" s="240"/>
      <c r="L893" s="325"/>
      <c r="M893" s="240" t="s">
        <v>8417</v>
      </c>
      <c r="N893" s="29"/>
      <c r="O893" s="29"/>
      <c r="P893" s="29"/>
      <c r="Q893" s="29"/>
      <c r="R893" s="29"/>
      <c r="S893" s="29"/>
      <c r="T893" s="29"/>
      <c r="U893" s="29"/>
      <c r="V893" s="29"/>
      <c r="W893" s="29"/>
      <c r="X893" s="29"/>
      <c r="Y893" s="29"/>
      <c r="Z893" s="29"/>
      <c r="AA893" s="29"/>
      <c r="AB893" s="29"/>
      <c r="AC893" s="29"/>
      <c r="AD893" s="29"/>
      <c r="AE893" s="29"/>
      <c r="AF893" s="29"/>
      <c r="AG893" s="29"/>
    </row>
    <row r="894">
      <c r="A894" s="40" t="s">
        <v>145</v>
      </c>
      <c r="B894" s="240" t="s">
        <v>375</v>
      </c>
      <c r="C894" s="218" t="s">
        <v>5535</v>
      </c>
      <c r="D894" s="85" t="s">
        <v>610</v>
      </c>
      <c r="E894" s="325" t="s">
        <v>5029</v>
      </c>
      <c r="F894" s="325" t="s">
        <v>5031</v>
      </c>
      <c r="G894" s="493">
        <v>46012.0</v>
      </c>
      <c r="H894" s="493">
        <v>46022.0</v>
      </c>
      <c r="I894" s="189">
        <f>IFERROR(__xludf.DUMMYFUNCTION("IF(ISBLANK(H894), TODAY()-TO_DATE(G894), TO_DATE(H894)-TO_DATE(G894))+1"),11.0)</f>
        <v>11</v>
      </c>
      <c r="J894" s="240">
        <v>500.0</v>
      </c>
      <c r="K894" s="240" t="s">
        <v>8422</v>
      </c>
      <c r="L894" s="325"/>
      <c r="M894" s="240"/>
      <c r="N894" s="29"/>
      <c r="O894" s="29"/>
      <c r="P894" s="29"/>
      <c r="Q894" s="29"/>
      <c r="R894" s="29"/>
      <c r="S894" s="29"/>
      <c r="T894" s="29"/>
      <c r="U894" s="29"/>
      <c r="V894" s="29"/>
      <c r="W894" s="29"/>
      <c r="X894" s="29"/>
      <c r="Y894" s="29"/>
      <c r="Z894" s="29"/>
      <c r="AA894" s="29"/>
      <c r="AB894" s="29"/>
      <c r="AC894" s="29"/>
      <c r="AD894" s="29"/>
      <c r="AE894" s="29"/>
      <c r="AF894" s="29"/>
      <c r="AG894" s="29"/>
    </row>
    <row r="895">
      <c r="A895" s="633" t="s">
        <v>145</v>
      </c>
      <c r="B895" s="540" t="s">
        <v>375</v>
      </c>
      <c r="C895" s="646" t="s">
        <v>7663</v>
      </c>
      <c r="D895" s="647" t="s">
        <v>60</v>
      </c>
      <c r="E895" s="599" t="s">
        <v>5862</v>
      </c>
      <c r="F895" s="599" t="s">
        <v>5864</v>
      </c>
      <c r="G895" s="545">
        <v>46012.0</v>
      </c>
      <c r="H895" s="545">
        <v>46061.0</v>
      </c>
      <c r="I895" s="665">
        <f>IFERROR(__xludf.DUMMYFUNCTION("IF(ISBLANK(H895), TODAY()-TO_DATE(G895), TO_DATE(H895)-TO_DATE(G895))+1"),50.0)</f>
        <v>50</v>
      </c>
      <c r="J895" s="540">
        <v>500.0</v>
      </c>
      <c r="K895" s="540" t="s">
        <v>8428</v>
      </c>
      <c r="L895" s="599"/>
      <c r="M895" s="540"/>
      <c r="N895" s="548"/>
      <c r="O895" s="548"/>
      <c r="P895" s="548"/>
      <c r="Q895" s="548"/>
      <c r="R895" s="548"/>
      <c r="S895" s="548"/>
      <c r="T895" s="548"/>
      <c r="U895" s="548"/>
      <c r="V895" s="548"/>
      <c r="W895" s="548"/>
      <c r="X895" s="548"/>
      <c r="Y895" s="548"/>
      <c r="Z895" s="548"/>
      <c r="AA895" s="548"/>
      <c r="AB895" s="548"/>
      <c r="AC895" s="548"/>
      <c r="AD895" s="548"/>
      <c r="AE895" s="548"/>
      <c r="AF895" s="548"/>
      <c r="AG895" s="548"/>
    </row>
    <row r="896">
      <c r="A896" s="40" t="s">
        <v>145</v>
      </c>
      <c r="B896" s="240" t="s">
        <v>375</v>
      </c>
      <c r="C896" s="218" t="s">
        <v>8430</v>
      </c>
      <c r="D896" s="85" t="s">
        <v>656</v>
      </c>
      <c r="E896" s="325" t="s">
        <v>4967</v>
      </c>
      <c r="F896" s="325" t="s">
        <v>4969</v>
      </c>
      <c r="G896" s="493">
        <v>46012.0</v>
      </c>
      <c r="H896" s="493">
        <v>46030.0</v>
      </c>
      <c r="I896" s="189">
        <f>IFERROR(__xludf.DUMMYFUNCTION("IF(ISBLANK(H896), TODAY()-TO_DATE(G896), TO_DATE(H896)-TO_DATE(G896))+1"),19.0)</f>
        <v>19</v>
      </c>
      <c r="J896" s="240">
        <v>500.0</v>
      </c>
      <c r="K896" s="240" t="s">
        <v>8432</v>
      </c>
      <c r="L896" s="325" t="s">
        <v>8433</v>
      </c>
      <c r="M896" s="240"/>
      <c r="N896" s="29"/>
      <c r="O896" s="29"/>
      <c r="P896" s="29"/>
      <c r="Q896" s="29"/>
      <c r="R896" s="29"/>
      <c r="S896" s="29"/>
      <c r="T896" s="29"/>
      <c r="U896" s="29"/>
      <c r="V896" s="29"/>
      <c r="W896" s="29"/>
      <c r="X896" s="29"/>
      <c r="Y896" s="29"/>
      <c r="Z896" s="29"/>
      <c r="AA896" s="29"/>
      <c r="AB896" s="29"/>
      <c r="AC896" s="29"/>
      <c r="AD896" s="29"/>
      <c r="AE896" s="29"/>
      <c r="AF896" s="29"/>
      <c r="AG896" s="29"/>
    </row>
    <row r="897">
      <c r="A897" s="40" t="s">
        <v>145</v>
      </c>
      <c r="B897" s="240" t="s">
        <v>375</v>
      </c>
      <c r="C897" s="218" t="s">
        <v>8434</v>
      </c>
      <c r="D897" s="85" t="s">
        <v>60</v>
      </c>
      <c r="E897" s="325" t="s">
        <v>5303</v>
      </c>
      <c r="F897" s="325" t="s">
        <v>5304</v>
      </c>
      <c r="G897" s="493">
        <v>46012.0</v>
      </c>
      <c r="H897" s="493">
        <v>46023.0</v>
      </c>
      <c r="I897" s="189">
        <f>IFERROR(__xludf.DUMMYFUNCTION("IF(ISBLANK(H897), TODAY()-TO_DATE(G897), TO_DATE(H897)-TO_DATE(G897))+1"),12.0)</f>
        <v>12</v>
      </c>
      <c r="J897" s="240">
        <v>500.0</v>
      </c>
      <c r="K897" s="240" t="s">
        <v>7567</v>
      </c>
      <c r="L897" s="325" t="s">
        <v>2677</v>
      </c>
      <c r="M897" s="240"/>
      <c r="N897" s="29"/>
      <c r="O897" s="29"/>
      <c r="P897" s="29"/>
      <c r="Q897" s="29"/>
      <c r="R897" s="29"/>
      <c r="S897" s="29"/>
      <c r="T897" s="29"/>
      <c r="U897" s="29"/>
      <c r="V897" s="29"/>
      <c r="W897" s="29"/>
      <c r="X897" s="29"/>
      <c r="Y897" s="29"/>
      <c r="Z897" s="29"/>
      <c r="AA897" s="29"/>
      <c r="AB897" s="29"/>
      <c r="AC897" s="29"/>
      <c r="AD897" s="29"/>
      <c r="AE897" s="29"/>
      <c r="AF897" s="29"/>
      <c r="AG897" s="29"/>
    </row>
    <row r="898">
      <c r="A898" s="240" t="s">
        <v>1313</v>
      </c>
      <c r="B898" s="240" t="s">
        <v>375</v>
      </c>
      <c r="C898" s="128"/>
      <c r="D898" s="85" t="s">
        <v>60</v>
      </c>
      <c r="E898" s="325" t="s">
        <v>4582</v>
      </c>
      <c r="F898" s="325" t="s">
        <v>4584</v>
      </c>
      <c r="G898" s="493">
        <v>46014.0</v>
      </c>
      <c r="H898" s="493">
        <v>46014.0</v>
      </c>
      <c r="I898" s="189">
        <f>IFERROR(__xludf.DUMMYFUNCTION("IF(ISBLANK(H898), TODAY()-TO_DATE(G898), TO_DATE(H898)-TO_DATE(G898))+1"),1.0)</f>
        <v>1</v>
      </c>
      <c r="J898" s="240">
        <v>500.0</v>
      </c>
      <c r="K898" s="40" t="s">
        <v>8442</v>
      </c>
      <c r="L898" s="72"/>
      <c r="M898" s="63"/>
      <c r="N898" s="29"/>
      <c r="O898" s="29"/>
      <c r="P898" s="29"/>
      <c r="Q898" s="29"/>
      <c r="R898" s="29"/>
      <c r="S898" s="29"/>
      <c r="T898" s="29"/>
      <c r="U898" s="29"/>
      <c r="V898" s="29"/>
      <c r="W898" s="29"/>
      <c r="X898" s="29"/>
      <c r="Y898" s="29"/>
      <c r="Z898" s="29"/>
      <c r="AA898" s="29"/>
      <c r="AB898" s="29"/>
      <c r="AC898" s="29"/>
      <c r="AD898" s="29"/>
      <c r="AE898" s="29"/>
      <c r="AF898" s="29"/>
      <c r="AG898" s="29"/>
    </row>
    <row r="899">
      <c r="A899" s="240" t="s">
        <v>1313</v>
      </c>
      <c r="B899" s="240" t="s">
        <v>375</v>
      </c>
      <c r="C899" s="128"/>
      <c r="D899" s="85" t="s">
        <v>60</v>
      </c>
      <c r="E899" s="325" t="s">
        <v>4630</v>
      </c>
      <c r="F899" s="325" t="s">
        <v>2435</v>
      </c>
      <c r="G899" s="493">
        <v>46014.0</v>
      </c>
      <c r="H899" s="493">
        <v>46014.0</v>
      </c>
      <c r="I899" s="189">
        <f>IFERROR(__xludf.DUMMYFUNCTION("IF(ISBLANK(H899), TODAY()-TO_DATE(G899), TO_DATE(H899)-TO_DATE(G899))+1"),1.0)</f>
        <v>1</v>
      </c>
      <c r="J899" s="240">
        <v>300.0</v>
      </c>
      <c r="K899" s="240" t="s">
        <v>8445</v>
      </c>
      <c r="L899" s="325" t="s">
        <v>7763</v>
      </c>
      <c r="M899" s="63"/>
      <c r="N899" s="29"/>
      <c r="O899" s="29"/>
      <c r="P899" s="29"/>
      <c r="Q899" s="29"/>
      <c r="R899" s="29"/>
      <c r="S899" s="29"/>
      <c r="T899" s="29"/>
      <c r="U899" s="29"/>
      <c r="V899" s="29"/>
      <c r="W899" s="29"/>
      <c r="X899" s="29"/>
      <c r="Y899" s="29"/>
      <c r="Z899" s="29"/>
      <c r="AA899" s="29"/>
      <c r="AB899" s="29"/>
      <c r="AC899" s="29"/>
      <c r="AD899" s="29"/>
      <c r="AE899" s="29"/>
      <c r="AF899" s="29"/>
      <c r="AG899" s="29"/>
    </row>
    <row r="900">
      <c r="A900" s="240" t="s">
        <v>1313</v>
      </c>
      <c r="B900" s="240" t="s">
        <v>375</v>
      </c>
      <c r="C900" s="128"/>
      <c r="D900" s="85" t="s">
        <v>60</v>
      </c>
      <c r="E900" s="325" t="s">
        <v>4600</v>
      </c>
      <c r="F900" s="325" t="s">
        <v>4601</v>
      </c>
      <c r="G900" s="493">
        <v>46014.0</v>
      </c>
      <c r="H900" s="493">
        <v>46014.0</v>
      </c>
      <c r="I900" s="189">
        <f>IFERROR(__xludf.DUMMYFUNCTION("IF(ISBLANK(H900), TODAY()-TO_DATE(G900), TO_DATE(H900)-TO_DATE(G900))+1"),1.0)</f>
        <v>1</v>
      </c>
      <c r="J900" s="240">
        <v>200.0</v>
      </c>
      <c r="K900" s="40" t="s">
        <v>8449</v>
      </c>
      <c r="L900" s="40" t="s">
        <v>8450</v>
      </c>
      <c r="M900" s="63"/>
      <c r="N900" s="29"/>
      <c r="O900" s="29"/>
      <c r="P900" s="29"/>
      <c r="Q900" s="29"/>
      <c r="R900" s="29"/>
      <c r="S900" s="29"/>
      <c r="T900" s="29"/>
      <c r="U900" s="29"/>
      <c r="V900" s="29"/>
      <c r="W900" s="29"/>
      <c r="X900" s="29"/>
      <c r="Y900" s="29"/>
      <c r="Z900" s="29"/>
      <c r="AA900" s="29"/>
      <c r="AB900" s="29"/>
      <c r="AC900" s="29"/>
      <c r="AD900" s="29"/>
      <c r="AE900" s="29"/>
      <c r="AF900" s="29"/>
      <c r="AG900" s="29"/>
    </row>
    <row r="901">
      <c r="A901" s="240" t="s">
        <v>1313</v>
      </c>
      <c r="B901" s="240" t="s">
        <v>375</v>
      </c>
      <c r="C901" s="128"/>
      <c r="D901" s="85" t="s">
        <v>60</v>
      </c>
      <c r="E901" s="325" t="s">
        <v>8451</v>
      </c>
      <c r="F901" s="325" t="s">
        <v>1250</v>
      </c>
      <c r="G901" s="493">
        <v>46014.0</v>
      </c>
      <c r="H901" s="493">
        <v>46014.0</v>
      </c>
      <c r="I901" s="189">
        <f>IFERROR(__xludf.DUMMYFUNCTION("IF(ISBLANK(H901), TODAY()-TO_DATE(G901), TO_DATE(H901)-TO_DATE(G901))+1"),1.0)</f>
        <v>1</v>
      </c>
      <c r="J901" s="240" t="s">
        <v>197</v>
      </c>
      <c r="K901" s="40" t="s">
        <v>8453</v>
      </c>
      <c r="L901" s="72"/>
      <c r="M901" s="63"/>
      <c r="N901" s="29"/>
      <c r="O901" s="29"/>
      <c r="P901" s="29"/>
      <c r="Q901" s="29"/>
      <c r="R901" s="29"/>
      <c r="S901" s="29"/>
      <c r="T901" s="29"/>
      <c r="U901" s="29"/>
      <c r="V901" s="29"/>
      <c r="W901" s="29"/>
      <c r="X901" s="29"/>
      <c r="Y901" s="29"/>
      <c r="Z901" s="29"/>
      <c r="AA901" s="29"/>
      <c r="AB901" s="29"/>
      <c r="AC901" s="29"/>
      <c r="AD901" s="29"/>
      <c r="AE901" s="29"/>
      <c r="AF901" s="29"/>
      <c r="AG901" s="29"/>
    </row>
    <row r="902">
      <c r="A902" s="40" t="s">
        <v>1032</v>
      </c>
      <c r="B902" s="240" t="s">
        <v>375</v>
      </c>
      <c r="C902" s="266" t="s">
        <v>201</v>
      </c>
      <c r="D902" s="85" t="s">
        <v>60</v>
      </c>
      <c r="E902" s="325" t="s">
        <v>6584</v>
      </c>
      <c r="F902" s="325" t="s">
        <v>6585</v>
      </c>
      <c r="G902" s="493">
        <v>46015.0</v>
      </c>
      <c r="H902" s="493">
        <v>46023.0</v>
      </c>
      <c r="I902" s="189">
        <f>IFERROR(__xludf.DUMMYFUNCTION("IF(ISBLANK(H902), TODAY()-TO_DATE(G902), TO_DATE(H902)-TO_DATE(G902))+1"),9.0)</f>
        <v>9</v>
      </c>
      <c r="J902" s="240">
        <v>500.0</v>
      </c>
      <c r="K902" s="40" t="s">
        <v>8456</v>
      </c>
      <c r="L902" s="40" t="s">
        <v>8457</v>
      </c>
      <c r="M902" s="240" t="s">
        <v>8214</v>
      </c>
      <c r="N902" s="29"/>
      <c r="O902" s="29"/>
      <c r="P902" s="29"/>
      <c r="Q902" s="29"/>
      <c r="R902" s="29"/>
      <c r="S902" s="29"/>
      <c r="T902" s="29"/>
      <c r="U902" s="29"/>
      <c r="V902" s="29"/>
      <c r="W902" s="29"/>
      <c r="X902" s="29"/>
      <c r="Y902" s="29"/>
      <c r="Z902" s="29"/>
      <c r="AA902" s="29"/>
      <c r="AB902" s="29"/>
      <c r="AC902" s="29"/>
      <c r="AD902" s="29"/>
      <c r="AE902" s="29"/>
      <c r="AF902" s="29"/>
      <c r="AG902" s="29"/>
    </row>
    <row r="903">
      <c r="A903" s="40" t="s">
        <v>1032</v>
      </c>
      <c r="B903" s="240" t="s">
        <v>375</v>
      </c>
      <c r="C903" s="266" t="s">
        <v>58</v>
      </c>
      <c r="D903" s="85" t="s">
        <v>60</v>
      </c>
      <c r="E903" s="325" t="s">
        <v>3675</v>
      </c>
      <c r="F903" s="325" t="s">
        <v>3676</v>
      </c>
      <c r="G903" s="493">
        <v>46015.0</v>
      </c>
      <c r="H903" s="493">
        <v>46022.0</v>
      </c>
      <c r="I903" s="189">
        <f>IFERROR(__xludf.DUMMYFUNCTION("IF(ISBLANK(H903), TODAY()-TO_DATE(G903), TO_DATE(H903)-TO_DATE(G903))+1"),8.0)</f>
        <v>8</v>
      </c>
      <c r="J903" s="240">
        <v>500.0</v>
      </c>
      <c r="K903" s="240" t="s">
        <v>8460</v>
      </c>
      <c r="L903" s="325" t="s">
        <v>3136</v>
      </c>
      <c r="M903" s="240" t="s">
        <v>8214</v>
      </c>
      <c r="N903" s="29"/>
      <c r="O903" s="29"/>
      <c r="P903" s="29"/>
      <c r="Q903" s="29"/>
      <c r="R903" s="29"/>
      <c r="S903" s="29"/>
      <c r="T903" s="29"/>
      <c r="U903" s="29"/>
      <c r="V903" s="29"/>
      <c r="W903" s="29"/>
      <c r="X903" s="29"/>
      <c r="Y903" s="29"/>
      <c r="Z903" s="29"/>
      <c r="AA903" s="29"/>
      <c r="AB903" s="29"/>
      <c r="AC903" s="29"/>
      <c r="AD903" s="29"/>
      <c r="AE903" s="29"/>
      <c r="AF903" s="29"/>
      <c r="AG903" s="29"/>
    </row>
    <row r="904">
      <c r="A904" s="40" t="s">
        <v>1510</v>
      </c>
      <c r="B904" s="240" t="s">
        <v>375</v>
      </c>
      <c r="C904" s="163" t="s">
        <v>1522</v>
      </c>
      <c r="D904" s="85" t="s">
        <v>60</v>
      </c>
      <c r="E904" s="325" t="s">
        <v>4119</v>
      </c>
      <c r="F904" s="325" t="s">
        <v>3223</v>
      </c>
      <c r="G904" s="493">
        <v>46015.0</v>
      </c>
      <c r="H904" s="493">
        <v>46032.0</v>
      </c>
      <c r="I904" s="189">
        <f>IFERROR(__xludf.DUMMYFUNCTION("IF(ISBLANK(H904), TODAY()-TO_DATE(G904), TO_DATE(H904)-TO_DATE(G904))+1"),18.0)</f>
        <v>18</v>
      </c>
      <c r="J904" s="240">
        <v>500.0</v>
      </c>
      <c r="K904" s="40" t="s">
        <v>8464</v>
      </c>
      <c r="L904" s="72"/>
      <c r="M904" s="240" t="s">
        <v>7746</v>
      </c>
      <c r="N904" s="29"/>
      <c r="O904" s="29"/>
      <c r="P904" s="29"/>
      <c r="Q904" s="29"/>
      <c r="R904" s="29"/>
      <c r="S904" s="29"/>
      <c r="T904" s="29"/>
      <c r="U904" s="29"/>
      <c r="V904" s="29"/>
      <c r="W904" s="29"/>
      <c r="X904" s="29"/>
      <c r="Y904" s="29"/>
      <c r="Z904" s="29"/>
      <c r="AA904" s="29"/>
      <c r="AB904" s="29"/>
      <c r="AC904" s="29"/>
      <c r="AD904" s="29"/>
      <c r="AE904" s="29"/>
      <c r="AF904" s="29"/>
      <c r="AG904" s="29"/>
    </row>
    <row r="905">
      <c r="A905" s="40" t="s">
        <v>145</v>
      </c>
      <c r="B905" s="240" t="s">
        <v>375</v>
      </c>
      <c r="C905" s="163" t="s">
        <v>8468</v>
      </c>
      <c r="D905" s="85" t="s">
        <v>60</v>
      </c>
      <c r="E905" s="325" t="s">
        <v>8470</v>
      </c>
      <c r="F905" s="325" t="s">
        <v>8471</v>
      </c>
      <c r="G905" s="493">
        <v>46015.0</v>
      </c>
      <c r="H905" s="493">
        <v>46025.0</v>
      </c>
      <c r="I905" s="189">
        <f>IFERROR(__xludf.DUMMYFUNCTION("IF(ISBLANK(H905), TODAY()-TO_DATE(G905), TO_DATE(H905)-TO_DATE(G905))+1"),11.0)</f>
        <v>11</v>
      </c>
      <c r="J905" s="240">
        <v>300.0</v>
      </c>
      <c r="K905" s="40" t="s">
        <v>8473</v>
      </c>
      <c r="L905" s="72"/>
      <c r="M905" s="63"/>
      <c r="N905" s="29"/>
      <c r="O905" s="29"/>
      <c r="P905" s="29"/>
      <c r="Q905" s="29"/>
      <c r="R905" s="29"/>
      <c r="S905" s="29"/>
      <c r="T905" s="29"/>
      <c r="U905" s="29"/>
      <c r="V905" s="29"/>
      <c r="W905" s="29"/>
      <c r="X905" s="29"/>
      <c r="Y905" s="29"/>
      <c r="Z905" s="29"/>
      <c r="AA905" s="29"/>
      <c r="AB905" s="29"/>
      <c r="AC905" s="29"/>
      <c r="AD905" s="29"/>
      <c r="AE905" s="29"/>
      <c r="AF905" s="29"/>
      <c r="AG905" s="29"/>
    </row>
    <row r="906">
      <c r="A906" s="40" t="s">
        <v>2451</v>
      </c>
      <c r="B906" s="240" t="s">
        <v>375</v>
      </c>
      <c r="C906" s="454" t="s">
        <v>321</v>
      </c>
      <c r="D906" s="85" t="s">
        <v>60</v>
      </c>
      <c r="E906" s="325" t="s">
        <v>8475</v>
      </c>
      <c r="F906" s="325" t="s">
        <v>3394</v>
      </c>
      <c r="G906" s="493">
        <v>46017.0</v>
      </c>
      <c r="H906" s="493">
        <v>46046.0</v>
      </c>
      <c r="I906" s="189">
        <f>IFERROR(__xludf.DUMMYFUNCTION("IF(ISBLANK(H906), TODAY()-TO_DATE(G906), TO_DATE(H906)-TO_DATE(G906))+1"),30.0)</f>
        <v>30</v>
      </c>
      <c r="J906" s="240" t="s">
        <v>197</v>
      </c>
      <c r="K906" s="40" t="s">
        <v>8479</v>
      </c>
      <c r="L906" s="72"/>
      <c r="M906" s="240" t="s">
        <v>8481</v>
      </c>
      <c r="N906" s="29"/>
      <c r="O906" s="29"/>
      <c r="P906" s="29"/>
      <c r="Q906" s="29"/>
      <c r="R906" s="29"/>
      <c r="S906" s="29"/>
      <c r="T906" s="29"/>
      <c r="U906" s="29"/>
      <c r="V906" s="29"/>
      <c r="W906" s="29"/>
      <c r="X906" s="29"/>
      <c r="Y906" s="29"/>
      <c r="Z906" s="29"/>
      <c r="AA906" s="29"/>
      <c r="AB906" s="29"/>
      <c r="AC906" s="29"/>
      <c r="AD906" s="29"/>
      <c r="AE906" s="29"/>
      <c r="AF906" s="29"/>
      <c r="AG906" s="29"/>
    </row>
    <row r="907">
      <c r="A907" s="40" t="s">
        <v>2451</v>
      </c>
      <c r="B907" s="240" t="s">
        <v>375</v>
      </c>
      <c r="C907" s="179" t="s">
        <v>213</v>
      </c>
      <c r="D907" s="85" t="s">
        <v>60</v>
      </c>
      <c r="E907" s="325" t="s">
        <v>602</v>
      </c>
      <c r="F907" s="325" t="s">
        <v>603</v>
      </c>
      <c r="G907" s="493">
        <v>46017.0</v>
      </c>
      <c r="H907" s="493">
        <v>46054.0</v>
      </c>
      <c r="I907" s="189">
        <f>IFERROR(__xludf.DUMMYFUNCTION("IF(ISBLANK(H907), TODAY()-TO_DATE(G907), TO_DATE(H907)-TO_DATE(G907))+1"),38.0)</f>
        <v>38</v>
      </c>
      <c r="J907" s="240" t="s">
        <v>197</v>
      </c>
      <c r="K907" s="40" t="s">
        <v>8489</v>
      </c>
      <c r="L907" s="40" t="s">
        <v>8491</v>
      </c>
      <c r="M907" s="240" t="s">
        <v>8214</v>
      </c>
      <c r="N907" s="29"/>
      <c r="O907" s="29"/>
      <c r="P907" s="29"/>
      <c r="Q907" s="29"/>
      <c r="R907" s="29"/>
      <c r="S907" s="29"/>
      <c r="T907" s="29"/>
      <c r="U907" s="29"/>
      <c r="V907" s="29"/>
      <c r="W907" s="29"/>
      <c r="X907" s="29"/>
      <c r="Y907" s="29"/>
      <c r="Z907" s="29"/>
      <c r="AA907" s="29"/>
      <c r="AB907" s="29"/>
      <c r="AC907" s="29"/>
      <c r="AD907" s="29"/>
      <c r="AE907" s="29"/>
      <c r="AF907" s="29"/>
      <c r="AG907" s="29"/>
    </row>
    <row r="908">
      <c r="A908" s="240" t="s">
        <v>1032</v>
      </c>
      <c r="B908" s="240" t="s">
        <v>375</v>
      </c>
      <c r="C908" s="218" t="s">
        <v>321</v>
      </c>
      <c r="D908" s="85" t="s">
        <v>60</v>
      </c>
      <c r="E908" s="688" t="s">
        <v>6760</v>
      </c>
      <c r="F908" s="240" t="s">
        <v>4788</v>
      </c>
      <c r="G908" s="493">
        <v>46018.0</v>
      </c>
      <c r="H908" s="493">
        <v>46021.0</v>
      </c>
      <c r="I908" s="189">
        <f>IFERROR(__xludf.DUMMYFUNCTION("IF(ISBLANK(H908), TODAY()-TO_DATE(G908), TO_DATE(H908)-TO_DATE(G908))+1"),4.0)</f>
        <v>4</v>
      </c>
      <c r="J908" s="240">
        <v>300.0</v>
      </c>
      <c r="K908" s="63"/>
      <c r="L908" s="507"/>
      <c r="M908" s="240" t="s">
        <v>8064</v>
      </c>
      <c r="N908" s="29"/>
      <c r="O908" s="29"/>
      <c r="P908" s="29"/>
      <c r="Q908" s="29"/>
      <c r="R908" s="29"/>
      <c r="S908" s="29"/>
      <c r="T908" s="29"/>
      <c r="U908" s="29"/>
      <c r="V908" s="29"/>
      <c r="W908" s="29"/>
      <c r="X908" s="29"/>
      <c r="Y908" s="29"/>
      <c r="Z908" s="29"/>
      <c r="AA908" s="29"/>
      <c r="AB908" s="29"/>
      <c r="AC908" s="29"/>
      <c r="AD908" s="29"/>
      <c r="AE908" s="29"/>
      <c r="AF908" s="29"/>
      <c r="AG908" s="29"/>
    </row>
    <row r="909">
      <c r="A909" s="240" t="s">
        <v>2451</v>
      </c>
      <c r="B909" s="240" t="s">
        <v>375</v>
      </c>
      <c r="C909" s="218" t="s">
        <v>139</v>
      </c>
      <c r="D909" s="85" t="s">
        <v>60</v>
      </c>
      <c r="E909" s="241" t="s">
        <v>8498</v>
      </c>
      <c r="F909" s="240" t="s">
        <v>8499</v>
      </c>
      <c r="G909" s="493">
        <v>46021.0</v>
      </c>
      <c r="H909" s="493">
        <v>46021.0</v>
      </c>
      <c r="I909" s="189">
        <f>IFERROR(__xludf.DUMMYFUNCTION("IF(ISBLANK(H909), TODAY()-TO_DATE(G909), TO_DATE(H909)-TO_DATE(G909))+1"),1.0)</f>
        <v>1</v>
      </c>
      <c r="J909" s="240">
        <v>300.0</v>
      </c>
      <c r="K909" s="63"/>
      <c r="L909" s="507"/>
      <c r="M909" s="240" t="s">
        <v>8501</v>
      </c>
      <c r="N909" s="29"/>
      <c r="O909" s="29"/>
      <c r="P909" s="29"/>
      <c r="Q909" s="29"/>
      <c r="R909" s="29"/>
      <c r="S909" s="29"/>
      <c r="T909" s="29"/>
      <c r="U909" s="29"/>
      <c r="V909" s="29"/>
      <c r="W909" s="29"/>
      <c r="X909" s="29"/>
      <c r="Y909" s="29"/>
      <c r="Z909" s="29"/>
      <c r="AA909" s="29"/>
      <c r="AB909" s="29"/>
      <c r="AC909" s="29"/>
      <c r="AD909" s="29"/>
      <c r="AE909" s="29"/>
      <c r="AF909" s="29"/>
      <c r="AG909" s="29"/>
    </row>
    <row r="910">
      <c r="A910" s="40" t="s">
        <v>1032</v>
      </c>
      <c r="B910" s="240" t="s">
        <v>375</v>
      </c>
      <c r="C910" s="218" t="s">
        <v>8503</v>
      </c>
      <c r="D910" s="85" t="s">
        <v>102</v>
      </c>
      <c r="E910" s="325" t="s">
        <v>2098</v>
      </c>
      <c r="F910" s="325" t="s">
        <v>2100</v>
      </c>
      <c r="G910" s="493">
        <v>46021.0</v>
      </c>
      <c r="H910" s="493">
        <v>46038.0</v>
      </c>
      <c r="I910" s="189">
        <f>IFERROR(__xludf.DUMMYFUNCTION("IF(ISBLANK(H910), TODAY()-TO_DATE(G910), TO_DATE(H910)-TO_DATE(G910))+1"),18.0)</f>
        <v>18</v>
      </c>
      <c r="J910" s="240" t="s">
        <v>136</v>
      </c>
      <c r="K910" s="40" t="s">
        <v>8508</v>
      </c>
      <c r="L910" s="507"/>
      <c r="M910" s="240" t="s">
        <v>8509</v>
      </c>
      <c r="N910" s="29"/>
      <c r="O910" s="29"/>
      <c r="P910" s="29"/>
      <c r="Q910" s="29"/>
      <c r="R910" s="29"/>
      <c r="S910" s="29"/>
      <c r="T910" s="29"/>
      <c r="U910" s="29"/>
      <c r="V910" s="29"/>
      <c r="W910" s="29"/>
      <c r="X910" s="29"/>
      <c r="Y910" s="29"/>
      <c r="Z910" s="29"/>
      <c r="AA910" s="29"/>
      <c r="AB910" s="29"/>
      <c r="AC910" s="29"/>
      <c r="AD910" s="29"/>
      <c r="AE910" s="29"/>
      <c r="AF910" s="29"/>
      <c r="AG910" s="29"/>
    </row>
    <row r="911">
      <c r="A911" s="40" t="s">
        <v>150</v>
      </c>
      <c r="B911" s="240" t="s">
        <v>375</v>
      </c>
      <c r="C911" s="171" t="s">
        <v>1536</v>
      </c>
      <c r="D911" s="85" t="s">
        <v>60</v>
      </c>
      <c r="E911" s="325" t="s">
        <v>5843</v>
      </c>
      <c r="F911" s="325" t="s">
        <v>5845</v>
      </c>
      <c r="G911" s="493">
        <v>46021.0</v>
      </c>
      <c r="H911" s="493">
        <v>46034.0</v>
      </c>
      <c r="I911" s="189">
        <f>IFERROR(__xludf.DUMMYFUNCTION("IF(ISBLANK(H911), TODAY()-TO_DATE(G911), TO_DATE(H911)-TO_DATE(G911))+1"),14.0)</f>
        <v>14</v>
      </c>
      <c r="J911" s="240">
        <v>300.0</v>
      </c>
      <c r="K911" s="240" t="s">
        <v>8515</v>
      </c>
      <c r="L911" s="507"/>
      <c r="M911" s="63"/>
      <c r="N911" s="29"/>
      <c r="O911" s="29"/>
      <c r="P911" s="29"/>
      <c r="Q911" s="29"/>
      <c r="R911" s="29"/>
      <c r="S911" s="29"/>
      <c r="T911" s="29"/>
      <c r="U911" s="29"/>
      <c r="V911" s="29"/>
      <c r="W911" s="29"/>
      <c r="X911" s="29"/>
      <c r="Y911" s="29"/>
      <c r="Z911" s="29"/>
      <c r="AA911" s="29"/>
      <c r="AB911" s="29"/>
      <c r="AC911" s="29"/>
      <c r="AD911" s="29"/>
      <c r="AE911" s="29"/>
      <c r="AF911" s="29"/>
      <c r="AG911" s="29"/>
    </row>
    <row r="912">
      <c r="A912" s="40" t="s">
        <v>145</v>
      </c>
      <c r="B912" s="240" t="s">
        <v>375</v>
      </c>
      <c r="C912" s="218" t="s">
        <v>5012</v>
      </c>
      <c r="D912" s="85" t="s">
        <v>60</v>
      </c>
      <c r="E912" s="325" t="s">
        <v>5016</v>
      </c>
      <c r="F912" s="325" t="s">
        <v>2435</v>
      </c>
      <c r="G912" s="493">
        <v>46021.0</v>
      </c>
      <c r="H912" s="493">
        <v>46028.0</v>
      </c>
      <c r="I912" s="189">
        <f>IFERROR(__xludf.DUMMYFUNCTION("IF(ISBLANK(H912), TODAY()-TO_DATE(G912), TO_DATE(H912)-TO_DATE(G912))+1"),8.0)</f>
        <v>8</v>
      </c>
      <c r="J912" s="240">
        <v>500.0</v>
      </c>
      <c r="K912" s="40" t="s">
        <v>8518</v>
      </c>
      <c r="L912" s="507"/>
      <c r="M912" s="63"/>
      <c r="N912" s="29"/>
      <c r="O912" s="29"/>
      <c r="P912" s="29"/>
      <c r="Q912" s="29"/>
      <c r="R912" s="29"/>
      <c r="S912" s="29"/>
      <c r="T912" s="29"/>
      <c r="U912" s="29"/>
      <c r="V912" s="29"/>
      <c r="W912" s="29"/>
      <c r="X912" s="29"/>
      <c r="Y912" s="29"/>
      <c r="Z912" s="29"/>
      <c r="AA912" s="29"/>
      <c r="AB912" s="29"/>
      <c r="AC912" s="29"/>
      <c r="AD912" s="29"/>
      <c r="AE912" s="29"/>
      <c r="AF912" s="29"/>
      <c r="AG912" s="29"/>
    </row>
    <row r="913">
      <c r="A913" s="633" t="s">
        <v>145</v>
      </c>
      <c r="B913" s="540" t="s">
        <v>375</v>
      </c>
      <c r="C913" s="646"/>
      <c r="D913" s="544" t="s">
        <v>102</v>
      </c>
      <c r="E913" s="599" t="s">
        <v>8522</v>
      </c>
      <c r="F913" s="599" t="s">
        <v>8523</v>
      </c>
      <c r="G913" s="545">
        <v>46023.0</v>
      </c>
      <c r="H913" s="545">
        <v>46080.0</v>
      </c>
      <c r="I913" s="665">
        <f>IFERROR(__xludf.DUMMYFUNCTION("IF(ISBLANK(H913), TODAY()-TO_DATE(G913), TO_DATE(H913)-TO_DATE(G913))+1"),58.0)</f>
        <v>58</v>
      </c>
      <c r="J913" s="540">
        <v>500.0</v>
      </c>
      <c r="K913" s="633" t="s">
        <v>8527</v>
      </c>
      <c r="L913" s="633" t="s">
        <v>8528</v>
      </c>
      <c r="M913" s="547"/>
      <c r="N913" s="548"/>
      <c r="O913" s="548"/>
      <c r="P913" s="548"/>
      <c r="Q913" s="548"/>
      <c r="R913" s="548"/>
      <c r="S913" s="548"/>
      <c r="T913" s="548"/>
      <c r="U913" s="548"/>
      <c r="V913" s="548"/>
      <c r="W913" s="548"/>
      <c r="X913" s="548"/>
      <c r="Y913" s="548"/>
      <c r="Z913" s="548"/>
      <c r="AA913" s="548"/>
      <c r="AB913" s="548"/>
      <c r="AC913" s="548"/>
      <c r="AD913" s="548"/>
      <c r="AE913" s="548"/>
      <c r="AF913" s="548"/>
      <c r="AG913" s="548"/>
    </row>
    <row r="914">
      <c r="A914" s="40" t="s">
        <v>145</v>
      </c>
      <c r="B914" s="240" t="s">
        <v>375</v>
      </c>
      <c r="C914" s="218"/>
      <c r="D914" s="321" t="s">
        <v>610</v>
      </c>
      <c r="E914" s="325" t="s">
        <v>5091</v>
      </c>
      <c r="F914" s="325" t="s">
        <v>5094</v>
      </c>
      <c r="G914" s="493">
        <v>46023.0</v>
      </c>
      <c r="H914" s="493">
        <v>46035.0</v>
      </c>
      <c r="I914" s="189">
        <f>IFERROR(__xludf.DUMMYFUNCTION("IF(ISBLANK(H914), TODAY()-TO_DATE(G914), TO_DATE(H914)-TO_DATE(G914))+1"),13.0)</f>
        <v>13</v>
      </c>
      <c r="J914" s="240">
        <v>500.0</v>
      </c>
      <c r="K914" s="240" t="s">
        <v>8529</v>
      </c>
      <c r="L914" s="790"/>
      <c r="M914" s="63"/>
      <c r="N914" s="29"/>
      <c r="O914" s="29"/>
      <c r="P914" s="29"/>
      <c r="Q914" s="29"/>
      <c r="R914" s="29"/>
      <c r="S914" s="29"/>
      <c r="T914" s="29"/>
      <c r="U914" s="29"/>
      <c r="V914" s="29"/>
      <c r="W914" s="29"/>
      <c r="X914" s="29"/>
      <c r="Y914" s="29"/>
      <c r="Z914" s="29"/>
      <c r="AA914" s="29"/>
      <c r="AB914" s="29"/>
      <c r="AC914" s="29"/>
      <c r="AD914" s="29"/>
      <c r="AE914" s="29"/>
      <c r="AF914" s="29"/>
      <c r="AG914" s="29"/>
    </row>
    <row r="915">
      <c r="A915" s="40" t="s">
        <v>145</v>
      </c>
      <c r="B915" s="240" t="s">
        <v>375</v>
      </c>
      <c r="C915" s="218"/>
      <c r="D915" s="85" t="s">
        <v>60</v>
      </c>
      <c r="E915" s="325" t="s">
        <v>8532</v>
      </c>
      <c r="F915" s="325" t="s">
        <v>2398</v>
      </c>
      <c r="G915" s="493">
        <v>46023.0</v>
      </c>
      <c r="H915" s="493">
        <v>46036.0</v>
      </c>
      <c r="I915" s="189">
        <f>IFERROR(__xludf.DUMMYFUNCTION("IF(ISBLANK(H915), TODAY()-TO_DATE(G915), TO_DATE(H915)-TO_DATE(G915))+1"),14.0)</f>
        <v>14</v>
      </c>
      <c r="J915" s="240" t="s">
        <v>197</v>
      </c>
      <c r="K915" s="40" t="s">
        <v>8539</v>
      </c>
      <c r="L915" s="40"/>
      <c r="M915" s="63"/>
      <c r="N915" s="29"/>
      <c r="O915" s="29"/>
      <c r="P915" s="29"/>
      <c r="Q915" s="29"/>
      <c r="R915" s="29"/>
      <c r="S915" s="29"/>
      <c r="T915" s="29"/>
      <c r="U915" s="29"/>
      <c r="V915" s="29"/>
      <c r="W915" s="29"/>
      <c r="X915" s="29"/>
      <c r="Y915" s="29"/>
      <c r="Z915" s="29"/>
      <c r="AA915" s="29"/>
      <c r="AB915" s="29"/>
      <c r="AC915" s="29"/>
      <c r="AD915" s="29"/>
      <c r="AE915" s="29"/>
      <c r="AF915" s="29"/>
      <c r="AG915" s="29"/>
    </row>
    <row r="916">
      <c r="A916" s="633" t="s">
        <v>145</v>
      </c>
      <c r="B916" s="540" t="s">
        <v>375</v>
      </c>
      <c r="C916" s="646"/>
      <c r="D916" s="647" t="s">
        <v>60</v>
      </c>
      <c r="E916" s="599" t="s">
        <v>8541</v>
      </c>
      <c r="F916" s="599" t="s">
        <v>1490</v>
      </c>
      <c r="G916" s="545">
        <v>46023.0</v>
      </c>
      <c r="H916" s="545">
        <v>46086.0</v>
      </c>
      <c r="I916" s="665">
        <f>IFERROR(__xludf.DUMMYFUNCTION("IF(ISBLANK(H916), TODAY()-TO_DATE(G916), TO_DATE(H916)-TO_DATE(G916))+1"),64.0)</f>
        <v>64</v>
      </c>
      <c r="J916" s="540">
        <v>500.0</v>
      </c>
      <c r="K916" s="633" t="s">
        <v>8544</v>
      </c>
      <c r="L916" s="859"/>
      <c r="M916" s="547"/>
      <c r="N916" s="548"/>
      <c r="O916" s="548"/>
      <c r="P916" s="548"/>
      <c r="Q916" s="548"/>
      <c r="R916" s="548"/>
      <c r="S916" s="548"/>
      <c r="T916" s="548"/>
      <c r="U916" s="548"/>
      <c r="V916" s="548"/>
      <c r="W916" s="548"/>
      <c r="X916" s="548"/>
      <c r="Y916" s="548"/>
      <c r="Z916" s="548"/>
      <c r="AA916" s="548"/>
      <c r="AB916" s="548"/>
      <c r="AC916" s="548"/>
      <c r="AD916" s="548"/>
      <c r="AE916" s="548"/>
      <c r="AF916" s="548"/>
      <c r="AG916" s="548"/>
    </row>
    <row r="917">
      <c r="A917" s="860" t="s">
        <v>1313</v>
      </c>
      <c r="B917" s="240" t="s">
        <v>375</v>
      </c>
      <c r="C917" s="218" t="s">
        <v>4609</v>
      </c>
      <c r="D917" s="321" t="s">
        <v>326</v>
      </c>
      <c r="E917" s="325" t="s">
        <v>4613</v>
      </c>
      <c r="F917" s="325" t="s">
        <v>1563</v>
      </c>
      <c r="G917" s="493">
        <v>46023.0</v>
      </c>
      <c r="H917" s="493">
        <v>46031.0</v>
      </c>
      <c r="I917" s="189">
        <f>IFERROR(__xludf.DUMMYFUNCTION("IF(ISBLANK(H917), TODAY()-TO_DATE(G917), TO_DATE(H917)-TO_DATE(G917))+1"),9.0)</f>
        <v>9</v>
      </c>
      <c r="J917" s="240">
        <v>500.0</v>
      </c>
      <c r="K917" s="240" t="s">
        <v>8555</v>
      </c>
      <c r="L917" s="790"/>
      <c r="M917" s="63"/>
      <c r="N917" s="29"/>
      <c r="O917" s="29"/>
      <c r="P917" s="29"/>
      <c r="Q917" s="29"/>
      <c r="R917" s="29"/>
      <c r="S917" s="29"/>
      <c r="T917" s="29"/>
      <c r="U917" s="29"/>
      <c r="V917" s="29"/>
      <c r="W917" s="29"/>
      <c r="X917" s="29"/>
      <c r="Y917" s="29"/>
      <c r="Z917" s="29"/>
      <c r="AA917" s="29"/>
      <c r="AB917" s="29"/>
      <c r="AC917" s="29"/>
      <c r="AD917" s="29"/>
      <c r="AE917" s="29"/>
      <c r="AF917" s="29"/>
      <c r="AG917" s="29"/>
    </row>
    <row r="918">
      <c r="A918" s="633" t="s">
        <v>145</v>
      </c>
      <c r="B918" s="540" t="s">
        <v>375</v>
      </c>
      <c r="C918" s="820"/>
      <c r="D918" s="544" t="s">
        <v>326</v>
      </c>
      <c r="E918" s="599" t="s">
        <v>8557</v>
      </c>
      <c r="F918" s="599" t="s">
        <v>654</v>
      </c>
      <c r="G918" s="545">
        <v>46023.0</v>
      </c>
      <c r="H918" s="545">
        <v>46095.0</v>
      </c>
      <c r="I918" s="665">
        <f>IFERROR(__xludf.DUMMYFUNCTION("IF(ISBLANK(H918), TODAY()-TO_DATE(G918), TO_DATE(H918)-TO_DATE(G918))+1"),73.0)</f>
        <v>73</v>
      </c>
      <c r="J918" s="540">
        <v>500.0</v>
      </c>
      <c r="K918" s="633" t="s">
        <v>8561</v>
      </c>
      <c r="L918" s="633" t="s">
        <v>8564</v>
      </c>
      <c r="M918" s="547"/>
      <c r="N918" s="548"/>
      <c r="O918" s="548"/>
      <c r="P918" s="548"/>
      <c r="Q918" s="548"/>
      <c r="R918" s="548"/>
      <c r="S918" s="548"/>
      <c r="T918" s="548"/>
      <c r="U918" s="548"/>
      <c r="V918" s="548"/>
      <c r="W918" s="548"/>
      <c r="X918" s="548"/>
      <c r="Y918" s="548"/>
      <c r="Z918" s="548"/>
      <c r="AA918" s="548"/>
      <c r="AB918" s="548"/>
      <c r="AC918" s="548"/>
      <c r="AD918" s="548"/>
      <c r="AE918" s="548"/>
      <c r="AF918" s="548"/>
      <c r="AG918" s="548"/>
    </row>
    <row r="919">
      <c r="A919" s="40" t="s">
        <v>1313</v>
      </c>
      <c r="B919" s="240" t="s">
        <v>375</v>
      </c>
      <c r="C919" s="218" t="s">
        <v>8565</v>
      </c>
      <c r="D919" s="321" t="s">
        <v>102</v>
      </c>
      <c r="E919" s="325" t="s">
        <v>8567</v>
      </c>
      <c r="F919" s="325" t="s">
        <v>8568</v>
      </c>
      <c r="G919" s="493">
        <v>46023.0</v>
      </c>
      <c r="H919" s="493">
        <v>46055.0</v>
      </c>
      <c r="I919" s="189">
        <f>IFERROR(__xludf.DUMMYFUNCTION("IF(ISBLANK(H919), TODAY()-TO_DATE(G919), TO_DATE(H919)-TO_DATE(G919))+1"),33.0)</f>
        <v>33</v>
      </c>
      <c r="J919" s="240" t="s">
        <v>197</v>
      </c>
      <c r="K919" s="40" t="s">
        <v>8571</v>
      </c>
      <c r="L919" s="72"/>
      <c r="M919" s="240" t="s">
        <v>8573</v>
      </c>
      <c r="N919" s="29"/>
      <c r="O919" s="29"/>
      <c r="P919" s="29"/>
      <c r="Q919" s="29"/>
      <c r="R919" s="29"/>
      <c r="S919" s="29"/>
      <c r="T919" s="29"/>
      <c r="U919" s="29"/>
      <c r="V919" s="29"/>
      <c r="W919" s="29"/>
      <c r="X919" s="29"/>
      <c r="Y919" s="29"/>
      <c r="Z919" s="29"/>
      <c r="AA919" s="29"/>
      <c r="AB919" s="29"/>
      <c r="AC919" s="29"/>
      <c r="AD919" s="29"/>
      <c r="AE919" s="29"/>
      <c r="AF919" s="29"/>
      <c r="AG919" s="29"/>
    </row>
    <row r="920">
      <c r="A920" s="40" t="s">
        <v>6977</v>
      </c>
      <c r="B920" s="240" t="s">
        <v>375</v>
      </c>
      <c r="C920" s="218"/>
      <c r="D920" s="85" t="s">
        <v>60</v>
      </c>
      <c r="E920" s="325" t="s">
        <v>7114</v>
      </c>
      <c r="F920" s="325" t="s">
        <v>954</v>
      </c>
      <c r="G920" s="493">
        <v>46023.0</v>
      </c>
      <c r="H920" s="493">
        <v>46054.0</v>
      </c>
      <c r="I920" s="189">
        <f>IFERROR(__xludf.DUMMYFUNCTION("IF(ISBLANK(H920), TODAY()-TO_DATE(G920), TO_DATE(H920)-TO_DATE(G920))+1"),32.0)</f>
        <v>32</v>
      </c>
      <c r="J920" s="240" t="s">
        <v>197</v>
      </c>
      <c r="K920" s="240" t="s">
        <v>8578</v>
      </c>
      <c r="L920" s="790"/>
      <c r="M920" s="240" t="s">
        <v>8573</v>
      </c>
      <c r="N920" s="29"/>
      <c r="O920" s="29"/>
      <c r="P920" s="29"/>
      <c r="Q920" s="29"/>
      <c r="R920" s="29"/>
      <c r="S920" s="29"/>
      <c r="T920" s="29"/>
      <c r="U920" s="29"/>
      <c r="V920" s="29"/>
      <c r="W920" s="29"/>
      <c r="X920" s="29"/>
      <c r="Y920" s="29"/>
      <c r="Z920" s="29"/>
      <c r="AA920" s="29"/>
      <c r="AB920" s="29"/>
      <c r="AC920" s="29"/>
      <c r="AD920" s="29"/>
      <c r="AE920" s="29"/>
      <c r="AF920" s="29"/>
      <c r="AG920" s="29"/>
    </row>
    <row r="921">
      <c r="A921" s="40" t="s">
        <v>2451</v>
      </c>
      <c r="B921" s="240" t="s">
        <v>375</v>
      </c>
      <c r="C921" s="218" t="s">
        <v>295</v>
      </c>
      <c r="D921" s="85" t="s">
        <v>60</v>
      </c>
      <c r="E921" s="325" t="s">
        <v>1438</v>
      </c>
      <c r="F921" s="325" t="s">
        <v>1439</v>
      </c>
      <c r="G921" s="493">
        <v>46023.0</v>
      </c>
      <c r="H921" s="493">
        <v>46054.0</v>
      </c>
      <c r="I921" s="189">
        <f>IFERROR(__xludf.DUMMYFUNCTION("IF(ISBLANK(H921), TODAY()-TO_DATE(G921), TO_DATE(H921)-TO_DATE(G921))+1"),32.0)</f>
        <v>32</v>
      </c>
      <c r="J921" s="240" t="s">
        <v>197</v>
      </c>
      <c r="K921" s="40" t="s">
        <v>8582</v>
      </c>
      <c r="L921" s="72"/>
      <c r="M921" s="240" t="s">
        <v>8573</v>
      </c>
      <c r="N921" s="29"/>
      <c r="O921" s="29"/>
      <c r="P921" s="29"/>
      <c r="Q921" s="29"/>
      <c r="R921" s="29"/>
      <c r="S921" s="29"/>
      <c r="T921" s="29"/>
      <c r="U921" s="29"/>
      <c r="V921" s="29"/>
      <c r="W921" s="29"/>
      <c r="X921" s="29"/>
      <c r="Y921" s="29"/>
      <c r="Z921" s="29"/>
      <c r="AA921" s="29"/>
      <c r="AB921" s="29"/>
      <c r="AC921" s="29"/>
      <c r="AD921" s="29"/>
      <c r="AE921" s="29"/>
      <c r="AF921" s="29"/>
      <c r="AG921" s="29"/>
    </row>
    <row r="922">
      <c r="A922" s="40" t="s">
        <v>150</v>
      </c>
      <c r="B922" s="240" t="s">
        <v>375</v>
      </c>
      <c r="C922" s="218" t="s">
        <v>786</v>
      </c>
      <c r="D922" s="85" t="s">
        <v>60</v>
      </c>
      <c r="E922" s="325" t="s">
        <v>826</v>
      </c>
      <c r="F922" s="325" t="s">
        <v>828</v>
      </c>
      <c r="G922" s="493">
        <v>46023.0</v>
      </c>
      <c r="H922" s="493">
        <v>46054.0</v>
      </c>
      <c r="I922" s="189">
        <f>IFERROR(__xludf.DUMMYFUNCTION("IF(ISBLANK(H922), TODAY()-TO_DATE(G922), TO_DATE(H922)-TO_DATE(G922))+1"),32.0)</f>
        <v>32</v>
      </c>
      <c r="J922" s="240" t="s">
        <v>197</v>
      </c>
      <c r="K922" s="40" t="s">
        <v>8588</v>
      </c>
      <c r="L922" s="40" t="s">
        <v>8590</v>
      </c>
      <c r="M922" s="240" t="s">
        <v>8573</v>
      </c>
      <c r="N922" s="29"/>
      <c r="O922" s="29"/>
      <c r="P922" s="29"/>
      <c r="Q922" s="29"/>
      <c r="R922" s="29"/>
      <c r="S922" s="29"/>
      <c r="T922" s="29"/>
      <c r="U922" s="29"/>
      <c r="V922" s="29"/>
      <c r="W922" s="29"/>
      <c r="X922" s="29"/>
      <c r="Y922" s="29"/>
      <c r="Z922" s="29"/>
      <c r="AA922" s="29"/>
      <c r="AB922" s="29"/>
      <c r="AC922" s="29"/>
      <c r="AD922" s="29"/>
      <c r="AE922" s="29"/>
      <c r="AF922" s="29"/>
      <c r="AG922" s="29"/>
    </row>
    <row r="923">
      <c r="A923" s="860" t="s">
        <v>145</v>
      </c>
      <c r="B923" s="240" t="s">
        <v>375</v>
      </c>
      <c r="C923" s="218" t="s">
        <v>8593</v>
      </c>
      <c r="D923" s="85" t="s">
        <v>60</v>
      </c>
      <c r="E923" s="325" t="s">
        <v>1758</v>
      </c>
      <c r="F923" s="325" t="s">
        <v>1760</v>
      </c>
      <c r="G923" s="493">
        <v>46023.0</v>
      </c>
      <c r="H923" s="493">
        <v>46054.0</v>
      </c>
      <c r="I923" s="189">
        <f>IFERROR(__xludf.DUMMYFUNCTION("IF(ISBLANK(H923), TODAY()-TO_DATE(G923), TO_DATE(H923)-TO_DATE(G923))+1"),32.0)</f>
        <v>32</v>
      </c>
      <c r="J923" s="240" t="s">
        <v>197</v>
      </c>
      <c r="K923" s="40" t="s">
        <v>8595</v>
      </c>
      <c r="L923" s="325" t="s">
        <v>3256</v>
      </c>
      <c r="M923" s="240" t="s">
        <v>8573</v>
      </c>
      <c r="N923" s="29"/>
      <c r="O923" s="29"/>
      <c r="P923" s="29"/>
      <c r="Q923" s="29"/>
      <c r="R923" s="29"/>
      <c r="S923" s="29"/>
      <c r="T923" s="29"/>
      <c r="U923" s="29"/>
      <c r="V923" s="29"/>
      <c r="W923" s="29"/>
      <c r="X923" s="29"/>
      <c r="Y923" s="29"/>
      <c r="Z923" s="29"/>
      <c r="AA923" s="29"/>
      <c r="AB923" s="29"/>
      <c r="AC923" s="29"/>
      <c r="AD923" s="29"/>
      <c r="AE923" s="29"/>
      <c r="AF923" s="29"/>
      <c r="AG923" s="29"/>
    </row>
    <row r="924">
      <c r="A924" s="40" t="s">
        <v>145</v>
      </c>
      <c r="B924" s="240" t="s">
        <v>375</v>
      </c>
      <c r="C924" s="218" t="s">
        <v>8598</v>
      </c>
      <c r="D924" s="85" t="s">
        <v>60</v>
      </c>
      <c r="E924" s="325" t="s">
        <v>8601</v>
      </c>
      <c r="F924" s="325" t="s">
        <v>8603</v>
      </c>
      <c r="G924" s="493">
        <v>46023.0</v>
      </c>
      <c r="H924" s="493">
        <v>46055.0</v>
      </c>
      <c r="I924" s="189">
        <f>IFERROR(__xludf.DUMMYFUNCTION("IF(ISBLANK(H924), TODAY()-TO_DATE(G924), TO_DATE(H924)-TO_DATE(G924))+1"),33.0)</f>
        <v>33</v>
      </c>
      <c r="J924" s="240" t="s">
        <v>197</v>
      </c>
      <c r="K924" s="794" t="s">
        <v>8609</v>
      </c>
      <c r="L924" s="72"/>
      <c r="M924" s="240" t="s">
        <v>8573</v>
      </c>
      <c r="N924" s="29"/>
      <c r="O924" s="29"/>
      <c r="P924" s="29"/>
      <c r="Q924" s="29"/>
      <c r="R924" s="29"/>
      <c r="S924" s="29"/>
      <c r="T924" s="29"/>
      <c r="U924" s="29"/>
      <c r="V924" s="29"/>
      <c r="W924" s="29"/>
      <c r="X924" s="29"/>
      <c r="Y924" s="29"/>
      <c r="Z924" s="29"/>
      <c r="AA924" s="29"/>
      <c r="AB924" s="29"/>
      <c r="AC924" s="29"/>
      <c r="AD924" s="29"/>
      <c r="AE924" s="29"/>
      <c r="AF924" s="29"/>
      <c r="AG924" s="29"/>
    </row>
    <row r="925">
      <c r="A925" s="40" t="s">
        <v>2451</v>
      </c>
      <c r="B925" s="240" t="s">
        <v>375</v>
      </c>
      <c r="C925" s="218" t="s">
        <v>302</v>
      </c>
      <c r="D925" s="85" t="s">
        <v>60</v>
      </c>
      <c r="E925" s="325" t="s">
        <v>8611</v>
      </c>
      <c r="F925" s="325" t="s">
        <v>8612</v>
      </c>
      <c r="G925" s="493">
        <v>46023.0</v>
      </c>
      <c r="H925" s="493">
        <v>46054.0</v>
      </c>
      <c r="I925" s="189">
        <f>IFERROR(__xludf.DUMMYFUNCTION("IF(ISBLANK(H925), TODAY()-TO_DATE(G925), TO_DATE(H925)-TO_DATE(G925))+1"),32.0)</f>
        <v>32</v>
      </c>
      <c r="J925" s="240" t="s">
        <v>197</v>
      </c>
      <c r="K925" s="40" t="s">
        <v>8614</v>
      </c>
      <c r="L925" s="40" t="s">
        <v>8615</v>
      </c>
      <c r="M925" s="240" t="s">
        <v>8573</v>
      </c>
      <c r="N925" s="29"/>
      <c r="O925" s="29"/>
      <c r="P925" s="29"/>
      <c r="Q925" s="29"/>
      <c r="R925" s="29"/>
      <c r="S925" s="29"/>
      <c r="T925" s="29"/>
      <c r="U925" s="29"/>
      <c r="V925" s="29"/>
      <c r="W925" s="29"/>
      <c r="X925" s="29"/>
      <c r="Y925" s="29"/>
      <c r="Z925" s="29"/>
      <c r="AA925" s="29"/>
      <c r="AB925" s="29"/>
      <c r="AC925" s="29"/>
      <c r="AD925" s="29"/>
      <c r="AE925" s="29"/>
      <c r="AF925" s="29"/>
      <c r="AG925" s="29"/>
    </row>
    <row r="926">
      <c r="A926" s="40" t="s">
        <v>1923</v>
      </c>
      <c r="B926" s="240" t="s">
        <v>3781</v>
      </c>
      <c r="C926" s="128"/>
      <c r="D926" s="321" t="s">
        <v>102</v>
      </c>
      <c r="E926" s="325" t="s">
        <v>492</v>
      </c>
      <c r="F926" s="325" t="s">
        <v>494</v>
      </c>
      <c r="G926" s="493">
        <v>46024.0</v>
      </c>
      <c r="H926" s="493">
        <v>46051.0</v>
      </c>
      <c r="I926" s="189">
        <f>IFERROR(__xludf.DUMMYFUNCTION("IF(ISBLANK(H926), TODAY()-TO_DATE(G926), TO_DATE(H926)-TO_DATE(G926))+1"),28.0)</f>
        <v>28</v>
      </c>
      <c r="J926" s="240" t="s">
        <v>197</v>
      </c>
      <c r="K926" s="40" t="s">
        <v>8622</v>
      </c>
      <c r="L926" s="40" t="s">
        <v>8242</v>
      </c>
      <c r="M926" s="240" t="s">
        <v>8623</v>
      </c>
      <c r="N926" s="29"/>
      <c r="O926" s="29"/>
      <c r="P926" s="29"/>
      <c r="Q926" s="29"/>
      <c r="R926" s="29"/>
      <c r="S926" s="29"/>
      <c r="T926" s="29"/>
      <c r="U926" s="29"/>
      <c r="V926" s="29"/>
      <c r="W926" s="29"/>
      <c r="X926" s="29"/>
      <c r="Y926" s="29"/>
      <c r="Z926" s="29"/>
      <c r="AA926" s="29"/>
      <c r="AB926" s="29"/>
      <c r="AC926" s="29"/>
      <c r="AD926" s="29"/>
      <c r="AE926" s="29"/>
      <c r="AF926" s="29"/>
      <c r="AG926" s="29"/>
    </row>
    <row r="927">
      <c r="A927" s="40" t="s">
        <v>1923</v>
      </c>
      <c r="B927" s="240" t="s">
        <v>3781</v>
      </c>
      <c r="C927" s="128"/>
      <c r="D927" s="85" t="s">
        <v>60</v>
      </c>
      <c r="E927" s="325" t="s">
        <v>2245</v>
      </c>
      <c r="F927" s="325" t="s">
        <v>2246</v>
      </c>
      <c r="G927" s="493">
        <v>46024.0</v>
      </c>
      <c r="H927" s="493">
        <v>46051.0</v>
      </c>
      <c r="I927" s="189">
        <f>IFERROR(__xludf.DUMMYFUNCTION("IF(ISBLANK(H927), TODAY()-TO_DATE(G927), TO_DATE(H927)-TO_DATE(G927))+1"),28.0)</f>
        <v>28</v>
      </c>
      <c r="J927" s="240" t="s">
        <v>197</v>
      </c>
      <c r="K927" s="40" t="s">
        <v>8628</v>
      </c>
      <c r="L927" s="40" t="s">
        <v>5916</v>
      </c>
      <c r="M927" s="240" t="s">
        <v>6510</v>
      </c>
      <c r="N927" s="29"/>
      <c r="O927" s="29"/>
      <c r="P927" s="29"/>
      <c r="Q927" s="29"/>
      <c r="R927" s="29"/>
      <c r="S927" s="29"/>
      <c r="T927" s="29"/>
      <c r="U927" s="29"/>
      <c r="V927" s="29"/>
      <c r="W927" s="29"/>
      <c r="X927" s="29"/>
      <c r="Y927" s="29"/>
      <c r="Z927" s="29"/>
      <c r="AA927" s="29"/>
      <c r="AB927" s="29"/>
      <c r="AC927" s="29"/>
      <c r="AD927" s="29"/>
      <c r="AE927" s="29"/>
      <c r="AF927" s="29"/>
      <c r="AG927" s="29"/>
    </row>
    <row r="928">
      <c r="A928" s="40" t="s">
        <v>1923</v>
      </c>
      <c r="B928" s="240" t="s">
        <v>3781</v>
      </c>
      <c r="C928" s="128"/>
      <c r="D928" s="85" t="s">
        <v>60</v>
      </c>
      <c r="E928" s="325" t="s">
        <v>2872</v>
      </c>
      <c r="F928" s="325" t="s">
        <v>2874</v>
      </c>
      <c r="G928" s="493">
        <v>46024.0</v>
      </c>
      <c r="H928" s="493">
        <v>46051.0</v>
      </c>
      <c r="I928" s="189">
        <f>IFERROR(__xludf.DUMMYFUNCTION("IF(ISBLANK(H928), TODAY()-TO_DATE(G928), TO_DATE(H928)-TO_DATE(G928))+1"),28.0)</f>
        <v>28</v>
      </c>
      <c r="J928" s="240" t="s">
        <v>197</v>
      </c>
      <c r="K928" s="40" t="s">
        <v>8638</v>
      </c>
      <c r="L928" s="40"/>
      <c r="M928" s="240" t="s">
        <v>6504</v>
      </c>
      <c r="N928" s="29"/>
      <c r="O928" s="29"/>
      <c r="P928" s="29"/>
      <c r="Q928" s="29"/>
      <c r="R928" s="29"/>
      <c r="S928" s="29"/>
      <c r="T928" s="29"/>
      <c r="U928" s="29"/>
      <c r="V928" s="29"/>
      <c r="W928" s="29"/>
      <c r="X928" s="29"/>
      <c r="Y928" s="29"/>
      <c r="Z928" s="29"/>
      <c r="AA928" s="29"/>
      <c r="AB928" s="29"/>
      <c r="AC928" s="29"/>
      <c r="AD928" s="29"/>
      <c r="AE928" s="29"/>
      <c r="AF928" s="29"/>
      <c r="AG928" s="29"/>
    </row>
    <row r="929">
      <c r="A929" s="40" t="s">
        <v>1923</v>
      </c>
      <c r="B929" s="240" t="s">
        <v>3781</v>
      </c>
      <c r="C929" s="128"/>
      <c r="D929" s="85" t="s">
        <v>60</v>
      </c>
      <c r="E929" s="325" t="s">
        <v>2856</v>
      </c>
      <c r="F929" s="325" t="s">
        <v>2857</v>
      </c>
      <c r="G929" s="493">
        <v>46024.0</v>
      </c>
      <c r="H929" s="493">
        <v>46051.0</v>
      </c>
      <c r="I929" s="189">
        <f>IFERROR(__xludf.DUMMYFUNCTION("IF(ISBLANK(H929), TODAY()-TO_DATE(G929), TO_DATE(H929)-TO_DATE(G929))+1"),28.0)</f>
        <v>28</v>
      </c>
      <c r="J929" s="240" t="s">
        <v>197</v>
      </c>
      <c r="K929" s="40" t="s">
        <v>8644</v>
      </c>
      <c r="L929" s="40"/>
      <c r="M929" s="240" t="s">
        <v>7419</v>
      </c>
      <c r="N929" s="29"/>
      <c r="O929" s="29"/>
      <c r="P929" s="29"/>
      <c r="Q929" s="29"/>
      <c r="R929" s="29"/>
      <c r="S929" s="29"/>
      <c r="T929" s="29"/>
      <c r="U929" s="29"/>
      <c r="V929" s="29"/>
      <c r="W929" s="29"/>
      <c r="X929" s="29"/>
      <c r="Y929" s="29"/>
      <c r="Z929" s="29"/>
      <c r="AA929" s="29"/>
      <c r="AB929" s="29"/>
      <c r="AC929" s="29"/>
      <c r="AD929" s="29"/>
      <c r="AE929" s="29"/>
      <c r="AF929" s="29"/>
      <c r="AG929" s="29"/>
    </row>
    <row r="930">
      <c r="A930" s="40" t="s">
        <v>150</v>
      </c>
      <c r="B930" s="240" t="s">
        <v>3781</v>
      </c>
      <c r="C930" s="128" t="s">
        <v>213</v>
      </c>
      <c r="D930" s="85" t="s">
        <v>60</v>
      </c>
      <c r="E930" s="241" t="s">
        <v>1054</v>
      </c>
      <c r="F930" s="325" t="s">
        <v>1055</v>
      </c>
      <c r="G930" s="493">
        <v>46024.0</v>
      </c>
      <c r="H930" s="493">
        <v>46025.0</v>
      </c>
      <c r="I930" s="189">
        <f>IFERROR(__xludf.DUMMYFUNCTION("IF(ISBLANK(H930), TODAY()-TO_DATE(G930), TO_DATE(H930)-TO_DATE(G930))+1"),2.0)</f>
        <v>2</v>
      </c>
      <c r="J930" s="240">
        <v>300.0</v>
      </c>
      <c r="K930" s="40"/>
      <c r="L930" s="40"/>
      <c r="M930" s="240" t="s">
        <v>8573</v>
      </c>
      <c r="N930" s="29"/>
      <c r="O930" s="29"/>
      <c r="P930" s="29"/>
      <c r="Q930" s="29"/>
      <c r="R930" s="29"/>
      <c r="S930" s="29"/>
      <c r="T930" s="29"/>
      <c r="U930" s="29"/>
      <c r="V930" s="29"/>
      <c r="W930" s="29"/>
      <c r="X930" s="29"/>
      <c r="Y930" s="29"/>
      <c r="Z930" s="29"/>
      <c r="AA930" s="29"/>
      <c r="AB930" s="29"/>
      <c r="AC930" s="29"/>
      <c r="AD930" s="29"/>
      <c r="AE930" s="29"/>
      <c r="AF930" s="29"/>
      <c r="AG930" s="29"/>
    </row>
    <row r="931">
      <c r="A931" s="633" t="s">
        <v>1032</v>
      </c>
      <c r="B931" s="540" t="s">
        <v>375</v>
      </c>
      <c r="C931" s="820" t="s">
        <v>321</v>
      </c>
      <c r="D931" s="647" t="s">
        <v>60</v>
      </c>
      <c r="E931" s="599" t="s">
        <v>7111</v>
      </c>
      <c r="F931" s="599" t="s">
        <v>3304</v>
      </c>
      <c r="G931" s="545">
        <v>46025.0</v>
      </c>
      <c r="H931" s="545">
        <v>46062.0</v>
      </c>
      <c r="I931" s="665">
        <f>IFERROR(__xludf.DUMMYFUNCTION("IF(ISBLANK(H931), TODAY()-TO_DATE(G931), TO_DATE(H931)-TO_DATE(G931))+1"),38.0)</f>
        <v>38</v>
      </c>
      <c r="J931" s="540">
        <v>500.0</v>
      </c>
      <c r="K931" s="633" t="s">
        <v>8653</v>
      </c>
      <c r="L931" s="633" t="s">
        <v>8654</v>
      </c>
      <c r="M931" s="540"/>
      <c r="N931" s="548"/>
      <c r="O931" s="548"/>
      <c r="P931" s="548"/>
      <c r="Q931" s="548"/>
      <c r="R931" s="548"/>
      <c r="S931" s="548"/>
      <c r="T931" s="548"/>
      <c r="U931" s="548"/>
      <c r="V931" s="548"/>
      <c r="W931" s="548"/>
      <c r="X931" s="548"/>
      <c r="Y931" s="548"/>
      <c r="Z931" s="548"/>
      <c r="AA931" s="548"/>
      <c r="AB931" s="548"/>
      <c r="AC931" s="548"/>
      <c r="AD931" s="548"/>
      <c r="AE931" s="548"/>
      <c r="AF931" s="548"/>
      <c r="AG931" s="548"/>
    </row>
    <row r="932">
      <c r="A932" s="794" t="s">
        <v>1510</v>
      </c>
      <c r="B932" s="609" t="s">
        <v>375</v>
      </c>
      <c r="C932" s="865" t="s">
        <v>1637</v>
      </c>
      <c r="D932" s="211" t="s">
        <v>60</v>
      </c>
      <c r="E932" s="782" t="s">
        <v>8659</v>
      </c>
      <c r="F932" s="782" t="s">
        <v>8660</v>
      </c>
      <c r="G932" s="866">
        <v>46025.0</v>
      </c>
      <c r="H932" s="866">
        <v>46063.0</v>
      </c>
      <c r="I932" s="867">
        <f>IFERROR(__xludf.DUMMYFUNCTION("IF(ISBLANK(H932), TODAY()-TO_DATE(G932), TO_DATE(H932)-TO_DATE(G932))+1"),39.0)</f>
        <v>39</v>
      </c>
      <c r="J932" s="609">
        <v>500.0</v>
      </c>
      <c r="K932" s="794" t="s">
        <v>8668</v>
      </c>
      <c r="L932" s="794"/>
      <c r="M932" s="609"/>
      <c r="N932" s="868"/>
      <c r="O932" s="868"/>
      <c r="P932" s="868"/>
      <c r="Q932" s="868"/>
      <c r="R932" s="868"/>
      <c r="S932" s="868"/>
      <c r="T932" s="868"/>
      <c r="U932" s="868"/>
      <c r="V932" s="868"/>
      <c r="W932" s="868"/>
      <c r="X932" s="868"/>
      <c r="Y932" s="868"/>
      <c r="Z932" s="868"/>
      <c r="AA932" s="868"/>
      <c r="AB932" s="868"/>
      <c r="AC932" s="868"/>
      <c r="AD932" s="868"/>
      <c r="AE932" s="868"/>
      <c r="AF932" s="868"/>
      <c r="AG932" s="868"/>
    </row>
    <row r="933">
      <c r="A933" s="633" t="s">
        <v>2451</v>
      </c>
      <c r="B933" s="540" t="s">
        <v>375</v>
      </c>
      <c r="C933" s="820" t="s">
        <v>302</v>
      </c>
      <c r="D933" s="647" t="s">
        <v>60</v>
      </c>
      <c r="E933" s="599" t="s">
        <v>7035</v>
      </c>
      <c r="F933" s="599" t="s">
        <v>7036</v>
      </c>
      <c r="G933" s="545">
        <v>46025.0</v>
      </c>
      <c r="H933" s="545">
        <v>46058.0</v>
      </c>
      <c r="I933" s="665">
        <f>IFERROR(__xludf.DUMMYFUNCTION("IF(ISBLANK(H933), TODAY()-TO_DATE(G933), TO_DATE(H933)-TO_DATE(G933))+1"),34.0)</f>
        <v>34</v>
      </c>
      <c r="J933" s="540">
        <v>500.0</v>
      </c>
      <c r="K933" s="794" t="s">
        <v>8676</v>
      </c>
      <c r="L933" s="633"/>
      <c r="M933" s="540"/>
      <c r="N933" s="548"/>
      <c r="O933" s="548"/>
      <c r="P933" s="548"/>
      <c r="Q933" s="548"/>
      <c r="R933" s="548"/>
      <c r="S933" s="548"/>
      <c r="T933" s="548"/>
      <c r="U933" s="548"/>
      <c r="V933" s="548"/>
      <c r="W933" s="548"/>
      <c r="X933" s="548"/>
      <c r="Y933" s="548"/>
      <c r="Z933" s="548"/>
      <c r="AA933" s="548"/>
      <c r="AB933" s="548"/>
      <c r="AC933" s="548"/>
      <c r="AD933" s="548"/>
      <c r="AE933" s="548"/>
      <c r="AF933" s="548"/>
      <c r="AG933" s="548"/>
    </row>
    <row r="934">
      <c r="A934" s="40" t="s">
        <v>150</v>
      </c>
      <c r="B934" s="240" t="s">
        <v>375</v>
      </c>
      <c r="C934" s="128" t="s">
        <v>58</v>
      </c>
      <c r="D934" s="85" t="s">
        <v>60</v>
      </c>
      <c r="E934" s="325" t="s">
        <v>8680</v>
      </c>
      <c r="F934" s="325" t="s">
        <v>8681</v>
      </c>
      <c r="G934" s="493">
        <v>46025.0</v>
      </c>
      <c r="H934" s="493">
        <v>46069.0</v>
      </c>
      <c r="I934" s="189">
        <f>IFERROR(__xludf.DUMMYFUNCTION("IF(ISBLANK(H934), TODAY()-TO_DATE(G934), TO_DATE(H934)-TO_DATE(G934))+1"),45.0)</f>
        <v>45</v>
      </c>
      <c r="J934" s="240">
        <v>500.0</v>
      </c>
      <c r="K934" s="40" t="s">
        <v>8684</v>
      </c>
      <c r="L934" s="40"/>
      <c r="M934" s="240"/>
      <c r="N934" s="29"/>
      <c r="O934" s="29"/>
      <c r="P934" s="29"/>
      <c r="Q934" s="29"/>
      <c r="R934" s="29"/>
      <c r="S934" s="29"/>
      <c r="T934" s="29"/>
      <c r="U934" s="29"/>
      <c r="V934" s="29"/>
      <c r="W934" s="29"/>
      <c r="X934" s="29"/>
      <c r="Y934" s="29"/>
      <c r="Z934" s="29"/>
      <c r="AA934" s="29"/>
      <c r="AB934" s="29"/>
      <c r="AC934" s="29"/>
      <c r="AD934" s="29"/>
      <c r="AE934" s="29"/>
      <c r="AF934" s="29"/>
      <c r="AG934" s="29"/>
    </row>
    <row r="935">
      <c r="A935" s="40" t="s">
        <v>2451</v>
      </c>
      <c r="B935" s="240" t="s">
        <v>375</v>
      </c>
      <c r="C935" s="128" t="s">
        <v>139</v>
      </c>
      <c r="D935" s="85" t="s">
        <v>60</v>
      </c>
      <c r="E935" s="325" t="s">
        <v>8691</v>
      </c>
      <c r="F935" s="325" t="s">
        <v>8692</v>
      </c>
      <c r="G935" s="493">
        <v>46025.0</v>
      </c>
      <c r="H935" s="493">
        <v>46041.0</v>
      </c>
      <c r="I935" s="189">
        <f>IFERROR(__xludf.DUMMYFUNCTION("IF(ISBLANK(H935), TODAY()-TO_DATE(G935), TO_DATE(H935)-TO_DATE(G935))+1"),17.0)</f>
        <v>17</v>
      </c>
      <c r="J935" s="240">
        <v>500.0</v>
      </c>
      <c r="K935" s="40" t="s">
        <v>8695</v>
      </c>
      <c r="L935" s="40" t="s">
        <v>8697</v>
      </c>
      <c r="M935" s="240"/>
      <c r="N935" s="29"/>
      <c r="O935" s="29"/>
      <c r="P935" s="29"/>
      <c r="Q935" s="29"/>
      <c r="R935" s="29"/>
      <c r="S935" s="29"/>
      <c r="T935" s="29"/>
      <c r="U935" s="29"/>
      <c r="V935" s="29"/>
      <c r="W935" s="29"/>
      <c r="X935" s="29"/>
      <c r="Y935" s="29"/>
      <c r="Z935" s="29"/>
      <c r="AA935" s="29"/>
      <c r="AB935" s="29"/>
      <c r="AC935" s="29"/>
      <c r="AD935" s="29"/>
      <c r="AE935" s="29"/>
      <c r="AF935" s="29"/>
      <c r="AG935" s="29"/>
    </row>
    <row r="936">
      <c r="A936" s="40" t="s">
        <v>145</v>
      </c>
      <c r="B936" s="240" t="s">
        <v>375</v>
      </c>
      <c r="C936" s="128" t="s">
        <v>8701</v>
      </c>
      <c r="D936" s="85" t="s">
        <v>60</v>
      </c>
      <c r="E936" s="325" t="s">
        <v>8702</v>
      </c>
      <c r="F936" s="325" t="s">
        <v>8703</v>
      </c>
      <c r="G936" s="493">
        <v>46025.0</v>
      </c>
      <c r="H936" s="493">
        <v>46069.0</v>
      </c>
      <c r="I936" s="189">
        <f>IFERROR(__xludf.DUMMYFUNCTION("IF(ISBLANK(H936), TODAY()-TO_DATE(G936), TO_DATE(H936)-TO_DATE(G936))+1"),45.0)</f>
        <v>45</v>
      </c>
      <c r="J936" s="240">
        <v>500.0</v>
      </c>
      <c r="K936" s="40" t="s">
        <v>8705</v>
      </c>
      <c r="L936" s="40" t="s">
        <v>8707</v>
      </c>
      <c r="M936" s="240"/>
      <c r="N936" s="29"/>
      <c r="O936" s="29"/>
      <c r="P936" s="29"/>
      <c r="Q936" s="29"/>
      <c r="R936" s="29"/>
      <c r="S936" s="29"/>
      <c r="T936" s="29"/>
      <c r="U936" s="29"/>
      <c r="V936" s="29"/>
      <c r="W936" s="29"/>
      <c r="X936" s="29"/>
      <c r="Y936" s="29"/>
      <c r="Z936" s="29"/>
      <c r="AA936" s="29"/>
      <c r="AB936" s="29"/>
      <c r="AC936" s="29"/>
      <c r="AD936" s="29"/>
      <c r="AE936" s="29"/>
      <c r="AF936" s="29"/>
      <c r="AG936" s="29"/>
    </row>
    <row r="937">
      <c r="A937" s="40" t="s">
        <v>2451</v>
      </c>
      <c r="B937" s="240" t="s">
        <v>375</v>
      </c>
      <c r="C937" s="128" t="s">
        <v>187</v>
      </c>
      <c r="D937" s="85" t="s">
        <v>60</v>
      </c>
      <c r="E937" s="325" t="s">
        <v>3324</v>
      </c>
      <c r="F937" s="325" t="s">
        <v>3325</v>
      </c>
      <c r="G937" s="493">
        <v>46025.0</v>
      </c>
      <c r="H937" s="493">
        <v>46034.0</v>
      </c>
      <c r="I937" s="189">
        <f>IFERROR(__xludf.DUMMYFUNCTION("IF(ISBLANK(H937), TODAY()-TO_DATE(G937), TO_DATE(H937)-TO_DATE(G937))+1"),10.0)</f>
        <v>10</v>
      </c>
      <c r="J937" s="240">
        <v>500.0</v>
      </c>
      <c r="K937" s="40" t="s">
        <v>8046</v>
      </c>
      <c r="L937" s="40" t="s">
        <v>8711</v>
      </c>
      <c r="M937" s="240"/>
      <c r="N937" s="29"/>
      <c r="O937" s="29"/>
      <c r="P937" s="29"/>
      <c r="Q937" s="29"/>
      <c r="R937" s="29"/>
      <c r="S937" s="29"/>
      <c r="T937" s="29"/>
      <c r="U937" s="29"/>
      <c r="V937" s="29"/>
      <c r="W937" s="29"/>
      <c r="X937" s="29"/>
      <c r="Y937" s="29"/>
      <c r="Z937" s="29"/>
      <c r="AA937" s="29"/>
      <c r="AB937" s="29"/>
      <c r="AC937" s="29"/>
      <c r="AD937" s="29"/>
      <c r="AE937" s="29"/>
      <c r="AF937" s="29"/>
      <c r="AG937" s="29"/>
    </row>
    <row r="938">
      <c r="A938" s="40" t="s">
        <v>150</v>
      </c>
      <c r="B938" s="240" t="s">
        <v>375</v>
      </c>
      <c r="C938" s="128" t="s">
        <v>213</v>
      </c>
      <c r="D938" s="85" t="s">
        <v>102</v>
      </c>
      <c r="E938" s="325" t="s">
        <v>5907</v>
      </c>
      <c r="F938" s="325" t="s">
        <v>5073</v>
      </c>
      <c r="G938" s="493">
        <v>46025.0</v>
      </c>
      <c r="H938" s="493">
        <v>46034.0</v>
      </c>
      <c r="I938" s="189">
        <f>IFERROR(__xludf.DUMMYFUNCTION("IF(ISBLANK(H938), TODAY()-TO_DATE(G938), TO_DATE(H938)-TO_DATE(G938))+1"),10.0)</f>
        <v>10</v>
      </c>
      <c r="J938" s="240">
        <v>500.0</v>
      </c>
      <c r="K938" s="40" t="s">
        <v>8714</v>
      </c>
      <c r="L938" s="40"/>
      <c r="M938" s="240"/>
      <c r="N938" s="29"/>
      <c r="O938" s="29"/>
      <c r="P938" s="29"/>
      <c r="Q938" s="29"/>
      <c r="R938" s="29"/>
      <c r="S938" s="29"/>
      <c r="T938" s="29"/>
      <c r="U938" s="29"/>
      <c r="V938" s="29"/>
      <c r="W938" s="29"/>
      <c r="X938" s="29"/>
      <c r="Y938" s="29"/>
      <c r="Z938" s="29"/>
      <c r="AA938" s="29"/>
      <c r="AB938" s="29"/>
      <c r="AC938" s="29"/>
      <c r="AD938" s="29"/>
      <c r="AE938" s="29"/>
      <c r="AF938" s="29"/>
      <c r="AG938" s="29"/>
    </row>
    <row r="939">
      <c r="A939" s="40" t="s">
        <v>1566</v>
      </c>
      <c r="B939" s="240" t="s">
        <v>375</v>
      </c>
      <c r="C939" s="128"/>
      <c r="D939" s="85" t="s">
        <v>60</v>
      </c>
      <c r="E939" s="688" t="s">
        <v>3585</v>
      </c>
      <c r="F939" s="325" t="s">
        <v>3586</v>
      </c>
      <c r="G939" s="493">
        <v>46028.0</v>
      </c>
      <c r="H939" s="493">
        <v>46028.0</v>
      </c>
      <c r="I939" s="189">
        <f>IFERROR(__xludf.DUMMYFUNCTION("IF(ISBLANK(H939), TODAY()-TO_DATE(G939), TO_DATE(H939)-TO_DATE(G939))+1"),1.0)</f>
        <v>1</v>
      </c>
      <c r="J939" s="240">
        <v>300.0</v>
      </c>
      <c r="K939" s="40"/>
      <c r="L939" s="40"/>
      <c r="M939" s="240" t="s">
        <v>8718</v>
      </c>
      <c r="N939" s="29"/>
      <c r="O939" s="29"/>
      <c r="P939" s="29"/>
      <c r="Q939" s="29"/>
      <c r="R939" s="29"/>
      <c r="S939" s="29"/>
      <c r="T939" s="29"/>
      <c r="U939" s="29"/>
      <c r="V939" s="29"/>
      <c r="W939" s="29"/>
      <c r="X939" s="29"/>
      <c r="Y939" s="29"/>
      <c r="Z939" s="29"/>
      <c r="AA939" s="29"/>
      <c r="AB939" s="29"/>
      <c r="AC939" s="29"/>
      <c r="AD939" s="29"/>
      <c r="AE939" s="29"/>
      <c r="AF939" s="29"/>
      <c r="AG939" s="29"/>
    </row>
    <row r="940">
      <c r="A940" s="240" t="s">
        <v>1313</v>
      </c>
      <c r="B940" s="240" t="s">
        <v>375</v>
      </c>
      <c r="C940" s="128" t="s">
        <v>8723</v>
      </c>
      <c r="D940" s="85" t="s">
        <v>60</v>
      </c>
      <c r="E940" s="325" t="s">
        <v>8724</v>
      </c>
      <c r="F940" s="325" t="s">
        <v>1287</v>
      </c>
      <c r="G940" s="493">
        <v>46029.0</v>
      </c>
      <c r="H940" s="493">
        <v>46042.0</v>
      </c>
      <c r="I940" s="189">
        <f>IFERROR(__xludf.DUMMYFUNCTION("IF(ISBLANK(H940), TODAY()-TO_DATE(G940), TO_DATE(H940)-TO_DATE(G940))+1"),14.0)</f>
        <v>14</v>
      </c>
      <c r="J940" s="240" t="s">
        <v>197</v>
      </c>
      <c r="K940" s="40" t="s">
        <v>8734</v>
      </c>
      <c r="L940" s="40" t="s">
        <v>8654</v>
      </c>
      <c r="M940" s="240" t="s">
        <v>8623</v>
      </c>
      <c r="N940" s="29"/>
      <c r="O940" s="29"/>
      <c r="P940" s="29"/>
      <c r="Q940" s="29"/>
      <c r="R940" s="29"/>
      <c r="S940" s="29"/>
      <c r="T940" s="29"/>
      <c r="U940" s="29"/>
      <c r="V940" s="29"/>
      <c r="W940" s="29"/>
      <c r="X940" s="29"/>
      <c r="Y940" s="29"/>
      <c r="Z940" s="29"/>
      <c r="AA940" s="29"/>
      <c r="AB940" s="29"/>
      <c r="AC940" s="29"/>
      <c r="AD940" s="29"/>
      <c r="AE940" s="29"/>
      <c r="AF940" s="29"/>
      <c r="AG940" s="29"/>
    </row>
    <row r="941">
      <c r="A941" s="40" t="s">
        <v>2451</v>
      </c>
      <c r="B941" s="240" t="s">
        <v>375</v>
      </c>
      <c r="C941" s="128" t="s">
        <v>213</v>
      </c>
      <c r="D941" s="85" t="s">
        <v>60</v>
      </c>
      <c r="E941" s="325" t="s">
        <v>8218</v>
      </c>
      <c r="F941" s="325" t="s">
        <v>8219</v>
      </c>
      <c r="G941" s="493">
        <v>46029.0</v>
      </c>
      <c r="H941" s="493">
        <v>46042.0</v>
      </c>
      <c r="I941" s="189">
        <f>IFERROR(__xludf.DUMMYFUNCTION("IF(ISBLANK(H941), TODAY()-TO_DATE(G941), TO_DATE(H941)-TO_DATE(G941))+1"),14.0)</f>
        <v>14</v>
      </c>
      <c r="J941" s="240" t="s">
        <v>197</v>
      </c>
      <c r="K941" s="40" t="s">
        <v>8319</v>
      </c>
      <c r="L941" s="40"/>
      <c r="M941" s="240"/>
      <c r="N941" s="29"/>
      <c r="O941" s="29"/>
      <c r="P941" s="29"/>
      <c r="Q941" s="29"/>
      <c r="R941" s="29"/>
      <c r="S941" s="29"/>
      <c r="T941" s="29"/>
      <c r="U941" s="29"/>
      <c r="V941" s="29"/>
      <c r="W941" s="29"/>
      <c r="X941" s="29"/>
      <c r="Y941" s="29"/>
      <c r="Z941" s="29"/>
      <c r="AA941" s="29"/>
      <c r="AB941" s="29"/>
      <c r="AC941" s="29"/>
      <c r="AD941" s="29"/>
      <c r="AE941" s="29"/>
      <c r="AF941" s="29"/>
      <c r="AG941" s="29"/>
    </row>
    <row r="942">
      <c r="A942" s="40" t="s">
        <v>2451</v>
      </c>
      <c r="B942" s="240" t="s">
        <v>375</v>
      </c>
      <c r="C942" s="128" t="s">
        <v>321</v>
      </c>
      <c r="D942" s="85" t="s">
        <v>60</v>
      </c>
      <c r="E942" s="325" t="s">
        <v>3041</v>
      </c>
      <c r="F942" s="325" t="s">
        <v>3042</v>
      </c>
      <c r="G942" s="493">
        <v>46029.0</v>
      </c>
      <c r="H942" s="493">
        <v>46042.0</v>
      </c>
      <c r="I942" s="189">
        <f>IFERROR(__xludf.DUMMYFUNCTION("IF(ISBLANK(H942), TODAY()-TO_DATE(G942), TO_DATE(H942)-TO_DATE(G942))+1"),14.0)</f>
        <v>14</v>
      </c>
      <c r="J942" s="240" t="s">
        <v>197</v>
      </c>
      <c r="K942" s="40" t="s">
        <v>8744</v>
      </c>
      <c r="L942" s="40"/>
      <c r="M942" s="240"/>
      <c r="N942" s="29"/>
      <c r="O942" s="29"/>
      <c r="P942" s="29"/>
      <c r="Q942" s="29"/>
      <c r="R942" s="29"/>
      <c r="S942" s="29"/>
      <c r="T942" s="29"/>
      <c r="U942" s="29"/>
      <c r="V942" s="29"/>
      <c r="W942" s="29"/>
      <c r="X942" s="29"/>
      <c r="Y942" s="29"/>
      <c r="Z942" s="29"/>
      <c r="AA942" s="29"/>
      <c r="AB942" s="29"/>
      <c r="AC942" s="29"/>
      <c r="AD942" s="29"/>
      <c r="AE942" s="29"/>
      <c r="AF942" s="29"/>
      <c r="AG942" s="29"/>
    </row>
    <row r="943">
      <c r="A943" s="40" t="s">
        <v>2451</v>
      </c>
      <c r="B943" s="240" t="s">
        <v>375</v>
      </c>
      <c r="C943" s="128" t="s">
        <v>187</v>
      </c>
      <c r="D943" s="85" t="s">
        <v>60</v>
      </c>
      <c r="E943" s="325" t="s">
        <v>2602</v>
      </c>
      <c r="F943" s="325" t="s">
        <v>634</v>
      </c>
      <c r="G943" s="493">
        <v>46029.0</v>
      </c>
      <c r="H943" s="493">
        <v>46046.0</v>
      </c>
      <c r="I943" s="189">
        <f>IFERROR(__xludf.DUMMYFUNCTION("IF(ISBLANK(H943), TODAY()-TO_DATE(G943), TO_DATE(H943)-TO_DATE(G943))+1"),18.0)</f>
        <v>18</v>
      </c>
      <c r="J943" s="240" t="s">
        <v>197</v>
      </c>
      <c r="K943" s="40" t="s">
        <v>8748</v>
      </c>
      <c r="L943" s="40" t="s">
        <v>8697</v>
      </c>
      <c r="M943" s="240" t="s">
        <v>8749</v>
      </c>
      <c r="N943" s="29"/>
      <c r="O943" s="29"/>
      <c r="P943" s="29"/>
      <c r="Q943" s="29"/>
      <c r="R943" s="29"/>
      <c r="S943" s="29"/>
      <c r="T943" s="29"/>
      <c r="U943" s="29"/>
      <c r="V943" s="29"/>
      <c r="W943" s="29"/>
      <c r="X943" s="29"/>
      <c r="Y943" s="29"/>
      <c r="Z943" s="29"/>
      <c r="AA943" s="29"/>
      <c r="AB943" s="29"/>
      <c r="AC943" s="29"/>
      <c r="AD943" s="29"/>
      <c r="AE943" s="29"/>
      <c r="AF943" s="29"/>
      <c r="AG943" s="29"/>
    </row>
    <row r="944">
      <c r="A944" s="240" t="s">
        <v>150</v>
      </c>
      <c r="B944" s="240" t="s">
        <v>375</v>
      </c>
      <c r="C944" s="128" t="s">
        <v>321</v>
      </c>
      <c r="D944" s="85" t="s">
        <v>60</v>
      </c>
      <c r="E944" s="241" t="s">
        <v>945</v>
      </c>
      <c r="F944" s="240" t="s">
        <v>946</v>
      </c>
      <c r="G944" s="493">
        <v>46029.0</v>
      </c>
      <c r="H944" s="493">
        <v>46030.0</v>
      </c>
      <c r="I944" s="189">
        <f>IFERROR(__xludf.DUMMYFUNCTION("IF(ISBLANK(H944), TODAY()-TO_DATE(G944), TO_DATE(H944)-TO_DATE(G944))+1"),2.0)</f>
        <v>2</v>
      </c>
      <c r="J944" s="240">
        <v>300.0</v>
      </c>
      <c r="K944" s="609" t="s">
        <v>8752</v>
      </c>
      <c r="L944" s="507"/>
      <c r="M944" s="240" t="s">
        <v>8754</v>
      </c>
      <c r="N944" s="29"/>
      <c r="O944" s="29"/>
      <c r="P944" s="29"/>
      <c r="Q944" s="29"/>
      <c r="R944" s="29"/>
      <c r="S944" s="29"/>
      <c r="T944" s="29"/>
      <c r="U944" s="29"/>
      <c r="V944" s="29"/>
      <c r="W944" s="29"/>
      <c r="X944" s="29"/>
      <c r="Y944" s="29"/>
      <c r="Z944" s="29"/>
      <c r="AA944" s="29"/>
      <c r="AB944" s="29"/>
      <c r="AC944" s="29"/>
      <c r="AD944" s="29"/>
      <c r="AE944" s="29"/>
      <c r="AF944" s="29"/>
      <c r="AG944" s="29"/>
    </row>
    <row r="945">
      <c r="A945" s="767" t="s">
        <v>1448</v>
      </c>
      <c r="B945" s="240" t="s">
        <v>375</v>
      </c>
      <c r="C945" s="693" t="s">
        <v>1466</v>
      </c>
      <c r="D945" s="85" t="s">
        <v>60</v>
      </c>
      <c r="E945" s="240" t="s">
        <v>8763</v>
      </c>
      <c r="F945" s="240" t="s">
        <v>3093</v>
      </c>
      <c r="G945" s="493">
        <v>46029.0</v>
      </c>
      <c r="H945" s="493">
        <v>46030.0</v>
      </c>
      <c r="I945" s="189">
        <f>IFERROR(__xludf.DUMMYFUNCTION("IF(ISBLANK(H945), TODAY()-TO_DATE(G945), TO_DATE(H945)-TO_DATE(G945))+1"),2.0)</f>
        <v>2</v>
      </c>
      <c r="J945" s="240">
        <v>300.0</v>
      </c>
      <c r="K945" s="240"/>
      <c r="L945" s="507"/>
      <c r="M945" s="240" t="s">
        <v>8064</v>
      </c>
      <c r="N945" s="29"/>
      <c r="O945" s="29"/>
      <c r="P945" s="29"/>
      <c r="Q945" s="29"/>
      <c r="R945" s="29"/>
      <c r="S945" s="29"/>
      <c r="T945" s="29"/>
      <c r="U945" s="29"/>
      <c r="V945" s="29"/>
      <c r="W945" s="29"/>
      <c r="X945" s="29"/>
      <c r="Y945" s="29"/>
      <c r="Z945" s="29"/>
      <c r="AA945" s="29"/>
      <c r="AB945" s="29"/>
      <c r="AC945" s="29"/>
      <c r="AD945" s="29"/>
      <c r="AE945" s="29"/>
      <c r="AF945" s="29"/>
      <c r="AG945" s="29"/>
    </row>
    <row r="946">
      <c r="A946" s="40" t="s">
        <v>150</v>
      </c>
      <c r="B946" s="240" t="s">
        <v>375</v>
      </c>
      <c r="C946" s="454" t="s">
        <v>201</v>
      </c>
      <c r="D946" s="85" t="s">
        <v>60</v>
      </c>
      <c r="E946" s="325" t="s">
        <v>7057</v>
      </c>
      <c r="F946" s="325" t="s">
        <v>7058</v>
      </c>
      <c r="G946" s="493">
        <v>46030.0</v>
      </c>
      <c r="H946" s="493">
        <v>46046.0</v>
      </c>
      <c r="I946" s="189">
        <f>IFERROR(__xludf.DUMMYFUNCTION("IF(ISBLANK(H946), TODAY()-TO_DATE(G946), TO_DATE(H946)-TO_DATE(G946))+1"),17.0)</f>
        <v>17</v>
      </c>
      <c r="J946" s="240" t="s">
        <v>197</v>
      </c>
      <c r="K946" s="40" t="s">
        <v>8319</v>
      </c>
      <c r="L946" s="321" t="s">
        <v>8767</v>
      </c>
      <c r="M946" s="240" t="s">
        <v>8768</v>
      </c>
      <c r="N946" s="29"/>
      <c r="O946" s="29"/>
      <c r="P946" s="29"/>
      <c r="Q946" s="29"/>
      <c r="R946" s="29"/>
      <c r="S946" s="29"/>
      <c r="T946" s="29"/>
      <c r="U946" s="29"/>
      <c r="V946" s="29"/>
      <c r="W946" s="29"/>
      <c r="X946" s="29"/>
      <c r="Y946" s="29"/>
      <c r="Z946" s="29"/>
      <c r="AA946" s="29"/>
      <c r="AB946" s="29"/>
      <c r="AC946" s="29"/>
      <c r="AD946" s="29"/>
      <c r="AE946" s="29"/>
      <c r="AF946" s="29"/>
      <c r="AG946" s="29"/>
    </row>
    <row r="947">
      <c r="A947" s="40" t="s">
        <v>2451</v>
      </c>
      <c r="B947" s="240" t="s">
        <v>375</v>
      </c>
      <c r="C947" s="218" t="s">
        <v>1431</v>
      </c>
      <c r="D947" s="85" t="s">
        <v>60</v>
      </c>
      <c r="E947" s="325" t="s">
        <v>7515</v>
      </c>
      <c r="F947" s="325" t="s">
        <v>7517</v>
      </c>
      <c r="G947" s="493">
        <v>46030.0</v>
      </c>
      <c r="H947" s="493">
        <v>46042.0</v>
      </c>
      <c r="I947" s="189">
        <f>IFERROR(__xludf.DUMMYFUNCTION("IF(ISBLANK(H947), TODAY()-TO_DATE(G947), TO_DATE(H947)-TO_DATE(G947))+1"),13.0)</f>
        <v>13</v>
      </c>
      <c r="J947" s="240">
        <v>300.0</v>
      </c>
      <c r="K947" s="609" t="s">
        <v>8774</v>
      </c>
      <c r="L947" s="321" t="s">
        <v>8775</v>
      </c>
      <c r="M947" s="63"/>
      <c r="N947" s="29"/>
      <c r="O947" s="29"/>
      <c r="P947" s="29"/>
      <c r="Q947" s="29"/>
      <c r="R947" s="29"/>
      <c r="S947" s="29"/>
      <c r="T947" s="29"/>
      <c r="U947" s="29"/>
      <c r="V947" s="29"/>
      <c r="W947" s="29"/>
      <c r="X947" s="29"/>
      <c r="Y947" s="29"/>
      <c r="Z947" s="29"/>
      <c r="AA947" s="29"/>
      <c r="AB947" s="29"/>
      <c r="AC947" s="29"/>
      <c r="AD947" s="29"/>
      <c r="AE947" s="29"/>
      <c r="AF947" s="29"/>
      <c r="AG947" s="29"/>
    </row>
    <row r="948">
      <c r="A948" s="40" t="s">
        <v>2451</v>
      </c>
      <c r="B948" s="240" t="s">
        <v>375</v>
      </c>
      <c r="C948" s="218" t="s">
        <v>1431</v>
      </c>
      <c r="D948" s="85" t="s">
        <v>610</v>
      </c>
      <c r="E948" s="325" t="s">
        <v>6154</v>
      </c>
      <c r="F948" s="325" t="s">
        <v>6155</v>
      </c>
      <c r="G948" s="493">
        <v>46030.0</v>
      </c>
      <c r="H948" s="493">
        <v>46033.0</v>
      </c>
      <c r="I948" s="189">
        <f>IFERROR(__xludf.DUMMYFUNCTION("IF(ISBLANK(H948), TODAY()-TO_DATE(G948), TO_DATE(H948)-TO_DATE(G948))+1"),4.0)</f>
        <v>4</v>
      </c>
      <c r="J948" s="240">
        <v>500.0</v>
      </c>
      <c r="K948" s="40" t="s">
        <v>8777</v>
      </c>
      <c r="L948" s="507"/>
      <c r="M948" s="63"/>
      <c r="N948" s="29"/>
      <c r="O948" s="29"/>
      <c r="P948" s="29"/>
      <c r="Q948" s="29"/>
      <c r="R948" s="29"/>
      <c r="S948" s="29"/>
      <c r="T948" s="29"/>
      <c r="U948" s="29"/>
      <c r="V948" s="29"/>
      <c r="W948" s="29"/>
      <c r="X948" s="29"/>
      <c r="Y948" s="29"/>
      <c r="Z948" s="29"/>
      <c r="AA948" s="29"/>
      <c r="AB948" s="29"/>
      <c r="AC948" s="29"/>
      <c r="AD948" s="29"/>
      <c r="AE948" s="29"/>
      <c r="AF948" s="29"/>
      <c r="AG948" s="29"/>
    </row>
    <row r="949">
      <c r="A949" s="40" t="s">
        <v>2451</v>
      </c>
      <c r="B949" s="240" t="s">
        <v>375</v>
      </c>
      <c r="C949" s="218" t="s">
        <v>321</v>
      </c>
      <c r="D949" s="85" t="s">
        <v>102</v>
      </c>
      <c r="E949" s="325" t="s">
        <v>8780</v>
      </c>
      <c r="F949" s="325" t="s">
        <v>8781</v>
      </c>
      <c r="G949" s="493">
        <v>46030.0</v>
      </c>
      <c r="H949" s="493">
        <v>46030.0</v>
      </c>
      <c r="I949" s="189">
        <f>IFERROR(__xludf.DUMMYFUNCTION("IF(ISBLANK(H949), TODAY()-TO_DATE(G949), TO_DATE(H949)-TO_DATE(G949))+1"),1.0)</f>
        <v>1</v>
      </c>
      <c r="J949" s="240" t="s">
        <v>197</v>
      </c>
      <c r="K949" s="40" t="s">
        <v>8783</v>
      </c>
      <c r="L949" s="507"/>
      <c r="M949" s="63"/>
      <c r="N949" s="29"/>
      <c r="O949" s="29"/>
      <c r="P949" s="29"/>
      <c r="Q949" s="29"/>
      <c r="R949" s="29"/>
      <c r="S949" s="29"/>
      <c r="T949" s="29"/>
      <c r="U949" s="29"/>
      <c r="V949" s="29"/>
      <c r="W949" s="29"/>
      <c r="X949" s="29"/>
      <c r="Y949" s="29"/>
      <c r="Z949" s="29"/>
      <c r="AA949" s="29"/>
      <c r="AB949" s="29"/>
      <c r="AC949" s="29"/>
      <c r="AD949" s="29"/>
      <c r="AE949" s="29"/>
      <c r="AF949" s="29"/>
      <c r="AG949" s="29"/>
    </row>
    <row r="950">
      <c r="A950" s="40" t="s">
        <v>2451</v>
      </c>
      <c r="B950" s="240" t="s">
        <v>375</v>
      </c>
      <c r="C950" s="218" t="s">
        <v>58</v>
      </c>
      <c r="D950" s="85" t="s">
        <v>60</v>
      </c>
      <c r="E950" s="325" t="s">
        <v>8403</v>
      </c>
      <c r="F950" s="325" t="s">
        <v>3625</v>
      </c>
      <c r="G950" s="493">
        <v>46030.0</v>
      </c>
      <c r="H950" s="493">
        <v>46030.0</v>
      </c>
      <c r="I950" s="189">
        <f>IFERROR(__xludf.DUMMYFUNCTION("IF(ISBLANK(H950), TODAY()-TO_DATE(G950), TO_DATE(H950)-TO_DATE(G950))+1"),1.0)</f>
        <v>1</v>
      </c>
      <c r="J950" s="240">
        <v>300.0</v>
      </c>
      <c r="K950" s="40" t="s">
        <v>8789</v>
      </c>
      <c r="L950" s="321"/>
      <c r="M950" s="63"/>
      <c r="N950" s="29"/>
      <c r="O950" s="29"/>
      <c r="P950" s="29"/>
      <c r="Q950" s="29"/>
      <c r="R950" s="29"/>
      <c r="S950" s="29"/>
      <c r="T950" s="29"/>
      <c r="U950" s="29"/>
      <c r="V950" s="29"/>
      <c r="W950" s="29"/>
      <c r="X950" s="29"/>
      <c r="Y950" s="29"/>
      <c r="Z950" s="29"/>
      <c r="AA950" s="29"/>
      <c r="AB950" s="29"/>
      <c r="AC950" s="29"/>
      <c r="AD950" s="29"/>
      <c r="AE950" s="29"/>
      <c r="AF950" s="29"/>
      <c r="AG950" s="29"/>
    </row>
    <row r="951">
      <c r="A951" s="40" t="s">
        <v>150</v>
      </c>
      <c r="B951" s="240" t="s">
        <v>375</v>
      </c>
      <c r="C951" s="266" t="s">
        <v>321</v>
      </c>
      <c r="D951" s="85" t="s">
        <v>60</v>
      </c>
      <c r="E951" s="325" t="s">
        <v>8793</v>
      </c>
      <c r="F951" s="325" t="s">
        <v>8794</v>
      </c>
      <c r="G951" s="493">
        <v>46031.0</v>
      </c>
      <c r="H951" s="493">
        <v>46046.0</v>
      </c>
      <c r="I951" s="189">
        <f>IFERROR(__xludf.DUMMYFUNCTION("IF(ISBLANK(H951), TODAY()-TO_DATE(G951), TO_DATE(H951)-TO_DATE(G951))+1"),16.0)</f>
        <v>16</v>
      </c>
      <c r="J951" s="240">
        <v>300.0</v>
      </c>
      <c r="K951" s="40" t="s">
        <v>8795</v>
      </c>
      <c r="L951" s="40" t="s">
        <v>8797</v>
      </c>
      <c r="M951" s="240" t="s">
        <v>8749</v>
      </c>
      <c r="N951" s="29"/>
      <c r="O951" s="29"/>
      <c r="P951" s="29"/>
      <c r="Q951" s="29"/>
      <c r="R951" s="29"/>
      <c r="S951" s="29"/>
      <c r="T951" s="29"/>
      <c r="U951" s="29"/>
      <c r="V951" s="29"/>
      <c r="W951" s="29"/>
      <c r="X951" s="29"/>
      <c r="Y951" s="29"/>
      <c r="Z951" s="29"/>
      <c r="AA951" s="29"/>
      <c r="AB951" s="29"/>
      <c r="AC951" s="29"/>
      <c r="AD951" s="29"/>
      <c r="AE951" s="29"/>
      <c r="AF951" s="29"/>
      <c r="AG951" s="29"/>
    </row>
    <row r="952">
      <c r="A952" s="40" t="s">
        <v>150</v>
      </c>
      <c r="B952" s="240" t="s">
        <v>375</v>
      </c>
      <c r="C952" s="218" t="s">
        <v>139</v>
      </c>
      <c r="D952" s="85" t="s">
        <v>60</v>
      </c>
      <c r="E952" s="325" t="s">
        <v>1048</v>
      </c>
      <c r="F952" s="325" t="s">
        <v>1049</v>
      </c>
      <c r="G952" s="493">
        <v>46031.0</v>
      </c>
      <c r="H952" s="493">
        <v>46047.0</v>
      </c>
      <c r="I952" s="189">
        <f>IFERROR(__xludf.DUMMYFUNCTION("IF(ISBLANK(H952), TODAY()-TO_DATE(G952), TO_DATE(H952)-TO_DATE(G952))+1"),17.0)</f>
        <v>17</v>
      </c>
      <c r="J952" s="240" t="s">
        <v>197</v>
      </c>
      <c r="K952" s="240" t="s">
        <v>8803</v>
      </c>
      <c r="L952" s="790"/>
      <c r="M952" s="63"/>
      <c r="N952" s="29"/>
      <c r="O952" s="29"/>
      <c r="P952" s="29"/>
      <c r="Q952" s="29"/>
      <c r="R952" s="29"/>
      <c r="S952" s="29"/>
      <c r="T952" s="29"/>
      <c r="U952" s="29"/>
      <c r="V952" s="29"/>
      <c r="W952" s="29"/>
      <c r="X952" s="29"/>
      <c r="Y952" s="29"/>
      <c r="Z952" s="29"/>
      <c r="AA952" s="29"/>
      <c r="AB952" s="29"/>
      <c r="AC952" s="29"/>
      <c r="AD952" s="29"/>
      <c r="AE952" s="29"/>
      <c r="AF952" s="29"/>
      <c r="AG952" s="29"/>
    </row>
    <row r="953">
      <c r="A953" s="40" t="s">
        <v>145</v>
      </c>
      <c r="B953" s="240" t="s">
        <v>375</v>
      </c>
      <c r="C953" s="128"/>
      <c r="D953" s="85" t="s">
        <v>60</v>
      </c>
      <c r="E953" s="599" t="s">
        <v>8811</v>
      </c>
      <c r="F953" s="325" t="s">
        <v>8812</v>
      </c>
      <c r="G953" s="493">
        <v>46031.0</v>
      </c>
      <c r="H953" s="493">
        <v>46111.0</v>
      </c>
      <c r="I953" s="189">
        <f>IFERROR(__xludf.DUMMYFUNCTION("IF(ISBLANK(H953), TODAY()-TO_DATE(G953), TO_DATE(H953)-TO_DATE(G953))+1"),81.0)</f>
        <v>81</v>
      </c>
      <c r="J953" s="240">
        <v>500.0</v>
      </c>
      <c r="K953" s="40" t="s">
        <v>7967</v>
      </c>
      <c r="L953" s="72"/>
      <c r="M953" s="63"/>
      <c r="N953" s="29"/>
      <c r="O953" s="29"/>
      <c r="P953" s="29"/>
      <c r="Q953" s="29"/>
      <c r="R953" s="29"/>
      <c r="S953" s="29"/>
      <c r="T953" s="29"/>
      <c r="U953" s="29"/>
      <c r="V953" s="29"/>
      <c r="W953" s="29"/>
      <c r="X953" s="29"/>
      <c r="Y953" s="29"/>
      <c r="Z953" s="29"/>
      <c r="AA953" s="29"/>
      <c r="AB953" s="29"/>
      <c r="AC953" s="29"/>
      <c r="AD953" s="29"/>
      <c r="AE953" s="29"/>
      <c r="AF953" s="29"/>
      <c r="AG953" s="29"/>
    </row>
    <row r="954">
      <c r="A954" s="40" t="s">
        <v>145</v>
      </c>
      <c r="B954" s="240" t="s">
        <v>375</v>
      </c>
      <c r="C954" s="128"/>
      <c r="D954" s="85" t="s">
        <v>60</v>
      </c>
      <c r="E954" s="325" t="s">
        <v>1249</v>
      </c>
      <c r="F954" s="325" t="s">
        <v>1250</v>
      </c>
      <c r="G954" s="493">
        <v>46031.0</v>
      </c>
      <c r="H954" s="493">
        <v>46047.0</v>
      </c>
      <c r="I954" s="189">
        <f>IFERROR(__xludf.DUMMYFUNCTION("IF(ISBLANK(H954), TODAY()-TO_DATE(G954), TO_DATE(H954)-TO_DATE(G954))+1"),17.0)</f>
        <v>17</v>
      </c>
      <c r="J954" s="240" t="s">
        <v>197</v>
      </c>
      <c r="K954" s="40" t="s">
        <v>3465</v>
      </c>
      <c r="L954" s="40" t="s">
        <v>8822</v>
      </c>
      <c r="M954" s="240" t="s">
        <v>8623</v>
      </c>
      <c r="N954" s="29"/>
      <c r="O954" s="29"/>
      <c r="P954" s="29"/>
      <c r="Q954" s="29"/>
      <c r="R954" s="29"/>
      <c r="S954" s="29"/>
      <c r="T954" s="29"/>
      <c r="U954" s="29"/>
      <c r="V954" s="29"/>
      <c r="W954" s="29"/>
      <c r="X954" s="29"/>
      <c r="Y954" s="29"/>
      <c r="Z954" s="29"/>
      <c r="AA954" s="29"/>
      <c r="AB954" s="29"/>
      <c r="AC954" s="29"/>
      <c r="AD954" s="29"/>
      <c r="AE954" s="29"/>
      <c r="AF954" s="29"/>
      <c r="AG954" s="29"/>
    </row>
    <row r="955">
      <c r="A955" s="40" t="s">
        <v>145</v>
      </c>
      <c r="B955" s="240" t="s">
        <v>375</v>
      </c>
      <c r="C955" s="128"/>
      <c r="D955" s="85" t="s">
        <v>60</v>
      </c>
      <c r="E955" s="325" t="s">
        <v>8826</v>
      </c>
      <c r="F955" s="325" t="s">
        <v>8827</v>
      </c>
      <c r="G955" s="493">
        <v>46031.0</v>
      </c>
      <c r="H955" s="493">
        <v>46046.0</v>
      </c>
      <c r="I955" s="189">
        <f>IFERROR(__xludf.DUMMYFUNCTION("IF(ISBLANK(H955), TODAY()-TO_DATE(G955), TO_DATE(H955)-TO_DATE(G955))+1"),16.0)</f>
        <v>16</v>
      </c>
      <c r="J955" s="240" t="s">
        <v>197</v>
      </c>
      <c r="K955" s="40" t="s">
        <v>8830</v>
      </c>
      <c r="L955" s="72"/>
      <c r="M955" s="240" t="s">
        <v>8768</v>
      </c>
      <c r="N955" s="29"/>
      <c r="O955" s="29"/>
      <c r="P955" s="29"/>
      <c r="Q955" s="29"/>
      <c r="R955" s="29"/>
      <c r="S955" s="29"/>
      <c r="T955" s="29"/>
      <c r="U955" s="29"/>
      <c r="V955" s="29"/>
      <c r="W955" s="29"/>
      <c r="X955" s="29"/>
      <c r="Y955" s="29"/>
      <c r="Z955" s="29"/>
      <c r="AA955" s="29"/>
      <c r="AB955" s="29"/>
      <c r="AC955" s="29"/>
      <c r="AD955" s="29"/>
      <c r="AE955" s="29"/>
      <c r="AF955" s="29"/>
      <c r="AG955" s="29"/>
    </row>
    <row r="956">
      <c r="A956" s="40" t="s">
        <v>145</v>
      </c>
      <c r="B956" s="240" t="s">
        <v>375</v>
      </c>
      <c r="C956" s="128"/>
      <c r="D956" s="85" t="s">
        <v>60</v>
      </c>
      <c r="E956" s="241" t="s">
        <v>8832</v>
      </c>
      <c r="F956" s="240" t="s">
        <v>8833</v>
      </c>
      <c r="G956" s="493">
        <v>46033.0</v>
      </c>
      <c r="H956" s="493">
        <v>46033.0</v>
      </c>
      <c r="I956" s="189">
        <f>IFERROR(__xludf.DUMMYFUNCTION("IF(ISBLANK(H956), TODAY()-TO_DATE(G956), TO_DATE(H956)-TO_DATE(G956))+1"),1.0)</f>
        <v>1</v>
      </c>
      <c r="J956" s="240">
        <v>300.0</v>
      </c>
      <c r="K956" s="63"/>
      <c r="L956" s="507"/>
      <c r="M956" s="240" t="s">
        <v>8837</v>
      </c>
      <c r="N956" s="29"/>
      <c r="O956" s="29"/>
      <c r="P956" s="29"/>
      <c r="Q956" s="29"/>
      <c r="R956" s="29"/>
      <c r="S956" s="29"/>
      <c r="T956" s="29"/>
      <c r="U956" s="29"/>
      <c r="V956" s="29"/>
      <c r="W956" s="29"/>
      <c r="X956" s="29"/>
      <c r="Y956" s="29"/>
      <c r="Z956" s="29"/>
      <c r="AA956" s="29"/>
      <c r="AB956" s="29"/>
      <c r="AC956" s="29"/>
      <c r="AD956" s="29"/>
      <c r="AE956" s="29"/>
      <c r="AF956" s="29"/>
      <c r="AG956" s="29"/>
    </row>
    <row r="957">
      <c r="A957" s="609" t="s">
        <v>8842</v>
      </c>
      <c r="B957" s="609" t="s">
        <v>375</v>
      </c>
      <c r="C957" s="879" t="s">
        <v>1431</v>
      </c>
      <c r="D957" s="211" t="s">
        <v>60</v>
      </c>
      <c r="E957" s="880" t="s">
        <v>8846</v>
      </c>
      <c r="F957" s="609" t="s">
        <v>8848</v>
      </c>
      <c r="G957" s="866">
        <v>46034.0</v>
      </c>
      <c r="H957" s="866">
        <v>46055.0</v>
      </c>
      <c r="I957" s="867">
        <f>IFERROR(__xludf.DUMMYFUNCTION("IF(ISBLANK(H957), TODAY()-TO_DATE(G957), TO_DATE(H957)-TO_DATE(G957))+1"),22.0)</f>
        <v>22</v>
      </c>
      <c r="J957" s="609">
        <v>200.0</v>
      </c>
      <c r="K957" s="881"/>
      <c r="L957" s="883"/>
      <c r="M957" s="609" t="s">
        <v>8855</v>
      </c>
      <c r="N957" s="868"/>
      <c r="O957" s="868"/>
      <c r="P957" s="868"/>
      <c r="Q957" s="868"/>
      <c r="R957" s="868"/>
      <c r="S957" s="868"/>
      <c r="T957" s="868"/>
      <c r="U957" s="868"/>
      <c r="V957" s="868"/>
      <c r="W957" s="868"/>
      <c r="X957" s="868"/>
      <c r="Y957" s="868"/>
      <c r="Z957" s="868"/>
      <c r="AA957" s="868"/>
      <c r="AB957" s="868"/>
      <c r="AC957" s="868"/>
      <c r="AD957" s="868"/>
      <c r="AE957" s="868"/>
      <c r="AF957" s="868"/>
      <c r="AG957" s="868"/>
    </row>
    <row r="958">
      <c r="A958" s="40" t="s">
        <v>2451</v>
      </c>
      <c r="B958" s="240" t="s">
        <v>375</v>
      </c>
      <c r="C958" s="218" t="s">
        <v>321</v>
      </c>
      <c r="D958" s="85" t="s">
        <v>60</v>
      </c>
      <c r="E958" s="325" t="s">
        <v>8780</v>
      </c>
      <c r="F958" s="325" t="s">
        <v>8860</v>
      </c>
      <c r="G958" s="493">
        <v>46034.0</v>
      </c>
      <c r="H958" s="493">
        <v>46046.0</v>
      </c>
      <c r="I958" s="189">
        <f>IFERROR(__xludf.DUMMYFUNCTION("IF(ISBLANK(H958), TODAY()-TO_DATE(G958), TO_DATE(H958)-TO_DATE(G958))+1"),13.0)</f>
        <v>13</v>
      </c>
      <c r="J958" s="240" t="s">
        <v>197</v>
      </c>
      <c r="K958" s="40" t="s">
        <v>8783</v>
      </c>
      <c r="L958" s="507"/>
      <c r="M958" s="240" t="s">
        <v>8768</v>
      </c>
      <c r="N958" s="29"/>
      <c r="O958" s="29"/>
      <c r="P958" s="29"/>
      <c r="Q958" s="29"/>
      <c r="R958" s="29"/>
      <c r="S958" s="29"/>
      <c r="T958" s="29"/>
      <c r="U958" s="29"/>
      <c r="V958" s="29"/>
      <c r="W958" s="29"/>
      <c r="X958" s="29"/>
      <c r="Y958" s="29"/>
      <c r="Z958" s="29"/>
      <c r="AA958" s="29"/>
      <c r="AB958" s="29"/>
      <c r="AC958" s="29"/>
      <c r="AD958" s="29"/>
      <c r="AE958" s="29"/>
      <c r="AF958" s="29"/>
      <c r="AG958" s="29"/>
    </row>
    <row r="959">
      <c r="A959" s="40" t="s">
        <v>145</v>
      </c>
      <c r="B959" s="240" t="s">
        <v>375</v>
      </c>
      <c r="C959" s="128"/>
      <c r="D959" s="85" t="s">
        <v>60</v>
      </c>
      <c r="E959" s="325" t="s">
        <v>8865</v>
      </c>
      <c r="F959" s="325" t="s">
        <v>8867</v>
      </c>
      <c r="G959" s="493">
        <v>46034.0</v>
      </c>
      <c r="H959" s="493">
        <v>46043.0</v>
      </c>
      <c r="I959" s="189">
        <f>IFERROR(__xludf.DUMMYFUNCTION("IF(ISBLANK(H959), TODAY()-TO_DATE(G959), TO_DATE(H959)-TO_DATE(G959))+1"),10.0)</f>
        <v>10</v>
      </c>
      <c r="J959" s="240">
        <v>300.0</v>
      </c>
      <c r="K959" s="240" t="s">
        <v>8870</v>
      </c>
      <c r="L959" s="325" t="s">
        <v>8871</v>
      </c>
      <c r="M959" s="63"/>
      <c r="N959" s="29"/>
      <c r="O959" s="29"/>
      <c r="P959" s="29"/>
      <c r="Q959" s="29"/>
      <c r="R959" s="29"/>
      <c r="S959" s="29"/>
      <c r="T959" s="29"/>
      <c r="U959" s="29"/>
      <c r="V959" s="29"/>
      <c r="W959" s="29"/>
      <c r="X959" s="29"/>
      <c r="Y959" s="29"/>
      <c r="Z959" s="29"/>
      <c r="AA959" s="29"/>
      <c r="AB959" s="29"/>
      <c r="AC959" s="29"/>
      <c r="AD959" s="29"/>
      <c r="AE959" s="29"/>
      <c r="AF959" s="29"/>
      <c r="AG959" s="29"/>
    </row>
    <row r="960">
      <c r="A960" s="240" t="s">
        <v>8842</v>
      </c>
      <c r="B960" s="240" t="s">
        <v>375</v>
      </c>
      <c r="C960" s="171" t="s">
        <v>201</v>
      </c>
      <c r="D960" s="85" t="s">
        <v>60</v>
      </c>
      <c r="E960" s="688" t="s">
        <v>3438</v>
      </c>
      <c r="F960" s="240" t="s">
        <v>3439</v>
      </c>
      <c r="G960" s="493">
        <v>46035.0</v>
      </c>
      <c r="H960" s="493">
        <v>46035.0</v>
      </c>
      <c r="I960" s="189">
        <f>IFERROR(__xludf.DUMMYFUNCTION("IF(ISBLANK(H960), TODAY()-TO_DATE(G960), TO_DATE(H960)-TO_DATE(G960))+1"),1.0)</f>
        <v>1</v>
      </c>
      <c r="J960" s="240">
        <v>300.0</v>
      </c>
      <c r="K960" s="63"/>
      <c r="L960" s="507"/>
      <c r="M960" s="240" t="s">
        <v>8874</v>
      </c>
      <c r="N960" s="29"/>
      <c r="O960" s="29"/>
      <c r="P960" s="29"/>
      <c r="Q960" s="29"/>
      <c r="R960" s="29"/>
      <c r="S960" s="29"/>
      <c r="T960" s="29"/>
      <c r="U960" s="29"/>
      <c r="V960" s="29"/>
      <c r="W960" s="29"/>
      <c r="X960" s="29"/>
      <c r="Y960" s="29"/>
      <c r="Z960" s="29"/>
      <c r="AA960" s="29"/>
      <c r="AB960" s="29"/>
      <c r="AC960" s="29"/>
      <c r="AD960" s="29"/>
      <c r="AE960" s="29"/>
      <c r="AF960" s="29"/>
      <c r="AG960" s="29"/>
    </row>
    <row r="961">
      <c r="A961" s="633" t="s">
        <v>145</v>
      </c>
      <c r="B961" s="540" t="s">
        <v>375</v>
      </c>
      <c r="C961" s="820"/>
      <c r="D961" s="647" t="s">
        <v>326</v>
      </c>
      <c r="E961" s="599" t="s">
        <v>8878</v>
      </c>
      <c r="F961" s="599" t="s">
        <v>4532</v>
      </c>
      <c r="G961" s="545">
        <v>46036.0</v>
      </c>
      <c r="H961" s="545">
        <v>46056.0</v>
      </c>
      <c r="I961" s="665">
        <f>IFERROR(__xludf.DUMMYFUNCTION("IF(ISBLANK(H961), TODAY()-TO_DATE(G961), TO_DATE(H961)-TO_DATE(G961))+1"),21.0)</f>
        <v>21</v>
      </c>
      <c r="J961" s="540">
        <v>500.0</v>
      </c>
      <c r="K961" s="633" t="s">
        <v>8881</v>
      </c>
      <c r="L961" s="633" t="s">
        <v>8882</v>
      </c>
      <c r="M961" s="540" t="s">
        <v>8623</v>
      </c>
      <c r="N961" s="548"/>
      <c r="O961" s="548"/>
      <c r="P961" s="548"/>
      <c r="Q961" s="548"/>
      <c r="R961" s="548"/>
      <c r="S961" s="548"/>
      <c r="T961" s="548"/>
      <c r="U961" s="548"/>
      <c r="V961" s="548"/>
      <c r="W961" s="548"/>
      <c r="X961" s="548"/>
      <c r="Y961" s="548"/>
      <c r="Z961" s="548"/>
      <c r="AA961" s="548"/>
      <c r="AB961" s="548"/>
      <c r="AC961" s="548"/>
      <c r="AD961" s="548"/>
      <c r="AE961" s="548"/>
      <c r="AF961" s="548"/>
      <c r="AG961" s="548"/>
    </row>
    <row r="962">
      <c r="A962" s="40" t="s">
        <v>145</v>
      </c>
      <c r="B962" s="240" t="s">
        <v>375</v>
      </c>
      <c r="C962" s="128"/>
      <c r="D962" s="85" t="s">
        <v>60</v>
      </c>
      <c r="E962" s="599" t="s">
        <v>8885</v>
      </c>
      <c r="F962" s="325" t="s">
        <v>1563</v>
      </c>
      <c r="G962" s="493">
        <v>46036.0</v>
      </c>
      <c r="H962" s="493">
        <v>46106.0</v>
      </c>
      <c r="I962" s="189">
        <f>IFERROR(__xludf.DUMMYFUNCTION("IF(ISBLANK(H962), TODAY()-TO_DATE(G962), TO_DATE(H962)-TO_DATE(G962))+1"),71.0)</f>
        <v>71</v>
      </c>
      <c r="J962" s="240">
        <v>500.0</v>
      </c>
      <c r="K962" s="40" t="s">
        <v>8887</v>
      </c>
      <c r="L962" s="790"/>
      <c r="M962" s="63"/>
      <c r="N962" s="29"/>
      <c r="O962" s="29"/>
      <c r="P962" s="29"/>
      <c r="Q962" s="29"/>
      <c r="R962" s="29"/>
      <c r="S962" s="29"/>
      <c r="T962" s="29"/>
      <c r="U962" s="29"/>
      <c r="V962" s="29"/>
      <c r="W962" s="29"/>
      <c r="X962" s="29"/>
      <c r="Y962" s="29"/>
      <c r="Z962" s="29"/>
      <c r="AA962" s="29"/>
      <c r="AB962" s="29"/>
      <c r="AC962" s="29"/>
      <c r="AD962" s="29"/>
      <c r="AE962" s="29"/>
      <c r="AF962" s="29"/>
      <c r="AG962" s="29"/>
    </row>
    <row r="963">
      <c r="A963" s="633" t="s">
        <v>8889</v>
      </c>
      <c r="B963" s="540" t="s">
        <v>375</v>
      </c>
      <c r="C963" s="322" t="s">
        <v>201</v>
      </c>
      <c r="D963" s="647" t="s">
        <v>60</v>
      </c>
      <c r="E963" s="599" t="s">
        <v>7211</v>
      </c>
      <c r="F963" s="599" t="s">
        <v>7212</v>
      </c>
      <c r="G963" s="545">
        <v>46036.0</v>
      </c>
      <c r="H963" s="545">
        <v>46056.0</v>
      </c>
      <c r="I963" s="665">
        <f>IFERROR(__xludf.DUMMYFUNCTION("IF(ISBLANK(H963), TODAY()-TO_DATE(G963), TO_DATE(H963)-TO_DATE(G963))+1"),21.0)</f>
        <v>21</v>
      </c>
      <c r="J963" s="540">
        <v>500.0</v>
      </c>
      <c r="K963" s="540" t="s">
        <v>8894</v>
      </c>
      <c r="L963" s="599" t="s">
        <v>8895</v>
      </c>
      <c r="M963" s="540" t="s">
        <v>8623</v>
      </c>
      <c r="N963" s="548"/>
      <c r="O963" s="548"/>
      <c r="P963" s="548"/>
      <c r="Q963" s="548"/>
      <c r="R963" s="548"/>
      <c r="S963" s="548"/>
      <c r="T963" s="548"/>
      <c r="U963" s="548"/>
      <c r="V963" s="548"/>
      <c r="W963" s="548"/>
      <c r="X963" s="548"/>
      <c r="Y963" s="548"/>
      <c r="Z963" s="548"/>
      <c r="AA963" s="548"/>
      <c r="AB963" s="548"/>
      <c r="AC963" s="548"/>
      <c r="AD963" s="548"/>
      <c r="AE963" s="548"/>
      <c r="AF963" s="548"/>
      <c r="AG963" s="548"/>
    </row>
    <row r="964">
      <c r="A964" s="633" t="s">
        <v>1448</v>
      </c>
      <c r="B964" s="540" t="s">
        <v>375</v>
      </c>
      <c r="C964" s="322" t="s">
        <v>201</v>
      </c>
      <c r="D964" s="647" t="s">
        <v>60</v>
      </c>
      <c r="E964" s="599" t="s">
        <v>7166</v>
      </c>
      <c r="F964" s="599" t="s">
        <v>7167</v>
      </c>
      <c r="G964" s="545">
        <v>46036.0</v>
      </c>
      <c r="H964" s="545">
        <v>46060.0</v>
      </c>
      <c r="I964" s="665">
        <f>IFERROR(__xludf.DUMMYFUNCTION("IF(ISBLANK(H964), TODAY()-TO_DATE(G964), TO_DATE(H964)-TO_DATE(G964))+1"),25.0)</f>
        <v>25</v>
      </c>
      <c r="J964" s="540">
        <v>500.0</v>
      </c>
      <c r="K964" s="540" t="s">
        <v>8903</v>
      </c>
      <c r="L964" s="828"/>
      <c r="M964" s="547"/>
      <c r="N964" s="548"/>
      <c r="O964" s="548"/>
      <c r="P964" s="548"/>
      <c r="Q964" s="548"/>
      <c r="R964" s="548"/>
      <c r="S964" s="548"/>
      <c r="T964" s="548"/>
      <c r="U964" s="548"/>
      <c r="V964" s="548"/>
      <c r="W964" s="548"/>
      <c r="X964" s="548"/>
      <c r="Y964" s="548"/>
      <c r="Z964" s="548"/>
      <c r="AA964" s="548"/>
      <c r="AB964" s="548"/>
      <c r="AC964" s="548"/>
      <c r="AD964" s="548"/>
      <c r="AE964" s="548"/>
      <c r="AF964" s="548"/>
      <c r="AG964" s="548"/>
    </row>
    <row r="965">
      <c r="A965" s="40" t="s">
        <v>1032</v>
      </c>
      <c r="B965" s="240" t="s">
        <v>375</v>
      </c>
      <c r="C965" s="179" t="s">
        <v>201</v>
      </c>
      <c r="D965" s="85" t="s">
        <v>60</v>
      </c>
      <c r="E965" s="325" t="s">
        <v>1356</v>
      </c>
      <c r="F965" s="325" t="s">
        <v>1358</v>
      </c>
      <c r="G965" s="493">
        <v>46036.0</v>
      </c>
      <c r="H965" s="493">
        <v>46046.0</v>
      </c>
      <c r="I965" s="189">
        <f>IFERROR(__xludf.DUMMYFUNCTION("IF(ISBLANK(H965), TODAY()-TO_DATE(G965), TO_DATE(H965)-TO_DATE(G965))+1"),11.0)</f>
        <v>11</v>
      </c>
      <c r="J965" s="240" t="s">
        <v>197</v>
      </c>
      <c r="K965" s="240" t="s">
        <v>8907</v>
      </c>
      <c r="L965" s="325" t="s">
        <v>8908</v>
      </c>
      <c r="M965" s="240" t="s">
        <v>8749</v>
      </c>
      <c r="N965" s="29"/>
      <c r="O965" s="29"/>
      <c r="P965" s="29"/>
      <c r="Q965" s="29"/>
      <c r="R965" s="29"/>
      <c r="S965" s="29"/>
      <c r="T965" s="29"/>
      <c r="U965" s="29"/>
      <c r="V965" s="29"/>
      <c r="W965" s="29"/>
      <c r="X965" s="29"/>
      <c r="Y965" s="29"/>
      <c r="Z965" s="29"/>
      <c r="AA965" s="29"/>
      <c r="AB965" s="29"/>
      <c r="AC965" s="29"/>
      <c r="AD965" s="29"/>
      <c r="AE965" s="29"/>
      <c r="AF965" s="29"/>
      <c r="AG965" s="29"/>
    </row>
    <row r="966">
      <c r="A966" s="633" t="s">
        <v>2451</v>
      </c>
      <c r="B966" s="540" t="s">
        <v>375</v>
      </c>
      <c r="C966" s="322" t="s">
        <v>201</v>
      </c>
      <c r="D966" s="647" t="s">
        <v>60</v>
      </c>
      <c r="E966" s="599" t="s">
        <v>8912</v>
      </c>
      <c r="F966" s="599" t="s">
        <v>8913</v>
      </c>
      <c r="G966" s="545">
        <v>46036.0</v>
      </c>
      <c r="H966" s="545">
        <v>46055.0</v>
      </c>
      <c r="I966" s="665">
        <f>IFERROR(__xludf.DUMMYFUNCTION("IF(ISBLANK(H966), TODAY()-TO_DATE(G966), TO_DATE(H966)-TO_DATE(G966))+1"),20.0)</f>
        <v>20</v>
      </c>
      <c r="J966" s="540">
        <v>500.0</v>
      </c>
      <c r="K966" s="540" t="s">
        <v>8914</v>
      </c>
      <c r="L966" s="828"/>
      <c r="M966" s="547"/>
      <c r="N966" s="548"/>
      <c r="O966" s="548"/>
      <c r="P966" s="548"/>
      <c r="Q966" s="548"/>
      <c r="R966" s="548"/>
      <c r="S966" s="548"/>
      <c r="T966" s="548"/>
      <c r="U966" s="548"/>
      <c r="V966" s="548"/>
      <c r="W966" s="548"/>
      <c r="X966" s="548"/>
      <c r="Y966" s="548"/>
      <c r="Z966" s="548"/>
      <c r="AA966" s="548"/>
      <c r="AB966" s="548"/>
      <c r="AC966" s="548"/>
      <c r="AD966" s="548"/>
      <c r="AE966" s="548"/>
      <c r="AF966" s="548"/>
      <c r="AG966" s="548"/>
    </row>
    <row r="967">
      <c r="A967" s="40" t="s">
        <v>1448</v>
      </c>
      <c r="B967" s="240" t="s">
        <v>375</v>
      </c>
      <c r="C967" s="179" t="s">
        <v>287</v>
      </c>
      <c r="D967" s="85" t="s">
        <v>60</v>
      </c>
      <c r="E967" s="325" t="s">
        <v>1109</v>
      </c>
      <c r="F967" s="325" t="s">
        <v>1111</v>
      </c>
      <c r="G967" s="493">
        <v>46037.0</v>
      </c>
      <c r="H967" s="493">
        <v>46124.0</v>
      </c>
      <c r="I967" s="189">
        <f>IFERROR(__xludf.DUMMYFUNCTION("IF(ISBLANK(H967), TODAY()-TO_DATE(G967), TO_DATE(H967)-TO_DATE(G967))+1"),88.0)</f>
        <v>88</v>
      </c>
      <c r="J967" s="240" t="s">
        <v>197</v>
      </c>
      <c r="K967" s="40" t="s">
        <v>8918</v>
      </c>
      <c r="L967" s="40" t="s">
        <v>8920</v>
      </c>
      <c r="M967" s="240" t="s">
        <v>8623</v>
      </c>
      <c r="N967" s="29"/>
      <c r="O967" s="29"/>
      <c r="P967" s="29"/>
      <c r="Q967" s="29"/>
      <c r="R967" s="29"/>
      <c r="S967" s="29"/>
      <c r="T967" s="29"/>
      <c r="U967" s="29"/>
      <c r="V967" s="29"/>
      <c r="W967" s="29"/>
      <c r="X967" s="29"/>
      <c r="Y967" s="29"/>
      <c r="Z967" s="29"/>
      <c r="AA967" s="29"/>
      <c r="AB967" s="29"/>
      <c r="AC967" s="29"/>
      <c r="AD967" s="29"/>
      <c r="AE967" s="29"/>
      <c r="AF967" s="29"/>
      <c r="AG967" s="29"/>
    </row>
    <row r="968">
      <c r="A968" s="40" t="s">
        <v>1032</v>
      </c>
      <c r="B968" s="240" t="s">
        <v>375</v>
      </c>
      <c r="C968" s="179" t="s">
        <v>201</v>
      </c>
      <c r="D968" s="85" t="s">
        <v>60</v>
      </c>
      <c r="E968" s="325" t="s">
        <v>3647</v>
      </c>
      <c r="F968" s="325" t="s">
        <v>8923</v>
      </c>
      <c r="G968" s="493">
        <v>46037.0</v>
      </c>
      <c r="H968" s="493">
        <v>46121.0</v>
      </c>
      <c r="I968" s="189">
        <f>IFERROR(__xludf.DUMMYFUNCTION("IF(ISBLANK(H968), TODAY()-TO_DATE(G968), TO_DATE(H968)-TO_DATE(G968))+1"),85.0)</f>
        <v>85</v>
      </c>
      <c r="J968" s="240" t="s">
        <v>8926</v>
      </c>
      <c r="K968" s="40" t="s">
        <v>8927</v>
      </c>
      <c r="L968" s="790"/>
      <c r="M968" s="63"/>
      <c r="N968" s="29"/>
      <c r="O968" s="29"/>
      <c r="P968" s="29"/>
      <c r="Q968" s="29"/>
      <c r="R968" s="29"/>
      <c r="S968" s="29"/>
      <c r="T968" s="29"/>
      <c r="U968" s="29"/>
      <c r="V968" s="29"/>
      <c r="W968" s="29"/>
      <c r="X968" s="29"/>
      <c r="Y968" s="29"/>
      <c r="Z968" s="29"/>
      <c r="AA968" s="29"/>
      <c r="AB968" s="29"/>
      <c r="AC968" s="29"/>
      <c r="AD968" s="29"/>
      <c r="AE968" s="29"/>
      <c r="AF968" s="29"/>
      <c r="AG968" s="29"/>
    </row>
    <row r="969">
      <c r="A969" s="633" t="s">
        <v>1473</v>
      </c>
      <c r="B969" s="540" t="s">
        <v>375</v>
      </c>
      <c r="C969" s="322" t="s">
        <v>331</v>
      </c>
      <c r="D969" s="647" t="s">
        <v>60</v>
      </c>
      <c r="E969" s="599" t="s">
        <v>8931</v>
      </c>
      <c r="F969" s="599" t="s">
        <v>8932</v>
      </c>
      <c r="G969" s="545">
        <v>46037.0</v>
      </c>
      <c r="H969" s="545">
        <v>46057.0</v>
      </c>
      <c r="I969" s="665">
        <f>IFERROR(__xludf.DUMMYFUNCTION("IF(ISBLANK(H969), TODAY()-TO_DATE(G969), TO_DATE(H969)-TO_DATE(G969))+1"),21.0)</f>
        <v>21</v>
      </c>
      <c r="J969" s="540">
        <v>500.0</v>
      </c>
      <c r="K969" s="540" t="s">
        <v>8934</v>
      </c>
      <c r="L969" s="599" t="s">
        <v>8936</v>
      </c>
      <c r="M969" s="540" t="s">
        <v>8623</v>
      </c>
      <c r="N969" s="548"/>
      <c r="O969" s="548"/>
      <c r="P969" s="548"/>
      <c r="Q969" s="548"/>
      <c r="R969" s="548"/>
      <c r="S969" s="548"/>
      <c r="T969" s="548"/>
      <c r="U969" s="548"/>
      <c r="V969" s="548"/>
      <c r="W969" s="548"/>
      <c r="X969" s="548"/>
      <c r="Y969" s="548"/>
      <c r="Z969" s="548"/>
      <c r="AA969" s="548"/>
      <c r="AB969" s="548"/>
      <c r="AC969" s="548"/>
      <c r="AD969" s="548"/>
      <c r="AE969" s="548"/>
      <c r="AF969" s="548"/>
      <c r="AG969" s="548"/>
    </row>
    <row r="970">
      <c r="A970" s="633" t="s">
        <v>2876</v>
      </c>
      <c r="B970" s="540" t="s">
        <v>375</v>
      </c>
      <c r="C970" s="316" t="s">
        <v>201</v>
      </c>
      <c r="D970" s="647" t="s">
        <v>60</v>
      </c>
      <c r="E970" s="599" t="s">
        <v>7307</v>
      </c>
      <c r="F970" s="599" t="s">
        <v>7309</v>
      </c>
      <c r="G970" s="545">
        <v>46037.0</v>
      </c>
      <c r="H970" s="545">
        <v>46057.0</v>
      </c>
      <c r="I970" s="665">
        <f>IFERROR(__xludf.DUMMYFUNCTION("IF(ISBLANK(H970), TODAY()-TO_DATE(G970), TO_DATE(H970)-TO_DATE(G970))+1"),21.0)</f>
        <v>21</v>
      </c>
      <c r="J970" s="540">
        <v>500.0</v>
      </c>
      <c r="K970" s="540" t="s">
        <v>8951</v>
      </c>
      <c r="L970" s="828"/>
      <c r="M970" s="547"/>
      <c r="N970" s="548"/>
      <c r="O970" s="548"/>
      <c r="P970" s="548"/>
      <c r="Q970" s="548"/>
      <c r="R970" s="548"/>
      <c r="S970" s="548"/>
      <c r="T970" s="548"/>
      <c r="U970" s="548"/>
      <c r="V970" s="548"/>
      <c r="W970" s="548"/>
      <c r="X970" s="548"/>
      <c r="Y970" s="548"/>
      <c r="Z970" s="548"/>
      <c r="AA970" s="548"/>
      <c r="AB970" s="548"/>
      <c r="AC970" s="548"/>
      <c r="AD970" s="548"/>
      <c r="AE970" s="548"/>
      <c r="AF970" s="548"/>
      <c r="AG970" s="548"/>
    </row>
    <row r="971">
      <c r="A971" s="40" t="s">
        <v>2451</v>
      </c>
      <c r="B971" s="240" t="s">
        <v>375</v>
      </c>
      <c r="C971" s="454" t="s">
        <v>331</v>
      </c>
      <c r="D971" s="85" t="s">
        <v>60</v>
      </c>
      <c r="E971" s="325" t="s">
        <v>8267</v>
      </c>
      <c r="F971" s="325" t="s">
        <v>8268</v>
      </c>
      <c r="G971" s="493">
        <v>46038.0</v>
      </c>
      <c r="H971" s="638">
        <v>46049.0</v>
      </c>
      <c r="I971" s="189">
        <f>IFERROR(__xludf.DUMMYFUNCTION("IF(ISBLANK(H971), TODAY()-TO_DATE(G971), TO_DATE(H971)-TO_DATE(G971))+1"),12.0)</f>
        <v>12</v>
      </c>
      <c r="J971" s="240" t="s">
        <v>197</v>
      </c>
      <c r="K971" s="794" t="s">
        <v>8958</v>
      </c>
      <c r="L971" s="72"/>
      <c r="M971" s="63"/>
      <c r="N971" s="29"/>
      <c r="O971" s="29"/>
      <c r="P971" s="29"/>
      <c r="Q971" s="29"/>
      <c r="R971" s="29"/>
      <c r="S971" s="29"/>
      <c r="T971" s="29"/>
      <c r="U971" s="29"/>
      <c r="V971" s="29"/>
      <c r="W971" s="29"/>
      <c r="X971" s="29"/>
      <c r="Y971" s="29"/>
      <c r="Z971" s="29"/>
      <c r="AA971" s="29"/>
      <c r="AB971" s="29"/>
      <c r="AC971" s="29"/>
      <c r="AD971" s="29"/>
      <c r="AE971" s="29"/>
      <c r="AF971" s="29"/>
      <c r="AG971" s="29"/>
    </row>
    <row r="972">
      <c r="A972" s="40" t="s">
        <v>2451</v>
      </c>
      <c r="B972" s="240" t="s">
        <v>375</v>
      </c>
      <c r="C972" s="218" t="s">
        <v>213</v>
      </c>
      <c r="D972" s="85" t="s">
        <v>60</v>
      </c>
      <c r="E972" s="325" t="s">
        <v>6341</v>
      </c>
      <c r="F972" s="325" t="s">
        <v>6344</v>
      </c>
      <c r="G972" s="493">
        <v>46038.0</v>
      </c>
      <c r="H972" s="493">
        <v>46040.0</v>
      </c>
      <c r="I972" s="189">
        <f>IFERROR(__xludf.DUMMYFUNCTION("IF(ISBLANK(H972), TODAY()-TO_DATE(G972), TO_DATE(H972)-TO_DATE(G972))+1"),3.0)</f>
        <v>3</v>
      </c>
      <c r="J972" s="240">
        <v>300.0</v>
      </c>
      <c r="K972" s="40" t="s">
        <v>8964</v>
      </c>
      <c r="L972" s="790"/>
      <c r="M972" s="63"/>
      <c r="N972" s="29"/>
      <c r="O972" s="29"/>
      <c r="P972" s="29"/>
      <c r="Q972" s="29"/>
      <c r="R972" s="29"/>
      <c r="S972" s="29"/>
      <c r="T972" s="29"/>
      <c r="U972" s="29"/>
      <c r="V972" s="29"/>
      <c r="W972" s="29"/>
      <c r="X972" s="29"/>
      <c r="Y972" s="29"/>
      <c r="Z972" s="29"/>
      <c r="AA972" s="29"/>
      <c r="AB972" s="29"/>
      <c r="AC972" s="29"/>
      <c r="AD972" s="29"/>
      <c r="AE972" s="29"/>
      <c r="AF972" s="29"/>
      <c r="AG972" s="29"/>
    </row>
    <row r="973">
      <c r="A973" s="40" t="s">
        <v>150</v>
      </c>
      <c r="B973" s="240" t="s">
        <v>375</v>
      </c>
      <c r="C973" s="218" t="s">
        <v>213</v>
      </c>
      <c r="D973" s="85" t="s">
        <v>60</v>
      </c>
      <c r="E973" s="325" t="s">
        <v>1242</v>
      </c>
      <c r="F973" s="325" t="s">
        <v>1244</v>
      </c>
      <c r="G973" s="493">
        <v>46038.0</v>
      </c>
      <c r="H973" s="493">
        <v>46047.0</v>
      </c>
      <c r="I973" s="189">
        <f>IFERROR(__xludf.DUMMYFUNCTION("IF(ISBLANK(H973), TODAY()-TO_DATE(G973), TO_DATE(H973)-TO_DATE(G973))+1"),10.0)</f>
        <v>10</v>
      </c>
      <c r="J973" s="240" t="s">
        <v>197</v>
      </c>
      <c r="K973" s="240" t="s">
        <v>633</v>
      </c>
      <c r="L973" s="790"/>
      <c r="M973" s="63"/>
      <c r="N973" s="29"/>
      <c r="O973" s="29"/>
      <c r="P973" s="29"/>
      <c r="Q973" s="29"/>
      <c r="R973" s="29"/>
      <c r="S973" s="29"/>
      <c r="T973" s="29"/>
      <c r="U973" s="29"/>
      <c r="V973" s="29"/>
      <c r="W973" s="29"/>
      <c r="X973" s="29"/>
      <c r="Y973" s="29"/>
      <c r="Z973" s="29"/>
      <c r="AA973" s="29"/>
      <c r="AB973" s="29"/>
      <c r="AC973" s="29"/>
      <c r="AD973" s="29"/>
      <c r="AE973" s="29"/>
      <c r="AF973" s="29"/>
      <c r="AG973" s="29"/>
    </row>
    <row r="974">
      <c r="A974" s="40" t="s">
        <v>145</v>
      </c>
      <c r="B974" s="240" t="s">
        <v>375</v>
      </c>
      <c r="C974" s="128"/>
      <c r="D974" s="85" t="s">
        <v>102</v>
      </c>
      <c r="E974" s="325" t="s">
        <v>277</v>
      </c>
      <c r="F974" s="325" t="s">
        <v>279</v>
      </c>
      <c r="G974" s="493">
        <v>46038.0</v>
      </c>
      <c r="H974" s="493">
        <v>46047.0</v>
      </c>
      <c r="I974" s="189">
        <f>IFERROR(__xludf.DUMMYFUNCTION("IF(ISBLANK(H974), TODAY()-TO_DATE(G974), TO_DATE(H974)-TO_DATE(G974))+1"),10.0)</f>
        <v>10</v>
      </c>
      <c r="J974" s="240" t="s">
        <v>197</v>
      </c>
      <c r="K974" s="240" t="s">
        <v>8968</v>
      </c>
      <c r="L974" s="325" t="s">
        <v>7227</v>
      </c>
      <c r="M974" s="240" t="s">
        <v>8623</v>
      </c>
      <c r="N974" s="29"/>
      <c r="O974" s="29"/>
      <c r="P974" s="29"/>
      <c r="Q974" s="29"/>
      <c r="R974" s="29"/>
      <c r="S974" s="29"/>
      <c r="T974" s="29"/>
      <c r="U974" s="29"/>
      <c r="V974" s="29"/>
      <c r="W974" s="29"/>
      <c r="X974" s="29"/>
      <c r="Y974" s="29"/>
      <c r="Z974" s="29"/>
      <c r="AA974" s="29"/>
      <c r="AB974" s="29"/>
      <c r="AC974" s="29"/>
      <c r="AD974" s="29"/>
      <c r="AE974" s="29"/>
      <c r="AF974" s="29"/>
      <c r="AG974" s="29"/>
    </row>
    <row r="975">
      <c r="A975" s="40" t="s">
        <v>150</v>
      </c>
      <c r="B975" s="240" t="s">
        <v>375</v>
      </c>
      <c r="C975" s="454" t="s">
        <v>331</v>
      </c>
      <c r="D975" s="85" t="s">
        <v>60</v>
      </c>
      <c r="E975" s="325" t="s">
        <v>6466</v>
      </c>
      <c r="F975" s="325" t="s">
        <v>6467</v>
      </c>
      <c r="G975" s="493">
        <v>46043.0</v>
      </c>
      <c r="H975" s="493">
        <v>46046.0</v>
      </c>
      <c r="I975" s="189">
        <f>IFERROR(__xludf.DUMMYFUNCTION("IF(ISBLANK(H975), TODAY()-TO_DATE(G975), TO_DATE(H975)-TO_DATE(G975))+1"),4.0)</f>
        <v>4</v>
      </c>
      <c r="J975" s="240" t="s">
        <v>197</v>
      </c>
      <c r="K975" s="40" t="s">
        <v>8976</v>
      </c>
      <c r="L975" s="40" t="s">
        <v>8977</v>
      </c>
      <c r="M975" s="240" t="s">
        <v>8978</v>
      </c>
      <c r="N975" s="29"/>
      <c r="O975" s="29"/>
      <c r="P975" s="29"/>
      <c r="Q975" s="29"/>
      <c r="R975" s="29"/>
      <c r="S975" s="29"/>
      <c r="T975" s="29"/>
      <c r="U975" s="29"/>
      <c r="V975" s="29"/>
      <c r="W975" s="29"/>
      <c r="X975" s="29"/>
      <c r="Y975" s="29"/>
      <c r="Z975" s="29"/>
      <c r="AA975" s="29"/>
      <c r="AB975" s="29"/>
      <c r="AC975" s="29"/>
      <c r="AD975" s="29"/>
      <c r="AE975" s="29"/>
      <c r="AF975" s="29"/>
      <c r="AG975" s="29"/>
    </row>
    <row r="976">
      <c r="A976" s="40" t="s">
        <v>1473</v>
      </c>
      <c r="B976" s="240" t="s">
        <v>375</v>
      </c>
      <c r="C976" s="454" t="s">
        <v>331</v>
      </c>
      <c r="D976" s="85" t="s">
        <v>60</v>
      </c>
      <c r="E976" s="325" t="s">
        <v>8979</v>
      </c>
      <c r="F976" s="325" t="s">
        <v>8980</v>
      </c>
      <c r="G976" s="493">
        <v>46043.0</v>
      </c>
      <c r="H976" s="493">
        <v>46067.0</v>
      </c>
      <c r="I976" s="189">
        <f>IFERROR(__xludf.DUMMYFUNCTION("IF(ISBLANK(H976), TODAY()-TO_DATE(G976), TO_DATE(H976)-TO_DATE(G976))+1"),25.0)</f>
        <v>25</v>
      </c>
      <c r="J976" s="240">
        <v>500.0</v>
      </c>
      <c r="K976" s="40" t="s">
        <v>8984</v>
      </c>
      <c r="L976" s="790"/>
      <c r="M976" s="63"/>
      <c r="N976" s="29"/>
      <c r="O976" s="29"/>
      <c r="P976" s="29"/>
      <c r="Q976" s="29"/>
      <c r="R976" s="29"/>
      <c r="S976" s="29"/>
      <c r="T976" s="29"/>
      <c r="U976" s="29"/>
      <c r="V976" s="29"/>
      <c r="W976" s="29"/>
      <c r="X976" s="29"/>
      <c r="Y976" s="29"/>
      <c r="Z976" s="29"/>
      <c r="AA976" s="29"/>
      <c r="AB976" s="29"/>
      <c r="AC976" s="29"/>
      <c r="AD976" s="29"/>
      <c r="AE976" s="29"/>
      <c r="AF976" s="29"/>
      <c r="AG976" s="29"/>
    </row>
    <row r="977">
      <c r="A977" s="40" t="s">
        <v>150</v>
      </c>
      <c r="B977" s="240" t="s">
        <v>375</v>
      </c>
      <c r="C977" s="693" t="s">
        <v>302</v>
      </c>
      <c r="D977" s="85" t="s">
        <v>60</v>
      </c>
      <c r="E977" s="325" t="s">
        <v>1797</v>
      </c>
      <c r="F977" s="325" t="s">
        <v>1275</v>
      </c>
      <c r="G977" s="493">
        <v>46043.0</v>
      </c>
      <c r="H977" s="493">
        <v>46046.0</v>
      </c>
      <c r="I977" s="189">
        <f>IFERROR(__xludf.DUMMYFUNCTION("IF(ISBLANK(H977), TODAY()-TO_DATE(G977), TO_DATE(H977)-TO_DATE(G977))+1"),4.0)</f>
        <v>4</v>
      </c>
      <c r="J977" s="240" t="s">
        <v>197</v>
      </c>
      <c r="K977" s="240" t="s">
        <v>8993</v>
      </c>
      <c r="L977" s="790"/>
      <c r="M977" s="240" t="s">
        <v>6985</v>
      </c>
      <c r="N977" s="29"/>
      <c r="O977" s="29"/>
      <c r="P977" s="29"/>
      <c r="Q977" s="29"/>
      <c r="R977" s="29"/>
      <c r="S977" s="29"/>
      <c r="T977" s="29"/>
      <c r="U977" s="29"/>
      <c r="V977" s="29"/>
      <c r="W977" s="29"/>
      <c r="X977" s="29"/>
      <c r="Y977" s="29"/>
      <c r="Z977" s="29"/>
      <c r="AA977" s="29"/>
      <c r="AB977" s="29"/>
      <c r="AC977" s="29"/>
      <c r="AD977" s="29"/>
      <c r="AE977" s="29"/>
      <c r="AF977" s="29"/>
      <c r="AG977" s="29"/>
    </row>
    <row r="978">
      <c r="A978" s="40" t="s">
        <v>1473</v>
      </c>
      <c r="B978" s="240" t="s">
        <v>375</v>
      </c>
      <c r="C978" s="179" t="s">
        <v>331</v>
      </c>
      <c r="D978" s="85" t="s">
        <v>60</v>
      </c>
      <c r="E978" s="325" t="s">
        <v>8995</v>
      </c>
      <c r="F978" s="325" t="s">
        <v>922</v>
      </c>
      <c r="G978" s="493">
        <v>46043.0</v>
      </c>
      <c r="H978" s="493">
        <v>46092.0</v>
      </c>
      <c r="I978" s="189">
        <f>IFERROR(__xludf.DUMMYFUNCTION("IF(ISBLANK(H978), TODAY()-TO_DATE(G978), TO_DATE(H978)-TO_DATE(G978))+1"),50.0)</f>
        <v>50</v>
      </c>
      <c r="J978" s="240">
        <v>500.0</v>
      </c>
      <c r="K978" s="240" t="s">
        <v>8996</v>
      </c>
      <c r="L978" s="790"/>
      <c r="M978" s="63"/>
      <c r="N978" s="29"/>
      <c r="O978" s="29"/>
      <c r="P978" s="29"/>
      <c r="Q978" s="29"/>
      <c r="R978" s="29"/>
      <c r="S978" s="29"/>
      <c r="T978" s="29"/>
      <c r="U978" s="29"/>
      <c r="V978" s="29"/>
      <c r="W978" s="29"/>
      <c r="X978" s="29"/>
      <c r="Y978" s="29"/>
      <c r="Z978" s="29"/>
      <c r="AA978" s="29"/>
      <c r="AB978" s="29"/>
      <c r="AC978" s="29"/>
      <c r="AD978" s="29"/>
      <c r="AE978" s="29"/>
      <c r="AF978" s="29"/>
      <c r="AG978" s="29"/>
    </row>
    <row r="979">
      <c r="A979" s="40" t="s">
        <v>8997</v>
      </c>
      <c r="B979" s="240" t="s">
        <v>375</v>
      </c>
      <c r="C979" s="71" t="s">
        <v>201</v>
      </c>
      <c r="D979" s="85" t="s">
        <v>60</v>
      </c>
      <c r="E979" s="599" t="s">
        <v>8999</v>
      </c>
      <c r="F979" s="325" t="s">
        <v>9000</v>
      </c>
      <c r="G979" s="493">
        <v>46043.0</v>
      </c>
      <c r="H979" s="493">
        <v>46102.0</v>
      </c>
      <c r="I979" s="189">
        <f>IFERROR(__xludf.DUMMYFUNCTION("IF(ISBLANK(H979), TODAY()-TO_DATE(G979), TO_DATE(H979)-TO_DATE(G979))+1"),60.0)</f>
        <v>60</v>
      </c>
      <c r="J979" s="240">
        <v>500.0</v>
      </c>
      <c r="K979" s="240" t="s">
        <v>9003</v>
      </c>
      <c r="L979" s="325" t="s">
        <v>9004</v>
      </c>
      <c r="M979" s="63"/>
      <c r="N979" s="29"/>
      <c r="O979" s="29"/>
      <c r="P979" s="29"/>
      <c r="Q979" s="29"/>
      <c r="R979" s="29"/>
      <c r="S979" s="29"/>
      <c r="T979" s="29"/>
      <c r="U979" s="29"/>
      <c r="V979" s="29"/>
      <c r="W979" s="29"/>
      <c r="X979" s="29"/>
      <c r="Y979" s="29"/>
      <c r="Z979" s="29"/>
      <c r="AA979" s="29"/>
      <c r="AB979" s="29"/>
      <c r="AC979" s="29"/>
      <c r="AD979" s="29"/>
      <c r="AE979" s="29"/>
      <c r="AF979" s="29"/>
      <c r="AG979" s="29"/>
    </row>
    <row r="980">
      <c r="A980" s="40" t="s">
        <v>1448</v>
      </c>
      <c r="B980" s="240" t="s">
        <v>375</v>
      </c>
      <c r="C980" s="179" t="s">
        <v>287</v>
      </c>
      <c r="D980" s="85" t="s">
        <v>60</v>
      </c>
      <c r="E980" s="325" t="s">
        <v>9007</v>
      </c>
      <c r="F980" s="325" t="s">
        <v>308</v>
      </c>
      <c r="G980" s="493">
        <v>46043.0</v>
      </c>
      <c r="H980" s="493">
        <v>46067.0</v>
      </c>
      <c r="I980" s="189">
        <f>IFERROR(__xludf.DUMMYFUNCTION("IF(ISBLANK(H980), TODAY()-TO_DATE(G980), TO_DATE(H980)-TO_DATE(G980))+1"),25.0)</f>
        <v>25</v>
      </c>
      <c r="J980" s="240">
        <v>500.0</v>
      </c>
      <c r="K980" s="240" t="s">
        <v>9011</v>
      </c>
      <c r="L980" s="325" t="s">
        <v>9012</v>
      </c>
      <c r="M980" s="63"/>
      <c r="N980" s="29"/>
      <c r="O980" s="29"/>
      <c r="P980" s="29"/>
      <c r="Q980" s="29"/>
      <c r="R980" s="29"/>
      <c r="S980" s="29"/>
      <c r="T980" s="29"/>
      <c r="U980" s="29"/>
      <c r="V980" s="29"/>
      <c r="W980" s="29"/>
      <c r="X980" s="29"/>
      <c r="Y980" s="29"/>
      <c r="Z980" s="29"/>
      <c r="AA980" s="29"/>
      <c r="AB980" s="29"/>
      <c r="AC980" s="29"/>
      <c r="AD980" s="29"/>
      <c r="AE980" s="29"/>
      <c r="AF980" s="29"/>
      <c r="AG980" s="29"/>
    </row>
    <row r="981">
      <c r="A981" s="240" t="s">
        <v>1313</v>
      </c>
      <c r="B981" s="240" t="s">
        <v>375</v>
      </c>
      <c r="C981" s="128"/>
      <c r="D981" s="85" t="s">
        <v>60</v>
      </c>
      <c r="E981" s="325" t="s">
        <v>8724</v>
      </c>
      <c r="F981" s="325" t="s">
        <v>1287</v>
      </c>
      <c r="G981" s="493">
        <v>46043.0</v>
      </c>
      <c r="H981" s="493">
        <v>46046.0</v>
      </c>
      <c r="I981" s="189">
        <f>IFERROR(__xludf.DUMMYFUNCTION("IF(ISBLANK(H981), TODAY()-TO_DATE(G981), TO_DATE(H981)-TO_DATE(G981))+1"),4.0)</f>
        <v>4</v>
      </c>
      <c r="J981" s="240" t="s">
        <v>197</v>
      </c>
      <c r="K981" s="40" t="s">
        <v>9014</v>
      </c>
      <c r="L981" s="72"/>
      <c r="M981" s="240" t="s">
        <v>9015</v>
      </c>
      <c r="N981" s="29"/>
      <c r="O981" s="29"/>
      <c r="P981" s="29"/>
      <c r="Q981" s="29"/>
      <c r="R981" s="29"/>
      <c r="S981" s="29"/>
      <c r="T981" s="29"/>
      <c r="U981" s="29"/>
      <c r="V981" s="29"/>
      <c r="W981" s="29"/>
      <c r="X981" s="29"/>
      <c r="Y981" s="29"/>
      <c r="Z981" s="29"/>
      <c r="AA981" s="29"/>
      <c r="AB981" s="29"/>
      <c r="AC981" s="29"/>
      <c r="AD981" s="29"/>
      <c r="AE981" s="29"/>
      <c r="AF981" s="29"/>
      <c r="AG981" s="29"/>
    </row>
    <row r="982">
      <c r="A982" s="40" t="s">
        <v>2451</v>
      </c>
      <c r="B982" s="240" t="s">
        <v>375</v>
      </c>
      <c r="C982" s="128"/>
      <c r="D982" s="85" t="s">
        <v>60</v>
      </c>
      <c r="E982" s="325" t="s">
        <v>8218</v>
      </c>
      <c r="F982" s="325" t="s">
        <v>8219</v>
      </c>
      <c r="G982" s="493">
        <v>46043.0</v>
      </c>
      <c r="H982" s="493">
        <v>46046.0</v>
      </c>
      <c r="I982" s="189">
        <f>IFERROR(__xludf.DUMMYFUNCTION("IF(ISBLANK(H982), TODAY()-TO_DATE(G982), TO_DATE(H982)-TO_DATE(G982))+1"),4.0)</f>
        <v>4</v>
      </c>
      <c r="J982" s="240" t="s">
        <v>197</v>
      </c>
      <c r="K982" s="40" t="s">
        <v>2365</v>
      </c>
      <c r="L982" s="790"/>
      <c r="M982" s="240" t="s">
        <v>9015</v>
      </c>
      <c r="N982" s="29"/>
      <c r="O982" s="29"/>
      <c r="P982" s="29"/>
      <c r="Q982" s="29"/>
      <c r="R982" s="29"/>
      <c r="S982" s="29"/>
      <c r="T982" s="29"/>
      <c r="U982" s="29"/>
      <c r="V982" s="29"/>
      <c r="W982" s="29"/>
      <c r="X982" s="29"/>
      <c r="Y982" s="29"/>
      <c r="Z982" s="29"/>
      <c r="AA982" s="29"/>
      <c r="AB982" s="29"/>
      <c r="AC982" s="29"/>
      <c r="AD982" s="29"/>
      <c r="AE982" s="29"/>
      <c r="AF982" s="29"/>
      <c r="AG982" s="29"/>
    </row>
    <row r="983">
      <c r="A983" s="40" t="s">
        <v>2451</v>
      </c>
      <c r="B983" s="240" t="s">
        <v>375</v>
      </c>
      <c r="C983" s="128"/>
      <c r="D983" s="85" t="s">
        <v>60</v>
      </c>
      <c r="E983" s="325" t="s">
        <v>3041</v>
      </c>
      <c r="F983" s="325" t="s">
        <v>3042</v>
      </c>
      <c r="G983" s="493">
        <v>46043.0</v>
      </c>
      <c r="H983" s="493">
        <v>46046.0</v>
      </c>
      <c r="I983" s="189">
        <f>IFERROR(__xludf.DUMMYFUNCTION("IF(ISBLANK(H983), TODAY()-TO_DATE(G983), TO_DATE(H983)-TO_DATE(G983))+1"),4.0)</f>
        <v>4</v>
      </c>
      <c r="J983" s="240" t="s">
        <v>197</v>
      </c>
      <c r="K983" s="240" t="s">
        <v>8744</v>
      </c>
      <c r="L983" s="325" t="s">
        <v>9021</v>
      </c>
      <c r="M983" s="240" t="s">
        <v>9015</v>
      </c>
      <c r="N983" s="29"/>
      <c r="O983" s="29"/>
      <c r="P983" s="29"/>
      <c r="Q983" s="29"/>
      <c r="R983" s="29"/>
      <c r="S983" s="29"/>
      <c r="T983" s="29"/>
      <c r="U983" s="29"/>
      <c r="V983" s="29"/>
      <c r="W983" s="29"/>
      <c r="X983" s="29"/>
      <c r="Y983" s="29"/>
      <c r="Z983" s="29"/>
      <c r="AA983" s="29"/>
      <c r="AB983" s="29"/>
      <c r="AC983" s="29"/>
      <c r="AD983" s="29"/>
      <c r="AE983" s="29"/>
      <c r="AF983" s="29"/>
      <c r="AG983" s="29"/>
    </row>
    <row r="984">
      <c r="A984" s="40" t="s">
        <v>8997</v>
      </c>
      <c r="B984" s="240" t="s">
        <v>375</v>
      </c>
      <c r="C984" s="128"/>
      <c r="D984" s="85" t="s">
        <v>60</v>
      </c>
      <c r="E984" s="240" t="s">
        <v>9025</v>
      </c>
      <c r="F984" s="240" t="s">
        <v>5094</v>
      </c>
      <c r="G984" s="493">
        <v>46043.0</v>
      </c>
      <c r="H984" s="493">
        <v>46043.0</v>
      </c>
      <c r="I984" s="189">
        <f>IFERROR(__xludf.DUMMYFUNCTION("IF(ISBLANK(H984), TODAY()-TO_DATE(G984), TO_DATE(H984)-TO_DATE(G984))+1"),1.0)</f>
        <v>1</v>
      </c>
      <c r="J984" s="240">
        <v>300.0</v>
      </c>
      <c r="K984" s="63"/>
      <c r="L984" s="507"/>
      <c r="M984" s="240" t="s">
        <v>9026</v>
      </c>
      <c r="N984" s="29"/>
      <c r="O984" s="29"/>
      <c r="P984" s="29"/>
      <c r="Q984" s="29"/>
      <c r="R984" s="29"/>
      <c r="S984" s="29"/>
      <c r="T984" s="29"/>
      <c r="U984" s="29"/>
      <c r="V984" s="29"/>
      <c r="W984" s="29"/>
      <c r="X984" s="29"/>
      <c r="Y984" s="29"/>
      <c r="Z984" s="29"/>
      <c r="AA984" s="29"/>
      <c r="AB984" s="29"/>
      <c r="AC984" s="29"/>
      <c r="AD984" s="29"/>
      <c r="AE984" s="29"/>
      <c r="AF984" s="29"/>
      <c r="AG984" s="29"/>
    </row>
    <row r="985">
      <c r="A985" s="40" t="s">
        <v>145</v>
      </c>
      <c r="B985" s="240" t="s">
        <v>375</v>
      </c>
      <c r="C985" s="128"/>
      <c r="D985" s="85" t="s">
        <v>3372</v>
      </c>
      <c r="E985" s="325" t="s">
        <v>9027</v>
      </c>
      <c r="F985" s="325" t="s">
        <v>3614</v>
      </c>
      <c r="G985" s="493">
        <v>46045.0</v>
      </c>
      <c r="H985" s="493">
        <v>46046.0</v>
      </c>
      <c r="I985" s="189">
        <f>IFERROR(__xludf.DUMMYFUNCTION("IF(ISBLANK(H985), TODAY()-TO_DATE(G985), TO_DATE(H985)-TO_DATE(G985))+1"),2.0)</f>
        <v>2</v>
      </c>
      <c r="J985" s="240" t="s">
        <v>197</v>
      </c>
      <c r="K985" s="40" t="s">
        <v>9030</v>
      </c>
      <c r="L985" s="40" t="s">
        <v>9031</v>
      </c>
      <c r="M985" s="240" t="s">
        <v>8623</v>
      </c>
      <c r="N985" s="29"/>
      <c r="O985" s="29"/>
      <c r="P985" s="29"/>
      <c r="Q985" s="29"/>
      <c r="R985" s="29"/>
      <c r="S985" s="29"/>
      <c r="T985" s="29"/>
      <c r="U985" s="29"/>
      <c r="V985" s="29"/>
      <c r="W985" s="29"/>
      <c r="X985" s="29"/>
      <c r="Y985" s="29"/>
      <c r="Z985" s="29"/>
      <c r="AA985" s="29"/>
      <c r="AB985" s="29"/>
      <c r="AC985" s="29"/>
      <c r="AD985" s="29"/>
      <c r="AE985" s="29"/>
      <c r="AF985" s="29"/>
      <c r="AG985" s="29"/>
    </row>
    <row r="986">
      <c r="A986" s="40" t="s">
        <v>145</v>
      </c>
      <c r="B986" s="240" t="s">
        <v>375</v>
      </c>
      <c r="C986" s="128"/>
      <c r="D986" s="85" t="s">
        <v>60</v>
      </c>
      <c r="E986" s="325" t="s">
        <v>9032</v>
      </c>
      <c r="F986" s="325" t="s">
        <v>9033</v>
      </c>
      <c r="G986" s="493">
        <v>46045.0</v>
      </c>
      <c r="H986" s="493">
        <v>46052.0</v>
      </c>
      <c r="I986" s="189">
        <f>IFERROR(__xludf.DUMMYFUNCTION("IF(ISBLANK(H986), TODAY()-TO_DATE(G986), TO_DATE(H986)-TO_DATE(G986))+1"),8.0)</f>
        <v>8</v>
      </c>
      <c r="J986" s="240">
        <v>300.0</v>
      </c>
      <c r="K986" s="649" t="s">
        <v>9035</v>
      </c>
      <c r="L986" s="790"/>
      <c r="M986" s="63"/>
      <c r="N986" s="29"/>
      <c r="O986" s="29"/>
      <c r="P986" s="29"/>
      <c r="Q986" s="29"/>
      <c r="R986" s="29"/>
      <c r="S986" s="29"/>
      <c r="T986" s="29"/>
      <c r="U986" s="29"/>
      <c r="V986" s="29"/>
      <c r="W986" s="29"/>
      <c r="X986" s="29"/>
      <c r="Y986" s="29"/>
      <c r="Z986" s="29"/>
      <c r="AA986" s="29"/>
      <c r="AB986" s="29"/>
      <c r="AC986" s="29"/>
      <c r="AD986" s="29"/>
      <c r="AE986" s="29"/>
      <c r="AF986" s="29"/>
      <c r="AG986" s="29"/>
    </row>
    <row r="987">
      <c r="A987" s="40" t="s">
        <v>2876</v>
      </c>
      <c r="B987" s="240" t="s">
        <v>375</v>
      </c>
      <c r="C987" s="128"/>
      <c r="D987" s="85" t="s">
        <v>60</v>
      </c>
      <c r="E987" s="325" t="s">
        <v>1646</v>
      </c>
      <c r="F987" s="325" t="s">
        <v>1647</v>
      </c>
      <c r="G987" s="493">
        <v>46045.0</v>
      </c>
      <c r="H987" s="493">
        <v>46051.0</v>
      </c>
      <c r="I987" s="189">
        <f>IFERROR(__xludf.DUMMYFUNCTION("IF(ISBLANK(H987), TODAY()-TO_DATE(G987), TO_DATE(H987)-TO_DATE(G987))+1"),7.0)</f>
        <v>7</v>
      </c>
      <c r="J987" s="240" t="s">
        <v>197</v>
      </c>
      <c r="K987" s="561" t="s">
        <v>9038</v>
      </c>
      <c r="L987" s="325" t="s">
        <v>9039</v>
      </c>
      <c r="M987" s="240" t="s">
        <v>8623</v>
      </c>
      <c r="N987" s="29"/>
      <c r="O987" s="29"/>
      <c r="P987" s="29"/>
      <c r="Q987" s="29"/>
      <c r="R987" s="29"/>
      <c r="S987" s="29"/>
      <c r="T987" s="29"/>
      <c r="U987" s="29"/>
      <c r="V987" s="29"/>
      <c r="W987" s="29"/>
      <c r="X987" s="29"/>
      <c r="Y987" s="29"/>
      <c r="Z987" s="29"/>
      <c r="AA987" s="29"/>
      <c r="AB987" s="29"/>
      <c r="AC987" s="29"/>
      <c r="AD987" s="29"/>
      <c r="AE987" s="29"/>
      <c r="AF987" s="29"/>
      <c r="AG987" s="29"/>
    </row>
    <row r="988">
      <c r="A988" s="40" t="s">
        <v>145</v>
      </c>
      <c r="B988" s="240" t="s">
        <v>375</v>
      </c>
      <c r="C988" s="128"/>
      <c r="D988" s="85" t="s">
        <v>60</v>
      </c>
      <c r="E988" s="599" t="s">
        <v>9041</v>
      </c>
      <c r="F988" s="325" t="s">
        <v>4502</v>
      </c>
      <c r="G988" s="493">
        <v>46045.0</v>
      </c>
      <c r="H988" s="493">
        <v>46098.0</v>
      </c>
      <c r="I988" s="189">
        <f>IFERROR(__xludf.DUMMYFUNCTION("IF(ISBLANK(H988), TODAY()-TO_DATE(G988), TO_DATE(H988)-TO_DATE(G988))+1"),54.0)</f>
        <v>54</v>
      </c>
      <c r="J988" s="240">
        <v>500.0</v>
      </c>
      <c r="K988" s="240" t="s">
        <v>9042</v>
      </c>
      <c r="L988" s="790"/>
      <c r="M988" s="63"/>
      <c r="N988" s="29"/>
      <c r="O988" s="29"/>
      <c r="P988" s="29"/>
      <c r="Q988" s="29"/>
      <c r="R988" s="29"/>
      <c r="S988" s="29"/>
      <c r="T988" s="29"/>
      <c r="U988" s="29"/>
      <c r="V988" s="29"/>
      <c r="W988" s="29"/>
      <c r="X988" s="29"/>
      <c r="Y988" s="29"/>
      <c r="Z988" s="29"/>
      <c r="AA988" s="29"/>
      <c r="AB988" s="29"/>
      <c r="AC988" s="29"/>
      <c r="AD988" s="29"/>
      <c r="AE988" s="29"/>
      <c r="AF988" s="29"/>
      <c r="AG988" s="29"/>
    </row>
    <row r="989">
      <c r="A989" s="40" t="s">
        <v>1448</v>
      </c>
      <c r="B989" s="240" t="s">
        <v>375</v>
      </c>
      <c r="C989" s="128"/>
      <c r="D989" s="85" t="s">
        <v>60</v>
      </c>
      <c r="E989" s="325" t="s">
        <v>7191</v>
      </c>
      <c r="F989" s="325" t="s">
        <v>7192</v>
      </c>
      <c r="G989" s="493">
        <v>46045.0</v>
      </c>
      <c r="H989" s="493">
        <v>46065.0</v>
      </c>
      <c r="I989" s="189">
        <f>IFERROR(__xludf.DUMMYFUNCTION("IF(ISBLANK(H989), TODAY()-TO_DATE(G989), TO_DATE(H989)-TO_DATE(G989))+1"),21.0)</f>
        <v>21</v>
      </c>
      <c r="J989" s="240">
        <v>500.0</v>
      </c>
      <c r="K989" s="240" t="s">
        <v>9046</v>
      </c>
      <c r="L989" s="325" t="s">
        <v>9047</v>
      </c>
      <c r="M989" s="240" t="s">
        <v>8623</v>
      </c>
      <c r="N989" s="29"/>
      <c r="O989" s="29"/>
      <c r="P989" s="29"/>
      <c r="Q989" s="29"/>
      <c r="R989" s="29"/>
      <c r="S989" s="29"/>
      <c r="T989" s="29"/>
      <c r="U989" s="29"/>
      <c r="V989" s="29"/>
      <c r="W989" s="29"/>
      <c r="X989" s="29"/>
      <c r="Y989" s="29"/>
      <c r="Z989" s="29"/>
      <c r="AA989" s="29"/>
      <c r="AB989" s="29"/>
      <c r="AC989" s="29"/>
      <c r="AD989" s="29"/>
      <c r="AE989" s="29"/>
      <c r="AF989" s="29"/>
      <c r="AG989" s="29"/>
    </row>
    <row r="990">
      <c r="A990" s="40" t="s">
        <v>1448</v>
      </c>
      <c r="B990" s="240" t="s">
        <v>375</v>
      </c>
      <c r="C990" s="128"/>
      <c r="D990" s="85" t="s">
        <v>60</v>
      </c>
      <c r="E990" s="325" t="s">
        <v>7147</v>
      </c>
      <c r="F990" s="325" t="s">
        <v>7148</v>
      </c>
      <c r="G990" s="493">
        <v>46045.0</v>
      </c>
      <c r="H990" s="493">
        <v>46065.0</v>
      </c>
      <c r="I990" s="189">
        <f>IFERROR(__xludf.DUMMYFUNCTION("IF(ISBLANK(H990), TODAY()-TO_DATE(G990), TO_DATE(H990)-TO_DATE(G990))+1"),21.0)</f>
        <v>21</v>
      </c>
      <c r="J990" s="240">
        <v>500.0</v>
      </c>
      <c r="K990" s="240" t="s">
        <v>9049</v>
      </c>
      <c r="L990" s="790"/>
      <c r="M990" s="63"/>
      <c r="N990" s="29"/>
      <c r="O990" s="29"/>
      <c r="P990" s="29"/>
      <c r="Q990" s="29"/>
      <c r="R990" s="29"/>
      <c r="S990" s="29"/>
      <c r="T990" s="29"/>
      <c r="U990" s="29"/>
      <c r="V990" s="29"/>
      <c r="W990" s="29"/>
      <c r="X990" s="29"/>
      <c r="Y990" s="29"/>
      <c r="Z990" s="29"/>
      <c r="AA990" s="29"/>
      <c r="AB990" s="29"/>
      <c r="AC990" s="29"/>
      <c r="AD990" s="29"/>
      <c r="AE990" s="29"/>
      <c r="AF990" s="29"/>
      <c r="AG990" s="29"/>
    </row>
    <row r="991">
      <c r="A991" s="540" t="s">
        <v>261</v>
      </c>
      <c r="B991" s="540" t="s">
        <v>375</v>
      </c>
      <c r="C991" s="820"/>
      <c r="D991" s="544" t="s">
        <v>326</v>
      </c>
      <c r="E991" s="599" t="s">
        <v>6967</v>
      </c>
      <c r="F991" s="599" t="s">
        <v>1960</v>
      </c>
      <c r="G991" s="545">
        <v>46047.0</v>
      </c>
      <c r="H991" s="545">
        <v>46061.0</v>
      </c>
      <c r="I991" s="665">
        <f>IFERROR(__xludf.DUMMYFUNCTION("IF(ISBLANK(H991), TODAY()-TO_DATE(G991), TO_DATE(H991)-TO_DATE(G991))+1"),15.0)</f>
        <v>15</v>
      </c>
      <c r="J991" s="540">
        <v>500.0</v>
      </c>
      <c r="K991" s="633" t="s">
        <v>9051</v>
      </c>
      <c r="L991" s="633" t="s">
        <v>9052</v>
      </c>
      <c r="M991" s="540" t="s">
        <v>8623</v>
      </c>
      <c r="N991" s="548"/>
      <c r="O991" s="548"/>
      <c r="P991" s="548"/>
      <c r="Q991" s="548"/>
      <c r="R991" s="548"/>
      <c r="S991" s="548"/>
      <c r="T991" s="548"/>
      <c r="U991" s="548"/>
      <c r="V991" s="548"/>
      <c r="W991" s="548"/>
      <c r="X991" s="548"/>
      <c r="Y991" s="548"/>
      <c r="Z991" s="548"/>
      <c r="AA991" s="548"/>
      <c r="AB991" s="548"/>
      <c r="AC991" s="548"/>
      <c r="AD991" s="548"/>
      <c r="AE991" s="548"/>
      <c r="AF991" s="548"/>
      <c r="AG991" s="548"/>
    </row>
    <row r="992">
      <c r="A992" s="240" t="s">
        <v>1473</v>
      </c>
      <c r="B992" s="240" t="s">
        <v>375</v>
      </c>
      <c r="C992" s="128"/>
      <c r="D992" s="85" t="s">
        <v>60</v>
      </c>
      <c r="E992" s="325" t="s">
        <v>2347</v>
      </c>
      <c r="F992" s="325" t="s">
        <v>193</v>
      </c>
      <c r="G992" s="493">
        <v>46047.0</v>
      </c>
      <c r="H992" s="493">
        <v>46056.0</v>
      </c>
      <c r="I992" s="189">
        <f>IFERROR(__xludf.DUMMYFUNCTION("IF(ISBLANK(H992), TODAY()-TO_DATE(G992), TO_DATE(H992)-TO_DATE(G992))+1"),10.0)</f>
        <v>10</v>
      </c>
      <c r="J992" s="240" t="s">
        <v>197</v>
      </c>
      <c r="K992" s="40" t="s">
        <v>9061</v>
      </c>
      <c r="L992" s="790"/>
      <c r="M992" s="240" t="s">
        <v>8768</v>
      </c>
      <c r="N992" s="29"/>
      <c r="O992" s="29"/>
      <c r="P992" s="29"/>
      <c r="Q992" s="29"/>
      <c r="R992" s="29"/>
      <c r="S992" s="29"/>
      <c r="T992" s="29"/>
      <c r="U992" s="29"/>
      <c r="V992" s="29"/>
      <c r="W992" s="29"/>
      <c r="X992" s="29"/>
      <c r="Y992" s="29"/>
      <c r="Z992" s="29"/>
      <c r="AA992" s="29"/>
      <c r="AB992" s="29"/>
      <c r="AC992" s="29"/>
      <c r="AD992" s="29"/>
      <c r="AE992" s="29"/>
      <c r="AF992" s="29"/>
      <c r="AG992" s="29"/>
    </row>
    <row r="993">
      <c r="A993" s="240" t="s">
        <v>261</v>
      </c>
      <c r="B993" s="240" t="s">
        <v>375</v>
      </c>
      <c r="C993" s="128"/>
      <c r="D993" s="85" t="s">
        <v>60</v>
      </c>
      <c r="E993" s="325" t="s">
        <v>7453</v>
      </c>
      <c r="F993" s="325" t="s">
        <v>7455</v>
      </c>
      <c r="G993" s="493">
        <v>46047.0</v>
      </c>
      <c r="H993" s="493">
        <v>46055.0</v>
      </c>
      <c r="I993" s="189">
        <f>IFERROR(__xludf.DUMMYFUNCTION("IF(ISBLANK(H993), TODAY()-TO_DATE(G993), TO_DATE(H993)-TO_DATE(G993))+1"),9.0)</f>
        <v>9</v>
      </c>
      <c r="J993" s="240" t="s">
        <v>197</v>
      </c>
      <c r="K993" s="240" t="s">
        <v>9066</v>
      </c>
      <c r="L993" s="325" t="s">
        <v>9067</v>
      </c>
      <c r="M993" s="240" t="s">
        <v>8623</v>
      </c>
      <c r="N993" s="29"/>
      <c r="O993" s="29"/>
      <c r="P993" s="29"/>
      <c r="Q993" s="29"/>
      <c r="R993" s="29"/>
      <c r="S993" s="29"/>
      <c r="T993" s="29"/>
      <c r="U993" s="29"/>
      <c r="V993" s="29"/>
      <c r="W993" s="29"/>
      <c r="X993" s="29"/>
      <c r="Y993" s="29"/>
      <c r="Z993" s="29"/>
      <c r="AA993" s="29"/>
      <c r="AB993" s="29"/>
      <c r="AC993" s="29"/>
      <c r="AD993" s="29"/>
      <c r="AE993" s="29"/>
      <c r="AF993" s="29"/>
      <c r="AG993" s="29"/>
    </row>
    <row r="994">
      <c r="A994" s="240" t="s">
        <v>261</v>
      </c>
      <c r="B994" s="240" t="s">
        <v>375</v>
      </c>
      <c r="C994" s="128"/>
      <c r="D994" s="240" t="s">
        <v>60</v>
      </c>
      <c r="E994" s="325" t="s">
        <v>8252</v>
      </c>
      <c r="F994" s="325" t="s">
        <v>8253</v>
      </c>
      <c r="G994" s="493">
        <v>46047.0</v>
      </c>
      <c r="H994" s="493">
        <v>46055.0</v>
      </c>
      <c r="I994" s="189">
        <f>IFERROR(__xludf.DUMMYFUNCTION("IF(ISBLANK(H994), TODAY()-TO_DATE(G994), TO_DATE(H994)-TO_DATE(G994))+1"),9.0)</f>
        <v>9</v>
      </c>
      <c r="J994" s="240" t="s">
        <v>197</v>
      </c>
      <c r="K994" s="240" t="s">
        <v>9072</v>
      </c>
      <c r="L994" s="790"/>
      <c r="M994" s="63"/>
      <c r="N994" s="29"/>
      <c r="O994" s="29"/>
      <c r="P994" s="29"/>
      <c r="Q994" s="29"/>
      <c r="R994" s="29"/>
      <c r="S994" s="29"/>
      <c r="T994" s="29"/>
      <c r="U994" s="29"/>
      <c r="V994" s="29"/>
      <c r="W994" s="29"/>
      <c r="X994" s="29"/>
      <c r="Y994" s="29"/>
      <c r="Z994" s="29"/>
      <c r="AA994" s="29"/>
      <c r="AB994" s="29"/>
      <c r="AC994" s="29"/>
      <c r="AD994" s="29"/>
      <c r="AE994" s="29"/>
      <c r="AF994" s="29"/>
      <c r="AG994" s="29"/>
    </row>
    <row r="995">
      <c r="A995" s="240" t="s">
        <v>1313</v>
      </c>
      <c r="B995" s="240" t="s">
        <v>375</v>
      </c>
      <c r="C995" s="128"/>
      <c r="D995" s="85" t="s">
        <v>60</v>
      </c>
      <c r="E995" s="325" t="s">
        <v>8724</v>
      </c>
      <c r="F995" s="325" t="s">
        <v>1287</v>
      </c>
      <c r="G995" s="493">
        <v>46047.0</v>
      </c>
      <c r="H995" s="493">
        <v>46060.0</v>
      </c>
      <c r="I995" s="189">
        <f>IFERROR(__xludf.DUMMYFUNCTION("IF(ISBLANK(H995), TODAY()-TO_DATE(G995), TO_DATE(H995)-TO_DATE(G995))+1"),14.0)</f>
        <v>14</v>
      </c>
      <c r="J995" s="240" t="s">
        <v>197</v>
      </c>
      <c r="K995" s="40" t="s">
        <v>9075</v>
      </c>
      <c r="L995" s="72"/>
      <c r="M995" s="240"/>
      <c r="N995" s="29"/>
      <c r="O995" s="29"/>
      <c r="P995" s="29"/>
      <c r="Q995" s="29"/>
      <c r="R995" s="29"/>
      <c r="S995" s="29"/>
      <c r="T995" s="29"/>
      <c r="U995" s="29"/>
      <c r="V995" s="29"/>
      <c r="W995" s="29"/>
      <c r="X995" s="29"/>
      <c r="Y995" s="29"/>
      <c r="Z995" s="29"/>
      <c r="AA995" s="29"/>
      <c r="AB995" s="29"/>
      <c r="AC995" s="29"/>
      <c r="AD995" s="29"/>
      <c r="AE995" s="29"/>
      <c r="AF995" s="29"/>
      <c r="AG995" s="29"/>
    </row>
    <row r="996">
      <c r="A996" s="240" t="s">
        <v>2451</v>
      </c>
      <c r="B996" s="240" t="s">
        <v>375</v>
      </c>
      <c r="C996" s="454" t="s">
        <v>178</v>
      </c>
      <c r="D996" s="85" t="s">
        <v>102</v>
      </c>
      <c r="E996" s="688" t="s">
        <v>2693</v>
      </c>
      <c r="F996" s="688" t="s">
        <v>2694</v>
      </c>
      <c r="G996" s="493">
        <v>46049.0</v>
      </c>
      <c r="H996" s="493">
        <v>46070.0</v>
      </c>
      <c r="I996" s="189">
        <f>IFERROR(__xludf.DUMMYFUNCTION("IF(ISBLANK(H996), TODAY()-TO_DATE(G996), TO_DATE(H996)-TO_DATE(G996))+1"),22.0)</f>
        <v>22</v>
      </c>
      <c r="J996" s="240" t="s">
        <v>197</v>
      </c>
      <c r="K996" s="240" t="s">
        <v>9080</v>
      </c>
      <c r="L996" s="321" t="s">
        <v>9081</v>
      </c>
      <c r="M996" s="240" t="s">
        <v>9082</v>
      </c>
      <c r="N996" s="29"/>
      <c r="O996" s="29"/>
      <c r="P996" s="29"/>
      <c r="Q996" s="29"/>
      <c r="R996" s="29"/>
      <c r="S996" s="29"/>
      <c r="T996" s="29"/>
      <c r="U996" s="29"/>
      <c r="V996" s="29"/>
      <c r="W996" s="29"/>
      <c r="X996" s="29"/>
      <c r="Y996" s="29"/>
      <c r="Z996" s="29"/>
      <c r="AA996" s="29"/>
      <c r="AB996" s="29"/>
      <c r="AC996" s="29"/>
      <c r="AD996" s="29"/>
      <c r="AE996" s="29"/>
      <c r="AF996" s="29"/>
      <c r="AG996" s="29"/>
    </row>
    <row r="997">
      <c r="A997" s="240" t="s">
        <v>2451</v>
      </c>
      <c r="B997" s="240" t="s">
        <v>375</v>
      </c>
      <c r="C997" s="454" t="s">
        <v>178</v>
      </c>
      <c r="D997" s="321" t="s">
        <v>102</v>
      </c>
      <c r="E997" s="688" t="s">
        <v>1669</v>
      </c>
      <c r="F997" s="240" t="s">
        <v>748</v>
      </c>
      <c r="G997" s="493">
        <v>46049.0</v>
      </c>
      <c r="H997" s="493">
        <v>46070.0</v>
      </c>
      <c r="I997" s="189">
        <f>IFERROR(__xludf.DUMMYFUNCTION("IF(ISBLANK(H997), TODAY()-TO_DATE(G997), TO_DATE(H997)-TO_DATE(G997))+1"),22.0)</f>
        <v>22</v>
      </c>
      <c r="J997" s="240" t="s">
        <v>197</v>
      </c>
      <c r="K997" s="240" t="s">
        <v>9088</v>
      </c>
      <c r="L997" s="321"/>
      <c r="M997" s="240" t="s">
        <v>9082</v>
      </c>
      <c r="N997" s="29"/>
      <c r="O997" s="29"/>
      <c r="P997" s="29"/>
      <c r="Q997" s="29"/>
      <c r="R997" s="29"/>
      <c r="S997" s="29"/>
      <c r="T997" s="29"/>
      <c r="U997" s="29"/>
      <c r="V997" s="29"/>
      <c r="W997" s="29"/>
      <c r="X997" s="29"/>
      <c r="Y997" s="29"/>
      <c r="Z997" s="29"/>
      <c r="AA997" s="29"/>
      <c r="AB997" s="29"/>
      <c r="AC997" s="29"/>
      <c r="AD997" s="29"/>
      <c r="AE997" s="29"/>
      <c r="AF997" s="29"/>
      <c r="AG997" s="29"/>
    </row>
    <row r="998">
      <c r="A998" s="240" t="s">
        <v>1473</v>
      </c>
      <c r="B998" s="240" t="s">
        <v>375</v>
      </c>
      <c r="C998" s="218" t="s">
        <v>331</v>
      </c>
      <c r="D998" s="706" t="s">
        <v>60</v>
      </c>
      <c r="E998" s="240" t="s">
        <v>8447</v>
      </c>
      <c r="F998" s="40" t="s">
        <v>8448</v>
      </c>
      <c r="G998" s="493">
        <v>46049.0</v>
      </c>
      <c r="H998" s="493">
        <v>46051.0</v>
      </c>
      <c r="I998" s="189">
        <f>IFERROR(__xludf.DUMMYFUNCTION("IF(ISBLANK(H998), TODAY()-TO_DATE(G998), TO_DATE(H998)-TO_DATE(G998))+1"),3.0)</f>
        <v>3</v>
      </c>
      <c r="J998" s="240" t="s">
        <v>197</v>
      </c>
      <c r="K998" s="40" t="s">
        <v>9091</v>
      </c>
      <c r="L998" s="40"/>
      <c r="M998" s="240" t="s">
        <v>8754</v>
      </c>
      <c r="N998" s="29"/>
      <c r="O998" s="29"/>
      <c r="P998" s="29"/>
      <c r="Q998" s="29"/>
      <c r="R998" s="29"/>
      <c r="S998" s="29"/>
      <c r="T998" s="29"/>
      <c r="U998" s="29"/>
      <c r="V998" s="29"/>
      <c r="W998" s="29"/>
      <c r="X998" s="29"/>
      <c r="Y998" s="29"/>
      <c r="Z998" s="29"/>
      <c r="AA998" s="29"/>
      <c r="AB998" s="29"/>
      <c r="AC998" s="29"/>
      <c r="AD998" s="29"/>
      <c r="AE998" s="29"/>
      <c r="AF998" s="29"/>
      <c r="AG998" s="29"/>
    </row>
    <row r="999">
      <c r="A999" s="240" t="s">
        <v>9094</v>
      </c>
      <c r="B999" s="240" t="s">
        <v>375</v>
      </c>
      <c r="C999" s="218" t="s">
        <v>1536</v>
      </c>
      <c r="D999" s="706" t="s">
        <v>60</v>
      </c>
      <c r="E999" s="240" t="s">
        <v>8621</v>
      </c>
      <c r="F999" s="240" t="s">
        <v>6183</v>
      </c>
      <c r="G999" s="493">
        <v>46049.0</v>
      </c>
      <c r="H999" s="493">
        <v>46052.0</v>
      </c>
      <c r="I999" s="189">
        <f>IFERROR(__xludf.DUMMYFUNCTION("IF(ISBLANK(H999), TODAY()-TO_DATE(G999), TO_DATE(H999)-TO_DATE(G999))+1"),4.0)</f>
        <v>4</v>
      </c>
      <c r="J999" s="240">
        <v>300.0</v>
      </c>
      <c r="K999" s="649" t="s">
        <v>9096</v>
      </c>
      <c r="L999" s="40"/>
      <c r="M999" s="240" t="s">
        <v>8754</v>
      </c>
      <c r="N999" s="29"/>
      <c r="O999" s="29"/>
      <c r="P999" s="29"/>
      <c r="Q999" s="29"/>
      <c r="R999" s="29"/>
      <c r="S999" s="29"/>
      <c r="T999" s="29"/>
      <c r="U999" s="29"/>
      <c r="V999" s="29"/>
      <c r="W999" s="29"/>
      <c r="X999" s="29"/>
      <c r="Y999" s="29"/>
      <c r="Z999" s="29"/>
      <c r="AA999" s="29"/>
      <c r="AB999" s="29"/>
      <c r="AC999" s="29"/>
      <c r="AD999" s="29"/>
      <c r="AE999" s="29"/>
      <c r="AF999" s="29"/>
      <c r="AG999" s="29"/>
    </row>
    <row r="1000">
      <c r="A1000" s="540" t="s">
        <v>261</v>
      </c>
      <c r="B1000" s="540" t="s">
        <v>375</v>
      </c>
      <c r="C1000" s="820"/>
      <c r="D1000" s="551" t="s">
        <v>60</v>
      </c>
      <c r="E1000" s="633" t="s">
        <v>9098</v>
      </c>
      <c r="F1000" s="633" t="s">
        <v>9099</v>
      </c>
      <c r="G1000" s="545">
        <v>46050.0</v>
      </c>
      <c r="H1000" s="545">
        <v>46058.0</v>
      </c>
      <c r="I1000" s="665">
        <f>IFERROR(__xludf.DUMMYFUNCTION("IF(ISBLANK(H1000), TODAY()-TO_DATE(G1000), TO_DATE(H1000)-TO_DATE(G1000))+1"),9.0)</f>
        <v>9</v>
      </c>
      <c r="J1000" s="540">
        <v>200.0</v>
      </c>
      <c r="K1000" s="633" t="s">
        <v>9104</v>
      </c>
      <c r="L1000" s="633" t="s">
        <v>9105</v>
      </c>
      <c r="M1000" s="540" t="s">
        <v>8623</v>
      </c>
      <c r="N1000" s="548"/>
      <c r="O1000" s="548"/>
      <c r="P1000" s="548"/>
      <c r="Q1000" s="548"/>
      <c r="R1000" s="548"/>
      <c r="S1000" s="548"/>
      <c r="T1000" s="548"/>
      <c r="U1000" s="548"/>
      <c r="V1000" s="548"/>
      <c r="W1000" s="548"/>
      <c r="X1000" s="548"/>
      <c r="Y1000" s="548"/>
      <c r="Z1000" s="548"/>
      <c r="AA1000" s="548"/>
      <c r="AB1000" s="548"/>
      <c r="AC1000" s="548"/>
      <c r="AD1000" s="548"/>
      <c r="AE1000" s="548"/>
      <c r="AF1000" s="548"/>
      <c r="AG1000" s="548"/>
    </row>
    <row r="1001">
      <c r="A1001" s="240" t="s">
        <v>261</v>
      </c>
      <c r="B1001" s="240" t="s">
        <v>375</v>
      </c>
      <c r="C1001" s="128"/>
      <c r="D1001" s="687" t="s">
        <v>60</v>
      </c>
      <c r="E1001" s="40" t="s">
        <v>9106</v>
      </c>
      <c r="F1001" s="40" t="s">
        <v>3110</v>
      </c>
      <c r="G1001" s="493">
        <v>46050.0</v>
      </c>
      <c r="H1001" s="493">
        <v>46056.0</v>
      </c>
      <c r="I1001" s="189">
        <f>IFERROR(__xludf.DUMMYFUNCTION("IF(ISBLANK(H1001), TODAY()-TO_DATE(G1001), TO_DATE(H1001)-TO_DATE(G1001))+1"),7.0)</f>
        <v>7</v>
      </c>
      <c r="J1001" s="240" t="s">
        <v>197</v>
      </c>
      <c r="K1001" s="40" t="s">
        <v>9107</v>
      </c>
      <c r="L1001" s="72"/>
      <c r="M1001" s="240" t="s">
        <v>8768</v>
      </c>
      <c r="N1001" s="29"/>
      <c r="O1001" s="29"/>
      <c r="P1001" s="29"/>
      <c r="Q1001" s="29"/>
      <c r="R1001" s="29"/>
      <c r="S1001" s="29"/>
      <c r="T1001" s="29"/>
      <c r="U1001" s="29"/>
      <c r="V1001" s="29"/>
      <c r="W1001" s="29"/>
      <c r="X1001" s="29"/>
      <c r="Y1001" s="29"/>
      <c r="Z1001" s="29"/>
      <c r="AA1001" s="29"/>
      <c r="AB1001" s="29"/>
      <c r="AC1001" s="29"/>
      <c r="AD1001" s="29"/>
      <c r="AE1001" s="29"/>
      <c r="AF1001" s="29"/>
      <c r="AG1001" s="29"/>
    </row>
    <row r="1002">
      <c r="A1002" s="540" t="s">
        <v>261</v>
      </c>
      <c r="B1002" s="540" t="s">
        <v>375</v>
      </c>
      <c r="C1002" s="820"/>
      <c r="D1002" s="544" t="s">
        <v>60</v>
      </c>
      <c r="E1002" s="633" t="s">
        <v>9108</v>
      </c>
      <c r="F1002" s="633" t="s">
        <v>9109</v>
      </c>
      <c r="G1002" s="545">
        <v>46050.0</v>
      </c>
      <c r="H1002" s="545">
        <v>46059.0</v>
      </c>
      <c r="I1002" s="665">
        <f>IFERROR(__xludf.DUMMYFUNCTION("IF(ISBLANK(H1002), TODAY()-TO_DATE(G1002), TO_DATE(H1002)-TO_DATE(G1002))+1"),10.0)</f>
        <v>10</v>
      </c>
      <c r="J1002" s="540">
        <v>500.0</v>
      </c>
      <c r="K1002" s="633" t="s">
        <v>9110</v>
      </c>
      <c r="L1002" s="649" t="s">
        <v>9111</v>
      </c>
      <c r="M1002" s="540" t="s">
        <v>8623</v>
      </c>
      <c r="N1002" s="548"/>
      <c r="O1002" s="548"/>
      <c r="P1002" s="548"/>
      <c r="Q1002" s="548"/>
      <c r="R1002" s="548"/>
      <c r="S1002" s="548"/>
      <c r="T1002" s="548"/>
      <c r="U1002" s="548"/>
      <c r="V1002" s="548"/>
      <c r="W1002" s="548"/>
      <c r="X1002" s="548"/>
      <c r="Y1002" s="548"/>
      <c r="Z1002" s="548"/>
      <c r="AA1002" s="548"/>
      <c r="AB1002" s="548"/>
      <c r="AC1002" s="548"/>
      <c r="AD1002" s="548"/>
      <c r="AE1002" s="548"/>
      <c r="AF1002" s="548"/>
      <c r="AG1002" s="548"/>
    </row>
    <row r="1003">
      <c r="A1003" s="240" t="s">
        <v>261</v>
      </c>
      <c r="B1003" s="240" t="s">
        <v>375</v>
      </c>
      <c r="C1003" s="128"/>
      <c r="D1003" s="321" t="s">
        <v>656</v>
      </c>
      <c r="E1003" s="40" t="s">
        <v>1348</v>
      </c>
      <c r="F1003" s="40" t="s">
        <v>1350</v>
      </c>
      <c r="G1003" s="493">
        <v>46050.0</v>
      </c>
      <c r="H1003" s="493">
        <v>46055.0</v>
      </c>
      <c r="I1003" s="189">
        <f>IFERROR(__xludf.DUMMYFUNCTION("IF(ISBLANK(H1003), TODAY()-TO_DATE(G1003), TO_DATE(H1003)-TO_DATE(G1003))+1"),6.0)</f>
        <v>6</v>
      </c>
      <c r="J1003" s="240" t="s">
        <v>197</v>
      </c>
      <c r="K1003" s="40" t="s">
        <v>9116</v>
      </c>
      <c r="L1003" s="72"/>
      <c r="M1003" s="63"/>
      <c r="N1003" s="29"/>
      <c r="O1003" s="29"/>
      <c r="P1003" s="29"/>
      <c r="Q1003" s="29"/>
      <c r="R1003" s="29"/>
      <c r="S1003" s="29"/>
      <c r="T1003" s="29"/>
      <c r="U1003" s="29"/>
      <c r="V1003" s="29"/>
      <c r="W1003" s="29"/>
      <c r="X1003" s="29"/>
      <c r="Y1003" s="29"/>
      <c r="Z1003" s="29"/>
      <c r="AA1003" s="29"/>
      <c r="AB1003" s="29"/>
      <c r="AC1003" s="29"/>
      <c r="AD1003" s="29"/>
      <c r="AE1003" s="29"/>
      <c r="AF1003" s="29"/>
      <c r="AG1003" s="29"/>
    </row>
    <row r="1004">
      <c r="A1004" s="540" t="s">
        <v>261</v>
      </c>
      <c r="B1004" s="540" t="s">
        <v>375</v>
      </c>
      <c r="C1004" s="820"/>
      <c r="D1004" s="544" t="s">
        <v>656</v>
      </c>
      <c r="E1004" s="633" t="s">
        <v>9119</v>
      </c>
      <c r="F1004" s="633" t="s">
        <v>9120</v>
      </c>
      <c r="G1004" s="545">
        <v>46050.0</v>
      </c>
      <c r="H1004" s="545">
        <v>46059.0</v>
      </c>
      <c r="I1004" s="665">
        <f>IFERROR(__xludf.DUMMYFUNCTION("IF(ISBLANK(H1004), TODAY()-TO_DATE(G1004), TO_DATE(H1004)-TO_DATE(G1004))+1"),10.0)</f>
        <v>10</v>
      </c>
      <c r="J1004" s="540">
        <v>500.0</v>
      </c>
      <c r="K1004" s="633" t="s">
        <v>9122</v>
      </c>
      <c r="L1004" s="859"/>
      <c r="M1004" s="547"/>
      <c r="N1004" s="548"/>
      <c r="O1004" s="548"/>
      <c r="P1004" s="548"/>
      <c r="Q1004" s="548"/>
      <c r="R1004" s="548"/>
      <c r="S1004" s="548"/>
      <c r="T1004" s="548"/>
      <c r="U1004" s="548"/>
      <c r="V1004" s="548"/>
      <c r="W1004" s="548"/>
      <c r="X1004" s="548"/>
      <c r="Y1004" s="548"/>
      <c r="Z1004" s="548"/>
      <c r="AA1004" s="548"/>
      <c r="AB1004" s="548"/>
      <c r="AC1004" s="548"/>
      <c r="AD1004" s="548"/>
      <c r="AE1004" s="548"/>
      <c r="AF1004" s="548"/>
      <c r="AG1004" s="548"/>
    </row>
    <row r="1005">
      <c r="A1005" s="240" t="s">
        <v>261</v>
      </c>
      <c r="B1005" s="240" t="s">
        <v>375</v>
      </c>
      <c r="C1005" s="128"/>
      <c r="D1005" s="321" t="s">
        <v>60</v>
      </c>
      <c r="E1005" s="40" t="s">
        <v>9126</v>
      </c>
      <c r="F1005" s="40" t="s">
        <v>9127</v>
      </c>
      <c r="G1005" s="493">
        <v>46050.0</v>
      </c>
      <c r="H1005" s="493">
        <v>46056.0</v>
      </c>
      <c r="I1005" s="189">
        <f>IFERROR(__xludf.DUMMYFUNCTION("IF(ISBLANK(H1005), TODAY()-TO_DATE(G1005), TO_DATE(H1005)-TO_DATE(G1005))+1"),7.0)</f>
        <v>7</v>
      </c>
      <c r="J1005" s="240" t="s">
        <v>197</v>
      </c>
      <c r="K1005" s="40" t="s">
        <v>9129</v>
      </c>
      <c r="L1005" s="40" t="s">
        <v>9130</v>
      </c>
      <c r="M1005" s="240" t="s">
        <v>8768</v>
      </c>
      <c r="N1005" s="29"/>
      <c r="O1005" s="29"/>
      <c r="P1005" s="29"/>
      <c r="Q1005" s="29"/>
      <c r="R1005" s="29"/>
      <c r="S1005" s="29"/>
      <c r="T1005" s="29"/>
      <c r="U1005" s="29"/>
      <c r="V1005" s="29"/>
      <c r="W1005" s="29"/>
      <c r="X1005" s="29"/>
      <c r="Y1005" s="29"/>
      <c r="Z1005" s="29"/>
      <c r="AA1005" s="29"/>
      <c r="AB1005" s="29"/>
      <c r="AC1005" s="29"/>
      <c r="AD1005" s="29"/>
      <c r="AE1005" s="29"/>
      <c r="AF1005" s="29"/>
      <c r="AG1005" s="29"/>
    </row>
    <row r="1006">
      <c r="A1006" s="240" t="s">
        <v>2451</v>
      </c>
      <c r="B1006" s="240" t="s">
        <v>375</v>
      </c>
      <c r="C1006" s="128"/>
      <c r="D1006" s="321" t="s">
        <v>60</v>
      </c>
      <c r="E1006" s="40" t="s">
        <v>1242</v>
      </c>
      <c r="F1006" s="40" t="s">
        <v>1244</v>
      </c>
      <c r="G1006" s="493">
        <v>46050.0</v>
      </c>
      <c r="H1006" s="493">
        <v>46054.0</v>
      </c>
      <c r="I1006" s="189">
        <f>IFERROR(__xludf.DUMMYFUNCTION("IF(ISBLANK(H1006), TODAY()-TO_DATE(G1006), TO_DATE(H1006)-TO_DATE(G1006))+1"),5.0)</f>
        <v>5</v>
      </c>
      <c r="J1006" s="240" t="s">
        <v>197</v>
      </c>
      <c r="K1006" s="40" t="s">
        <v>9134</v>
      </c>
      <c r="L1006" s="72"/>
      <c r="M1006" s="63"/>
      <c r="N1006" s="29"/>
      <c r="O1006" s="29"/>
      <c r="P1006" s="29"/>
      <c r="Q1006" s="29"/>
      <c r="R1006" s="29"/>
      <c r="S1006" s="29"/>
      <c r="T1006" s="29"/>
      <c r="U1006" s="29"/>
      <c r="V1006" s="29"/>
      <c r="W1006" s="29"/>
      <c r="X1006" s="29"/>
      <c r="Y1006" s="29"/>
      <c r="Z1006" s="29"/>
      <c r="AA1006" s="29"/>
      <c r="AB1006" s="29"/>
      <c r="AC1006" s="29"/>
      <c r="AD1006" s="29"/>
      <c r="AE1006" s="29"/>
      <c r="AF1006" s="29"/>
      <c r="AG1006" s="29"/>
    </row>
    <row r="1007">
      <c r="A1007" s="240" t="s">
        <v>150</v>
      </c>
      <c r="B1007" s="240" t="s">
        <v>375</v>
      </c>
      <c r="C1007" s="128"/>
      <c r="D1007" s="321" t="s">
        <v>60</v>
      </c>
      <c r="E1007" s="40" t="s">
        <v>3041</v>
      </c>
      <c r="F1007" s="40" t="s">
        <v>3042</v>
      </c>
      <c r="G1007" s="493">
        <v>46050.0</v>
      </c>
      <c r="H1007" s="493">
        <v>46054.0</v>
      </c>
      <c r="I1007" s="189">
        <f>IFERROR(__xludf.DUMMYFUNCTION("IF(ISBLANK(H1007), TODAY()-TO_DATE(G1007), TO_DATE(H1007)-TO_DATE(G1007))+1"),5.0)</f>
        <v>5</v>
      </c>
      <c r="J1007" s="240" t="s">
        <v>197</v>
      </c>
      <c r="K1007" s="40" t="s">
        <v>8744</v>
      </c>
      <c r="L1007" s="72"/>
      <c r="M1007" s="63"/>
      <c r="N1007" s="29"/>
      <c r="O1007" s="29"/>
      <c r="P1007" s="29"/>
      <c r="Q1007" s="29"/>
      <c r="R1007" s="29"/>
      <c r="S1007" s="29"/>
      <c r="T1007" s="29"/>
      <c r="U1007" s="29"/>
      <c r="V1007" s="29"/>
      <c r="W1007" s="29"/>
      <c r="X1007" s="29"/>
      <c r="Y1007" s="29"/>
      <c r="Z1007" s="29"/>
      <c r="AA1007" s="29"/>
      <c r="AB1007" s="29"/>
      <c r="AC1007" s="29"/>
      <c r="AD1007" s="29"/>
      <c r="AE1007" s="29"/>
      <c r="AF1007" s="29"/>
      <c r="AG1007" s="29"/>
    </row>
    <row r="1008">
      <c r="A1008" s="240" t="s">
        <v>1473</v>
      </c>
      <c r="B1008" s="240" t="s">
        <v>375</v>
      </c>
      <c r="C1008" s="218" t="s">
        <v>212</v>
      </c>
      <c r="D1008" s="321" t="s">
        <v>60</v>
      </c>
      <c r="E1008" s="240" t="s">
        <v>9139</v>
      </c>
      <c r="F1008" s="240" t="s">
        <v>2487</v>
      </c>
      <c r="G1008" s="493">
        <v>46050.0</v>
      </c>
      <c r="H1008" s="493">
        <v>46051.0</v>
      </c>
      <c r="I1008" s="189">
        <f>IFERROR(__xludf.DUMMYFUNCTION("IF(ISBLANK(H1008), TODAY()-TO_DATE(G1008), TO_DATE(H1008)-TO_DATE(G1008))+1"),2.0)</f>
        <v>2</v>
      </c>
      <c r="J1008" s="240">
        <v>300.0</v>
      </c>
      <c r="K1008" s="63"/>
      <c r="L1008" s="507"/>
      <c r="M1008" s="240" t="s">
        <v>9142</v>
      </c>
      <c r="N1008" s="29"/>
      <c r="O1008" s="29"/>
      <c r="P1008" s="29"/>
      <c r="Q1008" s="29"/>
      <c r="R1008" s="29"/>
      <c r="S1008" s="29"/>
      <c r="T1008" s="29"/>
      <c r="U1008" s="29"/>
      <c r="V1008" s="29"/>
      <c r="W1008" s="29"/>
      <c r="X1008" s="29"/>
      <c r="Y1008" s="29"/>
      <c r="Z1008" s="29"/>
      <c r="AA1008" s="29"/>
      <c r="AB1008" s="29"/>
      <c r="AC1008" s="29"/>
      <c r="AD1008" s="29"/>
      <c r="AE1008" s="29"/>
      <c r="AF1008" s="29"/>
      <c r="AG1008" s="29"/>
    </row>
    <row r="1009">
      <c r="A1009" s="240" t="s">
        <v>1566</v>
      </c>
      <c r="B1009" s="240" t="s">
        <v>375</v>
      </c>
      <c r="C1009" s="218" t="s">
        <v>786</v>
      </c>
      <c r="D1009" s="321" t="s">
        <v>60</v>
      </c>
      <c r="E1009" s="241" t="s">
        <v>1463</v>
      </c>
      <c r="F1009" s="240" t="s">
        <v>1464</v>
      </c>
      <c r="G1009" s="493">
        <v>46050.0</v>
      </c>
      <c r="H1009" s="493">
        <v>46051.0</v>
      </c>
      <c r="I1009" s="189">
        <f>IFERROR(__xludf.DUMMYFUNCTION("IF(ISBLANK(H1009), TODAY()-TO_DATE(G1009), TO_DATE(H1009)-TO_DATE(G1009))+1"),2.0)</f>
        <v>2</v>
      </c>
      <c r="J1009" s="240">
        <v>300.0</v>
      </c>
      <c r="K1009" s="63"/>
      <c r="L1009" s="507"/>
      <c r="M1009" s="240" t="s">
        <v>9143</v>
      </c>
      <c r="N1009" s="29"/>
      <c r="O1009" s="29"/>
      <c r="P1009" s="29"/>
      <c r="Q1009" s="29"/>
      <c r="R1009" s="29"/>
      <c r="S1009" s="29"/>
      <c r="T1009" s="29"/>
      <c r="U1009" s="29"/>
      <c r="V1009" s="29"/>
      <c r="W1009" s="29"/>
      <c r="X1009" s="29"/>
      <c r="Y1009" s="29"/>
      <c r="Z1009" s="29"/>
      <c r="AA1009" s="29"/>
      <c r="AB1009" s="29"/>
      <c r="AC1009" s="29"/>
      <c r="AD1009" s="29"/>
      <c r="AE1009" s="29"/>
      <c r="AF1009" s="29"/>
      <c r="AG1009" s="29"/>
    </row>
    <row r="1010">
      <c r="A1010" s="40" t="s">
        <v>145</v>
      </c>
      <c r="B1010" s="240" t="s">
        <v>375</v>
      </c>
      <c r="C1010" s="128"/>
      <c r="D1010" s="321" t="s">
        <v>60</v>
      </c>
      <c r="E1010" s="325" t="s">
        <v>8376</v>
      </c>
      <c r="F1010" s="325" t="s">
        <v>8378</v>
      </c>
      <c r="G1010" s="493">
        <v>46053.0</v>
      </c>
      <c r="H1010" s="493">
        <v>46061.0</v>
      </c>
      <c r="I1010" s="189">
        <f>IFERROR(__xludf.DUMMYFUNCTION("IF(ISBLANK(H1010), TODAY()-TO_DATE(G1010), TO_DATE(H1010)-TO_DATE(G1010))+1"),9.0)</f>
        <v>9</v>
      </c>
      <c r="J1010" s="240">
        <v>300.0</v>
      </c>
      <c r="K1010" s="649" t="s">
        <v>9148</v>
      </c>
      <c r="L1010" s="40" t="s">
        <v>9149</v>
      </c>
      <c r="M1010" s="240" t="s">
        <v>8623</v>
      </c>
      <c r="N1010" s="29"/>
      <c r="O1010" s="29"/>
      <c r="P1010" s="29"/>
      <c r="Q1010" s="29"/>
      <c r="R1010" s="29"/>
      <c r="S1010" s="29"/>
      <c r="T1010" s="29"/>
      <c r="U1010" s="29"/>
      <c r="V1010" s="29"/>
      <c r="W1010" s="29"/>
      <c r="X1010" s="29"/>
      <c r="Y1010" s="29"/>
      <c r="Z1010" s="29"/>
      <c r="AA1010" s="29"/>
      <c r="AB1010" s="29"/>
      <c r="AC1010" s="29"/>
      <c r="AD1010" s="29"/>
      <c r="AE1010" s="29"/>
      <c r="AF1010" s="29"/>
      <c r="AG1010" s="29"/>
    </row>
    <row r="1011">
      <c r="A1011" s="40" t="s">
        <v>145</v>
      </c>
      <c r="B1011" s="240" t="s">
        <v>375</v>
      </c>
      <c r="C1011" s="128"/>
      <c r="D1011" s="321" t="s">
        <v>60</v>
      </c>
      <c r="E1011" s="40" t="s">
        <v>9151</v>
      </c>
      <c r="F1011" s="40" t="s">
        <v>9152</v>
      </c>
      <c r="G1011" s="493">
        <v>46053.0</v>
      </c>
      <c r="H1011" s="493">
        <v>46083.0</v>
      </c>
      <c r="I1011" s="189">
        <f>IFERROR(__xludf.DUMMYFUNCTION("IF(ISBLANK(H1011), TODAY()-TO_DATE(G1011), TO_DATE(H1011)-TO_DATE(G1011))+1"),31.0)</f>
        <v>31</v>
      </c>
      <c r="J1011" s="240">
        <v>500.0</v>
      </c>
      <c r="K1011" s="40" t="s">
        <v>9153</v>
      </c>
      <c r="L1011" s="40" t="s">
        <v>9154</v>
      </c>
      <c r="M1011" s="240" t="s">
        <v>8623</v>
      </c>
      <c r="N1011" s="29"/>
      <c r="O1011" s="29"/>
      <c r="P1011" s="29"/>
      <c r="Q1011" s="29"/>
      <c r="R1011" s="29"/>
      <c r="S1011" s="29"/>
      <c r="T1011" s="29"/>
      <c r="U1011" s="29"/>
      <c r="V1011" s="29"/>
      <c r="W1011" s="29"/>
      <c r="X1011" s="29"/>
      <c r="Y1011" s="29"/>
      <c r="Z1011" s="29"/>
      <c r="AA1011" s="29"/>
      <c r="AB1011" s="29"/>
      <c r="AC1011" s="29"/>
      <c r="AD1011" s="29"/>
      <c r="AE1011" s="29"/>
      <c r="AF1011" s="29"/>
      <c r="AG1011" s="29"/>
    </row>
    <row r="1012">
      <c r="A1012" s="40" t="s">
        <v>8842</v>
      </c>
      <c r="B1012" s="240" t="s">
        <v>375</v>
      </c>
      <c r="C1012" s="218" t="s">
        <v>1536</v>
      </c>
      <c r="D1012" s="321" t="s">
        <v>60</v>
      </c>
      <c r="E1012" s="40" t="s">
        <v>9156</v>
      </c>
      <c r="F1012" s="40" t="s">
        <v>9158</v>
      </c>
      <c r="G1012" s="493">
        <v>46053.0</v>
      </c>
      <c r="H1012" s="493">
        <v>46091.0</v>
      </c>
      <c r="I1012" s="189">
        <f>IFERROR(__xludf.DUMMYFUNCTION("IF(ISBLANK(H1012), TODAY()-TO_DATE(G1012), TO_DATE(H1012)-TO_DATE(G1012))+1"),39.0)</f>
        <v>39</v>
      </c>
      <c r="J1012" s="240">
        <v>500.0</v>
      </c>
      <c r="K1012" s="40" t="s">
        <v>9160</v>
      </c>
      <c r="L1012" s="72"/>
      <c r="M1012" s="63"/>
      <c r="N1012" s="29"/>
      <c r="O1012" s="29"/>
      <c r="P1012" s="29"/>
      <c r="Q1012" s="29"/>
      <c r="R1012" s="29"/>
      <c r="S1012" s="29"/>
      <c r="T1012" s="29"/>
      <c r="U1012" s="29"/>
      <c r="V1012" s="29"/>
      <c r="W1012" s="29"/>
      <c r="X1012" s="29"/>
      <c r="Y1012" s="29"/>
      <c r="Z1012" s="29"/>
      <c r="AA1012" s="29"/>
      <c r="AB1012" s="29"/>
      <c r="AC1012" s="29"/>
      <c r="AD1012" s="29"/>
      <c r="AE1012" s="29"/>
      <c r="AF1012" s="29"/>
      <c r="AG1012" s="29"/>
    </row>
    <row r="1013">
      <c r="A1013" s="40" t="s">
        <v>145</v>
      </c>
      <c r="B1013" s="240" t="s">
        <v>375</v>
      </c>
      <c r="C1013" s="128"/>
      <c r="D1013" s="321" t="s">
        <v>60</v>
      </c>
      <c r="E1013" s="40" t="s">
        <v>7901</v>
      </c>
      <c r="F1013" s="40" t="s">
        <v>7905</v>
      </c>
      <c r="G1013" s="493">
        <v>46053.0</v>
      </c>
      <c r="H1013" s="493">
        <v>46084.0</v>
      </c>
      <c r="I1013" s="189">
        <f>IFERROR(__xludf.DUMMYFUNCTION("IF(ISBLANK(H1013), TODAY()-TO_DATE(G1013), TO_DATE(H1013)-TO_DATE(G1013))+1"),32.0)</f>
        <v>32</v>
      </c>
      <c r="J1013" s="240">
        <v>500.0</v>
      </c>
      <c r="K1013" s="40" t="s">
        <v>9161</v>
      </c>
      <c r="L1013" s="72"/>
      <c r="M1013" s="63"/>
      <c r="N1013" s="29"/>
      <c r="O1013" s="29"/>
      <c r="P1013" s="29"/>
      <c r="Q1013" s="29"/>
      <c r="R1013" s="29"/>
      <c r="S1013" s="29"/>
      <c r="T1013" s="29"/>
      <c r="U1013" s="29"/>
      <c r="V1013" s="29"/>
      <c r="W1013" s="29"/>
      <c r="X1013" s="29"/>
      <c r="Y1013" s="29"/>
      <c r="Z1013" s="29"/>
      <c r="AA1013" s="29"/>
      <c r="AB1013" s="29"/>
      <c r="AC1013" s="29"/>
      <c r="AD1013" s="29"/>
      <c r="AE1013" s="29"/>
      <c r="AF1013" s="29"/>
      <c r="AG1013" s="29"/>
    </row>
    <row r="1014">
      <c r="A1014" s="633" t="s">
        <v>150</v>
      </c>
      <c r="B1014" s="540" t="s">
        <v>375</v>
      </c>
      <c r="C1014" s="646" t="s">
        <v>201</v>
      </c>
      <c r="D1014" s="544" t="s">
        <v>60</v>
      </c>
      <c r="E1014" s="599" t="s">
        <v>7057</v>
      </c>
      <c r="F1014" s="599" t="s">
        <v>7058</v>
      </c>
      <c r="G1014" s="545">
        <v>46053.0</v>
      </c>
      <c r="H1014" s="545">
        <v>46063.0</v>
      </c>
      <c r="I1014" s="665">
        <f>IFERROR(__xludf.DUMMYFUNCTION("IF(ISBLANK(H1014), TODAY()-TO_DATE(G1014), TO_DATE(H1014)-TO_DATE(G1014))+1"),11.0)</f>
        <v>11</v>
      </c>
      <c r="J1014" s="540">
        <v>500.0</v>
      </c>
      <c r="K1014" s="633" t="s">
        <v>8319</v>
      </c>
      <c r="L1014" s="633" t="s">
        <v>9166</v>
      </c>
      <c r="M1014" s="540" t="s">
        <v>8623</v>
      </c>
      <c r="N1014" s="548"/>
      <c r="O1014" s="548"/>
      <c r="P1014" s="548"/>
      <c r="Q1014" s="548"/>
      <c r="R1014" s="548"/>
      <c r="S1014" s="548"/>
      <c r="T1014" s="548"/>
      <c r="U1014" s="548"/>
      <c r="V1014" s="548"/>
      <c r="W1014" s="548"/>
      <c r="X1014" s="548"/>
      <c r="Y1014" s="548"/>
      <c r="Z1014" s="548"/>
      <c r="AA1014" s="548"/>
      <c r="AB1014" s="548"/>
      <c r="AC1014" s="548"/>
      <c r="AD1014" s="548"/>
      <c r="AE1014" s="548"/>
      <c r="AF1014" s="548"/>
      <c r="AG1014" s="548"/>
    </row>
    <row r="1015">
      <c r="A1015" s="40" t="s">
        <v>2451</v>
      </c>
      <c r="B1015" s="240" t="s">
        <v>375</v>
      </c>
      <c r="C1015" s="218" t="s">
        <v>187</v>
      </c>
      <c r="D1015" s="321" t="s">
        <v>60</v>
      </c>
      <c r="E1015" s="933" t="s">
        <v>2602</v>
      </c>
      <c r="F1015" s="40" t="s">
        <v>634</v>
      </c>
      <c r="G1015" s="493">
        <v>46053.0</v>
      </c>
      <c r="H1015" s="493">
        <v>46115.0</v>
      </c>
      <c r="I1015" s="189">
        <f>IFERROR(__xludf.DUMMYFUNCTION("IF(ISBLANK(H1015), TODAY()-TO_DATE(G1015), TO_DATE(H1015)-TO_DATE(G1015))+1"),63.0)</f>
        <v>63</v>
      </c>
      <c r="J1015" s="240">
        <v>300.0</v>
      </c>
      <c r="K1015" s="40" t="s">
        <v>8748</v>
      </c>
      <c r="L1015" s="72"/>
      <c r="M1015" s="63"/>
      <c r="N1015" s="29"/>
      <c r="O1015" s="29"/>
      <c r="P1015" s="29"/>
      <c r="Q1015" s="29"/>
      <c r="R1015" s="29"/>
      <c r="S1015" s="29"/>
      <c r="T1015" s="29"/>
      <c r="U1015" s="29"/>
      <c r="V1015" s="29"/>
      <c r="W1015" s="29"/>
      <c r="X1015" s="29"/>
      <c r="Y1015" s="29"/>
      <c r="Z1015" s="29"/>
      <c r="AA1015" s="29"/>
      <c r="AB1015" s="29"/>
      <c r="AC1015" s="29"/>
      <c r="AD1015" s="29"/>
      <c r="AE1015" s="29"/>
      <c r="AF1015" s="29"/>
      <c r="AG1015" s="29"/>
    </row>
    <row r="1016">
      <c r="A1016" s="40" t="s">
        <v>2451</v>
      </c>
      <c r="B1016" s="240" t="s">
        <v>375</v>
      </c>
      <c r="C1016" s="218" t="s">
        <v>321</v>
      </c>
      <c r="D1016" s="85" t="s">
        <v>102</v>
      </c>
      <c r="E1016" s="40" t="s">
        <v>8780</v>
      </c>
      <c r="F1016" s="40" t="s">
        <v>8860</v>
      </c>
      <c r="G1016" s="493">
        <v>46053.0</v>
      </c>
      <c r="H1016" s="493">
        <v>46061.0</v>
      </c>
      <c r="I1016" s="189">
        <f>IFERROR(__xludf.DUMMYFUNCTION("IF(ISBLANK(H1016), TODAY()-TO_DATE(G1016), TO_DATE(H1016)-TO_DATE(G1016))+1"),9.0)</f>
        <v>9</v>
      </c>
      <c r="J1016" s="240">
        <v>300.0</v>
      </c>
      <c r="K1016" s="649" t="s">
        <v>8783</v>
      </c>
      <c r="L1016" s="649" t="s">
        <v>9174</v>
      </c>
      <c r="M1016" s="240" t="s">
        <v>8623</v>
      </c>
      <c r="N1016" s="29"/>
      <c r="O1016" s="29"/>
      <c r="P1016" s="29"/>
      <c r="Q1016" s="29"/>
      <c r="R1016" s="29"/>
      <c r="S1016" s="29"/>
      <c r="T1016" s="29"/>
      <c r="U1016" s="29"/>
      <c r="V1016" s="29"/>
      <c r="W1016" s="29"/>
      <c r="X1016" s="29"/>
      <c r="Y1016" s="29"/>
      <c r="Z1016" s="29"/>
      <c r="AA1016" s="29"/>
      <c r="AB1016" s="29"/>
      <c r="AC1016" s="29"/>
      <c r="AD1016" s="29"/>
      <c r="AE1016" s="29"/>
      <c r="AF1016" s="29"/>
      <c r="AG1016" s="29"/>
    </row>
    <row r="1017">
      <c r="A1017" s="40" t="s">
        <v>145</v>
      </c>
      <c r="B1017" s="240" t="s">
        <v>375</v>
      </c>
      <c r="C1017" s="128"/>
      <c r="D1017" s="321" t="s">
        <v>60</v>
      </c>
      <c r="E1017" s="40" t="s">
        <v>8826</v>
      </c>
      <c r="F1017" s="40" t="s">
        <v>8827</v>
      </c>
      <c r="G1017" s="493">
        <v>46053.0</v>
      </c>
      <c r="H1017" s="493">
        <v>46068.0</v>
      </c>
      <c r="I1017" s="189">
        <f>IFERROR(__xludf.DUMMYFUNCTION("IF(ISBLANK(H1017), TODAY()-TO_DATE(G1017), TO_DATE(H1017)-TO_DATE(G1017))+1"),16.0)</f>
        <v>16</v>
      </c>
      <c r="J1017" s="240">
        <v>300.0</v>
      </c>
      <c r="K1017" s="40" t="s">
        <v>8830</v>
      </c>
      <c r="L1017" s="72"/>
      <c r="M1017" s="63"/>
      <c r="N1017" s="29"/>
      <c r="O1017" s="29"/>
      <c r="P1017" s="29"/>
      <c r="Q1017" s="29"/>
      <c r="R1017" s="29"/>
      <c r="S1017" s="29"/>
      <c r="T1017" s="29"/>
      <c r="U1017" s="29"/>
      <c r="V1017" s="29"/>
      <c r="W1017" s="29"/>
      <c r="X1017" s="29"/>
      <c r="Y1017" s="29"/>
      <c r="Z1017" s="29"/>
      <c r="AA1017" s="29"/>
      <c r="AB1017" s="29"/>
      <c r="AC1017" s="29"/>
      <c r="AD1017" s="29"/>
      <c r="AE1017" s="29"/>
      <c r="AF1017" s="29"/>
      <c r="AG1017" s="29"/>
    </row>
    <row r="1018">
      <c r="A1018" s="40" t="s">
        <v>1032</v>
      </c>
      <c r="B1018" s="240" t="s">
        <v>375</v>
      </c>
      <c r="C1018" s="218" t="s">
        <v>201</v>
      </c>
      <c r="D1018" s="321" t="s">
        <v>60</v>
      </c>
      <c r="E1018" s="325" t="s">
        <v>1356</v>
      </c>
      <c r="F1018" s="325" t="s">
        <v>1358</v>
      </c>
      <c r="G1018" s="493">
        <v>46053.0</v>
      </c>
      <c r="H1018" s="493">
        <v>46122.0</v>
      </c>
      <c r="I1018" s="189">
        <f>IFERROR(__xludf.DUMMYFUNCTION("IF(ISBLANK(H1018), TODAY()-TO_DATE(G1018), TO_DATE(H1018)-TO_DATE(G1018))+1"),70.0)</f>
        <v>70</v>
      </c>
      <c r="J1018" s="240" t="s">
        <v>197</v>
      </c>
      <c r="K1018" s="40" t="s">
        <v>8907</v>
      </c>
      <c r="L1018" s="40" t="s">
        <v>9182</v>
      </c>
      <c r="M1018" s="63"/>
      <c r="N1018" s="29"/>
      <c r="O1018" s="29"/>
      <c r="P1018" s="29"/>
      <c r="Q1018" s="29"/>
      <c r="R1018" s="29"/>
      <c r="S1018" s="29"/>
      <c r="T1018" s="29"/>
      <c r="U1018" s="29"/>
      <c r="V1018" s="29"/>
      <c r="W1018" s="29"/>
      <c r="X1018" s="29"/>
      <c r="Y1018" s="29"/>
      <c r="Z1018" s="29"/>
      <c r="AA1018" s="29"/>
      <c r="AB1018" s="29"/>
      <c r="AC1018" s="29"/>
      <c r="AD1018" s="29"/>
      <c r="AE1018" s="29"/>
      <c r="AF1018" s="29"/>
      <c r="AG1018" s="29"/>
    </row>
    <row r="1019">
      <c r="A1019" s="633" t="s">
        <v>150</v>
      </c>
      <c r="B1019" s="540" t="s">
        <v>375</v>
      </c>
      <c r="C1019" s="820"/>
      <c r="D1019" s="544" t="s">
        <v>60</v>
      </c>
      <c r="E1019" s="540" t="s">
        <v>7074</v>
      </c>
      <c r="F1019" s="540" t="s">
        <v>7075</v>
      </c>
      <c r="G1019" s="545">
        <v>46054.0</v>
      </c>
      <c r="H1019" s="545">
        <v>46062.0</v>
      </c>
      <c r="I1019" s="665">
        <f>IFERROR(__xludf.DUMMYFUNCTION("IF(ISBLANK(H1019), TODAY()-TO_DATE(G1019), TO_DATE(H1019)-TO_DATE(G1019))+1"),9.0)</f>
        <v>9</v>
      </c>
      <c r="J1019" s="540">
        <v>500.0</v>
      </c>
      <c r="K1019" s="540" t="s">
        <v>9185</v>
      </c>
      <c r="L1019" s="633"/>
      <c r="M1019" s="540"/>
      <c r="N1019" s="548"/>
      <c r="O1019" s="548"/>
      <c r="P1019" s="548"/>
      <c r="Q1019" s="548"/>
      <c r="R1019" s="548"/>
      <c r="S1019" s="548"/>
      <c r="T1019" s="548"/>
      <c r="U1019" s="548"/>
      <c r="V1019" s="548"/>
      <c r="W1019" s="548"/>
      <c r="X1019" s="548"/>
      <c r="Y1019" s="548"/>
      <c r="Z1019" s="548"/>
      <c r="AA1019" s="548"/>
      <c r="AB1019" s="548"/>
      <c r="AC1019" s="548"/>
      <c r="AD1019" s="548"/>
      <c r="AE1019" s="548"/>
      <c r="AF1019" s="548"/>
      <c r="AG1019" s="548"/>
    </row>
    <row r="1020">
      <c r="A1020" s="40" t="s">
        <v>145</v>
      </c>
      <c r="B1020" s="240" t="s">
        <v>375</v>
      </c>
      <c r="C1020" s="128"/>
      <c r="D1020" s="85" t="s">
        <v>143</v>
      </c>
      <c r="E1020" s="240" t="s">
        <v>2628</v>
      </c>
      <c r="F1020" s="240" t="s">
        <v>2629</v>
      </c>
      <c r="G1020" s="493">
        <v>46054.0</v>
      </c>
      <c r="H1020" s="493">
        <v>46057.0</v>
      </c>
      <c r="I1020" s="189">
        <f>IFERROR(__xludf.DUMMYFUNCTION("IF(ISBLANK(H1020), TODAY()-TO_DATE(G1020), TO_DATE(H1020)-TO_DATE(G1020))+1"),4.0)</f>
        <v>4</v>
      </c>
      <c r="J1020" s="240">
        <v>300.0</v>
      </c>
      <c r="K1020" s="609" t="s">
        <v>9189</v>
      </c>
      <c r="L1020" s="40" t="s">
        <v>9149</v>
      </c>
      <c r="M1020" s="240" t="s">
        <v>8623</v>
      </c>
      <c r="N1020" s="29"/>
      <c r="O1020" s="29"/>
      <c r="P1020" s="29"/>
      <c r="Q1020" s="29"/>
      <c r="R1020" s="29"/>
      <c r="S1020" s="29"/>
      <c r="T1020" s="29"/>
      <c r="U1020" s="29"/>
      <c r="V1020" s="29"/>
      <c r="W1020" s="29"/>
      <c r="X1020" s="29"/>
      <c r="Y1020" s="29"/>
      <c r="Z1020" s="29"/>
      <c r="AA1020" s="29"/>
      <c r="AB1020" s="29"/>
      <c r="AC1020" s="29"/>
      <c r="AD1020" s="29"/>
      <c r="AE1020" s="29"/>
      <c r="AF1020" s="29"/>
      <c r="AG1020" s="29"/>
    </row>
    <row r="1021">
      <c r="A1021" s="240" t="s">
        <v>2451</v>
      </c>
      <c r="B1021" s="240" t="s">
        <v>375</v>
      </c>
      <c r="C1021" s="128"/>
      <c r="D1021" s="195"/>
      <c r="E1021" s="240" t="s">
        <v>9190</v>
      </c>
      <c r="F1021" s="240" t="s">
        <v>688</v>
      </c>
      <c r="G1021" s="493">
        <v>46057.0</v>
      </c>
      <c r="H1021" s="493">
        <v>46108.0</v>
      </c>
      <c r="I1021" s="189">
        <f>IFERROR(__xludf.DUMMYFUNCTION("IF(ISBLANK(H1021), TODAY()-TO_DATE(G1021), TO_DATE(H1021)-TO_DATE(G1021))+1"),52.0)</f>
        <v>52</v>
      </c>
      <c r="J1021" s="240">
        <v>500.0</v>
      </c>
      <c r="K1021" s="240" t="s">
        <v>9195</v>
      </c>
      <c r="L1021" s="321" t="s">
        <v>9196</v>
      </c>
      <c r="M1021" s="63"/>
      <c r="N1021" s="29"/>
      <c r="O1021" s="29"/>
      <c r="P1021" s="29"/>
      <c r="Q1021" s="29"/>
      <c r="R1021" s="29"/>
      <c r="S1021" s="29"/>
      <c r="T1021" s="29"/>
      <c r="U1021" s="29"/>
      <c r="V1021" s="29"/>
      <c r="W1021" s="29"/>
      <c r="X1021" s="29"/>
      <c r="Y1021" s="29"/>
      <c r="Z1021" s="29"/>
      <c r="AA1021" s="29"/>
      <c r="AB1021" s="29"/>
      <c r="AC1021" s="29"/>
      <c r="AD1021" s="29"/>
      <c r="AE1021" s="29"/>
      <c r="AF1021" s="29"/>
      <c r="AG1021" s="29"/>
    </row>
    <row r="1022">
      <c r="A1022" s="240" t="s">
        <v>9197</v>
      </c>
      <c r="B1022" s="240" t="s">
        <v>375</v>
      </c>
      <c r="C1022" s="128"/>
      <c r="D1022" s="195"/>
      <c r="E1022" s="240" t="s">
        <v>9198</v>
      </c>
      <c r="F1022" s="240" t="s">
        <v>1772</v>
      </c>
      <c r="G1022" s="493">
        <v>46057.0</v>
      </c>
      <c r="H1022" s="493">
        <v>46070.0</v>
      </c>
      <c r="I1022" s="189">
        <f>IFERROR(__xludf.DUMMYFUNCTION("IF(ISBLANK(H1022), TODAY()-TO_DATE(G1022), TO_DATE(H1022)-TO_DATE(G1022))+1"),14.0)</f>
        <v>14</v>
      </c>
      <c r="J1022" s="240">
        <v>500.0</v>
      </c>
      <c r="K1022" s="240" t="s">
        <v>9199</v>
      </c>
      <c r="L1022" s="507"/>
      <c r="M1022" s="63"/>
      <c r="N1022" s="29"/>
      <c r="O1022" s="29"/>
      <c r="P1022" s="29"/>
      <c r="Q1022" s="29"/>
      <c r="R1022" s="29"/>
      <c r="S1022" s="29"/>
      <c r="T1022" s="29"/>
      <c r="U1022" s="29"/>
      <c r="V1022" s="29"/>
      <c r="W1022" s="29"/>
      <c r="X1022" s="29"/>
      <c r="Y1022" s="29"/>
      <c r="Z1022" s="29"/>
      <c r="AA1022" s="29"/>
      <c r="AB1022" s="29"/>
      <c r="AC1022" s="29"/>
      <c r="AD1022" s="29"/>
      <c r="AE1022" s="29"/>
      <c r="AF1022" s="29"/>
      <c r="AG1022" s="29"/>
    </row>
    <row r="1023">
      <c r="A1023" s="240" t="s">
        <v>9197</v>
      </c>
      <c r="B1023" s="240" t="s">
        <v>375</v>
      </c>
      <c r="C1023" s="128"/>
      <c r="D1023" s="195"/>
      <c r="E1023" s="240" t="s">
        <v>9203</v>
      </c>
      <c r="F1023" s="240" t="s">
        <v>9204</v>
      </c>
      <c r="G1023" s="493">
        <v>46057.0</v>
      </c>
      <c r="H1023" s="493">
        <v>46110.0</v>
      </c>
      <c r="I1023" s="189">
        <f>IFERROR(__xludf.DUMMYFUNCTION("IF(ISBLANK(H1023), TODAY()-TO_DATE(G1023), TO_DATE(H1023)-TO_DATE(G1023))+1"),54.0)</f>
        <v>54</v>
      </c>
      <c r="J1023" s="240">
        <v>500.0</v>
      </c>
      <c r="K1023" s="240" t="s">
        <v>9205</v>
      </c>
      <c r="L1023" s="507"/>
      <c r="M1023" s="63"/>
      <c r="N1023" s="29"/>
      <c r="O1023" s="29"/>
      <c r="P1023" s="29"/>
      <c r="Q1023" s="29"/>
      <c r="R1023" s="29"/>
      <c r="S1023" s="29"/>
      <c r="T1023" s="29"/>
      <c r="U1023" s="29"/>
      <c r="V1023" s="29"/>
      <c r="W1023" s="29"/>
      <c r="X1023" s="29"/>
      <c r="Y1023" s="29"/>
      <c r="Z1023" s="29"/>
      <c r="AA1023" s="29"/>
      <c r="AB1023" s="29"/>
      <c r="AC1023" s="29"/>
      <c r="AD1023" s="29"/>
      <c r="AE1023" s="29"/>
      <c r="AF1023" s="29"/>
      <c r="AG1023" s="29"/>
    </row>
    <row r="1024">
      <c r="A1024" s="240" t="s">
        <v>145</v>
      </c>
      <c r="B1024" s="240" t="s">
        <v>375</v>
      </c>
      <c r="C1024" s="128"/>
      <c r="D1024" s="195"/>
      <c r="E1024" s="540" t="s">
        <v>9206</v>
      </c>
      <c r="F1024" s="240" t="s">
        <v>8210</v>
      </c>
      <c r="G1024" s="493">
        <v>46057.0</v>
      </c>
      <c r="H1024" s="493">
        <v>46110.0</v>
      </c>
      <c r="I1024" s="189">
        <f>IFERROR(__xludf.DUMMYFUNCTION("IF(ISBLANK(H1024), TODAY()-TO_DATE(G1024), TO_DATE(H1024)-TO_DATE(G1024))+1"),54.0)</f>
        <v>54</v>
      </c>
      <c r="J1024" s="240">
        <v>500.0</v>
      </c>
      <c r="K1024" s="240" t="s">
        <v>9207</v>
      </c>
      <c r="L1024" s="507"/>
      <c r="M1024" s="63"/>
      <c r="N1024" s="29"/>
      <c r="O1024" s="29"/>
      <c r="P1024" s="29"/>
      <c r="Q1024" s="29"/>
      <c r="R1024" s="29"/>
      <c r="S1024" s="29"/>
      <c r="T1024" s="29"/>
      <c r="U1024" s="29"/>
      <c r="V1024" s="29"/>
      <c r="W1024" s="29"/>
      <c r="X1024" s="29"/>
      <c r="Y1024" s="29"/>
      <c r="Z1024" s="29"/>
      <c r="AA1024" s="29"/>
      <c r="AB1024" s="29"/>
      <c r="AC1024" s="29"/>
      <c r="AD1024" s="29"/>
      <c r="AE1024" s="29"/>
      <c r="AF1024" s="29"/>
      <c r="AG1024" s="29"/>
    </row>
    <row r="1025">
      <c r="A1025" s="240" t="s">
        <v>3127</v>
      </c>
      <c r="B1025" s="240" t="s">
        <v>375</v>
      </c>
      <c r="C1025" s="128"/>
      <c r="D1025" s="195"/>
      <c r="E1025" s="240" t="s">
        <v>2498</v>
      </c>
      <c r="F1025" s="240" t="s">
        <v>1180</v>
      </c>
      <c r="G1025" s="493">
        <v>46057.0</v>
      </c>
      <c r="H1025" s="493">
        <v>46129.0</v>
      </c>
      <c r="I1025" s="189">
        <f>IFERROR(__xludf.DUMMYFUNCTION("IF(ISBLANK(H1025), TODAY()-TO_DATE(G1025), TO_DATE(H1025)-TO_DATE(G1025))+1"),73.0)</f>
        <v>73</v>
      </c>
      <c r="J1025" s="240">
        <v>500.0</v>
      </c>
      <c r="K1025" s="240" t="s">
        <v>9212</v>
      </c>
      <c r="L1025" s="321" t="s">
        <v>9213</v>
      </c>
      <c r="M1025" s="63"/>
      <c r="N1025" s="29"/>
      <c r="O1025" s="29"/>
      <c r="P1025" s="29"/>
      <c r="Q1025" s="29"/>
      <c r="R1025" s="29"/>
      <c r="S1025" s="29"/>
      <c r="T1025" s="29"/>
      <c r="U1025" s="29"/>
      <c r="V1025" s="29"/>
      <c r="W1025" s="29"/>
      <c r="X1025" s="29"/>
      <c r="Y1025" s="29"/>
      <c r="Z1025" s="29"/>
      <c r="AA1025" s="29"/>
      <c r="AB1025" s="29"/>
      <c r="AC1025" s="29"/>
      <c r="AD1025" s="29"/>
      <c r="AE1025" s="29"/>
      <c r="AF1025" s="29"/>
      <c r="AG1025" s="29"/>
    </row>
    <row r="1026">
      <c r="A1026" s="240" t="s">
        <v>145</v>
      </c>
      <c r="B1026" s="240" t="s">
        <v>375</v>
      </c>
      <c r="C1026" s="128"/>
      <c r="D1026" s="195"/>
      <c r="E1026" s="935" t="s">
        <v>9215</v>
      </c>
      <c r="F1026" s="240" t="s">
        <v>9219</v>
      </c>
      <c r="G1026" s="493">
        <v>46057.0</v>
      </c>
      <c r="H1026" s="493">
        <v>46115.0</v>
      </c>
      <c r="I1026" s="189">
        <f>IFERROR(__xludf.DUMMYFUNCTION("IF(ISBLANK(H1026), TODAY()-TO_DATE(G1026), TO_DATE(H1026)-TO_DATE(G1026))+1"),59.0)</f>
        <v>59</v>
      </c>
      <c r="J1026" s="240">
        <v>300.0</v>
      </c>
      <c r="K1026" s="240" t="s">
        <v>9220</v>
      </c>
      <c r="L1026" s="321" t="s">
        <v>9221</v>
      </c>
      <c r="M1026" s="63"/>
      <c r="N1026" s="29"/>
      <c r="O1026" s="29"/>
      <c r="P1026" s="29"/>
      <c r="Q1026" s="29"/>
      <c r="R1026" s="29"/>
      <c r="S1026" s="29"/>
      <c r="T1026" s="29"/>
      <c r="U1026" s="29"/>
      <c r="V1026" s="29"/>
      <c r="W1026" s="29"/>
      <c r="X1026" s="29"/>
      <c r="Y1026" s="29"/>
      <c r="Z1026" s="29"/>
      <c r="AA1026" s="29"/>
      <c r="AB1026" s="29"/>
      <c r="AC1026" s="29"/>
      <c r="AD1026" s="29"/>
      <c r="AE1026" s="29"/>
      <c r="AF1026" s="29"/>
      <c r="AG1026" s="29"/>
    </row>
    <row r="1027">
      <c r="A1027" s="240" t="s">
        <v>1032</v>
      </c>
      <c r="B1027" s="240" t="s">
        <v>375</v>
      </c>
      <c r="C1027" s="128"/>
      <c r="D1027" s="195"/>
      <c r="E1027" s="240" t="s">
        <v>1688</v>
      </c>
      <c r="F1027" s="240" t="s">
        <v>1689</v>
      </c>
      <c r="G1027" s="493">
        <v>46058.0</v>
      </c>
      <c r="H1027" s="493">
        <v>46131.0</v>
      </c>
      <c r="I1027" s="189">
        <f>IFERROR(__xludf.DUMMYFUNCTION("IF(ISBLANK(H1027), TODAY()-TO_DATE(G1027), TO_DATE(H1027)-TO_DATE(G1027))+1"),74.0)</f>
        <v>74</v>
      </c>
      <c r="J1027" s="240" t="s">
        <v>197</v>
      </c>
      <c r="K1027" s="240" t="s">
        <v>9225</v>
      </c>
      <c r="L1027" s="321" t="s">
        <v>5916</v>
      </c>
      <c r="M1027" s="240" t="s">
        <v>9226</v>
      </c>
      <c r="N1027" s="29"/>
      <c r="O1027" s="29"/>
      <c r="P1027" s="29"/>
      <c r="Q1027" s="29"/>
      <c r="R1027" s="29"/>
      <c r="S1027" s="29"/>
      <c r="T1027" s="29"/>
      <c r="U1027" s="29"/>
      <c r="V1027" s="29"/>
      <c r="W1027" s="29"/>
      <c r="X1027" s="29"/>
      <c r="Y1027" s="29"/>
      <c r="Z1027" s="29"/>
      <c r="AA1027" s="29"/>
      <c r="AB1027" s="29"/>
      <c r="AC1027" s="29"/>
      <c r="AD1027" s="29"/>
      <c r="AE1027" s="29"/>
      <c r="AF1027" s="29"/>
      <c r="AG1027" s="29"/>
    </row>
    <row r="1028">
      <c r="A1028" s="240" t="s">
        <v>2451</v>
      </c>
      <c r="B1028" s="240" t="s">
        <v>375</v>
      </c>
      <c r="C1028" s="128"/>
      <c r="D1028" s="195"/>
      <c r="E1028" s="240" t="s">
        <v>9227</v>
      </c>
      <c r="F1028" s="240" t="s">
        <v>6145</v>
      </c>
      <c r="G1028" s="493">
        <v>46058.0</v>
      </c>
      <c r="H1028" s="493">
        <v>46063.0</v>
      </c>
      <c r="I1028" s="189">
        <f>IFERROR(__xludf.DUMMYFUNCTION("IF(ISBLANK(H1028), TODAY()-TO_DATE(G1028), TO_DATE(H1028)-TO_DATE(G1028))+1"),6.0)</f>
        <v>6</v>
      </c>
      <c r="J1028" s="240" t="s">
        <v>197</v>
      </c>
      <c r="K1028" s="240" t="s">
        <v>9229</v>
      </c>
      <c r="L1028" s="321"/>
      <c r="M1028" s="63"/>
      <c r="N1028" s="29"/>
      <c r="O1028" s="29"/>
      <c r="P1028" s="29"/>
      <c r="Q1028" s="29"/>
      <c r="R1028" s="29"/>
      <c r="S1028" s="29"/>
      <c r="T1028" s="29"/>
      <c r="U1028" s="29"/>
      <c r="V1028" s="29"/>
      <c r="W1028" s="29"/>
      <c r="X1028" s="29"/>
      <c r="Y1028" s="29"/>
      <c r="Z1028" s="29"/>
      <c r="AA1028" s="29"/>
      <c r="AB1028" s="29"/>
      <c r="AC1028" s="29"/>
      <c r="AD1028" s="29"/>
      <c r="AE1028" s="29"/>
      <c r="AF1028" s="29"/>
      <c r="AG1028" s="29"/>
    </row>
    <row r="1029">
      <c r="A1029" s="240" t="s">
        <v>715</v>
      </c>
      <c r="B1029" s="240" t="s">
        <v>375</v>
      </c>
      <c r="C1029" s="128"/>
      <c r="D1029" s="195"/>
      <c r="E1029" s="240" t="s">
        <v>9106</v>
      </c>
      <c r="F1029" s="240" t="s">
        <v>3110</v>
      </c>
      <c r="G1029" s="493">
        <v>46058.0</v>
      </c>
      <c r="H1029" s="493">
        <v>46107.0</v>
      </c>
      <c r="I1029" s="189">
        <f>IFERROR(__xludf.DUMMYFUNCTION("IF(ISBLANK(H1029), TODAY()-TO_DATE(G1029), TO_DATE(H1029)-TO_DATE(G1029))+1"),50.0)</f>
        <v>50</v>
      </c>
      <c r="J1029" s="240">
        <v>500.0</v>
      </c>
      <c r="K1029" s="240" t="s">
        <v>9234</v>
      </c>
      <c r="L1029" s="321" t="s">
        <v>8402</v>
      </c>
      <c r="M1029" s="240" t="s">
        <v>9226</v>
      </c>
      <c r="N1029" s="29"/>
      <c r="O1029" s="29"/>
      <c r="P1029" s="29"/>
      <c r="Q1029" s="29"/>
      <c r="R1029" s="29"/>
      <c r="S1029" s="29"/>
      <c r="T1029" s="29"/>
      <c r="U1029" s="29"/>
      <c r="V1029" s="29"/>
      <c r="W1029" s="29"/>
      <c r="X1029" s="29"/>
      <c r="Y1029" s="29"/>
      <c r="Z1029" s="29"/>
      <c r="AA1029" s="29"/>
      <c r="AB1029" s="29"/>
      <c r="AC1029" s="29"/>
      <c r="AD1029" s="29"/>
      <c r="AE1029" s="29"/>
      <c r="AF1029" s="29"/>
      <c r="AG1029" s="29"/>
    </row>
    <row r="1030">
      <c r="A1030" s="240" t="s">
        <v>2451</v>
      </c>
      <c r="B1030" s="240" t="s">
        <v>375</v>
      </c>
      <c r="C1030" s="128"/>
      <c r="D1030" s="195"/>
      <c r="E1030" s="240" t="s">
        <v>7453</v>
      </c>
      <c r="F1030" s="240" t="s">
        <v>7455</v>
      </c>
      <c r="G1030" s="493">
        <v>46058.0</v>
      </c>
      <c r="H1030" s="493">
        <v>46078.0</v>
      </c>
      <c r="I1030" s="189">
        <f>IFERROR(__xludf.DUMMYFUNCTION("IF(ISBLANK(H1030), TODAY()-TO_DATE(G1030), TO_DATE(H1030)-TO_DATE(G1030))+1"),21.0)</f>
        <v>21</v>
      </c>
      <c r="J1030" s="240">
        <v>500.0</v>
      </c>
      <c r="K1030" s="240" t="s">
        <v>9240</v>
      </c>
      <c r="L1030" s="321"/>
      <c r="M1030" s="63"/>
      <c r="N1030" s="29"/>
      <c r="O1030" s="29"/>
      <c r="P1030" s="29"/>
      <c r="Q1030" s="29"/>
      <c r="R1030" s="29"/>
      <c r="S1030" s="29"/>
      <c r="T1030" s="29"/>
      <c r="U1030" s="29"/>
      <c r="V1030" s="29"/>
      <c r="W1030" s="29"/>
      <c r="X1030" s="29"/>
      <c r="Y1030" s="29"/>
      <c r="Z1030" s="29"/>
      <c r="AA1030" s="29"/>
      <c r="AB1030" s="29"/>
      <c r="AC1030" s="29"/>
      <c r="AD1030" s="29"/>
      <c r="AE1030" s="29"/>
      <c r="AF1030" s="29"/>
      <c r="AG1030" s="29"/>
    </row>
    <row r="1031">
      <c r="A1031" s="240" t="s">
        <v>2451</v>
      </c>
      <c r="B1031" s="240" t="s">
        <v>375</v>
      </c>
      <c r="C1031" s="128"/>
      <c r="D1031" s="195"/>
      <c r="E1031" s="540" t="s">
        <v>9243</v>
      </c>
      <c r="F1031" s="240" t="s">
        <v>9244</v>
      </c>
      <c r="G1031" s="493">
        <v>46059.0</v>
      </c>
      <c r="H1031" s="493">
        <v>46088.0</v>
      </c>
      <c r="I1031" s="189">
        <f>IFERROR(__xludf.DUMMYFUNCTION("IF(ISBLANK(H1031), TODAY()-TO_DATE(G1031), TO_DATE(H1031)-TO_DATE(G1031))+1"),30.0)</f>
        <v>30</v>
      </c>
      <c r="J1031" s="240">
        <v>500.0</v>
      </c>
      <c r="K1031" s="240" t="s">
        <v>9246</v>
      </c>
      <c r="L1031" s="321" t="s">
        <v>6342</v>
      </c>
      <c r="M1031" s="240" t="s">
        <v>9226</v>
      </c>
      <c r="N1031" s="29"/>
      <c r="O1031" s="29"/>
      <c r="P1031" s="29"/>
      <c r="Q1031" s="29"/>
      <c r="R1031" s="29"/>
      <c r="S1031" s="29"/>
      <c r="T1031" s="29"/>
      <c r="U1031" s="29"/>
      <c r="V1031" s="29"/>
      <c r="W1031" s="29"/>
      <c r="X1031" s="29"/>
      <c r="Y1031" s="29"/>
      <c r="Z1031" s="29"/>
      <c r="AA1031" s="29"/>
      <c r="AB1031" s="29"/>
      <c r="AC1031" s="29"/>
      <c r="AD1031" s="29"/>
      <c r="AE1031" s="29"/>
      <c r="AF1031" s="29"/>
      <c r="AG1031" s="29"/>
    </row>
    <row r="1032">
      <c r="A1032" s="240" t="s">
        <v>1032</v>
      </c>
      <c r="B1032" s="240" t="s">
        <v>375</v>
      </c>
      <c r="C1032" s="128"/>
      <c r="D1032" s="195"/>
      <c r="E1032" s="240" t="s">
        <v>9250</v>
      </c>
      <c r="F1032" s="240" t="s">
        <v>6488</v>
      </c>
      <c r="G1032" s="493">
        <v>46059.0</v>
      </c>
      <c r="H1032" s="493">
        <v>46068.0</v>
      </c>
      <c r="I1032" s="189">
        <f>IFERROR(__xludf.DUMMYFUNCTION("IF(ISBLANK(H1032), TODAY()-TO_DATE(G1032), TO_DATE(H1032)-TO_DATE(G1032))+1"),10.0)</f>
        <v>10</v>
      </c>
      <c r="J1032" s="240">
        <v>300.0</v>
      </c>
      <c r="K1032" s="240" t="s">
        <v>9251</v>
      </c>
      <c r="L1032" s="321"/>
      <c r="M1032" s="240" t="s">
        <v>9226</v>
      </c>
      <c r="N1032" s="29"/>
      <c r="O1032" s="29"/>
      <c r="P1032" s="29"/>
      <c r="Q1032" s="29"/>
      <c r="R1032" s="29"/>
      <c r="S1032" s="29"/>
      <c r="T1032" s="29"/>
      <c r="U1032" s="29"/>
      <c r="V1032" s="29"/>
      <c r="W1032" s="29"/>
      <c r="X1032" s="29"/>
      <c r="Y1032" s="29"/>
      <c r="Z1032" s="29"/>
      <c r="AA1032" s="29"/>
      <c r="AB1032" s="29"/>
      <c r="AC1032" s="29"/>
      <c r="AD1032" s="29"/>
      <c r="AE1032" s="29"/>
      <c r="AF1032" s="29"/>
      <c r="AG1032" s="29"/>
    </row>
    <row r="1033">
      <c r="A1033" s="937" t="s">
        <v>150</v>
      </c>
      <c r="B1033" s="937" t="s">
        <v>375</v>
      </c>
      <c r="C1033" s="939"/>
      <c r="D1033" s="940"/>
      <c r="E1033" s="937" t="s">
        <v>9256</v>
      </c>
      <c r="F1033" s="937" t="s">
        <v>9257</v>
      </c>
      <c r="G1033" s="941">
        <v>46059.0</v>
      </c>
      <c r="H1033" s="941">
        <v>46081.0</v>
      </c>
      <c r="I1033" s="943">
        <f>IFERROR(__xludf.DUMMYFUNCTION("IF(ISBLANK(H1033), TODAY()-TO_DATE(G1033), TO_DATE(H1033)-TO_DATE(G1033))+1"),23.0)</f>
        <v>23</v>
      </c>
      <c r="J1033" s="937">
        <v>500.0</v>
      </c>
      <c r="K1033" s="937" t="s">
        <v>9261</v>
      </c>
      <c r="L1033" s="944" t="s">
        <v>9031</v>
      </c>
      <c r="M1033" s="945"/>
      <c r="N1033" s="946"/>
      <c r="O1033" s="946"/>
      <c r="P1033" s="946"/>
      <c r="Q1033" s="946"/>
      <c r="R1033" s="946"/>
      <c r="S1033" s="946"/>
      <c r="T1033" s="946"/>
      <c r="U1033" s="946"/>
      <c r="V1033" s="946"/>
      <c r="W1033" s="946"/>
      <c r="X1033" s="946"/>
      <c r="Y1033" s="946"/>
      <c r="Z1033" s="946"/>
      <c r="AA1033" s="946"/>
      <c r="AB1033" s="946"/>
      <c r="AC1033" s="946"/>
      <c r="AD1033" s="946"/>
      <c r="AE1033" s="946"/>
      <c r="AF1033" s="946"/>
      <c r="AG1033" s="946"/>
    </row>
    <row r="1034">
      <c r="A1034" s="947" t="s">
        <v>7477</v>
      </c>
      <c r="B1034" s="240" t="s">
        <v>375</v>
      </c>
      <c r="C1034" s="218" t="s">
        <v>9264</v>
      </c>
      <c r="D1034" s="321" t="s">
        <v>102</v>
      </c>
      <c r="E1034" s="321" t="s">
        <v>9265</v>
      </c>
      <c r="F1034" s="240" t="s">
        <v>2248</v>
      </c>
      <c r="G1034" s="493">
        <v>46032.0</v>
      </c>
      <c r="H1034" s="493">
        <v>46131.0</v>
      </c>
      <c r="I1034" s="189">
        <f>IFERROR(__xludf.DUMMYFUNCTION("IF(ISBLANK(H1034), TODAY()-TO_DATE(G1034), TO_DATE(H1034)-TO_DATE(G1034))+1"),100.0)</f>
        <v>100</v>
      </c>
      <c r="J1034" s="240" t="s">
        <v>197</v>
      </c>
      <c r="K1034" s="240"/>
      <c r="L1034" s="321"/>
      <c r="M1034" s="63"/>
      <c r="N1034" s="29"/>
      <c r="O1034" s="29"/>
      <c r="P1034" s="29"/>
      <c r="Q1034" s="29"/>
      <c r="R1034" s="29"/>
      <c r="S1034" s="29"/>
      <c r="T1034" s="29"/>
      <c r="U1034" s="29"/>
      <c r="V1034" s="29"/>
      <c r="W1034" s="29"/>
      <c r="X1034" s="29"/>
      <c r="Y1034" s="29"/>
      <c r="Z1034" s="29"/>
      <c r="AA1034" s="29"/>
      <c r="AB1034" s="29"/>
      <c r="AC1034" s="29"/>
      <c r="AD1034" s="29"/>
      <c r="AE1034" s="29"/>
      <c r="AF1034" s="29"/>
      <c r="AG1034" s="29"/>
    </row>
    <row r="1035">
      <c r="A1035" s="947" t="s">
        <v>7477</v>
      </c>
      <c r="B1035" s="240" t="s">
        <v>375</v>
      </c>
      <c r="C1035" s="218" t="s">
        <v>9267</v>
      </c>
      <c r="D1035" s="321" t="s">
        <v>326</v>
      </c>
      <c r="E1035" s="321" t="s">
        <v>9269</v>
      </c>
      <c r="F1035" s="240" t="s">
        <v>5951</v>
      </c>
      <c r="G1035" s="493">
        <v>46032.0</v>
      </c>
      <c r="H1035" s="493">
        <v>46105.0</v>
      </c>
      <c r="I1035" s="189">
        <f>IFERROR(__xludf.DUMMYFUNCTION("IF(ISBLANK(H1035), TODAY()-TO_DATE(G1035), TO_DATE(H1035)-TO_DATE(G1035))+1"),74.0)</f>
        <v>74</v>
      </c>
      <c r="J1035" s="240" t="s">
        <v>197</v>
      </c>
      <c r="K1035" s="240"/>
      <c r="L1035" s="321"/>
      <c r="M1035" s="63"/>
      <c r="N1035" s="29"/>
      <c r="O1035" s="29"/>
      <c r="P1035" s="29"/>
      <c r="Q1035" s="29"/>
      <c r="R1035" s="29"/>
      <c r="S1035" s="29"/>
      <c r="T1035" s="29"/>
      <c r="U1035" s="29"/>
      <c r="V1035" s="29"/>
      <c r="W1035" s="29"/>
      <c r="X1035" s="29"/>
      <c r="Y1035" s="29"/>
      <c r="Z1035" s="29"/>
      <c r="AA1035" s="29"/>
      <c r="AB1035" s="29"/>
      <c r="AC1035" s="29"/>
      <c r="AD1035" s="29"/>
      <c r="AE1035" s="29"/>
      <c r="AF1035" s="29"/>
      <c r="AG1035" s="29"/>
    </row>
    <row r="1036">
      <c r="A1036" s="947" t="s">
        <v>7477</v>
      </c>
      <c r="B1036" s="240" t="s">
        <v>375</v>
      </c>
      <c r="C1036" s="218" t="s">
        <v>9271</v>
      </c>
      <c r="D1036" s="321" t="s">
        <v>60</v>
      </c>
      <c r="E1036" s="321" t="s">
        <v>9272</v>
      </c>
      <c r="F1036" s="240" t="s">
        <v>9273</v>
      </c>
      <c r="G1036" s="493">
        <v>46033.0</v>
      </c>
      <c r="H1036" s="493">
        <v>46105.0</v>
      </c>
      <c r="I1036" s="189">
        <f>IFERROR(__xludf.DUMMYFUNCTION("IF(ISBLANK(H1036), TODAY()-TO_DATE(G1036), TO_DATE(H1036)-TO_DATE(G1036))+1"),73.0)</f>
        <v>73</v>
      </c>
      <c r="J1036" s="240" t="s">
        <v>197</v>
      </c>
      <c r="K1036" s="240"/>
      <c r="L1036" s="321"/>
      <c r="M1036" s="63"/>
      <c r="N1036" s="29"/>
      <c r="O1036" s="29"/>
      <c r="P1036" s="29"/>
      <c r="Q1036" s="29"/>
      <c r="R1036" s="29"/>
      <c r="S1036" s="29"/>
      <c r="T1036" s="29"/>
      <c r="U1036" s="29"/>
      <c r="V1036" s="29"/>
      <c r="W1036" s="29"/>
      <c r="X1036" s="29"/>
      <c r="Y1036" s="29"/>
      <c r="Z1036" s="29"/>
      <c r="AA1036" s="29"/>
      <c r="AB1036" s="29"/>
      <c r="AC1036" s="29"/>
      <c r="AD1036" s="29"/>
      <c r="AE1036" s="29"/>
      <c r="AF1036" s="29"/>
      <c r="AG1036" s="29"/>
    </row>
    <row r="1037">
      <c r="A1037" s="947" t="s">
        <v>7477</v>
      </c>
      <c r="B1037" s="240" t="s">
        <v>375</v>
      </c>
      <c r="C1037" s="218" t="s">
        <v>9274</v>
      </c>
      <c r="D1037" s="321" t="s">
        <v>60</v>
      </c>
      <c r="E1037" s="321" t="s">
        <v>9275</v>
      </c>
      <c r="F1037" s="240" t="s">
        <v>9277</v>
      </c>
      <c r="G1037" s="493">
        <v>46033.0</v>
      </c>
      <c r="H1037" s="493">
        <v>46118.0</v>
      </c>
      <c r="I1037" s="189">
        <f>IFERROR(__xludf.DUMMYFUNCTION("IF(ISBLANK(H1037), TODAY()-TO_DATE(G1037), TO_DATE(H1037)-TO_DATE(G1037))+1"),86.0)</f>
        <v>86</v>
      </c>
      <c r="J1037" s="240">
        <v>500.0</v>
      </c>
      <c r="K1037" s="240"/>
      <c r="L1037" s="321"/>
      <c r="M1037" s="63"/>
      <c r="N1037" s="29"/>
      <c r="O1037" s="29"/>
      <c r="P1037" s="29"/>
      <c r="Q1037" s="29"/>
      <c r="R1037" s="29"/>
      <c r="S1037" s="29"/>
      <c r="T1037" s="29"/>
      <c r="U1037" s="29"/>
      <c r="V1037" s="29"/>
      <c r="W1037" s="29"/>
      <c r="X1037" s="29"/>
      <c r="Y1037" s="29"/>
      <c r="Z1037" s="29"/>
      <c r="AA1037" s="29"/>
      <c r="AB1037" s="29"/>
      <c r="AC1037" s="29"/>
      <c r="AD1037" s="29"/>
      <c r="AE1037" s="29"/>
      <c r="AF1037" s="29"/>
      <c r="AG1037" s="29"/>
    </row>
    <row r="1038">
      <c r="A1038" s="947" t="s">
        <v>7477</v>
      </c>
      <c r="B1038" s="240" t="s">
        <v>375</v>
      </c>
      <c r="C1038" s="218" t="s">
        <v>7482</v>
      </c>
      <c r="D1038" s="321" t="s">
        <v>60</v>
      </c>
      <c r="E1038" s="321" t="s">
        <v>7489</v>
      </c>
      <c r="F1038" s="240" t="s">
        <v>7490</v>
      </c>
      <c r="G1038" s="493">
        <v>46033.0</v>
      </c>
      <c r="H1038" s="493">
        <v>46074.0</v>
      </c>
      <c r="I1038" s="189">
        <f>IFERROR(__xludf.DUMMYFUNCTION("IF(ISBLANK(H1038), TODAY()-TO_DATE(G1038), TO_DATE(H1038)-TO_DATE(G1038))+1"),42.0)</f>
        <v>42</v>
      </c>
      <c r="J1038" s="240">
        <v>500.0</v>
      </c>
      <c r="K1038" s="240"/>
      <c r="L1038" s="321"/>
      <c r="M1038" s="63"/>
      <c r="N1038" s="29"/>
      <c r="O1038" s="29"/>
      <c r="P1038" s="29"/>
      <c r="Q1038" s="29"/>
      <c r="R1038" s="29"/>
      <c r="S1038" s="29"/>
      <c r="T1038" s="29"/>
      <c r="U1038" s="29"/>
      <c r="V1038" s="29"/>
      <c r="W1038" s="29"/>
      <c r="X1038" s="29"/>
      <c r="Y1038" s="29"/>
      <c r="Z1038" s="29"/>
      <c r="AA1038" s="29"/>
      <c r="AB1038" s="29"/>
      <c r="AC1038" s="29"/>
      <c r="AD1038" s="29"/>
      <c r="AE1038" s="29"/>
      <c r="AF1038" s="29"/>
      <c r="AG1038" s="29"/>
    </row>
    <row r="1039">
      <c r="A1039" s="947" t="s">
        <v>7477</v>
      </c>
      <c r="B1039" s="240" t="s">
        <v>375</v>
      </c>
      <c r="C1039" s="218" t="s">
        <v>9284</v>
      </c>
      <c r="D1039" s="321" t="s">
        <v>60</v>
      </c>
      <c r="E1039" s="321" t="s">
        <v>9285</v>
      </c>
      <c r="F1039" s="240" t="s">
        <v>1206</v>
      </c>
      <c r="G1039" s="493">
        <v>46038.0</v>
      </c>
      <c r="H1039" s="493">
        <v>46124.0</v>
      </c>
      <c r="I1039" s="189">
        <f>IFERROR(__xludf.DUMMYFUNCTION("IF(ISBLANK(H1039), TODAY()-TO_DATE(G1039), TO_DATE(H1039)-TO_DATE(G1039))+1"),87.0)</f>
        <v>87</v>
      </c>
      <c r="J1039" s="240" t="s">
        <v>197</v>
      </c>
      <c r="K1039" s="240"/>
      <c r="L1039" s="321"/>
      <c r="M1039" s="63"/>
      <c r="N1039" s="29"/>
      <c r="O1039" s="29"/>
      <c r="P1039" s="29"/>
      <c r="Q1039" s="29"/>
      <c r="R1039" s="29"/>
      <c r="S1039" s="29"/>
      <c r="T1039" s="29"/>
      <c r="U1039" s="29"/>
      <c r="V1039" s="29"/>
      <c r="W1039" s="29"/>
      <c r="X1039" s="29"/>
      <c r="Y1039" s="29"/>
      <c r="Z1039" s="29"/>
      <c r="AA1039" s="29"/>
      <c r="AB1039" s="29"/>
      <c r="AC1039" s="29"/>
      <c r="AD1039" s="29"/>
      <c r="AE1039" s="29"/>
      <c r="AF1039" s="29"/>
      <c r="AG1039" s="29"/>
    </row>
    <row r="1040">
      <c r="A1040" s="947" t="s">
        <v>7477</v>
      </c>
      <c r="B1040" s="240" t="s">
        <v>375</v>
      </c>
      <c r="C1040" s="218" t="s">
        <v>9287</v>
      </c>
      <c r="D1040" s="321" t="s">
        <v>60</v>
      </c>
      <c r="E1040" s="321" t="s">
        <v>9288</v>
      </c>
      <c r="F1040" s="240" t="s">
        <v>6692</v>
      </c>
      <c r="G1040" s="493">
        <v>46033.0</v>
      </c>
      <c r="H1040" s="493">
        <v>46105.0</v>
      </c>
      <c r="I1040" s="189">
        <f>IFERROR(__xludf.DUMMYFUNCTION("IF(ISBLANK(H1040), TODAY()-TO_DATE(G1040), TO_DATE(H1040)-TO_DATE(G1040))+1"),73.0)</f>
        <v>73</v>
      </c>
      <c r="J1040" s="240" t="s">
        <v>197</v>
      </c>
      <c r="K1040" s="240"/>
      <c r="L1040" s="321"/>
      <c r="M1040" s="63"/>
      <c r="N1040" s="29"/>
      <c r="O1040" s="29"/>
      <c r="P1040" s="29"/>
      <c r="Q1040" s="29"/>
      <c r="R1040" s="29"/>
      <c r="S1040" s="29"/>
      <c r="T1040" s="29"/>
      <c r="U1040" s="29"/>
      <c r="V1040" s="29"/>
      <c r="W1040" s="29"/>
      <c r="X1040" s="29"/>
      <c r="Y1040" s="29"/>
      <c r="Z1040" s="29"/>
      <c r="AA1040" s="29"/>
      <c r="AB1040" s="29"/>
      <c r="AC1040" s="29"/>
      <c r="AD1040" s="29"/>
      <c r="AE1040" s="29"/>
      <c r="AF1040" s="29"/>
      <c r="AG1040" s="29"/>
    </row>
    <row r="1041">
      <c r="A1041" s="947" t="s">
        <v>7477</v>
      </c>
      <c r="B1041" s="240" t="s">
        <v>375</v>
      </c>
      <c r="C1041" s="71" t="s">
        <v>9290</v>
      </c>
      <c r="D1041" s="321" t="s">
        <v>60</v>
      </c>
      <c r="E1041" s="321" t="s">
        <v>7505</v>
      </c>
      <c r="F1041" s="240" t="s">
        <v>7506</v>
      </c>
      <c r="G1041" s="493">
        <v>46047.0</v>
      </c>
      <c r="H1041" s="493">
        <v>46075.0</v>
      </c>
      <c r="I1041" s="189">
        <f>IFERROR(__xludf.DUMMYFUNCTION("IF(ISBLANK(H1041), TODAY()-TO_DATE(G1041), TO_DATE(H1041)-TO_DATE(G1041))+1"),29.0)</f>
        <v>29</v>
      </c>
      <c r="J1041" s="240">
        <v>500.0</v>
      </c>
      <c r="K1041" s="240"/>
      <c r="L1041" s="321"/>
      <c r="M1041" s="63"/>
      <c r="N1041" s="29"/>
      <c r="O1041" s="29"/>
      <c r="P1041" s="29"/>
      <c r="Q1041" s="29"/>
      <c r="R1041" s="29"/>
      <c r="S1041" s="29"/>
      <c r="T1041" s="29"/>
      <c r="U1041" s="29"/>
      <c r="V1041" s="29"/>
      <c r="W1041" s="29"/>
      <c r="X1041" s="29"/>
      <c r="Y1041" s="29"/>
      <c r="Z1041" s="29"/>
      <c r="AA1041" s="29"/>
      <c r="AB1041" s="29"/>
      <c r="AC1041" s="29"/>
      <c r="AD1041" s="29"/>
      <c r="AE1041" s="29"/>
      <c r="AF1041" s="29"/>
      <c r="AG1041" s="29"/>
    </row>
    <row r="1042">
      <c r="A1042" s="947" t="s">
        <v>7477</v>
      </c>
      <c r="B1042" s="240" t="s">
        <v>375</v>
      </c>
      <c r="C1042" s="218" t="s">
        <v>7513</v>
      </c>
      <c r="D1042" s="321" t="s">
        <v>60</v>
      </c>
      <c r="E1042" s="321" t="s">
        <v>7518</v>
      </c>
      <c r="F1042" s="240" t="s">
        <v>7519</v>
      </c>
      <c r="G1042" s="493">
        <v>46033.0</v>
      </c>
      <c r="H1042" s="493">
        <v>46074.0</v>
      </c>
      <c r="I1042" s="189">
        <f>IFERROR(__xludf.DUMMYFUNCTION("IF(ISBLANK(H1042), TODAY()-TO_DATE(G1042), TO_DATE(H1042)-TO_DATE(G1042))+1"),42.0)</f>
        <v>42</v>
      </c>
      <c r="J1042" s="240">
        <v>500.0</v>
      </c>
      <c r="K1042" s="240"/>
      <c r="L1042" s="321"/>
      <c r="M1042" s="63"/>
      <c r="N1042" s="29"/>
      <c r="O1042" s="29"/>
      <c r="P1042" s="29"/>
      <c r="Q1042" s="29"/>
      <c r="R1042" s="29"/>
      <c r="S1042" s="29"/>
      <c r="T1042" s="29"/>
      <c r="U1042" s="29"/>
      <c r="V1042" s="29"/>
      <c r="W1042" s="29"/>
      <c r="X1042" s="29"/>
      <c r="Y1042" s="29"/>
      <c r="Z1042" s="29"/>
      <c r="AA1042" s="29"/>
      <c r="AB1042" s="29"/>
      <c r="AC1042" s="29"/>
      <c r="AD1042" s="29"/>
      <c r="AE1042" s="29"/>
      <c r="AF1042" s="29"/>
      <c r="AG1042" s="29"/>
    </row>
    <row r="1043">
      <c r="A1043" s="947" t="s">
        <v>9293</v>
      </c>
      <c r="B1043" s="240" t="s">
        <v>375</v>
      </c>
      <c r="C1043" s="71" t="s">
        <v>9294</v>
      </c>
      <c r="D1043" s="321" t="s">
        <v>60</v>
      </c>
      <c r="E1043" s="321" t="s">
        <v>3198</v>
      </c>
      <c r="F1043" s="240" t="s">
        <v>3200</v>
      </c>
      <c r="G1043" s="493">
        <v>46042.0</v>
      </c>
      <c r="H1043" s="493">
        <v>46131.0</v>
      </c>
      <c r="I1043" s="189">
        <f>IFERROR(__xludf.DUMMYFUNCTION("IF(ISBLANK(H1043), TODAY()-TO_DATE(G1043), TO_DATE(H1043)-TO_DATE(G1043))+1"),90.0)</f>
        <v>90</v>
      </c>
      <c r="J1043" s="240" t="s">
        <v>197</v>
      </c>
      <c r="K1043" s="240"/>
      <c r="L1043" s="321"/>
      <c r="M1043" s="63"/>
      <c r="N1043" s="29"/>
      <c r="O1043" s="29"/>
      <c r="P1043" s="29"/>
      <c r="Q1043" s="29"/>
      <c r="R1043" s="29"/>
      <c r="S1043" s="29"/>
      <c r="T1043" s="29"/>
      <c r="U1043" s="29"/>
      <c r="V1043" s="29"/>
      <c r="W1043" s="29"/>
      <c r="X1043" s="29"/>
      <c r="Y1043" s="29"/>
      <c r="Z1043" s="29"/>
      <c r="AA1043" s="29"/>
      <c r="AB1043" s="29"/>
      <c r="AC1043" s="29"/>
      <c r="AD1043" s="29"/>
      <c r="AE1043" s="29"/>
      <c r="AF1043" s="29"/>
      <c r="AG1043" s="29"/>
    </row>
    <row r="1044">
      <c r="A1044" s="947" t="s">
        <v>5418</v>
      </c>
      <c r="B1044" s="240" t="s">
        <v>375</v>
      </c>
      <c r="C1044" s="71" t="s">
        <v>8387</v>
      </c>
      <c r="D1044" s="321" t="s">
        <v>60</v>
      </c>
      <c r="E1044" s="321" t="s">
        <v>3203</v>
      </c>
      <c r="F1044" s="240" t="s">
        <v>3204</v>
      </c>
      <c r="G1044" s="493">
        <v>46044.0</v>
      </c>
      <c r="H1044" s="493">
        <v>46131.0</v>
      </c>
      <c r="I1044" s="189">
        <f>IFERROR(__xludf.DUMMYFUNCTION("IF(ISBLANK(H1044), TODAY()-TO_DATE(G1044), TO_DATE(H1044)-TO_DATE(G1044))+1"),88.0)</f>
        <v>88</v>
      </c>
      <c r="J1044" s="240" t="s">
        <v>197</v>
      </c>
      <c r="K1044" s="240"/>
      <c r="L1044" s="321"/>
      <c r="M1044" s="63"/>
      <c r="N1044" s="29"/>
      <c r="O1044" s="29"/>
      <c r="P1044" s="29"/>
      <c r="Q1044" s="29"/>
      <c r="R1044" s="29"/>
      <c r="S1044" s="29"/>
      <c r="T1044" s="29"/>
      <c r="U1044" s="29"/>
      <c r="V1044" s="29"/>
      <c r="W1044" s="29"/>
      <c r="X1044" s="29"/>
      <c r="Y1044" s="29"/>
      <c r="Z1044" s="29"/>
      <c r="AA1044" s="29"/>
      <c r="AB1044" s="29"/>
      <c r="AC1044" s="29"/>
      <c r="AD1044" s="29"/>
      <c r="AE1044" s="29"/>
      <c r="AF1044" s="29"/>
      <c r="AG1044" s="29"/>
    </row>
    <row r="1045">
      <c r="A1045" s="947" t="s">
        <v>7885</v>
      </c>
      <c r="B1045" s="240" t="s">
        <v>375</v>
      </c>
      <c r="C1045" s="71" t="s">
        <v>8852</v>
      </c>
      <c r="D1045" s="321" t="s">
        <v>60</v>
      </c>
      <c r="E1045" s="321" t="s">
        <v>8853</v>
      </c>
      <c r="F1045" s="240" t="s">
        <v>2836</v>
      </c>
      <c r="G1045" s="493">
        <v>46052.0</v>
      </c>
      <c r="H1045" s="493">
        <v>46063.0</v>
      </c>
      <c r="I1045" s="189">
        <f>IFERROR(__xludf.DUMMYFUNCTION("IF(ISBLANK(H1045), TODAY()-TO_DATE(G1045), TO_DATE(H1045)-TO_DATE(G1045))+1"),12.0)</f>
        <v>12</v>
      </c>
      <c r="J1045" s="240" t="s">
        <v>197</v>
      </c>
      <c r="K1045" s="240"/>
      <c r="L1045" s="321"/>
      <c r="M1045" s="63"/>
      <c r="N1045" s="29"/>
      <c r="O1045" s="29"/>
      <c r="P1045" s="29"/>
      <c r="Q1045" s="29"/>
      <c r="R1045" s="29"/>
      <c r="S1045" s="29"/>
      <c r="T1045" s="29"/>
      <c r="U1045" s="29"/>
      <c r="V1045" s="29"/>
      <c r="W1045" s="29"/>
      <c r="X1045" s="29"/>
      <c r="Y1045" s="29"/>
      <c r="Z1045" s="29"/>
      <c r="AA1045" s="29"/>
      <c r="AB1045" s="29"/>
      <c r="AC1045" s="29"/>
      <c r="AD1045" s="29"/>
      <c r="AE1045" s="29"/>
      <c r="AF1045" s="29"/>
      <c r="AG1045" s="29"/>
    </row>
    <row r="1046">
      <c r="A1046" s="947" t="s">
        <v>7885</v>
      </c>
      <c r="B1046" s="240" t="s">
        <v>375</v>
      </c>
      <c r="C1046" s="71" t="s">
        <v>8863</v>
      </c>
      <c r="D1046" s="321" t="s">
        <v>60</v>
      </c>
      <c r="E1046" s="321" t="s">
        <v>8866</v>
      </c>
      <c r="F1046" s="240" t="s">
        <v>8868</v>
      </c>
      <c r="G1046" s="493">
        <v>46052.0</v>
      </c>
      <c r="H1046" s="493">
        <v>46063.0</v>
      </c>
      <c r="I1046" s="189">
        <f>IFERROR(__xludf.DUMMYFUNCTION("IF(ISBLANK(H1046), TODAY()-TO_DATE(G1046), TO_DATE(H1046)-TO_DATE(G1046))+1"),12.0)</f>
        <v>12</v>
      </c>
      <c r="J1046" s="240" t="s">
        <v>197</v>
      </c>
      <c r="K1046" s="240"/>
      <c r="L1046" s="321"/>
      <c r="M1046" s="63"/>
      <c r="N1046" s="29"/>
      <c r="O1046" s="29"/>
      <c r="P1046" s="29"/>
      <c r="Q1046" s="29"/>
      <c r="R1046" s="29"/>
      <c r="S1046" s="29"/>
      <c r="T1046" s="29"/>
      <c r="U1046" s="29"/>
      <c r="V1046" s="29"/>
      <c r="W1046" s="29"/>
      <c r="X1046" s="29"/>
      <c r="Y1046" s="29"/>
      <c r="Z1046" s="29"/>
      <c r="AA1046" s="29"/>
      <c r="AB1046" s="29"/>
      <c r="AC1046" s="29"/>
      <c r="AD1046" s="29"/>
      <c r="AE1046" s="29"/>
      <c r="AF1046" s="29"/>
      <c r="AG1046" s="29"/>
    </row>
    <row r="1047">
      <c r="A1047" s="947" t="s">
        <v>7885</v>
      </c>
      <c r="B1047" s="240" t="s">
        <v>375</v>
      </c>
      <c r="C1047" s="71" t="s">
        <v>7886</v>
      </c>
      <c r="D1047" s="321" t="s">
        <v>60</v>
      </c>
      <c r="E1047" s="321" t="s">
        <v>7888</v>
      </c>
      <c r="F1047" s="240" t="s">
        <v>7889</v>
      </c>
      <c r="G1047" s="493">
        <v>46052.0</v>
      </c>
      <c r="H1047" s="493">
        <v>46063.0</v>
      </c>
      <c r="I1047" s="189">
        <f>IFERROR(__xludf.DUMMYFUNCTION("IF(ISBLANK(H1047), TODAY()-TO_DATE(G1047), TO_DATE(H1047)-TO_DATE(G1047))+1"),12.0)</f>
        <v>12</v>
      </c>
      <c r="J1047" s="240" t="s">
        <v>197</v>
      </c>
      <c r="K1047" s="240"/>
      <c r="L1047" s="321"/>
      <c r="M1047" s="63"/>
      <c r="N1047" s="29"/>
      <c r="O1047" s="29"/>
      <c r="P1047" s="29"/>
      <c r="Q1047" s="29"/>
      <c r="R1047" s="29"/>
      <c r="S1047" s="29"/>
      <c r="T1047" s="29"/>
      <c r="U1047" s="29"/>
      <c r="V1047" s="29"/>
      <c r="W1047" s="29"/>
      <c r="X1047" s="29"/>
      <c r="Y1047" s="29"/>
      <c r="Z1047" s="29"/>
      <c r="AA1047" s="29"/>
      <c r="AB1047" s="29"/>
      <c r="AC1047" s="29"/>
      <c r="AD1047" s="29"/>
      <c r="AE1047" s="29"/>
      <c r="AF1047" s="29"/>
      <c r="AG1047" s="29"/>
    </row>
    <row r="1048">
      <c r="A1048" s="947" t="s">
        <v>7885</v>
      </c>
      <c r="B1048" s="240" t="s">
        <v>375</v>
      </c>
      <c r="C1048" s="71" t="s">
        <v>8863</v>
      </c>
      <c r="D1048" s="321" t="s">
        <v>326</v>
      </c>
      <c r="E1048" s="321" t="s">
        <v>8876</v>
      </c>
      <c r="F1048" s="240" t="s">
        <v>8877</v>
      </c>
      <c r="G1048" s="493">
        <v>46052.0</v>
      </c>
      <c r="H1048" s="493">
        <v>46063.0</v>
      </c>
      <c r="I1048" s="189">
        <f>IFERROR(__xludf.DUMMYFUNCTION("IF(ISBLANK(H1048), TODAY()-TO_DATE(G1048), TO_DATE(H1048)-TO_DATE(G1048))+1"),12.0)</f>
        <v>12</v>
      </c>
      <c r="J1048" s="240" t="s">
        <v>197</v>
      </c>
      <c r="K1048" s="240"/>
      <c r="L1048" s="321"/>
      <c r="M1048" s="63"/>
      <c r="N1048" s="29"/>
      <c r="O1048" s="29"/>
      <c r="P1048" s="29"/>
      <c r="Q1048" s="29"/>
      <c r="R1048" s="29"/>
      <c r="S1048" s="29"/>
      <c r="T1048" s="29"/>
      <c r="U1048" s="29"/>
      <c r="V1048" s="29"/>
      <c r="W1048" s="29"/>
      <c r="X1048" s="29"/>
      <c r="Y1048" s="29"/>
      <c r="Z1048" s="29"/>
      <c r="AA1048" s="29"/>
      <c r="AB1048" s="29"/>
      <c r="AC1048" s="29"/>
      <c r="AD1048" s="29"/>
      <c r="AE1048" s="29"/>
      <c r="AF1048" s="29"/>
      <c r="AG1048" s="29"/>
    </row>
    <row r="1049">
      <c r="A1049" s="240" t="s">
        <v>150</v>
      </c>
      <c r="B1049" s="240" t="s">
        <v>375</v>
      </c>
      <c r="C1049" s="218" t="s">
        <v>201</v>
      </c>
      <c r="D1049" s="85" t="s">
        <v>60</v>
      </c>
      <c r="E1049" s="240" t="s">
        <v>9310</v>
      </c>
      <c r="F1049" s="240" t="s">
        <v>1391</v>
      </c>
      <c r="G1049" s="493">
        <v>46059.0</v>
      </c>
      <c r="H1049" s="493">
        <v>46068.0</v>
      </c>
      <c r="I1049" s="189">
        <f>IFERROR(__xludf.DUMMYFUNCTION("IF(ISBLANK(H1049), TODAY()-TO_DATE(G1049), TO_DATE(H1049)-TO_DATE(G1049))+1"),10.0)</f>
        <v>10</v>
      </c>
      <c r="J1049" s="240">
        <v>300.0</v>
      </c>
      <c r="K1049" s="240" t="s">
        <v>9311</v>
      </c>
      <c r="L1049" s="321"/>
      <c r="M1049" s="63"/>
      <c r="N1049" s="29"/>
      <c r="O1049" s="29"/>
      <c r="P1049" s="29"/>
      <c r="Q1049" s="29"/>
      <c r="R1049" s="29"/>
      <c r="S1049" s="29"/>
      <c r="T1049" s="29"/>
      <c r="U1049" s="29"/>
      <c r="V1049" s="29"/>
      <c r="W1049" s="29"/>
      <c r="X1049" s="29"/>
      <c r="Y1049" s="29"/>
      <c r="Z1049" s="29"/>
      <c r="AA1049" s="29"/>
      <c r="AB1049" s="29"/>
      <c r="AC1049" s="29"/>
      <c r="AD1049" s="29"/>
      <c r="AE1049" s="29"/>
      <c r="AF1049" s="29"/>
      <c r="AG1049" s="29"/>
    </row>
    <row r="1050">
      <c r="A1050" s="240" t="s">
        <v>2451</v>
      </c>
      <c r="B1050" s="240" t="s">
        <v>375</v>
      </c>
      <c r="C1050" s="218" t="s">
        <v>213</v>
      </c>
      <c r="D1050" s="85" t="s">
        <v>60</v>
      </c>
      <c r="E1050" s="240" t="s">
        <v>602</v>
      </c>
      <c r="F1050" s="240" t="s">
        <v>603</v>
      </c>
      <c r="G1050" s="493">
        <v>46063.0</v>
      </c>
      <c r="H1050" s="493">
        <v>46120.0</v>
      </c>
      <c r="I1050" s="189">
        <f>IFERROR(__xludf.DUMMYFUNCTION("IF(ISBLANK(H1050), TODAY()-TO_DATE(G1050), TO_DATE(H1050)-TO_DATE(G1050))+1"),58.0)</f>
        <v>58</v>
      </c>
      <c r="J1050" s="240" t="s">
        <v>197</v>
      </c>
      <c r="K1050" s="321" t="s">
        <v>9313</v>
      </c>
      <c r="L1050" s="624" t="s">
        <v>9314</v>
      </c>
      <c r="M1050" s="63"/>
      <c r="N1050" s="29"/>
      <c r="O1050" s="29"/>
      <c r="P1050" s="29"/>
      <c r="Q1050" s="29"/>
      <c r="R1050" s="29"/>
      <c r="S1050" s="29"/>
      <c r="T1050" s="29"/>
      <c r="U1050" s="29"/>
      <c r="V1050" s="29"/>
      <c r="W1050" s="29"/>
      <c r="X1050" s="29"/>
      <c r="Y1050" s="29"/>
      <c r="Z1050" s="29"/>
      <c r="AA1050" s="29"/>
      <c r="AB1050" s="29"/>
      <c r="AC1050" s="29"/>
      <c r="AD1050" s="29"/>
      <c r="AE1050" s="29"/>
      <c r="AF1050" s="29"/>
      <c r="AG1050" s="29"/>
    </row>
    <row r="1051">
      <c r="A1051" s="240" t="s">
        <v>2451</v>
      </c>
      <c r="B1051" s="240" t="s">
        <v>375</v>
      </c>
      <c r="C1051" s="218" t="s">
        <v>302</v>
      </c>
      <c r="D1051" s="85" t="s">
        <v>60</v>
      </c>
      <c r="E1051" s="240" t="s">
        <v>8611</v>
      </c>
      <c r="F1051" s="240" t="s">
        <v>8612</v>
      </c>
      <c r="G1051" s="493">
        <v>46063.0</v>
      </c>
      <c r="H1051" s="493">
        <v>46071.0</v>
      </c>
      <c r="I1051" s="189">
        <f>IFERROR(__xludf.DUMMYFUNCTION("IF(ISBLANK(H1051), TODAY()-TO_DATE(G1051), TO_DATE(H1051)-TO_DATE(G1051))+1"),9.0)</f>
        <v>9</v>
      </c>
      <c r="J1051" s="240">
        <v>200.0</v>
      </c>
      <c r="K1051" s="321" t="s">
        <v>9317</v>
      </c>
      <c r="L1051" s="321" t="s">
        <v>9318</v>
      </c>
      <c r="M1051" s="63"/>
      <c r="N1051" s="29"/>
      <c r="O1051" s="29"/>
      <c r="P1051" s="29"/>
      <c r="Q1051" s="29"/>
      <c r="R1051" s="29"/>
      <c r="S1051" s="29"/>
      <c r="T1051" s="29"/>
      <c r="U1051" s="29"/>
      <c r="V1051" s="29"/>
      <c r="W1051" s="29"/>
      <c r="X1051" s="29"/>
      <c r="Y1051" s="29"/>
      <c r="Z1051" s="29"/>
      <c r="AA1051" s="29"/>
      <c r="AB1051" s="29"/>
      <c r="AC1051" s="29"/>
      <c r="AD1051" s="29"/>
      <c r="AE1051" s="29"/>
      <c r="AF1051" s="29"/>
      <c r="AG1051" s="29"/>
    </row>
    <row r="1052">
      <c r="A1052" s="240" t="s">
        <v>150</v>
      </c>
      <c r="B1052" s="240" t="s">
        <v>375</v>
      </c>
      <c r="C1052" s="218" t="s">
        <v>786</v>
      </c>
      <c r="D1052" s="85" t="s">
        <v>60</v>
      </c>
      <c r="E1052" s="240" t="s">
        <v>826</v>
      </c>
      <c r="F1052" s="240" t="s">
        <v>828</v>
      </c>
      <c r="G1052" s="493">
        <v>46063.0</v>
      </c>
      <c r="H1052" s="493">
        <v>46153.0</v>
      </c>
      <c r="I1052" s="189">
        <f>IFERROR(__xludf.DUMMYFUNCTION("IF(ISBLANK(H1052), TODAY()-TO_DATE(G1052), TO_DATE(H1052)-TO_DATE(G1052))+1"),91.0)</f>
        <v>91</v>
      </c>
      <c r="J1052" s="240" t="s">
        <v>197</v>
      </c>
      <c r="K1052" s="741" t="s">
        <v>9320</v>
      </c>
      <c r="L1052" s="321" t="s">
        <v>9322</v>
      </c>
      <c r="M1052" s="63"/>
      <c r="N1052" s="29"/>
      <c r="O1052" s="29"/>
      <c r="P1052" s="29"/>
      <c r="Q1052" s="29"/>
      <c r="R1052" s="29"/>
      <c r="S1052" s="29"/>
      <c r="T1052" s="29"/>
      <c r="U1052" s="29"/>
      <c r="V1052" s="29"/>
      <c r="W1052" s="29"/>
      <c r="X1052" s="29"/>
      <c r="Y1052" s="29"/>
      <c r="Z1052" s="29"/>
      <c r="AA1052" s="29"/>
      <c r="AB1052" s="29"/>
      <c r="AC1052" s="29"/>
      <c r="AD1052" s="29"/>
      <c r="AE1052" s="29"/>
      <c r="AF1052" s="29"/>
      <c r="AG1052" s="29"/>
    </row>
    <row r="1053">
      <c r="A1053" s="240" t="s">
        <v>1313</v>
      </c>
      <c r="B1053" s="240" t="s">
        <v>375</v>
      </c>
      <c r="C1053" s="218" t="s">
        <v>8723</v>
      </c>
      <c r="D1053" s="85" t="s">
        <v>60</v>
      </c>
      <c r="E1053" s="240" t="s">
        <v>8724</v>
      </c>
      <c r="F1053" s="240" t="s">
        <v>1287</v>
      </c>
      <c r="G1053" s="493">
        <v>46063.0</v>
      </c>
      <c r="H1053" s="493">
        <v>46120.0</v>
      </c>
      <c r="I1053" s="189">
        <f>IFERROR(__xludf.DUMMYFUNCTION("IF(ISBLANK(H1053), TODAY()-TO_DATE(G1053), TO_DATE(H1053)-TO_DATE(G1053))+1"),58.0)</f>
        <v>58</v>
      </c>
      <c r="J1053" s="240" t="s">
        <v>197</v>
      </c>
      <c r="K1053" s="240" t="s">
        <v>9323</v>
      </c>
      <c r="L1053" s="321"/>
      <c r="M1053" s="63"/>
      <c r="N1053" s="29"/>
      <c r="O1053" s="29"/>
      <c r="P1053" s="29"/>
      <c r="Q1053" s="29"/>
      <c r="R1053" s="29"/>
      <c r="S1053" s="29"/>
      <c r="T1053" s="29"/>
      <c r="U1053" s="29"/>
      <c r="V1053" s="29"/>
      <c r="W1053" s="29"/>
      <c r="X1053" s="29"/>
      <c r="Y1053" s="29"/>
      <c r="Z1053" s="29"/>
      <c r="AA1053" s="29"/>
      <c r="AB1053" s="29"/>
      <c r="AC1053" s="29"/>
      <c r="AD1053" s="29"/>
      <c r="AE1053" s="29"/>
      <c r="AF1053" s="29"/>
      <c r="AG1053" s="29"/>
    </row>
    <row r="1054">
      <c r="A1054" s="240" t="s">
        <v>150</v>
      </c>
      <c r="B1054" s="240" t="s">
        <v>1187</v>
      </c>
      <c r="C1054" s="218" t="s">
        <v>58</v>
      </c>
      <c r="D1054" s="85" t="s">
        <v>656</v>
      </c>
      <c r="E1054" s="240" t="s">
        <v>9324</v>
      </c>
      <c r="F1054" s="240" t="s">
        <v>9325</v>
      </c>
      <c r="G1054" s="493">
        <v>46064.0</v>
      </c>
      <c r="H1054" s="493">
        <v>46095.0</v>
      </c>
      <c r="I1054" s="189">
        <f>IFERROR(__xludf.DUMMYFUNCTION("IF(ISBLANK(H1054), TODAY()-TO_DATE(G1054), TO_DATE(H1054)-TO_DATE(G1054))+1"),32.0)</f>
        <v>32</v>
      </c>
      <c r="J1054" s="240" t="s">
        <v>8926</v>
      </c>
      <c r="K1054" s="240" t="s">
        <v>9328</v>
      </c>
      <c r="L1054" s="321" t="s">
        <v>9329</v>
      </c>
      <c r="M1054" s="63"/>
      <c r="N1054" s="29"/>
      <c r="O1054" s="29"/>
      <c r="P1054" s="29"/>
      <c r="Q1054" s="29"/>
      <c r="R1054" s="29"/>
      <c r="S1054" s="29"/>
      <c r="T1054" s="29"/>
      <c r="U1054" s="29"/>
      <c r="V1054" s="29"/>
      <c r="W1054" s="29"/>
      <c r="X1054" s="29"/>
      <c r="Y1054" s="29"/>
      <c r="Z1054" s="29"/>
      <c r="AA1054" s="29"/>
      <c r="AB1054" s="29"/>
      <c r="AC1054" s="29"/>
      <c r="AD1054" s="29"/>
      <c r="AE1054" s="29"/>
      <c r="AF1054" s="29"/>
      <c r="AG1054" s="29"/>
    </row>
    <row r="1055">
      <c r="A1055" s="240" t="s">
        <v>150</v>
      </c>
      <c r="B1055" s="240" t="s">
        <v>1187</v>
      </c>
      <c r="C1055" s="218" t="s">
        <v>58</v>
      </c>
      <c r="D1055" s="321" t="s">
        <v>60</v>
      </c>
      <c r="E1055" s="540" t="s">
        <v>9330</v>
      </c>
      <c r="F1055" s="240" t="s">
        <v>9331</v>
      </c>
      <c r="G1055" s="493">
        <v>46064.0</v>
      </c>
      <c r="H1055" s="493">
        <v>46087.0</v>
      </c>
      <c r="I1055" s="189">
        <f>IFERROR(__xludf.DUMMYFUNCTION("IF(ISBLANK(H1055), TODAY()-TO_DATE(G1055), TO_DATE(H1055)-TO_DATE(G1055))+1"),24.0)</f>
        <v>24</v>
      </c>
      <c r="J1055" s="240">
        <v>500.0</v>
      </c>
      <c r="K1055" s="240" t="s">
        <v>9334</v>
      </c>
      <c r="L1055" s="321"/>
      <c r="M1055" s="63"/>
      <c r="N1055" s="29"/>
      <c r="O1055" s="29"/>
      <c r="P1055" s="29"/>
      <c r="Q1055" s="29"/>
      <c r="R1055" s="29"/>
      <c r="S1055" s="29"/>
      <c r="T1055" s="29"/>
      <c r="U1055" s="29"/>
      <c r="V1055" s="29"/>
      <c r="W1055" s="29"/>
      <c r="X1055" s="29"/>
      <c r="Y1055" s="29"/>
      <c r="Z1055" s="29"/>
      <c r="AA1055" s="29"/>
      <c r="AB1055" s="29"/>
      <c r="AC1055" s="29"/>
      <c r="AD1055" s="29"/>
      <c r="AE1055" s="29"/>
      <c r="AF1055" s="29"/>
      <c r="AG1055" s="29"/>
    </row>
    <row r="1056">
      <c r="A1056" s="240" t="s">
        <v>150</v>
      </c>
      <c r="B1056" s="240" t="s">
        <v>1187</v>
      </c>
      <c r="C1056" s="218" t="s">
        <v>58</v>
      </c>
      <c r="D1056" s="85" t="s">
        <v>656</v>
      </c>
      <c r="E1056" s="540" t="s">
        <v>9296</v>
      </c>
      <c r="F1056" s="240" t="s">
        <v>9297</v>
      </c>
      <c r="G1056" s="493">
        <v>46064.0</v>
      </c>
      <c r="H1056" s="493">
        <v>46093.0</v>
      </c>
      <c r="I1056" s="189">
        <f>IFERROR(__xludf.DUMMYFUNCTION("IF(ISBLANK(H1056), TODAY()-TO_DATE(G1056), TO_DATE(H1056)-TO_DATE(G1056))+1"),30.0)</f>
        <v>30</v>
      </c>
      <c r="J1056" s="240">
        <v>500.0</v>
      </c>
      <c r="K1056" s="240" t="s">
        <v>9336</v>
      </c>
      <c r="L1056" s="321"/>
      <c r="M1056" s="63"/>
      <c r="N1056" s="29"/>
      <c r="O1056" s="29"/>
      <c r="P1056" s="29"/>
      <c r="Q1056" s="29"/>
      <c r="R1056" s="29"/>
      <c r="S1056" s="29"/>
      <c r="T1056" s="29"/>
      <c r="U1056" s="29"/>
      <c r="V1056" s="29"/>
      <c r="W1056" s="29"/>
      <c r="X1056" s="29"/>
      <c r="Y1056" s="29"/>
      <c r="Z1056" s="29"/>
      <c r="AA1056" s="29"/>
      <c r="AB1056" s="29"/>
      <c r="AC1056" s="29"/>
      <c r="AD1056" s="29"/>
      <c r="AE1056" s="29"/>
      <c r="AF1056" s="29"/>
      <c r="AG1056" s="29"/>
    </row>
    <row r="1057">
      <c r="A1057" s="240" t="s">
        <v>1473</v>
      </c>
      <c r="B1057" s="240" t="s">
        <v>1187</v>
      </c>
      <c r="C1057" s="218" t="s">
        <v>331</v>
      </c>
      <c r="D1057" s="321" t="s">
        <v>60</v>
      </c>
      <c r="E1057" s="240" t="s">
        <v>2347</v>
      </c>
      <c r="F1057" s="240" t="s">
        <v>193</v>
      </c>
      <c r="G1057" s="493">
        <v>46064.0</v>
      </c>
      <c r="H1057" s="493">
        <v>46122.0</v>
      </c>
      <c r="I1057" s="189">
        <f>IFERROR(__xludf.DUMMYFUNCTION("IF(ISBLANK(H1057), TODAY()-TO_DATE(G1057), TO_DATE(H1057)-TO_DATE(G1057))+1"),59.0)</f>
        <v>59</v>
      </c>
      <c r="J1057" s="240" t="s">
        <v>197</v>
      </c>
      <c r="K1057" s="240" t="s">
        <v>9338</v>
      </c>
      <c r="L1057" s="321" t="s">
        <v>9339</v>
      </c>
      <c r="M1057" s="63"/>
      <c r="N1057" s="29"/>
      <c r="O1057" s="29"/>
      <c r="P1057" s="29"/>
      <c r="Q1057" s="29"/>
      <c r="R1057" s="29"/>
      <c r="S1057" s="29"/>
      <c r="T1057" s="29"/>
      <c r="U1057" s="29"/>
      <c r="V1057" s="29"/>
      <c r="W1057" s="29"/>
      <c r="X1057" s="29"/>
      <c r="Y1057" s="29"/>
      <c r="Z1057" s="29"/>
      <c r="AA1057" s="29"/>
      <c r="AB1057" s="29"/>
      <c r="AC1057" s="29"/>
      <c r="AD1057" s="29"/>
      <c r="AE1057" s="29"/>
      <c r="AF1057" s="29"/>
      <c r="AG1057" s="29"/>
    </row>
    <row r="1058">
      <c r="A1058" s="240" t="s">
        <v>145</v>
      </c>
      <c r="B1058" s="240" t="s">
        <v>1187</v>
      </c>
      <c r="C1058" s="218" t="s">
        <v>8216</v>
      </c>
      <c r="D1058" s="321" t="s">
        <v>60</v>
      </c>
      <c r="E1058" s="540" t="s">
        <v>9340</v>
      </c>
      <c r="F1058" s="240" t="s">
        <v>1183</v>
      </c>
      <c r="G1058" s="493">
        <v>46064.0</v>
      </c>
      <c r="H1058" s="493">
        <v>46089.0</v>
      </c>
      <c r="I1058" s="189">
        <f>IFERROR(__xludf.DUMMYFUNCTION("IF(ISBLANK(H1058), TODAY()-TO_DATE(G1058), TO_DATE(H1058)-TO_DATE(G1058))+1"),26.0)</f>
        <v>26</v>
      </c>
      <c r="J1058" s="240">
        <v>500.0</v>
      </c>
      <c r="K1058" s="240" t="s">
        <v>9341</v>
      </c>
      <c r="L1058" s="321" t="s">
        <v>9342</v>
      </c>
      <c r="M1058" s="63"/>
      <c r="N1058" s="29"/>
      <c r="O1058" s="29"/>
      <c r="P1058" s="29"/>
      <c r="Q1058" s="29"/>
      <c r="R1058" s="29"/>
      <c r="S1058" s="29"/>
      <c r="T1058" s="29"/>
      <c r="U1058" s="29"/>
      <c r="V1058" s="29"/>
      <c r="W1058" s="29"/>
      <c r="X1058" s="29"/>
      <c r="Y1058" s="29"/>
      <c r="Z1058" s="29"/>
      <c r="AA1058" s="29"/>
      <c r="AB1058" s="29"/>
      <c r="AC1058" s="29"/>
      <c r="AD1058" s="29"/>
      <c r="AE1058" s="29"/>
      <c r="AF1058" s="29"/>
      <c r="AG1058" s="29"/>
    </row>
    <row r="1059">
      <c r="A1059" s="240" t="s">
        <v>9343</v>
      </c>
      <c r="B1059" s="240" t="s">
        <v>1187</v>
      </c>
      <c r="C1059" s="218" t="s">
        <v>321</v>
      </c>
      <c r="D1059" s="321" t="s">
        <v>60</v>
      </c>
      <c r="E1059" s="240" t="s">
        <v>9126</v>
      </c>
      <c r="F1059" s="240" t="s">
        <v>9127</v>
      </c>
      <c r="G1059" s="493">
        <v>46064.0</v>
      </c>
      <c r="H1059" s="493">
        <v>46120.0</v>
      </c>
      <c r="I1059" s="189">
        <f>IFERROR(__xludf.DUMMYFUNCTION("IF(ISBLANK(H1059), TODAY()-TO_DATE(G1059), TO_DATE(H1059)-TO_DATE(G1059))+1"),57.0)</f>
        <v>57</v>
      </c>
      <c r="J1059" s="240">
        <v>300.0</v>
      </c>
      <c r="K1059" s="240" t="s">
        <v>9346</v>
      </c>
      <c r="L1059" s="321"/>
      <c r="M1059" s="63"/>
      <c r="N1059" s="29"/>
      <c r="O1059" s="29"/>
      <c r="P1059" s="29"/>
      <c r="Q1059" s="29"/>
      <c r="R1059" s="29"/>
      <c r="S1059" s="29"/>
      <c r="T1059" s="29"/>
      <c r="U1059" s="29"/>
      <c r="V1059" s="29"/>
      <c r="W1059" s="29"/>
      <c r="X1059" s="29"/>
      <c r="Y1059" s="29"/>
      <c r="Z1059" s="29"/>
      <c r="AA1059" s="29"/>
      <c r="AB1059" s="29"/>
      <c r="AC1059" s="29"/>
      <c r="AD1059" s="29"/>
      <c r="AE1059" s="29"/>
      <c r="AF1059" s="29"/>
      <c r="AG1059" s="29"/>
    </row>
    <row r="1060">
      <c r="A1060" s="240" t="s">
        <v>8997</v>
      </c>
      <c r="B1060" s="240" t="s">
        <v>1187</v>
      </c>
      <c r="C1060" s="218" t="s">
        <v>786</v>
      </c>
      <c r="D1060" s="85" t="s">
        <v>60</v>
      </c>
      <c r="E1060" s="240" t="s">
        <v>1392</v>
      </c>
      <c r="F1060" s="240" t="s">
        <v>1394</v>
      </c>
      <c r="G1060" s="493">
        <v>46066.0</v>
      </c>
      <c r="H1060" s="493">
        <v>46127.0</v>
      </c>
      <c r="I1060" s="189">
        <f>IFERROR(__xludf.DUMMYFUNCTION("IF(ISBLANK(H1060), TODAY()-TO_DATE(G1060), TO_DATE(H1060)-TO_DATE(G1060))+1"),62.0)</f>
        <v>62</v>
      </c>
      <c r="J1060" s="240" t="s">
        <v>197</v>
      </c>
      <c r="K1060" s="240" t="s">
        <v>9349</v>
      </c>
      <c r="L1060" s="321" t="s">
        <v>9350</v>
      </c>
      <c r="M1060" s="63"/>
      <c r="N1060" s="29"/>
      <c r="O1060" s="29"/>
      <c r="P1060" s="29"/>
      <c r="Q1060" s="29"/>
      <c r="R1060" s="29"/>
      <c r="S1060" s="29"/>
      <c r="T1060" s="29"/>
      <c r="U1060" s="29"/>
      <c r="V1060" s="29"/>
      <c r="W1060" s="29"/>
      <c r="X1060" s="29"/>
      <c r="Y1060" s="29"/>
      <c r="Z1060" s="29"/>
      <c r="AA1060" s="29"/>
      <c r="AB1060" s="29"/>
      <c r="AC1060" s="29"/>
      <c r="AD1060" s="29"/>
      <c r="AE1060" s="29"/>
      <c r="AF1060" s="29"/>
      <c r="AG1060" s="29"/>
    </row>
    <row r="1061">
      <c r="A1061" s="240" t="s">
        <v>2451</v>
      </c>
      <c r="B1061" s="240" t="s">
        <v>1187</v>
      </c>
      <c r="C1061" s="218" t="s">
        <v>295</v>
      </c>
      <c r="D1061" s="85" t="s">
        <v>60</v>
      </c>
      <c r="E1061" s="240" t="s">
        <v>9351</v>
      </c>
      <c r="F1061" s="240" t="s">
        <v>6000</v>
      </c>
      <c r="G1061" s="493">
        <v>46066.0</v>
      </c>
      <c r="H1061" s="493">
        <v>46066.0</v>
      </c>
      <c r="I1061" s="189">
        <f>IFERROR(__xludf.DUMMYFUNCTION("IF(ISBLANK(H1061), TODAY()-TO_DATE(G1061), TO_DATE(H1061)-TO_DATE(G1061))+1"),1.0)</f>
        <v>1</v>
      </c>
      <c r="J1061" s="240">
        <v>300.0</v>
      </c>
      <c r="K1061" s="240" t="s">
        <v>9352</v>
      </c>
      <c r="L1061" s="321"/>
      <c r="M1061" s="63"/>
      <c r="N1061" s="29"/>
      <c r="O1061" s="29"/>
      <c r="P1061" s="29"/>
      <c r="Q1061" s="29"/>
      <c r="R1061" s="29"/>
      <c r="S1061" s="29"/>
      <c r="T1061" s="29"/>
      <c r="U1061" s="29"/>
      <c r="V1061" s="29"/>
      <c r="W1061" s="29"/>
      <c r="X1061" s="29"/>
      <c r="Y1061" s="29"/>
      <c r="Z1061" s="29"/>
      <c r="AA1061" s="29"/>
      <c r="AB1061" s="29"/>
      <c r="AC1061" s="29"/>
      <c r="AD1061" s="29"/>
      <c r="AE1061" s="29"/>
      <c r="AF1061" s="29"/>
      <c r="AG1061" s="29"/>
    </row>
    <row r="1062">
      <c r="A1062" s="240" t="s">
        <v>1032</v>
      </c>
      <c r="B1062" s="240" t="s">
        <v>1187</v>
      </c>
      <c r="C1062" s="218" t="s">
        <v>302</v>
      </c>
      <c r="D1062" s="85" t="s">
        <v>60</v>
      </c>
      <c r="E1062" s="540" t="s">
        <v>9353</v>
      </c>
      <c r="F1062" s="240" t="s">
        <v>9355</v>
      </c>
      <c r="G1062" s="493">
        <v>46066.0</v>
      </c>
      <c r="H1062" s="493">
        <v>46111.0</v>
      </c>
      <c r="I1062" s="189">
        <f>IFERROR(__xludf.DUMMYFUNCTION("IF(ISBLANK(H1062), TODAY()-TO_DATE(G1062), TO_DATE(H1062)-TO_DATE(G1062))+1"),46.0)</f>
        <v>46</v>
      </c>
      <c r="J1062" s="240">
        <v>500.0</v>
      </c>
      <c r="K1062" s="240" t="s">
        <v>9357</v>
      </c>
      <c r="L1062" s="321"/>
      <c r="M1062" s="63"/>
      <c r="N1062" s="29"/>
      <c r="O1062" s="29"/>
      <c r="P1062" s="29"/>
      <c r="Q1062" s="29"/>
      <c r="R1062" s="29"/>
      <c r="S1062" s="29"/>
      <c r="T1062" s="29"/>
      <c r="U1062" s="29"/>
      <c r="V1062" s="29"/>
      <c r="W1062" s="29"/>
      <c r="X1062" s="29"/>
      <c r="Y1062" s="29"/>
      <c r="Z1062" s="29"/>
      <c r="AA1062" s="29"/>
      <c r="AB1062" s="29"/>
      <c r="AC1062" s="29"/>
      <c r="AD1062" s="29"/>
      <c r="AE1062" s="29"/>
      <c r="AF1062" s="29"/>
      <c r="AG1062" s="29"/>
    </row>
    <row r="1063">
      <c r="A1063" s="240" t="s">
        <v>9359</v>
      </c>
      <c r="B1063" s="240" t="s">
        <v>1187</v>
      </c>
      <c r="C1063" s="218" t="s">
        <v>201</v>
      </c>
      <c r="D1063" s="85" t="s">
        <v>60</v>
      </c>
      <c r="E1063" s="540" t="s">
        <v>9360</v>
      </c>
      <c r="F1063" s="240" t="s">
        <v>9361</v>
      </c>
      <c r="G1063" s="493">
        <v>46066.0</v>
      </c>
      <c r="H1063" s="493">
        <v>46112.0</v>
      </c>
      <c r="I1063" s="189">
        <f>IFERROR(__xludf.DUMMYFUNCTION("IF(ISBLANK(H1063), TODAY()-TO_DATE(G1063), TO_DATE(H1063)-TO_DATE(G1063))+1"),47.0)</f>
        <v>47</v>
      </c>
      <c r="J1063" s="240">
        <v>500.0</v>
      </c>
      <c r="K1063" s="240" t="s">
        <v>9362</v>
      </c>
      <c r="L1063" s="321" t="s">
        <v>9363</v>
      </c>
      <c r="M1063" s="63"/>
      <c r="N1063" s="29"/>
      <c r="O1063" s="29"/>
      <c r="P1063" s="29"/>
      <c r="Q1063" s="29"/>
      <c r="R1063" s="29"/>
      <c r="S1063" s="29"/>
      <c r="T1063" s="29"/>
      <c r="U1063" s="29"/>
      <c r="V1063" s="29"/>
      <c r="W1063" s="29"/>
      <c r="X1063" s="29"/>
      <c r="Y1063" s="29"/>
      <c r="Z1063" s="29"/>
      <c r="AA1063" s="29"/>
      <c r="AB1063" s="29"/>
      <c r="AC1063" s="29"/>
      <c r="AD1063" s="29"/>
      <c r="AE1063" s="29"/>
      <c r="AF1063" s="29"/>
      <c r="AG1063" s="29"/>
    </row>
    <row r="1064">
      <c r="A1064" s="240" t="s">
        <v>1566</v>
      </c>
      <c r="B1064" s="240" t="s">
        <v>1187</v>
      </c>
      <c r="C1064" s="218" t="s">
        <v>1431</v>
      </c>
      <c r="D1064" s="85" t="s">
        <v>656</v>
      </c>
      <c r="E1064" s="240" t="s">
        <v>9366</v>
      </c>
      <c r="F1064" s="240" t="s">
        <v>1538</v>
      </c>
      <c r="G1064" s="493">
        <v>46068.0</v>
      </c>
      <c r="H1064" s="493">
        <v>46109.0</v>
      </c>
      <c r="I1064" s="189">
        <f>IFERROR(__xludf.DUMMYFUNCTION("IF(ISBLANK(H1064), TODAY()-TO_DATE(G1064), TO_DATE(H1064)-TO_DATE(G1064))+1"),42.0)</f>
        <v>42</v>
      </c>
      <c r="J1064" s="240">
        <v>500.0</v>
      </c>
      <c r="K1064" s="240" t="s">
        <v>9368</v>
      </c>
      <c r="L1064" s="321"/>
      <c r="M1064" s="240" t="s">
        <v>9369</v>
      </c>
      <c r="N1064" s="29"/>
      <c r="O1064" s="29"/>
      <c r="P1064" s="29"/>
      <c r="Q1064" s="29"/>
      <c r="R1064" s="29"/>
      <c r="S1064" s="29"/>
      <c r="T1064" s="29"/>
      <c r="U1064" s="29"/>
      <c r="V1064" s="29"/>
      <c r="W1064" s="29"/>
      <c r="X1064" s="29"/>
      <c r="Y1064" s="29"/>
      <c r="Z1064" s="29"/>
      <c r="AA1064" s="29"/>
      <c r="AB1064" s="29"/>
      <c r="AC1064" s="29"/>
      <c r="AD1064" s="29"/>
      <c r="AE1064" s="29"/>
      <c r="AF1064" s="29"/>
      <c r="AG1064" s="29"/>
    </row>
    <row r="1065">
      <c r="A1065" s="240" t="s">
        <v>1566</v>
      </c>
      <c r="B1065" s="240" t="s">
        <v>1187</v>
      </c>
      <c r="C1065" s="218" t="s">
        <v>2972</v>
      </c>
      <c r="D1065" s="85" t="s">
        <v>60</v>
      </c>
      <c r="E1065" s="240" t="s">
        <v>9370</v>
      </c>
      <c r="F1065" s="240" t="s">
        <v>9371</v>
      </c>
      <c r="G1065" s="493">
        <v>46068.0</v>
      </c>
      <c r="H1065" s="493">
        <v>46074.0</v>
      </c>
      <c r="I1065" s="189">
        <f>IFERROR(__xludf.DUMMYFUNCTION("IF(ISBLANK(H1065), TODAY()-TO_DATE(G1065), TO_DATE(H1065)-TO_DATE(G1065))+1"),7.0)</f>
        <v>7</v>
      </c>
      <c r="J1065" s="240">
        <v>300.0</v>
      </c>
      <c r="K1065" s="240" t="s">
        <v>9372</v>
      </c>
      <c r="L1065" s="321" t="s">
        <v>9373</v>
      </c>
      <c r="M1065" s="63"/>
      <c r="N1065" s="29"/>
      <c r="O1065" s="29"/>
      <c r="P1065" s="29"/>
      <c r="Q1065" s="29"/>
      <c r="R1065" s="29"/>
      <c r="S1065" s="29"/>
      <c r="T1065" s="29"/>
      <c r="U1065" s="29"/>
      <c r="V1065" s="29"/>
      <c r="W1065" s="29"/>
      <c r="X1065" s="29"/>
      <c r="Y1065" s="29"/>
      <c r="Z1065" s="29"/>
      <c r="AA1065" s="29"/>
      <c r="AB1065" s="29"/>
      <c r="AC1065" s="29"/>
      <c r="AD1065" s="29"/>
      <c r="AE1065" s="29"/>
      <c r="AF1065" s="29"/>
      <c r="AG1065" s="29"/>
    </row>
    <row r="1066">
      <c r="A1066" s="240" t="s">
        <v>1032</v>
      </c>
      <c r="B1066" s="240" t="s">
        <v>1187</v>
      </c>
      <c r="C1066" s="218" t="s">
        <v>213</v>
      </c>
      <c r="D1066" s="85" t="s">
        <v>9376</v>
      </c>
      <c r="E1066" s="240" t="s">
        <v>9377</v>
      </c>
      <c r="F1066" s="240" t="s">
        <v>9378</v>
      </c>
      <c r="G1066" s="493">
        <v>46068.0</v>
      </c>
      <c r="H1066" s="493">
        <v>46111.0</v>
      </c>
      <c r="I1066" s="189">
        <f>IFERROR(__xludf.DUMMYFUNCTION("IF(ISBLANK(H1066), TODAY()-TO_DATE(G1066), TO_DATE(H1066)-TO_DATE(G1066))+1"),44.0)</f>
        <v>44</v>
      </c>
      <c r="J1066" s="240">
        <v>300.0</v>
      </c>
      <c r="K1066" s="240" t="s">
        <v>9380</v>
      </c>
      <c r="L1066" s="321"/>
      <c r="M1066" s="63"/>
      <c r="N1066" s="29"/>
      <c r="O1066" s="29"/>
      <c r="P1066" s="29"/>
      <c r="Q1066" s="29"/>
      <c r="R1066" s="29"/>
      <c r="S1066" s="29"/>
      <c r="T1066" s="29"/>
      <c r="U1066" s="29"/>
      <c r="V1066" s="29"/>
      <c r="W1066" s="29"/>
      <c r="X1066" s="29"/>
      <c r="Y1066" s="29"/>
      <c r="Z1066" s="29"/>
      <c r="AA1066" s="29"/>
      <c r="AB1066" s="29"/>
      <c r="AC1066" s="29"/>
      <c r="AD1066" s="29"/>
      <c r="AE1066" s="29"/>
      <c r="AF1066" s="29"/>
      <c r="AG1066" s="29"/>
    </row>
    <row r="1067">
      <c r="A1067" s="240" t="s">
        <v>1473</v>
      </c>
      <c r="B1067" s="240" t="s">
        <v>1187</v>
      </c>
      <c r="C1067" s="218" t="s">
        <v>331</v>
      </c>
      <c r="D1067" s="85" t="s">
        <v>60</v>
      </c>
      <c r="E1067" s="240" t="s">
        <v>8438</v>
      </c>
      <c r="F1067" s="240" t="s">
        <v>8439</v>
      </c>
      <c r="G1067" s="493">
        <v>46068.0</v>
      </c>
      <c r="H1067" s="493">
        <v>46073.0</v>
      </c>
      <c r="I1067" s="189">
        <f>IFERROR(__xludf.DUMMYFUNCTION("IF(ISBLANK(H1067), TODAY()-TO_DATE(G1067), TO_DATE(H1067)-TO_DATE(G1067))+1"),6.0)</f>
        <v>6</v>
      </c>
      <c r="J1067" s="240" t="s">
        <v>197</v>
      </c>
      <c r="K1067" s="240" t="s">
        <v>9382</v>
      </c>
      <c r="L1067" s="321" t="s">
        <v>9383</v>
      </c>
      <c r="M1067" s="63"/>
      <c r="N1067" s="29"/>
      <c r="O1067" s="29"/>
      <c r="P1067" s="29"/>
      <c r="Q1067" s="29"/>
      <c r="R1067" s="29"/>
      <c r="S1067" s="29"/>
      <c r="T1067" s="29"/>
      <c r="U1067" s="29"/>
      <c r="V1067" s="29"/>
      <c r="W1067" s="29"/>
      <c r="X1067" s="29"/>
      <c r="Y1067" s="29"/>
      <c r="Z1067" s="29"/>
      <c r="AA1067" s="29"/>
      <c r="AB1067" s="29"/>
      <c r="AC1067" s="29"/>
      <c r="AD1067" s="29"/>
      <c r="AE1067" s="29"/>
      <c r="AF1067" s="29"/>
      <c r="AG1067" s="29"/>
    </row>
    <row r="1068">
      <c r="A1068" s="580" t="s">
        <v>8997</v>
      </c>
      <c r="B1068" s="580" t="s">
        <v>1187</v>
      </c>
      <c r="C1068" s="957" t="s">
        <v>152</v>
      </c>
      <c r="D1068" s="621" t="s">
        <v>60</v>
      </c>
      <c r="E1068" s="580" t="s">
        <v>9385</v>
      </c>
      <c r="F1068" s="580" t="s">
        <v>9386</v>
      </c>
      <c r="G1068" s="586">
        <v>46070.0</v>
      </c>
      <c r="H1068" s="586">
        <v>46082.0</v>
      </c>
      <c r="I1068" s="958">
        <f>IFERROR(__xludf.DUMMYFUNCTION("IF(ISBLANK(H1068), TODAY()-TO_DATE(G1068), TO_DATE(H1068)-TO_DATE(G1068))+1"),13.0)</f>
        <v>13</v>
      </c>
      <c r="J1068" s="580">
        <v>200.0</v>
      </c>
      <c r="K1068" s="580" t="s">
        <v>9387</v>
      </c>
      <c r="L1068" s="588" t="s">
        <v>9388</v>
      </c>
      <c r="M1068" s="959" t="s">
        <v>9390</v>
      </c>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row>
    <row r="1069">
      <c r="A1069" s="240" t="s">
        <v>145</v>
      </c>
      <c r="B1069" s="240" t="s">
        <v>1187</v>
      </c>
      <c r="C1069" s="218" t="s">
        <v>9392</v>
      </c>
      <c r="D1069" s="85" t="s">
        <v>60</v>
      </c>
      <c r="E1069" s="240" t="s">
        <v>9393</v>
      </c>
      <c r="F1069" s="240" t="s">
        <v>9394</v>
      </c>
      <c r="G1069" s="493">
        <v>46070.0</v>
      </c>
      <c r="H1069" s="493">
        <v>46071.0</v>
      </c>
      <c r="I1069" s="189">
        <f>IFERROR(__xludf.DUMMYFUNCTION("IF(ISBLANK(H1069), TODAY()-TO_DATE(G1069), TO_DATE(H1069)-TO_DATE(G1069))+1"),2.0)</f>
        <v>2</v>
      </c>
      <c r="J1069" s="240" t="s">
        <v>197</v>
      </c>
      <c r="K1069" s="240" t="s">
        <v>3328</v>
      </c>
      <c r="L1069" s="321"/>
      <c r="M1069" s="63"/>
      <c r="N1069" s="29"/>
      <c r="O1069" s="29"/>
      <c r="P1069" s="29"/>
      <c r="Q1069" s="29"/>
      <c r="R1069" s="29"/>
      <c r="S1069" s="29"/>
      <c r="T1069" s="29"/>
      <c r="U1069" s="29"/>
      <c r="V1069" s="29"/>
      <c r="W1069" s="29"/>
      <c r="X1069" s="29"/>
      <c r="Y1069" s="29"/>
      <c r="Z1069" s="29"/>
      <c r="AA1069" s="29"/>
      <c r="AB1069" s="29"/>
      <c r="AC1069" s="29"/>
      <c r="AD1069" s="29"/>
      <c r="AE1069" s="29"/>
      <c r="AF1069" s="29"/>
      <c r="AG1069" s="29"/>
    </row>
    <row r="1070">
      <c r="A1070" s="240" t="s">
        <v>9359</v>
      </c>
      <c r="B1070" s="240" t="s">
        <v>1187</v>
      </c>
      <c r="C1070" s="218" t="s">
        <v>1932</v>
      </c>
      <c r="D1070" s="85" t="s">
        <v>656</v>
      </c>
      <c r="E1070" s="240" t="s">
        <v>9398</v>
      </c>
      <c r="F1070" s="240" t="s">
        <v>9399</v>
      </c>
      <c r="G1070" s="493">
        <v>46070.0</v>
      </c>
      <c r="H1070" s="493">
        <v>46130.0</v>
      </c>
      <c r="I1070" s="189">
        <f>IFERROR(__xludf.DUMMYFUNCTION("IF(ISBLANK(H1070), TODAY()-TO_DATE(G1070), TO_DATE(H1070)-TO_DATE(G1070))+1"),61.0)</f>
        <v>61</v>
      </c>
      <c r="J1070" s="240" t="s">
        <v>8926</v>
      </c>
      <c r="K1070" s="240" t="s">
        <v>9402</v>
      </c>
      <c r="L1070" s="321" t="s">
        <v>9403</v>
      </c>
      <c r="M1070" s="63"/>
      <c r="N1070" s="29"/>
      <c r="O1070" s="29"/>
      <c r="P1070" s="29"/>
      <c r="Q1070" s="29"/>
      <c r="R1070" s="29"/>
      <c r="S1070" s="29"/>
      <c r="T1070" s="29"/>
      <c r="U1070" s="29"/>
      <c r="V1070" s="29"/>
      <c r="W1070" s="29"/>
      <c r="X1070" s="29"/>
      <c r="Y1070" s="29"/>
      <c r="Z1070" s="29"/>
      <c r="AA1070" s="29"/>
      <c r="AB1070" s="29"/>
      <c r="AC1070" s="29"/>
      <c r="AD1070" s="29"/>
      <c r="AE1070" s="29"/>
      <c r="AF1070" s="29"/>
      <c r="AG1070" s="29"/>
    </row>
    <row r="1071">
      <c r="A1071" s="240" t="s">
        <v>1473</v>
      </c>
      <c r="B1071" s="240" t="s">
        <v>1187</v>
      </c>
      <c r="C1071" s="218" t="s">
        <v>331</v>
      </c>
      <c r="D1071" s="85" t="s">
        <v>656</v>
      </c>
      <c r="E1071" s="540" t="s">
        <v>9309</v>
      </c>
      <c r="F1071" s="240" t="s">
        <v>3218</v>
      </c>
      <c r="G1071" s="493">
        <v>46070.0</v>
      </c>
      <c r="H1071" s="493">
        <v>46092.0</v>
      </c>
      <c r="I1071" s="189">
        <f>IFERROR(__xludf.DUMMYFUNCTION("IF(ISBLANK(H1071), TODAY()-TO_DATE(G1071), TO_DATE(H1071)-TO_DATE(G1071))+1"),23.0)</f>
        <v>23</v>
      </c>
      <c r="J1071" s="240">
        <v>500.0</v>
      </c>
      <c r="K1071" s="240" t="s">
        <v>9404</v>
      </c>
      <c r="L1071" s="321"/>
      <c r="M1071" s="63"/>
      <c r="N1071" s="29"/>
      <c r="O1071" s="29"/>
      <c r="P1071" s="29"/>
      <c r="Q1071" s="29"/>
      <c r="R1071" s="29"/>
      <c r="S1071" s="29"/>
      <c r="T1071" s="29"/>
      <c r="U1071" s="29"/>
      <c r="V1071" s="29"/>
      <c r="W1071" s="29"/>
      <c r="X1071" s="29"/>
      <c r="Y1071" s="29"/>
      <c r="Z1071" s="29"/>
      <c r="AA1071" s="29"/>
      <c r="AB1071" s="29"/>
      <c r="AC1071" s="29"/>
      <c r="AD1071" s="29"/>
      <c r="AE1071" s="29"/>
      <c r="AF1071" s="29"/>
      <c r="AG1071" s="29"/>
    </row>
    <row r="1072">
      <c r="A1072" s="40" t="s">
        <v>1032</v>
      </c>
      <c r="B1072" s="240" t="s">
        <v>1187</v>
      </c>
      <c r="C1072" s="218" t="s">
        <v>187</v>
      </c>
      <c r="D1072" s="85" t="s">
        <v>60</v>
      </c>
      <c r="E1072" s="540" t="s">
        <v>9302</v>
      </c>
      <c r="F1072" s="240" t="s">
        <v>2042</v>
      </c>
      <c r="G1072" s="493">
        <v>46071.0</v>
      </c>
      <c r="H1072" s="493">
        <v>46093.0</v>
      </c>
      <c r="I1072" s="189">
        <f>IFERROR(__xludf.DUMMYFUNCTION("IF(ISBLANK(H1072), TODAY()-TO_DATE(G1072), TO_DATE(H1072)-TO_DATE(G1072))+1"),23.0)</f>
        <v>23</v>
      </c>
      <c r="J1072" s="240">
        <v>500.0</v>
      </c>
      <c r="K1072" s="240" t="s">
        <v>9407</v>
      </c>
      <c r="L1072" s="321" t="s">
        <v>9408</v>
      </c>
      <c r="M1072" s="63"/>
      <c r="N1072" s="29"/>
      <c r="O1072" s="29"/>
      <c r="P1072" s="29"/>
      <c r="Q1072" s="29"/>
      <c r="R1072" s="29"/>
      <c r="S1072" s="29"/>
      <c r="T1072" s="29"/>
      <c r="U1072" s="29"/>
      <c r="V1072" s="29"/>
      <c r="W1072" s="29"/>
      <c r="X1072" s="29"/>
      <c r="Y1072" s="29"/>
      <c r="Z1072" s="29"/>
      <c r="AA1072" s="29"/>
      <c r="AB1072" s="29"/>
      <c r="AC1072" s="29"/>
      <c r="AD1072" s="29"/>
      <c r="AE1072" s="29"/>
      <c r="AF1072" s="29"/>
      <c r="AG1072" s="29"/>
    </row>
    <row r="1073">
      <c r="A1073" s="40" t="s">
        <v>9409</v>
      </c>
      <c r="B1073" s="240" t="s">
        <v>1187</v>
      </c>
      <c r="C1073" s="218" t="s">
        <v>726</v>
      </c>
      <c r="D1073" s="85" t="s">
        <v>60</v>
      </c>
      <c r="E1073" s="540" t="s">
        <v>9316</v>
      </c>
      <c r="F1073" s="240" t="s">
        <v>1870</v>
      </c>
      <c r="G1073" s="493">
        <v>46071.0</v>
      </c>
      <c r="H1073" s="493">
        <v>46094.0</v>
      </c>
      <c r="I1073" s="189">
        <f>IFERROR(__xludf.DUMMYFUNCTION("IF(ISBLANK(H1073), TODAY()-TO_DATE(G1073), TO_DATE(H1073)-TO_DATE(G1073))+1"),24.0)</f>
        <v>24</v>
      </c>
      <c r="J1073" s="240">
        <v>500.0</v>
      </c>
      <c r="K1073" s="240" t="s">
        <v>9410</v>
      </c>
      <c r="L1073" s="321"/>
      <c r="M1073" s="63"/>
      <c r="N1073" s="29"/>
      <c r="O1073" s="29"/>
      <c r="P1073" s="29"/>
      <c r="Q1073" s="29"/>
      <c r="R1073" s="29"/>
      <c r="S1073" s="29"/>
      <c r="T1073" s="29"/>
      <c r="U1073" s="29"/>
      <c r="V1073" s="29"/>
      <c r="W1073" s="29"/>
      <c r="X1073" s="29"/>
      <c r="Y1073" s="29"/>
      <c r="Z1073" s="29"/>
      <c r="AA1073" s="29"/>
      <c r="AB1073" s="29"/>
      <c r="AC1073" s="29"/>
      <c r="AD1073" s="29"/>
      <c r="AE1073" s="29"/>
      <c r="AF1073" s="29"/>
      <c r="AG1073" s="29"/>
    </row>
    <row r="1074">
      <c r="A1074" s="40" t="s">
        <v>1473</v>
      </c>
      <c r="B1074" s="240" t="s">
        <v>1187</v>
      </c>
      <c r="C1074" s="218" t="s">
        <v>201</v>
      </c>
      <c r="D1074" s="85" t="s">
        <v>60</v>
      </c>
      <c r="E1074" s="240" t="s">
        <v>9412</v>
      </c>
      <c r="F1074" s="240" t="s">
        <v>9413</v>
      </c>
      <c r="G1074" s="493">
        <v>46071.0</v>
      </c>
      <c r="H1074" s="493">
        <v>46073.0</v>
      </c>
      <c r="I1074" s="189">
        <f>IFERROR(__xludf.DUMMYFUNCTION("IF(ISBLANK(H1074), TODAY()-TO_DATE(G1074), TO_DATE(H1074)-TO_DATE(G1074))+1"),3.0)</f>
        <v>3</v>
      </c>
      <c r="J1074" s="240" t="s">
        <v>197</v>
      </c>
      <c r="K1074" s="240" t="s">
        <v>9416</v>
      </c>
      <c r="L1074" s="321" t="s">
        <v>9417</v>
      </c>
      <c r="M1074" s="63"/>
      <c r="N1074" s="29"/>
      <c r="O1074" s="29"/>
      <c r="P1074" s="29"/>
      <c r="Q1074" s="29"/>
      <c r="R1074" s="29"/>
      <c r="S1074" s="29"/>
      <c r="T1074" s="29"/>
      <c r="U1074" s="29"/>
      <c r="V1074" s="29"/>
      <c r="W1074" s="29"/>
      <c r="X1074" s="29"/>
      <c r="Y1074" s="29"/>
      <c r="Z1074" s="29"/>
      <c r="AA1074" s="29"/>
      <c r="AB1074" s="29"/>
      <c r="AC1074" s="29"/>
      <c r="AD1074" s="29"/>
      <c r="AE1074" s="29"/>
      <c r="AF1074" s="29"/>
      <c r="AG1074" s="29"/>
    </row>
    <row r="1075">
      <c r="A1075" s="40" t="s">
        <v>1032</v>
      </c>
      <c r="B1075" s="240" t="s">
        <v>1187</v>
      </c>
      <c r="C1075" s="218" t="s">
        <v>139</v>
      </c>
      <c r="D1075" s="85" t="s">
        <v>60</v>
      </c>
      <c r="E1075" s="240" t="s">
        <v>1652</v>
      </c>
      <c r="F1075" s="240" t="s">
        <v>1654</v>
      </c>
      <c r="G1075" s="493">
        <v>46071.0</v>
      </c>
      <c r="H1075" s="493">
        <v>46122.0</v>
      </c>
      <c r="I1075" s="189">
        <f>IFERROR(__xludf.DUMMYFUNCTION("IF(ISBLANK(H1075), TODAY()-TO_DATE(G1075), TO_DATE(H1075)-TO_DATE(G1075))+1"),52.0)</f>
        <v>52</v>
      </c>
      <c r="J1075" s="240" t="s">
        <v>197</v>
      </c>
      <c r="K1075" s="240" t="s">
        <v>9421</v>
      </c>
      <c r="L1075" s="321"/>
      <c r="M1075" s="63"/>
      <c r="N1075" s="29"/>
      <c r="O1075" s="29"/>
      <c r="P1075" s="29"/>
      <c r="Q1075" s="29"/>
      <c r="R1075" s="29"/>
      <c r="S1075" s="29"/>
      <c r="T1075" s="29"/>
      <c r="U1075" s="29"/>
      <c r="V1075" s="29"/>
      <c r="W1075" s="29"/>
      <c r="X1075" s="29"/>
      <c r="Y1075" s="29"/>
      <c r="Z1075" s="29"/>
      <c r="AA1075" s="29"/>
      <c r="AB1075" s="29"/>
      <c r="AC1075" s="29"/>
      <c r="AD1075" s="29"/>
      <c r="AE1075" s="29"/>
      <c r="AF1075" s="29"/>
      <c r="AG1075" s="29"/>
    </row>
    <row r="1076">
      <c r="A1076" s="40" t="s">
        <v>2876</v>
      </c>
      <c r="B1076" s="240" t="s">
        <v>1187</v>
      </c>
      <c r="C1076" s="218" t="s">
        <v>457</v>
      </c>
      <c r="D1076" s="85" t="s">
        <v>60</v>
      </c>
      <c r="E1076" s="240" t="s">
        <v>1646</v>
      </c>
      <c r="F1076" s="240" t="s">
        <v>1647</v>
      </c>
      <c r="G1076" s="493">
        <v>46071.0</v>
      </c>
      <c r="H1076" s="493">
        <v>46193.0</v>
      </c>
      <c r="I1076" s="189">
        <f>IFERROR(__xludf.DUMMYFUNCTION("IF(ISBLANK(H1076), TODAY()-TO_DATE(G1076), TO_DATE(H1076)-TO_DATE(G1076))+1"),123.0)</f>
        <v>123</v>
      </c>
      <c r="J1076" s="240">
        <v>500.0</v>
      </c>
      <c r="K1076" s="240" t="s">
        <v>9425</v>
      </c>
      <c r="L1076" s="321"/>
      <c r="M1076" s="63"/>
      <c r="N1076" s="29"/>
      <c r="O1076" s="29"/>
      <c r="P1076" s="29"/>
      <c r="Q1076" s="29"/>
      <c r="R1076" s="29"/>
      <c r="S1076" s="29"/>
      <c r="T1076" s="29"/>
      <c r="U1076" s="29"/>
      <c r="V1076" s="29"/>
      <c r="W1076" s="29"/>
      <c r="X1076" s="29"/>
      <c r="Y1076" s="29"/>
      <c r="Z1076" s="29"/>
      <c r="AA1076" s="29"/>
      <c r="AB1076" s="29"/>
      <c r="AC1076" s="29"/>
      <c r="AD1076" s="29"/>
      <c r="AE1076" s="29"/>
      <c r="AF1076" s="29"/>
      <c r="AG1076" s="29"/>
    </row>
    <row r="1077">
      <c r="A1077" s="40" t="s">
        <v>150</v>
      </c>
      <c r="B1077" s="240" t="s">
        <v>1187</v>
      </c>
      <c r="C1077" s="218" t="s">
        <v>213</v>
      </c>
      <c r="D1077" s="85" t="s">
        <v>60</v>
      </c>
      <c r="E1077" s="240" t="s">
        <v>1242</v>
      </c>
      <c r="F1077" s="240" t="s">
        <v>1244</v>
      </c>
      <c r="G1077" s="493">
        <v>46071.0</v>
      </c>
      <c r="H1077" s="493">
        <v>46115.0</v>
      </c>
      <c r="I1077" s="189">
        <f>IFERROR(__xludf.DUMMYFUNCTION("IF(ISBLANK(H1077), TODAY()-TO_DATE(G1077), TO_DATE(H1077)-TO_DATE(G1077))+1"),45.0)</f>
        <v>45</v>
      </c>
      <c r="J1077" s="240" t="s">
        <v>197</v>
      </c>
      <c r="K1077" s="240" t="s">
        <v>9429</v>
      </c>
      <c r="L1077" s="321"/>
      <c r="M1077" s="63"/>
      <c r="N1077" s="29"/>
      <c r="O1077" s="29"/>
      <c r="P1077" s="29"/>
      <c r="Q1077" s="29"/>
      <c r="R1077" s="29"/>
      <c r="S1077" s="29"/>
      <c r="T1077" s="29"/>
      <c r="U1077" s="29"/>
      <c r="V1077" s="29"/>
      <c r="W1077" s="29"/>
      <c r="X1077" s="29"/>
      <c r="Y1077" s="29"/>
      <c r="Z1077" s="29"/>
      <c r="AA1077" s="29"/>
      <c r="AB1077" s="29"/>
      <c r="AC1077" s="29"/>
      <c r="AD1077" s="29"/>
      <c r="AE1077" s="29"/>
      <c r="AF1077" s="29"/>
      <c r="AG1077" s="29"/>
    </row>
    <row r="1078">
      <c r="A1078" s="40" t="s">
        <v>150</v>
      </c>
      <c r="B1078" s="240" t="s">
        <v>1187</v>
      </c>
      <c r="C1078" s="218" t="s">
        <v>287</v>
      </c>
      <c r="D1078" s="85" t="s">
        <v>60</v>
      </c>
      <c r="E1078" s="240" t="s">
        <v>1249</v>
      </c>
      <c r="F1078" s="240" t="s">
        <v>1250</v>
      </c>
      <c r="G1078" s="493">
        <v>46071.0</v>
      </c>
      <c r="H1078" s="493">
        <v>46122.0</v>
      </c>
      <c r="I1078" s="189">
        <f>IFERROR(__xludf.DUMMYFUNCTION("IF(ISBLANK(H1078), TODAY()-TO_DATE(G1078), TO_DATE(H1078)-TO_DATE(G1078))+1"),52.0)</f>
        <v>52</v>
      </c>
      <c r="J1078" s="240" t="s">
        <v>197</v>
      </c>
      <c r="K1078" s="240" t="s">
        <v>9431</v>
      </c>
      <c r="L1078" s="321" t="s">
        <v>9432</v>
      </c>
      <c r="M1078" s="63"/>
      <c r="N1078" s="29"/>
      <c r="O1078" s="29"/>
      <c r="P1078" s="29"/>
      <c r="Q1078" s="29"/>
      <c r="R1078" s="29"/>
      <c r="S1078" s="29"/>
      <c r="T1078" s="29"/>
      <c r="U1078" s="29"/>
      <c r="V1078" s="29"/>
      <c r="W1078" s="29"/>
      <c r="X1078" s="29"/>
      <c r="Y1078" s="29"/>
      <c r="Z1078" s="29"/>
      <c r="AA1078" s="29"/>
      <c r="AB1078" s="29"/>
      <c r="AC1078" s="29"/>
      <c r="AD1078" s="29"/>
      <c r="AE1078" s="29"/>
      <c r="AF1078" s="29"/>
      <c r="AG1078" s="29"/>
    </row>
    <row r="1079">
      <c r="A1079" s="40" t="s">
        <v>9434</v>
      </c>
      <c r="B1079" s="240" t="s">
        <v>1187</v>
      </c>
      <c r="C1079" s="218" t="s">
        <v>295</v>
      </c>
      <c r="D1079" s="85" t="s">
        <v>60</v>
      </c>
      <c r="E1079" s="240" t="s">
        <v>1438</v>
      </c>
      <c r="F1079" s="240" t="s">
        <v>1439</v>
      </c>
      <c r="G1079" s="493">
        <v>46071.0</v>
      </c>
      <c r="H1079" s="493">
        <v>46193.0</v>
      </c>
      <c r="I1079" s="189">
        <f>IFERROR(__xludf.DUMMYFUNCTION("IF(ISBLANK(H1079), TODAY()-TO_DATE(G1079), TO_DATE(H1079)-TO_DATE(G1079))+1"),123.0)</f>
        <v>123</v>
      </c>
      <c r="J1079" s="240">
        <v>500.0</v>
      </c>
      <c r="K1079" s="240" t="s">
        <v>8582</v>
      </c>
      <c r="L1079" s="321"/>
      <c r="M1079" s="63"/>
      <c r="N1079" s="29"/>
      <c r="O1079" s="29"/>
      <c r="P1079" s="29"/>
      <c r="Q1079" s="29"/>
      <c r="R1079" s="29"/>
      <c r="S1079" s="29"/>
      <c r="T1079" s="29"/>
      <c r="U1079" s="29"/>
      <c r="V1079" s="29"/>
      <c r="W1079" s="29"/>
      <c r="X1079" s="29"/>
      <c r="Y1079" s="29"/>
      <c r="Z1079" s="29"/>
      <c r="AA1079" s="29"/>
      <c r="AB1079" s="29"/>
      <c r="AC1079" s="29"/>
      <c r="AD1079" s="29"/>
      <c r="AE1079" s="29"/>
      <c r="AF1079" s="29"/>
      <c r="AG1079" s="29"/>
    </row>
    <row r="1080">
      <c r="A1080" s="40" t="s">
        <v>6977</v>
      </c>
      <c r="B1080" s="240" t="s">
        <v>1187</v>
      </c>
      <c r="C1080" s="218"/>
      <c r="D1080" s="85" t="s">
        <v>60</v>
      </c>
      <c r="E1080" s="240" t="s">
        <v>7114</v>
      </c>
      <c r="F1080" s="240" t="s">
        <v>954</v>
      </c>
      <c r="G1080" s="493">
        <v>46071.0</v>
      </c>
      <c r="H1080" s="493">
        <v>46087.0</v>
      </c>
      <c r="I1080" s="189">
        <f>IFERROR(__xludf.DUMMYFUNCTION("IF(ISBLANK(H1080), TODAY()-TO_DATE(G1080), TO_DATE(H1080)-TO_DATE(G1080))+1"),17.0)</f>
        <v>17</v>
      </c>
      <c r="J1080" s="240" t="s">
        <v>197</v>
      </c>
      <c r="K1080" s="240" t="s">
        <v>8578</v>
      </c>
      <c r="L1080" s="321"/>
      <c r="M1080" s="63"/>
      <c r="N1080" s="29"/>
      <c r="O1080" s="29"/>
      <c r="P1080" s="29"/>
      <c r="Q1080" s="29"/>
      <c r="R1080" s="29"/>
      <c r="S1080" s="29"/>
      <c r="T1080" s="29"/>
      <c r="U1080" s="29"/>
      <c r="V1080" s="29"/>
      <c r="W1080" s="29"/>
      <c r="X1080" s="29"/>
      <c r="Y1080" s="29"/>
      <c r="Z1080" s="29"/>
      <c r="AA1080" s="29"/>
      <c r="AB1080" s="29"/>
      <c r="AC1080" s="29"/>
      <c r="AD1080" s="29"/>
      <c r="AE1080" s="29"/>
      <c r="AF1080" s="29"/>
      <c r="AG1080" s="29"/>
    </row>
    <row r="1081">
      <c r="A1081" s="240" t="s">
        <v>1313</v>
      </c>
      <c r="B1081" s="240" t="s">
        <v>1187</v>
      </c>
      <c r="C1081" s="218" t="s">
        <v>8565</v>
      </c>
      <c r="D1081" s="85" t="s">
        <v>102</v>
      </c>
      <c r="E1081" s="240" t="s">
        <v>8567</v>
      </c>
      <c r="F1081" s="240" t="s">
        <v>8568</v>
      </c>
      <c r="G1081" s="493">
        <v>46071.0</v>
      </c>
      <c r="H1081" s="493">
        <v>46075.0</v>
      </c>
      <c r="I1081" s="189">
        <f>IFERROR(__xludf.DUMMYFUNCTION("IF(ISBLANK(H1081), TODAY()-TO_DATE(G1081), TO_DATE(H1081)-TO_DATE(G1081))+1"),5.0)</f>
        <v>5</v>
      </c>
      <c r="J1081" s="240">
        <v>300.0</v>
      </c>
      <c r="K1081" s="240" t="s">
        <v>8571</v>
      </c>
      <c r="L1081" s="321" t="s">
        <v>8204</v>
      </c>
      <c r="M1081" s="63"/>
      <c r="N1081" s="29"/>
      <c r="O1081" s="29"/>
      <c r="P1081" s="29"/>
      <c r="Q1081" s="29"/>
      <c r="R1081" s="29"/>
      <c r="S1081" s="29"/>
      <c r="T1081" s="29"/>
      <c r="U1081" s="29"/>
      <c r="V1081" s="29"/>
      <c r="W1081" s="29"/>
      <c r="X1081" s="29"/>
      <c r="Y1081" s="29"/>
      <c r="Z1081" s="29"/>
      <c r="AA1081" s="29"/>
      <c r="AB1081" s="29"/>
      <c r="AC1081" s="29"/>
      <c r="AD1081" s="29"/>
      <c r="AE1081" s="29"/>
      <c r="AF1081" s="29"/>
      <c r="AG1081" s="29"/>
    </row>
    <row r="1082">
      <c r="A1082" s="40" t="s">
        <v>145</v>
      </c>
      <c r="B1082" s="240" t="s">
        <v>1187</v>
      </c>
      <c r="C1082" s="218" t="s">
        <v>9441</v>
      </c>
      <c r="D1082" s="85"/>
      <c r="E1082" s="240" t="s">
        <v>2241</v>
      </c>
      <c r="F1082" s="40" t="s">
        <v>652</v>
      </c>
      <c r="G1082" s="493">
        <v>46071.0</v>
      </c>
      <c r="H1082" s="493">
        <v>46097.0</v>
      </c>
      <c r="I1082" s="189">
        <f>IFERROR(__xludf.DUMMYFUNCTION("IF(ISBLANK(H1082), TODAY()-TO_DATE(G1082), TO_DATE(H1082)-TO_DATE(G1082))+1"),27.0)</f>
        <v>27</v>
      </c>
      <c r="J1082" s="240" t="s">
        <v>197</v>
      </c>
      <c r="K1082" s="794" t="s">
        <v>9443</v>
      </c>
      <c r="L1082" s="40" t="s">
        <v>9444</v>
      </c>
      <c r="M1082" s="63"/>
      <c r="N1082" s="29"/>
      <c r="O1082" s="29"/>
      <c r="P1082" s="29"/>
      <c r="Q1082" s="29"/>
      <c r="R1082" s="29"/>
      <c r="S1082" s="29"/>
      <c r="T1082" s="29"/>
      <c r="U1082" s="29"/>
      <c r="V1082" s="29"/>
      <c r="W1082" s="29"/>
      <c r="X1082" s="29"/>
      <c r="Y1082" s="29"/>
      <c r="Z1082" s="29"/>
      <c r="AA1082" s="29"/>
      <c r="AB1082" s="29"/>
      <c r="AC1082" s="29"/>
      <c r="AD1082" s="29"/>
      <c r="AE1082" s="29"/>
      <c r="AF1082" s="29"/>
      <c r="AG1082" s="29"/>
    </row>
    <row r="1083">
      <c r="A1083" s="40" t="s">
        <v>145</v>
      </c>
      <c r="B1083" s="240" t="s">
        <v>1187</v>
      </c>
      <c r="C1083" s="218"/>
      <c r="D1083" s="85" t="s">
        <v>60</v>
      </c>
      <c r="E1083" s="540" t="s">
        <v>2559</v>
      </c>
      <c r="F1083" s="40" t="s">
        <v>2561</v>
      </c>
      <c r="G1083" s="493">
        <v>46071.0</v>
      </c>
      <c r="H1083" s="493">
        <v>46122.0</v>
      </c>
      <c r="I1083" s="189">
        <f>IFERROR(__xludf.DUMMYFUNCTION("IF(ISBLANK(H1083), TODAY()-TO_DATE(G1083), TO_DATE(H1083)-TO_DATE(G1083))+1"),52.0)</f>
        <v>52</v>
      </c>
      <c r="J1083" s="240">
        <v>500.0</v>
      </c>
      <c r="K1083" s="40" t="s">
        <v>9446</v>
      </c>
      <c r="L1083" s="40"/>
      <c r="M1083" s="63"/>
      <c r="N1083" s="29"/>
      <c r="O1083" s="29"/>
      <c r="P1083" s="29"/>
      <c r="Q1083" s="29"/>
      <c r="R1083" s="29"/>
      <c r="S1083" s="29"/>
      <c r="T1083" s="29"/>
      <c r="U1083" s="29"/>
      <c r="V1083" s="29"/>
      <c r="W1083" s="29"/>
      <c r="X1083" s="29"/>
      <c r="Y1083" s="29"/>
      <c r="Z1083" s="29"/>
      <c r="AA1083" s="29"/>
      <c r="AB1083" s="29"/>
      <c r="AC1083" s="29"/>
      <c r="AD1083" s="29"/>
      <c r="AE1083" s="29"/>
      <c r="AF1083" s="29"/>
      <c r="AG1083" s="29"/>
    </row>
    <row r="1084">
      <c r="A1084" s="40" t="s">
        <v>1032</v>
      </c>
      <c r="B1084" s="240" t="s">
        <v>1187</v>
      </c>
      <c r="C1084" s="218" t="s">
        <v>302</v>
      </c>
      <c r="D1084" s="85" t="s">
        <v>60</v>
      </c>
      <c r="E1084" s="540" t="s">
        <v>9448</v>
      </c>
      <c r="F1084" s="40" t="s">
        <v>943</v>
      </c>
      <c r="G1084" s="493">
        <v>46071.0</v>
      </c>
      <c r="H1084" s="493">
        <v>46094.0</v>
      </c>
      <c r="I1084" s="189">
        <f>IFERROR(__xludf.DUMMYFUNCTION("IF(ISBLANK(H1084), TODAY()-TO_DATE(G1084), TO_DATE(H1084)-TO_DATE(G1084))+1"),24.0)</f>
        <v>24</v>
      </c>
      <c r="J1084" s="240">
        <v>500.0</v>
      </c>
      <c r="K1084" s="40" t="s">
        <v>9449</v>
      </c>
      <c r="L1084" s="40" t="s">
        <v>9450</v>
      </c>
      <c r="M1084" s="63"/>
      <c r="N1084" s="29"/>
      <c r="O1084" s="29"/>
      <c r="P1084" s="29"/>
      <c r="Q1084" s="29"/>
      <c r="R1084" s="29"/>
      <c r="S1084" s="29"/>
      <c r="T1084" s="29"/>
      <c r="U1084" s="29"/>
      <c r="V1084" s="29"/>
      <c r="W1084" s="29"/>
      <c r="X1084" s="29"/>
      <c r="Y1084" s="29"/>
      <c r="Z1084" s="29"/>
      <c r="AA1084" s="29"/>
      <c r="AB1084" s="29"/>
      <c r="AC1084" s="29"/>
      <c r="AD1084" s="29"/>
      <c r="AE1084" s="29"/>
      <c r="AF1084" s="29"/>
      <c r="AG1084" s="29"/>
    </row>
    <row r="1085">
      <c r="A1085" s="40" t="s">
        <v>145</v>
      </c>
      <c r="B1085" s="240" t="s">
        <v>1187</v>
      </c>
      <c r="C1085" s="218" t="s">
        <v>9452</v>
      </c>
      <c r="D1085" s="85" t="s">
        <v>610</v>
      </c>
      <c r="E1085" s="540" t="s">
        <v>9454</v>
      </c>
      <c r="F1085" s="40" t="s">
        <v>9456</v>
      </c>
      <c r="G1085" s="493">
        <v>46071.0</v>
      </c>
      <c r="H1085" s="493">
        <v>46103.0</v>
      </c>
      <c r="I1085" s="189">
        <f>IFERROR(__xludf.DUMMYFUNCTION("IF(ISBLANK(H1085), TODAY()-TO_DATE(G1085), TO_DATE(H1085)-TO_DATE(G1085))+1"),33.0)</f>
        <v>33</v>
      </c>
      <c r="J1085" s="240">
        <v>500.0</v>
      </c>
      <c r="K1085" s="40" t="s">
        <v>9459</v>
      </c>
      <c r="L1085" s="40"/>
      <c r="M1085" s="63"/>
      <c r="N1085" s="29"/>
      <c r="O1085" s="29"/>
      <c r="P1085" s="29"/>
      <c r="Q1085" s="29"/>
      <c r="R1085" s="29"/>
      <c r="S1085" s="29"/>
      <c r="T1085" s="29"/>
      <c r="U1085" s="29"/>
      <c r="V1085" s="29"/>
      <c r="W1085" s="29"/>
      <c r="X1085" s="29"/>
      <c r="Y1085" s="29"/>
      <c r="Z1085" s="29"/>
      <c r="AA1085" s="29"/>
      <c r="AB1085" s="29"/>
      <c r="AC1085" s="29"/>
      <c r="AD1085" s="29"/>
      <c r="AE1085" s="29"/>
      <c r="AF1085" s="29"/>
      <c r="AG1085" s="29"/>
    </row>
    <row r="1086">
      <c r="A1086" s="40" t="s">
        <v>5318</v>
      </c>
      <c r="B1086" s="240" t="s">
        <v>1187</v>
      </c>
      <c r="C1086" s="218" t="s">
        <v>213</v>
      </c>
      <c r="D1086" s="85" t="s">
        <v>610</v>
      </c>
      <c r="E1086" s="540" t="s">
        <v>9461</v>
      </c>
      <c r="F1086" s="40" t="s">
        <v>2781</v>
      </c>
      <c r="G1086" s="493">
        <v>46071.0</v>
      </c>
      <c r="H1086" s="493">
        <v>46104.0</v>
      </c>
      <c r="I1086" s="189">
        <f>IFERROR(__xludf.DUMMYFUNCTION("IF(ISBLANK(H1086), TODAY()-TO_DATE(G1086), TO_DATE(H1086)-TO_DATE(G1086))+1"),34.0)</f>
        <v>34</v>
      </c>
      <c r="J1086" s="240">
        <v>500.0</v>
      </c>
      <c r="K1086" s="40" t="s">
        <v>9462</v>
      </c>
      <c r="L1086" s="40" t="s">
        <v>9463</v>
      </c>
      <c r="M1086" s="63"/>
      <c r="N1086" s="29"/>
      <c r="O1086" s="29"/>
      <c r="P1086" s="29"/>
      <c r="Q1086" s="29"/>
      <c r="R1086" s="29"/>
      <c r="S1086" s="29"/>
      <c r="T1086" s="29"/>
      <c r="U1086" s="29"/>
      <c r="V1086" s="29"/>
      <c r="W1086" s="29"/>
      <c r="X1086" s="29"/>
      <c r="Y1086" s="29"/>
      <c r="Z1086" s="29"/>
      <c r="AA1086" s="29"/>
      <c r="AB1086" s="29"/>
      <c r="AC1086" s="29"/>
      <c r="AD1086" s="29"/>
      <c r="AE1086" s="29"/>
      <c r="AF1086" s="29"/>
      <c r="AG1086" s="29"/>
    </row>
    <row r="1087">
      <c r="A1087" s="40" t="s">
        <v>1032</v>
      </c>
      <c r="B1087" s="240" t="s">
        <v>1187</v>
      </c>
      <c r="C1087" s="218" t="s">
        <v>786</v>
      </c>
      <c r="D1087" s="85" t="s">
        <v>60</v>
      </c>
      <c r="E1087" s="540" t="s">
        <v>9464</v>
      </c>
      <c r="F1087" s="40" t="s">
        <v>9465</v>
      </c>
      <c r="G1087" s="493">
        <v>46071.0</v>
      </c>
      <c r="H1087" s="493">
        <v>46112.0</v>
      </c>
      <c r="I1087" s="189">
        <f>IFERROR(__xludf.DUMMYFUNCTION("IF(ISBLANK(H1087), TODAY()-TO_DATE(G1087), TO_DATE(H1087)-TO_DATE(G1087))+1"),42.0)</f>
        <v>42</v>
      </c>
      <c r="J1087" s="240">
        <v>500.0</v>
      </c>
      <c r="K1087" s="40" t="s">
        <v>9466</v>
      </c>
      <c r="L1087" s="40"/>
      <c r="M1087" s="63"/>
      <c r="N1087" s="29"/>
      <c r="O1087" s="29"/>
      <c r="P1087" s="29"/>
      <c r="Q1087" s="29"/>
      <c r="R1087" s="29"/>
      <c r="S1087" s="29"/>
      <c r="T1087" s="29"/>
      <c r="U1087" s="29"/>
      <c r="V1087" s="29"/>
      <c r="W1087" s="29"/>
      <c r="X1087" s="29"/>
      <c r="Y1087" s="29"/>
      <c r="Z1087" s="29"/>
      <c r="AA1087" s="29"/>
      <c r="AB1087" s="29"/>
      <c r="AC1087" s="29"/>
      <c r="AD1087" s="29"/>
      <c r="AE1087" s="29"/>
      <c r="AF1087" s="29"/>
      <c r="AG1087" s="29"/>
    </row>
    <row r="1088">
      <c r="A1088" s="40" t="s">
        <v>1032</v>
      </c>
      <c r="B1088" s="240" t="s">
        <v>1187</v>
      </c>
      <c r="C1088" s="218" t="s">
        <v>302</v>
      </c>
      <c r="D1088" s="85" t="s">
        <v>60</v>
      </c>
      <c r="E1088" s="240" t="s">
        <v>9468</v>
      </c>
      <c r="F1088" s="40" t="s">
        <v>9470</v>
      </c>
      <c r="G1088" s="493">
        <v>46073.0</v>
      </c>
      <c r="H1088" s="493">
        <v>46100.0</v>
      </c>
      <c r="I1088" s="189">
        <f>IFERROR(__xludf.DUMMYFUNCTION("IF(ISBLANK(H1088), TODAY()-TO_DATE(G1088), TO_DATE(H1088)-TO_DATE(G1088))+1"),28.0)</f>
        <v>28</v>
      </c>
      <c r="J1088" s="240" t="s">
        <v>8926</v>
      </c>
      <c r="K1088" s="40" t="s">
        <v>9472</v>
      </c>
      <c r="L1088" s="40"/>
      <c r="M1088" s="63"/>
      <c r="N1088" s="29"/>
      <c r="O1088" s="29"/>
      <c r="P1088" s="29"/>
      <c r="Q1088" s="29"/>
      <c r="R1088" s="29"/>
      <c r="S1088" s="29"/>
      <c r="T1088" s="29"/>
      <c r="U1088" s="29"/>
      <c r="V1088" s="29"/>
      <c r="W1088" s="29"/>
      <c r="X1088" s="29"/>
      <c r="Y1088" s="29"/>
      <c r="Z1088" s="29"/>
      <c r="AA1088" s="29"/>
      <c r="AB1088" s="29"/>
      <c r="AC1088" s="29"/>
      <c r="AD1088" s="29"/>
      <c r="AE1088" s="29"/>
      <c r="AF1088" s="29"/>
      <c r="AG1088" s="29"/>
    </row>
    <row r="1089">
      <c r="A1089" s="40" t="s">
        <v>1032</v>
      </c>
      <c r="B1089" s="240" t="s">
        <v>1187</v>
      </c>
      <c r="C1089" s="218" t="s">
        <v>213</v>
      </c>
      <c r="D1089" s="85" t="s">
        <v>60</v>
      </c>
      <c r="E1089" s="240" t="s">
        <v>1348</v>
      </c>
      <c r="F1089" s="40" t="s">
        <v>1350</v>
      </c>
      <c r="G1089" s="493">
        <v>46073.0</v>
      </c>
      <c r="H1089" s="493">
        <v>46152.0</v>
      </c>
      <c r="I1089" s="189">
        <f>IFERROR(__xludf.DUMMYFUNCTION("IF(ISBLANK(H1089), TODAY()-TO_DATE(G1089), TO_DATE(H1089)-TO_DATE(G1089))+1"),80.0)</f>
        <v>80</v>
      </c>
      <c r="J1089" s="240">
        <v>500.0</v>
      </c>
      <c r="K1089" s="40" t="s">
        <v>9475</v>
      </c>
      <c r="L1089" s="40" t="s">
        <v>9476</v>
      </c>
      <c r="M1089" s="63"/>
      <c r="N1089" s="29"/>
      <c r="O1089" s="29"/>
      <c r="P1089" s="29"/>
      <c r="Q1089" s="29"/>
      <c r="R1089" s="29"/>
      <c r="S1089" s="29"/>
      <c r="T1089" s="29"/>
      <c r="U1089" s="29"/>
      <c r="V1089" s="29"/>
      <c r="W1089" s="29"/>
      <c r="X1089" s="29"/>
      <c r="Y1089" s="29"/>
      <c r="Z1089" s="29"/>
      <c r="AA1089" s="29"/>
      <c r="AB1089" s="29"/>
      <c r="AC1089" s="29"/>
      <c r="AD1089" s="29"/>
      <c r="AE1089" s="29"/>
      <c r="AF1089" s="29"/>
      <c r="AG1089" s="29"/>
    </row>
    <row r="1090">
      <c r="A1090" s="40" t="s">
        <v>145</v>
      </c>
      <c r="B1090" s="240" t="s">
        <v>1187</v>
      </c>
      <c r="C1090" s="218" t="s">
        <v>9469</v>
      </c>
      <c r="D1090" s="85" t="s">
        <v>60</v>
      </c>
      <c r="E1090" s="540" t="s">
        <v>9471</v>
      </c>
      <c r="F1090" s="40" t="s">
        <v>9473</v>
      </c>
      <c r="G1090" s="493">
        <v>46073.0</v>
      </c>
      <c r="H1090" s="493">
        <v>46096.0</v>
      </c>
      <c r="I1090" s="189">
        <f>IFERROR(__xludf.DUMMYFUNCTION("IF(ISBLANK(H1090), TODAY()-TO_DATE(G1090), TO_DATE(H1090)-TO_DATE(G1090))+1"),24.0)</f>
        <v>24</v>
      </c>
      <c r="J1090" s="240">
        <v>500.0</v>
      </c>
      <c r="K1090" s="40" t="s">
        <v>9478</v>
      </c>
      <c r="L1090" s="40" t="s">
        <v>9479</v>
      </c>
      <c r="M1090" s="63"/>
      <c r="N1090" s="29"/>
      <c r="O1090" s="29"/>
      <c r="P1090" s="29"/>
      <c r="Q1090" s="29"/>
      <c r="R1090" s="29"/>
      <c r="S1090" s="29"/>
      <c r="T1090" s="29"/>
      <c r="U1090" s="29"/>
      <c r="V1090" s="29"/>
      <c r="W1090" s="29"/>
      <c r="X1090" s="29"/>
      <c r="Y1090" s="29"/>
      <c r="Z1090" s="29"/>
      <c r="AA1090" s="29"/>
      <c r="AB1090" s="29"/>
      <c r="AC1090" s="29"/>
      <c r="AD1090" s="29"/>
      <c r="AE1090" s="29"/>
      <c r="AF1090" s="29"/>
      <c r="AG1090" s="29"/>
    </row>
    <row r="1091">
      <c r="A1091" s="40" t="s">
        <v>145</v>
      </c>
      <c r="B1091" s="240" t="s">
        <v>1187</v>
      </c>
      <c r="C1091" s="218" t="s">
        <v>9481</v>
      </c>
      <c r="D1091" s="85" t="s">
        <v>60</v>
      </c>
      <c r="E1091" s="540" t="s">
        <v>9482</v>
      </c>
      <c r="F1091" s="40" t="s">
        <v>9483</v>
      </c>
      <c r="G1091" s="493">
        <v>46073.0</v>
      </c>
      <c r="H1091" s="493">
        <v>46096.0</v>
      </c>
      <c r="I1091" s="189">
        <f>IFERROR(__xludf.DUMMYFUNCTION("IF(ISBLANK(H1091), TODAY()-TO_DATE(G1091), TO_DATE(H1091)-TO_DATE(G1091))+1"),24.0)</f>
        <v>24</v>
      </c>
      <c r="J1091" s="240">
        <v>500.0</v>
      </c>
      <c r="K1091" s="40" t="s">
        <v>6948</v>
      </c>
      <c r="L1091" s="40"/>
      <c r="M1091" s="63"/>
      <c r="N1091" s="29"/>
      <c r="O1091" s="29"/>
      <c r="P1091" s="29"/>
      <c r="Q1091" s="29"/>
      <c r="R1091" s="29"/>
      <c r="S1091" s="29"/>
      <c r="T1091" s="29"/>
      <c r="U1091" s="29"/>
      <c r="V1091" s="29"/>
      <c r="W1091" s="29"/>
      <c r="X1091" s="29"/>
      <c r="Y1091" s="29"/>
      <c r="Z1091" s="29"/>
      <c r="AA1091" s="29"/>
      <c r="AB1091" s="29"/>
      <c r="AC1091" s="29"/>
      <c r="AD1091" s="29"/>
      <c r="AE1091" s="29"/>
      <c r="AF1091" s="29"/>
      <c r="AG1091" s="29"/>
    </row>
    <row r="1092">
      <c r="A1092" s="40" t="s">
        <v>150</v>
      </c>
      <c r="B1092" s="240" t="s">
        <v>1187</v>
      </c>
      <c r="C1092" s="218" t="s">
        <v>58</v>
      </c>
      <c r="D1092" s="85" t="s">
        <v>326</v>
      </c>
      <c r="E1092" s="540" t="s">
        <v>9484</v>
      </c>
      <c r="F1092" s="40" t="s">
        <v>9485</v>
      </c>
      <c r="G1092" s="493">
        <v>46074.0</v>
      </c>
      <c r="H1092" s="493">
        <v>46113.0</v>
      </c>
      <c r="I1092" s="189">
        <f>IFERROR(__xludf.DUMMYFUNCTION("IF(ISBLANK(H1092), TODAY()-TO_DATE(G1092), TO_DATE(H1092)-TO_DATE(G1092))+1"),40.0)</f>
        <v>40</v>
      </c>
      <c r="J1092" s="240">
        <v>500.0</v>
      </c>
      <c r="K1092" s="40" t="s">
        <v>9487</v>
      </c>
      <c r="L1092" s="40"/>
      <c r="M1092" s="63"/>
      <c r="N1092" s="29"/>
      <c r="O1092" s="29"/>
      <c r="P1092" s="29"/>
      <c r="Q1092" s="29"/>
      <c r="R1092" s="29"/>
      <c r="S1092" s="29"/>
      <c r="T1092" s="29"/>
      <c r="U1092" s="29"/>
      <c r="V1092" s="29"/>
      <c r="W1092" s="29"/>
      <c r="X1092" s="29"/>
      <c r="Y1092" s="29"/>
      <c r="Z1092" s="29"/>
      <c r="AA1092" s="29"/>
      <c r="AB1092" s="29"/>
      <c r="AC1092" s="29"/>
      <c r="AD1092" s="29"/>
      <c r="AE1092" s="29"/>
      <c r="AF1092" s="29"/>
      <c r="AG1092" s="29"/>
    </row>
    <row r="1093">
      <c r="A1093" s="40" t="s">
        <v>9359</v>
      </c>
      <c r="B1093" s="240" t="s">
        <v>1187</v>
      </c>
      <c r="C1093" s="218" t="s">
        <v>1536</v>
      </c>
      <c r="D1093" s="85" t="s">
        <v>60</v>
      </c>
      <c r="E1093" s="240" t="s">
        <v>9488</v>
      </c>
      <c r="F1093" s="40" t="s">
        <v>9489</v>
      </c>
      <c r="G1093" s="493">
        <v>46074.0</v>
      </c>
      <c r="H1093" s="493">
        <v>46080.0</v>
      </c>
      <c r="I1093" s="189">
        <f>IFERROR(__xludf.DUMMYFUNCTION("IF(ISBLANK(H1093), TODAY()-TO_DATE(G1093), TO_DATE(H1093)-TO_DATE(G1093))+1"),7.0)</f>
        <v>7</v>
      </c>
      <c r="J1093" s="240">
        <v>300.0</v>
      </c>
      <c r="K1093" s="40" t="s">
        <v>9490</v>
      </c>
      <c r="L1093" s="40" t="s">
        <v>9491</v>
      </c>
      <c r="M1093" s="609" t="s">
        <v>9492</v>
      </c>
      <c r="N1093" s="29"/>
      <c r="O1093" s="29"/>
      <c r="P1093" s="29"/>
      <c r="Q1093" s="29"/>
      <c r="R1093" s="29"/>
      <c r="S1093" s="29"/>
      <c r="T1093" s="29"/>
      <c r="U1093" s="29"/>
      <c r="V1093" s="29"/>
      <c r="W1093" s="29"/>
      <c r="X1093" s="29"/>
      <c r="Y1093" s="29"/>
      <c r="Z1093" s="29"/>
      <c r="AA1093" s="29"/>
      <c r="AB1093" s="29"/>
      <c r="AC1093" s="29"/>
      <c r="AD1093" s="29"/>
      <c r="AE1093" s="29"/>
      <c r="AF1093" s="29"/>
      <c r="AG1093" s="29"/>
    </row>
    <row r="1094">
      <c r="A1094" s="40" t="s">
        <v>1032</v>
      </c>
      <c r="B1094" s="240" t="s">
        <v>1187</v>
      </c>
      <c r="C1094" s="218" t="s">
        <v>213</v>
      </c>
      <c r="D1094" s="85" t="s">
        <v>60</v>
      </c>
      <c r="E1094" s="240" t="s">
        <v>2011</v>
      </c>
      <c r="F1094" s="40" t="s">
        <v>2013</v>
      </c>
      <c r="G1094" s="493">
        <v>46074.0</v>
      </c>
      <c r="H1094" s="493">
        <v>46131.0</v>
      </c>
      <c r="I1094" s="189">
        <f>IFERROR(__xludf.DUMMYFUNCTION("IF(ISBLANK(H1094), TODAY()-TO_DATE(G1094), TO_DATE(H1094)-TO_DATE(G1094))+1"),58.0)</f>
        <v>58</v>
      </c>
      <c r="J1094" s="240" t="s">
        <v>197</v>
      </c>
      <c r="K1094" s="40" t="s">
        <v>9493</v>
      </c>
      <c r="L1094" s="40"/>
      <c r="M1094" s="63"/>
      <c r="N1094" s="29"/>
      <c r="O1094" s="29"/>
      <c r="P1094" s="29"/>
      <c r="Q1094" s="29"/>
      <c r="R1094" s="29"/>
      <c r="S1094" s="29"/>
      <c r="T1094" s="29"/>
      <c r="U1094" s="29"/>
      <c r="V1094" s="29"/>
      <c r="W1094" s="29"/>
      <c r="X1094" s="29"/>
      <c r="Y1094" s="29"/>
      <c r="Z1094" s="29"/>
      <c r="AA1094" s="29"/>
      <c r="AB1094" s="29"/>
      <c r="AC1094" s="29"/>
      <c r="AD1094" s="29"/>
      <c r="AE1094" s="29"/>
      <c r="AF1094" s="29"/>
      <c r="AG1094" s="29"/>
    </row>
    <row r="1095">
      <c r="A1095" s="40" t="s">
        <v>1032</v>
      </c>
      <c r="B1095" s="240" t="s">
        <v>1187</v>
      </c>
      <c r="C1095" s="218" t="s">
        <v>331</v>
      </c>
      <c r="D1095" s="85" t="s">
        <v>60</v>
      </c>
      <c r="E1095" s="240" t="s">
        <v>9495</v>
      </c>
      <c r="F1095" s="40" t="s">
        <v>9496</v>
      </c>
      <c r="G1095" s="493">
        <v>46074.0</v>
      </c>
      <c r="H1095" s="493">
        <v>46079.0</v>
      </c>
      <c r="I1095" s="189">
        <f>IFERROR(__xludf.DUMMYFUNCTION("IF(ISBLANK(H1095), TODAY()-TO_DATE(G1095), TO_DATE(H1095)-TO_DATE(G1095))+1"),6.0)</f>
        <v>6</v>
      </c>
      <c r="J1095" s="240">
        <v>300.0</v>
      </c>
      <c r="K1095" s="40" t="s">
        <v>9497</v>
      </c>
      <c r="L1095" s="40" t="s">
        <v>9498</v>
      </c>
      <c r="M1095" s="63"/>
      <c r="N1095" s="29"/>
      <c r="O1095" s="29"/>
      <c r="P1095" s="29"/>
      <c r="Q1095" s="29"/>
      <c r="R1095" s="29"/>
      <c r="S1095" s="29"/>
      <c r="T1095" s="29"/>
      <c r="U1095" s="29"/>
      <c r="V1095" s="29"/>
      <c r="W1095" s="29"/>
      <c r="X1095" s="29"/>
      <c r="Y1095" s="29"/>
      <c r="Z1095" s="29"/>
      <c r="AA1095" s="29"/>
      <c r="AB1095" s="29"/>
      <c r="AC1095" s="29"/>
      <c r="AD1095" s="29"/>
      <c r="AE1095" s="29"/>
      <c r="AF1095" s="29"/>
      <c r="AG1095" s="29"/>
    </row>
    <row r="1096">
      <c r="A1096" s="40" t="s">
        <v>1032</v>
      </c>
      <c r="B1096" s="240" t="s">
        <v>1187</v>
      </c>
      <c r="C1096" s="218" t="s">
        <v>58</v>
      </c>
      <c r="D1096" s="85" t="s">
        <v>60</v>
      </c>
      <c r="E1096" s="240" t="s">
        <v>9499</v>
      </c>
      <c r="F1096" s="40" t="s">
        <v>9500</v>
      </c>
      <c r="G1096" s="493">
        <v>46074.0</v>
      </c>
      <c r="H1096" s="493">
        <v>46103.0</v>
      </c>
      <c r="I1096" s="189">
        <f>IFERROR(__xludf.DUMMYFUNCTION("IF(ISBLANK(H1096), TODAY()-TO_DATE(G1096), TO_DATE(H1096)-TO_DATE(G1096))+1"),30.0)</f>
        <v>30</v>
      </c>
      <c r="J1096" s="240">
        <v>300.0</v>
      </c>
      <c r="K1096" s="40" t="s">
        <v>9502</v>
      </c>
      <c r="L1096" s="40" t="s">
        <v>9503</v>
      </c>
      <c r="M1096" s="63"/>
      <c r="N1096" s="29"/>
      <c r="O1096" s="29"/>
      <c r="P1096" s="29"/>
      <c r="Q1096" s="29"/>
      <c r="R1096" s="29"/>
      <c r="S1096" s="29"/>
      <c r="T1096" s="29"/>
      <c r="U1096" s="29"/>
      <c r="V1096" s="29"/>
      <c r="W1096" s="29"/>
      <c r="X1096" s="29"/>
      <c r="Y1096" s="29"/>
      <c r="Z1096" s="29"/>
      <c r="AA1096" s="29"/>
      <c r="AB1096" s="29"/>
      <c r="AC1096" s="29"/>
      <c r="AD1096" s="29"/>
      <c r="AE1096" s="29"/>
      <c r="AF1096" s="29"/>
      <c r="AG1096" s="29"/>
    </row>
    <row r="1097">
      <c r="A1097" s="40" t="s">
        <v>1032</v>
      </c>
      <c r="B1097" s="240" t="s">
        <v>1187</v>
      </c>
      <c r="C1097" s="218" t="s">
        <v>213</v>
      </c>
      <c r="D1097" s="85" t="s">
        <v>60</v>
      </c>
      <c r="E1097" s="240" t="s">
        <v>9506</v>
      </c>
      <c r="F1097" s="40" t="s">
        <v>3214</v>
      </c>
      <c r="G1097" s="493">
        <v>46074.0</v>
      </c>
      <c r="H1097" s="493">
        <v>46078.0</v>
      </c>
      <c r="I1097" s="189">
        <f>IFERROR(__xludf.DUMMYFUNCTION("IF(ISBLANK(H1097), TODAY()-TO_DATE(G1097), TO_DATE(H1097)-TO_DATE(G1097))+1"),5.0)</f>
        <v>5</v>
      </c>
      <c r="J1097" s="240" t="s">
        <v>197</v>
      </c>
      <c r="K1097" s="40" t="s">
        <v>9507</v>
      </c>
      <c r="L1097" s="40"/>
      <c r="M1097" s="63"/>
      <c r="N1097" s="29"/>
      <c r="O1097" s="29"/>
      <c r="P1097" s="29"/>
      <c r="Q1097" s="29"/>
      <c r="R1097" s="29"/>
      <c r="S1097" s="29"/>
      <c r="T1097" s="29"/>
      <c r="U1097" s="29"/>
      <c r="V1097" s="29"/>
      <c r="W1097" s="29"/>
      <c r="X1097" s="29"/>
      <c r="Y1097" s="29"/>
      <c r="Z1097" s="29"/>
      <c r="AA1097" s="29"/>
      <c r="AB1097" s="29"/>
      <c r="AC1097" s="29"/>
      <c r="AD1097" s="29"/>
      <c r="AE1097" s="29"/>
      <c r="AF1097" s="29"/>
      <c r="AG1097" s="29"/>
    </row>
    <row r="1098">
      <c r="A1098" s="40" t="s">
        <v>145</v>
      </c>
      <c r="B1098" s="240" t="s">
        <v>1187</v>
      </c>
      <c r="C1098" s="218" t="s">
        <v>8593</v>
      </c>
      <c r="D1098" s="85" t="s">
        <v>60</v>
      </c>
      <c r="E1098" s="240" t="s">
        <v>9435</v>
      </c>
      <c r="F1098" s="40" t="s">
        <v>9436</v>
      </c>
      <c r="G1098" s="493">
        <v>46074.0</v>
      </c>
      <c r="H1098" s="493">
        <v>46081.0</v>
      </c>
      <c r="I1098" s="189">
        <f>IFERROR(__xludf.DUMMYFUNCTION("IF(ISBLANK(H1098), TODAY()-TO_DATE(G1098), TO_DATE(H1098)-TO_DATE(G1098))+1"),8.0)</f>
        <v>8</v>
      </c>
      <c r="J1098" s="240">
        <v>500.0</v>
      </c>
      <c r="K1098" s="40" t="s">
        <v>9508</v>
      </c>
      <c r="L1098" s="40" t="s">
        <v>9509</v>
      </c>
      <c r="M1098" s="240" t="s">
        <v>9226</v>
      </c>
      <c r="N1098" s="29"/>
      <c r="O1098" s="29"/>
      <c r="P1098" s="29"/>
      <c r="Q1098" s="29"/>
      <c r="R1098" s="29"/>
      <c r="S1098" s="29"/>
      <c r="T1098" s="29"/>
      <c r="U1098" s="29"/>
      <c r="V1098" s="29"/>
      <c r="W1098" s="29"/>
      <c r="X1098" s="29"/>
      <c r="Y1098" s="29"/>
      <c r="Z1098" s="29"/>
      <c r="AA1098" s="29"/>
      <c r="AB1098" s="29"/>
      <c r="AC1098" s="29"/>
      <c r="AD1098" s="29"/>
      <c r="AE1098" s="29"/>
      <c r="AF1098" s="29"/>
      <c r="AG1098" s="29"/>
    </row>
    <row r="1099">
      <c r="A1099" s="40" t="s">
        <v>9094</v>
      </c>
      <c r="B1099" s="240" t="s">
        <v>1187</v>
      </c>
      <c r="C1099" s="218" t="s">
        <v>1536</v>
      </c>
      <c r="D1099" s="85" t="s">
        <v>60</v>
      </c>
      <c r="E1099" s="240" t="s">
        <v>9511</v>
      </c>
      <c r="F1099" s="40" t="s">
        <v>2307</v>
      </c>
      <c r="G1099" s="493">
        <v>46074.0</v>
      </c>
      <c r="H1099" s="493">
        <v>46085.0</v>
      </c>
      <c r="I1099" s="189">
        <f>IFERROR(__xludf.DUMMYFUNCTION("IF(ISBLANK(H1099), TODAY()-TO_DATE(G1099), TO_DATE(H1099)-TO_DATE(G1099))+1"),12.0)</f>
        <v>12</v>
      </c>
      <c r="J1099" s="240">
        <v>500.0</v>
      </c>
      <c r="K1099" s="40" t="s">
        <v>9514</v>
      </c>
      <c r="L1099" s="40"/>
      <c r="M1099" s="63"/>
      <c r="N1099" s="29"/>
      <c r="O1099" s="29"/>
      <c r="P1099" s="29"/>
      <c r="Q1099" s="29"/>
      <c r="R1099" s="29"/>
      <c r="S1099" s="29"/>
      <c r="T1099" s="29"/>
      <c r="U1099" s="29"/>
      <c r="V1099" s="29"/>
      <c r="W1099" s="29"/>
      <c r="X1099" s="29"/>
      <c r="Y1099" s="29"/>
      <c r="Z1099" s="29"/>
      <c r="AA1099" s="29"/>
      <c r="AB1099" s="29"/>
      <c r="AC1099" s="29"/>
      <c r="AD1099" s="29"/>
      <c r="AE1099" s="29"/>
      <c r="AF1099" s="29"/>
      <c r="AG1099" s="29"/>
    </row>
    <row r="1100">
      <c r="A1100" s="40" t="s">
        <v>1032</v>
      </c>
      <c r="B1100" s="240" t="s">
        <v>1187</v>
      </c>
      <c r="C1100" s="218" t="s">
        <v>295</v>
      </c>
      <c r="D1100" s="85" t="s">
        <v>60</v>
      </c>
      <c r="E1100" s="240" t="s">
        <v>9515</v>
      </c>
      <c r="F1100" s="40" t="s">
        <v>8917</v>
      </c>
      <c r="G1100" s="493">
        <v>46076.0</v>
      </c>
      <c r="H1100" s="493">
        <v>46079.0</v>
      </c>
      <c r="I1100" s="189">
        <f>IFERROR(__xludf.DUMMYFUNCTION("IF(ISBLANK(H1100), TODAY()-TO_DATE(G1100), TO_DATE(H1100)-TO_DATE(G1100))+1"),4.0)</f>
        <v>4</v>
      </c>
      <c r="J1100" s="240">
        <v>300.0</v>
      </c>
      <c r="K1100" s="40" t="s">
        <v>9517</v>
      </c>
      <c r="L1100" s="40"/>
      <c r="M1100" s="240" t="s">
        <v>9226</v>
      </c>
      <c r="N1100" s="29"/>
      <c r="O1100" s="29"/>
      <c r="P1100" s="29"/>
      <c r="Q1100" s="29"/>
      <c r="R1100" s="29"/>
      <c r="S1100" s="29"/>
      <c r="T1100" s="29"/>
      <c r="U1100" s="29"/>
      <c r="V1100" s="29"/>
      <c r="W1100" s="29"/>
      <c r="X1100" s="29"/>
      <c r="Y1100" s="29"/>
      <c r="Z1100" s="29"/>
      <c r="AA1100" s="29"/>
      <c r="AB1100" s="29"/>
      <c r="AC1100" s="29"/>
      <c r="AD1100" s="29"/>
      <c r="AE1100" s="29"/>
      <c r="AF1100" s="29"/>
      <c r="AG1100" s="29"/>
    </row>
    <row r="1101">
      <c r="A1101" s="40" t="s">
        <v>1032</v>
      </c>
      <c r="B1101" s="240" t="s">
        <v>1187</v>
      </c>
      <c r="C1101" s="218" t="s">
        <v>139</v>
      </c>
      <c r="D1101" s="85" t="s">
        <v>60</v>
      </c>
      <c r="E1101" s="240" t="s">
        <v>3295</v>
      </c>
      <c r="F1101" s="40" t="s">
        <v>628</v>
      </c>
      <c r="G1101" s="493">
        <v>46076.0</v>
      </c>
      <c r="H1101" s="493">
        <v>46097.0</v>
      </c>
      <c r="I1101" s="189">
        <f>IFERROR(__xludf.DUMMYFUNCTION("IF(ISBLANK(H1101), TODAY()-TO_DATE(G1101), TO_DATE(H1101)-TO_DATE(G1101))+1"),22.0)</f>
        <v>22</v>
      </c>
      <c r="J1101" s="240" t="s">
        <v>197</v>
      </c>
      <c r="K1101" s="40" t="s">
        <v>9521</v>
      </c>
      <c r="L1101" s="40" t="s">
        <v>9522</v>
      </c>
      <c r="M1101" s="240" t="s">
        <v>9226</v>
      </c>
      <c r="N1101" s="29"/>
      <c r="O1101" s="29"/>
      <c r="P1101" s="29"/>
      <c r="Q1101" s="29"/>
      <c r="R1101" s="29"/>
      <c r="S1101" s="29"/>
      <c r="T1101" s="29"/>
      <c r="U1101" s="29"/>
      <c r="V1101" s="29"/>
      <c r="W1101" s="29"/>
      <c r="X1101" s="29"/>
      <c r="Y1101" s="29"/>
      <c r="Z1101" s="29"/>
      <c r="AA1101" s="29"/>
      <c r="AB1101" s="29"/>
      <c r="AC1101" s="29"/>
      <c r="AD1101" s="29"/>
      <c r="AE1101" s="29"/>
      <c r="AF1101" s="29"/>
      <c r="AG1101" s="29"/>
    </row>
    <row r="1102">
      <c r="A1102" s="40" t="s">
        <v>1032</v>
      </c>
      <c r="B1102" s="240" t="s">
        <v>1187</v>
      </c>
      <c r="C1102" s="218" t="s">
        <v>187</v>
      </c>
      <c r="D1102" s="85" t="s">
        <v>60</v>
      </c>
      <c r="E1102" s="240" t="s">
        <v>1320</v>
      </c>
      <c r="F1102" s="40" t="s">
        <v>1321</v>
      </c>
      <c r="G1102" s="493">
        <v>46076.0</v>
      </c>
      <c r="H1102" s="493">
        <v>46097.0</v>
      </c>
      <c r="I1102" s="189">
        <f>IFERROR(__xludf.DUMMYFUNCTION("IF(ISBLANK(H1102), TODAY()-TO_DATE(G1102), TO_DATE(H1102)-TO_DATE(G1102))+1"),22.0)</f>
        <v>22</v>
      </c>
      <c r="J1102" s="240" t="s">
        <v>197</v>
      </c>
      <c r="K1102" s="40" t="s">
        <v>9524</v>
      </c>
      <c r="L1102" s="40"/>
      <c r="M1102" s="63"/>
      <c r="N1102" s="29"/>
      <c r="O1102" s="29"/>
      <c r="P1102" s="29"/>
      <c r="Q1102" s="29"/>
      <c r="R1102" s="29"/>
      <c r="S1102" s="29"/>
      <c r="T1102" s="29"/>
      <c r="U1102" s="29"/>
      <c r="V1102" s="29"/>
      <c r="W1102" s="29"/>
      <c r="X1102" s="29"/>
      <c r="Y1102" s="29"/>
      <c r="Z1102" s="29"/>
      <c r="AA1102" s="29"/>
      <c r="AB1102" s="29"/>
      <c r="AC1102" s="29"/>
      <c r="AD1102" s="29"/>
      <c r="AE1102" s="29"/>
      <c r="AF1102" s="29"/>
      <c r="AG1102" s="29"/>
    </row>
    <row r="1103">
      <c r="A1103" s="40" t="s">
        <v>1448</v>
      </c>
      <c r="B1103" s="240" t="s">
        <v>1187</v>
      </c>
      <c r="C1103" s="218" t="s">
        <v>287</v>
      </c>
      <c r="D1103" s="85" t="s">
        <v>60</v>
      </c>
      <c r="E1103" s="240" t="s">
        <v>2860</v>
      </c>
      <c r="F1103" s="40" t="s">
        <v>2862</v>
      </c>
      <c r="G1103" s="493">
        <v>46076.0</v>
      </c>
      <c r="H1103" s="493">
        <v>46097.0</v>
      </c>
      <c r="I1103" s="189">
        <f>IFERROR(__xludf.DUMMYFUNCTION("IF(ISBLANK(H1103), TODAY()-TO_DATE(G1103), TO_DATE(H1103)-TO_DATE(G1103))+1"),22.0)</f>
        <v>22</v>
      </c>
      <c r="J1103" s="240" t="s">
        <v>197</v>
      </c>
      <c r="K1103" s="40" t="s">
        <v>7560</v>
      </c>
      <c r="L1103" s="649" t="s">
        <v>9529</v>
      </c>
      <c r="M1103" s="63"/>
      <c r="N1103" s="29"/>
      <c r="O1103" s="29"/>
      <c r="P1103" s="29"/>
      <c r="Q1103" s="29"/>
      <c r="R1103" s="29"/>
      <c r="S1103" s="29"/>
      <c r="T1103" s="29"/>
      <c r="U1103" s="29"/>
      <c r="V1103" s="29"/>
      <c r="W1103" s="29"/>
      <c r="X1103" s="29"/>
      <c r="Y1103" s="29"/>
      <c r="Z1103" s="29"/>
      <c r="AA1103" s="29"/>
      <c r="AB1103" s="29"/>
      <c r="AC1103" s="29"/>
      <c r="AD1103" s="29"/>
      <c r="AE1103" s="29"/>
      <c r="AF1103" s="29"/>
      <c r="AG1103" s="29"/>
    </row>
    <row r="1104">
      <c r="A1104" s="40" t="s">
        <v>8997</v>
      </c>
      <c r="B1104" s="240" t="s">
        <v>1187</v>
      </c>
      <c r="C1104" s="218" t="s">
        <v>1753</v>
      </c>
      <c r="D1104" s="85" t="s">
        <v>60</v>
      </c>
      <c r="E1104" s="240" t="s">
        <v>9530</v>
      </c>
      <c r="F1104" s="40" t="s">
        <v>9531</v>
      </c>
      <c r="G1104" s="493">
        <v>46077.0</v>
      </c>
      <c r="H1104" s="493">
        <v>46111.0</v>
      </c>
      <c r="I1104" s="189">
        <f>IFERROR(__xludf.DUMMYFUNCTION("IF(ISBLANK(H1104), TODAY()-TO_DATE(G1104), TO_DATE(H1104)-TO_DATE(G1104))+1"),35.0)</f>
        <v>35</v>
      </c>
      <c r="J1104" s="240">
        <v>300.0</v>
      </c>
      <c r="K1104" s="40" t="s">
        <v>9533</v>
      </c>
      <c r="L1104" s="40" t="s">
        <v>9534</v>
      </c>
      <c r="M1104" s="63" t="s">
        <v>9226</v>
      </c>
      <c r="N1104" s="29"/>
      <c r="O1104" s="29"/>
      <c r="P1104" s="29"/>
      <c r="Q1104" s="29"/>
      <c r="R1104" s="29"/>
      <c r="S1104" s="29"/>
      <c r="T1104" s="29"/>
      <c r="U1104" s="29"/>
      <c r="V1104" s="29"/>
      <c r="W1104" s="29"/>
      <c r="X1104" s="29"/>
      <c r="Y1104" s="29"/>
      <c r="Z1104" s="29"/>
      <c r="AA1104" s="29"/>
      <c r="AB1104" s="29"/>
      <c r="AC1104" s="29"/>
      <c r="AD1104" s="29"/>
      <c r="AE1104" s="29"/>
      <c r="AF1104" s="29"/>
      <c r="AG1104" s="29"/>
    </row>
    <row r="1105">
      <c r="A1105" s="40" t="s">
        <v>1448</v>
      </c>
      <c r="B1105" s="240" t="s">
        <v>1187</v>
      </c>
      <c r="C1105" s="218" t="s">
        <v>201</v>
      </c>
      <c r="D1105" s="85" t="s">
        <v>102</v>
      </c>
      <c r="E1105" s="240" t="s">
        <v>2669</v>
      </c>
      <c r="F1105" s="40" t="s">
        <v>2670</v>
      </c>
      <c r="G1105" s="493">
        <v>46077.0</v>
      </c>
      <c r="H1105" s="493">
        <v>46111.0</v>
      </c>
      <c r="I1105" s="189">
        <f>IFERROR(__xludf.DUMMYFUNCTION("IF(ISBLANK(H1105), TODAY()-TO_DATE(G1105), TO_DATE(H1105)-TO_DATE(G1105))+1"),35.0)</f>
        <v>35</v>
      </c>
      <c r="J1105" s="240" t="s">
        <v>197</v>
      </c>
      <c r="K1105" s="240" t="s">
        <v>9539</v>
      </c>
      <c r="L1105" s="40" t="s">
        <v>9540</v>
      </c>
      <c r="M1105" s="63"/>
      <c r="N1105" s="29"/>
      <c r="O1105" s="29"/>
      <c r="P1105" s="29"/>
      <c r="Q1105" s="29"/>
      <c r="R1105" s="29"/>
      <c r="S1105" s="29"/>
      <c r="T1105" s="29"/>
      <c r="U1105" s="29"/>
      <c r="V1105" s="29"/>
      <c r="W1105" s="29"/>
      <c r="X1105" s="29"/>
      <c r="Y1105" s="29"/>
      <c r="Z1105" s="29"/>
      <c r="AA1105" s="29"/>
      <c r="AB1105" s="29"/>
      <c r="AC1105" s="29"/>
      <c r="AD1105" s="29"/>
      <c r="AE1105" s="29"/>
      <c r="AF1105" s="29"/>
      <c r="AG1105" s="29"/>
    </row>
    <row r="1106">
      <c r="A1106" s="40" t="s">
        <v>9434</v>
      </c>
      <c r="B1106" s="240" t="s">
        <v>1187</v>
      </c>
      <c r="C1106" s="218" t="s">
        <v>4525</v>
      </c>
      <c r="D1106" s="85" t="s">
        <v>60</v>
      </c>
      <c r="E1106" s="240" t="s">
        <v>9440</v>
      </c>
      <c r="F1106" s="40" t="s">
        <v>2100</v>
      </c>
      <c r="G1106" s="493">
        <v>46077.0</v>
      </c>
      <c r="H1106" s="493">
        <v>46080.0</v>
      </c>
      <c r="I1106" s="189">
        <f>IFERROR(__xludf.DUMMYFUNCTION("IF(ISBLANK(H1106), TODAY()-TO_DATE(G1106), TO_DATE(H1106)-TO_DATE(G1106))+1"),4.0)</f>
        <v>4</v>
      </c>
      <c r="J1106" s="240" t="s">
        <v>197</v>
      </c>
      <c r="K1106" s="40" t="s">
        <v>9543</v>
      </c>
      <c r="L1106" s="40"/>
      <c r="M1106" s="63" t="s">
        <v>9226</v>
      </c>
      <c r="N1106" s="29"/>
      <c r="O1106" s="29"/>
      <c r="P1106" s="29"/>
      <c r="Q1106" s="29"/>
      <c r="R1106" s="29"/>
      <c r="S1106" s="29"/>
      <c r="T1106" s="29"/>
      <c r="U1106" s="29"/>
      <c r="V1106" s="29"/>
      <c r="W1106" s="29"/>
      <c r="X1106" s="29"/>
      <c r="Y1106" s="29"/>
      <c r="Z1106" s="29"/>
      <c r="AA1106" s="29"/>
      <c r="AB1106" s="29"/>
      <c r="AC1106" s="29"/>
      <c r="AD1106" s="29"/>
      <c r="AE1106" s="29"/>
      <c r="AF1106" s="29"/>
      <c r="AG1106" s="29"/>
    </row>
    <row r="1107">
      <c r="A1107" s="40" t="s">
        <v>1566</v>
      </c>
      <c r="B1107" s="240" t="s">
        <v>1187</v>
      </c>
      <c r="C1107" s="218" t="s">
        <v>786</v>
      </c>
      <c r="D1107" s="85" t="s">
        <v>60</v>
      </c>
      <c r="E1107" s="240" t="s">
        <v>9545</v>
      </c>
      <c r="F1107" s="40" t="s">
        <v>6217</v>
      </c>
      <c r="G1107" s="493">
        <v>46077.0</v>
      </c>
      <c r="H1107" s="493">
        <v>46078.0</v>
      </c>
      <c r="I1107" s="189">
        <f>IFERROR(__xludf.DUMMYFUNCTION("IF(ISBLANK(H1107), TODAY()-TO_DATE(G1107), TO_DATE(H1107)-TO_DATE(G1107))+1"),2.0)</f>
        <v>2</v>
      </c>
      <c r="J1107" s="240" t="s">
        <v>197</v>
      </c>
      <c r="K1107" s="40" t="s">
        <v>9547</v>
      </c>
      <c r="L1107" s="40"/>
      <c r="M1107" s="63" t="s">
        <v>9226</v>
      </c>
      <c r="N1107" s="29"/>
      <c r="O1107" s="29"/>
      <c r="P1107" s="29"/>
      <c r="Q1107" s="29"/>
      <c r="R1107" s="29"/>
      <c r="S1107" s="29"/>
      <c r="T1107" s="29"/>
      <c r="U1107" s="29"/>
      <c r="V1107" s="29"/>
      <c r="W1107" s="29"/>
      <c r="X1107" s="29"/>
      <c r="Y1107" s="29"/>
      <c r="Z1107" s="29"/>
      <c r="AA1107" s="29"/>
      <c r="AB1107" s="29"/>
      <c r="AC1107" s="29"/>
      <c r="AD1107" s="29"/>
      <c r="AE1107" s="29"/>
      <c r="AF1107" s="29"/>
      <c r="AG1107" s="29"/>
    </row>
    <row r="1108">
      <c r="A1108" s="40" t="s">
        <v>1510</v>
      </c>
      <c r="B1108" s="240" t="s">
        <v>1187</v>
      </c>
      <c r="C1108" s="218" t="s">
        <v>1932</v>
      </c>
      <c r="D1108" s="85" t="s">
        <v>60</v>
      </c>
      <c r="E1108" s="540" t="s">
        <v>9548</v>
      </c>
      <c r="F1108" s="40" t="s">
        <v>9549</v>
      </c>
      <c r="G1108" s="493">
        <v>46077.0</v>
      </c>
      <c r="H1108" s="493">
        <v>46097.0</v>
      </c>
      <c r="I1108" s="189">
        <f>IFERROR(__xludf.DUMMYFUNCTION("IF(ISBLANK(H1108), TODAY()-TO_DATE(G1108), TO_DATE(H1108)-TO_DATE(G1108))+1"),21.0)</f>
        <v>21</v>
      </c>
      <c r="J1108" s="240">
        <v>500.0</v>
      </c>
      <c r="K1108" s="40" t="s">
        <v>9552</v>
      </c>
      <c r="L1108" s="40" t="s">
        <v>9553</v>
      </c>
      <c r="M1108" s="63" t="s">
        <v>9226</v>
      </c>
      <c r="N1108" s="29"/>
      <c r="O1108" s="29"/>
      <c r="P1108" s="29"/>
      <c r="Q1108" s="29"/>
      <c r="R1108" s="29"/>
      <c r="S1108" s="29"/>
      <c r="T1108" s="29"/>
      <c r="U1108" s="29"/>
      <c r="V1108" s="29"/>
      <c r="W1108" s="29"/>
      <c r="X1108" s="29"/>
      <c r="Y1108" s="29"/>
      <c r="Z1108" s="29"/>
      <c r="AA1108" s="29"/>
      <c r="AB1108" s="29"/>
      <c r="AC1108" s="29"/>
      <c r="AD1108" s="29"/>
      <c r="AE1108" s="29"/>
      <c r="AF1108" s="29"/>
      <c r="AG1108" s="29"/>
    </row>
    <row r="1109">
      <c r="A1109" s="40" t="s">
        <v>1032</v>
      </c>
      <c r="B1109" s="240" t="s">
        <v>1187</v>
      </c>
      <c r="C1109" s="218"/>
      <c r="D1109" s="85"/>
      <c r="E1109" s="540" t="s">
        <v>2569</v>
      </c>
      <c r="F1109" s="40" t="s">
        <v>2570</v>
      </c>
      <c r="G1109" s="493">
        <v>46078.0</v>
      </c>
      <c r="H1109" s="493">
        <v>46114.0</v>
      </c>
      <c r="I1109" s="189">
        <f>IFERROR(__xludf.DUMMYFUNCTION("IF(ISBLANK(H1109), TODAY()-TO_DATE(G1109), TO_DATE(H1109)-TO_DATE(G1109))+1"),37.0)</f>
        <v>37</v>
      </c>
      <c r="J1109" s="240">
        <v>500.0</v>
      </c>
      <c r="K1109" s="40" t="s">
        <v>6846</v>
      </c>
      <c r="L1109" s="40" t="s">
        <v>9554</v>
      </c>
      <c r="M1109" s="63"/>
      <c r="N1109" s="29"/>
      <c r="O1109" s="29"/>
      <c r="P1109" s="29"/>
      <c r="Q1109" s="29"/>
      <c r="R1109" s="29"/>
      <c r="S1109" s="29"/>
      <c r="T1109" s="29"/>
      <c r="U1109" s="29"/>
      <c r="V1109" s="29"/>
      <c r="W1109" s="29"/>
      <c r="X1109" s="29"/>
      <c r="Y1109" s="29"/>
      <c r="Z1109" s="29"/>
      <c r="AA1109" s="29"/>
      <c r="AB1109" s="29"/>
      <c r="AC1109" s="29"/>
      <c r="AD1109" s="29"/>
      <c r="AE1109" s="29"/>
      <c r="AF1109" s="29"/>
      <c r="AG1109" s="29"/>
    </row>
    <row r="1110">
      <c r="A1110" s="40" t="s">
        <v>1448</v>
      </c>
      <c r="B1110" s="240" t="s">
        <v>1187</v>
      </c>
      <c r="C1110" s="218"/>
      <c r="D1110" s="85"/>
      <c r="E1110" s="540" t="s">
        <v>9555</v>
      </c>
      <c r="F1110" s="40" t="s">
        <v>9556</v>
      </c>
      <c r="G1110" s="493">
        <v>46078.0</v>
      </c>
      <c r="H1110" s="493">
        <v>46100.0</v>
      </c>
      <c r="I1110" s="189">
        <f>IFERROR(__xludf.DUMMYFUNCTION("IF(ISBLANK(H1110), TODAY()-TO_DATE(G1110), TO_DATE(H1110)-TO_DATE(G1110))+1"),23.0)</f>
        <v>23</v>
      </c>
      <c r="J1110" s="240">
        <v>500.0</v>
      </c>
      <c r="K1110" s="40" t="s">
        <v>9557</v>
      </c>
      <c r="L1110" s="40" t="s">
        <v>9558</v>
      </c>
      <c r="M1110" s="63" t="s">
        <v>9226</v>
      </c>
      <c r="N1110" s="29"/>
      <c r="O1110" s="29"/>
      <c r="P1110" s="29"/>
      <c r="Q1110" s="29"/>
      <c r="R1110" s="29"/>
      <c r="S1110" s="29"/>
      <c r="T1110" s="29"/>
      <c r="U1110" s="29"/>
      <c r="V1110" s="29"/>
      <c r="W1110" s="29"/>
      <c r="X1110" s="29"/>
      <c r="Y1110" s="29"/>
      <c r="Z1110" s="29"/>
      <c r="AA1110" s="29"/>
      <c r="AB1110" s="29"/>
      <c r="AC1110" s="29"/>
      <c r="AD1110" s="29"/>
      <c r="AE1110" s="29"/>
      <c r="AF1110" s="29"/>
      <c r="AG1110" s="29"/>
    </row>
    <row r="1111">
      <c r="A1111" s="40" t="s">
        <v>1448</v>
      </c>
      <c r="B1111" s="240" t="s">
        <v>1187</v>
      </c>
      <c r="C1111" s="218"/>
      <c r="D1111" s="85"/>
      <c r="E1111" s="540" t="s">
        <v>9560</v>
      </c>
      <c r="F1111" s="40" t="s">
        <v>9561</v>
      </c>
      <c r="G1111" s="493">
        <v>46078.0</v>
      </c>
      <c r="H1111" s="493">
        <v>46109.0</v>
      </c>
      <c r="I1111" s="189">
        <f>IFERROR(__xludf.DUMMYFUNCTION("IF(ISBLANK(H1111), TODAY()-TO_DATE(G1111), TO_DATE(H1111)-TO_DATE(G1111))+1"),32.0)</f>
        <v>32</v>
      </c>
      <c r="J1111" s="240">
        <v>500.0</v>
      </c>
      <c r="K1111" s="40" t="s">
        <v>9562</v>
      </c>
      <c r="L1111" s="40"/>
      <c r="M1111" s="63" t="s">
        <v>9226</v>
      </c>
      <c r="N1111" s="29"/>
      <c r="O1111" s="29"/>
      <c r="P1111" s="29"/>
      <c r="Q1111" s="29"/>
      <c r="R1111" s="29"/>
      <c r="S1111" s="29"/>
      <c r="T1111" s="29"/>
      <c r="U1111" s="29"/>
      <c r="V1111" s="29"/>
      <c r="W1111" s="29"/>
      <c r="X1111" s="29"/>
      <c r="Y1111" s="29"/>
      <c r="Z1111" s="29"/>
      <c r="AA1111" s="29"/>
      <c r="AB1111" s="29"/>
      <c r="AC1111" s="29"/>
      <c r="AD1111" s="29"/>
      <c r="AE1111" s="29"/>
      <c r="AF1111" s="29"/>
      <c r="AG1111" s="29"/>
    </row>
    <row r="1112">
      <c r="A1112" s="40" t="s">
        <v>1448</v>
      </c>
      <c r="B1112" s="240" t="s">
        <v>1187</v>
      </c>
      <c r="C1112" s="218"/>
      <c r="D1112" s="85"/>
      <c r="E1112" s="240" t="s">
        <v>9564</v>
      </c>
      <c r="F1112" s="40" t="s">
        <v>758</v>
      </c>
      <c r="G1112" s="493">
        <v>46078.0</v>
      </c>
      <c r="H1112" s="493">
        <v>46098.0</v>
      </c>
      <c r="I1112" s="189">
        <f>IFERROR(__xludf.DUMMYFUNCTION("IF(ISBLANK(H1112), TODAY()-TO_DATE(G1112), TO_DATE(H1112)-TO_DATE(G1112))+1"),21.0)</f>
        <v>21</v>
      </c>
      <c r="J1112" s="240" t="s">
        <v>8926</v>
      </c>
      <c r="K1112" s="40" t="s">
        <v>9566</v>
      </c>
      <c r="L1112" s="40"/>
      <c r="M1112" s="63" t="s">
        <v>9226</v>
      </c>
      <c r="N1112" s="29"/>
      <c r="O1112" s="29"/>
      <c r="P1112" s="29"/>
      <c r="Q1112" s="29"/>
      <c r="R1112" s="29"/>
      <c r="S1112" s="29"/>
      <c r="T1112" s="29"/>
      <c r="U1112" s="29"/>
      <c r="V1112" s="29"/>
      <c r="W1112" s="29"/>
      <c r="X1112" s="29"/>
      <c r="Y1112" s="29"/>
      <c r="Z1112" s="29"/>
      <c r="AA1112" s="29"/>
      <c r="AB1112" s="29"/>
      <c r="AC1112" s="29"/>
      <c r="AD1112" s="29"/>
      <c r="AE1112" s="29"/>
      <c r="AF1112" s="29"/>
      <c r="AG1112" s="29"/>
    </row>
    <row r="1113">
      <c r="A1113" s="40" t="s">
        <v>1566</v>
      </c>
      <c r="B1113" s="240" t="s">
        <v>1187</v>
      </c>
      <c r="C1113" s="218"/>
      <c r="D1113" s="85"/>
      <c r="E1113" s="540" t="s">
        <v>9567</v>
      </c>
      <c r="F1113" s="40" t="s">
        <v>9568</v>
      </c>
      <c r="G1113" s="493">
        <v>46078.0</v>
      </c>
      <c r="H1113" s="493">
        <v>46105.0</v>
      </c>
      <c r="I1113" s="189">
        <f>IFERROR(__xludf.DUMMYFUNCTION("IF(ISBLANK(H1113), TODAY()-TO_DATE(G1113), TO_DATE(H1113)-TO_DATE(G1113))+1"),28.0)</f>
        <v>28</v>
      </c>
      <c r="J1113" s="240">
        <v>500.0</v>
      </c>
      <c r="K1113" s="40" t="s">
        <v>9569</v>
      </c>
      <c r="L1113" s="40"/>
      <c r="M1113" s="63" t="s">
        <v>9226</v>
      </c>
      <c r="N1113" s="29"/>
      <c r="O1113" s="29"/>
      <c r="P1113" s="29"/>
      <c r="Q1113" s="29"/>
      <c r="R1113" s="29"/>
      <c r="S1113" s="29"/>
      <c r="T1113" s="29"/>
      <c r="U1113" s="29"/>
      <c r="V1113" s="29"/>
      <c r="W1113" s="29"/>
      <c r="X1113" s="29"/>
      <c r="Y1113" s="29"/>
      <c r="Z1113" s="29"/>
      <c r="AA1113" s="29"/>
      <c r="AB1113" s="29"/>
      <c r="AC1113" s="29"/>
      <c r="AD1113" s="29"/>
      <c r="AE1113" s="29"/>
      <c r="AF1113" s="29"/>
      <c r="AG1113" s="29"/>
    </row>
    <row r="1114">
      <c r="A1114" s="40" t="s">
        <v>1032</v>
      </c>
      <c r="B1114" s="240" t="s">
        <v>1187</v>
      </c>
      <c r="C1114" s="218"/>
      <c r="D1114" s="85"/>
      <c r="E1114" s="540" t="s">
        <v>9570</v>
      </c>
      <c r="F1114" s="40" t="s">
        <v>3498</v>
      </c>
      <c r="G1114" s="493">
        <v>46078.0</v>
      </c>
      <c r="H1114" s="493">
        <v>46113.0</v>
      </c>
      <c r="I1114" s="189">
        <f>IFERROR(__xludf.DUMMYFUNCTION("IF(ISBLANK(H1114), TODAY()-TO_DATE(G1114), TO_DATE(H1114)-TO_DATE(G1114))+1"),36.0)</f>
        <v>36</v>
      </c>
      <c r="J1114" s="240">
        <v>500.0</v>
      </c>
      <c r="K1114" s="40" t="s">
        <v>9571</v>
      </c>
      <c r="L1114" s="40"/>
      <c r="M1114" s="63" t="s">
        <v>9226</v>
      </c>
      <c r="N1114" s="29"/>
      <c r="O1114" s="29"/>
      <c r="P1114" s="29"/>
      <c r="Q1114" s="29"/>
      <c r="R1114" s="29"/>
      <c r="S1114" s="29"/>
      <c r="T1114" s="29"/>
      <c r="U1114" s="29"/>
      <c r="V1114" s="29"/>
      <c r="W1114" s="29"/>
      <c r="X1114" s="29"/>
      <c r="Y1114" s="29"/>
      <c r="Z1114" s="29"/>
      <c r="AA1114" s="29"/>
      <c r="AB1114" s="29"/>
      <c r="AC1114" s="29"/>
      <c r="AD1114" s="29"/>
      <c r="AE1114" s="29"/>
      <c r="AF1114" s="29"/>
      <c r="AG1114" s="29"/>
    </row>
    <row r="1115">
      <c r="A1115" s="40" t="s">
        <v>1923</v>
      </c>
      <c r="B1115" s="240" t="s">
        <v>1187</v>
      </c>
      <c r="C1115" s="218"/>
      <c r="D1115" s="85"/>
      <c r="E1115" s="540" t="s">
        <v>9573</v>
      </c>
      <c r="F1115" s="40" t="s">
        <v>9574</v>
      </c>
      <c r="G1115" s="493">
        <v>46078.0</v>
      </c>
      <c r="H1115" s="493">
        <v>46101.0</v>
      </c>
      <c r="I1115" s="189">
        <f>IFERROR(__xludf.DUMMYFUNCTION("IF(ISBLANK(H1115), TODAY()-TO_DATE(G1115), TO_DATE(H1115)-TO_DATE(G1115))+1"),24.0)</f>
        <v>24</v>
      </c>
      <c r="J1115" s="240">
        <v>500.0</v>
      </c>
      <c r="K1115" s="40" t="s">
        <v>9576</v>
      </c>
      <c r="L1115" s="40" t="s">
        <v>9577</v>
      </c>
      <c r="M1115" s="63" t="s">
        <v>9226</v>
      </c>
      <c r="N1115" s="29"/>
      <c r="O1115" s="29"/>
      <c r="P1115" s="29"/>
      <c r="Q1115" s="29"/>
      <c r="R1115" s="29"/>
      <c r="S1115" s="29"/>
      <c r="T1115" s="29"/>
      <c r="U1115" s="29"/>
      <c r="V1115" s="29"/>
      <c r="W1115" s="29"/>
      <c r="X1115" s="29"/>
      <c r="Y1115" s="29"/>
      <c r="Z1115" s="29"/>
      <c r="AA1115" s="29"/>
      <c r="AB1115" s="29"/>
      <c r="AC1115" s="29"/>
      <c r="AD1115" s="29"/>
      <c r="AE1115" s="29"/>
      <c r="AF1115" s="29"/>
      <c r="AG1115" s="29"/>
    </row>
    <row r="1116">
      <c r="A1116" s="40" t="s">
        <v>9578</v>
      </c>
      <c r="B1116" s="240" t="s">
        <v>1187</v>
      </c>
      <c r="C1116" s="218"/>
      <c r="D1116" s="85"/>
      <c r="E1116" s="540" t="s">
        <v>2576</v>
      </c>
      <c r="F1116" s="40" t="s">
        <v>2577</v>
      </c>
      <c r="G1116" s="493">
        <v>46080.0</v>
      </c>
      <c r="H1116" s="493">
        <v>46114.0</v>
      </c>
      <c r="I1116" s="189">
        <f>IFERROR(__xludf.DUMMYFUNCTION("IF(ISBLANK(H1116), TODAY()-TO_DATE(G1116), TO_DATE(H1116)-TO_DATE(G1116))+1"),35.0)</f>
        <v>35</v>
      </c>
      <c r="J1116" s="240">
        <v>500.0</v>
      </c>
      <c r="K1116" s="40" t="s">
        <v>9581</v>
      </c>
      <c r="L1116" s="40"/>
      <c r="M1116" s="63" t="s">
        <v>9226</v>
      </c>
      <c r="N1116" s="29"/>
      <c r="O1116" s="29"/>
      <c r="P1116" s="29"/>
      <c r="Q1116" s="29"/>
      <c r="R1116" s="29"/>
      <c r="S1116" s="29"/>
      <c r="T1116" s="29"/>
      <c r="U1116" s="29"/>
      <c r="V1116" s="29"/>
      <c r="W1116" s="29"/>
      <c r="X1116" s="29"/>
      <c r="Y1116" s="29"/>
      <c r="Z1116" s="29"/>
      <c r="AA1116" s="29"/>
      <c r="AB1116" s="29"/>
      <c r="AC1116" s="29"/>
      <c r="AD1116" s="29"/>
      <c r="AE1116" s="29"/>
      <c r="AF1116" s="29"/>
      <c r="AG1116" s="29"/>
    </row>
    <row r="1117">
      <c r="A1117" s="40" t="s">
        <v>1566</v>
      </c>
      <c r="B1117" s="240" t="s">
        <v>1187</v>
      </c>
      <c r="C1117" s="218"/>
      <c r="D1117" s="85"/>
      <c r="E1117" s="540" t="s">
        <v>2507</v>
      </c>
      <c r="F1117" s="40" t="s">
        <v>2508</v>
      </c>
      <c r="G1117" s="493">
        <v>46092.0</v>
      </c>
      <c r="H1117" s="493">
        <v>46122.0</v>
      </c>
      <c r="I1117" s="189">
        <f>IFERROR(__xludf.DUMMYFUNCTION("IF(ISBLANK(H1117), TODAY()-TO_DATE(G1117), TO_DATE(H1117)-TO_DATE(G1117))+1"),31.0)</f>
        <v>31</v>
      </c>
      <c r="J1117" s="240">
        <v>500.0</v>
      </c>
      <c r="K1117" s="40" t="s">
        <v>9586</v>
      </c>
      <c r="L1117" s="40" t="s">
        <v>9587</v>
      </c>
      <c r="M1117" s="63" t="s">
        <v>9226</v>
      </c>
      <c r="N1117" s="493">
        <v>46080.0</v>
      </c>
      <c r="O1117" s="29"/>
      <c r="P1117" s="29"/>
      <c r="Q1117" s="29"/>
      <c r="R1117" s="29"/>
      <c r="S1117" s="29"/>
      <c r="T1117" s="29"/>
      <c r="U1117" s="29"/>
      <c r="V1117" s="29"/>
      <c r="W1117" s="29"/>
      <c r="X1117" s="29"/>
      <c r="Y1117" s="29"/>
      <c r="Z1117" s="29"/>
      <c r="AA1117" s="29"/>
      <c r="AB1117" s="29"/>
      <c r="AC1117" s="29"/>
      <c r="AD1117" s="29"/>
      <c r="AE1117" s="29"/>
      <c r="AF1117" s="29"/>
      <c r="AG1117" s="29"/>
    </row>
    <row r="1118">
      <c r="A1118" s="40" t="s">
        <v>1448</v>
      </c>
      <c r="B1118" s="240" t="s">
        <v>1187</v>
      </c>
      <c r="C1118" s="218"/>
      <c r="D1118" s="85"/>
      <c r="E1118" s="240" t="s">
        <v>9589</v>
      </c>
      <c r="F1118" s="40" t="s">
        <v>9591</v>
      </c>
      <c r="G1118" s="493">
        <v>46080.0</v>
      </c>
      <c r="H1118" s="493">
        <v>46099.0</v>
      </c>
      <c r="I1118" s="189">
        <f>IFERROR(__xludf.DUMMYFUNCTION("IF(ISBLANK(H1118), TODAY()-TO_DATE(G1118), TO_DATE(H1118)-TO_DATE(G1118))+1"),20.0)</f>
        <v>20</v>
      </c>
      <c r="J1118" s="240">
        <v>500.0</v>
      </c>
      <c r="K1118" s="40" t="s">
        <v>9593</v>
      </c>
      <c r="L1118" s="40"/>
      <c r="M1118" s="63"/>
      <c r="N1118" s="29"/>
      <c r="O1118" s="29"/>
      <c r="P1118" s="29"/>
      <c r="Q1118" s="29"/>
      <c r="R1118" s="29"/>
      <c r="S1118" s="29"/>
      <c r="T1118" s="29"/>
      <c r="U1118" s="29"/>
      <c r="V1118" s="29"/>
      <c r="W1118" s="29"/>
      <c r="X1118" s="29"/>
      <c r="Y1118" s="29"/>
      <c r="Z1118" s="29"/>
      <c r="AA1118" s="29"/>
      <c r="AB1118" s="29"/>
      <c r="AC1118" s="29"/>
      <c r="AD1118" s="29"/>
      <c r="AE1118" s="29"/>
      <c r="AF1118" s="29"/>
      <c r="AG1118" s="29"/>
    </row>
    <row r="1119">
      <c r="A1119" s="40" t="s">
        <v>1510</v>
      </c>
      <c r="B1119" s="240" t="s">
        <v>1187</v>
      </c>
      <c r="C1119" s="218"/>
      <c r="D1119" s="85"/>
      <c r="E1119" s="240" t="s">
        <v>2129</v>
      </c>
      <c r="F1119" s="40" t="s">
        <v>2131</v>
      </c>
      <c r="G1119" s="493">
        <v>46080.0</v>
      </c>
      <c r="H1119" s="493">
        <v>46103.0</v>
      </c>
      <c r="I1119" s="189">
        <f>IFERROR(__xludf.DUMMYFUNCTION("IF(ISBLANK(H1119), TODAY()-TO_DATE(G1119), TO_DATE(H1119)-TO_DATE(G1119))+1"),24.0)</f>
        <v>24</v>
      </c>
      <c r="J1119" s="240" t="s">
        <v>197</v>
      </c>
      <c r="K1119" s="40" t="s">
        <v>9596</v>
      </c>
      <c r="L1119" s="40" t="s">
        <v>9597</v>
      </c>
      <c r="M1119" s="63" t="s">
        <v>9226</v>
      </c>
      <c r="N1119" s="29"/>
      <c r="O1119" s="29"/>
      <c r="P1119" s="29"/>
      <c r="Q1119" s="29"/>
      <c r="R1119" s="29"/>
      <c r="S1119" s="29"/>
      <c r="T1119" s="29"/>
      <c r="U1119" s="29"/>
      <c r="V1119" s="29"/>
      <c r="W1119" s="29"/>
      <c r="X1119" s="29"/>
      <c r="Y1119" s="29"/>
      <c r="Z1119" s="29"/>
      <c r="AA1119" s="29"/>
      <c r="AB1119" s="29"/>
      <c r="AC1119" s="29"/>
      <c r="AD1119" s="29"/>
      <c r="AE1119" s="29"/>
      <c r="AF1119" s="29"/>
      <c r="AG1119" s="29"/>
    </row>
    <row r="1120">
      <c r="A1120" s="40" t="s">
        <v>9578</v>
      </c>
      <c r="B1120" s="240" t="s">
        <v>1187</v>
      </c>
      <c r="C1120" s="218"/>
      <c r="D1120" s="85"/>
      <c r="E1120" s="240" t="s">
        <v>2962</v>
      </c>
      <c r="F1120" s="40" t="s">
        <v>2533</v>
      </c>
      <c r="G1120" s="493">
        <v>46084.0</v>
      </c>
      <c r="H1120" s="493">
        <v>46097.0</v>
      </c>
      <c r="I1120" s="189">
        <f>IFERROR(__xludf.DUMMYFUNCTION("IF(ISBLANK(H1120), TODAY()-TO_DATE(G1120), TO_DATE(H1120)-TO_DATE(G1120))+1"),14.0)</f>
        <v>14</v>
      </c>
      <c r="J1120" s="240" t="s">
        <v>197</v>
      </c>
      <c r="K1120" s="40" t="s">
        <v>9605</v>
      </c>
      <c r="L1120" s="40"/>
      <c r="M1120" s="63"/>
      <c r="N1120" s="29"/>
      <c r="O1120" s="29"/>
      <c r="P1120" s="29"/>
      <c r="Q1120" s="29"/>
      <c r="R1120" s="29"/>
      <c r="S1120" s="29"/>
      <c r="T1120" s="29"/>
      <c r="U1120" s="29"/>
      <c r="V1120" s="29"/>
      <c r="W1120" s="29"/>
      <c r="X1120" s="29"/>
      <c r="Y1120" s="29"/>
      <c r="Z1120" s="29"/>
      <c r="AA1120" s="29"/>
      <c r="AB1120" s="29"/>
      <c r="AC1120" s="29"/>
      <c r="AD1120" s="29"/>
      <c r="AE1120" s="29"/>
      <c r="AF1120" s="29"/>
      <c r="AG1120" s="29"/>
    </row>
    <row r="1121">
      <c r="A1121" s="40" t="s">
        <v>9578</v>
      </c>
      <c r="B1121" s="240" t="s">
        <v>1187</v>
      </c>
      <c r="C1121" s="218"/>
      <c r="D1121" s="85"/>
      <c r="E1121" s="240" t="s">
        <v>2156</v>
      </c>
      <c r="F1121" s="40" t="s">
        <v>2157</v>
      </c>
      <c r="G1121" s="493">
        <v>46084.0</v>
      </c>
      <c r="H1121" s="493">
        <v>46160.0</v>
      </c>
      <c r="I1121" s="189">
        <f>IFERROR(__xludf.DUMMYFUNCTION("IF(ISBLANK(H1121), TODAY()-TO_DATE(G1121), TO_DATE(H1121)-TO_DATE(G1121))+1"),77.0)</f>
        <v>77</v>
      </c>
      <c r="J1121" s="240" t="s">
        <v>197</v>
      </c>
      <c r="K1121" s="40" t="s">
        <v>9607</v>
      </c>
      <c r="L1121" s="40"/>
      <c r="M1121" s="63" t="s">
        <v>9226</v>
      </c>
      <c r="N1121" s="29"/>
      <c r="O1121" s="29"/>
      <c r="P1121" s="29"/>
      <c r="Q1121" s="29"/>
      <c r="R1121" s="29"/>
      <c r="S1121" s="29"/>
      <c r="T1121" s="29"/>
      <c r="U1121" s="29"/>
      <c r="V1121" s="29"/>
      <c r="W1121" s="29"/>
      <c r="X1121" s="29"/>
      <c r="Y1121" s="29"/>
      <c r="Z1121" s="29"/>
      <c r="AA1121" s="29"/>
      <c r="AB1121" s="29"/>
      <c r="AC1121" s="29"/>
      <c r="AD1121" s="29"/>
      <c r="AE1121" s="29"/>
      <c r="AF1121" s="29"/>
      <c r="AG1121" s="29"/>
    </row>
    <row r="1122">
      <c r="A1122" s="40" t="s">
        <v>9608</v>
      </c>
      <c r="B1122" s="240" t="s">
        <v>1187</v>
      </c>
      <c r="C1122" s="218"/>
      <c r="D1122" s="85"/>
      <c r="E1122" s="240" t="s">
        <v>9356</v>
      </c>
      <c r="F1122" s="40" t="s">
        <v>9358</v>
      </c>
      <c r="G1122" s="493">
        <v>46084.0</v>
      </c>
      <c r="H1122" s="493">
        <v>46094.0</v>
      </c>
      <c r="I1122" s="189">
        <f>IFERROR(__xludf.DUMMYFUNCTION("IF(ISBLANK(H1122), TODAY()-TO_DATE(G1122), TO_DATE(H1122)-TO_DATE(G1122))+1"),11.0)</f>
        <v>11</v>
      </c>
      <c r="J1122" s="240" t="s">
        <v>9612</v>
      </c>
      <c r="K1122" s="40" t="s">
        <v>9613</v>
      </c>
      <c r="L1122" s="40" t="s">
        <v>9614</v>
      </c>
      <c r="M1122" s="63" t="s">
        <v>9226</v>
      </c>
      <c r="N1122" s="29"/>
      <c r="O1122" s="29"/>
      <c r="P1122" s="29"/>
      <c r="Q1122" s="29"/>
      <c r="R1122" s="29"/>
      <c r="S1122" s="29"/>
      <c r="T1122" s="29"/>
      <c r="U1122" s="29"/>
      <c r="V1122" s="29"/>
      <c r="W1122" s="29"/>
      <c r="X1122" s="29"/>
      <c r="Y1122" s="29"/>
      <c r="Z1122" s="29"/>
      <c r="AA1122" s="29"/>
      <c r="AB1122" s="29"/>
      <c r="AC1122" s="29"/>
      <c r="AD1122" s="29"/>
      <c r="AE1122" s="29"/>
      <c r="AF1122" s="29"/>
      <c r="AG1122" s="29"/>
    </row>
    <row r="1123">
      <c r="A1123" s="40" t="s">
        <v>145</v>
      </c>
      <c r="B1123" s="240" t="s">
        <v>1187</v>
      </c>
      <c r="C1123" s="218"/>
      <c r="D1123" s="85"/>
      <c r="E1123" s="240" t="s">
        <v>924</v>
      </c>
      <c r="F1123" s="40" t="s">
        <v>925</v>
      </c>
      <c r="G1123" s="493">
        <v>46084.0</v>
      </c>
      <c r="H1123" s="493">
        <v>46160.0</v>
      </c>
      <c r="I1123" s="189">
        <f>IFERROR(__xludf.DUMMYFUNCTION("IF(ISBLANK(H1123), TODAY()-TO_DATE(G1123), TO_DATE(H1123)-TO_DATE(G1123))+1"),77.0)</f>
        <v>77</v>
      </c>
      <c r="J1123" s="240" t="s">
        <v>197</v>
      </c>
      <c r="K1123" s="40" t="s">
        <v>9615</v>
      </c>
      <c r="L1123" s="794" t="s">
        <v>9616</v>
      </c>
      <c r="M1123" s="63" t="s">
        <v>9226</v>
      </c>
      <c r="N1123" s="29"/>
      <c r="O1123" s="29"/>
      <c r="P1123" s="29"/>
      <c r="Q1123" s="29"/>
      <c r="R1123" s="29"/>
      <c r="S1123" s="29"/>
      <c r="T1123" s="29"/>
      <c r="U1123" s="29"/>
      <c r="V1123" s="29"/>
      <c r="W1123" s="29"/>
      <c r="X1123" s="29"/>
      <c r="Y1123" s="29"/>
      <c r="Z1123" s="29"/>
      <c r="AA1123" s="29"/>
      <c r="AB1123" s="29"/>
      <c r="AC1123" s="29"/>
      <c r="AD1123" s="29"/>
      <c r="AE1123" s="29"/>
      <c r="AF1123" s="29"/>
      <c r="AG1123" s="29"/>
    </row>
    <row r="1124">
      <c r="A1124" s="40" t="s">
        <v>145</v>
      </c>
      <c r="B1124" s="240" t="s">
        <v>1187</v>
      </c>
      <c r="C1124" s="218"/>
      <c r="D1124" s="85"/>
      <c r="E1124" s="240" t="s">
        <v>942</v>
      </c>
      <c r="F1124" s="40" t="s">
        <v>943</v>
      </c>
      <c r="G1124" s="493">
        <v>46086.0</v>
      </c>
      <c r="H1124" s="493">
        <v>46086.0</v>
      </c>
      <c r="I1124" s="189">
        <f>IFERROR(__xludf.DUMMYFUNCTION("IF(ISBLANK(H1124), TODAY()-TO_DATE(G1124), TO_DATE(H1124)-TO_DATE(G1124))+1"),1.0)</f>
        <v>1</v>
      </c>
      <c r="J1124" s="240" t="s">
        <v>197</v>
      </c>
      <c r="K1124" s="40" t="s">
        <v>9621</v>
      </c>
      <c r="L1124" s="40" t="s">
        <v>9622</v>
      </c>
      <c r="M1124" s="63" t="s">
        <v>9226</v>
      </c>
      <c r="N1124" s="29"/>
      <c r="O1124" s="29"/>
      <c r="P1124" s="29"/>
      <c r="Q1124" s="29"/>
      <c r="R1124" s="29"/>
      <c r="S1124" s="29"/>
      <c r="T1124" s="29"/>
      <c r="U1124" s="29"/>
      <c r="V1124" s="29"/>
      <c r="W1124" s="29"/>
      <c r="X1124" s="29"/>
      <c r="Y1124" s="29"/>
      <c r="Z1124" s="29"/>
      <c r="AA1124" s="29"/>
      <c r="AB1124" s="29"/>
      <c r="AC1124" s="29"/>
      <c r="AD1124" s="29"/>
      <c r="AE1124" s="29"/>
      <c r="AF1124" s="29"/>
      <c r="AG1124" s="29"/>
    </row>
    <row r="1125">
      <c r="A1125" s="40" t="s">
        <v>9608</v>
      </c>
      <c r="B1125" s="240" t="s">
        <v>1187</v>
      </c>
      <c r="C1125" s="218"/>
      <c r="D1125" s="85"/>
      <c r="E1125" s="937" t="s">
        <v>9623</v>
      </c>
      <c r="F1125" s="40" t="s">
        <v>9624</v>
      </c>
      <c r="G1125" s="493">
        <v>46086.0</v>
      </c>
      <c r="H1125" s="493">
        <v>46089.0</v>
      </c>
      <c r="I1125" s="189">
        <f>IFERROR(__xludf.DUMMYFUNCTION("IF(ISBLANK(H1125), TODAY()-TO_DATE(G1125), TO_DATE(H1125)-TO_DATE(G1125))+1"),4.0)</f>
        <v>4</v>
      </c>
      <c r="J1125" s="240">
        <v>200.0</v>
      </c>
      <c r="K1125" s="40" t="s">
        <v>9625</v>
      </c>
      <c r="L1125" s="40"/>
      <c r="M1125" s="63" t="s">
        <v>9226</v>
      </c>
      <c r="N1125" s="29"/>
      <c r="O1125" s="29"/>
      <c r="P1125" s="29"/>
      <c r="Q1125" s="29"/>
      <c r="R1125" s="29"/>
      <c r="S1125" s="29"/>
      <c r="T1125" s="29"/>
      <c r="U1125" s="29"/>
      <c r="V1125" s="29"/>
      <c r="W1125" s="29"/>
      <c r="X1125" s="29"/>
      <c r="Y1125" s="29"/>
      <c r="Z1125" s="29"/>
      <c r="AA1125" s="29"/>
      <c r="AB1125" s="29"/>
      <c r="AC1125" s="29"/>
      <c r="AD1125" s="29"/>
      <c r="AE1125" s="29"/>
      <c r="AF1125" s="29"/>
      <c r="AG1125" s="29"/>
    </row>
    <row r="1126">
      <c r="A1126" s="40" t="s">
        <v>1448</v>
      </c>
      <c r="B1126" s="240" t="s">
        <v>1187</v>
      </c>
      <c r="C1126" s="218"/>
      <c r="D1126" s="85"/>
      <c r="E1126" s="240" t="s">
        <v>2523</v>
      </c>
      <c r="F1126" s="40" t="s">
        <v>2524</v>
      </c>
      <c r="G1126" s="493">
        <v>46086.0</v>
      </c>
      <c r="H1126" s="493">
        <v>46086.0</v>
      </c>
      <c r="I1126" s="189">
        <f>IFERROR(__xludf.DUMMYFUNCTION("IF(ISBLANK(H1126), TODAY()-TO_DATE(G1126), TO_DATE(H1126)-TO_DATE(G1126))+1"),1.0)</f>
        <v>1</v>
      </c>
      <c r="J1126" s="240" t="s">
        <v>197</v>
      </c>
      <c r="K1126" s="40" t="s">
        <v>9632</v>
      </c>
      <c r="L1126" s="40" t="s">
        <v>9633</v>
      </c>
      <c r="M1126" s="63" t="s">
        <v>9226</v>
      </c>
      <c r="N1126" s="29"/>
      <c r="O1126" s="29"/>
      <c r="P1126" s="29"/>
      <c r="Q1126" s="29"/>
      <c r="R1126" s="29"/>
      <c r="S1126" s="29"/>
      <c r="T1126" s="29"/>
      <c r="U1126" s="29"/>
      <c r="V1126" s="29"/>
      <c r="W1126" s="29"/>
      <c r="X1126" s="29"/>
      <c r="Y1126" s="29"/>
      <c r="Z1126" s="29"/>
      <c r="AA1126" s="29"/>
      <c r="AB1126" s="29"/>
      <c r="AC1126" s="29"/>
      <c r="AD1126" s="29"/>
      <c r="AE1126" s="29"/>
      <c r="AF1126" s="29"/>
      <c r="AG1126" s="29"/>
    </row>
    <row r="1127">
      <c r="A1127" s="40" t="s">
        <v>2451</v>
      </c>
      <c r="B1127" s="240" t="s">
        <v>1187</v>
      </c>
      <c r="C1127" s="218"/>
      <c r="D1127" s="85"/>
      <c r="E1127" s="240" t="s">
        <v>2020</v>
      </c>
      <c r="F1127" s="40" t="s">
        <v>624</v>
      </c>
      <c r="G1127" s="493">
        <v>46086.0</v>
      </c>
      <c r="H1127" s="493">
        <v>46086.0</v>
      </c>
      <c r="I1127" s="189">
        <f>IFERROR(__xludf.DUMMYFUNCTION("IF(ISBLANK(H1127), TODAY()-TO_DATE(G1127), TO_DATE(H1127)-TO_DATE(G1127))+1"),1.0)</f>
        <v>1</v>
      </c>
      <c r="J1127" s="240" t="s">
        <v>197</v>
      </c>
      <c r="K1127" s="40" t="s">
        <v>9635</v>
      </c>
      <c r="L1127" s="40"/>
      <c r="M1127" s="63" t="s">
        <v>9226</v>
      </c>
      <c r="N1127" s="29"/>
      <c r="O1127" s="29"/>
      <c r="P1127" s="29"/>
      <c r="Q1127" s="29"/>
      <c r="R1127" s="29"/>
      <c r="S1127" s="29"/>
      <c r="T1127" s="29"/>
      <c r="U1127" s="29"/>
      <c r="V1127" s="29"/>
      <c r="W1127" s="29"/>
      <c r="X1127" s="29"/>
      <c r="Y1127" s="29"/>
      <c r="Z1127" s="29"/>
      <c r="AA1127" s="29"/>
      <c r="AB1127" s="29"/>
      <c r="AC1127" s="29"/>
      <c r="AD1127" s="29"/>
      <c r="AE1127" s="29"/>
      <c r="AF1127" s="29"/>
      <c r="AG1127" s="29"/>
    </row>
    <row r="1128">
      <c r="A1128" s="40" t="s">
        <v>1566</v>
      </c>
      <c r="B1128" s="240" t="s">
        <v>1187</v>
      </c>
      <c r="C1128" s="218"/>
      <c r="D1128" s="85"/>
      <c r="E1128" s="240" t="s">
        <v>9636</v>
      </c>
      <c r="F1128" s="40" t="s">
        <v>9638</v>
      </c>
      <c r="G1128" s="493">
        <v>46090.0</v>
      </c>
      <c r="H1128" s="493">
        <v>46118.0</v>
      </c>
      <c r="I1128" s="189">
        <f>IFERROR(__xludf.DUMMYFUNCTION("IF(ISBLANK(H1128), TODAY()-TO_DATE(G1128), TO_DATE(H1128)-TO_DATE(G1128))+1"),29.0)</f>
        <v>29</v>
      </c>
      <c r="J1128" s="240">
        <v>300.0</v>
      </c>
      <c r="K1128" s="794" t="s">
        <v>9640</v>
      </c>
      <c r="L1128" s="40" t="s">
        <v>9641</v>
      </c>
      <c r="M1128" s="63" t="s">
        <v>9226</v>
      </c>
      <c r="N1128" s="29"/>
      <c r="O1128" s="29"/>
      <c r="P1128" s="29"/>
      <c r="Q1128" s="29"/>
      <c r="R1128" s="29"/>
      <c r="S1128" s="29"/>
      <c r="T1128" s="29"/>
      <c r="U1128" s="29"/>
      <c r="V1128" s="29"/>
      <c r="W1128" s="29"/>
      <c r="X1128" s="29"/>
      <c r="Y1128" s="29"/>
      <c r="Z1128" s="29"/>
      <c r="AA1128" s="29"/>
      <c r="AB1128" s="29"/>
      <c r="AC1128" s="29"/>
      <c r="AD1128" s="29"/>
      <c r="AE1128" s="29"/>
      <c r="AF1128" s="29"/>
      <c r="AG1128" s="29"/>
    </row>
    <row r="1129">
      <c r="A1129" s="40" t="s">
        <v>1566</v>
      </c>
      <c r="B1129" s="240" t="s">
        <v>1187</v>
      </c>
      <c r="C1129" s="218"/>
      <c r="D1129" s="85"/>
      <c r="E1129" s="240" t="s">
        <v>1562</v>
      </c>
      <c r="F1129" s="40" t="s">
        <v>1564</v>
      </c>
      <c r="G1129" s="493">
        <v>46090.0</v>
      </c>
      <c r="H1129" s="493">
        <v>46118.0</v>
      </c>
      <c r="I1129" s="189">
        <f>IFERROR(__xludf.DUMMYFUNCTION("IF(ISBLANK(H1129), TODAY()-TO_DATE(G1129), TO_DATE(H1129)-TO_DATE(G1129))+1"),29.0)</f>
        <v>29</v>
      </c>
      <c r="J1129" s="240">
        <v>300.0</v>
      </c>
      <c r="K1129" s="40" t="s">
        <v>9642</v>
      </c>
      <c r="L1129" s="40"/>
      <c r="M1129" s="63" t="s">
        <v>9226</v>
      </c>
      <c r="N1129" s="29"/>
      <c r="O1129" s="29"/>
      <c r="P1129" s="29"/>
      <c r="Q1129" s="29"/>
      <c r="R1129" s="29"/>
      <c r="S1129" s="29"/>
      <c r="T1129" s="29"/>
      <c r="U1129" s="29"/>
      <c r="V1129" s="29"/>
      <c r="W1129" s="29"/>
      <c r="X1129" s="29"/>
      <c r="Y1129" s="29"/>
      <c r="Z1129" s="29"/>
      <c r="AA1129" s="29"/>
      <c r="AB1129" s="29"/>
      <c r="AC1129" s="29"/>
      <c r="AD1129" s="29"/>
      <c r="AE1129" s="29"/>
      <c r="AF1129" s="29"/>
      <c r="AG1129" s="29"/>
    </row>
    <row r="1130">
      <c r="A1130" s="40" t="s">
        <v>1448</v>
      </c>
      <c r="B1130" s="240" t="s">
        <v>1187</v>
      </c>
      <c r="C1130" s="218"/>
      <c r="D1130" s="85"/>
      <c r="E1130" s="240" t="s">
        <v>2527</v>
      </c>
      <c r="F1130" s="40" t="s">
        <v>2528</v>
      </c>
      <c r="G1130" s="493">
        <v>46092.0</v>
      </c>
      <c r="H1130" s="493">
        <v>46130.0</v>
      </c>
      <c r="I1130" s="189">
        <f>IFERROR(__xludf.DUMMYFUNCTION("IF(ISBLANK(H1130), TODAY()-TO_DATE(G1130), TO_DATE(H1130)-TO_DATE(G1130))+1"),39.0)</f>
        <v>39</v>
      </c>
      <c r="J1130" s="240">
        <v>500.0</v>
      </c>
      <c r="K1130" s="40" t="s">
        <v>9645</v>
      </c>
      <c r="L1130" s="770"/>
      <c r="M1130" s="63" t="s">
        <v>9226</v>
      </c>
      <c r="N1130" s="493">
        <v>46090.0</v>
      </c>
      <c r="O1130" s="29"/>
      <c r="P1130" s="29"/>
      <c r="Q1130" s="29"/>
      <c r="R1130" s="29"/>
      <c r="S1130" s="29"/>
      <c r="T1130" s="29"/>
      <c r="U1130" s="29"/>
      <c r="V1130" s="29"/>
      <c r="W1130" s="29"/>
      <c r="X1130" s="29"/>
      <c r="Y1130" s="29"/>
      <c r="Z1130" s="29"/>
      <c r="AA1130" s="29"/>
      <c r="AB1130" s="29"/>
      <c r="AC1130" s="29"/>
      <c r="AD1130" s="29"/>
      <c r="AE1130" s="29"/>
      <c r="AF1130" s="29"/>
      <c r="AG1130" s="29"/>
    </row>
    <row r="1131">
      <c r="A1131" s="40" t="s">
        <v>1448</v>
      </c>
      <c r="B1131" s="240" t="s">
        <v>1187</v>
      </c>
      <c r="C1131" s="218"/>
      <c r="D1131" s="85"/>
      <c r="E1131" s="240" t="s">
        <v>2532</v>
      </c>
      <c r="F1131" s="40" t="s">
        <v>2533</v>
      </c>
      <c r="G1131" s="493">
        <v>46092.0</v>
      </c>
      <c r="H1131" s="493">
        <v>46127.0</v>
      </c>
      <c r="I1131" s="189">
        <f>IFERROR(__xludf.DUMMYFUNCTION("IF(ISBLANK(H1131), TODAY()-TO_DATE(G1131), TO_DATE(H1131)-TO_DATE(G1131))+1"),36.0)</f>
        <v>36</v>
      </c>
      <c r="J1131" s="240">
        <v>500.0</v>
      </c>
      <c r="K1131" s="40" t="s">
        <v>9648</v>
      </c>
      <c r="L1131" s="40"/>
      <c r="M1131" s="63" t="s">
        <v>9226</v>
      </c>
      <c r="N1131" s="493">
        <v>46090.0</v>
      </c>
      <c r="O1131" s="29"/>
      <c r="P1131" s="29"/>
      <c r="Q1131" s="29"/>
      <c r="R1131" s="29"/>
      <c r="S1131" s="29"/>
      <c r="T1131" s="29"/>
      <c r="U1131" s="29"/>
      <c r="V1131" s="29"/>
      <c r="W1131" s="29"/>
      <c r="X1131" s="29"/>
      <c r="Y1131" s="29"/>
      <c r="Z1131" s="29"/>
      <c r="AA1131" s="29"/>
      <c r="AB1131" s="29"/>
      <c r="AC1131" s="29"/>
      <c r="AD1131" s="29"/>
      <c r="AE1131" s="29"/>
      <c r="AF1131" s="29"/>
      <c r="AG1131" s="29"/>
    </row>
    <row r="1132">
      <c r="A1132" s="40" t="s">
        <v>1566</v>
      </c>
      <c r="B1132" s="240" t="s">
        <v>1187</v>
      </c>
      <c r="C1132" s="218"/>
      <c r="D1132" s="85"/>
      <c r="E1132" s="240" t="s">
        <v>2519</v>
      </c>
      <c r="F1132" s="40" t="s">
        <v>1180</v>
      </c>
      <c r="G1132" s="493">
        <v>46092.0</v>
      </c>
      <c r="H1132" s="493">
        <v>46139.0</v>
      </c>
      <c r="I1132" s="189">
        <f>IFERROR(__xludf.DUMMYFUNCTION("IF(ISBLANK(H1132), TODAY()-TO_DATE(G1132), TO_DATE(H1132)-TO_DATE(G1132))+1"),48.0)</f>
        <v>48</v>
      </c>
      <c r="J1132" s="240">
        <v>500.0</v>
      </c>
      <c r="K1132" s="40" t="s">
        <v>9652</v>
      </c>
      <c r="L1132" s="40" t="s">
        <v>9653</v>
      </c>
      <c r="M1132" s="63" t="s">
        <v>9226</v>
      </c>
      <c r="N1132" s="493">
        <v>46091.0</v>
      </c>
      <c r="O1132" s="29"/>
      <c r="P1132" s="29"/>
      <c r="Q1132" s="29"/>
      <c r="R1132" s="29"/>
      <c r="S1132" s="29"/>
      <c r="T1132" s="29"/>
      <c r="U1132" s="29"/>
      <c r="V1132" s="29"/>
      <c r="W1132" s="29"/>
      <c r="X1132" s="29"/>
      <c r="Y1132" s="29"/>
      <c r="Z1132" s="29"/>
      <c r="AA1132" s="29"/>
      <c r="AB1132" s="29"/>
      <c r="AC1132" s="29"/>
      <c r="AD1132" s="29"/>
      <c r="AE1132" s="29"/>
      <c r="AF1132" s="29"/>
      <c r="AG1132" s="29"/>
    </row>
    <row r="1133">
      <c r="A1133" s="40" t="s">
        <v>1473</v>
      </c>
      <c r="B1133" s="240" t="s">
        <v>1187</v>
      </c>
      <c r="C1133" s="218"/>
      <c r="D1133" s="85"/>
      <c r="E1133" s="240" t="s">
        <v>2512</v>
      </c>
      <c r="F1133" s="40" t="s">
        <v>2513</v>
      </c>
      <c r="G1133" s="493">
        <v>46092.0</v>
      </c>
      <c r="H1133" s="493">
        <v>46139.0</v>
      </c>
      <c r="I1133" s="189">
        <f>IFERROR(__xludf.DUMMYFUNCTION("IF(ISBLANK(H1133), TODAY()-TO_DATE(G1133), TO_DATE(H1133)-TO_DATE(G1133))+1"),48.0)</f>
        <v>48</v>
      </c>
      <c r="J1133" s="240">
        <v>500.0</v>
      </c>
      <c r="K1133" s="40" t="s">
        <v>9659</v>
      </c>
      <c r="L1133" s="40"/>
      <c r="M1133" s="63"/>
      <c r="N1133" s="493">
        <v>46091.0</v>
      </c>
      <c r="O1133" s="29"/>
      <c r="P1133" s="29"/>
      <c r="Q1133" s="29"/>
      <c r="R1133" s="29"/>
      <c r="S1133" s="29"/>
      <c r="T1133" s="29"/>
      <c r="U1133" s="29"/>
      <c r="V1133" s="29"/>
      <c r="W1133" s="29"/>
      <c r="X1133" s="29"/>
      <c r="Y1133" s="29"/>
      <c r="Z1133" s="29"/>
      <c r="AA1133" s="29"/>
      <c r="AB1133" s="29"/>
      <c r="AC1133" s="29"/>
      <c r="AD1133" s="29"/>
      <c r="AE1133" s="29"/>
      <c r="AF1133" s="29"/>
      <c r="AG1133" s="29"/>
    </row>
    <row r="1134">
      <c r="A1134" s="40" t="s">
        <v>1032</v>
      </c>
      <c r="B1134" s="240" t="s">
        <v>1187</v>
      </c>
      <c r="C1134" s="218"/>
      <c r="D1134" s="85"/>
      <c r="E1134" s="240" t="s">
        <v>2020</v>
      </c>
      <c r="F1134" s="40" t="s">
        <v>624</v>
      </c>
      <c r="G1134" s="493">
        <v>46091.0</v>
      </c>
      <c r="H1134" s="493">
        <v>46118.0</v>
      </c>
      <c r="I1134" s="189">
        <f>IFERROR(__xludf.DUMMYFUNCTION("IF(ISBLANK(H1134), TODAY()-TO_DATE(G1134), TO_DATE(H1134)-TO_DATE(G1134))+1"),28.0)</f>
        <v>28</v>
      </c>
      <c r="J1134" s="240" t="s">
        <v>197</v>
      </c>
      <c r="K1134" s="40" t="s">
        <v>9635</v>
      </c>
      <c r="L1134" s="40" t="s">
        <v>9662</v>
      </c>
      <c r="M1134" s="63" t="s">
        <v>9226</v>
      </c>
      <c r="N1134" s="29"/>
      <c r="O1134" s="29"/>
      <c r="P1134" s="29"/>
      <c r="Q1134" s="29"/>
      <c r="R1134" s="29"/>
      <c r="S1134" s="29"/>
      <c r="T1134" s="29"/>
      <c r="U1134" s="29"/>
      <c r="V1134" s="29"/>
      <c r="W1134" s="29"/>
      <c r="X1134" s="29"/>
      <c r="Y1134" s="29"/>
      <c r="Z1134" s="29"/>
      <c r="AA1134" s="29"/>
      <c r="AB1134" s="29"/>
      <c r="AC1134" s="29"/>
      <c r="AD1134" s="29"/>
      <c r="AE1134" s="29"/>
      <c r="AF1134" s="29"/>
      <c r="AG1134" s="29"/>
    </row>
    <row r="1135">
      <c r="A1135" s="40" t="s">
        <v>2651</v>
      </c>
      <c r="B1135" s="240" t="s">
        <v>1187</v>
      </c>
      <c r="C1135" s="218"/>
      <c r="D1135" s="85"/>
      <c r="E1135" s="240" t="s">
        <v>2592</v>
      </c>
      <c r="F1135" s="40" t="s">
        <v>2538</v>
      </c>
      <c r="G1135" s="493">
        <v>46091.0</v>
      </c>
      <c r="H1135" s="493">
        <v>46118.0</v>
      </c>
      <c r="I1135" s="189">
        <f>IFERROR(__xludf.DUMMYFUNCTION("IF(ISBLANK(H1135), TODAY()-TO_DATE(G1135), TO_DATE(H1135)-TO_DATE(G1135))+1"),28.0)</f>
        <v>28</v>
      </c>
      <c r="J1135" s="240">
        <v>300.0</v>
      </c>
      <c r="K1135" s="794" t="s">
        <v>7605</v>
      </c>
      <c r="L1135" s="40" t="s">
        <v>9664</v>
      </c>
      <c r="M1135" s="40"/>
      <c r="N1135" s="29"/>
      <c r="O1135" s="29"/>
      <c r="P1135" s="29"/>
      <c r="Q1135" s="29"/>
      <c r="R1135" s="29"/>
      <c r="S1135" s="29"/>
      <c r="T1135" s="29"/>
      <c r="U1135" s="29"/>
      <c r="V1135" s="29"/>
      <c r="W1135" s="29"/>
      <c r="X1135" s="29"/>
      <c r="Y1135" s="29"/>
      <c r="Z1135" s="29"/>
      <c r="AA1135" s="29"/>
      <c r="AB1135" s="29"/>
      <c r="AC1135" s="29"/>
      <c r="AD1135" s="29"/>
      <c r="AE1135" s="29"/>
      <c r="AF1135" s="29"/>
      <c r="AG1135" s="29"/>
    </row>
    <row r="1136">
      <c r="A1136" s="40" t="s">
        <v>1448</v>
      </c>
      <c r="B1136" s="240" t="s">
        <v>1187</v>
      </c>
      <c r="C1136" s="218"/>
      <c r="D1136" s="85"/>
      <c r="E1136" s="240" t="s">
        <v>2523</v>
      </c>
      <c r="F1136" s="40" t="s">
        <v>2524</v>
      </c>
      <c r="G1136" s="493">
        <v>46093.0</v>
      </c>
      <c r="H1136" s="493">
        <v>46141.0</v>
      </c>
      <c r="I1136" s="189">
        <f>IFERROR(__xludf.DUMMYFUNCTION("IF(ISBLANK(H1136), TODAY()-TO_DATE(G1136), TO_DATE(H1136)-TO_DATE(G1136))+1"),49.0)</f>
        <v>49</v>
      </c>
      <c r="J1136" s="240">
        <v>500.0</v>
      </c>
      <c r="K1136" s="40" t="s">
        <v>9632</v>
      </c>
      <c r="L1136" s="40" t="s">
        <v>9633</v>
      </c>
      <c r="M1136" s="240" t="s">
        <v>9226</v>
      </c>
      <c r="N1136" s="29"/>
      <c r="O1136" s="29"/>
      <c r="P1136" s="29"/>
      <c r="Q1136" s="29"/>
      <c r="R1136" s="29"/>
      <c r="S1136" s="29"/>
      <c r="T1136" s="29"/>
      <c r="U1136" s="29"/>
      <c r="V1136" s="29"/>
      <c r="W1136" s="29"/>
      <c r="X1136" s="29"/>
      <c r="Y1136" s="29"/>
      <c r="Z1136" s="29"/>
      <c r="AA1136" s="29"/>
      <c r="AB1136" s="29"/>
      <c r="AC1136" s="29"/>
      <c r="AD1136" s="29"/>
      <c r="AE1136" s="29"/>
      <c r="AF1136" s="29"/>
      <c r="AG1136" s="29"/>
    </row>
    <row r="1137">
      <c r="A1137" s="40" t="s">
        <v>1923</v>
      </c>
      <c r="B1137" s="240" t="s">
        <v>1187</v>
      </c>
      <c r="C1137" s="218"/>
      <c r="D1137" s="85"/>
      <c r="E1137" s="240" t="s">
        <v>2582</v>
      </c>
      <c r="F1137" s="40" t="s">
        <v>2583</v>
      </c>
      <c r="G1137" s="493">
        <v>46093.0</v>
      </c>
      <c r="H1137" s="493">
        <v>46137.0</v>
      </c>
      <c r="I1137" s="189">
        <f>IFERROR(__xludf.DUMMYFUNCTION("IF(ISBLANK(H1137), TODAY()-TO_DATE(G1137), TO_DATE(H1137)-TO_DATE(G1137))+1"),45.0)</f>
        <v>45</v>
      </c>
      <c r="J1137" s="240">
        <v>500.0</v>
      </c>
      <c r="K1137" s="40" t="s">
        <v>2798</v>
      </c>
      <c r="L1137" s="40"/>
      <c r="M1137" s="40"/>
      <c r="N1137" s="29"/>
      <c r="O1137" s="29"/>
      <c r="P1137" s="29"/>
      <c r="Q1137" s="29"/>
      <c r="R1137" s="29"/>
      <c r="S1137" s="29"/>
      <c r="T1137" s="29"/>
      <c r="U1137" s="29"/>
      <c r="V1137" s="29"/>
      <c r="W1137" s="29"/>
      <c r="X1137" s="29"/>
      <c r="Y1137" s="29"/>
      <c r="Z1137" s="29"/>
      <c r="AA1137" s="29"/>
      <c r="AB1137" s="29"/>
      <c r="AC1137" s="29"/>
      <c r="AD1137" s="29"/>
      <c r="AE1137" s="29"/>
      <c r="AF1137" s="29"/>
      <c r="AG1137" s="29"/>
    </row>
    <row r="1138">
      <c r="A1138" s="40"/>
      <c r="B1138" s="240" t="s">
        <v>1187</v>
      </c>
      <c r="C1138" s="218"/>
      <c r="D1138" s="85"/>
      <c r="E1138" s="240" t="s">
        <v>9673</v>
      </c>
      <c r="F1138" s="40" t="s">
        <v>9674</v>
      </c>
      <c r="G1138" s="493">
        <v>46098.0</v>
      </c>
      <c r="H1138" s="493">
        <v>46102.0</v>
      </c>
      <c r="I1138" s="189">
        <f>IFERROR(__xludf.DUMMYFUNCTION("IF(ISBLANK(H1138), TODAY()-TO_DATE(G1138), TO_DATE(H1138)-TO_DATE(G1138))+1"),5.0)</f>
        <v>5</v>
      </c>
      <c r="J1138" s="240" t="s">
        <v>9612</v>
      </c>
      <c r="K1138" s="40" t="s">
        <v>9675</v>
      </c>
      <c r="L1138" s="40" t="s">
        <v>9676</v>
      </c>
      <c r="M1138" s="40" t="s">
        <v>9677</v>
      </c>
      <c r="N1138" s="29"/>
      <c r="O1138" s="29"/>
      <c r="P1138" s="29"/>
      <c r="Q1138" s="29"/>
      <c r="R1138" s="29"/>
      <c r="S1138" s="29"/>
      <c r="T1138" s="29"/>
      <c r="U1138" s="29"/>
      <c r="V1138" s="29"/>
      <c r="W1138" s="29"/>
      <c r="X1138" s="29"/>
      <c r="Y1138" s="29"/>
      <c r="Z1138" s="29"/>
      <c r="AA1138" s="29"/>
      <c r="AB1138" s="29"/>
      <c r="AC1138" s="29"/>
      <c r="AD1138" s="29"/>
      <c r="AE1138" s="29"/>
      <c r="AF1138" s="29"/>
      <c r="AG1138" s="29"/>
    </row>
    <row r="1139">
      <c r="A1139" s="40"/>
      <c r="B1139" s="240" t="s">
        <v>1187</v>
      </c>
      <c r="C1139" s="218"/>
      <c r="D1139" s="85"/>
      <c r="E1139" s="240" t="s">
        <v>9680</v>
      </c>
      <c r="F1139" s="40" t="s">
        <v>9681</v>
      </c>
      <c r="G1139" s="493">
        <v>46098.0</v>
      </c>
      <c r="H1139" s="493">
        <v>46098.0</v>
      </c>
      <c r="I1139" s="189">
        <f>IFERROR(__xludf.DUMMYFUNCTION("IF(ISBLANK(H1139), TODAY()-TO_DATE(G1139), TO_DATE(H1139)-TO_DATE(G1139))+1"),1.0)</f>
        <v>1</v>
      </c>
      <c r="J1139" s="240" t="s">
        <v>197</v>
      </c>
      <c r="K1139" s="40" t="s">
        <v>9682</v>
      </c>
      <c r="L1139" s="40" t="s">
        <v>9684</v>
      </c>
      <c r="M1139" s="40" t="s">
        <v>9686</v>
      </c>
      <c r="N1139" s="29"/>
      <c r="O1139" s="29"/>
      <c r="P1139" s="29"/>
      <c r="Q1139" s="29"/>
      <c r="R1139" s="29"/>
      <c r="S1139" s="29"/>
      <c r="T1139" s="29"/>
      <c r="U1139" s="29"/>
      <c r="V1139" s="29"/>
      <c r="W1139" s="29"/>
      <c r="X1139" s="29"/>
      <c r="Y1139" s="29"/>
      <c r="Z1139" s="29"/>
      <c r="AA1139" s="29"/>
      <c r="AB1139" s="29"/>
      <c r="AC1139" s="29"/>
      <c r="AD1139" s="29"/>
      <c r="AE1139" s="29"/>
      <c r="AF1139" s="29"/>
      <c r="AG1139" s="29"/>
    </row>
    <row r="1140">
      <c r="A1140" s="40"/>
      <c r="B1140" s="240" t="s">
        <v>1187</v>
      </c>
      <c r="C1140" s="218"/>
      <c r="D1140" s="85"/>
      <c r="E1140" s="240" t="s">
        <v>2477</v>
      </c>
      <c r="F1140" s="40" t="s">
        <v>2478</v>
      </c>
      <c r="G1140" s="493">
        <v>46104.0</v>
      </c>
      <c r="H1140" s="493">
        <v>46138.0</v>
      </c>
      <c r="I1140" s="189">
        <f>IFERROR(__xludf.DUMMYFUNCTION("IF(ISBLANK(H1140), TODAY()-TO_DATE(G1140), TO_DATE(H1140)-TO_DATE(G1140))+1"),35.0)</f>
        <v>35</v>
      </c>
      <c r="J1140" s="240">
        <v>500.0</v>
      </c>
      <c r="K1140" s="40" t="s">
        <v>9691</v>
      </c>
      <c r="L1140" s="40" t="s">
        <v>9692</v>
      </c>
      <c r="M1140" s="40" t="s">
        <v>9693</v>
      </c>
      <c r="N1140" s="493">
        <v>46098.0</v>
      </c>
      <c r="O1140" s="29"/>
      <c r="P1140" s="29"/>
      <c r="Q1140" s="29"/>
      <c r="R1140" s="29"/>
      <c r="S1140" s="29"/>
      <c r="T1140" s="29"/>
      <c r="U1140" s="29"/>
      <c r="V1140" s="29"/>
      <c r="W1140" s="29"/>
      <c r="X1140" s="29"/>
      <c r="Y1140" s="29"/>
      <c r="Z1140" s="29"/>
      <c r="AA1140" s="29"/>
      <c r="AB1140" s="29"/>
      <c r="AC1140" s="29"/>
      <c r="AD1140" s="29"/>
      <c r="AE1140" s="29"/>
      <c r="AF1140" s="29"/>
      <c r="AG1140" s="29"/>
    </row>
    <row r="1141">
      <c r="A1141" s="40"/>
      <c r="B1141" s="240" t="s">
        <v>1187</v>
      </c>
      <c r="C1141" s="218"/>
      <c r="D1141" s="85"/>
      <c r="E1141" s="240" t="s">
        <v>9697</v>
      </c>
      <c r="F1141" s="40" t="s">
        <v>9698</v>
      </c>
      <c r="G1141" s="493">
        <v>46098.0</v>
      </c>
      <c r="H1141" s="493">
        <v>46099.0</v>
      </c>
      <c r="I1141" s="189">
        <f>IFERROR(__xludf.DUMMYFUNCTION("IF(ISBLANK(H1141), TODAY()-TO_DATE(G1141), TO_DATE(H1141)-TO_DATE(G1141))+1"),2.0)</f>
        <v>2</v>
      </c>
      <c r="J1141" s="240">
        <v>300.0</v>
      </c>
      <c r="K1141" s="40" t="s">
        <v>9700</v>
      </c>
      <c r="L1141" s="40" t="s">
        <v>9701</v>
      </c>
      <c r="M1141" s="40" t="s">
        <v>9226</v>
      </c>
      <c r="N1141" s="29"/>
      <c r="O1141" s="29"/>
      <c r="P1141" s="29"/>
      <c r="Q1141" s="29"/>
      <c r="R1141" s="29"/>
      <c r="S1141" s="29"/>
      <c r="T1141" s="29"/>
      <c r="U1141" s="29"/>
      <c r="V1141" s="29"/>
      <c r="W1141" s="29"/>
      <c r="X1141" s="29"/>
      <c r="Y1141" s="29"/>
      <c r="Z1141" s="29"/>
      <c r="AA1141" s="29"/>
      <c r="AB1141" s="29"/>
      <c r="AC1141" s="29"/>
      <c r="AD1141" s="29"/>
      <c r="AE1141" s="29"/>
      <c r="AF1141" s="29"/>
      <c r="AG1141" s="29"/>
    </row>
    <row r="1142">
      <c r="A1142" s="40"/>
      <c r="B1142" s="240" t="s">
        <v>1187</v>
      </c>
      <c r="C1142" s="218"/>
      <c r="D1142" s="85"/>
      <c r="E1142" s="240" t="s">
        <v>2278</v>
      </c>
      <c r="F1142" s="40" t="s">
        <v>2280</v>
      </c>
      <c r="G1142" s="493">
        <v>46104.0</v>
      </c>
      <c r="H1142" s="638">
        <v>46152.0</v>
      </c>
      <c r="I1142" s="189">
        <f>IFERROR(__xludf.DUMMYFUNCTION("IF(ISBLANK(H1142), TODAY()-TO_DATE(G1142), TO_DATE(H1142)-TO_DATE(G1142))+1"),49.0)</f>
        <v>49</v>
      </c>
      <c r="J1142" s="240">
        <v>500.0</v>
      </c>
      <c r="K1142" s="40" t="s">
        <v>9706</v>
      </c>
      <c r="L1142" s="40" t="s">
        <v>9707</v>
      </c>
      <c r="M1142" s="240" t="s">
        <v>9226</v>
      </c>
      <c r="N1142" s="493">
        <v>46098.0</v>
      </c>
      <c r="O1142" s="29"/>
      <c r="P1142" s="29"/>
      <c r="Q1142" s="29"/>
      <c r="R1142" s="29"/>
      <c r="S1142" s="29"/>
      <c r="T1142" s="29"/>
      <c r="U1142" s="29"/>
      <c r="V1142" s="29"/>
      <c r="W1142" s="29"/>
      <c r="X1142" s="29"/>
      <c r="Y1142" s="29"/>
      <c r="Z1142" s="29"/>
      <c r="AA1142" s="29"/>
      <c r="AB1142" s="29"/>
      <c r="AC1142" s="29"/>
      <c r="AD1142" s="29"/>
      <c r="AE1142" s="29"/>
      <c r="AF1142" s="29"/>
      <c r="AG1142" s="29"/>
    </row>
    <row r="1143">
      <c r="A1143" s="40"/>
      <c r="B1143" s="240" t="s">
        <v>1187</v>
      </c>
      <c r="C1143" s="218"/>
      <c r="D1143" s="85"/>
      <c r="E1143" s="540" t="s">
        <v>2553</v>
      </c>
      <c r="F1143" s="40" t="s">
        <v>2554</v>
      </c>
      <c r="G1143" s="493">
        <v>46098.0</v>
      </c>
      <c r="H1143" s="493">
        <v>46138.0</v>
      </c>
      <c r="I1143" s="189">
        <f>IFERROR(__xludf.DUMMYFUNCTION("IF(ISBLANK(H1143), TODAY()-TO_DATE(G1143), TO_DATE(H1143)-TO_DATE(G1143))+1"),41.0)</f>
        <v>41</v>
      </c>
      <c r="J1143" s="240">
        <v>500.0</v>
      </c>
      <c r="K1143" s="40" t="s">
        <v>9711</v>
      </c>
      <c r="L1143" s="40"/>
      <c r="M1143" s="40"/>
      <c r="N1143" s="29"/>
      <c r="O1143" s="29"/>
      <c r="P1143" s="29"/>
      <c r="Q1143" s="29"/>
      <c r="R1143" s="29"/>
      <c r="S1143" s="29"/>
      <c r="T1143" s="29"/>
      <c r="U1143" s="29"/>
      <c r="V1143" s="29"/>
      <c r="W1143" s="29"/>
      <c r="X1143" s="29"/>
      <c r="Y1143" s="29"/>
      <c r="Z1143" s="29"/>
      <c r="AA1143" s="29"/>
      <c r="AB1143" s="29"/>
      <c r="AC1143" s="29"/>
      <c r="AD1143" s="29"/>
      <c r="AE1143" s="29"/>
      <c r="AF1143" s="29"/>
      <c r="AG1143" s="29"/>
    </row>
    <row r="1144">
      <c r="A1144" s="40"/>
      <c r="B1144" s="240" t="s">
        <v>1187</v>
      </c>
      <c r="C1144" s="218"/>
      <c r="D1144" s="85"/>
      <c r="E1144" s="540" t="s">
        <v>2471</v>
      </c>
      <c r="F1144" s="40" t="s">
        <v>2472</v>
      </c>
      <c r="G1144" s="493">
        <v>46098.0</v>
      </c>
      <c r="H1144" s="493">
        <v>46125.0</v>
      </c>
      <c r="I1144" s="189">
        <f>IFERROR(__xludf.DUMMYFUNCTION("IF(ISBLANK(H1144), TODAY()-TO_DATE(G1144), TO_DATE(H1144)-TO_DATE(G1144))+1"),28.0)</f>
        <v>28</v>
      </c>
      <c r="J1144" s="240">
        <v>500.0</v>
      </c>
      <c r="K1144" s="40" t="s">
        <v>9712</v>
      </c>
      <c r="L1144" s="40" t="s">
        <v>9713</v>
      </c>
      <c r="M1144" s="40" t="s">
        <v>9226</v>
      </c>
      <c r="N1144" s="29"/>
      <c r="O1144" s="29"/>
      <c r="P1144" s="29"/>
      <c r="Q1144" s="29"/>
      <c r="R1144" s="29"/>
      <c r="S1144" s="29"/>
      <c r="T1144" s="29"/>
      <c r="U1144" s="29"/>
      <c r="V1144" s="29"/>
      <c r="W1144" s="29"/>
      <c r="X1144" s="29"/>
      <c r="Y1144" s="29"/>
      <c r="Z1144" s="29"/>
      <c r="AA1144" s="29"/>
      <c r="AB1144" s="29"/>
      <c r="AC1144" s="29"/>
      <c r="AD1144" s="29"/>
      <c r="AE1144" s="29"/>
      <c r="AF1144" s="29"/>
      <c r="AG1144" s="29"/>
    </row>
    <row r="1145">
      <c r="A1145" s="40"/>
      <c r="B1145" s="240" t="s">
        <v>1187</v>
      </c>
      <c r="C1145" s="218"/>
      <c r="D1145" s="85"/>
      <c r="E1145" s="935" t="s">
        <v>2612</v>
      </c>
      <c r="F1145" s="40" t="s">
        <v>2613</v>
      </c>
      <c r="G1145" s="493">
        <v>46098.0</v>
      </c>
      <c r="H1145" s="493">
        <v>46115.0</v>
      </c>
      <c r="I1145" s="189">
        <f>IFERROR(__xludf.DUMMYFUNCTION("IF(ISBLANK(H1145), TODAY()-TO_DATE(G1145), TO_DATE(H1145)-TO_DATE(G1145))+1"),18.0)</f>
        <v>18</v>
      </c>
      <c r="J1145" s="240">
        <v>300.0</v>
      </c>
      <c r="K1145" s="40" t="s">
        <v>9716</v>
      </c>
      <c r="L1145" s="40" t="s">
        <v>9717</v>
      </c>
      <c r="M1145" s="40" t="s">
        <v>9226</v>
      </c>
      <c r="N1145" s="29"/>
      <c r="O1145" s="29"/>
      <c r="P1145" s="29"/>
      <c r="Q1145" s="29"/>
      <c r="R1145" s="29"/>
      <c r="S1145" s="29"/>
      <c r="T1145" s="29"/>
      <c r="U1145" s="29"/>
      <c r="V1145" s="29"/>
      <c r="W1145" s="29"/>
      <c r="X1145" s="29"/>
      <c r="Y1145" s="29"/>
      <c r="Z1145" s="29"/>
      <c r="AA1145" s="29"/>
      <c r="AB1145" s="29"/>
      <c r="AC1145" s="29"/>
      <c r="AD1145" s="29"/>
      <c r="AE1145" s="29"/>
      <c r="AF1145" s="29"/>
      <c r="AG1145" s="29"/>
    </row>
    <row r="1146">
      <c r="A1146" s="40"/>
      <c r="B1146" s="240" t="s">
        <v>1187</v>
      </c>
      <c r="C1146" s="218"/>
      <c r="D1146" s="85"/>
      <c r="E1146" s="240" t="s">
        <v>784</v>
      </c>
      <c r="F1146" s="40" t="s">
        <v>785</v>
      </c>
      <c r="G1146" s="493">
        <v>46098.0</v>
      </c>
      <c r="H1146" s="493">
        <v>46148.0</v>
      </c>
      <c r="I1146" s="189">
        <f>IFERROR(__xludf.DUMMYFUNCTION("IF(ISBLANK(H1146), TODAY()-TO_DATE(G1146), TO_DATE(H1146)-TO_DATE(G1146))+1"),51.0)</f>
        <v>51</v>
      </c>
      <c r="J1146" s="240">
        <v>500.0</v>
      </c>
      <c r="K1146" s="40" t="s">
        <v>9722</v>
      </c>
      <c r="L1146" s="40"/>
      <c r="M1146" s="240" t="s">
        <v>9226</v>
      </c>
      <c r="N1146" s="29"/>
      <c r="O1146" s="29"/>
      <c r="P1146" s="29"/>
      <c r="Q1146" s="29"/>
      <c r="R1146" s="29"/>
      <c r="S1146" s="29"/>
      <c r="T1146" s="29"/>
      <c r="U1146" s="29"/>
      <c r="V1146" s="29"/>
      <c r="W1146" s="29"/>
      <c r="X1146" s="29"/>
      <c r="Y1146" s="29"/>
      <c r="Z1146" s="29"/>
      <c r="AA1146" s="29"/>
      <c r="AB1146" s="29"/>
      <c r="AC1146" s="29"/>
      <c r="AD1146" s="29"/>
      <c r="AE1146" s="29"/>
      <c r="AF1146" s="29"/>
      <c r="AG1146" s="29"/>
    </row>
    <row r="1147">
      <c r="A1147" s="40"/>
      <c r="B1147" s="240" t="s">
        <v>1187</v>
      </c>
      <c r="C1147" s="218"/>
      <c r="D1147" s="85"/>
      <c r="E1147" s="240" t="s">
        <v>9724</v>
      </c>
      <c r="F1147" s="40" t="s">
        <v>9725</v>
      </c>
      <c r="G1147" s="493">
        <v>46098.0</v>
      </c>
      <c r="H1147" s="493">
        <v>46099.0</v>
      </c>
      <c r="I1147" s="189">
        <f>IFERROR(__xludf.DUMMYFUNCTION("IF(ISBLANK(H1147), TODAY()-TO_DATE(G1147), TO_DATE(H1147)-TO_DATE(G1147))+1"),2.0)</f>
        <v>2</v>
      </c>
      <c r="J1147" s="240" t="s">
        <v>136</v>
      </c>
      <c r="K1147" s="40" t="s">
        <v>9727</v>
      </c>
      <c r="L1147" s="40" t="s">
        <v>9728</v>
      </c>
      <c r="M1147" s="40" t="s">
        <v>9729</v>
      </c>
      <c r="N1147" s="29"/>
      <c r="O1147" s="29"/>
      <c r="P1147" s="29"/>
      <c r="Q1147" s="29"/>
      <c r="R1147" s="29"/>
      <c r="S1147" s="29"/>
      <c r="T1147" s="29"/>
      <c r="U1147" s="29"/>
      <c r="V1147" s="29"/>
      <c r="W1147" s="29"/>
      <c r="X1147" s="29"/>
      <c r="Y1147" s="29"/>
      <c r="Z1147" s="29"/>
      <c r="AA1147" s="29"/>
      <c r="AB1147" s="29"/>
      <c r="AC1147" s="29"/>
      <c r="AD1147" s="29"/>
      <c r="AE1147" s="29"/>
      <c r="AF1147" s="29"/>
      <c r="AG1147" s="29"/>
    </row>
    <row r="1148">
      <c r="A1148" s="40"/>
      <c r="B1148" s="240" t="s">
        <v>1187</v>
      </c>
      <c r="C1148" s="218"/>
      <c r="D1148" s="85"/>
      <c r="E1148" s="240" t="s">
        <v>1012</v>
      </c>
      <c r="F1148" s="40" t="s">
        <v>1014</v>
      </c>
      <c r="G1148" s="493">
        <v>46098.0</v>
      </c>
      <c r="H1148" s="493">
        <v>46098.0</v>
      </c>
      <c r="I1148" s="189">
        <f>IFERROR(__xludf.DUMMYFUNCTION("IF(ISBLANK(H1148), TODAY()-TO_DATE(G1148), TO_DATE(H1148)-TO_DATE(G1148))+1"),1.0)</f>
        <v>1</v>
      </c>
      <c r="J1148" s="240" t="s">
        <v>197</v>
      </c>
      <c r="K1148" s="40" t="s">
        <v>9734</v>
      </c>
      <c r="L1148" s="40" t="s">
        <v>9735</v>
      </c>
      <c r="M1148" s="40" t="s">
        <v>9736</v>
      </c>
      <c r="N1148" s="29"/>
      <c r="O1148" s="29"/>
      <c r="P1148" s="29"/>
      <c r="Q1148" s="29"/>
      <c r="R1148" s="29"/>
      <c r="S1148" s="29"/>
      <c r="T1148" s="29"/>
      <c r="U1148" s="29"/>
      <c r="V1148" s="29"/>
      <c r="W1148" s="29"/>
      <c r="X1148" s="29"/>
      <c r="Y1148" s="29"/>
      <c r="Z1148" s="29"/>
      <c r="AA1148" s="29"/>
      <c r="AB1148" s="29"/>
      <c r="AC1148" s="29"/>
      <c r="AD1148" s="29"/>
      <c r="AE1148" s="29"/>
      <c r="AF1148" s="29"/>
      <c r="AG1148" s="29"/>
    </row>
    <row r="1149">
      <c r="A1149" s="40"/>
      <c r="B1149" s="240" t="s">
        <v>1187</v>
      </c>
      <c r="C1149" s="218"/>
      <c r="D1149" s="85"/>
      <c r="E1149" s="240" t="s">
        <v>1260</v>
      </c>
      <c r="F1149" s="40" t="s">
        <v>1262</v>
      </c>
      <c r="G1149" s="493">
        <v>46098.0</v>
      </c>
      <c r="H1149" s="493">
        <v>46099.0</v>
      </c>
      <c r="I1149" s="189">
        <f>IFERROR(__xludf.DUMMYFUNCTION("IF(ISBLANK(H1149), TODAY()-TO_DATE(G1149), TO_DATE(H1149)-TO_DATE(G1149))+1"),2.0)</f>
        <v>2</v>
      </c>
      <c r="J1149" s="240" t="s">
        <v>197</v>
      </c>
      <c r="K1149" s="40" t="s">
        <v>9740</v>
      </c>
      <c r="L1149" s="40" t="s">
        <v>9741</v>
      </c>
      <c r="M1149" s="40" t="s">
        <v>9742</v>
      </c>
      <c r="N1149" s="29"/>
      <c r="O1149" s="29"/>
      <c r="P1149" s="29"/>
      <c r="Q1149" s="29"/>
      <c r="R1149" s="29"/>
      <c r="S1149" s="29"/>
      <c r="T1149" s="29"/>
      <c r="U1149" s="29"/>
      <c r="V1149" s="29"/>
      <c r="W1149" s="29"/>
      <c r="X1149" s="29"/>
      <c r="Y1149" s="29"/>
      <c r="Z1149" s="29"/>
      <c r="AA1149" s="29"/>
      <c r="AB1149" s="29"/>
      <c r="AC1149" s="29"/>
      <c r="AD1149" s="29"/>
      <c r="AE1149" s="29"/>
      <c r="AF1149" s="29"/>
      <c r="AG1149" s="29"/>
    </row>
    <row r="1150">
      <c r="A1150" s="40"/>
      <c r="B1150" s="240" t="s">
        <v>1187</v>
      </c>
      <c r="C1150" s="218"/>
      <c r="D1150" s="85"/>
      <c r="E1150" s="240" t="s">
        <v>412</v>
      </c>
      <c r="F1150" s="40" t="s">
        <v>413</v>
      </c>
      <c r="G1150" s="493">
        <v>46098.0</v>
      </c>
      <c r="H1150" s="493">
        <v>46164.0</v>
      </c>
      <c r="I1150" s="189">
        <f>IFERROR(__xludf.DUMMYFUNCTION("IF(ISBLANK(H1150), TODAY()-TO_DATE(G1150), TO_DATE(H1150)-TO_DATE(G1150))+1"),67.0)</f>
        <v>67</v>
      </c>
      <c r="J1150" s="240" t="s">
        <v>197</v>
      </c>
      <c r="K1150" s="40" t="s">
        <v>9748</v>
      </c>
      <c r="L1150" s="40" t="s">
        <v>9749</v>
      </c>
      <c r="M1150" s="240" t="s">
        <v>9226</v>
      </c>
      <c r="N1150" s="29"/>
      <c r="O1150" s="29"/>
      <c r="P1150" s="29"/>
      <c r="Q1150" s="29"/>
      <c r="R1150" s="29"/>
      <c r="S1150" s="29"/>
      <c r="T1150" s="29"/>
      <c r="U1150" s="29"/>
      <c r="V1150" s="29"/>
      <c r="W1150" s="29"/>
      <c r="X1150" s="29"/>
      <c r="Y1150" s="29"/>
      <c r="Z1150" s="29"/>
      <c r="AA1150" s="29"/>
      <c r="AB1150" s="29"/>
      <c r="AC1150" s="29"/>
      <c r="AD1150" s="29"/>
      <c r="AE1150" s="29"/>
      <c r="AF1150" s="29"/>
      <c r="AG1150" s="29"/>
    </row>
    <row r="1151">
      <c r="A1151" s="40"/>
      <c r="B1151" s="240" t="s">
        <v>1187</v>
      </c>
      <c r="C1151" s="218"/>
      <c r="D1151" s="85"/>
      <c r="E1151" s="240" t="s">
        <v>911</v>
      </c>
      <c r="F1151" s="40" t="s">
        <v>912</v>
      </c>
      <c r="G1151" s="493">
        <v>46098.0</v>
      </c>
      <c r="H1151" s="493">
        <v>46164.0</v>
      </c>
      <c r="I1151" s="189">
        <f>IFERROR(__xludf.DUMMYFUNCTION("IF(ISBLANK(H1151), TODAY()-TO_DATE(G1151), TO_DATE(H1151)-TO_DATE(G1151))+1"),67.0)</f>
        <v>67</v>
      </c>
      <c r="J1151" s="240" t="s">
        <v>197</v>
      </c>
      <c r="K1151" s="40" t="s">
        <v>9753</v>
      </c>
      <c r="L1151" s="40"/>
      <c r="M1151" s="240" t="s">
        <v>9226</v>
      </c>
      <c r="N1151" s="29"/>
      <c r="O1151" s="29"/>
      <c r="P1151" s="29"/>
      <c r="Q1151" s="29"/>
      <c r="R1151" s="29"/>
      <c r="S1151" s="29"/>
      <c r="T1151" s="29"/>
      <c r="U1151" s="29"/>
      <c r="V1151" s="29"/>
      <c r="W1151" s="29"/>
      <c r="X1151" s="29"/>
      <c r="Y1151" s="29"/>
      <c r="Z1151" s="29"/>
      <c r="AA1151" s="29"/>
      <c r="AB1151" s="29"/>
      <c r="AC1151" s="29"/>
      <c r="AD1151" s="29"/>
      <c r="AE1151" s="29"/>
      <c r="AF1151" s="29"/>
      <c r="AG1151" s="29"/>
    </row>
    <row r="1152">
      <c r="A1152" s="40"/>
      <c r="B1152" s="240" t="s">
        <v>1187</v>
      </c>
      <c r="C1152" s="218"/>
      <c r="D1152" s="85"/>
      <c r="E1152" s="240" t="s">
        <v>772</v>
      </c>
      <c r="F1152" s="240" t="s">
        <v>773</v>
      </c>
      <c r="G1152" s="493">
        <v>46098.0</v>
      </c>
      <c r="H1152" s="638">
        <v>46161.0</v>
      </c>
      <c r="I1152" s="240">
        <f>IFERROR(__xludf.DUMMYFUNCTION("IF(ISBLANK(H1152), TODAY()-TO_DATE(G1152), TO_DATE(H1152)-TO_DATE(G1152))+1"),64.0)</f>
        <v>64</v>
      </c>
      <c r="J1152" s="240">
        <v>500.0</v>
      </c>
      <c r="K1152" s="240" t="s">
        <v>9759</v>
      </c>
      <c r="L1152" s="240" t="s">
        <v>9760</v>
      </c>
      <c r="M1152" s="240" t="s">
        <v>9226</v>
      </c>
      <c r="N1152" s="29"/>
      <c r="O1152" s="29"/>
      <c r="P1152" s="29"/>
      <c r="Q1152" s="29"/>
      <c r="R1152" s="29"/>
      <c r="S1152" s="29"/>
      <c r="T1152" s="29"/>
      <c r="U1152" s="29"/>
      <c r="V1152" s="29"/>
      <c r="W1152" s="29"/>
      <c r="X1152" s="29"/>
      <c r="Y1152" s="29"/>
      <c r="Z1152" s="29"/>
      <c r="AA1152" s="29"/>
      <c r="AB1152" s="29"/>
      <c r="AC1152" s="29"/>
      <c r="AD1152" s="29"/>
      <c r="AE1152" s="29"/>
      <c r="AF1152" s="29"/>
      <c r="AG1152" s="29"/>
    </row>
    <row r="1153">
      <c r="A1153" s="240"/>
      <c r="B1153" s="240" t="s">
        <v>1187</v>
      </c>
      <c r="C1153" s="240"/>
      <c r="D1153" s="240"/>
      <c r="E1153" s="240" t="s">
        <v>995</v>
      </c>
      <c r="F1153" s="240" t="s">
        <v>996</v>
      </c>
      <c r="G1153" s="493">
        <v>46098.0</v>
      </c>
      <c r="H1153" s="638">
        <v>46201.0</v>
      </c>
      <c r="I1153" s="240">
        <f>IFERROR(__xludf.DUMMYFUNCTION("IF(ISBLANK(H1153), TODAY()-TO_DATE(G1153), TO_DATE(H1153)-TO_DATE(G1153))+1"),104.0)</f>
        <v>104</v>
      </c>
      <c r="J1153" s="240">
        <v>500.0</v>
      </c>
      <c r="K1153" s="240" t="s">
        <v>9765</v>
      </c>
      <c r="L1153" s="240"/>
      <c r="M1153" s="240" t="s">
        <v>9226</v>
      </c>
      <c r="N1153" s="29"/>
      <c r="O1153" s="29"/>
      <c r="P1153" s="29"/>
      <c r="Q1153" s="29"/>
      <c r="R1153" s="29"/>
      <c r="S1153" s="29"/>
      <c r="T1153" s="29"/>
      <c r="U1153" s="29"/>
      <c r="V1153" s="29"/>
      <c r="W1153" s="29"/>
      <c r="X1153" s="29"/>
      <c r="Y1153" s="29"/>
      <c r="Z1153" s="29"/>
      <c r="AA1153" s="29"/>
      <c r="AB1153" s="29"/>
      <c r="AC1153" s="29"/>
      <c r="AD1153" s="29"/>
      <c r="AE1153" s="29"/>
      <c r="AF1153" s="29"/>
      <c r="AG1153" s="29"/>
    </row>
    <row r="1154">
      <c r="A1154" s="240"/>
      <c r="B1154" s="240" t="s">
        <v>1187</v>
      </c>
      <c r="C1154" s="240"/>
      <c r="D1154" s="240"/>
      <c r="E1154" s="240" t="s">
        <v>929</v>
      </c>
      <c r="F1154" s="240" t="s">
        <v>930</v>
      </c>
      <c r="G1154" s="493">
        <v>46104.0</v>
      </c>
      <c r="H1154" s="638">
        <v>46164.0</v>
      </c>
      <c r="I1154" s="240">
        <f>IFERROR(__xludf.DUMMYFUNCTION("IF(ISBLANK(H1154), TODAY()-TO_DATE(G1154), TO_DATE(H1154)-TO_DATE(G1154))+1"),61.0)</f>
        <v>61</v>
      </c>
      <c r="J1154" s="240">
        <v>500.0</v>
      </c>
      <c r="K1154" s="240" t="s">
        <v>9768</v>
      </c>
      <c r="L1154" s="40" t="s">
        <v>9769</v>
      </c>
      <c r="M1154" s="240" t="s">
        <v>9226</v>
      </c>
      <c r="N1154" s="493">
        <v>46100.0</v>
      </c>
      <c r="O1154" s="29"/>
      <c r="P1154" s="29"/>
      <c r="Q1154" s="29"/>
      <c r="R1154" s="29"/>
      <c r="S1154" s="29"/>
      <c r="T1154" s="29"/>
      <c r="U1154" s="29"/>
      <c r="V1154" s="29"/>
      <c r="W1154" s="29"/>
      <c r="X1154" s="29"/>
      <c r="Y1154" s="29"/>
      <c r="Z1154" s="29"/>
      <c r="AA1154" s="29"/>
      <c r="AB1154" s="29"/>
      <c r="AC1154" s="29"/>
      <c r="AD1154" s="29"/>
      <c r="AE1154" s="29"/>
      <c r="AF1154" s="29"/>
      <c r="AG1154" s="29"/>
    </row>
    <row r="1155">
      <c r="A1155" s="240"/>
      <c r="B1155" s="240" t="s">
        <v>1187</v>
      </c>
      <c r="C1155" s="240"/>
      <c r="D1155" s="240"/>
      <c r="E1155" s="240" t="s">
        <v>2050</v>
      </c>
      <c r="F1155" s="240" t="s">
        <v>2051</v>
      </c>
      <c r="G1155" s="493">
        <v>46100.0</v>
      </c>
      <c r="H1155" s="638">
        <v>46142.0</v>
      </c>
      <c r="I1155" s="240">
        <f>IFERROR(__xludf.DUMMYFUNCTION("IF(ISBLANK(H1155), TODAY()-TO_DATE(G1155), TO_DATE(H1155)-TO_DATE(G1155))+1"),43.0)</f>
        <v>43</v>
      </c>
      <c r="J1155" s="240">
        <v>300.0</v>
      </c>
      <c r="K1155" s="240" t="s">
        <v>9770</v>
      </c>
      <c r="L1155" s="240"/>
      <c r="M1155" s="240" t="s">
        <v>9226</v>
      </c>
      <c r="N1155" s="29"/>
      <c r="O1155" s="29"/>
      <c r="P1155" s="29"/>
      <c r="Q1155" s="29"/>
      <c r="R1155" s="29"/>
      <c r="S1155" s="29"/>
      <c r="T1155" s="29"/>
      <c r="U1155" s="29"/>
      <c r="V1155" s="29"/>
      <c r="W1155" s="29"/>
      <c r="X1155" s="29"/>
      <c r="Y1155" s="29"/>
      <c r="Z1155" s="29"/>
      <c r="AA1155" s="29"/>
      <c r="AB1155" s="29"/>
      <c r="AC1155" s="29"/>
      <c r="AD1155" s="29"/>
      <c r="AE1155" s="29"/>
      <c r="AF1155" s="29"/>
      <c r="AG1155" s="29"/>
    </row>
    <row r="1156">
      <c r="A1156" s="240"/>
      <c r="B1156" s="240" t="s">
        <v>1187</v>
      </c>
      <c r="C1156" s="240"/>
      <c r="D1156" s="240"/>
      <c r="E1156" s="240" t="s">
        <v>2448</v>
      </c>
      <c r="F1156" s="240" t="s">
        <v>2449</v>
      </c>
      <c r="G1156" s="493">
        <v>46100.0</v>
      </c>
      <c r="H1156" s="638">
        <v>46143.0</v>
      </c>
      <c r="I1156" s="240">
        <f>IFERROR(__xludf.DUMMYFUNCTION("IF(ISBLANK(H1156), TODAY()-TO_DATE(G1156), TO_DATE(H1156)-TO_DATE(G1156))+1"),44.0)</f>
        <v>44</v>
      </c>
      <c r="J1156" s="240">
        <v>500.0</v>
      </c>
      <c r="K1156" s="240" t="s">
        <v>9774</v>
      </c>
      <c r="L1156" s="240"/>
      <c r="M1156" s="240" t="s">
        <v>9226</v>
      </c>
      <c r="N1156" s="29"/>
      <c r="O1156" s="29"/>
      <c r="P1156" s="29"/>
      <c r="Q1156" s="29"/>
      <c r="R1156" s="29"/>
      <c r="S1156" s="29"/>
      <c r="T1156" s="29"/>
      <c r="U1156" s="29"/>
      <c r="V1156" s="29"/>
      <c r="W1156" s="29"/>
      <c r="X1156" s="29"/>
      <c r="Y1156" s="29"/>
      <c r="Z1156" s="29"/>
      <c r="AA1156" s="29"/>
      <c r="AB1156" s="29"/>
      <c r="AC1156" s="29"/>
      <c r="AD1156" s="29"/>
      <c r="AE1156" s="29"/>
      <c r="AF1156" s="29"/>
      <c r="AG1156" s="29"/>
    </row>
    <row r="1157">
      <c r="A1157" s="240"/>
      <c r="B1157" s="240" t="s">
        <v>1187</v>
      </c>
      <c r="C1157" s="240"/>
      <c r="D1157" s="240"/>
      <c r="E1157" s="240" t="s">
        <v>1445</v>
      </c>
      <c r="F1157" s="240" t="s">
        <v>943</v>
      </c>
      <c r="G1157" s="493">
        <v>46100.0</v>
      </c>
      <c r="H1157" s="638">
        <v>46103.0</v>
      </c>
      <c r="I1157" s="240">
        <f>IFERROR(__xludf.DUMMYFUNCTION("IF(ISBLANK(H1157), TODAY()-TO_DATE(G1157), TO_DATE(H1157)-TO_DATE(G1157))+1"),4.0)</f>
        <v>4</v>
      </c>
      <c r="J1157" s="240" t="s">
        <v>197</v>
      </c>
      <c r="K1157" s="240" t="s">
        <v>9777</v>
      </c>
      <c r="L1157" s="240"/>
      <c r="M1157" s="240" t="s">
        <v>9226</v>
      </c>
      <c r="N1157" s="29"/>
      <c r="O1157" s="29"/>
      <c r="P1157" s="29"/>
      <c r="Q1157" s="29"/>
      <c r="R1157" s="29"/>
      <c r="S1157" s="29"/>
      <c r="T1157" s="29"/>
      <c r="U1157" s="29"/>
      <c r="V1157" s="29"/>
      <c r="W1157" s="29"/>
      <c r="X1157" s="29"/>
      <c r="Y1157" s="29"/>
      <c r="Z1157" s="29"/>
      <c r="AA1157" s="29"/>
      <c r="AB1157" s="29"/>
      <c r="AC1157" s="29"/>
      <c r="AD1157" s="29"/>
      <c r="AE1157" s="29"/>
      <c r="AF1157" s="29"/>
      <c r="AG1157" s="29"/>
    </row>
    <row r="1158">
      <c r="A1158" s="240"/>
      <c r="B1158" s="240" t="s">
        <v>1187</v>
      </c>
      <c r="C1158" s="240"/>
      <c r="D1158" s="240"/>
      <c r="E1158" s="240" t="s">
        <v>2484</v>
      </c>
      <c r="F1158" s="240" t="s">
        <v>2486</v>
      </c>
      <c r="G1158" s="493">
        <v>46100.0</v>
      </c>
      <c r="H1158" s="638">
        <v>46143.0</v>
      </c>
      <c r="I1158" s="240">
        <f>IFERROR(__xludf.DUMMYFUNCTION("IF(ISBLANK(H1158), TODAY()-TO_DATE(G1158), TO_DATE(H1158)-TO_DATE(G1158))+1"),44.0)</f>
        <v>44</v>
      </c>
      <c r="J1158" s="240">
        <v>500.0</v>
      </c>
      <c r="K1158" s="240" t="s">
        <v>9782</v>
      </c>
      <c r="L1158" s="240" t="s">
        <v>9783</v>
      </c>
      <c r="M1158" s="240" t="s">
        <v>9226</v>
      </c>
      <c r="N1158" s="29"/>
      <c r="O1158" s="29"/>
      <c r="P1158" s="29"/>
      <c r="Q1158" s="29"/>
      <c r="R1158" s="29"/>
      <c r="S1158" s="29"/>
      <c r="T1158" s="29"/>
      <c r="U1158" s="29"/>
      <c r="V1158" s="29"/>
      <c r="W1158" s="29"/>
      <c r="X1158" s="29"/>
      <c r="Y1158" s="29"/>
      <c r="Z1158" s="29"/>
      <c r="AA1158" s="29"/>
      <c r="AB1158" s="29"/>
      <c r="AC1158" s="29"/>
      <c r="AD1158" s="29"/>
      <c r="AE1158" s="29"/>
      <c r="AF1158" s="29"/>
      <c r="AG1158" s="29"/>
    </row>
    <row r="1159">
      <c r="A1159" s="240" t="s">
        <v>1510</v>
      </c>
      <c r="B1159" s="240" t="s">
        <v>1187</v>
      </c>
      <c r="C1159" s="240"/>
      <c r="D1159" s="240"/>
      <c r="E1159" s="240" t="s">
        <v>2463</v>
      </c>
      <c r="F1159" s="240" t="s">
        <v>2465</v>
      </c>
      <c r="G1159" s="493">
        <v>46104.0</v>
      </c>
      <c r="H1159" s="638">
        <v>46141.0</v>
      </c>
      <c r="I1159" s="240">
        <f>IFERROR(__xludf.DUMMYFUNCTION("IF(ISBLANK(H1159), TODAY()-TO_DATE(G1159), TO_DATE(H1159)-TO_DATE(G1159))+1"),38.0)</f>
        <v>38</v>
      </c>
      <c r="J1159" s="240">
        <v>500.0</v>
      </c>
      <c r="K1159" s="240" t="s">
        <v>9785</v>
      </c>
      <c r="L1159" s="240" t="s">
        <v>9786</v>
      </c>
      <c r="M1159" s="240" t="s">
        <v>9226</v>
      </c>
      <c r="N1159" s="493">
        <v>46100.0</v>
      </c>
      <c r="O1159" s="29"/>
      <c r="P1159" s="29"/>
      <c r="Q1159" s="29"/>
      <c r="R1159" s="29"/>
      <c r="S1159" s="29"/>
      <c r="T1159" s="29"/>
      <c r="U1159" s="29"/>
      <c r="V1159" s="29"/>
      <c r="W1159" s="29"/>
      <c r="X1159" s="29"/>
      <c r="Y1159" s="29"/>
      <c r="Z1159" s="29"/>
      <c r="AA1159" s="29"/>
      <c r="AB1159" s="29"/>
      <c r="AC1159" s="29"/>
      <c r="AD1159" s="29"/>
      <c r="AE1159" s="29"/>
      <c r="AF1159" s="29"/>
      <c r="AG1159" s="29"/>
    </row>
    <row r="1160">
      <c r="A1160" s="240" t="s">
        <v>2451</v>
      </c>
      <c r="B1160" s="240" t="s">
        <v>1187</v>
      </c>
      <c r="C1160" s="240"/>
      <c r="D1160" s="240"/>
      <c r="E1160" s="240" t="s">
        <v>453</v>
      </c>
      <c r="F1160" s="240" t="s">
        <v>454</v>
      </c>
      <c r="G1160" s="493">
        <v>46101.0</v>
      </c>
      <c r="H1160" s="638">
        <v>46167.0</v>
      </c>
      <c r="I1160" s="240">
        <f>IFERROR(__xludf.DUMMYFUNCTION("IF(ISBLANK(H1160), TODAY()-TO_DATE(G1160), TO_DATE(H1160)-TO_DATE(G1160))+1"),67.0)</f>
        <v>67</v>
      </c>
      <c r="J1160" s="240">
        <v>500.0</v>
      </c>
      <c r="K1160" s="240" t="s">
        <v>9788</v>
      </c>
      <c r="L1160" s="240" t="s">
        <v>9789</v>
      </c>
      <c r="M1160" s="240" t="s">
        <v>9226</v>
      </c>
      <c r="N1160" s="29"/>
      <c r="O1160" s="29"/>
      <c r="P1160" s="29"/>
      <c r="Q1160" s="29"/>
      <c r="R1160" s="29"/>
      <c r="S1160" s="29"/>
      <c r="T1160" s="29"/>
      <c r="U1160" s="29"/>
      <c r="V1160" s="29"/>
      <c r="W1160" s="29"/>
      <c r="X1160" s="29"/>
      <c r="Y1160" s="29"/>
      <c r="Z1160" s="29"/>
      <c r="AA1160" s="29"/>
      <c r="AB1160" s="29"/>
      <c r="AC1160" s="29"/>
      <c r="AD1160" s="29"/>
      <c r="AE1160" s="29"/>
      <c r="AF1160" s="29"/>
      <c r="AG1160" s="29"/>
    </row>
    <row r="1161">
      <c r="A1161" s="240" t="s">
        <v>2451</v>
      </c>
      <c r="B1161" s="240" t="s">
        <v>1187</v>
      </c>
      <c r="C1161" s="240"/>
      <c r="D1161" s="240"/>
      <c r="E1161" s="240" t="s">
        <v>575</v>
      </c>
      <c r="F1161" s="240" t="s">
        <v>576</v>
      </c>
      <c r="G1161" s="493">
        <v>46101.0</v>
      </c>
      <c r="H1161" s="638">
        <v>46169.0</v>
      </c>
      <c r="I1161" s="240">
        <f>IFERROR(__xludf.DUMMYFUNCTION("IF(ISBLANK(H1161), TODAY()-TO_DATE(G1161), TO_DATE(H1161)-TO_DATE(G1161))+1"),69.0)</f>
        <v>69</v>
      </c>
      <c r="J1161" s="240" t="s">
        <v>197</v>
      </c>
      <c r="K1161" s="240" t="s">
        <v>9791</v>
      </c>
      <c r="L1161" s="240" t="s">
        <v>9793</v>
      </c>
      <c r="M1161" s="240" t="s">
        <v>9226</v>
      </c>
      <c r="N1161" s="29"/>
      <c r="O1161" s="29"/>
      <c r="P1161" s="29"/>
      <c r="Q1161" s="29"/>
      <c r="R1161" s="29"/>
      <c r="S1161" s="29"/>
      <c r="T1161" s="29"/>
      <c r="U1161" s="29"/>
      <c r="V1161" s="29"/>
      <c r="W1161" s="29"/>
      <c r="X1161" s="29"/>
      <c r="Y1161" s="29"/>
      <c r="Z1161" s="29"/>
      <c r="AA1161" s="29"/>
      <c r="AB1161" s="29"/>
      <c r="AC1161" s="29"/>
      <c r="AD1161" s="29"/>
      <c r="AE1161" s="29"/>
      <c r="AF1161" s="29"/>
      <c r="AG1161" s="29"/>
    </row>
    <row r="1162">
      <c r="A1162" s="240" t="s">
        <v>2451</v>
      </c>
      <c r="B1162" s="240" t="s">
        <v>1187</v>
      </c>
      <c r="C1162" s="240"/>
      <c r="D1162" s="240"/>
      <c r="E1162" s="240" t="s">
        <v>657</v>
      </c>
      <c r="F1162" s="240" t="s">
        <v>658</v>
      </c>
      <c r="G1162" s="493">
        <v>46101.0</v>
      </c>
      <c r="H1162" s="638">
        <v>46165.0</v>
      </c>
      <c r="I1162" s="240">
        <f>IFERROR(__xludf.DUMMYFUNCTION("IF(ISBLANK(H1162), TODAY()-TO_DATE(G1162), TO_DATE(H1162)-TO_DATE(G1162))+1"),65.0)</f>
        <v>65</v>
      </c>
      <c r="J1162" s="240" t="s">
        <v>8926</v>
      </c>
      <c r="K1162" s="240" t="s">
        <v>9794</v>
      </c>
      <c r="L1162" s="240"/>
      <c r="M1162" s="240" t="s">
        <v>9226</v>
      </c>
      <c r="N1162" s="29"/>
      <c r="O1162" s="29"/>
      <c r="P1162" s="29"/>
      <c r="Q1162" s="29"/>
      <c r="R1162" s="29"/>
      <c r="S1162" s="29"/>
      <c r="T1162" s="29"/>
      <c r="U1162" s="29"/>
      <c r="V1162" s="29"/>
      <c r="W1162" s="29"/>
      <c r="X1162" s="29"/>
      <c r="Y1162" s="29"/>
      <c r="Z1162" s="29"/>
      <c r="AA1162" s="29"/>
      <c r="AB1162" s="29"/>
      <c r="AC1162" s="29"/>
      <c r="AD1162" s="29"/>
      <c r="AE1162" s="29"/>
      <c r="AF1162" s="29"/>
      <c r="AG1162" s="29"/>
    </row>
    <row r="1163">
      <c r="A1163" s="240" t="s">
        <v>2451</v>
      </c>
      <c r="B1163" s="240" t="s">
        <v>1187</v>
      </c>
      <c r="C1163" s="240"/>
      <c r="D1163" s="240"/>
      <c r="E1163" s="240" t="s">
        <v>668</v>
      </c>
      <c r="F1163" s="240" t="s">
        <v>669</v>
      </c>
      <c r="G1163" s="493">
        <v>46104.0</v>
      </c>
      <c r="H1163" s="638">
        <v>46150.0</v>
      </c>
      <c r="I1163" s="240">
        <f>IFERROR(__xludf.DUMMYFUNCTION("IF(ISBLANK(H1163), TODAY()-TO_DATE(G1163), TO_DATE(H1163)-TO_DATE(G1163))+1"),47.0)</f>
        <v>47</v>
      </c>
      <c r="J1163" s="240">
        <v>500.0</v>
      </c>
      <c r="K1163" s="240" t="s">
        <v>9796</v>
      </c>
      <c r="L1163" s="240"/>
      <c r="M1163" s="240" t="s">
        <v>9226</v>
      </c>
      <c r="N1163" s="493">
        <v>46101.0</v>
      </c>
      <c r="O1163" s="29"/>
      <c r="P1163" s="29"/>
      <c r="Q1163" s="29"/>
      <c r="R1163" s="29"/>
      <c r="S1163" s="29"/>
      <c r="T1163" s="29"/>
      <c r="U1163" s="29"/>
      <c r="V1163" s="29"/>
      <c r="W1163" s="29"/>
      <c r="X1163" s="29"/>
      <c r="Y1163" s="29"/>
      <c r="Z1163" s="29"/>
      <c r="AA1163" s="29"/>
      <c r="AB1163" s="29"/>
      <c r="AC1163" s="29"/>
      <c r="AD1163" s="29"/>
      <c r="AE1163" s="29"/>
      <c r="AF1163" s="29"/>
      <c r="AG1163" s="29"/>
    </row>
    <row r="1164">
      <c r="A1164" s="240" t="s">
        <v>2451</v>
      </c>
      <c r="B1164" s="240" t="s">
        <v>1187</v>
      </c>
      <c r="C1164" s="240"/>
      <c r="D1164" s="240"/>
      <c r="E1164" s="240" t="s">
        <v>285</v>
      </c>
      <c r="F1164" s="240" t="s">
        <v>286</v>
      </c>
      <c r="G1164" s="493">
        <v>46103.0</v>
      </c>
      <c r="H1164" s="638">
        <v>46150.0</v>
      </c>
      <c r="I1164" s="240">
        <f>IFERROR(__xludf.DUMMYFUNCTION("IF(ISBLANK(H1164), TODAY()-TO_DATE(G1164), TO_DATE(H1164)-TO_DATE(G1164))+1"),48.0)</f>
        <v>48</v>
      </c>
      <c r="J1164" s="240">
        <v>500.0</v>
      </c>
      <c r="K1164" s="240" t="s">
        <v>9798</v>
      </c>
      <c r="L1164" s="240"/>
      <c r="M1164" s="240" t="s">
        <v>9226</v>
      </c>
      <c r="N1164" s="29"/>
      <c r="O1164" s="29"/>
      <c r="P1164" s="29"/>
      <c r="Q1164" s="29"/>
      <c r="R1164" s="29"/>
      <c r="S1164" s="29"/>
      <c r="T1164" s="29"/>
      <c r="U1164" s="29"/>
      <c r="V1164" s="29"/>
      <c r="W1164" s="29"/>
      <c r="X1164" s="29"/>
      <c r="Y1164" s="29"/>
      <c r="Z1164" s="29"/>
      <c r="AA1164" s="29"/>
      <c r="AB1164" s="29"/>
      <c r="AC1164" s="29"/>
      <c r="AD1164" s="29"/>
      <c r="AE1164" s="29"/>
      <c r="AF1164" s="29"/>
      <c r="AG1164" s="29"/>
    </row>
    <row r="1165">
      <c r="A1165" s="240" t="s">
        <v>2451</v>
      </c>
      <c r="B1165" s="240" t="s">
        <v>1187</v>
      </c>
      <c r="C1165" s="240"/>
      <c r="D1165" s="240"/>
      <c r="E1165" s="240" t="s">
        <v>1604</v>
      </c>
      <c r="F1165" s="240" t="s">
        <v>1605</v>
      </c>
      <c r="G1165" s="493">
        <v>46103.0</v>
      </c>
      <c r="H1165" s="638">
        <v>46111.0</v>
      </c>
      <c r="I1165" s="240">
        <f>IFERROR(__xludf.DUMMYFUNCTION("IF(ISBLANK(H1165), TODAY()-TO_DATE(G1165), TO_DATE(H1165)-TO_DATE(G1165))+1"),9.0)</f>
        <v>9</v>
      </c>
      <c r="J1165" s="240">
        <v>300.0</v>
      </c>
      <c r="K1165" s="240" t="s">
        <v>9800</v>
      </c>
      <c r="L1165" s="240" t="s">
        <v>9801</v>
      </c>
      <c r="M1165" s="240" t="s">
        <v>9226</v>
      </c>
      <c r="N1165" s="29"/>
      <c r="O1165" s="29"/>
      <c r="P1165" s="29"/>
      <c r="Q1165" s="29"/>
      <c r="R1165" s="29"/>
      <c r="S1165" s="29"/>
      <c r="T1165" s="29"/>
      <c r="U1165" s="29"/>
      <c r="V1165" s="29"/>
      <c r="W1165" s="29"/>
      <c r="X1165" s="29"/>
      <c r="Y1165" s="29"/>
      <c r="Z1165" s="29"/>
      <c r="AA1165" s="29"/>
      <c r="AB1165" s="29"/>
      <c r="AC1165" s="29"/>
      <c r="AD1165" s="29"/>
      <c r="AE1165" s="29"/>
      <c r="AF1165" s="29"/>
      <c r="AG1165" s="29"/>
    </row>
    <row r="1166">
      <c r="A1166" s="240" t="s">
        <v>2451</v>
      </c>
      <c r="B1166" s="240" t="s">
        <v>1187</v>
      </c>
      <c r="C1166" s="240"/>
      <c r="D1166" s="240"/>
      <c r="E1166" s="240" t="s">
        <v>419</v>
      </c>
      <c r="F1166" s="240" t="s">
        <v>420</v>
      </c>
      <c r="G1166" s="493">
        <v>46103.0</v>
      </c>
      <c r="H1166" s="638">
        <v>46145.0</v>
      </c>
      <c r="I1166" s="240">
        <f>IFERROR(__xludf.DUMMYFUNCTION("IF(ISBLANK(H1166), TODAY()-TO_DATE(G1166), TO_DATE(H1166)-TO_DATE(G1166))+1"),43.0)</f>
        <v>43</v>
      </c>
      <c r="J1166" s="240">
        <v>500.0</v>
      </c>
      <c r="K1166" s="240" t="s">
        <v>7303</v>
      </c>
      <c r="L1166" s="240"/>
      <c r="M1166" s="240"/>
      <c r="N1166" s="29"/>
      <c r="O1166" s="29"/>
      <c r="P1166" s="29"/>
      <c r="Q1166" s="29"/>
      <c r="R1166" s="29"/>
      <c r="S1166" s="29"/>
      <c r="T1166" s="29"/>
      <c r="U1166" s="29"/>
      <c r="V1166" s="29"/>
      <c r="W1166" s="29"/>
      <c r="X1166" s="29"/>
      <c r="Y1166" s="29"/>
      <c r="Z1166" s="29"/>
      <c r="AA1166" s="29"/>
      <c r="AB1166" s="29"/>
      <c r="AC1166" s="29"/>
      <c r="AD1166" s="29"/>
      <c r="AE1166" s="29"/>
      <c r="AF1166" s="29"/>
      <c r="AG1166" s="29"/>
    </row>
    <row r="1167">
      <c r="A1167" s="240" t="s">
        <v>1473</v>
      </c>
      <c r="B1167" s="240" t="s">
        <v>1187</v>
      </c>
      <c r="C1167" s="240"/>
      <c r="D1167" s="240"/>
      <c r="E1167" s="240" t="s">
        <v>9412</v>
      </c>
      <c r="F1167" s="240" t="s">
        <v>9413</v>
      </c>
      <c r="G1167" s="493">
        <v>46103.0</v>
      </c>
      <c r="H1167" s="240" t="s">
        <v>9804</v>
      </c>
      <c r="I1167" s="240" t="str">
        <f>IFERROR(__xludf.DUMMYFUNCTION("IF(ISBLANK(H1167), TODAY()-TO_DATE(G1167), TO_DATE(H1167)-TO_DATE(G1167))+1"),"#VALUE!")</f>
        <v>#VALUE!</v>
      </c>
      <c r="J1167" s="240" t="s">
        <v>9805</v>
      </c>
      <c r="K1167" s="240" t="s">
        <v>9416</v>
      </c>
      <c r="L1167" s="240" t="s">
        <v>9806</v>
      </c>
      <c r="M1167" s="240"/>
      <c r="N1167" s="29"/>
      <c r="O1167" s="29"/>
      <c r="P1167" s="29"/>
      <c r="Q1167" s="29"/>
      <c r="R1167" s="29"/>
      <c r="S1167" s="29"/>
      <c r="T1167" s="29"/>
      <c r="U1167" s="29"/>
      <c r="V1167" s="29"/>
      <c r="W1167" s="29"/>
      <c r="X1167" s="29"/>
      <c r="Y1167" s="29"/>
      <c r="Z1167" s="29"/>
      <c r="AA1167" s="29"/>
      <c r="AB1167" s="29"/>
      <c r="AC1167" s="29"/>
      <c r="AD1167" s="29"/>
      <c r="AE1167" s="29"/>
      <c r="AF1167" s="29"/>
      <c r="AG1167" s="29"/>
    </row>
    <row r="1168">
      <c r="A1168" s="240"/>
      <c r="B1168" s="240" t="s">
        <v>1187</v>
      </c>
      <c r="C1168" s="240"/>
      <c r="D1168" s="240"/>
      <c r="E1168" s="240" t="s">
        <v>580</v>
      </c>
      <c r="F1168" s="240" t="s">
        <v>581</v>
      </c>
      <c r="G1168" s="493">
        <v>46103.0</v>
      </c>
      <c r="H1168" s="638">
        <v>46167.0</v>
      </c>
      <c r="I1168" s="240">
        <f>IFERROR(__xludf.DUMMYFUNCTION("IF(ISBLANK(H1168), TODAY()-TO_DATE(G1168), TO_DATE(H1168)-TO_DATE(G1168))+1"),65.0)</f>
        <v>65</v>
      </c>
      <c r="J1168" s="240">
        <v>500.0</v>
      </c>
      <c r="K1168" s="240" t="s">
        <v>9812</v>
      </c>
      <c r="L1168" s="240"/>
      <c r="M1168" s="240" t="s">
        <v>9226</v>
      </c>
      <c r="N1168" s="29"/>
      <c r="O1168" s="29"/>
      <c r="P1168" s="29"/>
      <c r="Q1168" s="29"/>
      <c r="R1168" s="29"/>
      <c r="S1168" s="29"/>
      <c r="T1168" s="29"/>
      <c r="U1168" s="29"/>
      <c r="V1168" s="29"/>
      <c r="W1168" s="29"/>
      <c r="X1168" s="29"/>
      <c r="Y1168" s="29"/>
      <c r="Z1168" s="29"/>
      <c r="AA1168" s="29"/>
      <c r="AB1168" s="29"/>
      <c r="AC1168" s="29"/>
      <c r="AD1168" s="29"/>
      <c r="AE1168" s="29"/>
      <c r="AF1168" s="29"/>
      <c r="AG1168" s="29"/>
    </row>
    <row r="1169">
      <c r="A1169" s="240"/>
      <c r="B1169" s="240" t="s">
        <v>1187</v>
      </c>
      <c r="C1169" s="240"/>
      <c r="D1169" s="240"/>
      <c r="E1169" s="240" t="s">
        <v>2649</v>
      </c>
      <c r="F1169" s="240" t="s">
        <v>2650</v>
      </c>
      <c r="G1169" s="493">
        <v>46103.0</v>
      </c>
      <c r="H1169" s="638">
        <v>46115.0</v>
      </c>
      <c r="I1169" s="240">
        <f>IFERROR(__xludf.DUMMYFUNCTION("IF(ISBLANK(H1169), TODAY()-TO_DATE(G1169), TO_DATE(H1169)-TO_DATE(G1169))+1"),13.0)</f>
        <v>13</v>
      </c>
      <c r="J1169" s="240" t="s">
        <v>197</v>
      </c>
      <c r="K1169" s="240" t="s">
        <v>9813</v>
      </c>
      <c r="L1169" s="240"/>
      <c r="M1169" s="240" t="s">
        <v>9226</v>
      </c>
      <c r="N1169" s="29"/>
      <c r="O1169" s="29"/>
      <c r="P1169" s="29"/>
      <c r="Q1169" s="29"/>
      <c r="R1169" s="29"/>
      <c r="S1169" s="29"/>
      <c r="T1169" s="29"/>
      <c r="U1169" s="29"/>
      <c r="V1169" s="29"/>
      <c r="W1169" s="29"/>
      <c r="X1169" s="29"/>
      <c r="Y1169" s="29"/>
      <c r="Z1169" s="29"/>
      <c r="AA1169" s="29"/>
      <c r="AB1169" s="29"/>
      <c r="AC1169" s="29"/>
      <c r="AD1169" s="29"/>
      <c r="AE1169" s="29"/>
      <c r="AF1169" s="29"/>
      <c r="AG1169" s="29"/>
    </row>
    <row r="1170">
      <c r="A1170" s="240" t="s">
        <v>150</v>
      </c>
      <c r="B1170" s="240" t="s">
        <v>1187</v>
      </c>
      <c r="C1170" s="240"/>
      <c r="D1170" s="240"/>
      <c r="E1170" s="240" t="s">
        <v>869</v>
      </c>
      <c r="F1170" s="240" t="s">
        <v>871</v>
      </c>
      <c r="G1170" s="493">
        <v>46105.0</v>
      </c>
      <c r="H1170" s="638">
        <v>46178.0</v>
      </c>
      <c r="I1170" s="240">
        <f>IFERROR(__xludf.DUMMYFUNCTION("IF(ISBLANK(H1170), TODAY()-TO_DATE(G1170), TO_DATE(H1170)-TO_DATE(G1170))+1"),74.0)</f>
        <v>74</v>
      </c>
      <c r="J1170" s="240">
        <v>500.0</v>
      </c>
      <c r="K1170" s="240" t="s">
        <v>9821</v>
      </c>
      <c r="L1170" s="240" t="s">
        <v>9822</v>
      </c>
      <c r="M1170" s="240" t="s">
        <v>9226</v>
      </c>
      <c r="N1170" s="29"/>
      <c r="O1170" s="29"/>
      <c r="P1170" s="29"/>
      <c r="Q1170" s="29"/>
      <c r="R1170" s="29"/>
      <c r="S1170" s="29"/>
      <c r="T1170" s="29"/>
      <c r="U1170" s="29"/>
      <c r="V1170" s="29"/>
      <c r="W1170" s="29"/>
      <c r="X1170" s="29"/>
      <c r="Y1170" s="29"/>
      <c r="Z1170" s="29"/>
      <c r="AA1170" s="29"/>
      <c r="AB1170" s="29"/>
      <c r="AC1170" s="29"/>
      <c r="AD1170" s="29"/>
      <c r="AE1170" s="29"/>
      <c r="AF1170" s="29"/>
      <c r="AG1170" s="29"/>
    </row>
    <row r="1171">
      <c r="A1171" s="240" t="s">
        <v>1032</v>
      </c>
      <c r="B1171" s="240" t="s">
        <v>1187</v>
      </c>
      <c r="C1171" s="240"/>
      <c r="D1171" s="240"/>
      <c r="E1171" s="240" t="s">
        <v>1171</v>
      </c>
      <c r="F1171" s="240" t="s">
        <v>1172</v>
      </c>
      <c r="G1171" s="493">
        <v>46105.0</v>
      </c>
      <c r="H1171" s="638">
        <v>46169.0</v>
      </c>
      <c r="I1171" s="240">
        <f>IFERROR(__xludf.DUMMYFUNCTION("IF(ISBLANK(H1171), TODAY()-TO_DATE(G1171), TO_DATE(H1171)-TO_DATE(G1171))+1"),65.0)</f>
        <v>65</v>
      </c>
      <c r="J1171" s="240" t="s">
        <v>197</v>
      </c>
      <c r="K1171" s="240" t="s">
        <v>9823</v>
      </c>
      <c r="L1171" s="240"/>
      <c r="M1171" s="240" t="s">
        <v>9226</v>
      </c>
      <c r="N1171" s="29"/>
      <c r="O1171" s="29"/>
      <c r="P1171" s="29"/>
      <c r="Q1171" s="29"/>
      <c r="R1171" s="29"/>
      <c r="S1171" s="29"/>
      <c r="T1171" s="29"/>
      <c r="U1171" s="29"/>
      <c r="V1171" s="29"/>
      <c r="W1171" s="29"/>
      <c r="X1171" s="29"/>
      <c r="Y1171" s="29"/>
      <c r="Z1171" s="29"/>
      <c r="AA1171" s="29"/>
      <c r="AB1171" s="29"/>
      <c r="AC1171" s="29"/>
      <c r="AD1171" s="29"/>
      <c r="AE1171" s="29"/>
      <c r="AF1171" s="29"/>
      <c r="AG1171" s="29"/>
    </row>
    <row r="1172">
      <c r="A1172" s="240" t="s">
        <v>1032</v>
      </c>
      <c r="B1172" s="240" t="s">
        <v>1187</v>
      </c>
      <c r="C1172" s="240"/>
      <c r="D1172" s="240"/>
      <c r="E1172" s="240" t="s">
        <v>2491</v>
      </c>
      <c r="F1172" s="240" t="s">
        <v>654</v>
      </c>
      <c r="G1172" s="493">
        <v>46105.0</v>
      </c>
      <c r="H1172" s="638">
        <v>46130.0</v>
      </c>
      <c r="I1172" s="240">
        <f>IFERROR(__xludf.DUMMYFUNCTION("IF(ISBLANK(H1172), TODAY()-TO_DATE(G1172), TO_DATE(H1172)-TO_DATE(G1172))+1"),26.0)</f>
        <v>26</v>
      </c>
      <c r="J1172" s="240">
        <v>500.0</v>
      </c>
      <c r="K1172" s="240" t="s">
        <v>9824</v>
      </c>
      <c r="L1172" s="240" t="s">
        <v>9825</v>
      </c>
      <c r="M1172" s="240" t="s">
        <v>9226</v>
      </c>
      <c r="N1172" s="29"/>
      <c r="O1172" s="29"/>
      <c r="P1172" s="29"/>
      <c r="Q1172" s="29"/>
      <c r="R1172" s="29"/>
      <c r="S1172" s="29"/>
      <c r="T1172" s="29"/>
      <c r="U1172" s="29"/>
      <c r="V1172" s="29"/>
      <c r="W1172" s="29"/>
      <c r="X1172" s="29"/>
      <c r="Y1172" s="29"/>
      <c r="Z1172" s="29"/>
      <c r="AA1172" s="29"/>
      <c r="AB1172" s="29"/>
      <c r="AC1172" s="29"/>
      <c r="AD1172" s="29"/>
      <c r="AE1172" s="29"/>
      <c r="AF1172" s="29"/>
      <c r="AG1172" s="29"/>
    </row>
    <row r="1173">
      <c r="A1173" s="240" t="s">
        <v>9826</v>
      </c>
      <c r="B1173" s="240" t="s">
        <v>1187</v>
      </c>
      <c r="C1173" s="240"/>
      <c r="D1173" s="240"/>
      <c r="E1173" s="240" t="s">
        <v>1302</v>
      </c>
      <c r="F1173" s="240" t="s">
        <v>1303</v>
      </c>
      <c r="G1173" s="493">
        <v>46105.0</v>
      </c>
      <c r="H1173" s="638">
        <v>46181.0</v>
      </c>
      <c r="I1173" s="240">
        <f>IFERROR(__xludf.DUMMYFUNCTION("IF(ISBLANK(H1173), TODAY()-TO_DATE(G1173), TO_DATE(H1173)-TO_DATE(G1173))+1"),77.0)</f>
        <v>77</v>
      </c>
      <c r="J1173" s="240">
        <v>500.0</v>
      </c>
      <c r="K1173" s="240" t="s">
        <v>9830</v>
      </c>
      <c r="L1173" s="240"/>
      <c r="M1173" s="240" t="s">
        <v>9226</v>
      </c>
      <c r="N1173" s="29"/>
      <c r="O1173" s="29"/>
      <c r="P1173" s="29"/>
      <c r="Q1173" s="29"/>
      <c r="R1173" s="29"/>
      <c r="S1173" s="29"/>
      <c r="T1173" s="29"/>
      <c r="U1173" s="29"/>
      <c r="V1173" s="29"/>
      <c r="W1173" s="29"/>
      <c r="X1173" s="29"/>
      <c r="Y1173" s="29"/>
      <c r="Z1173" s="29"/>
      <c r="AA1173" s="29"/>
      <c r="AB1173" s="29"/>
      <c r="AC1173" s="29"/>
      <c r="AD1173" s="29"/>
      <c r="AE1173" s="29"/>
      <c r="AF1173" s="29"/>
      <c r="AG1173" s="29"/>
    </row>
    <row r="1174">
      <c r="A1174" s="240" t="s">
        <v>2451</v>
      </c>
      <c r="B1174" s="240" t="s">
        <v>1187</v>
      </c>
      <c r="C1174" s="240"/>
      <c r="D1174" s="240"/>
      <c r="E1174" s="240" t="s">
        <v>554</v>
      </c>
      <c r="F1174" s="240" t="s">
        <v>555</v>
      </c>
      <c r="G1174" s="493">
        <v>46107.0</v>
      </c>
      <c r="H1174" s="638">
        <v>46127.0</v>
      </c>
      <c r="I1174" s="240">
        <f>IFERROR(__xludf.DUMMYFUNCTION("IF(ISBLANK(H1174), TODAY()-TO_DATE(G1174), TO_DATE(H1174)-TO_DATE(G1174))+1"),21.0)</f>
        <v>21</v>
      </c>
      <c r="J1174" s="240" t="s">
        <v>197</v>
      </c>
      <c r="K1174" s="240" t="s">
        <v>9832</v>
      </c>
      <c r="L1174" s="240"/>
      <c r="M1174" s="240" t="s">
        <v>9226</v>
      </c>
      <c r="N1174" s="29"/>
      <c r="O1174" s="29"/>
      <c r="P1174" s="29"/>
      <c r="Q1174" s="29"/>
      <c r="R1174" s="29"/>
      <c r="S1174" s="29"/>
      <c r="T1174" s="29"/>
      <c r="U1174" s="29"/>
      <c r="V1174" s="29"/>
      <c r="W1174" s="29"/>
      <c r="X1174" s="29"/>
      <c r="Y1174" s="29"/>
      <c r="Z1174" s="29"/>
      <c r="AA1174" s="29"/>
      <c r="AB1174" s="29"/>
      <c r="AC1174" s="29"/>
      <c r="AD1174" s="29"/>
      <c r="AE1174" s="29"/>
      <c r="AF1174" s="29"/>
      <c r="AG1174" s="29"/>
    </row>
    <row r="1175">
      <c r="A1175" s="240" t="s">
        <v>2451</v>
      </c>
      <c r="B1175" s="240" t="s">
        <v>1187</v>
      </c>
      <c r="C1175" s="240"/>
      <c r="D1175" s="240"/>
      <c r="E1175" s="240" t="s">
        <v>534</v>
      </c>
      <c r="F1175" s="240" t="s">
        <v>535</v>
      </c>
      <c r="G1175" s="493">
        <v>46107.0</v>
      </c>
      <c r="H1175" s="638">
        <v>46122.0</v>
      </c>
      <c r="I1175" s="240">
        <f>IFERROR(__xludf.DUMMYFUNCTION("IF(ISBLANK(H1175), TODAY()-TO_DATE(G1175), TO_DATE(H1175)-TO_DATE(G1175))+1"),16.0)</f>
        <v>16</v>
      </c>
      <c r="J1175" s="240" t="s">
        <v>197</v>
      </c>
      <c r="K1175" s="240" t="s">
        <v>9833</v>
      </c>
      <c r="L1175" s="609" t="s">
        <v>9834</v>
      </c>
      <c r="M1175" s="240" t="s">
        <v>9226</v>
      </c>
      <c r="N1175" s="29"/>
      <c r="O1175" s="29"/>
      <c r="P1175" s="29"/>
      <c r="Q1175" s="29"/>
      <c r="R1175" s="29"/>
      <c r="S1175" s="29"/>
      <c r="T1175" s="29"/>
      <c r="U1175" s="29"/>
      <c r="V1175" s="29"/>
      <c r="W1175" s="29"/>
      <c r="X1175" s="29"/>
      <c r="Y1175" s="29"/>
      <c r="Z1175" s="29"/>
      <c r="AA1175" s="29"/>
      <c r="AB1175" s="29"/>
      <c r="AC1175" s="29"/>
      <c r="AD1175" s="29"/>
      <c r="AE1175" s="29"/>
      <c r="AF1175" s="29"/>
      <c r="AG1175" s="29"/>
    </row>
    <row r="1176">
      <c r="A1176" s="240" t="s">
        <v>1032</v>
      </c>
      <c r="B1176" s="240" t="s">
        <v>1187</v>
      </c>
      <c r="C1176" s="240"/>
      <c r="D1176" s="240"/>
      <c r="E1176" s="935" t="s">
        <v>1147</v>
      </c>
      <c r="F1176" s="240" t="s">
        <v>1148</v>
      </c>
      <c r="G1176" s="493">
        <v>46107.0</v>
      </c>
      <c r="H1176" s="638">
        <v>46115.0</v>
      </c>
      <c r="I1176" s="240">
        <f>IFERROR(__xludf.DUMMYFUNCTION("IF(ISBLANK(H1176), TODAY()-TO_DATE(G1176), TO_DATE(H1176)-TO_DATE(G1176))+1"),9.0)</f>
        <v>9</v>
      </c>
      <c r="J1176" s="240">
        <v>300.0</v>
      </c>
      <c r="K1176" s="240" t="s">
        <v>9836</v>
      </c>
      <c r="L1176" s="240" t="s">
        <v>9837</v>
      </c>
      <c r="M1176" s="240"/>
      <c r="N1176" s="29"/>
      <c r="O1176" s="29"/>
      <c r="P1176" s="29"/>
      <c r="Q1176" s="29"/>
      <c r="R1176" s="29"/>
      <c r="S1176" s="29"/>
      <c r="T1176" s="29"/>
      <c r="U1176" s="29"/>
      <c r="V1176" s="29"/>
      <c r="W1176" s="29"/>
      <c r="X1176" s="29"/>
      <c r="Y1176" s="29"/>
      <c r="Z1176" s="29"/>
      <c r="AA1176" s="29"/>
      <c r="AB1176" s="29"/>
      <c r="AC1176" s="29"/>
      <c r="AD1176" s="29"/>
      <c r="AE1176" s="29"/>
      <c r="AF1176" s="29"/>
      <c r="AG1176" s="29"/>
    </row>
    <row r="1177">
      <c r="A1177" s="240" t="s">
        <v>2451</v>
      </c>
      <c r="B1177" s="240" t="s">
        <v>1187</v>
      </c>
      <c r="C1177" s="240"/>
      <c r="D1177" s="240"/>
      <c r="E1177" s="240" t="s">
        <v>9838</v>
      </c>
      <c r="F1177" s="240" t="s">
        <v>9840</v>
      </c>
      <c r="G1177" s="493">
        <v>46107.0</v>
      </c>
      <c r="H1177" s="638">
        <v>46111.0</v>
      </c>
      <c r="I1177" s="240">
        <f>IFERROR(__xludf.DUMMYFUNCTION("IF(ISBLANK(H1177), TODAY()-TO_DATE(G1177), TO_DATE(H1177)-TO_DATE(G1177))+1"),5.0)</f>
        <v>5</v>
      </c>
      <c r="J1177" s="240">
        <v>300.0</v>
      </c>
      <c r="K1177" s="240" t="s">
        <v>9841</v>
      </c>
      <c r="L1177" s="240"/>
      <c r="M1177" s="240" t="s">
        <v>9226</v>
      </c>
      <c r="N1177" s="29"/>
      <c r="O1177" s="29"/>
      <c r="P1177" s="29"/>
      <c r="Q1177" s="29"/>
      <c r="R1177" s="29"/>
      <c r="S1177" s="29"/>
      <c r="T1177" s="29"/>
      <c r="U1177" s="29"/>
      <c r="V1177" s="29"/>
      <c r="W1177" s="29"/>
      <c r="X1177" s="29"/>
      <c r="Y1177" s="29"/>
      <c r="Z1177" s="29"/>
      <c r="AA1177" s="29"/>
      <c r="AB1177" s="29"/>
      <c r="AC1177" s="29"/>
      <c r="AD1177" s="29"/>
      <c r="AE1177" s="29"/>
      <c r="AF1177" s="29"/>
      <c r="AG1177" s="29"/>
    </row>
    <row r="1178">
      <c r="A1178" s="240" t="s">
        <v>150</v>
      </c>
      <c r="B1178" s="240" t="s">
        <v>1187</v>
      </c>
      <c r="C1178" s="240"/>
      <c r="D1178" s="240"/>
      <c r="E1178" s="240" t="s">
        <v>834</v>
      </c>
      <c r="F1178" s="240" t="s">
        <v>835</v>
      </c>
      <c r="G1178" s="493">
        <v>46107.0</v>
      </c>
      <c r="H1178" s="638">
        <v>46111.0</v>
      </c>
      <c r="I1178" s="240">
        <f>IFERROR(__xludf.DUMMYFUNCTION("IF(ISBLANK(H1178), TODAY()-TO_DATE(G1178), TO_DATE(H1178)-TO_DATE(G1178))+1"),5.0)</f>
        <v>5</v>
      </c>
      <c r="J1178" s="240">
        <v>300.0</v>
      </c>
      <c r="K1178" s="240" t="s">
        <v>9843</v>
      </c>
      <c r="L1178" s="240" t="s">
        <v>9844</v>
      </c>
      <c r="M1178" s="240" t="s">
        <v>9226</v>
      </c>
      <c r="N1178" s="29"/>
      <c r="O1178" s="29"/>
      <c r="P1178" s="29"/>
      <c r="Q1178" s="29"/>
      <c r="R1178" s="29"/>
      <c r="S1178" s="29"/>
      <c r="T1178" s="29"/>
      <c r="U1178" s="29"/>
      <c r="V1178" s="29"/>
      <c r="W1178" s="29"/>
      <c r="X1178" s="29"/>
      <c r="Y1178" s="29"/>
      <c r="Z1178" s="29"/>
      <c r="AA1178" s="29"/>
      <c r="AB1178" s="29"/>
      <c r="AC1178" s="29"/>
      <c r="AD1178" s="29"/>
      <c r="AE1178" s="29"/>
      <c r="AF1178" s="29"/>
      <c r="AG1178" s="29"/>
    </row>
    <row r="1179">
      <c r="A1179" s="240" t="s">
        <v>150</v>
      </c>
      <c r="B1179" s="240" t="s">
        <v>1187</v>
      </c>
      <c r="C1179" s="240"/>
      <c r="D1179" s="240"/>
      <c r="E1179" s="240" t="s">
        <v>857</v>
      </c>
      <c r="F1179" s="240" t="s">
        <v>858</v>
      </c>
      <c r="G1179" s="493">
        <v>46107.0</v>
      </c>
      <c r="H1179" s="638">
        <v>46111.0</v>
      </c>
      <c r="I1179" s="240">
        <f>IFERROR(__xludf.DUMMYFUNCTION("IF(ISBLANK(H1179), TODAY()-TO_DATE(G1179), TO_DATE(H1179)-TO_DATE(G1179))+1"),5.0)</f>
        <v>5</v>
      </c>
      <c r="J1179" s="240">
        <v>300.0</v>
      </c>
      <c r="K1179" s="240" t="s">
        <v>9848</v>
      </c>
      <c r="L1179" s="240"/>
      <c r="M1179" s="240" t="s">
        <v>9226</v>
      </c>
      <c r="N1179" s="29"/>
      <c r="O1179" s="29"/>
      <c r="P1179" s="29"/>
      <c r="Q1179" s="29"/>
      <c r="R1179" s="29"/>
      <c r="S1179" s="29"/>
      <c r="T1179" s="29"/>
      <c r="U1179" s="29"/>
      <c r="V1179" s="29"/>
      <c r="W1179" s="29"/>
      <c r="X1179" s="29"/>
      <c r="Y1179" s="29"/>
      <c r="Z1179" s="29"/>
      <c r="AA1179" s="29"/>
      <c r="AB1179" s="29"/>
      <c r="AC1179" s="29"/>
      <c r="AD1179" s="29"/>
      <c r="AE1179" s="29"/>
      <c r="AF1179" s="29"/>
      <c r="AG1179" s="29"/>
    </row>
    <row r="1180">
      <c r="A1180" s="240" t="s">
        <v>2451</v>
      </c>
      <c r="B1180" s="240" t="s">
        <v>1187</v>
      </c>
      <c r="C1180" s="240"/>
      <c r="D1180" s="240"/>
      <c r="E1180" s="240" t="s">
        <v>544</v>
      </c>
      <c r="F1180" s="240" t="s">
        <v>545</v>
      </c>
      <c r="G1180" s="493">
        <v>46107.0</v>
      </c>
      <c r="H1180" s="638">
        <v>46194.0</v>
      </c>
      <c r="I1180" s="240">
        <f>IFERROR(__xludf.DUMMYFUNCTION("IF(ISBLANK(H1180), TODAY()-TO_DATE(G1180), TO_DATE(H1180)-TO_DATE(G1180))+1"),88.0)</f>
        <v>88</v>
      </c>
      <c r="J1180" s="240">
        <v>500.0</v>
      </c>
      <c r="K1180" s="240" t="s">
        <v>9849</v>
      </c>
      <c r="L1180" s="240"/>
      <c r="M1180" s="240" t="s">
        <v>9226</v>
      </c>
      <c r="N1180" s="29"/>
      <c r="O1180" s="29"/>
      <c r="P1180" s="29"/>
      <c r="Q1180" s="29"/>
      <c r="R1180" s="29"/>
      <c r="S1180" s="29"/>
      <c r="T1180" s="29"/>
      <c r="U1180" s="29"/>
      <c r="V1180" s="29"/>
      <c r="W1180" s="29"/>
      <c r="X1180" s="29"/>
      <c r="Y1180" s="29"/>
      <c r="Z1180" s="29"/>
      <c r="AA1180" s="29"/>
      <c r="AB1180" s="29"/>
      <c r="AC1180" s="29"/>
      <c r="AD1180" s="29"/>
      <c r="AE1180" s="29"/>
      <c r="AF1180" s="29"/>
      <c r="AG1180" s="29"/>
    </row>
    <row r="1181">
      <c r="A1181" s="240" t="s">
        <v>1032</v>
      </c>
      <c r="B1181" s="240" t="s">
        <v>1187</v>
      </c>
      <c r="C1181" s="240"/>
      <c r="D1181" s="240"/>
      <c r="E1181" s="240" t="s">
        <v>1268</v>
      </c>
      <c r="F1181" s="240" t="s">
        <v>284</v>
      </c>
      <c r="G1181" s="493">
        <v>46107.0</v>
      </c>
      <c r="H1181" s="638">
        <v>46111.0</v>
      </c>
      <c r="I1181" s="240">
        <f>IFERROR(__xludf.DUMMYFUNCTION("IF(ISBLANK(H1181), TODAY()-TO_DATE(G1181), TO_DATE(H1181)-TO_DATE(G1181))+1"),5.0)</f>
        <v>5</v>
      </c>
      <c r="J1181" s="240">
        <v>300.0</v>
      </c>
      <c r="K1181" s="240" t="s">
        <v>9853</v>
      </c>
      <c r="L1181" s="240" t="s">
        <v>9854</v>
      </c>
      <c r="M1181" s="240" t="s">
        <v>9226</v>
      </c>
      <c r="N1181" s="29"/>
      <c r="O1181" s="29"/>
      <c r="P1181" s="29"/>
      <c r="Q1181" s="29"/>
      <c r="R1181" s="29"/>
      <c r="S1181" s="29"/>
      <c r="T1181" s="29"/>
      <c r="U1181" s="29"/>
      <c r="V1181" s="29"/>
      <c r="W1181" s="29"/>
      <c r="X1181" s="29"/>
      <c r="Y1181" s="29"/>
      <c r="Z1181" s="29"/>
      <c r="AA1181" s="29"/>
      <c r="AB1181" s="29"/>
      <c r="AC1181" s="29"/>
      <c r="AD1181" s="29"/>
      <c r="AE1181" s="29"/>
      <c r="AF1181" s="29"/>
      <c r="AG1181" s="29"/>
    </row>
    <row r="1182">
      <c r="A1182" s="240" t="s">
        <v>2451</v>
      </c>
      <c r="B1182" s="240" t="s">
        <v>1187</v>
      </c>
      <c r="C1182" s="240"/>
      <c r="D1182" s="240"/>
      <c r="E1182" s="240" t="s">
        <v>619</v>
      </c>
      <c r="F1182" s="240" t="s">
        <v>620</v>
      </c>
      <c r="G1182" s="493">
        <v>46112.0</v>
      </c>
      <c r="H1182" s="638">
        <v>46150.0</v>
      </c>
      <c r="I1182" s="240">
        <f>IFERROR(__xludf.DUMMYFUNCTION("IF(ISBLANK(H1182), TODAY()-TO_DATE(G1182), TO_DATE(H1182)-TO_DATE(G1182))+1"),39.0)</f>
        <v>39</v>
      </c>
      <c r="J1182" s="240">
        <v>500.0</v>
      </c>
      <c r="K1182" s="240" t="s">
        <v>9855</v>
      </c>
      <c r="L1182" s="240"/>
      <c r="M1182" s="240" t="s">
        <v>9226</v>
      </c>
      <c r="N1182" s="29"/>
      <c r="O1182" s="29"/>
      <c r="P1182" s="29"/>
      <c r="Q1182" s="29"/>
      <c r="R1182" s="29"/>
      <c r="S1182" s="29"/>
      <c r="T1182" s="29"/>
      <c r="U1182" s="29"/>
      <c r="V1182" s="29"/>
      <c r="W1182" s="29"/>
      <c r="X1182" s="29"/>
      <c r="Y1182" s="29"/>
      <c r="Z1182" s="29"/>
      <c r="AA1182" s="29"/>
      <c r="AB1182" s="29"/>
      <c r="AC1182" s="29"/>
      <c r="AD1182" s="29"/>
      <c r="AE1182" s="29"/>
      <c r="AF1182" s="29"/>
      <c r="AG1182" s="29"/>
    </row>
    <row r="1183">
      <c r="A1183" s="240" t="s">
        <v>2451</v>
      </c>
      <c r="B1183" s="240" t="s">
        <v>1187</v>
      </c>
      <c r="C1183" s="240"/>
      <c r="D1183" s="240"/>
      <c r="E1183" s="240" t="s">
        <v>1812</v>
      </c>
      <c r="F1183" s="240" t="s">
        <v>1813</v>
      </c>
      <c r="G1183" s="493">
        <v>46112.0</v>
      </c>
      <c r="H1183" s="638">
        <v>46161.0</v>
      </c>
      <c r="I1183" s="240">
        <f>IFERROR(__xludf.DUMMYFUNCTION("IF(ISBLANK(H1183), TODAY()-TO_DATE(G1183), TO_DATE(H1183)-TO_DATE(G1183))+1"),50.0)</f>
        <v>50</v>
      </c>
      <c r="J1183" s="240">
        <v>500.0</v>
      </c>
      <c r="K1183" s="240" t="s">
        <v>9860</v>
      </c>
      <c r="L1183" s="240" t="s">
        <v>9861</v>
      </c>
      <c r="M1183" s="240" t="s">
        <v>9226</v>
      </c>
      <c r="N1183" s="29"/>
      <c r="O1183" s="29"/>
      <c r="P1183" s="29"/>
      <c r="Q1183" s="29"/>
      <c r="R1183" s="29"/>
      <c r="S1183" s="29"/>
      <c r="T1183" s="29"/>
      <c r="U1183" s="29"/>
      <c r="V1183" s="29"/>
      <c r="W1183" s="29"/>
      <c r="X1183" s="29"/>
      <c r="Y1183" s="29"/>
      <c r="Z1183" s="29"/>
      <c r="AA1183" s="29"/>
      <c r="AB1183" s="29"/>
      <c r="AC1183" s="29"/>
      <c r="AD1183" s="29"/>
      <c r="AE1183" s="29"/>
      <c r="AF1183" s="29"/>
      <c r="AG1183" s="29"/>
    </row>
    <row r="1184">
      <c r="A1184" s="240" t="s">
        <v>2451</v>
      </c>
      <c r="B1184" s="240" t="s">
        <v>1187</v>
      </c>
      <c r="C1184" s="240"/>
      <c r="D1184" s="240"/>
      <c r="E1184" s="540" t="s">
        <v>2455</v>
      </c>
      <c r="F1184" s="240" t="s">
        <v>2456</v>
      </c>
      <c r="G1184" s="493">
        <v>46112.0</v>
      </c>
      <c r="H1184" s="638">
        <v>46125.0</v>
      </c>
      <c r="I1184" s="240">
        <f>IFERROR(__xludf.DUMMYFUNCTION("IF(ISBLANK(H1184), TODAY()-TO_DATE(G1184), TO_DATE(H1184)-TO_DATE(G1184))+1"),14.0)</f>
        <v>14</v>
      </c>
      <c r="J1184" s="240">
        <v>500.0</v>
      </c>
      <c r="K1184" s="240" t="s">
        <v>9865</v>
      </c>
      <c r="L1184" s="240" t="s">
        <v>9866</v>
      </c>
      <c r="M1184" s="240" t="s">
        <v>9226</v>
      </c>
      <c r="N1184" s="29"/>
      <c r="O1184" s="29"/>
      <c r="P1184" s="29"/>
      <c r="Q1184" s="29"/>
      <c r="R1184" s="29"/>
      <c r="S1184" s="29"/>
      <c r="T1184" s="29"/>
      <c r="U1184" s="29"/>
      <c r="V1184" s="29"/>
      <c r="W1184" s="29"/>
      <c r="X1184" s="29"/>
      <c r="Y1184" s="29"/>
      <c r="Z1184" s="29"/>
      <c r="AA1184" s="29"/>
      <c r="AB1184" s="29"/>
      <c r="AC1184" s="29"/>
      <c r="AD1184" s="29"/>
      <c r="AE1184" s="29"/>
      <c r="AF1184" s="29"/>
      <c r="AG1184" s="29"/>
    </row>
    <row r="1185">
      <c r="A1185" s="240" t="s">
        <v>2451</v>
      </c>
      <c r="B1185" s="240" t="s">
        <v>1187</v>
      </c>
      <c r="C1185" s="240"/>
      <c r="D1185" s="240"/>
      <c r="E1185" s="240" t="s">
        <v>328</v>
      </c>
      <c r="F1185" s="240" t="s">
        <v>329</v>
      </c>
      <c r="G1185" s="493">
        <v>46112.0</v>
      </c>
      <c r="H1185" s="638">
        <v>46147.0</v>
      </c>
      <c r="I1185" s="240">
        <f>IFERROR(__xludf.DUMMYFUNCTION("IF(ISBLANK(H1185), TODAY()-TO_DATE(G1185), TO_DATE(H1185)-TO_DATE(G1185))+1"),36.0)</f>
        <v>36</v>
      </c>
      <c r="J1185" s="240">
        <v>500.0</v>
      </c>
      <c r="K1185" s="240" t="s">
        <v>9870</v>
      </c>
      <c r="L1185" s="240" t="s">
        <v>9871</v>
      </c>
      <c r="M1185" s="240" t="s">
        <v>9226</v>
      </c>
      <c r="N1185" s="29"/>
      <c r="O1185" s="29"/>
      <c r="P1185" s="29"/>
      <c r="Q1185" s="29"/>
      <c r="R1185" s="29"/>
      <c r="S1185" s="29"/>
      <c r="T1185" s="29"/>
      <c r="U1185" s="29"/>
      <c r="V1185" s="29"/>
      <c r="W1185" s="29"/>
      <c r="X1185" s="29"/>
      <c r="Y1185" s="29"/>
      <c r="Z1185" s="29"/>
      <c r="AA1185" s="29"/>
      <c r="AB1185" s="29"/>
      <c r="AC1185" s="29"/>
      <c r="AD1185" s="29"/>
      <c r="AE1185" s="29"/>
      <c r="AF1185" s="29"/>
      <c r="AG1185" s="29"/>
    </row>
    <row r="1186">
      <c r="A1186" s="240" t="s">
        <v>150</v>
      </c>
      <c r="B1186" s="240" t="s">
        <v>1187</v>
      </c>
      <c r="C1186" s="240"/>
      <c r="D1186" s="240"/>
      <c r="E1186" s="240" t="s">
        <v>843</v>
      </c>
      <c r="F1186" s="240" t="s">
        <v>844</v>
      </c>
      <c r="G1186" s="493">
        <v>46112.0</v>
      </c>
      <c r="H1186" s="638">
        <v>46156.0</v>
      </c>
      <c r="I1186" s="240">
        <f>IFERROR(__xludf.DUMMYFUNCTION("IF(ISBLANK(H1186), TODAY()-TO_DATE(G1186), TO_DATE(H1186)-TO_DATE(G1186))+1"),45.0)</f>
        <v>45</v>
      </c>
      <c r="J1186" s="240">
        <v>500.0</v>
      </c>
      <c r="K1186" s="240" t="s">
        <v>9874</v>
      </c>
      <c r="L1186" s="240"/>
      <c r="M1186" s="240" t="s">
        <v>9226</v>
      </c>
      <c r="N1186" s="29"/>
      <c r="O1186" s="29"/>
      <c r="P1186" s="29"/>
      <c r="Q1186" s="29"/>
      <c r="R1186" s="29"/>
      <c r="S1186" s="29"/>
      <c r="T1186" s="29"/>
      <c r="U1186" s="29"/>
      <c r="V1186" s="29"/>
      <c r="W1186" s="29"/>
      <c r="X1186" s="29"/>
      <c r="Y1186" s="29"/>
      <c r="Z1186" s="29"/>
      <c r="AA1186" s="29"/>
      <c r="AB1186" s="29"/>
      <c r="AC1186" s="29"/>
      <c r="AD1186" s="29"/>
      <c r="AE1186" s="29"/>
      <c r="AF1186" s="29"/>
      <c r="AG1186" s="29"/>
    </row>
    <row r="1187">
      <c r="A1187" s="240" t="s">
        <v>1032</v>
      </c>
      <c r="B1187" s="240" t="s">
        <v>1187</v>
      </c>
      <c r="C1187" s="240"/>
      <c r="D1187" s="240"/>
      <c r="E1187" s="240" t="s">
        <v>1260</v>
      </c>
      <c r="F1187" s="240" t="s">
        <v>1262</v>
      </c>
      <c r="G1187" s="493">
        <v>46112.0</v>
      </c>
      <c r="H1187" s="638">
        <v>46172.0</v>
      </c>
      <c r="I1187" s="240">
        <f>IFERROR(__xludf.DUMMYFUNCTION("IF(ISBLANK(H1187), TODAY()-TO_DATE(G1187), TO_DATE(H1187)-TO_DATE(G1187))+1"),61.0)</f>
        <v>61</v>
      </c>
      <c r="J1187" s="240">
        <v>500.0</v>
      </c>
      <c r="K1187" s="240" t="s">
        <v>9740</v>
      </c>
      <c r="L1187" s="240" t="s">
        <v>9877</v>
      </c>
      <c r="M1187" s="240" t="s">
        <v>9226</v>
      </c>
      <c r="N1187" s="29"/>
      <c r="O1187" s="29"/>
      <c r="P1187" s="29"/>
      <c r="Q1187" s="29"/>
      <c r="R1187" s="29"/>
      <c r="S1187" s="29"/>
      <c r="T1187" s="29"/>
      <c r="U1187" s="29"/>
      <c r="V1187" s="29"/>
      <c r="W1187" s="29"/>
      <c r="X1187" s="29"/>
      <c r="Y1187" s="29"/>
      <c r="Z1187" s="29"/>
      <c r="AA1187" s="29"/>
      <c r="AB1187" s="29"/>
      <c r="AC1187" s="29"/>
      <c r="AD1187" s="29"/>
      <c r="AE1187" s="29"/>
      <c r="AF1187" s="29"/>
      <c r="AG1187" s="29"/>
    </row>
    <row r="1188">
      <c r="A1188" s="240" t="s">
        <v>1032</v>
      </c>
      <c r="B1188" s="240" t="s">
        <v>1187</v>
      </c>
      <c r="C1188" s="240"/>
      <c r="D1188" s="240"/>
      <c r="E1188" s="240" t="s">
        <v>9880</v>
      </c>
      <c r="F1188" s="240" t="s">
        <v>9158</v>
      </c>
      <c r="G1188" s="493">
        <v>46112.0</v>
      </c>
      <c r="H1188" s="638">
        <v>46112.0</v>
      </c>
      <c r="I1188" s="240">
        <f>IFERROR(__xludf.DUMMYFUNCTION("IF(ISBLANK(H1188), TODAY()-TO_DATE(G1188), TO_DATE(H1188)-TO_DATE(G1188))+1"),1.0)</f>
        <v>1</v>
      </c>
      <c r="J1188" s="240" t="s">
        <v>8926</v>
      </c>
      <c r="K1188" s="240" t="s">
        <v>9882</v>
      </c>
      <c r="L1188" s="240" t="s">
        <v>9884</v>
      </c>
      <c r="M1188" s="240"/>
      <c r="N1188" s="29"/>
      <c r="O1188" s="29"/>
      <c r="P1188" s="29"/>
      <c r="Q1188" s="29"/>
      <c r="R1188" s="29"/>
      <c r="S1188" s="29"/>
      <c r="T1188" s="29"/>
      <c r="U1188" s="29"/>
      <c r="V1188" s="29"/>
      <c r="W1188" s="29"/>
      <c r="X1188" s="29"/>
      <c r="Y1188" s="29"/>
      <c r="Z1188" s="29"/>
      <c r="AA1188" s="29"/>
      <c r="AB1188" s="29"/>
      <c r="AC1188" s="29"/>
      <c r="AD1188" s="29"/>
      <c r="AE1188" s="29"/>
      <c r="AF1188" s="29"/>
      <c r="AG1188" s="29"/>
    </row>
    <row r="1189">
      <c r="A1189" s="240" t="s">
        <v>150</v>
      </c>
      <c r="B1189" s="240" t="s">
        <v>1187</v>
      </c>
      <c r="C1189" s="240"/>
      <c r="D1189" s="240"/>
      <c r="E1189" s="240" t="s">
        <v>877</v>
      </c>
      <c r="F1189" s="240" t="s">
        <v>878</v>
      </c>
      <c r="G1189" s="493">
        <v>46112.0</v>
      </c>
      <c r="H1189" s="638">
        <v>46191.0</v>
      </c>
      <c r="I1189" s="240">
        <f>IFERROR(__xludf.DUMMYFUNCTION("IF(ISBLANK(H1189), TODAY()-TO_DATE(G1189), TO_DATE(H1189)-TO_DATE(G1189))+1"),80.0)</f>
        <v>80</v>
      </c>
      <c r="J1189" s="240">
        <v>500.0</v>
      </c>
      <c r="K1189" s="240" t="s">
        <v>9887</v>
      </c>
      <c r="L1189" s="240"/>
      <c r="M1189" s="240" t="s">
        <v>9226</v>
      </c>
      <c r="N1189" s="29"/>
      <c r="O1189" s="29"/>
      <c r="P1189" s="29"/>
      <c r="Q1189" s="29"/>
      <c r="R1189" s="29"/>
      <c r="S1189" s="29"/>
      <c r="T1189" s="29"/>
      <c r="U1189" s="29"/>
      <c r="V1189" s="29"/>
      <c r="W1189" s="29"/>
      <c r="X1189" s="29"/>
      <c r="Y1189" s="29"/>
      <c r="Z1189" s="29"/>
      <c r="AA1189" s="29"/>
      <c r="AB1189" s="29"/>
      <c r="AC1189" s="29"/>
      <c r="AD1189" s="29"/>
      <c r="AE1189" s="29"/>
      <c r="AF1189" s="29"/>
      <c r="AG1189" s="29"/>
    </row>
    <row r="1190">
      <c r="A1190" s="240" t="s">
        <v>1032</v>
      </c>
      <c r="B1190" s="240" t="s">
        <v>1187</v>
      </c>
      <c r="C1190" s="240"/>
      <c r="D1190" s="240"/>
      <c r="E1190" s="240" t="s">
        <v>1179</v>
      </c>
      <c r="F1190" s="240" t="s">
        <v>1180</v>
      </c>
      <c r="G1190" s="493">
        <v>46112.0</v>
      </c>
      <c r="H1190" s="638">
        <v>46195.0</v>
      </c>
      <c r="I1190" s="240">
        <f>IFERROR(__xludf.DUMMYFUNCTION("IF(ISBLANK(H1190), TODAY()-TO_DATE(G1190), TO_DATE(H1190)-TO_DATE(G1190))+1"),84.0)</f>
        <v>84</v>
      </c>
      <c r="J1190" s="240">
        <v>500.0</v>
      </c>
      <c r="K1190" s="609" t="s">
        <v>9890</v>
      </c>
      <c r="L1190" s="240"/>
      <c r="M1190" s="240"/>
      <c r="N1190" s="29"/>
      <c r="O1190" s="29"/>
      <c r="P1190" s="29"/>
      <c r="Q1190" s="29"/>
      <c r="R1190" s="29"/>
      <c r="S1190" s="29"/>
      <c r="T1190" s="29"/>
      <c r="U1190" s="29"/>
      <c r="V1190" s="29"/>
      <c r="W1190" s="29"/>
      <c r="X1190" s="29"/>
      <c r="Y1190" s="29"/>
      <c r="Z1190" s="29"/>
      <c r="AA1190" s="29"/>
      <c r="AB1190" s="29"/>
      <c r="AC1190" s="29"/>
      <c r="AD1190" s="29"/>
      <c r="AE1190" s="29"/>
      <c r="AF1190" s="29"/>
      <c r="AG1190" s="29"/>
    </row>
    <row r="1191">
      <c r="A1191" s="240" t="s">
        <v>2451</v>
      </c>
      <c r="B1191" s="240" t="s">
        <v>1187</v>
      </c>
      <c r="C1191" s="240"/>
      <c r="D1191" s="240"/>
      <c r="E1191" s="240" t="s">
        <v>708</v>
      </c>
      <c r="F1191" s="240" t="s">
        <v>710</v>
      </c>
      <c r="G1191" s="493">
        <v>46113.0</v>
      </c>
      <c r="H1191" s="638">
        <v>46148.0</v>
      </c>
      <c r="I1191" s="240">
        <f>IFERROR(__xludf.DUMMYFUNCTION("IF(ISBLANK(H1191), TODAY()-TO_DATE(G1191), TO_DATE(H1191)-TO_DATE(G1191))+1"),36.0)</f>
        <v>36</v>
      </c>
      <c r="J1191" s="240">
        <v>300.0</v>
      </c>
      <c r="K1191" s="240" t="s">
        <v>9893</v>
      </c>
      <c r="L1191" s="240" t="s">
        <v>9894</v>
      </c>
      <c r="M1191" s="240" t="s">
        <v>9226</v>
      </c>
      <c r="N1191" s="29"/>
      <c r="O1191" s="29"/>
      <c r="P1191" s="29"/>
      <c r="Q1191" s="29"/>
      <c r="R1191" s="29"/>
      <c r="S1191" s="29"/>
      <c r="T1191" s="29"/>
      <c r="U1191" s="29"/>
      <c r="V1191" s="29"/>
      <c r="W1191" s="29"/>
      <c r="X1191" s="29"/>
      <c r="Y1191" s="29"/>
      <c r="Z1191" s="29"/>
      <c r="AA1191" s="29"/>
      <c r="AB1191" s="29"/>
      <c r="AC1191" s="29"/>
      <c r="AD1191" s="29"/>
      <c r="AE1191" s="29"/>
      <c r="AF1191" s="29"/>
      <c r="AG1191" s="29"/>
    </row>
    <row r="1192">
      <c r="A1192" s="240" t="s">
        <v>2451</v>
      </c>
      <c r="B1192" s="240" t="s">
        <v>1187</v>
      </c>
      <c r="C1192" s="240"/>
      <c r="D1192" s="240"/>
      <c r="E1192" s="240" t="s">
        <v>890</v>
      </c>
      <c r="F1192" s="240" t="s">
        <v>891</v>
      </c>
      <c r="G1192" s="493">
        <v>46113.0</v>
      </c>
      <c r="H1192" s="638">
        <v>46148.0</v>
      </c>
      <c r="I1192" s="240">
        <f>IFERROR(__xludf.DUMMYFUNCTION("IF(ISBLANK(H1192), TODAY()-TO_DATE(G1192), TO_DATE(H1192)-TO_DATE(G1192))+1"),36.0)</f>
        <v>36</v>
      </c>
      <c r="J1192" s="240" t="s">
        <v>197</v>
      </c>
      <c r="K1192" s="240" t="s">
        <v>9895</v>
      </c>
      <c r="L1192" s="240"/>
      <c r="M1192" s="240" t="s">
        <v>9226</v>
      </c>
      <c r="N1192" s="29"/>
      <c r="O1192" s="29"/>
      <c r="P1192" s="29"/>
      <c r="Q1192" s="29"/>
      <c r="R1192" s="29"/>
      <c r="S1192" s="29"/>
      <c r="T1192" s="29"/>
      <c r="U1192" s="29"/>
      <c r="V1192" s="29"/>
      <c r="W1192" s="29"/>
      <c r="X1192" s="29"/>
      <c r="Y1192" s="29"/>
      <c r="Z1192" s="29"/>
      <c r="AA1192" s="29"/>
      <c r="AB1192" s="29"/>
      <c r="AC1192" s="29"/>
      <c r="AD1192" s="29"/>
      <c r="AE1192" s="29"/>
      <c r="AF1192" s="29"/>
      <c r="AG1192" s="29"/>
    </row>
    <row r="1193">
      <c r="A1193" s="240" t="s">
        <v>2451</v>
      </c>
      <c r="B1193" s="240" t="s">
        <v>1187</v>
      </c>
      <c r="C1193" s="240"/>
      <c r="D1193" s="240"/>
      <c r="E1193" s="240" t="s">
        <v>857</v>
      </c>
      <c r="F1193" s="240" t="s">
        <v>858</v>
      </c>
      <c r="G1193" s="493">
        <v>46113.0</v>
      </c>
      <c r="H1193" s="638">
        <v>46148.0</v>
      </c>
      <c r="I1193" s="240">
        <f>IFERROR(__xludf.DUMMYFUNCTION("IF(ISBLANK(H1193), TODAY()-TO_DATE(G1193), TO_DATE(H1193)-TO_DATE(G1193))+1"),36.0)</f>
        <v>36</v>
      </c>
      <c r="J1193" s="240" t="s">
        <v>197</v>
      </c>
      <c r="K1193" s="240" t="s">
        <v>9848</v>
      </c>
      <c r="L1193" s="240"/>
      <c r="M1193" s="240" t="s">
        <v>9226</v>
      </c>
      <c r="N1193" s="29"/>
      <c r="O1193" s="29"/>
      <c r="P1193" s="29"/>
      <c r="Q1193" s="29"/>
      <c r="R1193" s="29"/>
      <c r="S1193" s="29"/>
      <c r="T1193" s="29"/>
      <c r="U1193" s="29"/>
      <c r="V1193" s="29"/>
      <c r="W1193" s="29"/>
      <c r="X1193" s="29"/>
      <c r="Y1193" s="29"/>
      <c r="Z1193" s="29"/>
      <c r="AA1193" s="29"/>
      <c r="AB1193" s="29"/>
      <c r="AC1193" s="29"/>
      <c r="AD1193" s="29"/>
      <c r="AE1193" s="29"/>
      <c r="AF1193" s="29"/>
      <c r="AG1193" s="29"/>
    </row>
    <row r="1194">
      <c r="A1194" s="240" t="s">
        <v>2451</v>
      </c>
      <c r="B1194" s="240" t="s">
        <v>1187</v>
      </c>
      <c r="C1194" s="240"/>
      <c r="D1194" s="240"/>
      <c r="E1194" s="240" t="s">
        <v>1268</v>
      </c>
      <c r="F1194" s="240" t="s">
        <v>284</v>
      </c>
      <c r="G1194" s="493">
        <v>46113.0</v>
      </c>
      <c r="H1194" s="638">
        <v>46179.0</v>
      </c>
      <c r="I1194" s="240">
        <f>IFERROR(__xludf.DUMMYFUNCTION("IF(ISBLANK(H1194), TODAY()-TO_DATE(G1194), TO_DATE(H1194)-TO_DATE(G1194))+1"),67.0)</f>
        <v>67</v>
      </c>
      <c r="J1194" s="240" t="s">
        <v>197</v>
      </c>
      <c r="K1194" s="240" t="s">
        <v>9853</v>
      </c>
      <c r="L1194" s="240" t="s">
        <v>9900</v>
      </c>
      <c r="M1194" s="240" t="s">
        <v>9226</v>
      </c>
      <c r="N1194" s="29"/>
      <c r="O1194" s="29"/>
      <c r="P1194" s="29"/>
      <c r="Q1194" s="29"/>
      <c r="R1194" s="29"/>
      <c r="S1194" s="29"/>
      <c r="T1194" s="29"/>
      <c r="U1194" s="29"/>
      <c r="V1194" s="29"/>
      <c r="W1194" s="29"/>
      <c r="X1194" s="29"/>
      <c r="Y1194" s="29"/>
      <c r="Z1194" s="29"/>
      <c r="AA1194" s="29"/>
      <c r="AB1194" s="29"/>
      <c r="AC1194" s="29"/>
      <c r="AD1194" s="29"/>
      <c r="AE1194" s="29"/>
      <c r="AF1194" s="29"/>
      <c r="AG1194" s="29"/>
    </row>
    <row r="1195">
      <c r="A1195" s="240" t="s">
        <v>150</v>
      </c>
      <c r="B1195" s="240" t="s">
        <v>1187</v>
      </c>
      <c r="C1195" s="240"/>
      <c r="D1195" s="240"/>
      <c r="E1195" s="240" t="s">
        <v>9902</v>
      </c>
      <c r="F1195" s="240" t="s">
        <v>9903</v>
      </c>
      <c r="G1195" s="493">
        <v>46113.0</v>
      </c>
      <c r="H1195" s="638">
        <v>46114.0</v>
      </c>
      <c r="I1195" s="240">
        <f>IFERROR(__xludf.DUMMYFUNCTION("IF(ISBLANK(H1195), TODAY()-TO_DATE(G1195), TO_DATE(H1195)-TO_DATE(G1195))+1"),2.0)</f>
        <v>2</v>
      </c>
      <c r="J1195" s="240">
        <v>300.0</v>
      </c>
      <c r="K1195" s="240" t="s">
        <v>9904</v>
      </c>
      <c r="L1195" s="240"/>
      <c r="M1195" s="240" t="s">
        <v>9226</v>
      </c>
      <c r="N1195" s="29"/>
      <c r="O1195" s="29"/>
      <c r="P1195" s="29"/>
      <c r="Q1195" s="29"/>
      <c r="R1195" s="29"/>
      <c r="S1195" s="29"/>
      <c r="T1195" s="29"/>
      <c r="U1195" s="29"/>
      <c r="V1195" s="29"/>
      <c r="W1195" s="29"/>
      <c r="X1195" s="29"/>
      <c r="Y1195" s="29"/>
      <c r="Z1195" s="29"/>
      <c r="AA1195" s="29"/>
      <c r="AB1195" s="29"/>
      <c r="AC1195" s="29"/>
      <c r="AD1195" s="29"/>
      <c r="AE1195" s="29"/>
      <c r="AF1195" s="29"/>
      <c r="AG1195" s="29"/>
    </row>
    <row r="1196">
      <c r="A1196" s="240" t="s">
        <v>1032</v>
      </c>
      <c r="B1196" s="240" t="s">
        <v>1187</v>
      </c>
      <c r="C1196" s="240"/>
      <c r="D1196" s="240"/>
      <c r="E1196" s="240" t="s">
        <v>9905</v>
      </c>
      <c r="F1196" s="240" t="s">
        <v>9906</v>
      </c>
      <c r="G1196" s="493">
        <v>46113.0</v>
      </c>
      <c r="H1196" s="638">
        <v>46127.0</v>
      </c>
      <c r="I1196" s="240">
        <f>IFERROR(__xludf.DUMMYFUNCTION("IF(ISBLANK(H1196), TODAY()-TO_DATE(G1196), TO_DATE(H1196)-TO_DATE(G1196))+1"),15.0)</f>
        <v>15</v>
      </c>
      <c r="J1196" s="240">
        <v>200.0</v>
      </c>
      <c r="K1196" s="240" t="s">
        <v>9907</v>
      </c>
      <c r="L1196" s="240"/>
      <c r="M1196" s="240" t="s">
        <v>9226</v>
      </c>
      <c r="N1196" s="29"/>
      <c r="O1196" s="29"/>
      <c r="P1196" s="29"/>
      <c r="Q1196" s="29"/>
      <c r="R1196" s="29"/>
      <c r="S1196" s="29"/>
      <c r="T1196" s="29"/>
      <c r="U1196" s="29"/>
      <c r="V1196" s="29"/>
      <c r="W1196" s="29"/>
      <c r="X1196" s="29"/>
      <c r="Y1196" s="29"/>
      <c r="Z1196" s="29"/>
      <c r="AA1196" s="29"/>
      <c r="AB1196" s="29"/>
      <c r="AC1196" s="29"/>
      <c r="AD1196" s="29"/>
      <c r="AE1196" s="29"/>
      <c r="AF1196" s="29"/>
      <c r="AG1196" s="29"/>
    </row>
    <row r="1197">
      <c r="A1197" s="240" t="s">
        <v>1032</v>
      </c>
      <c r="B1197" s="240" t="s">
        <v>1187</v>
      </c>
      <c r="C1197" s="240"/>
      <c r="D1197" s="240"/>
      <c r="E1197" s="240" t="s">
        <v>1091</v>
      </c>
      <c r="F1197" s="240" t="s">
        <v>1092</v>
      </c>
      <c r="G1197" s="493">
        <v>46113.0</v>
      </c>
      <c r="H1197" s="638">
        <v>46179.0</v>
      </c>
      <c r="I1197" s="240">
        <f>IFERROR(__xludf.DUMMYFUNCTION("IF(ISBLANK(H1197), TODAY()-TO_DATE(G1197), TO_DATE(H1197)-TO_DATE(G1197))+1"),67.0)</f>
        <v>67</v>
      </c>
      <c r="J1197" s="240" t="s">
        <v>197</v>
      </c>
      <c r="K1197" s="240" t="s">
        <v>9910</v>
      </c>
      <c r="L1197" s="240"/>
      <c r="M1197" s="240"/>
      <c r="N1197" s="29"/>
      <c r="O1197" s="29"/>
      <c r="P1197" s="29"/>
      <c r="Q1197" s="29"/>
      <c r="R1197" s="29"/>
      <c r="S1197" s="29"/>
      <c r="T1197" s="29"/>
      <c r="U1197" s="29"/>
      <c r="V1197" s="29"/>
      <c r="W1197" s="29"/>
      <c r="X1197" s="29"/>
      <c r="Y1197" s="29"/>
      <c r="Z1197" s="29"/>
      <c r="AA1197" s="29"/>
      <c r="AB1197" s="29"/>
      <c r="AC1197" s="29"/>
      <c r="AD1197" s="29"/>
      <c r="AE1197" s="29"/>
      <c r="AF1197" s="29"/>
      <c r="AG1197" s="29"/>
    </row>
    <row r="1198">
      <c r="A1198" s="240" t="s">
        <v>150</v>
      </c>
      <c r="B1198" s="240" t="s">
        <v>1187</v>
      </c>
      <c r="C1198" s="240"/>
      <c r="D1198" s="240"/>
      <c r="E1198" s="240" t="s">
        <v>9915</v>
      </c>
      <c r="F1198" s="240" t="s">
        <v>9858</v>
      </c>
      <c r="G1198" s="493">
        <v>46113.0</v>
      </c>
      <c r="H1198" s="638">
        <v>46114.0</v>
      </c>
      <c r="I1198" s="240">
        <f>IFERROR(__xludf.DUMMYFUNCTION("IF(ISBLANK(H1198), TODAY()-TO_DATE(G1198), TO_DATE(H1198)-TO_DATE(G1198))+1"),2.0)</f>
        <v>2</v>
      </c>
      <c r="J1198" s="240">
        <v>300.0</v>
      </c>
      <c r="K1198" s="240" t="s">
        <v>9916</v>
      </c>
      <c r="L1198" s="240" t="s">
        <v>9917</v>
      </c>
      <c r="M1198" s="240" t="s">
        <v>9226</v>
      </c>
      <c r="N1198" s="29"/>
      <c r="O1198" s="29"/>
      <c r="P1198" s="29"/>
      <c r="Q1198" s="29"/>
      <c r="R1198" s="29"/>
      <c r="S1198" s="29"/>
      <c r="T1198" s="29"/>
      <c r="U1198" s="29"/>
      <c r="V1198" s="29"/>
      <c r="W1198" s="29"/>
      <c r="X1198" s="29"/>
      <c r="Y1198" s="29"/>
      <c r="Z1198" s="29"/>
      <c r="AA1198" s="29"/>
      <c r="AB1198" s="29"/>
      <c r="AC1198" s="29"/>
      <c r="AD1198" s="29"/>
      <c r="AE1198" s="29"/>
      <c r="AF1198" s="29"/>
      <c r="AG1198" s="29"/>
    </row>
    <row r="1199">
      <c r="A1199" s="240" t="s">
        <v>2451</v>
      </c>
      <c r="B1199" s="240" t="s">
        <v>1187</v>
      </c>
      <c r="C1199" s="240"/>
      <c r="D1199" s="240"/>
      <c r="E1199" s="240" t="s">
        <v>9918</v>
      </c>
      <c r="F1199" s="240" t="s">
        <v>9919</v>
      </c>
      <c r="G1199" s="493">
        <v>46115.0</v>
      </c>
      <c r="H1199" s="638">
        <v>46121.0</v>
      </c>
      <c r="I1199" s="240">
        <f>IFERROR(__xludf.DUMMYFUNCTION("IF(ISBLANK(H1199), TODAY()-TO_DATE(G1199), TO_DATE(H1199)-TO_DATE(G1199))+1"),7.0)</f>
        <v>7</v>
      </c>
      <c r="J1199" s="240" t="s">
        <v>8926</v>
      </c>
      <c r="K1199" s="240" t="s">
        <v>9921</v>
      </c>
      <c r="L1199" s="240" t="s">
        <v>9917</v>
      </c>
      <c r="M1199" s="240" t="s">
        <v>9226</v>
      </c>
      <c r="N1199" s="29"/>
      <c r="O1199" s="29"/>
      <c r="P1199" s="29"/>
      <c r="Q1199" s="29"/>
      <c r="R1199" s="29"/>
      <c r="S1199" s="29"/>
      <c r="T1199" s="29"/>
      <c r="U1199" s="29"/>
      <c r="V1199" s="29"/>
      <c r="W1199" s="29"/>
      <c r="X1199" s="29"/>
      <c r="Y1199" s="29"/>
      <c r="Z1199" s="29"/>
      <c r="AA1199" s="29"/>
      <c r="AB1199" s="29"/>
      <c r="AC1199" s="29"/>
      <c r="AD1199" s="29"/>
      <c r="AE1199" s="29"/>
      <c r="AF1199" s="29"/>
      <c r="AG1199" s="29"/>
    </row>
    <row r="1200">
      <c r="A1200" s="240" t="s">
        <v>2515</v>
      </c>
      <c r="B1200" s="240" t="s">
        <v>1187</v>
      </c>
      <c r="C1200" s="240"/>
      <c r="D1200" s="240"/>
      <c r="E1200" s="240" t="s">
        <v>2643</v>
      </c>
      <c r="F1200" s="240" t="s">
        <v>2644</v>
      </c>
      <c r="G1200" s="493">
        <v>46115.0</v>
      </c>
      <c r="H1200" s="638">
        <v>46134.0</v>
      </c>
      <c r="I1200" s="240">
        <f>IFERROR(__xludf.DUMMYFUNCTION("IF(ISBLANK(H1200), TODAY()-TO_DATE(G1200), TO_DATE(H1200)-TO_DATE(G1200))+1"),20.0)</f>
        <v>20</v>
      </c>
      <c r="J1200" s="240">
        <v>300.0</v>
      </c>
      <c r="K1200" s="240" t="s">
        <v>9926</v>
      </c>
      <c r="L1200" s="240"/>
      <c r="M1200" s="240" t="s">
        <v>9226</v>
      </c>
      <c r="N1200" s="29"/>
      <c r="O1200" s="29"/>
      <c r="P1200" s="29"/>
      <c r="Q1200" s="29"/>
      <c r="R1200" s="29"/>
      <c r="S1200" s="29"/>
      <c r="T1200" s="29"/>
      <c r="U1200" s="29"/>
      <c r="V1200" s="29"/>
      <c r="W1200" s="29"/>
      <c r="X1200" s="29"/>
      <c r="Y1200" s="29"/>
      <c r="Z1200" s="29"/>
      <c r="AA1200" s="29"/>
      <c r="AB1200" s="29"/>
      <c r="AC1200" s="29"/>
      <c r="AD1200" s="29"/>
      <c r="AE1200" s="29"/>
      <c r="AF1200" s="29"/>
      <c r="AG1200" s="29"/>
    </row>
    <row r="1201">
      <c r="A1201" s="240" t="s">
        <v>150</v>
      </c>
      <c r="B1201" s="240" t="s">
        <v>1187</v>
      </c>
      <c r="C1201" s="240"/>
      <c r="D1201" s="240"/>
      <c r="E1201" s="240" t="s">
        <v>2619</v>
      </c>
      <c r="F1201" s="240" t="s">
        <v>2620</v>
      </c>
      <c r="G1201" s="493">
        <v>46115.0</v>
      </c>
      <c r="H1201" s="638">
        <v>46142.0</v>
      </c>
      <c r="I1201" s="240">
        <f>IFERROR(__xludf.DUMMYFUNCTION("IF(ISBLANK(H1201), TODAY()-TO_DATE(G1201), TO_DATE(H1201)-TO_DATE(G1201))+1"),28.0)</f>
        <v>28</v>
      </c>
      <c r="J1201" s="240">
        <v>300.0</v>
      </c>
      <c r="K1201" s="240" t="s">
        <v>3319</v>
      </c>
      <c r="L1201" s="240" t="s">
        <v>9929</v>
      </c>
      <c r="M1201" s="240"/>
      <c r="N1201" s="29"/>
      <c r="O1201" s="29"/>
      <c r="P1201" s="29"/>
      <c r="Q1201" s="29"/>
      <c r="R1201" s="29"/>
      <c r="S1201" s="29"/>
      <c r="T1201" s="29"/>
      <c r="U1201" s="29"/>
      <c r="V1201" s="29"/>
      <c r="W1201" s="29"/>
      <c r="X1201" s="29"/>
      <c r="Y1201" s="29"/>
      <c r="Z1201" s="29"/>
      <c r="AA1201" s="29"/>
      <c r="AB1201" s="29"/>
      <c r="AC1201" s="29"/>
      <c r="AD1201" s="29"/>
      <c r="AE1201" s="29"/>
      <c r="AF1201" s="29"/>
      <c r="AG1201" s="29"/>
    </row>
    <row r="1202">
      <c r="A1202" s="240" t="s">
        <v>150</v>
      </c>
      <c r="B1202" s="240" t="s">
        <v>1187</v>
      </c>
      <c r="C1202" s="240"/>
      <c r="D1202" s="240"/>
      <c r="E1202" s="240" t="s">
        <v>1803</v>
      </c>
      <c r="F1202" s="240" t="s">
        <v>1805</v>
      </c>
      <c r="G1202" s="493">
        <v>46115.0</v>
      </c>
      <c r="H1202" s="638">
        <v>46145.0</v>
      </c>
      <c r="I1202" s="240">
        <f>IFERROR(__xludf.DUMMYFUNCTION("IF(ISBLANK(H1202), TODAY()-TO_DATE(G1202), TO_DATE(H1202)-TO_DATE(G1202))+1"),31.0)</f>
        <v>31</v>
      </c>
      <c r="J1202" s="240">
        <v>500.0</v>
      </c>
      <c r="K1202" s="240" t="s">
        <v>9932</v>
      </c>
      <c r="L1202" s="240"/>
      <c r="M1202" s="240" t="s">
        <v>9226</v>
      </c>
      <c r="N1202" s="29"/>
      <c r="O1202" s="29"/>
      <c r="P1202" s="29"/>
      <c r="Q1202" s="29"/>
      <c r="R1202" s="29"/>
      <c r="S1202" s="29"/>
      <c r="T1202" s="29"/>
      <c r="U1202" s="29"/>
      <c r="V1202" s="29"/>
      <c r="W1202" s="29"/>
      <c r="X1202" s="29"/>
      <c r="Y1202" s="29"/>
      <c r="Z1202" s="29"/>
      <c r="AA1202" s="29"/>
      <c r="AB1202" s="29"/>
      <c r="AC1202" s="29"/>
      <c r="AD1202" s="29"/>
      <c r="AE1202" s="29"/>
      <c r="AF1202" s="29"/>
      <c r="AG1202" s="29"/>
    </row>
    <row r="1203">
      <c r="A1203" s="240" t="s">
        <v>145</v>
      </c>
      <c r="B1203" s="240" t="s">
        <v>1187</v>
      </c>
      <c r="C1203" s="240"/>
      <c r="D1203" s="240"/>
      <c r="E1203" s="240" t="s">
        <v>3128</v>
      </c>
      <c r="F1203" s="240" t="s">
        <v>934</v>
      </c>
      <c r="G1203" s="493">
        <v>46116.0</v>
      </c>
      <c r="H1203" s="638">
        <v>46135.0</v>
      </c>
      <c r="I1203" s="240">
        <f>IFERROR(__xludf.DUMMYFUNCTION("IF(ISBLANK(H1203), TODAY()-TO_DATE(G1203), TO_DATE(H1203)-TO_DATE(G1203))+1"),20.0)</f>
        <v>20</v>
      </c>
      <c r="J1203" s="240" t="s">
        <v>197</v>
      </c>
      <c r="K1203" s="240" t="s">
        <v>9933</v>
      </c>
      <c r="L1203" s="240" t="s">
        <v>9221</v>
      </c>
      <c r="M1203" s="240" t="s">
        <v>9226</v>
      </c>
      <c r="N1203" s="29"/>
      <c r="O1203" s="29"/>
      <c r="P1203" s="29"/>
      <c r="Q1203" s="29"/>
      <c r="R1203" s="29"/>
      <c r="S1203" s="29"/>
      <c r="T1203" s="29"/>
      <c r="U1203" s="29"/>
      <c r="V1203" s="29"/>
      <c r="W1203" s="29"/>
      <c r="X1203" s="29"/>
      <c r="Y1203" s="29"/>
      <c r="Z1203" s="29"/>
      <c r="AA1203" s="29"/>
      <c r="AB1203" s="29"/>
      <c r="AC1203" s="29"/>
      <c r="AD1203" s="29"/>
      <c r="AE1203" s="29"/>
      <c r="AF1203" s="29"/>
      <c r="AG1203" s="29"/>
    </row>
    <row r="1204">
      <c r="A1204" s="240" t="s">
        <v>1510</v>
      </c>
      <c r="B1204" s="240" t="s">
        <v>1187</v>
      </c>
      <c r="C1204" s="240"/>
      <c r="D1204" s="240"/>
      <c r="E1204" s="240" t="s">
        <v>2136</v>
      </c>
      <c r="F1204" s="240" t="s">
        <v>2137</v>
      </c>
      <c r="G1204" s="493">
        <v>46116.0</v>
      </c>
      <c r="H1204" s="638">
        <v>46182.0</v>
      </c>
      <c r="I1204" s="240">
        <f>IFERROR(__xludf.DUMMYFUNCTION("IF(ISBLANK(H1204), TODAY()-TO_DATE(G1204), TO_DATE(H1204)-TO_DATE(G1204))+1"),67.0)</f>
        <v>67</v>
      </c>
      <c r="J1204" s="240" t="s">
        <v>197</v>
      </c>
      <c r="K1204" s="240" t="s">
        <v>9934</v>
      </c>
      <c r="L1204" s="240"/>
      <c r="M1204" s="240" t="s">
        <v>9226</v>
      </c>
      <c r="N1204" s="29"/>
      <c r="O1204" s="29"/>
      <c r="P1204" s="29"/>
      <c r="Q1204" s="29"/>
      <c r="R1204" s="29"/>
      <c r="S1204" s="29"/>
      <c r="T1204" s="29"/>
      <c r="U1204" s="29"/>
      <c r="V1204" s="29"/>
      <c r="W1204" s="29"/>
      <c r="X1204" s="29"/>
      <c r="Y1204" s="29"/>
      <c r="Z1204" s="29"/>
      <c r="AA1204" s="29"/>
      <c r="AB1204" s="29"/>
      <c r="AC1204" s="29"/>
      <c r="AD1204" s="29"/>
      <c r="AE1204" s="29"/>
      <c r="AF1204" s="29"/>
      <c r="AG1204" s="29"/>
    </row>
    <row r="1205">
      <c r="A1205" s="240" t="s">
        <v>145</v>
      </c>
      <c r="B1205" s="240" t="s">
        <v>1187</v>
      </c>
      <c r="C1205" s="240"/>
      <c r="D1205" s="240"/>
      <c r="E1205" s="240" t="s">
        <v>2109</v>
      </c>
      <c r="F1205" s="240" t="s">
        <v>949</v>
      </c>
      <c r="G1205" s="493">
        <v>46116.0</v>
      </c>
      <c r="H1205" s="638">
        <v>46187.0</v>
      </c>
      <c r="I1205" s="240">
        <f>IFERROR(__xludf.DUMMYFUNCTION("IF(ISBLANK(H1205), TODAY()-TO_DATE(G1205), TO_DATE(H1205)-TO_DATE(G1205))+1"),72.0)</f>
        <v>72</v>
      </c>
      <c r="J1205" s="240" t="s">
        <v>197</v>
      </c>
      <c r="K1205" s="240" t="s">
        <v>9937</v>
      </c>
      <c r="L1205" s="240" t="s">
        <v>9339</v>
      </c>
      <c r="M1205" s="240"/>
      <c r="N1205" s="29"/>
      <c r="O1205" s="29"/>
      <c r="P1205" s="29"/>
      <c r="Q1205" s="29"/>
      <c r="R1205" s="29"/>
      <c r="S1205" s="29"/>
      <c r="T1205" s="29"/>
      <c r="U1205" s="29"/>
      <c r="V1205" s="29"/>
      <c r="W1205" s="29"/>
      <c r="X1205" s="29"/>
      <c r="Y1205" s="29"/>
      <c r="Z1205" s="29"/>
      <c r="AA1205" s="29"/>
      <c r="AB1205" s="29"/>
      <c r="AC1205" s="29"/>
      <c r="AD1205" s="29"/>
      <c r="AE1205" s="29"/>
      <c r="AF1205" s="29"/>
      <c r="AG1205" s="29"/>
    </row>
    <row r="1206">
      <c r="A1206" s="240" t="s">
        <v>150</v>
      </c>
      <c r="B1206" s="240" t="s">
        <v>1187</v>
      </c>
      <c r="C1206" s="240"/>
      <c r="D1206" s="240"/>
      <c r="E1206" s="189" t="s">
        <v>3295</v>
      </c>
      <c r="F1206" s="240" t="s">
        <v>9939</v>
      </c>
      <c r="G1206" s="493">
        <v>46116.0</v>
      </c>
      <c r="H1206" s="638">
        <v>46130.0</v>
      </c>
      <c r="I1206" s="240">
        <f>IFERROR(__xludf.DUMMYFUNCTION("IF(ISBLANK(H1206), TODAY()-TO_DATE(G1206), TO_DATE(H1206)-TO_DATE(G1206))+1"),15.0)</f>
        <v>15</v>
      </c>
      <c r="J1206" s="240" t="s">
        <v>136</v>
      </c>
      <c r="K1206" s="240" t="s">
        <v>6909</v>
      </c>
      <c r="L1206" s="240"/>
      <c r="M1206" s="240"/>
      <c r="N1206" s="29"/>
      <c r="O1206" s="29"/>
      <c r="P1206" s="29"/>
      <c r="Q1206" s="29"/>
      <c r="R1206" s="29"/>
      <c r="S1206" s="29"/>
      <c r="T1206" s="29"/>
      <c r="U1206" s="29"/>
      <c r="V1206" s="29"/>
      <c r="W1206" s="29"/>
      <c r="X1206" s="29"/>
      <c r="Y1206" s="29"/>
      <c r="Z1206" s="29"/>
      <c r="AA1206" s="29"/>
      <c r="AB1206" s="29"/>
      <c r="AC1206" s="29"/>
      <c r="AD1206" s="29"/>
      <c r="AE1206" s="29"/>
      <c r="AF1206" s="29"/>
      <c r="AG1206" s="29"/>
    </row>
    <row r="1207">
      <c r="A1207" s="240" t="s">
        <v>1032</v>
      </c>
      <c r="B1207" s="240" t="s">
        <v>2194</v>
      </c>
      <c r="C1207" s="240"/>
      <c r="D1207" s="240"/>
      <c r="E1207" s="240" t="s">
        <v>1228</v>
      </c>
      <c r="F1207" s="240" t="s">
        <v>9942</v>
      </c>
      <c r="G1207" s="493">
        <v>46118.0</v>
      </c>
      <c r="H1207" s="638">
        <v>46185.0</v>
      </c>
      <c r="I1207" s="240">
        <f>IFERROR(__xludf.DUMMYFUNCTION("IF(ISBLANK(H1207), TODAY()-TO_DATE(G1207), TO_DATE(H1207)-TO_DATE(G1207))+1"),68.0)</f>
        <v>68</v>
      </c>
      <c r="J1207" s="240" t="s">
        <v>197</v>
      </c>
      <c r="K1207" s="240" t="s">
        <v>9943</v>
      </c>
      <c r="L1207" s="240"/>
      <c r="M1207" s="240"/>
      <c r="N1207" s="29"/>
      <c r="O1207" s="29"/>
      <c r="P1207" s="29"/>
      <c r="Q1207" s="29"/>
      <c r="R1207" s="29"/>
      <c r="S1207" s="29"/>
      <c r="T1207" s="29"/>
      <c r="U1207" s="29"/>
      <c r="V1207" s="29"/>
      <c r="W1207" s="29"/>
      <c r="X1207" s="29"/>
      <c r="Y1207" s="29"/>
      <c r="Z1207" s="29"/>
      <c r="AA1207" s="29"/>
      <c r="AB1207" s="29"/>
      <c r="AC1207" s="29"/>
      <c r="AD1207" s="29"/>
      <c r="AE1207" s="29"/>
      <c r="AF1207" s="29"/>
      <c r="AG1207" s="29"/>
    </row>
    <row r="1208">
      <c r="A1208" s="240" t="s">
        <v>2451</v>
      </c>
      <c r="B1208" s="240" t="s">
        <v>2194</v>
      </c>
      <c r="C1208" s="240"/>
      <c r="D1208" s="240"/>
      <c r="E1208" s="240" t="s">
        <v>763</v>
      </c>
      <c r="F1208" s="240" t="s">
        <v>765</v>
      </c>
      <c r="G1208" s="493">
        <v>46118.0</v>
      </c>
      <c r="H1208" s="638">
        <v>46185.0</v>
      </c>
      <c r="I1208" s="240">
        <f>IFERROR(__xludf.DUMMYFUNCTION("IF(ISBLANK(H1208), TODAY()-TO_DATE(G1208), TO_DATE(H1208)-TO_DATE(G1208))+1"),68.0)</f>
        <v>68</v>
      </c>
      <c r="J1208" s="240" t="s">
        <v>197</v>
      </c>
      <c r="K1208" s="240" t="s">
        <v>9944</v>
      </c>
      <c r="L1208" s="240" t="s">
        <v>9945</v>
      </c>
      <c r="M1208" s="240" t="s">
        <v>9946</v>
      </c>
      <c r="N1208" s="29"/>
      <c r="O1208" s="29"/>
      <c r="P1208" s="29"/>
      <c r="Q1208" s="29"/>
      <c r="R1208" s="29"/>
      <c r="S1208" s="29"/>
      <c r="T1208" s="29"/>
      <c r="U1208" s="29"/>
      <c r="V1208" s="29"/>
      <c r="W1208" s="29"/>
      <c r="X1208" s="29"/>
      <c r="Y1208" s="29"/>
      <c r="Z1208" s="29"/>
      <c r="AA1208" s="29"/>
      <c r="AB1208" s="29"/>
      <c r="AC1208" s="29"/>
      <c r="AD1208" s="29"/>
      <c r="AE1208" s="29"/>
      <c r="AF1208" s="29"/>
      <c r="AG1208" s="29"/>
    </row>
    <row r="1209">
      <c r="A1209" s="40" t="s">
        <v>1473</v>
      </c>
      <c r="B1209" s="240" t="s">
        <v>1187</v>
      </c>
      <c r="C1209" s="240"/>
      <c r="D1209" s="240"/>
      <c r="E1209" s="40" t="s">
        <v>1682</v>
      </c>
      <c r="F1209" s="40" t="s">
        <v>1624</v>
      </c>
      <c r="G1209" s="493">
        <v>46119.0</v>
      </c>
      <c r="H1209" s="638">
        <v>46172.0</v>
      </c>
      <c r="I1209" s="240">
        <f>IFERROR(__xludf.DUMMYFUNCTION("IF(ISBLANK(H1209), TODAY()-TO_DATE(G1209), TO_DATE(H1209)-TO_DATE(G1209))+1"),54.0)</f>
        <v>54</v>
      </c>
      <c r="J1209" s="240" t="s">
        <v>197</v>
      </c>
      <c r="K1209" s="40" t="s">
        <v>9952</v>
      </c>
      <c r="L1209" s="40" t="s">
        <v>9662</v>
      </c>
      <c r="M1209" s="240" t="s">
        <v>9226</v>
      </c>
      <c r="N1209" s="29"/>
      <c r="O1209" s="29"/>
      <c r="P1209" s="29"/>
      <c r="Q1209" s="29"/>
      <c r="R1209" s="29"/>
      <c r="S1209" s="29"/>
      <c r="T1209" s="29"/>
      <c r="U1209" s="29"/>
      <c r="V1209" s="29"/>
      <c r="W1209" s="29"/>
      <c r="X1209" s="29"/>
      <c r="Y1209" s="29"/>
      <c r="Z1209" s="29"/>
      <c r="AA1209" s="29"/>
      <c r="AB1209" s="29"/>
      <c r="AC1209" s="29"/>
      <c r="AD1209" s="29"/>
      <c r="AE1209" s="29"/>
      <c r="AF1209" s="29"/>
      <c r="AG1209" s="29"/>
    </row>
    <row r="1210">
      <c r="A1210" s="40" t="s">
        <v>1473</v>
      </c>
      <c r="B1210" s="240" t="s">
        <v>1187</v>
      </c>
      <c r="C1210" s="240"/>
      <c r="D1210" s="240"/>
      <c r="E1210" s="40" t="s">
        <v>1710</v>
      </c>
      <c r="F1210" s="40" t="s">
        <v>1712</v>
      </c>
      <c r="G1210" s="493">
        <v>46119.0</v>
      </c>
      <c r="H1210" s="638">
        <v>46183.0</v>
      </c>
      <c r="I1210" s="240">
        <f>IFERROR(__xludf.DUMMYFUNCTION("IF(ISBLANK(H1210), TODAY()-TO_DATE(G1210), TO_DATE(H1210)-TO_DATE(G1210))+1"),65.0)</f>
        <v>65</v>
      </c>
      <c r="J1210" s="240" t="s">
        <v>197</v>
      </c>
      <c r="K1210" s="40" t="s">
        <v>9953</v>
      </c>
      <c r="L1210" s="40" t="s">
        <v>9955</v>
      </c>
      <c r="M1210" s="240" t="s">
        <v>9226</v>
      </c>
      <c r="N1210" s="29"/>
      <c r="O1210" s="29"/>
      <c r="P1210" s="29"/>
      <c r="Q1210" s="29"/>
      <c r="R1210" s="29"/>
      <c r="S1210" s="29"/>
      <c r="T1210" s="29"/>
      <c r="U1210" s="29"/>
      <c r="V1210" s="29"/>
      <c r="W1210" s="29"/>
      <c r="X1210" s="29"/>
      <c r="Y1210" s="29"/>
      <c r="Z1210" s="29"/>
      <c r="AA1210" s="29"/>
      <c r="AB1210" s="29"/>
      <c r="AC1210" s="29"/>
      <c r="AD1210" s="29"/>
      <c r="AE1210" s="29"/>
      <c r="AF1210" s="29"/>
      <c r="AG1210" s="29"/>
    </row>
    <row r="1211">
      <c r="A1211" s="40" t="s">
        <v>1448</v>
      </c>
      <c r="B1211" s="240" t="s">
        <v>1187</v>
      </c>
      <c r="C1211" s="240"/>
      <c r="D1211" s="240"/>
      <c r="E1211" s="40" t="s">
        <v>1816</v>
      </c>
      <c r="F1211" s="40" t="s">
        <v>1817</v>
      </c>
      <c r="G1211" s="493">
        <v>46119.0</v>
      </c>
      <c r="H1211" s="638">
        <v>46183.0</v>
      </c>
      <c r="I1211" s="240">
        <f>IFERROR(__xludf.DUMMYFUNCTION("IF(ISBLANK(H1211), TODAY()-TO_DATE(G1211), TO_DATE(H1211)-TO_DATE(G1211))+1"),65.0)</f>
        <v>65</v>
      </c>
      <c r="J1211" s="240" t="s">
        <v>197</v>
      </c>
      <c r="K1211" s="40" t="s">
        <v>9958</v>
      </c>
      <c r="L1211" s="240"/>
      <c r="M1211" s="240"/>
      <c r="N1211" s="29"/>
      <c r="O1211" s="29"/>
      <c r="P1211" s="29"/>
      <c r="Q1211" s="29"/>
      <c r="R1211" s="29"/>
      <c r="S1211" s="29"/>
      <c r="T1211" s="29"/>
      <c r="U1211" s="29"/>
      <c r="V1211" s="29"/>
      <c r="W1211" s="29"/>
      <c r="X1211" s="29"/>
      <c r="Y1211" s="29"/>
      <c r="Z1211" s="29"/>
      <c r="AA1211" s="29"/>
      <c r="AB1211" s="29"/>
      <c r="AC1211" s="29"/>
      <c r="AD1211" s="29"/>
      <c r="AE1211" s="29"/>
      <c r="AF1211" s="29"/>
      <c r="AG1211" s="29"/>
    </row>
    <row r="1212">
      <c r="A1212" s="40" t="s">
        <v>1448</v>
      </c>
      <c r="B1212" s="240" t="s">
        <v>1187</v>
      </c>
      <c r="C1212" s="240"/>
      <c r="D1212" s="240"/>
      <c r="E1212" s="40" t="s">
        <v>933</v>
      </c>
      <c r="F1212" s="40" t="s">
        <v>934</v>
      </c>
      <c r="G1212" s="493">
        <v>46119.0</v>
      </c>
      <c r="H1212" s="638">
        <v>46172.0</v>
      </c>
      <c r="I1212" s="240">
        <f>IFERROR(__xludf.DUMMYFUNCTION("IF(ISBLANK(H1212), TODAY()-TO_DATE(G1212), TO_DATE(H1212)-TO_DATE(G1212))+1"),54.0)</f>
        <v>54</v>
      </c>
      <c r="J1212" s="240" t="s">
        <v>197</v>
      </c>
      <c r="K1212" s="40" t="s">
        <v>9959</v>
      </c>
      <c r="L1212" s="240"/>
      <c r="M1212" s="240" t="s">
        <v>9226</v>
      </c>
      <c r="N1212" s="29"/>
      <c r="O1212" s="29"/>
      <c r="P1212" s="29"/>
      <c r="Q1212" s="29"/>
      <c r="R1212" s="29"/>
      <c r="S1212" s="29"/>
      <c r="T1212" s="29"/>
      <c r="U1212" s="29"/>
      <c r="V1212" s="29"/>
      <c r="W1212" s="29"/>
      <c r="X1212" s="29"/>
      <c r="Y1212" s="29"/>
      <c r="Z1212" s="29"/>
      <c r="AA1212" s="29"/>
      <c r="AB1212" s="29"/>
      <c r="AC1212" s="29"/>
      <c r="AD1212" s="29"/>
      <c r="AE1212" s="29"/>
      <c r="AF1212" s="29"/>
      <c r="AG1212" s="29"/>
    </row>
    <row r="1213">
      <c r="A1213" s="40" t="s">
        <v>1032</v>
      </c>
      <c r="B1213" s="240" t="s">
        <v>1187</v>
      </c>
      <c r="C1213" s="240"/>
      <c r="D1213" s="240"/>
      <c r="E1213" s="40" t="s">
        <v>1129</v>
      </c>
      <c r="F1213" s="40" t="s">
        <v>1130</v>
      </c>
      <c r="G1213" s="493">
        <v>46119.0</v>
      </c>
      <c r="H1213" s="638">
        <v>46182.0</v>
      </c>
      <c r="I1213" s="240">
        <f>IFERROR(__xludf.DUMMYFUNCTION("IF(ISBLANK(H1213), TODAY()-TO_DATE(G1213), TO_DATE(H1213)-TO_DATE(G1213))+1"),64.0)</f>
        <v>64</v>
      </c>
      <c r="J1213" s="240" t="s">
        <v>197</v>
      </c>
      <c r="K1213" s="40" t="s">
        <v>9961</v>
      </c>
      <c r="L1213" s="988"/>
      <c r="M1213" s="240" t="s">
        <v>9226</v>
      </c>
      <c r="N1213" s="29"/>
      <c r="O1213" s="29"/>
      <c r="P1213" s="29"/>
      <c r="Q1213" s="29"/>
      <c r="R1213" s="29"/>
      <c r="S1213" s="29"/>
      <c r="T1213" s="29"/>
      <c r="U1213" s="29"/>
      <c r="V1213" s="29"/>
      <c r="W1213" s="29"/>
      <c r="X1213" s="29"/>
      <c r="Y1213" s="29"/>
      <c r="Z1213" s="29"/>
      <c r="AA1213" s="29"/>
      <c r="AB1213" s="29"/>
      <c r="AC1213" s="29"/>
      <c r="AD1213" s="29"/>
      <c r="AE1213" s="29"/>
      <c r="AF1213" s="29"/>
      <c r="AG1213" s="29"/>
    </row>
    <row r="1214">
      <c r="A1214" s="40" t="s">
        <v>1032</v>
      </c>
      <c r="B1214" s="240" t="s">
        <v>1187</v>
      </c>
      <c r="C1214" s="240"/>
      <c r="D1214" s="240"/>
      <c r="E1214" s="40" t="s">
        <v>1219</v>
      </c>
      <c r="F1214" s="40" t="s">
        <v>1220</v>
      </c>
      <c r="G1214" s="493">
        <v>46119.0</v>
      </c>
      <c r="H1214" s="638">
        <v>46145.0</v>
      </c>
      <c r="I1214" s="240">
        <f>IFERROR(__xludf.DUMMYFUNCTION("IF(ISBLANK(H1214), TODAY()-TO_DATE(G1214), TO_DATE(H1214)-TO_DATE(G1214))+1"),27.0)</f>
        <v>27</v>
      </c>
      <c r="J1214" s="240">
        <v>300.0</v>
      </c>
      <c r="K1214" s="794" t="s">
        <v>9964</v>
      </c>
      <c r="L1214" s="794" t="s">
        <v>9965</v>
      </c>
      <c r="M1214" s="240"/>
      <c r="N1214" s="29"/>
      <c r="O1214" s="29"/>
      <c r="P1214" s="29"/>
      <c r="Q1214" s="29"/>
      <c r="R1214" s="29"/>
      <c r="S1214" s="29"/>
      <c r="T1214" s="29"/>
      <c r="U1214" s="29"/>
      <c r="V1214" s="29"/>
      <c r="W1214" s="29"/>
      <c r="X1214" s="29"/>
      <c r="Y1214" s="29"/>
      <c r="Z1214" s="29"/>
      <c r="AA1214" s="29"/>
      <c r="AB1214" s="29"/>
      <c r="AC1214" s="29"/>
      <c r="AD1214" s="29"/>
      <c r="AE1214" s="29"/>
      <c r="AF1214" s="29"/>
      <c r="AG1214" s="29"/>
    </row>
    <row r="1215">
      <c r="A1215" s="40" t="s">
        <v>1032</v>
      </c>
      <c r="B1215" s="240" t="s">
        <v>1187</v>
      </c>
      <c r="C1215" s="240"/>
      <c r="D1215" s="240"/>
      <c r="E1215" s="40" t="s">
        <v>1290</v>
      </c>
      <c r="F1215" s="40" t="s">
        <v>1291</v>
      </c>
      <c r="G1215" s="493">
        <v>46119.0</v>
      </c>
      <c r="H1215" s="638">
        <v>46145.0</v>
      </c>
      <c r="I1215" s="240">
        <f>IFERROR(__xludf.DUMMYFUNCTION("IF(ISBLANK(H1215), TODAY()-TO_DATE(G1215), TO_DATE(H1215)-TO_DATE(G1215))+1"),27.0)</f>
        <v>27</v>
      </c>
      <c r="J1215" s="240">
        <v>300.0</v>
      </c>
      <c r="K1215" s="40" t="s">
        <v>9967</v>
      </c>
      <c r="L1215" s="40" t="s">
        <v>9968</v>
      </c>
      <c r="M1215" s="240"/>
      <c r="N1215" s="29"/>
      <c r="O1215" s="29"/>
      <c r="P1215" s="29"/>
      <c r="Q1215" s="29"/>
      <c r="R1215" s="29"/>
      <c r="S1215" s="29"/>
      <c r="T1215" s="29"/>
      <c r="U1215" s="29"/>
      <c r="V1215" s="29"/>
      <c r="W1215" s="29"/>
      <c r="X1215" s="29"/>
      <c r="Y1215" s="29"/>
      <c r="Z1215" s="29"/>
      <c r="AA1215" s="29"/>
      <c r="AB1215" s="29"/>
      <c r="AC1215" s="29"/>
      <c r="AD1215" s="29"/>
      <c r="AE1215" s="29"/>
      <c r="AF1215" s="29"/>
      <c r="AG1215" s="29"/>
    </row>
    <row r="1216">
      <c r="A1216" s="40" t="s">
        <v>1566</v>
      </c>
      <c r="B1216" s="240" t="s">
        <v>1187</v>
      </c>
      <c r="C1216" s="240"/>
      <c r="D1216" s="240"/>
      <c r="E1216" s="40" t="s">
        <v>1408</v>
      </c>
      <c r="F1216" s="40" t="s">
        <v>1409</v>
      </c>
      <c r="G1216" s="493">
        <v>46122.0</v>
      </c>
      <c r="H1216" s="638">
        <v>46203.0</v>
      </c>
      <c r="I1216" s="240">
        <f>IFERROR(__xludf.DUMMYFUNCTION("IF(ISBLANK(H1216), TODAY()-TO_DATE(G1216), TO_DATE(H1216)-TO_DATE(G1216))+1"),82.0)</f>
        <v>82</v>
      </c>
      <c r="J1216" s="240">
        <v>500.0</v>
      </c>
      <c r="K1216" s="40" t="s">
        <v>9969</v>
      </c>
      <c r="L1216" s="988"/>
      <c r="M1216" s="240" t="s">
        <v>9226</v>
      </c>
      <c r="N1216" s="493">
        <v>46119.0</v>
      </c>
      <c r="O1216" s="29"/>
      <c r="P1216" s="29"/>
      <c r="Q1216" s="29"/>
      <c r="R1216" s="29"/>
      <c r="S1216" s="29"/>
      <c r="T1216" s="29"/>
      <c r="U1216" s="29"/>
      <c r="V1216" s="29"/>
      <c r="W1216" s="29"/>
      <c r="X1216" s="29"/>
      <c r="Y1216" s="29"/>
      <c r="Z1216" s="29"/>
      <c r="AA1216" s="29"/>
      <c r="AB1216" s="29"/>
      <c r="AC1216" s="29"/>
      <c r="AD1216" s="29"/>
      <c r="AE1216" s="29"/>
      <c r="AF1216" s="29"/>
      <c r="AG1216" s="29"/>
    </row>
    <row r="1217">
      <c r="A1217" s="240" t="s">
        <v>1473</v>
      </c>
      <c r="B1217" s="240" t="s">
        <v>1187</v>
      </c>
      <c r="C1217" s="240"/>
      <c r="D1217" s="240"/>
      <c r="E1217" s="240" t="s">
        <v>1699</v>
      </c>
      <c r="F1217" s="240" t="s">
        <v>1700</v>
      </c>
      <c r="G1217" s="493">
        <v>46120.0</v>
      </c>
      <c r="H1217" s="638">
        <v>46175.0</v>
      </c>
      <c r="I1217" s="240">
        <f>IFERROR(__xludf.DUMMYFUNCTION("IF(ISBLANK(H1217), TODAY()-TO_DATE(G1217), TO_DATE(H1217)-TO_DATE(G1217))+1"),56.0)</f>
        <v>56</v>
      </c>
      <c r="J1217" s="240" t="s">
        <v>197</v>
      </c>
      <c r="K1217" s="240" t="s">
        <v>9972</v>
      </c>
      <c r="L1217" s="40"/>
      <c r="M1217" s="240" t="s">
        <v>9226</v>
      </c>
      <c r="N1217" s="29"/>
      <c r="O1217" s="29"/>
      <c r="P1217" s="29"/>
      <c r="Q1217" s="29"/>
      <c r="R1217" s="29"/>
      <c r="S1217" s="29"/>
      <c r="T1217" s="29"/>
      <c r="U1217" s="29"/>
      <c r="V1217" s="29"/>
      <c r="W1217" s="29"/>
      <c r="X1217" s="29"/>
      <c r="Y1217" s="29"/>
      <c r="Z1217" s="29"/>
      <c r="AA1217" s="29"/>
      <c r="AB1217" s="29"/>
      <c r="AC1217" s="29"/>
      <c r="AD1217" s="29"/>
      <c r="AE1217" s="29"/>
      <c r="AF1217" s="29"/>
      <c r="AG1217" s="29"/>
    </row>
    <row r="1218">
      <c r="A1218" s="240" t="s">
        <v>145</v>
      </c>
      <c r="B1218" s="240" t="s">
        <v>1187</v>
      </c>
      <c r="C1218" s="218" t="s">
        <v>9441</v>
      </c>
      <c r="D1218" s="240"/>
      <c r="E1218" s="240" t="s">
        <v>9140</v>
      </c>
      <c r="F1218" s="240" t="s">
        <v>9141</v>
      </c>
      <c r="G1218" s="493">
        <v>46120.0</v>
      </c>
      <c r="H1218" s="638">
        <v>46175.0</v>
      </c>
      <c r="I1218" s="240">
        <f>IFERROR(__xludf.DUMMYFUNCTION("IF(ISBLANK(H1218), TODAY()-TO_DATE(G1218), TO_DATE(H1218)-TO_DATE(G1218))+1"),56.0)</f>
        <v>56</v>
      </c>
      <c r="J1218" s="240" t="s">
        <v>197</v>
      </c>
      <c r="K1218" s="240" t="s">
        <v>9979</v>
      </c>
      <c r="L1218" s="40" t="s">
        <v>8050</v>
      </c>
      <c r="M1218" s="240" t="s">
        <v>9226</v>
      </c>
      <c r="N1218" s="29"/>
      <c r="O1218" s="29"/>
      <c r="P1218" s="29"/>
      <c r="Q1218" s="29"/>
      <c r="R1218" s="29"/>
      <c r="S1218" s="29"/>
      <c r="T1218" s="29"/>
      <c r="U1218" s="29"/>
      <c r="V1218" s="29"/>
      <c r="W1218" s="29"/>
      <c r="X1218" s="29"/>
      <c r="Y1218" s="29"/>
      <c r="Z1218" s="29"/>
      <c r="AA1218" s="29"/>
      <c r="AB1218" s="29"/>
      <c r="AC1218" s="29"/>
      <c r="AD1218" s="29"/>
      <c r="AE1218" s="29"/>
      <c r="AF1218" s="29"/>
      <c r="AG1218" s="29"/>
    </row>
    <row r="1219">
      <c r="A1219" s="240" t="s">
        <v>145</v>
      </c>
      <c r="B1219" s="240" t="s">
        <v>1187</v>
      </c>
      <c r="C1219" s="218" t="s">
        <v>9392</v>
      </c>
      <c r="D1219" s="240"/>
      <c r="E1219" s="240" t="s">
        <v>1311</v>
      </c>
      <c r="F1219" s="240" t="s">
        <v>1312</v>
      </c>
      <c r="G1219" s="493">
        <v>46120.0</v>
      </c>
      <c r="H1219" s="638">
        <v>46175.0</v>
      </c>
      <c r="I1219" s="240">
        <f>IFERROR(__xludf.DUMMYFUNCTION("IF(ISBLANK(H1219), TODAY()-TO_DATE(G1219), TO_DATE(H1219)-TO_DATE(G1219))+1"),56.0)</f>
        <v>56</v>
      </c>
      <c r="J1219" s="240" t="s">
        <v>197</v>
      </c>
      <c r="K1219" s="240" t="s">
        <v>9980</v>
      </c>
      <c r="L1219" s="649" t="s">
        <v>9553</v>
      </c>
      <c r="M1219" s="240" t="s">
        <v>9226</v>
      </c>
      <c r="N1219" s="29"/>
      <c r="O1219" s="29"/>
      <c r="P1219" s="29"/>
      <c r="Q1219" s="29"/>
      <c r="R1219" s="29"/>
      <c r="S1219" s="29"/>
      <c r="T1219" s="29"/>
      <c r="U1219" s="29"/>
      <c r="V1219" s="29"/>
      <c r="W1219" s="29"/>
      <c r="X1219" s="29"/>
      <c r="Y1219" s="29"/>
      <c r="Z1219" s="29"/>
      <c r="AA1219" s="29"/>
      <c r="AB1219" s="29"/>
      <c r="AC1219" s="29"/>
      <c r="AD1219" s="29"/>
      <c r="AE1219" s="29"/>
      <c r="AF1219" s="29"/>
      <c r="AG1219" s="29"/>
    </row>
    <row r="1220">
      <c r="A1220" s="240" t="s">
        <v>1923</v>
      </c>
      <c r="B1220" s="240" t="s">
        <v>1187</v>
      </c>
      <c r="C1220" s="240"/>
      <c r="D1220" s="240"/>
      <c r="E1220" s="240" t="s">
        <v>1781</v>
      </c>
      <c r="F1220" s="240" t="s">
        <v>1782</v>
      </c>
      <c r="G1220" s="493">
        <v>46122.0</v>
      </c>
      <c r="H1220" s="638">
        <v>46187.0</v>
      </c>
      <c r="I1220" s="240">
        <f>IFERROR(__xludf.DUMMYFUNCTION("IF(ISBLANK(H1220), TODAY()-TO_DATE(G1220), TO_DATE(H1220)-TO_DATE(G1220))+1"),66.0)</f>
        <v>66</v>
      </c>
      <c r="J1220" s="240" t="s">
        <v>197</v>
      </c>
      <c r="K1220" s="240" t="s">
        <v>9983</v>
      </c>
      <c r="L1220" s="649" t="s">
        <v>9984</v>
      </c>
      <c r="M1220" s="240" t="s">
        <v>9226</v>
      </c>
      <c r="N1220" s="29"/>
      <c r="O1220" s="29"/>
      <c r="P1220" s="29"/>
      <c r="Q1220" s="29"/>
      <c r="R1220" s="29"/>
      <c r="S1220" s="29"/>
      <c r="T1220" s="29"/>
      <c r="U1220" s="29"/>
      <c r="V1220" s="29"/>
      <c r="W1220" s="29"/>
      <c r="X1220" s="29"/>
      <c r="Y1220" s="29"/>
      <c r="Z1220" s="29"/>
      <c r="AA1220" s="29"/>
      <c r="AB1220" s="29"/>
      <c r="AC1220" s="29"/>
      <c r="AD1220" s="29"/>
      <c r="AE1220" s="29"/>
      <c r="AF1220" s="29"/>
      <c r="AG1220" s="29"/>
    </row>
    <row r="1221">
      <c r="A1221" s="240" t="s">
        <v>9987</v>
      </c>
      <c r="B1221" s="240" t="s">
        <v>1187</v>
      </c>
      <c r="C1221" s="240"/>
      <c r="D1221" s="240"/>
      <c r="E1221" s="240" t="s">
        <v>3094</v>
      </c>
      <c r="F1221" s="240" t="s">
        <v>3095</v>
      </c>
      <c r="G1221" s="493">
        <v>46122.0</v>
      </c>
      <c r="H1221" s="638">
        <v>46187.0</v>
      </c>
      <c r="I1221" s="240">
        <f>IFERROR(__xludf.DUMMYFUNCTION("IF(ISBLANK(H1221), TODAY()-TO_DATE(G1221), TO_DATE(H1221)-TO_DATE(G1221))+1"),66.0)</f>
        <v>66</v>
      </c>
      <c r="J1221" s="240" t="s">
        <v>197</v>
      </c>
      <c r="K1221" s="240" t="s">
        <v>2895</v>
      </c>
      <c r="L1221" s="40"/>
      <c r="M1221" s="240"/>
      <c r="N1221" s="29"/>
      <c r="O1221" s="29"/>
      <c r="P1221" s="29"/>
      <c r="Q1221" s="29"/>
      <c r="R1221" s="29"/>
      <c r="S1221" s="29"/>
      <c r="T1221" s="29"/>
      <c r="U1221" s="29"/>
      <c r="V1221" s="29"/>
      <c r="W1221" s="29"/>
      <c r="X1221" s="29"/>
      <c r="Y1221" s="29"/>
      <c r="Z1221" s="29"/>
      <c r="AA1221" s="29"/>
      <c r="AB1221" s="29"/>
      <c r="AC1221" s="29"/>
      <c r="AD1221" s="29"/>
      <c r="AE1221" s="29"/>
      <c r="AF1221" s="29"/>
      <c r="AG1221" s="29"/>
    </row>
    <row r="1222">
      <c r="A1222" s="240" t="s">
        <v>9987</v>
      </c>
      <c r="B1222" s="240" t="s">
        <v>1187</v>
      </c>
      <c r="C1222" s="240"/>
      <c r="D1222" s="240"/>
      <c r="E1222" s="240" t="s">
        <v>2526</v>
      </c>
      <c r="F1222" s="240" t="s">
        <v>1968</v>
      </c>
      <c r="G1222" s="493">
        <v>46122.0</v>
      </c>
      <c r="H1222" s="638">
        <v>46173.0</v>
      </c>
      <c r="I1222" s="240">
        <f>IFERROR(__xludf.DUMMYFUNCTION("IF(ISBLANK(H1222), TODAY()-TO_DATE(G1222), TO_DATE(H1222)-TO_DATE(G1222))+1"),52.0)</f>
        <v>52</v>
      </c>
      <c r="J1222" s="240" t="s">
        <v>197</v>
      </c>
      <c r="K1222" s="240" t="s">
        <v>9990</v>
      </c>
      <c r="L1222" s="40" t="s">
        <v>9991</v>
      </c>
      <c r="M1222" s="240"/>
      <c r="N1222" s="29"/>
      <c r="O1222" s="29"/>
      <c r="P1222" s="29"/>
      <c r="Q1222" s="29"/>
      <c r="R1222" s="29"/>
      <c r="S1222" s="29"/>
      <c r="T1222" s="29"/>
      <c r="U1222" s="29"/>
      <c r="V1222" s="29"/>
      <c r="W1222" s="29"/>
      <c r="X1222" s="29"/>
      <c r="Y1222" s="29"/>
      <c r="Z1222" s="29"/>
      <c r="AA1222" s="29"/>
      <c r="AB1222" s="29"/>
      <c r="AC1222" s="29"/>
      <c r="AD1222" s="29"/>
      <c r="AE1222" s="29"/>
      <c r="AF1222" s="29"/>
      <c r="AG1222" s="29"/>
    </row>
    <row r="1223">
      <c r="A1223" s="240" t="s">
        <v>9987</v>
      </c>
      <c r="B1223" s="240" t="s">
        <v>1187</v>
      </c>
      <c r="C1223" s="240"/>
      <c r="D1223" s="240"/>
      <c r="E1223" s="240" t="s">
        <v>3008</v>
      </c>
      <c r="F1223" s="240" t="s">
        <v>3009</v>
      </c>
      <c r="G1223" s="493">
        <v>46122.0</v>
      </c>
      <c r="H1223" s="638">
        <v>46173.0</v>
      </c>
      <c r="I1223" s="240">
        <f>IFERROR(__xludf.DUMMYFUNCTION("IF(ISBLANK(H1223), TODAY()-TO_DATE(G1223), TO_DATE(H1223)-TO_DATE(G1223))+1"),52.0)</f>
        <v>52</v>
      </c>
      <c r="J1223" s="240" t="s">
        <v>197</v>
      </c>
      <c r="K1223" s="240" t="s">
        <v>9993</v>
      </c>
      <c r="L1223" s="40"/>
      <c r="M1223" s="240" t="s">
        <v>9226</v>
      </c>
      <c r="N1223" s="29"/>
      <c r="O1223" s="29"/>
      <c r="P1223" s="29"/>
      <c r="Q1223" s="29"/>
      <c r="R1223" s="29"/>
      <c r="S1223" s="29"/>
      <c r="T1223" s="29"/>
      <c r="U1223" s="29"/>
      <c r="V1223" s="29"/>
      <c r="W1223" s="29"/>
      <c r="X1223" s="29"/>
      <c r="Y1223" s="29"/>
      <c r="Z1223" s="29"/>
      <c r="AA1223" s="29"/>
      <c r="AB1223" s="29"/>
      <c r="AC1223" s="29"/>
      <c r="AD1223" s="29"/>
      <c r="AE1223" s="29"/>
      <c r="AF1223" s="29"/>
      <c r="AG1223" s="29"/>
    </row>
    <row r="1224">
      <c r="A1224" s="240" t="s">
        <v>145</v>
      </c>
      <c r="B1224" s="240" t="s">
        <v>1187</v>
      </c>
      <c r="C1224" s="240"/>
      <c r="D1224" s="240"/>
      <c r="E1224" s="240" t="s">
        <v>960</v>
      </c>
      <c r="F1224" s="240" t="s">
        <v>961</v>
      </c>
      <c r="G1224" s="493">
        <v>46122.0</v>
      </c>
      <c r="H1224" s="638">
        <v>46196.0</v>
      </c>
      <c r="I1224" s="240">
        <f>IFERROR(__xludf.DUMMYFUNCTION("IF(ISBLANK(H1224), TODAY()-TO_DATE(G1224), TO_DATE(H1224)-TO_DATE(G1224))+1"),75.0)</f>
        <v>75</v>
      </c>
      <c r="J1224" s="240">
        <v>500.0</v>
      </c>
      <c r="K1224" s="240" t="s">
        <v>9995</v>
      </c>
      <c r="L1224" s="40" t="s">
        <v>9996</v>
      </c>
      <c r="M1224" s="240" t="s">
        <v>9226</v>
      </c>
      <c r="N1224" s="29"/>
      <c r="O1224" s="29"/>
      <c r="P1224" s="29"/>
      <c r="Q1224" s="29"/>
      <c r="R1224" s="29"/>
      <c r="S1224" s="29"/>
      <c r="T1224" s="29"/>
      <c r="U1224" s="29"/>
      <c r="V1224" s="29"/>
      <c r="W1224" s="29"/>
      <c r="X1224" s="29"/>
      <c r="Y1224" s="29"/>
      <c r="Z1224" s="29"/>
      <c r="AA1224" s="29"/>
      <c r="AB1224" s="29"/>
      <c r="AC1224" s="29"/>
      <c r="AD1224" s="29"/>
      <c r="AE1224" s="29"/>
      <c r="AF1224" s="29"/>
      <c r="AG1224" s="29"/>
    </row>
    <row r="1225">
      <c r="A1225" s="240" t="s">
        <v>9987</v>
      </c>
      <c r="B1225" s="240" t="s">
        <v>1187</v>
      </c>
      <c r="C1225" s="240"/>
      <c r="D1225" s="240"/>
      <c r="E1225" s="240" t="s">
        <v>1724</v>
      </c>
      <c r="F1225" s="240" t="s">
        <v>1123</v>
      </c>
      <c r="G1225" s="493">
        <v>46122.0</v>
      </c>
      <c r="H1225" s="638">
        <v>46199.0</v>
      </c>
      <c r="I1225" s="240">
        <f>IFERROR(__xludf.DUMMYFUNCTION("IF(ISBLANK(H1225), TODAY()-TO_DATE(G1225), TO_DATE(H1225)-TO_DATE(G1225))+1"),78.0)</f>
        <v>78</v>
      </c>
      <c r="J1225" s="240">
        <v>500.0</v>
      </c>
      <c r="K1225" s="240" t="s">
        <v>9998</v>
      </c>
      <c r="L1225" s="40"/>
      <c r="M1225" s="240"/>
      <c r="N1225" s="29"/>
      <c r="O1225" s="29"/>
      <c r="P1225" s="29"/>
      <c r="Q1225" s="29"/>
      <c r="R1225" s="29"/>
      <c r="S1225" s="29"/>
      <c r="T1225" s="29"/>
      <c r="U1225" s="29"/>
      <c r="V1225" s="29"/>
      <c r="W1225" s="29"/>
      <c r="X1225" s="29"/>
      <c r="Y1225" s="29"/>
      <c r="Z1225" s="29"/>
      <c r="AA1225" s="29"/>
      <c r="AB1225" s="29"/>
      <c r="AC1225" s="29"/>
      <c r="AD1225" s="29"/>
      <c r="AE1225" s="29"/>
      <c r="AF1225" s="29"/>
      <c r="AG1225" s="29"/>
    </row>
    <row r="1226">
      <c r="A1226" s="240" t="s">
        <v>150</v>
      </c>
      <c r="B1226" s="240" t="s">
        <v>1187</v>
      </c>
      <c r="C1226" s="240"/>
      <c r="D1226" s="240"/>
      <c r="E1226" s="240" t="s">
        <v>1069</v>
      </c>
      <c r="F1226" s="240" t="s">
        <v>1070</v>
      </c>
      <c r="G1226" s="493">
        <v>46122.0</v>
      </c>
      <c r="H1226" s="638">
        <v>46159.0</v>
      </c>
      <c r="I1226" s="240">
        <f>IFERROR(__xludf.DUMMYFUNCTION("IF(ISBLANK(H1226), TODAY()-TO_DATE(G1226), TO_DATE(H1226)-TO_DATE(G1226))+1"),38.0)</f>
        <v>38</v>
      </c>
      <c r="J1226" s="240" t="s">
        <v>197</v>
      </c>
      <c r="K1226" s="240" t="s">
        <v>10000</v>
      </c>
      <c r="L1226" s="40"/>
      <c r="M1226" s="240"/>
      <c r="N1226" s="29"/>
      <c r="O1226" s="29"/>
      <c r="P1226" s="29"/>
      <c r="Q1226" s="29"/>
      <c r="R1226" s="29"/>
      <c r="S1226" s="29"/>
      <c r="T1226" s="29"/>
      <c r="U1226" s="29"/>
      <c r="V1226" s="29"/>
      <c r="W1226" s="29"/>
      <c r="X1226" s="29"/>
      <c r="Y1226" s="29"/>
      <c r="Z1226" s="29"/>
      <c r="AA1226" s="29"/>
      <c r="AB1226" s="29"/>
      <c r="AC1226" s="29"/>
      <c r="AD1226" s="29"/>
      <c r="AE1226" s="29"/>
      <c r="AF1226" s="29"/>
      <c r="AG1226" s="29"/>
    </row>
    <row r="1227">
      <c r="A1227" s="240" t="s">
        <v>2451</v>
      </c>
      <c r="B1227" s="240" t="s">
        <v>1187</v>
      </c>
      <c r="C1227" s="240"/>
      <c r="D1227" s="240"/>
      <c r="E1227" s="240" t="s">
        <v>436</v>
      </c>
      <c r="F1227" s="240" t="s">
        <v>437</v>
      </c>
      <c r="G1227" s="493">
        <v>46123.0</v>
      </c>
      <c r="H1227" s="638">
        <v>46187.0</v>
      </c>
      <c r="I1227" s="240">
        <f>IFERROR(__xludf.DUMMYFUNCTION("IF(ISBLANK(H1227), TODAY()-TO_DATE(G1227), TO_DATE(H1227)-TO_DATE(G1227))+1"),65.0)</f>
        <v>65</v>
      </c>
      <c r="J1227" s="240" t="s">
        <v>197</v>
      </c>
      <c r="K1227" s="240" t="s">
        <v>10003</v>
      </c>
      <c r="L1227" s="649" t="s">
        <v>10004</v>
      </c>
      <c r="M1227" s="240" t="s">
        <v>10005</v>
      </c>
      <c r="N1227" s="29"/>
      <c r="O1227" s="29"/>
      <c r="P1227" s="29"/>
      <c r="Q1227" s="29"/>
      <c r="R1227" s="29"/>
      <c r="S1227" s="29"/>
      <c r="T1227" s="29"/>
      <c r="U1227" s="29"/>
      <c r="V1227" s="29"/>
      <c r="W1227" s="29"/>
      <c r="X1227" s="29"/>
      <c r="Y1227" s="29"/>
      <c r="Z1227" s="29"/>
      <c r="AA1227" s="29"/>
      <c r="AB1227" s="29"/>
      <c r="AC1227" s="29"/>
      <c r="AD1227" s="29"/>
      <c r="AE1227" s="29"/>
      <c r="AF1227" s="29"/>
      <c r="AG1227" s="29"/>
    </row>
    <row r="1228">
      <c r="A1228" s="240" t="s">
        <v>1032</v>
      </c>
      <c r="B1228" s="240" t="s">
        <v>1187</v>
      </c>
      <c r="C1228" s="240"/>
      <c r="D1228" s="240"/>
      <c r="E1228" s="240" t="s">
        <v>1205</v>
      </c>
      <c r="F1228" s="240" t="s">
        <v>1206</v>
      </c>
      <c r="G1228" s="493">
        <v>46123.0</v>
      </c>
      <c r="H1228" s="638">
        <v>46189.0</v>
      </c>
      <c r="I1228" s="240">
        <f>IFERROR(__xludf.DUMMYFUNCTION("IF(ISBLANK(H1228), TODAY()-TO_DATE(G1228), TO_DATE(H1228)-TO_DATE(G1228))+1"),67.0)</f>
        <v>67</v>
      </c>
      <c r="J1228" s="240" t="s">
        <v>197</v>
      </c>
      <c r="K1228" s="240" t="s">
        <v>10006</v>
      </c>
      <c r="L1228" s="40"/>
      <c r="M1228" s="240" t="s">
        <v>9226</v>
      </c>
      <c r="N1228" s="29"/>
      <c r="O1228" s="29"/>
      <c r="P1228" s="29"/>
      <c r="Q1228" s="29"/>
      <c r="R1228" s="29"/>
      <c r="S1228" s="29"/>
      <c r="T1228" s="29"/>
      <c r="U1228" s="29"/>
      <c r="V1228" s="29"/>
      <c r="W1228" s="29"/>
      <c r="X1228" s="29"/>
      <c r="Y1228" s="29"/>
      <c r="Z1228" s="29"/>
      <c r="AA1228" s="29"/>
      <c r="AB1228" s="29"/>
      <c r="AC1228" s="29"/>
      <c r="AD1228" s="29"/>
      <c r="AE1228" s="29"/>
      <c r="AF1228" s="29"/>
      <c r="AG1228" s="29"/>
    </row>
    <row r="1229">
      <c r="A1229" s="240" t="s">
        <v>2451</v>
      </c>
      <c r="B1229" s="240" t="s">
        <v>1187</v>
      </c>
      <c r="C1229" s="240"/>
      <c r="D1229" s="240"/>
      <c r="E1229" s="240" t="s">
        <v>477</v>
      </c>
      <c r="F1229" s="240" t="s">
        <v>478</v>
      </c>
      <c r="G1229" s="493">
        <v>46123.0</v>
      </c>
      <c r="H1229" s="638">
        <v>46189.0</v>
      </c>
      <c r="I1229" s="240">
        <f>IFERROR(__xludf.DUMMYFUNCTION("IF(ISBLANK(H1229), TODAY()-TO_DATE(G1229), TO_DATE(H1229)-TO_DATE(G1229))+1"),67.0)</f>
        <v>67</v>
      </c>
      <c r="J1229" s="240" t="s">
        <v>197</v>
      </c>
      <c r="K1229" s="240" t="s">
        <v>10007</v>
      </c>
      <c r="L1229" s="649" t="s">
        <v>10008</v>
      </c>
      <c r="M1229" s="240" t="s">
        <v>10005</v>
      </c>
      <c r="N1229" s="29"/>
      <c r="O1229" s="29"/>
      <c r="P1229" s="29"/>
      <c r="Q1229" s="29"/>
      <c r="R1229" s="29"/>
      <c r="S1229" s="29"/>
      <c r="T1229" s="29"/>
      <c r="U1229" s="29"/>
      <c r="V1229" s="29"/>
      <c r="W1229" s="29"/>
      <c r="X1229" s="29"/>
      <c r="Y1229" s="29"/>
      <c r="Z1229" s="29"/>
      <c r="AA1229" s="29"/>
      <c r="AB1229" s="29"/>
      <c r="AC1229" s="29"/>
      <c r="AD1229" s="29"/>
      <c r="AE1229" s="29"/>
      <c r="AF1229" s="29"/>
      <c r="AG1229" s="29"/>
    </row>
    <row r="1230">
      <c r="A1230" s="240" t="s">
        <v>1032</v>
      </c>
      <c r="B1230" s="240" t="s">
        <v>1187</v>
      </c>
      <c r="C1230" s="240"/>
      <c r="D1230" s="240"/>
      <c r="E1230" s="240" t="s">
        <v>2640</v>
      </c>
      <c r="F1230" s="240" t="s">
        <v>2641</v>
      </c>
      <c r="G1230" s="493">
        <v>46123.0</v>
      </c>
      <c r="H1230" s="493">
        <v>46123.0</v>
      </c>
      <c r="I1230" s="240">
        <f>IFERROR(__xludf.DUMMYFUNCTION("IF(ISBLANK(H1230), TODAY()-TO_DATE(G1230), TO_DATE(H1230)-TO_DATE(G1230))+1"),1.0)</f>
        <v>1</v>
      </c>
      <c r="J1230" s="240">
        <v>300.0</v>
      </c>
      <c r="K1230" s="240" t="s">
        <v>10010</v>
      </c>
      <c r="L1230" s="240"/>
      <c r="M1230" s="240"/>
      <c r="N1230" s="29"/>
      <c r="O1230" s="29"/>
      <c r="P1230" s="29"/>
      <c r="Q1230" s="29"/>
      <c r="R1230" s="29"/>
      <c r="S1230" s="29"/>
      <c r="T1230" s="29"/>
      <c r="U1230" s="29"/>
      <c r="V1230" s="29"/>
      <c r="W1230" s="29"/>
      <c r="X1230" s="29"/>
      <c r="Y1230" s="29"/>
      <c r="Z1230" s="29"/>
      <c r="AA1230" s="29"/>
      <c r="AB1230" s="29"/>
      <c r="AC1230" s="29"/>
      <c r="AD1230" s="29"/>
      <c r="AE1230" s="29"/>
      <c r="AF1230" s="29"/>
      <c r="AG1230" s="29"/>
    </row>
    <row r="1231">
      <c r="A1231" s="240" t="s">
        <v>2451</v>
      </c>
      <c r="B1231" s="240" t="s">
        <v>1187</v>
      </c>
      <c r="C1231" s="240"/>
      <c r="D1231" s="240"/>
      <c r="E1231" s="240" t="s">
        <v>411</v>
      </c>
      <c r="F1231" s="240" t="s">
        <v>634</v>
      </c>
      <c r="G1231" s="493">
        <v>46125.0</v>
      </c>
      <c r="H1231" s="638">
        <v>46170.0</v>
      </c>
      <c r="I1231" s="240">
        <f>IFERROR(__xludf.DUMMYFUNCTION("IF(ISBLANK(H1231), TODAY()-TO_DATE(G1231), TO_DATE(H1231)-TO_DATE(G1231))+1"),46.0)</f>
        <v>46</v>
      </c>
      <c r="J1231" s="240" t="s">
        <v>197</v>
      </c>
      <c r="K1231" s="240" t="s">
        <v>10012</v>
      </c>
      <c r="L1231" s="40"/>
      <c r="M1231" s="240"/>
      <c r="N1231" s="29"/>
      <c r="O1231" s="29"/>
      <c r="P1231" s="29"/>
      <c r="Q1231" s="29"/>
      <c r="R1231" s="29"/>
      <c r="S1231" s="29"/>
      <c r="T1231" s="29"/>
      <c r="U1231" s="29"/>
      <c r="V1231" s="29"/>
      <c r="W1231" s="29"/>
      <c r="X1231" s="29"/>
      <c r="Y1231" s="29"/>
      <c r="Z1231" s="29"/>
      <c r="AA1231" s="29"/>
      <c r="AB1231" s="29"/>
      <c r="AC1231" s="29"/>
      <c r="AD1231" s="29"/>
      <c r="AE1231" s="29"/>
      <c r="AF1231" s="29"/>
      <c r="AG1231" s="29"/>
    </row>
    <row r="1232">
      <c r="A1232" s="240" t="s">
        <v>150</v>
      </c>
      <c r="B1232" s="240" t="s">
        <v>1187</v>
      </c>
      <c r="C1232" s="240"/>
      <c r="D1232" s="240"/>
      <c r="E1232" s="240" t="s">
        <v>979</v>
      </c>
      <c r="F1232" s="240" t="s">
        <v>980</v>
      </c>
      <c r="G1232" s="153">
        <v>46133.0</v>
      </c>
      <c r="H1232" s="638">
        <v>46166.0</v>
      </c>
      <c r="I1232" s="240">
        <f>IFERROR(__xludf.DUMMYFUNCTION("IF(ISBLANK(H1232), TODAY()-TO_DATE(G1232), TO_DATE(H1232)-TO_DATE(G1232))+1"),34.0)</f>
        <v>34</v>
      </c>
      <c r="J1232" s="240">
        <v>500.0</v>
      </c>
      <c r="K1232" s="240" t="s">
        <v>10016</v>
      </c>
      <c r="L1232" s="40" t="s">
        <v>9929</v>
      </c>
      <c r="M1232" s="240"/>
      <c r="N1232" s="493">
        <v>46125.0</v>
      </c>
      <c r="O1232" s="29"/>
      <c r="P1232" s="29"/>
      <c r="Q1232" s="29"/>
      <c r="R1232" s="29"/>
      <c r="S1232" s="29"/>
      <c r="T1232" s="29"/>
      <c r="U1232" s="29"/>
      <c r="V1232" s="29"/>
      <c r="W1232" s="29"/>
      <c r="X1232" s="29"/>
      <c r="Y1232" s="29"/>
      <c r="Z1232" s="29"/>
      <c r="AA1232" s="29"/>
      <c r="AB1232" s="29"/>
      <c r="AC1232" s="29"/>
      <c r="AD1232" s="29"/>
      <c r="AE1232" s="29"/>
      <c r="AF1232" s="29"/>
      <c r="AG1232" s="29"/>
    </row>
    <row r="1233">
      <c r="A1233" s="240" t="s">
        <v>9359</v>
      </c>
      <c r="B1233" s="240" t="s">
        <v>1187</v>
      </c>
      <c r="C1233" s="240"/>
      <c r="D1233" s="240"/>
      <c r="E1233" s="240" t="s">
        <v>1895</v>
      </c>
      <c r="F1233" s="240" t="s">
        <v>1897</v>
      </c>
      <c r="G1233" s="493">
        <v>46125.0</v>
      </c>
      <c r="H1233" s="638">
        <v>46170.0</v>
      </c>
      <c r="I1233" s="240">
        <f>IFERROR(__xludf.DUMMYFUNCTION("IF(ISBLANK(H1233), TODAY()-TO_DATE(G1233), TO_DATE(H1233)-TO_DATE(G1233))+1"),46.0)</f>
        <v>46</v>
      </c>
      <c r="J1233" s="240" t="s">
        <v>197</v>
      </c>
      <c r="K1233" s="240" t="s">
        <v>10017</v>
      </c>
      <c r="L1233" s="794" t="s">
        <v>9322</v>
      </c>
      <c r="M1233" s="240"/>
      <c r="N1233" s="29"/>
      <c r="O1233" s="29"/>
      <c r="P1233" s="29"/>
      <c r="Q1233" s="29"/>
      <c r="R1233" s="29"/>
      <c r="S1233" s="29"/>
      <c r="T1233" s="29"/>
      <c r="U1233" s="29"/>
      <c r="V1233" s="29"/>
      <c r="W1233" s="29"/>
      <c r="X1233" s="29"/>
      <c r="Y1233" s="29"/>
      <c r="Z1233" s="29"/>
      <c r="AA1233" s="29"/>
      <c r="AB1233" s="29"/>
      <c r="AC1233" s="29"/>
      <c r="AD1233" s="29"/>
      <c r="AE1233" s="29"/>
      <c r="AF1233" s="29"/>
      <c r="AG1233" s="29"/>
    </row>
    <row r="1234">
      <c r="A1234" s="240" t="s">
        <v>9826</v>
      </c>
      <c r="B1234" s="240" t="s">
        <v>1187</v>
      </c>
      <c r="C1234" s="240"/>
      <c r="D1234" s="240"/>
      <c r="E1234" s="240" t="s">
        <v>3018</v>
      </c>
      <c r="F1234" s="240" t="s">
        <v>3019</v>
      </c>
      <c r="G1234" s="153">
        <v>46133.0</v>
      </c>
      <c r="H1234" s="638">
        <v>46207.0</v>
      </c>
      <c r="I1234" s="240">
        <f>IFERROR(__xludf.DUMMYFUNCTION("IF(ISBLANK(H1234), TODAY()-TO_DATE(G1234), TO_DATE(H1234)-TO_DATE(G1234))+1"),75.0)</f>
        <v>75</v>
      </c>
      <c r="J1234" s="240">
        <v>500.0</v>
      </c>
      <c r="K1234" s="240" t="s">
        <v>10018</v>
      </c>
      <c r="L1234" s="40"/>
      <c r="M1234" s="240" t="s">
        <v>9226</v>
      </c>
      <c r="N1234" s="493">
        <v>46125.0</v>
      </c>
      <c r="O1234" s="29"/>
      <c r="P1234" s="29"/>
      <c r="Q1234" s="29"/>
      <c r="R1234" s="29"/>
      <c r="S1234" s="29"/>
      <c r="T1234" s="29"/>
      <c r="U1234" s="29"/>
      <c r="V1234" s="29"/>
      <c r="W1234" s="29"/>
      <c r="X1234" s="29"/>
      <c r="Y1234" s="29"/>
      <c r="Z1234" s="29"/>
      <c r="AA1234" s="29"/>
      <c r="AB1234" s="29"/>
      <c r="AC1234" s="29"/>
      <c r="AD1234" s="29"/>
      <c r="AE1234" s="29"/>
      <c r="AF1234" s="29"/>
      <c r="AG1234" s="29"/>
    </row>
    <row r="1235">
      <c r="A1235" s="240" t="s">
        <v>145</v>
      </c>
      <c r="B1235" s="240" t="s">
        <v>1187</v>
      </c>
      <c r="C1235" s="240"/>
      <c r="D1235" s="240"/>
      <c r="E1235" s="240" t="s">
        <v>3086</v>
      </c>
      <c r="F1235" s="240" t="s">
        <v>3087</v>
      </c>
      <c r="G1235" s="493">
        <v>46125.0</v>
      </c>
      <c r="H1235" s="638">
        <v>46203.0</v>
      </c>
      <c r="I1235" s="240">
        <f>IFERROR(__xludf.DUMMYFUNCTION("IF(ISBLANK(H1235), TODAY()-TO_DATE(G1235), TO_DATE(H1235)-TO_DATE(G1235))+1"),79.0)</f>
        <v>79</v>
      </c>
      <c r="J1235" s="240">
        <v>500.0</v>
      </c>
      <c r="K1235" s="240" t="s">
        <v>10020</v>
      </c>
      <c r="L1235" s="40"/>
      <c r="M1235" s="240"/>
      <c r="N1235" s="29"/>
      <c r="O1235" s="29"/>
      <c r="P1235" s="29"/>
      <c r="Q1235" s="29"/>
      <c r="R1235" s="29"/>
      <c r="S1235" s="29"/>
      <c r="T1235" s="29"/>
      <c r="U1235" s="29"/>
      <c r="V1235" s="29"/>
      <c r="W1235" s="29"/>
      <c r="X1235" s="29"/>
      <c r="Y1235" s="29"/>
      <c r="Z1235" s="29"/>
      <c r="AA1235" s="29"/>
      <c r="AB1235" s="29"/>
      <c r="AC1235" s="29"/>
      <c r="AD1235" s="29"/>
      <c r="AE1235" s="29"/>
      <c r="AF1235" s="29"/>
      <c r="AG1235" s="29"/>
    </row>
    <row r="1236">
      <c r="A1236" s="240" t="s">
        <v>9826</v>
      </c>
      <c r="B1236" s="240" t="s">
        <v>1187</v>
      </c>
      <c r="C1236" s="240"/>
      <c r="D1236" s="240"/>
      <c r="E1236" s="240" t="s">
        <v>8959</v>
      </c>
      <c r="F1236" s="240" t="s">
        <v>10021</v>
      </c>
      <c r="G1236" s="153">
        <v>46133.0</v>
      </c>
      <c r="H1236" s="638">
        <v>46207.0</v>
      </c>
      <c r="I1236" s="240">
        <f>IFERROR(__xludf.DUMMYFUNCTION("IF(ISBLANK(H1236), TODAY()-TO_DATE(G1236), TO_DATE(H1236)-TO_DATE(G1236))+1"),75.0)</f>
        <v>75</v>
      </c>
      <c r="J1236" s="240">
        <v>500.0</v>
      </c>
      <c r="K1236" s="240" t="s">
        <v>10023</v>
      </c>
      <c r="L1236" s="40" t="s">
        <v>9432</v>
      </c>
      <c r="M1236" s="240" t="s">
        <v>9226</v>
      </c>
      <c r="N1236" s="493">
        <v>46125.0</v>
      </c>
      <c r="O1236" s="29"/>
      <c r="P1236" s="29"/>
      <c r="Q1236" s="29"/>
      <c r="R1236" s="29"/>
      <c r="S1236" s="29"/>
      <c r="T1236" s="29"/>
      <c r="U1236" s="29"/>
      <c r="V1236" s="29"/>
      <c r="W1236" s="29"/>
      <c r="X1236" s="29"/>
      <c r="Y1236" s="29"/>
      <c r="Z1236" s="29"/>
      <c r="AA1236" s="29"/>
      <c r="AB1236" s="29"/>
      <c r="AC1236" s="29"/>
      <c r="AD1236" s="29"/>
      <c r="AE1236" s="29"/>
      <c r="AF1236" s="29"/>
      <c r="AG1236" s="29"/>
    </row>
    <row r="1237">
      <c r="A1237" s="240" t="s">
        <v>2451</v>
      </c>
      <c r="B1237" s="240" t="s">
        <v>1187</v>
      </c>
      <c r="C1237" s="240"/>
      <c r="D1237" s="240"/>
      <c r="E1237" s="240" t="s">
        <v>541</v>
      </c>
      <c r="F1237" s="240" t="s">
        <v>203</v>
      </c>
      <c r="G1237" s="493">
        <v>46127.0</v>
      </c>
      <c r="H1237" s="638">
        <v>46193.0</v>
      </c>
      <c r="I1237" s="240">
        <f>IFERROR(__xludf.DUMMYFUNCTION("IF(ISBLANK(H1237), TODAY()-TO_DATE(G1237), TO_DATE(H1237)-TO_DATE(G1237))+1"),67.0)</f>
        <v>67</v>
      </c>
      <c r="J1237" s="240" t="s">
        <v>197</v>
      </c>
      <c r="K1237" s="240" t="s">
        <v>10028</v>
      </c>
      <c r="L1237" s="40"/>
      <c r="M1237" s="240" t="s">
        <v>9226</v>
      </c>
      <c r="N1237" s="29"/>
      <c r="O1237" s="29"/>
      <c r="P1237" s="29"/>
      <c r="Q1237" s="29"/>
      <c r="R1237" s="29"/>
      <c r="S1237" s="29"/>
      <c r="T1237" s="29"/>
      <c r="U1237" s="29"/>
      <c r="V1237" s="29"/>
      <c r="W1237" s="29"/>
      <c r="X1237" s="29"/>
      <c r="Y1237" s="29"/>
      <c r="Z1237" s="29"/>
      <c r="AA1237" s="29"/>
      <c r="AB1237" s="29"/>
      <c r="AC1237" s="29"/>
      <c r="AD1237" s="29"/>
      <c r="AE1237" s="29"/>
      <c r="AF1237" s="29"/>
      <c r="AG1237" s="29"/>
    </row>
    <row r="1238">
      <c r="A1238" s="240" t="s">
        <v>150</v>
      </c>
      <c r="B1238" s="240" t="s">
        <v>1187</v>
      </c>
      <c r="C1238" s="240"/>
      <c r="D1238" s="240"/>
      <c r="E1238" s="240" t="s">
        <v>852</v>
      </c>
      <c r="F1238" s="240" t="s">
        <v>853</v>
      </c>
      <c r="G1238" s="493">
        <v>46127.0</v>
      </c>
      <c r="H1238" s="638">
        <v>46188.0</v>
      </c>
      <c r="I1238" s="240">
        <f>IFERROR(__xludf.DUMMYFUNCTION("IF(ISBLANK(H1238), TODAY()-TO_DATE(G1238), TO_DATE(H1238)-TO_DATE(G1238))+1"),62.0)</f>
        <v>62</v>
      </c>
      <c r="J1238" s="240" t="s">
        <v>197</v>
      </c>
      <c r="K1238" s="240" t="s">
        <v>10029</v>
      </c>
      <c r="L1238" s="240"/>
      <c r="M1238" s="240" t="s">
        <v>9226</v>
      </c>
      <c r="N1238" s="29"/>
      <c r="O1238" s="29"/>
      <c r="P1238" s="29"/>
      <c r="Q1238" s="29"/>
      <c r="R1238" s="29"/>
      <c r="S1238" s="29"/>
      <c r="T1238" s="29"/>
      <c r="U1238" s="29"/>
      <c r="V1238" s="29"/>
      <c r="W1238" s="29"/>
      <c r="X1238" s="29"/>
      <c r="Y1238" s="29"/>
      <c r="Z1238" s="29"/>
      <c r="AA1238" s="29"/>
      <c r="AB1238" s="29"/>
      <c r="AC1238" s="29"/>
      <c r="AD1238" s="29"/>
      <c r="AE1238" s="29"/>
      <c r="AF1238" s="29"/>
      <c r="AG1238" s="29"/>
    </row>
    <row r="1239">
      <c r="A1239" s="240" t="s">
        <v>1566</v>
      </c>
      <c r="B1239" s="240" t="s">
        <v>1187</v>
      </c>
      <c r="C1239" s="240"/>
      <c r="D1239" s="240"/>
      <c r="E1239" s="240" t="s">
        <v>1429</v>
      </c>
      <c r="F1239" s="240" t="s">
        <v>1430</v>
      </c>
      <c r="G1239" s="493">
        <v>46127.0</v>
      </c>
      <c r="H1239" s="638">
        <v>46188.0</v>
      </c>
      <c r="I1239" s="240">
        <f>IFERROR(__xludf.DUMMYFUNCTION("IF(ISBLANK(H1239), TODAY()-TO_DATE(G1239), TO_DATE(H1239)-TO_DATE(G1239))+1"),62.0)</f>
        <v>62</v>
      </c>
      <c r="J1239" s="240" t="s">
        <v>197</v>
      </c>
      <c r="K1239" s="561" t="s">
        <v>10033</v>
      </c>
      <c r="L1239" s="40" t="s">
        <v>10034</v>
      </c>
      <c r="M1239" s="240" t="s">
        <v>9226</v>
      </c>
      <c r="N1239" s="29"/>
      <c r="O1239" s="29"/>
      <c r="P1239" s="29"/>
      <c r="Q1239" s="29"/>
      <c r="R1239" s="29"/>
      <c r="S1239" s="29"/>
      <c r="T1239" s="29"/>
      <c r="U1239" s="29"/>
      <c r="V1239" s="29"/>
      <c r="W1239" s="29"/>
      <c r="X1239" s="29"/>
      <c r="Y1239" s="29"/>
      <c r="Z1239" s="29"/>
      <c r="AA1239" s="29"/>
      <c r="AB1239" s="29"/>
      <c r="AC1239" s="29"/>
      <c r="AD1239" s="29"/>
      <c r="AE1239" s="29"/>
      <c r="AF1239" s="29"/>
      <c r="AG1239" s="29"/>
    </row>
    <row r="1240">
      <c r="A1240" s="240" t="s">
        <v>9094</v>
      </c>
      <c r="B1240" s="240" t="s">
        <v>1187</v>
      </c>
      <c r="C1240" s="240"/>
      <c r="D1240" s="240"/>
      <c r="E1240" s="240" t="s">
        <v>1959</v>
      </c>
      <c r="F1240" s="240" t="s">
        <v>1960</v>
      </c>
      <c r="G1240" s="493">
        <v>46127.0</v>
      </c>
      <c r="H1240" s="638">
        <v>46203.0</v>
      </c>
      <c r="I1240" s="240">
        <f>IFERROR(__xludf.DUMMYFUNCTION("IF(ISBLANK(H1240), TODAY()-TO_DATE(G1240), TO_DATE(H1240)-TO_DATE(G1240))+1"),77.0)</f>
        <v>77</v>
      </c>
      <c r="J1240" s="240" t="s">
        <v>197</v>
      </c>
      <c r="K1240" s="240" t="s">
        <v>10039</v>
      </c>
      <c r="L1240" s="40" t="s">
        <v>10042</v>
      </c>
      <c r="M1240" s="240" t="s">
        <v>9226</v>
      </c>
      <c r="N1240" s="29"/>
      <c r="O1240" s="29"/>
      <c r="P1240" s="29"/>
      <c r="Q1240" s="29"/>
      <c r="R1240" s="29"/>
      <c r="S1240" s="29"/>
      <c r="T1240" s="29"/>
      <c r="U1240" s="29"/>
      <c r="V1240" s="29"/>
      <c r="W1240" s="29"/>
      <c r="X1240" s="29"/>
      <c r="Y1240" s="29"/>
      <c r="Z1240" s="29"/>
      <c r="AA1240" s="29"/>
      <c r="AB1240" s="29"/>
      <c r="AC1240" s="29"/>
      <c r="AD1240" s="29"/>
      <c r="AE1240" s="29"/>
      <c r="AF1240" s="29"/>
      <c r="AG1240" s="29"/>
    </row>
    <row r="1241">
      <c r="A1241" s="240">
        <v>155.0</v>
      </c>
      <c r="B1241" s="240" t="s">
        <v>1187</v>
      </c>
      <c r="C1241" s="240"/>
      <c r="D1241" s="240"/>
      <c r="E1241" s="240" t="s">
        <v>2989</v>
      </c>
      <c r="F1241" s="240" t="s">
        <v>2990</v>
      </c>
      <c r="G1241" s="493">
        <v>46127.0</v>
      </c>
      <c r="H1241" s="638">
        <v>46193.0</v>
      </c>
      <c r="I1241" s="240">
        <f>IFERROR(__xludf.DUMMYFUNCTION("IF(ISBLANK(H1241), TODAY()-TO_DATE(G1241), TO_DATE(H1241)-TO_DATE(G1241))+1"),67.0)</f>
        <v>67</v>
      </c>
      <c r="J1241" s="240" t="s">
        <v>197</v>
      </c>
      <c r="K1241" s="240" t="s">
        <v>10044</v>
      </c>
      <c r="L1241" s="40"/>
      <c r="M1241" s="240" t="s">
        <v>9226</v>
      </c>
      <c r="N1241" s="29"/>
      <c r="O1241" s="29"/>
      <c r="P1241" s="29"/>
      <c r="Q1241" s="29"/>
      <c r="R1241" s="29"/>
      <c r="S1241" s="29"/>
      <c r="T1241" s="29"/>
      <c r="U1241" s="29"/>
      <c r="V1241" s="29"/>
      <c r="W1241" s="29"/>
      <c r="X1241" s="29"/>
      <c r="Y1241" s="29"/>
      <c r="Z1241" s="29"/>
      <c r="AA1241" s="29"/>
      <c r="AB1241" s="29"/>
      <c r="AC1241" s="29"/>
      <c r="AD1241" s="29"/>
      <c r="AE1241" s="29"/>
      <c r="AF1241" s="29"/>
      <c r="AG1241" s="29"/>
    </row>
    <row r="1242">
      <c r="A1242" s="240" t="s">
        <v>9826</v>
      </c>
      <c r="B1242" s="240" t="s">
        <v>1187</v>
      </c>
      <c r="C1242" s="240"/>
      <c r="D1242" s="240"/>
      <c r="E1242" s="240" t="s">
        <v>5562</v>
      </c>
      <c r="F1242" s="240" t="s">
        <v>4560</v>
      </c>
      <c r="G1242" s="493">
        <v>46127.0</v>
      </c>
      <c r="H1242" s="638">
        <v>46131.0</v>
      </c>
      <c r="I1242" s="240">
        <f>IFERROR(__xludf.DUMMYFUNCTION("IF(ISBLANK(H1242), TODAY()-TO_DATE(G1242), TO_DATE(H1242)-TO_DATE(G1242))+1"),5.0)</f>
        <v>5</v>
      </c>
      <c r="J1242" s="240" t="s">
        <v>8926</v>
      </c>
      <c r="K1242" s="609" t="s">
        <v>10047</v>
      </c>
      <c r="L1242" s="240"/>
      <c r="M1242" s="240" t="s">
        <v>9226</v>
      </c>
      <c r="N1242" s="29"/>
      <c r="O1242" s="29"/>
      <c r="P1242" s="29"/>
      <c r="Q1242" s="29"/>
      <c r="R1242" s="29"/>
      <c r="S1242" s="29"/>
      <c r="T1242" s="29"/>
      <c r="U1242" s="29"/>
      <c r="V1242" s="29"/>
      <c r="W1242" s="29"/>
      <c r="X1242" s="29"/>
      <c r="Y1242" s="29"/>
      <c r="Z1242" s="29"/>
      <c r="AA1242" s="29"/>
      <c r="AB1242" s="29"/>
      <c r="AC1242" s="29"/>
      <c r="AD1242" s="29"/>
      <c r="AE1242" s="29"/>
      <c r="AF1242" s="29"/>
      <c r="AG1242" s="29"/>
    </row>
    <row r="1243">
      <c r="A1243" s="240" t="s">
        <v>150</v>
      </c>
      <c r="B1243" s="240" t="s">
        <v>1187</v>
      </c>
      <c r="C1243" s="240"/>
      <c r="D1243" s="240"/>
      <c r="E1243" s="240" t="s">
        <v>897</v>
      </c>
      <c r="F1243" s="240" t="s">
        <v>898</v>
      </c>
      <c r="G1243" s="638">
        <v>46128.0</v>
      </c>
      <c r="H1243" s="638">
        <v>46135.0</v>
      </c>
      <c r="I1243" s="240">
        <f>IFERROR(__xludf.DUMMYFUNCTION("IF(ISBLANK(H1243), TODAY()-TO_DATE(G1243), TO_DATE(H1243)-TO_DATE(G1243))+1"),8.0)</f>
        <v>8</v>
      </c>
      <c r="J1243" s="240" t="s">
        <v>197</v>
      </c>
      <c r="K1243" s="240" t="s">
        <v>10053</v>
      </c>
      <c r="L1243" s="240"/>
      <c r="M1243" s="240" t="s">
        <v>9226</v>
      </c>
      <c r="N1243" s="29"/>
      <c r="O1243" s="29"/>
      <c r="P1243" s="29"/>
      <c r="Q1243" s="29"/>
      <c r="R1243" s="29"/>
      <c r="S1243" s="29"/>
      <c r="T1243" s="29"/>
      <c r="U1243" s="29"/>
      <c r="V1243" s="29"/>
      <c r="W1243" s="29"/>
      <c r="X1243" s="29"/>
      <c r="Y1243" s="29"/>
      <c r="Z1243" s="29"/>
      <c r="AA1243" s="29"/>
      <c r="AB1243" s="29"/>
      <c r="AC1243" s="29"/>
      <c r="AD1243" s="29"/>
      <c r="AE1243" s="29"/>
      <c r="AF1243" s="29"/>
      <c r="AG1243" s="29"/>
    </row>
    <row r="1244">
      <c r="A1244" s="240" t="s">
        <v>1032</v>
      </c>
      <c r="B1244" s="240" t="s">
        <v>1187</v>
      </c>
      <c r="C1244" s="240"/>
      <c r="D1244" s="240"/>
      <c r="E1244" s="240" t="s">
        <v>1373</v>
      </c>
      <c r="F1244" s="240" t="s">
        <v>1229</v>
      </c>
      <c r="G1244" s="638">
        <v>46128.0</v>
      </c>
      <c r="H1244" s="638">
        <v>46179.0</v>
      </c>
      <c r="I1244" s="240">
        <f>IFERROR(__xludf.DUMMYFUNCTION("IF(ISBLANK(H1244), TODAY()-TO_DATE(G1244), TO_DATE(H1244)-TO_DATE(G1244))+1"),52.0)</f>
        <v>52</v>
      </c>
      <c r="J1244" s="240" t="s">
        <v>197</v>
      </c>
      <c r="K1244" s="240" t="s">
        <v>10055</v>
      </c>
      <c r="L1244" s="649" t="s">
        <v>10057</v>
      </c>
      <c r="M1244" s="240" t="s">
        <v>9226</v>
      </c>
      <c r="N1244" s="29"/>
      <c r="O1244" s="29"/>
      <c r="P1244" s="29"/>
      <c r="Q1244" s="29"/>
      <c r="R1244" s="29"/>
      <c r="S1244" s="29"/>
      <c r="T1244" s="29"/>
      <c r="U1244" s="29"/>
      <c r="V1244" s="29"/>
      <c r="W1244" s="29"/>
      <c r="X1244" s="29"/>
      <c r="Y1244" s="29"/>
      <c r="Z1244" s="29"/>
      <c r="AA1244" s="29"/>
      <c r="AB1244" s="29"/>
      <c r="AC1244" s="29"/>
      <c r="AD1244" s="29"/>
      <c r="AE1244" s="29"/>
      <c r="AF1244" s="29"/>
      <c r="AG1244" s="29"/>
    </row>
    <row r="1245">
      <c r="A1245" s="240">
        <v>155.0</v>
      </c>
      <c r="B1245" s="240" t="s">
        <v>1187</v>
      </c>
      <c r="C1245" s="240"/>
      <c r="D1245" s="240"/>
      <c r="E1245" s="240" t="s">
        <v>2977</v>
      </c>
      <c r="F1245" s="240" t="s">
        <v>2978</v>
      </c>
      <c r="G1245" s="153">
        <v>46133.0</v>
      </c>
      <c r="H1245" s="638">
        <v>46204.0</v>
      </c>
      <c r="I1245" s="240">
        <f>IFERROR(__xludf.DUMMYFUNCTION("IF(ISBLANK(H1245), TODAY()-TO_DATE(G1245), TO_DATE(H1245)-TO_DATE(G1245))+1"),72.0)</f>
        <v>72</v>
      </c>
      <c r="J1245" s="240">
        <v>500.0</v>
      </c>
      <c r="K1245" s="240" t="s">
        <v>10060</v>
      </c>
      <c r="L1245" s="40"/>
      <c r="M1245" s="240" t="s">
        <v>9226</v>
      </c>
      <c r="N1245" s="638">
        <v>46128.0</v>
      </c>
      <c r="O1245" s="29"/>
      <c r="P1245" s="29"/>
      <c r="Q1245" s="29"/>
      <c r="R1245" s="29"/>
      <c r="S1245" s="29"/>
      <c r="T1245" s="29"/>
      <c r="U1245" s="29"/>
      <c r="V1245" s="29"/>
      <c r="W1245" s="29"/>
      <c r="X1245" s="29"/>
      <c r="Y1245" s="29"/>
      <c r="Z1245" s="29"/>
      <c r="AA1245" s="29"/>
      <c r="AB1245" s="29"/>
      <c r="AC1245" s="29"/>
      <c r="AD1245" s="29"/>
      <c r="AE1245" s="29"/>
      <c r="AF1245" s="29"/>
      <c r="AG1245" s="29"/>
    </row>
    <row r="1246">
      <c r="A1246" s="240" t="s">
        <v>9826</v>
      </c>
      <c r="B1246" s="240" t="s">
        <v>1187</v>
      </c>
      <c r="C1246" s="240"/>
      <c r="D1246" s="240"/>
      <c r="E1246" s="240" t="s">
        <v>3027</v>
      </c>
      <c r="F1246" s="240" t="s">
        <v>3028</v>
      </c>
      <c r="G1246" s="638">
        <v>46128.0</v>
      </c>
      <c r="H1246" s="638">
        <v>46142.0</v>
      </c>
      <c r="I1246" s="240">
        <f>IFERROR(__xludf.DUMMYFUNCTION("IF(ISBLANK(H1246), TODAY()-TO_DATE(G1246), TO_DATE(H1246)-TO_DATE(G1246))+1"),15.0)</f>
        <v>15</v>
      </c>
      <c r="J1246" s="240" t="s">
        <v>197</v>
      </c>
      <c r="K1246" s="240" t="s">
        <v>10061</v>
      </c>
      <c r="L1246" s="40" t="s">
        <v>10062</v>
      </c>
      <c r="M1246" s="240" t="s">
        <v>9226</v>
      </c>
      <c r="N1246" s="29"/>
      <c r="O1246" s="29"/>
      <c r="P1246" s="29"/>
      <c r="Q1246" s="29"/>
      <c r="R1246" s="29"/>
      <c r="S1246" s="29"/>
      <c r="T1246" s="29"/>
      <c r="U1246" s="29"/>
      <c r="V1246" s="29"/>
      <c r="W1246" s="29"/>
      <c r="X1246" s="29"/>
      <c r="Y1246" s="29"/>
      <c r="Z1246" s="29"/>
      <c r="AA1246" s="29"/>
      <c r="AB1246" s="29"/>
      <c r="AC1246" s="29"/>
      <c r="AD1246" s="29"/>
      <c r="AE1246" s="29"/>
      <c r="AF1246" s="29"/>
      <c r="AG1246" s="29"/>
    </row>
    <row r="1247">
      <c r="A1247" s="240" t="s">
        <v>150</v>
      </c>
      <c r="B1247" s="240" t="s">
        <v>1187</v>
      </c>
      <c r="C1247" s="240"/>
      <c r="D1247" s="240"/>
      <c r="E1247" s="240" t="s">
        <v>6514</v>
      </c>
      <c r="F1247" s="240" t="s">
        <v>6516</v>
      </c>
      <c r="G1247" s="638">
        <v>46130.0</v>
      </c>
      <c r="H1247" s="638">
        <v>46203.0</v>
      </c>
      <c r="I1247" s="240">
        <f>IFERROR(__xludf.DUMMYFUNCTION("IF(ISBLANK(H1247), TODAY()-TO_DATE(G1247), TO_DATE(H1247)-TO_DATE(G1247))+1"),74.0)</f>
        <v>74</v>
      </c>
      <c r="J1247" s="240" t="s">
        <v>197</v>
      </c>
      <c r="K1247" s="240" t="s">
        <v>10067</v>
      </c>
      <c r="L1247" s="997" t="s">
        <v>10068</v>
      </c>
      <c r="M1247" s="240" t="s">
        <v>9226</v>
      </c>
      <c r="N1247" s="29"/>
      <c r="O1247" s="29"/>
      <c r="P1247" s="29"/>
      <c r="Q1247" s="29"/>
      <c r="R1247" s="29"/>
      <c r="S1247" s="29"/>
      <c r="T1247" s="29"/>
      <c r="U1247" s="29"/>
      <c r="V1247" s="29"/>
      <c r="W1247" s="29"/>
      <c r="X1247" s="29"/>
      <c r="Y1247" s="29"/>
      <c r="Z1247" s="29"/>
      <c r="AA1247" s="29"/>
      <c r="AB1247" s="29"/>
      <c r="AC1247" s="29"/>
      <c r="AD1247" s="29"/>
      <c r="AE1247" s="29"/>
      <c r="AF1247" s="29"/>
      <c r="AG1247" s="29"/>
    </row>
    <row r="1248">
      <c r="A1248" s="240" t="s">
        <v>9826</v>
      </c>
      <c r="B1248" s="240" t="s">
        <v>1187</v>
      </c>
      <c r="C1248" s="240"/>
      <c r="D1248" s="240"/>
      <c r="E1248" s="40" t="s">
        <v>1337</v>
      </c>
      <c r="F1248" s="40" t="s">
        <v>1340</v>
      </c>
      <c r="G1248" s="638">
        <v>46130.0</v>
      </c>
      <c r="H1248" s="638">
        <v>46203.0</v>
      </c>
      <c r="I1248" s="240">
        <f>IFERROR(__xludf.DUMMYFUNCTION("IF(ISBLANK(H1248), TODAY()-TO_DATE(G1248), TO_DATE(H1248)-TO_DATE(G1248))+1"),74.0)</f>
        <v>74</v>
      </c>
      <c r="J1248" s="240" t="s">
        <v>197</v>
      </c>
      <c r="K1248" s="692" t="s">
        <v>10070</v>
      </c>
      <c r="L1248" s="69"/>
      <c r="M1248" s="240" t="s">
        <v>9226</v>
      </c>
      <c r="N1248" s="29"/>
      <c r="O1248" s="29"/>
      <c r="P1248" s="29"/>
      <c r="Q1248" s="29"/>
      <c r="R1248" s="29"/>
      <c r="S1248" s="29"/>
      <c r="T1248" s="29"/>
      <c r="U1248" s="29"/>
      <c r="V1248" s="29"/>
      <c r="W1248" s="29"/>
      <c r="X1248" s="29"/>
      <c r="Y1248" s="29"/>
      <c r="Z1248" s="29"/>
      <c r="AA1248" s="29"/>
      <c r="AB1248" s="29"/>
      <c r="AC1248" s="29"/>
      <c r="AD1248" s="29"/>
      <c r="AE1248" s="29"/>
      <c r="AF1248" s="29"/>
      <c r="AG1248" s="29"/>
    </row>
    <row r="1249">
      <c r="A1249" s="240" t="s">
        <v>9826</v>
      </c>
      <c r="B1249" s="240" t="s">
        <v>1187</v>
      </c>
      <c r="C1249" s="240"/>
      <c r="D1249" s="240"/>
      <c r="E1249" s="40" t="s">
        <v>3002</v>
      </c>
      <c r="F1249" s="40" t="s">
        <v>244</v>
      </c>
      <c r="G1249" s="638">
        <v>46130.0</v>
      </c>
      <c r="H1249" s="638">
        <v>46195.0</v>
      </c>
      <c r="I1249" s="240">
        <f>IFERROR(__xludf.DUMMYFUNCTION("IF(ISBLANK(H1249), TODAY()-TO_DATE(G1249), TO_DATE(H1249)-TO_DATE(G1249))+1"),66.0)</f>
        <v>66</v>
      </c>
      <c r="J1249" s="240" t="s">
        <v>197</v>
      </c>
      <c r="K1249" s="561" t="s">
        <v>10073</v>
      </c>
      <c r="L1249" s="69" t="s">
        <v>10074</v>
      </c>
      <c r="M1249" s="240" t="s">
        <v>9226</v>
      </c>
      <c r="N1249" s="29"/>
      <c r="O1249" s="29"/>
      <c r="P1249" s="29"/>
      <c r="Q1249" s="29"/>
      <c r="R1249" s="29"/>
      <c r="S1249" s="29"/>
      <c r="T1249" s="29"/>
      <c r="U1249" s="29"/>
      <c r="V1249" s="29"/>
      <c r="W1249" s="29"/>
      <c r="X1249" s="29"/>
      <c r="Y1249" s="29"/>
      <c r="Z1249" s="29"/>
      <c r="AA1249" s="29"/>
      <c r="AB1249" s="29"/>
      <c r="AC1249" s="29"/>
      <c r="AD1249" s="29"/>
      <c r="AE1249" s="29"/>
      <c r="AF1249" s="29"/>
      <c r="AG1249" s="29"/>
    </row>
    <row r="1250">
      <c r="A1250" s="240" t="s">
        <v>9826</v>
      </c>
      <c r="B1250" s="240" t="s">
        <v>1187</v>
      </c>
      <c r="C1250" s="240"/>
      <c r="D1250" s="240"/>
      <c r="E1250" s="40" t="s">
        <v>10076</v>
      </c>
      <c r="F1250" s="40" t="s">
        <v>10077</v>
      </c>
      <c r="G1250" s="638">
        <v>46130.0</v>
      </c>
      <c r="H1250" s="638">
        <v>46133.0</v>
      </c>
      <c r="I1250" s="240">
        <f>IFERROR(__xludf.DUMMYFUNCTION("IF(ISBLANK(H1250), TODAY()-TO_DATE(G1250), TO_DATE(H1250)-TO_DATE(G1250))+1"),4.0)</f>
        <v>4</v>
      </c>
      <c r="J1250" s="240">
        <v>300.0</v>
      </c>
      <c r="K1250" s="240" t="s">
        <v>10079</v>
      </c>
      <c r="L1250" s="240"/>
      <c r="M1250" s="240" t="s">
        <v>9226</v>
      </c>
      <c r="N1250" s="29"/>
      <c r="O1250" s="29"/>
      <c r="P1250" s="29"/>
      <c r="Q1250" s="29"/>
      <c r="R1250" s="29"/>
      <c r="S1250" s="29"/>
      <c r="T1250" s="29"/>
      <c r="U1250" s="29"/>
      <c r="V1250" s="29"/>
      <c r="W1250" s="29"/>
      <c r="X1250" s="29"/>
      <c r="Y1250" s="29"/>
      <c r="Z1250" s="29"/>
      <c r="AA1250" s="29"/>
      <c r="AB1250" s="29"/>
      <c r="AC1250" s="29"/>
      <c r="AD1250" s="29"/>
      <c r="AE1250" s="29"/>
      <c r="AF1250" s="29"/>
      <c r="AG1250" s="29"/>
    </row>
    <row r="1251">
      <c r="A1251" s="240" t="s">
        <v>150</v>
      </c>
      <c r="B1251" s="240" t="s">
        <v>1187</v>
      </c>
      <c r="C1251" s="240"/>
      <c r="D1251" s="240"/>
      <c r="E1251" s="40" t="s">
        <v>801</v>
      </c>
      <c r="F1251" s="40" t="s">
        <v>802</v>
      </c>
      <c r="G1251" s="638">
        <v>46131.0</v>
      </c>
      <c r="H1251" s="638">
        <v>46220.0</v>
      </c>
      <c r="I1251" s="240">
        <f>IFERROR(__xludf.DUMMYFUNCTION("IF(ISBLANK(H1251), TODAY()-TO_DATE(G1251), TO_DATE(H1251)-TO_DATE(G1251))+1"),90.0)</f>
        <v>90</v>
      </c>
      <c r="J1251" s="240">
        <v>300.0</v>
      </c>
      <c r="K1251" s="609" t="s">
        <v>10082</v>
      </c>
      <c r="L1251" s="999" t="s">
        <v>10084</v>
      </c>
      <c r="M1251" s="240"/>
      <c r="N1251" s="29"/>
      <c r="O1251" s="29"/>
      <c r="P1251" s="29"/>
      <c r="Q1251" s="29"/>
      <c r="R1251" s="29"/>
      <c r="S1251" s="29"/>
      <c r="T1251" s="29"/>
      <c r="U1251" s="29"/>
      <c r="V1251" s="29"/>
      <c r="W1251" s="29"/>
      <c r="X1251" s="29"/>
      <c r="Y1251" s="29"/>
      <c r="Z1251" s="29"/>
      <c r="AA1251" s="29"/>
      <c r="AB1251" s="29"/>
      <c r="AC1251" s="29"/>
      <c r="AD1251" s="29"/>
      <c r="AE1251" s="29"/>
      <c r="AF1251" s="29"/>
      <c r="AG1251" s="29"/>
    </row>
    <row r="1252">
      <c r="A1252" s="240" t="s">
        <v>150</v>
      </c>
      <c r="B1252" s="240" t="s">
        <v>1187</v>
      </c>
      <c r="C1252" s="240"/>
      <c r="D1252" s="240"/>
      <c r="E1252" s="40" t="s">
        <v>1006</v>
      </c>
      <c r="F1252" s="40" t="s">
        <v>1007</v>
      </c>
      <c r="G1252" s="638">
        <v>46131.0</v>
      </c>
      <c r="H1252" s="638">
        <v>46222.0</v>
      </c>
      <c r="I1252" s="240">
        <f>IFERROR(__xludf.DUMMYFUNCTION("IF(ISBLANK(H1252), TODAY()-TO_DATE(G1252), TO_DATE(H1252)-TO_DATE(G1252))+1"),92.0)</f>
        <v>92</v>
      </c>
      <c r="J1252" s="240" t="s">
        <v>197</v>
      </c>
      <c r="K1252" s="240" t="s">
        <v>10085</v>
      </c>
      <c r="L1252" s="997" t="s">
        <v>10086</v>
      </c>
      <c r="M1252" s="240" t="s">
        <v>9226</v>
      </c>
      <c r="N1252" s="29"/>
      <c r="O1252" s="29"/>
      <c r="P1252" s="29"/>
      <c r="Q1252" s="29"/>
      <c r="R1252" s="29"/>
      <c r="S1252" s="29"/>
      <c r="T1252" s="29"/>
      <c r="U1252" s="29"/>
      <c r="V1252" s="29"/>
      <c r="W1252" s="29"/>
      <c r="X1252" s="29"/>
      <c r="Y1252" s="29"/>
      <c r="Z1252" s="29"/>
      <c r="AA1252" s="29"/>
      <c r="AB1252" s="29"/>
      <c r="AC1252" s="29"/>
      <c r="AD1252" s="29"/>
      <c r="AE1252" s="29"/>
      <c r="AF1252" s="29"/>
      <c r="AG1252" s="29"/>
    </row>
    <row r="1253">
      <c r="A1253" s="240" t="s">
        <v>150</v>
      </c>
      <c r="B1253" s="240" t="s">
        <v>1187</v>
      </c>
      <c r="C1253" s="240"/>
      <c r="D1253" s="240"/>
      <c r="E1253" s="40" t="s">
        <v>906</v>
      </c>
      <c r="F1253" s="40" t="s">
        <v>908</v>
      </c>
      <c r="G1253" s="153">
        <v>46133.0</v>
      </c>
      <c r="H1253" s="638">
        <v>46213.0</v>
      </c>
      <c r="I1253" s="240">
        <f>IFERROR(__xludf.DUMMYFUNCTION("IF(ISBLANK(H1253), TODAY()-TO_DATE(G1253), TO_DATE(H1253)-TO_DATE(G1253))+1"),81.0)</f>
        <v>81</v>
      </c>
      <c r="J1253" s="240">
        <v>500.0</v>
      </c>
      <c r="K1253" s="609" t="s">
        <v>10088</v>
      </c>
      <c r="L1253" s="69"/>
      <c r="M1253" s="240" t="s">
        <v>9226</v>
      </c>
      <c r="N1253" s="638">
        <v>46131.0</v>
      </c>
      <c r="O1253" s="29"/>
      <c r="P1253" s="29"/>
      <c r="Q1253" s="29"/>
      <c r="R1253" s="29"/>
      <c r="S1253" s="29"/>
      <c r="T1253" s="29"/>
      <c r="U1253" s="29"/>
      <c r="V1253" s="29"/>
      <c r="W1253" s="29"/>
      <c r="X1253" s="29"/>
      <c r="Y1253" s="29"/>
      <c r="Z1253" s="29"/>
      <c r="AA1253" s="29"/>
      <c r="AB1253" s="29"/>
      <c r="AC1253" s="29"/>
      <c r="AD1253" s="29"/>
      <c r="AE1253" s="29"/>
      <c r="AF1253" s="29"/>
      <c r="AG1253" s="29"/>
    </row>
    <row r="1254">
      <c r="A1254" s="240" t="s">
        <v>145</v>
      </c>
      <c r="B1254" s="240" t="s">
        <v>1187</v>
      </c>
      <c r="C1254" s="240"/>
      <c r="D1254" s="240"/>
      <c r="E1254" s="40" t="s">
        <v>1705</v>
      </c>
      <c r="F1254" s="40" t="s">
        <v>1666</v>
      </c>
      <c r="G1254" s="153">
        <v>46133.0</v>
      </c>
      <c r="H1254" s="638">
        <v>46213.0</v>
      </c>
      <c r="I1254" s="240">
        <f>IFERROR(__xludf.DUMMYFUNCTION("IF(ISBLANK(H1254), TODAY()-TO_DATE(G1254), TO_DATE(H1254)-TO_DATE(G1254))+1"),81.0)</f>
        <v>81</v>
      </c>
      <c r="J1254" s="240">
        <v>500.0</v>
      </c>
      <c r="K1254" s="609" t="s">
        <v>10094</v>
      </c>
      <c r="L1254" s="999" t="s">
        <v>10095</v>
      </c>
      <c r="M1254" s="240" t="s">
        <v>9226</v>
      </c>
      <c r="N1254" s="638">
        <v>46131.0</v>
      </c>
      <c r="O1254" s="29"/>
      <c r="P1254" s="29"/>
      <c r="Q1254" s="29"/>
      <c r="R1254" s="29"/>
      <c r="S1254" s="29"/>
      <c r="T1254" s="29"/>
      <c r="U1254" s="29"/>
      <c r="V1254" s="29"/>
      <c r="W1254" s="29"/>
      <c r="X1254" s="29"/>
      <c r="Y1254" s="29"/>
      <c r="Z1254" s="29"/>
      <c r="AA1254" s="29"/>
      <c r="AB1254" s="29"/>
      <c r="AC1254" s="29"/>
      <c r="AD1254" s="29"/>
      <c r="AE1254" s="29"/>
      <c r="AF1254" s="29"/>
      <c r="AG1254" s="29"/>
    </row>
    <row r="1255">
      <c r="A1255" s="240" t="s">
        <v>150</v>
      </c>
      <c r="B1255" s="240" t="s">
        <v>1187</v>
      </c>
      <c r="C1255" s="240"/>
      <c r="D1255" s="240"/>
      <c r="E1255" s="40" t="s">
        <v>816</v>
      </c>
      <c r="F1255" s="40" t="s">
        <v>817</v>
      </c>
      <c r="G1255" s="638">
        <v>46131.0</v>
      </c>
      <c r="H1255" s="638">
        <v>46152.0</v>
      </c>
      <c r="I1255" s="240">
        <f>IFERROR(__xludf.DUMMYFUNCTION("IF(ISBLANK(H1255), TODAY()-TO_DATE(G1255), TO_DATE(H1255)-TO_DATE(G1255))+1"),22.0)</f>
        <v>22</v>
      </c>
      <c r="J1255" s="240" t="s">
        <v>197</v>
      </c>
      <c r="K1255" s="240" t="s">
        <v>10097</v>
      </c>
      <c r="L1255" s="69"/>
      <c r="M1255" s="240" t="s">
        <v>9226</v>
      </c>
      <c r="N1255" s="29"/>
      <c r="O1255" s="29"/>
      <c r="P1255" s="29"/>
      <c r="Q1255" s="29"/>
      <c r="R1255" s="29"/>
      <c r="S1255" s="29"/>
      <c r="T1255" s="29"/>
      <c r="U1255" s="29"/>
      <c r="V1255" s="29"/>
      <c r="W1255" s="29"/>
      <c r="X1255" s="29"/>
      <c r="Y1255" s="29"/>
      <c r="Z1255" s="29"/>
      <c r="AA1255" s="29"/>
      <c r="AB1255" s="29"/>
      <c r="AC1255" s="29"/>
      <c r="AD1255" s="29"/>
      <c r="AE1255" s="29"/>
      <c r="AF1255" s="29"/>
      <c r="AG1255" s="29"/>
    </row>
    <row r="1256">
      <c r="A1256" s="240" t="s">
        <v>9987</v>
      </c>
      <c r="B1256" s="240" t="s">
        <v>1187</v>
      </c>
      <c r="C1256" s="240"/>
      <c r="D1256" s="240"/>
      <c r="E1256" s="40" t="s">
        <v>8961</v>
      </c>
      <c r="F1256" s="40" t="s">
        <v>10100</v>
      </c>
      <c r="G1256" s="638">
        <v>46131.0</v>
      </c>
      <c r="H1256" s="638">
        <v>46152.0</v>
      </c>
      <c r="I1256" s="240">
        <f>IFERROR(__xludf.DUMMYFUNCTION("IF(ISBLANK(H1256), TODAY()-TO_DATE(G1256), TO_DATE(H1256)-TO_DATE(G1256))+1"),22.0)</f>
        <v>22</v>
      </c>
      <c r="J1256" s="240" t="s">
        <v>197</v>
      </c>
      <c r="K1256" s="240" t="s">
        <v>10102</v>
      </c>
      <c r="L1256" s="997" t="s">
        <v>10103</v>
      </c>
      <c r="M1256" s="240" t="s">
        <v>9226</v>
      </c>
      <c r="N1256" s="29"/>
      <c r="O1256" s="29"/>
      <c r="P1256" s="29"/>
      <c r="Q1256" s="29"/>
      <c r="R1256" s="29"/>
      <c r="S1256" s="29"/>
      <c r="T1256" s="29"/>
      <c r="U1256" s="29"/>
      <c r="V1256" s="29"/>
      <c r="W1256" s="29"/>
      <c r="X1256" s="29"/>
      <c r="Y1256" s="29"/>
      <c r="Z1256" s="29"/>
      <c r="AA1256" s="29"/>
      <c r="AB1256" s="29"/>
      <c r="AC1256" s="29"/>
      <c r="AD1256" s="29"/>
      <c r="AE1256" s="29"/>
      <c r="AF1256" s="29"/>
      <c r="AG1256" s="29"/>
    </row>
    <row r="1257">
      <c r="A1257" s="240" t="s">
        <v>150</v>
      </c>
      <c r="B1257" s="76" t="s">
        <v>1187</v>
      </c>
      <c r="C1257" s="76"/>
      <c r="D1257" s="76"/>
      <c r="E1257" s="40" t="s">
        <v>1061</v>
      </c>
      <c r="F1257" s="40" t="s">
        <v>1062</v>
      </c>
      <c r="G1257" s="153">
        <v>46133.0</v>
      </c>
      <c r="H1257" s="153">
        <v>46205.0</v>
      </c>
      <c r="I1257" s="76">
        <f>IFERROR(__xludf.DUMMYFUNCTION("IF(ISBLANK(H1257), TODAY()-TO_DATE(G1257), TO_DATE(H1257)-TO_DATE(G1257))+1"),73.0)</f>
        <v>73</v>
      </c>
      <c r="J1257" s="76">
        <v>500.0</v>
      </c>
      <c r="K1257" s="40" t="s">
        <v>10105</v>
      </c>
      <c r="L1257" s="69" t="s">
        <v>10106</v>
      </c>
      <c r="M1257" s="76"/>
      <c r="N1257" s="153">
        <v>46132.0</v>
      </c>
      <c r="O1257" s="29"/>
      <c r="P1257" s="29"/>
      <c r="Q1257" s="29"/>
      <c r="R1257" s="29"/>
      <c r="S1257" s="29"/>
      <c r="T1257" s="29"/>
      <c r="U1257" s="29"/>
      <c r="V1257" s="29"/>
      <c r="W1257" s="29"/>
      <c r="X1257" s="29"/>
      <c r="Y1257" s="29"/>
      <c r="Z1257" s="29"/>
      <c r="AA1257" s="29"/>
      <c r="AB1257" s="29"/>
      <c r="AC1257" s="29"/>
      <c r="AD1257" s="29"/>
      <c r="AE1257" s="29"/>
      <c r="AF1257" s="29"/>
      <c r="AG1257" s="29"/>
    </row>
    <row r="1258">
      <c r="A1258" s="240" t="s">
        <v>9987</v>
      </c>
      <c r="B1258" s="76" t="s">
        <v>1187</v>
      </c>
      <c r="C1258" s="76"/>
      <c r="D1258" s="76"/>
      <c r="E1258" s="40" t="s">
        <v>10108</v>
      </c>
      <c r="F1258" s="40" t="s">
        <v>1674</v>
      </c>
      <c r="G1258" s="153">
        <v>46132.0</v>
      </c>
      <c r="H1258" s="153">
        <v>46141.0</v>
      </c>
      <c r="I1258" s="76">
        <f>IFERROR(__xludf.DUMMYFUNCTION("IF(ISBLANK(H1258), TODAY()-TO_DATE(G1258), TO_DATE(H1258)-TO_DATE(G1258))+1"),10.0)</f>
        <v>10</v>
      </c>
      <c r="J1258" s="76">
        <v>200.0</v>
      </c>
      <c r="K1258" s="40" t="s">
        <v>10110</v>
      </c>
      <c r="L1258" s="69"/>
      <c r="M1258" s="76" t="s">
        <v>9226</v>
      </c>
      <c r="N1258" s="29"/>
      <c r="O1258" s="29"/>
      <c r="P1258" s="29"/>
      <c r="Q1258" s="29"/>
      <c r="R1258" s="29"/>
      <c r="S1258" s="29"/>
      <c r="T1258" s="29"/>
      <c r="U1258" s="29"/>
      <c r="V1258" s="29"/>
      <c r="W1258" s="29"/>
      <c r="X1258" s="29"/>
      <c r="Y1258" s="29"/>
      <c r="Z1258" s="29"/>
      <c r="AA1258" s="29"/>
      <c r="AB1258" s="29"/>
      <c r="AC1258" s="29"/>
      <c r="AD1258" s="29"/>
      <c r="AE1258" s="29"/>
      <c r="AF1258" s="29"/>
      <c r="AG1258" s="29"/>
    </row>
    <row r="1259">
      <c r="A1259" s="240" t="s">
        <v>1032</v>
      </c>
      <c r="B1259" s="76" t="s">
        <v>1187</v>
      </c>
      <c r="C1259" s="76"/>
      <c r="D1259" s="76"/>
      <c r="E1259" s="40" t="s">
        <v>2080</v>
      </c>
      <c r="F1259" s="40" t="s">
        <v>2081</v>
      </c>
      <c r="G1259" s="153">
        <v>46132.0</v>
      </c>
      <c r="H1259" s="153">
        <v>46210.0</v>
      </c>
      <c r="I1259" s="76">
        <f>IFERROR(__xludf.DUMMYFUNCTION("IF(ISBLANK(H1259), TODAY()-TO_DATE(G1259), TO_DATE(H1259)-TO_DATE(G1259))+1"),79.0)</f>
        <v>79</v>
      </c>
      <c r="J1259" s="76">
        <v>500.0</v>
      </c>
      <c r="K1259" s="40" t="s">
        <v>10111</v>
      </c>
      <c r="L1259" s="69" t="s">
        <v>10112</v>
      </c>
      <c r="M1259" s="76" t="s">
        <v>9226</v>
      </c>
      <c r="N1259" s="29"/>
      <c r="O1259" s="29"/>
      <c r="P1259" s="29"/>
      <c r="Q1259" s="29"/>
      <c r="R1259" s="29"/>
      <c r="S1259" s="29"/>
      <c r="T1259" s="29"/>
      <c r="U1259" s="29"/>
      <c r="V1259" s="29"/>
      <c r="W1259" s="29"/>
      <c r="X1259" s="29"/>
      <c r="Y1259" s="29"/>
      <c r="Z1259" s="29"/>
      <c r="AA1259" s="29"/>
      <c r="AB1259" s="29"/>
      <c r="AC1259" s="29"/>
      <c r="AD1259" s="29"/>
      <c r="AE1259" s="29"/>
      <c r="AF1259" s="29"/>
      <c r="AG1259" s="29"/>
    </row>
    <row r="1260">
      <c r="A1260" s="240" t="s">
        <v>1032</v>
      </c>
      <c r="B1260" s="76" t="s">
        <v>1187</v>
      </c>
      <c r="C1260" s="76"/>
      <c r="D1260" s="76"/>
      <c r="E1260" s="40" t="s">
        <v>2970</v>
      </c>
      <c r="F1260" s="40" t="s">
        <v>2971</v>
      </c>
      <c r="G1260" s="153">
        <v>46133.0</v>
      </c>
      <c r="H1260" s="153">
        <v>46210.0</v>
      </c>
      <c r="I1260" s="76">
        <f>IFERROR(__xludf.DUMMYFUNCTION("IF(ISBLANK(H1260), TODAY()-TO_DATE(G1260), TO_DATE(H1260)-TO_DATE(G1260))+1"),78.0)</f>
        <v>78</v>
      </c>
      <c r="J1260" s="76">
        <v>500.0</v>
      </c>
      <c r="K1260" s="40" t="s">
        <v>10115</v>
      </c>
      <c r="L1260" s="69"/>
      <c r="M1260" s="76" t="s">
        <v>9226</v>
      </c>
      <c r="N1260" s="153">
        <v>46132.0</v>
      </c>
      <c r="O1260" s="29"/>
      <c r="P1260" s="29"/>
      <c r="Q1260" s="29"/>
      <c r="R1260" s="29"/>
      <c r="S1260" s="29"/>
      <c r="T1260" s="29"/>
      <c r="U1260" s="29"/>
      <c r="V1260" s="29"/>
      <c r="W1260" s="29"/>
      <c r="X1260" s="29"/>
      <c r="Y1260" s="29"/>
      <c r="Z1260" s="29"/>
      <c r="AA1260" s="29"/>
      <c r="AB1260" s="29"/>
      <c r="AC1260" s="29"/>
      <c r="AD1260" s="29"/>
      <c r="AE1260" s="29"/>
      <c r="AF1260" s="29"/>
      <c r="AG1260" s="29"/>
    </row>
    <row r="1261">
      <c r="A1261" s="240">
        <v>155.0</v>
      </c>
      <c r="B1261" s="240" t="s">
        <v>1187</v>
      </c>
      <c r="C1261" s="240"/>
      <c r="D1261" s="240"/>
      <c r="E1261" s="27" t="s">
        <v>2950</v>
      </c>
      <c r="F1261" s="40" t="s">
        <v>2951</v>
      </c>
      <c r="G1261" s="638">
        <v>46133.0</v>
      </c>
      <c r="H1261" s="638">
        <v>46158.0</v>
      </c>
      <c r="I1261" s="240">
        <f>IFERROR(__xludf.DUMMYFUNCTION("IF(ISBLANK(H1261), TODAY()-TO_DATE(G1261), TO_DATE(H1261)-TO_DATE(G1261))+1"),26.0)</f>
        <v>26</v>
      </c>
      <c r="J1261" s="240" t="s">
        <v>197</v>
      </c>
      <c r="K1261" s="40" t="s">
        <v>10121</v>
      </c>
      <c r="L1261" s="69" t="s">
        <v>10122</v>
      </c>
      <c r="M1261" s="240"/>
      <c r="N1261" s="29"/>
      <c r="O1261" s="29"/>
      <c r="P1261" s="29"/>
      <c r="Q1261" s="29"/>
      <c r="R1261" s="29"/>
      <c r="S1261" s="29"/>
      <c r="T1261" s="29"/>
      <c r="U1261" s="29"/>
      <c r="V1261" s="29"/>
      <c r="W1261" s="29"/>
      <c r="X1261" s="29"/>
      <c r="Y1261" s="29"/>
      <c r="Z1261" s="29"/>
      <c r="AA1261" s="29"/>
      <c r="AB1261" s="29"/>
      <c r="AC1261" s="29"/>
      <c r="AD1261" s="29"/>
      <c r="AE1261" s="29"/>
      <c r="AF1261" s="29"/>
      <c r="AG1261" s="29"/>
    </row>
    <row r="1262">
      <c r="A1262" s="240" t="s">
        <v>9094</v>
      </c>
      <c r="B1262" s="76" t="s">
        <v>1187</v>
      </c>
      <c r="C1262" s="76"/>
      <c r="D1262" s="76"/>
      <c r="E1262" s="27" t="s">
        <v>1976</v>
      </c>
      <c r="F1262" s="27" t="s">
        <v>1977</v>
      </c>
      <c r="G1262" s="638">
        <v>46133.0</v>
      </c>
      <c r="H1262" s="153">
        <v>46158.0</v>
      </c>
      <c r="I1262" s="76">
        <f>IFERROR(__xludf.DUMMYFUNCTION("IF(ISBLANK(H1262), TODAY()-TO_DATE(G1262), TO_DATE(H1262)-TO_DATE(G1262))+1"),26.0)</f>
        <v>26</v>
      </c>
      <c r="J1262" s="76" t="s">
        <v>197</v>
      </c>
      <c r="K1262" s="27" t="s">
        <v>10125</v>
      </c>
      <c r="L1262" s="69" t="s">
        <v>10126</v>
      </c>
      <c r="M1262" s="76" t="s">
        <v>9226</v>
      </c>
      <c r="N1262" s="763"/>
      <c r="O1262" s="763"/>
      <c r="P1262" s="763"/>
      <c r="Q1262" s="763"/>
      <c r="R1262" s="763"/>
      <c r="S1262" s="763"/>
      <c r="T1262" s="763"/>
      <c r="U1262" s="763"/>
      <c r="V1262" s="763"/>
      <c r="W1262" s="763"/>
      <c r="X1262" s="763"/>
      <c r="Y1262" s="763"/>
      <c r="Z1262" s="763"/>
      <c r="AA1262" s="763"/>
      <c r="AB1262" s="763"/>
      <c r="AC1262" s="763"/>
      <c r="AD1262" s="763"/>
      <c r="AE1262" s="763"/>
      <c r="AF1262" s="763"/>
      <c r="AG1262" s="763"/>
    </row>
    <row r="1263">
      <c r="A1263" s="40" t="s">
        <v>2451</v>
      </c>
      <c r="B1263" s="76" t="s">
        <v>1187</v>
      </c>
      <c r="C1263" s="76"/>
      <c r="D1263" s="76"/>
      <c r="E1263" s="40" t="s">
        <v>2608</v>
      </c>
      <c r="F1263" s="40" t="s">
        <v>400</v>
      </c>
      <c r="G1263" s="153">
        <v>46134.0</v>
      </c>
      <c r="H1263" s="153">
        <v>46142.0</v>
      </c>
      <c r="I1263" s="76">
        <f>IFERROR(__xludf.DUMMYFUNCTION("IF(ISBLANK(H1263), TODAY()-TO_DATE(G1263), TO_DATE(H1263)-TO_DATE(G1263))+1"),9.0)</f>
        <v>9</v>
      </c>
      <c r="J1263" s="76">
        <v>300.0</v>
      </c>
      <c r="K1263" s="40" t="s">
        <v>10129</v>
      </c>
      <c r="L1263" s="69"/>
      <c r="M1263" s="153" t="s">
        <v>9226</v>
      </c>
      <c r="N1263" s="76"/>
      <c r="O1263" s="76"/>
      <c r="P1263" s="76"/>
      <c r="Q1263" s="40"/>
      <c r="R1263" s="40"/>
      <c r="S1263" s="76"/>
      <c r="T1263" s="29"/>
      <c r="U1263" s="29"/>
      <c r="V1263" s="29"/>
      <c r="W1263" s="29"/>
      <c r="X1263" s="29"/>
      <c r="Y1263" s="29"/>
      <c r="Z1263" s="29"/>
      <c r="AA1263" s="29"/>
      <c r="AB1263" s="29"/>
      <c r="AC1263" s="29"/>
      <c r="AD1263" s="29"/>
      <c r="AE1263" s="29"/>
      <c r="AF1263" s="29"/>
      <c r="AG1263" s="29"/>
    </row>
    <row r="1264">
      <c r="A1264" s="240" t="s">
        <v>145</v>
      </c>
      <c r="B1264" s="76" t="s">
        <v>1187</v>
      </c>
      <c r="C1264" s="218" t="s">
        <v>10131</v>
      </c>
      <c r="D1264" s="76"/>
      <c r="E1264" s="40" t="s">
        <v>953</v>
      </c>
      <c r="F1264" s="40" t="s">
        <v>954</v>
      </c>
      <c r="G1264" s="153">
        <v>46134.0</v>
      </c>
      <c r="H1264" s="153">
        <v>46189.0</v>
      </c>
      <c r="I1264" s="76">
        <f>IFERROR(__xludf.DUMMYFUNCTION("IF(ISBLANK(H1264), TODAY()-TO_DATE(G1264), TO_DATE(H1264)-TO_DATE(G1264))+1"),56.0)</f>
        <v>56</v>
      </c>
      <c r="J1264" s="76" t="s">
        <v>197</v>
      </c>
      <c r="K1264" s="40" t="s">
        <v>10133</v>
      </c>
      <c r="L1264" s="69"/>
      <c r="M1264" s="76"/>
      <c r="N1264" s="29"/>
      <c r="O1264" s="29"/>
      <c r="P1264" s="29"/>
      <c r="Q1264" s="29"/>
      <c r="R1264" s="29"/>
      <c r="S1264" s="29"/>
      <c r="T1264" s="29"/>
      <c r="U1264" s="29"/>
      <c r="V1264" s="29"/>
      <c r="W1264" s="29"/>
      <c r="X1264" s="29"/>
      <c r="Y1264" s="29"/>
      <c r="Z1264" s="29"/>
      <c r="AA1264" s="29"/>
      <c r="AB1264" s="29"/>
      <c r="AC1264" s="29"/>
      <c r="AD1264" s="29"/>
      <c r="AE1264" s="29"/>
      <c r="AF1264" s="29"/>
      <c r="AG1264" s="29"/>
    </row>
    <row r="1265">
      <c r="A1265" s="240" t="s">
        <v>145</v>
      </c>
      <c r="B1265" s="76" t="s">
        <v>1187</v>
      </c>
      <c r="C1265" s="218" t="s">
        <v>10135</v>
      </c>
      <c r="D1265" s="76"/>
      <c r="E1265" s="40" t="s">
        <v>1363</v>
      </c>
      <c r="F1265" s="40" t="s">
        <v>1365</v>
      </c>
      <c r="G1265" s="153">
        <v>46134.0</v>
      </c>
      <c r="H1265" s="153">
        <v>46189.0</v>
      </c>
      <c r="I1265" s="76">
        <f>IFERROR(__xludf.DUMMYFUNCTION("IF(ISBLANK(H1265), TODAY()-TO_DATE(G1265), TO_DATE(H1265)-TO_DATE(G1265))+1"),56.0)</f>
        <v>56</v>
      </c>
      <c r="J1265" s="76" t="s">
        <v>197</v>
      </c>
      <c r="K1265" s="40" t="s">
        <v>10136</v>
      </c>
      <c r="L1265" s="69" t="s">
        <v>10137</v>
      </c>
      <c r="M1265" s="76"/>
      <c r="N1265" s="29"/>
      <c r="O1265" s="29"/>
      <c r="P1265" s="29"/>
      <c r="Q1265" s="29"/>
      <c r="R1265" s="29"/>
      <c r="S1265" s="29"/>
      <c r="T1265" s="29"/>
      <c r="U1265" s="29"/>
      <c r="V1265" s="29"/>
      <c r="W1265" s="29"/>
      <c r="X1265" s="29"/>
      <c r="Y1265" s="29"/>
      <c r="Z1265" s="29"/>
      <c r="AA1265" s="29"/>
      <c r="AB1265" s="29"/>
      <c r="AC1265" s="29"/>
      <c r="AD1265" s="29"/>
      <c r="AE1265" s="29"/>
      <c r="AF1265" s="29"/>
      <c r="AG1265" s="29"/>
    </row>
    <row r="1266">
      <c r="A1266" s="240" t="s">
        <v>1510</v>
      </c>
      <c r="B1266" s="76" t="s">
        <v>1187</v>
      </c>
      <c r="C1266" s="76"/>
      <c r="D1266" s="76"/>
      <c r="E1266" s="40" t="s">
        <v>2116</v>
      </c>
      <c r="F1266" s="40" t="s">
        <v>2118</v>
      </c>
      <c r="G1266" s="153">
        <v>46134.0</v>
      </c>
      <c r="H1266" s="153">
        <v>46190.0</v>
      </c>
      <c r="I1266" s="76">
        <f>IFERROR(__xludf.DUMMYFUNCTION("IF(ISBLANK(H1266), TODAY()-TO_DATE(G1266), TO_DATE(H1266)-TO_DATE(G1266))+1"),57.0)</f>
        <v>57</v>
      </c>
      <c r="J1266" s="76" t="s">
        <v>197</v>
      </c>
      <c r="K1266" s="40" t="s">
        <v>10138</v>
      </c>
      <c r="L1266" s="69"/>
      <c r="M1266" s="76" t="s">
        <v>9226</v>
      </c>
      <c r="N1266" s="29"/>
      <c r="O1266" s="29"/>
      <c r="P1266" s="29"/>
      <c r="Q1266" s="29"/>
      <c r="R1266" s="29"/>
      <c r="S1266" s="29"/>
      <c r="T1266" s="29"/>
      <c r="U1266" s="29"/>
      <c r="V1266" s="29"/>
      <c r="W1266" s="29"/>
      <c r="X1266" s="29"/>
      <c r="Y1266" s="29"/>
      <c r="Z1266" s="29"/>
      <c r="AA1266" s="29"/>
      <c r="AB1266" s="29"/>
      <c r="AC1266" s="29"/>
      <c r="AD1266" s="29"/>
      <c r="AE1266" s="29"/>
      <c r="AF1266" s="29"/>
      <c r="AG1266" s="29"/>
    </row>
    <row r="1267">
      <c r="A1267" s="240" t="s">
        <v>9987</v>
      </c>
      <c r="B1267" s="76" t="s">
        <v>1187</v>
      </c>
      <c r="C1267" s="76"/>
      <c r="D1267" s="76"/>
      <c r="E1267" s="40" t="s">
        <v>2005</v>
      </c>
      <c r="F1267" s="40" t="s">
        <v>2006</v>
      </c>
      <c r="G1267" s="153">
        <v>46134.0</v>
      </c>
      <c r="H1267" s="153">
        <v>46173.0</v>
      </c>
      <c r="I1267" s="76">
        <f>IFERROR(__xludf.DUMMYFUNCTION("IF(ISBLANK(H1267), TODAY()-TO_DATE(G1267), TO_DATE(H1267)-TO_DATE(G1267))+1"),40.0)</f>
        <v>40</v>
      </c>
      <c r="J1267" s="76">
        <v>500.0</v>
      </c>
      <c r="K1267" s="40" t="s">
        <v>10139</v>
      </c>
      <c r="L1267" s="69" t="s">
        <v>10140</v>
      </c>
      <c r="M1267" s="76"/>
      <c r="N1267" s="29"/>
      <c r="O1267" s="29"/>
      <c r="P1267" s="29"/>
      <c r="Q1267" s="29"/>
      <c r="R1267" s="29"/>
      <c r="S1267" s="29"/>
      <c r="T1267" s="29"/>
      <c r="U1267" s="29"/>
      <c r="V1267" s="29"/>
      <c r="W1267" s="29"/>
      <c r="X1267" s="29"/>
      <c r="Y1267" s="29"/>
      <c r="Z1267" s="29"/>
      <c r="AA1267" s="29"/>
      <c r="AB1267" s="29"/>
      <c r="AC1267" s="29"/>
      <c r="AD1267" s="29"/>
      <c r="AE1267" s="29"/>
      <c r="AF1267" s="29"/>
      <c r="AG1267" s="29"/>
    </row>
    <row r="1268">
      <c r="A1268" s="240" t="s">
        <v>2451</v>
      </c>
      <c r="B1268" s="76" t="s">
        <v>1187</v>
      </c>
      <c r="C1268" s="76"/>
      <c r="D1268" s="76"/>
      <c r="E1268" s="40" t="s">
        <v>646</v>
      </c>
      <c r="F1268" s="40" t="s">
        <v>647</v>
      </c>
      <c r="G1268" s="153">
        <v>46134.0</v>
      </c>
      <c r="H1268" s="153">
        <v>46210.0</v>
      </c>
      <c r="I1268" s="76">
        <f>IFERROR(__xludf.DUMMYFUNCTION("IF(ISBLANK(H1268), TODAY()-TO_DATE(G1268), TO_DATE(H1268)-TO_DATE(G1268))+1"),77.0)</f>
        <v>77</v>
      </c>
      <c r="J1268" s="76">
        <v>500.0</v>
      </c>
      <c r="K1268" s="40" t="s">
        <v>10145</v>
      </c>
      <c r="L1268" s="997" t="s">
        <v>10146</v>
      </c>
      <c r="M1268" s="76" t="s">
        <v>9226</v>
      </c>
      <c r="N1268" s="29"/>
      <c r="O1268" s="29"/>
      <c r="P1268" s="29"/>
      <c r="Q1268" s="29"/>
      <c r="R1268" s="29"/>
      <c r="S1268" s="29"/>
      <c r="T1268" s="29"/>
      <c r="U1268" s="29"/>
      <c r="V1268" s="29"/>
      <c r="W1268" s="29"/>
      <c r="X1268" s="29"/>
      <c r="Y1268" s="29"/>
      <c r="Z1268" s="29"/>
      <c r="AA1268" s="29"/>
      <c r="AB1268" s="29"/>
      <c r="AC1268" s="29"/>
      <c r="AD1268" s="29"/>
      <c r="AE1268" s="29"/>
      <c r="AF1268" s="29"/>
      <c r="AG1268" s="29"/>
    </row>
    <row r="1269">
      <c r="A1269" s="76" t="s">
        <v>1032</v>
      </c>
      <c r="B1269" s="76" t="s">
        <v>1187</v>
      </c>
      <c r="C1269" s="76"/>
      <c r="D1269" s="76"/>
      <c r="E1269" s="27" t="s">
        <v>2634</v>
      </c>
      <c r="F1269" s="27" t="s">
        <v>2635</v>
      </c>
      <c r="G1269" s="153">
        <v>46134.0</v>
      </c>
      <c r="H1269" s="153">
        <v>46142.0</v>
      </c>
      <c r="I1269" s="76">
        <f>IFERROR(__xludf.DUMMYFUNCTION("IF(ISBLANK(H1269), TODAY()-TO_DATE(G1269), TO_DATE(H1269)-TO_DATE(G1269))+1"),9.0)</f>
        <v>9</v>
      </c>
      <c r="J1269" s="76">
        <v>300.0</v>
      </c>
      <c r="K1269" s="27" t="s">
        <v>10147</v>
      </c>
      <c r="L1269" s="69"/>
      <c r="M1269" s="76" t="s">
        <v>9226</v>
      </c>
      <c r="N1269" s="763"/>
      <c r="O1269" s="763"/>
      <c r="P1269" s="763"/>
      <c r="Q1269" s="763"/>
      <c r="R1269" s="763"/>
      <c r="S1269" s="763"/>
      <c r="T1269" s="763"/>
      <c r="U1269" s="763"/>
      <c r="V1269" s="763"/>
      <c r="W1269" s="763"/>
      <c r="X1269" s="763"/>
      <c r="Y1269" s="763"/>
      <c r="Z1269" s="763"/>
      <c r="AA1269" s="763"/>
      <c r="AB1269" s="763"/>
      <c r="AC1269" s="763"/>
      <c r="AD1269" s="763"/>
      <c r="AE1269" s="763"/>
      <c r="AF1269" s="763"/>
      <c r="AG1269" s="763"/>
    </row>
    <row r="1270">
      <c r="A1270" s="76" t="s">
        <v>1032</v>
      </c>
      <c r="B1270" s="76" t="s">
        <v>1187</v>
      </c>
      <c r="C1270" s="76"/>
      <c r="D1270" s="76"/>
      <c r="E1270" s="47" t="s">
        <v>1730</v>
      </c>
      <c r="F1270" s="47" t="s">
        <v>1733</v>
      </c>
      <c r="G1270" s="153">
        <v>46136.0</v>
      </c>
      <c r="H1270" s="153">
        <v>46146.0</v>
      </c>
      <c r="I1270" s="76">
        <f>IFERROR(__xludf.DUMMYFUNCTION("IF(ISBLANK(H1270), TODAY()-TO_DATE(G1270), TO_DATE(H1270)-TO_DATE(G1270))+1"),11.0)</f>
        <v>11</v>
      </c>
      <c r="J1270" s="76" t="s">
        <v>197</v>
      </c>
      <c r="K1270" s="999" t="s">
        <v>10150</v>
      </c>
      <c r="L1270" s="69"/>
      <c r="M1270" s="76"/>
      <c r="N1270" s="763"/>
      <c r="O1270" s="763"/>
      <c r="P1270" s="763"/>
      <c r="Q1270" s="763"/>
      <c r="R1270" s="763"/>
      <c r="S1270" s="763"/>
      <c r="T1270" s="763"/>
      <c r="U1270" s="763"/>
      <c r="V1270" s="763"/>
      <c r="W1270" s="763"/>
      <c r="X1270" s="763"/>
      <c r="Y1270" s="763"/>
      <c r="Z1270" s="763"/>
      <c r="AA1270" s="763"/>
      <c r="AB1270" s="763"/>
      <c r="AC1270" s="763"/>
      <c r="AD1270" s="763"/>
      <c r="AE1270" s="763"/>
      <c r="AF1270" s="763"/>
      <c r="AG1270" s="763"/>
    </row>
    <row r="1271">
      <c r="A1271" s="76" t="s">
        <v>1032</v>
      </c>
      <c r="B1271" s="76" t="s">
        <v>1187</v>
      </c>
      <c r="C1271" s="76"/>
      <c r="D1271" s="76"/>
      <c r="E1271" s="40" t="s">
        <v>1242</v>
      </c>
      <c r="F1271" s="69" t="s">
        <v>1244</v>
      </c>
      <c r="G1271" s="153">
        <v>46136.0</v>
      </c>
      <c r="H1271" s="153">
        <v>46146.0</v>
      </c>
      <c r="I1271" s="76">
        <f>IFERROR(__xludf.DUMMYFUNCTION("IF(ISBLANK(H1271), TODAY()-TO_DATE(G1271), TO_DATE(H1271)-TO_DATE(G1271))+1"),11.0)</f>
        <v>11</v>
      </c>
      <c r="J1271" s="76" t="s">
        <v>197</v>
      </c>
      <c r="K1271" s="69" t="s">
        <v>9429</v>
      </c>
      <c r="L1271" s="69" t="s">
        <v>9339</v>
      </c>
      <c r="M1271" s="76"/>
      <c r="N1271" s="763"/>
      <c r="O1271" s="763"/>
      <c r="P1271" s="763"/>
      <c r="Q1271" s="763"/>
      <c r="R1271" s="763"/>
      <c r="S1271" s="763"/>
      <c r="T1271" s="763"/>
      <c r="U1271" s="763"/>
      <c r="V1271" s="763"/>
      <c r="W1271" s="763"/>
      <c r="X1271" s="763"/>
      <c r="Y1271" s="763"/>
      <c r="Z1271" s="763"/>
      <c r="AA1271" s="763"/>
      <c r="AB1271" s="763"/>
      <c r="AC1271" s="763"/>
      <c r="AD1271" s="763"/>
      <c r="AE1271" s="763"/>
      <c r="AF1271" s="763"/>
      <c r="AG1271" s="763"/>
    </row>
    <row r="1272">
      <c r="A1272" s="76" t="s">
        <v>2451</v>
      </c>
      <c r="B1272" s="76" t="s">
        <v>1187</v>
      </c>
      <c r="C1272" s="76"/>
      <c r="D1272" s="76"/>
      <c r="E1272" s="40" t="s">
        <v>5979</v>
      </c>
      <c r="F1272" s="69" t="s">
        <v>748</v>
      </c>
      <c r="G1272" s="153">
        <v>46136.0</v>
      </c>
      <c r="H1272" s="153">
        <v>46139.0</v>
      </c>
      <c r="I1272" s="76">
        <f>IFERROR(__xludf.DUMMYFUNCTION("IF(ISBLANK(H1272), TODAY()-TO_DATE(G1272), TO_DATE(H1272)-TO_DATE(G1272))+1"),4.0)</f>
        <v>4</v>
      </c>
      <c r="J1272" s="76">
        <v>200.0</v>
      </c>
      <c r="K1272" s="27" t="s">
        <v>10152</v>
      </c>
      <c r="L1272" s="69" t="s">
        <v>10153</v>
      </c>
      <c r="M1272" s="76" t="s">
        <v>9226</v>
      </c>
      <c r="N1272" s="763"/>
      <c r="O1272" s="763"/>
      <c r="P1272" s="763"/>
      <c r="Q1272" s="763"/>
      <c r="R1272" s="763"/>
      <c r="S1272" s="763"/>
      <c r="T1272" s="763"/>
      <c r="U1272" s="763"/>
      <c r="V1272" s="763"/>
      <c r="W1272" s="763"/>
      <c r="X1272" s="763"/>
      <c r="Y1272" s="763"/>
      <c r="Z1272" s="763"/>
      <c r="AA1272" s="763"/>
      <c r="AB1272" s="763"/>
      <c r="AC1272" s="763"/>
      <c r="AD1272" s="763"/>
      <c r="AE1272" s="763"/>
      <c r="AF1272" s="763"/>
      <c r="AG1272" s="763"/>
    </row>
    <row r="1273">
      <c r="A1273" s="76" t="s">
        <v>6617</v>
      </c>
      <c r="B1273" s="76" t="s">
        <v>1187</v>
      </c>
      <c r="C1273" s="76"/>
      <c r="D1273" s="76"/>
      <c r="E1273" s="40" t="s">
        <v>693</v>
      </c>
      <c r="F1273" s="40" t="s">
        <v>694</v>
      </c>
      <c r="G1273" s="153">
        <v>46136.0</v>
      </c>
      <c r="H1273" s="153">
        <v>46171.0</v>
      </c>
      <c r="I1273" s="76">
        <f>IFERROR(__xludf.DUMMYFUNCTION("IF(ISBLANK(H1273), TODAY()-TO_DATE(G1273), TO_DATE(H1273)-TO_DATE(G1273))+1"),36.0)</f>
        <v>36</v>
      </c>
      <c r="J1273" s="76" t="s">
        <v>8926</v>
      </c>
      <c r="K1273" s="1004" t="s">
        <v>9734</v>
      </c>
      <c r="L1273" s="997" t="s">
        <v>10159</v>
      </c>
      <c r="M1273" s="76" t="s">
        <v>9226</v>
      </c>
      <c r="N1273" s="763"/>
      <c r="O1273" s="763"/>
      <c r="P1273" s="763"/>
      <c r="Q1273" s="763"/>
      <c r="R1273" s="763"/>
      <c r="S1273" s="763"/>
      <c r="T1273" s="763"/>
      <c r="U1273" s="763"/>
      <c r="V1273" s="763"/>
      <c r="W1273" s="763"/>
      <c r="X1273" s="763"/>
      <c r="Y1273" s="763"/>
      <c r="Z1273" s="763"/>
      <c r="AA1273" s="763"/>
      <c r="AB1273" s="763"/>
      <c r="AC1273" s="763"/>
      <c r="AD1273" s="763"/>
      <c r="AE1273" s="763"/>
      <c r="AF1273" s="763"/>
      <c r="AG1273" s="763"/>
    </row>
    <row r="1274">
      <c r="A1274" s="76" t="s">
        <v>2451</v>
      </c>
      <c r="B1274" s="76" t="s">
        <v>1187</v>
      </c>
      <c r="C1274" s="76"/>
      <c r="D1274" s="76"/>
      <c r="E1274" s="40" t="s">
        <v>554</v>
      </c>
      <c r="F1274" s="40" t="s">
        <v>555</v>
      </c>
      <c r="G1274" s="153">
        <v>46136.0</v>
      </c>
      <c r="H1274" s="153">
        <v>46142.0</v>
      </c>
      <c r="I1274" s="76">
        <f>IFERROR(__xludf.DUMMYFUNCTION("IF(ISBLANK(H1274), TODAY()-TO_DATE(G1274), TO_DATE(H1274)-TO_DATE(G1274))+1"),7.0)</f>
        <v>7</v>
      </c>
      <c r="J1274" s="76" t="s">
        <v>197</v>
      </c>
      <c r="K1274" s="27" t="s">
        <v>9832</v>
      </c>
      <c r="L1274" s="69"/>
      <c r="M1274" s="76" t="s">
        <v>9226</v>
      </c>
      <c r="N1274" s="763"/>
      <c r="O1274" s="763"/>
      <c r="P1274" s="763"/>
      <c r="Q1274" s="763"/>
      <c r="R1274" s="763"/>
      <c r="S1274" s="763"/>
      <c r="T1274" s="763"/>
      <c r="U1274" s="763"/>
      <c r="V1274" s="763"/>
      <c r="W1274" s="763"/>
      <c r="X1274" s="763"/>
      <c r="Y1274" s="763"/>
      <c r="Z1274" s="763"/>
      <c r="AA1274" s="763"/>
      <c r="AB1274" s="763"/>
      <c r="AC1274" s="763"/>
      <c r="AD1274" s="763"/>
      <c r="AE1274" s="763"/>
      <c r="AF1274" s="763"/>
      <c r="AG1274" s="763"/>
    </row>
    <row r="1275">
      <c r="A1275" s="76" t="s">
        <v>2451</v>
      </c>
      <c r="B1275" s="76" t="s">
        <v>1187</v>
      </c>
      <c r="C1275" s="76"/>
      <c r="D1275" s="76"/>
      <c r="E1275" s="40" t="s">
        <v>471</v>
      </c>
      <c r="F1275" s="40" t="s">
        <v>472</v>
      </c>
      <c r="G1275" s="153">
        <v>46136.0</v>
      </c>
      <c r="H1275" s="153">
        <v>46213.0</v>
      </c>
      <c r="I1275" s="76">
        <f>IFERROR(__xludf.DUMMYFUNCTION("IF(ISBLANK(H1275), TODAY()-TO_DATE(G1275), TO_DATE(H1275)-TO_DATE(G1275))+1"),78.0)</f>
        <v>78</v>
      </c>
      <c r="J1275" s="76" t="s">
        <v>197</v>
      </c>
      <c r="K1275" s="27" t="s">
        <v>10163</v>
      </c>
      <c r="L1275" s="69"/>
      <c r="M1275" s="76" t="s">
        <v>9226</v>
      </c>
      <c r="N1275" s="763"/>
      <c r="O1275" s="763"/>
      <c r="P1275" s="763"/>
      <c r="Q1275" s="763"/>
      <c r="R1275" s="763"/>
      <c r="S1275" s="763"/>
      <c r="T1275" s="763"/>
      <c r="U1275" s="763"/>
      <c r="V1275" s="763"/>
      <c r="W1275" s="763"/>
      <c r="X1275" s="763"/>
      <c r="Y1275" s="763"/>
      <c r="Z1275" s="763"/>
      <c r="AA1275" s="763"/>
      <c r="AB1275" s="763"/>
      <c r="AC1275" s="763"/>
      <c r="AD1275" s="763"/>
      <c r="AE1275" s="763"/>
      <c r="AF1275" s="763"/>
      <c r="AG1275" s="763"/>
    </row>
    <row r="1276">
      <c r="A1276" s="76" t="s">
        <v>9359</v>
      </c>
      <c r="B1276" s="76" t="s">
        <v>1187</v>
      </c>
      <c r="C1276" s="76"/>
      <c r="D1276" s="76"/>
      <c r="E1276" s="40" t="s">
        <v>1945</v>
      </c>
      <c r="F1276" s="40" t="s">
        <v>1946</v>
      </c>
      <c r="G1276" s="153">
        <v>46136.0</v>
      </c>
      <c r="H1276" s="153">
        <v>46203.0</v>
      </c>
      <c r="I1276" s="76">
        <f>IFERROR(__xludf.DUMMYFUNCTION("IF(ISBLANK(H1276), TODAY()-TO_DATE(G1276), TO_DATE(H1276)-TO_DATE(G1276))+1"),68.0)</f>
        <v>68</v>
      </c>
      <c r="J1276" s="76" t="s">
        <v>197</v>
      </c>
      <c r="K1276" s="27" t="s">
        <v>10164</v>
      </c>
      <c r="L1276" s="997" t="s">
        <v>10165</v>
      </c>
      <c r="M1276" s="76" t="s">
        <v>9226</v>
      </c>
      <c r="N1276" s="763"/>
      <c r="O1276" s="763"/>
      <c r="P1276" s="763"/>
      <c r="Q1276" s="763"/>
      <c r="R1276" s="763"/>
      <c r="S1276" s="763"/>
      <c r="T1276" s="763"/>
      <c r="U1276" s="763"/>
      <c r="V1276" s="763"/>
      <c r="W1276" s="763"/>
      <c r="X1276" s="763"/>
      <c r="Y1276" s="763"/>
      <c r="Z1276" s="763"/>
      <c r="AA1276" s="763"/>
      <c r="AB1276" s="763"/>
      <c r="AC1276" s="763"/>
      <c r="AD1276" s="763"/>
      <c r="AE1276" s="763"/>
      <c r="AF1276" s="763"/>
      <c r="AG1276" s="763"/>
    </row>
    <row r="1277">
      <c r="A1277" s="40" t="s">
        <v>9434</v>
      </c>
      <c r="B1277" s="40" t="s">
        <v>1187</v>
      </c>
      <c r="C1277" s="40"/>
      <c r="D1277" s="76"/>
      <c r="E1277" s="40" t="s">
        <v>2231</v>
      </c>
      <c r="F1277" s="40" t="s">
        <v>2232</v>
      </c>
      <c r="G1277" s="153">
        <v>46136.0</v>
      </c>
      <c r="H1277" s="153">
        <v>46203.0</v>
      </c>
      <c r="I1277" s="76">
        <f>IFERROR(__xludf.DUMMYFUNCTION("IF(ISBLANK(H1277), TODAY()-TO_DATE(G1277), TO_DATE(H1277)-TO_DATE(G1277))+1"),68.0)</f>
        <v>68</v>
      </c>
      <c r="J1277" s="76" t="s">
        <v>197</v>
      </c>
      <c r="K1277" s="27" t="s">
        <v>10168</v>
      </c>
      <c r="L1277" s="997" t="s">
        <v>10169</v>
      </c>
      <c r="M1277" s="76" t="s">
        <v>9226</v>
      </c>
      <c r="N1277" s="763"/>
      <c r="O1277" s="763"/>
      <c r="P1277" s="763"/>
      <c r="Q1277" s="763"/>
      <c r="R1277" s="763"/>
      <c r="S1277" s="763"/>
      <c r="T1277" s="763"/>
      <c r="U1277" s="763"/>
      <c r="V1277" s="763"/>
      <c r="W1277" s="763"/>
      <c r="X1277" s="763"/>
      <c r="Y1277" s="763"/>
      <c r="Z1277" s="763"/>
      <c r="AA1277" s="763"/>
      <c r="AB1277" s="763"/>
      <c r="AC1277" s="763"/>
      <c r="AD1277" s="763"/>
      <c r="AE1277" s="763"/>
      <c r="AF1277" s="763"/>
      <c r="AG1277" s="763"/>
    </row>
    <row r="1278">
      <c r="A1278" s="40" t="s">
        <v>1448</v>
      </c>
      <c r="B1278" s="40" t="s">
        <v>1187</v>
      </c>
      <c r="C1278" s="40"/>
      <c r="D1278" s="76"/>
      <c r="E1278" s="40" t="s">
        <v>8560</v>
      </c>
      <c r="F1278" s="40" t="s">
        <v>10172</v>
      </c>
      <c r="G1278" s="153">
        <v>46144.0</v>
      </c>
      <c r="H1278" s="153">
        <v>46210.0</v>
      </c>
      <c r="I1278" s="76">
        <f>IFERROR(__xludf.DUMMYFUNCTION("IF(ISBLANK(H1278), TODAY()-TO_DATE(G1278), TO_DATE(H1278)-TO_DATE(G1278))+1"),67.0)</f>
        <v>67</v>
      </c>
      <c r="J1278" s="76">
        <v>500.0</v>
      </c>
      <c r="K1278" s="27" t="s">
        <v>10173</v>
      </c>
      <c r="L1278" s="69"/>
      <c r="M1278" s="76"/>
      <c r="N1278" s="153">
        <v>46139.0</v>
      </c>
      <c r="O1278" s="763"/>
      <c r="P1278" s="763"/>
      <c r="Q1278" s="763"/>
      <c r="R1278" s="763"/>
      <c r="S1278" s="763"/>
      <c r="T1278" s="763"/>
      <c r="U1278" s="763"/>
      <c r="V1278" s="763"/>
      <c r="W1278" s="763"/>
      <c r="X1278" s="763"/>
      <c r="Y1278" s="763"/>
      <c r="Z1278" s="763"/>
      <c r="AA1278" s="763"/>
      <c r="AB1278" s="763"/>
      <c r="AC1278" s="763"/>
      <c r="AD1278" s="763"/>
      <c r="AE1278" s="763"/>
      <c r="AF1278" s="763"/>
      <c r="AG1278" s="763"/>
    </row>
    <row r="1279">
      <c r="A1279" s="40" t="s">
        <v>9359</v>
      </c>
      <c r="B1279" s="40" t="s">
        <v>1187</v>
      </c>
      <c r="C1279" s="40"/>
      <c r="D1279" s="76"/>
      <c r="E1279" s="40" t="s">
        <v>8591</v>
      </c>
      <c r="F1279" s="40" t="s">
        <v>10175</v>
      </c>
      <c r="G1279" s="153">
        <v>46139.0</v>
      </c>
      <c r="H1279" s="153">
        <v>46222.0</v>
      </c>
      <c r="I1279" s="76">
        <f>IFERROR(__xludf.DUMMYFUNCTION("IF(ISBLANK(H1279), TODAY()-TO_DATE(G1279), TO_DATE(H1279)-TO_DATE(G1279))+1"),84.0)</f>
        <v>84</v>
      </c>
      <c r="J1279" s="76" t="s">
        <v>197</v>
      </c>
      <c r="K1279" s="27" t="s">
        <v>10176</v>
      </c>
      <c r="L1279" s="69" t="s">
        <v>10178</v>
      </c>
      <c r="M1279" s="76" t="s">
        <v>9226</v>
      </c>
      <c r="N1279" s="763"/>
      <c r="O1279" s="763"/>
      <c r="P1279" s="763"/>
      <c r="Q1279" s="763"/>
      <c r="R1279" s="763"/>
      <c r="S1279" s="763"/>
      <c r="T1279" s="763"/>
      <c r="U1279" s="763"/>
      <c r="V1279" s="763"/>
      <c r="W1279" s="763"/>
      <c r="X1279" s="763"/>
      <c r="Y1279" s="763"/>
      <c r="Z1279" s="763"/>
      <c r="AA1279" s="763"/>
      <c r="AB1279" s="763"/>
      <c r="AC1279" s="763"/>
      <c r="AD1279" s="763"/>
      <c r="AE1279" s="763"/>
      <c r="AF1279" s="763"/>
      <c r="AG1279" s="763"/>
    </row>
    <row r="1280">
      <c r="A1280" s="40" t="s">
        <v>9359</v>
      </c>
      <c r="B1280" s="40" t="s">
        <v>1187</v>
      </c>
      <c r="C1280" s="40"/>
      <c r="D1280" s="76"/>
      <c r="E1280" s="40" t="s">
        <v>8604</v>
      </c>
      <c r="F1280" s="40" t="s">
        <v>9428</v>
      </c>
      <c r="G1280" s="153">
        <v>46139.0</v>
      </c>
      <c r="H1280" s="153">
        <v>46195.0</v>
      </c>
      <c r="I1280" s="76">
        <f>IFERROR(__xludf.DUMMYFUNCTION("IF(ISBLANK(H1280), TODAY()-TO_DATE(G1280), TO_DATE(H1280)-TO_DATE(G1280))+1"),57.0)</f>
        <v>57</v>
      </c>
      <c r="J1280" s="76" t="s">
        <v>8926</v>
      </c>
      <c r="K1280" s="27" t="s">
        <v>10179</v>
      </c>
      <c r="L1280" s="69"/>
      <c r="M1280" s="76" t="s">
        <v>9226</v>
      </c>
      <c r="N1280" s="763"/>
      <c r="O1280" s="763"/>
      <c r="P1280" s="763"/>
      <c r="Q1280" s="763"/>
      <c r="R1280" s="763"/>
      <c r="S1280" s="763"/>
      <c r="T1280" s="763"/>
      <c r="U1280" s="763"/>
      <c r="V1280" s="763"/>
      <c r="W1280" s="763"/>
      <c r="X1280" s="763"/>
      <c r="Y1280" s="763"/>
      <c r="Z1280" s="763"/>
      <c r="AA1280" s="763"/>
      <c r="AB1280" s="763"/>
      <c r="AC1280" s="763"/>
      <c r="AD1280" s="763"/>
      <c r="AE1280" s="763"/>
      <c r="AF1280" s="763"/>
      <c r="AG1280" s="763"/>
    </row>
    <row r="1281">
      <c r="A1281" s="40" t="s">
        <v>2515</v>
      </c>
      <c r="B1281" s="40" t="s">
        <v>1187</v>
      </c>
      <c r="C1281" s="40"/>
      <c r="D1281" s="76"/>
      <c r="E1281" s="40" t="s">
        <v>8715</v>
      </c>
      <c r="F1281" s="40" t="s">
        <v>10181</v>
      </c>
      <c r="G1281" s="153">
        <v>46139.0</v>
      </c>
      <c r="H1281" s="153">
        <v>46189.0</v>
      </c>
      <c r="I1281" s="76">
        <f>IFERROR(__xludf.DUMMYFUNCTION("IF(ISBLANK(H1281), TODAY()-TO_DATE(G1281), TO_DATE(H1281)-TO_DATE(G1281))+1"),51.0)</f>
        <v>51</v>
      </c>
      <c r="J1281" s="76" t="s">
        <v>197</v>
      </c>
      <c r="K1281" s="27" t="s">
        <v>10182</v>
      </c>
      <c r="L1281" s="69"/>
      <c r="M1281" s="76" t="s">
        <v>9226</v>
      </c>
      <c r="N1281" s="763"/>
      <c r="O1281" s="763"/>
      <c r="P1281" s="763"/>
      <c r="Q1281" s="763"/>
      <c r="R1281" s="763"/>
      <c r="S1281" s="763"/>
      <c r="T1281" s="763"/>
      <c r="U1281" s="763"/>
      <c r="V1281" s="763"/>
      <c r="W1281" s="763"/>
      <c r="X1281" s="763"/>
      <c r="Y1281" s="763"/>
      <c r="Z1281" s="763"/>
      <c r="AA1281" s="763"/>
      <c r="AB1281" s="763"/>
      <c r="AC1281" s="763"/>
      <c r="AD1281" s="763"/>
      <c r="AE1281" s="763"/>
      <c r="AF1281" s="763"/>
      <c r="AG1281" s="763"/>
    </row>
    <row r="1282">
      <c r="A1282" s="76" t="s">
        <v>150</v>
      </c>
      <c r="B1282" s="40" t="s">
        <v>1187</v>
      </c>
      <c r="C1282" s="40"/>
      <c r="D1282" s="76"/>
      <c r="E1282" s="794" t="s">
        <v>8285</v>
      </c>
      <c r="F1282" s="40" t="s">
        <v>3218</v>
      </c>
      <c r="G1282" s="153">
        <v>46144.0</v>
      </c>
      <c r="H1282" s="153">
        <v>46214.0</v>
      </c>
      <c r="I1282" s="76">
        <f>IFERROR(__xludf.DUMMYFUNCTION("IF(ISBLANK(H1282), TODAY()-TO_DATE(G1282), TO_DATE(H1282)-TO_DATE(G1282))+1"),71.0)</f>
        <v>71</v>
      </c>
      <c r="J1282" s="76">
        <v>500.0</v>
      </c>
      <c r="K1282" s="1005" t="s">
        <v>10188</v>
      </c>
      <c r="L1282" s="69"/>
      <c r="M1282" s="76" t="s">
        <v>9226</v>
      </c>
      <c r="N1282" s="153">
        <v>46142.0</v>
      </c>
      <c r="O1282" s="763"/>
      <c r="P1282" s="763"/>
      <c r="Q1282" s="763"/>
      <c r="R1282" s="763"/>
      <c r="S1282" s="763"/>
      <c r="T1282" s="763"/>
      <c r="U1282" s="763"/>
      <c r="V1282" s="763"/>
      <c r="W1282" s="763"/>
      <c r="X1282" s="763"/>
      <c r="Y1282" s="763"/>
      <c r="Z1282" s="763"/>
      <c r="AA1282" s="763"/>
      <c r="AB1282" s="763"/>
      <c r="AC1282" s="763"/>
      <c r="AD1282" s="763"/>
      <c r="AE1282" s="763"/>
      <c r="AF1282" s="763"/>
      <c r="AG1282" s="763"/>
    </row>
    <row r="1283">
      <c r="A1283" s="76" t="s">
        <v>1448</v>
      </c>
      <c r="B1283" s="40" t="s">
        <v>1187</v>
      </c>
      <c r="C1283" s="40"/>
      <c r="D1283" s="76"/>
      <c r="E1283" s="40" t="s">
        <v>5399</v>
      </c>
      <c r="F1283" s="40" t="s">
        <v>5400</v>
      </c>
      <c r="G1283" s="153">
        <v>46142.0</v>
      </c>
      <c r="H1283" s="153">
        <v>46203.0</v>
      </c>
      <c r="I1283" s="76">
        <f>IFERROR(__xludf.DUMMYFUNCTION("IF(ISBLANK(H1283), TODAY()-TO_DATE(G1283), TO_DATE(H1283)-TO_DATE(G1283))+1"),62.0)</f>
        <v>62</v>
      </c>
      <c r="J1283" s="76" t="s">
        <v>197</v>
      </c>
      <c r="K1283" s="27" t="s">
        <v>10191</v>
      </c>
      <c r="L1283" s="69"/>
      <c r="M1283" s="76" t="s">
        <v>9226</v>
      </c>
      <c r="N1283" s="763"/>
      <c r="O1283" s="763"/>
      <c r="P1283" s="763"/>
      <c r="Q1283" s="763"/>
      <c r="R1283" s="763"/>
      <c r="S1283" s="763"/>
      <c r="T1283" s="763"/>
      <c r="U1283" s="763"/>
      <c r="V1283" s="763"/>
      <c r="W1283" s="763"/>
      <c r="X1283" s="763"/>
      <c r="Y1283" s="763"/>
      <c r="Z1283" s="763"/>
      <c r="AA1283" s="763"/>
      <c r="AB1283" s="763"/>
      <c r="AC1283" s="763"/>
      <c r="AD1283" s="763"/>
      <c r="AE1283" s="763"/>
      <c r="AF1283" s="763"/>
      <c r="AG1283" s="763"/>
    </row>
    <row r="1284">
      <c r="A1284" s="76" t="s">
        <v>1448</v>
      </c>
      <c r="B1284" s="40" t="s">
        <v>1187</v>
      </c>
      <c r="C1284" s="40"/>
      <c r="D1284" s="76"/>
      <c r="E1284" s="40" t="s">
        <v>8550</v>
      </c>
      <c r="F1284" s="40" t="s">
        <v>10194</v>
      </c>
      <c r="G1284" s="153">
        <v>46144.0</v>
      </c>
      <c r="H1284" s="153">
        <v>46210.0</v>
      </c>
      <c r="I1284" s="76">
        <f>IFERROR(__xludf.DUMMYFUNCTION("IF(ISBLANK(H1284), TODAY()-TO_DATE(G1284), TO_DATE(H1284)-TO_DATE(G1284))+1"),67.0)</f>
        <v>67</v>
      </c>
      <c r="J1284" s="76">
        <v>500.0</v>
      </c>
      <c r="K1284" s="27" t="s">
        <v>10196</v>
      </c>
      <c r="L1284" s="69"/>
      <c r="M1284" s="770"/>
      <c r="N1284" s="153">
        <v>46142.0</v>
      </c>
      <c r="O1284" s="763"/>
      <c r="P1284" s="763"/>
      <c r="Q1284" s="763"/>
      <c r="R1284" s="763"/>
      <c r="S1284" s="763"/>
      <c r="T1284" s="763"/>
      <c r="U1284" s="763"/>
      <c r="V1284" s="763"/>
      <c r="W1284" s="763"/>
      <c r="X1284" s="763"/>
      <c r="Y1284" s="763"/>
      <c r="Z1284" s="763"/>
      <c r="AA1284" s="763"/>
      <c r="AB1284" s="763"/>
      <c r="AC1284" s="763"/>
      <c r="AD1284" s="763"/>
      <c r="AE1284" s="763"/>
      <c r="AF1284" s="763"/>
      <c r="AG1284" s="763"/>
    </row>
    <row r="1285">
      <c r="A1285" s="76" t="s">
        <v>9826</v>
      </c>
      <c r="B1285" s="40" t="s">
        <v>1187</v>
      </c>
      <c r="C1285" s="40"/>
      <c r="D1285" s="76"/>
      <c r="E1285" s="40" t="s">
        <v>3023</v>
      </c>
      <c r="F1285" s="40" t="s">
        <v>1366</v>
      </c>
      <c r="G1285" s="153">
        <v>46142.0</v>
      </c>
      <c r="H1285" s="153">
        <v>46193.0</v>
      </c>
      <c r="I1285" s="76">
        <f>IFERROR(__xludf.DUMMYFUNCTION("IF(ISBLANK(H1285), TODAY()-TO_DATE(G1285), TO_DATE(H1285)-TO_DATE(G1285))+1"),52.0)</f>
        <v>52</v>
      </c>
      <c r="J1285" s="76" t="s">
        <v>197</v>
      </c>
      <c r="K1285" s="27" t="s">
        <v>10200</v>
      </c>
      <c r="L1285" s="69"/>
      <c r="M1285" s="76" t="s">
        <v>9226</v>
      </c>
      <c r="N1285" s="763"/>
      <c r="O1285" s="763"/>
      <c r="P1285" s="763"/>
      <c r="Q1285" s="763"/>
      <c r="R1285" s="763"/>
      <c r="S1285" s="763"/>
      <c r="T1285" s="763"/>
      <c r="U1285" s="763"/>
      <c r="V1285" s="763"/>
      <c r="W1285" s="763"/>
      <c r="X1285" s="763"/>
      <c r="Y1285" s="763"/>
      <c r="Z1285" s="763"/>
      <c r="AA1285" s="763"/>
      <c r="AB1285" s="763"/>
      <c r="AC1285" s="763"/>
      <c r="AD1285" s="763"/>
      <c r="AE1285" s="763"/>
      <c r="AF1285" s="763"/>
      <c r="AG1285" s="763"/>
    </row>
    <row r="1286">
      <c r="A1286" s="40" t="s">
        <v>145</v>
      </c>
      <c r="B1286" s="40" t="s">
        <v>1187</v>
      </c>
      <c r="C1286" s="40"/>
      <c r="D1286" s="76"/>
      <c r="E1286" s="40" t="s">
        <v>10202</v>
      </c>
      <c r="F1286" s="1006" t="s">
        <v>10203</v>
      </c>
      <c r="G1286" s="153">
        <v>46146.0</v>
      </c>
      <c r="H1286" s="153">
        <v>46152.0</v>
      </c>
      <c r="I1286" s="76">
        <f>IFERROR(__xludf.DUMMYFUNCTION("IF(ISBLANK(H1286), TODAY()-TO_DATE(G1286), TO_DATE(H1286)-TO_DATE(G1286))+1"),7.0)</f>
        <v>7</v>
      </c>
      <c r="J1286" s="76" t="s">
        <v>197</v>
      </c>
      <c r="K1286" s="27" t="s">
        <v>10204</v>
      </c>
      <c r="L1286" s="69"/>
      <c r="M1286" s="76" t="s">
        <v>9226</v>
      </c>
      <c r="N1286" s="763"/>
      <c r="O1286" s="763"/>
      <c r="P1286" s="763"/>
      <c r="Q1286" s="763"/>
      <c r="R1286" s="763"/>
      <c r="S1286" s="763"/>
      <c r="T1286" s="763"/>
      <c r="U1286" s="763"/>
      <c r="V1286" s="763"/>
      <c r="W1286" s="763"/>
      <c r="X1286" s="763"/>
      <c r="Y1286" s="763"/>
      <c r="Z1286" s="763"/>
      <c r="AA1286" s="763"/>
      <c r="AB1286" s="763"/>
      <c r="AC1286" s="763"/>
      <c r="AD1286" s="763"/>
      <c r="AE1286" s="763"/>
      <c r="AF1286" s="763"/>
      <c r="AG1286" s="763"/>
    </row>
    <row r="1287">
      <c r="A1287" s="40" t="s">
        <v>9987</v>
      </c>
      <c r="B1287" s="40" t="s">
        <v>1187</v>
      </c>
      <c r="C1287" s="40"/>
      <c r="D1287" s="76"/>
      <c r="E1287" s="40" t="s">
        <v>10205</v>
      </c>
      <c r="F1287" s="1006" t="s">
        <v>10206</v>
      </c>
      <c r="G1287" s="153">
        <v>46146.0</v>
      </c>
      <c r="H1287" s="153">
        <v>46152.0</v>
      </c>
      <c r="I1287" s="76">
        <f>IFERROR(__xludf.DUMMYFUNCTION("IF(ISBLANK(H1287), TODAY()-TO_DATE(G1287), TO_DATE(H1287)-TO_DATE(G1287))+1"),7.0)</f>
        <v>7</v>
      </c>
      <c r="J1287" s="76" t="s">
        <v>197</v>
      </c>
      <c r="K1287" s="27" t="s">
        <v>10210</v>
      </c>
      <c r="L1287" s="69" t="s">
        <v>10211</v>
      </c>
      <c r="M1287" s="76" t="s">
        <v>9226</v>
      </c>
      <c r="N1287" s="763"/>
      <c r="O1287" s="763"/>
      <c r="P1287" s="763"/>
      <c r="Q1287" s="763"/>
      <c r="R1287" s="763"/>
      <c r="S1287" s="763"/>
      <c r="T1287" s="763"/>
      <c r="U1287" s="763"/>
      <c r="V1287" s="763"/>
      <c r="W1287" s="763"/>
      <c r="X1287" s="763"/>
      <c r="Y1287" s="763"/>
      <c r="Z1287" s="763"/>
      <c r="AA1287" s="763"/>
      <c r="AB1287" s="763"/>
      <c r="AC1287" s="763"/>
      <c r="AD1287" s="763"/>
      <c r="AE1287" s="763"/>
      <c r="AF1287" s="763"/>
      <c r="AG1287" s="763"/>
    </row>
    <row r="1288">
      <c r="A1288" s="40" t="s">
        <v>150</v>
      </c>
      <c r="B1288" s="40" t="s">
        <v>1187</v>
      </c>
      <c r="C1288" s="40"/>
      <c r="D1288" s="76"/>
      <c r="E1288" s="157" t="s">
        <v>8276</v>
      </c>
      <c r="F1288" s="1006" t="s">
        <v>10213</v>
      </c>
      <c r="G1288" s="153">
        <v>46156.0</v>
      </c>
      <c r="H1288" s="153">
        <v>46210.0</v>
      </c>
      <c r="I1288" s="76">
        <f>IFERROR(__xludf.DUMMYFUNCTION("IF(ISBLANK(H1288), TODAY()-TO_DATE(G1288), TO_DATE(H1288)-TO_DATE(G1288))+1"),55.0)</f>
        <v>55</v>
      </c>
      <c r="J1288" s="76">
        <v>500.0</v>
      </c>
      <c r="K1288" s="1004" t="s">
        <v>10214</v>
      </c>
      <c r="L1288" s="997" t="s">
        <v>10216</v>
      </c>
      <c r="M1288" s="76" t="s">
        <v>9226</v>
      </c>
      <c r="N1288" s="153">
        <v>46146.0</v>
      </c>
      <c r="O1288" s="763"/>
      <c r="P1288" s="763"/>
      <c r="Q1288" s="763"/>
      <c r="R1288" s="763"/>
      <c r="S1288" s="763"/>
      <c r="T1288" s="763"/>
      <c r="U1288" s="763"/>
      <c r="V1288" s="763"/>
      <c r="W1288" s="763"/>
      <c r="X1288" s="763"/>
      <c r="Y1288" s="763"/>
      <c r="Z1288" s="763"/>
      <c r="AA1288" s="763"/>
      <c r="AB1288" s="763"/>
      <c r="AC1288" s="763"/>
      <c r="AD1288" s="763"/>
      <c r="AE1288" s="763"/>
      <c r="AF1288" s="763"/>
      <c r="AG1288" s="763"/>
    </row>
    <row r="1289">
      <c r="A1289" s="27" t="s">
        <v>1448</v>
      </c>
      <c r="B1289" s="27" t="s">
        <v>1187</v>
      </c>
      <c r="C1289" s="27"/>
      <c r="D1289" s="76"/>
      <c r="E1289" s="157" t="s">
        <v>2314</v>
      </c>
      <c r="F1289" s="1007" t="s">
        <v>2316</v>
      </c>
      <c r="G1289" s="153">
        <v>46146.0</v>
      </c>
      <c r="H1289" s="153">
        <v>46156.0</v>
      </c>
      <c r="I1289" s="76">
        <f>IFERROR(__xludf.DUMMYFUNCTION("IF(ISBLANK(H1289), TODAY()-TO_DATE(G1289), TO_DATE(H1289)-TO_DATE(G1289))+1"),11.0)</f>
        <v>11</v>
      </c>
      <c r="J1289" s="76">
        <v>300.0</v>
      </c>
      <c r="K1289" s="27" t="s">
        <v>10221</v>
      </c>
      <c r="L1289" s="1008" t="s">
        <v>10222</v>
      </c>
      <c r="M1289" s="76" t="s">
        <v>9226</v>
      </c>
      <c r="N1289" s="763"/>
      <c r="O1289" s="763"/>
      <c r="P1289" s="763"/>
      <c r="Q1289" s="763"/>
      <c r="R1289" s="763"/>
      <c r="S1289" s="763"/>
      <c r="T1289" s="763"/>
      <c r="U1289" s="763"/>
      <c r="V1289" s="763"/>
      <c r="W1289" s="763"/>
      <c r="X1289" s="763"/>
      <c r="Y1289" s="763"/>
      <c r="Z1289" s="763"/>
      <c r="AA1289" s="763"/>
      <c r="AB1289" s="763"/>
      <c r="AC1289" s="763"/>
      <c r="AD1289" s="763"/>
      <c r="AE1289" s="763"/>
      <c r="AF1289" s="763"/>
      <c r="AG1289" s="763"/>
    </row>
    <row r="1290">
      <c r="A1290" s="76" t="s">
        <v>145</v>
      </c>
      <c r="B1290" s="27" t="s">
        <v>1187</v>
      </c>
      <c r="C1290" s="27"/>
      <c r="D1290" s="76"/>
      <c r="E1290" s="27" t="s">
        <v>10225</v>
      </c>
      <c r="F1290" s="1007" t="s">
        <v>10226</v>
      </c>
      <c r="G1290" s="153">
        <v>46156.0</v>
      </c>
      <c r="H1290" s="153">
        <v>46211.0</v>
      </c>
      <c r="I1290" s="76">
        <f>IFERROR(__xludf.DUMMYFUNCTION("IF(ISBLANK(H1290), TODAY()-TO_DATE(G1290), TO_DATE(H1290)-TO_DATE(G1290))+1"),56.0)</f>
        <v>56</v>
      </c>
      <c r="J1290" s="76">
        <v>500.0</v>
      </c>
      <c r="K1290" s="27" t="s">
        <v>10227</v>
      </c>
      <c r="L1290" s="47"/>
      <c r="M1290" s="76" t="s">
        <v>9226</v>
      </c>
      <c r="N1290" s="153">
        <v>46147.0</v>
      </c>
      <c r="O1290" s="763"/>
      <c r="P1290" s="763"/>
      <c r="Q1290" s="763"/>
      <c r="R1290" s="763"/>
      <c r="S1290" s="763"/>
      <c r="T1290" s="763"/>
      <c r="U1290" s="763"/>
      <c r="V1290" s="763"/>
      <c r="W1290" s="763"/>
      <c r="X1290" s="763"/>
      <c r="Y1290" s="763"/>
      <c r="Z1290" s="763"/>
      <c r="AA1290" s="763"/>
      <c r="AB1290" s="763"/>
      <c r="AC1290" s="763"/>
      <c r="AD1290" s="763"/>
      <c r="AE1290" s="763"/>
      <c r="AF1290" s="763"/>
      <c r="AG1290" s="763"/>
    </row>
    <row r="1291">
      <c r="A1291" s="76" t="s">
        <v>9987</v>
      </c>
      <c r="B1291" s="27" t="s">
        <v>1187</v>
      </c>
      <c r="C1291" s="27"/>
      <c r="D1291" s="76"/>
      <c r="E1291" s="27" t="s">
        <v>10230</v>
      </c>
      <c r="F1291" s="1007" t="s">
        <v>10231</v>
      </c>
      <c r="G1291" s="153">
        <v>46156.0</v>
      </c>
      <c r="H1291" s="153">
        <v>46211.0</v>
      </c>
      <c r="I1291" s="76">
        <f>IFERROR(__xludf.DUMMYFUNCTION("IF(ISBLANK(H1291), TODAY()-TO_DATE(G1291), TO_DATE(H1291)-TO_DATE(G1291))+1"),56.0)</f>
        <v>56</v>
      </c>
      <c r="J1291" s="76">
        <v>500.0</v>
      </c>
      <c r="K1291" s="27" t="s">
        <v>10232</v>
      </c>
      <c r="L1291" s="47" t="s">
        <v>10233</v>
      </c>
      <c r="M1291" s="76" t="s">
        <v>9226</v>
      </c>
      <c r="N1291" s="153">
        <v>46147.0</v>
      </c>
      <c r="O1291" s="763"/>
      <c r="P1291" s="763"/>
      <c r="Q1291" s="763"/>
      <c r="R1291" s="763"/>
      <c r="S1291" s="763"/>
      <c r="T1291" s="763"/>
      <c r="U1291" s="763"/>
      <c r="V1291" s="763"/>
      <c r="W1291" s="763"/>
      <c r="X1291" s="763"/>
      <c r="Y1291" s="763"/>
      <c r="Z1291" s="763"/>
      <c r="AA1291" s="763"/>
      <c r="AB1291" s="763"/>
      <c r="AC1291" s="763"/>
      <c r="AD1291" s="763"/>
      <c r="AE1291" s="763"/>
      <c r="AF1291" s="763"/>
      <c r="AG1291" s="763"/>
    </row>
    <row r="1292">
      <c r="A1292" s="76" t="s">
        <v>145</v>
      </c>
      <c r="B1292" s="27" t="s">
        <v>1187</v>
      </c>
      <c r="C1292" s="27"/>
      <c r="D1292" s="76"/>
      <c r="E1292" s="27" t="s">
        <v>10235</v>
      </c>
      <c r="F1292" s="1007" t="s">
        <v>10237</v>
      </c>
      <c r="G1292" s="153">
        <v>46174.0</v>
      </c>
      <c r="H1292" s="153">
        <v>46211.0</v>
      </c>
      <c r="I1292" s="76">
        <f>IFERROR(__xludf.DUMMYFUNCTION("IF(ISBLANK(H1292), TODAY()-TO_DATE(G1292), TO_DATE(H1292)-TO_DATE(G1292))+1"),38.0)</f>
        <v>38</v>
      </c>
      <c r="J1292" s="76">
        <v>500.0</v>
      </c>
      <c r="K1292" s="27" t="s">
        <v>10239</v>
      </c>
      <c r="L1292" s="47" t="s">
        <v>10240</v>
      </c>
      <c r="M1292" s="76" t="s">
        <v>9226</v>
      </c>
      <c r="N1292" s="153">
        <v>46147.0</v>
      </c>
      <c r="O1292" s="763"/>
      <c r="P1292" s="763"/>
      <c r="Q1292" s="763"/>
      <c r="R1292" s="763"/>
      <c r="S1292" s="763"/>
      <c r="T1292" s="763"/>
      <c r="U1292" s="763"/>
      <c r="V1292" s="763"/>
      <c r="W1292" s="763"/>
      <c r="X1292" s="763"/>
      <c r="Y1292" s="763"/>
      <c r="Z1292" s="763"/>
      <c r="AA1292" s="763"/>
      <c r="AB1292" s="763"/>
      <c r="AC1292" s="763"/>
      <c r="AD1292" s="763"/>
      <c r="AE1292" s="763"/>
      <c r="AF1292" s="763"/>
      <c r="AG1292" s="763"/>
    </row>
    <row r="1293">
      <c r="A1293" s="76" t="s">
        <v>145</v>
      </c>
      <c r="B1293" s="27" t="s">
        <v>1187</v>
      </c>
      <c r="C1293" s="27"/>
      <c r="D1293" s="76"/>
      <c r="E1293" s="27" t="s">
        <v>10242</v>
      </c>
      <c r="F1293" s="1007" t="s">
        <v>981</v>
      </c>
      <c r="G1293" s="153">
        <v>46147.0</v>
      </c>
      <c r="H1293" s="153">
        <v>46168.0</v>
      </c>
      <c r="I1293" s="76">
        <f>IFERROR(__xludf.DUMMYFUNCTION("IF(ISBLANK(H1293), TODAY()-TO_DATE(G1293), TO_DATE(H1293)-TO_DATE(G1293))+1"),22.0)</f>
        <v>22</v>
      </c>
      <c r="J1293" s="76" t="s">
        <v>197</v>
      </c>
      <c r="K1293" s="27" t="s">
        <v>10243</v>
      </c>
      <c r="L1293" s="47"/>
      <c r="M1293" s="47"/>
      <c r="N1293" s="763"/>
      <c r="O1293" s="763"/>
      <c r="P1293" s="763"/>
      <c r="Q1293" s="763"/>
      <c r="R1293" s="763"/>
      <c r="S1293" s="763"/>
      <c r="T1293" s="763"/>
      <c r="U1293" s="763"/>
      <c r="V1293" s="763"/>
      <c r="W1293" s="763"/>
      <c r="X1293" s="763"/>
      <c r="Y1293" s="763"/>
      <c r="Z1293" s="763"/>
      <c r="AA1293" s="763"/>
      <c r="AB1293" s="763"/>
      <c r="AC1293" s="763"/>
      <c r="AD1293" s="763"/>
      <c r="AE1293" s="763"/>
      <c r="AF1293" s="763"/>
      <c r="AG1293" s="763"/>
    </row>
    <row r="1294">
      <c r="A1294" s="27" t="s">
        <v>2451</v>
      </c>
      <c r="B1294" s="27" t="s">
        <v>1187</v>
      </c>
      <c r="C1294" s="27"/>
      <c r="D1294" s="76"/>
      <c r="E1294" s="157" t="s">
        <v>745</v>
      </c>
      <c r="F1294" s="27" t="s">
        <v>746</v>
      </c>
      <c r="G1294" s="153">
        <v>46147.0</v>
      </c>
      <c r="H1294" s="153">
        <v>46148.0</v>
      </c>
      <c r="I1294" s="76">
        <f>IFERROR(__xludf.DUMMYFUNCTION("IF(ISBLANK(H1294), TODAY()-TO_DATE(G1294), TO_DATE(H1294)-TO_DATE(G1294))+1"),2.0)</f>
        <v>2</v>
      </c>
      <c r="J1294" s="76">
        <v>300.0</v>
      </c>
      <c r="K1294" s="27" t="s">
        <v>10245</v>
      </c>
      <c r="L1294" s="47"/>
      <c r="M1294" s="76"/>
      <c r="N1294" s="763"/>
      <c r="O1294" s="763"/>
      <c r="P1294" s="763"/>
      <c r="Q1294" s="763"/>
      <c r="R1294" s="763"/>
      <c r="S1294" s="763"/>
      <c r="T1294" s="763"/>
      <c r="U1294" s="763"/>
      <c r="V1294" s="763"/>
      <c r="W1294" s="763"/>
      <c r="X1294" s="763"/>
      <c r="Y1294" s="763"/>
      <c r="Z1294" s="763"/>
      <c r="AA1294" s="763"/>
      <c r="AB1294" s="763"/>
      <c r="AC1294" s="763"/>
      <c r="AD1294" s="763"/>
      <c r="AE1294" s="763"/>
      <c r="AF1294" s="763"/>
      <c r="AG1294" s="763"/>
    </row>
    <row r="1295">
      <c r="A1295" s="27" t="s">
        <v>150</v>
      </c>
      <c r="B1295" s="27" t="s">
        <v>1187</v>
      </c>
      <c r="C1295" s="27"/>
      <c r="D1295" s="76"/>
      <c r="E1295" s="157" t="s">
        <v>920</v>
      </c>
      <c r="F1295" s="27" t="s">
        <v>922</v>
      </c>
      <c r="G1295" s="153">
        <v>46147.0</v>
      </c>
      <c r="H1295" s="153">
        <v>46165.0</v>
      </c>
      <c r="I1295" s="76">
        <f>IFERROR(__xludf.DUMMYFUNCTION("IF(ISBLANK(H1295), TODAY()-TO_DATE(G1295), TO_DATE(H1295)-TO_DATE(G1295))+1"),19.0)</f>
        <v>19</v>
      </c>
      <c r="J1295" s="76">
        <v>300.0</v>
      </c>
      <c r="K1295" s="27" t="s">
        <v>10251</v>
      </c>
      <c r="L1295" s="47" t="s">
        <v>10252</v>
      </c>
      <c r="M1295" s="76"/>
      <c r="N1295" s="763"/>
      <c r="O1295" s="763"/>
      <c r="P1295" s="763"/>
      <c r="Q1295" s="763"/>
      <c r="R1295" s="763"/>
      <c r="S1295" s="763"/>
      <c r="T1295" s="763"/>
      <c r="U1295" s="763"/>
      <c r="V1295" s="763"/>
      <c r="W1295" s="763"/>
      <c r="X1295" s="763"/>
      <c r="Y1295" s="763"/>
      <c r="Z1295" s="763"/>
      <c r="AA1295" s="763"/>
      <c r="AB1295" s="763"/>
      <c r="AC1295" s="763"/>
      <c r="AD1295" s="763"/>
      <c r="AE1295" s="763"/>
      <c r="AF1295" s="763"/>
      <c r="AG1295" s="763"/>
    </row>
    <row r="1296">
      <c r="A1296" s="27" t="s">
        <v>1032</v>
      </c>
      <c r="B1296" s="27" t="s">
        <v>1187</v>
      </c>
      <c r="C1296" s="27"/>
      <c r="D1296" s="76"/>
      <c r="E1296" s="157" t="s">
        <v>1189</v>
      </c>
      <c r="F1296" s="27" t="s">
        <v>1190</v>
      </c>
      <c r="G1296" s="153">
        <v>46147.0</v>
      </c>
      <c r="H1296" s="153">
        <v>46202.0</v>
      </c>
      <c r="I1296" s="76">
        <f>IFERROR(__xludf.DUMMYFUNCTION("IF(ISBLANK(H1296), TODAY()-TO_DATE(G1296), TO_DATE(H1296)-TO_DATE(G1296))+1"),56.0)</f>
        <v>56</v>
      </c>
      <c r="J1296" s="76">
        <v>300.0</v>
      </c>
      <c r="K1296" s="1005" t="s">
        <v>10256</v>
      </c>
      <c r="L1296" s="47"/>
      <c r="M1296" s="76"/>
      <c r="N1296" s="763"/>
      <c r="O1296" s="763"/>
      <c r="P1296" s="763"/>
      <c r="Q1296" s="763"/>
      <c r="R1296" s="763"/>
      <c r="S1296" s="763"/>
      <c r="T1296" s="763"/>
      <c r="U1296" s="763"/>
      <c r="V1296" s="763"/>
      <c r="W1296" s="763"/>
      <c r="X1296" s="763"/>
      <c r="Y1296" s="763"/>
      <c r="Z1296" s="763"/>
      <c r="AA1296" s="763"/>
      <c r="AB1296" s="763"/>
      <c r="AC1296" s="763"/>
      <c r="AD1296" s="763"/>
      <c r="AE1296" s="763"/>
      <c r="AF1296" s="763"/>
      <c r="AG1296" s="763"/>
    </row>
    <row r="1297">
      <c r="A1297" s="27" t="s">
        <v>1923</v>
      </c>
      <c r="B1297" s="27" t="s">
        <v>1187</v>
      </c>
      <c r="C1297" s="27"/>
      <c r="D1297" s="76"/>
      <c r="E1297" s="27" t="s">
        <v>8548</v>
      </c>
      <c r="F1297" s="27" t="s">
        <v>10258</v>
      </c>
      <c r="G1297" s="153">
        <v>46147.0</v>
      </c>
      <c r="H1297" s="153">
        <v>46154.0</v>
      </c>
      <c r="I1297" s="76">
        <f>IFERROR(__xludf.DUMMYFUNCTION("IF(ISBLANK(H1297), TODAY()-TO_DATE(G1297), TO_DATE(H1297)-TO_DATE(G1297))+1"),8.0)</f>
        <v>8</v>
      </c>
      <c r="J1297" s="76">
        <v>500.0</v>
      </c>
      <c r="K1297" s="27" t="s">
        <v>10260</v>
      </c>
      <c r="L1297" s="47"/>
      <c r="M1297" s="76" t="s">
        <v>9226</v>
      </c>
      <c r="N1297" s="763"/>
      <c r="O1297" s="763"/>
      <c r="P1297" s="763"/>
      <c r="Q1297" s="763"/>
      <c r="R1297" s="763"/>
      <c r="S1297" s="763"/>
      <c r="T1297" s="763"/>
      <c r="U1297" s="763"/>
      <c r="V1297" s="763"/>
      <c r="W1297" s="763"/>
      <c r="X1297" s="763"/>
      <c r="Y1297" s="763"/>
      <c r="Z1297" s="763"/>
      <c r="AA1297" s="763"/>
      <c r="AB1297" s="763"/>
      <c r="AC1297" s="763"/>
      <c r="AD1297" s="763"/>
      <c r="AE1297" s="763"/>
      <c r="AF1297" s="763"/>
      <c r="AG1297" s="763"/>
    </row>
    <row r="1298">
      <c r="A1298" s="27" t="s">
        <v>9987</v>
      </c>
      <c r="B1298" s="27" t="s">
        <v>1187</v>
      </c>
      <c r="C1298" s="27"/>
      <c r="D1298" s="76"/>
      <c r="E1298" s="27" t="s">
        <v>2964</v>
      </c>
      <c r="F1298" s="27" t="s">
        <v>2965</v>
      </c>
      <c r="G1298" s="153">
        <v>46147.0</v>
      </c>
      <c r="H1298" s="153">
        <v>46176.0</v>
      </c>
      <c r="I1298" s="76">
        <f>IFERROR(__xludf.DUMMYFUNCTION("IF(ISBLANK(H1298), TODAY()-TO_DATE(G1298), TO_DATE(H1298)-TO_DATE(G1298))+1"),30.0)</f>
        <v>30</v>
      </c>
      <c r="J1298" s="76">
        <v>300.0</v>
      </c>
      <c r="K1298" s="27" t="s">
        <v>10264</v>
      </c>
      <c r="L1298" s="1008" t="s">
        <v>10265</v>
      </c>
      <c r="M1298" s="124" t="s">
        <v>10266</v>
      </c>
      <c r="N1298" s="763"/>
      <c r="O1298" s="763"/>
      <c r="P1298" s="763"/>
      <c r="Q1298" s="763"/>
      <c r="R1298" s="763"/>
      <c r="S1298" s="763"/>
      <c r="T1298" s="763"/>
      <c r="U1298" s="763"/>
      <c r="V1298" s="763"/>
      <c r="W1298" s="763"/>
      <c r="X1298" s="763"/>
      <c r="Y1298" s="763"/>
      <c r="Z1298" s="763"/>
      <c r="AA1298" s="763"/>
      <c r="AB1298" s="763"/>
      <c r="AC1298" s="763"/>
      <c r="AD1298" s="763"/>
      <c r="AE1298" s="763"/>
      <c r="AF1298" s="763"/>
      <c r="AG1298" s="763"/>
    </row>
    <row r="1299">
      <c r="A1299" s="76" t="s">
        <v>1448</v>
      </c>
      <c r="B1299" s="27" t="s">
        <v>1187</v>
      </c>
      <c r="C1299" s="27"/>
      <c r="D1299" s="76"/>
      <c r="E1299" s="27" t="s">
        <v>1847</v>
      </c>
      <c r="F1299" s="27" t="s">
        <v>1842</v>
      </c>
      <c r="G1299" s="153">
        <v>46148.0</v>
      </c>
      <c r="H1299" s="153">
        <v>46173.0</v>
      </c>
      <c r="I1299" s="76">
        <f>IFERROR(__xludf.DUMMYFUNCTION("IF(ISBLANK(H1299), TODAY()-TO_DATE(G1299), TO_DATE(H1299)-TO_DATE(G1299))+1"),26.0)</f>
        <v>26</v>
      </c>
      <c r="J1299" s="76">
        <v>300.0</v>
      </c>
      <c r="K1299" s="27" t="s">
        <v>10268</v>
      </c>
      <c r="L1299" s="1008" t="s">
        <v>10269</v>
      </c>
      <c r="M1299" s="76"/>
      <c r="N1299" s="763"/>
      <c r="O1299" s="763"/>
      <c r="P1299" s="763"/>
      <c r="Q1299" s="763"/>
      <c r="R1299" s="763"/>
      <c r="S1299" s="763"/>
      <c r="T1299" s="763"/>
      <c r="U1299" s="763"/>
      <c r="V1299" s="763"/>
      <c r="W1299" s="763"/>
      <c r="X1299" s="763"/>
      <c r="Y1299" s="763"/>
      <c r="Z1299" s="763"/>
      <c r="AA1299" s="763"/>
      <c r="AB1299" s="763"/>
      <c r="AC1299" s="763"/>
      <c r="AD1299" s="763"/>
      <c r="AE1299" s="763"/>
      <c r="AF1299" s="763"/>
      <c r="AG1299" s="763"/>
    </row>
    <row r="1300">
      <c r="A1300" s="76" t="s">
        <v>145</v>
      </c>
      <c r="B1300" s="27" t="s">
        <v>1187</v>
      </c>
      <c r="C1300" s="27"/>
      <c r="D1300" s="76"/>
      <c r="E1300" s="27" t="s">
        <v>1531</v>
      </c>
      <c r="F1300" s="27" t="s">
        <v>1532</v>
      </c>
      <c r="G1300" s="153">
        <v>46148.0</v>
      </c>
      <c r="H1300" s="153">
        <v>46177.0</v>
      </c>
      <c r="I1300" s="76">
        <f>IFERROR(__xludf.DUMMYFUNCTION("IF(ISBLANK(H1300), TODAY()-TO_DATE(G1300), TO_DATE(H1300)-TO_DATE(G1300))+1"),30.0)</f>
        <v>30</v>
      </c>
      <c r="J1300" s="76">
        <v>300.0</v>
      </c>
      <c r="K1300" s="27" t="s">
        <v>10273</v>
      </c>
      <c r="L1300" s="47"/>
      <c r="M1300" s="76"/>
      <c r="N1300" s="763"/>
      <c r="O1300" s="763"/>
      <c r="P1300" s="763"/>
      <c r="Q1300" s="763"/>
      <c r="R1300" s="763"/>
      <c r="S1300" s="763"/>
      <c r="T1300" s="763"/>
      <c r="U1300" s="763"/>
      <c r="V1300" s="763"/>
      <c r="W1300" s="763"/>
      <c r="X1300" s="763"/>
      <c r="Y1300" s="763"/>
      <c r="Z1300" s="763"/>
      <c r="AA1300" s="763"/>
      <c r="AB1300" s="763"/>
      <c r="AC1300" s="763"/>
      <c r="AD1300" s="763"/>
      <c r="AE1300" s="763"/>
      <c r="AF1300" s="763"/>
      <c r="AG1300" s="763"/>
    </row>
    <row r="1301">
      <c r="A1301" s="76" t="s">
        <v>2451</v>
      </c>
      <c r="B1301" s="27" t="s">
        <v>1187</v>
      </c>
      <c r="C1301" s="27"/>
      <c r="D1301" s="76"/>
      <c r="E1301" s="27" t="s">
        <v>2962</v>
      </c>
      <c r="F1301" s="1007" t="s">
        <v>2533</v>
      </c>
      <c r="G1301" s="153">
        <v>46149.0</v>
      </c>
      <c r="H1301" s="153">
        <v>46203.0</v>
      </c>
      <c r="I1301" s="76">
        <f>IFERROR(__xludf.DUMMYFUNCTION("IF(ISBLANK(H1301), TODAY()-TO_DATE(G1301), TO_DATE(H1301)-TO_DATE(G1301))+1"),55.0)</f>
        <v>55</v>
      </c>
      <c r="J1301" s="76" t="s">
        <v>197</v>
      </c>
      <c r="K1301" s="27" t="s">
        <v>10279</v>
      </c>
      <c r="L1301" s="47"/>
      <c r="M1301" s="76"/>
      <c r="N1301" s="763"/>
      <c r="O1301" s="763"/>
      <c r="P1301" s="763"/>
      <c r="Q1301" s="763"/>
      <c r="R1301" s="763"/>
      <c r="S1301" s="763"/>
      <c r="T1301" s="763"/>
      <c r="U1301" s="763"/>
      <c r="V1301" s="763"/>
      <c r="W1301" s="763"/>
      <c r="X1301" s="763"/>
      <c r="Y1301" s="763"/>
      <c r="Z1301" s="763"/>
      <c r="AA1301" s="763"/>
      <c r="AB1301" s="763"/>
      <c r="AC1301" s="763"/>
      <c r="AD1301" s="763"/>
      <c r="AE1301" s="763"/>
      <c r="AF1301" s="763"/>
      <c r="AG1301" s="763"/>
    </row>
    <row r="1302">
      <c r="A1302" s="76" t="s">
        <v>1032</v>
      </c>
      <c r="B1302" s="27" t="s">
        <v>1187</v>
      </c>
      <c r="C1302" s="27"/>
      <c r="D1302" s="76"/>
      <c r="E1302" s="27" t="s">
        <v>8400</v>
      </c>
      <c r="F1302" s="1007" t="s">
        <v>10280</v>
      </c>
      <c r="G1302" s="153">
        <v>46156.0</v>
      </c>
      <c r="H1302" s="153">
        <v>46210.0</v>
      </c>
      <c r="I1302" s="76">
        <f>IFERROR(__xludf.DUMMYFUNCTION("IF(ISBLANK(H1302), TODAY()-TO_DATE(G1302), TO_DATE(H1302)-TO_DATE(G1302))+1"),55.0)</f>
        <v>55</v>
      </c>
      <c r="J1302" s="76">
        <v>500.0</v>
      </c>
      <c r="K1302" s="1005" t="s">
        <v>10282</v>
      </c>
      <c r="L1302" s="158" t="s">
        <v>10284</v>
      </c>
      <c r="M1302" s="76" t="s">
        <v>9226</v>
      </c>
      <c r="N1302" s="153">
        <v>46149.0</v>
      </c>
      <c r="O1302" s="763"/>
      <c r="P1302" s="763"/>
      <c r="Q1302" s="763"/>
      <c r="R1302" s="763"/>
      <c r="S1302" s="763"/>
      <c r="T1302" s="763"/>
      <c r="U1302" s="763"/>
      <c r="V1302" s="763"/>
      <c r="W1302" s="763"/>
      <c r="X1302" s="763"/>
      <c r="Y1302" s="763"/>
      <c r="Z1302" s="763"/>
      <c r="AA1302" s="763"/>
      <c r="AB1302" s="763"/>
      <c r="AC1302" s="763"/>
      <c r="AD1302" s="763"/>
      <c r="AE1302" s="763"/>
      <c r="AF1302" s="763"/>
      <c r="AG1302" s="763"/>
    </row>
    <row r="1303">
      <c r="A1303" s="76" t="s">
        <v>1923</v>
      </c>
      <c r="B1303" s="27" t="s">
        <v>1187</v>
      </c>
      <c r="C1303" s="27"/>
      <c r="D1303" s="76"/>
      <c r="E1303" s="27" t="s">
        <v>8517</v>
      </c>
      <c r="F1303" s="1007" t="s">
        <v>10286</v>
      </c>
      <c r="G1303" s="153">
        <v>46149.0</v>
      </c>
      <c r="H1303" s="153">
        <v>46156.0</v>
      </c>
      <c r="I1303" s="76">
        <f>IFERROR(__xludf.DUMMYFUNCTION("IF(ISBLANK(H1303), TODAY()-TO_DATE(G1303), TO_DATE(H1303)-TO_DATE(G1303))+1"),8.0)</f>
        <v>8</v>
      </c>
      <c r="J1303" s="76">
        <v>300.0</v>
      </c>
      <c r="K1303" s="27" t="s">
        <v>10287</v>
      </c>
      <c r="L1303" s="47"/>
      <c r="M1303" s="76" t="s">
        <v>9226</v>
      </c>
      <c r="N1303" s="763"/>
      <c r="O1303" s="763"/>
      <c r="P1303" s="763"/>
      <c r="Q1303" s="763"/>
      <c r="R1303" s="763"/>
      <c r="S1303" s="763"/>
      <c r="T1303" s="763"/>
      <c r="U1303" s="763"/>
      <c r="V1303" s="763"/>
      <c r="W1303" s="763"/>
      <c r="X1303" s="763"/>
      <c r="Y1303" s="763"/>
      <c r="Z1303" s="763"/>
      <c r="AA1303" s="763"/>
      <c r="AB1303" s="763"/>
      <c r="AC1303" s="763"/>
      <c r="AD1303" s="763"/>
      <c r="AE1303" s="763"/>
      <c r="AF1303" s="763"/>
      <c r="AG1303" s="763"/>
    </row>
    <row r="1304">
      <c r="A1304" s="76" t="s">
        <v>145</v>
      </c>
      <c r="B1304" s="27" t="s">
        <v>1187</v>
      </c>
      <c r="C1304" s="27"/>
      <c r="D1304" s="76"/>
      <c r="E1304" s="27" t="s">
        <v>10290</v>
      </c>
      <c r="F1304" s="1007" t="s">
        <v>3009</v>
      </c>
      <c r="G1304" s="153">
        <v>46149.0</v>
      </c>
      <c r="H1304" s="153">
        <v>46168.0</v>
      </c>
      <c r="I1304" s="76">
        <f>IFERROR(__xludf.DUMMYFUNCTION("IF(ISBLANK(H1304), TODAY()-TO_DATE(G1304), TO_DATE(H1304)-TO_DATE(G1304))+1"),20.0)</f>
        <v>20</v>
      </c>
      <c r="J1304" s="76">
        <v>300.0</v>
      </c>
      <c r="K1304" s="27" t="s">
        <v>10292</v>
      </c>
      <c r="L1304" s="1008" t="s">
        <v>10293</v>
      </c>
      <c r="M1304" s="76" t="s">
        <v>9226</v>
      </c>
      <c r="N1304" s="763"/>
      <c r="O1304" s="763"/>
      <c r="P1304" s="763"/>
      <c r="Q1304" s="763"/>
      <c r="R1304" s="763"/>
      <c r="S1304" s="763"/>
      <c r="T1304" s="763"/>
      <c r="U1304" s="763"/>
      <c r="V1304" s="763"/>
      <c r="W1304" s="763"/>
      <c r="X1304" s="763"/>
      <c r="Y1304" s="763"/>
      <c r="Z1304" s="763"/>
      <c r="AA1304" s="763"/>
      <c r="AB1304" s="763"/>
      <c r="AC1304" s="763"/>
      <c r="AD1304" s="763"/>
      <c r="AE1304" s="763"/>
      <c r="AF1304" s="763"/>
      <c r="AG1304" s="763"/>
    </row>
    <row r="1305">
      <c r="A1305" s="76" t="s">
        <v>150</v>
      </c>
      <c r="B1305" s="27" t="s">
        <v>1187</v>
      </c>
      <c r="C1305" s="27"/>
      <c r="D1305" s="76"/>
      <c r="E1305" s="27" t="s">
        <v>988</v>
      </c>
      <c r="F1305" s="27" t="s">
        <v>989</v>
      </c>
      <c r="G1305" s="153">
        <v>46149.0</v>
      </c>
      <c r="H1305" s="153">
        <v>46168.0</v>
      </c>
      <c r="I1305" s="76">
        <f>IFERROR(__xludf.DUMMYFUNCTION("IF(ISBLANK(H1305), TODAY()-TO_DATE(G1305), TO_DATE(H1305)-TO_DATE(G1305))+1"),20.0)</f>
        <v>20</v>
      </c>
      <c r="J1305" s="76" t="s">
        <v>197</v>
      </c>
      <c r="K1305" s="27" t="s">
        <v>10298</v>
      </c>
      <c r="L1305" s="47" t="s">
        <v>10299</v>
      </c>
      <c r="M1305" s="76"/>
      <c r="N1305" s="763"/>
      <c r="O1305" s="763"/>
      <c r="P1305" s="763"/>
      <c r="Q1305" s="763"/>
      <c r="R1305" s="763"/>
      <c r="S1305" s="763"/>
      <c r="T1305" s="763"/>
      <c r="U1305" s="763"/>
      <c r="V1305" s="763"/>
      <c r="W1305" s="763"/>
      <c r="X1305" s="763"/>
      <c r="Y1305" s="763"/>
      <c r="Z1305" s="763"/>
      <c r="AA1305" s="763"/>
      <c r="AB1305" s="763"/>
      <c r="AC1305" s="763"/>
      <c r="AD1305" s="763"/>
      <c r="AE1305" s="763"/>
      <c r="AF1305" s="763"/>
      <c r="AG1305" s="763"/>
    </row>
    <row r="1306">
      <c r="A1306" s="76" t="s">
        <v>1032</v>
      </c>
      <c r="B1306" s="27" t="s">
        <v>1187</v>
      </c>
      <c r="C1306" s="27"/>
      <c r="D1306" s="76"/>
      <c r="E1306" s="27" t="s">
        <v>1147</v>
      </c>
      <c r="F1306" s="27" t="s">
        <v>1148</v>
      </c>
      <c r="G1306" s="153">
        <v>46149.0</v>
      </c>
      <c r="H1306" s="153">
        <v>46202.0</v>
      </c>
      <c r="I1306" s="76">
        <f>IFERROR(__xludf.DUMMYFUNCTION("IF(ISBLANK(H1306), TODAY()-TO_DATE(G1306), TO_DATE(H1306)-TO_DATE(G1306))+1"),54.0)</f>
        <v>54</v>
      </c>
      <c r="J1306" s="76" t="s">
        <v>197</v>
      </c>
      <c r="K1306" s="27" t="s">
        <v>10301</v>
      </c>
      <c r="L1306" s="47"/>
      <c r="M1306" s="76" t="s">
        <v>9226</v>
      </c>
      <c r="N1306" s="763"/>
      <c r="O1306" s="763"/>
      <c r="P1306" s="763"/>
      <c r="Q1306" s="763"/>
      <c r="R1306" s="763"/>
      <c r="S1306" s="763"/>
      <c r="T1306" s="763"/>
      <c r="U1306" s="763"/>
      <c r="V1306" s="763"/>
      <c r="W1306" s="763"/>
      <c r="X1306" s="763"/>
      <c r="Y1306" s="763"/>
      <c r="Z1306" s="763"/>
      <c r="AA1306" s="763"/>
      <c r="AB1306" s="763"/>
      <c r="AC1306" s="763"/>
      <c r="AD1306" s="763"/>
      <c r="AE1306" s="763"/>
      <c r="AF1306" s="763"/>
      <c r="AG1306" s="763"/>
    </row>
    <row r="1307">
      <c r="A1307" s="76" t="s">
        <v>1032</v>
      </c>
      <c r="B1307" s="27" t="s">
        <v>1187</v>
      </c>
      <c r="C1307" s="27"/>
      <c r="D1307" s="76"/>
      <c r="E1307" s="27" t="s">
        <v>5562</v>
      </c>
      <c r="F1307" s="1007" t="s">
        <v>4560</v>
      </c>
      <c r="G1307" s="153">
        <v>46151.0</v>
      </c>
      <c r="H1307" s="153">
        <v>46164.0</v>
      </c>
      <c r="I1307" s="76">
        <f>IFERROR(__xludf.DUMMYFUNCTION("IF(ISBLANK(H1307), TODAY()-TO_DATE(G1307), TO_DATE(H1307)-TO_DATE(G1307))+1"),14.0)</f>
        <v>14</v>
      </c>
      <c r="J1307" s="76">
        <v>300.0</v>
      </c>
      <c r="K1307" s="1005" t="s">
        <v>10304</v>
      </c>
      <c r="L1307" s="47"/>
      <c r="M1307" s="76" t="s">
        <v>9226</v>
      </c>
      <c r="N1307" s="763"/>
      <c r="O1307" s="763"/>
      <c r="P1307" s="763"/>
      <c r="Q1307" s="763"/>
      <c r="R1307" s="763"/>
      <c r="S1307" s="763"/>
      <c r="T1307" s="763"/>
      <c r="U1307" s="763"/>
      <c r="V1307" s="763"/>
      <c r="W1307" s="763"/>
      <c r="X1307" s="763"/>
      <c r="Y1307" s="763"/>
      <c r="Z1307" s="763"/>
      <c r="AA1307" s="763"/>
      <c r="AB1307" s="763"/>
      <c r="AC1307" s="763"/>
      <c r="AD1307" s="763"/>
      <c r="AE1307" s="763"/>
      <c r="AF1307" s="763"/>
      <c r="AG1307" s="763"/>
    </row>
    <row r="1308">
      <c r="A1308" s="76" t="s">
        <v>1032</v>
      </c>
      <c r="B1308" s="27" t="s">
        <v>1187</v>
      </c>
      <c r="C1308" s="27"/>
      <c r="D1308" s="76"/>
      <c r="E1308" s="27" t="s">
        <v>8409</v>
      </c>
      <c r="F1308" s="1007" t="s">
        <v>4428</v>
      </c>
      <c r="G1308" s="153">
        <v>46156.0</v>
      </c>
      <c r="H1308" s="153">
        <v>46208.0</v>
      </c>
      <c r="I1308" s="76">
        <f>IFERROR(__xludf.DUMMYFUNCTION("IF(ISBLANK(H1308), TODAY()-TO_DATE(G1308), TO_DATE(H1308)-TO_DATE(G1308))+1"),53.0)</f>
        <v>53</v>
      </c>
      <c r="J1308" s="76">
        <v>500.0</v>
      </c>
      <c r="K1308" s="1005" t="s">
        <v>10306</v>
      </c>
      <c r="L1308" s="158" t="s">
        <v>10307</v>
      </c>
      <c r="M1308" s="76"/>
      <c r="N1308" s="153">
        <v>46151.0</v>
      </c>
      <c r="O1308" s="763"/>
      <c r="P1308" s="763"/>
      <c r="Q1308" s="763"/>
      <c r="R1308" s="763"/>
      <c r="S1308" s="763"/>
      <c r="T1308" s="763"/>
      <c r="U1308" s="763"/>
      <c r="V1308" s="763"/>
      <c r="W1308" s="763"/>
      <c r="X1308" s="763"/>
      <c r="Y1308" s="763"/>
      <c r="Z1308" s="763"/>
      <c r="AA1308" s="763"/>
      <c r="AB1308" s="763"/>
      <c r="AC1308" s="763"/>
      <c r="AD1308" s="763"/>
      <c r="AE1308" s="763"/>
      <c r="AF1308" s="763"/>
      <c r="AG1308" s="763"/>
    </row>
    <row r="1309">
      <c r="A1309" s="76" t="s">
        <v>1923</v>
      </c>
      <c r="B1309" s="27" t="s">
        <v>1187</v>
      </c>
      <c r="C1309" s="27"/>
      <c r="D1309" s="76"/>
      <c r="E1309" s="27" t="s">
        <v>6553</v>
      </c>
      <c r="F1309" s="1007" t="s">
        <v>1447</v>
      </c>
      <c r="G1309" s="153">
        <v>46151.0</v>
      </c>
      <c r="H1309" s="153">
        <v>46158.0</v>
      </c>
      <c r="I1309" s="76">
        <f>IFERROR(__xludf.DUMMYFUNCTION("IF(ISBLANK(H1309), TODAY()-TO_DATE(G1309), TO_DATE(H1309)-TO_DATE(G1309))+1"),8.0)</f>
        <v>8</v>
      </c>
      <c r="J1309" s="76" t="s">
        <v>197</v>
      </c>
      <c r="K1309" s="27" t="s">
        <v>10309</v>
      </c>
      <c r="L1309" s="47"/>
      <c r="M1309" s="76" t="s">
        <v>9226</v>
      </c>
      <c r="N1309" s="763"/>
      <c r="O1309" s="763"/>
      <c r="P1309" s="763"/>
      <c r="Q1309" s="763"/>
      <c r="R1309" s="763"/>
      <c r="S1309" s="763"/>
      <c r="T1309" s="763"/>
      <c r="U1309" s="763"/>
      <c r="V1309" s="763"/>
      <c r="W1309" s="763"/>
      <c r="X1309" s="763"/>
      <c r="Y1309" s="763"/>
      <c r="Z1309" s="763"/>
      <c r="AA1309" s="763"/>
      <c r="AB1309" s="763"/>
      <c r="AC1309" s="763"/>
      <c r="AD1309" s="763"/>
      <c r="AE1309" s="763"/>
      <c r="AF1309" s="763"/>
      <c r="AG1309" s="763"/>
    </row>
    <row r="1310">
      <c r="A1310" s="76" t="s">
        <v>145</v>
      </c>
      <c r="B1310" s="27" t="s">
        <v>1187</v>
      </c>
      <c r="C1310" s="27"/>
      <c r="D1310" s="76"/>
      <c r="E1310" s="27" t="s">
        <v>8991</v>
      </c>
      <c r="F1310" s="1007" t="s">
        <v>8992</v>
      </c>
      <c r="G1310" s="153">
        <v>46151.0</v>
      </c>
      <c r="H1310" s="153">
        <v>46160.0</v>
      </c>
      <c r="I1310" s="76">
        <f>IFERROR(__xludf.DUMMYFUNCTION("IF(ISBLANK(H1310), TODAY()-TO_DATE(G1310), TO_DATE(H1310)-TO_DATE(G1310))+1"),10.0)</f>
        <v>10</v>
      </c>
      <c r="J1310" s="76" t="s">
        <v>197</v>
      </c>
      <c r="K1310" s="27" t="s">
        <v>9813</v>
      </c>
      <c r="L1310" s="47"/>
      <c r="M1310" s="76" t="s">
        <v>9226</v>
      </c>
      <c r="N1310" s="763"/>
      <c r="O1310" s="763"/>
      <c r="P1310" s="763"/>
      <c r="Q1310" s="763"/>
      <c r="R1310" s="763"/>
      <c r="S1310" s="763"/>
      <c r="T1310" s="763"/>
      <c r="U1310" s="763"/>
      <c r="V1310" s="763"/>
      <c r="W1310" s="763"/>
      <c r="X1310" s="763"/>
      <c r="Y1310" s="763"/>
      <c r="Z1310" s="763"/>
      <c r="AA1310" s="763"/>
      <c r="AB1310" s="763"/>
      <c r="AC1310" s="763"/>
      <c r="AD1310" s="763"/>
      <c r="AE1310" s="763"/>
      <c r="AF1310" s="763"/>
      <c r="AG1310" s="763"/>
    </row>
    <row r="1311">
      <c r="A1311" s="76" t="s">
        <v>150</v>
      </c>
      <c r="B1311" s="27" t="s">
        <v>1187</v>
      </c>
      <c r="C1311" s="27"/>
      <c r="D1311" s="76"/>
      <c r="E1311" s="27" t="s">
        <v>10315</v>
      </c>
      <c r="F1311" s="1007" t="s">
        <v>8913</v>
      </c>
      <c r="G1311" s="153">
        <v>46152.0</v>
      </c>
      <c r="H1311" s="153">
        <v>46212.0</v>
      </c>
      <c r="I1311" s="76">
        <f>IFERROR(__xludf.DUMMYFUNCTION("IF(ISBLANK(H1311), TODAY()-TO_DATE(G1311), TO_DATE(H1311)-TO_DATE(G1311))+1"),61.0)</f>
        <v>61</v>
      </c>
      <c r="J1311" s="76">
        <v>500.0</v>
      </c>
      <c r="K1311" s="1005" t="s">
        <v>10316</v>
      </c>
      <c r="L1311" s="47"/>
      <c r="M1311" s="76" t="s">
        <v>9226</v>
      </c>
      <c r="N1311" s="763"/>
      <c r="O1311" s="763"/>
      <c r="P1311" s="763"/>
      <c r="Q1311" s="763"/>
      <c r="R1311" s="763"/>
      <c r="S1311" s="763"/>
      <c r="T1311" s="763"/>
      <c r="U1311" s="763"/>
      <c r="V1311" s="763"/>
      <c r="W1311" s="763"/>
      <c r="X1311" s="763"/>
      <c r="Y1311" s="763"/>
      <c r="Z1311" s="763"/>
      <c r="AA1311" s="763"/>
      <c r="AB1311" s="763"/>
      <c r="AC1311" s="763"/>
      <c r="AD1311" s="763"/>
      <c r="AE1311" s="763"/>
      <c r="AF1311" s="763"/>
      <c r="AG1311" s="763"/>
    </row>
    <row r="1312">
      <c r="A1312" s="76" t="s">
        <v>1032</v>
      </c>
      <c r="B1312" s="27" t="s">
        <v>1187</v>
      </c>
      <c r="C1312" s="27"/>
      <c r="D1312" s="76"/>
      <c r="E1312" s="27" t="s">
        <v>1124</v>
      </c>
      <c r="F1312" s="1007" t="s">
        <v>1126</v>
      </c>
      <c r="G1312" s="153">
        <v>46152.0</v>
      </c>
      <c r="H1312" s="153">
        <v>46183.0</v>
      </c>
      <c r="I1312" s="76">
        <f>IFERROR(__xludf.DUMMYFUNCTION("IF(ISBLANK(H1312), TODAY()-TO_DATE(G1312), TO_DATE(H1312)-TO_DATE(G1312))+1"),32.0)</f>
        <v>32</v>
      </c>
      <c r="J1312" s="76" t="s">
        <v>197</v>
      </c>
      <c r="K1312" s="1005" t="s">
        <v>10318</v>
      </c>
      <c r="L1312" s="47"/>
      <c r="M1312" s="76"/>
      <c r="N1312" s="763"/>
      <c r="O1312" s="763"/>
      <c r="P1312" s="763"/>
      <c r="Q1312" s="763"/>
      <c r="R1312" s="763"/>
      <c r="S1312" s="763"/>
      <c r="T1312" s="763"/>
      <c r="U1312" s="763"/>
      <c r="V1312" s="763"/>
      <c r="W1312" s="763"/>
      <c r="X1312" s="763"/>
      <c r="Y1312" s="763"/>
      <c r="Z1312" s="763"/>
      <c r="AA1312" s="763"/>
      <c r="AB1312" s="763"/>
      <c r="AC1312" s="763"/>
      <c r="AD1312" s="763"/>
      <c r="AE1312" s="763"/>
      <c r="AF1312" s="763"/>
      <c r="AG1312" s="763"/>
    </row>
    <row r="1313">
      <c r="A1313" s="76" t="s">
        <v>9359</v>
      </c>
      <c r="B1313" s="27" t="s">
        <v>1187</v>
      </c>
      <c r="C1313" s="27"/>
      <c r="D1313" s="76"/>
      <c r="E1313" s="27" t="s">
        <v>1939</v>
      </c>
      <c r="F1313" s="1007" t="s">
        <v>1940</v>
      </c>
      <c r="G1313" s="153">
        <v>46152.0</v>
      </c>
      <c r="H1313" s="153">
        <v>46212.0</v>
      </c>
      <c r="I1313" s="76">
        <f>IFERROR(__xludf.DUMMYFUNCTION("IF(ISBLANK(H1313), TODAY()-TO_DATE(G1313), TO_DATE(H1313)-TO_DATE(G1313))+1"),61.0)</f>
        <v>61</v>
      </c>
      <c r="J1313" s="76">
        <v>500.0</v>
      </c>
      <c r="K1313" s="1005" t="s">
        <v>10320</v>
      </c>
      <c r="L1313" s="158" t="s">
        <v>10321</v>
      </c>
      <c r="M1313" s="76" t="s">
        <v>9226</v>
      </c>
      <c r="N1313" s="763"/>
      <c r="O1313" s="763"/>
      <c r="P1313" s="763"/>
      <c r="Q1313" s="763"/>
      <c r="R1313" s="763"/>
      <c r="S1313" s="763"/>
      <c r="T1313" s="763"/>
      <c r="U1313" s="763"/>
      <c r="V1313" s="763"/>
      <c r="W1313" s="763"/>
      <c r="X1313" s="763"/>
      <c r="Y1313" s="763"/>
      <c r="Z1313" s="763"/>
      <c r="AA1313" s="763"/>
      <c r="AB1313" s="763"/>
      <c r="AC1313" s="763"/>
      <c r="AD1313" s="763"/>
      <c r="AE1313" s="763"/>
      <c r="AF1313" s="763"/>
      <c r="AG1313" s="763"/>
    </row>
    <row r="1314">
      <c r="A1314" s="76" t="s">
        <v>145</v>
      </c>
      <c r="B1314" s="27" t="s">
        <v>1187</v>
      </c>
      <c r="C1314" s="27"/>
      <c r="D1314" s="76"/>
      <c r="E1314" s="27" t="s">
        <v>10323</v>
      </c>
      <c r="F1314" s="1007" t="s">
        <v>10324</v>
      </c>
      <c r="G1314" s="153">
        <v>46156.0</v>
      </c>
      <c r="H1314" s="153">
        <v>46212.0</v>
      </c>
      <c r="I1314" s="76">
        <f>IFERROR(__xludf.DUMMYFUNCTION("IF(ISBLANK(H1314), TODAY()-TO_DATE(G1314), TO_DATE(H1314)-TO_DATE(G1314))+1"),57.0)</f>
        <v>57</v>
      </c>
      <c r="J1314" s="76">
        <v>500.0</v>
      </c>
      <c r="K1314" s="1005" t="s">
        <v>10325</v>
      </c>
      <c r="L1314" s="1008" t="s">
        <v>10326</v>
      </c>
      <c r="M1314" s="76" t="s">
        <v>9226</v>
      </c>
      <c r="N1314" s="153">
        <v>46152.0</v>
      </c>
      <c r="O1314" s="763"/>
      <c r="P1314" s="763"/>
      <c r="Q1314" s="763"/>
      <c r="R1314" s="763"/>
      <c r="S1314" s="763"/>
      <c r="T1314" s="763"/>
      <c r="U1314" s="763"/>
      <c r="V1314" s="763"/>
      <c r="W1314" s="763"/>
      <c r="X1314" s="763"/>
      <c r="Y1314" s="763"/>
      <c r="Z1314" s="763"/>
      <c r="AA1314" s="763"/>
      <c r="AB1314" s="763"/>
      <c r="AC1314" s="763"/>
      <c r="AD1314" s="763"/>
      <c r="AE1314" s="763"/>
      <c r="AF1314" s="763"/>
      <c r="AG1314" s="763"/>
    </row>
    <row r="1315">
      <c r="A1315" s="76" t="s">
        <v>10328</v>
      </c>
      <c r="B1315" s="27" t="s">
        <v>2194</v>
      </c>
      <c r="C1315" s="27"/>
      <c r="D1315" s="76"/>
      <c r="E1315" s="27" t="s">
        <v>8634</v>
      </c>
      <c r="F1315" s="27" t="s">
        <v>1277</v>
      </c>
      <c r="G1315" s="153">
        <v>46156.0</v>
      </c>
      <c r="H1315" s="153">
        <v>46209.0</v>
      </c>
      <c r="I1315" s="76">
        <f>IFERROR(__xludf.DUMMYFUNCTION("IF(ISBLANK(H1315), TODAY()-TO_DATE(G1315), TO_DATE(H1315)-TO_DATE(G1315))+1"),54.0)</f>
        <v>54</v>
      </c>
      <c r="J1315" s="76">
        <v>500.0</v>
      </c>
      <c r="K1315" s="27" t="s">
        <v>10330</v>
      </c>
      <c r="L1315" s="47"/>
      <c r="M1315" s="76" t="s">
        <v>9226</v>
      </c>
      <c r="N1315" s="153">
        <v>46152.0</v>
      </c>
      <c r="O1315" s="763"/>
      <c r="P1315" s="763"/>
      <c r="Q1315" s="763"/>
      <c r="R1315" s="763"/>
      <c r="S1315" s="763"/>
      <c r="T1315" s="763"/>
      <c r="U1315" s="763"/>
      <c r="V1315" s="763"/>
      <c r="W1315" s="763"/>
      <c r="X1315" s="763"/>
      <c r="Y1315" s="763"/>
      <c r="Z1315" s="763"/>
      <c r="AA1315" s="763"/>
      <c r="AB1315" s="763"/>
      <c r="AC1315" s="763"/>
      <c r="AD1315" s="763"/>
      <c r="AE1315" s="763"/>
      <c r="AF1315" s="763"/>
      <c r="AG1315" s="763"/>
    </row>
    <row r="1316">
      <c r="A1316" s="76" t="s">
        <v>9987</v>
      </c>
      <c r="B1316" s="27" t="s">
        <v>2194</v>
      </c>
      <c r="C1316" s="27"/>
      <c r="D1316" s="76"/>
      <c r="E1316" s="27" t="s">
        <v>9851</v>
      </c>
      <c r="F1316" s="27" t="s">
        <v>9852</v>
      </c>
      <c r="G1316" s="153">
        <v>46152.0</v>
      </c>
      <c r="H1316" s="153">
        <v>46156.0</v>
      </c>
      <c r="I1316" s="76">
        <f>IFERROR(__xludf.DUMMYFUNCTION("IF(ISBLANK(H1316), TODAY()-TO_DATE(G1316), TO_DATE(H1316)-TO_DATE(G1316))+1"),5.0)</f>
        <v>5</v>
      </c>
      <c r="J1316" s="76">
        <v>300.0</v>
      </c>
      <c r="K1316" s="27" t="s">
        <v>10332</v>
      </c>
      <c r="L1316" s="47" t="s">
        <v>9968</v>
      </c>
      <c r="M1316" s="76" t="s">
        <v>9226</v>
      </c>
      <c r="N1316" s="763"/>
      <c r="O1316" s="763"/>
      <c r="P1316" s="763"/>
      <c r="Q1316" s="763"/>
      <c r="R1316" s="763"/>
      <c r="S1316" s="763"/>
      <c r="T1316" s="763"/>
      <c r="U1316" s="763"/>
      <c r="V1316" s="763"/>
      <c r="W1316" s="763"/>
      <c r="X1316" s="763"/>
      <c r="Y1316" s="763"/>
      <c r="Z1316" s="763"/>
      <c r="AA1316" s="763"/>
      <c r="AB1316" s="763"/>
      <c r="AC1316" s="763"/>
      <c r="AD1316" s="763"/>
      <c r="AE1316" s="763"/>
      <c r="AF1316" s="763"/>
      <c r="AG1316" s="763"/>
    </row>
    <row r="1317">
      <c r="A1317" s="76" t="s">
        <v>9987</v>
      </c>
      <c r="B1317" s="27" t="s">
        <v>2194</v>
      </c>
      <c r="C1317" s="27"/>
      <c r="D1317" s="76"/>
      <c r="E1317" s="157" t="s">
        <v>10336</v>
      </c>
      <c r="F1317" s="76" t="s">
        <v>10337</v>
      </c>
      <c r="G1317" s="153">
        <v>46152.0</v>
      </c>
      <c r="H1317" s="638">
        <v>46167.0</v>
      </c>
      <c r="I1317" s="76">
        <f>IFERROR(__xludf.DUMMYFUNCTION("IF(ISBLANK(H1317), TODAY()-TO_DATE(G1317), TO_DATE(H1317)-TO_DATE(G1317))+1"),16.0)</f>
        <v>16</v>
      </c>
      <c r="J1317" s="76" t="s">
        <v>8926</v>
      </c>
      <c r="K1317" s="40" t="s">
        <v>10039</v>
      </c>
      <c r="L1317" s="47"/>
      <c r="M1317" s="76" t="s">
        <v>9226</v>
      </c>
      <c r="N1317" s="763"/>
      <c r="O1317" s="763"/>
      <c r="P1317" s="763"/>
      <c r="Q1317" s="763"/>
      <c r="R1317" s="763"/>
      <c r="S1317" s="763"/>
      <c r="T1317" s="763"/>
      <c r="U1317" s="763"/>
      <c r="V1317" s="763"/>
      <c r="W1317" s="763"/>
      <c r="X1317" s="763"/>
      <c r="Y1317" s="763"/>
      <c r="Z1317" s="763"/>
      <c r="AA1317" s="763"/>
      <c r="AB1317" s="763"/>
      <c r="AC1317" s="763"/>
      <c r="AD1317" s="763"/>
      <c r="AE1317" s="763"/>
      <c r="AF1317" s="763"/>
      <c r="AG1317" s="763"/>
    </row>
    <row r="1318">
      <c r="A1318" s="76" t="s">
        <v>9987</v>
      </c>
      <c r="B1318" s="27" t="s">
        <v>2194</v>
      </c>
      <c r="C1318" s="27"/>
      <c r="D1318" s="76"/>
      <c r="E1318" s="157" t="s">
        <v>4422</v>
      </c>
      <c r="F1318" s="76" t="s">
        <v>2068</v>
      </c>
      <c r="G1318" s="153">
        <v>46152.0</v>
      </c>
      <c r="H1318" s="153">
        <v>46164.0</v>
      </c>
      <c r="I1318" s="76">
        <f>IFERROR(__xludf.DUMMYFUNCTION("IF(ISBLANK(H1318), TODAY()-TO_DATE(G1318), TO_DATE(H1318)-TO_DATE(G1318))+1"),13.0)</f>
        <v>13</v>
      </c>
      <c r="J1318" s="76" t="s">
        <v>197</v>
      </c>
      <c r="K1318" s="40" t="s">
        <v>10340</v>
      </c>
      <c r="L1318" s="1016"/>
      <c r="M1318" s="76" t="s">
        <v>9226</v>
      </c>
      <c r="N1318" s="763"/>
      <c r="O1318" s="763"/>
      <c r="P1318" s="763"/>
      <c r="Q1318" s="763"/>
      <c r="R1318" s="763"/>
      <c r="S1318" s="763"/>
      <c r="T1318" s="763"/>
      <c r="U1318" s="763"/>
      <c r="V1318" s="763"/>
      <c r="W1318" s="763"/>
      <c r="X1318" s="763"/>
      <c r="Y1318" s="763"/>
      <c r="Z1318" s="763"/>
      <c r="AA1318" s="763"/>
      <c r="AB1318" s="763"/>
      <c r="AC1318" s="763"/>
      <c r="AD1318" s="763"/>
      <c r="AE1318" s="763"/>
      <c r="AF1318" s="763"/>
      <c r="AG1318" s="763"/>
    </row>
    <row r="1319">
      <c r="A1319" s="76" t="s">
        <v>145</v>
      </c>
      <c r="B1319" s="27" t="s">
        <v>2194</v>
      </c>
      <c r="C1319" s="27"/>
      <c r="D1319" s="76"/>
      <c r="E1319" s="157" t="s">
        <v>10344</v>
      </c>
      <c r="F1319" s="76" t="s">
        <v>3959</v>
      </c>
      <c r="G1319" s="153">
        <v>46152.0</v>
      </c>
      <c r="H1319" s="153">
        <v>46167.0</v>
      </c>
      <c r="I1319" s="76">
        <f>IFERROR(__xludf.DUMMYFUNCTION("IF(ISBLANK(H1319), TODAY()-TO_DATE(G1319), TO_DATE(H1319)-TO_DATE(G1319))+1"),16.0)</f>
        <v>16</v>
      </c>
      <c r="J1319" s="76">
        <v>300.0</v>
      </c>
      <c r="K1319" s="76" t="s">
        <v>10345</v>
      </c>
      <c r="L1319" s="160" t="s">
        <v>10346</v>
      </c>
      <c r="M1319" s="27"/>
      <c r="N1319" s="27"/>
      <c r="O1319" s="76"/>
      <c r="P1319" s="157"/>
      <c r="Q1319" s="76"/>
      <c r="R1319" s="153"/>
      <c r="S1319" s="153"/>
      <c r="T1319" s="76"/>
      <c r="U1319" s="76"/>
      <c r="V1319" s="40"/>
      <c r="W1319" s="47"/>
      <c r="X1319" s="76"/>
      <c r="Y1319" s="763"/>
      <c r="Z1319" s="763"/>
      <c r="AA1319" s="763"/>
      <c r="AB1319" s="763"/>
      <c r="AC1319" s="763"/>
      <c r="AD1319" s="763"/>
      <c r="AE1319" s="763"/>
      <c r="AF1319" s="763"/>
      <c r="AG1319" s="763"/>
    </row>
    <row r="1320">
      <c r="A1320" s="76" t="s">
        <v>9987</v>
      </c>
      <c r="B1320" s="27" t="s">
        <v>2194</v>
      </c>
      <c r="C1320" s="27"/>
      <c r="D1320" s="76"/>
      <c r="E1320" s="157" t="s">
        <v>10348</v>
      </c>
      <c r="F1320" s="76" t="s">
        <v>10349</v>
      </c>
      <c r="G1320" s="153">
        <v>46152.0</v>
      </c>
      <c r="H1320" s="153">
        <v>46185.0</v>
      </c>
      <c r="I1320" s="76">
        <f>IFERROR(__xludf.DUMMYFUNCTION("IF(ISBLANK(H1320), TODAY()-TO_DATE(G1320), TO_DATE(H1320)-TO_DATE(G1320))+1"),34.0)</f>
        <v>34</v>
      </c>
      <c r="J1320" s="76" t="s">
        <v>197</v>
      </c>
      <c r="K1320" s="40" t="s">
        <v>10350</v>
      </c>
      <c r="L1320" s="40" t="s">
        <v>10351</v>
      </c>
      <c r="M1320" s="76" t="s">
        <v>9226</v>
      </c>
      <c r="N1320" s="763"/>
      <c r="O1320" s="763"/>
      <c r="P1320" s="763"/>
      <c r="Q1320" s="763"/>
      <c r="R1320" s="763"/>
      <c r="S1320" s="763"/>
      <c r="T1320" s="763"/>
      <c r="U1320" s="763"/>
      <c r="V1320" s="763"/>
      <c r="W1320" s="763"/>
      <c r="X1320" s="763"/>
      <c r="Y1320" s="763"/>
      <c r="Z1320" s="763"/>
      <c r="AA1320" s="763"/>
      <c r="AB1320" s="763"/>
      <c r="AC1320" s="763"/>
      <c r="AD1320" s="763"/>
      <c r="AE1320" s="763"/>
      <c r="AF1320" s="763"/>
      <c r="AG1320" s="763"/>
    </row>
    <row r="1321">
      <c r="A1321" s="76" t="s">
        <v>9987</v>
      </c>
      <c r="B1321" s="27" t="s">
        <v>2194</v>
      </c>
      <c r="C1321" s="27"/>
      <c r="D1321" s="76"/>
      <c r="E1321" s="157" t="s">
        <v>10353</v>
      </c>
      <c r="F1321" s="76" t="s">
        <v>10354</v>
      </c>
      <c r="G1321" s="153">
        <v>46152.0</v>
      </c>
      <c r="H1321" s="153">
        <v>46167.0</v>
      </c>
      <c r="I1321" s="76">
        <f>IFERROR(__xludf.DUMMYFUNCTION("IF(ISBLANK(H1321), TODAY()-TO_DATE(G1321), TO_DATE(H1321)-TO_DATE(G1321))+1"),16.0)</f>
        <v>16</v>
      </c>
      <c r="J1321" s="76">
        <v>300.0</v>
      </c>
      <c r="K1321" s="76" t="s">
        <v>10358</v>
      </c>
      <c r="L1321" s="76"/>
      <c r="M1321" s="27"/>
      <c r="N1321" s="27"/>
      <c r="O1321" s="76"/>
      <c r="P1321" s="157"/>
      <c r="Q1321" s="76"/>
      <c r="R1321" s="153"/>
      <c r="S1321" s="153"/>
      <c r="T1321" s="76"/>
      <c r="U1321" s="76"/>
      <c r="V1321" s="40"/>
      <c r="W1321" s="47"/>
      <c r="X1321" s="76"/>
      <c r="Y1321" s="763"/>
      <c r="Z1321" s="763"/>
      <c r="AA1321" s="763"/>
      <c r="AB1321" s="763"/>
      <c r="AC1321" s="763"/>
      <c r="AD1321" s="763"/>
      <c r="AE1321" s="763"/>
      <c r="AF1321" s="763"/>
      <c r="AG1321" s="763"/>
    </row>
    <row r="1322">
      <c r="A1322" s="76" t="s">
        <v>9987</v>
      </c>
      <c r="B1322" s="27" t="s">
        <v>2194</v>
      </c>
      <c r="C1322" s="27"/>
      <c r="D1322" s="76"/>
      <c r="E1322" s="157" t="s">
        <v>10361</v>
      </c>
      <c r="F1322" s="76" t="s">
        <v>10362</v>
      </c>
      <c r="G1322" s="153">
        <v>46152.0</v>
      </c>
      <c r="H1322" s="153">
        <v>46164.0</v>
      </c>
      <c r="I1322" s="76">
        <f>IFERROR(__xludf.DUMMYFUNCTION("IF(ISBLANK(H1322), TODAY()-TO_DATE(G1322), TO_DATE(H1322)-TO_DATE(G1322))+1"),13.0)</f>
        <v>13</v>
      </c>
      <c r="J1322" s="76" t="s">
        <v>197</v>
      </c>
      <c r="K1322" s="40" t="s">
        <v>10364</v>
      </c>
      <c r="L1322" s="40" t="s">
        <v>10365</v>
      </c>
      <c r="M1322" s="76" t="s">
        <v>9226</v>
      </c>
      <c r="N1322" s="763"/>
      <c r="O1322" s="763"/>
      <c r="P1322" s="763"/>
      <c r="Q1322" s="763"/>
      <c r="R1322" s="763"/>
      <c r="S1322" s="763"/>
      <c r="T1322" s="763"/>
      <c r="U1322" s="763"/>
      <c r="V1322" s="763"/>
      <c r="W1322" s="763"/>
      <c r="X1322" s="763"/>
      <c r="Y1322" s="763"/>
      <c r="Z1322" s="763"/>
      <c r="AA1322" s="763"/>
      <c r="AB1322" s="763"/>
      <c r="AC1322" s="763"/>
      <c r="AD1322" s="763"/>
      <c r="AE1322" s="763"/>
      <c r="AF1322" s="763"/>
      <c r="AG1322" s="763"/>
    </row>
    <row r="1323">
      <c r="A1323" s="76" t="s">
        <v>1032</v>
      </c>
      <c r="B1323" s="27" t="s">
        <v>1187</v>
      </c>
      <c r="C1323" s="27"/>
      <c r="D1323" s="76"/>
      <c r="E1323" s="27" t="s">
        <v>1279</v>
      </c>
      <c r="F1323" s="1007" t="s">
        <v>1280</v>
      </c>
      <c r="G1323" s="153">
        <v>46153.0</v>
      </c>
      <c r="H1323" s="153">
        <v>46181.0</v>
      </c>
      <c r="I1323" s="76">
        <f>IFERROR(__xludf.DUMMYFUNCTION("IF(ISBLANK(H1323), TODAY()-TO_DATE(G1323), TO_DATE(H1323)-TO_DATE(G1323))+1"),29.0)</f>
        <v>29</v>
      </c>
      <c r="J1323" s="76">
        <v>500.0</v>
      </c>
      <c r="K1323" s="40" t="s">
        <v>10367</v>
      </c>
      <c r="L1323" s="47"/>
      <c r="M1323" s="76" t="s">
        <v>9226</v>
      </c>
      <c r="N1323" s="763"/>
      <c r="O1323" s="763"/>
      <c r="P1323" s="763"/>
      <c r="Q1323" s="763"/>
      <c r="R1323" s="763"/>
      <c r="S1323" s="763"/>
      <c r="T1323" s="763"/>
      <c r="U1323" s="763"/>
      <c r="V1323" s="763"/>
      <c r="W1323" s="763"/>
      <c r="X1323" s="763"/>
      <c r="Y1323" s="763"/>
      <c r="Z1323" s="763"/>
      <c r="AA1323" s="763"/>
      <c r="AB1323" s="763"/>
      <c r="AC1323" s="763"/>
      <c r="AD1323" s="763"/>
      <c r="AE1323" s="763"/>
      <c r="AF1323" s="763"/>
      <c r="AG1323" s="763"/>
    </row>
    <row r="1324">
      <c r="A1324" s="76" t="s">
        <v>1566</v>
      </c>
      <c r="B1324" s="27" t="s">
        <v>1187</v>
      </c>
      <c r="C1324" s="27"/>
      <c r="D1324" s="76"/>
      <c r="E1324" s="27" t="s">
        <v>1562</v>
      </c>
      <c r="F1324" s="27" t="s">
        <v>1564</v>
      </c>
      <c r="G1324" s="153">
        <v>46153.0</v>
      </c>
      <c r="H1324" s="153">
        <v>46158.0</v>
      </c>
      <c r="I1324" s="76">
        <f>IFERROR(__xludf.DUMMYFUNCTION("IF(ISBLANK(H1324), TODAY()-TO_DATE(G1324), TO_DATE(H1324)-TO_DATE(G1324))+1"),6.0)</f>
        <v>6</v>
      </c>
      <c r="J1324" s="76" t="s">
        <v>197</v>
      </c>
      <c r="K1324" s="27" t="s">
        <v>10369</v>
      </c>
      <c r="L1324" s="47" t="s">
        <v>10370</v>
      </c>
      <c r="M1324" s="76" t="s">
        <v>9226</v>
      </c>
      <c r="N1324" s="763"/>
      <c r="O1324" s="763"/>
      <c r="P1324" s="763"/>
      <c r="Q1324" s="763"/>
      <c r="R1324" s="763"/>
      <c r="S1324" s="763"/>
      <c r="T1324" s="763"/>
      <c r="U1324" s="763"/>
      <c r="V1324" s="763"/>
      <c r="W1324" s="763"/>
      <c r="X1324" s="763"/>
      <c r="Y1324" s="763"/>
      <c r="Z1324" s="763"/>
      <c r="AA1324" s="763"/>
      <c r="AB1324" s="763"/>
      <c r="AC1324" s="763"/>
      <c r="AD1324" s="763"/>
      <c r="AE1324" s="763"/>
      <c r="AF1324" s="763"/>
      <c r="AG1324" s="763"/>
    </row>
    <row r="1325">
      <c r="A1325" s="40" t="s">
        <v>1032</v>
      </c>
      <c r="B1325" s="27" t="s">
        <v>1187</v>
      </c>
      <c r="C1325" s="27"/>
      <c r="D1325" s="76"/>
      <c r="E1325" s="40" t="s">
        <v>8423</v>
      </c>
      <c r="F1325" s="1006" t="s">
        <v>10372</v>
      </c>
      <c r="G1325" s="153">
        <v>46156.0</v>
      </c>
      <c r="H1325" s="153">
        <v>46208.0</v>
      </c>
      <c r="I1325" s="76">
        <f>IFERROR(__xludf.DUMMYFUNCTION("IF(ISBLANK(H1325), TODAY()-TO_DATE(G1325), TO_DATE(H1325)-TO_DATE(G1325))+1"),53.0)</f>
        <v>53</v>
      </c>
      <c r="J1325" s="76">
        <v>500.0</v>
      </c>
      <c r="K1325" s="1005" t="s">
        <v>10374</v>
      </c>
      <c r="L1325" s="158" t="s">
        <v>10375</v>
      </c>
      <c r="M1325" s="76" t="s">
        <v>9226</v>
      </c>
      <c r="N1325" s="153">
        <v>46153.0</v>
      </c>
      <c r="O1325" s="763"/>
      <c r="P1325" s="763"/>
      <c r="Q1325" s="763"/>
      <c r="R1325" s="763"/>
      <c r="S1325" s="763"/>
      <c r="T1325" s="763"/>
      <c r="U1325" s="763"/>
      <c r="V1325" s="763"/>
      <c r="W1325" s="763"/>
      <c r="X1325" s="763"/>
      <c r="Y1325" s="763"/>
      <c r="Z1325" s="763"/>
      <c r="AA1325" s="763"/>
      <c r="AB1325" s="763"/>
      <c r="AC1325" s="763"/>
      <c r="AD1325" s="763"/>
      <c r="AE1325" s="763"/>
      <c r="AF1325" s="763"/>
      <c r="AG1325" s="763"/>
    </row>
    <row r="1326">
      <c r="A1326" s="40" t="s">
        <v>145</v>
      </c>
      <c r="B1326" s="27" t="s">
        <v>1187</v>
      </c>
      <c r="C1326" s="27"/>
      <c r="D1326" s="76"/>
      <c r="E1326" s="40" t="s">
        <v>2341</v>
      </c>
      <c r="F1326" s="1006" t="s">
        <v>2342</v>
      </c>
      <c r="G1326" s="153">
        <v>46153.0</v>
      </c>
      <c r="H1326" s="153">
        <v>46164.0</v>
      </c>
      <c r="I1326" s="76">
        <f>IFERROR(__xludf.DUMMYFUNCTION("IF(ISBLANK(H1326), TODAY()-TO_DATE(G1326), TO_DATE(H1326)-TO_DATE(G1326))+1"),12.0)</f>
        <v>12</v>
      </c>
      <c r="J1326" s="76" t="s">
        <v>197</v>
      </c>
      <c r="K1326" s="40" t="s">
        <v>10377</v>
      </c>
      <c r="L1326" s="988"/>
      <c r="M1326" s="355"/>
      <c r="N1326" s="763"/>
      <c r="O1326" s="763"/>
      <c r="P1326" s="763"/>
      <c r="Q1326" s="763"/>
      <c r="R1326" s="763"/>
      <c r="S1326" s="763"/>
      <c r="T1326" s="763"/>
      <c r="U1326" s="763"/>
      <c r="V1326" s="763"/>
      <c r="W1326" s="763"/>
      <c r="X1326" s="763"/>
      <c r="Y1326" s="763"/>
      <c r="Z1326" s="763"/>
      <c r="AA1326" s="763"/>
      <c r="AB1326" s="763"/>
      <c r="AC1326" s="763"/>
      <c r="AD1326" s="763"/>
      <c r="AE1326" s="763"/>
      <c r="AF1326" s="763"/>
      <c r="AG1326" s="763"/>
    </row>
    <row r="1327">
      <c r="A1327" s="76" t="s">
        <v>150</v>
      </c>
      <c r="B1327" s="27" t="s">
        <v>2194</v>
      </c>
      <c r="C1327" s="27"/>
      <c r="D1327" s="76"/>
      <c r="E1327" s="27" t="s">
        <v>4661</v>
      </c>
      <c r="F1327" s="27" t="s">
        <v>4663</v>
      </c>
      <c r="G1327" s="153">
        <v>46154.0</v>
      </c>
      <c r="H1327" s="153">
        <v>46212.0</v>
      </c>
      <c r="I1327" s="76">
        <f>IFERROR(__xludf.DUMMYFUNCTION("IF(ISBLANK(H1327), TODAY()-TO_DATE(G1327), TO_DATE(H1327)-TO_DATE(G1327))+1"),59.0)</f>
        <v>59</v>
      </c>
      <c r="J1327" s="76" t="s">
        <v>197</v>
      </c>
      <c r="K1327" s="27" t="s">
        <v>10380</v>
      </c>
      <c r="L1327" s="1008" t="s">
        <v>10381</v>
      </c>
      <c r="M1327" s="76" t="s">
        <v>9226</v>
      </c>
      <c r="N1327" s="763"/>
      <c r="O1327" s="763"/>
      <c r="P1327" s="763"/>
      <c r="Q1327" s="763"/>
      <c r="R1327" s="763"/>
      <c r="S1327" s="763"/>
      <c r="T1327" s="763"/>
      <c r="U1327" s="763"/>
      <c r="V1327" s="763"/>
      <c r="W1327" s="763"/>
      <c r="X1327" s="763"/>
      <c r="Y1327" s="763"/>
      <c r="Z1327" s="763"/>
      <c r="AA1327" s="763"/>
      <c r="AB1327" s="763"/>
      <c r="AC1327" s="763"/>
      <c r="AD1327" s="763"/>
      <c r="AE1327" s="763"/>
      <c r="AF1327" s="763"/>
      <c r="AG1327" s="763"/>
    </row>
    <row r="1328">
      <c r="A1328" s="76" t="s">
        <v>2876</v>
      </c>
      <c r="B1328" s="27" t="s">
        <v>2194</v>
      </c>
      <c r="C1328" s="27"/>
      <c r="D1328" s="76"/>
      <c r="E1328" s="27" t="s">
        <v>2730</v>
      </c>
      <c r="F1328" s="27" t="s">
        <v>2732</v>
      </c>
      <c r="G1328" s="153">
        <v>46154.0</v>
      </c>
      <c r="H1328" s="153">
        <v>46197.0</v>
      </c>
      <c r="I1328" s="76">
        <f>IFERROR(__xludf.DUMMYFUNCTION("IF(ISBLANK(H1328), TODAY()-TO_DATE(G1328), TO_DATE(H1328)-TO_DATE(G1328))+1"),44.0)</f>
        <v>44</v>
      </c>
      <c r="J1328" s="76" t="s">
        <v>197</v>
      </c>
      <c r="K1328" s="27" t="s">
        <v>10385</v>
      </c>
      <c r="L1328" s="47"/>
      <c r="M1328" s="76"/>
      <c r="N1328" s="763"/>
      <c r="O1328" s="763"/>
      <c r="P1328" s="763"/>
      <c r="Q1328" s="763"/>
      <c r="R1328" s="763"/>
      <c r="S1328" s="763"/>
      <c r="T1328" s="763"/>
      <c r="U1328" s="763"/>
      <c r="V1328" s="763"/>
      <c r="W1328" s="763"/>
      <c r="X1328" s="763"/>
      <c r="Y1328" s="763"/>
      <c r="Z1328" s="763"/>
      <c r="AA1328" s="763"/>
      <c r="AB1328" s="763"/>
      <c r="AC1328" s="763"/>
      <c r="AD1328" s="763"/>
      <c r="AE1328" s="763"/>
      <c r="AF1328" s="763"/>
      <c r="AG1328" s="763"/>
    </row>
    <row r="1329">
      <c r="A1329" s="76" t="s">
        <v>9987</v>
      </c>
      <c r="B1329" s="27" t="s">
        <v>2194</v>
      </c>
      <c r="C1329" s="27"/>
      <c r="D1329" s="76"/>
      <c r="E1329" s="27" t="s">
        <v>5293</v>
      </c>
      <c r="F1329" s="27" t="s">
        <v>5294</v>
      </c>
      <c r="G1329" s="153">
        <v>46154.0</v>
      </c>
      <c r="H1329" s="153">
        <v>46212.0</v>
      </c>
      <c r="I1329" s="76">
        <f>IFERROR(__xludf.DUMMYFUNCTION("IF(ISBLANK(H1329), TODAY()-TO_DATE(G1329), TO_DATE(H1329)-TO_DATE(G1329))+1"),59.0)</f>
        <v>59</v>
      </c>
      <c r="J1329" s="76" t="s">
        <v>197</v>
      </c>
      <c r="K1329" s="27" t="s">
        <v>10388</v>
      </c>
      <c r="L1329" s="47"/>
      <c r="M1329" s="76" t="s">
        <v>9226</v>
      </c>
      <c r="N1329" s="763"/>
      <c r="O1329" s="763"/>
      <c r="P1329" s="763"/>
      <c r="Q1329" s="763"/>
      <c r="R1329" s="763"/>
      <c r="S1329" s="763"/>
      <c r="T1329" s="763"/>
      <c r="U1329" s="763"/>
      <c r="V1329" s="763"/>
      <c r="W1329" s="763"/>
      <c r="X1329" s="763"/>
      <c r="Y1329" s="763"/>
      <c r="Z1329" s="763"/>
      <c r="AA1329" s="763"/>
      <c r="AB1329" s="763"/>
      <c r="AC1329" s="763"/>
      <c r="AD1329" s="763"/>
      <c r="AE1329" s="763"/>
      <c r="AF1329" s="763"/>
      <c r="AG1329" s="763"/>
    </row>
    <row r="1330">
      <c r="A1330" s="76" t="s">
        <v>9987</v>
      </c>
      <c r="B1330" s="27" t="s">
        <v>2194</v>
      </c>
      <c r="C1330" s="27"/>
      <c r="D1330" s="76"/>
      <c r="E1330" s="27" t="s">
        <v>10389</v>
      </c>
      <c r="F1330" s="27" t="s">
        <v>10390</v>
      </c>
      <c r="G1330" s="153">
        <v>46154.0</v>
      </c>
      <c r="H1330" s="153">
        <v>46210.0</v>
      </c>
      <c r="I1330" s="76">
        <f>IFERROR(__xludf.DUMMYFUNCTION("IF(ISBLANK(H1330), TODAY()-TO_DATE(G1330), TO_DATE(H1330)-TO_DATE(G1330))+1"),57.0)</f>
        <v>57</v>
      </c>
      <c r="J1330" s="76" t="s">
        <v>197</v>
      </c>
      <c r="K1330" s="27" t="s">
        <v>10391</v>
      </c>
      <c r="L1330" s="47"/>
      <c r="M1330" s="76"/>
      <c r="N1330" s="763"/>
      <c r="O1330" s="763"/>
      <c r="P1330" s="763"/>
      <c r="Q1330" s="763"/>
      <c r="R1330" s="763"/>
      <c r="S1330" s="763"/>
      <c r="T1330" s="763"/>
      <c r="U1330" s="763"/>
      <c r="V1330" s="763"/>
      <c r="W1330" s="763"/>
      <c r="X1330" s="763"/>
      <c r="Y1330" s="763"/>
      <c r="Z1330" s="763"/>
      <c r="AA1330" s="763"/>
      <c r="AB1330" s="763"/>
      <c r="AC1330" s="763"/>
      <c r="AD1330" s="763"/>
      <c r="AE1330" s="763"/>
      <c r="AF1330" s="763"/>
      <c r="AG1330" s="763"/>
    </row>
    <row r="1331">
      <c r="A1331" s="76" t="s">
        <v>9987</v>
      </c>
      <c r="B1331" s="27" t="s">
        <v>2194</v>
      </c>
      <c r="C1331" s="27"/>
      <c r="D1331" s="76"/>
      <c r="E1331" s="157" t="s">
        <v>3591</v>
      </c>
      <c r="F1331" s="76" t="s">
        <v>3592</v>
      </c>
      <c r="G1331" s="153">
        <v>46154.0</v>
      </c>
      <c r="H1331" s="153">
        <v>46185.0</v>
      </c>
      <c r="I1331" s="76">
        <f>IFERROR(__xludf.DUMMYFUNCTION("IF(ISBLANK(H1331), TODAY()-TO_DATE(G1331), TO_DATE(H1331)-TO_DATE(G1331))+1"),32.0)</f>
        <v>32</v>
      </c>
      <c r="J1331" s="76">
        <v>300.0</v>
      </c>
      <c r="K1331" s="27" t="s">
        <v>10392</v>
      </c>
      <c r="L1331" s="47"/>
      <c r="M1331" s="76"/>
      <c r="N1331" s="763"/>
      <c r="O1331" s="763"/>
      <c r="P1331" s="763"/>
      <c r="Q1331" s="763"/>
      <c r="R1331" s="763"/>
      <c r="S1331" s="763"/>
      <c r="T1331" s="763"/>
      <c r="U1331" s="763"/>
      <c r="V1331" s="763"/>
      <c r="W1331" s="763"/>
      <c r="X1331" s="763"/>
      <c r="Y1331" s="763"/>
      <c r="Z1331" s="763"/>
      <c r="AA1331" s="763"/>
      <c r="AB1331" s="763"/>
      <c r="AC1331" s="763"/>
      <c r="AD1331" s="763"/>
      <c r="AE1331" s="763"/>
      <c r="AF1331" s="763"/>
      <c r="AG1331" s="763"/>
    </row>
    <row r="1332">
      <c r="A1332" s="76" t="s">
        <v>9987</v>
      </c>
      <c r="B1332" s="27" t="s">
        <v>2194</v>
      </c>
      <c r="C1332" s="27"/>
      <c r="D1332" s="76"/>
      <c r="E1332" s="157" t="s">
        <v>5713</v>
      </c>
      <c r="F1332" s="76" t="s">
        <v>5394</v>
      </c>
      <c r="G1332" s="153">
        <v>46154.0</v>
      </c>
      <c r="H1332" s="153">
        <v>46185.0</v>
      </c>
      <c r="I1332" s="76">
        <f>IFERROR(__xludf.DUMMYFUNCTION("IF(ISBLANK(H1332), TODAY()-TO_DATE(G1332), TO_DATE(H1332)-TO_DATE(G1332))+1"),32.0)</f>
        <v>32</v>
      </c>
      <c r="J1332" s="76" t="s">
        <v>197</v>
      </c>
      <c r="K1332" s="27" t="s">
        <v>10396</v>
      </c>
      <c r="L1332" s="47" t="s">
        <v>10397</v>
      </c>
      <c r="M1332" s="76"/>
      <c r="N1332" s="763"/>
      <c r="O1332" s="763"/>
      <c r="P1332" s="763"/>
      <c r="Q1332" s="763"/>
      <c r="R1332" s="763"/>
      <c r="S1332" s="763"/>
      <c r="T1332" s="763"/>
      <c r="U1332" s="763"/>
      <c r="V1332" s="763"/>
      <c r="W1332" s="763"/>
      <c r="X1332" s="763"/>
      <c r="Y1332" s="763"/>
      <c r="Z1332" s="763"/>
      <c r="AA1332" s="763"/>
      <c r="AB1332" s="763"/>
      <c r="AC1332" s="763"/>
      <c r="AD1332" s="763"/>
      <c r="AE1332" s="763"/>
      <c r="AF1332" s="763"/>
      <c r="AG1332" s="763"/>
    </row>
    <row r="1333">
      <c r="A1333" s="76" t="s">
        <v>9987</v>
      </c>
      <c r="B1333" s="27" t="s">
        <v>2194</v>
      </c>
      <c r="C1333" s="27"/>
      <c r="D1333" s="76"/>
      <c r="E1333" s="157" t="s">
        <v>10398</v>
      </c>
      <c r="F1333" s="76" t="s">
        <v>10399</v>
      </c>
      <c r="G1333" s="153">
        <v>46156.0</v>
      </c>
      <c r="H1333" s="153">
        <v>46208.0</v>
      </c>
      <c r="I1333" s="76">
        <f>IFERROR(__xludf.DUMMYFUNCTION("IF(ISBLANK(H1333), TODAY()-TO_DATE(G1333), TO_DATE(H1333)-TO_DATE(G1333))+1"),53.0)</f>
        <v>53</v>
      </c>
      <c r="J1333" s="76">
        <v>500.0</v>
      </c>
      <c r="K1333" s="1005" t="s">
        <v>10400</v>
      </c>
      <c r="L1333" s="47"/>
      <c r="M1333" s="76" t="s">
        <v>9226</v>
      </c>
      <c r="N1333" s="153">
        <v>46154.0</v>
      </c>
      <c r="O1333" s="763"/>
      <c r="P1333" s="763"/>
      <c r="Q1333" s="763"/>
      <c r="R1333" s="763"/>
      <c r="S1333" s="763"/>
      <c r="T1333" s="763"/>
      <c r="U1333" s="763"/>
      <c r="V1333" s="763"/>
      <c r="W1333" s="763"/>
      <c r="X1333" s="763"/>
      <c r="Y1333" s="763"/>
      <c r="Z1333" s="763"/>
      <c r="AA1333" s="763"/>
      <c r="AB1333" s="763"/>
      <c r="AC1333" s="763"/>
      <c r="AD1333" s="763"/>
      <c r="AE1333" s="763"/>
      <c r="AF1333" s="763"/>
      <c r="AG1333" s="763"/>
    </row>
    <row r="1334">
      <c r="A1334" s="76" t="s">
        <v>1566</v>
      </c>
      <c r="B1334" s="27" t="s">
        <v>1187</v>
      </c>
      <c r="C1334" s="27"/>
      <c r="D1334" s="76"/>
      <c r="E1334" s="1005" t="s">
        <v>10402</v>
      </c>
      <c r="F1334" s="27" t="s">
        <v>10403</v>
      </c>
      <c r="G1334" s="153">
        <v>46154.0</v>
      </c>
      <c r="H1334" s="153">
        <v>46214.0</v>
      </c>
      <c r="I1334" s="76">
        <f>IFERROR(__xludf.DUMMYFUNCTION("IF(ISBLANK(H1334), TODAY()-TO_DATE(G1334), TO_DATE(H1334)-TO_DATE(G1334))+1"),61.0)</f>
        <v>61</v>
      </c>
      <c r="J1334" s="76">
        <v>500.0</v>
      </c>
      <c r="K1334" s="1005" t="s">
        <v>10404</v>
      </c>
      <c r="L1334" s="47"/>
      <c r="M1334" s="76" t="s">
        <v>9226</v>
      </c>
      <c r="N1334" s="763"/>
      <c r="O1334" s="763"/>
      <c r="P1334" s="763"/>
      <c r="Q1334" s="763"/>
      <c r="R1334" s="763"/>
      <c r="S1334" s="763"/>
      <c r="T1334" s="763"/>
      <c r="U1334" s="763"/>
      <c r="V1334" s="763"/>
      <c r="W1334" s="763"/>
      <c r="X1334" s="763"/>
      <c r="Y1334" s="763"/>
      <c r="Z1334" s="763"/>
      <c r="AA1334" s="763"/>
      <c r="AB1334" s="763"/>
      <c r="AC1334" s="763"/>
      <c r="AD1334" s="763"/>
      <c r="AE1334" s="763"/>
      <c r="AF1334" s="763"/>
      <c r="AG1334" s="763"/>
    </row>
    <row r="1335">
      <c r="A1335" s="76" t="s">
        <v>9987</v>
      </c>
      <c r="B1335" s="27" t="s">
        <v>1187</v>
      </c>
      <c r="C1335" s="27"/>
      <c r="D1335" s="76"/>
      <c r="E1335" s="27" t="s">
        <v>10406</v>
      </c>
      <c r="F1335" s="27" t="s">
        <v>10407</v>
      </c>
      <c r="G1335" s="153">
        <v>46154.0</v>
      </c>
      <c r="H1335" s="153">
        <v>46212.0</v>
      </c>
      <c r="I1335" s="76">
        <f>IFERROR(__xludf.DUMMYFUNCTION("IF(ISBLANK(H1335), TODAY()-TO_DATE(G1335), TO_DATE(H1335)-TO_DATE(G1335))+1"),59.0)</f>
        <v>59</v>
      </c>
      <c r="J1335" s="76">
        <v>500.0</v>
      </c>
      <c r="K1335" s="1005" t="s">
        <v>9382</v>
      </c>
      <c r="L1335" s="158" t="s">
        <v>10408</v>
      </c>
      <c r="M1335" s="76"/>
      <c r="N1335" s="763"/>
      <c r="O1335" s="763"/>
      <c r="P1335" s="763"/>
      <c r="Q1335" s="763"/>
      <c r="R1335" s="763"/>
      <c r="S1335" s="763"/>
      <c r="T1335" s="763"/>
      <c r="U1335" s="763"/>
      <c r="V1335" s="763"/>
      <c r="W1335" s="763"/>
      <c r="X1335" s="763"/>
      <c r="Y1335" s="763"/>
      <c r="Z1335" s="763"/>
      <c r="AA1335" s="763"/>
      <c r="AB1335" s="763"/>
      <c r="AC1335" s="763"/>
      <c r="AD1335" s="763"/>
      <c r="AE1335" s="763"/>
      <c r="AF1335" s="763"/>
      <c r="AG1335" s="763"/>
    </row>
    <row r="1336">
      <c r="A1336" s="76" t="s">
        <v>9987</v>
      </c>
      <c r="B1336" s="27" t="s">
        <v>1187</v>
      </c>
      <c r="C1336" s="27"/>
      <c r="D1336" s="76"/>
      <c r="E1336" s="1005" t="s">
        <v>3167</v>
      </c>
      <c r="F1336" s="27" t="s">
        <v>1772</v>
      </c>
      <c r="G1336" s="153">
        <v>46154.0</v>
      </c>
      <c r="H1336" s="153">
        <v>46214.0</v>
      </c>
      <c r="I1336" s="76">
        <f>IFERROR(__xludf.DUMMYFUNCTION("IF(ISBLANK(H1336), TODAY()-TO_DATE(G1336), TO_DATE(H1336)-TO_DATE(G1336))+1"),61.0)</f>
        <v>61</v>
      </c>
      <c r="J1336" s="76">
        <v>500.0</v>
      </c>
      <c r="K1336" s="1005" t="s">
        <v>10409</v>
      </c>
      <c r="L1336" s="158" t="s">
        <v>10410</v>
      </c>
      <c r="M1336" s="76" t="s">
        <v>9226</v>
      </c>
      <c r="N1336" s="763"/>
      <c r="O1336" s="763"/>
      <c r="P1336" s="763"/>
      <c r="Q1336" s="763"/>
      <c r="R1336" s="763"/>
      <c r="S1336" s="763"/>
      <c r="T1336" s="763"/>
      <c r="U1336" s="763"/>
      <c r="V1336" s="763"/>
      <c r="W1336" s="763"/>
      <c r="X1336" s="763"/>
      <c r="Y1336" s="763"/>
      <c r="Z1336" s="763"/>
      <c r="AA1336" s="763"/>
      <c r="AB1336" s="763"/>
      <c r="AC1336" s="763"/>
      <c r="AD1336" s="763"/>
      <c r="AE1336" s="763"/>
      <c r="AF1336" s="763"/>
      <c r="AG1336" s="763"/>
    </row>
    <row r="1337">
      <c r="A1337" s="76" t="s">
        <v>9987</v>
      </c>
      <c r="B1337" s="27" t="s">
        <v>1187</v>
      </c>
      <c r="C1337" s="27"/>
      <c r="D1337" s="76"/>
      <c r="E1337" s="1005" t="s">
        <v>3173</v>
      </c>
      <c r="F1337" s="27" t="s">
        <v>3174</v>
      </c>
      <c r="G1337" s="153">
        <v>46154.0</v>
      </c>
      <c r="H1337" s="153">
        <v>46214.0</v>
      </c>
      <c r="I1337" s="76">
        <f>IFERROR(__xludf.DUMMYFUNCTION("IF(ISBLANK(H1337), TODAY()-TO_DATE(G1337), TO_DATE(H1337)-TO_DATE(G1337))+1"),61.0)</f>
        <v>61</v>
      </c>
      <c r="J1337" s="76">
        <v>500.0</v>
      </c>
      <c r="K1337" s="1005" t="s">
        <v>9543</v>
      </c>
      <c r="L1337" s="47"/>
      <c r="M1337" s="76" t="s">
        <v>9226</v>
      </c>
      <c r="N1337" s="763"/>
      <c r="O1337" s="763"/>
      <c r="P1337" s="763"/>
      <c r="Q1337" s="763"/>
      <c r="R1337" s="763"/>
      <c r="S1337" s="763"/>
      <c r="T1337" s="763"/>
      <c r="U1337" s="763"/>
      <c r="V1337" s="763"/>
      <c r="W1337" s="763"/>
      <c r="X1337" s="763"/>
      <c r="Y1337" s="763"/>
      <c r="Z1337" s="763"/>
      <c r="AA1337" s="763"/>
      <c r="AB1337" s="763"/>
      <c r="AC1337" s="763"/>
      <c r="AD1337" s="763"/>
      <c r="AE1337" s="763"/>
      <c r="AF1337" s="763"/>
      <c r="AG1337" s="763"/>
    </row>
    <row r="1338">
      <c r="A1338" s="76" t="s">
        <v>1032</v>
      </c>
      <c r="B1338" s="27" t="s">
        <v>1187</v>
      </c>
      <c r="C1338" s="27"/>
      <c r="D1338" s="76"/>
      <c r="E1338" s="27" t="s">
        <v>1198</v>
      </c>
      <c r="F1338" s="27" t="s">
        <v>1199</v>
      </c>
      <c r="G1338" s="153">
        <v>46155.0</v>
      </c>
      <c r="H1338" s="153">
        <v>46221.0</v>
      </c>
      <c r="I1338" s="76">
        <f>IFERROR(__xludf.DUMMYFUNCTION("IF(ISBLANK(H1338), TODAY()-TO_DATE(G1338), TO_DATE(H1338)-TO_DATE(G1338))+1"),67.0)</f>
        <v>67</v>
      </c>
      <c r="J1338" s="76" t="s">
        <v>197</v>
      </c>
      <c r="K1338" s="27" t="s">
        <v>10418</v>
      </c>
      <c r="L1338" s="47" t="s">
        <v>10419</v>
      </c>
      <c r="M1338" s="76" t="s">
        <v>9226</v>
      </c>
      <c r="N1338" s="763"/>
      <c r="O1338" s="763"/>
      <c r="P1338" s="763"/>
      <c r="Q1338" s="763"/>
      <c r="R1338" s="763"/>
      <c r="S1338" s="763"/>
      <c r="T1338" s="763"/>
      <c r="U1338" s="763"/>
      <c r="V1338" s="763"/>
      <c r="W1338" s="763"/>
      <c r="X1338" s="763"/>
      <c r="Y1338" s="763"/>
      <c r="Z1338" s="763"/>
      <c r="AA1338" s="763"/>
      <c r="AB1338" s="763"/>
      <c r="AC1338" s="763"/>
      <c r="AD1338" s="763"/>
      <c r="AE1338" s="763"/>
      <c r="AF1338" s="763"/>
      <c r="AG1338" s="763"/>
    </row>
    <row r="1339">
      <c r="A1339" s="76" t="s">
        <v>2515</v>
      </c>
      <c r="B1339" s="27" t="s">
        <v>1187</v>
      </c>
      <c r="C1339" s="27"/>
      <c r="D1339" s="76"/>
      <c r="E1339" s="27" t="s">
        <v>189</v>
      </c>
      <c r="F1339" s="27" t="s">
        <v>190</v>
      </c>
      <c r="G1339" s="153">
        <v>46155.0</v>
      </c>
      <c r="H1339" s="153">
        <v>46222.0</v>
      </c>
      <c r="I1339" s="76">
        <f>IFERROR(__xludf.DUMMYFUNCTION("IF(ISBLANK(H1339), TODAY()-TO_DATE(G1339), TO_DATE(H1339)-TO_DATE(G1339))+1"),68.0)</f>
        <v>68</v>
      </c>
      <c r="J1339" s="76">
        <v>200.0</v>
      </c>
      <c r="K1339" s="27" t="s">
        <v>10423</v>
      </c>
      <c r="L1339" s="158" t="s">
        <v>10424</v>
      </c>
      <c r="M1339" s="76" t="s">
        <v>10425</v>
      </c>
      <c r="N1339" s="763"/>
      <c r="O1339" s="763"/>
      <c r="P1339" s="763"/>
      <c r="Q1339" s="763"/>
      <c r="R1339" s="763"/>
      <c r="S1339" s="763"/>
      <c r="T1339" s="763"/>
      <c r="U1339" s="763"/>
      <c r="V1339" s="763"/>
      <c r="W1339" s="763"/>
      <c r="X1339" s="763"/>
      <c r="Y1339" s="763"/>
      <c r="Z1339" s="763"/>
      <c r="AA1339" s="763"/>
      <c r="AB1339" s="763"/>
      <c r="AC1339" s="763"/>
      <c r="AD1339" s="763"/>
      <c r="AE1339" s="763"/>
      <c r="AF1339" s="763"/>
      <c r="AG1339" s="763"/>
    </row>
    <row r="1340">
      <c r="A1340" s="76" t="s">
        <v>9987</v>
      </c>
      <c r="B1340" s="27" t="s">
        <v>1187</v>
      </c>
      <c r="C1340" s="27"/>
      <c r="D1340" s="76"/>
      <c r="E1340" s="27" t="s">
        <v>6312</v>
      </c>
      <c r="F1340" s="27" t="s">
        <v>2844</v>
      </c>
      <c r="G1340" s="153">
        <v>46155.0</v>
      </c>
      <c r="H1340" s="153">
        <v>46186.0</v>
      </c>
      <c r="I1340" s="76">
        <f>IFERROR(__xludf.DUMMYFUNCTION("IF(ISBLANK(H1340), TODAY()-TO_DATE(G1340), TO_DATE(H1340)-TO_DATE(G1340))+1"),32.0)</f>
        <v>32</v>
      </c>
      <c r="J1340" s="76">
        <v>300.0</v>
      </c>
      <c r="K1340" s="27" t="s">
        <v>10428</v>
      </c>
      <c r="L1340" s="47"/>
      <c r="M1340" s="76" t="s">
        <v>9226</v>
      </c>
      <c r="N1340" s="763"/>
      <c r="O1340" s="763"/>
      <c r="P1340" s="763"/>
      <c r="Q1340" s="763"/>
      <c r="R1340" s="763"/>
      <c r="S1340" s="763"/>
      <c r="T1340" s="763"/>
      <c r="U1340" s="763"/>
      <c r="V1340" s="763"/>
      <c r="W1340" s="763"/>
      <c r="X1340" s="763"/>
      <c r="Y1340" s="763"/>
      <c r="Z1340" s="763"/>
      <c r="AA1340" s="763"/>
      <c r="AB1340" s="763"/>
      <c r="AC1340" s="763"/>
      <c r="AD1340" s="763"/>
      <c r="AE1340" s="763"/>
      <c r="AF1340" s="763"/>
      <c r="AG1340" s="763"/>
    </row>
    <row r="1341">
      <c r="A1341" s="76" t="s">
        <v>9987</v>
      </c>
      <c r="B1341" s="27" t="s">
        <v>1187</v>
      </c>
      <c r="C1341" s="27"/>
      <c r="D1341" s="76"/>
      <c r="E1341" s="27" t="s">
        <v>10429</v>
      </c>
      <c r="F1341" s="27" t="s">
        <v>10431</v>
      </c>
      <c r="G1341" s="153">
        <v>46155.0</v>
      </c>
      <c r="H1341" s="153">
        <v>46221.0</v>
      </c>
      <c r="I1341" s="76">
        <f>IFERROR(__xludf.DUMMYFUNCTION("IF(ISBLANK(H1341), TODAY()-TO_DATE(G1341), TO_DATE(H1341)-TO_DATE(G1341))+1"),67.0)</f>
        <v>67</v>
      </c>
      <c r="J1341" s="76" t="s">
        <v>197</v>
      </c>
      <c r="K1341" s="27" t="s">
        <v>10434</v>
      </c>
      <c r="L1341" s="47" t="s">
        <v>10435</v>
      </c>
      <c r="M1341" s="76" t="s">
        <v>9226</v>
      </c>
      <c r="N1341" s="763"/>
      <c r="O1341" s="763"/>
      <c r="P1341" s="763"/>
      <c r="Q1341" s="763"/>
      <c r="R1341" s="763"/>
      <c r="S1341" s="763"/>
      <c r="T1341" s="763"/>
      <c r="U1341" s="763"/>
      <c r="V1341" s="763"/>
      <c r="W1341" s="763"/>
      <c r="X1341" s="763"/>
      <c r="Y1341" s="763"/>
      <c r="Z1341" s="763"/>
      <c r="AA1341" s="763"/>
      <c r="AB1341" s="763"/>
      <c r="AC1341" s="763"/>
      <c r="AD1341" s="763"/>
      <c r="AE1341" s="763"/>
      <c r="AF1341" s="763"/>
      <c r="AG1341" s="763"/>
    </row>
    <row r="1342">
      <c r="A1342" s="76" t="s">
        <v>150</v>
      </c>
      <c r="B1342" s="27" t="s">
        <v>1187</v>
      </c>
      <c r="C1342" s="27"/>
      <c r="D1342" s="76"/>
      <c r="E1342" s="27" t="s">
        <v>1017</v>
      </c>
      <c r="F1342" s="27" t="s">
        <v>1018</v>
      </c>
      <c r="G1342" s="153">
        <v>46155.0</v>
      </c>
      <c r="H1342" s="153">
        <v>46160.0</v>
      </c>
      <c r="I1342" s="76">
        <f>IFERROR(__xludf.DUMMYFUNCTION("IF(ISBLANK(H1342), TODAY()-TO_DATE(G1342), TO_DATE(H1342)-TO_DATE(G1342))+1"),6.0)</f>
        <v>6</v>
      </c>
      <c r="J1342" s="76" t="s">
        <v>197</v>
      </c>
      <c r="K1342" s="27" t="s">
        <v>10438</v>
      </c>
      <c r="L1342" s="47"/>
      <c r="M1342" s="76" t="s">
        <v>9226</v>
      </c>
      <c r="N1342" s="763"/>
      <c r="O1342" s="763"/>
      <c r="P1342" s="763"/>
      <c r="Q1342" s="763"/>
      <c r="R1342" s="763"/>
      <c r="S1342" s="763"/>
      <c r="T1342" s="763"/>
      <c r="U1342" s="763"/>
      <c r="V1342" s="763"/>
      <c r="W1342" s="763"/>
      <c r="X1342" s="763"/>
      <c r="Y1342" s="763"/>
      <c r="Z1342" s="763"/>
      <c r="AA1342" s="763"/>
      <c r="AB1342" s="763"/>
      <c r="AC1342" s="763"/>
      <c r="AD1342" s="763"/>
      <c r="AE1342" s="763"/>
      <c r="AF1342" s="763"/>
      <c r="AG1342" s="763"/>
    </row>
    <row r="1343">
      <c r="A1343" s="76" t="s">
        <v>150</v>
      </c>
      <c r="B1343" s="27" t="s">
        <v>1187</v>
      </c>
      <c r="C1343" s="27"/>
      <c r="D1343" s="76"/>
      <c r="E1343" s="27" t="s">
        <v>8299</v>
      </c>
      <c r="F1343" s="27" t="s">
        <v>10104</v>
      </c>
      <c r="G1343" s="153">
        <v>46155.0</v>
      </c>
      <c r="H1343" s="153">
        <v>46164.0</v>
      </c>
      <c r="I1343" s="76">
        <f>IFERROR(__xludf.DUMMYFUNCTION("IF(ISBLANK(H1343), TODAY()-TO_DATE(G1343), TO_DATE(H1343)-TO_DATE(G1343))+1"),10.0)</f>
        <v>10</v>
      </c>
      <c r="J1343" s="76" t="s">
        <v>197</v>
      </c>
      <c r="K1343" s="27" t="s">
        <v>10440</v>
      </c>
      <c r="L1343" s="47" t="s">
        <v>10441</v>
      </c>
      <c r="M1343" s="76" t="s">
        <v>9226</v>
      </c>
      <c r="N1343" s="763"/>
      <c r="O1343" s="763"/>
      <c r="P1343" s="763"/>
      <c r="Q1343" s="763"/>
      <c r="R1343" s="763"/>
      <c r="S1343" s="763"/>
      <c r="T1343" s="763"/>
      <c r="U1343" s="763"/>
      <c r="V1343" s="763"/>
      <c r="W1343" s="763"/>
      <c r="X1343" s="763"/>
      <c r="Y1343" s="763"/>
      <c r="Z1343" s="763"/>
      <c r="AA1343" s="763"/>
      <c r="AB1343" s="763"/>
      <c r="AC1343" s="763"/>
      <c r="AD1343" s="763"/>
      <c r="AE1343" s="763"/>
      <c r="AF1343" s="763"/>
      <c r="AG1343" s="763"/>
    </row>
    <row r="1344">
      <c r="A1344" s="76" t="s">
        <v>145</v>
      </c>
      <c r="B1344" s="27" t="s">
        <v>1187</v>
      </c>
      <c r="C1344" s="27"/>
      <c r="D1344" s="76"/>
      <c r="E1344" s="27" t="s">
        <v>10445</v>
      </c>
      <c r="F1344" s="27" t="s">
        <v>10446</v>
      </c>
      <c r="G1344" s="153">
        <v>46155.0</v>
      </c>
      <c r="H1344" s="153">
        <v>46164.0</v>
      </c>
      <c r="I1344" s="76">
        <f>IFERROR(__xludf.DUMMYFUNCTION("IF(ISBLANK(H1344), TODAY()-TO_DATE(G1344), TO_DATE(H1344)-TO_DATE(G1344))+1"),10.0)</f>
        <v>10</v>
      </c>
      <c r="J1344" s="76" t="s">
        <v>197</v>
      </c>
      <c r="K1344" s="27" t="s">
        <v>10447</v>
      </c>
      <c r="L1344" s="47"/>
      <c r="M1344" s="76" t="s">
        <v>9226</v>
      </c>
      <c r="N1344" s="763"/>
      <c r="O1344" s="763"/>
      <c r="P1344" s="763"/>
      <c r="Q1344" s="763"/>
      <c r="R1344" s="763"/>
      <c r="S1344" s="763"/>
      <c r="T1344" s="763"/>
      <c r="U1344" s="763"/>
      <c r="V1344" s="763"/>
      <c r="W1344" s="763"/>
      <c r="X1344" s="763"/>
      <c r="Y1344" s="763"/>
      <c r="Z1344" s="763"/>
      <c r="AA1344" s="763"/>
      <c r="AB1344" s="763"/>
      <c r="AC1344" s="763"/>
      <c r="AD1344" s="763"/>
      <c r="AE1344" s="763"/>
      <c r="AF1344" s="763"/>
      <c r="AG1344" s="763"/>
    </row>
    <row r="1345">
      <c r="A1345" s="76" t="s">
        <v>145</v>
      </c>
      <c r="B1345" s="27" t="s">
        <v>1187</v>
      </c>
      <c r="C1345" s="27"/>
      <c r="D1345" s="76"/>
      <c r="E1345" s="27" t="s">
        <v>10448</v>
      </c>
      <c r="F1345" s="27" t="s">
        <v>2100</v>
      </c>
      <c r="G1345" s="153">
        <v>46155.0</v>
      </c>
      <c r="H1345" s="153">
        <v>46160.0</v>
      </c>
      <c r="I1345" s="76">
        <f>IFERROR(__xludf.DUMMYFUNCTION("IF(ISBLANK(H1345), TODAY()-TO_DATE(G1345), TO_DATE(H1345)-TO_DATE(G1345))+1"),6.0)</f>
        <v>6</v>
      </c>
      <c r="J1345" s="76" t="s">
        <v>197</v>
      </c>
      <c r="K1345" s="27" t="s">
        <v>10449</v>
      </c>
      <c r="L1345" s="47" t="s">
        <v>10450</v>
      </c>
      <c r="M1345" s="76" t="s">
        <v>9226</v>
      </c>
      <c r="N1345" s="763"/>
      <c r="O1345" s="763"/>
      <c r="P1345" s="763"/>
      <c r="Q1345" s="763"/>
      <c r="R1345" s="763"/>
      <c r="S1345" s="763"/>
      <c r="T1345" s="763"/>
      <c r="U1345" s="763"/>
      <c r="V1345" s="763"/>
      <c r="W1345" s="763"/>
      <c r="X1345" s="763"/>
      <c r="Y1345" s="763"/>
      <c r="Z1345" s="763"/>
      <c r="AA1345" s="763"/>
      <c r="AB1345" s="763"/>
      <c r="AC1345" s="763"/>
      <c r="AD1345" s="763"/>
      <c r="AE1345" s="763"/>
      <c r="AF1345" s="763"/>
      <c r="AG1345" s="763"/>
    </row>
    <row r="1346">
      <c r="A1346" s="76" t="s">
        <v>1032</v>
      </c>
      <c r="B1346" s="27" t="s">
        <v>1187</v>
      </c>
      <c r="C1346" s="27"/>
      <c r="D1346" s="76"/>
      <c r="E1346" s="27" t="s">
        <v>8375</v>
      </c>
      <c r="F1346" s="27" t="s">
        <v>10455</v>
      </c>
      <c r="G1346" s="153">
        <v>46174.0</v>
      </c>
      <c r="H1346" s="153">
        <v>46210.0</v>
      </c>
      <c r="I1346" s="76">
        <f>IFERROR(__xludf.DUMMYFUNCTION("IF(ISBLANK(H1346), TODAY()-TO_DATE(G1346), TO_DATE(H1346)-TO_DATE(G1346))+1"),37.0)</f>
        <v>37</v>
      </c>
      <c r="J1346" s="76">
        <v>500.0</v>
      </c>
      <c r="K1346" s="1005" t="s">
        <v>10456</v>
      </c>
      <c r="L1346" s="158" t="s">
        <v>10458</v>
      </c>
      <c r="M1346" s="76" t="s">
        <v>9226</v>
      </c>
      <c r="N1346" s="153">
        <v>46155.0</v>
      </c>
      <c r="O1346" s="763"/>
      <c r="P1346" s="763"/>
      <c r="Q1346" s="763"/>
      <c r="R1346" s="763"/>
      <c r="S1346" s="763"/>
      <c r="T1346" s="763"/>
      <c r="U1346" s="763"/>
      <c r="V1346" s="763"/>
      <c r="W1346" s="763"/>
      <c r="X1346" s="763"/>
      <c r="Y1346" s="763"/>
      <c r="Z1346" s="763"/>
      <c r="AA1346" s="763"/>
      <c r="AB1346" s="763"/>
      <c r="AC1346" s="763"/>
      <c r="AD1346" s="763"/>
      <c r="AE1346" s="763"/>
      <c r="AF1346" s="763"/>
      <c r="AG1346" s="763"/>
    </row>
    <row r="1347">
      <c r="A1347" s="76" t="s">
        <v>1032</v>
      </c>
      <c r="B1347" s="27" t="s">
        <v>1187</v>
      </c>
      <c r="C1347" s="27"/>
      <c r="D1347" s="76"/>
      <c r="E1347" s="27" t="s">
        <v>6412</v>
      </c>
      <c r="F1347" s="27" t="s">
        <v>6413</v>
      </c>
      <c r="G1347" s="153">
        <v>46155.0</v>
      </c>
      <c r="H1347" s="153">
        <v>46168.0</v>
      </c>
      <c r="I1347" s="76">
        <f>IFERROR(__xludf.DUMMYFUNCTION("IF(ISBLANK(H1347), TODAY()-TO_DATE(G1347), TO_DATE(H1347)-TO_DATE(G1347))+1"),14.0)</f>
        <v>14</v>
      </c>
      <c r="J1347" s="76">
        <v>300.0</v>
      </c>
      <c r="K1347" s="27" t="s">
        <v>9833</v>
      </c>
      <c r="L1347" s="47" t="s">
        <v>10459</v>
      </c>
      <c r="M1347" s="76" t="s">
        <v>9226</v>
      </c>
      <c r="N1347" s="763"/>
      <c r="O1347" s="763"/>
      <c r="P1347" s="763"/>
      <c r="Q1347" s="763"/>
      <c r="R1347" s="763"/>
      <c r="S1347" s="763"/>
      <c r="T1347" s="763"/>
      <c r="U1347" s="763"/>
      <c r="V1347" s="763"/>
      <c r="W1347" s="763"/>
      <c r="X1347" s="763"/>
      <c r="Y1347" s="763"/>
      <c r="Z1347" s="763"/>
      <c r="AA1347" s="763"/>
      <c r="AB1347" s="763"/>
      <c r="AC1347" s="763"/>
      <c r="AD1347" s="763"/>
      <c r="AE1347" s="763"/>
      <c r="AF1347" s="763"/>
      <c r="AG1347" s="763"/>
    </row>
    <row r="1348">
      <c r="A1348" s="76" t="s">
        <v>150</v>
      </c>
      <c r="B1348" s="27" t="s">
        <v>1187</v>
      </c>
      <c r="C1348" s="27"/>
      <c r="D1348" s="76"/>
      <c r="E1348" s="27" t="s">
        <v>857</v>
      </c>
      <c r="F1348" s="27" t="s">
        <v>858</v>
      </c>
      <c r="G1348" s="153">
        <v>46156.0</v>
      </c>
      <c r="H1348" s="153">
        <v>46173.0</v>
      </c>
      <c r="I1348" s="76">
        <f>IFERROR(__xludf.DUMMYFUNCTION("IF(ISBLANK(H1348), TODAY()-TO_DATE(G1348), TO_DATE(H1348)-TO_DATE(G1348))+1"),18.0)</f>
        <v>18</v>
      </c>
      <c r="J1348" s="76">
        <v>300.0</v>
      </c>
      <c r="K1348" s="27" t="s">
        <v>9848</v>
      </c>
      <c r="L1348" s="47"/>
      <c r="M1348" s="76" t="s">
        <v>9226</v>
      </c>
      <c r="N1348" s="763"/>
      <c r="O1348" s="763"/>
      <c r="P1348" s="763"/>
      <c r="Q1348" s="763"/>
      <c r="R1348" s="763"/>
      <c r="S1348" s="763"/>
      <c r="T1348" s="763"/>
      <c r="U1348" s="763"/>
      <c r="V1348" s="763"/>
      <c r="W1348" s="763"/>
      <c r="X1348" s="763"/>
      <c r="Y1348" s="763"/>
      <c r="Z1348" s="763"/>
      <c r="AA1348" s="763"/>
      <c r="AB1348" s="763"/>
      <c r="AC1348" s="763"/>
      <c r="AD1348" s="763"/>
      <c r="AE1348" s="763"/>
      <c r="AF1348" s="763"/>
      <c r="AG1348" s="763"/>
    </row>
    <row r="1349">
      <c r="A1349" s="76" t="s">
        <v>150</v>
      </c>
      <c r="B1349" s="27" t="s">
        <v>1187</v>
      </c>
      <c r="C1349" s="27"/>
      <c r="D1349" s="76"/>
      <c r="E1349" s="27" t="s">
        <v>890</v>
      </c>
      <c r="F1349" s="27" t="s">
        <v>891</v>
      </c>
      <c r="G1349" s="153">
        <v>46156.0</v>
      </c>
      <c r="H1349" s="153">
        <v>46182.0</v>
      </c>
      <c r="I1349" s="76">
        <f>IFERROR(__xludf.DUMMYFUNCTION("IF(ISBLANK(H1349), TODAY()-TO_DATE(G1349), TO_DATE(H1349)-TO_DATE(G1349))+1"),27.0)</f>
        <v>27</v>
      </c>
      <c r="J1349" s="76" t="s">
        <v>197</v>
      </c>
      <c r="K1349" s="27" t="s">
        <v>9895</v>
      </c>
      <c r="L1349" s="47"/>
      <c r="M1349" s="76" t="s">
        <v>9226</v>
      </c>
      <c r="N1349" s="763"/>
      <c r="O1349" s="763"/>
      <c r="P1349" s="763"/>
      <c r="Q1349" s="763"/>
      <c r="R1349" s="763"/>
      <c r="S1349" s="763"/>
      <c r="T1349" s="763"/>
      <c r="U1349" s="763"/>
      <c r="V1349" s="763"/>
      <c r="W1349" s="763"/>
      <c r="X1349" s="763"/>
      <c r="Y1349" s="763"/>
      <c r="Z1349" s="763"/>
      <c r="AA1349" s="763"/>
      <c r="AB1349" s="763"/>
      <c r="AC1349" s="763"/>
      <c r="AD1349" s="763"/>
      <c r="AE1349" s="763"/>
      <c r="AF1349" s="763"/>
      <c r="AG1349" s="763"/>
    </row>
    <row r="1350">
      <c r="A1350" s="76" t="s">
        <v>9987</v>
      </c>
      <c r="B1350" s="27" t="s">
        <v>2194</v>
      </c>
      <c r="C1350" s="27"/>
      <c r="D1350" s="76"/>
      <c r="E1350" s="27" t="s">
        <v>10468</v>
      </c>
      <c r="F1350" s="27" t="s">
        <v>10469</v>
      </c>
      <c r="G1350" s="153">
        <v>46159.0</v>
      </c>
      <c r="H1350" s="153">
        <v>46212.0</v>
      </c>
      <c r="I1350" s="76">
        <f>IFERROR(__xludf.DUMMYFUNCTION("IF(ISBLANK(H1350), TODAY()-TO_DATE(G1350), TO_DATE(H1350)-TO_DATE(G1350))+1"),54.0)</f>
        <v>54</v>
      </c>
      <c r="J1350" s="76">
        <v>500.0</v>
      </c>
      <c r="K1350" s="1004" t="s">
        <v>10470</v>
      </c>
      <c r="L1350" s="158" t="s">
        <v>10471</v>
      </c>
      <c r="M1350" s="76"/>
      <c r="N1350" s="763"/>
      <c r="O1350" s="763"/>
      <c r="P1350" s="763"/>
      <c r="Q1350" s="763"/>
      <c r="R1350" s="763"/>
      <c r="S1350" s="763"/>
      <c r="T1350" s="763"/>
      <c r="U1350" s="763"/>
      <c r="V1350" s="763"/>
      <c r="W1350" s="763"/>
      <c r="X1350" s="763"/>
      <c r="Y1350" s="763"/>
      <c r="Z1350" s="763"/>
      <c r="AA1350" s="763"/>
      <c r="AB1350" s="763"/>
      <c r="AC1350" s="763"/>
      <c r="AD1350" s="763"/>
      <c r="AE1350" s="763"/>
      <c r="AF1350" s="763"/>
      <c r="AG1350" s="763"/>
    </row>
    <row r="1351">
      <c r="A1351" s="76" t="s">
        <v>9987</v>
      </c>
      <c r="B1351" s="27" t="s">
        <v>2194</v>
      </c>
      <c r="C1351" s="27"/>
      <c r="D1351" s="76"/>
      <c r="E1351" s="27" t="s">
        <v>10472</v>
      </c>
      <c r="F1351" s="27" t="s">
        <v>6568</v>
      </c>
      <c r="G1351" s="153">
        <v>46159.0</v>
      </c>
      <c r="H1351" s="153">
        <v>46203.0</v>
      </c>
      <c r="I1351" s="76">
        <f>IFERROR(__xludf.DUMMYFUNCTION("IF(ISBLANK(H1351), TODAY()-TO_DATE(G1351), TO_DATE(H1351)-TO_DATE(G1351))+1"),45.0)</f>
        <v>45</v>
      </c>
      <c r="J1351" s="76">
        <v>500.0</v>
      </c>
      <c r="K1351" s="27" t="s">
        <v>10473</v>
      </c>
      <c r="L1351" s="47"/>
      <c r="M1351" s="76"/>
      <c r="N1351" s="763"/>
      <c r="O1351" s="763"/>
      <c r="P1351" s="763"/>
      <c r="Q1351" s="763"/>
      <c r="R1351" s="763"/>
      <c r="S1351" s="763"/>
      <c r="T1351" s="763"/>
      <c r="U1351" s="763"/>
      <c r="V1351" s="763"/>
      <c r="W1351" s="763"/>
      <c r="X1351" s="763"/>
      <c r="Y1351" s="763"/>
      <c r="Z1351" s="763"/>
      <c r="AA1351" s="763"/>
      <c r="AB1351" s="763"/>
      <c r="AC1351" s="763"/>
      <c r="AD1351" s="763"/>
      <c r="AE1351" s="763"/>
      <c r="AF1351" s="763"/>
      <c r="AG1351" s="763"/>
    </row>
    <row r="1352">
      <c r="A1352" s="76" t="s">
        <v>9987</v>
      </c>
      <c r="B1352" s="27" t="s">
        <v>2194</v>
      </c>
      <c r="C1352" s="27"/>
      <c r="D1352" s="76"/>
      <c r="E1352" s="1005" t="s">
        <v>10475</v>
      </c>
      <c r="F1352" s="27" t="s">
        <v>10477</v>
      </c>
      <c r="G1352" s="153">
        <v>46159.0</v>
      </c>
      <c r="H1352" s="153">
        <v>46208.0</v>
      </c>
      <c r="I1352" s="76">
        <f>IFERROR(__xludf.DUMMYFUNCTION("IF(ISBLANK(H1352), TODAY()-TO_DATE(G1352), TO_DATE(H1352)-TO_DATE(G1352))+1"),50.0)</f>
        <v>50</v>
      </c>
      <c r="J1352" s="76">
        <v>500.0</v>
      </c>
      <c r="K1352" s="1005" t="s">
        <v>10478</v>
      </c>
      <c r="L1352" s="158" t="s">
        <v>10479</v>
      </c>
      <c r="M1352" s="76"/>
      <c r="N1352" s="763"/>
      <c r="O1352" s="763"/>
      <c r="P1352" s="763"/>
      <c r="Q1352" s="763"/>
      <c r="R1352" s="763"/>
      <c r="S1352" s="763"/>
      <c r="T1352" s="763"/>
      <c r="U1352" s="763"/>
      <c r="V1352" s="763"/>
      <c r="W1352" s="763"/>
      <c r="X1352" s="763"/>
      <c r="Y1352" s="763"/>
      <c r="Z1352" s="763"/>
      <c r="AA1352" s="763"/>
      <c r="AB1352" s="763"/>
      <c r="AC1352" s="763"/>
      <c r="AD1352" s="763"/>
      <c r="AE1352" s="763"/>
      <c r="AF1352" s="763"/>
      <c r="AG1352" s="763"/>
    </row>
    <row r="1353">
      <c r="A1353" s="76" t="s">
        <v>9987</v>
      </c>
      <c r="B1353" s="27" t="s">
        <v>2194</v>
      </c>
      <c r="C1353" s="27"/>
      <c r="D1353" s="76"/>
      <c r="E1353" s="27" t="s">
        <v>10482</v>
      </c>
      <c r="F1353" s="27" t="s">
        <v>10483</v>
      </c>
      <c r="G1353" s="153">
        <v>46159.0</v>
      </c>
      <c r="H1353" s="153">
        <v>46164.0</v>
      </c>
      <c r="I1353" s="76">
        <f>IFERROR(__xludf.DUMMYFUNCTION("IF(ISBLANK(H1353), TODAY()-TO_DATE(G1353), TO_DATE(H1353)-TO_DATE(G1353))+1"),6.0)</f>
        <v>6</v>
      </c>
      <c r="J1353" s="76">
        <v>300.0</v>
      </c>
      <c r="K1353" s="1005" t="s">
        <v>10486</v>
      </c>
      <c r="L1353" s="47"/>
      <c r="M1353" s="76"/>
      <c r="N1353" s="763"/>
      <c r="O1353" s="763"/>
      <c r="P1353" s="763"/>
      <c r="Q1353" s="763"/>
      <c r="R1353" s="763"/>
      <c r="S1353" s="763"/>
      <c r="T1353" s="763"/>
      <c r="U1353" s="763"/>
      <c r="V1353" s="763"/>
      <c r="W1353" s="763"/>
      <c r="X1353" s="763"/>
      <c r="Y1353" s="763"/>
      <c r="Z1353" s="763"/>
      <c r="AA1353" s="763"/>
      <c r="AB1353" s="763"/>
      <c r="AC1353" s="763"/>
      <c r="AD1353" s="763"/>
      <c r="AE1353" s="763"/>
      <c r="AF1353" s="763"/>
      <c r="AG1353" s="763"/>
    </row>
    <row r="1354">
      <c r="A1354" s="76" t="s">
        <v>9987</v>
      </c>
      <c r="B1354" s="27" t="s">
        <v>2194</v>
      </c>
      <c r="C1354" s="27"/>
      <c r="D1354" s="76"/>
      <c r="E1354" s="27" t="s">
        <v>3198</v>
      </c>
      <c r="F1354" s="27" t="s">
        <v>3200</v>
      </c>
      <c r="G1354" s="153">
        <v>46159.0</v>
      </c>
      <c r="H1354" s="153">
        <v>46201.0</v>
      </c>
      <c r="I1354" s="76">
        <f>IFERROR(__xludf.DUMMYFUNCTION("IF(ISBLANK(H1354), TODAY()-TO_DATE(G1354), TO_DATE(H1354)-TO_DATE(G1354))+1"),43.0)</f>
        <v>43</v>
      </c>
      <c r="J1354" s="76">
        <v>500.0</v>
      </c>
      <c r="K1354" s="27" t="s">
        <v>10487</v>
      </c>
      <c r="L1354" s="47" t="s">
        <v>10489</v>
      </c>
      <c r="M1354" s="76"/>
      <c r="N1354" s="763"/>
      <c r="O1354" s="763"/>
      <c r="P1354" s="763"/>
      <c r="Q1354" s="763"/>
      <c r="R1354" s="763"/>
      <c r="S1354" s="763"/>
      <c r="T1354" s="763"/>
      <c r="U1354" s="763"/>
      <c r="V1354" s="763"/>
      <c r="W1354" s="763"/>
      <c r="X1354" s="763"/>
      <c r="Y1354" s="763"/>
      <c r="Z1354" s="763"/>
      <c r="AA1354" s="763"/>
      <c r="AB1354" s="763"/>
      <c r="AC1354" s="763"/>
      <c r="AD1354" s="763"/>
      <c r="AE1354" s="763"/>
      <c r="AF1354" s="763"/>
      <c r="AG1354" s="763"/>
    </row>
    <row r="1355">
      <c r="A1355" s="76" t="s">
        <v>9987</v>
      </c>
      <c r="B1355" s="27" t="s">
        <v>2194</v>
      </c>
      <c r="C1355" s="27"/>
      <c r="D1355" s="76"/>
      <c r="E1355" s="27" t="s">
        <v>3203</v>
      </c>
      <c r="F1355" s="27" t="s">
        <v>3204</v>
      </c>
      <c r="G1355" s="153">
        <v>46159.0</v>
      </c>
      <c r="H1355" s="153">
        <v>46208.0</v>
      </c>
      <c r="I1355" s="76">
        <f>IFERROR(__xludf.DUMMYFUNCTION("IF(ISBLANK(H1355), TODAY()-TO_DATE(G1355), TO_DATE(H1355)-TO_DATE(G1355))+1"),50.0)</f>
        <v>50</v>
      </c>
      <c r="J1355" s="76">
        <v>500.0</v>
      </c>
      <c r="K1355" s="1005" t="s">
        <v>10493</v>
      </c>
      <c r="L1355" s="47"/>
      <c r="M1355" s="76"/>
      <c r="N1355" s="763"/>
      <c r="O1355" s="763"/>
      <c r="P1355" s="763"/>
      <c r="Q1355" s="763"/>
      <c r="R1355" s="763"/>
      <c r="S1355" s="763"/>
      <c r="T1355" s="763"/>
      <c r="U1355" s="763"/>
      <c r="V1355" s="763"/>
      <c r="W1355" s="763"/>
      <c r="X1355" s="763"/>
      <c r="Y1355" s="763"/>
      <c r="Z1355" s="763"/>
      <c r="AA1355" s="763"/>
      <c r="AB1355" s="763"/>
      <c r="AC1355" s="763"/>
      <c r="AD1355" s="763"/>
      <c r="AE1355" s="763"/>
      <c r="AF1355" s="763"/>
      <c r="AG1355" s="763"/>
    </row>
    <row r="1356">
      <c r="A1356" s="76" t="s">
        <v>1448</v>
      </c>
      <c r="B1356" s="27" t="s">
        <v>1187</v>
      </c>
      <c r="C1356" s="27"/>
      <c r="D1356" s="76"/>
      <c r="E1356" s="40" t="s">
        <v>10497</v>
      </c>
      <c r="F1356" s="40" t="s">
        <v>652</v>
      </c>
      <c r="G1356" s="153">
        <v>46159.0</v>
      </c>
      <c r="H1356" s="153">
        <v>46183.0</v>
      </c>
      <c r="I1356" s="76">
        <f>IFERROR(__xludf.DUMMYFUNCTION("IF(ISBLANK(H1356), TODAY()-TO_DATE(G1356), TO_DATE(H1356)-TO_DATE(G1356))+1"),25.0)</f>
        <v>25</v>
      </c>
      <c r="J1356" s="76" t="s">
        <v>197</v>
      </c>
      <c r="K1356" s="40" t="s">
        <v>10498</v>
      </c>
      <c r="L1356" s="47" t="s">
        <v>10499</v>
      </c>
      <c r="M1356" s="76"/>
      <c r="N1356" s="763"/>
      <c r="O1356" s="763"/>
      <c r="P1356" s="763"/>
      <c r="Q1356" s="763"/>
      <c r="R1356" s="763"/>
      <c r="S1356" s="763"/>
      <c r="T1356" s="763"/>
      <c r="U1356" s="763"/>
      <c r="V1356" s="763"/>
      <c r="W1356" s="763"/>
      <c r="X1356" s="763"/>
      <c r="Y1356" s="763"/>
      <c r="Z1356" s="763"/>
      <c r="AA1356" s="763"/>
      <c r="AB1356" s="763"/>
      <c r="AC1356" s="763"/>
      <c r="AD1356" s="763"/>
      <c r="AE1356" s="763"/>
      <c r="AF1356" s="763"/>
      <c r="AG1356" s="763"/>
    </row>
    <row r="1357">
      <c r="A1357" s="76" t="s">
        <v>1448</v>
      </c>
      <c r="B1357" s="27" t="s">
        <v>1187</v>
      </c>
      <c r="C1357" s="27"/>
      <c r="D1357" s="76"/>
      <c r="E1357" s="40" t="s">
        <v>10500</v>
      </c>
      <c r="F1357" s="40" t="s">
        <v>10291</v>
      </c>
      <c r="G1357" s="153">
        <v>46159.0</v>
      </c>
      <c r="H1357" s="153">
        <v>46212.0</v>
      </c>
      <c r="I1357" s="76">
        <f>IFERROR(__xludf.DUMMYFUNCTION("IF(ISBLANK(H1357), TODAY()-TO_DATE(G1357), TO_DATE(H1357)-TO_DATE(G1357))+1"),54.0)</f>
        <v>54</v>
      </c>
      <c r="J1357" s="76">
        <v>500.0</v>
      </c>
      <c r="K1357" s="794" t="s">
        <v>10501</v>
      </c>
      <c r="L1357" s="47"/>
      <c r="M1357" s="76"/>
      <c r="N1357" s="763"/>
      <c r="O1357" s="763"/>
      <c r="P1357" s="763"/>
      <c r="Q1357" s="763"/>
      <c r="R1357" s="763"/>
      <c r="S1357" s="763"/>
      <c r="T1357" s="763"/>
      <c r="U1357" s="763"/>
      <c r="V1357" s="763"/>
      <c r="W1357" s="763"/>
      <c r="X1357" s="763"/>
      <c r="Y1357" s="763"/>
      <c r="Z1357" s="763"/>
      <c r="AA1357" s="763"/>
      <c r="AB1357" s="763"/>
      <c r="AC1357" s="763"/>
      <c r="AD1357" s="763"/>
      <c r="AE1357" s="763"/>
      <c r="AF1357" s="763"/>
      <c r="AG1357" s="763"/>
    </row>
    <row r="1358">
      <c r="A1358" s="76" t="s">
        <v>1032</v>
      </c>
      <c r="B1358" s="27" t="s">
        <v>1187</v>
      </c>
      <c r="C1358" s="27"/>
      <c r="D1358" s="76"/>
      <c r="E1358" s="27" t="s">
        <v>8373</v>
      </c>
      <c r="F1358" s="27" t="s">
        <v>1227</v>
      </c>
      <c r="G1358" s="153">
        <v>46174.0</v>
      </c>
      <c r="H1358" s="153">
        <v>46212.0</v>
      </c>
      <c r="I1358" s="76">
        <f>IFERROR(__xludf.DUMMYFUNCTION("IF(ISBLANK(H1358), TODAY()-TO_DATE(G1358), TO_DATE(H1358)-TO_DATE(G1358))+1"),39.0)</f>
        <v>39</v>
      </c>
      <c r="J1358" s="76">
        <v>500.0</v>
      </c>
      <c r="K1358" s="1005" t="s">
        <v>10503</v>
      </c>
      <c r="L1358" s="158" t="s">
        <v>10504</v>
      </c>
      <c r="M1358" s="76"/>
      <c r="N1358" s="153">
        <v>46160.0</v>
      </c>
      <c r="O1358" s="763"/>
      <c r="P1358" s="763"/>
      <c r="Q1358" s="763"/>
      <c r="R1358" s="763"/>
      <c r="S1358" s="763"/>
      <c r="T1358" s="763"/>
      <c r="U1358" s="763"/>
      <c r="V1358" s="763"/>
      <c r="W1358" s="763"/>
      <c r="X1358" s="763"/>
      <c r="Y1358" s="763"/>
      <c r="Z1358" s="763"/>
      <c r="AA1358" s="763"/>
      <c r="AB1358" s="763"/>
      <c r="AC1358" s="763"/>
      <c r="AD1358" s="763"/>
      <c r="AE1358" s="763"/>
      <c r="AF1358" s="763"/>
      <c r="AG1358" s="763"/>
    </row>
    <row r="1359">
      <c r="A1359" s="76" t="s">
        <v>9359</v>
      </c>
      <c r="B1359" s="27" t="s">
        <v>1187</v>
      </c>
      <c r="C1359" s="27"/>
      <c r="D1359" s="76"/>
      <c r="E1359" s="27" t="s">
        <v>8585</v>
      </c>
      <c r="F1359" s="27" t="s">
        <v>10506</v>
      </c>
      <c r="G1359" s="153">
        <v>46160.0</v>
      </c>
      <c r="H1359" s="153">
        <v>46168.0</v>
      </c>
      <c r="I1359" s="76">
        <f>IFERROR(__xludf.DUMMYFUNCTION("IF(ISBLANK(H1359), TODAY()-TO_DATE(G1359), TO_DATE(H1359)-TO_DATE(G1359))+1"),9.0)</f>
        <v>9</v>
      </c>
      <c r="J1359" s="76" t="s">
        <v>197</v>
      </c>
      <c r="K1359" s="27" t="s">
        <v>10509</v>
      </c>
      <c r="L1359" s="47"/>
      <c r="M1359" s="76" t="s">
        <v>9226</v>
      </c>
      <c r="N1359" s="763"/>
      <c r="O1359" s="763"/>
      <c r="P1359" s="763"/>
      <c r="Q1359" s="763"/>
      <c r="R1359" s="763"/>
      <c r="S1359" s="763"/>
      <c r="T1359" s="763"/>
      <c r="U1359" s="763"/>
      <c r="V1359" s="763"/>
      <c r="W1359" s="763"/>
      <c r="X1359" s="763"/>
      <c r="Y1359" s="763"/>
      <c r="Z1359" s="763"/>
      <c r="AA1359" s="763"/>
      <c r="AB1359" s="763"/>
      <c r="AC1359" s="763"/>
      <c r="AD1359" s="763"/>
      <c r="AE1359" s="763"/>
      <c r="AF1359" s="763"/>
      <c r="AG1359" s="763"/>
    </row>
    <row r="1360">
      <c r="A1360" s="76" t="s">
        <v>1510</v>
      </c>
      <c r="B1360" s="27" t="s">
        <v>1187</v>
      </c>
      <c r="C1360" s="27"/>
      <c r="D1360" s="76"/>
      <c r="E1360" s="27" t="s">
        <v>9792</v>
      </c>
      <c r="F1360" s="27" t="s">
        <v>3312</v>
      </c>
      <c r="G1360" s="153">
        <v>46160.0</v>
      </c>
      <c r="H1360" s="153">
        <v>46164.0</v>
      </c>
      <c r="I1360" s="76">
        <f>IFERROR(__xludf.DUMMYFUNCTION("IF(ISBLANK(H1360), TODAY()-TO_DATE(G1360), TO_DATE(H1360)-TO_DATE(G1360))+1"),5.0)</f>
        <v>5</v>
      </c>
      <c r="J1360" s="76">
        <v>300.0</v>
      </c>
      <c r="K1360" s="27" t="s">
        <v>10511</v>
      </c>
      <c r="L1360" s="47"/>
      <c r="M1360" s="76" t="s">
        <v>9226</v>
      </c>
      <c r="N1360" s="763"/>
      <c r="O1360" s="763"/>
      <c r="P1360" s="763"/>
      <c r="Q1360" s="763"/>
      <c r="R1360" s="763"/>
      <c r="S1360" s="763"/>
      <c r="T1360" s="763"/>
      <c r="U1360" s="763"/>
      <c r="V1360" s="763"/>
      <c r="W1360" s="763"/>
      <c r="X1360" s="763"/>
      <c r="Y1360" s="763"/>
      <c r="Z1360" s="763"/>
      <c r="AA1360" s="763"/>
      <c r="AB1360" s="763"/>
      <c r="AC1360" s="763"/>
      <c r="AD1360" s="763"/>
      <c r="AE1360" s="763"/>
      <c r="AF1360" s="763"/>
      <c r="AG1360" s="763"/>
    </row>
    <row r="1361">
      <c r="A1361" s="76" t="s">
        <v>145</v>
      </c>
      <c r="B1361" s="27" t="s">
        <v>1187</v>
      </c>
      <c r="C1361" s="27"/>
      <c r="D1361" s="76"/>
      <c r="E1361" s="27" t="s">
        <v>10514</v>
      </c>
      <c r="F1361" s="27" t="s">
        <v>6204</v>
      </c>
      <c r="G1361" s="153">
        <v>46174.0</v>
      </c>
      <c r="H1361" s="153">
        <v>46212.0</v>
      </c>
      <c r="I1361" s="76">
        <f>IFERROR(__xludf.DUMMYFUNCTION("IF(ISBLANK(H1361), TODAY()-TO_DATE(G1361), TO_DATE(H1361)-TO_DATE(G1361))+1"),39.0)</f>
        <v>39</v>
      </c>
      <c r="J1361" s="76">
        <v>500.0</v>
      </c>
      <c r="K1361" s="1005" t="s">
        <v>9774</v>
      </c>
      <c r="L1361" s="158" t="s">
        <v>10516</v>
      </c>
      <c r="M1361" s="76" t="s">
        <v>9226</v>
      </c>
      <c r="N1361" s="153">
        <v>46160.0</v>
      </c>
      <c r="O1361" s="763"/>
      <c r="P1361" s="763"/>
      <c r="Q1361" s="763"/>
      <c r="R1361" s="763"/>
      <c r="S1361" s="763"/>
      <c r="T1361" s="763"/>
      <c r="U1361" s="763"/>
      <c r="V1361" s="763"/>
      <c r="W1361" s="763"/>
      <c r="X1361" s="763"/>
      <c r="Y1361" s="763"/>
      <c r="Z1361" s="763"/>
      <c r="AA1361" s="763"/>
      <c r="AB1361" s="763"/>
      <c r="AC1361" s="763"/>
      <c r="AD1361" s="763"/>
      <c r="AE1361" s="763"/>
      <c r="AF1361" s="763"/>
      <c r="AG1361" s="763"/>
    </row>
    <row r="1362">
      <c r="A1362" s="76" t="s">
        <v>9987</v>
      </c>
      <c r="B1362" s="27" t="s">
        <v>1187</v>
      </c>
      <c r="C1362" s="27"/>
      <c r="D1362" s="76"/>
      <c r="E1362" s="27" t="s">
        <v>10517</v>
      </c>
      <c r="F1362" s="27" t="s">
        <v>10518</v>
      </c>
      <c r="G1362" s="153">
        <v>46174.0</v>
      </c>
      <c r="H1362" s="153">
        <v>46212.0</v>
      </c>
      <c r="I1362" s="76">
        <f>IFERROR(__xludf.DUMMYFUNCTION("IF(ISBLANK(H1362), TODAY()-TO_DATE(G1362), TO_DATE(H1362)-TO_DATE(G1362))+1"),39.0)</f>
        <v>39</v>
      </c>
      <c r="J1362" s="76">
        <v>500.0</v>
      </c>
      <c r="K1362" s="794" t="s">
        <v>10522</v>
      </c>
      <c r="L1362" s="158" t="s">
        <v>10523</v>
      </c>
      <c r="M1362" s="76" t="s">
        <v>9226</v>
      </c>
      <c r="N1362" s="153">
        <v>46160.0</v>
      </c>
      <c r="O1362" s="763"/>
      <c r="P1362" s="763"/>
      <c r="Q1362" s="763"/>
      <c r="R1362" s="763"/>
      <c r="S1362" s="763"/>
      <c r="T1362" s="763"/>
      <c r="U1362" s="763"/>
      <c r="V1362" s="763"/>
      <c r="W1362" s="763"/>
      <c r="X1362" s="763"/>
      <c r="Y1362" s="763"/>
      <c r="Z1362" s="763"/>
      <c r="AA1362" s="763"/>
      <c r="AB1362" s="763"/>
      <c r="AC1362" s="763"/>
      <c r="AD1362" s="763"/>
      <c r="AE1362" s="763"/>
      <c r="AF1362" s="763"/>
      <c r="AG1362" s="763"/>
    </row>
    <row r="1363">
      <c r="A1363" s="76" t="s">
        <v>1448</v>
      </c>
      <c r="B1363" s="27" t="s">
        <v>1187</v>
      </c>
      <c r="C1363" s="27"/>
      <c r="D1363" s="76"/>
      <c r="E1363" s="27" t="s">
        <v>8610</v>
      </c>
      <c r="F1363" s="27" t="s">
        <v>10525</v>
      </c>
      <c r="G1363" s="153">
        <v>46174.0</v>
      </c>
      <c r="H1363" s="153">
        <v>46212.0</v>
      </c>
      <c r="I1363" s="76">
        <f>IFERROR(__xludf.DUMMYFUNCTION("IF(ISBLANK(H1363), TODAY()-TO_DATE(G1363), TO_DATE(H1363)-TO_DATE(G1363))+1"),39.0)</f>
        <v>39</v>
      </c>
      <c r="J1363" s="76">
        <v>500.0</v>
      </c>
      <c r="K1363" s="794" t="s">
        <v>9907</v>
      </c>
      <c r="L1363" s="47"/>
      <c r="M1363" s="76" t="s">
        <v>9226</v>
      </c>
      <c r="N1363" s="153">
        <v>46160.0</v>
      </c>
      <c r="O1363" s="763"/>
      <c r="P1363" s="763"/>
      <c r="Q1363" s="763"/>
      <c r="R1363" s="763"/>
      <c r="S1363" s="763"/>
      <c r="T1363" s="763"/>
      <c r="U1363" s="763"/>
      <c r="V1363" s="763"/>
      <c r="W1363" s="763"/>
      <c r="X1363" s="763"/>
      <c r="Y1363" s="763"/>
      <c r="Z1363" s="763"/>
      <c r="AA1363" s="763"/>
      <c r="AB1363" s="763"/>
      <c r="AC1363" s="763"/>
      <c r="AD1363" s="763"/>
      <c r="AE1363" s="763"/>
      <c r="AF1363" s="763"/>
      <c r="AG1363" s="763"/>
    </row>
    <row r="1364">
      <c r="A1364" s="76" t="s">
        <v>150</v>
      </c>
      <c r="B1364" s="27" t="s">
        <v>2194</v>
      </c>
      <c r="C1364" s="27"/>
      <c r="D1364" s="76"/>
      <c r="E1364" s="27" t="s">
        <v>942</v>
      </c>
      <c r="F1364" s="27" t="s">
        <v>943</v>
      </c>
      <c r="G1364" s="153">
        <v>46162.0</v>
      </c>
      <c r="H1364" s="153">
        <v>46215.0</v>
      </c>
      <c r="I1364" s="76">
        <f>IFERROR(__xludf.DUMMYFUNCTION("IF(ISBLANK(H1364), TODAY()-TO_DATE(G1364), TO_DATE(H1364)-TO_DATE(G1364))+1"),54.0)</f>
        <v>54</v>
      </c>
      <c r="J1364" s="76">
        <v>500.0</v>
      </c>
      <c r="K1364" s="40" t="s">
        <v>10529</v>
      </c>
      <c r="L1364" s="47" t="s">
        <v>10530</v>
      </c>
      <c r="M1364" s="76"/>
      <c r="N1364" s="763"/>
      <c r="O1364" s="763"/>
      <c r="P1364" s="763"/>
      <c r="Q1364" s="763"/>
      <c r="R1364" s="763"/>
      <c r="S1364" s="763"/>
      <c r="T1364" s="763"/>
      <c r="U1364" s="763"/>
      <c r="V1364" s="763"/>
      <c r="W1364" s="763"/>
      <c r="X1364" s="763"/>
      <c r="Y1364" s="763"/>
      <c r="Z1364" s="763"/>
      <c r="AA1364" s="763"/>
      <c r="AB1364" s="763"/>
      <c r="AC1364" s="763"/>
      <c r="AD1364" s="763"/>
      <c r="AE1364" s="763"/>
      <c r="AF1364" s="763"/>
      <c r="AG1364" s="763"/>
    </row>
    <row r="1365">
      <c r="A1365" s="76" t="s">
        <v>9578</v>
      </c>
      <c r="B1365" s="27" t="s">
        <v>2194</v>
      </c>
      <c r="C1365" s="27"/>
      <c r="D1365" s="76"/>
      <c r="E1365" s="27" t="s">
        <v>10531</v>
      </c>
      <c r="F1365" s="27" t="s">
        <v>10532</v>
      </c>
      <c r="G1365" s="153">
        <v>46162.0</v>
      </c>
      <c r="H1365" s="153">
        <v>46215.0</v>
      </c>
      <c r="I1365" s="76">
        <f>IFERROR(__xludf.DUMMYFUNCTION("IF(ISBLANK(H1365), TODAY()-TO_DATE(G1365), TO_DATE(H1365)-TO_DATE(G1365))+1"),54.0)</f>
        <v>54</v>
      </c>
      <c r="J1365" s="76">
        <v>500.0</v>
      </c>
      <c r="K1365" s="40" t="s">
        <v>10533</v>
      </c>
      <c r="L1365" s="47"/>
      <c r="M1365" s="76"/>
      <c r="N1365" s="763"/>
      <c r="O1365" s="763"/>
      <c r="P1365" s="763"/>
      <c r="Q1365" s="763"/>
      <c r="R1365" s="763"/>
      <c r="S1365" s="763"/>
      <c r="T1365" s="763"/>
      <c r="U1365" s="763"/>
      <c r="V1365" s="763"/>
      <c r="W1365" s="763"/>
      <c r="X1365" s="763"/>
      <c r="Y1365" s="763"/>
      <c r="Z1365" s="763"/>
      <c r="AA1365" s="763"/>
      <c r="AB1365" s="763"/>
      <c r="AC1365" s="763"/>
      <c r="AD1365" s="763"/>
      <c r="AE1365" s="763"/>
      <c r="AF1365" s="763"/>
      <c r="AG1365" s="763"/>
    </row>
    <row r="1366">
      <c r="A1366" s="76" t="s">
        <v>9987</v>
      </c>
      <c r="B1366" s="27" t="s">
        <v>2194</v>
      </c>
      <c r="C1366" s="27"/>
      <c r="D1366" s="76"/>
      <c r="E1366" s="27" t="s">
        <v>6983</v>
      </c>
      <c r="F1366" s="27" t="s">
        <v>2293</v>
      </c>
      <c r="G1366" s="153">
        <v>46162.0</v>
      </c>
      <c r="H1366" s="153">
        <v>46164.0</v>
      </c>
      <c r="I1366" s="76">
        <f>IFERROR(__xludf.DUMMYFUNCTION("IF(ISBLANK(H1366), TODAY()-TO_DATE(G1366), TO_DATE(H1366)-TO_DATE(G1366))+1"),3.0)</f>
        <v>3</v>
      </c>
      <c r="J1366" s="76" t="s">
        <v>197</v>
      </c>
      <c r="K1366" s="40" t="s">
        <v>10538</v>
      </c>
      <c r="L1366" s="47"/>
      <c r="M1366" s="76" t="s">
        <v>9226</v>
      </c>
      <c r="N1366" s="763"/>
      <c r="O1366" s="763"/>
      <c r="P1366" s="763"/>
      <c r="Q1366" s="763"/>
      <c r="R1366" s="763"/>
      <c r="S1366" s="763"/>
      <c r="T1366" s="763"/>
      <c r="U1366" s="763"/>
      <c r="V1366" s="763"/>
      <c r="W1366" s="763"/>
      <c r="X1366" s="763"/>
      <c r="Y1366" s="763"/>
      <c r="Z1366" s="763"/>
      <c r="AA1366" s="763"/>
      <c r="AB1366" s="763"/>
      <c r="AC1366" s="763"/>
      <c r="AD1366" s="763"/>
      <c r="AE1366" s="763"/>
      <c r="AF1366" s="763"/>
      <c r="AG1366" s="763"/>
    </row>
    <row r="1367">
      <c r="A1367" s="76" t="s">
        <v>9987</v>
      </c>
      <c r="B1367" s="27" t="s">
        <v>2194</v>
      </c>
      <c r="C1367" s="27"/>
      <c r="D1367" s="76"/>
      <c r="E1367" s="27" t="s">
        <v>10540</v>
      </c>
      <c r="F1367" s="27" t="s">
        <v>10541</v>
      </c>
      <c r="G1367" s="153">
        <v>46174.0</v>
      </c>
      <c r="H1367" s="153">
        <v>46213.0</v>
      </c>
      <c r="I1367" s="76">
        <f>IFERROR(__xludf.DUMMYFUNCTION("IF(ISBLANK(H1367), TODAY()-TO_DATE(G1367), TO_DATE(H1367)-TO_DATE(G1367))+1"),40.0)</f>
        <v>40</v>
      </c>
      <c r="J1367" s="76">
        <v>500.0</v>
      </c>
      <c r="K1367" s="794" t="s">
        <v>10543</v>
      </c>
      <c r="L1367" s="158" t="s">
        <v>10544</v>
      </c>
      <c r="M1367" s="76"/>
      <c r="N1367" s="153">
        <v>46162.0</v>
      </c>
      <c r="O1367" s="763"/>
      <c r="P1367" s="763"/>
      <c r="Q1367" s="763"/>
      <c r="R1367" s="763"/>
      <c r="S1367" s="763"/>
      <c r="T1367" s="763"/>
      <c r="U1367" s="763"/>
      <c r="V1367" s="763"/>
      <c r="W1367" s="763"/>
      <c r="X1367" s="763"/>
      <c r="Y1367" s="763"/>
      <c r="Z1367" s="763"/>
      <c r="AA1367" s="763"/>
      <c r="AB1367" s="763"/>
      <c r="AC1367" s="763"/>
      <c r="AD1367" s="763"/>
      <c r="AE1367" s="763"/>
      <c r="AF1367" s="763"/>
      <c r="AG1367" s="763"/>
    </row>
    <row r="1368">
      <c r="A1368" s="76" t="s">
        <v>2451</v>
      </c>
      <c r="B1368" s="27" t="s">
        <v>1187</v>
      </c>
      <c r="C1368" s="27"/>
      <c r="D1368" s="76" t="s">
        <v>60</v>
      </c>
      <c r="E1368" s="27" t="s">
        <v>309</v>
      </c>
      <c r="F1368" s="27" t="s">
        <v>310</v>
      </c>
      <c r="G1368" s="153">
        <v>46163.0</v>
      </c>
      <c r="H1368" s="153">
        <v>46182.0</v>
      </c>
      <c r="I1368" s="76">
        <f>IFERROR(__xludf.DUMMYFUNCTION("IF(ISBLANK(H1368), TODAY()-TO_DATE(G1368), TO_DATE(H1368)-TO_DATE(G1368))+1"),20.0)</f>
        <v>20</v>
      </c>
      <c r="J1368" s="76" t="s">
        <v>197</v>
      </c>
      <c r="K1368" s="69" t="s">
        <v>10547</v>
      </c>
      <c r="L1368" s="1008" t="s">
        <v>10548</v>
      </c>
      <c r="M1368" s="76"/>
      <c r="N1368" s="763"/>
      <c r="O1368" s="763"/>
      <c r="P1368" s="763"/>
      <c r="Q1368" s="763"/>
      <c r="R1368" s="763"/>
      <c r="S1368" s="763"/>
      <c r="T1368" s="763"/>
      <c r="U1368" s="763"/>
      <c r="V1368" s="763"/>
      <c r="W1368" s="763"/>
      <c r="X1368" s="763"/>
      <c r="Y1368" s="763"/>
      <c r="Z1368" s="763"/>
      <c r="AA1368" s="763"/>
      <c r="AB1368" s="763"/>
      <c r="AC1368" s="763"/>
      <c r="AD1368" s="763"/>
      <c r="AE1368" s="763"/>
      <c r="AF1368" s="763"/>
      <c r="AG1368" s="763"/>
    </row>
    <row r="1369">
      <c r="A1369" s="76" t="s">
        <v>1510</v>
      </c>
      <c r="B1369" s="27" t="s">
        <v>2194</v>
      </c>
      <c r="C1369" s="27"/>
      <c r="D1369" s="76"/>
      <c r="E1369" s="27" t="s">
        <v>8652</v>
      </c>
      <c r="F1369" s="27" t="s">
        <v>2449</v>
      </c>
      <c r="G1369" s="153">
        <v>46164.0</v>
      </c>
      <c r="H1369" s="153">
        <v>46203.0</v>
      </c>
      <c r="I1369" s="76">
        <f>IFERROR(__xludf.DUMMYFUNCTION("IF(ISBLANK(H1369), TODAY()-TO_DATE(G1369), TO_DATE(H1369)-TO_DATE(G1369))+1"),40.0)</f>
        <v>40</v>
      </c>
      <c r="J1369" s="76" t="s">
        <v>197</v>
      </c>
      <c r="K1369" s="69" t="s">
        <v>10550</v>
      </c>
      <c r="L1369" s="47"/>
      <c r="M1369" s="76" t="s">
        <v>9226</v>
      </c>
      <c r="N1369" s="763"/>
      <c r="O1369" s="763"/>
      <c r="P1369" s="763"/>
      <c r="Q1369" s="763"/>
      <c r="R1369" s="763"/>
      <c r="S1369" s="763"/>
      <c r="T1369" s="763"/>
      <c r="U1369" s="763"/>
      <c r="V1369" s="763"/>
      <c r="W1369" s="763"/>
      <c r="X1369" s="763"/>
      <c r="Y1369" s="763"/>
      <c r="Z1369" s="763"/>
      <c r="AA1369" s="763"/>
      <c r="AB1369" s="763"/>
      <c r="AC1369" s="763"/>
      <c r="AD1369" s="763"/>
      <c r="AE1369" s="763"/>
      <c r="AF1369" s="763"/>
      <c r="AG1369" s="763"/>
    </row>
    <row r="1370">
      <c r="A1370" s="76" t="s">
        <v>145</v>
      </c>
      <c r="B1370" s="27" t="s">
        <v>2194</v>
      </c>
      <c r="C1370" s="27"/>
      <c r="D1370" s="76"/>
      <c r="E1370" s="27" t="s">
        <v>10551</v>
      </c>
      <c r="F1370" s="27" t="s">
        <v>10552</v>
      </c>
      <c r="G1370" s="153">
        <v>46174.0</v>
      </c>
      <c r="H1370" s="153">
        <v>46213.0</v>
      </c>
      <c r="I1370" s="76">
        <f>IFERROR(__xludf.DUMMYFUNCTION("IF(ISBLANK(H1370), TODAY()-TO_DATE(G1370), TO_DATE(H1370)-TO_DATE(G1370))+1"),40.0)</f>
        <v>40</v>
      </c>
      <c r="J1370" s="76">
        <v>500.0</v>
      </c>
      <c r="K1370" s="999" t="s">
        <v>10555</v>
      </c>
      <c r="L1370" s="158" t="s">
        <v>9383</v>
      </c>
      <c r="M1370" s="76" t="s">
        <v>9226</v>
      </c>
      <c r="N1370" s="153">
        <v>46164.0</v>
      </c>
      <c r="O1370" s="763"/>
      <c r="P1370" s="763"/>
      <c r="Q1370" s="763"/>
      <c r="R1370" s="763"/>
      <c r="S1370" s="763"/>
      <c r="T1370" s="763"/>
      <c r="U1370" s="763"/>
      <c r="V1370" s="763"/>
      <c r="W1370" s="763"/>
      <c r="X1370" s="763"/>
      <c r="Y1370" s="763"/>
      <c r="Z1370" s="763"/>
      <c r="AA1370" s="763"/>
      <c r="AB1370" s="763"/>
      <c r="AC1370" s="763"/>
      <c r="AD1370" s="763"/>
      <c r="AE1370" s="763"/>
      <c r="AF1370" s="763"/>
      <c r="AG1370" s="763"/>
    </row>
    <row r="1371">
      <c r="A1371" s="76" t="s">
        <v>1032</v>
      </c>
      <c r="B1371" s="27" t="s">
        <v>1187</v>
      </c>
      <c r="C1371" s="27"/>
      <c r="D1371" s="76"/>
      <c r="E1371" s="27" t="s">
        <v>8386</v>
      </c>
      <c r="F1371" s="27" t="s">
        <v>943</v>
      </c>
      <c r="G1371" s="153">
        <v>46174.0</v>
      </c>
      <c r="H1371" s="153">
        <v>46200.0</v>
      </c>
      <c r="I1371" s="76">
        <f>IFERROR(__xludf.DUMMYFUNCTION("IF(ISBLANK(H1371), TODAY()-TO_DATE(G1371), TO_DATE(H1371)-TO_DATE(G1371))+1"),27.0)</f>
        <v>27</v>
      </c>
      <c r="J1371" s="76">
        <v>500.0</v>
      </c>
      <c r="K1371" s="69" t="s">
        <v>10558</v>
      </c>
      <c r="L1371" s="1008" t="s">
        <v>10122</v>
      </c>
      <c r="M1371" s="76" t="s">
        <v>9226</v>
      </c>
      <c r="N1371" s="153">
        <v>46164.0</v>
      </c>
      <c r="O1371" s="763"/>
      <c r="P1371" s="763"/>
      <c r="Q1371" s="763"/>
      <c r="R1371" s="763"/>
      <c r="S1371" s="763"/>
      <c r="T1371" s="763"/>
      <c r="U1371" s="763"/>
      <c r="V1371" s="763"/>
      <c r="W1371" s="763"/>
      <c r="X1371" s="763"/>
      <c r="Y1371" s="763"/>
      <c r="Z1371" s="763"/>
      <c r="AA1371" s="763"/>
      <c r="AB1371" s="763"/>
      <c r="AC1371" s="763"/>
      <c r="AD1371" s="763"/>
      <c r="AE1371" s="763"/>
      <c r="AF1371" s="763"/>
      <c r="AG1371" s="763"/>
    </row>
    <row r="1372">
      <c r="A1372" s="76" t="s">
        <v>9987</v>
      </c>
      <c r="B1372" s="27" t="s">
        <v>1187</v>
      </c>
      <c r="C1372" s="27"/>
      <c r="D1372" s="76"/>
      <c r="E1372" s="27" t="s">
        <v>10559</v>
      </c>
      <c r="F1372" s="27" t="s">
        <v>10560</v>
      </c>
      <c r="G1372" s="153">
        <v>46174.0</v>
      </c>
      <c r="H1372" s="153">
        <v>46211.0</v>
      </c>
      <c r="I1372" s="76">
        <f>IFERROR(__xludf.DUMMYFUNCTION("IF(ISBLANK(H1372), TODAY()-TO_DATE(G1372), TO_DATE(H1372)-TO_DATE(G1372))+1"),38.0)</f>
        <v>38</v>
      </c>
      <c r="J1372" s="76">
        <v>500.0</v>
      </c>
      <c r="K1372" s="69" t="s">
        <v>10561</v>
      </c>
      <c r="L1372" s="47"/>
      <c r="M1372" s="76" t="s">
        <v>9226</v>
      </c>
      <c r="N1372" s="153">
        <v>46164.0</v>
      </c>
      <c r="O1372" s="763"/>
      <c r="P1372" s="763"/>
      <c r="Q1372" s="763"/>
      <c r="R1372" s="763"/>
      <c r="S1372" s="763"/>
      <c r="T1372" s="763"/>
      <c r="U1372" s="763"/>
      <c r="V1372" s="763"/>
      <c r="W1372" s="763"/>
      <c r="X1372" s="763"/>
      <c r="Y1372" s="763"/>
      <c r="Z1372" s="763"/>
      <c r="AA1372" s="763"/>
      <c r="AB1372" s="763"/>
      <c r="AC1372" s="763"/>
      <c r="AD1372" s="763"/>
      <c r="AE1372" s="763"/>
      <c r="AF1372" s="763"/>
      <c r="AG1372" s="763"/>
    </row>
    <row r="1373">
      <c r="A1373" s="76" t="s">
        <v>9987</v>
      </c>
      <c r="B1373" s="27" t="s">
        <v>1187</v>
      </c>
      <c r="C1373" s="27"/>
      <c r="D1373" s="76"/>
      <c r="E1373" s="27" t="s">
        <v>10562</v>
      </c>
      <c r="F1373" s="27" t="s">
        <v>10563</v>
      </c>
      <c r="G1373" s="153">
        <v>46174.0</v>
      </c>
      <c r="H1373" s="153">
        <v>46212.0</v>
      </c>
      <c r="I1373" s="76">
        <f>IFERROR(__xludf.DUMMYFUNCTION("IF(ISBLANK(H1373), TODAY()-TO_DATE(G1373), TO_DATE(H1373)-TO_DATE(G1373))+1"),39.0)</f>
        <v>39</v>
      </c>
      <c r="J1373" s="76">
        <v>500.0</v>
      </c>
      <c r="K1373" s="999" t="s">
        <v>10564</v>
      </c>
      <c r="L1373" s="158"/>
      <c r="M1373" s="76" t="s">
        <v>9226</v>
      </c>
      <c r="N1373" s="153">
        <v>46164.0</v>
      </c>
      <c r="O1373" s="763"/>
      <c r="P1373" s="763"/>
      <c r="Q1373" s="763"/>
      <c r="R1373" s="763"/>
      <c r="S1373" s="763"/>
      <c r="T1373" s="763"/>
      <c r="U1373" s="763"/>
      <c r="V1373" s="763"/>
      <c r="W1373" s="763"/>
      <c r="X1373" s="763"/>
      <c r="Y1373" s="763"/>
      <c r="Z1373" s="763"/>
      <c r="AA1373" s="763"/>
      <c r="AB1373" s="763"/>
      <c r="AC1373" s="763"/>
      <c r="AD1373" s="763"/>
      <c r="AE1373" s="763"/>
      <c r="AF1373" s="763"/>
      <c r="AG1373" s="763"/>
    </row>
    <row r="1374">
      <c r="A1374" s="76" t="s">
        <v>9987</v>
      </c>
      <c r="B1374" s="27" t="s">
        <v>1187</v>
      </c>
      <c r="C1374" s="27"/>
      <c r="D1374" s="76"/>
      <c r="E1374" s="27" t="s">
        <v>10566</v>
      </c>
      <c r="F1374" s="27" t="s">
        <v>631</v>
      </c>
      <c r="G1374" s="153">
        <v>46174.0</v>
      </c>
      <c r="H1374" s="153">
        <v>46212.0</v>
      </c>
      <c r="I1374" s="76">
        <f>IFERROR(__xludf.DUMMYFUNCTION("IF(ISBLANK(H1374), TODAY()-TO_DATE(G1374), TO_DATE(H1374)-TO_DATE(G1374))+1"),39.0)</f>
        <v>39</v>
      </c>
      <c r="J1374" s="76">
        <v>500.0</v>
      </c>
      <c r="K1374" s="999" t="s">
        <v>9635</v>
      </c>
      <c r="L1374" s="158" t="s">
        <v>9614</v>
      </c>
      <c r="M1374" s="76" t="s">
        <v>9226</v>
      </c>
      <c r="N1374" s="153">
        <v>46164.0</v>
      </c>
      <c r="O1374" s="763"/>
      <c r="P1374" s="763"/>
      <c r="Q1374" s="763"/>
      <c r="R1374" s="763"/>
      <c r="S1374" s="763"/>
      <c r="T1374" s="763"/>
      <c r="U1374" s="763"/>
      <c r="V1374" s="763"/>
      <c r="W1374" s="763"/>
      <c r="X1374" s="763"/>
      <c r="Y1374" s="763"/>
      <c r="Z1374" s="763"/>
      <c r="AA1374" s="763"/>
      <c r="AB1374" s="763"/>
      <c r="AC1374" s="763"/>
      <c r="AD1374" s="763"/>
      <c r="AE1374" s="763"/>
      <c r="AF1374" s="763"/>
      <c r="AG1374" s="763"/>
    </row>
    <row r="1375">
      <c r="A1375" s="76" t="s">
        <v>145</v>
      </c>
      <c r="B1375" s="27" t="s">
        <v>1187</v>
      </c>
      <c r="C1375" s="27"/>
      <c r="D1375" s="76"/>
      <c r="E1375" s="27" t="s">
        <v>10576</v>
      </c>
      <c r="F1375" s="27" t="s">
        <v>10577</v>
      </c>
      <c r="G1375" s="153">
        <v>46167.0</v>
      </c>
      <c r="H1375" s="153">
        <v>46174.0</v>
      </c>
      <c r="I1375" s="76">
        <f>IFERROR(__xludf.DUMMYFUNCTION("IF(ISBLANK(H1375), TODAY()-TO_DATE(G1375), TO_DATE(H1375)-TO_DATE(G1375))+1"),8.0)</f>
        <v>8</v>
      </c>
      <c r="J1375" s="76" t="s">
        <v>197</v>
      </c>
      <c r="K1375" s="69" t="s">
        <v>10578</v>
      </c>
      <c r="L1375" s="1008" t="s">
        <v>10266</v>
      </c>
      <c r="M1375" s="76"/>
      <c r="N1375" s="763"/>
      <c r="O1375" s="763"/>
      <c r="P1375" s="763"/>
      <c r="Q1375" s="763"/>
      <c r="R1375" s="763"/>
      <c r="S1375" s="763"/>
      <c r="T1375" s="763"/>
      <c r="U1375" s="763"/>
      <c r="V1375" s="763"/>
      <c r="W1375" s="763"/>
      <c r="X1375" s="763"/>
      <c r="Y1375" s="763"/>
      <c r="Z1375" s="763"/>
      <c r="AA1375" s="763"/>
      <c r="AB1375" s="763"/>
      <c r="AC1375" s="763"/>
      <c r="AD1375" s="763"/>
      <c r="AE1375" s="763"/>
      <c r="AF1375" s="763"/>
      <c r="AG1375" s="763"/>
    </row>
    <row r="1376">
      <c r="A1376" s="76" t="s">
        <v>1510</v>
      </c>
      <c r="B1376" s="27" t="s">
        <v>1187</v>
      </c>
      <c r="C1376" s="27"/>
      <c r="D1376" s="76"/>
      <c r="E1376" s="27" t="s">
        <v>8663</v>
      </c>
      <c r="F1376" s="27" t="s">
        <v>10580</v>
      </c>
      <c r="G1376" s="153">
        <v>46168.0</v>
      </c>
      <c r="H1376" s="153">
        <v>46197.0</v>
      </c>
      <c r="I1376" s="76">
        <f>IFERROR(__xludf.DUMMYFUNCTION("IF(ISBLANK(H1376), TODAY()-TO_DATE(G1376), TO_DATE(H1376)-TO_DATE(G1376))+1"),30.0)</f>
        <v>30</v>
      </c>
      <c r="J1376" s="76" t="s">
        <v>8926</v>
      </c>
      <c r="K1376" s="69" t="s">
        <v>10583</v>
      </c>
      <c r="L1376" s="47"/>
      <c r="M1376" s="76" t="s">
        <v>9226</v>
      </c>
      <c r="N1376" s="763"/>
      <c r="O1376" s="763"/>
      <c r="P1376" s="763"/>
      <c r="Q1376" s="763"/>
      <c r="R1376" s="763"/>
      <c r="S1376" s="763"/>
      <c r="T1376" s="763"/>
      <c r="U1376" s="763"/>
      <c r="V1376" s="763"/>
      <c r="W1376" s="763"/>
      <c r="X1376" s="763"/>
      <c r="Y1376" s="763"/>
      <c r="Z1376" s="763"/>
      <c r="AA1376" s="763"/>
      <c r="AB1376" s="763"/>
      <c r="AC1376" s="763"/>
      <c r="AD1376" s="763"/>
      <c r="AE1376" s="763"/>
      <c r="AF1376" s="763"/>
      <c r="AG1376" s="763"/>
    </row>
    <row r="1377">
      <c r="A1377" s="76" t="s">
        <v>9987</v>
      </c>
      <c r="B1377" s="27" t="s">
        <v>1187</v>
      </c>
      <c r="C1377" s="27"/>
      <c r="D1377" s="76"/>
      <c r="E1377" s="27" t="s">
        <v>10585</v>
      </c>
      <c r="F1377" s="27" t="s">
        <v>3269</v>
      </c>
      <c r="G1377" s="153">
        <v>46168.0</v>
      </c>
      <c r="H1377" s="153">
        <v>46196.0</v>
      </c>
      <c r="I1377" s="76">
        <f>IFERROR(__xludf.DUMMYFUNCTION("IF(ISBLANK(H1377), TODAY()-TO_DATE(G1377), TO_DATE(H1377)-TO_DATE(G1377))+1"),29.0)</f>
        <v>29</v>
      </c>
      <c r="J1377" s="76" t="s">
        <v>8926</v>
      </c>
      <c r="K1377" s="69" t="s">
        <v>10586</v>
      </c>
      <c r="L1377" s="47"/>
      <c r="M1377" s="76" t="s">
        <v>9226</v>
      </c>
      <c r="N1377" s="763"/>
      <c r="O1377" s="763"/>
      <c r="P1377" s="763"/>
      <c r="Q1377" s="763"/>
      <c r="R1377" s="763"/>
      <c r="S1377" s="763"/>
      <c r="T1377" s="763"/>
      <c r="U1377" s="763"/>
      <c r="V1377" s="763"/>
      <c r="W1377" s="763"/>
      <c r="X1377" s="763"/>
      <c r="Y1377" s="763"/>
      <c r="Z1377" s="763"/>
      <c r="AA1377" s="763"/>
      <c r="AB1377" s="763"/>
      <c r="AC1377" s="763"/>
      <c r="AD1377" s="763"/>
      <c r="AE1377" s="763"/>
      <c r="AF1377" s="763"/>
      <c r="AG1377" s="763"/>
    </row>
    <row r="1378">
      <c r="A1378" s="76" t="s">
        <v>1032</v>
      </c>
      <c r="B1378" s="27" t="s">
        <v>2194</v>
      </c>
      <c r="C1378" s="27"/>
      <c r="D1378" s="76"/>
      <c r="E1378" s="27" t="s">
        <v>1109</v>
      </c>
      <c r="F1378" s="27" t="s">
        <v>1111</v>
      </c>
      <c r="G1378" s="153">
        <v>46168.0</v>
      </c>
      <c r="H1378" s="153">
        <v>46215.0</v>
      </c>
      <c r="I1378" s="76">
        <f>IFERROR(__xludf.DUMMYFUNCTION("IF(ISBLANK(H1378), TODAY()-TO_DATE(G1378), TO_DATE(H1378)-TO_DATE(G1378))+1"),48.0)</f>
        <v>48</v>
      </c>
      <c r="J1378" s="76">
        <v>500.0</v>
      </c>
      <c r="K1378" s="69" t="s">
        <v>9716</v>
      </c>
      <c r="L1378" s="47" t="s">
        <v>10589</v>
      </c>
      <c r="M1378" s="76" t="s">
        <v>9226</v>
      </c>
      <c r="N1378" s="763"/>
      <c r="O1378" s="763"/>
      <c r="P1378" s="763"/>
      <c r="Q1378" s="763"/>
      <c r="R1378" s="763"/>
      <c r="S1378" s="763"/>
      <c r="T1378" s="763"/>
      <c r="U1378" s="763"/>
      <c r="V1378" s="763"/>
      <c r="W1378" s="763"/>
      <c r="X1378" s="763"/>
      <c r="Y1378" s="763"/>
      <c r="Z1378" s="763"/>
      <c r="AA1378" s="763"/>
      <c r="AB1378" s="763"/>
      <c r="AC1378" s="763"/>
      <c r="AD1378" s="763"/>
      <c r="AE1378" s="763"/>
      <c r="AF1378" s="763"/>
      <c r="AG1378" s="763"/>
    </row>
    <row r="1379">
      <c r="A1379" s="76" t="s">
        <v>1510</v>
      </c>
      <c r="B1379" s="27" t="s">
        <v>2194</v>
      </c>
      <c r="C1379" s="27"/>
      <c r="D1379" s="76"/>
      <c r="E1379" s="27" t="s">
        <v>2103</v>
      </c>
      <c r="F1379" s="27" t="s">
        <v>2104</v>
      </c>
      <c r="G1379" s="153">
        <v>46168.0</v>
      </c>
      <c r="H1379" s="153">
        <v>46213.0</v>
      </c>
      <c r="I1379" s="76">
        <f>IFERROR(__xludf.DUMMYFUNCTION("IF(ISBLANK(H1379), TODAY()-TO_DATE(G1379), TO_DATE(H1379)-TO_DATE(G1379))+1"),46.0)</f>
        <v>46</v>
      </c>
      <c r="J1379" s="76">
        <v>500.0</v>
      </c>
      <c r="K1379" s="999" t="s">
        <v>10592</v>
      </c>
      <c r="L1379" s="158" t="s">
        <v>10593</v>
      </c>
      <c r="M1379" s="76" t="s">
        <v>9226</v>
      </c>
      <c r="N1379" s="763"/>
      <c r="O1379" s="763"/>
      <c r="P1379" s="763"/>
      <c r="Q1379" s="763"/>
      <c r="R1379" s="763"/>
      <c r="S1379" s="763"/>
      <c r="T1379" s="763"/>
      <c r="U1379" s="763"/>
      <c r="V1379" s="763"/>
      <c r="W1379" s="763"/>
      <c r="X1379" s="763"/>
      <c r="Y1379" s="763"/>
      <c r="Z1379" s="763"/>
      <c r="AA1379" s="763"/>
      <c r="AB1379" s="763"/>
      <c r="AC1379" s="763"/>
      <c r="AD1379" s="763"/>
      <c r="AE1379" s="763"/>
      <c r="AF1379" s="763"/>
      <c r="AG1379" s="763"/>
    </row>
    <row r="1380">
      <c r="A1380" s="76" t="s">
        <v>2451</v>
      </c>
      <c r="B1380" s="27" t="s">
        <v>1187</v>
      </c>
      <c r="C1380" s="27"/>
      <c r="D1380" s="76"/>
      <c r="E1380" s="1004" t="s">
        <v>8514</v>
      </c>
      <c r="F1380" s="27" t="s">
        <v>8608</v>
      </c>
      <c r="G1380" s="153">
        <v>46168.0</v>
      </c>
      <c r="H1380" s="153">
        <v>46229.0</v>
      </c>
      <c r="I1380" s="76">
        <f>IFERROR(__xludf.DUMMYFUNCTION("IF(ISBLANK(H1380), TODAY()-TO_DATE(G1380), TO_DATE(H1380)-TO_DATE(G1380))+1"),62.0)</f>
        <v>62</v>
      </c>
      <c r="J1380" s="76" t="s">
        <v>197</v>
      </c>
      <c r="K1380" s="997" t="s">
        <v>10597</v>
      </c>
      <c r="L1380" s="1008" t="s">
        <v>10598</v>
      </c>
      <c r="M1380" s="76" t="s">
        <v>9226</v>
      </c>
      <c r="N1380" s="763"/>
      <c r="O1380" s="763"/>
      <c r="P1380" s="763"/>
      <c r="Q1380" s="763"/>
      <c r="R1380" s="763"/>
      <c r="S1380" s="763"/>
      <c r="T1380" s="763"/>
      <c r="U1380" s="763"/>
      <c r="V1380" s="763"/>
      <c r="W1380" s="763"/>
      <c r="X1380" s="763"/>
      <c r="Y1380" s="763"/>
      <c r="Z1380" s="763"/>
      <c r="AA1380" s="763"/>
      <c r="AB1380" s="763"/>
      <c r="AC1380" s="763"/>
      <c r="AD1380" s="763"/>
      <c r="AE1380" s="763"/>
      <c r="AF1380" s="763"/>
      <c r="AG1380" s="763"/>
    </row>
    <row r="1381">
      <c r="A1381" s="76" t="s">
        <v>1473</v>
      </c>
      <c r="B1381" s="27" t="s">
        <v>1187</v>
      </c>
      <c r="C1381" s="27"/>
      <c r="D1381" s="76"/>
      <c r="E1381" s="1004" t="s">
        <v>2815</v>
      </c>
      <c r="F1381" s="27" t="s">
        <v>2816</v>
      </c>
      <c r="G1381" s="153">
        <v>46168.0</v>
      </c>
      <c r="H1381" s="153">
        <v>46229.0</v>
      </c>
      <c r="I1381" s="76">
        <f>IFERROR(__xludf.DUMMYFUNCTION("IF(ISBLANK(H1381), TODAY()-TO_DATE(G1381), TO_DATE(H1381)-TO_DATE(G1381))+1"),62.0)</f>
        <v>62</v>
      </c>
      <c r="J1381" s="76" t="s">
        <v>197</v>
      </c>
      <c r="K1381" s="997" t="s">
        <v>10147</v>
      </c>
      <c r="L1381" s="47"/>
      <c r="M1381" s="76" t="s">
        <v>9226</v>
      </c>
      <c r="N1381" s="763"/>
      <c r="O1381" s="763"/>
      <c r="P1381" s="763"/>
      <c r="Q1381" s="763"/>
      <c r="R1381" s="763"/>
      <c r="S1381" s="763"/>
      <c r="T1381" s="763"/>
      <c r="U1381" s="763"/>
      <c r="V1381" s="763"/>
      <c r="W1381" s="763"/>
      <c r="X1381" s="763"/>
      <c r="Y1381" s="763"/>
      <c r="Z1381" s="763"/>
      <c r="AA1381" s="763"/>
      <c r="AB1381" s="763"/>
      <c r="AC1381" s="763"/>
      <c r="AD1381" s="763"/>
      <c r="AE1381" s="763"/>
      <c r="AF1381" s="763"/>
      <c r="AG1381" s="763"/>
    </row>
    <row r="1382">
      <c r="A1382" s="76" t="s">
        <v>9987</v>
      </c>
      <c r="B1382" s="27" t="s">
        <v>1187</v>
      </c>
      <c r="C1382" s="27"/>
      <c r="D1382" s="76"/>
      <c r="E1382" s="27" t="s">
        <v>10603</v>
      </c>
      <c r="F1382" s="27" t="s">
        <v>2847</v>
      </c>
      <c r="G1382" s="153">
        <v>46174.0</v>
      </c>
      <c r="H1382" s="153">
        <v>46213.0</v>
      </c>
      <c r="I1382" s="76">
        <f>IFERROR(__xludf.DUMMYFUNCTION("IF(ISBLANK(H1382), TODAY()-TO_DATE(G1382), TO_DATE(H1382)-TO_DATE(G1382))+1"),40.0)</f>
        <v>40</v>
      </c>
      <c r="J1382" s="76">
        <v>500.0</v>
      </c>
      <c r="K1382" s="999" t="s">
        <v>10606</v>
      </c>
      <c r="L1382" s="158" t="s">
        <v>10607</v>
      </c>
      <c r="M1382" s="76" t="s">
        <v>9226</v>
      </c>
      <c r="N1382" s="153">
        <v>46168.0</v>
      </c>
      <c r="O1382" s="763"/>
      <c r="P1382" s="763"/>
      <c r="Q1382" s="763"/>
      <c r="R1382" s="763"/>
      <c r="S1382" s="763"/>
      <c r="T1382" s="763"/>
      <c r="U1382" s="763"/>
      <c r="V1382" s="763"/>
      <c r="W1382" s="763"/>
      <c r="X1382" s="763"/>
      <c r="Y1382" s="763"/>
      <c r="Z1382" s="763"/>
      <c r="AA1382" s="763"/>
      <c r="AB1382" s="763"/>
      <c r="AC1382" s="763"/>
      <c r="AD1382" s="763"/>
      <c r="AE1382" s="763"/>
      <c r="AF1382" s="763"/>
      <c r="AG1382" s="763"/>
    </row>
    <row r="1383">
      <c r="A1383" s="76" t="s">
        <v>9987</v>
      </c>
      <c r="B1383" s="27" t="s">
        <v>1187</v>
      </c>
      <c r="C1383" s="27"/>
      <c r="D1383" s="76"/>
      <c r="E1383" s="27" t="s">
        <v>10609</v>
      </c>
      <c r="F1383" s="27" t="s">
        <v>6301</v>
      </c>
      <c r="G1383" s="153">
        <v>46174.0</v>
      </c>
      <c r="H1383" s="153">
        <v>46213.0</v>
      </c>
      <c r="I1383" s="76">
        <f>IFERROR(__xludf.DUMMYFUNCTION("IF(ISBLANK(H1383), TODAY()-TO_DATE(G1383), TO_DATE(H1383)-TO_DATE(G1383))+1"),40.0)</f>
        <v>40</v>
      </c>
      <c r="J1383" s="76">
        <v>500.0</v>
      </c>
      <c r="K1383" s="999" t="s">
        <v>10611</v>
      </c>
      <c r="L1383" s="47"/>
      <c r="M1383" s="76"/>
      <c r="N1383" s="153">
        <v>46168.0</v>
      </c>
      <c r="O1383" s="763"/>
      <c r="P1383" s="763"/>
      <c r="Q1383" s="763"/>
      <c r="R1383" s="763"/>
      <c r="S1383" s="763"/>
      <c r="T1383" s="763"/>
      <c r="U1383" s="763"/>
      <c r="V1383" s="763"/>
      <c r="W1383" s="763"/>
      <c r="X1383" s="763"/>
      <c r="Y1383" s="763"/>
      <c r="Z1383" s="763"/>
      <c r="AA1383" s="763"/>
      <c r="AB1383" s="763"/>
      <c r="AC1383" s="763"/>
      <c r="AD1383" s="763"/>
      <c r="AE1383" s="763"/>
      <c r="AF1383" s="763"/>
      <c r="AG1383" s="763"/>
    </row>
    <row r="1384">
      <c r="A1384" s="76" t="s">
        <v>2451</v>
      </c>
      <c r="B1384" s="27" t="s">
        <v>1187</v>
      </c>
      <c r="C1384" s="27"/>
      <c r="D1384" s="76"/>
      <c r="E1384" s="1005" t="s">
        <v>10612</v>
      </c>
      <c r="F1384" s="27" t="s">
        <v>10613</v>
      </c>
      <c r="G1384" s="153">
        <v>46185.0</v>
      </c>
      <c r="H1384" s="153">
        <v>46214.0</v>
      </c>
      <c r="I1384" s="76">
        <f>IFERROR(__xludf.DUMMYFUNCTION("IF(ISBLANK(H1384), TODAY()-TO_DATE(G1384), TO_DATE(H1384)-TO_DATE(G1384))+1"),30.0)</f>
        <v>30</v>
      </c>
      <c r="J1384" s="76">
        <v>500.0</v>
      </c>
      <c r="K1384" s="999" t="s">
        <v>10614</v>
      </c>
      <c r="L1384" s="158" t="s">
        <v>9174</v>
      </c>
      <c r="M1384" s="76"/>
      <c r="N1384" s="153">
        <v>46169.0</v>
      </c>
      <c r="O1384" s="763"/>
      <c r="P1384" s="763"/>
      <c r="Q1384" s="763"/>
      <c r="R1384" s="763"/>
      <c r="S1384" s="763"/>
      <c r="T1384" s="763"/>
      <c r="U1384" s="763"/>
      <c r="V1384" s="763"/>
      <c r="W1384" s="763"/>
      <c r="X1384" s="763"/>
      <c r="Y1384" s="763"/>
      <c r="Z1384" s="763"/>
      <c r="AA1384" s="763"/>
      <c r="AB1384" s="763"/>
      <c r="AC1384" s="763"/>
      <c r="AD1384" s="763"/>
      <c r="AE1384" s="763"/>
      <c r="AF1384" s="763"/>
      <c r="AG1384" s="763"/>
    </row>
    <row r="1385">
      <c r="A1385" s="76" t="s">
        <v>1448</v>
      </c>
      <c r="B1385" s="27" t="s">
        <v>1187</v>
      </c>
      <c r="C1385" s="27"/>
      <c r="D1385" s="76"/>
      <c r="E1385" s="27" t="s">
        <v>10618</v>
      </c>
      <c r="F1385" s="27" t="s">
        <v>10619</v>
      </c>
      <c r="G1385" s="153">
        <v>46169.0</v>
      </c>
      <c r="H1385" s="153">
        <v>46193.0</v>
      </c>
      <c r="I1385" s="76">
        <f>IFERROR(__xludf.DUMMYFUNCTION("IF(ISBLANK(H1385), TODAY()-TO_DATE(G1385), TO_DATE(H1385)-TO_DATE(G1385))+1"),25.0)</f>
        <v>25</v>
      </c>
      <c r="J1385" s="76" t="s">
        <v>197</v>
      </c>
      <c r="K1385" s="999" t="s">
        <v>10620</v>
      </c>
      <c r="L1385" s="47"/>
      <c r="M1385" s="76"/>
      <c r="N1385" s="763"/>
      <c r="O1385" s="763"/>
      <c r="P1385" s="763"/>
      <c r="Q1385" s="763"/>
      <c r="R1385" s="763"/>
      <c r="S1385" s="763"/>
      <c r="T1385" s="763"/>
      <c r="U1385" s="763"/>
      <c r="V1385" s="763"/>
      <c r="W1385" s="763"/>
      <c r="X1385" s="763"/>
      <c r="Y1385" s="763"/>
      <c r="Z1385" s="763"/>
      <c r="AA1385" s="763"/>
      <c r="AB1385" s="763"/>
      <c r="AC1385" s="763"/>
      <c r="AD1385" s="763"/>
      <c r="AE1385" s="763"/>
      <c r="AF1385" s="763"/>
      <c r="AG1385" s="763"/>
    </row>
    <row r="1386">
      <c r="A1386" s="76" t="s">
        <v>9359</v>
      </c>
      <c r="B1386" s="27" t="s">
        <v>1187</v>
      </c>
      <c r="C1386" s="27"/>
      <c r="D1386" s="76"/>
      <c r="E1386" s="1005" t="s">
        <v>8613</v>
      </c>
      <c r="F1386" s="27" t="s">
        <v>10621</v>
      </c>
      <c r="G1386" s="153">
        <v>46185.0</v>
      </c>
      <c r="H1386" s="153">
        <v>46214.0</v>
      </c>
      <c r="I1386" s="76">
        <f>IFERROR(__xludf.DUMMYFUNCTION("IF(ISBLANK(H1386), TODAY()-TO_DATE(G1386), TO_DATE(H1386)-TO_DATE(G1386))+1"),30.0)</f>
        <v>30</v>
      </c>
      <c r="J1386" s="76">
        <v>500.0</v>
      </c>
      <c r="K1386" s="999" t="s">
        <v>10622</v>
      </c>
      <c r="L1386" s="158" t="s">
        <v>10623</v>
      </c>
      <c r="M1386" s="76"/>
      <c r="N1386" s="153">
        <v>46169.0</v>
      </c>
      <c r="O1386" s="763"/>
      <c r="P1386" s="763"/>
      <c r="Q1386" s="763"/>
      <c r="R1386" s="763"/>
      <c r="S1386" s="763"/>
      <c r="T1386" s="763"/>
      <c r="U1386" s="763"/>
      <c r="V1386" s="763"/>
      <c r="W1386" s="763"/>
      <c r="X1386" s="763"/>
      <c r="Y1386" s="763"/>
      <c r="Z1386" s="763"/>
      <c r="AA1386" s="763"/>
      <c r="AB1386" s="763"/>
      <c r="AC1386" s="763"/>
      <c r="AD1386" s="763"/>
      <c r="AE1386" s="763"/>
      <c r="AF1386" s="763"/>
      <c r="AG1386" s="763"/>
    </row>
    <row r="1387">
      <c r="A1387" s="76" t="s">
        <v>9987</v>
      </c>
      <c r="B1387" s="27" t="s">
        <v>1187</v>
      </c>
      <c r="C1387" s="27"/>
      <c r="D1387" s="76"/>
      <c r="E1387" s="27" t="s">
        <v>10626</v>
      </c>
      <c r="F1387" s="27" t="s">
        <v>989</v>
      </c>
      <c r="G1387" s="153">
        <v>46169.0</v>
      </c>
      <c r="H1387" s="153">
        <v>46210.0</v>
      </c>
      <c r="I1387" s="76">
        <f>IFERROR(__xludf.DUMMYFUNCTION("IF(ISBLANK(H1387), TODAY()-TO_DATE(G1387), TO_DATE(H1387)-TO_DATE(G1387))+1"),42.0)</f>
        <v>42</v>
      </c>
      <c r="J1387" s="76" t="s">
        <v>8926</v>
      </c>
      <c r="K1387" s="69" t="s">
        <v>10628</v>
      </c>
      <c r="L1387" s="47"/>
      <c r="M1387" s="76"/>
      <c r="N1387" s="763"/>
      <c r="O1387" s="763"/>
      <c r="P1387" s="763"/>
      <c r="Q1387" s="763"/>
      <c r="R1387" s="763"/>
      <c r="S1387" s="763"/>
      <c r="T1387" s="763"/>
      <c r="U1387" s="763"/>
      <c r="V1387" s="763"/>
      <c r="W1387" s="763"/>
      <c r="X1387" s="763"/>
      <c r="Y1387" s="763"/>
      <c r="Z1387" s="763"/>
      <c r="AA1387" s="763"/>
      <c r="AB1387" s="763"/>
      <c r="AC1387" s="763"/>
      <c r="AD1387" s="763"/>
      <c r="AE1387" s="763"/>
      <c r="AF1387" s="763"/>
      <c r="AG1387" s="763"/>
    </row>
    <row r="1388">
      <c r="A1388" s="76" t="s">
        <v>9987</v>
      </c>
      <c r="B1388" s="27" t="s">
        <v>1187</v>
      </c>
      <c r="C1388" s="27"/>
      <c r="D1388" s="76"/>
      <c r="E1388" s="1005" t="s">
        <v>10631</v>
      </c>
      <c r="F1388" s="27" t="s">
        <v>10632</v>
      </c>
      <c r="G1388" s="153">
        <v>46185.0</v>
      </c>
      <c r="H1388" s="153">
        <v>46214.0</v>
      </c>
      <c r="I1388" s="76">
        <f>IFERROR(__xludf.DUMMYFUNCTION("IF(ISBLANK(H1388), TODAY()-TO_DATE(G1388), TO_DATE(H1388)-TO_DATE(G1388))+1"),30.0)</f>
        <v>30</v>
      </c>
      <c r="J1388" s="76">
        <v>500.0</v>
      </c>
      <c r="K1388" s="999" t="s">
        <v>10633</v>
      </c>
      <c r="L1388" s="47"/>
      <c r="M1388" s="76"/>
      <c r="N1388" s="153">
        <v>46169.0</v>
      </c>
      <c r="O1388" s="763"/>
      <c r="P1388" s="763"/>
      <c r="Q1388" s="763"/>
      <c r="R1388" s="763"/>
      <c r="S1388" s="763"/>
      <c r="T1388" s="763"/>
      <c r="U1388" s="763"/>
      <c r="V1388" s="763"/>
      <c r="W1388" s="763"/>
      <c r="X1388" s="763"/>
      <c r="Y1388" s="763"/>
      <c r="Z1388" s="763"/>
      <c r="AA1388" s="763"/>
      <c r="AB1388" s="763"/>
      <c r="AC1388" s="763"/>
      <c r="AD1388" s="763"/>
      <c r="AE1388" s="763"/>
      <c r="AF1388" s="763"/>
      <c r="AG1388" s="763"/>
    </row>
    <row r="1389">
      <c r="A1389" s="76" t="s">
        <v>9987</v>
      </c>
      <c r="B1389" s="27" t="s">
        <v>1187</v>
      </c>
      <c r="C1389" s="27"/>
      <c r="D1389" s="76"/>
      <c r="E1389" s="27" t="s">
        <v>10637</v>
      </c>
      <c r="F1389" s="27" t="s">
        <v>10638</v>
      </c>
      <c r="G1389" s="153">
        <v>46174.0</v>
      </c>
      <c r="H1389" s="153">
        <v>46219.0</v>
      </c>
      <c r="I1389" s="76">
        <f>IFERROR(__xludf.DUMMYFUNCTION("IF(ISBLANK(H1389), TODAY()-TO_DATE(G1389), TO_DATE(H1389)-TO_DATE(G1389))+1"),46.0)</f>
        <v>46</v>
      </c>
      <c r="J1389" s="76">
        <v>500.0</v>
      </c>
      <c r="K1389" s="999" t="s">
        <v>10640</v>
      </c>
      <c r="L1389" s="158" t="s">
        <v>8871</v>
      </c>
      <c r="M1389" s="76"/>
      <c r="N1389" s="153">
        <v>46169.0</v>
      </c>
      <c r="O1389" s="763"/>
      <c r="P1389" s="763"/>
      <c r="Q1389" s="763"/>
      <c r="R1389" s="763"/>
      <c r="S1389" s="763"/>
      <c r="T1389" s="763"/>
      <c r="U1389" s="763"/>
      <c r="V1389" s="763"/>
      <c r="W1389" s="763"/>
      <c r="X1389" s="763"/>
      <c r="Y1389" s="763"/>
      <c r="Z1389" s="763"/>
      <c r="AA1389" s="763"/>
      <c r="AB1389" s="763"/>
      <c r="AC1389" s="763"/>
      <c r="AD1389" s="763"/>
      <c r="AE1389" s="763"/>
      <c r="AF1389" s="763"/>
      <c r="AG1389" s="763"/>
    </row>
    <row r="1390">
      <c r="A1390" s="76" t="s">
        <v>2451</v>
      </c>
      <c r="B1390" s="27" t="s">
        <v>2194</v>
      </c>
      <c r="C1390" s="27"/>
      <c r="D1390" s="76"/>
      <c r="E1390" s="27" t="s">
        <v>8159</v>
      </c>
      <c r="F1390" s="27" t="s">
        <v>891</v>
      </c>
      <c r="G1390" s="153">
        <v>46171.0</v>
      </c>
      <c r="H1390" s="153">
        <v>46203.0</v>
      </c>
      <c r="I1390" s="76">
        <f>IFERROR(__xludf.DUMMYFUNCTION("IF(ISBLANK(H1390), TODAY()-TO_DATE(G1390), TO_DATE(H1390)-TO_DATE(G1390))+1"),33.0)</f>
        <v>33</v>
      </c>
      <c r="J1390" s="76">
        <v>300.0</v>
      </c>
      <c r="K1390" s="69" t="s">
        <v>10643</v>
      </c>
      <c r="L1390" s="1008" t="s">
        <v>9322</v>
      </c>
      <c r="M1390" s="76"/>
      <c r="N1390" s="763"/>
      <c r="O1390" s="763"/>
      <c r="P1390" s="763"/>
      <c r="Q1390" s="763"/>
      <c r="R1390" s="763"/>
      <c r="S1390" s="763"/>
      <c r="T1390" s="763"/>
      <c r="U1390" s="763"/>
      <c r="V1390" s="763"/>
      <c r="W1390" s="763"/>
      <c r="X1390" s="763"/>
      <c r="Y1390" s="763"/>
      <c r="Z1390" s="763"/>
      <c r="AA1390" s="763"/>
      <c r="AB1390" s="763"/>
      <c r="AC1390" s="763"/>
      <c r="AD1390" s="763"/>
      <c r="AE1390" s="763"/>
      <c r="AF1390" s="763"/>
      <c r="AG1390" s="763"/>
    </row>
    <row r="1391">
      <c r="A1391" s="76" t="s">
        <v>1032</v>
      </c>
      <c r="B1391" s="27" t="s">
        <v>2194</v>
      </c>
      <c r="C1391" s="27"/>
      <c r="D1391" s="76"/>
      <c r="E1391" s="27" t="s">
        <v>5921</v>
      </c>
      <c r="F1391" s="27" t="s">
        <v>5923</v>
      </c>
      <c r="G1391" s="153">
        <v>46171.0</v>
      </c>
      <c r="H1391" s="153">
        <v>46203.0</v>
      </c>
      <c r="I1391" s="76">
        <f>IFERROR(__xludf.DUMMYFUNCTION("IF(ISBLANK(H1391), TODAY()-TO_DATE(G1391), TO_DATE(H1391)-TO_DATE(G1391))+1"),33.0)</f>
        <v>33</v>
      </c>
      <c r="J1391" s="76" t="s">
        <v>197</v>
      </c>
      <c r="K1391" s="69" t="s">
        <v>10644</v>
      </c>
      <c r="L1391" s="47"/>
      <c r="M1391" s="76"/>
      <c r="N1391" s="763"/>
      <c r="O1391" s="763"/>
      <c r="P1391" s="763"/>
      <c r="Q1391" s="763"/>
      <c r="R1391" s="763"/>
      <c r="S1391" s="763"/>
      <c r="T1391" s="763"/>
      <c r="U1391" s="763"/>
      <c r="V1391" s="763"/>
      <c r="W1391" s="763"/>
      <c r="X1391" s="763"/>
      <c r="Y1391" s="763"/>
      <c r="Z1391" s="763"/>
      <c r="AA1391" s="763"/>
      <c r="AB1391" s="763"/>
      <c r="AC1391" s="763"/>
      <c r="AD1391" s="763"/>
      <c r="AE1391" s="763"/>
      <c r="AF1391" s="763"/>
      <c r="AG1391" s="763"/>
    </row>
    <row r="1392">
      <c r="A1392" s="76" t="s">
        <v>1448</v>
      </c>
      <c r="B1392" s="27" t="s">
        <v>2194</v>
      </c>
      <c r="C1392" s="27"/>
      <c r="D1392" s="76"/>
      <c r="E1392" s="27" t="s">
        <v>10650</v>
      </c>
      <c r="F1392" s="27" t="s">
        <v>10651</v>
      </c>
      <c r="G1392" s="153">
        <v>46185.0</v>
      </c>
      <c r="H1392" s="153">
        <v>46188.0</v>
      </c>
      <c r="I1392" s="76">
        <f>IFERROR(__xludf.DUMMYFUNCTION("IF(ISBLANK(H1392), TODAY()-TO_DATE(G1392), TO_DATE(H1392)-TO_DATE(G1392))+1"),4.0)</f>
        <v>4</v>
      </c>
      <c r="J1392" s="76">
        <v>500.0</v>
      </c>
      <c r="K1392" s="69" t="s">
        <v>10652</v>
      </c>
      <c r="L1392" s="47"/>
      <c r="M1392" s="76"/>
      <c r="N1392" s="153">
        <v>46171.0</v>
      </c>
      <c r="O1392" s="763"/>
      <c r="P1392" s="763"/>
      <c r="Q1392" s="763"/>
      <c r="R1392" s="763"/>
      <c r="S1392" s="763"/>
      <c r="T1392" s="763"/>
      <c r="U1392" s="763"/>
      <c r="V1392" s="763"/>
      <c r="W1392" s="763"/>
      <c r="X1392" s="763"/>
      <c r="Y1392" s="763"/>
      <c r="Z1392" s="763"/>
      <c r="AA1392" s="763"/>
      <c r="AB1392" s="763"/>
      <c r="AC1392" s="763"/>
      <c r="AD1392" s="763"/>
      <c r="AE1392" s="763"/>
      <c r="AF1392" s="763"/>
      <c r="AG1392" s="763"/>
    </row>
    <row r="1393">
      <c r="A1393" s="76" t="s">
        <v>9987</v>
      </c>
      <c r="B1393" s="27" t="s">
        <v>2194</v>
      </c>
      <c r="C1393" s="27"/>
      <c r="D1393" s="76"/>
      <c r="E1393" s="27" t="s">
        <v>10653</v>
      </c>
      <c r="F1393" s="27" t="s">
        <v>10654</v>
      </c>
      <c r="G1393" s="153">
        <v>46171.0</v>
      </c>
      <c r="H1393" s="153">
        <v>46203.0</v>
      </c>
      <c r="I1393" s="76">
        <f>IFERROR(__xludf.DUMMYFUNCTION("IF(ISBLANK(H1393), TODAY()-TO_DATE(G1393), TO_DATE(H1393)-TO_DATE(G1393))+1"),33.0)</f>
        <v>33</v>
      </c>
      <c r="J1393" s="76" t="s">
        <v>197</v>
      </c>
      <c r="K1393" s="69" t="s">
        <v>10657</v>
      </c>
      <c r="L1393" s="968" t="s">
        <v>9825</v>
      </c>
      <c r="M1393" s="76" t="s">
        <v>9226</v>
      </c>
      <c r="N1393" s="763"/>
      <c r="O1393" s="763"/>
      <c r="P1393" s="763"/>
      <c r="Q1393" s="763"/>
      <c r="R1393" s="763"/>
      <c r="S1393" s="763"/>
      <c r="T1393" s="763"/>
      <c r="U1393" s="763"/>
      <c r="V1393" s="763"/>
      <c r="W1393" s="763"/>
      <c r="X1393" s="763"/>
      <c r="Y1393" s="763"/>
      <c r="Z1393" s="763"/>
      <c r="AA1393" s="763"/>
      <c r="AB1393" s="763"/>
      <c r="AC1393" s="763"/>
      <c r="AD1393" s="763"/>
      <c r="AE1393" s="763"/>
      <c r="AF1393" s="763"/>
      <c r="AG1393" s="763"/>
    </row>
    <row r="1394">
      <c r="A1394" s="76" t="s">
        <v>1032</v>
      </c>
      <c r="B1394" s="27" t="s">
        <v>1187</v>
      </c>
      <c r="C1394" s="27"/>
      <c r="D1394" s="76"/>
      <c r="E1394" s="27" t="s">
        <v>8405</v>
      </c>
      <c r="F1394" s="27" t="s">
        <v>10659</v>
      </c>
      <c r="G1394" s="153">
        <v>46171.0</v>
      </c>
      <c r="H1394" s="153">
        <v>46189.0</v>
      </c>
      <c r="I1394" s="76">
        <f>IFERROR(__xludf.DUMMYFUNCTION("IF(ISBLANK(H1394), TODAY()-TO_DATE(G1394), TO_DATE(H1394)-TO_DATE(G1394))+1"),19.0)</f>
        <v>19</v>
      </c>
      <c r="J1394" s="76" t="s">
        <v>197</v>
      </c>
      <c r="K1394" s="69" t="s">
        <v>10662</v>
      </c>
      <c r="L1394" s="47"/>
      <c r="M1394" s="76"/>
      <c r="N1394" s="763"/>
      <c r="O1394" s="763"/>
      <c r="P1394" s="763"/>
      <c r="Q1394" s="763"/>
      <c r="R1394" s="763"/>
      <c r="S1394" s="763"/>
      <c r="T1394" s="763"/>
      <c r="U1394" s="763"/>
      <c r="V1394" s="763"/>
      <c r="W1394" s="763"/>
      <c r="X1394" s="763"/>
      <c r="Y1394" s="763"/>
      <c r="Z1394" s="763"/>
      <c r="AA1394" s="763"/>
      <c r="AB1394" s="763"/>
      <c r="AC1394" s="763"/>
      <c r="AD1394" s="763"/>
      <c r="AE1394" s="763"/>
      <c r="AF1394" s="763"/>
      <c r="AG1394" s="763"/>
    </row>
    <row r="1395">
      <c r="A1395" s="76" t="s">
        <v>1448</v>
      </c>
      <c r="B1395" s="27" t="s">
        <v>1187</v>
      </c>
      <c r="C1395" s="27"/>
      <c r="D1395" s="76"/>
      <c r="E1395" s="27" t="s">
        <v>10663</v>
      </c>
      <c r="F1395" s="27" t="s">
        <v>10664</v>
      </c>
      <c r="G1395" s="153">
        <v>46185.0</v>
      </c>
      <c r="H1395" s="153">
        <v>46245.0</v>
      </c>
      <c r="I1395" s="76">
        <f>IFERROR(__xludf.DUMMYFUNCTION("IF(ISBLANK(H1395), TODAY()-TO_DATE(G1395), TO_DATE(H1395)-TO_DATE(G1395))+1"),61.0)</f>
        <v>61</v>
      </c>
      <c r="J1395" s="76">
        <v>500.0</v>
      </c>
      <c r="K1395" s="69" t="s">
        <v>10666</v>
      </c>
      <c r="L1395" s="1008" t="s">
        <v>10667</v>
      </c>
      <c r="M1395" s="76"/>
      <c r="N1395" s="153">
        <v>46171.0</v>
      </c>
      <c r="O1395" s="763"/>
      <c r="P1395" s="763"/>
      <c r="Q1395" s="763"/>
      <c r="R1395" s="763"/>
      <c r="S1395" s="763"/>
      <c r="T1395" s="763"/>
      <c r="U1395" s="763"/>
      <c r="V1395" s="763"/>
      <c r="W1395" s="763"/>
      <c r="X1395" s="763"/>
      <c r="Y1395" s="763"/>
      <c r="Z1395" s="763"/>
      <c r="AA1395" s="763"/>
      <c r="AB1395" s="763"/>
      <c r="AC1395" s="763"/>
      <c r="AD1395" s="763"/>
      <c r="AE1395" s="763"/>
      <c r="AF1395" s="763"/>
      <c r="AG1395" s="763"/>
    </row>
    <row r="1396">
      <c r="A1396" s="76" t="s">
        <v>1448</v>
      </c>
      <c r="B1396" s="27" t="s">
        <v>1187</v>
      </c>
      <c r="C1396" s="27"/>
      <c r="D1396" s="76"/>
      <c r="E1396" s="27" t="s">
        <v>9948</v>
      </c>
      <c r="F1396" s="27" t="s">
        <v>9950</v>
      </c>
      <c r="G1396" s="153">
        <v>46185.0</v>
      </c>
      <c r="H1396" s="76" t="s">
        <v>10671</v>
      </c>
      <c r="I1396" s="76" t="str">
        <f>IFERROR(__xludf.DUMMYFUNCTION("IF(ISBLANK(H1396), TODAY()-TO_DATE(G1396), TO_DATE(H1396)-TO_DATE(G1396))+1"),"#VALUE!")</f>
        <v>#VALUE!</v>
      </c>
      <c r="J1396" s="76" t="s">
        <v>10673</v>
      </c>
      <c r="K1396" s="999" t="s">
        <v>10674</v>
      </c>
      <c r="L1396" s="47"/>
      <c r="M1396" s="76" t="s">
        <v>9226</v>
      </c>
      <c r="N1396" s="153">
        <v>46171.0</v>
      </c>
      <c r="O1396" s="763"/>
      <c r="P1396" s="763"/>
      <c r="Q1396" s="763"/>
      <c r="R1396" s="763"/>
      <c r="S1396" s="763"/>
      <c r="T1396" s="763"/>
      <c r="U1396" s="763"/>
      <c r="V1396" s="763"/>
      <c r="W1396" s="763"/>
      <c r="X1396" s="763"/>
      <c r="Y1396" s="763"/>
      <c r="Z1396" s="763"/>
      <c r="AA1396" s="763"/>
      <c r="AB1396" s="763"/>
      <c r="AC1396" s="763"/>
      <c r="AD1396" s="763"/>
      <c r="AE1396" s="763"/>
      <c r="AF1396" s="763"/>
      <c r="AG1396" s="763"/>
    </row>
    <row r="1397">
      <c r="A1397" s="76" t="s">
        <v>1448</v>
      </c>
      <c r="B1397" s="27" t="s">
        <v>1187</v>
      </c>
      <c r="C1397" s="27"/>
      <c r="D1397" s="76"/>
      <c r="E1397" s="27" t="s">
        <v>10677</v>
      </c>
      <c r="F1397" s="27" t="s">
        <v>10678</v>
      </c>
      <c r="G1397" s="153">
        <v>46185.0</v>
      </c>
      <c r="H1397" s="153">
        <v>46213.0</v>
      </c>
      <c r="I1397" s="76">
        <f>IFERROR(__xludf.DUMMYFUNCTION("IF(ISBLANK(H1397), TODAY()-TO_DATE(G1397), TO_DATE(H1397)-TO_DATE(G1397))+1"),29.0)</f>
        <v>29</v>
      </c>
      <c r="J1397" s="76">
        <v>500.0</v>
      </c>
      <c r="K1397" s="999" t="s">
        <v>10680</v>
      </c>
      <c r="L1397" s="47"/>
      <c r="M1397" s="76"/>
      <c r="N1397" s="153">
        <v>46171.0</v>
      </c>
      <c r="O1397" s="763"/>
      <c r="P1397" s="763"/>
      <c r="Q1397" s="763"/>
      <c r="R1397" s="763"/>
      <c r="S1397" s="763"/>
      <c r="T1397" s="763"/>
      <c r="U1397" s="763"/>
      <c r="V1397" s="763"/>
      <c r="W1397" s="763"/>
      <c r="X1397" s="763"/>
      <c r="Y1397" s="763"/>
      <c r="Z1397" s="763"/>
      <c r="AA1397" s="763"/>
      <c r="AB1397" s="763"/>
      <c r="AC1397" s="763"/>
      <c r="AD1397" s="763"/>
      <c r="AE1397" s="763"/>
      <c r="AF1397" s="763"/>
      <c r="AG1397" s="763"/>
    </row>
    <row r="1398">
      <c r="A1398" s="76" t="s">
        <v>8997</v>
      </c>
      <c r="B1398" s="27" t="s">
        <v>1187</v>
      </c>
      <c r="C1398" s="27"/>
      <c r="D1398" s="76"/>
      <c r="E1398" s="27" t="s">
        <v>9600</v>
      </c>
      <c r="F1398" s="27" t="s">
        <v>9601</v>
      </c>
      <c r="G1398" s="153">
        <v>46171.0</v>
      </c>
      <c r="H1398" s="153">
        <v>46189.0</v>
      </c>
      <c r="I1398" s="76">
        <f>IFERROR(__xludf.DUMMYFUNCTION("IF(ISBLANK(H1398), TODAY()-TO_DATE(G1398), TO_DATE(H1398)-TO_DATE(G1398))+1"),19.0)</f>
        <v>19</v>
      </c>
      <c r="J1398" s="76" t="s">
        <v>197</v>
      </c>
      <c r="K1398" s="999" t="s">
        <v>10684</v>
      </c>
      <c r="L1398" s="158" t="s">
        <v>9793</v>
      </c>
      <c r="M1398" s="76" t="s">
        <v>9226</v>
      </c>
      <c r="N1398" s="763"/>
      <c r="O1398" s="763"/>
      <c r="P1398" s="763"/>
      <c r="Q1398" s="763"/>
      <c r="R1398" s="763"/>
      <c r="S1398" s="763"/>
      <c r="T1398" s="763"/>
      <c r="U1398" s="763"/>
      <c r="V1398" s="763"/>
      <c r="W1398" s="763"/>
      <c r="X1398" s="763"/>
      <c r="Y1398" s="763"/>
      <c r="Z1398" s="763"/>
      <c r="AA1398" s="763"/>
      <c r="AB1398" s="763"/>
      <c r="AC1398" s="763"/>
      <c r="AD1398" s="763"/>
      <c r="AE1398" s="763"/>
      <c r="AF1398" s="763"/>
      <c r="AG1398" s="763"/>
    </row>
    <row r="1399">
      <c r="A1399" s="76" t="s">
        <v>2515</v>
      </c>
      <c r="B1399" s="27" t="s">
        <v>1187</v>
      </c>
      <c r="C1399" s="27"/>
      <c r="D1399" s="76"/>
      <c r="E1399" s="27" t="s">
        <v>2337</v>
      </c>
      <c r="F1399" s="27" t="s">
        <v>2338</v>
      </c>
      <c r="G1399" s="153">
        <v>46171.0</v>
      </c>
      <c r="H1399" s="153">
        <v>46213.0</v>
      </c>
      <c r="I1399" s="76">
        <f>IFERROR(__xludf.DUMMYFUNCTION("IF(ISBLANK(H1399), TODAY()-TO_DATE(G1399), TO_DATE(H1399)-TO_DATE(G1399))+1"),43.0)</f>
        <v>43</v>
      </c>
      <c r="J1399" s="76">
        <v>500.0</v>
      </c>
      <c r="K1399" s="999" t="s">
        <v>10689</v>
      </c>
      <c r="L1399" s="158" t="s">
        <v>9403</v>
      </c>
      <c r="M1399" s="76"/>
      <c r="N1399" s="763"/>
      <c r="O1399" s="763"/>
      <c r="P1399" s="763"/>
      <c r="Q1399" s="763"/>
      <c r="R1399" s="763"/>
      <c r="S1399" s="763"/>
      <c r="T1399" s="763"/>
      <c r="U1399" s="763"/>
      <c r="V1399" s="763"/>
      <c r="W1399" s="763"/>
      <c r="X1399" s="763"/>
      <c r="Y1399" s="763"/>
      <c r="Z1399" s="763"/>
      <c r="AA1399" s="763"/>
      <c r="AB1399" s="763"/>
      <c r="AC1399" s="763"/>
      <c r="AD1399" s="763"/>
      <c r="AE1399" s="763"/>
      <c r="AF1399" s="763"/>
      <c r="AG1399" s="763"/>
    </row>
    <row r="1400">
      <c r="A1400" s="76" t="s">
        <v>2451</v>
      </c>
      <c r="B1400" s="27" t="s">
        <v>1187</v>
      </c>
      <c r="C1400" s="27"/>
      <c r="D1400" s="76"/>
      <c r="E1400" s="27" t="s">
        <v>512</v>
      </c>
      <c r="F1400" s="27" t="s">
        <v>513</v>
      </c>
      <c r="G1400" s="153">
        <v>46171.0</v>
      </c>
      <c r="H1400" s="153">
        <v>46178.0</v>
      </c>
      <c r="I1400" s="76">
        <f>IFERROR(__xludf.DUMMYFUNCTION("IF(ISBLANK(H1400), TODAY()-TO_DATE(G1400), TO_DATE(H1400)-TO_DATE(G1400))+1"),8.0)</f>
        <v>8</v>
      </c>
      <c r="J1400" s="76">
        <v>300.0</v>
      </c>
      <c r="K1400" s="69" t="s">
        <v>10690</v>
      </c>
      <c r="L1400" s="1008" t="s">
        <v>10266</v>
      </c>
      <c r="M1400" s="76" t="s">
        <v>9226</v>
      </c>
      <c r="N1400" s="763"/>
      <c r="O1400" s="763"/>
      <c r="P1400" s="763"/>
      <c r="Q1400" s="763"/>
      <c r="R1400" s="763"/>
      <c r="S1400" s="763"/>
      <c r="T1400" s="763"/>
      <c r="U1400" s="763"/>
      <c r="V1400" s="763"/>
      <c r="W1400" s="763"/>
      <c r="X1400" s="763"/>
      <c r="Y1400" s="763"/>
      <c r="Z1400" s="763"/>
      <c r="AA1400" s="763"/>
      <c r="AB1400" s="763"/>
      <c r="AC1400" s="763"/>
      <c r="AD1400" s="763"/>
      <c r="AE1400" s="763"/>
      <c r="AF1400" s="763"/>
      <c r="AG1400" s="763"/>
    </row>
    <row r="1401">
      <c r="A1401" s="76" t="s">
        <v>150</v>
      </c>
      <c r="B1401" s="27" t="s">
        <v>1187</v>
      </c>
      <c r="C1401" s="27"/>
      <c r="D1401" s="76"/>
      <c r="E1401" s="27" t="s">
        <v>999</v>
      </c>
      <c r="F1401" s="27" t="s">
        <v>1000</v>
      </c>
      <c r="G1401" s="153">
        <v>46171.0</v>
      </c>
      <c r="H1401" s="153">
        <v>46226.0</v>
      </c>
      <c r="I1401" s="76">
        <f>IFERROR(__xludf.DUMMYFUNCTION("IF(ISBLANK(H1401), TODAY()-TO_DATE(G1401), TO_DATE(H1401)-TO_DATE(G1401))+1"),56.0)</f>
        <v>56</v>
      </c>
      <c r="J1401" s="76">
        <v>500.0</v>
      </c>
      <c r="K1401" s="999" t="s">
        <v>10694</v>
      </c>
      <c r="L1401" s="158" t="s">
        <v>9662</v>
      </c>
      <c r="M1401" s="76"/>
      <c r="N1401" s="763"/>
      <c r="O1401" s="763"/>
      <c r="P1401" s="763"/>
      <c r="Q1401" s="763"/>
      <c r="R1401" s="763"/>
      <c r="S1401" s="763"/>
      <c r="T1401" s="763"/>
      <c r="U1401" s="763"/>
      <c r="V1401" s="763"/>
      <c r="W1401" s="763"/>
      <c r="X1401" s="763"/>
      <c r="Y1401" s="763"/>
      <c r="Z1401" s="763"/>
      <c r="AA1401" s="763"/>
      <c r="AB1401" s="763"/>
      <c r="AC1401" s="763"/>
      <c r="AD1401" s="763"/>
      <c r="AE1401" s="763"/>
      <c r="AF1401" s="763"/>
      <c r="AG1401" s="763"/>
    </row>
    <row r="1402">
      <c r="A1402" s="76" t="s">
        <v>1032</v>
      </c>
      <c r="B1402" s="27" t="s">
        <v>1187</v>
      </c>
      <c r="C1402" s="27"/>
      <c r="D1402" s="76"/>
      <c r="E1402" s="27" t="s">
        <v>3089</v>
      </c>
      <c r="F1402" s="27" t="s">
        <v>3090</v>
      </c>
      <c r="G1402" s="153">
        <v>46171.0</v>
      </c>
      <c r="H1402" s="153">
        <v>46177.0</v>
      </c>
      <c r="I1402" s="76">
        <f>IFERROR(__xludf.DUMMYFUNCTION("IF(ISBLANK(H1402), TODAY()-TO_DATE(G1402), TO_DATE(H1402)-TO_DATE(G1402))+1"),7.0)</f>
        <v>7</v>
      </c>
      <c r="J1402" s="76" t="s">
        <v>197</v>
      </c>
      <c r="K1402" s="69" t="s">
        <v>10697</v>
      </c>
      <c r="L1402" s="47" t="s">
        <v>10698</v>
      </c>
      <c r="M1402" s="160" t="s">
        <v>10699</v>
      </c>
      <c r="N1402" s="763"/>
      <c r="O1402" s="763"/>
      <c r="P1402" s="763"/>
      <c r="Q1402" s="763"/>
      <c r="R1402" s="763"/>
      <c r="S1402" s="763"/>
      <c r="T1402" s="763"/>
      <c r="U1402" s="763"/>
      <c r="V1402" s="763"/>
      <c r="W1402" s="763"/>
      <c r="X1402" s="763"/>
      <c r="Y1402" s="763"/>
      <c r="Z1402" s="763"/>
      <c r="AA1402" s="763"/>
      <c r="AB1402" s="763"/>
      <c r="AC1402" s="763"/>
      <c r="AD1402" s="763"/>
      <c r="AE1402" s="763"/>
      <c r="AF1402" s="763"/>
      <c r="AG1402" s="763"/>
    </row>
    <row r="1403">
      <c r="A1403" s="76" t="s">
        <v>1473</v>
      </c>
      <c r="B1403" s="27" t="s">
        <v>1187</v>
      </c>
      <c r="C1403" s="27"/>
      <c r="D1403" s="76"/>
      <c r="E1403" s="27" t="s">
        <v>10701</v>
      </c>
      <c r="F1403" s="27" t="s">
        <v>10702</v>
      </c>
      <c r="G1403" s="153">
        <v>46171.0</v>
      </c>
      <c r="H1403" s="153">
        <v>46175.0</v>
      </c>
      <c r="I1403" s="76">
        <f>IFERROR(__xludf.DUMMYFUNCTION("IF(ISBLANK(H1403), TODAY()-TO_DATE(G1403), TO_DATE(H1403)-TO_DATE(G1403))+1"),5.0)</f>
        <v>5</v>
      </c>
      <c r="J1403" s="76">
        <v>300.0</v>
      </c>
      <c r="K1403" s="69" t="s">
        <v>10705</v>
      </c>
      <c r="L1403" s="47"/>
      <c r="M1403" s="76"/>
      <c r="N1403" s="763"/>
      <c r="O1403" s="763"/>
      <c r="P1403" s="763"/>
      <c r="Q1403" s="763"/>
      <c r="R1403" s="763"/>
      <c r="S1403" s="763"/>
      <c r="T1403" s="763"/>
      <c r="U1403" s="763"/>
      <c r="V1403" s="763"/>
      <c r="W1403" s="763"/>
      <c r="X1403" s="763"/>
      <c r="Y1403" s="763"/>
      <c r="Z1403" s="763"/>
      <c r="AA1403" s="763"/>
      <c r="AB1403" s="763"/>
      <c r="AC1403" s="763"/>
      <c r="AD1403" s="763"/>
      <c r="AE1403" s="763"/>
      <c r="AF1403" s="763"/>
      <c r="AG1403" s="763"/>
    </row>
    <row r="1404">
      <c r="A1404" s="76" t="s">
        <v>1473</v>
      </c>
      <c r="B1404" s="27" t="s">
        <v>1187</v>
      </c>
      <c r="C1404" s="27"/>
      <c r="D1404" s="76"/>
      <c r="E1404" s="27" t="s">
        <v>8542</v>
      </c>
      <c r="F1404" s="27" t="s">
        <v>7638</v>
      </c>
      <c r="G1404" s="153">
        <v>46171.0</v>
      </c>
      <c r="H1404" s="153">
        <v>46240.0</v>
      </c>
      <c r="I1404" s="76">
        <f>IFERROR(__xludf.DUMMYFUNCTION("IF(ISBLANK(H1404), TODAY()-TO_DATE(G1404), TO_DATE(H1404)-TO_DATE(G1404))+1"),70.0)</f>
        <v>70</v>
      </c>
      <c r="J1404" s="76" t="s">
        <v>197</v>
      </c>
      <c r="K1404" s="69" t="s">
        <v>10706</v>
      </c>
      <c r="L1404" s="47" t="s">
        <v>10708</v>
      </c>
      <c r="M1404" s="76"/>
      <c r="N1404" s="763"/>
      <c r="O1404" s="763"/>
      <c r="P1404" s="763"/>
      <c r="Q1404" s="763"/>
      <c r="R1404" s="763"/>
      <c r="S1404" s="763"/>
      <c r="T1404" s="763"/>
      <c r="U1404" s="763"/>
      <c r="V1404" s="763"/>
      <c r="W1404" s="763"/>
      <c r="X1404" s="763"/>
      <c r="Y1404" s="763"/>
      <c r="Z1404" s="763"/>
      <c r="AA1404" s="763"/>
      <c r="AB1404" s="763"/>
      <c r="AC1404" s="763"/>
      <c r="AD1404" s="763"/>
      <c r="AE1404" s="763"/>
      <c r="AF1404" s="763"/>
      <c r="AG1404" s="763"/>
    </row>
    <row r="1405">
      <c r="A1405" s="76" t="s">
        <v>1448</v>
      </c>
      <c r="B1405" s="27" t="s">
        <v>1187</v>
      </c>
      <c r="C1405" s="27"/>
      <c r="D1405" s="76"/>
      <c r="E1405" s="27" t="s">
        <v>2542</v>
      </c>
      <c r="F1405" s="27" t="s">
        <v>2545</v>
      </c>
      <c r="G1405" s="153">
        <v>46171.0</v>
      </c>
      <c r="H1405" s="153">
        <v>46240.0</v>
      </c>
      <c r="I1405" s="76">
        <f>IFERROR(__xludf.DUMMYFUNCTION("IF(ISBLANK(H1405), TODAY()-TO_DATE(G1405), TO_DATE(H1405)-TO_DATE(G1405))+1"),70.0)</f>
        <v>70</v>
      </c>
      <c r="J1405" s="76" t="s">
        <v>197</v>
      </c>
      <c r="K1405" s="69" t="s">
        <v>10711</v>
      </c>
      <c r="L1405" s="47"/>
      <c r="M1405" s="76"/>
      <c r="N1405" s="763"/>
      <c r="O1405" s="763"/>
      <c r="P1405" s="763"/>
      <c r="Q1405" s="763"/>
      <c r="R1405" s="763"/>
      <c r="S1405" s="763"/>
      <c r="T1405" s="763"/>
      <c r="U1405" s="763"/>
      <c r="V1405" s="763"/>
      <c r="W1405" s="763"/>
      <c r="X1405" s="763"/>
      <c r="Y1405" s="763"/>
      <c r="Z1405" s="763"/>
      <c r="AA1405" s="763"/>
      <c r="AB1405" s="763"/>
      <c r="AC1405" s="763"/>
      <c r="AD1405" s="763"/>
      <c r="AE1405" s="763"/>
      <c r="AF1405" s="763"/>
      <c r="AG1405" s="763"/>
    </row>
    <row r="1406">
      <c r="A1406" s="76" t="s">
        <v>1448</v>
      </c>
      <c r="B1406" s="27" t="s">
        <v>1187</v>
      </c>
      <c r="C1406" s="27"/>
      <c r="D1406" s="76"/>
      <c r="E1406" s="27" t="s">
        <v>8569</v>
      </c>
      <c r="F1406" s="27" t="s">
        <v>8643</v>
      </c>
      <c r="G1406" s="153">
        <v>46171.0</v>
      </c>
      <c r="H1406" s="153">
        <v>46245.0</v>
      </c>
      <c r="I1406" s="76">
        <f>IFERROR(__xludf.DUMMYFUNCTION("IF(ISBLANK(H1406), TODAY()-TO_DATE(G1406), TO_DATE(H1406)-TO_DATE(G1406))+1"),75.0)</f>
        <v>75</v>
      </c>
      <c r="J1406" s="76" t="s">
        <v>197</v>
      </c>
      <c r="K1406" s="997" t="s">
        <v>10714</v>
      </c>
      <c r="L1406" s="1008" t="s">
        <v>10715</v>
      </c>
      <c r="M1406" s="76" t="s">
        <v>9226</v>
      </c>
      <c r="N1406" s="763"/>
      <c r="O1406" s="763"/>
      <c r="P1406" s="763"/>
      <c r="Q1406" s="763"/>
      <c r="R1406" s="763"/>
      <c r="S1406" s="763"/>
      <c r="T1406" s="763"/>
      <c r="U1406" s="763"/>
      <c r="V1406" s="763"/>
      <c r="W1406" s="763"/>
      <c r="X1406" s="763"/>
      <c r="Y1406" s="763"/>
      <c r="Z1406" s="763"/>
      <c r="AA1406" s="763"/>
      <c r="AB1406" s="763"/>
      <c r="AC1406" s="763"/>
      <c r="AD1406" s="763"/>
      <c r="AE1406" s="763"/>
      <c r="AF1406" s="763"/>
      <c r="AG1406" s="763"/>
    </row>
    <row r="1407">
      <c r="A1407" s="76" t="s">
        <v>1473</v>
      </c>
      <c r="B1407" s="27" t="s">
        <v>1187</v>
      </c>
      <c r="C1407" s="27"/>
      <c r="D1407" s="76"/>
      <c r="E1407" s="27" t="s">
        <v>8394</v>
      </c>
      <c r="F1407" s="27" t="s">
        <v>8395</v>
      </c>
      <c r="G1407" s="153">
        <v>46171.0</v>
      </c>
      <c r="H1407" s="153">
        <v>46245.0</v>
      </c>
      <c r="I1407" s="76">
        <f>IFERROR(__xludf.DUMMYFUNCTION("IF(ISBLANK(H1407), TODAY()-TO_DATE(G1407), TO_DATE(H1407)-TO_DATE(G1407))+1"),75.0)</f>
        <v>75</v>
      </c>
      <c r="J1407" s="76" t="s">
        <v>197</v>
      </c>
      <c r="K1407" s="997" t="s">
        <v>10719</v>
      </c>
      <c r="L1407" s="47"/>
      <c r="M1407" s="76"/>
      <c r="N1407" s="763"/>
      <c r="O1407" s="763"/>
      <c r="P1407" s="763"/>
      <c r="Q1407" s="763"/>
      <c r="R1407" s="763"/>
      <c r="S1407" s="763"/>
      <c r="T1407" s="763"/>
      <c r="U1407" s="763"/>
      <c r="V1407" s="763"/>
      <c r="W1407" s="763"/>
      <c r="X1407" s="763"/>
      <c r="Y1407" s="763"/>
      <c r="Z1407" s="763"/>
      <c r="AA1407" s="763"/>
      <c r="AB1407" s="763"/>
      <c r="AC1407" s="763"/>
      <c r="AD1407" s="763"/>
      <c r="AE1407" s="763"/>
      <c r="AF1407" s="763"/>
      <c r="AG1407" s="763"/>
    </row>
    <row r="1408">
      <c r="A1408" s="76" t="s">
        <v>1448</v>
      </c>
      <c r="B1408" s="27" t="s">
        <v>1187</v>
      </c>
      <c r="C1408" s="27"/>
      <c r="D1408" s="76"/>
      <c r="E1408" s="27" t="s">
        <v>10720</v>
      </c>
      <c r="F1408" s="27" t="s">
        <v>10721</v>
      </c>
      <c r="G1408" s="153">
        <v>46174.0</v>
      </c>
      <c r="H1408" s="153">
        <v>46186.0</v>
      </c>
      <c r="I1408" s="76">
        <f>IFERROR(__xludf.DUMMYFUNCTION("IF(ISBLANK(H1408), TODAY()-TO_DATE(G1408), TO_DATE(H1408)-TO_DATE(G1408))+1"),13.0)</f>
        <v>13</v>
      </c>
      <c r="J1408" s="76" t="s">
        <v>197</v>
      </c>
      <c r="K1408" s="69" t="s">
        <v>10724</v>
      </c>
      <c r="L1408" s="47"/>
      <c r="M1408" s="76"/>
      <c r="N1408" s="763"/>
      <c r="O1408" s="763"/>
      <c r="P1408" s="763"/>
      <c r="Q1408" s="763"/>
      <c r="R1408" s="763"/>
      <c r="S1408" s="763"/>
      <c r="T1408" s="763"/>
      <c r="U1408" s="763"/>
      <c r="V1408" s="763"/>
      <c r="W1408" s="763"/>
      <c r="X1408" s="763"/>
      <c r="Y1408" s="763"/>
      <c r="Z1408" s="763"/>
      <c r="AA1408" s="763"/>
      <c r="AB1408" s="763"/>
      <c r="AC1408" s="763"/>
      <c r="AD1408" s="763"/>
      <c r="AE1408" s="763"/>
      <c r="AF1408" s="763"/>
      <c r="AG1408" s="763"/>
    </row>
    <row r="1409">
      <c r="A1409" s="76" t="s">
        <v>1448</v>
      </c>
      <c r="B1409" s="27" t="s">
        <v>1187</v>
      </c>
      <c r="C1409" s="27"/>
      <c r="D1409" s="76"/>
      <c r="E1409" s="27" t="s">
        <v>6151</v>
      </c>
      <c r="F1409" s="27" t="s">
        <v>6152</v>
      </c>
      <c r="G1409" s="153">
        <v>46174.0</v>
      </c>
      <c r="H1409" s="153">
        <v>46191.0</v>
      </c>
      <c r="I1409" s="76">
        <f>IFERROR(__xludf.DUMMYFUNCTION("IF(ISBLANK(H1409), TODAY()-TO_DATE(G1409), TO_DATE(H1409)-TO_DATE(G1409))+1"),18.0)</f>
        <v>18</v>
      </c>
      <c r="J1409" s="76">
        <v>300.0</v>
      </c>
      <c r="K1409" s="69" t="s">
        <v>10725</v>
      </c>
      <c r="L1409" s="1008" t="s">
        <v>10726</v>
      </c>
      <c r="M1409" s="76" t="s">
        <v>9226</v>
      </c>
      <c r="N1409" s="763"/>
      <c r="O1409" s="763"/>
      <c r="P1409" s="763"/>
      <c r="Q1409" s="763"/>
      <c r="R1409" s="763"/>
      <c r="S1409" s="763"/>
      <c r="T1409" s="763"/>
      <c r="U1409" s="763"/>
      <c r="V1409" s="763"/>
      <c r="W1409" s="763"/>
      <c r="X1409" s="763"/>
      <c r="Y1409" s="763"/>
      <c r="Z1409" s="763"/>
      <c r="AA1409" s="763"/>
      <c r="AB1409" s="763"/>
      <c r="AC1409" s="763"/>
      <c r="AD1409" s="763"/>
      <c r="AE1409" s="763"/>
      <c r="AF1409" s="763"/>
      <c r="AG1409" s="763"/>
    </row>
    <row r="1410">
      <c r="A1410" s="76" t="s">
        <v>9094</v>
      </c>
      <c r="B1410" s="27" t="s">
        <v>1187</v>
      </c>
      <c r="C1410" s="27"/>
      <c r="D1410" s="76"/>
      <c r="E1410" s="27" t="s">
        <v>9306</v>
      </c>
      <c r="F1410" s="27" t="s">
        <v>9307</v>
      </c>
      <c r="G1410" s="153">
        <v>46174.0</v>
      </c>
      <c r="H1410" s="153">
        <v>46185.0</v>
      </c>
      <c r="I1410" s="76">
        <f>IFERROR(__xludf.DUMMYFUNCTION("IF(ISBLANK(H1410), TODAY()-TO_DATE(G1410), TO_DATE(H1410)-TO_DATE(G1410))+1"),12.0)</f>
        <v>12</v>
      </c>
      <c r="J1410" s="76">
        <v>300.0</v>
      </c>
      <c r="K1410" s="69" t="s">
        <v>10728</v>
      </c>
      <c r="L1410" s="47"/>
      <c r="M1410" s="76"/>
      <c r="N1410" s="763"/>
      <c r="O1410" s="763"/>
      <c r="P1410" s="763"/>
      <c r="Q1410" s="763"/>
      <c r="R1410" s="763"/>
      <c r="S1410" s="763"/>
      <c r="T1410" s="763"/>
      <c r="U1410" s="763"/>
      <c r="V1410" s="763"/>
      <c r="W1410" s="763"/>
      <c r="X1410" s="763"/>
      <c r="Y1410" s="763"/>
      <c r="Z1410" s="763"/>
      <c r="AA1410" s="763"/>
      <c r="AB1410" s="763"/>
      <c r="AC1410" s="763"/>
      <c r="AD1410" s="763"/>
      <c r="AE1410" s="763"/>
      <c r="AF1410" s="763"/>
      <c r="AG1410" s="763"/>
    </row>
    <row r="1411">
      <c r="A1411" s="76" t="s">
        <v>9987</v>
      </c>
      <c r="B1411" s="27" t="s">
        <v>1187</v>
      </c>
      <c r="C1411" s="27"/>
      <c r="D1411" s="76"/>
      <c r="E1411" s="27" t="s">
        <v>10732</v>
      </c>
      <c r="F1411" s="27" t="s">
        <v>10733</v>
      </c>
      <c r="G1411" s="153">
        <v>46174.0</v>
      </c>
      <c r="H1411" s="153">
        <v>46175.0</v>
      </c>
      <c r="I1411" s="76">
        <f>IFERROR(__xludf.DUMMYFUNCTION("IF(ISBLANK(H1411), TODAY()-TO_DATE(G1411), TO_DATE(H1411)-TO_DATE(G1411))+1"),2.0)</f>
        <v>2</v>
      </c>
      <c r="J1411" s="76">
        <v>200.0</v>
      </c>
      <c r="K1411" s="69" t="s">
        <v>10734</v>
      </c>
      <c r="L1411" s="1008" t="s">
        <v>10735</v>
      </c>
      <c r="M1411" s="76" t="s">
        <v>9226</v>
      </c>
      <c r="N1411" s="763"/>
      <c r="O1411" s="763"/>
      <c r="P1411" s="763"/>
      <c r="Q1411" s="763"/>
      <c r="R1411" s="763"/>
      <c r="S1411" s="763"/>
      <c r="T1411" s="763"/>
      <c r="U1411" s="763"/>
      <c r="V1411" s="763"/>
      <c r="W1411" s="763"/>
      <c r="X1411" s="763"/>
      <c r="Y1411" s="763"/>
      <c r="Z1411" s="763"/>
      <c r="AA1411" s="763"/>
      <c r="AB1411" s="763"/>
      <c r="AC1411" s="763"/>
      <c r="AD1411" s="763"/>
      <c r="AE1411" s="763"/>
      <c r="AF1411" s="763"/>
      <c r="AG1411" s="763"/>
    </row>
    <row r="1412">
      <c r="A1412" s="76" t="s">
        <v>145</v>
      </c>
      <c r="B1412" s="27" t="s">
        <v>1187</v>
      </c>
      <c r="C1412" s="27"/>
      <c r="D1412" s="76"/>
      <c r="E1412" s="27" t="s">
        <v>10738</v>
      </c>
      <c r="F1412" s="27" t="s">
        <v>10739</v>
      </c>
      <c r="G1412" s="153">
        <v>46174.0</v>
      </c>
      <c r="H1412" s="153">
        <v>46175.0</v>
      </c>
      <c r="I1412" s="76">
        <f>IFERROR(__xludf.DUMMYFUNCTION("IF(ISBLANK(H1412), TODAY()-TO_DATE(G1412), TO_DATE(H1412)-TO_DATE(G1412))+1"),2.0)</f>
        <v>2</v>
      </c>
      <c r="J1412" s="76" t="s">
        <v>197</v>
      </c>
      <c r="K1412" s="69" t="s">
        <v>10740</v>
      </c>
      <c r="L1412" s="47"/>
      <c r="M1412" s="76" t="s">
        <v>9226</v>
      </c>
      <c r="N1412" s="763"/>
      <c r="O1412" s="763"/>
      <c r="P1412" s="763"/>
      <c r="Q1412" s="763"/>
      <c r="R1412" s="763"/>
      <c r="S1412" s="763"/>
      <c r="T1412" s="763"/>
      <c r="U1412" s="763"/>
      <c r="V1412" s="763"/>
      <c r="W1412" s="763"/>
      <c r="X1412" s="763"/>
      <c r="Y1412" s="763"/>
      <c r="Z1412" s="763"/>
      <c r="AA1412" s="763"/>
      <c r="AB1412" s="763"/>
      <c r="AC1412" s="763"/>
      <c r="AD1412" s="763"/>
      <c r="AE1412" s="763"/>
      <c r="AF1412" s="763"/>
      <c r="AG1412" s="763"/>
    </row>
    <row r="1413">
      <c r="A1413" s="76" t="s">
        <v>9987</v>
      </c>
      <c r="B1413" s="27" t="s">
        <v>1187</v>
      </c>
      <c r="C1413" s="27"/>
      <c r="D1413" s="76"/>
      <c r="E1413" s="27" t="s">
        <v>3628</v>
      </c>
      <c r="F1413" s="27" t="s">
        <v>3629</v>
      </c>
      <c r="G1413" s="153">
        <v>46176.0</v>
      </c>
      <c r="H1413" s="153">
        <v>46232.0</v>
      </c>
      <c r="I1413" s="76">
        <f>IFERROR(__xludf.DUMMYFUNCTION("IF(ISBLANK(H1413), TODAY()-TO_DATE(G1413), TO_DATE(H1413)-TO_DATE(G1413))+1"),57.0)</f>
        <v>57</v>
      </c>
      <c r="J1413" s="76">
        <v>300.0</v>
      </c>
      <c r="K1413" s="69" t="s">
        <v>10743</v>
      </c>
      <c r="L1413" s="47"/>
      <c r="M1413" s="76"/>
      <c r="N1413" s="763"/>
      <c r="O1413" s="763"/>
      <c r="P1413" s="763"/>
      <c r="Q1413" s="763"/>
      <c r="R1413" s="763"/>
      <c r="S1413" s="763"/>
      <c r="T1413" s="763"/>
      <c r="U1413" s="763"/>
      <c r="V1413" s="763"/>
      <c r="W1413" s="763"/>
      <c r="X1413" s="763"/>
      <c r="Y1413" s="763"/>
      <c r="Z1413" s="763"/>
      <c r="AA1413" s="763"/>
      <c r="AB1413" s="763"/>
      <c r="AC1413" s="763"/>
      <c r="AD1413" s="763"/>
      <c r="AE1413" s="763"/>
      <c r="AF1413" s="763"/>
      <c r="AG1413" s="763"/>
    </row>
    <row r="1414">
      <c r="A1414" s="76" t="s">
        <v>9987</v>
      </c>
      <c r="B1414" s="27" t="s">
        <v>1187</v>
      </c>
      <c r="C1414" s="27"/>
      <c r="D1414" s="76"/>
      <c r="E1414" s="27" t="s">
        <v>10744</v>
      </c>
      <c r="F1414" s="27" t="s">
        <v>3394</v>
      </c>
      <c r="G1414" s="153">
        <v>46185.0</v>
      </c>
      <c r="H1414" s="153">
        <v>46213.0</v>
      </c>
      <c r="I1414" s="76">
        <f>IFERROR(__xludf.DUMMYFUNCTION("IF(ISBLANK(H1414), TODAY()-TO_DATE(G1414), TO_DATE(H1414)-TO_DATE(G1414))+1"),29.0)</f>
        <v>29</v>
      </c>
      <c r="J1414" s="76">
        <v>500.0</v>
      </c>
      <c r="K1414" s="999" t="s">
        <v>10745</v>
      </c>
      <c r="L1414" s="47"/>
      <c r="M1414" s="76"/>
      <c r="N1414" s="153">
        <v>46176.0</v>
      </c>
      <c r="O1414" s="763"/>
      <c r="P1414" s="763"/>
      <c r="Q1414" s="763"/>
      <c r="R1414" s="763"/>
      <c r="S1414" s="763"/>
      <c r="T1414" s="763"/>
      <c r="U1414" s="763"/>
      <c r="V1414" s="763"/>
      <c r="W1414" s="763"/>
      <c r="X1414" s="763"/>
      <c r="Y1414" s="763"/>
      <c r="Z1414" s="763"/>
      <c r="AA1414" s="763"/>
      <c r="AB1414" s="763"/>
      <c r="AC1414" s="763"/>
      <c r="AD1414" s="763"/>
      <c r="AE1414" s="763"/>
      <c r="AF1414" s="763"/>
      <c r="AG1414" s="763"/>
    </row>
    <row r="1415">
      <c r="A1415" s="76" t="s">
        <v>9987</v>
      </c>
      <c r="B1415" s="27" t="s">
        <v>1187</v>
      </c>
      <c r="C1415" s="27"/>
      <c r="D1415" s="76"/>
      <c r="E1415" s="27" t="s">
        <v>2497</v>
      </c>
      <c r="F1415" s="27" t="s">
        <v>1580</v>
      </c>
      <c r="G1415" s="153">
        <v>46176.0</v>
      </c>
      <c r="H1415" s="153">
        <v>46205.0</v>
      </c>
      <c r="I1415" s="76">
        <f>IFERROR(__xludf.DUMMYFUNCTION("IF(ISBLANK(H1415), TODAY()-TO_DATE(G1415), TO_DATE(H1415)-TO_DATE(G1415))+1"),30.0)</f>
        <v>30</v>
      </c>
      <c r="J1415" s="76" t="s">
        <v>2510</v>
      </c>
      <c r="K1415" s="69" t="s">
        <v>10748</v>
      </c>
      <c r="L1415" s="47" t="s">
        <v>10749</v>
      </c>
      <c r="M1415" s="76" t="s">
        <v>9226</v>
      </c>
      <c r="N1415" s="763"/>
      <c r="O1415" s="763"/>
      <c r="P1415" s="763"/>
      <c r="Q1415" s="763"/>
      <c r="R1415" s="763"/>
      <c r="S1415" s="763"/>
      <c r="T1415" s="763"/>
      <c r="U1415" s="763"/>
      <c r="V1415" s="763"/>
      <c r="W1415" s="763"/>
      <c r="X1415" s="763"/>
      <c r="Y1415" s="763"/>
      <c r="Z1415" s="763"/>
      <c r="AA1415" s="763"/>
      <c r="AB1415" s="763"/>
      <c r="AC1415" s="763"/>
      <c r="AD1415" s="763"/>
      <c r="AE1415" s="763"/>
      <c r="AF1415" s="763"/>
      <c r="AG1415" s="763"/>
    </row>
    <row r="1416">
      <c r="A1416" s="76" t="s">
        <v>9987</v>
      </c>
      <c r="B1416" s="27" t="s">
        <v>1187</v>
      </c>
      <c r="C1416" s="27"/>
      <c r="D1416" s="76"/>
      <c r="E1416" s="27" t="s">
        <v>3695</v>
      </c>
      <c r="F1416" s="27" t="s">
        <v>3696</v>
      </c>
      <c r="G1416" s="153">
        <v>46176.0</v>
      </c>
      <c r="H1416" s="153">
        <v>46232.0</v>
      </c>
      <c r="I1416" s="76">
        <f>IFERROR(__xludf.DUMMYFUNCTION("IF(ISBLANK(H1416), TODAY()-TO_DATE(G1416), TO_DATE(H1416)-TO_DATE(G1416))+1"),57.0)</f>
        <v>57</v>
      </c>
      <c r="J1416" s="76">
        <v>300.0</v>
      </c>
      <c r="K1416" s="69" t="s">
        <v>10752</v>
      </c>
      <c r="L1416" s="158" t="s">
        <v>10753</v>
      </c>
      <c r="M1416" s="76"/>
      <c r="N1416" s="763"/>
      <c r="O1416" s="763"/>
      <c r="P1416" s="763"/>
      <c r="Q1416" s="763"/>
      <c r="R1416" s="763"/>
      <c r="S1416" s="763"/>
      <c r="T1416" s="763"/>
      <c r="U1416" s="763"/>
      <c r="V1416" s="763"/>
      <c r="W1416" s="763"/>
      <c r="X1416" s="763"/>
      <c r="Y1416" s="763"/>
      <c r="Z1416" s="763"/>
      <c r="AA1416" s="763"/>
      <c r="AB1416" s="763"/>
      <c r="AC1416" s="763"/>
      <c r="AD1416" s="763"/>
      <c r="AE1416" s="763"/>
      <c r="AF1416" s="763"/>
      <c r="AG1416" s="763"/>
    </row>
    <row r="1417">
      <c r="A1417" s="76" t="s">
        <v>1566</v>
      </c>
      <c r="B1417" s="27" t="s">
        <v>1187</v>
      </c>
      <c r="C1417" s="27"/>
      <c r="D1417" s="76"/>
      <c r="E1417" s="27" t="s">
        <v>6970</v>
      </c>
      <c r="F1417" s="27" t="s">
        <v>10755</v>
      </c>
      <c r="G1417" s="153">
        <v>46177.0</v>
      </c>
      <c r="H1417" s="153">
        <v>46177.0</v>
      </c>
      <c r="I1417" s="76">
        <f>IFERROR(__xludf.DUMMYFUNCTION("IF(ISBLANK(H1417), TODAY()-TO_DATE(G1417), TO_DATE(H1417)-TO_DATE(G1417))+1"),1.0)</f>
        <v>1</v>
      </c>
      <c r="J1417" s="76">
        <v>300.0</v>
      </c>
      <c r="K1417" s="69" t="s">
        <v>10757</v>
      </c>
      <c r="L1417" s="47"/>
      <c r="M1417" s="76"/>
      <c r="N1417" s="763"/>
      <c r="O1417" s="763"/>
      <c r="P1417" s="763"/>
      <c r="Q1417" s="763"/>
      <c r="R1417" s="763"/>
      <c r="S1417" s="763"/>
      <c r="T1417" s="763"/>
      <c r="U1417" s="763"/>
      <c r="V1417" s="763"/>
      <c r="W1417" s="763"/>
      <c r="X1417" s="763"/>
      <c r="Y1417" s="763"/>
      <c r="Z1417" s="763"/>
      <c r="AA1417" s="763"/>
      <c r="AB1417" s="763"/>
      <c r="AC1417" s="763"/>
      <c r="AD1417" s="763"/>
      <c r="AE1417" s="763"/>
      <c r="AF1417" s="763"/>
      <c r="AG1417" s="763"/>
    </row>
    <row r="1418">
      <c r="A1418" s="76" t="s">
        <v>1566</v>
      </c>
      <c r="B1418" s="27" t="s">
        <v>1187</v>
      </c>
      <c r="C1418" s="27"/>
      <c r="D1418" s="76"/>
      <c r="E1418" s="27" t="s">
        <v>1615</v>
      </c>
      <c r="F1418" s="27" t="s">
        <v>1616</v>
      </c>
      <c r="G1418" s="153">
        <v>46177.0</v>
      </c>
      <c r="H1418" s="153">
        <v>46177.0</v>
      </c>
      <c r="I1418" s="76">
        <f>IFERROR(__xludf.DUMMYFUNCTION("IF(ISBLANK(H1418), TODAY()-TO_DATE(G1418), TO_DATE(H1418)-TO_DATE(G1418))+1"),1.0)</f>
        <v>1</v>
      </c>
      <c r="J1418" s="76">
        <v>300.0</v>
      </c>
      <c r="K1418" s="69" t="s">
        <v>10760</v>
      </c>
      <c r="L1418" s="47"/>
      <c r="M1418" s="76" t="s">
        <v>9226</v>
      </c>
      <c r="N1418" s="763"/>
      <c r="O1418" s="763"/>
      <c r="P1418" s="763"/>
      <c r="Q1418" s="763"/>
      <c r="R1418" s="763"/>
      <c r="S1418" s="763"/>
      <c r="T1418" s="763"/>
      <c r="U1418" s="763"/>
      <c r="V1418" s="763"/>
      <c r="W1418" s="763"/>
      <c r="X1418" s="763"/>
      <c r="Y1418" s="763"/>
      <c r="Z1418" s="763"/>
      <c r="AA1418" s="763"/>
      <c r="AB1418" s="763"/>
      <c r="AC1418" s="763"/>
      <c r="AD1418" s="763"/>
      <c r="AE1418" s="763"/>
      <c r="AF1418" s="763"/>
      <c r="AG1418" s="763"/>
    </row>
    <row r="1419">
      <c r="A1419" s="76" t="s">
        <v>9987</v>
      </c>
      <c r="B1419" s="27" t="s">
        <v>1187</v>
      </c>
      <c r="C1419" s="27"/>
      <c r="D1419" s="76"/>
      <c r="E1419" s="27" t="s">
        <v>1809</v>
      </c>
      <c r="F1419" s="27" t="s">
        <v>1810</v>
      </c>
      <c r="G1419" s="153">
        <v>46177.0</v>
      </c>
      <c r="H1419" s="153">
        <v>46178.0</v>
      </c>
      <c r="I1419" s="76">
        <f>IFERROR(__xludf.DUMMYFUNCTION("IF(ISBLANK(H1419), TODAY()-TO_DATE(G1419), TO_DATE(H1419)-TO_DATE(G1419))+1"),2.0)</f>
        <v>2</v>
      </c>
      <c r="J1419" s="76">
        <v>300.0</v>
      </c>
      <c r="K1419" s="69" t="s">
        <v>10763</v>
      </c>
      <c r="L1419" s="47"/>
      <c r="M1419" s="76" t="s">
        <v>9226</v>
      </c>
      <c r="N1419" s="763"/>
      <c r="O1419" s="763"/>
      <c r="P1419" s="763"/>
      <c r="Q1419" s="763"/>
      <c r="R1419" s="763"/>
      <c r="S1419" s="763"/>
      <c r="T1419" s="763"/>
      <c r="U1419" s="763"/>
      <c r="V1419" s="763"/>
      <c r="W1419" s="763"/>
      <c r="X1419" s="763"/>
      <c r="Y1419" s="763"/>
      <c r="Z1419" s="763"/>
      <c r="AA1419" s="763"/>
      <c r="AB1419" s="763"/>
      <c r="AC1419" s="763"/>
      <c r="AD1419" s="763"/>
      <c r="AE1419" s="763"/>
      <c r="AF1419" s="763"/>
      <c r="AG1419" s="763"/>
    </row>
    <row r="1420">
      <c r="A1420" s="76" t="s">
        <v>9987</v>
      </c>
      <c r="B1420" s="27" t="s">
        <v>1187</v>
      </c>
      <c r="C1420" s="27"/>
      <c r="D1420" s="76"/>
      <c r="E1420" s="27" t="s">
        <v>10764</v>
      </c>
      <c r="F1420" s="27" t="s">
        <v>10765</v>
      </c>
      <c r="G1420" s="153">
        <v>46177.0</v>
      </c>
      <c r="H1420" s="153">
        <v>46177.0</v>
      </c>
      <c r="I1420" s="76">
        <f>IFERROR(__xludf.DUMMYFUNCTION("IF(ISBLANK(H1420), TODAY()-TO_DATE(G1420), TO_DATE(H1420)-TO_DATE(G1420))+1"),1.0)</f>
        <v>1</v>
      </c>
      <c r="J1420" s="76">
        <v>300.0</v>
      </c>
      <c r="K1420" s="69" t="s">
        <v>10766</v>
      </c>
      <c r="L1420" s="47"/>
      <c r="M1420" s="76"/>
      <c r="N1420" s="763"/>
      <c r="O1420" s="763"/>
      <c r="P1420" s="763"/>
      <c r="Q1420" s="763"/>
      <c r="R1420" s="763"/>
      <c r="S1420" s="763"/>
      <c r="T1420" s="763"/>
      <c r="U1420" s="763"/>
      <c r="V1420" s="763"/>
      <c r="W1420" s="763"/>
      <c r="X1420" s="763"/>
      <c r="Y1420" s="763"/>
      <c r="Z1420" s="763"/>
      <c r="AA1420" s="763"/>
      <c r="AB1420" s="763"/>
      <c r="AC1420" s="763"/>
      <c r="AD1420" s="763"/>
      <c r="AE1420" s="763"/>
      <c r="AF1420" s="763"/>
      <c r="AG1420" s="763"/>
    </row>
    <row r="1421">
      <c r="A1421" s="76" t="s">
        <v>150</v>
      </c>
      <c r="B1421" s="27" t="s">
        <v>1187</v>
      </c>
      <c r="C1421" s="27"/>
      <c r="D1421" s="76"/>
      <c r="E1421" s="27" t="s">
        <v>10445</v>
      </c>
      <c r="F1421" s="27" t="s">
        <v>10446</v>
      </c>
      <c r="G1421" s="153">
        <v>46178.0</v>
      </c>
      <c r="H1421" s="153">
        <v>46190.0</v>
      </c>
      <c r="I1421" s="76">
        <f>IFERROR(__xludf.DUMMYFUNCTION("IF(ISBLANK(H1421), TODAY()-TO_DATE(G1421), TO_DATE(H1421)-TO_DATE(G1421))+1"),13.0)</f>
        <v>13</v>
      </c>
      <c r="J1421" s="76" t="s">
        <v>197</v>
      </c>
      <c r="K1421" s="999" t="s">
        <v>10770</v>
      </c>
      <c r="L1421" s="47"/>
      <c r="M1421" s="76" t="s">
        <v>9226</v>
      </c>
      <c r="N1421" s="763"/>
      <c r="O1421" s="763"/>
      <c r="P1421" s="763"/>
      <c r="Q1421" s="763"/>
      <c r="R1421" s="763"/>
      <c r="S1421" s="763"/>
      <c r="T1421" s="763"/>
      <c r="U1421" s="763"/>
      <c r="V1421" s="763"/>
      <c r="W1421" s="763"/>
      <c r="X1421" s="763"/>
      <c r="Y1421" s="763"/>
      <c r="Z1421" s="763"/>
      <c r="AA1421" s="763"/>
      <c r="AB1421" s="763"/>
      <c r="AC1421" s="763"/>
      <c r="AD1421" s="763"/>
      <c r="AE1421" s="763"/>
      <c r="AF1421" s="763"/>
      <c r="AG1421" s="763"/>
    </row>
    <row r="1422">
      <c r="A1422" s="76" t="s">
        <v>9987</v>
      </c>
      <c r="B1422" s="27" t="s">
        <v>1187</v>
      </c>
      <c r="C1422" s="27"/>
      <c r="D1422" s="76"/>
      <c r="E1422" s="27" t="s">
        <v>10771</v>
      </c>
      <c r="F1422" s="27" t="s">
        <v>10772</v>
      </c>
      <c r="G1422" s="153">
        <v>46178.0</v>
      </c>
      <c r="H1422" s="153">
        <v>46191.0</v>
      </c>
      <c r="I1422" s="76">
        <f>IFERROR(__xludf.DUMMYFUNCTION("IF(ISBLANK(H1422), TODAY()-TO_DATE(G1422), TO_DATE(H1422)-TO_DATE(G1422))+1"),14.0)</f>
        <v>14</v>
      </c>
      <c r="J1422" s="76">
        <v>300.0</v>
      </c>
      <c r="K1422" s="546" t="s">
        <v>10773</v>
      </c>
      <c r="L1422" s="69"/>
      <c r="M1422" s="76" t="s">
        <v>9226</v>
      </c>
      <c r="N1422" s="763"/>
      <c r="O1422" s="763"/>
      <c r="P1422" s="763"/>
      <c r="Q1422" s="763"/>
      <c r="R1422" s="763"/>
      <c r="S1422" s="763"/>
      <c r="T1422" s="763"/>
      <c r="U1422" s="763"/>
      <c r="V1422" s="763"/>
      <c r="W1422" s="763"/>
      <c r="X1422" s="763"/>
      <c r="Y1422" s="763"/>
      <c r="Z1422" s="763"/>
      <c r="AA1422" s="763"/>
      <c r="AB1422" s="763"/>
      <c r="AC1422" s="763"/>
      <c r="AD1422" s="763"/>
      <c r="AE1422" s="763"/>
      <c r="AF1422" s="763"/>
      <c r="AG1422" s="763"/>
    </row>
    <row r="1423">
      <c r="A1423" s="76" t="s">
        <v>1566</v>
      </c>
      <c r="B1423" s="27" t="s">
        <v>1187</v>
      </c>
      <c r="C1423" s="27"/>
      <c r="D1423" s="76"/>
      <c r="E1423" s="27" t="s">
        <v>8472</v>
      </c>
      <c r="F1423" s="27" t="s">
        <v>10775</v>
      </c>
      <c r="G1423" s="153">
        <v>46180.0</v>
      </c>
      <c r="H1423" s="153">
        <v>46189.0</v>
      </c>
      <c r="I1423" s="76">
        <f>IFERROR(__xludf.DUMMYFUNCTION("IF(ISBLANK(H1423), TODAY()-TO_DATE(G1423), TO_DATE(H1423)-TO_DATE(G1423))+1"),10.0)</f>
        <v>10</v>
      </c>
      <c r="J1423" s="76" t="s">
        <v>197</v>
      </c>
      <c r="K1423" s="69" t="s">
        <v>10377</v>
      </c>
      <c r="L1423" s="158" t="s">
        <v>10735</v>
      </c>
      <c r="M1423" s="76"/>
      <c r="N1423" s="763"/>
      <c r="O1423" s="763"/>
      <c r="P1423" s="763"/>
      <c r="Q1423" s="763"/>
      <c r="R1423" s="763"/>
      <c r="S1423" s="763"/>
      <c r="T1423" s="763"/>
      <c r="U1423" s="763"/>
      <c r="V1423" s="763"/>
      <c r="W1423" s="763"/>
      <c r="X1423" s="763"/>
      <c r="Y1423" s="763"/>
      <c r="Z1423" s="763"/>
      <c r="AA1423" s="763"/>
      <c r="AB1423" s="763"/>
      <c r="AC1423" s="763"/>
      <c r="AD1423" s="763"/>
      <c r="AE1423" s="763"/>
      <c r="AF1423" s="763"/>
      <c r="AG1423" s="763"/>
    </row>
    <row r="1424">
      <c r="A1424" s="76" t="s">
        <v>1448</v>
      </c>
      <c r="B1424" s="27" t="s">
        <v>1187</v>
      </c>
      <c r="C1424" s="27"/>
      <c r="D1424" s="76"/>
      <c r="E1424" s="27" t="s">
        <v>10780</v>
      </c>
      <c r="F1424" s="27" t="s">
        <v>4892</v>
      </c>
      <c r="G1424" s="153">
        <v>46185.0</v>
      </c>
      <c r="H1424" s="153">
        <v>46213.0</v>
      </c>
      <c r="I1424" s="76">
        <f>IFERROR(__xludf.DUMMYFUNCTION("IF(ISBLANK(H1424), TODAY()-TO_DATE(G1424), TO_DATE(H1424)-TO_DATE(G1424))+1"),29.0)</f>
        <v>29</v>
      </c>
      <c r="J1424" s="76">
        <v>500.0</v>
      </c>
      <c r="K1424" s="999" t="s">
        <v>10781</v>
      </c>
      <c r="L1424" s="47"/>
      <c r="M1424" s="76"/>
      <c r="N1424" s="153">
        <v>46180.0</v>
      </c>
      <c r="O1424" s="763"/>
      <c r="P1424" s="763"/>
      <c r="Q1424" s="763"/>
      <c r="R1424" s="763"/>
      <c r="S1424" s="763"/>
      <c r="T1424" s="763"/>
      <c r="U1424" s="763"/>
      <c r="V1424" s="763"/>
      <c r="W1424" s="763"/>
      <c r="X1424" s="763"/>
      <c r="Y1424" s="763"/>
      <c r="Z1424" s="763"/>
      <c r="AA1424" s="763"/>
      <c r="AB1424" s="763"/>
      <c r="AC1424" s="763"/>
      <c r="AD1424" s="763"/>
      <c r="AE1424" s="763"/>
      <c r="AF1424" s="763"/>
      <c r="AG1424" s="763"/>
    </row>
    <row r="1425">
      <c r="A1425" s="76" t="s">
        <v>9434</v>
      </c>
      <c r="B1425" s="27" t="s">
        <v>1187</v>
      </c>
      <c r="C1425" s="27"/>
      <c r="D1425" s="76"/>
      <c r="E1425" s="27" t="s">
        <v>10782</v>
      </c>
      <c r="F1425" s="27" t="s">
        <v>10783</v>
      </c>
      <c r="G1425" s="153">
        <v>46180.0</v>
      </c>
      <c r="H1425" s="153">
        <v>46213.0</v>
      </c>
      <c r="I1425" s="76">
        <f>IFERROR(__xludf.DUMMYFUNCTION("IF(ISBLANK(H1425), TODAY()-TO_DATE(G1425), TO_DATE(H1425)-TO_DATE(G1425))+1"),34.0)</f>
        <v>34</v>
      </c>
      <c r="J1425" s="76">
        <v>500.0</v>
      </c>
      <c r="K1425" s="999" t="s">
        <v>10785</v>
      </c>
      <c r="L1425" s="47"/>
      <c r="M1425" s="76" t="s">
        <v>9226</v>
      </c>
      <c r="N1425" s="763"/>
      <c r="O1425" s="763"/>
      <c r="P1425" s="763"/>
      <c r="Q1425" s="763"/>
      <c r="R1425" s="763"/>
      <c r="S1425" s="763"/>
      <c r="T1425" s="763"/>
      <c r="U1425" s="763"/>
      <c r="V1425" s="763"/>
      <c r="W1425" s="763"/>
      <c r="X1425" s="763"/>
      <c r="Y1425" s="763"/>
      <c r="Z1425" s="763"/>
      <c r="AA1425" s="763"/>
      <c r="AB1425" s="763"/>
      <c r="AC1425" s="763"/>
      <c r="AD1425" s="763"/>
      <c r="AE1425" s="763"/>
      <c r="AF1425" s="763"/>
      <c r="AG1425" s="763"/>
    </row>
    <row r="1426">
      <c r="A1426" s="76" t="s">
        <v>9987</v>
      </c>
      <c r="B1426" s="27" t="s">
        <v>1187</v>
      </c>
      <c r="C1426" s="27"/>
      <c r="D1426" s="76"/>
      <c r="E1426" s="27" t="s">
        <v>10788</v>
      </c>
      <c r="F1426" s="27" t="s">
        <v>10789</v>
      </c>
      <c r="G1426" s="153">
        <v>46185.0</v>
      </c>
      <c r="H1426" s="153">
        <v>46206.0</v>
      </c>
      <c r="I1426" s="76">
        <f>IFERROR(__xludf.DUMMYFUNCTION("IF(ISBLANK(H1426), TODAY()-TO_DATE(G1426), TO_DATE(H1426)-TO_DATE(G1426))+1"),22.0)</f>
        <v>22</v>
      </c>
      <c r="J1426" s="76">
        <v>500.0</v>
      </c>
      <c r="K1426" s="69" t="s">
        <v>10791</v>
      </c>
      <c r="L1426" s="47" t="s">
        <v>10792</v>
      </c>
      <c r="M1426" s="76" t="s">
        <v>9226</v>
      </c>
      <c r="N1426" s="153">
        <v>46180.0</v>
      </c>
      <c r="O1426" s="763"/>
      <c r="P1426" s="763"/>
      <c r="Q1426" s="763"/>
      <c r="R1426" s="763"/>
      <c r="S1426" s="763"/>
      <c r="T1426" s="763"/>
      <c r="U1426" s="763"/>
      <c r="V1426" s="763"/>
      <c r="W1426" s="763"/>
      <c r="X1426" s="763"/>
      <c r="Y1426" s="763"/>
      <c r="Z1426" s="763"/>
      <c r="AA1426" s="763"/>
      <c r="AB1426" s="763"/>
      <c r="AC1426" s="763"/>
      <c r="AD1426" s="763"/>
      <c r="AE1426" s="763"/>
      <c r="AF1426" s="763"/>
      <c r="AG1426" s="763"/>
    </row>
    <row r="1427">
      <c r="A1427" s="76" t="s">
        <v>9987</v>
      </c>
      <c r="B1427" s="27" t="s">
        <v>1187</v>
      </c>
      <c r="C1427" s="27"/>
      <c r="D1427" s="76"/>
      <c r="E1427" s="27" t="s">
        <v>6862</v>
      </c>
      <c r="F1427" s="27" t="s">
        <v>2814</v>
      </c>
      <c r="G1427" s="153">
        <v>46181.0</v>
      </c>
      <c r="H1427" s="153">
        <v>46189.0</v>
      </c>
      <c r="I1427" s="76">
        <f>IFERROR(__xludf.DUMMYFUNCTION("IF(ISBLANK(H1427), TODAY()-TO_DATE(G1427), TO_DATE(H1427)-TO_DATE(G1427))+1"),9.0)</f>
        <v>9</v>
      </c>
      <c r="J1427" s="76" t="s">
        <v>197</v>
      </c>
      <c r="K1427" s="69" t="s">
        <v>10794</v>
      </c>
      <c r="L1427" s="1008" t="s">
        <v>10698</v>
      </c>
      <c r="M1427" s="76" t="s">
        <v>9226</v>
      </c>
      <c r="N1427" s="763"/>
      <c r="O1427" s="763"/>
      <c r="P1427" s="763"/>
      <c r="Q1427" s="763"/>
      <c r="R1427" s="763"/>
      <c r="S1427" s="763"/>
      <c r="T1427" s="763"/>
      <c r="U1427" s="763"/>
      <c r="V1427" s="763"/>
      <c r="W1427" s="763"/>
      <c r="X1427" s="763"/>
      <c r="Y1427" s="763"/>
      <c r="Z1427" s="763"/>
      <c r="AA1427" s="763"/>
      <c r="AB1427" s="763"/>
      <c r="AC1427" s="763"/>
      <c r="AD1427" s="763"/>
      <c r="AE1427" s="763"/>
      <c r="AF1427" s="763"/>
      <c r="AG1427" s="763"/>
    </row>
    <row r="1428">
      <c r="A1428" s="76" t="s">
        <v>9987</v>
      </c>
      <c r="B1428" s="27" t="s">
        <v>1187</v>
      </c>
      <c r="C1428" s="27"/>
      <c r="D1428" s="76"/>
      <c r="E1428" s="27" t="s">
        <v>10798</v>
      </c>
      <c r="F1428" s="27" t="s">
        <v>1719</v>
      </c>
      <c r="G1428" s="153">
        <v>46181.0</v>
      </c>
      <c r="H1428" s="153">
        <v>46189.0</v>
      </c>
      <c r="I1428" s="76">
        <f>IFERROR(__xludf.DUMMYFUNCTION("IF(ISBLANK(H1428), TODAY()-TO_DATE(G1428), TO_DATE(H1428)-TO_DATE(G1428))+1"),9.0)</f>
        <v>9</v>
      </c>
      <c r="J1428" s="76">
        <v>300.0</v>
      </c>
      <c r="K1428" s="69" t="s">
        <v>9346</v>
      </c>
      <c r="L1428" s="47"/>
      <c r="M1428" s="76"/>
      <c r="N1428" s="763"/>
      <c r="O1428" s="763"/>
      <c r="P1428" s="763"/>
      <c r="Q1428" s="763"/>
      <c r="R1428" s="763"/>
      <c r="S1428" s="763"/>
      <c r="T1428" s="763"/>
      <c r="U1428" s="763"/>
      <c r="V1428" s="763"/>
      <c r="W1428" s="763"/>
      <c r="X1428" s="763"/>
      <c r="Y1428" s="763"/>
      <c r="Z1428" s="763"/>
      <c r="AA1428" s="763"/>
      <c r="AB1428" s="763"/>
      <c r="AC1428" s="763"/>
      <c r="AD1428" s="763"/>
      <c r="AE1428" s="763"/>
      <c r="AF1428" s="763"/>
      <c r="AG1428" s="763"/>
    </row>
    <row r="1429">
      <c r="A1429" s="76" t="s">
        <v>9987</v>
      </c>
      <c r="B1429" s="27" t="s">
        <v>1187</v>
      </c>
      <c r="C1429" s="27"/>
      <c r="D1429" s="76"/>
      <c r="E1429" s="27" t="s">
        <v>10801</v>
      </c>
      <c r="F1429" s="27" t="s">
        <v>10802</v>
      </c>
      <c r="G1429" s="153">
        <v>46181.0</v>
      </c>
      <c r="H1429" s="153">
        <v>46219.0</v>
      </c>
      <c r="I1429" s="76">
        <f>IFERROR(__xludf.DUMMYFUNCTION("IF(ISBLANK(H1429), TODAY()-TO_DATE(G1429), TO_DATE(H1429)-TO_DATE(G1429))+1"),39.0)</f>
        <v>39</v>
      </c>
      <c r="J1429" s="76">
        <v>500.0</v>
      </c>
      <c r="K1429" s="999" t="s">
        <v>10803</v>
      </c>
      <c r="L1429" s="158" t="s">
        <v>10805</v>
      </c>
      <c r="M1429" s="76" t="s">
        <v>9226</v>
      </c>
      <c r="N1429" s="763"/>
      <c r="O1429" s="763"/>
      <c r="P1429" s="763"/>
      <c r="Q1429" s="763"/>
      <c r="R1429" s="763"/>
      <c r="S1429" s="763"/>
      <c r="T1429" s="763"/>
      <c r="U1429" s="763"/>
      <c r="V1429" s="763"/>
      <c r="W1429" s="763"/>
      <c r="X1429" s="763"/>
      <c r="Y1429" s="763"/>
      <c r="Z1429" s="763"/>
      <c r="AA1429" s="763"/>
      <c r="AB1429" s="763"/>
      <c r="AC1429" s="763"/>
      <c r="AD1429" s="763"/>
      <c r="AE1429" s="763"/>
      <c r="AF1429" s="763"/>
      <c r="AG1429" s="763"/>
    </row>
    <row r="1430">
      <c r="A1430" s="76" t="s">
        <v>9987</v>
      </c>
      <c r="B1430" s="27" t="s">
        <v>1187</v>
      </c>
      <c r="C1430" s="27"/>
      <c r="D1430" s="76"/>
      <c r="E1430" s="27" t="s">
        <v>5563</v>
      </c>
      <c r="F1430" s="27" t="s">
        <v>10807</v>
      </c>
      <c r="G1430" s="153">
        <v>46181.0</v>
      </c>
      <c r="H1430" s="153">
        <v>46215.0</v>
      </c>
      <c r="I1430" s="76">
        <f>IFERROR(__xludf.DUMMYFUNCTION("IF(ISBLANK(H1430), TODAY()-TO_DATE(G1430), TO_DATE(H1430)-TO_DATE(G1430))+1"),35.0)</f>
        <v>35</v>
      </c>
      <c r="J1430" s="76">
        <v>500.0</v>
      </c>
      <c r="K1430" s="69" t="s">
        <v>10809</v>
      </c>
      <c r="L1430" s="47"/>
      <c r="M1430" s="76"/>
      <c r="N1430" s="763"/>
      <c r="O1430" s="763"/>
      <c r="P1430" s="763"/>
      <c r="Q1430" s="763"/>
      <c r="R1430" s="763"/>
      <c r="S1430" s="763"/>
      <c r="T1430" s="763"/>
      <c r="U1430" s="763"/>
      <c r="V1430" s="763"/>
      <c r="W1430" s="763"/>
      <c r="X1430" s="763"/>
      <c r="Y1430" s="763"/>
      <c r="Z1430" s="763"/>
      <c r="AA1430" s="763"/>
      <c r="AB1430" s="763"/>
      <c r="AC1430" s="763"/>
      <c r="AD1430" s="763"/>
      <c r="AE1430" s="763"/>
      <c r="AF1430" s="763"/>
      <c r="AG1430" s="763"/>
    </row>
    <row r="1431">
      <c r="A1431" s="76" t="s">
        <v>9987</v>
      </c>
      <c r="B1431" s="27" t="s">
        <v>1187</v>
      </c>
      <c r="C1431" s="27"/>
      <c r="D1431" s="76"/>
      <c r="E1431" s="27" t="s">
        <v>2997</v>
      </c>
      <c r="F1431" s="27" t="s">
        <v>2998</v>
      </c>
      <c r="G1431" s="153">
        <v>46181.0</v>
      </c>
      <c r="H1431" s="153">
        <v>46246.0</v>
      </c>
      <c r="I1431" s="76">
        <f>IFERROR(__xludf.DUMMYFUNCTION("IF(ISBLANK(H1431), TODAY()-TO_DATE(G1431), TO_DATE(H1431)-TO_DATE(G1431))+1"),66.0)</f>
        <v>66</v>
      </c>
      <c r="J1431" s="76" t="s">
        <v>197</v>
      </c>
      <c r="K1431" s="997" t="s">
        <v>10812</v>
      </c>
      <c r="L1431" s="47"/>
      <c r="M1431" s="76"/>
      <c r="N1431" s="763"/>
      <c r="O1431" s="763"/>
      <c r="P1431" s="763"/>
      <c r="Q1431" s="763"/>
      <c r="R1431" s="763"/>
      <c r="S1431" s="763"/>
      <c r="T1431" s="763"/>
      <c r="U1431" s="763"/>
      <c r="V1431" s="763"/>
      <c r="W1431" s="763"/>
      <c r="X1431" s="763"/>
      <c r="Y1431" s="763"/>
      <c r="Z1431" s="763"/>
      <c r="AA1431" s="763"/>
      <c r="AB1431" s="763"/>
      <c r="AC1431" s="763"/>
      <c r="AD1431" s="763"/>
      <c r="AE1431" s="763"/>
      <c r="AF1431" s="763"/>
      <c r="AG1431" s="763"/>
    </row>
    <row r="1432">
      <c r="A1432" s="76" t="s">
        <v>9987</v>
      </c>
      <c r="B1432" s="27" t="s">
        <v>1187</v>
      </c>
      <c r="C1432" s="27"/>
      <c r="D1432" s="76"/>
      <c r="E1432" s="27" t="s">
        <v>6243</v>
      </c>
      <c r="F1432" s="27" t="s">
        <v>2362</v>
      </c>
      <c r="G1432" s="153">
        <v>46181.0</v>
      </c>
      <c r="H1432" s="153">
        <v>46246.0</v>
      </c>
      <c r="I1432" s="76">
        <f>IFERROR(__xludf.DUMMYFUNCTION("IF(ISBLANK(H1432), TODAY()-TO_DATE(G1432), TO_DATE(H1432)-TO_DATE(G1432))+1"),66.0)</f>
        <v>66</v>
      </c>
      <c r="J1432" s="76" t="s">
        <v>197</v>
      </c>
      <c r="K1432" s="997" t="s">
        <v>10816</v>
      </c>
      <c r="L1432" s="1008" t="s">
        <v>10817</v>
      </c>
      <c r="M1432" s="76"/>
      <c r="N1432" s="763"/>
      <c r="O1432" s="763"/>
      <c r="P1432" s="763"/>
      <c r="Q1432" s="763"/>
      <c r="R1432" s="763"/>
      <c r="S1432" s="763"/>
      <c r="T1432" s="763"/>
      <c r="U1432" s="763"/>
      <c r="V1432" s="763"/>
      <c r="W1432" s="763"/>
      <c r="X1432" s="763"/>
      <c r="Y1432" s="763"/>
      <c r="Z1432" s="763"/>
      <c r="AA1432" s="763"/>
      <c r="AB1432" s="763"/>
      <c r="AC1432" s="763"/>
      <c r="AD1432" s="763"/>
      <c r="AE1432" s="763"/>
      <c r="AF1432" s="763"/>
      <c r="AG1432" s="763"/>
    </row>
    <row r="1433">
      <c r="A1433" s="76" t="s">
        <v>2451</v>
      </c>
      <c r="B1433" s="27" t="s">
        <v>1187</v>
      </c>
      <c r="C1433" s="27"/>
      <c r="D1433" s="76" t="s">
        <v>9500</v>
      </c>
      <c r="E1433" s="27" t="s">
        <v>3217</v>
      </c>
      <c r="F1433" s="27" t="s">
        <v>3218</v>
      </c>
      <c r="G1433" s="153">
        <v>46181.0</v>
      </c>
      <c r="H1433" s="153">
        <v>46185.0</v>
      </c>
      <c r="I1433" s="76">
        <f>IFERROR(__xludf.DUMMYFUNCTION("IF(ISBLANK(H1433), TODAY()-TO_DATE(G1433), TO_DATE(H1433)-TO_DATE(G1433))+1"),5.0)</f>
        <v>5</v>
      </c>
      <c r="J1433" s="76">
        <v>300.0</v>
      </c>
      <c r="K1433" s="69" t="s">
        <v>10818</v>
      </c>
      <c r="L1433" s="47"/>
      <c r="M1433" s="76"/>
      <c r="N1433" s="763"/>
      <c r="O1433" s="763"/>
      <c r="P1433" s="763"/>
      <c r="Q1433" s="763"/>
      <c r="R1433" s="763"/>
      <c r="S1433" s="763"/>
      <c r="T1433" s="763"/>
      <c r="U1433" s="763"/>
      <c r="V1433" s="763"/>
      <c r="W1433" s="763"/>
      <c r="X1433" s="763"/>
      <c r="Y1433" s="763"/>
      <c r="Z1433" s="763"/>
      <c r="AA1433" s="763"/>
      <c r="AB1433" s="763"/>
      <c r="AC1433" s="763"/>
      <c r="AD1433" s="763"/>
      <c r="AE1433" s="763"/>
      <c r="AF1433" s="763"/>
      <c r="AG1433" s="763"/>
    </row>
    <row r="1434">
      <c r="A1434" s="76" t="s">
        <v>1448</v>
      </c>
      <c r="B1434" s="27" t="s">
        <v>1187</v>
      </c>
      <c r="C1434" s="27"/>
      <c r="D1434" s="76" t="s">
        <v>9500</v>
      </c>
      <c r="E1434" s="27" t="s">
        <v>10819</v>
      </c>
      <c r="F1434" s="27" t="s">
        <v>10821</v>
      </c>
      <c r="G1434" s="153">
        <v>46181.0</v>
      </c>
      <c r="H1434" s="153">
        <v>46197.0</v>
      </c>
      <c r="I1434" s="76">
        <f>IFERROR(__xludf.DUMMYFUNCTION("IF(ISBLANK(H1434), TODAY()-TO_DATE(G1434), TO_DATE(H1434)-TO_DATE(G1434))+1"),17.0)</f>
        <v>17</v>
      </c>
      <c r="J1434" s="76">
        <v>500.0</v>
      </c>
      <c r="K1434" s="69" t="s">
        <v>10823</v>
      </c>
      <c r="L1434" s="69"/>
      <c r="M1434" s="76"/>
      <c r="N1434" s="763"/>
      <c r="O1434" s="763"/>
      <c r="P1434" s="763"/>
      <c r="Q1434" s="763"/>
      <c r="R1434" s="763"/>
      <c r="S1434" s="763"/>
      <c r="T1434" s="763"/>
      <c r="U1434" s="763"/>
      <c r="V1434" s="763"/>
      <c r="W1434" s="763"/>
      <c r="X1434" s="763"/>
      <c r="Y1434" s="763"/>
      <c r="Z1434" s="763"/>
      <c r="AA1434" s="763"/>
      <c r="AB1434" s="763"/>
      <c r="AC1434" s="763"/>
      <c r="AD1434" s="763"/>
      <c r="AE1434" s="763"/>
      <c r="AF1434" s="763"/>
      <c r="AG1434" s="763"/>
    </row>
    <row r="1435">
      <c r="A1435" s="76" t="s">
        <v>9987</v>
      </c>
      <c r="B1435" s="27" t="s">
        <v>1187</v>
      </c>
      <c r="C1435" s="27"/>
      <c r="D1435" s="76" t="s">
        <v>9500</v>
      </c>
      <c r="E1435" s="27" t="s">
        <v>6851</v>
      </c>
      <c r="F1435" s="27" t="s">
        <v>6852</v>
      </c>
      <c r="G1435" s="153">
        <v>46181.0</v>
      </c>
      <c r="H1435" s="153">
        <v>46240.0</v>
      </c>
      <c r="I1435" s="76">
        <f>IFERROR(__xludf.DUMMYFUNCTION("IF(ISBLANK(H1435), TODAY()-TO_DATE(G1435), TO_DATE(H1435)-TO_DATE(G1435))+1"),60.0)</f>
        <v>60</v>
      </c>
      <c r="J1435" s="76" t="s">
        <v>197</v>
      </c>
      <c r="K1435" s="69" t="s">
        <v>10824</v>
      </c>
      <c r="L1435" s="47"/>
      <c r="M1435" s="76" t="s">
        <v>9226</v>
      </c>
      <c r="N1435" s="763"/>
      <c r="O1435" s="763"/>
      <c r="P1435" s="763"/>
      <c r="Q1435" s="763"/>
      <c r="R1435" s="763"/>
      <c r="S1435" s="763"/>
      <c r="T1435" s="763"/>
      <c r="U1435" s="763"/>
      <c r="V1435" s="763"/>
      <c r="W1435" s="763"/>
      <c r="X1435" s="763"/>
      <c r="Y1435" s="763"/>
      <c r="Z1435" s="763"/>
      <c r="AA1435" s="763"/>
      <c r="AB1435" s="763"/>
      <c r="AC1435" s="763"/>
      <c r="AD1435" s="763"/>
      <c r="AE1435" s="763"/>
      <c r="AF1435" s="763"/>
      <c r="AG1435" s="763"/>
    </row>
    <row r="1436">
      <c r="A1436" s="76" t="s">
        <v>1032</v>
      </c>
      <c r="B1436" s="27" t="s">
        <v>1187</v>
      </c>
      <c r="C1436" s="27"/>
      <c r="D1436" s="76" t="s">
        <v>6570</v>
      </c>
      <c r="E1436" s="27" t="s">
        <v>1117</v>
      </c>
      <c r="F1436" s="27" t="s">
        <v>1118</v>
      </c>
      <c r="G1436" s="153">
        <v>46181.0</v>
      </c>
      <c r="H1436" s="153">
        <v>46243.0</v>
      </c>
      <c r="I1436" s="76">
        <f>IFERROR(__xludf.DUMMYFUNCTION("IF(ISBLANK(H1436), TODAY()-TO_DATE(G1436), TO_DATE(H1436)-TO_DATE(G1436))+1"),63.0)</f>
        <v>63</v>
      </c>
      <c r="J1436" s="76" t="s">
        <v>197</v>
      </c>
      <c r="K1436" s="997" t="s">
        <v>10825</v>
      </c>
      <c r="L1436" s="1008" t="s">
        <v>10826</v>
      </c>
      <c r="M1436" s="76" t="s">
        <v>9226</v>
      </c>
      <c r="N1436" s="763"/>
      <c r="O1436" s="763"/>
      <c r="P1436" s="763"/>
      <c r="Q1436" s="763"/>
      <c r="R1436" s="763"/>
      <c r="S1436" s="763"/>
      <c r="T1436" s="763"/>
      <c r="U1436" s="763"/>
      <c r="V1436" s="763"/>
      <c r="W1436" s="763"/>
      <c r="X1436" s="763"/>
      <c r="Y1436" s="763"/>
      <c r="Z1436" s="763"/>
      <c r="AA1436" s="763"/>
      <c r="AB1436" s="763"/>
      <c r="AC1436" s="763"/>
      <c r="AD1436" s="763"/>
      <c r="AE1436" s="763"/>
      <c r="AF1436" s="763"/>
      <c r="AG1436" s="763"/>
    </row>
    <row r="1437">
      <c r="A1437" s="76" t="s">
        <v>1032</v>
      </c>
      <c r="B1437" s="27" t="s">
        <v>1187</v>
      </c>
      <c r="C1437" s="27"/>
      <c r="D1437" s="76" t="s">
        <v>6570</v>
      </c>
      <c r="E1437" s="27" t="s">
        <v>2625</v>
      </c>
      <c r="F1437" s="27" t="s">
        <v>2626</v>
      </c>
      <c r="G1437" s="153">
        <v>46181.0</v>
      </c>
      <c r="H1437" s="153">
        <v>46203.0</v>
      </c>
      <c r="I1437" s="76">
        <f>IFERROR(__xludf.DUMMYFUNCTION("IF(ISBLANK(H1437), TODAY()-TO_DATE(G1437), TO_DATE(H1437)-TO_DATE(G1437))+1"),23.0)</f>
        <v>23</v>
      </c>
      <c r="J1437" s="76" t="s">
        <v>197</v>
      </c>
      <c r="K1437" s="69" t="s">
        <v>10825</v>
      </c>
      <c r="L1437" s="47"/>
      <c r="M1437" s="76" t="s">
        <v>9226</v>
      </c>
      <c r="N1437" s="763"/>
      <c r="O1437" s="763"/>
      <c r="P1437" s="763"/>
      <c r="Q1437" s="763"/>
      <c r="R1437" s="763"/>
      <c r="S1437" s="763"/>
      <c r="T1437" s="763"/>
      <c r="U1437" s="763"/>
      <c r="V1437" s="763"/>
      <c r="W1437" s="763"/>
      <c r="X1437" s="763"/>
      <c r="Y1437" s="763"/>
      <c r="Z1437" s="763"/>
      <c r="AA1437" s="763"/>
      <c r="AB1437" s="763"/>
      <c r="AC1437" s="763"/>
      <c r="AD1437" s="763"/>
      <c r="AE1437" s="763"/>
      <c r="AF1437" s="763"/>
      <c r="AG1437" s="763"/>
    </row>
    <row r="1438">
      <c r="A1438" s="76" t="s">
        <v>1923</v>
      </c>
      <c r="B1438" s="27" t="s">
        <v>1187</v>
      </c>
      <c r="C1438" s="27"/>
      <c r="D1438" s="76" t="s">
        <v>6570</v>
      </c>
      <c r="E1438" s="27" t="s">
        <v>6553</v>
      </c>
      <c r="F1438" s="27" t="s">
        <v>1447</v>
      </c>
      <c r="G1438" s="153">
        <v>46181.0</v>
      </c>
      <c r="H1438" s="153">
        <v>46243.0</v>
      </c>
      <c r="I1438" s="76">
        <f>IFERROR(__xludf.DUMMYFUNCTION("IF(ISBLANK(H1438), TODAY()-TO_DATE(G1438), TO_DATE(H1438)-TO_DATE(G1438))+1"),63.0)</f>
        <v>63</v>
      </c>
      <c r="J1438" s="76" t="s">
        <v>197</v>
      </c>
      <c r="K1438" s="69" t="s">
        <v>10828</v>
      </c>
      <c r="L1438" s="47"/>
      <c r="M1438" s="76"/>
      <c r="N1438" s="763"/>
      <c r="O1438" s="763"/>
      <c r="P1438" s="763"/>
      <c r="Q1438" s="763"/>
      <c r="R1438" s="763"/>
      <c r="S1438" s="763"/>
      <c r="T1438" s="763"/>
      <c r="U1438" s="763"/>
      <c r="V1438" s="763"/>
      <c r="W1438" s="763"/>
      <c r="X1438" s="763"/>
      <c r="Y1438" s="763"/>
      <c r="Z1438" s="763"/>
      <c r="AA1438" s="763"/>
      <c r="AB1438" s="763"/>
      <c r="AC1438" s="763"/>
      <c r="AD1438" s="763"/>
      <c r="AE1438" s="763"/>
      <c r="AF1438" s="763"/>
      <c r="AG1438" s="763"/>
    </row>
    <row r="1439">
      <c r="A1439" s="76" t="s">
        <v>2451</v>
      </c>
      <c r="B1439" s="27" t="s">
        <v>1187</v>
      </c>
      <c r="C1439" s="27"/>
      <c r="D1439" s="76"/>
      <c r="E1439" s="27" t="s">
        <v>10448</v>
      </c>
      <c r="F1439" s="27" t="s">
        <v>2100</v>
      </c>
      <c r="G1439" s="153">
        <v>46183.0</v>
      </c>
      <c r="H1439" s="153">
        <v>46202.0</v>
      </c>
      <c r="I1439" s="76">
        <f>IFERROR(__xludf.DUMMYFUNCTION("IF(ISBLANK(H1439), TODAY()-TO_DATE(G1439), TO_DATE(H1439)-TO_DATE(G1439))+1"),20.0)</f>
        <v>20</v>
      </c>
      <c r="J1439" s="76">
        <v>300.0</v>
      </c>
      <c r="K1439" s="69" t="s">
        <v>10834</v>
      </c>
      <c r="L1439" s="158" t="s">
        <v>10265</v>
      </c>
      <c r="M1439" s="76"/>
      <c r="N1439" s="763"/>
      <c r="O1439" s="763"/>
      <c r="P1439" s="763"/>
      <c r="Q1439" s="763"/>
      <c r="R1439" s="763"/>
      <c r="S1439" s="763"/>
      <c r="T1439" s="763"/>
      <c r="U1439" s="763"/>
      <c r="V1439" s="763"/>
      <c r="W1439" s="763"/>
      <c r="X1439" s="763"/>
      <c r="Y1439" s="763"/>
      <c r="Z1439" s="763"/>
      <c r="AA1439" s="763"/>
      <c r="AB1439" s="763"/>
      <c r="AC1439" s="763"/>
      <c r="AD1439" s="763"/>
      <c r="AE1439" s="763"/>
      <c r="AF1439" s="763"/>
      <c r="AG1439" s="763"/>
    </row>
    <row r="1440">
      <c r="A1440" s="76" t="s">
        <v>150</v>
      </c>
      <c r="B1440" s="27" t="s">
        <v>1187</v>
      </c>
      <c r="C1440" s="27"/>
      <c r="D1440" s="76"/>
      <c r="E1440" s="27" t="s">
        <v>4932</v>
      </c>
      <c r="F1440" s="27" t="s">
        <v>1018</v>
      </c>
      <c r="G1440" s="153">
        <v>46183.0</v>
      </c>
      <c r="H1440" s="153">
        <v>46195.0</v>
      </c>
      <c r="I1440" s="76">
        <f>IFERROR(__xludf.DUMMYFUNCTION("IF(ISBLANK(H1440), TODAY()-TO_DATE(G1440), TO_DATE(H1440)-TO_DATE(G1440))+1"),13.0)</f>
        <v>13</v>
      </c>
      <c r="J1440" s="76">
        <v>300.0</v>
      </c>
      <c r="K1440" s="69" t="s">
        <v>10835</v>
      </c>
      <c r="L1440" s="47"/>
      <c r="M1440" s="76" t="s">
        <v>9226</v>
      </c>
      <c r="N1440" s="763"/>
      <c r="O1440" s="763"/>
      <c r="P1440" s="763"/>
      <c r="Q1440" s="763"/>
      <c r="R1440" s="763"/>
      <c r="S1440" s="763"/>
      <c r="T1440" s="763"/>
      <c r="U1440" s="763"/>
      <c r="V1440" s="763"/>
      <c r="W1440" s="763"/>
      <c r="X1440" s="763"/>
      <c r="Y1440" s="763"/>
      <c r="Z1440" s="763"/>
      <c r="AA1440" s="763"/>
      <c r="AB1440" s="763"/>
      <c r="AC1440" s="763"/>
      <c r="AD1440" s="763"/>
      <c r="AE1440" s="763"/>
      <c r="AF1440" s="763"/>
      <c r="AG1440" s="763"/>
    </row>
    <row r="1441">
      <c r="A1441" s="76" t="s">
        <v>1032</v>
      </c>
      <c r="B1441" s="27" t="s">
        <v>1187</v>
      </c>
      <c r="C1441" s="27"/>
      <c r="D1441" s="76"/>
      <c r="E1441" s="27" t="s">
        <v>10361</v>
      </c>
      <c r="F1441" s="27" t="s">
        <v>10362</v>
      </c>
      <c r="G1441" s="153">
        <v>46183.0</v>
      </c>
      <c r="H1441" s="153">
        <v>46217.0</v>
      </c>
      <c r="I1441" s="76">
        <f>IFERROR(__xludf.DUMMYFUNCTION("IF(ISBLANK(H1441), TODAY()-TO_DATE(G1441), TO_DATE(H1441)-TO_DATE(G1441))+1"),35.0)</f>
        <v>35</v>
      </c>
      <c r="J1441" s="76">
        <v>500.0</v>
      </c>
      <c r="K1441" s="999" t="s">
        <v>10842</v>
      </c>
      <c r="L1441" s="158" t="s">
        <v>10843</v>
      </c>
      <c r="M1441" s="76" t="s">
        <v>9226</v>
      </c>
      <c r="N1441" s="763"/>
      <c r="O1441" s="763"/>
      <c r="P1441" s="763"/>
      <c r="Q1441" s="763"/>
      <c r="R1441" s="763"/>
      <c r="S1441" s="763"/>
      <c r="T1441" s="763"/>
      <c r="U1441" s="763"/>
      <c r="V1441" s="763"/>
      <c r="W1441" s="763"/>
      <c r="X1441" s="763"/>
      <c r="Y1441" s="763"/>
      <c r="Z1441" s="763"/>
      <c r="AA1441" s="763"/>
      <c r="AB1441" s="763"/>
      <c r="AC1441" s="763"/>
      <c r="AD1441" s="763"/>
      <c r="AE1441" s="763"/>
      <c r="AF1441" s="763"/>
      <c r="AG1441" s="763"/>
    </row>
    <row r="1442">
      <c r="A1442" s="76" t="s">
        <v>1566</v>
      </c>
      <c r="B1442" s="27" t="s">
        <v>1187</v>
      </c>
      <c r="C1442" s="27"/>
      <c r="D1442" s="76"/>
      <c r="E1442" s="27" t="s">
        <v>6983</v>
      </c>
      <c r="F1442" s="27" t="s">
        <v>2293</v>
      </c>
      <c r="G1442" s="153">
        <v>46183.0</v>
      </c>
      <c r="H1442" s="153">
        <v>46193.0</v>
      </c>
      <c r="I1442" s="76">
        <f>IFERROR(__xludf.DUMMYFUNCTION("IF(ISBLANK(H1442), TODAY()-TO_DATE(G1442), TO_DATE(H1442)-TO_DATE(G1442))+1"),11.0)</f>
        <v>11</v>
      </c>
      <c r="J1442" s="76" t="s">
        <v>197</v>
      </c>
      <c r="K1442" s="999" t="s">
        <v>10102</v>
      </c>
      <c r="L1442" s="47"/>
      <c r="M1442" s="76" t="s">
        <v>9226</v>
      </c>
      <c r="N1442" s="763"/>
      <c r="O1442" s="763"/>
      <c r="P1442" s="763"/>
      <c r="Q1442" s="763"/>
      <c r="R1442" s="763"/>
      <c r="S1442" s="763"/>
      <c r="T1442" s="763"/>
      <c r="U1442" s="763"/>
      <c r="V1442" s="763"/>
      <c r="W1442" s="763"/>
      <c r="X1442" s="763"/>
      <c r="Y1442" s="763"/>
      <c r="Z1442" s="763"/>
      <c r="AA1442" s="763"/>
      <c r="AB1442" s="763"/>
      <c r="AC1442" s="763"/>
      <c r="AD1442" s="763"/>
      <c r="AE1442" s="763"/>
      <c r="AF1442" s="763"/>
      <c r="AG1442" s="763"/>
    </row>
    <row r="1443">
      <c r="A1443" s="76" t="s">
        <v>1566</v>
      </c>
      <c r="B1443" s="27" t="s">
        <v>1187</v>
      </c>
      <c r="C1443" s="27"/>
      <c r="D1443" s="76"/>
      <c r="E1443" s="27" t="s">
        <v>7622</v>
      </c>
      <c r="F1443" s="27" t="s">
        <v>7623</v>
      </c>
      <c r="G1443" s="153">
        <v>46183.0</v>
      </c>
      <c r="H1443" s="153">
        <v>46189.0</v>
      </c>
      <c r="I1443" s="76">
        <f>IFERROR(__xludf.DUMMYFUNCTION("IF(ISBLANK(H1443), TODAY()-TO_DATE(G1443), TO_DATE(H1443)-TO_DATE(G1443))+1"),7.0)</f>
        <v>7</v>
      </c>
      <c r="J1443" s="76" t="s">
        <v>197</v>
      </c>
      <c r="K1443" s="69" t="s">
        <v>10846</v>
      </c>
      <c r="L1443" s="47"/>
      <c r="M1443" s="76"/>
      <c r="N1443" s="763"/>
      <c r="O1443" s="763"/>
      <c r="P1443" s="763"/>
      <c r="Q1443" s="763"/>
      <c r="R1443" s="763"/>
      <c r="S1443" s="763"/>
      <c r="T1443" s="763"/>
      <c r="U1443" s="763"/>
      <c r="V1443" s="763"/>
      <c r="W1443" s="763"/>
      <c r="X1443" s="763"/>
      <c r="Y1443" s="763"/>
      <c r="Z1443" s="763"/>
      <c r="AA1443" s="763"/>
      <c r="AB1443" s="763"/>
      <c r="AC1443" s="763"/>
      <c r="AD1443" s="763"/>
      <c r="AE1443" s="763"/>
      <c r="AF1443" s="763"/>
      <c r="AG1443" s="763"/>
    </row>
    <row r="1444">
      <c r="A1444" s="76" t="s">
        <v>9987</v>
      </c>
      <c r="B1444" s="27" t="s">
        <v>1187</v>
      </c>
      <c r="C1444" s="27"/>
      <c r="D1444" s="76"/>
      <c r="E1444" s="27" t="s">
        <v>10848</v>
      </c>
      <c r="F1444" s="27" t="s">
        <v>2802</v>
      </c>
      <c r="G1444" s="153">
        <v>46183.0</v>
      </c>
      <c r="H1444" s="153">
        <v>46193.0</v>
      </c>
      <c r="I1444" s="76">
        <f>IFERROR(__xludf.DUMMYFUNCTION("IF(ISBLANK(H1444), TODAY()-TO_DATE(G1444), TO_DATE(H1444)-TO_DATE(G1444))+1"),11.0)</f>
        <v>11</v>
      </c>
      <c r="J1444" s="76">
        <v>300.0</v>
      </c>
      <c r="K1444" s="997" t="s">
        <v>10852</v>
      </c>
      <c r="L1444" s="158" t="s">
        <v>10853</v>
      </c>
      <c r="M1444" s="76" t="s">
        <v>9226</v>
      </c>
      <c r="N1444" s="763"/>
      <c r="O1444" s="763"/>
      <c r="P1444" s="763"/>
      <c r="Q1444" s="763"/>
      <c r="R1444" s="763"/>
      <c r="S1444" s="763"/>
      <c r="T1444" s="763"/>
      <c r="U1444" s="763"/>
      <c r="V1444" s="763"/>
      <c r="W1444" s="763"/>
      <c r="X1444" s="763"/>
      <c r="Y1444" s="763"/>
      <c r="Z1444" s="763"/>
      <c r="AA1444" s="763"/>
      <c r="AB1444" s="763"/>
      <c r="AC1444" s="763"/>
      <c r="AD1444" s="763"/>
      <c r="AE1444" s="763"/>
      <c r="AF1444" s="763"/>
      <c r="AG1444" s="763"/>
    </row>
    <row r="1445">
      <c r="A1445" s="76" t="s">
        <v>9987</v>
      </c>
      <c r="B1445" s="27" t="s">
        <v>1187</v>
      </c>
      <c r="C1445" s="27"/>
      <c r="D1445" s="76"/>
      <c r="E1445" s="27" t="s">
        <v>10855</v>
      </c>
      <c r="F1445" s="27" t="s">
        <v>1391</v>
      </c>
      <c r="G1445" s="153">
        <v>46183.0</v>
      </c>
      <c r="H1445" s="153">
        <v>46191.0</v>
      </c>
      <c r="I1445" s="76">
        <f>IFERROR(__xludf.DUMMYFUNCTION("IF(ISBLANK(H1445), TODAY()-TO_DATE(G1445), TO_DATE(H1445)-TO_DATE(G1445))+1"),9.0)</f>
        <v>9</v>
      </c>
      <c r="J1445" s="76">
        <v>500.0</v>
      </c>
      <c r="K1445" s="999" t="s">
        <v>8582</v>
      </c>
      <c r="L1445" s="47" t="s">
        <v>10858</v>
      </c>
      <c r="M1445" s="160" t="s">
        <v>10859</v>
      </c>
      <c r="N1445" s="763"/>
      <c r="O1445" s="763"/>
      <c r="P1445" s="763"/>
      <c r="Q1445" s="763"/>
      <c r="R1445" s="763"/>
      <c r="S1445" s="763"/>
      <c r="T1445" s="763"/>
      <c r="U1445" s="763"/>
      <c r="V1445" s="763"/>
      <c r="W1445" s="763"/>
      <c r="X1445" s="763"/>
      <c r="Y1445" s="763"/>
      <c r="Z1445" s="763"/>
      <c r="AA1445" s="763"/>
      <c r="AB1445" s="763"/>
      <c r="AC1445" s="763"/>
      <c r="AD1445" s="763"/>
      <c r="AE1445" s="763"/>
      <c r="AF1445" s="763"/>
      <c r="AG1445" s="763"/>
    </row>
    <row r="1446">
      <c r="A1446" s="76" t="s">
        <v>9987</v>
      </c>
      <c r="B1446" s="27" t="s">
        <v>1187</v>
      </c>
      <c r="C1446" s="27"/>
      <c r="D1446" s="76"/>
      <c r="E1446" s="27" t="s">
        <v>1829</v>
      </c>
      <c r="F1446" s="27" t="s">
        <v>1830</v>
      </c>
      <c r="G1446" s="153">
        <v>46183.0</v>
      </c>
      <c r="H1446" s="153">
        <v>46243.0</v>
      </c>
      <c r="I1446" s="76">
        <f>IFERROR(__xludf.DUMMYFUNCTION("IF(ISBLANK(H1446), TODAY()-TO_DATE(G1446), TO_DATE(H1446)-TO_DATE(G1446))+1"),61.0)</f>
        <v>61</v>
      </c>
      <c r="J1446" s="76" t="s">
        <v>197</v>
      </c>
      <c r="K1446" s="69" t="s">
        <v>10862</v>
      </c>
      <c r="L1446" s="158" t="s">
        <v>10863</v>
      </c>
      <c r="M1446" s="76" t="s">
        <v>9226</v>
      </c>
      <c r="N1446" s="763"/>
      <c r="O1446" s="763"/>
      <c r="P1446" s="763"/>
      <c r="Q1446" s="763"/>
      <c r="R1446" s="763"/>
      <c r="S1446" s="763"/>
      <c r="T1446" s="763"/>
      <c r="U1446" s="763"/>
      <c r="V1446" s="763"/>
      <c r="W1446" s="763"/>
      <c r="X1446" s="763"/>
      <c r="Y1446" s="763"/>
      <c r="Z1446" s="763"/>
      <c r="AA1446" s="763"/>
      <c r="AB1446" s="763"/>
      <c r="AC1446" s="763"/>
      <c r="AD1446" s="763"/>
      <c r="AE1446" s="763"/>
      <c r="AF1446" s="763"/>
      <c r="AG1446" s="763"/>
    </row>
    <row r="1447">
      <c r="A1447" s="76" t="s">
        <v>9987</v>
      </c>
      <c r="B1447" s="27" t="s">
        <v>1187</v>
      </c>
      <c r="C1447" s="27"/>
      <c r="D1447" s="76"/>
      <c r="E1447" s="27" t="s">
        <v>5266</v>
      </c>
      <c r="F1447" s="27" t="s">
        <v>5267</v>
      </c>
      <c r="G1447" s="153">
        <v>46183.0</v>
      </c>
      <c r="H1447" s="153">
        <v>46240.0</v>
      </c>
      <c r="I1447" s="76">
        <f>IFERROR(__xludf.DUMMYFUNCTION("IF(ISBLANK(H1447), TODAY()-TO_DATE(G1447), TO_DATE(H1447)-TO_DATE(G1447))+1"),58.0)</f>
        <v>58</v>
      </c>
      <c r="J1447" s="76" t="s">
        <v>197</v>
      </c>
      <c r="K1447" s="69" t="s">
        <v>10867</v>
      </c>
      <c r="L1447" s="47" t="s">
        <v>10868</v>
      </c>
      <c r="M1447" s="76"/>
      <c r="N1447" s="763"/>
      <c r="O1447" s="763"/>
      <c r="P1447" s="763"/>
      <c r="Q1447" s="763"/>
      <c r="R1447" s="763"/>
      <c r="S1447" s="763"/>
      <c r="T1447" s="763"/>
      <c r="U1447" s="763"/>
      <c r="V1447" s="763"/>
      <c r="W1447" s="763"/>
      <c r="X1447" s="763"/>
      <c r="Y1447" s="763"/>
      <c r="Z1447" s="763"/>
      <c r="AA1447" s="763"/>
      <c r="AB1447" s="763"/>
      <c r="AC1447" s="763"/>
      <c r="AD1447" s="763"/>
      <c r="AE1447" s="763"/>
      <c r="AF1447" s="763"/>
      <c r="AG1447" s="763"/>
    </row>
    <row r="1448">
      <c r="A1448" s="76" t="s">
        <v>2451</v>
      </c>
      <c r="B1448" s="27" t="s">
        <v>1187</v>
      </c>
      <c r="C1448" s="27"/>
      <c r="D1448" s="76"/>
      <c r="E1448" s="27" t="s">
        <v>406</v>
      </c>
      <c r="F1448" s="27" t="s">
        <v>407</v>
      </c>
      <c r="G1448" s="153">
        <v>46184.0</v>
      </c>
      <c r="H1448" s="153">
        <v>46208.0</v>
      </c>
      <c r="I1448" s="76">
        <f>IFERROR(__xludf.DUMMYFUNCTION("IF(ISBLANK(H1448), TODAY()-TO_DATE(G1448), TO_DATE(H1448)-TO_DATE(G1448))+1"),25.0)</f>
        <v>25</v>
      </c>
      <c r="J1448" s="76" t="s">
        <v>197</v>
      </c>
      <c r="K1448" s="69" t="s">
        <v>10871</v>
      </c>
      <c r="L1448" s="47" t="s">
        <v>10872</v>
      </c>
      <c r="M1448" s="76" t="s">
        <v>9226</v>
      </c>
      <c r="N1448" s="763"/>
      <c r="O1448" s="763"/>
      <c r="P1448" s="763"/>
      <c r="Q1448" s="763"/>
      <c r="R1448" s="763"/>
      <c r="S1448" s="763"/>
      <c r="T1448" s="763"/>
      <c r="U1448" s="763"/>
      <c r="V1448" s="763"/>
      <c r="W1448" s="763"/>
      <c r="X1448" s="763"/>
      <c r="Y1448" s="763"/>
      <c r="Z1448" s="763"/>
      <c r="AA1448" s="763"/>
      <c r="AB1448" s="763"/>
      <c r="AC1448" s="763"/>
      <c r="AD1448" s="763"/>
      <c r="AE1448" s="763"/>
      <c r="AF1448" s="763"/>
      <c r="AG1448" s="763"/>
    </row>
    <row r="1449">
      <c r="A1449" s="76" t="s">
        <v>150</v>
      </c>
      <c r="B1449" s="27" t="s">
        <v>1187</v>
      </c>
      <c r="C1449" s="27"/>
      <c r="D1449" s="76"/>
      <c r="E1449" s="27" t="s">
        <v>985</v>
      </c>
      <c r="F1449" s="27" t="s">
        <v>986</v>
      </c>
      <c r="G1449" s="153">
        <v>46184.0</v>
      </c>
      <c r="H1449" s="153">
        <v>46208.0</v>
      </c>
      <c r="I1449" s="76">
        <f>IFERROR(__xludf.DUMMYFUNCTION("IF(ISBLANK(H1449), TODAY()-TO_DATE(G1449), TO_DATE(H1449)-TO_DATE(G1449))+1"),25.0)</f>
        <v>25</v>
      </c>
      <c r="J1449" s="76" t="s">
        <v>197</v>
      </c>
      <c r="K1449" s="69" t="s">
        <v>10875</v>
      </c>
      <c r="L1449" s="47"/>
      <c r="M1449" s="76"/>
      <c r="N1449" s="763"/>
      <c r="O1449" s="763"/>
      <c r="P1449" s="763"/>
      <c r="Q1449" s="763"/>
      <c r="R1449" s="763"/>
      <c r="S1449" s="763"/>
      <c r="T1449" s="763"/>
      <c r="U1449" s="763"/>
      <c r="V1449" s="763"/>
      <c r="W1449" s="763"/>
      <c r="X1449" s="763"/>
      <c r="Y1449" s="763"/>
      <c r="Z1449" s="763"/>
      <c r="AA1449" s="763"/>
      <c r="AB1449" s="763"/>
      <c r="AC1449" s="763"/>
      <c r="AD1449" s="763"/>
      <c r="AE1449" s="763"/>
      <c r="AF1449" s="763"/>
      <c r="AG1449" s="763"/>
    </row>
    <row r="1450">
      <c r="A1450" s="76" t="s">
        <v>9094</v>
      </c>
      <c r="B1450" s="27" t="s">
        <v>2194</v>
      </c>
      <c r="C1450" s="27"/>
      <c r="D1450" s="76"/>
      <c r="E1450" s="27" t="s">
        <v>1976</v>
      </c>
      <c r="F1450" s="27" t="s">
        <v>1977</v>
      </c>
      <c r="G1450" s="153">
        <v>46185.0</v>
      </c>
      <c r="H1450" s="153">
        <v>46246.0</v>
      </c>
      <c r="I1450" s="76">
        <f>IFERROR(__xludf.DUMMYFUNCTION("IF(ISBLANK(H1450), TODAY()-TO_DATE(G1450), TO_DATE(H1450)-TO_DATE(G1450))+1"),62.0)</f>
        <v>62</v>
      </c>
      <c r="J1450" s="76" t="s">
        <v>197</v>
      </c>
      <c r="K1450" s="69" t="s">
        <v>10878</v>
      </c>
      <c r="L1450" s="1008" t="s">
        <v>10879</v>
      </c>
      <c r="M1450" s="76" t="s">
        <v>9226</v>
      </c>
      <c r="N1450" s="763"/>
      <c r="O1450" s="763"/>
      <c r="P1450" s="763"/>
      <c r="Q1450" s="763"/>
      <c r="R1450" s="763"/>
      <c r="S1450" s="763"/>
      <c r="T1450" s="763"/>
      <c r="U1450" s="763"/>
      <c r="V1450" s="763"/>
      <c r="W1450" s="763"/>
      <c r="X1450" s="763"/>
      <c r="Y1450" s="763"/>
      <c r="Z1450" s="763"/>
      <c r="AA1450" s="763"/>
      <c r="AB1450" s="763"/>
      <c r="AC1450" s="763"/>
      <c r="AD1450" s="763"/>
      <c r="AE1450" s="763"/>
      <c r="AF1450" s="763"/>
      <c r="AG1450" s="763"/>
    </row>
    <row r="1451">
      <c r="A1451" s="76" t="s">
        <v>1032</v>
      </c>
      <c r="B1451" s="27" t="s">
        <v>2194</v>
      </c>
      <c r="C1451" s="27"/>
      <c r="D1451" s="76"/>
      <c r="E1451" s="27" t="s">
        <v>2950</v>
      </c>
      <c r="F1451" s="27" t="s">
        <v>2951</v>
      </c>
      <c r="G1451" s="153">
        <v>46185.0</v>
      </c>
      <c r="H1451" s="153">
        <v>46246.0</v>
      </c>
      <c r="I1451" s="76">
        <f>IFERROR(__xludf.DUMMYFUNCTION("IF(ISBLANK(H1451), TODAY()-TO_DATE(G1451), TO_DATE(H1451)-TO_DATE(G1451))+1"),62.0)</f>
        <v>62</v>
      </c>
      <c r="J1451" s="76" t="s">
        <v>197</v>
      </c>
      <c r="K1451" s="997" t="s">
        <v>10885</v>
      </c>
      <c r="L1451" s="158" t="s">
        <v>9945</v>
      </c>
      <c r="M1451" s="76"/>
      <c r="N1451" s="763"/>
      <c r="O1451" s="763"/>
      <c r="P1451" s="763"/>
      <c r="Q1451" s="763"/>
      <c r="R1451" s="763"/>
      <c r="S1451" s="763"/>
      <c r="T1451" s="763"/>
      <c r="U1451" s="763"/>
      <c r="V1451" s="763"/>
      <c r="W1451" s="763"/>
      <c r="X1451" s="763"/>
      <c r="Y1451" s="763"/>
      <c r="Z1451" s="763"/>
      <c r="AA1451" s="763"/>
      <c r="AB1451" s="763"/>
      <c r="AC1451" s="763"/>
      <c r="AD1451" s="763"/>
      <c r="AE1451" s="763"/>
      <c r="AF1451" s="763"/>
      <c r="AG1451" s="763"/>
    </row>
    <row r="1452">
      <c r="A1452" s="76" t="s">
        <v>150</v>
      </c>
      <c r="B1452" s="27" t="s">
        <v>1187</v>
      </c>
      <c r="C1452" s="27"/>
      <c r="D1452" s="76"/>
      <c r="E1452" s="27" t="s">
        <v>4121</v>
      </c>
      <c r="F1452" s="27" t="s">
        <v>4123</v>
      </c>
      <c r="G1452" s="153">
        <v>46186.0</v>
      </c>
      <c r="H1452" s="153">
        <v>46186.0</v>
      </c>
      <c r="I1452" s="76">
        <f>IFERROR(__xludf.DUMMYFUNCTION("IF(ISBLANK(H1452), TODAY()-TO_DATE(G1452), TO_DATE(H1452)-TO_DATE(G1452))+1"),1.0)</f>
        <v>1</v>
      </c>
      <c r="J1452" s="76">
        <v>300.0</v>
      </c>
      <c r="K1452" s="997" t="s">
        <v>10889</v>
      </c>
      <c r="L1452" s="158" t="s">
        <v>10890</v>
      </c>
      <c r="M1452" s="76" t="s">
        <v>9226</v>
      </c>
      <c r="N1452" s="763"/>
      <c r="O1452" s="763"/>
      <c r="P1452" s="763"/>
      <c r="Q1452" s="763"/>
      <c r="R1452" s="763"/>
      <c r="S1452" s="763"/>
      <c r="T1452" s="763"/>
      <c r="U1452" s="763"/>
      <c r="V1452" s="763"/>
      <c r="W1452" s="763"/>
      <c r="X1452" s="763"/>
      <c r="Y1452" s="763"/>
      <c r="Z1452" s="763"/>
      <c r="AA1452" s="763"/>
      <c r="AB1452" s="763"/>
      <c r="AC1452" s="763"/>
      <c r="AD1452" s="763"/>
      <c r="AE1452" s="763"/>
      <c r="AF1452" s="763"/>
      <c r="AG1452" s="763"/>
    </row>
    <row r="1453">
      <c r="A1453" s="76" t="s">
        <v>1032</v>
      </c>
      <c r="B1453" s="27" t="s">
        <v>1187</v>
      </c>
      <c r="C1453" s="27"/>
      <c r="D1453" s="76"/>
      <c r="E1453" s="27" t="s">
        <v>5228</v>
      </c>
      <c r="F1453" s="27" t="s">
        <v>1917</v>
      </c>
      <c r="G1453" s="153">
        <v>46186.0</v>
      </c>
      <c r="H1453" s="153">
        <v>46209.0</v>
      </c>
      <c r="I1453" s="76">
        <f>IFERROR(__xludf.DUMMYFUNCTION("IF(ISBLANK(H1453), TODAY()-TO_DATE(G1453), TO_DATE(H1453)-TO_DATE(G1453))+1"),24.0)</f>
        <v>24</v>
      </c>
      <c r="J1453" s="76" t="s">
        <v>197</v>
      </c>
      <c r="K1453" s="69" t="s">
        <v>10891</v>
      </c>
      <c r="L1453" s="47" t="s">
        <v>10892</v>
      </c>
      <c r="M1453" s="76"/>
      <c r="N1453" s="763"/>
      <c r="O1453" s="763"/>
      <c r="P1453" s="763"/>
      <c r="Q1453" s="763"/>
      <c r="R1453" s="763"/>
      <c r="S1453" s="763"/>
      <c r="T1453" s="763"/>
      <c r="U1453" s="763"/>
      <c r="V1453" s="763"/>
      <c r="W1453" s="763"/>
      <c r="X1453" s="763"/>
      <c r="Y1453" s="763"/>
      <c r="Z1453" s="763"/>
      <c r="AA1453" s="763"/>
      <c r="AB1453" s="763"/>
      <c r="AC1453" s="763"/>
      <c r="AD1453" s="763"/>
      <c r="AE1453" s="763"/>
      <c r="AF1453" s="763"/>
      <c r="AG1453" s="763"/>
    </row>
    <row r="1454">
      <c r="A1454" s="76" t="s">
        <v>2515</v>
      </c>
      <c r="B1454" s="27" t="s">
        <v>1187</v>
      </c>
      <c r="C1454" s="27"/>
      <c r="D1454" s="76"/>
      <c r="E1454" s="27" t="s">
        <v>10895</v>
      </c>
      <c r="F1454" s="27" t="s">
        <v>10896</v>
      </c>
      <c r="G1454" s="153">
        <v>46186.0</v>
      </c>
      <c r="H1454" s="153">
        <v>46193.0</v>
      </c>
      <c r="I1454" s="76">
        <f>IFERROR(__xludf.DUMMYFUNCTION("IF(ISBLANK(H1454), TODAY()-TO_DATE(G1454), TO_DATE(H1454)-TO_DATE(G1454))+1"),8.0)</f>
        <v>8</v>
      </c>
      <c r="J1454" s="76" t="s">
        <v>197</v>
      </c>
      <c r="K1454" s="69" t="s">
        <v>10900</v>
      </c>
      <c r="L1454" s="47"/>
      <c r="M1454" s="76" t="s">
        <v>9226</v>
      </c>
      <c r="N1454" s="763"/>
      <c r="O1454" s="763"/>
      <c r="P1454" s="763"/>
      <c r="Q1454" s="763"/>
      <c r="R1454" s="763"/>
      <c r="S1454" s="763"/>
      <c r="T1454" s="763"/>
      <c r="U1454" s="763"/>
      <c r="V1454" s="763"/>
      <c r="W1454" s="763"/>
      <c r="X1454" s="763"/>
      <c r="Y1454" s="763"/>
      <c r="Z1454" s="763"/>
      <c r="AA1454" s="763"/>
      <c r="AB1454" s="763"/>
      <c r="AC1454" s="763"/>
      <c r="AD1454" s="763"/>
      <c r="AE1454" s="763"/>
      <c r="AF1454" s="763"/>
      <c r="AG1454" s="763"/>
    </row>
    <row r="1455">
      <c r="A1455" s="76" t="s">
        <v>9987</v>
      </c>
      <c r="B1455" s="27" t="s">
        <v>1187</v>
      </c>
      <c r="C1455" s="27"/>
      <c r="D1455" s="76"/>
      <c r="E1455" s="27" t="s">
        <v>2984</v>
      </c>
      <c r="F1455" s="27" t="s">
        <v>2985</v>
      </c>
      <c r="G1455" s="153">
        <v>46186.0</v>
      </c>
      <c r="H1455" s="153">
        <v>46209.0</v>
      </c>
      <c r="I1455" s="76">
        <f>IFERROR(__xludf.DUMMYFUNCTION("IF(ISBLANK(H1455), TODAY()-TO_DATE(G1455), TO_DATE(H1455)-TO_DATE(G1455))+1"),24.0)</f>
        <v>24</v>
      </c>
      <c r="J1455" s="76" t="s">
        <v>197</v>
      </c>
      <c r="K1455" s="69" t="s">
        <v>10903</v>
      </c>
      <c r="L1455" s="47"/>
      <c r="M1455" s="76" t="s">
        <v>9226</v>
      </c>
      <c r="N1455" s="763"/>
      <c r="O1455" s="763"/>
      <c r="P1455" s="763"/>
      <c r="Q1455" s="763"/>
      <c r="R1455" s="763"/>
      <c r="S1455" s="763"/>
      <c r="T1455" s="763"/>
      <c r="U1455" s="763"/>
      <c r="V1455" s="763"/>
      <c r="W1455" s="763"/>
      <c r="X1455" s="763"/>
      <c r="Y1455" s="763"/>
      <c r="Z1455" s="763"/>
      <c r="AA1455" s="763"/>
      <c r="AB1455" s="763"/>
      <c r="AC1455" s="763"/>
      <c r="AD1455" s="763"/>
      <c r="AE1455" s="763"/>
      <c r="AF1455" s="763"/>
      <c r="AG1455" s="763"/>
    </row>
    <row r="1456">
      <c r="A1456" s="76" t="s">
        <v>1032</v>
      </c>
      <c r="B1456" s="27" t="s">
        <v>1187</v>
      </c>
      <c r="C1456" s="27"/>
      <c r="D1456" s="76"/>
      <c r="E1456" s="27" t="s">
        <v>1327</v>
      </c>
      <c r="F1456" s="27" t="s">
        <v>1329</v>
      </c>
      <c r="G1456" s="153">
        <v>46187.0</v>
      </c>
      <c r="H1456" s="153">
        <v>46245.0</v>
      </c>
      <c r="I1456" s="76">
        <f>IFERROR(__xludf.DUMMYFUNCTION("IF(ISBLANK(H1456), TODAY()-TO_DATE(G1456), TO_DATE(H1456)-TO_DATE(G1456))+1"),59.0)</f>
        <v>59</v>
      </c>
      <c r="J1456" s="76" t="s">
        <v>197</v>
      </c>
      <c r="K1456" s="997" t="s">
        <v>10907</v>
      </c>
      <c r="L1456" s="47"/>
      <c r="M1456" s="76" t="s">
        <v>9226</v>
      </c>
      <c r="N1456" s="763"/>
      <c r="O1456" s="763"/>
      <c r="P1456" s="763"/>
      <c r="Q1456" s="763"/>
      <c r="R1456" s="763"/>
      <c r="S1456" s="763"/>
      <c r="T1456" s="763"/>
      <c r="U1456" s="763"/>
      <c r="V1456" s="763"/>
      <c r="W1456" s="763"/>
      <c r="X1456" s="763"/>
      <c r="Y1456" s="763"/>
      <c r="Z1456" s="763"/>
      <c r="AA1456" s="763"/>
      <c r="AB1456" s="763"/>
      <c r="AC1456" s="763"/>
      <c r="AD1456" s="763"/>
      <c r="AE1456" s="763"/>
      <c r="AF1456" s="763"/>
      <c r="AG1456" s="763"/>
    </row>
    <row r="1457">
      <c r="A1457" s="76" t="s">
        <v>1473</v>
      </c>
      <c r="B1457" s="27" t="s">
        <v>1187</v>
      </c>
      <c r="C1457" s="27"/>
      <c r="D1457" s="76"/>
      <c r="E1457" s="27" t="s">
        <v>3715</v>
      </c>
      <c r="F1457" s="27" t="s">
        <v>3717</v>
      </c>
      <c r="G1457" s="153">
        <v>46187.0</v>
      </c>
      <c r="H1457" s="153">
        <v>46251.0</v>
      </c>
      <c r="I1457" s="76">
        <f>IFERROR(__xludf.DUMMYFUNCTION("IF(ISBLANK(H1457), TODAY()-TO_DATE(G1457), TO_DATE(H1457)-TO_DATE(G1457))+1"),65.0)</f>
        <v>65</v>
      </c>
      <c r="J1457" s="76" t="s">
        <v>197</v>
      </c>
      <c r="K1457" s="999" t="s">
        <v>10910</v>
      </c>
      <c r="L1457" s="47"/>
      <c r="M1457" s="160" t="s">
        <v>9226</v>
      </c>
      <c r="N1457" s="763"/>
      <c r="O1457" s="763"/>
      <c r="P1457" s="763"/>
      <c r="Q1457" s="763"/>
      <c r="R1457" s="763"/>
      <c r="S1457" s="763"/>
      <c r="T1457" s="763"/>
      <c r="U1457" s="763"/>
      <c r="V1457" s="763"/>
      <c r="W1457" s="763"/>
      <c r="X1457" s="763"/>
      <c r="Y1457" s="763"/>
      <c r="Z1457" s="763"/>
      <c r="AA1457" s="763"/>
      <c r="AB1457" s="763"/>
      <c r="AC1457" s="763"/>
      <c r="AD1457" s="763"/>
      <c r="AE1457" s="763"/>
      <c r="AF1457" s="763"/>
      <c r="AG1457" s="763"/>
    </row>
    <row r="1458">
      <c r="A1458" s="76" t="s">
        <v>9409</v>
      </c>
      <c r="B1458" s="27" t="s">
        <v>1187</v>
      </c>
      <c r="C1458" s="27"/>
      <c r="D1458" s="76"/>
      <c r="E1458" s="27" t="s">
        <v>2150</v>
      </c>
      <c r="F1458" s="27" t="s">
        <v>2151</v>
      </c>
      <c r="G1458" s="153">
        <v>46187.0</v>
      </c>
      <c r="H1458" s="153">
        <v>46245.0</v>
      </c>
      <c r="I1458" s="76">
        <f>IFERROR(__xludf.DUMMYFUNCTION("IF(ISBLANK(H1458), TODAY()-TO_DATE(G1458), TO_DATE(H1458)-TO_DATE(G1458))+1"),59.0)</f>
        <v>59</v>
      </c>
      <c r="J1458" s="76" t="s">
        <v>197</v>
      </c>
      <c r="K1458" s="997" t="s">
        <v>10913</v>
      </c>
      <c r="L1458" s="1008" t="s">
        <v>10914</v>
      </c>
      <c r="M1458" s="76"/>
      <c r="N1458" s="763"/>
      <c r="O1458" s="763"/>
      <c r="P1458" s="763"/>
      <c r="Q1458" s="763"/>
      <c r="R1458" s="763"/>
      <c r="S1458" s="763"/>
      <c r="T1458" s="763"/>
      <c r="U1458" s="763"/>
      <c r="V1458" s="763"/>
      <c r="W1458" s="763"/>
      <c r="X1458" s="763"/>
      <c r="Y1458" s="763"/>
      <c r="Z1458" s="763"/>
      <c r="AA1458" s="763"/>
      <c r="AB1458" s="763"/>
      <c r="AC1458" s="763"/>
      <c r="AD1458" s="763"/>
      <c r="AE1458" s="763"/>
      <c r="AF1458" s="763"/>
      <c r="AG1458" s="763"/>
    </row>
    <row r="1459">
      <c r="A1459" s="76" t="s">
        <v>9987</v>
      </c>
      <c r="B1459" s="27" t="s">
        <v>1187</v>
      </c>
      <c r="C1459" s="27"/>
      <c r="D1459" s="76"/>
      <c r="E1459" s="1005" t="s">
        <v>10916</v>
      </c>
      <c r="F1459" s="27" t="s">
        <v>10917</v>
      </c>
      <c r="G1459" s="153">
        <v>46187.0</v>
      </c>
      <c r="H1459" s="153">
        <v>46214.0</v>
      </c>
      <c r="I1459" s="76">
        <f>IFERROR(__xludf.DUMMYFUNCTION("IF(ISBLANK(H1459), TODAY()-TO_DATE(G1459), TO_DATE(H1459)-TO_DATE(G1459))+1"),28.0)</f>
        <v>28</v>
      </c>
      <c r="J1459" s="76">
        <v>500.0</v>
      </c>
      <c r="K1459" s="999" t="s">
        <v>10919</v>
      </c>
      <c r="L1459" s="158" t="s">
        <v>10920</v>
      </c>
      <c r="M1459" s="76"/>
      <c r="N1459" s="763"/>
      <c r="O1459" s="763"/>
      <c r="P1459" s="763"/>
      <c r="Q1459" s="763"/>
      <c r="R1459" s="763"/>
      <c r="S1459" s="763"/>
      <c r="T1459" s="763"/>
      <c r="U1459" s="763"/>
      <c r="V1459" s="763"/>
      <c r="W1459" s="763"/>
      <c r="X1459" s="763"/>
      <c r="Y1459" s="763"/>
      <c r="Z1459" s="763"/>
      <c r="AA1459" s="763"/>
      <c r="AB1459" s="763"/>
      <c r="AC1459" s="763"/>
      <c r="AD1459" s="763"/>
      <c r="AE1459" s="763"/>
      <c r="AF1459" s="763"/>
      <c r="AG1459" s="763"/>
    </row>
    <row r="1460">
      <c r="A1460" s="76" t="s">
        <v>9987</v>
      </c>
      <c r="B1460" s="27" t="s">
        <v>1187</v>
      </c>
      <c r="C1460" s="27"/>
      <c r="D1460" s="76"/>
      <c r="E1460" s="1005" t="s">
        <v>10922</v>
      </c>
      <c r="F1460" s="27" t="s">
        <v>10923</v>
      </c>
      <c r="G1460" s="153">
        <v>46187.0</v>
      </c>
      <c r="H1460" s="153">
        <v>46214.0</v>
      </c>
      <c r="I1460" s="76">
        <f>IFERROR(__xludf.DUMMYFUNCTION("IF(ISBLANK(H1460), TODAY()-TO_DATE(G1460), TO_DATE(H1460)-TO_DATE(G1460))+1"),28.0)</f>
        <v>28</v>
      </c>
      <c r="J1460" s="76">
        <v>500.0</v>
      </c>
      <c r="K1460" s="999" t="s">
        <v>10925</v>
      </c>
      <c r="L1460" s="47"/>
      <c r="M1460" s="76"/>
      <c r="N1460" s="763"/>
      <c r="O1460" s="763"/>
      <c r="P1460" s="763"/>
      <c r="Q1460" s="763"/>
      <c r="R1460" s="763"/>
      <c r="S1460" s="763"/>
      <c r="T1460" s="763"/>
      <c r="U1460" s="763"/>
      <c r="V1460" s="763"/>
      <c r="W1460" s="763"/>
      <c r="X1460" s="763"/>
      <c r="Y1460" s="763"/>
      <c r="Z1460" s="763"/>
      <c r="AA1460" s="763"/>
      <c r="AB1460" s="763"/>
      <c r="AC1460" s="763"/>
      <c r="AD1460" s="763"/>
      <c r="AE1460" s="763"/>
      <c r="AF1460" s="763"/>
      <c r="AG1460" s="763"/>
    </row>
    <row r="1461">
      <c r="A1461" s="76" t="s">
        <v>9987</v>
      </c>
      <c r="B1461" s="27" t="s">
        <v>1187</v>
      </c>
      <c r="C1461" s="27"/>
      <c r="D1461" s="76"/>
      <c r="E1461" s="1005" t="s">
        <v>10929</v>
      </c>
      <c r="F1461" s="27" t="s">
        <v>10930</v>
      </c>
      <c r="G1461" s="153">
        <v>46187.0</v>
      </c>
      <c r="H1461" s="153">
        <v>46247.0</v>
      </c>
      <c r="I1461" s="76">
        <f>IFERROR(__xludf.DUMMYFUNCTION("IF(ISBLANK(H1461), TODAY()-TO_DATE(G1461), TO_DATE(H1461)-TO_DATE(G1461))+1"),61.0)</f>
        <v>61</v>
      </c>
      <c r="J1461" s="76">
        <v>500.0</v>
      </c>
      <c r="K1461" s="999" t="s">
        <v>10932</v>
      </c>
      <c r="L1461" s="158" t="s">
        <v>10933</v>
      </c>
      <c r="M1461" s="76"/>
      <c r="N1461" s="763"/>
      <c r="O1461" s="763"/>
      <c r="P1461" s="763"/>
      <c r="Q1461" s="763"/>
      <c r="R1461" s="763"/>
      <c r="S1461" s="763"/>
      <c r="T1461" s="763"/>
      <c r="U1461" s="763"/>
      <c r="V1461" s="763"/>
      <c r="W1461" s="763"/>
      <c r="X1461" s="763"/>
      <c r="Y1461" s="763"/>
      <c r="Z1461" s="763"/>
      <c r="AA1461" s="763"/>
      <c r="AB1461" s="763"/>
      <c r="AC1461" s="763"/>
      <c r="AD1461" s="763"/>
      <c r="AE1461" s="763"/>
      <c r="AF1461" s="763"/>
      <c r="AG1461" s="763"/>
    </row>
    <row r="1462">
      <c r="A1462" s="76" t="s">
        <v>150</v>
      </c>
      <c r="B1462" s="27" t="s">
        <v>1187</v>
      </c>
      <c r="C1462" s="27"/>
      <c r="D1462" s="76"/>
      <c r="E1462" s="1005" t="s">
        <v>10934</v>
      </c>
      <c r="F1462" s="27" t="s">
        <v>10935</v>
      </c>
      <c r="G1462" s="153">
        <v>46188.0</v>
      </c>
      <c r="H1462" s="153">
        <v>46232.0</v>
      </c>
      <c r="I1462" s="76">
        <f>IFERROR(__xludf.DUMMYFUNCTION("IF(ISBLANK(H1462), TODAY()-TO_DATE(G1462), TO_DATE(H1462)-TO_DATE(G1462))+1"),45.0)</f>
        <v>45</v>
      </c>
      <c r="J1462" s="76">
        <v>500.0</v>
      </c>
      <c r="K1462" s="999" t="s">
        <v>10938</v>
      </c>
      <c r="L1462" s="158" t="s">
        <v>10939</v>
      </c>
      <c r="M1462" s="76"/>
      <c r="N1462" s="763"/>
      <c r="O1462" s="763"/>
      <c r="P1462" s="763"/>
      <c r="Q1462" s="763"/>
      <c r="R1462" s="763"/>
      <c r="S1462" s="763"/>
      <c r="T1462" s="763"/>
      <c r="U1462" s="763"/>
      <c r="V1462" s="763"/>
      <c r="W1462" s="763"/>
      <c r="X1462" s="763"/>
      <c r="Y1462" s="763"/>
      <c r="Z1462" s="763"/>
      <c r="AA1462" s="763"/>
      <c r="AB1462" s="763"/>
      <c r="AC1462" s="763"/>
      <c r="AD1462" s="763"/>
      <c r="AE1462" s="763"/>
      <c r="AF1462" s="763"/>
      <c r="AG1462" s="763"/>
    </row>
    <row r="1463">
      <c r="A1463" s="76" t="s">
        <v>1032</v>
      </c>
      <c r="B1463" s="27" t="s">
        <v>1187</v>
      </c>
      <c r="C1463" s="27"/>
      <c r="D1463" s="76"/>
      <c r="E1463" s="27" t="s">
        <v>5639</v>
      </c>
      <c r="F1463" s="27" t="s">
        <v>5640</v>
      </c>
      <c r="G1463" s="153">
        <v>46188.0</v>
      </c>
      <c r="H1463" s="153">
        <v>46191.0</v>
      </c>
      <c r="I1463" s="76">
        <f>IFERROR(__xludf.DUMMYFUNCTION("IF(ISBLANK(H1463), TODAY()-TO_DATE(G1463), TO_DATE(H1463)-TO_DATE(G1463))+1"),4.0)</f>
        <v>4</v>
      </c>
      <c r="J1463" s="76" t="s">
        <v>197</v>
      </c>
      <c r="K1463" s="69" t="s">
        <v>10941</v>
      </c>
      <c r="L1463" s="47"/>
      <c r="M1463" s="76" t="s">
        <v>9226</v>
      </c>
      <c r="N1463" s="763"/>
      <c r="O1463" s="763"/>
      <c r="P1463" s="763"/>
      <c r="Q1463" s="763"/>
      <c r="R1463" s="763"/>
      <c r="S1463" s="763"/>
      <c r="T1463" s="763"/>
      <c r="U1463" s="763"/>
      <c r="V1463" s="763"/>
      <c r="W1463" s="763"/>
      <c r="X1463" s="763"/>
      <c r="Y1463" s="763"/>
      <c r="Z1463" s="763"/>
      <c r="AA1463" s="763"/>
      <c r="AB1463" s="763"/>
      <c r="AC1463" s="763"/>
      <c r="AD1463" s="763"/>
      <c r="AE1463" s="763"/>
      <c r="AF1463" s="763"/>
      <c r="AG1463" s="763"/>
    </row>
    <row r="1464">
      <c r="A1464" s="76" t="s">
        <v>1032</v>
      </c>
      <c r="B1464" s="27" t="s">
        <v>1187</v>
      </c>
      <c r="C1464" s="27"/>
      <c r="D1464" s="76"/>
      <c r="E1464" s="27" t="s">
        <v>10944</v>
      </c>
      <c r="F1464" s="27" t="s">
        <v>10945</v>
      </c>
      <c r="G1464" s="153">
        <v>46188.0</v>
      </c>
      <c r="H1464" s="153">
        <v>46215.0</v>
      </c>
      <c r="I1464" s="76">
        <f>IFERROR(__xludf.DUMMYFUNCTION("IF(ISBLANK(H1464), TODAY()-TO_DATE(G1464), TO_DATE(H1464)-TO_DATE(G1464))+1"),28.0)</f>
        <v>28</v>
      </c>
      <c r="J1464" s="76">
        <v>500.0</v>
      </c>
      <c r="K1464" s="69" t="s">
        <v>10946</v>
      </c>
      <c r="L1464" s="47" t="s">
        <v>10947</v>
      </c>
      <c r="M1464" s="76" t="s">
        <v>9226</v>
      </c>
      <c r="N1464" s="763"/>
      <c r="O1464" s="763"/>
      <c r="P1464" s="763"/>
      <c r="Q1464" s="763"/>
      <c r="R1464" s="763"/>
      <c r="S1464" s="763"/>
      <c r="T1464" s="763"/>
      <c r="U1464" s="763"/>
      <c r="V1464" s="763"/>
      <c r="W1464" s="763"/>
      <c r="X1464" s="763"/>
      <c r="Y1464" s="763"/>
      <c r="Z1464" s="763"/>
      <c r="AA1464" s="763"/>
      <c r="AB1464" s="763"/>
      <c r="AC1464" s="763"/>
      <c r="AD1464" s="763"/>
      <c r="AE1464" s="763"/>
      <c r="AF1464" s="763"/>
      <c r="AG1464" s="763"/>
    </row>
    <row r="1465">
      <c r="A1465" s="76" t="s">
        <v>9987</v>
      </c>
      <c r="B1465" s="27" t="s">
        <v>1187</v>
      </c>
      <c r="C1465" s="27"/>
      <c r="D1465" s="76"/>
      <c r="E1465" s="27" t="s">
        <v>10948</v>
      </c>
      <c r="F1465" s="27" t="s">
        <v>10949</v>
      </c>
      <c r="G1465" s="153">
        <v>46188.0</v>
      </c>
      <c r="H1465" s="153">
        <v>46207.0</v>
      </c>
      <c r="I1465" s="76">
        <f>IFERROR(__xludf.DUMMYFUNCTION("IF(ISBLANK(H1465), TODAY()-TO_DATE(G1465), TO_DATE(H1465)-TO_DATE(G1465))+1"),20.0)</f>
        <v>20</v>
      </c>
      <c r="J1465" s="76" t="s">
        <v>8926</v>
      </c>
      <c r="K1465" s="69" t="s">
        <v>10952</v>
      </c>
      <c r="L1465" s="47"/>
      <c r="M1465" s="76" t="s">
        <v>9226</v>
      </c>
      <c r="N1465" s="763"/>
      <c r="O1465" s="763"/>
      <c r="P1465" s="763"/>
      <c r="Q1465" s="763"/>
      <c r="R1465" s="763"/>
      <c r="S1465" s="763"/>
      <c r="T1465" s="763"/>
      <c r="U1465" s="763"/>
      <c r="V1465" s="763"/>
      <c r="W1465" s="763"/>
      <c r="X1465" s="763"/>
      <c r="Y1465" s="763"/>
      <c r="Z1465" s="763"/>
      <c r="AA1465" s="763"/>
      <c r="AB1465" s="763"/>
      <c r="AC1465" s="763"/>
      <c r="AD1465" s="763"/>
      <c r="AE1465" s="763"/>
      <c r="AF1465" s="763"/>
      <c r="AG1465" s="763"/>
    </row>
    <row r="1466">
      <c r="A1466" s="76" t="s">
        <v>9987</v>
      </c>
      <c r="B1466" s="27" t="s">
        <v>1187</v>
      </c>
      <c r="C1466" s="27"/>
      <c r="D1466" s="76"/>
      <c r="E1466" s="27" t="s">
        <v>10957</v>
      </c>
      <c r="F1466" s="27" t="s">
        <v>6358</v>
      </c>
      <c r="G1466" s="153">
        <v>46191.0</v>
      </c>
      <c r="H1466" s="153">
        <v>46238.0</v>
      </c>
      <c r="I1466" s="76">
        <f>IFERROR(__xludf.DUMMYFUNCTION("IF(ISBLANK(H1466), TODAY()-TO_DATE(G1466), TO_DATE(H1466)-TO_DATE(G1466))+1"),48.0)</f>
        <v>48</v>
      </c>
      <c r="J1466" s="76">
        <v>500.0</v>
      </c>
      <c r="K1466" s="69" t="s">
        <v>10958</v>
      </c>
      <c r="L1466" s="47" t="s">
        <v>10959</v>
      </c>
      <c r="M1466" s="76" t="s">
        <v>9226</v>
      </c>
      <c r="N1466" s="763"/>
      <c r="O1466" s="763"/>
      <c r="P1466" s="763"/>
      <c r="Q1466" s="763"/>
      <c r="R1466" s="763"/>
      <c r="S1466" s="763"/>
      <c r="T1466" s="763"/>
      <c r="U1466" s="763"/>
      <c r="V1466" s="763"/>
      <c r="W1466" s="763"/>
      <c r="X1466" s="763"/>
      <c r="Y1466" s="763"/>
      <c r="Z1466" s="763"/>
      <c r="AA1466" s="763"/>
      <c r="AB1466" s="763"/>
      <c r="AC1466" s="763"/>
      <c r="AD1466" s="763"/>
      <c r="AE1466" s="763"/>
      <c r="AF1466" s="763"/>
      <c r="AG1466" s="763"/>
    </row>
    <row r="1467">
      <c r="A1467" s="76" t="s">
        <v>9987</v>
      </c>
      <c r="B1467" s="27" t="s">
        <v>1187</v>
      </c>
      <c r="C1467" s="27"/>
      <c r="D1467" s="76"/>
      <c r="E1467" s="27" t="s">
        <v>10962</v>
      </c>
      <c r="F1467" s="27" t="s">
        <v>10963</v>
      </c>
      <c r="G1467" s="153">
        <v>46191.0</v>
      </c>
      <c r="H1467" s="153">
        <v>46193.0</v>
      </c>
      <c r="I1467" s="76">
        <f>IFERROR(__xludf.DUMMYFUNCTION("IF(ISBLANK(H1467), TODAY()-TO_DATE(G1467), TO_DATE(H1467)-TO_DATE(G1467))+1"),3.0)</f>
        <v>3</v>
      </c>
      <c r="J1467" s="76" t="s">
        <v>197</v>
      </c>
      <c r="K1467" s="69" t="s">
        <v>10965</v>
      </c>
      <c r="L1467" s="47"/>
      <c r="M1467" s="76" t="s">
        <v>9226</v>
      </c>
      <c r="N1467" s="763"/>
      <c r="O1467" s="763"/>
      <c r="P1467" s="763"/>
      <c r="Q1467" s="763"/>
      <c r="R1467" s="763"/>
      <c r="S1467" s="763"/>
      <c r="T1467" s="763"/>
      <c r="U1467" s="763"/>
      <c r="V1467" s="763"/>
      <c r="W1467" s="763"/>
      <c r="X1467" s="763"/>
      <c r="Y1467" s="763"/>
      <c r="Z1467" s="763"/>
      <c r="AA1467" s="763"/>
      <c r="AB1467" s="763"/>
      <c r="AC1467" s="763"/>
      <c r="AD1467" s="763"/>
      <c r="AE1467" s="763"/>
      <c r="AF1467" s="763"/>
      <c r="AG1467" s="763"/>
    </row>
    <row r="1468">
      <c r="A1468" s="76" t="s">
        <v>145</v>
      </c>
      <c r="B1468" s="27" t="s">
        <v>1187</v>
      </c>
      <c r="C1468" s="27"/>
      <c r="D1468" s="76"/>
      <c r="E1468" s="27" t="s">
        <v>10738</v>
      </c>
      <c r="F1468" s="27" t="s">
        <v>10739</v>
      </c>
      <c r="G1468" s="153">
        <v>46191.0</v>
      </c>
      <c r="H1468" s="153">
        <v>46238.0</v>
      </c>
      <c r="I1468" s="76">
        <f>IFERROR(__xludf.DUMMYFUNCTION("IF(ISBLANK(H1468), TODAY()-TO_DATE(G1468), TO_DATE(H1468)-TO_DATE(G1468))+1"),48.0)</f>
        <v>48</v>
      </c>
      <c r="J1468" s="76">
        <v>500.0</v>
      </c>
      <c r="K1468" s="69" t="s">
        <v>10740</v>
      </c>
      <c r="L1468" s="47"/>
      <c r="M1468" s="76" t="s">
        <v>9226</v>
      </c>
      <c r="N1468" s="763"/>
      <c r="O1468" s="763"/>
      <c r="P1468" s="763"/>
      <c r="Q1468" s="763"/>
      <c r="R1468" s="763"/>
      <c r="S1468" s="763"/>
      <c r="T1468" s="763"/>
      <c r="U1468" s="763"/>
      <c r="V1468" s="763"/>
      <c r="W1468" s="763"/>
      <c r="X1468" s="763"/>
      <c r="Y1468" s="763"/>
      <c r="Z1468" s="763"/>
      <c r="AA1468" s="763"/>
      <c r="AB1468" s="763"/>
      <c r="AC1468" s="763"/>
      <c r="AD1468" s="763"/>
      <c r="AE1468" s="763"/>
      <c r="AF1468" s="763"/>
      <c r="AG1468" s="763"/>
    </row>
    <row r="1469">
      <c r="A1469" s="76" t="s">
        <v>9987</v>
      </c>
      <c r="B1469" s="27" t="s">
        <v>1187</v>
      </c>
      <c r="C1469" s="27"/>
      <c r="D1469" s="76"/>
      <c r="E1469" s="27" t="s">
        <v>3314</v>
      </c>
      <c r="F1469" s="27" t="s">
        <v>414</v>
      </c>
      <c r="G1469" s="153">
        <v>46191.0</v>
      </c>
      <c r="H1469" s="153">
        <v>46193.0</v>
      </c>
      <c r="I1469" s="76">
        <f>IFERROR(__xludf.DUMMYFUNCTION("IF(ISBLANK(H1469), TODAY()-TO_DATE(G1469), TO_DATE(H1469)-TO_DATE(G1469))+1"),3.0)</f>
        <v>3</v>
      </c>
      <c r="J1469" s="76" t="s">
        <v>197</v>
      </c>
      <c r="K1469" s="999" t="s">
        <v>10358</v>
      </c>
      <c r="L1469" s="1008" t="s">
        <v>10973</v>
      </c>
      <c r="M1469" s="76"/>
      <c r="N1469" s="763"/>
      <c r="O1469" s="763"/>
      <c r="P1469" s="763"/>
      <c r="Q1469" s="763"/>
      <c r="R1469" s="763"/>
      <c r="S1469" s="763"/>
      <c r="T1469" s="763"/>
      <c r="U1469" s="763"/>
      <c r="V1469" s="763"/>
      <c r="W1469" s="763"/>
      <c r="X1469" s="763"/>
      <c r="Y1469" s="763"/>
      <c r="Z1469" s="763"/>
      <c r="AA1469" s="763"/>
      <c r="AB1469" s="763"/>
      <c r="AC1469" s="763"/>
      <c r="AD1469" s="763"/>
      <c r="AE1469" s="763"/>
      <c r="AF1469" s="763"/>
      <c r="AG1469" s="763"/>
    </row>
    <row r="1470">
      <c r="A1470" s="76" t="s">
        <v>9987</v>
      </c>
      <c r="B1470" s="27" t="s">
        <v>1187</v>
      </c>
      <c r="C1470" s="27"/>
      <c r="D1470" s="76"/>
      <c r="E1470" s="1005" t="s">
        <v>2462</v>
      </c>
      <c r="F1470" s="27" t="s">
        <v>2464</v>
      </c>
      <c r="G1470" s="153">
        <v>46191.0</v>
      </c>
      <c r="H1470" s="153">
        <v>46251.0</v>
      </c>
      <c r="I1470" s="76">
        <f>IFERROR(__xludf.DUMMYFUNCTION("IF(ISBLANK(H1470), TODAY()-TO_DATE(G1470), TO_DATE(H1470)-TO_DATE(G1470))+1"),61.0)</f>
        <v>61</v>
      </c>
      <c r="J1470" s="76">
        <v>500.0</v>
      </c>
      <c r="K1470" s="999" t="s">
        <v>10125</v>
      </c>
      <c r="L1470" s="158" t="s">
        <v>10976</v>
      </c>
      <c r="M1470" s="160" t="s">
        <v>9226</v>
      </c>
      <c r="N1470" s="763"/>
      <c r="O1470" s="763"/>
      <c r="P1470" s="763"/>
      <c r="Q1470" s="763"/>
      <c r="R1470" s="763"/>
      <c r="S1470" s="763"/>
      <c r="T1470" s="763"/>
      <c r="U1470" s="763"/>
      <c r="V1470" s="763"/>
      <c r="W1470" s="763"/>
      <c r="X1470" s="763"/>
      <c r="Y1470" s="763"/>
      <c r="Z1470" s="763"/>
      <c r="AA1470" s="763"/>
      <c r="AB1470" s="763"/>
      <c r="AC1470" s="763"/>
      <c r="AD1470" s="763"/>
      <c r="AE1470" s="763"/>
      <c r="AF1470" s="763"/>
      <c r="AG1470" s="763"/>
    </row>
    <row r="1471">
      <c r="A1471" s="76" t="s">
        <v>9987</v>
      </c>
      <c r="B1471" s="27" t="s">
        <v>1187</v>
      </c>
      <c r="C1471" s="27"/>
      <c r="D1471" s="76"/>
      <c r="E1471" s="1005" t="s">
        <v>1445</v>
      </c>
      <c r="F1471" s="27" t="s">
        <v>943</v>
      </c>
      <c r="G1471" s="153">
        <v>46191.0</v>
      </c>
      <c r="H1471" s="153">
        <v>46251.0</v>
      </c>
      <c r="I1471" s="76">
        <f>IFERROR(__xludf.DUMMYFUNCTION("IF(ISBLANK(H1471), TODAY()-TO_DATE(G1471), TO_DATE(H1471)-TO_DATE(G1471))+1"),61.0)</f>
        <v>61</v>
      </c>
      <c r="J1471" s="76">
        <v>500.0</v>
      </c>
      <c r="K1471" s="999" t="s">
        <v>10369</v>
      </c>
      <c r="L1471" s="47"/>
      <c r="M1471" s="160" t="s">
        <v>9226</v>
      </c>
      <c r="N1471" s="763"/>
      <c r="O1471" s="763"/>
      <c r="P1471" s="763"/>
      <c r="Q1471" s="763"/>
      <c r="R1471" s="763"/>
      <c r="S1471" s="763"/>
      <c r="T1471" s="763"/>
      <c r="U1471" s="763"/>
      <c r="V1471" s="763"/>
      <c r="W1471" s="763"/>
      <c r="X1471" s="763"/>
      <c r="Y1471" s="763"/>
      <c r="Z1471" s="763"/>
      <c r="AA1471" s="763"/>
      <c r="AB1471" s="763"/>
      <c r="AC1471" s="763"/>
      <c r="AD1471" s="763"/>
      <c r="AE1471" s="763"/>
      <c r="AF1471" s="763"/>
      <c r="AG1471" s="763"/>
    </row>
    <row r="1472">
      <c r="A1472" s="76" t="s">
        <v>1566</v>
      </c>
      <c r="B1472" s="27" t="s">
        <v>1187</v>
      </c>
      <c r="C1472" s="27"/>
      <c r="D1472" s="76"/>
      <c r="E1472" s="27" t="s">
        <v>1163</v>
      </c>
      <c r="F1472" s="27" t="s">
        <v>1165</v>
      </c>
      <c r="G1472" s="153">
        <v>46193.0</v>
      </c>
      <c r="H1472" s="153">
        <v>46195.0</v>
      </c>
      <c r="I1472" s="76">
        <f>IFERROR(__xludf.DUMMYFUNCTION("IF(ISBLANK(H1472), TODAY()-TO_DATE(G1472), TO_DATE(H1472)-TO_DATE(G1472))+1"),3.0)</f>
        <v>3</v>
      </c>
      <c r="J1472" s="76">
        <v>300.0</v>
      </c>
      <c r="K1472" s="69" t="s">
        <v>10982</v>
      </c>
      <c r="L1472" s="47"/>
      <c r="M1472" s="76"/>
      <c r="N1472" s="763"/>
      <c r="O1472" s="763"/>
      <c r="P1472" s="763"/>
      <c r="Q1472" s="763"/>
      <c r="R1472" s="763"/>
      <c r="S1472" s="763"/>
      <c r="T1472" s="763"/>
      <c r="U1472" s="763"/>
      <c r="V1472" s="763"/>
      <c r="W1472" s="763"/>
      <c r="X1472" s="763"/>
      <c r="Y1472" s="763"/>
      <c r="Z1472" s="763"/>
      <c r="AA1472" s="763"/>
      <c r="AB1472" s="763"/>
      <c r="AC1472" s="763"/>
      <c r="AD1472" s="763"/>
      <c r="AE1472" s="763"/>
      <c r="AF1472" s="763"/>
      <c r="AG1472" s="763"/>
    </row>
    <row r="1473">
      <c r="A1473" s="76" t="s">
        <v>1448</v>
      </c>
      <c r="B1473" s="27" t="s">
        <v>1187</v>
      </c>
      <c r="C1473" s="27"/>
      <c r="D1473" s="76"/>
      <c r="E1473" s="27" t="s">
        <v>1822</v>
      </c>
      <c r="F1473" s="27" t="s">
        <v>1823</v>
      </c>
      <c r="G1473" s="153">
        <v>46193.0</v>
      </c>
      <c r="H1473" s="153">
        <v>46198.0</v>
      </c>
      <c r="I1473" s="76">
        <f>IFERROR(__xludf.DUMMYFUNCTION("IF(ISBLANK(H1473), TODAY()-TO_DATE(G1473), TO_DATE(H1473)-TO_DATE(G1473))+1"),6.0)</f>
        <v>6</v>
      </c>
      <c r="J1473" s="76" t="s">
        <v>197</v>
      </c>
      <c r="K1473" s="69" t="s">
        <v>10983</v>
      </c>
      <c r="L1473" s="47"/>
      <c r="M1473" s="76"/>
      <c r="N1473" s="763"/>
      <c r="O1473" s="763"/>
      <c r="P1473" s="763"/>
      <c r="Q1473" s="763"/>
      <c r="R1473" s="763"/>
      <c r="S1473" s="763"/>
      <c r="T1473" s="763"/>
      <c r="U1473" s="763"/>
      <c r="V1473" s="763"/>
      <c r="W1473" s="763"/>
      <c r="X1473" s="763"/>
      <c r="Y1473" s="763"/>
      <c r="Z1473" s="763"/>
      <c r="AA1473" s="763"/>
      <c r="AB1473" s="763"/>
      <c r="AC1473" s="763"/>
      <c r="AD1473" s="763"/>
      <c r="AE1473" s="763"/>
      <c r="AF1473" s="763"/>
      <c r="AG1473" s="763"/>
    </row>
    <row r="1474">
      <c r="A1474" s="76" t="s">
        <v>1448</v>
      </c>
      <c r="B1474" s="27" t="s">
        <v>1187</v>
      </c>
      <c r="C1474" s="27"/>
      <c r="D1474" s="76"/>
      <c r="E1474" s="27" t="s">
        <v>9085</v>
      </c>
      <c r="F1474" s="27" t="s">
        <v>3190</v>
      </c>
      <c r="G1474" s="153">
        <v>46193.0</v>
      </c>
      <c r="H1474" s="153">
        <v>46226.0</v>
      </c>
      <c r="I1474" s="76">
        <f>IFERROR(__xludf.DUMMYFUNCTION("IF(ISBLANK(H1474), TODAY()-TO_DATE(G1474), TO_DATE(H1474)-TO_DATE(G1474))+1"),34.0)</f>
        <v>34</v>
      </c>
      <c r="J1474" s="76" t="s">
        <v>197</v>
      </c>
      <c r="K1474" s="69" t="s">
        <v>10985</v>
      </c>
      <c r="L1474" s="1071"/>
      <c r="M1474" s="76"/>
      <c r="N1474" s="763"/>
      <c r="O1474" s="763"/>
      <c r="P1474" s="763"/>
      <c r="Q1474" s="763"/>
      <c r="R1474" s="763"/>
      <c r="S1474" s="763"/>
      <c r="T1474" s="763"/>
      <c r="U1474" s="763"/>
      <c r="V1474" s="763"/>
      <c r="W1474" s="763"/>
      <c r="X1474" s="763"/>
      <c r="Y1474" s="763"/>
      <c r="Z1474" s="763"/>
      <c r="AA1474" s="763"/>
      <c r="AB1474" s="763"/>
      <c r="AC1474" s="763"/>
      <c r="AD1474" s="763"/>
      <c r="AE1474" s="763"/>
      <c r="AF1474" s="763"/>
      <c r="AG1474" s="763"/>
    </row>
    <row r="1475">
      <c r="A1475" s="76" t="s">
        <v>1032</v>
      </c>
      <c r="B1475" s="27" t="s">
        <v>1187</v>
      </c>
      <c r="C1475" s="27"/>
      <c r="D1475" s="76"/>
      <c r="E1475" s="27" t="s">
        <v>1249</v>
      </c>
      <c r="F1475" s="27" t="s">
        <v>1250</v>
      </c>
      <c r="G1475" s="153">
        <v>46193.0</v>
      </c>
      <c r="H1475" s="153">
        <v>46196.0</v>
      </c>
      <c r="I1475" s="76">
        <f>IFERROR(__xludf.DUMMYFUNCTION("IF(ISBLANK(H1475), TODAY()-TO_DATE(G1475), TO_DATE(H1475)-TO_DATE(G1475))+1"),4.0)</f>
        <v>4</v>
      </c>
      <c r="J1475" s="76" t="s">
        <v>197</v>
      </c>
      <c r="K1475" s="69" t="s">
        <v>9431</v>
      </c>
      <c r="L1475" s="47"/>
      <c r="M1475" s="76"/>
      <c r="N1475" s="763"/>
      <c r="O1475" s="763"/>
      <c r="P1475" s="763"/>
      <c r="Q1475" s="763"/>
      <c r="R1475" s="763"/>
      <c r="S1475" s="763"/>
      <c r="T1475" s="763"/>
      <c r="U1475" s="763"/>
      <c r="V1475" s="763"/>
      <c r="W1475" s="763"/>
      <c r="X1475" s="763"/>
      <c r="Y1475" s="763"/>
      <c r="Z1475" s="763"/>
      <c r="AA1475" s="763"/>
      <c r="AB1475" s="763"/>
      <c r="AC1475" s="763"/>
      <c r="AD1475" s="763"/>
      <c r="AE1475" s="763"/>
      <c r="AF1475" s="763"/>
      <c r="AG1475" s="763"/>
    </row>
    <row r="1476">
      <c r="A1476" s="76" t="s">
        <v>1448</v>
      </c>
      <c r="B1476" s="27" t="s">
        <v>1187</v>
      </c>
      <c r="C1476" s="27"/>
      <c r="D1476" s="76"/>
      <c r="E1476" s="27" t="s">
        <v>366</v>
      </c>
      <c r="F1476" s="27" t="s">
        <v>9054</v>
      </c>
      <c r="G1476" s="153">
        <v>46193.0</v>
      </c>
      <c r="H1476" s="153">
        <v>46252.0</v>
      </c>
      <c r="I1476" s="76">
        <f>IFERROR(__xludf.DUMMYFUNCTION("IF(ISBLANK(H1476), TODAY()-TO_DATE(G1476), TO_DATE(H1476)-TO_DATE(G1476))+1"),60.0)</f>
        <v>60</v>
      </c>
      <c r="J1476" s="76">
        <v>500.0</v>
      </c>
      <c r="K1476" s="1075" t="s">
        <v>10889</v>
      </c>
      <c r="L1476" s="158" t="s">
        <v>10990</v>
      </c>
      <c r="M1476" s="76" t="s">
        <v>9226</v>
      </c>
      <c r="N1476" s="763"/>
      <c r="O1476" s="763"/>
      <c r="P1476" s="763"/>
      <c r="Q1476" s="763"/>
      <c r="R1476" s="763"/>
      <c r="S1476" s="763"/>
      <c r="T1476" s="763"/>
      <c r="U1476" s="763"/>
      <c r="V1476" s="763"/>
      <c r="W1476" s="763"/>
      <c r="X1476" s="763"/>
      <c r="Y1476" s="763"/>
      <c r="Z1476" s="763"/>
      <c r="AA1476" s="763"/>
      <c r="AB1476" s="763"/>
      <c r="AC1476" s="763"/>
      <c r="AD1476" s="763"/>
      <c r="AE1476" s="763"/>
      <c r="AF1476" s="763"/>
      <c r="AG1476" s="763"/>
    </row>
    <row r="1477">
      <c r="A1477" s="76" t="s">
        <v>1448</v>
      </c>
      <c r="B1477" s="27" t="s">
        <v>1187</v>
      </c>
      <c r="C1477" s="27"/>
      <c r="D1477" s="76"/>
      <c r="E1477" s="27" t="s">
        <v>10993</v>
      </c>
      <c r="F1477" s="27" t="s">
        <v>10994</v>
      </c>
      <c r="G1477" s="153">
        <v>46193.0</v>
      </c>
      <c r="H1477" s="153">
        <v>46237.0</v>
      </c>
      <c r="I1477" s="76">
        <f>IFERROR(__xludf.DUMMYFUNCTION("IF(ISBLANK(H1477), TODAY()-TO_DATE(G1477), TO_DATE(H1477)-TO_DATE(G1477))+1"),45.0)</f>
        <v>45</v>
      </c>
      <c r="J1477" s="76">
        <v>500.0</v>
      </c>
      <c r="K1477" s="999" t="s">
        <v>10997</v>
      </c>
      <c r="L1477" s="158" t="s">
        <v>10998</v>
      </c>
      <c r="M1477" s="76"/>
      <c r="N1477" s="763"/>
      <c r="O1477" s="763"/>
      <c r="P1477" s="763"/>
      <c r="Q1477" s="763"/>
      <c r="R1477" s="763"/>
      <c r="S1477" s="763"/>
      <c r="T1477" s="763"/>
      <c r="U1477" s="763"/>
      <c r="V1477" s="763"/>
      <c r="W1477" s="763"/>
      <c r="X1477" s="763"/>
      <c r="Y1477" s="763"/>
      <c r="Z1477" s="763"/>
      <c r="AA1477" s="763"/>
      <c r="AB1477" s="763"/>
      <c r="AC1477" s="763"/>
      <c r="AD1477" s="763"/>
      <c r="AE1477" s="763"/>
      <c r="AF1477" s="763"/>
      <c r="AG1477" s="763"/>
    </row>
    <row r="1478">
      <c r="A1478" s="76" t="s">
        <v>9987</v>
      </c>
      <c r="B1478" s="27" t="s">
        <v>1187</v>
      </c>
      <c r="C1478" s="27"/>
      <c r="D1478" s="76"/>
      <c r="E1478" s="1005" t="s">
        <v>11000</v>
      </c>
      <c r="F1478" s="27" t="s">
        <v>1476</v>
      </c>
      <c r="G1478" s="153">
        <v>46193.0</v>
      </c>
      <c r="H1478" s="153">
        <v>46247.0</v>
      </c>
      <c r="I1478" s="76">
        <f>IFERROR(__xludf.DUMMYFUNCTION("IF(ISBLANK(H1478), TODAY()-TO_DATE(G1478), TO_DATE(H1478)-TO_DATE(G1478))+1"),55.0)</f>
        <v>55</v>
      </c>
      <c r="J1478" s="76">
        <v>500.0</v>
      </c>
      <c r="K1478" s="999" t="s">
        <v>10889</v>
      </c>
      <c r="L1478" s="47"/>
      <c r="M1478" s="76" t="s">
        <v>9226</v>
      </c>
      <c r="N1478" s="763"/>
      <c r="O1478" s="763"/>
      <c r="P1478" s="763"/>
      <c r="Q1478" s="763"/>
      <c r="R1478" s="763"/>
      <c r="S1478" s="763"/>
      <c r="T1478" s="763"/>
      <c r="U1478" s="763"/>
      <c r="V1478" s="763"/>
      <c r="W1478" s="763"/>
      <c r="X1478" s="763"/>
      <c r="Y1478" s="763"/>
      <c r="Z1478" s="763"/>
      <c r="AA1478" s="763"/>
      <c r="AB1478" s="763"/>
      <c r="AC1478" s="763"/>
      <c r="AD1478" s="763"/>
      <c r="AE1478" s="763"/>
      <c r="AF1478" s="763"/>
      <c r="AG1478" s="763"/>
    </row>
    <row r="1479">
      <c r="A1479" s="76" t="s">
        <v>9987</v>
      </c>
      <c r="B1479" s="27" t="s">
        <v>1187</v>
      </c>
      <c r="C1479" s="27"/>
      <c r="D1479" s="76"/>
      <c r="E1479" s="1005" t="s">
        <v>11005</v>
      </c>
      <c r="F1479" s="27" t="s">
        <v>11006</v>
      </c>
      <c r="G1479" s="153">
        <v>46193.0</v>
      </c>
      <c r="H1479" s="153">
        <v>46214.0</v>
      </c>
      <c r="I1479" s="76">
        <f>IFERROR(__xludf.DUMMYFUNCTION("IF(ISBLANK(H1479), TODAY()-TO_DATE(G1479), TO_DATE(H1479)-TO_DATE(G1479))+1"),22.0)</f>
        <v>22</v>
      </c>
      <c r="J1479" s="76">
        <v>500.0</v>
      </c>
      <c r="K1479" s="999" t="s">
        <v>11007</v>
      </c>
      <c r="L1479" s="47"/>
      <c r="M1479" s="76"/>
      <c r="N1479" s="763"/>
      <c r="O1479" s="763"/>
      <c r="P1479" s="763"/>
      <c r="Q1479" s="763"/>
      <c r="R1479" s="763"/>
      <c r="S1479" s="763"/>
      <c r="T1479" s="763"/>
      <c r="U1479" s="763"/>
      <c r="V1479" s="763"/>
      <c r="W1479" s="763"/>
      <c r="X1479" s="763"/>
      <c r="Y1479" s="763"/>
      <c r="Z1479" s="763"/>
      <c r="AA1479" s="763"/>
      <c r="AB1479" s="763"/>
      <c r="AC1479" s="763"/>
      <c r="AD1479" s="763"/>
      <c r="AE1479" s="763"/>
      <c r="AF1479" s="763"/>
      <c r="AG1479" s="763"/>
    </row>
    <row r="1480">
      <c r="A1480" s="76" t="s">
        <v>9987</v>
      </c>
      <c r="B1480" s="27" t="s">
        <v>1187</v>
      </c>
      <c r="C1480" s="27"/>
      <c r="D1480" s="76"/>
      <c r="E1480" s="27" t="s">
        <v>11012</v>
      </c>
      <c r="F1480" s="27" t="s">
        <v>11013</v>
      </c>
      <c r="G1480" s="153">
        <v>46193.0</v>
      </c>
      <c r="H1480" s="153">
        <v>46237.0</v>
      </c>
      <c r="I1480" s="76">
        <f>IFERROR(__xludf.DUMMYFUNCTION("IF(ISBLANK(H1480), TODAY()-TO_DATE(G1480), TO_DATE(H1480)-TO_DATE(G1480))+1"),45.0)</f>
        <v>45</v>
      </c>
      <c r="J1480" s="76">
        <v>500.0</v>
      </c>
      <c r="K1480" s="999" t="s">
        <v>10033</v>
      </c>
      <c r="L1480" s="47"/>
      <c r="M1480" s="76" t="s">
        <v>9226</v>
      </c>
      <c r="N1480" s="763"/>
      <c r="O1480" s="763"/>
      <c r="P1480" s="763"/>
      <c r="Q1480" s="763"/>
      <c r="R1480" s="763"/>
      <c r="S1480" s="763"/>
      <c r="T1480" s="763"/>
      <c r="U1480" s="763"/>
      <c r="V1480" s="763"/>
      <c r="W1480" s="763"/>
      <c r="X1480" s="763"/>
      <c r="Y1480" s="763"/>
      <c r="Z1480" s="763"/>
      <c r="AA1480" s="763"/>
      <c r="AB1480" s="763"/>
      <c r="AC1480" s="763"/>
      <c r="AD1480" s="763"/>
      <c r="AE1480" s="763"/>
      <c r="AF1480" s="763"/>
      <c r="AG1480" s="763"/>
    </row>
    <row r="1481">
      <c r="A1481" s="76" t="s">
        <v>1473</v>
      </c>
      <c r="B1481" s="27" t="s">
        <v>1187</v>
      </c>
      <c r="C1481" s="27"/>
      <c r="D1481" s="76"/>
      <c r="E1481" s="27" t="s">
        <v>8625</v>
      </c>
      <c r="F1481" s="27" t="s">
        <v>8626</v>
      </c>
      <c r="G1481" s="153">
        <v>46196.0</v>
      </c>
      <c r="H1481" s="153">
        <v>46217.0</v>
      </c>
      <c r="I1481" s="76">
        <f>IFERROR(__xludf.DUMMYFUNCTION("IF(ISBLANK(H1481), TODAY()-TO_DATE(G1481), TO_DATE(H1481)-TO_DATE(G1481))+1"),22.0)</f>
        <v>22</v>
      </c>
      <c r="J1481" s="76">
        <v>300.0</v>
      </c>
      <c r="K1481" s="999" t="s">
        <v>11016</v>
      </c>
      <c r="L1481" s="158" t="s">
        <v>11017</v>
      </c>
      <c r="M1481" s="76"/>
      <c r="N1481" s="763"/>
      <c r="O1481" s="763"/>
      <c r="P1481" s="763"/>
      <c r="Q1481" s="763"/>
      <c r="R1481" s="763"/>
      <c r="S1481" s="763"/>
      <c r="T1481" s="763"/>
      <c r="U1481" s="763"/>
      <c r="V1481" s="763"/>
      <c r="W1481" s="763"/>
      <c r="X1481" s="763"/>
      <c r="Y1481" s="763"/>
      <c r="Z1481" s="763"/>
      <c r="AA1481" s="763"/>
      <c r="AB1481" s="763"/>
      <c r="AC1481" s="763"/>
      <c r="AD1481" s="763"/>
      <c r="AE1481" s="763"/>
      <c r="AF1481" s="763"/>
      <c r="AG1481" s="763"/>
    </row>
    <row r="1482">
      <c r="A1482" s="76" t="s">
        <v>1448</v>
      </c>
      <c r="B1482" s="27" t="s">
        <v>1187</v>
      </c>
      <c r="C1482" s="27"/>
      <c r="D1482" s="76"/>
      <c r="E1482" s="27" t="s">
        <v>1012</v>
      </c>
      <c r="F1482" s="27" t="s">
        <v>1014</v>
      </c>
      <c r="G1482" s="153">
        <v>46196.0</v>
      </c>
      <c r="H1482" s="153">
        <v>46215.0</v>
      </c>
      <c r="I1482" s="76">
        <f>IFERROR(__xludf.DUMMYFUNCTION("IF(ISBLANK(H1482), TODAY()-TO_DATE(G1482), TO_DATE(H1482)-TO_DATE(G1482))+1"),20.0)</f>
        <v>20</v>
      </c>
      <c r="J1482" s="76">
        <v>500.0</v>
      </c>
      <c r="K1482" s="69" t="s">
        <v>9533</v>
      </c>
      <c r="L1482" s="1008" t="s">
        <v>11019</v>
      </c>
      <c r="M1482" s="76" t="s">
        <v>9226</v>
      </c>
      <c r="N1482" s="763"/>
      <c r="O1482" s="763"/>
      <c r="P1482" s="763"/>
      <c r="Q1482" s="763"/>
      <c r="R1482" s="763"/>
      <c r="S1482" s="763"/>
      <c r="T1482" s="763"/>
      <c r="U1482" s="763"/>
      <c r="V1482" s="763"/>
      <c r="W1482" s="763"/>
      <c r="X1482" s="763"/>
      <c r="Y1482" s="763"/>
      <c r="Z1482" s="763"/>
      <c r="AA1482" s="763"/>
      <c r="AB1482" s="763"/>
      <c r="AC1482" s="763"/>
      <c r="AD1482" s="763"/>
      <c r="AE1482" s="763"/>
      <c r="AF1482" s="763"/>
      <c r="AG1482" s="763"/>
    </row>
    <row r="1483">
      <c r="A1483" s="76" t="s">
        <v>1448</v>
      </c>
      <c r="B1483" s="27" t="s">
        <v>1187</v>
      </c>
      <c r="C1483" s="27"/>
      <c r="D1483" s="76"/>
      <c r="E1483" s="27" t="s">
        <v>10242</v>
      </c>
      <c r="F1483" s="27" t="s">
        <v>981</v>
      </c>
      <c r="G1483" s="153">
        <v>46196.0</v>
      </c>
      <c r="H1483" s="153">
        <v>46203.0</v>
      </c>
      <c r="I1483" s="76">
        <f>IFERROR(__xludf.DUMMYFUNCTION("IF(ISBLANK(H1483), TODAY()-TO_DATE(G1483), TO_DATE(H1483)-TO_DATE(G1483))+1"),8.0)</f>
        <v>8</v>
      </c>
      <c r="J1483" s="76">
        <v>300.0</v>
      </c>
      <c r="K1483" s="69" t="s">
        <v>11023</v>
      </c>
      <c r="L1483" s="47"/>
      <c r="M1483" s="76"/>
      <c r="N1483" s="763"/>
      <c r="O1483" s="763"/>
      <c r="P1483" s="763"/>
      <c r="Q1483" s="763"/>
      <c r="R1483" s="763"/>
      <c r="S1483" s="763"/>
      <c r="T1483" s="763"/>
      <c r="U1483" s="763"/>
      <c r="V1483" s="763"/>
      <c r="W1483" s="763"/>
      <c r="X1483" s="763"/>
      <c r="Y1483" s="763"/>
      <c r="Z1483" s="763"/>
      <c r="AA1483" s="763"/>
      <c r="AB1483" s="763"/>
      <c r="AC1483" s="763"/>
      <c r="AD1483" s="763"/>
      <c r="AE1483" s="763"/>
      <c r="AF1483" s="763"/>
      <c r="AG1483" s="763"/>
    </row>
    <row r="1484">
      <c r="A1484" s="76" t="s">
        <v>9434</v>
      </c>
      <c r="B1484" s="27" t="s">
        <v>1187</v>
      </c>
      <c r="C1484" s="27"/>
      <c r="D1484" s="76"/>
      <c r="E1484" s="27" t="s">
        <v>1964</v>
      </c>
      <c r="F1484" s="27" t="s">
        <v>1965</v>
      </c>
      <c r="G1484" s="153">
        <v>46196.0</v>
      </c>
      <c r="H1484" s="153">
        <v>46251.0</v>
      </c>
      <c r="I1484" s="76">
        <f>IFERROR(__xludf.DUMMYFUNCTION("IF(ISBLANK(H1484), TODAY()-TO_DATE(G1484), TO_DATE(H1484)-TO_DATE(G1484))+1"),56.0)</f>
        <v>56</v>
      </c>
      <c r="J1484" s="76" t="s">
        <v>197</v>
      </c>
      <c r="K1484" s="997" t="s">
        <v>11027</v>
      </c>
      <c r="L1484" s="1008" t="s">
        <v>11029</v>
      </c>
      <c r="M1484" s="76"/>
      <c r="N1484" s="763"/>
      <c r="O1484" s="763"/>
      <c r="P1484" s="763"/>
      <c r="Q1484" s="763"/>
      <c r="R1484" s="763"/>
      <c r="S1484" s="763"/>
      <c r="T1484" s="763"/>
      <c r="U1484" s="763"/>
      <c r="V1484" s="763"/>
      <c r="W1484" s="763"/>
      <c r="X1484" s="763"/>
      <c r="Y1484" s="763"/>
      <c r="Z1484" s="763"/>
      <c r="AA1484" s="763"/>
      <c r="AB1484" s="763"/>
      <c r="AC1484" s="763"/>
      <c r="AD1484" s="763"/>
      <c r="AE1484" s="763"/>
      <c r="AF1484" s="763"/>
      <c r="AG1484" s="763"/>
    </row>
    <row r="1485">
      <c r="A1485" s="76" t="s">
        <v>1032</v>
      </c>
      <c r="B1485" s="27" t="s">
        <v>1187</v>
      </c>
      <c r="C1485" s="27"/>
      <c r="D1485" s="76"/>
      <c r="E1485" s="27" t="s">
        <v>2350</v>
      </c>
      <c r="F1485" s="27" t="s">
        <v>2352</v>
      </c>
      <c r="G1485" s="153">
        <v>46197.0</v>
      </c>
      <c r="H1485" s="153">
        <v>46226.0</v>
      </c>
      <c r="I1485" s="76">
        <f>IFERROR(__xludf.DUMMYFUNCTION("IF(ISBLANK(H1485), TODAY()-TO_DATE(G1485), TO_DATE(H1485)-TO_DATE(G1485))+1"),30.0)</f>
        <v>30</v>
      </c>
      <c r="J1485" s="76" t="s">
        <v>197</v>
      </c>
      <c r="K1485" s="69" t="s">
        <v>9961</v>
      </c>
      <c r="L1485" s="47"/>
      <c r="M1485" s="76" t="s">
        <v>9226</v>
      </c>
      <c r="N1485" s="763"/>
      <c r="O1485" s="763"/>
      <c r="P1485" s="763"/>
      <c r="Q1485" s="763"/>
      <c r="R1485" s="763"/>
      <c r="S1485" s="763"/>
      <c r="T1485" s="763"/>
      <c r="U1485" s="763"/>
      <c r="V1485" s="763"/>
      <c r="W1485" s="763"/>
      <c r="X1485" s="763"/>
      <c r="Y1485" s="763"/>
      <c r="Z1485" s="763"/>
      <c r="AA1485" s="763"/>
      <c r="AB1485" s="763"/>
      <c r="AC1485" s="763"/>
      <c r="AD1485" s="763"/>
      <c r="AE1485" s="763"/>
      <c r="AF1485" s="763"/>
      <c r="AG1485" s="763"/>
    </row>
    <row r="1486">
      <c r="A1486" s="76" t="s">
        <v>1448</v>
      </c>
      <c r="B1486" s="27" t="s">
        <v>1187</v>
      </c>
      <c r="C1486" s="27"/>
      <c r="D1486" s="76"/>
      <c r="E1486" s="27" t="s">
        <v>8639</v>
      </c>
      <c r="F1486" s="27" t="s">
        <v>8956</v>
      </c>
      <c r="G1486" s="153">
        <v>46197.0</v>
      </c>
      <c r="H1486" s="153">
        <v>46217.0</v>
      </c>
      <c r="I1486" s="76">
        <f>IFERROR(__xludf.DUMMYFUNCTION("IF(ISBLANK(H1486), TODAY()-TO_DATE(G1486), TO_DATE(H1486)-TO_DATE(G1486))+1"),21.0)</f>
        <v>21</v>
      </c>
      <c r="J1486" s="76">
        <v>300.0</v>
      </c>
      <c r="K1486" s="997" t="s">
        <v>11036</v>
      </c>
      <c r="L1486" s="158" t="s">
        <v>11037</v>
      </c>
      <c r="M1486" s="76" t="s">
        <v>11039</v>
      </c>
      <c r="N1486" s="763"/>
      <c r="O1486" s="763"/>
      <c r="P1486" s="763"/>
      <c r="Q1486" s="763"/>
      <c r="R1486" s="763"/>
      <c r="S1486" s="763"/>
      <c r="T1486" s="763"/>
      <c r="U1486" s="763"/>
      <c r="V1486" s="763"/>
      <c r="W1486" s="763"/>
      <c r="X1486" s="763"/>
      <c r="Y1486" s="763"/>
      <c r="Z1486" s="763"/>
      <c r="AA1486" s="763"/>
      <c r="AB1486" s="763"/>
      <c r="AC1486" s="763"/>
      <c r="AD1486" s="763"/>
      <c r="AE1486" s="763"/>
      <c r="AF1486" s="763"/>
      <c r="AG1486" s="763"/>
    </row>
    <row r="1487">
      <c r="A1487" s="76" t="s">
        <v>9987</v>
      </c>
      <c r="B1487" s="27" t="s">
        <v>1187</v>
      </c>
      <c r="C1487" s="27"/>
      <c r="D1487" s="76"/>
      <c r="E1487" s="27" t="s">
        <v>3489</v>
      </c>
      <c r="F1487" s="27" t="s">
        <v>3490</v>
      </c>
      <c r="G1487" s="153">
        <v>46197.0</v>
      </c>
      <c r="H1487" s="153">
        <v>46216.0</v>
      </c>
      <c r="I1487" s="76">
        <f>IFERROR(__xludf.DUMMYFUNCTION("IF(ISBLANK(H1487), TODAY()-TO_DATE(G1487), TO_DATE(H1487)-TO_DATE(G1487))+1"),20.0)</f>
        <v>20</v>
      </c>
      <c r="J1487" s="76">
        <v>200.0</v>
      </c>
      <c r="K1487" s="997" t="s">
        <v>11044</v>
      </c>
      <c r="L1487" s="47"/>
      <c r="M1487" s="76" t="s">
        <v>9226</v>
      </c>
      <c r="N1487" s="763"/>
      <c r="O1487" s="763"/>
      <c r="P1487" s="763"/>
      <c r="Q1487" s="763"/>
      <c r="R1487" s="763"/>
      <c r="S1487" s="763"/>
      <c r="T1487" s="763"/>
      <c r="U1487" s="763"/>
      <c r="V1487" s="763"/>
      <c r="W1487" s="763"/>
      <c r="X1487" s="763"/>
      <c r="Y1487" s="763"/>
      <c r="Z1487" s="763"/>
      <c r="AA1487" s="763"/>
      <c r="AB1487" s="763"/>
      <c r="AC1487" s="763"/>
      <c r="AD1487" s="763"/>
      <c r="AE1487" s="763"/>
      <c r="AF1487" s="763"/>
      <c r="AG1487" s="763"/>
    </row>
    <row r="1488">
      <c r="A1488" s="76" t="s">
        <v>9987</v>
      </c>
      <c r="B1488" s="27" t="s">
        <v>1187</v>
      </c>
      <c r="C1488" s="27"/>
      <c r="D1488" s="76"/>
      <c r="E1488" s="27" t="s">
        <v>2341</v>
      </c>
      <c r="F1488" s="27" t="s">
        <v>2342</v>
      </c>
      <c r="G1488" s="153">
        <v>46197.0</v>
      </c>
      <c r="H1488" s="153">
        <v>46207.0</v>
      </c>
      <c r="I1488" s="76">
        <f>IFERROR(__xludf.DUMMYFUNCTION("IF(ISBLANK(H1488), TODAY()-TO_DATE(G1488), TO_DATE(H1488)-TO_DATE(G1488))+1"),11.0)</f>
        <v>11</v>
      </c>
      <c r="J1488" s="76">
        <v>300.0</v>
      </c>
      <c r="K1488" s="999" t="s">
        <v>11046</v>
      </c>
      <c r="L1488" s="47"/>
      <c r="M1488" s="76"/>
      <c r="N1488" s="763"/>
      <c r="O1488" s="763"/>
      <c r="P1488" s="763"/>
      <c r="Q1488" s="763"/>
      <c r="R1488" s="763"/>
      <c r="S1488" s="763"/>
      <c r="T1488" s="763"/>
      <c r="U1488" s="763"/>
      <c r="V1488" s="763"/>
      <c r="W1488" s="763"/>
      <c r="X1488" s="763"/>
      <c r="Y1488" s="763"/>
      <c r="Z1488" s="763"/>
      <c r="AA1488" s="763"/>
      <c r="AB1488" s="763"/>
      <c r="AC1488" s="763"/>
      <c r="AD1488" s="763"/>
      <c r="AE1488" s="763"/>
      <c r="AF1488" s="763"/>
      <c r="AG1488" s="763"/>
    </row>
    <row r="1489">
      <c r="A1489" s="47" t="s">
        <v>1473</v>
      </c>
      <c r="B1489" s="47" t="s">
        <v>5364</v>
      </c>
      <c r="C1489" s="47"/>
      <c r="D1489" s="47"/>
      <c r="E1489" s="47" t="s">
        <v>1662</v>
      </c>
      <c r="F1489" s="47" t="s">
        <v>5358</v>
      </c>
      <c r="G1489" s="1079">
        <v>46197.0</v>
      </c>
      <c r="H1489" s="1080">
        <v>46205.0</v>
      </c>
      <c r="I1489" s="47">
        <f>IFERROR(__xludf.DUMMYFUNCTION("IF(ISBLANK(H1489), TODAY()-TO_DATE(G1489), TO_DATE(H1489)-TO_DATE(G1489))+1"),9.0)</f>
        <v>9</v>
      </c>
      <c r="J1489" s="47" t="s">
        <v>197</v>
      </c>
      <c r="K1489" s="47" t="s">
        <v>11047</v>
      </c>
      <c r="L1489" s="1071"/>
      <c r="M1489" s="47" t="s">
        <v>9226</v>
      </c>
      <c r="N1489" s="763"/>
      <c r="O1489" s="763"/>
      <c r="P1489" s="763"/>
      <c r="Q1489" s="763"/>
      <c r="R1489" s="763"/>
      <c r="S1489" s="763"/>
      <c r="T1489" s="763"/>
      <c r="U1489" s="763"/>
      <c r="V1489" s="763"/>
      <c r="W1489" s="763"/>
      <c r="X1489" s="763"/>
      <c r="Y1489" s="763"/>
      <c r="Z1489" s="763"/>
      <c r="AA1489" s="763"/>
      <c r="AB1489" s="763"/>
      <c r="AC1489" s="763"/>
      <c r="AD1489" s="763"/>
      <c r="AE1489" s="763"/>
      <c r="AF1489" s="763"/>
      <c r="AG1489" s="763"/>
    </row>
    <row r="1490">
      <c r="A1490" s="47" t="s">
        <v>9987</v>
      </c>
      <c r="B1490" s="47" t="s">
        <v>1187</v>
      </c>
      <c r="C1490" s="47"/>
      <c r="D1490" s="47"/>
      <c r="E1490" s="47" t="s">
        <v>11049</v>
      </c>
      <c r="F1490" s="47" t="s">
        <v>11050</v>
      </c>
      <c r="G1490" s="1079">
        <v>46199.0</v>
      </c>
      <c r="H1490" s="1080">
        <v>46235.0</v>
      </c>
      <c r="I1490" s="47">
        <f>IFERROR(__xludf.DUMMYFUNCTION("IF(ISBLANK(H1490), TODAY()-TO_DATE(G1490), TO_DATE(H1490)-TO_DATE(G1490))+1"),37.0)</f>
        <v>37</v>
      </c>
      <c r="J1490" s="47">
        <v>500.0</v>
      </c>
      <c r="K1490" s="158" t="s">
        <v>11054</v>
      </c>
      <c r="L1490" s="158" t="s">
        <v>11055</v>
      </c>
      <c r="M1490" s="47" t="s">
        <v>9226</v>
      </c>
      <c r="N1490" s="763"/>
      <c r="O1490" s="763"/>
      <c r="P1490" s="763"/>
      <c r="Q1490" s="763"/>
      <c r="R1490" s="763"/>
      <c r="S1490" s="763"/>
      <c r="T1490" s="763"/>
      <c r="U1490" s="763"/>
      <c r="V1490" s="763"/>
      <c r="W1490" s="763"/>
      <c r="X1490" s="763"/>
      <c r="Y1490" s="763"/>
      <c r="Z1490" s="763"/>
      <c r="AA1490" s="763"/>
      <c r="AB1490" s="763"/>
      <c r="AC1490" s="763"/>
      <c r="AD1490" s="763"/>
      <c r="AE1490" s="763"/>
      <c r="AF1490" s="763"/>
      <c r="AG1490" s="763"/>
    </row>
    <row r="1491">
      <c r="A1491" s="47" t="s">
        <v>145</v>
      </c>
      <c r="B1491" s="47" t="s">
        <v>1187</v>
      </c>
      <c r="C1491" s="47"/>
      <c r="D1491" s="47"/>
      <c r="E1491" s="47" t="s">
        <v>11056</v>
      </c>
      <c r="F1491" s="47" t="s">
        <v>3080</v>
      </c>
      <c r="G1491" s="1079">
        <v>46199.0</v>
      </c>
      <c r="H1491" s="1080">
        <v>46215.0</v>
      </c>
      <c r="I1491" s="47">
        <f>IFERROR(__xludf.DUMMYFUNCTION("IF(ISBLANK(H1491), TODAY()-TO_DATE(G1491), TO_DATE(H1491)-TO_DATE(G1491))+1"),17.0)</f>
        <v>17</v>
      </c>
      <c r="J1491" s="47">
        <v>500.0</v>
      </c>
      <c r="K1491" s="47" t="s">
        <v>11060</v>
      </c>
      <c r="L1491" s="47"/>
      <c r="M1491" s="47" t="s">
        <v>9226</v>
      </c>
      <c r="N1491" s="763"/>
      <c r="O1491" s="763"/>
      <c r="P1491" s="763"/>
      <c r="Q1491" s="763"/>
      <c r="R1491" s="763"/>
      <c r="S1491" s="763"/>
      <c r="T1491" s="763"/>
      <c r="U1491" s="763"/>
      <c r="V1491" s="763"/>
      <c r="W1491" s="763"/>
      <c r="X1491" s="763"/>
      <c r="Y1491" s="763"/>
      <c r="Z1491" s="763"/>
      <c r="AA1491" s="763"/>
      <c r="AB1491" s="763"/>
      <c r="AC1491" s="763"/>
      <c r="AD1491" s="763"/>
      <c r="AE1491" s="763"/>
      <c r="AF1491" s="763"/>
      <c r="AG1491" s="763"/>
    </row>
    <row r="1492">
      <c r="A1492" s="47" t="s">
        <v>145</v>
      </c>
      <c r="B1492" s="47" t="s">
        <v>1187</v>
      </c>
      <c r="C1492" s="47"/>
      <c r="D1492" s="47"/>
      <c r="E1492" s="47" t="s">
        <v>11061</v>
      </c>
      <c r="F1492" s="47" t="s">
        <v>8868</v>
      </c>
      <c r="G1492" s="1079">
        <v>46199.0</v>
      </c>
      <c r="H1492" s="1080">
        <v>46243.0</v>
      </c>
      <c r="I1492" s="47">
        <f>IFERROR(__xludf.DUMMYFUNCTION("IF(ISBLANK(H1492), TODAY()-TO_DATE(G1492), TO_DATE(H1492)-TO_DATE(G1492))+1"),45.0)</f>
        <v>45</v>
      </c>
      <c r="J1492" s="47">
        <v>500.0</v>
      </c>
      <c r="K1492" s="47" t="s">
        <v>11064</v>
      </c>
      <c r="L1492" s="47" t="s">
        <v>8908</v>
      </c>
      <c r="M1492" s="47"/>
      <c r="N1492" s="763"/>
      <c r="O1492" s="763"/>
      <c r="P1492" s="763"/>
      <c r="Q1492" s="763"/>
      <c r="R1492" s="763"/>
      <c r="S1492" s="763"/>
      <c r="T1492" s="763"/>
      <c r="U1492" s="763"/>
      <c r="V1492" s="763"/>
      <c r="W1492" s="763"/>
      <c r="X1492" s="763"/>
      <c r="Y1492" s="763"/>
      <c r="Z1492" s="763"/>
      <c r="AA1492" s="763"/>
      <c r="AB1492" s="763"/>
      <c r="AC1492" s="763"/>
      <c r="AD1492" s="763"/>
      <c r="AE1492" s="763"/>
      <c r="AF1492" s="763"/>
      <c r="AG1492" s="763"/>
    </row>
    <row r="1493">
      <c r="A1493" s="47" t="s">
        <v>145</v>
      </c>
      <c r="B1493" s="47" t="s">
        <v>1187</v>
      </c>
      <c r="C1493" s="47"/>
      <c r="D1493" s="47"/>
      <c r="E1493" s="47" t="s">
        <v>11065</v>
      </c>
      <c r="F1493" s="47" t="s">
        <v>3316</v>
      </c>
      <c r="G1493" s="1079">
        <v>46199.0</v>
      </c>
      <c r="H1493" s="1080">
        <v>46235.0</v>
      </c>
      <c r="I1493" s="47">
        <f>IFERROR(__xludf.DUMMYFUNCTION("IF(ISBLANK(H1493), TODAY()-TO_DATE(G1493), TO_DATE(H1493)-TO_DATE(G1493))+1"),37.0)</f>
        <v>37</v>
      </c>
      <c r="J1493" s="47">
        <v>500.0</v>
      </c>
      <c r="K1493" s="158" t="s">
        <v>10757</v>
      </c>
      <c r="L1493" s="47"/>
      <c r="M1493" s="47"/>
      <c r="N1493" s="763"/>
      <c r="O1493" s="763"/>
      <c r="P1493" s="763"/>
      <c r="Q1493" s="763"/>
      <c r="R1493" s="763"/>
      <c r="S1493" s="763"/>
      <c r="T1493" s="763"/>
      <c r="U1493" s="763"/>
      <c r="V1493" s="763"/>
      <c r="W1493" s="763"/>
      <c r="X1493" s="763"/>
      <c r="Y1493" s="763"/>
      <c r="Z1493" s="763"/>
      <c r="AA1493" s="763"/>
      <c r="AB1493" s="763"/>
      <c r="AC1493" s="763"/>
      <c r="AD1493" s="763"/>
      <c r="AE1493" s="763"/>
      <c r="AF1493" s="763"/>
      <c r="AG1493" s="763"/>
    </row>
    <row r="1494">
      <c r="A1494" s="47" t="s">
        <v>1448</v>
      </c>
      <c r="B1494" s="47" t="s">
        <v>1187</v>
      </c>
      <c r="C1494" s="47"/>
      <c r="D1494" s="47"/>
      <c r="E1494" s="47" t="s">
        <v>309</v>
      </c>
      <c r="F1494" s="47" t="s">
        <v>310</v>
      </c>
      <c r="G1494" s="1079">
        <v>46199.0</v>
      </c>
      <c r="H1494" s="1080">
        <v>46200.0</v>
      </c>
      <c r="I1494" s="47">
        <f>IFERROR(__xludf.DUMMYFUNCTION("IF(ISBLANK(H1494), TODAY()-TO_DATE(G1494), TO_DATE(H1494)-TO_DATE(G1494))+1"),2.0)</f>
        <v>2</v>
      </c>
      <c r="J1494" s="47" t="s">
        <v>197</v>
      </c>
      <c r="K1494" s="47" t="s">
        <v>11067</v>
      </c>
      <c r="L1494" s="47" t="s">
        <v>11068</v>
      </c>
      <c r="M1494" s="47" t="s">
        <v>9226</v>
      </c>
      <c r="N1494" s="763"/>
      <c r="O1494" s="763"/>
      <c r="P1494" s="763"/>
      <c r="Q1494" s="763"/>
      <c r="R1494" s="763"/>
      <c r="S1494" s="763"/>
      <c r="T1494" s="763"/>
      <c r="U1494" s="763"/>
      <c r="V1494" s="763"/>
      <c r="W1494" s="763"/>
      <c r="X1494" s="763"/>
      <c r="Y1494" s="763"/>
      <c r="Z1494" s="763"/>
      <c r="AA1494" s="763"/>
      <c r="AB1494" s="763"/>
      <c r="AC1494" s="763"/>
      <c r="AD1494" s="763"/>
      <c r="AE1494" s="763"/>
      <c r="AF1494" s="763"/>
      <c r="AG1494" s="763"/>
    </row>
    <row r="1495">
      <c r="A1495" s="47" t="s">
        <v>9987</v>
      </c>
      <c r="B1495" s="47" t="s">
        <v>1187</v>
      </c>
      <c r="C1495" s="47"/>
      <c r="D1495" s="47"/>
      <c r="E1495" s="47" t="s">
        <v>11069</v>
      </c>
      <c r="F1495" s="47" t="s">
        <v>2567</v>
      </c>
      <c r="G1495" s="1079">
        <v>46199.0</v>
      </c>
      <c r="H1495" s="1080">
        <v>46217.0</v>
      </c>
      <c r="I1495" s="47">
        <f>IFERROR(__xludf.DUMMYFUNCTION("IF(ISBLANK(H1495), TODAY()-TO_DATE(G1495), TO_DATE(H1495)-TO_DATE(G1495))+1"),19.0)</f>
        <v>19</v>
      </c>
      <c r="J1495" s="47">
        <v>500.0</v>
      </c>
      <c r="K1495" s="158" t="s">
        <v>9346</v>
      </c>
      <c r="L1495" s="158" t="s">
        <v>11071</v>
      </c>
      <c r="M1495" s="47"/>
      <c r="N1495" s="763"/>
      <c r="O1495" s="763"/>
      <c r="P1495" s="763"/>
      <c r="Q1495" s="763"/>
      <c r="R1495" s="763"/>
      <c r="S1495" s="763"/>
      <c r="T1495" s="763"/>
      <c r="U1495" s="763"/>
      <c r="V1495" s="763"/>
      <c r="W1495" s="763"/>
      <c r="X1495" s="763"/>
      <c r="Y1495" s="763"/>
      <c r="Z1495" s="763"/>
      <c r="AA1495" s="763"/>
      <c r="AB1495" s="763"/>
      <c r="AC1495" s="763"/>
      <c r="AD1495" s="763"/>
      <c r="AE1495" s="763"/>
      <c r="AF1495" s="763"/>
      <c r="AG1495" s="763"/>
    </row>
    <row r="1496">
      <c r="A1496" s="47" t="s">
        <v>145</v>
      </c>
      <c r="B1496" s="47" t="s">
        <v>1187</v>
      </c>
      <c r="C1496" s="47"/>
      <c r="D1496" s="47"/>
      <c r="E1496" s="47" t="s">
        <v>10186</v>
      </c>
      <c r="F1496" s="47" t="s">
        <v>10187</v>
      </c>
      <c r="G1496" s="1079">
        <v>46199.0</v>
      </c>
      <c r="H1496" s="1080">
        <v>46252.0</v>
      </c>
      <c r="I1496" s="47">
        <f>IFERROR(__xludf.DUMMYFUNCTION("IF(ISBLANK(H1496), TODAY()-TO_DATE(G1496), TO_DATE(H1496)-TO_DATE(G1496))+1"),54.0)</f>
        <v>54</v>
      </c>
      <c r="J1496" s="47">
        <v>300.0</v>
      </c>
      <c r="K1496" s="1008" t="s">
        <v>9972</v>
      </c>
      <c r="L1496" s="1008" t="s">
        <v>11074</v>
      </c>
      <c r="M1496" s="1008" t="s">
        <v>9226</v>
      </c>
      <c r="N1496" s="763"/>
      <c r="O1496" s="763"/>
      <c r="P1496" s="763"/>
      <c r="Q1496" s="763"/>
      <c r="R1496" s="763"/>
      <c r="S1496" s="763"/>
      <c r="T1496" s="763"/>
      <c r="U1496" s="763"/>
      <c r="V1496" s="763"/>
      <c r="W1496" s="763"/>
      <c r="X1496" s="763"/>
      <c r="Y1496" s="763"/>
      <c r="Z1496" s="763"/>
      <c r="AA1496" s="763"/>
      <c r="AB1496" s="763"/>
      <c r="AC1496" s="763"/>
      <c r="AD1496" s="763"/>
      <c r="AE1496" s="763"/>
      <c r="AF1496" s="763"/>
      <c r="AG1496" s="763"/>
    </row>
    <row r="1497">
      <c r="A1497" s="47" t="s">
        <v>145</v>
      </c>
      <c r="B1497" s="47" t="s">
        <v>1187</v>
      </c>
      <c r="C1497" s="47"/>
      <c r="D1497" s="47"/>
      <c r="E1497" s="47" t="s">
        <v>11076</v>
      </c>
      <c r="F1497" s="47" t="s">
        <v>2847</v>
      </c>
      <c r="G1497" s="1079">
        <v>46199.0</v>
      </c>
      <c r="H1497" s="1080">
        <v>46215.0</v>
      </c>
      <c r="I1497" s="47">
        <f>IFERROR(__xludf.DUMMYFUNCTION("IF(ISBLANK(H1497), TODAY()-TO_DATE(G1497), TO_DATE(H1497)-TO_DATE(G1497))+1"),17.0)</f>
        <v>17</v>
      </c>
      <c r="J1497" s="47">
        <v>500.0</v>
      </c>
      <c r="K1497" s="47" t="s">
        <v>10760</v>
      </c>
      <c r="L1497" s="47" t="s">
        <v>11077</v>
      </c>
      <c r="M1497" s="47" t="s">
        <v>9226</v>
      </c>
      <c r="N1497" s="763"/>
      <c r="O1497" s="763"/>
      <c r="P1497" s="763"/>
      <c r="Q1497" s="763"/>
      <c r="R1497" s="763"/>
      <c r="S1497" s="763"/>
      <c r="T1497" s="763"/>
      <c r="U1497" s="763"/>
      <c r="V1497" s="763"/>
      <c r="W1497" s="763"/>
      <c r="X1497" s="763"/>
      <c r="Y1497" s="763"/>
      <c r="Z1497" s="763"/>
      <c r="AA1497" s="763"/>
      <c r="AB1497" s="763"/>
      <c r="AC1497" s="763"/>
      <c r="AD1497" s="763"/>
      <c r="AE1497" s="763"/>
      <c r="AF1497" s="763"/>
      <c r="AG1497" s="763"/>
    </row>
    <row r="1498">
      <c r="A1498" s="47" t="s">
        <v>145</v>
      </c>
      <c r="B1498" s="47" t="s">
        <v>1187</v>
      </c>
      <c r="C1498" s="47"/>
      <c r="D1498" s="47"/>
      <c r="E1498" s="47" t="s">
        <v>11078</v>
      </c>
      <c r="F1498" s="47" t="s">
        <v>11079</v>
      </c>
      <c r="G1498" s="1079">
        <v>46199.0</v>
      </c>
      <c r="H1498" s="1080">
        <v>46215.0</v>
      </c>
      <c r="I1498" s="47">
        <f>IFERROR(__xludf.DUMMYFUNCTION("IF(ISBLANK(H1498), TODAY()-TO_DATE(G1498), TO_DATE(H1498)-TO_DATE(G1498))+1"),17.0)</f>
        <v>17</v>
      </c>
      <c r="J1498" s="47">
        <v>500.0</v>
      </c>
      <c r="K1498" s="47" t="s">
        <v>11081</v>
      </c>
      <c r="L1498" s="47"/>
      <c r="M1498" s="47" t="s">
        <v>9226</v>
      </c>
      <c r="N1498" s="763"/>
      <c r="O1498" s="763"/>
      <c r="P1498" s="763"/>
      <c r="Q1498" s="763"/>
      <c r="R1498" s="763"/>
      <c r="S1498" s="763"/>
      <c r="T1498" s="763"/>
      <c r="U1498" s="763"/>
      <c r="V1498" s="763"/>
      <c r="W1498" s="763"/>
      <c r="X1498" s="763"/>
      <c r="Y1498" s="763"/>
      <c r="Z1498" s="763"/>
      <c r="AA1498" s="763"/>
      <c r="AB1498" s="763"/>
      <c r="AC1498" s="763"/>
      <c r="AD1498" s="763"/>
      <c r="AE1498" s="763"/>
      <c r="AF1498" s="763"/>
      <c r="AG1498" s="763"/>
    </row>
    <row r="1499">
      <c r="A1499" s="47" t="s">
        <v>150</v>
      </c>
      <c r="B1499" s="47" t="s">
        <v>1187</v>
      </c>
      <c r="C1499" s="47"/>
      <c r="D1499" s="47"/>
      <c r="E1499" s="47" t="s">
        <v>945</v>
      </c>
      <c r="F1499" s="47" t="s">
        <v>946</v>
      </c>
      <c r="G1499" s="1079">
        <v>46201.0</v>
      </c>
      <c r="H1499" s="1080">
        <v>46235.0</v>
      </c>
      <c r="I1499" s="47">
        <f>IFERROR(__xludf.DUMMYFUNCTION("IF(ISBLANK(H1499), TODAY()-TO_DATE(G1499), TO_DATE(H1499)-TO_DATE(G1499))+1"),35.0)</f>
        <v>35</v>
      </c>
      <c r="J1499" s="47">
        <v>300.0</v>
      </c>
      <c r="K1499" s="47" t="s">
        <v>11084</v>
      </c>
      <c r="L1499" s="158" t="s">
        <v>11085</v>
      </c>
      <c r="M1499" s="47"/>
      <c r="N1499" s="763"/>
      <c r="O1499" s="763"/>
      <c r="P1499" s="763"/>
      <c r="Q1499" s="763"/>
      <c r="R1499" s="763"/>
      <c r="S1499" s="763"/>
      <c r="T1499" s="763"/>
      <c r="U1499" s="763"/>
      <c r="V1499" s="763"/>
      <c r="W1499" s="763"/>
      <c r="X1499" s="763"/>
      <c r="Y1499" s="763"/>
      <c r="Z1499" s="763"/>
      <c r="AA1499" s="763"/>
      <c r="AB1499" s="763"/>
      <c r="AC1499" s="763"/>
      <c r="AD1499" s="763"/>
      <c r="AE1499" s="763"/>
      <c r="AF1499" s="763"/>
      <c r="AG1499" s="763"/>
    </row>
    <row r="1500">
      <c r="A1500" s="47" t="s">
        <v>1923</v>
      </c>
      <c r="B1500" s="47" t="s">
        <v>1187</v>
      </c>
      <c r="C1500" s="47"/>
      <c r="D1500" s="47"/>
      <c r="E1500" s="47" t="s">
        <v>2129</v>
      </c>
      <c r="F1500" s="47" t="s">
        <v>2131</v>
      </c>
      <c r="G1500" s="1079">
        <v>46201.0</v>
      </c>
      <c r="H1500" s="1080">
        <v>46250.0</v>
      </c>
      <c r="I1500" s="47">
        <f>IFERROR(__xludf.DUMMYFUNCTION("IF(ISBLANK(H1500), TODAY()-TO_DATE(G1500), TO_DATE(H1500)-TO_DATE(G1500))+1"),50.0)</f>
        <v>50</v>
      </c>
      <c r="J1500" s="47" t="s">
        <v>197</v>
      </c>
      <c r="K1500" s="158" t="s">
        <v>10200</v>
      </c>
      <c r="L1500" s="47"/>
      <c r="M1500" s="47"/>
      <c r="N1500" s="763"/>
      <c r="O1500" s="763"/>
      <c r="P1500" s="763"/>
      <c r="Q1500" s="763"/>
      <c r="R1500" s="763"/>
      <c r="S1500" s="763"/>
      <c r="T1500" s="763"/>
      <c r="U1500" s="763"/>
      <c r="V1500" s="763"/>
      <c r="W1500" s="763"/>
      <c r="X1500" s="763"/>
      <c r="Y1500" s="763"/>
      <c r="Z1500" s="763"/>
      <c r="AA1500" s="763"/>
      <c r="AB1500" s="763"/>
      <c r="AC1500" s="763"/>
      <c r="AD1500" s="763"/>
      <c r="AE1500" s="763"/>
      <c r="AF1500" s="763"/>
      <c r="AG1500" s="763"/>
    </row>
    <row r="1501">
      <c r="A1501" s="47" t="s">
        <v>1923</v>
      </c>
      <c r="B1501" s="47" t="s">
        <v>1187</v>
      </c>
      <c r="C1501" s="47"/>
      <c r="D1501" s="47"/>
      <c r="E1501" s="47" t="s">
        <v>2860</v>
      </c>
      <c r="F1501" s="47" t="s">
        <v>2862</v>
      </c>
      <c r="G1501" s="1079">
        <v>46201.0</v>
      </c>
      <c r="H1501" s="1080">
        <v>46242.0</v>
      </c>
      <c r="I1501" s="47">
        <f>IFERROR(__xludf.DUMMYFUNCTION("IF(ISBLANK(H1501), TODAY()-TO_DATE(G1501), TO_DATE(H1501)-TO_DATE(G1501))+1"),42.0)</f>
        <v>42</v>
      </c>
      <c r="J1501" s="47">
        <v>500.0</v>
      </c>
      <c r="K1501" s="158" t="s">
        <v>11091</v>
      </c>
      <c r="L1501" s="158" t="s">
        <v>11093</v>
      </c>
      <c r="M1501" s="47"/>
      <c r="N1501" s="763"/>
      <c r="O1501" s="763"/>
      <c r="P1501" s="763"/>
      <c r="Q1501" s="763"/>
      <c r="R1501" s="763"/>
      <c r="S1501" s="763"/>
      <c r="T1501" s="763"/>
      <c r="U1501" s="763"/>
      <c r="V1501" s="763"/>
      <c r="W1501" s="763"/>
      <c r="X1501" s="763"/>
      <c r="Y1501" s="763"/>
      <c r="Z1501" s="763"/>
      <c r="AA1501" s="763"/>
      <c r="AB1501" s="763"/>
      <c r="AC1501" s="763"/>
      <c r="AD1501" s="763"/>
      <c r="AE1501" s="763"/>
      <c r="AF1501" s="763"/>
      <c r="AG1501" s="763"/>
    </row>
    <row r="1502">
      <c r="A1502" s="47" t="s">
        <v>1923</v>
      </c>
      <c r="B1502" s="47" t="s">
        <v>1187</v>
      </c>
      <c r="C1502" s="47"/>
      <c r="D1502" s="47"/>
      <c r="E1502" s="47" t="s">
        <v>3295</v>
      </c>
      <c r="F1502" s="47" t="s">
        <v>628</v>
      </c>
      <c r="G1502" s="1079">
        <v>46201.0</v>
      </c>
      <c r="H1502" s="1080">
        <v>46250.0</v>
      </c>
      <c r="I1502" s="47">
        <f>IFERROR(__xludf.DUMMYFUNCTION("IF(ISBLANK(H1502), TODAY()-TO_DATE(G1502), TO_DATE(H1502)-TO_DATE(G1502))+1"),50.0)</f>
        <v>50</v>
      </c>
      <c r="J1502" s="47" t="s">
        <v>197</v>
      </c>
      <c r="K1502" s="1008" t="s">
        <v>9521</v>
      </c>
      <c r="L1502" s="47"/>
      <c r="M1502" s="47" t="s">
        <v>9226</v>
      </c>
      <c r="N1502" s="763"/>
      <c r="O1502" s="763"/>
      <c r="P1502" s="763"/>
      <c r="Q1502" s="763"/>
      <c r="R1502" s="763"/>
      <c r="S1502" s="763"/>
      <c r="T1502" s="763"/>
      <c r="U1502" s="763"/>
      <c r="V1502" s="763"/>
      <c r="W1502" s="763"/>
      <c r="X1502" s="763"/>
      <c r="Y1502" s="763"/>
      <c r="Z1502" s="763"/>
      <c r="AA1502" s="763"/>
      <c r="AB1502" s="763"/>
      <c r="AC1502" s="763"/>
      <c r="AD1502" s="763"/>
      <c r="AE1502" s="763"/>
      <c r="AF1502" s="763"/>
      <c r="AG1502" s="763"/>
    </row>
    <row r="1503">
      <c r="A1503" s="47" t="s">
        <v>1448</v>
      </c>
      <c r="B1503" s="47" t="s">
        <v>1187</v>
      </c>
      <c r="C1503" s="47"/>
      <c r="D1503" s="47"/>
      <c r="E1503" s="47" t="s">
        <v>309</v>
      </c>
      <c r="F1503" s="47" t="s">
        <v>310</v>
      </c>
      <c r="G1503" s="1079">
        <v>46202.0</v>
      </c>
      <c r="H1503" s="1080">
        <v>46218.0</v>
      </c>
      <c r="I1503" s="47">
        <f>IFERROR(__xludf.DUMMYFUNCTION("IF(ISBLANK(H1503), TODAY()-TO_DATE(G1503), TO_DATE(H1503)-TO_DATE(G1503))+1"),17.0)</f>
        <v>17</v>
      </c>
      <c r="J1503" s="47" t="s">
        <v>197</v>
      </c>
      <c r="K1503" s="47" t="s">
        <v>11067</v>
      </c>
      <c r="L1503" s="47"/>
      <c r="M1503" s="47" t="s">
        <v>9226</v>
      </c>
      <c r="N1503" s="763"/>
      <c r="O1503" s="763"/>
      <c r="P1503" s="763"/>
      <c r="Q1503" s="763"/>
      <c r="R1503" s="763"/>
      <c r="S1503" s="763"/>
      <c r="T1503" s="763"/>
      <c r="U1503" s="763"/>
      <c r="V1503" s="763"/>
      <c r="W1503" s="763"/>
      <c r="X1503" s="763"/>
      <c r="Y1503" s="763"/>
      <c r="Z1503" s="763"/>
      <c r="AA1503" s="763"/>
      <c r="AB1503" s="763"/>
      <c r="AC1503" s="763"/>
      <c r="AD1503" s="763"/>
      <c r="AE1503" s="763"/>
      <c r="AF1503" s="763"/>
      <c r="AG1503" s="763"/>
    </row>
    <row r="1504">
      <c r="A1504" s="47" t="s">
        <v>1923</v>
      </c>
      <c r="B1504" s="47" t="s">
        <v>5364</v>
      </c>
      <c r="C1504" s="47"/>
      <c r="D1504" s="47"/>
      <c r="E1504" s="47" t="s">
        <v>897</v>
      </c>
      <c r="F1504" s="47" t="s">
        <v>898</v>
      </c>
      <c r="G1504" s="1079">
        <v>46203.0</v>
      </c>
      <c r="H1504" s="1080">
        <v>46212.0</v>
      </c>
      <c r="I1504" s="47">
        <f>IFERROR(__xludf.DUMMYFUNCTION("IF(ISBLANK(H1504), TODAY()-TO_DATE(G1504), TO_DATE(H1504)-TO_DATE(G1504))+1"),10.0)</f>
        <v>10</v>
      </c>
      <c r="J1504" s="47" t="s">
        <v>197</v>
      </c>
      <c r="K1504" s="47" t="s">
        <v>10053</v>
      </c>
      <c r="L1504" s="47"/>
      <c r="M1504" s="47" t="s">
        <v>9226</v>
      </c>
      <c r="N1504" s="763"/>
      <c r="O1504" s="763"/>
      <c r="P1504" s="763"/>
      <c r="Q1504" s="763"/>
      <c r="R1504" s="763"/>
      <c r="S1504" s="763"/>
      <c r="T1504" s="763"/>
      <c r="U1504" s="763"/>
      <c r="V1504" s="763"/>
      <c r="W1504" s="763"/>
      <c r="X1504" s="763"/>
      <c r="Y1504" s="763"/>
      <c r="Z1504" s="763"/>
      <c r="AA1504" s="763"/>
      <c r="AB1504" s="763"/>
      <c r="AC1504" s="763"/>
      <c r="AD1504" s="763"/>
      <c r="AE1504" s="763"/>
      <c r="AF1504" s="763"/>
      <c r="AG1504" s="763"/>
    </row>
    <row r="1505">
      <c r="A1505" s="47" t="s">
        <v>1923</v>
      </c>
      <c r="B1505" s="47" t="s">
        <v>5364</v>
      </c>
      <c r="C1505" s="47"/>
      <c r="D1505" s="47"/>
      <c r="E1505" s="47" t="s">
        <v>1747</v>
      </c>
      <c r="F1505" s="47" t="s">
        <v>1749</v>
      </c>
      <c r="G1505" s="1079">
        <v>46203.0</v>
      </c>
      <c r="H1505" s="1080">
        <v>46212.0</v>
      </c>
      <c r="I1505" s="47">
        <f>IFERROR(__xludf.DUMMYFUNCTION("IF(ISBLANK(H1505), TODAY()-TO_DATE(G1505), TO_DATE(H1505)-TO_DATE(G1505))+1"),10.0)</f>
        <v>10</v>
      </c>
      <c r="J1505" s="47" t="s">
        <v>197</v>
      </c>
      <c r="K1505" s="47" t="s">
        <v>11104</v>
      </c>
      <c r="L1505" s="47" t="s">
        <v>11105</v>
      </c>
      <c r="M1505" s="47"/>
      <c r="N1505" s="763"/>
      <c r="O1505" s="763"/>
      <c r="P1505" s="763"/>
      <c r="Q1505" s="763"/>
      <c r="R1505" s="763"/>
      <c r="S1505" s="763"/>
      <c r="T1505" s="763"/>
      <c r="U1505" s="763"/>
      <c r="V1505" s="763"/>
      <c r="W1505" s="763"/>
      <c r="X1505" s="763"/>
      <c r="Y1505" s="763"/>
      <c r="Z1505" s="763"/>
      <c r="AA1505" s="763"/>
      <c r="AB1505" s="763"/>
      <c r="AC1505" s="763"/>
      <c r="AD1505" s="763"/>
      <c r="AE1505" s="763"/>
      <c r="AF1505" s="763"/>
      <c r="AG1505" s="763"/>
    </row>
    <row r="1506">
      <c r="A1506" s="47" t="s">
        <v>9987</v>
      </c>
      <c r="B1506" s="47" t="s">
        <v>5364</v>
      </c>
      <c r="C1506" s="47"/>
      <c r="D1506" s="47"/>
      <c r="E1506" s="47" t="s">
        <v>8900</v>
      </c>
      <c r="F1506" s="47" t="s">
        <v>8901</v>
      </c>
      <c r="G1506" s="1079">
        <v>46203.0</v>
      </c>
      <c r="H1506" s="1080">
        <v>46212.0</v>
      </c>
      <c r="I1506" s="47">
        <f>IFERROR(__xludf.DUMMYFUNCTION("IF(ISBLANK(H1506), TODAY()-TO_DATE(G1506), TO_DATE(H1506)-TO_DATE(G1506))+1"),10.0)</f>
        <v>10</v>
      </c>
      <c r="J1506" s="47" t="s">
        <v>197</v>
      </c>
      <c r="K1506" s="47" t="s">
        <v>11107</v>
      </c>
      <c r="L1506" s="47" t="s">
        <v>11109</v>
      </c>
      <c r="M1506" s="47" t="s">
        <v>9226</v>
      </c>
      <c r="N1506" s="763"/>
      <c r="O1506" s="763"/>
      <c r="P1506" s="763"/>
      <c r="Q1506" s="763"/>
      <c r="R1506" s="763"/>
      <c r="S1506" s="763"/>
      <c r="T1506" s="763"/>
      <c r="U1506" s="763"/>
      <c r="V1506" s="763"/>
      <c r="W1506" s="763"/>
      <c r="X1506" s="763"/>
      <c r="Y1506" s="763"/>
      <c r="Z1506" s="763"/>
      <c r="AA1506" s="763"/>
      <c r="AB1506" s="763"/>
      <c r="AC1506" s="763"/>
      <c r="AD1506" s="763"/>
      <c r="AE1506" s="763"/>
      <c r="AF1506" s="763"/>
      <c r="AG1506" s="763"/>
    </row>
    <row r="1507">
      <c r="A1507" s="47" t="s">
        <v>9987</v>
      </c>
      <c r="B1507" s="47" t="s">
        <v>5364</v>
      </c>
      <c r="C1507" s="47"/>
      <c r="D1507" s="47"/>
      <c r="E1507" s="47" t="s">
        <v>8760</v>
      </c>
      <c r="F1507" s="47" t="s">
        <v>8762</v>
      </c>
      <c r="G1507" s="1079">
        <v>46203.0</v>
      </c>
      <c r="H1507" s="1080">
        <v>46212.0</v>
      </c>
      <c r="I1507" s="47">
        <f>IFERROR(__xludf.DUMMYFUNCTION("IF(ISBLANK(H1507), TODAY()-TO_DATE(G1507), TO_DATE(H1507)-TO_DATE(G1507))+1"),10.0)</f>
        <v>10</v>
      </c>
      <c r="J1507" s="47" t="s">
        <v>197</v>
      </c>
      <c r="K1507" s="47" t="s">
        <v>11110</v>
      </c>
      <c r="L1507" s="47"/>
      <c r="M1507" s="47" t="s">
        <v>9226</v>
      </c>
      <c r="N1507" s="763"/>
      <c r="O1507" s="763"/>
      <c r="P1507" s="763"/>
      <c r="Q1507" s="763"/>
      <c r="R1507" s="763"/>
      <c r="S1507" s="763"/>
      <c r="T1507" s="763"/>
      <c r="U1507" s="763"/>
      <c r="V1507" s="763"/>
      <c r="W1507" s="763"/>
      <c r="X1507" s="763"/>
      <c r="Y1507" s="763"/>
      <c r="Z1507" s="763"/>
      <c r="AA1507" s="763"/>
      <c r="AB1507" s="763"/>
      <c r="AC1507" s="763"/>
      <c r="AD1507" s="763"/>
      <c r="AE1507" s="763"/>
      <c r="AF1507" s="763"/>
      <c r="AG1507" s="763"/>
    </row>
    <row r="1508">
      <c r="A1508" s="47" t="s">
        <v>1923</v>
      </c>
      <c r="B1508" s="47" t="s">
        <v>1187</v>
      </c>
      <c r="C1508" s="47"/>
      <c r="D1508" s="47"/>
      <c r="E1508" s="158" t="s">
        <v>8686</v>
      </c>
      <c r="F1508" s="47" t="s">
        <v>11112</v>
      </c>
      <c r="G1508" s="1079">
        <v>46203.0</v>
      </c>
      <c r="H1508" s="1080">
        <v>46214.0</v>
      </c>
      <c r="I1508" s="47">
        <f>IFERROR(__xludf.DUMMYFUNCTION("IF(ISBLANK(H1508), TODAY()-TO_DATE(G1508), TO_DATE(H1508)-TO_DATE(G1508))+1"),12.0)</f>
        <v>12</v>
      </c>
      <c r="J1508" s="47">
        <v>500.0</v>
      </c>
      <c r="K1508" s="158" t="s">
        <v>11114</v>
      </c>
      <c r="L1508" s="158" t="s">
        <v>11115</v>
      </c>
      <c r="M1508" s="47"/>
      <c r="N1508" s="763"/>
      <c r="O1508" s="763"/>
      <c r="P1508" s="763"/>
      <c r="Q1508" s="763"/>
      <c r="R1508" s="763"/>
      <c r="S1508" s="763"/>
      <c r="T1508" s="763"/>
      <c r="U1508" s="763"/>
      <c r="V1508" s="763"/>
      <c r="W1508" s="763"/>
      <c r="X1508" s="763"/>
      <c r="Y1508" s="763"/>
      <c r="Z1508" s="763"/>
      <c r="AA1508" s="763"/>
      <c r="AB1508" s="763"/>
      <c r="AC1508" s="763"/>
      <c r="AD1508" s="763"/>
      <c r="AE1508" s="763"/>
      <c r="AF1508" s="763"/>
      <c r="AG1508" s="763"/>
    </row>
    <row r="1509">
      <c r="A1509" s="47" t="s">
        <v>1448</v>
      </c>
      <c r="B1509" s="47" t="s">
        <v>1187</v>
      </c>
      <c r="C1509" s="47"/>
      <c r="D1509" s="47"/>
      <c r="E1509" s="47" t="s">
        <v>826</v>
      </c>
      <c r="F1509" s="47" t="s">
        <v>828</v>
      </c>
      <c r="G1509" s="1079">
        <v>46203.0</v>
      </c>
      <c r="H1509" s="1080">
        <v>46207.0</v>
      </c>
      <c r="I1509" s="47">
        <f>IFERROR(__xludf.DUMMYFUNCTION("IF(ISBLANK(H1509), TODAY()-TO_DATE(G1509), TO_DATE(H1509)-TO_DATE(G1509))+1"),5.0)</f>
        <v>5</v>
      </c>
      <c r="J1509" s="47">
        <v>300.0</v>
      </c>
      <c r="K1509" s="158" t="s">
        <v>11116</v>
      </c>
      <c r="L1509" s="158" t="s">
        <v>11118</v>
      </c>
      <c r="M1509" s="47"/>
      <c r="N1509" s="763"/>
      <c r="O1509" s="763"/>
      <c r="P1509" s="763"/>
      <c r="Q1509" s="763"/>
      <c r="R1509" s="763"/>
      <c r="S1509" s="763"/>
      <c r="T1509" s="763"/>
      <c r="U1509" s="763"/>
      <c r="V1509" s="763"/>
      <c r="W1509" s="763"/>
      <c r="X1509" s="763"/>
      <c r="Y1509" s="763"/>
      <c r="Z1509" s="763"/>
      <c r="AA1509" s="763"/>
      <c r="AB1509" s="763"/>
      <c r="AC1509" s="763"/>
      <c r="AD1509" s="763"/>
      <c r="AE1509" s="763"/>
      <c r="AF1509" s="763"/>
      <c r="AG1509" s="763"/>
    </row>
    <row r="1510">
      <c r="A1510" s="47" t="s">
        <v>1448</v>
      </c>
      <c r="B1510" s="47" t="s">
        <v>1187</v>
      </c>
      <c r="C1510" s="47"/>
      <c r="D1510" s="47"/>
      <c r="E1510" s="47" t="s">
        <v>9073</v>
      </c>
      <c r="F1510" s="47" t="s">
        <v>9074</v>
      </c>
      <c r="G1510" s="1079">
        <v>46203.0</v>
      </c>
      <c r="H1510" s="1080">
        <v>46212.0</v>
      </c>
      <c r="I1510" s="47">
        <f>IFERROR(__xludf.DUMMYFUNCTION("IF(ISBLANK(H1510), TODAY()-TO_DATE(G1510), TO_DATE(H1510)-TO_DATE(G1510))+1"),10.0)</f>
        <v>10</v>
      </c>
      <c r="J1510" s="47">
        <v>300.0</v>
      </c>
      <c r="K1510" s="158" t="s">
        <v>10182</v>
      </c>
      <c r="L1510" s="47"/>
      <c r="M1510" s="47" t="s">
        <v>9226</v>
      </c>
      <c r="N1510" s="763"/>
      <c r="O1510" s="763"/>
      <c r="P1510" s="763"/>
      <c r="Q1510" s="763"/>
      <c r="R1510" s="763"/>
      <c r="S1510" s="763"/>
      <c r="T1510" s="763"/>
      <c r="U1510" s="763"/>
      <c r="V1510" s="763"/>
      <c r="W1510" s="763"/>
      <c r="X1510" s="763"/>
      <c r="Y1510" s="763"/>
      <c r="Z1510" s="763"/>
      <c r="AA1510" s="763"/>
      <c r="AB1510" s="763"/>
      <c r="AC1510" s="763"/>
      <c r="AD1510" s="763"/>
      <c r="AE1510" s="763"/>
      <c r="AF1510" s="763"/>
      <c r="AG1510" s="763"/>
    </row>
    <row r="1511">
      <c r="A1511" s="47" t="s">
        <v>1566</v>
      </c>
      <c r="B1511" s="47" t="s">
        <v>1187</v>
      </c>
      <c r="C1511" s="47"/>
      <c r="D1511" s="47"/>
      <c r="E1511" s="158" t="s">
        <v>11123</v>
      </c>
      <c r="F1511" s="47" t="s">
        <v>1712</v>
      </c>
      <c r="G1511" s="1079">
        <v>46203.0</v>
      </c>
      <c r="H1511" s="1080">
        <v>46214.0</v>
      </c>
      <c r="I1511" s="47">
        <f>IFERROR(__xludf.DUMMYFUNCTION("IF(ISBLANK(H1511), TODAY()-TO_DATE(G1511), TO_DATE(H1511)-TO_DATE(G1511))+1"),12.0)</f>
        <v>12</v>
      </c>
      <c r="J1511" s="47">
        <v>500.0</v>
      </c>
      <c r="K1511" s="158" t="s">
        <v>11124</v>
      </c>
      <c r="L1511" s="47"/>
      <c r="M1511" s="47" t="s">
        <v>9226</v>
      </c>
      <c r="N1511" s="763"/>
      <c r="O1511" s="763"/>
      <c r="P1511" s="763"/>
      <c r="Q1511" s="763"/>
      <c r="R1511" s="763"/>
      <c r="S1511" s="763"/>
      <c r="T1511" s="763"/>
      <c r="U1511" s="763"/>
      <c r="V1511" s="763"/>
      <c r="W1511" s="763"/>
      <c r="X1511" s="763"/>
      <c r="Y1511" s="763"/>
      <c r="Z1511" s="763"/>
      <c r="AA1511" s="763"/>
      <c r="AB1511" s="763"/>
      <c r="AC1511" s="763"/>
      <c r="AD1511" s="763"/>
      <c r="AE1511" s="763"/>
      <c r="AF1511" s="763"/>
      <c r="AG1511" s="763"/>
    </row>
    <row r="1512">
      <c r="A1512" s="47" t="s">
        <v>1923</v>
      </c>
      <c r="B1512" s="47" t="s">
        <v>1187</v>
      </c>
      <c r="C1512" s="47"/>
      <c r="D1512" s="47"/>
      <c r="E1512" s="47" t="s">
        <v>1652</v>
      </c>
      <c r="F1512" s="47" t="s">
        <v>1654</v>
      </c>
      <c r="G1512" s="1079">
        <v>46203.0</v>
      </c>
      <c r="H1512" s="1080">
        <v>46215.0</v>
      </c>
      <c r="I1512" s="47">
        <f>IFERROR(__xludf.DUMMYFUNCTION("IF(ISBLANK(H1512), TODAY()-TO_DATE(G1512), TO_DATE(H1512)-TO_DATE(G1512))+1"),13.0)</f>
        <v>13</v>
      </c>
      <c r="J1512" s="47">
        <v>500.0</v>
      </c>
      <c r="K1512" s="47" t="s">
        <v>11126</v>
      </c>
      <c r="L1512" s="47" t="s">
        <v>11127</v>
      </c>
      <c r="M1512" s="47" t="s">
        <v>9226</v>
      </c>
      <c r="N1512" s="763"/>
      <c r="O1512" s="763"/>
      <c r="P1512" s="763"/>
      <c r="Q1512" s="763"/>
      <c r="R1512" s="763"/>
      <c r="S1512" s="763"/>
      <c r="T1512" s="763"/>
      <c r="U1512" s="763"/>
      <c r="V1512" s="763"/>
      <c r="W1512" s="763"/>
      <c r="X1512" s="763"/>
      <c r="Y1512" s="763"/>
      <c r="Z1512" s="763"/>
      <c r="AA1512" s="763"/>
      <c r="AB1512" s="763"/>
      <c r="AC1512" s="763"/>
      <c r="AD1512" s="763"/>
      <c r="AE1512" s="763"/>
      <c r="AF1512" s="763"/>
      <c r="AG1512" s="763"/>
    </row>
    <row r="1513">
      <c r="A1513" s="47" t="s">
        <v>1448</v>
      </c>
      <c r="B1513" s="47" t="s">
        <v>1187</v>
      </c>
      <c r="C1513" s="47"/>
      <c r="D1513" s="47"/>
      <c r="E1513" s="47" t="s">
        <v>816</v>
      </c>
      <c r="F1513" s="47" t="s">
        <v>817</v>
      </c>
      <c r="G1513" s="1079">
        <v>46203.0</v>
      </c>
      <c r="H1513" s="1080">
        <v>46215.0</v>
      </c>
      <c r="I1513" s="47">
        <f>IFERROR(__xludf.DUMMYFUNCTION("IF(ISBLANK(H1513), TODAY()-TO_DATE(G1513), TO_DATE(H1513)-TO_DATE(G1513))+1"),13.0)</f>
        <v>13</v>
      </c>
      <c r="J1513" s="47">
        <v>500.0</v>
      </c>
      <c r="K1513" s="47" t="s">
        <v>11130</v>
      </c>
      <c r="L1513" s="47"/>
      <c r="M1513" s="47"/>
      <c r="N1513" s="763"/>
      <c r="O1513" s="763"/>
      <c r="P1513" s="763"/>
      <c r="Q1513" s="763"/>
      <c r="R1513" s="763"/>
      <c r="S1513" s="763"/>
      <c r="T1513" s="763"/>
      <c r="U1513" s="763"/>
      <c r="V1513" s="763"/>
      <c r="W1513" s="763"/>
      <c r="X1513" s="763"/>
      <c r="Y1513" s="763"/>
      <c r="Z1513" s="763"/>
      <c r="AA1513" s="763"/>
      <c r="AB1513" s="763"/>
      <c r="AC1513" s="763"/>
      <c r="AD1513" s="763"/>
      <c r="AE1513" s="763"/>
      <c r="AF1513" s="763"/>
      <c r="AG1513" s="763"/>
    </row>
    <row r="1514">
      <c r="A1514" s="47" t="s">
        <v>1923</v>
      </c>
      <c r="B1514" s="47" t="s">
        <v>1187</v>
      </c>
      <c r="C1514" s="47"/>
      <c r="D1514" s="47"/>
      <c r="E1514" s="47" t="s">
        <v>1320</v>
      </c>
      <c r="F1514" s="47" t="s">
        <v>1321</v>
      </c>
      <c r="G1514" s="1079">
        <v>46203.0</v>
      </c>
      <c r="H1514" s="1080">
        <v>46207.0</v>
      </c>
      <c r="I1514" s="47">
        <f>IFERROR(__xludf.DUMMYFUNCTION("IF(ISBLANK(H1514), TODAY()-TO_DATE(G1514), TO_DATE(H1514)-TO_DATE(G1514))+1"),5.0)</f>
        <v>5</v>
      </c>
      <c r="J1514" s="47">
        <v>300.0</v>
      </c>
      <c r="K1514" s="47" t="s">
        <v>11133</v>
      </c>
      <c r="L1514" s="47"/>
      <c r="M1514" s="47" t="s">
        <v>9226</v>
      </c>
      <c r="N1514" s="763"/>
      <c r="O1514" s="763"/>
      <c r="P1514" s="763"/>
      <c r="Q1514" s="763"/>
      <c r="R1514" s="763"/>
      <c r="S1514" s="763"/>
      <c r="T1514" s="763"/>
      <c r="U1514" s="763"/>
      <c r="V1514" s="763"/>
      <c r="W1514" s="763"/>
      <c r="X1514" s="763"/>
      <c r="Y1514" s="763"/>
      <c r="Z1514" s="763"/>
      <c r="AA1514" s="763"/>
      <c r="AB1514" s="763"/>
      <c r="AC1514" s="763"/>
      <c r="AD1514" s="763"/>
      <c r="AE1514" s="763"/>
      <c r="AF1514" s="763"/>
      <c r="AG1514" s="763"/>
    </row>
    <row r="1515">
      <c r="A1515" s="47" t="s">
        <v>9359</v>
      </c>
      <c r="B1515" s="47" t="s">
        <v>1187</v>
      </c>
      <c r="C1515" s="47"/>
      <c r="D1515" s="47"/>
      <c r="E1515" s="47" t="s">
        <v>1730</v>
      </c>
      <c r="F1515" s="47" t="s">
        <v>1733</v>
      </c>
      <c r="G1515" s="1079">
        <v>46203.0</v>
      </c>
      <c r="H1515" s="1080">
        <v>46207.0</v>
      </c>
      <c r="I1515" s="47">
        <f>IFERROR(__xludf.DUMMYFUNCTION("IF(ISBLANK(H1515), TODAY()-TO_DATE(G1515), TO_DATE(H1515)-TO_DATE(G1515))+1"),5.0)</f>
        <v>5</v>
      </c>
      <c r="J1515" s="47">
        <v>300.0</v>
      </c>
      <c r="K1515" s="158" t="s">
        <v>10006</v>
      </c>
      <c r="L1515" s="47" t="s">
        <v>11136</v>
      </c>
      <c r="M1515" s="47" t="s">
        <v>9226</v>
      </c>
      <c r="N1515" s="763"/>
      <c r="O1515" s="763"/>
      <c r="P1515" s="763"/>
      <c r="Q1515" s="763"/>
      <c r="R1515" s="763"/>
      <c r="S1515" s="763"/>
      <c r="T1515" s="763"/>
      <c r="U1515" s="763"/>
      <c r="V1515" s="763"/>
      <c r="W1515" s="763"/>
      <c r="X1515" s="763"/>
      <c r="Y1515" s="763"/>
      <c r="Z1515" s="763"/>
      <c r="AA1515" s="763"/>
      <c r="AB1515" s="763"/>
      <c r="AC1515" s="763"/>
      <c r="AD1515" s="763"/>
      <c r="AE1515" s="763"/>
      <c r="AF1515" s="763"/>
      <c r="AG1515" s="763"/>
    </row>
    <row r="1516">
      <c r="A1516" s="47" t="s">
        <v>9987</v>
      </c>
      <c r="B1516" s="47" t="s">
        <v>1187</v>
      </c>
      <c r="C1516" s="47"/>
      <c r="D1516" s="47"/>
      <c r="E1516" s="47" t="s">
        <v>11138</v>
      </c>
      <c r="F1516" s="47" t="s">
        <v>2014</v>
      </c>
      <c r="G1516" s="1079">
        <v>46204.0</v>
      </c>
      <c r="H1516" s="1080">
        <v>46214.0</v>
      </c>
      <c r="I1516" s="47">
        <f>IFERROR(__xludf.DUMMYFUNCTION("IF(ISBLANK(H1516), TODAY()-TO_DATE(G1516), TO_DATE(H1516)-TO_DATE(G1516))+1"),11.0)</f>
        <v>11</v>
      </c>
      <c r="J1516" s="47" t="s">
        <v>197</v>
      </c>
      <c r="K1516" s="47" t="s">
        <v>11140</v>
      </c>
      <c r="L1516" s="47"/>
      <c r="M1516" s="47"/>
      <c r="N1516" s="763"/>
      <c r="O1516" s="763"/>
      <c r="P1516" s="763"/>
      <c r="Q1516" s="763"/>
      <c r="R1516" s="763"/>
      <c r="S1516" s="763"/>
      <c r="T1516" s="763"/>
      <c r="U1516" s="763"/>
      <c r="V1516" s="763"/>
      <c r="W1516" s="763"/>
      <c r="X1516" s="763"/>
      <c r="Y1516" s="763"/>
      <c r="Z1516" s="763"/>
      <c r="AA1516" s="763"/>
      <c r="AB1516" s="763"/>
      <c r="AC1516" s="763"/>
      <c r="AD1516" s="763"/>
      <c r="AE1516" s="763"/>
      <c r="AF1516" s="763"/>
      <c r="AG1516" s="763"/>
    </row>
    <row r="1517">
      <c r="A1517" s="47" t="s">
        <v>1448</v>
      </c>
      <c r="B1517" s="47" t="s">
        <v>5364</v>
      </c>
      <c r="C1517" s="47"/>
      <c r="D1517" s="47"/>
      <c r="E1517" s="47" t="s">
        <v>9065</v>
      </c>
      <c r="F1517" s="47" t="s">
        <v>2545</v>
      </c>
      <c r="G1517" s="1079">
        <v>46205.0</v>
      </c>
      <c r="H1517" s="1080">
        <v>46218.0</v>
      </c>
      <c r="I1517" s="47">
        <f>IFERROR(__xludf.DUMMYFUNCTION("IF(ISBLANK(H1517), TODAY()-TO_DATE(G1517), TO_DATE(H1517)-TO_DATE(G1517))+1"),14.0)</f>
        <v>14</v>
      </c>
      <c r="J1517" s="47" t="s">
        <v>197</v>
      </c>
      <c r="K1517" s="47" t="s">
        <v>6909</v>
      </c>
      <c r="L1517" s="1071"/>
      <c r="M1517" s="47"/>
      <c r="N1517" s="763"/>
      <c r="O1517" s="763"/>
      <c r="P1517" s="763"/>
      <c r="Q1517" s="763"/>
      <c r="R1517" s="763"/>
      <c r="S1517" s="763"/>
      <c r="T1517" s="763"/>
      <c r="U1517" s="763"/>
      <c r="V1517" s="763"/>
      <c r="W1517" s="763"/>
      <c r="X1517" s="763"/>
      <c r="Y1517" s="763"/>
      <c r="Z1517" s="763"/>
      <c r="AA1517" s="763"/>
      <c r="AB1517" s="763"/>
      <c r="AC1517" s="763"/>
      <c r="AD1517" s="763"/>
      <c r="AE1517" s="763"/>
      <c r="AF1517" s="763"/>
      <c r="AG1517" s="763"/>
    </row>
    <row r="1518">
      <c r="A1518" s="47" t="s">
        <v>9359</v>
      </c>
      <c r="B1518" s="47" t="s">
        <v>1187</v>
      </c>
      <c r="C1518" s="47"/>
      <c r="D1518" s="47"/>
      <c r="E1518" s="47" t="s">
        <v>8585</v>
      </c>
      <c r="F1518" s="47" t="s">
        <v>10506</v>
      </c>
      <c r="G1518" s="1079">
        <v>46206.0</v>
      </c>
      <c r="H1518" s="1080">
        <v>46229.0</v>
      </c>
      <c r="I1518" s="47">
        <f>IFERROR(__xludf.DUMMYFUNCTION("IF(ISBLANK(H1518), TODAY()-TO_DATE(G1518), TO_DATE(H1518)-TO_DATE(G1518))+1"),24.0)</f>
        <v>24</v>
      </c>
      <c r="J1518" s="47">
        <v>300.0</v>
      </c>
      <c r="K1518" s="1008" t="s">
        <v>10509</v>
      </c>
      <c r="L1518" s="47"/>
      <c r="M1518" s="47" t="s">
        <v>9226</v>
      </c>
      <c r="N1518" s="763"/>
      <c r="O1518" s="763"/>
      <c r="P1518" s="763"/>
      <c r="Q1518" s="763"/>
      <c r="R1518" s="763"/>
      <c r="S1518" s="763"/>
      <c r="T1518" s="763"/>
      <c r="U1518" s="763"/>
      <c r="V1518" s="763"/>
      <c r="W1518" s="763"/>
      <c r="X1518" s="763"/>
      <c r="Y1518" s="763"/>
      <c r="Z1518" s="763"/>
      <c r="AA1518" s="763"/>
      <c r="AB1518" s="763"/>
      <c r="AC1518" s="763"/>
      <c r="AD1518" s="763"/>
      <c r="AE1518" s="763"/>
      <c r="AF1518" s="763"/>
      <c r="AG1518" s="763"/>
    </row>
    <row r="1519">
      <c r="A1519" s="47" t="s">
        <v>9987</v>
      </c>
      <c r="B1519" s="47" t="s">
        <v>1187</v>
      </c>
      <c r="C1519" s="47"/>
      <c r="D1519" s="47"/>
      <c r="E1519" s="1008" t="s">
        <v>10149</v>
      </c>
      <c r="F1519" s="47" t="s">
        <v>4024</v>
      </c>
      <c r="G1519" s="1079">
        <v>46206.0</v>
      </c>
      <c r="H1519" s="1080">
        <v>46229.0</v>
      </c>
      <c r="I1519" s="47">
        <f>IFERROR(__xludf.DUMMYFUNCTION("IF(ISBLANK(H1519), TODAY()-TO_DATE(G1519), TO_DATE(H1519)-TO_DATE(G1519))+1"),24.0)</f>
        <v>24</v>
      </c>
      <c r="J1519" s="47" t="s">
        <v>197</v>
      </c>
      <c r="K1519" s="1008" t="s">
        <v>10396</v>
      </c>
      <c r="L1519" s="1008" t="s">
        <v>11149</v>
      </c>
      <c r="M1519" s="47"/>
      <c r="N1519" s="763"/>
      <c r="O1519" s="763"/>
      <c r="P1519" s="763"/>
      <c r="Q1519" s="763"/>
      <c r="R1519" s="763"/>
      <c r="S1519" s="763"/>
      <c r="T1519" s="763"/>
      <c r="U1519" s="763"/>
      <c r="V1519" s="763"/>
      <c r="W1519" s="763"/>
      <c r="X1519" s="763"/>
      <c r="Y1519" s="763"/>
      <c r="Z1519" s="763"/>
      <c r="AA1519" s="763"/>
      <c r="AB1519" s="763"/>
      <c r="AC1519" s="763"/>
      <c r="AD1519" s="763"/>
      <c r="AE1519" s="763"/>
      <c r="AF1519" s="763"/>
      <c r="AG1519" s="763"/>
    </row>
    <row r="1520">
      <c r="A1520" s="47" t="s">
        <v>1473</v>
      </c>
      <c r="B1520" s="47" t="s">
        <v>1187</v>
      </c>
      <c r="C1520" s="47"/>
      <c r="D1520" s="47"/>
      <c r="E1520" s="47" t="s">
        <v>1670</v>
      </c>
      <c r="F1520" s="47" t="s">
        <v>1671</v>
      </c>
      <c r="G1520" s="1079">
        <v>46208.0</v>
      </c>
      <c r="H1520" s="1080">
        <v>46222.0</v>
      </c>
      <c r="I1520" s="47">
        <f>IFERROR(__xludf.DUMMYFUNCTION("IF(ISBLANK(H1520), TODAY()-TO_DATE(G1520), TO_DATE(H1520)-TO_DATE(G1520))+1"),15.0)</f>
        <v>15</v>
      </c>
      <c r="J1520" s="47">
        <v>300.0</v>
      </c>
      <c r="K1520" s="158" t="s">
        <v>9967</v>
      </c>
      <c r="L1520" s="158" t="s">
        <v>11151</v>
      </c>
      <c r="M1520" s="47"/>
      <c r="N1520" s="763"/>
      <c r="O1520" s="763"/>
      <c r="P1520" s="763"/>
      <c r="Q1520" s="763"/>
      <c r="R1520" s="763"/>
      <c r="S1520" s="763"/>
      <c r="T1520" s="763"/>
      <c r="U1520" s="763"/>
      <c r="V1520" s="763"/>
      <c r="W1520" s="763"/>
      <c r="X1520" s="763"/>
      <c r="Y1520" s="763"/>
      <c r="Z1520" s="763"/>
      <c r="AA1520" s="763"/>
      <c r="AB1520" s="763"/>
      <c r="AC1520" s="763"/>
      <c r="AD1520" s="763"/>
      <c r="AE1520" s="763"/>
      <c r="AF1520" s="763"/>
      <c r="AG1520" s="763"/>
    </row>
    <row r="1521">
      <c r="A1521" s="47" t="s">
        <v>9987</v>
      </c>
      <c r="B1521" s="47" t="s">
        <v>1187</v>
      </c>
      <c r="C1521" s="47"/>
      <c r="D1521" s="47"/>
      <c r="E1521" s="47" t="s">
        <v>11154</v>
      </c>
      <c r="F1521" s="47" t="s">
        <v>11155</v>
      </c>
      <c r="G1521" s="1079">
        <v>46208.0</v>
      </c>
      <c r="H1521" s="1080">
        <v>46210.0</v>
      </c>
      <c r="I1521" s="47">
        <f>IFERROR(__xludf.DUMMYFUNCTION("IF(ISBLANK(H1521), TODAY()-TO_DATE(G1521), TO_DATE(H1521)-TO_DATE(G1521))+1"),3.0)</f>
        <v>3</v>
      </c>
      <c r="J1521" s="47">
        <v>300.0</v>
      </c>
      <c r="K1521" s="158" t="s">
        <v>10047</v>
      </c>
      <c r="L1521" s="1071"/>
      <c r="M1521" s="47" t="s">
        <v>9226</v>
      </c>
      <c r="N1521" s="763"/>
      <c r="O1521" s="763"/>
      <c r="P1521" s="763"/>
      <c r="Q1521" s="763"/>
      <c r="R1521" s="763"/>
      <c r="S1521" s="763"/>
      <c r="T1521" s="763"/>
      <c r="U1521" s="763"/>
      <c r="V1521" s="763"/>
      <c r="W1521" s="763"/>
      <c r="X1521" s="763"/>
      <c r="Y1521" s="763"/>
      <c r="Z1521" s="763"/>
      <c r="AA1521" s="763"/>
      <c r="AB1521" s="763"/>
      <c r="AC1521" s="763"/>
      <c r="AD1521" s="763"/>
      <c r="AE1521" s="763"/>
      <c r="AF1521" s="763"/>
      <c r="AG1521" s="763"/>
    </row>
    <row r="1522">
      <c r="A1522" s="47" t="s">
        <v>9987</v>
      </c>
      <c r="B1522" s="47" t="s">
        <v>1187</v>
      </c>
      <c r="C1522" s="47"/>
      <c r="D1522" s="47"/>
      <c r="E1522" s="47" t="s">
        <v>5524</v>
      </c>
      <c r="F1522" s="47" t="s">
        <v>5526</v>
      </c>
      <c r="G1522" s="1079">
        <v>46208.0</v>
      </c>
      <c r="H1522" s="1080">
        <v>46226.0</v>
      </c>
      <c r="I1522" s="47">
        <f>IFERROR(__xludf.DUMMYFUNCTION("IF(ISBLANK(H1522), TODAY()-TO_DATE(G1522), TO_DATE(H1522)-TO_DATE(G1522))+1"),19.0)</f>
        <v>19</v>
      </c>
      <c r="J1522" s="47">
        <v>300.0</v>
      </c>
      <c r="K1522" s="47" t="s">
        <v>11158</v>
      </c>
      <c r="L1522" s="47"/>
      <c r="M1522" s="47" t="s">
        <v>9226</v>
      </c>
      <c r="N1522" s="763"/>
      <c r="O1522" s="763"/>
      <c r="P1522" s="763"/>
      <c r="Q1522" s="763"/>
      <c r="R1522" s="763"/>
      <c r="S1522" s="763"/>
      <c r="T1522" s="763"/>
      <c r="U1522" s="763"/>
      <c r="V1522" s="763"/>
      <c r="W1522" s="763"/>
      <c r="X1522" s="763"/>
      <c r="Y1522" s="763"/>
      <c r="Z1522" s="763"/>
      <c r="AA1522" s="763"/>
      <c r="AB1522" s="763"/>
      <c r="AC1522" s="763"/>
      <c r="AD1522" s="763"/>
      <c r="AE1522" s="763"/>
      <c r="AF1522" s="763"/>
      <c r="AG1522" s="763"/>
    </row>
    <row r="1523">
      <c r="A1523" s="47" t="s">
        <v>145</v>
      </c>
      <c r="B1523" s="47" t="s">
        <v>1187</v>
      </c>
      <c r="C1523" s="47"/>
      <c r="D1523" s="47"/>
      <c r="E1523" s="47" t="s">
        <v>1579</v>
      </c>
      <c r="F1523" s="47" t="s">
        <v>1580</v>
      </c>
      <c r="G1523" s="1079">
        <v>46208.0</v>
      </c>
      <c r="H1523" s="1080">
        <v>46238.0</v>
      </c>
      <c r="I1523" s="47">
        <f>IFERROR(__xludf.DUMMYFUNCTION("IF(ISBLANK(H1523), TODAY()-TO_DATE(G1523), TO_DATE(H1523)-TO_DATE(G1523))+1"),31.0)</f>
        <v>31</v>
      </c>
      <c r="J1523" s="47" t="s">
        <v>197</v>
      </c>
      <c r="K1523" s="158" t="s">
        <v>11163</v>
      </c>
      <c r="L1523" s="158" t="s">
        <v>11164</v>
      </c>
      <c r="M1523" s="47"/>
      <c r="N1523" s="763"/>
      <c r="O1523" s="763"/>
      <c r="P1523" s="763"/>
      <c r="Q1523" s="763"/>
      <c r="R1523" s="763"/>
      <c r="S1523" s="763"/>
      <c r="T1523" s="763"/>
      <c r="U1523" s="763"/>
      <c r="V1523" s="763"/>
      <c r="W1523" s="763"/>
      <c r="X1523" s="763"/>
      <c r="Y1523" s="763"/>
      <c r="Z1523" s="763"/>
      <c r="AA1523" s="763"/>
      <c r="AB1523" s="763"/>
      <c r="AC1523" s="763"/>
      <c r="AD1523" s="763"/>
      <c r="AE1523" s="763"/>
      <c r="AF1523" s="763"/>
      <c r="AG1523" s="763"/>
    </row>
    <row r="1524">
      <c r="A1524" s="47" t="s">
        <v>145</v>
      </c>
      <c r="B1524" s="47" t="s">
        <v>1187</v>
      </c>
      <c r="C1524" s="47"/>
      <c r="D1524" s="47"/>
      <c r="E1524" s="47" t="s">
        <v>4052</v>
      </c>
      <c r="F1524" s="47" t="s">
        <v>4054</v>
      </c>
      <c r="G1524" s="1079">
        <v>46208.0</v>
      </c>
      <c r="H1524" s="1080">
        <v>46238.0</v>
      </c>
      <c r="I1524" s="47">
        <f>IFERROR(__xludf.DUMMYFUNCTION("IF(ISBLANK(H1524), TODAY()-TO_DATE(G1524), TO_DATE(H1524)-TO_DATE(G1524))+1"),31.0)</f>
        <v>31</v>
      </c>
      <c r="J1524" s="47" t="s">
        <v>197</v>
      </c>
      <c r="K1524" s="158" t="s">
        <v>9990</v>
      </c>
      <c r="L1524" s="47"/>
      <c r="M1524" s="47"/>
      <c r="N1524" s="763"/>
      <c r="O1524" s="763"/>
      <c r="P1524" s="763"/>
      <c r="Q1524" s="763"/>
      <c r="R1524" s="763"/>
      <c r="S1524" s="763"/>
      <c r="T1524" s="763"/>
      <c r="U1524" s="763"/>
      <c r="V1524" s="763"/>
      <c r="W1524" s="763"/>
      <c r="X1524" s="763"/>
      <c r="Y1524" s="763"/>
      <c r="Z1524" s="763"/>
      <c r="AA1524" s="763"/>
      <c r="AB1524" s="763"/>
      <c r="AC1524" s="763"/>
      <c r="AD1524" s="763"/>
      <c r="AE1524" s="763"/>
      <c r="AF1524" s="763"/>
      <c r="AG1524" s="763"/>
    </row>
    <row r="1525">
      <c r="A1525" s="117" t="s">
        <v>9987</v>
      </c>
      <c r="B1525" s="47" t="s">
        <v>1187</v>
      </c>
      <c r="C1525" s="47"/>
      <c r="D1525" s="47"/>
      <c r="E1525" s="47" t="s">
        <v>4725</v>
      </c>
      <c r="F1525" s="47" t="s">
        <v>1089</v>
      </c>
      <c r="G1525" s="1079">
        <v>46209.0</v>
      </c>
      <c r="H1525" s="1080">
        <v>46251.0</v>
      </c>
      <c r="I1525" s="47">
        <f>IFERROR(__xludf.DUMMYFUNCTION("IF(ISBLANK(H1525), TODAY()-TO_DATE(G1525), TO_DATE(H1525)-TO_DATE(G1525))+1"),43.0)</f>
        <v>43</v>
      </c>
      <c r="J1525" s="47" t="s">
        <v>197</v>
      </c>
      <c r="K1525" s="1008" t="s">
        <v>11170</v>
      </c>
      <c r="L1525" s="1008" t="s">
        <v>11171</v>
      </c>
      <c r="M1525" s="47"/>
      <c r="N1525" s="763"/>
      <c r="O1525" s="763"/>
      <c r="P1525" s="763"/>
      <c r="Q1525" s="763"/>
      <c r="R1525" s="763"/>
      <c r="S1525" s="763"/>
      <c r="T1525" s="763"/>
      <c r="U1525" s="763"/>
      <c r="V1525" s="763"/>
      <c r="W1525" s="763"/>
      <c r="X1525" s="763"/>
      <c r="Y1525" s="763"/>
      <c r="Z1525" s="763"/>
      <c r="AA1525" s="763"/>
      <c r="AB1525" s="763"/>
      <c r="AC1525" s="763"/>
      <c r="AD1525" s="763"/>
      <c r="AE1525" s="763"/>
      <c r="AF1525" s="763"/>
      <c r="AG1525" s="763"/>
    </row>
    <row r="1526">
      <c r="A1526" s="117" t="s">
        <v>145</v>
      </c>
      <c r="B1526" s="47" t="s">
        <v>1187</v>
      </c>
      <c r="C1526" s="47"/>
      <c r="D1526" s="47"/>
      <c r="E1526" s="47" t="s">
        <v>11172</v>
      </c>
      <c r="F1526" s="47" t="s">
        <v>11173</v>
      </c>
      <c r="G1526" s="1079">
        <v>46209.0</v>
      </c>
      <c r="H1526" s="1080">
        <v>46242.0</v>
      </c>
      <c r="I1526" s="47">
        <f>IFERROR(__xludf.DUMMYFUNCTION("IF(ISBLANK(H1526), TODAY()-TO_DATE(G1526), TO_DATE(H1526)-TO_DATE(G1526))+1"),34.0)</f>
        <v>34</v>
      </c>
      <c r="J1526" s="47">
        <v>500.0</v>
      </c>
      <c r="K1526" s="47" t="s">
        <v>11175</v>
      </c>
      <c r="L1526" s="47" t="s">
        <v>11176</v>
      </c>
      <c r="M1526" s="47"/>
      <c r="N1526" s="763"/>
      <c r="O1526" s="763"/>
      <c r="P1526" s="763"/>
      <c r="Q1526" s="763"/>
      <c r="R1526" s="763"/>
      <c r="S1526" s="763"/>
      <c r="T1526" s="763"/>
      <c r="U1526" s="763"/>
      <c r="V1526" s="763"/>
      <c r="W1526" s="763"/>
      <c r="X1526" s="763"/>
      <c r="Y1526" s="763"/>
      <c r="Z1526" s="763"/>
      <c r="AA1526" s="763"/>
      <c r="AB1526" s="763"/>
      <c r="AC1526" s="763"/>
      <c r="AD1526" s="763"/>
      <c r="AE1526" s="763"/>
      <c r="AF1526" s="763"/>
      <c r="AG1526" s="763"/>
    </row>
    <row r="1527">
      <c r="A1527" s="117" t="s">
        <v>9987</v>
      </c>
      <c r="B1527" s="47" t="s">
        <v>1187</v>
      </c>
      <c r="C1527" s="47"/>
      <c r="D1527" s="47"/>
      <c r="E1527" s="47" t="s">
        <v>4881</v>
      </c>
      <c r="F1527" s="47" t="s">
        <v>4884</v>
      </c>
      <c r="G1527" s="1079">
        <v>46209.0</v>
      </c>
      <c r="H1527" s="1080">
        <v>46235.0</v>
      </c>
      <c r="I1527" s="47">
        <f>IFERROR(__xludf.DUMMYFUNCTION("IF(ISBLANK(H1527), TODAY()-TO_DATE(G1527), TO_DATE(H1527)-TO_DATE(G1527))+1"),27.0)</f>
        <v>27</v>
      </c>
      <c r="J1527" s="47">
        <v>300.0</v>
      </c>
      <c r="K1527" s="158" t="s">
        <v>11180</v>
      </c>
      <c r="L1527" s="47"/>
      <c r="M1527" s="47"/>
      <c r="N1527" s="763"/>
      <c r="O1527" s="763"/>
      <c r="P1527" s="763"/>
      <c r="Q1527" s="763"/>
      <c r="R1527" s="763"/>
      <c r="S1527" s="763"/>
      <c r="T1527" s="763"/>
      <c r="U1527" s="763"/>
      <c r="V1527" s="763"/>
      <c r="W1527" s="763"/>
      <c r="X1527" s="763"/>
      <c r="Y1527" s="763"/>
      <c r="Z1527" s="763"/>
      <c r="AA1527" s="763"/>
      <c r="AB1527" s="763"/>
      <c r="AC1527" s="763"/>
      <c r="AD1527" s="763"/>
      <c r="AE1527" s="763"/>
      <c r="AF1527" s="763"/>
      <c r="AG1527" s="763"/>
    </row>
    <row r="1528">
      <c r="A1528" s="117" t="s">
        <v>9987</v>
      </c>
      <c r="B1528" s="47" t="s">
        <v>1187</v>
      </c>
      <c r="C1528" s="47"/>
      <c r="D1528" s="47"/>
      <c r="E1528" s="47" t="s">
        <v>5824</v>
      </c>
      <c r="F1528" s="47" t="s">
        <v>1563</v>
      </c>
      <c r="G1528" s="1079">
        <v>46209.0</v>
      </c>
      <c r="H1528" s="1080">
        <v>46251.0</v>
      </c>
      <c r="I1528" s="47">
        <f>IFERROR(__xludf.DUMMYFUNCTION("IF(ISBLANK(H1528), TODAY()-TO_DATE(G1528), TO_DATE(H1528)-TO_DATE(G1528))+1"),43.0)</f>
        <v>43</v>
      </c>
      <c r="J1528" s="47" t="s">
        <v>197</v>
      </c>
      <c r="K1528" s="1008" t="s">
        <v>9734</v>
      </c>
      <c r="L1528" s="47"/>
      <c r="M1528" s="1008" t="s">
        <v>9226</v>
      </c>
      <c r="N1528" s="763"/>
      <c r="O1528" s="763"/>
      <c r="P1528" s="763"/>
      <c r="Q1528" s="763"/>
      <c r="R1528" s="763"/>
      <c r="S1528" s="763"/>
      <c r="T1528" s="763"/>
      <c r="U1528" s="763"/>
      <c r="V1528" s="763"/>
      <c r="W1528" s="763"/>
      <c r="X1528" s="763"/>
      <c r="Y1528" s="763"/>
      <c r="Z1528" s="763"/>
      <c r="AA1528" s="763"/>
      <c r="AB1528" s="763"/>
      <c r="AC1528" s="763"/>
      <c r="AD1528" s="763"/>
      <c r="AE1528" s="763"/>
      <c r="AF1528" s="763"/>
      <c r="AG1528" s="763"/>
    </row>
    <row r="1529">
      <c r="A1529" s="117" t="s">
        <v>9987</v>
      </c>
      <c r="B1529" s="47" t="s">
        <v>1187</v>
      </c>
      <c r="C1529" s="47"/>
      <c r="D1529" s="47"/>
      <c r="E1529" s="47" t="s">
        <v>11184</v>
      </c>
      <c r="F1529" s="47" t="s">
        <v>2373</v>
      </c>
      <c r="G1529" s="1079">
        <v>46210.0</v>
      </c>
      <c r="H1529" s="1079">
        <v>46210.0</v>
      </c>
      <c r="I1529" s="47">
        <f>IFERROR(__xludf.DUMMYFUNCTION("IF(ISBLANK(H1529), TODAY()-TO_DATE(G1529), TO_DATE(H1529)-TO_DATE(G1529))+1"),1.0)</f>
        <v>1</v>
      </c>
      <c r="J1529" s="47">
        <v>300.0</v>
      </c>
      <c r="K1529" s="47" t="s">
        <v>11023</v>
      </c>
      <c r="L1529" s="47"/>
      <c r="M1529" s="47"/>
      <c r="N1529" s="763"/>
      <c r="O1529" s="763"/>
      <c r="P1529" s="763"/>
      <c r="Q1529" s="763"/>
      <c r="R1529" s="763"/>
      <c r="S1529" s="763"/>
      <c r="T1529" s="763"/>
      <c r="U1529" s="763"/>
      <c r="V1529" s="763"/>
      <c r="W1529" s="763"/>
      <c r="X1529" s="763"/>
      <c r="Y1529" s="763"/>
      <c r="Z1529" s="763"/>
      <c r="AA1529" s="763"/>
      <c r="AB1529" s="763"/>
      <c r="AC1529" s="763"/>
      <c r="AD1529" s="763"/>
      <c r="AE1529" s="763"/>
      <c r="AF1529" s="763"/>
      <c r="AG1529" s="763"/>
    </row>
    <row r="1530">
      <c r="A1530" s="117" t="s">
        <v>9987</v>
      </c>
      <c r="B1530" s="47" t="s">
        <v>1187</v>
      </c>
      <c r="C1530" s="47"/>
      <c r="D1530" s="47"/>
      <c r="E1530" s="47" t="s">
        <v>11187</v>
      </c>
      <c r="F1530" s="47" t="s">
        <v>11188</v>
      </c>
      <c r="G1530" s="1079">
        <v>46210.0</v>
      </c>
      <c r="H1530" s="1080">
        <v>46246.0</v>
      </c>
      <c r="I1530" s="47">
        <f>IFERROR(__xludf.DUMMYFUNCTION("IF(ISBLANK(H1530), TODAY()-TO_DATE(G1530), TO_DATE(H1530)-TO_DATE(G1530))+1"),37.0)</f>
        <v>37</v>
      </c>
      <c r="J1530" s="47">
        <v>500.0</v>
      </c>
      <c r="K1530" s="158" t="s">
        <v>10350</v>
      </c>
      <c r="L1530" s="47"/>
      <c r="M1530" s="158" t="s">
        <v>9226</v>
      </c>
      <c r="N1530" s="763"/>
      <c r="O1530" s="763"/>
      <c r="P1530" s="763"/>
      <c r="Q1530" s="763"/>
      <c r="R1530" s="763"/>
      <c r="S1530" s="763"/>
      <c r="T1530" s="763"/>
      <c r="U1530" s="763"/>
      <c r="V1530" s="763"/>
      <c r="W1530" s="763"/>
      <c r="X1530" s="763"/>
      <c r="Y1530" s="763"/>
      <c r="Z1530" s="763"/>
      <c r="AA1530" s="763"/>
      <c r="AB1530" s="763"/>
      <c r="AC1530" s="763"/>
      <c r="AD1530" s="763"/>
      <c r="AE1530" s="763"/>
      <c r="AF1530" s="763"/>
      <c r="AG1530" s="763"/>
    </row>
    <row r="1531">
      <c r="A1531" s="117" t="s">
        <v>9987</v>
      </c>
      <c r="B1531" s="47" t="s">
        <v>1187</v>
      </c>
      <c r="C1531" s="47"/>
      <c r="D1531" s="47"/>
      <c r="E1531" s="47" t="s">
        <v>11191</v>
      </c>
      <c r="F1531" s="47" t="s">
        <v>11192</v>
      </c>
      <c r="G1531" s="1079">
        <v>46210.0</v>
      </c>
      <c r="H1531" s="1080">
        <v>46215.0</v>
      </c>
      <c r="I1531" s="47">
        <f>IFERROR(__xludf.DUMMYFUNCTION("IF(ISBLANK(H1531), TODAY()-TO_DATE(G1531), TO_DATE(H1531)-TO_DATE(G1531))+1"),6.0)</f>
        <v>6</v>
      </c>
      <c r="J1531" s="47">
        <v>500.0</v>
      </c>
      <c r="K1531" s="1008" t="s">
        <v>11193</v>
      </c>
      <c r="L1531" s="47"/>
      <c r="M1531" s="47" t="s">
        <v>9226</v>
      </c>
      <c r="N1531" s="763"/>
      <c r="O1531" s="763"/>
      <c r="P1531" s="763"/>
      <c r="Q1531" s="763"/>
      <c r="R1531" s="763"/>
      <c r="S1531" s="763"/>
      <c r="T1531" s="763"/>
      <c r="U1531" s="763"/>
      <c r="V1531" s="763"/>
      <c r="W1531" s="763"/>
      <c r="X1531" s="763"/>
      <c r="Y1531" s="763"/>
      <c r="Z1531" s="763"/>
      <c r="AA1531" s="763"/>
      <c r="AB1531" s="763"/>
      <c r="AC1531" s="763"/>
      <c r="AD1531" s="763"/>
      <c r="AE1531" s="763"/>
      <c r="AF1531" s="763"/>
      <c r="AG1531" s="763"/>
    </row>
    <row r="1532">
      <c r="A1532" s="117" t="s">
        <v>9987</v>
      </c>
      <c r="B1532" s="47" t="s">
        <v>1187</v>
      </c>
      <c r="C1532" s="47"/>
      <c r="D1532" s="47"/>
      <c r="E1532" s="47" t="s">
        <v>11194</v>
      </c>
      <c r="F1532" s="47" t="s">
        <v>11195</v>
      </c>
      <c r="G1532" s="1079">
        <v>46210.0</v>
      </c>
      <c r="H1532" s="1080">
        <v>46246.0</v>
      </c>
      <c r="I1532" s="47">
        <f>IFERROR(__xludf.DUMMYFUNCTION("IF(ISBLANK(H1532), TODAY()-TO_DATE(G1532), TO_DATE(H1532)-TO_DATE(G1532))+1"),37.0)</f>
        <v>37</v>
      </c>
      <c r="J1532" s="47" t="s">
        <v>197</v>
      </c>
      <c r="K1532" s="1008" t="s">
        <v>11196</v>
      </c>
      <c r="L1532" s="158" t="s">
        <v>11197</v>
      </c>
      <c r="M1532" s="47" t="s">
        <v>9226</v>
      </c>
      <c r="N1532" s="763"/>
      <c r="O1532" s="763"/>
      <c r="P1532" s="763"/>
      <c r="Q1532" s="763"/>
      <c r="R1532" s="763"/>
      <c r="S1532" s="763"/>
      <c r="T1532" s="763"/>
      <c r="U1532" s="763"/>
      <c r="V1532" s="763"/>
      <c r="W1532" s="763"/>
      <c r="X1532" s="763"/>
      <c r="Y1532" s="763"/>
      <c r="Z1532" s="763"/>
      <c r="AA1532" s="763"/>
      <c r="AB1532" s="763"/>
      <c r="AC1532" s="763"/>
      <c r="AD1532" s="763"/>
      <c r="AE1532" s="763"/>
      <c r="AF1532" s="763"/>
      <c r="AG1532" s="763"/>
    </row>
    <row r="1533">
      <c r="A1533" s="117" t="s">
        <v>9987</v>
      </c>
      <c r="B1533" s="47" t="s">
        <v>1187</v>
      </c>
      <c r="C1533" s="47"/>
      <c r="D1533" s="47"/>
      <c r="E1533" s="47" t="s">
        <v>5019</v>
      </c>
      <c r="F1533" s="47" t="s">
        <v>5020</v>
      </c>
      <c r="G1533" s="1079">
        <v>46210.0</v>
      </c>
      <c r="H1533" s="1080">
        <v>46246.0</v>
      </c>
      <c r="I1533" s="47">
        <f>IFERROR(__xludf.DUMMYFUNCTION("IF(ISBLANK(H1533), TODAY()-TO_DATE(G1533), TO_DATE(H1533)-TO_DATE(G1533))+1"),37.0)</f>
        <v>37</v>
      </c>
      <c r="J1533" s="47" t="s">
        <v>197</v>
      </c>
      <c r="K1533" s="1008" t="s">
        <v>11199</v>
      </c>
      <c r="L1533" s="47"/>
      <c r="M1533" s="47"/>
      <c r="N1533" s="763"/>
      <c r="O1533" s="763"/>
      <c r="P1533" s="763"/>
      <c r="Q1533" s="763"/>
      <c r="R1533" s="763"/>
      <c r="S1533" s="763"/>
      <c r="T1533" s="763"/>
      <c r="U1533" s="763"/>
      <c r="V1533" s="763"/>
      <c r="W1533" s="763"/>
      <c r="X1533" s="763"/>
      <c r="Y1533" s="763"/>
      <c r="Z1533" s="763"/>
      <c r="AA1533" s="763"/>
      <c r="AB1533" s="763"/>
      <c r="AC1533" s="763"/>
      <c r="AD1533" s="763"/>
      <c r="AE1533" s="763"/>
      <c r="AF1533" s="763"/>
      <c r="AG1533" s="763"/>
    </row>
    <row r="1534">
      <c r="A1534" s="117" t="s">
        <v>9987</v>
      </c>
      <c r="B1534" s="47" t="s">
        <v>1187</v>
      </c>
      <c r="C1534" s="47"/>
      <c r="D1534" s="47"/>
      <c r="E1534" s="47" t="s">
        <v>2831</v>
      </c>
      <c r="F1534" s="47" t="s">
        <v>2832</v>
      </c>
      <c r="G1534" s="1079">
        <v>46210.0</v>
      </c>
      <c r="H1534" s="1080">
        <v>46253.0</v>
      </c>
      <c r="I1534" s="47">
        <f>IFERROR(__xludf.DUMMYFUNCTION("IF(ISBLANK(H1534), TODAY()-TO_DATE(G1534), TO_DATE(H1534)-TO_DATE(G1534))+1"),44.0)</f>
        <v>44</v>
      </c>
      <c r="J1534" s="47" t="s">
        <v>197</v>
      </c>
      <c r="K1534" s="1008" t="s">
        <v>11204</v>
      </c>
      <c r="L1534" s="158" t="s">
        <v>11205</v>
      </c>
      <c r="M1534" s="47"/>
      <c r="N1534" s="763"/>
      <c r="O1534" s="763"/>
      <c r="P1534" s="763"/>
      <c r="Q1534" s="763"/>
      <c r="R1534" s="763"/>
      <c r="S1534" s="763"/>
      <c r="T1534" s="763"/>
      <c r="U1534" s="763"/>
      <c r="V1534" s="763"/>
      <c r="W1534" s="763"/>
      <c r="X1534" s="763"/>
      <c r="Y1534" s="763"/>
      <c r="Z1534" s="763"/>
      <c r="AA1534" s="763"/>
      <c r="AB1534" s="763"/>
      <c r="AC1534" s="763"/>
      <c r="AD1534" s="763"/>
      <c r="AE1534" s="763"/>
      <c r="AF1534" s="763"/>
      <c r="AG1534" s="763"/>
    </row>
    <row r="1535">
      <c r="A1535" s="117" t="s">
        <v>9987</v>
      </c>
      <c r="B1535" s="47" t="s">
        <v>1187</v>
      </c>
      <c r="C1535" s="47"/>
      <c r="D1535" s="47"/>
      <c r="E1535" s="47" t="s">
        <v>11207</v>
      </c>
      <c r="F1535" s="47" t="s">
        <v>11208</v>
      </c>
      <c r="G1535" s="1079">
        <v>46210.0</v>
      </c>
      <c r="H1535" s="1080">
        <v>46246.0</v>
      </c>
      <c r="I1535" s="47">
        <f>IFERROR(__xludf.DUMMYFUNCTION("IF(ISBLANK(H1535), TODAY()-TO_DATE(G1535), TO_DATE(H1535)-TO_DATE(G1535))+1"),37.0)</f>
        <v>37</v>
      </c>
      <c r="J1535" s="47">
        <v>500.0</v>
      </c>
      <c r="K1535" s="158" t="s">
        <v>11210</v>
      </c>
      <c r="L1535" s="158" t="s">
        <v>11211</v>
      </c>
      <c r="M1535" s="47"/>
      <c r="N1535" s="763"/>
      <c r="O1535" s="763"/>
      <c r="P1535" s="763"/>
      <c r="Q1535" s="763"/>
      <c r="R1535" s="763"/>
      <c r="S1535" s="763"/>
      <c r="T1535" s="763"/>
      <c r="U1535" s="763"/>
      <c r="V1535" s="763"/>
      <c r="W1535" s="763"/>
      <c r="X1535" s="763"/>
      <c r="Y1535" s="763"/>
      <c r="Z1535" s="763"/>
      <c r="AA1535" s="763"/>
      <c r="AB1535" s="763"/>
      <c r="AC1535" s="763"/>
      <c r="AD1535" s="763"/>
      <c r="AE1535" s="763"/>
      <c r="AF1535" s="763"/>
      <c r="AG1535" s="763"/>
    </row>
    <row r="1536">
      <c r="A1536" s="117" t="s">
        <v>1448</v>
      </c>
      <c r="B1536" s="47" t="s">
        <v>5364</v>
      </c>
      <c r="C1536" s="47"/>
      <c r="D1536" s="47"/>
      <c r="E1536" s="47" t="s">
        <v>8991</v>
      </c>
      <c r="F1536" s="47" t="s">
        <v>8992</v>
      </c>
      <c r="G1536" s="1079">
        <v>46210.0</v>
      </c>
      <c r="H1536" s="1080">
        <v>46218.0</v>
      </c>
      <c r="I1536" s="47">
        <f>IFERROR(__xludf.DUMMYFUNCTION("IF(ISBLANK(H1536), TODAY()-TO_DATE(G1536), TO_DATE(H1536)-TO_DATE(G1536))+1"),9.0)</f>
        <v>9</v>
      </c>
      <c r="J1536" s="47" t="s">
        <v>197</v>
      </c>
      <c r="K1536" s="47" t="s">
        <v>11214</v>
      </c>
      <c r="L1536" s="47"/>
      <c r="M1536" s="47"/>
      <c r="N1536" s="763"/>
      <c r="O1536" s="763"/>
      <c r="P1536" s="763"/>
      <c r="Q1536" s="763"/>
      <c r="R1536" s="763"/>
      <c r="S1536" s="763"/>
      <c r="T1536" s="763"/>
      <c r="U1536" s="763"/>
      <c r="V1536" s="763"/>
      <c r="W1536" s="763"/>
      <c r="X1536" s="763"/>
      <c r="Y1536" s="763"/>
      <c r="Z1536" s="763"/>
      <c r="AA1536" s="763"/>
      <c r="AB1536" s="763"/>
      <c r="AC1536" s="763"/>
      <c r="AD1536" s="763"/>
      <c r="AE1536" s="763"/>
      <c r="AF1536" s="763"/>
      <c r="AG1536" s="763"/>
    </row>
    <row r="1537">
      <c r="A1537" s="117" t="s">
        <v>33</v>
      </c>
      <c r="B1537" s="47" t="s">
        <v>1187</v>
      </c>
      <c r="C1537" s="47"/>
      <c r="D1537" s="47"/>
      <c r="E1537" s="47" t="s">
        <v>411</v>
      </c>
      <c r="F1537" s="47" t="s">
        <v>634</v>
      </c>
      <c r="G1537" s="1079">
        <v>46212.0</v>
      </c>
      <c r="H1537" s="1080">
        <v>46253.0</v>
      </c>
      <c r="I1537" s="47">
        <f>IFERROR(__xludf.DUMMYFUNCTION("IF(ISBLANK(H1537), TODAY()-TO_DATE(G1537), TO_DATE(H1537)-TO_DATE(G1537))+1"),42.0)</f>
        <v>42</v>
      </c>
      <c r="J1537" s="47" t="s">
        <v>197</v>
      </c>
      <c r="K1537" s="158" t="s">
        <v>11219</v>
      </c>
      <c r="L1537" s="158" t="s">
        <v>11220</v>
      </c>
      <c r="M1537" s="47" t="s">
        <v>9226</v>
      </c>
      <c r="N1537" s="763"/>
      <c r="O1537" s="763"/>
      <c r="P1537" s="763"/>
      <c r="Q1537" s="763"/>
      <c r="R1537" s="763"/>
      <c r="S1537" s="763"/>
      <c r="T1537" s="763"/>
      <c r="U1537" s="763"/>
      <c r="V1537" s="763"/>
      <c r="W1537" s="763"/>
      <c r="X1537" s="763"/>
      <c r="Y1537" s="763"/>
      <c r="Z1537" s="763"/>
      <c r="AA1537" s="763"/>
      <c r="AB1537" s="763"/>
      <c r="AC1537" s="763"/>
      <c r="AD1537" s="763"/>
      <c r="AE1537" s="763"/>
      <c r="AF1537" s="763"/>
      <c r="AG1537" s="763"/>
    </row>
    <row r="1538">
      <c r="A1538" s="117" t="s">
        <v>9359</v>
      </c>
      <c r="B1538" s="47" t="s">
        <v>1187</v>
      </c>
      <c r="C1538" s="47"/>
      <c r="D1538" s="47"/>
      <c r="E1538" s="47" t="s">
        <v>1895</v>
      </c>
      <c r="F1538" s="47" t="s">
        <v>1897</v>
      </c>
      <c r="G1538" s="1079">
        <v>46212.0</v>
      </c>
      <c r="H1538" s="1080">
        <v>46242.0</v>
      </c>
      <c r="I1538" s="47">
        <f>IFERROR(__xludf.DUMMYFUNCTION("IF(ISBLANK(H1538), TODAY()-TO_DATE(G1538), TO_DATE(H1538)-TO_DATE(G1538))+1"),31.0)</f>
        <v>31</v>
      </c>
      <c r="J1538" s="47" t="s">
        <v>197</v>
      </c>
      <c r="K1538" s="158" t="s">
        <v>11224</v>
      </c>
      <c r="L1538" s="158" t="s">
        <v>11225</v>
      </c>
      <c r="M1538" s="47"/>
      <c r="N1538" s="763"/>
      <c r="O1538" s="763"/>
      <c r="P1538" s="763"/>
      <c r="Q1538" s="763"/>
      <c r="R1538" s="763"/>
      <c r="S1538" s="763"/>
      <c r="T1538" s="763"/>
      <c r="U1538" s="763"/>
      <c r="V1538" s="763"/>
      <c r="W1538" s="763"/>
      <c r="X1538" s="763"/>
      <c r="Y1538" s="763"/>
      <c r="Z1538" s="763"/>
      <c r="AA1538" s="763"/>
      <c r="AB1538" s="763"/>
      <c r="AC1538" s="763"/>
      <c r="AD1538" s="763"/>
      <c r="AE1538" s="763"/>
      <c r="AF1538" s="763"/>
      <c r="AG1538" s="763"/>
    </row>
    <row r="1539">
      <c r="A1539" s="117" t="s">
        <v>9987</v>
      </c>
      <c r="B1539" s="47" t="s">
        <v>1187</v>
      </c>
      <c r="C1539" s="47"/>
      <c r="D1539" s="47"/>
      <c r="E1539" s="47" t="s">
        <v>10576</v>
      </c>
      <c r="F1539" s="47" t="s">
        <v>10577</v>
      </c>
      <c r="G1539" s="1079">
        <v>46212.0</v>
      </c>
      <c r="H1539" s="1080">
        <v>46215.0</v>
      </c>
      <c r="I1539" s="47">
        <f>IFERROR(__xludf.DUMMYFUNCTION("IF(ISBLANK(H1539), TODAY()-TO_DATE(G1539), TO_DATE(H1539)-TO_DATE(G1539))+1"),4.0)</f>
        <v>4</v>
      </c>
      <c r="J1539" s="47" t="s">
        <v>11229</v>
      </c>
      <c r="K1539" s="47" t="s">
        <v>11047</v>
      </c>
      <c r="L1539" s="47" t="s">
        <v>11231</v>
      </c>
      <c r="M1539" s="47" t="s">
        <v>9226</v>
      </c>
      <c r="N1539" s="763"/>
      <c r="O1539" s="763"/>
      <c r="P1539" s="763"/>
      <c r="Q1539" s="763"/>
      <c r="R1539" s="763"/>
      <c r="S1539" s="763"/>
      <c r="T1539" s="763"/>
      <c r="U1539" s="763"/>
      <c r="V1539" s="763"/>
      <c r="W1539" s="763"/>
      <c r="X1539" s="763"/>
      <c r="Y1539" s="763"/>
      <c r="Z1539" s="763"/>
      <c r="AA1539" s="763"/>
      <c r="AB1539" s="763"/>
      <c r="AC1539" s="763"/>
      <c r="AD1539" s="763"/>
      <c r="AE1539" s="763"/>
      <c r="AF1539" s="763"/>
      <c r="AG1539" s="763"/>
    </row>
    <row r="1540">
      <c r="A1540" s="117" t="s">
        <v>9987</v>
      </c>
      <c r="B1540" s="47" t="s">
        <v>1187</v>
      </c>
      <c r="C1540" s="47"/>
      <c r="D1540" s="47"/>
      <c r="E1540" s="47" t="s">
        <v>11233</v>
      </c>
      <c r="F1540" s="47" t="s">
        <v>4334</v>
      </c>
      <c r="G1540" s="1079">
        <v>46212.0</v>
      </c>
      <c r="H1540" s="1080">
        <v>46215.0</v>
      </c>
      <c r="I1540" s="47">
        <f>IFERROR(__xludf.DUMMYFUNCTION("IF(ISBLANK(H1540), TODAY()-TO_DATE(G1540), TO_DATE(H1540)-TO_DATE(G1540))+1"),4.0)</f>
        <v>4</v>
      </c>
      <c r="J1540" s="47" t="s">
        <v>197</v>
      </c>
      <c r="K1540" s="47" t="s">
        <v>11236</v>
      </c>
      <c r="L1540" s="47"/>
      <c r="M1540" s="47"/>
      <c r="N1540" s="763"/>
      <c r="O1540" s="763"/>
      <c r="P1540" s="763"/>
      <c r="Q1540" s="763"/>
      <c r="R1540" s="763"/>
      <c r="S1540" s="763"/>
      <c r="T1540" s="763"/>
      <c r="U1540" s="763"/>
      <c r="V1540" s="763"/>
      <c r="W1540" s="763"/>
      <c r="X1540" s="763"/>
      <c r="Y1540" s="763"/>
      <c r="Z1540" s="763"/>
      <c r="AA1540" s="763"/>
      <c r="AB1540" s="763"/>
      <c r="AC1540" s="763"/>
      <c r="AD1540" s="763"/>
      <c r="AE1540" s="763"/>
      <c r="AF1540" s="763"/>
      <c r="AG1540" s="763"/>
    </row>
    <row r="1541">
      <c r="A1541" s="117" t="s">
        <v>1923</v>
      </c>
      <c r="B1541" s="47" t="s">
        <v>1187</v>
      </c>
      <c r="C1541" s="47"/>
      <c r="D1541" s="47"/>
      <c r="E1541" s="47" t="s">
        <v>897</v>
      </c>
      <c r="F1541" s="47" t="s">
        <v>898</v>
      </c>
      <c r="G1541" s="1079">
        <v>46213.0</v>
      </c>
      <c r="H1541" s="1080">
        <v>46215.0</v>
      </c>
      <c r="I1541" s="47">
        <f>IFERROR(__xludf.DUMMYFUNCTION("IF(ISBLANK(H1541), TODAY()-TO_DATE(G1541), TO_DATE(H1541)-TO_DATE(G1541))+1"),3.0)</f>
        <v>3</v>
      </c>
      <c r="J1541" s="47">
        <v>300.0</v>
      </c>
      <c r="K1541" s="1008" t="s">
        <v>10053</v>
      </c>
      <c r="L1541" s="47"/>
      <c r="M1541" s="47" t="s">
        <v>9226</v>
      </c>
      <c r="N1541" s="763"/>
      <c r="O1541" s="763"/>
      <c r="P1541" s="763"/>
      <c r="Q1541" s="763"/>
      <c r="R1541" s="763"/>
      <c r="S1541" s="763"/>
      <c r="T1541" s="763"/>
      <c r="U1541" s="763"/>
      <c r="V1541" s="763"/>
      <c r="W1541" s="763"/>
      <c r="X1541" s="763"/>
      <c r="Y1541" s="763"/>
      <c r="Z1541" s="763"/>
      <c r="AA1541" s="763"/>
      <c r="AB1541" s="763"/>
      <c r="AC1541" s="763"/>
      <c r="AD1541" s="763"/>
      <c r="AE1541" s="763"/>
      <c r="AF1541" s="763"/>
      <c r="AG1541" s="763"/>
    </row>
    <row r="1542">
      <c r="A1542" s="117" t="s">
        <v>1448</v>
      </c>
      <c r="B1542" s="47" t="s">
        <v>1187</v>
      </c>
      <c r="C1542" s="47"/>
      <c r="D1542" s="47"/>
      <c r="E1542" s="47" t="s">
        <v>8760</v>
      </c>
      <c r="F1542" s="47" t="s">
        <v>8762</v>
      </c>
      <c r="G1542" s="1079">
        <v>46213.0</v>
      </c>
      <c r="H1542" s="1080">
        <v>46217.0</v>
      </c>
      <c r="I1542" s="47">
        <f>IFERROR(__xludf.DUMMYFUNCTION("IF(ISBLANK(H1542), TODAY()-TO_DATE(G1542), TO_DATE(H1542)-TO_DATE(G1542))+1"),5.0)</f>
        <v>5</v>
      </c>
      <c r="J1542" s="47">
        <v>300.0</v>
      </c>
      <c r="K1542" s="1008" t="s">
        <v>11110</v>
      </c>
      <c r="L1542" s="47"/>
      <c r="M1542" s="47" t="s">
        <v>9226</v>
      </c>
      <c r="N1542" s="763"/>
      <c r="O1542" s="763"/>
      <c r="P1542" s="763"/>
      <c r="Q1542" s="763"/>
      <c r="R1542" s="763"/>
      <c r="S1542" s="763"/>
      <c r="T1542" s="763"/>
      <c r="U1542" s="763"/>
      <c r="V1542" s="763"/>
      <c r="W1542" s="763"/>
      <c r="X1542" s="763"/>
      <c r="Y1542" s="763"/>
      <c r="Z1542" s="763"/>
      <c r="AA1542" s="763"/>
      <c r="AB1542" s="763"/>
      <c r="AC1542" s="763"/>
      <c r="AD1542" s="763"/>
      <c r="AE1542" s="763"/>
      <c r="AF1542" s="763"/>
      <c r="AG1542" s="763"/>
    </row>
    <row r="1543">
      <c r="A1543" s="117" t="s">
        <v>2451</v>
      </c>
      <c r="B1543" s="47" t="s">
        <v>1187</v>
      </c>
      <c r="C1543" s="47"/>
      <c r="D1543" s="47"/>
      <c r="E1543" s="47" t="s">
        <v>2962</v>
      </c>
      <c r="F1543" s="47" t="s">
        <v>2533</v>
      </c>
      <c r="G1543" s="1079">
        <v>46214.0</v>
      </c>
      <c r="H1543" s="1080">
        <v>46242.0</v>
      </c>
      <c r="I1543" s="47">
        <f>IFERROR(__xludf.DUMMYFUNCTION("IF(ISBLANK(H1543), TODAY()-TO_DATE(G1543), TO_DATE(H1543)-TO_DATE(G1543))+1"),29.0)</f>
        <v>29</v>
      </c>
      <c r="J1543" s="47" t="s">
        <v>197</v>
      </c>
      <c r="K1543" s="47" t="s">
        <v>10279</v>
      </c>
      <c r="L1543" s="47"/>
      <c r="M1543" s="47"/>
      <c r="N1543" s="763"/>
      <c r="O1543" s="763"/>
      <c r="P1543" s="763"/>
      <c r="Q1543" s="763"/>
      <c r="R1543" s="763"/>
      <c r="S1543" s="763"/>
      <c r="T1543" s="763"/>
      <c r="U1543" s="763"/>
      <c r="V1543" s="763"/>
      <c r="W1543" s="763"/>
      <c r="X1543" s="763"/>
      <c r="Y1543" s="763"/>
      <c r="Z1543" s="763"/>
      <c r="AA1543" s="763"/>
      <c r="AB1543" s="763"/>
      <c r="AC1543" s="763"/>
      <c r="AD1543" s="763"/>
      <c r="AE1543" s="763"/>
      <c r="AF1543" s="763"/>
      <c r="AG1543" s="763"/>
    </row>
    <row r="1544">
      <c r="A1544" s="117" t="s">
        <v>9987</v>
      </c>
      <c r="B1544" s="47" t="s">
        <v>1187</v>
      </c>
      <c r="C1544" s="47"/>
      <c r="D1544" s="47"/>
      <c r="E1544" s="47" t="s">
        <v>11244</v>
      </c>
      <c r="F1544" s="47" t="s">
        <v>11245</v>
      </c>
      <c r="G1544" s="1079">
        <v>46214.0</v>
      </c>
      <c r="H1544" s="1080">
        <v>46216.0</v>
      </c>
      <c r="I1544" s="47">
        <f>IFERROR(__xludf.DUMMYFUNCTION("IF(ISBLANK(H1544), TODAY()-TO_DATE(G1544), TO_DATE(H1544)-TO_DATE(G1544))+1"),3.0)</f>
        <v>3</v>
      </c>
      <c r="J1544" s="47">
        <v>500.0</v>
      </c>
      <c r="K1544" s="158" t="s">
        <v>11248</v>
      </c>
      <c r="L1544" s="158" t="s">
        <v>11249</v>
      </c>
      <c r="M1544" s="47"/>
      <c r="N1544" s="763"/>
      <c r="O1544" s="763"/>
      <c r="P1544" s="763"/>
      <c r="Q1544" s="763"/>
      <c r="R1544" s="763"/>
      <c r="S1544" s="763"/>
      <c r="T1544" s="763"/>
      <c r="U1544" s="763"/>
      <c r="V1544" s="763"/>
      <c r="W1544" s="763"/>
      <c r="X1544" s="763"/>
      <c r="Y1544" s="763"/>
      <c r="Z1544" s="763"/>
      <c r="AA1544" s="763"/>
      <c r="AB1544" s="763"/>
      <c r="AC1544" s="763"/>
      <c r="AD1544" s="763"/>
      <c r="AE1544" s="763"/>
      <c r="AF1544" s="763"/>
      <c r="AG1544" s="763"/>
    </row>
    <row r="1545">
      <c r="A1545" s="117" t="s">
        <v>145</v>
      </c>
      <c r="B1545" s="47" t="s">
        <v>1187</v>
      </c>
      <c r="C1545" s="47"/>
      <c r="D1545" s="47"/>
      <c r="E1545" s="47" t="s">
        <v>2224</v>
      </c>
      <c r="F1545" s="47" t="s">
        <v>2226</v>
      </c>
      <c r="G1545" s="1079">
        <v>46214.0</v>
      </c>
      <c r="H1545" s="1080">
        <v>46253.0</v>
      </c>
      <c r="I1545" s="47">
        <f>IFERROR(__xludf.DUMMYFUNCTION("IF(ISBLANK(H1545), TODAY()-TO_DATE(G1545), TO_DATE(H1545)-TO_DATE(G1545))+1"),40.0)</f>
        <v>40</v>
      </c>
      <c r="J1545" s="47" t="s">
        <v>197</v>
      </c>
      <c r="K1545" s="1008" t="s">
        <v>11251</v>
      </c>
      <c r="L1545" s="158" t="s">
        <v>11252</v>
      </c>
      <c r="M1545" s="47" t="s">
        <v>9226</v>
      </c>
      <c r="N1545" s="763"/>
      <c r="O1545" s="763"/>
      <c r="P1545" s="763"/>
      <c r="Q1545" s="763"/>
      <c r="R1545" s="763"/>
      <c r="S1545" s="763"/>
      <c r="T1545" s="763"/>
      <c r="U1545" s="763"/>
      <c r="V1545" s="763"/>
      <c r="W1545" s="763"/>
      <c r="X1545" s="763"/>
      <c r="Y1545" s="763"/>
      <c r="Z1545" s="763"/>
      <c r="AA1545" s="763"/>
      <c r="AB1545" s="763"/>
      <c r="AC1545" s="763"/>
      <c r="AD1545" s="763"/>
      <c r="AE1545" s="763"/>
      <c r="AF1545" s="763"/>
      <c r="AG1545" s="763"/>
    </row>
    <row r="1546">
      <c r="A1546" s="117" t="s">
        <v>145</v>
      </c>
      <c r="B1546" s="47" t="s">
        <v>1187</v>
      </c>
      <c r="C1546" s="47"/>
      <c r="D1546" s="47"/>
      <c r="E1546" s="47" t="s">
        <v>11254</v>
      </c>
      <c r="F1546" s="47" t="s">
        <v>11255</v>
      </c>
      <c r="G1546" s="1079">
        <v>46214.0</v>
      </c>
      <c r="H1546" s="1080">
        <v>46216.0</v>
      </c>
      <c r="I1546" s="47">
        <f>IFERROR(__xludf.DUMMYFUNCTION("IF(ISBLANK(H1546), TODAY()-TO_DATE(G1546), TO_DATE(H1546)-TO_DATE(G1546))+1"),3.0)</f>
        <v>3</v>
      </c>
      <c r="J1546" s="47">
        <v>500.0</v>
      </c>
      <c r="K1546" s="158" t="s">
        <v>11258</v>
      </c>
      <c r="L1546" s="47"/>
      <c r="M1546" s="47"/>
      <c r="N1546" s="763"/>
      <c r="O1546" s="763"/>
      <c r="P1546" s="763"/>
      <c r="Q1546" s="763"/>
      <c r="R1546" s="763"/>
      <c r="S1546" s="763"/>
      <c r="T1546" s="763"/>
      <c r="U1546" s="763"/>
      <c r="V1546" s="763"/>
      <c r="W1546" s="763"/>
      <c r="X1546" s="763"/>
      <c r="Y1546" s="763"/>
      <c r="Z1546" s="763"/>
      <c r="AA1546" s="763"/>
      <c r="AB1546" s="763"/>
      <c r="AC1546" s="763"/>
      <c r="AD1546" s="763"/>
      <c r="AE1546" s="763"/>
      <c r="AF1546" s="763"/>
      <c r="AG1546" s="763"/>
    </row>
    <row r="1547">
      <c r="A1547" s="117" t="s">
        <v>150</v>
      </c>
      <c r="B1547" s="47" t="s">
        <v>1187</v>
      </c>
      <c r="C1547" s="47"/>
      <c r="D1547" s="47"/>
      <c r="E1547" s="47" t="s">
        <v>933</v>
      </c>
      <c r="F1547" s="47" t="s">
        <v>2435</v>
      </c>
      <c r="G1547" s="1079">
        <v>46215.0</v>
      </c>
      <c r="H1547" s="1080">
        <v>46228.0</v>
      </c>
      <c r="I1547" s="47">
        <f>IFERROR(__xludf.DUMMYFUNCTION("IF(ISBLANK(H1547), TODAY()-TO_DATE(G1547), TO_DATE(H1547)-TO_DATE(G1547))+1"),14.0)</f>
        <v>14</v>
      </c>
      <c r="J1547" s="47">
        <v>500.0</v>
      </c>
      <c r="K1547" s="158" t="s">
        <v>11261</v>
      </c>
      <c r="L1547" s="158" t="s">
        <v>11262</v>
      </c>
      <c r="M1547" s="47" t="s">
        <v>9226</v>
      </c>
      <c r="N1547" s="763"/>
      <c r="O1547" s="763"/>
      <c r="P1547" s="763"/>
      <c r="Q1547" s="763"/>
      <c r="R1547" s="763"/>
      <c r="S1547" s="763"/>
      <c r="T1547" s="763"/>
      <c r="U1547" s="763"/>
      <c r="V1547" s="763"/>
      <c r="W1547" s="763"/>
      <c r="X1547" s="763"/>
      <c r="Y1547" s="763"/>
      <c r="Z1547" s="763"/>
      <c r="AA1547" s="763"/>
      <c r="AB1547" s="763"/>
      <c r="AC1547" s="763"/>
      <c r="AD1547" s="763"/>
      <c r="AE1547" s="763"/>
      <c r="AF1547" s="763"/>
      <c r="AG1547" s="763"/>
    </row>
    <row r="1548">
      <c r="A1548" s="117" t="s">
        <v>1032</v>
      </c>
      <c r="B1548" s="47" t="s">
        <v>1187</v>
      </c>
      <c r="C1548" s="47"/>
      <c r="D1548" s="47"/>
      <c r="E1548" s="47" t="s">
        <v>8398</v>
      </c>
      <c r="F1548" s="47" t="s">
        <v>11265</v>
      </c>
      <c r="G1548" s="1079">
        <v>46215.0</v>
      </c>
      <c r="H1548" s="1080">
        <v>46223.0</v>
      </c>
      <c r="I1548" s="47">
        <f>IFERROR(__xludf.DUMMYFUNCTION("IF(ISBLANK(H1548), TODAY()-TO_DATE(G1548), TO_DATE(H1548)-TO_DATE(G1548))+1"),9.0)</f>
        <v>9</v>
      </c>
      <c r="J1548" s="47">
        <v>500.0</v>
      </c>
      <c r="K1548" s="158" t="s">
        <v>10724</v>
      </c>
      <c r="L1548" s="47"/>
      <c r="M1548" s="47"/>
      <c r="N1548" s="763"/>
      <c r="O1548" s="763"/>
      <c r="P1548" s="763"/>
      <c r="Q1548" s="763"/>
      <c r="R1548" s="763"/>
      <c r="S1548" s="763"/>
      <c r="T1548" s="763"/>
      <c r="U1548" s="763"/>
      <c r="V1548" s="763"/>
      <c r="W1548" s="763"/>
      <c r="X1548" s="763"/>
      <c r="Y1548" s="763"/>
      <c r="Z1548" s="763"/>
      <c r="AA1548" s="763"/>
      <c r="AB1548" s="763"/>
      <c r="AC1548" s="763"/>
      <c r="AD1548" s="763"/>
      <c r="AE1548" s="763"/>
      <c r="AF1548" s="763"/>
      <c r="AG1548" s="763"/>
    </row>
    <row r="1549">
      <c r="A1549" s="117" t="s">
        <v>1923</v>
      </c>
      <c r="B1549" s="47" t="s">
        <v>1187</v>
      </c>
      <c r="C1549" s="47"/>
      <c r="D1549" s="47"/>
      <c r="E1549" s="47" t="s">
        <v>8630</v>
      </c>
      <c r="F1549" s="47" t="s">
        <v>11269</v>
      </c>
      <c r="G1549" s="1079">
        <v>46215.0</v>
      </c>
      <c r="H1549" s="1080">
        <v>46223.0</v>
      </c>
      <c r="I1549" s="47">
        <f>IFERROR(__xludf.DUMMYFUNCTION("IF(ISBLANK(H1549), TODAY()-TO_DATE(G1549), TO_DATE(H1549)-TO_DATE(G1549))+1"),9.0)</f>
        <v>9</v>
      </c>
      <c r="J1549" s="47">
        <v>500.0</v>
      </c>
      <c r="K1549" s="158" t="s">
        <v>11104</v>
      </c>
      <c r="L1549" s="158" t="s">
        <v>11272</v>
      </c>
      <c r="M1549" s="47"/>
      <c r="N1549" s="763"/>
      <c r="O1549" s="763"/>
      <c r="P1549" s="763"/>
      <c r="Q1549" s="763"/>
      <c r="R1549" s="763"/>
      <c r="S1549" s="763"/>
      <c r="T1549" s="763"/>
      <c r="U1549" s="763"/>
      <c r="V1549" s="763"/>
      <c r="W1549" s="763"/>
      <c r="X1549" s="763"/>
      <c r="Y1549" s="763"/>
      <c r="Z1549" s="763"/>
      <c r="AA1549" s="763"/>
      <c r="AB1549" s="763"/>
      <c r="AC1549" s="763"/>
      <c r="AD1549" s="763"/>
      <c r="AE1549" s="763"/>
      <c r="AF1549" s="763"/>
      <c r="AG1549" s="763"/>
    </row>
    <row r="1550">
      <c r="A1550" s="117" t="s">
        <v>1448</v>
      </c>
      <c r="B1550" s="47" t="s">
        <v>1187</v>
      </c>
      <c r="C1550" s="47"/>
      <c r="D1550" s="47"/>
      <c r="E1550" s="47" t="s">
        <v>1091</v>
      </c>
      <c r="F1550" s="47" t="s">
        <v>1092</v>
      </c>
      <c r="G1550" s="1079">
        <v>46215.0</v>
      </c>
      <c r="H1550" s="1080">
        <v>46254.0</v>
      </c>
      <c r="I1550" s="47">
        <f>IFERROR(__xludf.DUMMYFUNCTION("IF(ISBLANK(H1550), TODAY()-TO_DATE(G1550), TO_DATE(H1550)-TO_DATE(G1550))+1"),40.0)</f>
        <v>40</v>
      </c>
      <c r="J1550" s="47">
        <v>500.0</v>
      </c>
      <c r="K1550" s="158" t="s">
        <v>11274</v>
      </c>
      <c r="L1550" s="158" t="s">
        <v>11275</v>
      </c>
      <c r="M1550" s="158" t="s">
        <v>9226</v>
      </c>
      <c r="N1550" s="763"/>
      <c r="O1550" s="763"/>
      <c r="P1550" s="763"/>
      <c r="Q1550" s="763"/>
      <c r="R1550" s="763"/>
      <c r="S1550" s="763"/>
      <c r="T1550" s="763"/>
      <c r="U1550" s="763"/>
      <c r="V1550" s="763"/>
      <c r="W1550" s="763"/>
      <c r="X1550" s="763"/>
      <c r="Y1550" s="763"/>
      <c r="Z1550" s="763"/>
      <c r="AA1550" s="763"/>
      <c r="AB1550" s="763"/>
      <c r="AC1550" s="763"/>
      <c r="AD1550" s="763"/>
      <c r="AE1550" s="763"/>
      <c r="AF1550" s="763"/>
      <c r="AG1550" s="763"/>
    </row>
    <row r="1551">
      <c r="A1551" s="117" t="s">
        <v>1510</v>
      </c>
      <c r="B1551" s="47" t="s">
        <v>1187</v>
      </c>
      <c r="C1551" s="47"/>
      <c r="D1551" s="47"/>
      <c r="E1551" s="47" t="s">
        <v>8437</v>
      </c>
      <c r="F1551" s="47" t="s">
        <v>10356</v>
      </c>
      <c r="G1551" s="1079">
        <v>46215.0</v>
      </c>
      <c r="H1551" s="1080">
        <v>46228.0</v>
      </c>
      <c r="I1551" s="47">
        <f>IFERROR(__xludf.DUMMYFUNCTION("IF(ISBLANK(H1551), TODAY()-TO_DATE(G1551), TO_DATE(H1551)-TO_DATE(G1551))+1"),14.0)</f>
        <v>14</v>
      </c>
      <c r="J1551" s="47">
        <v>500.0</v>
      </c>
      <c r="K1551" s="158" t="s">
        <v>11277</v>
      </c>
      <c r="L1551" s="47"/>
      <c r="M1551" s="47" t="s">
        <v>9226</v>
      </c>
      <c r="N1551" s="763"/>
      <c r="O1551" s="763"/>
      <c r="P1551" s="763"/>
      <c r="Q1551" s="763"/>
      <c r="R1551" s="763"/>
      <c r="S1551" s="763"/>
      <c r="T1551" s="763"/>
      <c r="U1551" s="763"/>
      <c r="V1551" s="763"/>
      <c r="W1551" s="763"/>
      <c r="X1551" s="763"/>
      <c r="Y1551" s="763"/>
      <c r="Z1551" s="763"/>
      <c r="AA1551" s="763"/>
      <c r="AB1551" s="763"/>
      <c r="AC1551" s="763"/>
      <c r="AD1551" s="763"/>
      <c r="AE1551" s="763"/>
      <c r="AF1551" s="763"/>
      <c r="AG1551" s="763"/>
    </row>
    <row r="1552">
      <c r="A1552" s="117" t="s">
        <v>9987</v>
      </c>
      <c r="B1552" s="47" t="s">
        <v>1187</v>
      </c>
      <c r="C1552" s="47"/>
      <c r="D1552" s="47"/>
      <c r="E1552" s="47" t="s">
        <v>1129</v>
      </c>
      <c r="F1552" s="47" t="s">
        <v>10492</v>
      </c>
      <c r="G1552" s="1079">
        <v>46215.0</v>
      </c>
      <c r="H1552" s="1080">
        <v>46221.0</v>
      </c>
      <c r="I1552" s="47">
        <f>IFERROR(__xludf.DUMMYFUNCTION("IF(ISBLANK(H1552), TODAY()-TO_DATE(G1552), TO_DATE(H1552)-TO_DATE(G1552))+1"),7.0)</f>
        <v>7</v>
      </c>
      <c r="J1552" s="47">
        <v>300.0</v>
      </c>
      <c r="K1552" s="47" t="s">
        <v>10657</v>
      </c>
      <c r="L1552" s="47"/>
      <c r="M1552" s="47" t="s">
        <v>9226</v>
      </c>
      <c r="N1552" s="763"/>
      <c r="O1552" s="763"/>
      <c r="P1552" s="763"/>
      <c r="Q1552" s="763"/>
      <c r="R1552" s="763"/>
      <c r="S1552" s="763"/>
      <c r="T1552" s="763"/>
      <c r="U1552" s="763"/>
      <c r="V1552" s="763"/>
      <c r="W1552" s="763"/>
      <c r="X1552" s="763"/>
      <c r="Y1552" s="763"/>
      <c r="Z1552" s="763"/>
      <c r="AA1552" s="763"/>
      <c r="AB1552" s="763"/>
      <c r="AC1552" s="763"/>
      <c r="AD1552" s="763"/>
      <c r="AE1552" s="763"/>
      <c r="AF1552" s="763"/>
      <c r="AG1552" s="763"/>
    </row>
    <row r="1553">
      <c r="A1553" s="117" t="s">
        <v>150</v>
      </c>
      <c r="B1553" s="47" t="s">
        <v>5364</v>
      </c>
      <c r="C1553" s="47"/>
      <c r="D1553" s="47"/>
      <c r="E1553" s="47" t="s">
        <v>4661</v>
      </c>
      <c r="F1553" s="47" t="s">
        <v>4663</v>
      </c>
      <c r="G1553" s="1079">
        <v>46216.0</v>
      </c>
      <c r="H1553" s="1080">
        <v>46218.0</v>
      </c>
      <c r="I1553" s="47">
        <f>IFERROR(__xludf.DUMMYFUNCTION("IF(ISBLANK(H1553), TODAY()-TO_DATE(G1553), TO_DATE(H1553)-TO_DATE(G1553))+1"),3.0)</f>
        <v>3</v>
      </c>
      <c r="J1553" s="47" t="s">
        <v>197</v>
      </c>
      <c r="K1553" s="47" t="s">
        <v>10388</v>
      </c>
      <c r="L1553" s="47" t="s">
        <v>11281</v>
      </c>
      <c r="M1553" s="47" t="s">
        <v>9226</v>
      </c>
      <c r="N1553" s="763"/>
      <c r="O1553" s="763"/>
      <c r="P1553" s="763"/>
      <c r="Q1553" s="763"/>
      <c r="R1553" s="763"/>
      <c r="S1553" s="763"/>
      <c r="T1553" s="763"/>
      <c r="U1553" s="763"/>
      <c r="V1553" s="763"/>
      <c r="W1553" s="763"/>
      <c r="X1553" s="763"/>
      <c r="Y1553" s="763"/>
      <c r="Z1553" s="763"/>
      <c r="AA1553" s="763"/>
      <c r="AB1553" s="763"/>
      <c r="AC1553" s="763"/>
      <c r="AD1553" s="763"/>
      <c r="AE1553" s="763"/>
      <c r="AF1553" s="763"/>
      <c r="AG1553" s="763"/>
    </row>
    <row r="1554">
      <c r="A1554" s="47" t="s">
        <v>150</v>
      </c>
      <c r="B1554" s="47" t="s">
        <v>5364</v>
      </c>
      <c r="C1554" s="47"/>
      <c r="D1554" s="47"/>
      <c r="E1554" s="47" t="s">
        <v>5293</v>
      </c>
      <c r="F1554" s="47" t="s">
        <v>5294</v>
      </c>
      <c r="G1554" s="1079">
        <v>46216.0</v>
      </c>
      <c r="H1554" s="1080">
        <v>46218.0</v>
      </c>
      <c r="I1554" s="47">
        <f>IFERROR(__xludf.DUMMYFUNCTION("IF(ISBLANK(H1554), TODAY()-TO_DATE(G1554), TO_DATE(H1554)-TO_DATE(G1554))+1"),3.0)</f>
        <v>3</v>
      </c>
      <c r="J1554" s="47" t="s">
        <v>197</v>
      </c>
      <c r="K1554" s="47" t="s">
        <v>10380</v>
      </c>
      <c r="L1554" s="47"/>
      <c r="M1554" s="47" t="s">
        <v>9226</v>
      </c>
      <c r="N1554" s="763"/>
      <c r="O1554" s="763"/>
      <c r="P1554" s="763"/>
      <c r="Q1554" s="763"/>
      <c r="R1554" s="763"/>
      <c r="S1554" s="763"/>
      <c r="T1554" s="763"/>
      <c r="U1554" s="763"/>
      <c r="V1554" s="763"/>
      <c r="W1554" s="763"/>
      <c r="X1554" s="763"/>
      <c r="Y1554" s="763"/>
      <c r="Z1554" s="763"/>
      <c r="AA1554" s="763"/>
      <c r="AB1554" s="763"/>
      <c r="AC1554" s="763"/>
      <c r="AD1554" s="763"/>
      <c r="AE1554" s="763"/>
      <c r="AF1554" s="763"/>
      <c r="AG1554" s="763"/>
    </row>
    <row r="1555">
      <c r="A1555" s="47" t="s">
        <v>1032</v>
      </c>
      <c r="B1555" s="47" t="s">
        <v>1187</v>
      </c>
      <c r="C1555" s="47"/>
      <c r="D1555" s="47"/>
      <c r="E1555" s="47" t="s">
        <v>11286</v>
      </c>
      <c r="F1555" s="47" t="s">
        <v>1958</v>
      </c>
      <c r="G1555" s="1079">
        <v>46217.0</v>
      </c>
      <c r="H1555" s="1080">
        <v>46226.0</v>
      </c>
      <c r="I1555" s="47">
        <f>IFERROR(__xludf.DUMMYFUNCTION("IF(ISBLANK(H1555), TODAY()-TO_DATE(G1555), TO_DATE(H1555)-TO_DATE(G1555))+1"),10.0)</f>
        <v>10</v>
      </c>
      <c r="J1555" s="47">
        <v>500.0</v>
      </c>
      <c r="K1555" s="158" t="s">
        <v>10794</v>
      </c>
      <c r="L1555" s="158" t="s">
        <v>11289</v>
      </c>
      <c r="M1555" s="47" t="s">
        <v>9226</v>
      </c>
      <c r="N1555" s="763"/>
      <c r="O1555" s="763"/>
      <c r="P1555" s="763"/>
      <c r="Q1555" s="763"/>
      <c r="R1555" s="763"/>
      <c r="S1555" s="763"/>
      <c r="T1555" s="763"/>
      <c r="U1555" s="763"/>
      <c r="V1555" s="763"/>
      <c r="W1555" s="763"/>
      <c r="X1555" s="763"/>
      <c r="Y1555" s="763"/>
      <c r="Z1555" s="763"/>
      <c r="AA1555" s="763"/>
      <c r="AB1555" s="763"/>
      <c r="AC1555" s="763"/>
      <c r="AD1555" s="763"/>
      <c r="AE1555" s="763"/>
      <c r="AF1555" s="763"/>
      <c r="AG1555" s="763"/>
    </row>
    <row r="1556">
      <c r="A1556" s="47" t="s">
        <v>1032</v>
      </c>
      <c r="B1556" s="47" t="s">
        <v>1187</v>
      </c>
      <c r="C1556" s="47"/>
      <c r="D1556" s="47"/>
      <c r="E1556" s="47" t="s">
        <v>6631</v>
      </c>
      <c r="F1556" s="47" t="s">
        <v>6634</v>
      </c>
      <c r="G1556" s="1079">
        <v>46217.0</v>
      </c>
      <c r="H1556" s="1080">
        <v>46254.0</v>
      </c>
      <c r="I1556" s="47">
        <f>IFERROR(__xludf.DUMMYFUNCTION("IF(ISBLANK(H1556), TODAY()-TO_DATE(G1556), TO_DATE(H1556)-TO_DATE(G1556))+1"),38.0)</f>
        <v>38</v>
      </c>
      <c r="J1556" s="47">
        <v>500.0</v>
      </c>
      <c r="K1556" s="158" t="s">
        <v>11293</v>
      </c>
      <c r="L1556" s="47"/>
      <c r="M1556" s="158" t="s">
        <v>9226</v>
      </c>
      <c r="N1556" s="763"/>
      <c r="O1556" s="763"/>
      <c r="P1556" s="763"/>
      <c r="Q1556" s="763"/>
      <c r="R1556" s="763"/>
      <c r="S1556" s="763"/>
      <c r="T1556" s="763"/>
      <c r="U1556" s="763"/>
      <c r="V1556" s="763"/>
      <c r="W1556" s="763"/>
      <c r="X1556" s="763"/>
      <c r="Y1556" s="763"/>
      <c r="Z1556" s="763"/>
      <c r="AA1556" s="763"/>
      <c r="AB1556" s="763"/>
      <c r="AC1556" s="763"/>
      <c r="AD1556" s="763"/>
      <c r="AE1556" s="763"/>
      <c r="AF1556" s="763"/>
      <c r="AG1556" s="763"/>
    </row>
    <row r="1557">
      <c r="A1557" s="47" t="s">
        <v>9987</v>
      </c>
      <c r="B1557" s="47" t="s">
        <v>1187</v>
      </c>
      <c r="C1557" s="47"/>
      <c r="D1557" s="47"/>
      <c r="E1557" s="47" t="s">
        <v>11295</v>
      </c>
      <c r="F1557" s="47" t="s">
        <v>11296</v>
      </c>
      <c r="G1557" s="1079">
        <v>46217.0</v>
      </c>
      <c r="H1557" s="1080">
        <v>46226.0</v>
      </c>
      <c r="I1557" s="47">
        <f>IFERROR(__xludf.DUMMYFUNCTION("IF(ISBLANK(H1557), TODAY()-TO_DATE(G1557), TO_DATE(H1557)-TO_DATE(G1557))+1"),10.0)</f>
        <v>10</v>
      </c>
      <c r="J1557" s="47">
        <v>500.0</v>
      </c>
      <c r="K1557" s="158" t="s">
        <v>9937</v>
      </c>
      <c r="L1557" s="158" t="s">
        <v>11297</v>
      </c>
      <c r="M1557" s="47"/>
      <c r="N1557" s="763"/>
      <c r="O1557" s="763"/>
      <c r="P1557" s="763"/>
      <c r="Q1557" s="763"/>
      <c r="R1557" s="763"/>
      <c r="S1557" s="763"/>
      <c r="T1557" s="763"/>
      <c r="U1557" s="763"/>
      <c r="V1557" s="763"/>
      <c r="W1557" s="763"/>
      <c r="X1557" s="763"/>
      <c r="Y1557" s="763"/>
      <c r="Z1557" s="763"/>
      <c r="AA1557" s="763"/>
      <c r="AB1557" s="763"/>
      <c r="AC1557" s="763"/>
      <c r="AD1557" s="763"/>
      <c r="AE1557" s="763"/>
      <c r="AF1557" s="763"/>
      <c r="AG1557" s="763"/>
    </row>
    <row r="1558">
      <c r="A1558" s="47" t="s">
        <v>2876</v>
      </c>
      <c r="B1558" s="47" t="s">
        <v>1187</v>
      </c>
      <c r="C1558" s="47"/>
      <c r="D1558" s="47"/>
      <c r="E1558" s="47" t="s">
        <v>10271</v>
      </c>
      <c r="F1558" s="47" t="s">
        <v>6959</v>
      </c>
      <c r="G1558" s="1079">
        <v>46219.0</v>
      </c>
      <c r="H1558" s="1080">
        <v>46226.0</v>
      </c>
      <c r="I1558" s="47">
        <f>IFERROR(__xludf.DUMMYFUNCTION("IF(ISBLANK(H1558), TODAY()-TO_DATE(G1558), TO_DATE(H1558)-TO_DATE(G1558))+1"),8.0)</f>
        <v>8</v>
      </c>
      <c r="J1558" s="47" t="s">
        <v>197</v>
      </c>
      <c r="K1558" s="47" t="s">
        <v>11302</v>
      </c>
      <c r="L1558" s="47"/>
      <c r="M1558" s="47"/>
      <c r="N1558" s="763"/>
      <c r="O1558" s="763"/>
      <c r="P1558" s="763"/>
      <c r="Q1558" s="763"/>
      <c r="R1558" s="763"/>
      <c r="S1558" s="763"/>
      <c r="T1558" s="763"/>
      <c r="U1558" s="763"/>
      <c r="V1558" s="763"/>
      <c r="W1558" s="763"/>
      <c r="X1558" s="763"/>
      <c r="Y1558" s="763"/>
      <c r="Z1558" s="763"/>
      <c r="AA1558" s="763"/>
      <c r="AB1558" s="763"/>
      <c r="AC1558" s="763"/>
      <c r="AD1558" s="763"/>
      <c r="AE1558" s="763"/>
      <c r="AF1558" s="763"/>
      <c r="AG1558" s="763"/>
    </row>
    <row r="1559">
      <c r="A1559" s="47" t="s">
        <v>145</v>
      </c>
      <c r="B1559" s="47" t="s">
        <v>1187</v>
      </c>
      <c r="C1559" s="47"/>
      <c r="D1559" s="47"/>
      <c r="E1559" s="47" t="s">
        <v>2563</v>
      </c>
      <c r="F1559" s="47" t="s">
        <v>2564</v>
      </c>
      <c r="G1559" s="1079">
        <v>46219.0</v>
      </c>
      <c r="H1559" s="1080">
        <v>46233.0</v>
      </c>
      <c r="I1559" s="47">
        <f>IFERROR(__xludf.DUMMYFUNCTION("IF(ISBLANK(H1559), TODAY()-TO_DATE(G1559), TO_DATE(H1559)-TO_DATE(G1559))+1"),15.0)</f>
        <v>15</v>
      </c>
      <c r="J1559" s="47" t="s">
        <v>197</v>
      </c>
      <c r="K1559" s="47" t="s">
        <v>11304</v>
      </c>
      <c r="L1559" s="47"/>
      <c r="M1559" s="47"/>
      <c r="N1559" s="763"/>
      <c r="O1559" s="763"/>
      <c r="P1559" s="763"/>
      <c r="Q1559" s="763"/>
      <c r="R1559" s="763"/>
      <c r="S1559" s="763"/>
      <c r="T1559" s="763"/>
      <c r="U1559" s="763"/>
      <c r="V1559" s="763"/>
      <c r="W1559" s="763"/>
      <c r="X1559" s="763"/>
      <c r="Y1559" s="763"/>
      <c r="Z1559" s="763"/>
      <c r="AA1559" s="763"/>
      <c r="AB1559" s="763"/>
      <c r="AC1559" s="763"/>
      <c r="AD1559" s="763"/>
      <c r="AE1559" s="763"/>
      <c r="AF1559" s="763"/>
      <c r="AG1559" s="763"/>
    </row>
    <row r="1560">
      <c r="A1560" s="47" t="s">
        <v>9987</v>
      </c>
      <c r="B1560" s="47" t="s">
        <v>1187</v>
      </c>
      <c r="C1560" s="47"/>
      <c r="D1560" s="47"/>
      <c r="E1560" s="47" t="s">
        <v>11307</v>
      </c>
      <c r="F1560" s="47" t="s">
        <v>11308</v>
      </c>
      <c r="G1560" s="1079">
        <v>46219.0</v>
      </c>
      <c r="H1560" s="1080">
        <v>46224.0</v>
      </c>
      <c r="I1560" s="47">
        <f>IFERROR(__xludf.DUMMYFUNCTION("IF(ISBLANK(H1560), TODAY()-TO_DATE(G1560), TO_DATE(H1560)-TO_DATE(G1560))+1"),6.0)</f>
        <v>6</v>
      </c>
      <c r="J1560" s="47" t="s">
        <v>197</v>
      </c>
      <c r="K1560" s="47" t="s">
        <v>11309</v>
      </c>
      <c r="L1560" s="47"/>
      <c r="M1560" s="47"/>
      <c r="N1560" s="763"/>
      <c r="O1560" s="763"/>
      <c r="P1560" s="763"/>
      <c r="Q1560" s="763"/>
      <c r="R1560" s="763"/>
      <c r="S1560" s="763"/>
      <c r="T1560" s="763"/>
      <c r="U1560" s="763"/>
      <c r="V1560" s="763"/>
      <c r="W1560" s="763"/>
      <c r="X1560" s="763"/>
      <c r="Y1560" s="763"/>
      <c r="Z1560" s="763"/>
      <c r="AA1560" s="763"/>
      <c r="AB1560" s="763"/>
      <c r="AC1560" s="763"/>
      <c r="AD1560" s="763"/>
      <c r="AE1560" s="763"/>
      <c r="AF1560" s="763"/>
      <c r="AG1560" s="763"/>
    </row>
    <row r="1561">
      <c r="A1561" s="47" t="s">
        <v>9434</v>
      </c>
      <c r="B1561" s="47" t="s">
        <v>1187</v>
      </c>
      <c r="C1561" s="47"/>
      <c r="D1561" s="47"/>
      <c r="E1561" s="47" t="s">
        <v>2223</v>
      </c>
      <c r="F1561" s="47" t="s">
        <v>2225</v>
      </c>
      <c r="G1561" s="1079">
        <v>46220.0</v>
      </c>
      <c r="H1561" s="47"/>
      <c r="I1561" s="47">
        <f>IFERROR(__xludf.DUMMYFUNCTION("IF(ISBLANK(H1561), TODAY()-TO_DATE(G1561), TO_DATE(H1561)-TO_DATE(G1561))+1"),49.0)</f>
        <v>49</v>
      </c>
      <c r="J1561" s="47" t="s">
        <v>197</v>
      </c>
      <c r="K1561" s="47" t="s">
        <v>11311</v>
      </c>
      <c r="L1561" s="47" t="s">
        <v>11312</v>
      </c>
      <c r="M1561" s="47" t="s">
        <v>9226</v>
      </c>
      <c r="N1561" s="763"/>
      <c r="O1561" s="763"/>
      <c r="P1561" s="763"/>
      <c r="Q1561" s="763"/>
      <c r="R1561" s="763"/>
      <c r="S1561" s="763"/>
      <c r="T1561" s="763"/>
      <c r="U1561" s="763"/>
      <c r="V1561" s="763"/>
      <c r="W1561" s="763"/>
      <c r="X1561" s="763"/>
      <c r="Y1561" s="763"/>
      <c r="Z1561" s="763"/>
      <c r="AA1561" s="763"/>
      <c r="AB1561" s="763"/>
      <c r="AC1561" s="763"/>
      <c r="AD1561" s="763"/>
      <c r="AE1561" s="763"/>
      <c r="AF1561" s="763"/>
      <c r="AG1561" s="763"/>
    </row>
    <row r="1562">
      <c r="A1562" s="47" t="s">
        <v>150</v>
      </c>
      <c r="B1562" s="47" t="s">
        <v>1187</v>
      </c>
      <c r="C1562" s="47"/>
      <c r="D1562" s="47"/>
      <c r="E1562" s="47" t="s">
        <v>1069</v>
      </c>
      <c r="F1562" s="47" t="s">
        <v>1070</v>
      </c>
      <c r="G1562" s="1079">
        <v>46222.0</v>
      </c>
      <c r="H1562" s="1080">
        <v>46251.0</v>
      </c>
      <c r="I1562" s="47">
        <f>IFERROR(__xludf.DUMMYFUNCTION("IF(ISBLANK(H1562), TODAY()-TO_DATE(G1562), TO_DATE(H1562)-TO_DATE(G1562))+1"),30.0)</f>
        <v>30</v>
      </c>
      <c r="J1562" s="47" t="s">
        <v>197</v>
      </c>
      <c r="K1562" s="47" t="s">
        <v>11316</v>
      </c>
      <c r="L1562" s="158" t="s">
        <v>11317</v>
      </c>
      <c r="M1562" s="47" t="s">
        <v>9226</v>
      </c>
      <c r="N1562" s="763"/>
      <c r="O1562" s="763"/>
      <c r="P1562" s="763"/>
      <c r="Q1562" s="763"/>
      <c r="R1562" s="763"/>
      <c r="S1562" s="763"/>
      <c r="T1562" s="763"/>
      <c r="U1562" s="763"/>
      <c r="V1562" s="763"/>
      <c r="W1562" s="763"/>
      <c r="X1562" s="763"/>
      <c r="Y1562" s="763"/>
      <c r="Z1562" s="763"/>
      <c r="AA1562" s="763"/>
      <c r="AB1562" s="763"/>
      <c r="AC1562" s="763"/>
      <c r="AD1562" s="763"/>
      <c r="AE1562" s="763"/>
      <c r="AF1562" s="763"/>
      <c r="AG1562" s="763"/>
    </row>
    <row r="1563">
      <c r="A1563" s="47" t="s">
        <v>1923</v>
      </c>
      <c r="B1563" s="47" t="s">
        <v>1187</v>
      </c>
      <c r="C1563" s="47"/>
      <c r="D1563" s="47"/>
      <c r="E1563" s="47" t="s">
        <v>2059</v>
      </c>
      <c r="F1563" s="47" t="s">
        <v>2061</v>
      </c>
      <c r="G1563" s="1079">
        <v>46222.0</v>
      </c>
      <c r="H1563" s="1080">
        <v>46233.0</v>
      </c>
      <c r="I1563" s="47">
        <f>IFERROR(__xludf.DUMMYFUNCTION("IF(ISBLANK(H1563), TODAY()-TO_DATE(G1563), TO_DATE(H1563)-TO_DATE(G1563))+1"),12.0)</f>
        <v>12</v>
      </c>
      <c r="J1563" s="47" t="s">
        <v>197</v>
      </c>
      <c r="K1563" s="47" t="s">
        <v>9953</v>
      </c>
      <c r="L1563" s="47"/>
      <c r="M1563" s="47"/>
      <c r="N1563" s="763"/>
      <c r="O1563" s="763"/>
      <c r="P1563" s="763"/>
      <c r="Q1563" s="763"/>
      <c r="R1563" s="763"/>
      <c r="S1563" s="763"/>
      <c r="T1563" s="763"/>
      <c r="U1563" s="763"/>
      <c r="V1563" s="763"/>
      <c r="W1563" s="763"/>
      <c r="X1563" s="763"/>
      <c r="Y1563" s="763"/>
      <c r="Z1563" s="763"/>
      <c r="AA1563" s="763"/>
      <c r="AB1563" s="763"/>
      <c r="AC1563" s="763"/>
      <c r="AD1563" s="763"/>
      <c r="AE1563" s="763"/>
      <c r="AF1563" s="763"/>
      <c r="AG1563" s="763"/>
    </row>
    <row r="1564">
      <c r="A1564" s="47" t="s">
        <v>150</v>
      </c>
      <c r="B1564" s="47" t="s">
        <v>1187</v>
      </c>
      <c r="C1564" s="47"/>
      <c r="D1564" s="47"/>
      <c r="E1564" s="47" t="s">
        <v>4661</v>
      </c>
      <c r="F1564" s="47" t="s">
        <v>4663</v>
      </c>
      <c r="G1564" s="1079">
        <v>46222.0</v>
      </c>
      <c r="H1564" s="1080">
        <v>46242.0</v>
      </c>
      <c r="I1564" s="47">
        <f>IFERROR(__xludf.DUMMYFUNCTION("IF(ISBLANK(H1564), TODAY()-TO_DATE(G1564), TO_DATE(H1564)-TO_DATE(G1564))+1"),21.0)</f>
        <v>21</v>
      </c>
      <c r="J1564" s="47" t="s">
        <v>197</v>
      </c>
      <c r="K1564" s="47" t="s">
        <v>10380</v>
      </c>
      <c r="L1564" s="47"/>
      <c r="M1564" s="47" t="s">
        <v>9226</v>
      </c>
      <c r="N1564" s="763"/>
      <c r="O1564" s="763"/>
      <c r="P1564" s="763"/>
      <c r="Q1564" s="763"/>
      <c r="R1564" s="763"/>
      <c r="S1564" s="763"/>
      <c r="T1564" s="763"/>
      <c r="U1564" s="763"/>
      <c r="V1564" s="763"/>
      <c r="W1564" s="763"/>
      <c r="X1564" s="763"/>
      <c r="Y1564" s="763"/>
      <c r="Z1564" s="763"/>
      <c r="AA1564" s="763"/>
      <c r="AB1564" s="763"/>
      <c r="AC1564" s="763"/>
      <c r="AD1564" s="763"/>
      <c r="AE1564" s="763"/>
      <c r="AF1564" s="763"/>
      <c r="AG1564" s="763"/>
    </row>
    <row r="1565">
      <c r="A1565" s="47" t="s">
        <v>150</v>
      </c>
      <c r="B1565" s="47" t="s">
        <v>1187</v>
      </c>
      <c r="C1565" s="47"/>
      <c r="D1565" s="47"/>
      <c r="E1565" s="47" t="s">
        <v>8991</v>
      </c>
      <c r="F1565" s="47" t="s">
        <v>8992</v>
      </c>
      <c r="G1565" s="1079">
        <v>46222.0</v>
      </c>
      <c r="H1565" s="1080">
        <v>46242.0</v>
      </c>
      <c r="I1565" s="47">
        <f>IFERROR(__xludf.DUMMYFUNCTION("IF(ISBLANK(H1565), TODAY()-TO_DATE(G1565), TO_DATE(H1565)-TO_DATE(G1565))+1"),21.0)</f>
        <v>21</v>
      </c>
      <c r="J1565" s="47" t="s">
        <v>197</v>
      </c>
      <c r="K1565" s="47" t="s">
        <v>10028</v>
      </c>
      <c r="L1565" s="47" t="s">
        <v>10698</v>
      </c>
      <c r="M1565" s="47" t="s">
        <v>9226</v>
      </c>
      <c r="N1565" s="763"/>
      <c r="O1565" s="763"/>
      <c r="P1565" s="763"/>
      <c r="Q1565" s="763"/>
      <c r="R1565" s="763"/>
      <c r="S1565" s="763"/>
      <c r="T1565" s="763"/>
      <c r="U1565" s="763"/>
      <c r="V1565" s="763"/>
      <c r="W1565" s="763"/>
      <c r="X1565" s="763"/>
      <c r="Y1565" s="763"/>
      <c r="Z1565" s="763"/>
      <c r="AA1565" s="763"/>
      <c r="AB1565" s="763"/>
      <c r="AC1565" s="763"/>
      <c r="AD1565" s="763"/>
      <c r="AE1565" s="763"/>
      <c r="AF1565" s="763"/>
      <c r="AG1565" s="763"/>
    </row>
    <row r="1566">
      <c r="A1566" s="47" t="s">
        <v>1566</v>
      </c>
      <c r="B1566" s="47" t="s">
        <v>1187</v>
      </c>
      <c r="C1566" s="47"/>
      <c r="D1566" s="47"/>
      <c r="E1566" s="47" t="s">
        <v>7328</v>
      </c>
      <c r="F1566" s="47" t="s">
        <v>7330</v>
      </c>
      <c r="G1566" s="1079">
        <v>46226.0</v>
      </c>
      <c r="H1566" s="1080">
        <v>46246.0</v>
      </c>
      <c r="I1566" s="47">
        <f>IFERROR(__xludf.DUMMYFUNCTION("IF(ISBLANK(H1566), TODAY()-TO_DATE(G1566), TO_DATE(H1566)-TO_DATE(G1566))+1"),21.0)</f>
        <v>21</v>
      </c>
      <c r="J1566" s="47" t="s">
        <v>197</v>
      </c>
      <c r="K1566" s="158" t="s">
        <v>11327</v>
      </c>
      <c r="L1566" s="158" t="s">
        <v>11329</v>
      </c>
      <c r="M1566" s="47"/>
      <c r="N1566" s="763"/>
      <c r="O1566" s="763"/>
      <c r="P1566" s="763"/>
      <c r="Q1566" s="763"/>
      <c r="R1566" s="763"/>
      <c r="S1566" s="763"/>
      <c r="T1566" s="763"/>
      <c r="U1566" s="763"/>
      <c r="V1566" s="763"/>
      <c r="W1566" s="763"/>
      <c r="X1566" s="763"/>
      <c r="Y1566" s="763"/>
      <c r="Z1566" s="763"/>
      <c r="AA1566" s="763"/>
      <c r="AB1566" s="763"/>
      <c r="AC1566" s="763"/>
      <c r="AD1566" s="763"/>
      <c r="AE1566" s="763"/>
      <c r="AF1566" s="763"/>
      <c r="AG1566" s="763"/>
    </row>
    <row r="1567">
      <c r="A1567" s="47" t="s">
        <v>11332</v>
      </c>
      <c r="B1567" s="47" t="s">
        <v>1187</v>
      </c>
      <c r="C1567" s="47"/>
      <c r="D1567" s="47"/>
      <c r="E1567" s="47" t="s">
        <v>11334</v>
      </c>
      <c r="F1567" s="47" t="s">
        <v>3093</v>
      </c>
      <c r="G1567" s="1079">
        <v>46226.0</v>
      </c>
      <c r="H1567" s="1080">
        <v>46228.0</v>
      </c>
      <c r="I1567" s="47">
        <f>IFERROR(__xludf.DUMMYFUNCTION("IF(ISBLANK(H1567), TODAY()-TO_DATE(G1567), TO_DATE(H1567)-TO_DATE(G1567))+1"),3.0)</f>
        <v>3</v>
      </c>
      <c r="J1567" s="47">
        <v>500.0</v>
      </c>
      <c r="K1567" s="158" t="s">
        <v>3328</v>
      </c>
      <c r="L1567" s="158" t="s">
        <v>11335</v>
      </c>
      <c r="M1567" s="47"/>
      <c r="N1567" s="763"/>
      <c r="O1567" s="763"/>
      <c r="P1567" s="763"/>
      <c r="Q1567" s="763"/>
      <c r="R1567" s="763"/>
      <c r="S1567" s="763"/>
      <c r="T1567" s="763"/>
      <c r="U1567" s="763"/>
      <c r="V1567" s="763"/>
      <c r="W1567" s="763"/>
      <c r="X1567" s="763"/>
      <c r="Y1567" s="763"/>
      <c r="Z1567" s="763"/>
      <c r="AA1567" s="763"/>
      <c r="AB1567" s="763"/>
      <c r="AC1567" s="763"/>
      <c r="AD1567" s="763"/>
      <c r="AE1567" s="763"/>
      <c r="AF1567" s="763"/>
      <c r="AG1567" s="763"/>
    </row>
    <row r="1568">
      <c r="A1568" s="47" t="s">
        <v>9987</v>
      </c>
      <c r="B1568" s="47" t="s">
        <v>1187</v>
      </c>
      <c r="C1568" s="47"/>
      <c r="D1568" s="47"/>
      <c r="E1568" s="47" t="s">
        <v>8385</v>
      </c>
      <c r="F1568" s="47" t="s">
        <v>7058</v>
      </c>
      <c r="G1568" s="1079">
        <v>46226.0</v>
      </c>
      <c r="H1568" s="1080">
        <v>46228.0</v>
      </c>
      <c r="I1568" s="47">
        <f>IFERROR(__xludf.DUMMYFUNCTION("IF(ISBLANK(H1568), TODAY()-TO_DATE(G1568), TO_DATE(H1568)-TO_DATE(G1568))+1"),3.0)</f>
        <v>3</v>
      </c>
      <c r="J1568" s="47">
        <v>500.0</v>
      </c>
      <c r="K1568" s="158" t="s">
        <v>11236</v>
      </c>
      <c r="L1568" s="47"/>
      <c r="M1568" s="47"/>
      <c r="N1568" s="763"/>
      <c r="O1568" s="763"/>
      <c r="P1568" s="763"/>
      <c r="Q1568" s="763"/>
      <c r="R1568" s="763"/>
      <c r="S1568" s="763"/>
      <c r="T1568" s="763"/>
      <c r="U1568" s="763"/>
      <c r="V1568" s="763"/>
      <c r="W1568" s="763"/>
      <c r="X1568" s="763"/>
      <c r="Y1568" s="763"/>
      <c r="Z1568" s="763"/>
      <c r="AA1568" s="763"/>
      <c r="AB1568" s="763"/>
      <c r="AC1568" s="763"/>
      <c r="AD1568" s="763"/>
      <c r="AE1568" s="763"/>
      <c r="AF1568" s="763"/>
      <c r="AG1568" s="763"/>
    </row>
    <row r="1569">
      <c r="A1569" s="47" t="s">
        <v>9987</v>
      </c>
      <c r="B1569" s="47" t="s">
        <v>1187</v>
      </c>
      <c r="C1569" s="47"/>
      <c r="D1569" s="47"/>
      <c r="E1569" s="47" t="s">
        <v>5097</v>
      </c>
      <c r="F1569" s="47" t="s">
        <v>4701</v>
      </c>
      <c r="G1569" s="1079">
        <v>46226.0</v>
      </c>
      <c r="H1569" s="1080">
        <v>46242.0</v>
      </c>
      <c r="I1569" s="47">
        <f>IFERROR(__xludf.DUMMYFUNCTION("IF(ISBLANK(H1569), TODAY()-TO_DATE(G1569), TO_DATE(H1569)-TO_DATE(G1569))+1"),17.0)</f>
        <v>17</v>
      </c>
      <c r="J1569" s="47" t="s">
        <v>197</v>
      </c>
      <c r="K1569" s="47" t="s">
        <v>10204</v>
      </c>
      <c r="L1569" s="47"/>
      <c r="M1569" s="47" t="s">
        <v>9226</v>
      </c>
      <c r="N1569" s="763"/>
      <c r="O1569" s="763"/>
      <c r="P1569" s="763"/>
      <c r="Q1569" s="763"/>
      <c r="R1569" s="763"/>
      <c r="S1569" s="763"/>
      <c r="T1569" s="763"/>
      <c r="U1569" s="763"/>
      <c r="V1569" s="763"/>
      <c r="W1569" s="763"/>
      <c r="X1569" s="763"/>
      <c r="Y1569" s="763"/>
      <c r="Z1569" s="763"/>
      <c r="AA1569" s="763"/>
      <c r="AB1569" s="763"/>
      <c r="AC1569" s="763"/>
      <c r="AD1569" s="763"/>
      <c r="AE1569" s="763"/>
      <c r="AF1569" s="763"/>
      <c r="AG1569" s="763"/>
    </row>
    <row r="1570">
      <c r="A1570" s="47" t="s">
        <v>9987</v>
      </c>
      <c r="B1570" s="47" t="s">
        <v>1187</v>
      </c>
      <c r="C1570" s="47"/>
      <c r="D1570" s="47"/>
      <c r="E1570" s="47" t="s">
        <v>3910</v>
      </c>
      <c r="F1570" s="47" t="s">
        <v>3911</v>
      </c>
      <c r="G1570" s="1079">
        <v>46226.0</v>
      </c>
      <c r="H1570" s="1080">
        <v>46227.0</v>
      </c>
      <c r="I1570" s="47">
        <f>IFERROR(__xludf.DUMMYFUNCTION("IF(ISBLANK(H1570), TODAY()-TO_DATE(G1570), TO_DATE(H1570)-TO_DATE(G1570))+1"),2.0)</f>
        <v>2</v>
      </c>
      <c r="J1570" s="47">
        <v>300.0</v>
      </c>
      <c r="K1570" s="47" t="s">
        <v>11346</v>
      </c>
      <c r="L1570" s="47"/>
      <c r="M1570" s="47"/>
      <c r="N1570" s="763"/>
      <c r="O1570" s="763"/>
      <c r="P1570" s="763"/>
      <c r="Q1570" s="763"/>
      <c r="R1570" s="763"/>
      <c r="S1570" s="763"/>
      <c r="T1570" s="763"/>
      <c r="U1570" s="763"/>
      <c r="V1570" s="763"/>
      <c r="W1570" s="763"/>
      <c r="X1570" s="763"/>
      <c r="Y1570" s="763"/>
      <c r="Z1570" s="763"/>
      <c r="AA1570" s="763"/>
      <c r="AB1570" s="763"/>
      <c r="AC1570" s="763"/>
      <c r="AD1570" s="763"/>
      <c r="AE1570" s="763"/>
      <c r="AF1570" s="763"/>
      <c r="AG1570" s="763"/>
    </row>
    <row r="1571">
      <c r="A1571" s="47" t="s">
        <v>9987</v>
      </c>
      <c r="B1571" s="47" t="s">
        <v>1187</v>
      </c>
      <c r="C1571" s="47"/>
      <c r="D1571" s="47"/>
      <c r="E1571" s="47" t="s">
        <v>4031</v>
      </c>
      <c r="F1571" s="47" t="s">
        <v>4033</v>
      </c>
      <c r="G1571" s="1079">
        <v>46226.0</v>
      </c>
      <c r="H1571" s="1080">
        <v>46243.0</v>
      </c>
      <c r="I1571" s="47">
        <f>IFERROR(__xludf.DUMMYFUNCTION("IF(ISBLANK(H1571), TODAY()-TO_DATE(G1571), TO_DATE(H1571)-TO_DATE(G1571))+1"),18.0)</f>
        <v>18</v>
      </c>
      <c r="J1571" s="47" t="s">
        <v>197</v>
      </c>
      <c r="K1571" s="47" t="s">
        <v>11348</v>
      </c>
      <c r="M1571" s="47"/>
      <c r="N1571" s="763"/>
      <c r="O1571" s="763"/>
      <c r="P1571" s="763"/>
      <c r="Q1571" s="763"/>
      <c r="R1571" s="763"/>
      <c r="S1571" s="763"/>
      <c r="T1571" s="763"/>
      <c r="U1571" s="763"/>
      <c r="V1571" s="763"/>
      <c r="W1571" s="763"/>
      <c r="X1571" s="763"/>
      <c r="Y1571" s="763"/>
      <c r="Z1571" s="763"/>
      <c r="AA1571" s="763"/>
      <c r="AB1571" s="763"/>
      <c r="AC1571" s="763"/>
      <c r="AD1571" s="763"/>
      <c r="AE1571" s="763"/>
      <c r="AF1571" s="763"/>
      <c r="AG1571" s="763"/>
    </row>
    <row r="1572">
      <c r="A1572" s="47" t="s">
        <v>9987</v>
      </c>
      <c r="B1572" s="47" t="s">
        <v>1187</v>
      </c>
      <c r="C1572" s="47"/>
      <c r="D1572" s="47"/>
      <c r="E1572" s="47" t="s">
        <v>11352</v>
      </c>
      <c r="F1572" s="47" t="s">
        <v>11353</v>
      </c>
      <c r="G1572" s="1079">
        <v>46226.0</v>
      </c>
      <c r="H1572" s="1080">
        <v>46233.0</v>
      </c>
      <c r="I1572" s="47">
        <f>IFERROR(__xludf.DUMMYFUNCTION("IF(ISBLANK(H1572), TODAY()-TO_DATE(G1572), TO_DATE(H1572)-TO_DATE(G1572))+1"),8.0)</f>
        <v>8</v>
      </c>
      <c r="J1572" s="47" t="s">
        <v>197</v>
      </c>
      <c r="K1572" s="47" t="s">
        <v>11354</v>
      </c>
      <c r="L1572" s="47"/>
      <c r="M1572" s="47"/>
      <c r="N1572" s="763"/>
      <c r="O1572" s="763"/>
      <c r="P1572" s="763"/>
      <c r="Q1572" s="763"/>
      <c r="R1572" s="763"/>
      <c r="S1572" s="763"/>
      <c r="T1572" s="763"/>
      <c r="U1572" s="763"/>
      <c r="V1572" s="763"/>
      <c r="W1572" s="763"/>
      <c r="X1572" s="763"/>
      <c r="Y1572" s="763"/>
      <c r="Z1572" s="763"/>
      <c r="AA1572" s="763"/>
      <c r="AB1572" s="763"/>
      <c r="AC1572" s="763"/>
      <c r="AD1572" s="763"/>
      <c r="AE1572" s="763"/>
      <c r="AF1572" s="763"/>
      <c r="AG1572" s="763"/>
    </row>
    <row r="1573">
      <c r="A1573" s="47" t="s">
        <v>150</v>
      </c>
      <c r="B1573" s="47" t="s">
        <v>1187</v>
      </c>
      <c r="C1573" s="47"/>
      <c r="D1573" s="47"/>
      <c r="E1573" s="47" t="s">
        <v>11355</v>
      </c>
      <c r="F1573" s="47" t="s">
        <v>11356</v>
      </c>
      <c r="G1573" s="1079">
        <v>46226.0</v>
      </c>
      <c r="H1573" s="1080">
        <v>46231.0</v>
      </c>
      <c r="I1573" s="47">
        <f>IFERROR(__xludf.DUMMYFUNCTION("IF(ISBLANK(H1573), TODAY()-TO_DATE(G1573), TO_DATE(H1573)-TO_DATE(G1573))+1"),6.0)</f>
        <v>6</v>
      </c>
      <c r="J1573" s="47" t="s">
        <v>11357</v>
      </c>
      <c r="K1573" s="47" t="s">
        <v>10260</v>
      </c>
      <c r="L1573" s="47"/>
      <c r="M1573" s="47" t="s">
        <v>9226</v>
      </c>
      <c r="N1573" s="763"/>
      <c r="O1573" s="763"/>
      <c r="P1573" s="763"/>
      <c r="Q1573" s="763"/>
      <c r="R1573" s="763"/>
      <c r="S1573" s="763"/>
      <c r="T1573" s="763"/>
      <c r="U1573" s="763"/>
      <c r="V1573" s="763"/>
      <c r="W1573" s="763"/>
      <c r="X1573" s="763"/>
      <c r="Y1573" s="763"/>
      <c r="Z1573" s="763"/>
      <c r="AA1573" s="763"/>
      <c r="AB1573" s="763"/>
      <c r="AC1573" s="763"/>
      <c r="AD1573" s="763"/>
      <c r="AE1573" s="763"/>
      <c r="AF1573" s="763"/>
      <c r="AG1573" s="763"/>
    </row>
    <row r="1574">
      <c r="A1574" s="47" t="s">
        <v>9434</v>
      </c>
      <c r="B1574" s="47" t="s">
        <v>1187</v>
      </c>
      <c r="C1574" s="47"/>
      <c r="D1574" s="47"/>
      <c r="E1574" s="47" t="s">
        <v>10038</v>
      </c>
      <c r="F1574" s="47" t="s">
        <v>10041</v>
      </c>
      <c r="G1574" s="1079">
        <v>46226.0</v>
      </c>
      <c r="H1574" s="1080">
        <v>46242.0</v>
      </c>
      <c r="I1574" s="47">
        <f>IFERROR(__xludf.DUMMYFUNCTION("IF(ISBLANK(H1574), TODAY()-TO_DATE(G1574), TO_DATE(H1574)-TO_DATE(G1574))+1"),17.0)</f>
        <v>17</v>
      </c>
      <c r="J1574" s="47">
        <v>300.0</v>
      </c>
      <c r="K1574" s="158" t="s">
        <v>11358</v>
      </c>
      <c r="L1574" s="1008" t="s">
        <v>11359</v>
      </c>
      <c r="M1574" s="47" t="s">
        <v>9226</v>
      </c>
      <c r="N1574" s="763"/>
      <c r="O1574" s="763"/>
      <c r="P1574" s="763"/>
      <c r="Q1574" s="763"/>
      <c r="R1574" s="763"/>
      <c r="S1574" s="763"/>
      <c r="T1574" s="763"/>
      <c r="U1574" s="763"/>
      <c r="V1574" s="763"/>
      <c r="W1574" s="763"/>
      <c r="X1574" s="763"/>
      <c r="Y1574" s="763"/>
      <c r="Z1574" s="763"/>
      <c r="AA1574" s="763"/>
      <c r="AB1574" s="763"/>
      <c r="AC1574" s="763"/>
      <c r="AD1574" s="763"/>
      <c r="AE1574" s="763"/>
      <c r="AF1574" s="763"/>
      <c r="AG1574" s="763"/>
    </row>
    <row r="1575">
      <c r="A1575" s="47" t="s">
        <v>1448</v>
      </c>
      <c r="B1575" s="47" t="s">
        <v>5364</v>
      </c>
      <c r="C1575" s="47"/>
      <c r="D1575" s="47"/>
      <c r="E1575" s="47" t="s">
        <v>8900</v>
      </c>
      <c r="F1575" s="47" t="s">
        <v>8901</v>
      </c>
      <c r="G1575" s="1079">
        <v>46226.0</v>
      </c>
      <c r="H1575" s="1080">
        <v>46227.0</v>
      </c>
      <c r="I1575" s="47">
        <f>IFERROR(__xludf.DUMMYFUNCTION("IF(ISBLANK(H1575), TODAY()-TO_DATE(G1575), TO_DATE(H1575)-TO_DATE(G1575))+1"),2.0)</f>
        <v>2</v>
      </c>
      <c r="J1575" s="47" t="s">
        <v>197</v>
      </c>
      <c r="K1575" s="47" t="s">
        <v>11107</v>
      </c>
      <c r="L1575" s="47" t="s">
        <v>11360</v>
      </c>
      <c r="M1575" s="47" t="s">
        <v>9226</v>
      </c>
      <c r="N1575" s="763"/>
      <c r="O1575" s="763"/>
      <c r="P1575" s="763"/>
      <c r="Q1575" s="763"/>
      <c r="R1575" s="763"/>
      <c r="S1575" s="763"/>
      <c r="T1575" s="763"/>
      <c r="U1575" s="763"/>
      <c r="V1575" s="763"/>
      <c r="W1575" s="763"/>
      <c r="X1575" s="763"/>
      <c r="Y1575" s="763"/>
      <c r="Z1575" s="763"/>
      <c r="AA1575" s="763"/>
      <c r="AB1575" s="763"/>
      <c r="AC1575" s="763"/>
      <c r="AD1575" s="763"/>
      <c r="AE1575" s="763"/>
      <c r="AF1575" s="763"/>
      <c r="AG1575" s="763"/>
    </row>
    <row r="1576">
      <c r="A1576" s="47" t="s">
        <v>8997</v>
      </c>
      <c r="B1576" s="47" t="s">
        <v>5364</v>
      </c>
      <c r="C1576" s="47"/>
      <c r="D1576" s="47"/>
      <c r="E1576" s="47" t="s">
        <v>9859</v>
      </c>
      <c r="F1576" s="47" t="s">
        <v>2013</v>
      </c>
      <c r="G1576" s="1079">
        <v>46226.0</v>
      </c>
      <c r="H1576" s="1080">
        <v>46227.0</v>
      </c>
      <c r="I1576" s="47">
        <f>IFERROR(__xludf.DUMMYFUNCTION("IF(ISBLANK(H1576), TODAY()-TO_DATE(G1576), TO_DATE(H1576)-TO_DATE(G1576))+1"),2.0)</f>
        <v>2</v>
      </c>
      <c r="J1576" s="47" t="s">
        <v>197</v>
      </c>
      <c r="K1576" s="47" t="s">
        <v>9493</v>
      </c>
      <c r="L1576" s="47"/>
      <c r="M1576" s="47"/>
      <c r="N1576" s="763"/>
      <c r="O1576" s="763"/>
      <c r="P1576" s="763"/>
      <c r="Q1576" s="763"/>
      <c r="R1576" s="763"/>
      <c r="S1576" s="763"/>
      <c r="T1576" s="763"/>
      <c r="U1576" s="763"/>
      <c r="V1576" s="763"/>
      <c r="W1576" s="763"/>
      <c r="X1576" s="763"/>
      <c r="Y1576" s="763"/>
      <c r="Z1576" s="763"/>
      <c r="AA1576" s="763"/>
      <c r="AB1576" s="763"/>
      <c r="AC1576" s="763"/>
      <c r="AD1576" s="763"/>
      <c r="AE1576" s="763"/>
      <c r="AF1576" s="763"/>
      <c r="AG1576" s="763"/>
    </row>
    <row r="1577">
      <c r="A1577" s="47" t="s">
        <v>2451</v>
      </c>
      <c r="B1577" s="47" t="s">
        <v>1187</v>
      </c>
      <c r="C1577" s="47"/>
      <c r="D1577" s="47"/>
      <c r="E1577" s="47" t="s">
        <v>3271</v>
      </c>
      <c r="F1577" s="47" t="s">
        <v>3272</v>
      </c>
      <c r="G1577" s="1079">
        <v>46228.0</v>
      </c>
      <c r="H1577" s="1080">
        <v>46252.0</v>
      </c>
      <c r="I1577" s="47">
        <f>IFERROR(__xludf.DUMMYFUNCTION("IF(ISBLANK(H1577), TODAY()-TO_DATE(G1577), TO_DATE(H1577)-TO_DATE(G1577))+1"),25.0)</f>
        <v>25</v>
      </c>
      <c r="J1577" s="47">
        <v>300.0</v>
      </c>
      <c r="K1577" s="1008" t="s">
        <v>11364</v>
      </c>
      <c r="L1577" s="1008" t="s">
        <v>11366</v>
      </c>
      <c r="M1577" s="47"/>
      <c r="N1577" s="763"/>
      <c r="O1577" s="763"/>
      <c r="P1577" s="763"/>
      <c r="Q1577" s="763"/>
      <c r="R1577" s="763"/>
      <c r="S1577" s="763"/>
      <c r="T1577" s="763"/>
      <c r="U1577" s="763"/>
      <c r="V1577" s="763"/>
      <c r="W1577" s="763"/>
      <c r="X1577" s="763"/>
      <c r="Y1577" s="763"/>
      <c r="Z1577" s="763"/>
      <c r="AA1577" s="763"/>
      <c r="AB1577" s="763"/>
      <c r="AC1577" s="763"/>
      <c r="AD1577" s="763"/>
      <c r="AE1577" s="763"/>
      <c r="AF1577" s="763"/>
      <c r="AG1577" s="763"/>
    </row>
    <row r="1578">
      <c r="A1578" s="47" t="s">
        <v>2451</v>
      </c>
      <c r="B1578" s="47" t="s">
        <v>1187</v>
      </c>
      <c r="C1578" s="47"/>
      <c r="D1578" s="47"/>
      <c r="E1578" s="47" t="s">
        <v>3337</v>
      </c>
      <c r="F1578" s="47" t="s">
        <v>3338</v>
      </c>
      <c r="G1578" s="1079">
        <v>46228.0</v>
      </c>
      <c r="H1578" s="1080">
        <v>46252.0</v>
      </c>
      <c r="I1578" s="47">
        <f>IFERROR(__xludf.DUMMYFUNCTION("IF(ISBLANK(H1578), TODAY()-TO_DATE(G1578), TO_DATE(H1578)-TO_DATE(G1578))+1"),25.0)</f>
        <v>25</v>
      </c>
      <c r="J1578" s="47" t="s">
        <v>197</v>
      </c>
      <c r="K1578" s="1008" t="s">
        <v>11370</v>
      </c>
      <c r="L1578" s="47"/>
      <c r="M1578" s="47"/>
      <c r="N1578" s="763"/>
      <c r="O1578" s="763"/>
      <c r="P1578" s="763"/>
      <c r="Q1578" s="763"/>
      <c r="R1578" s="763"/>
      <c r="S1578" s="763"/>
      <c r="T1578" s="763"/>
      <c r="U1578" s="763"/>
      <c r="V1578" s="763"/>
      <c r="W1578" s="763"/>
      <c r="X1578" s="763"/>
      <c r="Y1578" s="763"/>
      <c r="Z1578" s="763"/>
      <c r="AA1578" s="763"/>
      <c r="AB1578" s="763"/>
      <c r="AC1578" s="763"/>
      <c r="AD1578" s="763"/>
      <c r="AE1578" s="763"/>
      <c r="AF1578" s="763"/>
      <c r="AG1578" s="763"/>
    </row>
    <row r="1579">
      <c r="A1579" s="47" t="s">
        <v>1032</v>
      </c>
      <c r="B1579" s="47" t="s">
        <v>1187</v>
      </c>
      <c r="C1579" s="47"/>
      <c r="D1579" s="47"/>
      <c r="E1579" s="47" t="s">
        <v>6664</v>
      </c>
      <c r="F1579" s="47" t="s">
        <v>6666</v>
      </c>
      <c r="G1579" s="1079">
        <v>46228.0</v>
      </c>
      <c r="H1579" s="1080">
        <v>46232.0</v>
      </c>
      <c r="I1579" s="47">
        <f>IFERROR(__xludf.DUMMYFUNCTION("IF(ISBLANK(H1579), TODAY()-TO_DATE(G1579), TO_DATE(H1579)-TO_DATE(G1579))+1"),5.0)</f>
        <v>5</v>
      </c>
      <c r="J1579" s="47">
        <v>300.0</v>
      </c>
      <c r="K1579" s="47" t="s">
        <v>2789</v>
      </c>
      <c r="L1579" s="47"/>
      <c r="M1579" s="47"/>
      <c r="N1579" s="763"/>
      <c r="O1579" s="763"/>
      <c r="P1579" s="763"/>
      <c r="Q1579" s="763"/>
      <c r="R1579" s="763"/>
      <c r="S1579" s="763"/>
      <c r="T1579" s="763"/>
      <c r="U1579" s="763"/>
      <c r="V1579" s="763"/>
      <c r="W1579" s="763"/>
      <c r="X1579" s="763"/>
      <c r="Y1579" s="763"/>
      <c r="Z1579" s="763"/>
      <c r="AA1579" s="763"/>
      <c r="AB1579" s="763"/>
      <c r="AC1579" s="763"/>
      <c r="AD1579" s="763"/>
      <c r="AE1579" s="763"/>
      <c r="AF1579" s="763"/>
      <c r="AG1579" s="763"/>
    </row>
    <row r="1580">
      <c r="A1580" s="47" t="s">
        <v>1032</v>
      </c>
      <c r="B1580" s="47" t="s">
        <v>1187</v>
      </c>
      <c r="C1580" s="47"/>
      <c r="D1580" s="47"/>
      <c r="E1580" s="47" t="s">
        <v>6769</v>
      </c>
      <c r="F1580" s="47" t="s">
        <v>294</v>
      </c>
      <c r="G1580" s="1079">
        <v>46228.0</v>
      </c>
      <c r="H1580" s="1080">
        <v>46230.0</v>
      </c>
      <c r="I1580" s="47">
        <f>IFERROR(__xludf.DUMMYFUNCTION("IF(ISBLANK(H1580), TODAY()-TO_DATE(G1580), TO_DATE(H1580)-TO_DATE(G1580))+1"),3.0)</f>
        <v>3</v>
      </c>
      <c r="J1580" s="47">
        <v>200.0</v>
      </c>
      <c r="K1580" s="47" t="s">
        <v>11377</v>
      </c>
      <c r="L1580" s="158" t="s">
        <v>11378</v>
      </c>
      <c r="M1580" s="47" t="s">
        <v>9226</v>
      </c>
      <c r="N1580" s="763"/>
      <c r="O1580" s="763"/>
      <c r="P1580" s="763"/>
      <c r="Q1580" s="763"/>
      <c r="R1580" s="763"/>
      <c r="S1580" s="763"/>
      <c r="T1580" s="763"/>
      <c r="U1580" s="763"/>
      <c r="V1580" s="763"/>
      <c r="W1580" s="763"/>
      <c r="X1580" s="763"/>
      <c r="Y1580" s="763"/>
      <c r="Z1580" s="763"/>
      <c r="AA1580" s="763"/>
      <c r="AB1580" s="763"/>
      <c r="AC1580" s="763"/>
      <c r="AD1580" s="763"/>
      <c r="AE1580" s="763"/>
      <c r="AF1580" s="763"/>
      <c r="AG1580" s="763"/>
    </row>
    <row r="1581">
      <c r="A1581" s="47" t="s">
        <v>2451</v>
      </c>
      <c r="B1581" s="47" t="s">
        <v>1187</v>
      </c>
      <c r="C1581" s="47" t="s">
        <v>4994</v>
      </c>
      <c r="D1581" s="47"/>
      <c r="E1581" s="47" t="s">
        <v>406</v>
      </c>
      <c r="F1581" s="47" t="s">
        <v>407</v>
      </c>
      <c r="G1581" s="1079">
        <v>46228.0</v>
      </c>
      <c r="H1581" s="1080">
        <v>46252.0</v>
      </c>
      <c r="I1581" s="47">
        <f>IFERROR(__xludf.DUMMYFUNCTION("IF(ISBLANK(H1581), TODAY()-TO_DATE(G1581), TO_DATE(H1581)-TO_DATE(G1581))+1"),25.0)</f>
        <v>25</v>
      </c>
      <c r="J1581" s="47">
        <v>500.0</v>
      </c>
      <c r="K1581" s="158" t="s">
        <v>10871</v>
      </c>
      <c r="L1581" s="47" t="s">
        <v>11381</v>
      </c>
      <c r="M1581" s="47" t="s">
        <v>9226</v>
      </c>
      <c r="N1581" s="763"/>
      <c r="O1581" s="763"/>
      <c r="P1581" s="763"/>
      <c r="Q1581" s="763"/>
      <c r="R1581" s="763"/>
      <c r="S1581" s="763"/>
      <c r="T1581" s="763"/>
      <c r="U1581" s="763"/>
      <c r="V1581" s="763"/>
      <c r="W1581" s="763"/>
      <c r="X1581" s="763"/>
      <c r="Y1581" s="763"/>
      <c r="Z1581" s="763"/>
      <c r="AA1581" s="763"/>
      <c r="AB1581" s="763"/>
      <c r="AC1581" s="763"/>
      <c r="AD1581" s="763"/>
      <c r="AE1581" s="763"/>
      <c r="AF1581" s="763"/>
      <c r="AG1581" s="763"/>
    </row>
    <row r="1582">
      <c r="A1582" s="47" t="s">
        <v>150</v>
      </c>
      <c r="B1582" s="47" t="s">
        <v>1187</v>
      </c>
      <c r="C1582" s="47" t="s">
        <v>4994</v>
      </c>
      <c r="D1582" s="47"/>
      <c r="E1582" s="47" t="s">
        <v>985</v>
      </c>
      <c r="F1582" s="47" t="s">
        <v>986</v>
      </c>
      <c r="G1582" s="1079">
        <v>46228.0</v>
      </c>
      <c r="H1582" s="1080">
        <v>46252.0</v>
      </c>
      <c r="I1582" s="47">
        <f>IFERROR(__xludf.DUMMYFUNCTION("IF(ISBLANK(H1582), TODAY()-TO_DATE(G1582), TO_DATE(H1582)-TO_DATE(G1582))+1"),25.0)</f>
        <v>25</v>
      </c>
      <c r="J1582" s="47">
        <v>500.0</v>
      </c>
      <c r="K1582" s="158" t="s">
        <v>10875</v>
      </c>
      <c r="L1582" s="47"/>
      <c r="M1582" s="47"/>
      <c r="N1582" s="763"/>
      <c r="O1582" s="763"/>
      <c r="P1582" s="763"/>
      <c r="Q1582" s="763"/>
      <c r="R1582" s="763"/>
      <c r="S1582" s="763"/>
      <c r="T1582" s="763"/>
      <c r="U1582" s="763"/>
      <c r="V1582" s="763"/>
      <c r="W1582" s="763"/>
      <c r="X1582" s="763"/>
      <c r="Y1582" s="763"/>
      <c r="Z1582" s="763"/>
      <c r="AA1582" s="763"/>
      <c r="AB1582" s="763"/>
      <c r="AC1582" s="763"/>
      <c r="AD1582" s="763"/>
      <c r="AE1582" s="763"/>
      <c r="AF1582" s="763"/>
      <c r="AG1582" s="763"/>
    </row>
    <row r="1583">
      <c r="A1583" s="47" t="s">
        <v>2451</v>
      </c>
      <c r="B1583" s="47" t="s">
        <v>1187</v>
      </c>
      <c r="C1583" s="47"/>
      <c r="D1583" s="47"/>
      <c r="E1583" s="47" t="s">
        <v>5757</v>
      </c>
      <c r="F1583" s="47" t="s">
        <v>5758</v>
      </c>
      <c r="G1583" s="1079">
        <v>46228.0</v>
      </c>
      <c r="H1583" s="1080">
        <v>46242.0</v>
      </c>
      <c r="I1583" s="47">
        <f>IFERROR(__xludf.DUMMYFUNCTION("IF(ISBLANK(H1583), TODAY()-TO_DATE(G1583), TO_DATE(H1583)-TO_DATE(G1583))+1"),15.0)</f>
        <v>15</v>
      </c>
      <c r="J1583" s="47" t="s">
        <v>197</v>
      </c>
      <c r="K1583" s="158" t="s">
        <v>11384</v>
      </c>
      <c r="L1583" s="47"/>
      <c r="M1583" s="47" t="s">
        <v>9226</v>
      </c>
      <c r="N1583" s="763"/>
      <c r="O1583" s="763"/>
      <c r="P1583" s="763"/>
      <c r="Q1583" s="763"/>
      <c r="R1583" s="763"/>
      <c r="S1583" s="763"/>
      <c r="T1583" s="763"/>
      <c r="U1583" s="763"/>
      <c r="V1583" s="763"/>
      <c r="W1583" s="763"/>
      <c r="X1583" s="763"/>
      <c r="Y1583" s="763"/>
      <c r="Z1583" s="763"/>
      <c r="AA1583" s="763"/>
      <c r="AB1583" s="763"/>
      <c r="AC1583" s="763"/>
      <c r="AD1583" s="763"/>
      <c r="AE1583" s="763"/>
      <c r="AF1583" s="763"/>
      <c r="AG1583" s="763"/>
    </row>
    <row r="1584">
      <c r="A1584" s="47" t="s">
        <v>9987</v>
      </c>
      <c r="B1584" s="47" t="s">
        <v>1187</v>
      </c>
      <c r="C1584" s="47"/>
      <c r="D1584" s="47"/>
      <c r="E1584" s="47" t="s">
        <v>1392</v>
      </c>
      <c r="F1584" s="47" t="s">
        <v>1394</v>
      </c>
      <c r="G1584" s="1079">
        <v>46228.0</v>
      </c>
      <c r="H1584" s="1080">
        <v>46230.0</v>
      </c>
      <c r="I1584" s="47">
        <f>IFERROR(__xludf.DUMMYFUNCTION("IF(ISBLANK(H1584), TODAY()-TO_DATE(G1584), TO_DATE(H1584)-TO_DATE(G1584))+1"),3.0)</f>
        <v>3</v>
      </c>
      <c r="J1584" s="47">
        <v>500.0</v>
      </c>
      <c r="K1584" s="158" t="s">
        <v>11388</v>
      </c>
      <c r="L1584" s="158" t="s">
        <v>11389</v>
      </c>
      <c r="M1584" s="47"/>
      <c r="N1584" s="763"/>
      <c r="O1584" s="763"/>
      <c r="P1584" s="763"/>
      <c r="Q1584" s="763"/>
      <c r="R1584" s="763"/>
      <c r="S1584" s="763"/>
      <c r="T1584" s="763"/>
      <c r="U1584" s="763"/>
      <c r="V1584" s="763"/>
      <c r="W1584" s="763"/>
      <c r="X1584" s="763"/>
      <c r="Y1584" s="763"/>
      <c r="Z1584" s="763"/>
      <c r="AA1584" s="763"/>
      <c r="AB1584" s="763"/>
      <c r="AC1584" s="763"/>
      <c r="AD1584" s="763"/>
      <c r="AE1584" s="763"/>
      <c r="AF1584" s="763"/>
      <c r="AG1584" s="763"/>
    </row>
    <row r="1585">
      <c r="A1585" s="47" t="s">
        <v>2451</v>
      </c>
      <c r="B1585" s="47" t="s">
        <v>1187</v>
      </c>
      <c r="C1585" s="47"/>
      <c r="D1585" s="47"/>
      <c r="E1585" s="47" t="s">
        <v>11390</v>
      </c>
      <c r="F1585" s="47" t="s">
        <v>11391</v>
      </c>
      <c r="G1585" s="1079">
        <v>46229.0</v>
      </c>
      <c r="H1585" s="47" t="s">
        <v>11392</v>
      </c>
      <c r="I1585" s="47" t="str">
        <f>IFERROR(__xludf.DUMMYFUNCTION("IF(ISBLANK(H1585), TODAY()-TO_DATE(G1585), TO_DATE(H1585)-TO_DATE(G1585))+1"),"#VALUE!")</f>
        <v>#VALUE!</v>
      </c>
      <c r="J1585" s="47" t="s">
        <v>9805</v>
      </c>
      <c r="K1585" s="158" t="s">
        <v>11394</v>
      </c>
      <c r="L1585" s="47"/>
      <c r="M1585" s="47" t="s">
        <v>9226</v>
      </c>
      <c r="N1585" s="763"/>
      <c r="O1585" s="763"/>
      <c r="P1585" s="763"/>
      <c r="Q1585" s="763"/>
      <c r="R1585" s="763"/>
      <c r="S1585" s="763"/>
      <c r="T1585" s="763"/>
      <c r="U1585" s="763"/>
      <c r="V1585" s="763"/>
      <c r="W1585" s="763"/>
      <c r="X1585" s="763"/>
      <c r="Y1585" s="763"/>
      <c r="Z1585" s="763"/>
      <c r="AA1585" s="763"/>
      <c r="AB1585" s="763"/>
      <c r="AC1585" s="763"/>
      <c r="AD1585" s="763"/>
      <c r="AE1585" s="763"/>
      <c r="AF1585" s="763"/>
      <c r="AG1585" s="763"/>
    </row>
    <row r="1586">
      <c r="A1586" s="47" t="s">
        <v>2451</v>
      </c>
      <c r="B1586" s="47" t="s">
        <v>1187</v>
      </c>
      <c r="C1586" s="47"/>
      <c r="D1586" s="47"/>
      <c r="E1586" s="47" t="s">
        <v>11396</v>
      </c>
      <c r="F1586" s="47" t="s">
        <v>11397</v>
      </c>
      <c r="G1586" s="1079">
        <v>46229.0</v>
      </c>
      <c r="H1586" s="1080">
        <v>46232.0</v>
      </c>
      <c r="I1586" s="47">
        <f>IFERROR(__xludf.DUMMYFUNCTION("IF(ISBLANK(H1586), TODAY()-TO_DATE(G1586), TO_DATE(H1586)-TO_DATE(G1586))+1"),4.0)</f>
        <v>4</v>
      </c>
      <c r="J1586" s="47" t="s">
        <v>197</v>
      </c>
      <c r="K1586" s="47" t="s">
        <v>10214</v>
      </c>
      <c r="L1586" s="47"/>
      <c r="M1586" s="47" t="s">
        <v>9226</v>
      </c>
      <c r="N1586" s="763"/>
      <c r="O1586" s="763"/>
      <c r="P1586" s="763"/>
      <c r="Q1586" s="763"/>
      <c r="R1586" s="763"/>
      <c r="S1586" s="763"/>
      <c r="T1586" s="763"/>
      <c r="U1586" s="763"/>
      <c r="V1586" s="763"/>
      <c r="W1586" s="763"/>
      <c r="X1586" s="763"/>
      <c r="Y1586" s="763"/>
      <c r="Z1586" s="763"/>
      <c r="AA1586" s="763"/>
      <c r="AB1586" s="763"/>
      <c r="AC1586" s="763"/>
      <c r="AD1586" s="763"/>
      <c r="AE1586" s="763"/>
      <c r="AF1586" s="763"/>
      <c r="AG1586" s="763"/>
    </row>
    <row r="1587">
      <c r="A1587" s="47" t="s">
        <v>150</v>
      </c>
      <c r="B1587" s="47" t="s">
        <v>1187</v>
      </c>
      <c r="C1587" s="47"/>
      <c r="D1587" s="47"/>
      <c r="E1587" s="47" t="s">
        <v>3615</v>
      </c>
      <c r="F1587" s="47" t="s">
        <v>3616</v>
      </c>
      <c r="G1587" s="1079">
        <v>46229.0</v>
      </c>
      <c r="H1587" s="1080">
        <v>46235.0</v>
      </c>
      <c r="I1587" s="47">
        <f>IFERROR(__xludf.DUMMYFUNCTION("IF(ISBLANK(H1587), TODAY()-TO_DATE(G1587), TO_DATE(H1587)-TO_DATE(G1587))+1"),7.0)</f>
        <v>7</v>
      </c>
      <c r="J1587" s="47">
        <v>300.0</v>
      </c>
      <c r="K1587" s="47" t="s">
        <v>10900</v>
      </c>
      <c r="L1587" s="47"/>
      <c r="M1587" s="47" t="s">
        <v>9226</v>
      </c>
      <c r="N1587" s="763"/>
      <c r="O1587" s="763"/>
      <c r="P1587" s="763"/>
      <c r="Q1587" s="763"/>
      <c r="R1587" s="763"/>
      <c r="S1587" s="763"/>
      <c r="T1587" s="763"/>
      <c r="U1587" s="763"/>
      <c r="V1587" s="763"/>
      <c r="W1587" s="763"/>
      <c r="X1587" s="763"/>
      <c r="Y1587" s="763"/>
      <c r="Z1587" s="763"/>
      <c r="AA1587" s="763"/>
      <c r="AB1587" s="763"/>
      <c r="AC1587" s="763"/>
      <c r="AD1587" s="763"/>
      <c r="AE1587" s="763"/>
      <c r="AF1587" s="763"/>
      <c r="AG1587" s="763"/>
    </row>
    <row r="1588">
      <c r="A1588" s="47" t="s">
        <v>1510</v>
      </c>
      <c r="B1588" s="47" t="s">
        <v>1187</v>
      </c>
      <c r="C1588" s="47"/>
      <c r="D1588" s="47"/>
      <c r="E1588" s="47" t="s">
        <v>6271</v>
      </c>
      <c r="F1588" s="47" t="s">
        <v>1492</v>
      </c>
      <c r="G1588" s="1079">
        <v>46229.0</v>
      </c>
      <c r="H1588" s="1080">
        <v>46233.0</v>
      </c>
      <c r="I1588" s="47">
        <f>IFERROR(__xludf.DUMMYFUNCTION("IF(ISBLANK(H1588), TODAY()-TO_DATE(G1588), TO_DATE(H1588)-TO_DATE(G1588))+1"),5.0)</f>
        <v>5</v>
      </c>
      <c r="J1588" s="47" t="s">
        <v>197</v>
      </c>
      <c r="K1588" s="47" t="s">
        <v>9524</v>
      </c>
      <c r="L1588" s="47"/>
      <c r="M1588" s="47"/>
      <c r="N1588" s="763"/>
      <c r="O1588" s="763"/>
      <c r="P1588" s="763"/>
      <c r="Q1588" s="763"/>
      <c r="R1588" s="763"/>
      <c r="S1588" s="763"/>
      <c r="T1588" s="763"/>
      <c r="U1588" s="763"/>
      <c r="V1588" s="763"/>
      <c r="W1588" s="763"/>
      <c r="X1588" s="763"/>
      <c r="Y1588" s="763"/>
      <c r="Z1588" s="763"/>
      <c r="AA1588" s="763"/>
      <c r="AB1588" s="763"/>
      <c r="AC1588" s="763"/>
      <c r="AD1588" s="763"/>
      <c r="AE1588" s="763"/>
      <c r="AF1588" s="763"/>
      <c r="AG1588" s="763"/>
    </row>
    <row r="1589">
      <c r="A1589" s="47" t="s">
        <v>1032</v>
      </c>
      <c r="B1589" s="47" t="s">
        <v>2194</v>
      </c>
      <c r="C1589" s="47"/>
      <c r="D1589" s="47"/>
      <c r="E1589" s="47" t="s">
        <v>11404</v>
      </c>
      <c r="F1589" s="47" t="s">
        <v>11405</v>
      </c>
      <c r="G1589" s="1079">
        <v>46230.0</v>
      </c>
      <c r="H1589" s="1080">
        <v>46234.0</v>
      </c>
      <c r="I1589" s="47">
        <f>IFERROR(__xludf.DUMMYFUNCTION("IF(ISBLANK(H1589), TODAY()-TO_DATE(G1589), TO_DATE(H1589)-TO_DATE(G1589))+1"),5.0)</f>
        <v>5</v>
      </c>
      <c r="J1589" s="47">
        <v>500.0</v>
      </c>
      <c r="K1589" s="47" t="s">
        <v>11406</v>
      </c>
      <c r="L1589" s="47"/>
      <c r="M1589" s="47"/>
      <c r="N1589" s="763"/>
      <c r="O1589" s="763"/>
      <c r="P1589" s="763"/>
      <c r="Q1589" s="763"/>
      <c r="R1589" s="763"/>
      <c r="S1589" s="763"/>
      <c r="T1589" s="763"/>
      <c r="U1589" s="763"/>
      <c r="V1589" s="763"/>
      <c r="W1589" s="763"/>
      <c r="X1589" s="763"/>
      <c r="Y1589" s="763"/>
      <c r="Z1589" s="763"/>
      <c r="AA1589" s="763"/>
      <c r="AB1589" s="763"/>
      <c r="AC1589" s="763"/>
      <c r="AD1589" s="763"/>
      <c r="AE1589" s="763"/>
      <c r="AF1589" s="763"/>
      <c r="AG1589" s="763"/>
    </row>
    <row r="1590">
      <c r="A1590" s="47" t="s">
        <v>2451</v>
      </c>
      <c r="B1590" s="47" t="s">
        <v>2194</v>
      </c>
      <c r="C1590" s="47"/>
      <c r="D1590" s="47"/>
      <c r="E1590" s="47" t="s">
        <v>2180</v>
      </c>
      <c r="F1590" s="47" t="s">
        <v>2182</v>
      </c>
      <c r="G1590" s="1079">
        <v>46230.0</v>
      </c>
      <c r="H1590" s="1080">
        <v>46267.0</v>
      </c>
      <c r="I1590" s="47">
        <f>IFERROR(__xludf.DUMMYFUNCTION("IF(ISBLANK(H1590), TODAY()-TO_DATE(G1590), TO_DATE(H1590)-TO_DATE(G1590))+1"),38.0)</f>
        <v>38</v>
      </c>
      <c r="J1590" s="47">
        <v>300.0</v>
      </c>
      <c r="K1590" s="1008" t="s">
        <v>11410</v>
      </c>
      <c r="L1590" s="47" t="s">
        <v>11411</v>
      </c>
      <c r="M1590" s="47" t="s">
        <v>9226</v>
      </c>
      <c r="N1590" s="763"/>
      <c r="O1590" s="763"/>
      <c r="P1590" s="763"/>
      <c r="Q1590" s="763"/>
      <c r="R1590" s="763"/>
      <c r="S1590" s="763"/>
      <c r="T1590" s="763"/>
      <c r="U1590" s="763"/>
      <c r="V1590" s="763"/>
      <c r="W1590" s="763"/>
      <c r="X1590" s="763"/>
      <c r="Y1590" s="763"/>
      <c r="Z1590" s="763"/>
      <c r="AA1590" s="763"/>
      <c r="AB1590" s="763"/>
      <c r="AC1590" s="763"/>
      <c r="AD1590" s="763"/>
      <c r="AE1590" s="763"/>
      <c r="AF1590" s="763"/>
      <c r="AG1590" s="763"/>
    </row>
    <row r="1591">
      <c r="A1591" s="47" t="s">
        <v>1032</v>
      </c>
      <c r="B1591" s="47" t="s">
        <v>2194</v>
      </c>
      <c r="C1591" s="47"/>
      <c r="D1591" s="47"/>
      <c r="E1591" s="47" t="s">
        <v>6169</v>
      </c>
      <c r="F1591" s="47" t="s">
        <v>6170</v>
      </c>
      <c r="G1591" s="1079">
        <v>46231.0</v>
      </c>
      <c r="H1591" s="1080">
        <v>46267.0</v>
      </c>
      <c r="I1591" s="47">
        <f>IFERROR(__xludf.DUMMYFUNCTION("IF(ISBLANK(H1591), TODAY()-TO_DATE(G1591), TO_DATE(H1591)-TO_DATE(G1591))+1"),37.0)</f>
        <v>37</v>
      </c>
      <c r="J1591" s="47" t="s">
        <v>197</v>
      </c>
      <c r="K1591" s="158" t="s">
        <v>9904</v>
      </c>
      <c r="L1591" s="47"/>
      <c r="M1591" s="47" t="s">
        <v>9226</v>
      </c>
      <c r="N1591" s="763"/>
      <c r="O1591" s="763"/>
      <c r="P1591" s="763"/>
      <c r="Q1591" s="763"/>
      <c r="R1591" s="763"/>
      <c r="S1591" s="763"/>
      <c r="T1591" s="763"/>
      <c r="U1591" s="763"/>
      <c r="V1591" s="763"/>
      <c r="W1591" s="763"/>
      <c r="X1591" s="763"/>
      <c r="Y1591" s="763"/>
      <c r="Z1591" s="763"/>
      <c r="AA1591" s="763"/>
      <c r="AB1591" s="763"/>
      <c r="AC1591" s="763"/>
      <c r="AD1591" s="763"/>
      <c r="AE1591" s="763"/>
      <c r="AF1591" s="763"/>
      <c r="AG1591" s="763"/>
    </row>
    <row r="1592">
      <c r="A1592" s="47" t="s">
        <v>1448</v>
      </c>
      <c r="B1592" s="47" t="s">
        <v>2194</v>
      </c>
      <c r="C1592" s="47"/>
      <c r="D1592" s="47"/>
      <c r="E1592" s="47" t="s">
        <v>9085</v>
      </c>
      <c r="F1592" s="47" t="s">
        <v>3190</v>
      </c>
      <c r="G1592" s="1079">
        <v>46231.0</v>
      </c>
      <c r="H1592" s="1080">
        <v>46267.0</v>
      </c>
      <c r="I1592" s="47">
        <f>IFERROR(__xludf.DUMMYFUNCTION("IF(ISBLANK(H1592), TODAY()-TO_DATE(G1592), TO_DATE(H1592)-TO_DATE(G1592))+1"),37.0)</f>
        <v>37</v>
      </c>
      <c r="J1592" s="47" t="s">
        <v>197</v>
      </c>
      <c r="K1592" s="1008" t="s">
        <v>2895</v>
      </c>
      <c r="L1592" s="1008" t="s">
        <v>11418</v>
      </c>
      <c r="M1592" s="47"/>
      <c r="N1592" s="763"/>
      <c r="O1592" s="763"/>
      <c r="P1592" s="763"/>
      <c r="Q1592" s="763"/>
      <c r="R1592" s="763"/>
      <c r="S1592" s="763"/>
      <c r="T1592" s="763"/>
      <c r="U1592" s="763"/>
      <c r="V1592" s="763"/>
      <c r="W1592" s="763"/>
      <c r="X1592" s="763"/>
      <c r="Y1592" s="763"/>
      <c r="Z1592" s="763"/>
      <c r="AA1592" s="763"/>
      <c r="AB1592" s="763"/>
      <c r="AC1592" s="763"/>
      <c r="AD1592" s="763"/>
      <c r="AE1592" s="763"/>
      <c r="AF1592" s="763"/>
      <c r="AG1592" s="763"/>
    </row>
    <row r="1593">
      <c r="A1593" s="47" t="s">
        <v>2876</v>
      </c>
      <c r="B1593" s="47" t="s">
        <v>2194</v>
      </c>
      <c r="C1593" s="47"/>
      <c r="D1593" s="47"/>
      <c r="E1593" s="47" t="s">
        <v>10271</v>
      </c>
      <c r="F1593" s="47" t="s">
        <v>6959</v>
      </c>
      <c r="G1593" s="1079">
        <v>46231.0</v>
      </c>
      <c r="H1593" s="1080">
        <v>46267.0</v>
      </c>
      <c r="I1593" s="47">
        <f>IFERROR(__xludf.DUMMYFUNCTION("IF(ISBLANK(H1593), TODAY()-TO_DATE(G1593), TO_DATE(H1593)-TO_DATE(G1593))+1"),37.0)</f>
        <v>37</v>
      </c>
      <c r="J1593" s="47" t="s">
        <v>197</v>
      </c>
      <c r="K1593" s="1008" t="s">
        <v>10364</v>
      </c>
      <c r="L1593" s="1008" t="s">
        <v>11420</v>
      </c>
      <c r="M1593" s="47" t="s">
        <v>9226</v>
      </c>
      <c r="N1593" s="763"/>
      <c r="O1593" s="763"/>
      <c r="P1593" s="763"/>
      <c r="Q1593" s="763"/>
      <c r="R1593" s="763"/>
      <c r="S1593" s="763"/>
      <c r="T1593" s="763"/>
      <c r="U1593" s="763"/>
      <c r="V1593" s="763"/>
      <c r="W1593" s="763"/>
      <c r="X1593" s="763"/>
      <c r="Y1593" s="763"/>
      <c r="Z1593" s="763"/>
      <c r="AA1593" s="763"/>
      <c r="AB1593" s="763"/>
      <c r="AC1593" s="763"/>
      <c r="AD1593" s="763"/>
      <c r="AE1593" s="763"/>
      <c r="AF1593" s="763"/>
      <c r="AG1593" s="763"/>
    </row>
    <row r="1594">
      <c r="A1594" s="47" t="s">
        <v>150</v>
      </c>
      <c r="B1594" s="47" t="s">
        <v>2194</v>
      </c>
      <c r="C1594" s="47"/>
      <c r="D1594" s="47"/>
      <c r="E1594" s="47" t="s">
        <v>4985</v>
      </c>
      <c r="F1594" s="47" t="s">
        <v>4986</v>
      </c>
      <c r="G1594" s="1079">
        <v>46231.0</v>
      </c>
      <c r="H1594" s="1080"/>
      <c r="I1594" s="47">
        <f>IFERROR(__xludf.DUMMYFUNCTION("IF(ISBLANK(H1594), TODAY()-TO_DATE(G1594), TO_DATE(H1594)-TO_DATE(G1594))+1"),38.0)</f>
        <v>38</v>
      </c>
      <c r="J1594" s="47" t="s">
        <v>197</v>
      </c>
      <c r="K1594" s="47" t="s">
        <v>10385</v>
      </c>
      <c r="L1594" s="47"/>
      <c r="M1594" s="47"/>
      <c r="N1594" s="763"/>
      <c r="O1594" s="763"/>
      <c r="P1594" s="763"/>
      <c r="Q1594" s="763"/>
      <c r="R1594" s="763"/>
      <c r="S1594" s="763"/>
      <c r="T1594" s="763"/>
      <c r="U1594" s="763"/>
      <c r="V1594" s="763"/>
      <c r="W1594" s="763"/>
      <c r="X1594" s="763"/>
      <c r="Y1594" s="763"/>
      <c r="Z1594" s="763"/>
      <c r="AA1594" s="763"/>
      <c r="AB1594" s="763"/>
      <c r="AC1594" s="763"/>
      <c r="AD1594" s="763"/>
      <c r="AE1594" s="763"/>
      <c r="AF1594" s="763"/>
      <c r="AG1594" s="763"/>
    </row>
    <row r="1595">
      <c r="A1595" s="47" t="s">
        <v>1448</v>
      </c>
      <c r="B1595" s="47" t="s">
        <v>2194</v>
      </c>
      <c r="C1595" s="47"/>
      <c r="D1595" s="47"/>
      <c r="E1595" s="47" t="s">
        <v>1171</v>
      </c>
      <c r="F1595" s="47" t="s">
        <v>1172</v>
      </c>
      <c r="G1595" s="1079">
        <v>46231.0</v>
      </c>
      <c r="H1595" s="1080"/>
      <c r="I1595" s="47">
        <f>IFERROR(__xludf.DUMMYFUNCTION("IF(ISBLANK(H1595), TODAY()-TO_DATE(G1595), TO_DATE(H1595)-TO_DATE(G1595))+1"),38.0)</f>
        <v>38</v>
      </c>
      <c r="J1595" s="47" t="s">
        <v>197</v>
      </c>
      <c r="K1595" s="47" t="s">
        <v>9823</v>
      </c>
      <c r="L1595" s="47" t="s">
        <v>11424</v>
      </c>
      <c r="M1595" s="47" t="s">
        <v>9226</v>
      </c>
      <c r="N1595" s="763"/>
      <c r="O1595" s="763"/>
      <c r="P1595" s="763"/>
      <c r="Q1595" s="763"/>
      <c r="R1595" s="763"/>
      <c r="S1595" s="763"/>
      <c r="T1595" s="763"/>
      <c r="U1595" s="763"/>
      <c r="V1595" s="763"/>
      <c r="W1595" s="763"/>
      <c r="X1595" s="763"/>
      <c r="Y1595" s="763"/>
      <c r="Z1595" s="763"/>
      <c r="AA1595" s="763"/>
      <c r="AB1595" s="763"/>
      <c r="AC1595" s="763"/>
      <c r="AD1595" s="763"/>
      <c r="AE1595" s="763"/>
      <c r="AF1595" s="763"/>
      <c r="AG1595" s="763"/>
    </row>
    <row r="1596">
      <c r="A1596" s="47" t="s">
        <v>11426</v>
      </c>
      <c r="B1596" s="47" t="s">
        <v>1187</v>
      </c>
      <c r="C1596" s="47"/>
      <c r="D1596" s="47"/>
      <c r="E1596" s="47" t="s">
        <v>7622</v>
      </c>
      <c r="F1596" s="47" t="s">
        <v>7623</v>
      </c>
      <c r="G1596" s="1079">
        <v>46234.0</v>
      </c>
      <c r="H1596" s="1080">
        <v>46237.0</v>
      </c>
      <c r="I1596" s="47">
        <f>IFERROR(__xludf.DUMMYFUNCTION("IF(ISBLANK(H1596), TODAY()-TO_DATE(G1596), TO_DATE(H1596)-TO_DATE(G1596))+1"),4.0)</f>
        <v>4</v>
      </c>
      <c r="J1596" s="47" t="s">
        <v>197</v>
      </c>
      <c r="K1596" s="47" t="s">
        <v>9407</v>
      </c>
      <c r="L1596" s="47"/>
      <c r="M1596" s="47"/>
      <c r="N1596" s="763"/>
      <c r="O1596" s="763"/>
      <c r="P1596" s="763"/>
      <c r="Q1596" s="763"/>
      <c r="R1596" s="763"/>
      <c r="S1596" s="763"/>
      <c r="T1596" s="763"/>
      <c r="U1596" s="763"/>
      <c r="V1596" s="763"/>
      <c r="W1596" s="763"/>
      <c r="X1596" s="763"/>
      <c r="Y1596" s="763"/>
      <c r="Z1596" s="763"/>
      <c r="AA1596" s="763"/>
      <c r="AB1596" s="763"/>
      <c r="AC1596" s="763"/>
      <c r="AD1596" s="763"/>
      <c r="AE1596" s="763"/>
      <c r="AF1596" s="763"/>
      <c r="AG1596" s="763"/>
    </row>
    <row r="1597">
      <c r="A1597" s="47" t="s">
        <v>1510</v>
      </c>
      <c r="B1597" s="47" t="s">
        <v>1187</v>
      </c>
      <c r="C1597" s="47"/>
      <c r="D1597" s="47"/>
      <c r="E1597" s="47" t="s">
        <v>6271</v>
      </c>
      <c r="F1597" s="47" t="s">
        <v>1492</v>
      </c>
      <c r="G1597" s="1079">
        <v>46234.0</v>
      </c>
      <c r="H1597" s="1080">
        <v>46235.0</v>
      </c>
      <c r="I1597" s="47">
        <f>IFERROR(__xludf.DUMMYFUNCTION("IF(ISBLANK(H1597), TODAY()-TO_DATE(G1597), TO_DATE(H1597)-TO_DATE(G1597))+1"),2.0)</f>
        <v>2</v>
      </c>
      <c r="J1597" s="47">
        <v>300.0</v>
      </c>
      <c r="K1597" s="158" t="s">
        <v>9524</v>
      </c>
      <c r="L1597" s="158" t="s">
        <v>11427</v>
      </c>
      <c r="M1597" s="47"/>
      <c r="N1597" s="763"/>
      <c r="O1597" s="763"/>
      <c r="P1597" s="763"/>
      <c r="Q1597" s="763"/>
      <c r="R1597" s="763"/>
      <c r="S1597" s="763"/>
      <c r="T1597" s="763"/>
      <c r="U1597" s="763"/>
      <c r="V1597" s="763"/>
      <c r="W1597" s="763"/>
      <c r="X1597" s="763"/>
      <c r="Y1597" s="763"/>
      <c r="Z1597" s="763"/>
      <c r="AA1597" s="763"/>
      <c r="AB1597" s="763"/>
      <c r="AC1597" s="763"/>
      <c r="AD1597" s="763"/>
      <c r="AE1597" s="763"/>
      <c r="AF1597" s="763"/>
      <c r="AG1597" s="763"/>
    </row>
    <row r="1598">
      <c r="A1598" s="47" t="s">
        <v>9987</v>
      </c>
      <c r="B1598" s="47" t="s">
        <v>1187</v>
      </c>
      <c r="C1598" s="47"/>
      <c r="D1598" s="47"/>
      <c r="E1598" s="47" t="s">
        <v>3785</v>
      </c>
      <c r="F1598" s="47" t="s">
        <v>3786</v>
      </c>
      <c r="G1598" s="1079">
        <v>46234.0</v>
      </c>
      <c r="H1598" s="1080">
        <v>46238.0</v>
      </c>
      <c r="I1598" s="47">
        <f>IFERROR(__xludf.DUMMYFUNCTION("IF(ISBLANK(H1598), TODAY()-TO_DATE(G1598), TO_DATE(H1598)-TO_DATE(G1598))+1"),5.0)</f>
        <v>5</v>
      </c>
      <c r="J1598" s="47" t="s">
        <v>197</v>
      </c>
      <c r="K1598" s="47" t="s">
        <v>11428</v>
      </c>
      <c r="L1598" s="47"/>
      <c r="M1598" s="47" t="s">
        <v>9226</v>
      </c>
      <c r="N1598" s="763"/>
      <c r="O1598" s="763"/>
      <c r="P1598" s="763"/>
      <c r="Q1598" s="763"/>
      <c r="R1598" s="763"/>
      <c r="S1598" s="763"/>
      <c r="T1598" s="763"/>
      <c r="U1598" s="763"/>
      <c r="V1598" s="763"/>
      <c r="W1598" s="763"/>
      <c r="X1598" s="763"/>
      <c r="Y1598" s="763"/>
      <c r="Z1598" s="763"/>
      <c r="AA1598" s="763"/>
      <c r="AB1598" s="763"/>
      <c r="AC1598" s="763"/>
      <c r="AD1598" s="763"/>
      <c r="AE1598" s="763"/>
      <c r="AF1598" s="763"/>
      <c r="AG1598" s="763"/>
    </row>
    <row r="1599">
      <c r="A1599" s="47" t="s">
        <v>145</v>
      </c>
      <c r="B1599" s="47" t="s">
        <v>1187</v>
      </c>
      <c r="C1599" s="47"/>
      <c r="D1599" s="47"/>
      <c r="E1599" s="47" t="s">
        <v>9896</v>
      </c>
      <c r="F1599" s="47" t="s">
        <v>9897</v>
      </c>
      <c r="G1599" s="1079">
        <v>46234.0</v>
      </c>
      <c r="H1599" s="1080">
        <v>46237.0</v>
      </c>
      <c r="I1599" s="47">
        <f>IFERROR(__xludf.DUMMYFUNCTION("IF(ISBLANK(H1599), TODAY()-TO_DATE(G1599), TO_DATE(H1599)-TO_DATE(G1599))+1"),4.0)</f>
        <v>4</v>
      </c>
      <c r="J1599" s="47" t="s">
        <v>197</v>
      </c>
      <c r="K1599" s="47" t="s">
        <v>11429</v>
      </c>
      <c r="L1599" s="47"/>
      <c r="M1599" s="47" t="s">
        <v>9226</v>
      </c>
      <c r="N1599" s="763"/>
      <c r="O1599" s="763"/>
      <c r="P1599" s="763"/>
      <c r="Q1599" s="763"/>
      <c r="R1599" s="763"/>
      <c r="S1599" s="763"/>
      <c r="T1599" s="763"/>
      <c r="U1599" s="763"/>
      <c r="V1599" s="763"/>
      <c r="W1599" s="763"/>
      <c r="X1599" s="763"/>
      <c r="Y1599" s="763"/>
      <c r="Z1599" s="763"/>
      <c r="AA1599" s="763"/>
      <c r="AB1599" s="763"/>
      <c r="AC1599" s="763"/>
      <c r="AD1599" s="763"/>
      <c r="AE1599" s="763"/>
      <c r="AF1599" s="763"/>
      <c r="AG1599" s="763"/>
    </row>
    <row r="1600">
      <c r="A1600" s="47" t="s">
        <v>150</v>
      </c>
      <c r="B1600" s="47" t="s">
        <v>2194</v>
      </c>
      <c r="C1600" s="47"/>
      <c r="D1600" s="47"/>
      <c r="E1600" s="47" t="s">
        <v>920</v>
      </c>
      <c r="F1600" s="47" t="s">
        <v>922</v>
      </c>
      <c r="G1600" s="1079">
        <v>46234.0</v>
      </c>
      <c r="H1600" s="1080"/>
      <c r="I1600" s="47">
        <f>IFERROR(__xludf.DUMMYFUNCTION("IF(ISBLANK(H1600), TODAY()-TO_DATE(G1600), TO_DATE(H1600)-TO_DATE(G1600))+1"),35.0)</f>
        <v>35</v>
      </c>
      <c r="J1600" s="47" t="s">
        <v>197</v>
      </c>
      <c r="K1600" s="47" t="s">
        <v>10340</v>
      </c>
      <c r="M1600" s="47" t="s">
        <v>9226</v>
      </c>
      <c r="N1600" s="763"/>
      <c r="O1600" s="763"/>
      <c r="P1600" s="763"/>
      <c r="Q1600" s="763"/>
      <c r="R1600" s="763"/>
      <c r="S1600" s="763"/>
      <c r="T1600" s="763"/>
      <c r="U1600" s="763"/>
      <c r="V1600" s="763"/>
      <c r="W1600" s="763"/>
      <c r="X1600" s="763"/>
      <c r="Y1600" s="763"/>
      <c r="Z1600" s="763"/>
      <c r="AA1600" s="763"/>
      <c r="AB1600" s="763"/>
      <c r="AC1600" s="763"/>
      <c r="AD1600" s="763"/>
      <c r="AE1600" s="763"/>
      <c r="AF1600" s="763"/>
      <c r="AG1600" s="763"/>
    </row>
    <row r="1601">
      <c r="A1601" s="47" t="s">
        <v>1032</v>
      </c>
      <c r="B1601" s="47" t="s">
        <v>2194</v>
      </c>
      <c r="C1601" s="47"/>
      <c r="D1601" s="47"/>
      <c r="E1601" s="47" t="s">
        <v>6862</v>
      </c>
      <c r="F1601" s="47" t="s">
        <v>2814</v>
      </c>
      <c r="G1601" s="1079">
        <v>46234.0</v>
      </c>
      <c r="H1601" s="1080">
        <v>46240.0</v>
      </c>
      <c r="I1601" s="47">
        <f>IFERROR(__xludf.DUMMYFUNCTION("IF(ISBLANK(H1601), TODAY()-TO_DATE(G1601), TO_DATE(H1601)-TO_DATE(G1601))+1"),7.0)</f>
        <v>7</v>
      </c>
      <c r="J1601" s="47" t="s">
        <v>197</v>
      </c>
      <c r="K1601" s="1008" t="s">
        <v>11433</v>
      </c>
      <c r="L1601" s="1008" t="s">
        <v>11434</v>
      </c>
      <c r="M1601" s="47"/>
      <c r="N1601" s="763"/>
      <c r="O1601" s="763"/>
      <c r="P1601" s="763"/>
      <c r="Q1601" s="763"/>
      <c r="R1601" s="763"/>
      <c r="S1601" s="763"/>
      <c r="T1601" s="763"/>
      <c r="U1601" s="763"/>
      <c r="V1601" s="763"/>
      <c r="W1601" s="763"/>
      <c r="X1601" s="763"/>
      <c r="Y1601" s="763"/>
      <c r="Z1601" s="763"/>
      <c r="AA1601" s="763"/>
      <c r="AB1601" s="763"/>
      <c r="AC1601" s="763"/>
      <c r="AD1601" s="763"/>
      <c r="AE1601" s="763"/>
      <c r="AF1601" s="763"/>
      <c r="AG1601" s="763"/>
    </row>
    <row r="1602">
      <c r="A1602" s="47" t="s">
        <v>8997</v>
      </c>
      <c r="B1602" s="47" t="s">
        <v>2194</v>
      </c>
      <c r="C1602" s="47"/>
      <c r="D1602" s="47"/>
      <c r="E1602" s="47" t="s">
        <v>8640</v>
      </c>
      <c r="F1602" s="47" t="s">
        <v>11435</v>
      </c>
      <c r="G1602" s="1079">
        <v>46234.0</v>
      </c>
      <c r="H1602" s="1080">
        <v>46237.0</v>
      </c>
      <c r="I1602" s="47">
        <f>IFERROR(__xludf.DUMMYFUNCTION("IF(ISBLANK(H1602), TODAY()-TO_DATE(G1602), TO_DATE(H1602)-TO_DATE(G1602))+1"),4.0)</f>
        <v>4</v>
      </c>
      <c r="J1602" s="47">
        <v>500.0</v>
      </c>
      <c r="K1602" s="158" t="s">
        <v>11436</v>
      </c>
      <c r="L1602" s="47"/>
      <c r="M1602" s="47" t="s">
        <v>9226</v>
      </c>
      <c r="N1602" s="763"/>
      <c r="O1602" s="763"/>
      <c r="P1602" s="763"/>
      <c r="Q1602" s="763"/>
      <c r="R1602" s="763"/>
      <c r="S1602" s="763"/>
      <c r="T1602" s="763"/>
      <c r="U1602" s="763"/>
      <c r="V1602" s="763"/>
      <c r="W1602" s="763"/>
      <c r="X1602" s="763"/>
      <c r="Y1602" s="763"/>
      <c r="Z1602" s="763"/>
      <c r="AA1602" s="763"/>
      <c r="AB1602" s="763"/>
      <c r="AC1602" s="763"/>
      <c r="AD1602" s="763"/>
      <c r="AE1602" s="763"/>
      <c r="AF1602" s="763"/>
      <c r="AG1602" s="763"/>
    </row>
    <row r="1603">
      <c r="A1603" s="47" t="s">
        <v>150</v>
      </c>
      <c r="B1603" s="47" t="s">
        <v>2194</v>
      </c>
      <c r="C1603" s="47"/>
      <c r="D1603" s="47"/>
      <c r="E1603" s="47" t="s">
        <v>3008</v>
      </c>
      <c r="F1603" s="47" t="s">
        <v>3009</v>
      </c>
      <c r="G1603" s="1079">
        <v>46238.0</v>
      </c>
      <c r="H1603" s="1080">
        <v>46267.0</v>
      </c>
      <c r="I1603" s="47">
        <f>IFERROR(__xludf.DUMMYFUNCTION("IF(ISBLANK(H1603), TODAY()-TO_DATE(G1603), TO_DATE(H1603)-TO_DATE(G1603))+1"),30.0)</f>
        <v>30</v>
      </c>
      <c r="J1603" s="47" t="s">
        <v>197</v>
      </c>
      <c r="K1603" s="1008" t="s">
        <v>9431</v>
      </c>
      <c r="L1603" s="158" t="s">
        <v>11438</v>
      </c>
      <c r="M1603" s="47"/>
      <c r="N1603" s="763"/>
      <c r="O1603" s="763"/>
      <c r="P1603" s="763"/>
      <c r="Q1603" s="763"/>
      <c r="R1603" s="763"/>
      <c r="S1603" s="763"/>
      <c r="T1603" s="763"/>
      <c r="U1603" s="763"/>
      <c r="V1603" s="763"/>
      <c r="W1603" s="763"/>
      <c r="X1603" s="763"/>
      <c r="Y1603" s="763"/>
      <c r="Z1603" s="763"/>
      <c r="AA1603" s="763"/>
      <c r="AB1603" s="763"/>
      <c r="AC1603" s="763"/>
      <c r="AD1603" s="763"/>
      <c r="AE1603" s="763"/>
      <c r="AF1603" s="763"/>
      <c r="AG1603" s="763"/>
    </row>
    <row r="1604">
      <c r="A1604" s="47" t="s">
        <v>1566</v>
      </c>
      <c r="B1604" s="47" t="s">
        <v>2194</v>
      </c>
      <c r="C1604" s="47"/>
      <c r="D1604" s="47"/>
      <c r="E1604" s="47" t="s">
        <v>7622</v>
      </c>
      <c r="F1604" s="47" t="s">
        <v>7623</v>
      </c>
      <c r="G1604" s="1079">
        <v>46238.0</v>
      </c>
      <c r="H1604" s="1080">
        <v>46267.0</v>
      </c>
      <c r="I1604" s="47">
        <f>IFERROR(__xludf.DUMMYFUNCTION("IF(ISBLANK(H1604), TODAY()-TO_DATE(G1604), TO_DATE(H1604)-TO_DATE(G1604))+1"),30.0)</f>
        <v>30</v>
      </c>
      <c r="J1604" s="47" t="s">
        <v>197</v>
      </c>
      <c r="K1604" s="1008" t="s">
        <v>9407</v>
      </c>
      <c r="L1604" s="1008" t="s">
        <v>11439</v>
      </c>
      <c r="M1604" s="47"/>
      <c r="N1604" s="763"/>
      <c r="O1604" s="763"/>
      <c r="P1604" s="763"/>
      <c r="Q1604" s="763"/>
      <c r="R1604" s="763"/>
      <c r="S1604" s="763"/>
      <c r="T1604" s="763"/>
      <c r="U1604" s="763"/>
      <c r="V1604" s="763"/>
      <c r="W1604" s="763"/>
      <c r="X1604" s="763"/>
      <c r="Y1604" s="763"/>
      <c r="Z1604" s="763"/>
      <c r="AA1604" s="763"/>
      <c r="AB1604" s="763"/>
      <c r="AC1604" s="763"/>
      <c r="AD1604" s="763"/>
      <c r="AE1604" s="763"/>
      <c r="AF1604" s="763"/>
      <c r="AG1604" s="763"/>
    </row>
    <row r="1605">
      <c r="A1605" s="47" t="s">
        <v>1448</v>
      </c>
      <c r="B1605" s="47" t="s">
        <v>2194</v>
      </c>
      <c r="C1605" s="47"/>
      <c r="D1605" s="47"/>
      <c r="E1605" s="47" t="s">
        <v>1373</v>
      </c>
      <c r="F1605" s="47" t="s">
        <v>1229</v>
      </c>
      <c r="G1605" s="1079">
        <v>46238.0</v>
      </c>
      <c r="H1605" s="1080">
        <v>46267.0</v>
      </c>
      <c r="I1605" s="47">
        <f>IFERROR(__xludf.DUMMYFUNCTION("IF(ISBLANK(H1605), TODAY()-TO_DATE(G1605), TO_DATE(H1605)-TO_DATE(G1605))+1"),30.0)</f>
        <v>30</v>
      </c>
      <c r="J1605" s="47" t="s">
        <v>197</v>
      </c>
      <c r="K1605" s="1008" t="s">
        <v>11442</v>
      </c>
      <c r="L1605" s="1008" t="s">
        <v>11443</v>
      </c>
      <c r="M1605" s="47"/>
      <c r="N1605" s="763"/>
      <c r="O1605" s="763"/>
      <c r="P1605" s="763"/>
      <c r="Q1605" s="763"/>
      <c r="R1605" s="763"/>
      <c r="S1605" s="763"/>
      <c r="T1605" s="763"/>
      <c r="U1605" s="763"/>
      <c r="V1605" s="763"/>
      <c r="W1605" s="763"/>
      <c r="X1605" s="763"/>
      <c r="Y1605" s="763"/>
      <c r="Z1605" s="763"/>
      <c r="AA1605" s="763"/>
      <c r="AB1605" s="763"/>
      <c r="AC1605" s="763"/>
      <c r="AD1605" s="763"/>
      <c r="AE1605" s="763"/>
      <c r="AF1605" s="763"/>
      <c r="AG1605" s="763"/>
    </row>
    <row r="1606">
      <c r="A1606" s="47" t="s">
        <v>1510</v>
      </c>
      <c r="B1606" s="47" t="s">
        <v>2194</v>
      </c>
      <c r="C1606" s="47"/>
      <c r="D1606" s="47"/>
      <c r="E1606" s="47" t="s">
        <v>9896</v>
      </c>
      <c r="F1606" s="47" t="s">
        <v>9897</v>
      </c>
      <c r="G1606" s="1079">
        <v>46238.0</v>
      </c>
      <c r="H1606" s="1080"/>
      <c r="I1606" s="47">
        <f>IFERROR(__xludf.DUMMYFUNCTION("IF(ISBLANK(H1606), TODAY()-TO_DATE(G1606), TO_DATE(H1606)-TO_DATE(G1606))+1"),31.0)</f>
        <v>31</v>
      </c>
      <c r="J1606" s="47" t="s">
        <v>197</v>
      </c>
      <c r="K1606" s="47" t="s">
        <v>11429</v>
      </c>
      <c r="L1606" s="1008" t="s">
        <v>11445</v>
      </c>
      <c r="M1606" s="47" t="s">
        <v>9226</v>
      </c>
      <c r="N1606" s="763"/>
      <c r="O1606" s="763"/>
      <c r="P1606" s="763"/>
      <c r="Q1606" s="763"/>
      <c r="R1606" s="763"/>
      <c r="S1606" s="763"/>
      <c r="T1606" s="763"/>
      <c r="U1606" s="763"/>
      <c r="V1606" s="763"/>
      <c r="W1606" s="763"/>
      <c r="X1606" s="763"/>
      <c r="Y1606" s="763"/>
      <c r="Z1606" s="763"/>
      <c r="AA1606" s="763"/>
      <c r="AB1606" s="763"/>
      <c r="AC1606" s="763"/>
      <c r="AD1606" s="763"/>
      <c r="AE1606" s="763"/>
      <c r="AF1606" s="763"/>
      <c r="AG1606" s="763"/>
    </row>
    <row r="1607">
      <c r="A1607" s="47" t="s">
        <v>150</v>
      </c>
      <c r="B1607" s="47" t="s">
        <v>1187</v>
      </c>
      <c r="C1607" s="47"/>
      <c r="D1607" s="47"/>
      <c r="E1607" s="47" t="s">
        <v>10445</v>
      </c>
      <c r="F1607" s="47" t="s">
        <v>10446</v>
      </c>
      <c r="G1607" s="1079">
        <v>46238.0</v>
      </c>
      <c r="H1607" s="1080">
        <v>46239.0</v>
      </c>
      <c r="I1607" s="47">
        <f>IFERROR(__xludf.DUMMYFUNCTION("IF(ISBLANK(H1607), TODAY()-TO_DATE(G1607), TO_DATE(H1607)-TO_DATE(G1607))+1"),2.0)</f>
        <v>2</v>
      </c>
      <c r="J1607" s="47">
        <v>500.0</v>
      </c>
      <c r="K1607" s="47" t="s">
        <v>11446</v>
      </c>
      <c r="L1607" s="47"/>
      <c r="M1607" s="47"/>
      <c r="N1607" s="763"/>
      <c r="O1607" s="763"/>
      <c r="P1607" s="763"/>
      <c r="Q1607" s="763"/>
      <c r="R1607" s="763"/>
      <c r="S1607" s="763"/>
      <c r="T1607" s="763"/>
      <c r="U1607" s="763"/>
      <c r="V1607" s="763"/>
      <c r="W1607" s="763"/>
      <c r="X1607" s="763"/>
      <c r="Y1607" s="763"/>
      <c r="Z1607" s="763"/>
      <c r="AA1607" s="763"/>
      <c r="AB1607" s="763"/>
      <c r="AC1607" s="763"/>
      <c r="AD1607" s="763"/>
      <c r="AE1607" s="763"/>
      <c r="AF1607" s="763"/>
      <c r="AG1607" s="763"/>
    </row>
    <row r="1608">
      <c r="A1608" s="47" t="s">
        <v>1473</v>
      </c>
      <c r="B1608" s="47" t="s">
        <v>1187</v>
      </c>
      <c r="C1608" s="47"/>
      <c r="D1608" s="47"/>
      <c r="E1608" s="47" t="s">
        <v>1847</v>
      </c>
      <c r="F1608" s="47" t="s">
        <v>1842</v>
      </c>
      <c r="G1608" s="1079">
        <v>46238.0</v>
      </c>
      <c r="H1608" s="1080">
        <v>46240.0</v>
      </c>
      <c r="I1608" s="47">
        <f>IFERROR(__xludf.DUMMYFUNCTION("IF(ISBLANK(H1608), TODAY()-TO_DATE(G1608), TO_DATE(H1608)-TO_DATE(G1608))+1"),3.0)</f>
        <v>3</v>
      </c>
      <c r="J1608" s="47">
        <v>300.0</v>
      </c>
      <c r="K1608" s="1008" t="s">
        <v>9895</v>
      </c>
      <c r="L1608" s="47"/>
      <c r="M1608" s="47" t="s">
        <v>9226</v>
      </c>
      <c r="N1608" s="763"/>
      <c r="O1608" s="763"/>
      <c r="P1608" s="763"/>
      <c r="Q1608" s="763"/>
      <c r="R1608" s="763"/>
      <c r="S1608" s="763"/>
      <c r="T1608" s="763"/>
      <c r="U1608" s="763"/>
      <c r="V1608" s="763"/>
      <c r="W1608" s="763"/>
      <c r="X1608" s="763"/>
      <c r="Y1608" s="763"/>
      <c r="Z1608" s="763"/>
      <c r="AA1608" s="763"/>
      <c r="AB1608" s="763"/>
      <c r="AC1608" s="763"/>
      <c r="AD1608" s="763"/>
      <c r="AE1608" s="763"/>
      <c r="AF1608" s="763"/>
      <c r="AG1608" s="763"/>
    </row>
    <row r="1609">
      <c r="A1609" s="47" t="s">
        <v>1032</v>
      </c>
      <c r="B1609" s="47" t="s">
        <v>1794</v>
      </c>
      <c r="C1609" s="47"/>
      <c r="D1609" s="47"/>
      <c r="E1609" s="47" t="s">
        <v>2950</v>
      </c>
      <c r="F1609" s="47" t="s">
        <v>2951</v>
      </c>
      <c r="G1609" s="1079">
        <v>46258.0</v>
      </c>
      <c r="H1609" s="1079"/>
      <c r="I1609" s="47">
        <f>IFERROR(__xludf.DUMMYFUNCTION("IF(ISBLANK(H1609), TODAY()-TO_DATE(G1609), TO_DATE(H1609)-TO_DATE(G1609))+1"),11.0)</f>
        <v>11</v>
      </c>
      <c r="J1609" s="47" t="s">
        <v>197</v>
      </c>
      <c r="K1609" s="1038" t="s">
        <v>11451</v>
      </c>
      <c r="L1609" s="47" t="s">
        <v>11452</v>
      </c>
      <c r="M1609" s="47"/>
      <c r="N1609" s="763"/>
      <c r="O1609" s="763"/>
      <c r="P1609" s="763"/>
      <c r="Q1609" s="763"/>
      <c r="R1609" s="763"/>
      <c r="S1609" s="763"/>
      <c r="T1609" s="763"/>
      <c r="U1609" s="763"/>
      <c r="V1609" s="763"/>
      <c r="W1609" s="763"/>
      <c r="X1609" s="763"/>
      <c r="Y1609" s="763"/>
      <c r="Z1609" s="763"/>
      <c r="AA1609" s="763"/>
      <c r="AB1609" s="763"/>
      <c r="AC1609" s="763"/>
      <c r="AD1609" s="763"/>
      <c r="AE1609" s="763"/>
      <c r="AF1609" s="763"/>
      <c r="AG1609" s="763"/>
    </row>
    <row r="1610">
      <c r="A1610" s="47" t="s">
        <v>2451</v>
      </c>
      <c r="B1610" s="47" t="s">
        <v>1794</v>
      </c>
      <c r="C1610" s="47"/>
      <c r="D1610" s="47"/>
      <c r="E1610" s="47" t="s">
        <v>2526</v>
      </c>
      <c r="F1610" s="47" t="s">
        <v>1968</v>
      </c>
      <c r="G1610" s="1079">
        <v>46258.0</v>
      </c>
      <c r="H1610" s="1079"/>
      <c r="I1610" s="47">
        <f>IFERROR(__xludf.DUMMYFUNCTION("IF(ISBLANK(H1610), TODAY()-TO_DATE(G1610), TO_DATE(H1610)-TO_DATE(G1610))+1"),11.0)</f>
        <v>11</v>
      </c>
      <c r="J1610" s="47" t="s">
        <v>197</v>
      </c>
      <c r="K1610" s="1038" t="s">
        <v>11453</v>
      </c>
      <c r="L1610" s="47" t="s">
        <v>11454</v>
      </c>
      <c r="M1610" s="47" t="s">
        <v>9226</v>
      </c>
      <c r="N1610" s="763"/>
      <c r="O1610" s="763"/>
      <c r="P1610" s="763"/>
      <c r="Q1610" s="763"/>
      <c r="R1610" s="763"/>
      <c r="S1610" s="763"/>
      <c r="T1610" s="763"/>
      <c r="U1610" s="763"/>
      <c r="V1610" s="763"/>
      <c r="W1610" s="763"/>
      <c r="X1610" s="763"/>
      <c r="Y1610" s="763"/>
      <c r="Z1610" s="763"/>
      <c r="AA1610" s="763"/>
      <c r="AB1610" s="763"/>
      <c r="AC1610" s="763"/>
      <c r="AD1610" s="763"/>
      <c r="AE1610" s="763"/>
      <c r="AF1610" s="763"/>
      <c r="AG1610" s="763"/>
    </row>
    <row r="1611">
      <c r="A1611" s="1016" t="s">
        <v>1448</v>
      </c>
      <c r="B1611" s="47" t="s">
        <v>1794</v>
      </c>
      <c r="C1611" s="47"/>
      <c r="D1611" s="47"/>
      <c r="E1611" s="47" t="s">
        <v>309</v>
      </c>
      <c r="F1611" s="47" t="s">
        <v>310</v>
      </c>
      <c r="G1611" s="1079">
        <v>46260.0</v>
      </c>
      <c r="H1611" s="1079"/>
      <c r="I1611" s="47">
        <f>IFERROR(__xludf.DUMMYFUNCTION("IF(ISBLANK(H1611), TODAY()-TO_DATE(G1611), TO_DATE(H1611)-TO_DATE(G1611))+1"),9.0)</f>
        <v>9</v>
      </c>
      <c r="J1611" s="47" t="s">
        <v>197</v>
      </c>
      <c r="K1611" s="47" t="s">
        <v>10418</v>
      </c>
      <c r="L1611" s="47" t="s">
        <v>11455</v>
      </c>
      <c r="M1611" s="47" t="s">
        <v>9226</v>
      </c>
      <c r="N1611" s="763"/>
      <c r="O1611" s="763"/>
      <c r="P1611" s="763"/>
      <c r="Q1611" s="763"/>
      <c r="R1611" s="763"/>
      <c r="S1611" s="763"/>
      <c r="T1611" s="763"/>
      <c r="U1611" s="763"/>
      <c r="V1611" s="763"/>
      <c r="W1611" s="763"/>
      <c r="X1611" s="763"/>
      <c r="Y1611" s="763"/>
      <c r="Z1611" s="763"/>
      <c r="AA1611" s="763"/>
      <c r="AB1611" s="763"/>
      <c r="AC1611" s="763"/>
      <c r="AD1611" s="763"/>
      <c r="AE1611" s="763"/>
      <c r="AF1611" s="763"/>
      <c r="AG1611" s="763"/>
    </row>
    <row r="1612">
      <c r="A1612" s="47" t="s">
        <v>9434</v>
      </c>
      <c r="B1612" s="47" t="s">
        <v>1794</v>
      </c>
      <c r="C1612" s="47"/>
      <c r="D1612" s="47"/>
      <c r="E1612" s="47" t="s">
        <v>10149</v>
      </c>
      <c r="F1612" s="47" t="s">
        <v>4024</v>
      </c>
      <c r="G1612" s="1079">
        <v>46260.0</v>
      </c>
      <c r="H1612" s="1079"/>
      <c r="I1612" s="47">
        <f>IFERROR(__xludf.DUMMYFUNCTION("IF(ISBLANK(H1612), TODAY()-TO_DATE(G1612), TO_DATE(H1612)-TO_DATE(G1612))+1"),9.0)</f>
        <v>9</v>
      </c>
      <c r="J1612" s="47" t="s">
        <v>197</v>
      </c>
      <c r="K1612" s="47" t="s">
        <v>10396</v>
      </c>
      <c r="L1612" s="47"/>
      <c r="M1612" s="47"/>
      <c r="N1612" s="763"/>
      <c r="O1612" s="763"/>
      <c r="P1612" s="763"/>
      <c r="Q1612" s="763"/>
      <c r="R1612" s="763"/>
      <c r="S1612" s="763"/>
      <c r="T1612" s="763"/>
      <c r="U1612" s="763"/>
      <c r="V1612" s="763"/>
      <c r="W1612" s="763"/>
      <c r="X1612" s="763"/>
      <c r="Y1612" s="763"/>
      <c r="Z1612" s="763"/>
      <c r="AA1612" s="763"/>
      <c r="AB1612" s="763"/>
      <c r="AC1612" s="763"/>
      <c r="AD1612" s="763"/>
      <c r="AE1612" s="763"/>
      <c r="AF1612" s="763"/>
      <c r="AG1612" s="763"/>
    </row>
    <row r="1613">
      <c r="A1613" s="1038" t="s">
        <v>1510</v>
      </c>
      <c r="B1613" s="47" t="s">
        <v>2328</v>
      </c>
      <c r="C1613" s="47"/>
      <c r="D1613" s="47"/>
      <c r="E1613" s="47" t="s">
        <v>9810</v>
      </c>
      <c r="F1613" s="1039" t="s">
        <v>9811</v>
      </c>
      <c r="G1613" s="1079">
        <v>46261.0</v>
      </c>
      <c r="H1613" s="1079"/>
      <c r="I1613" s="47">
        <f>IFERROR(__xludf.DUMMYFUNCTION("IF(ISBLANK(H1613), TODAY()-TO_DATE(G1613), TO_DATE(H1613)-TO_DATE(G1613))+1"),8.0)</f>
        <v>8</v>
      </c>
      <c r="J1613" s="47" t="s">
        <v>197</v>
      </c>
      <c r="K1613" s="47" t="s">
        <v>10728</v>
      </c>
      <c r="L1613" s="47"/>
      <c r="M1613" s="47"/>
      <c r="N1613" s="763"/>
      <c r="O1613" s="763"/>
      <c r="P1613" s="763"/>
      <c r="Q1613" s="763"/>
      <c r="R1613" s="763"/>
      <c r="S1613" s="763"/>
      <c r="T1613" s="763"/>
      <c r="U1613" s="763"/>
      <c r="V1613" s="763"/>
      <c r="W1613" s="763"/>
      <c r="X1613" s="763"/>
      <c r="Y1613" s="763"/>
      <c r="Z1613" s="763"/>
      <c r="AA1613" s="763"/>
      <c r="AB1613" s="763"/>
      <c r="AC1613" s="763"/>
      <c r="AD1613" s="763"/>
      <c r="AE1613" s="763"/>
      <c r="AF1613" s="763"/>
      <c r="AG1613" s="763"/>
    </row>
    <row r="1614">
      <c r="A1614" s="47" t="s">
        <v>2451</v>
      </c>
      <c r="B1614" s="47" t="s">
        <v>2328</v>
      </c>
      <c r="C1614" s="47"/>
      <c r="D1614" s="47"/>
      <c r="E1614" s="47" t="s">
        <v>2699</v>
      </c>
      <c r="F1614" s="47" t="s">
        <v>2702</v>
      </c>
      <c r="G1614" s="1079">
        <v>46261.0</v>
      </c>
      <c r="H1614" s="1079"/>
      <c r="I1614" s="47">
        <f>IFERROR(__xludf.DUMMYFUNCTION("IF(ISBLANK(H1614), TODAY()-TO_DATE(G1614), TO_DATE(H1614)-TO_DATE(G1614))+1"),8.0)</f>
        <v>8</v>
      </c>
      <c r="J1614" s="47" t="s">
        <v>197</v>
      </c>
      <c r="K1614" s="47" t="s">
        <v>11460</v>
      </c>
      <c r="L1614" s="47" t="s">
        <v>11461</v>
      </c>
      <c r="M1614" s="47" t="s">
        <v>9226</v>
      </c>
      <c r="N1614" s="763"/>
      <c r="O1614" s="763"/>
      <c r="P1614" s="763"/>
      <c r="Q1614" s="763"/>
      <c r="R1614" s="763"/>
      <c r="S1614" s="763"/>
      <c r="T1614" s="763"/>
      <c r="U1614" s="763"/>
      <c r="V1614" s="763"/>
      <c r="W1614" s="763"/>
      <c r="X1614" s="763"/>
      <c r="Y1614" s="763"/>
      <c r="Z1614" s="763"/>
      <c r="AA1614" s="763"/>
      <c r="AB1614" s="763"/>
      <c r="AC1614" s="763"/>
      <c r="AD1614" s="763"/>
      <c r="AE1614" s="763"/>
      <c r="AF1614" s="763"/>
      <c r="AG1614" s="763"/>
    </row>
    <row r="1615">
      <c r="A1615" s="47" t="s">
        <v>150</v>
      </c>
      <c r="B1615" s="47" t="s">
        <v>2328</v>
      </c>
      <c r="C1615" s="47"/>
      <c r="D1615" s="47"/>
      <c r="E1615" s="47" t="s">
        <v>6396</v>
      </c>
      <c r="F1615" s="47" t="s">
        <v>6397</v>
      </c>
      <c r="G1615" s="1079">
        <v>46262.0</v>
      </c>
      <c r="H1615" s="1079"/>
      <c r="I1615" s="47">
        <f>IFERROR(__xludf.DUMMYFUNCTION("IF(ISBLANK(H1615), TODAY()-TO_DATE(G1615), TO_DATE(H1615)-TO_DATE(G1615))+1"),7.0)</f>
        <v>7</v>
      </c>
      <c r="J1615" s="47" t="s">
        <v>197</v>
      </c>
      <c r="K1615" s="47" t="s">
        <v>11464</v>
      </c>
      <c r="L1615" s="47" t="s">
        <v>11465</v>
      </c>
      <c r="M1615" s="47"/>
      <c r="N1615" s="763"/>
      <c r="O1615" s="763"/>
      <c r="P1615" s="763"/>
      <c r="Q1615" s="763"/>
      <c r="R1615" s="763"/>
      <c r="S1615" s="763"/>
      <c r="T1615" s="763"/>
      <c r="U1615" s="763"/>
      <c r="V1615" s="763"/>
      <c r="W1615" s="763"/>
      <c r="X1615" s="763"/>
      <c r="Y1615" s="763"/>
      <c r="Z1615" s="763"/>
      <c r="AA1615" s="763"/>
      <c r="AB1615" s="763"/>
      <c r="AC1615" s="763"/>
      <c r="AD1615" s="763"/>
      <c r="AE1615" s="763"/>
      <c r="AF1615" s="763"/>
      <c r="AG1615" s="763"/>
    </row>
    <row r="1616">
      <c r="A1616" s="47" t="s">
        <v>1032</v>
      </c>
      <c r="B1616" s="47" t="s">
        <v>2328</v>
      </c>
      <c r="C1616" s="47"/>
      <c r="D1616" s="47"/>
      <c r="E1616" s="47" t="s">
        <v>6756</v>
      </c>
      <c r="F1616" s="47" t="s">
        <v>5690</v>
      </c>
      <c r="G1616" s="1079">
        <v>46262.0</v>
      </c>
      <c r="H1616" s="1079"/>
      <c r="I1616" s="47">
        <f>IFERROR(__xludf.DUMMYFUNCTION("IF(ISBLANK(H1616), TODAY()-TO_DATE(G1616), TO_DATE(H1616)-TO_DATE(G1616))+1"),7.0)</f>
        <v>7</v>
      </c>
      <c r="J1616" s="47" t="s">
        <v>197</v>
      </c>
      <c r="K1616" s="47" t="s">
        <v>11466</v>
      </c>
      <c r="L1616" s="47" t="s">
        <v>11467</v>
      </c>
      <c r="M1616" s="47" t="s">
        <v>9226</v>
      </c>
      <c r="N1616" s="763"/>
      <c r="O1616" s="763"/>
      <c r="P1616" s="763"/>
      <c r="Q1616" s="763"/>
      <c r="R1616" s="763"/>
      <c r="S1616" s="763"/>
      <c r="T1616" s="763"/>
      <c r="U1616" s="763"/>
      <c r="V1616" s="763"/>
      <c r="W1616" s="763"/>
      <c r="X1616" s="763"/>
      <c r="Y1616" s="763"/>
      <c r="Z1616" s="763"/>
      <c r="AA1616" s="763"/>
      <c r="AB1616" s="763"/>
      <c r="AC1616" s="763"/>
      <c r="AD1616" s="763"/>
      <c r="AE1616" s="763"/>
      <c r="AF1616" s="763"/>
      <c r="AG1616" s="763"/>
    </row>
    <row r="1617">
      <c r="A1617" s="47" t="s">
        <v>1032</v>
      </c>
      <c r="B1617" s="47" t="s">
        <v>2328</v>
      </c>
      <c r="C1617" s="47"/>
      <c r="D1617" s="47"/>
      <c r="E1617" s="47" t="s">
        <v>5978</v>
      </c>
      <c r="F1617" s="47" t="s">
        <v>5980</v>
      </c>
      <c r="G1617" s="1079">
        <v>46262.0</v>
      </c>
      <c r="H1617" s="1079">
        <v>46268.0</v>
      </c>
      <c r="I1617" s="47">
        <f>IFERROR(__xludf.DUMMYFUNCTION("IF(ISBLANK(H1617), TODAY()-TO_DATE(G1617), TO_DATE(H1617)-TO_DATE(G1617))+1"),7.0)</f>
        <v>7</v>
      </c>
      <c r="J1617" s="47">
        <v>500.0</v>
      </c>
      <c r="K1617" s="47" t="s">
        <v>11469</v>
      </c>
      <c r="L1617" s="47"/>
      <c r="M1617" s="47"/>
      <c r="N1617" s="763"/>
      <c r="O1617" s="763"/>
      <c r="P1617" s="763"/>
      <c r="Q1617" s="763"/>
      <c r="R1617" s="763"/>
      <c r="S1617" s="763"/>
      <c r="T1617" s="763"/>
      <c r="U1617" s="763"/>
      <c r="V1617" s="763"/>
      <c r="W1617" s="763"/>
      <c r="X1617" s="763"/>
      <c r="Y1617" s="763"/>
      <c r="Z1617" s="763"/>
      <c r="AA1617" s="763"/>
      <c r="AB1617" s="763"/>
      <c r="AC1617" s="763"/>
      <c r="AD1617" s="763"/>
      <c r="AE1617" s="763"/>
      <c r="AF1617" s="763"/>
      <c r="AG1617" s="763"/>
    </row>
    <row r="1618">
      <c r="A1618" s="47" t="s">
        <v>1032</v>
      </c>
      <c r="B1618" s="47" t="s">
        <v>2328</v>
      </c>
      <c r="C1618" s="47"/>
      <c r="D1618" s="47"/>
      <c r="E1618" s="47" t="s">
        <v>4526</v>
      </c>
      <c r="F1618" s="47" t="s">
        <v>4527</v>
      </c>
      <c r="G1618" s="1079">
        <v>46262.0</v>
      </c>
      <c r="H1618" s="1079"/>
      <c r="I1618" s="47">
        <f>IFERROR(__xludf.DUMMYFUNCTION("IF(ISBLANK(H1618), TODAY()-TO_DATE(G1618), TO_DATE(H1618)-TO_DATE(G1618))+1"),7.0)</f>
        <v>7</v>
      </c>
      <c r="J1618" s="47" t="s">
        <v>197</v>
      </c>
      <c r="K1618" s="47" t="s">
        <v>10003</v>
      </c>
      <c r="L1618" s="47"/>
      <c r="M1618" s="47"/>
      <c r="N1618" s="763"/>
      <c r="O1618" s="763"/>
      <c r="P1618" s="763"/>
      <c r="Q1618" s="763"/>
      <c r="R1618" s="763"/>
      <c r="S1618" s="763"/>
      <c r="T1618" s="763"/>
      <c r="U1618" s="763"/>
      <c r="V1618" s="763"/>
      <c r="W1618" s="763"/>
      <c r="X1618" s="763"/>
      <c r="Y1618" s="763"/>
      <c r="Z1618" s="763"/>
      <c r="AA1618" s="763"/>
      <c r="AB1618" s="763"/>
      <c r="AC1618" s="763"/>
      <c r="AD1618" s="763"/>
      <c r="AE1618" s="763"/>
      <c r="AF1618" s="763"/>
      <c r="AG1618" s="763"/>
    </row>
    <row r="1619">
      <c r="A1619" s="47" t="s">
        <v>2451</v>
      </c>
      <c r="B1619" s="47" t="s">
        <v>2328</v>
      </c>
      <c r="C1619" s="47"/>
      <c r="D1619" s="47"/>
      <c r="E1619" s="47" t="s">
        <v>4274</v>
      </c>
      <c r="F1619" s="47" t="s">
        <v>4276</v>
      </c>
      <c r="G1619" s="1079">
        <v>46263.0</v>
      </c>
      <c r="H1619" s="1079"/>
      <c r="I1619" s="47">
        <f>IFERROR(__xludf.DUMMYFUNCTION("IF(ISBLANK(H1619), TODAY()-TO_DATE(G1619), TO_DATE(H1619)-TO_DATE(G1619))+1"),6.0)</f>
        <v>6</v>
      </c>
      <c r="J1619" s="47" t="s">
        <v>197</v>
      </c>
      <c r="K1619" s="47" t="s">
        <v>11472</v>
      </c>
      <c r="L1619" s="47" t="s">
        <v>11473</v>
      </c>
      <c r="M1619" s="47" t="s">
        <v>9226</v>
      </c>
      <c r="N1619" s="763"/>
      <c r="O1619" s="763"/>
      <c r="P1619" s="763"/>
      <c r="Q1619" s="763"/>
      <c r="R1619" s="763"/>
      <c r="S1619" s="763"/>
      <c r="T1619" s="763"/>
      <c r="U1619" s="763"/>
      <c r="V1619" s="763"/>
      <c r="W1619" s="763"/>
      <c r="X1619" s="763"/>
      <c r="Y1619" s="763"/>
      <c r="Z1619" s="763"/>
      <c r="AA1619" s="763"/>
      <c r="AB1619" s="763"/>
      <c r="AC1619" s="763"/>
      <c r="AD1619" s="763"/>
      <c r="AE1619" s="763"/>
      <c r="AF1619" s="763"/>
      <c r="AG1619" s="763"/>
    </row>
    <row r="1620">
      <c r="A1620" s="47" t="s">
        <v>150</v>
      </c>
      <c r="B1620" s="47" t="s">
        <v>2328</v>
      </c>
      <c r="C1620" s="47"/>
      <c r="D1620" s="47"/>
      <c r="E1620" s="47" t="s">
        <v>2730</v>
      </c>
      <c r="F1620" s="47" t="s">
        <v>2732</v>
      </c>
      <c r="G1620" s="1079">
        <v>46263.0</v>
      </c>
      <c r="H1620" s="1079"/>
      <c r="I1620" s="47">
        <f>IFERROR(__xludf.DUMMYFUNCTION("IF(ISBLANK(H1620), TODAY()-TO_DATE(G1620), TO_DATE(H1620)-TO_DATE(G1620))+1"),6.0)</f>
        <v>6</v>
      </c>
      <c r="J1620" s="47" t="s">
        <v>197</v>
      </c>
      <c r="K1620" s="47" t="s">
        <v>10147</v>
      </c>
      <c r="L1620" s="1016"/>
      <c r="M1620" s="47" t="s">
        <v>9226</v>
      </c>
      <c r="N1620" s="763"/>
      <c r="O1620" s="763"/>
      <c r="P1620" s="763"/>
      <c r="Q1620" s="763"/>
      <c r="R1620" s="763"/>
      <c r="S1620" s="763"/>
      <c r="T1620" s="763"/>
      <c r="U1620" s="763"/>
      <c r="V1620" s="763"/>
      <c r="W1620" s="763"/>
      <c r="X1620" s="763"/>
      <c r="Y1620" s="763"/>
      <c r="Z1620" s="763"/>
      <c r="AA1620" s="763"/>
      <c r="AB1620" s="763"/>
      <c r="AC1620" s="763"/>
      <c r="AD1620" s="763"/>
      <c r="AE1620" s="763"/>
      <c r="AF1620" s="763"/>
      <c r="AG1620" s="763"/>
    </row>
    <row r="1621">
      <c r="A1621" s="47" t="s">
        <v>1032</v>
      </c>
      <c r="B1621" s="47" t="s">
        <v>2328</v>
      </c>
      <c r="C1621" s="47"/>
      <c r="D1621" s="47"/>
      <c r="E1621" s="47" t="s">
        <v>6487</v>
      </c>
      <c r="F1621" s="47" t="s">
        <v>6488</v>
      </c>
      <c r="G1621" s="1079">
        <v>46265.0</v>
      </c>
      <c r="H1621" s="1079"/>
      <c r="I1621" s="47">
        <f>IFERROR(__xludf.DUMMYFUNCTION("IF(ISBLANK(H1621), TODAY()-TO_DATE(G1621), TO_DATE(H1621)-TO_DATE(G1621))+1"),4.0)</f>
        <v>4</v>
      </c>
      <c r="J1621" s="47" t="s">
        <v>197</v>
      </c>
      <c r="K1621" s="47" t="s">
        <v>10085</v>
      </c>
      <c r="L1621" s="47" t="s">
        <v>11478</v>
      </c>
      <c r="M1621" s="47" t="s">
        <v>9226</v>
      </c>
      <c r="N1621" s="763"/>
      <c r="O1621" s="763"/>
      <c r="P1621" s="763"/>
      <c r="Q1621" s="763"/>
      <c r="R1621" s="763"/>
      <c r="S1621" s="763"/>
      <c r="T1621" s="763"/>
      <c r="U1621" s="763"/>
      <c r="V1621" s="763"/>
      <c r="W1621" s="763"/>
      <c r="X1621" s="763"/>
      <c r="Y1621" s="763"/>
      <c r="Z1621" s="763"/>
      <c r="AA1621" s="763"/>
      <c r="AB1621" s="763"/>
      <c r="AC1621" s="763"/>
      <c r="AD1621" s="763"/>
      <c r="AE1621" s="763"/>
      <c r="AF1621" s="763"/>
      <c r="AG1621" s="763"/>
    </row>
    <row r="1622">
      <c r="A1622" s="47" t="s">
        <v>1448</v>
      </c>
      <c r="B1622" s="47" t="s">
        <v>2328</v>
      </c>
      <c r="C1622" s="47"/>
      <c r="D1622" s="47"/>
      <c r="E1622" s="47" t="s">
        <v>9044</v>
      </c>
      <c r="F1622" s="47" t="s">
        <v>9045</v>
      </c>
      <c r="G1622" s="1079">
        <v>46265.0</v>
      </c>
      <c r="H1622" s="1079"/>
      <c r="I1622" s="47">
        <f>IFERROR(__xludf.DUMMYFUNCTION("IF(ISBLANK(H1622), TODAY()-TO_DATE(G1622), TO_DATE(H1622)-TO_DATE(G1622))+1"),4.0)</f>
        <v>4</v>
      </c>
      <c r="J1622" s="47" t="s">
        <v>197</v>
      </c>
      <c r="K1622" s="47" t="s">
        <v>10000</v>
      </c>
      <c r="L1622" s="47"/>
      <c r="M1622" s="47"/>
      <c r="N1622" s="763"/>
      <c r="O1622" s="763"/>
      <c r="P1622" s="763"/>
      <c r="Q1622" s="763"/>
      <c r="R1622" s="763"/>
      <c r="S1622" s="763"/>
      <c r="T1622" s="763"/>
      <c r="U1622" s="763"/>
      <c r="V1622" s="763"/>
      <c r="W1622" s="763"/>
      <c r="X1622" s="763"/>
      <c r="Y1622" s="763"/>
      <c r="Z1622" s="763"/>
      <c r="AA1622" s="763"/>
      <c r="AB1622" s="763"/>
      <c r="AC1622" s="763"/>
      <c r="AD1622" s="763"/>
      <c r="AE1622" s="763"/>
      <c r="AF1622" s="763"/>
      <c r="AG1622" s="763"/>
    </row>
    <row r="1623">
      <c r="A1623" s="47" t="s">
        <v>2451</v>
      </c>
      <c r="B1623" s="47" t="s">
        <v>2328</v>
      </c>
      <c r="C1623" s="47"/>
      <c r="D1623" s="47"/>
      <c r="E1623" s="47" t="s">
        <v>2942</v>
      </c>
      <c r="F1623" s="47" t="s">
        <v>1287</v>
      </c>
      <c r="G1623" s="1079">
        <v>46265.0</v>
      </c>
      <c r="H1623" s="1079"/>
      <c r="I1623" s="47">
        <f>IFERROR(__xludf.DUMMYFUNCTION("IF(ISBLANK(H1623), TODAY()-TO_DATE(G1623), TO_DATE(H1623)-TO_DATE(G1623))+1"),4.0)</f>
        <v>4</v>
      </c>
      <c r="J1623" s="47" t="s">
        <v>197</v>
      </c>
      <c r="K1623" s="47" t="s">
        <v>11481</v>
      </c>
      <c r="L1623" s="47" t="s">
        <v>11482</v>
      </c>
      <c r="M1623" s="47" t="s">
        <v>9226</v>
      </c>
      <c r="N1623" s="763"/>
      <c r="O1623" s="763"/>
      <c r="P1623" s="763"/>
      <c r="Q1623" s="763"/>
      <c r="R1623" s="763"/>
      <c r="S1623" s="763"/>
      <c r="T1623" s="763"/>
      <c r="U1623" s="763"/>
      <c r="V1623" s="763"/>
      <c r="W1623" s="763"/>
      <c r="X1623" s="763"/>
      <c r="Y1623" s="763"/>
      <c r="Z1623" s="763"/>
      <c r="AA1623" s="763"/>
      <c r="AB1623" s="763"/>
      <c r="AC1623" s="763"/>
      <c r="AD1623" s="763"/>
      <c r="AE1623" s="763"/>
      <c r="AF1623" s="763"/>
      <c r="AG1623" s="763"/>
    </row>
    <row r="1624">
      <c r="A1624" s="47" t="s">
        <v>1032</v>
      </c>
      <c r="B1624" s="47" t="s">
        <v>2328</v>
      </c>
      <c r="C1624" s="47"/>
      <c r="D1624" s="47"/>
      <c r="E1624" s="47" t="s">
        <v>5788</v>
      </c>
      <c r="F1624" s="47" t="s">
        <v>5789</v>
      </c>
      <c r="G1624" s="1079">
        <v>46265.0</v>
      </c>
      <c r="H1624" s="1079"/>
      <c r="I1624" s="47">
        <f>IFERROR(__xludf.DUMMYFUNCTION("IF(ISBLANK(H1624), TODAY()-TO_DATE(G1624), TO_DATE(H1624)-TO_DATE(G1624))+1"),4.0)</f>
        <v>4</v>
      </c>
      <c r="J1624" s="47" t="s">
        <v>197</v>
      </c>
      <c r="K1624" s="47" t="s">
        <v>11483</v>
      </c>
      <c r="L1624" s="47"/>
      <c r="M1624" s="47" t="s">
        <v>9226</v>
      </c>
      <c r="N1624" s="763"/>
      <c r="O1624" s="763"/>
      <c r="P1624" s="763"/>
      <c r="Q1624" s="763"/>
      <c r="R1624" s="763"/>
      <c r="S1624" s="763"/>
      <c r="T1624" s="763"/>
      <c r="U1624" s="763"/>
      <c r="V1624" s="763"/>
      <c r="W1624" s="763"/>
      <c r="X1624" s="763"/>
      <c r="Y1624" s="763"/>
      <c r="Z1624" s="763"/>
      <c r="AA1624" s="763"/>
      <c r="AB1624" s="763"/>
      <c r="AC1624" s="763"/>
      <c r="AD1624" s="763"/>
      <c r="AE1624" s="763"/>
      <c r="AF1624" s="763"/>
      <c r="AG1624" s="763"/>
    </row>
    <row r="1625">
      <c r="A1625" s="47" t="s">
        <v>2451</v>
      </c>
      <c r="B1625" s="47" t="s">
        <v>2328</v>
      </c>
      <c r="C1625" s="47"/>
      <c r="D1625" s="47"/>
      <c r="E1625" s="1038" t="s">
        <v>2750</v>
      </c>
      <c r="F1625" s="1038" t="s">
        <v>2753</v>
      </c>
      <c r="G1625" s="1079">
        <v>46266.0</v>
      </c>
      <c r="H1625" s="1079"/>
      <c r="I1625" s="47">
        <f>IFERROR(__xludf.DUMMYFUNCTION("IF(ISBLANK(H1625), TODAY()-TO_DATE(G1625), TO_DATE(H1625)-TO_DATE(G1625))+1"),3.0)</f>
        <v>3</v>
      </c>
      <c r="J1625" s="47" t="s">
        <v>197</v>
      </c>
      <c r="K1625" s="47" t="s">
        <v>11487</v>
      </c>
      <c r="L1625" s="47" t="s">
        <v>11488</v>
      </c>
      <c r="M1625" s="47" t="s">
        <v>9226</v>
      </c>
      <c r="N1625" s="763"/>
      <c r="O1625" s="763"/>
      <c r="P1625" s="763"/>
      <c r="Q1625" s="763"/>
      <c r="R1625" s="763"/>
      <c r="S1625" s="763"/>
      <c r="T1625" s="763"/>
      <c r="U1625" s="763"/>
      <c r="V1625" s="763"/>
      <c r="W1625" s="763"/>
      <c r="X1625" s="763"/>
      <c r="Y1625" s="763"/>
      <c r="Z1625" s="763"/>
      <c r="AA1625" s="763"/>
      <c r="AB1625" s="763"/>
      <c r="AC1625" s="763"/>
      <c r="AD1625" s="763"/>
      <c r="AE1625" s="763"/>
      <c r="AF1625" s="763"/>
      <c r="AG1625" s="763"/>
    </row>
    <row r="1626">
      <c r="A1626" s="47" t="s">
        <v>2451</v>
      </c>
      <c r="B1626" s="47" t="s">
        <v>2328</v>
      </c>
      <c r="C1626" s="47"/>
      <c r="D1626" s="47"/>
      <c r="E1626" s="1038" t="s">
        <v>2314</v>
      </c>
      <c r="F1626" s="1038" t="s">
        <v>2316</v>
      </c>
      <c r="G1626" s="1079">
        <v>46266.0</v>
      </c>
      <c r="H1626" s="1079"/>
      <c r="I1626" s="47">
        <f>IFERROR(__xludf.DUMMYFUNCTION("IF(ISBLANK(H1626), TODAY()-TO_DATE(G1626), TO_DATE(H1626)-TO_DATE(G1626))+1"),3.0)</f>
        <v>3</v>
      </c>
      <c r="J1626" s="47" t="s">
        <v>197</v>
      </c>
      <c r="K1626" s="47" t="s">
        <v>11489</v>
      </c>
      <c r="L1626" s="47" t="s">
        <v>9662</v>
      </c>
      <c r="M1626" s="47"/>
      <c r="N1626" s="763"/>
      <c r="O1626" s="763"/>
      <c r="P1626" s="763"/>
      <c r="Q1626" s="763"/>
      <c r="R1626" s="763"/>
      <c r="S1626" s="763"/>
      <c r="T1626" s="763"/>
      <c r="U1626" s="763"/>
      <c r="V1626" s="763"/>
      <c r="W1626" s="763"/>
      <c r="X1626" s="763"/>
      <c r="Y1626" s="763"/>
      <c r="Z1626" s="763"/>
      <c r="AA1626" s="763"/>
      <c r="AB1626" s="763"/>
      <c r="AC1626" s="763"/>
      <c r="AD1626" s="763"/>
      <c r="AE1626" s="763"/>
      <c r="AF1626" s="763"/>
      <c r="AG1626" s="763"/>
    </row>
    <row r="1627">
      <c r="A1627" s="1016"/>
      <c r="B1627" s="1016"/>
      <c r="C1627" s="1016"/>
      <c r="D1627" s="1016"/>
      <c r="E1627" s="1016"/>
      <c r="F1627" s="1016"/>
      <c r="G1627" s="1101"/>
      <c r="H1627" s="1102"/>
      <c r="I1627" s="1016"/>
      <c r="J1627" s="1016"/>
      <c r="K1627" s="1016"/>
      <c r="L1627" s="1016"/>
      <c r="M1627" s="1016"/>
      <c r="N1627" s="763"/>
      <c r="O1627" s="763"/>
      <c r="P1627" s="763"/>
      <c r="Q1627" s="763"/>
      <c r="R1627" s="763"/>
      <c r="S1627" s="763"/>
      <c r="T1627" s="763"/>
      <c r="U1627" s="763"/>
      <c r="V1627" s="763"/>
      <c r="W1627" s="763"/>
      <c r="X1627" s="763"/>
      <c r="Y1627" s="763"/>
      <c r="Z1627" s="763"/>
      <c r="AA1627" s="763"/>
      <c r="AB1627" s="763"/>
      <c r="AC1627" s="763"/>
      <c r="AD1627" s="763"/>
      <c r="AE1627" s="763"/>
      <c r="AF1627" s="763"/>
      <c r="AG1627" s="763"/>
    </row>
    <row r="1628">
      <c r="A1628" s="1016"/>
      <c r="B1628" s="1016"/>
      <c r="C1628" s="1016"/>
      <c r="D1628" s="1016"/>
      <c r="E1628" s="1016"/>
      <c r="F1628" s="1016"/>
      <c r="G1628" s="1101"/>
      <c r="H1628" s="1102"/>
      <c r="I1628" s="1016"/>
      <c r="J1628" s="1016"/>
      <c r="K1628" s="1016"/>
      <c r="L1628" s="1016"/>
      <c r="M1628" s="1016"/>
      <c r="N1628" s="763"/>
      <c r="O1628" s="763"/>
      <c r="P1628" s="763"/>
      <c r="Q1628" s="763"/>
      <c r="R1628" s="763"/>
      <c r="S1628" s="763"/>
      <c r="T1628" s="763"/>
      <c r="U1628" s="763"/>
      <c r="V1628" s="763"/>
      <c r="W1628" s="763"/>
      <c r="X1628" s="763"/>
      <c r="Y1628" s="763"/>
      <c r="Z1628" s="763"/>
      <c r="AA1628" s="763"/>
      <c r="AB1628" s="763"/>
      <c r="AC1628" s="763"/>
      <c r="AD1628" s="763"/>
      <c r="AE1628" s="763"/>
      <c r="AF1628" s="763"/>
      <c r="AG1628" s="763"/>
    </row>
    <row r="1629">
      <c r="A1629" s="1016"/>
      <c r="B1629" s="1016"/>
      <c r="C1629" s="1016"/>
      <c r="D1629" s="1016"/>
      <c r="E1629" s="1016"/>
      <c r="F1629" s="1016"/>
      <c r="G1629" s="1101"/>
      <c r="H1629" s="1102"/>
      <c r="I1629" s="1016"/>
      <c r="J1629" s="1016"/>
      <c r="K1629" s="1016"/>
      <c r="L1629" s="1016"/>
      <c r="M1629" s="1016"/>
      <c r="N1629" s="763"/>
      <c r="O1629" s="763"/>
      <c r="P1629" s="763"/>
      <c r="Q1629" s="763"/>
      <c r="R1629" s="763"/>
      <c r="S1629" s="763"/>
      <c r="T1629" s="763"/>
      <c r="U1629" s="763"/>
      <c r="V1629" s="763"/>
      <c r="W1629" s="763"/>
      <c r="X1629" s="763"/>
      <c r="Y1629" s="763"/>
      <c r="Z1629" s="763"/>
      <c r="AA1629" s="763"/>
      <c r="AB1629" s="763"/>
      <c r="AC1629" s="763"/>
      <c r="AD1629" s="763"/>
      <c r="AE1629" s="763"/>
      <c r="AF1629" s="763"/>
      <c r="AG1629" s="763"/>
    </row>
    <row r="1630">
      <c r="A1630" s="1016"/>
      <c r="B1630" s="1016"/>
      <c r="C1630" s="1016"/>
      <c r="D1630" s="1016"/>
      <c r="E1630" s="1016"/>
      <c r="F1630" s="1016"/>
      <c r="G1630" s="1101"/>
      <c r="H1630" s="1102"/>
      <c r="I1630" s="1016"/>
      <c r="J1630" s="1016"/>
      <c r="K1630" s="1016"/>
      <c r="L1630" s="1016"/>
      <c r="M1630" s="1016"/>
      <c r="N1630" s="763"/>
      <c r="O1630" s="763"/>
      <c r="P1630" s="763"/>
      <c r="Q1630" s="763"/>
      <c r="R1630" s="763"/>
      <c r="S1630" s="763"/>
      <c r="T1630" s="763"/>
      <c r="U1630" s="763"/>
      <c r="V1630" s="763"/>
      <c r="W1630" s="763"/>
      <c r="X1630" s="763"/>
      <c r="Y1630" s="763"/>
      <c r="Z1630" s="763"/>
      <c r="AA1630" s="763"/>
      <c r="AB1630" s="763"/>
      <c r="AC1630" s="763"/>
      <c r="AD1630" s="763"/>
      <c r="AE1630" s="763"/>
      <c r="AF1630" s="763"/>
      <c r="AG1630" s="763"/>
    </row>
    <row r="1631">
      <c r="A1631" s="1016"/>
      <c r="B1631" s="1016"/>
      <c r="C1631" s="1016"/>
      <c r="D1631" s="1016"/>
      <c r="E1631" s="1016"/>
      <c r="F1631" s="1016"/>
      <c r="G1631" s="1101"/>
      <c r="H1631" s="1102"/>
      <c r="I1631" s="1016"/>
      <c r="J1631" s="1016"/>
      <c r="K1631" s="1016"/>
      <c r="L1631" s="1016"/>
      <c r="M1631" s="1016"/>
      <c r="N1631" s="763"/>
      <c r="O1631" s="763"/>
      <c r="P1631" s="763"/>
      <c r="Q1631" s="763"/>
      <c r="R1631" s="763"/>
      <c r="S1631" s="763"/>
      <c r="T1631" s="763"/>
      <c r="U1631" s="763"/>
      <c r="V1631" s="763"/>
      <c r="W1631" s="763"/>
      <c r="X1631" s="763"/>
      <c r="Y1631" s="763"/>
      <c r="Z1631" s="763"/>
      <c r="AA1631" s="763"/>
      <c r="AB1631" s="763"/>
      <c r="AC1631" s="763"/>
      <c r="AD1631" s="763"/>
      <c r="AE1631" s="763"/>
      <c r="AF1631" s="763"/>
      <c r="AG1631" s="763"/>
    </row>
    <row r="1632">
      <c r="A1632" s="1016"/>
      <c r="B1632" s="1016"/>
      <c r="C1632" s="1016"/>
      <c r="D1632" s="1016"/>
      <c r="E1632" s="1016"/>
      <c r="F1632" s="1016"/>
      <c r="G1632" s="1101"/>
      <c r="H1632" s="1102"/>
      <c r="I1632" s="1016"/>
      <c r="J1632" s="1016"/>
      <c r="K1632" s="1016"/>
      <c r="L1632" s="1016"/>
      <c r="M1632" s="1016"/>
      <c r="N1632" s="763"/>
      <c r="O1632" s="763"/>
      <c r="P1632" s="763"/>
      <c r="Q1632" s="763"/>
      <c r="R1632" s="763"/>
      <c r="S1632" s="763"/>
      <c r="T1632" s="763"/>
      <c r="U1632" s="763"/>
      <c r="V1632" s="763"/>
      <c r="W1632" s="763"/>
      <c r="X1632" s="763"/>
      <c r="Y1632" s="763"/>
      <c r="Z1632" s="763"/>
      <c r="AA1632" s="763"/>
      <c r="AB1632" s="763"/>
      <c r="AC1632" s="763"/>
      <c r="AD1632" s="763"/>
      <c r="AE1632" s="763"/>
      <c r="AF1632" s="763"/>
      <c r="AG1632" s="763"/>
    </row>
    <row r="1633">
      <c r="A1633" s="1016"/>
      <c r="B1633" s="1016"/>
      <c r="C1633" s="1016"/>
      <c r="D1633" s="1016"/>
      <c r="E1633" s="1016"/>
      <c r="F1633" s="1016"/>
      <c r="G1633" s="1101"/>
      <c r="H1633" s="1102"/>
      <c r="I1633" s="1016"/>
      <c r="J1633" s="1016"/>
      <c r="K1633" s="1016"/>
      <c r="L1633" s="1016"/>
      <c r="M1633" s="1016"/>
      <c r="N1633" s="763"/>
      <c r="O1633" s="763"/>
      <c r="P1633" s="763"/>
      <c r="Q1633" s="763"/>
      <c r="R1633" s="763"/>
      <c r="S1633" s="763"/>
      <c r="T1633" s="763"/>
      <c r="U1633" s="763"/>
      <c r="V1633" s="763"/>
      <c r="W1633" s="763"/>
      <c r="X1633" s="763"/>
      <c r="Y1633" s="763"/>
      <c r="Z1633" s="763"/>
      <c r="AA1633" s="763"/>
      <c r="AB1633" s="763"/>
      <c r="AC1633" s="763"/>
      <c r="AD1633" s="763"/>
      <c r="AE1633" s="763"/>
      <c r="AF1633" s="763"/>
      <c r="AG1633" s="763"/>
    </row>
  </sheetData>
  <autoFilter ref="$A$1:$AG$1626"/>
  <conditionalFormatting sqref="E24 E1006:E1007">
    <cfRule type="expression" dxfId="0" priority="1">
      <formula>COUNTIF(#REF!, E24) &gt; 1</formula>
    </cfRule>
  </conditionalFormatting>
  <conditionalFormatting sqref="E1005">
    <cfRule type="expression" dxfId="0" priority="2">
      <formula>COUNTIF(#REF!, E1005) &gt; 1</formula>
    </cfRule>
  </conditionalFormatting>
  <conditionalFormatting sqref="E1002:E1004">
    <cfRule type="expression" dxfId="0" priority="3">
      <formula>COUNTIF(#REF!, E1002) &gt; 1</formula>
    </cfRule>
  </conditionalFormatting>
  <conditionalFormatting sqref="E996:E999 E1001:F1001 E1008:E1009">
    <cfRule type="expression" dxfId="0" priority="4">
      <formula>COUNTIF($M$1:$M1633, E996) &gt; 1</formula>
    </cfRule>
  </conditionalFormatting>
  <conditionalFormatting sqref="E837:E838 E888 E908:E909 E930 E939 E945 E956 E960 E1289 E1294:E1296 E1318:E1322 E1333">
    <cfRule type="expression" dxfId="0" priority="5">
      <formula>COUNTIF($N$1:$N1633, E837) &gt; 1</formula>
    </cfRule>
  </conditionalFormatting>
  <conditionalFormatting sqref="E557 E569:E571 E589:E590 E602:E605 E672:E673 E753 E755:E765">
    <cfRule type="expression" dxfId="0" priority="6">
      <formula>COUNTIF($L$1:$L1633, E557) &gt; 1</formula>
    </cfRule>
  </conditionalFormatting>
  <conditionalFormatting sqref="E448:E482">
    <cfRule type="expression" dxfId="0" priority="7">
      <formula>COUNTIF($K$1:$K1633, E448) &gt; 1</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3" width="12.0"/>
    <col customWidth="1" min="14" max="14" width="42.38"/>
    <col customWidth="1" min="15" max="46" width="12.0"/>
  </cols>
  <sheetData>
    <row r="1" ht="46.5" customHeight="1">
      <c r="A1" s="9" t="s">
        <v>1</v>
      </c>
      <c r="B1" s="14" t="s">
        <v>28</v>
      </c>
      <c r="C1" s="17" t="s">
        <v>25</v>
      </c>
      <c r="D1" s="17" t="s">
        <v>30</v>
      </c>
      <c r="E1" s="21" t="s">
        <v>35</v>
      </c>
      <c r="F1" s="21" t="s">
        <v>42</v>
      </c>
      <c r="G1" s="24"/>
      <c r="H1" s="26" t="s">
        <v>46</v>
      </c>
      <c r="I1" s="30" t="s">
        <v>47</v>
      </c>
      <c r="J1" s="33" t="s">
        <v>48</v>
      </c>
      <c r="K1" s="26" t="s">
        <v>50</v>
      </c>
      <c r="M1" s="26" t="s">
        <v>4</v>
      </c>
      <c r="N1" s="33" t="s">
        <v>51</v>
      </c>
      <c r="O1" s="33" t="s">
        <v>52</v>
      </c>
      <c r="P1" s="41" t="s">
        <v>1</v>
      </c>
      <c r="Q1" s="45" t="s">
        <v>59</v>
      </c>
      <c r="R1" s="26" t="s">
        <v>61</v>
      </c>
      <c r="S1" s="49" t="s">
        <v>66</v>
      </c>
      <c r="T1" s="49" t="s">
        <v>71</v>
      </c>
      <c r="U1" s="54" t="s">
        <v>72</v>
      </c>
      <c r="V1" s="54" t="s">
        <v>77</v>
      </c>
      <c r="W1" s="54" t="s">
        <v>80</v>
      </c>
      <c r="X1" s="57"/>
      <c r="Y1" s="54" t="s">
        <v>85</v>
      </c>
      <c r="Z1" s="59" t="s">
        <v>91</v>
      </c>
      <c r="AA1" s="59" t="s">
        <v>93</v>
      </c>
      <c r="AB1" s="54" t="s">
        <v>24</v>
      </c>
      <c r="AC1" s="54" t="s">
        <v>94</v>
      </c>
      <c r="AD1" s="61"/>
      <c r="AE1" s="61"/>
      <c r="AF1" s="61"/>
      <c r="AG1" s="61"/>
      <c r="AH1" s="61"/>
      <c r="AI1" s="61"/>
      <c r="AJ1" s="61"/>
      <c r="AK1" s="61"/>
      <c r="AL1" s="61"/>
      <c r="AM1" s="61"/>
      <c r="AN1" s="61"/>
      <c r="AO1" s="61"/>
      <c r="AP1" s="61"/>
      <c r="AQ1" s="61"/>
      <c r="AR1" s="61"/>
      <c r="AS1" s="61"/>
      <c r="AT1" s="61"/>
    </row>
    <row r="2">
      <c r="A2" s="64"/>
      <c r="B2" s="66"/>
      <c r="C2" s="68" t="s">
        <v>109</v>
      </c>
      <c r="D2" s="68"/>
      <c r="E2" s="71"/>
      <c r="F2" s="68"/>
      <c r="G2" s="68"/>
      <c r="H2" s="68"/>
      <c r="I2" s="68"/>
      <c r="J2" s="73" t="s">
        <v>114</v>
      </c>
      <c r="K2" s="73" t="s">
        <v>60</v>
      </c>
      <c r="M2" s="74" t="s">
        <v>115</v>
      </c>
      <c r="N2" s="75">
        <v>34338.0</v>
      </c>
      <c r="O2" s="68">
        <f t="shared" ref="O2:O10" si="1">DATEDIF($N2,TODAY(),"Y")</f>
        <v>32</v>
      </c>
      <c r="P2" s="68" t="s">
        <v>129</v>
      </c>
      <c r="Q2" s="81"/>
      <c r="R2" s="83" t="s">
        <v>136</v>
      </c>
      <c r="S2" s="64"/>
      <c r="T2" s="68"/>
      <c r="U2" s="83" t="s">
        <v>145</v>
      </c>
      <c r="V2" s="68" t="s">
        <v>146</v>
      </c>
      <c r="W2" s="68"/>
      <c r="X2" s="68" t="s">
        <v>114</v>
      </c>
      <c r="Y2" s="68"/>
      <c r="Z2" s="83" t="s">
        <v>150</v>
      </c>
      <c r="AA2" s="83" t="s">
        <v>150</v>
      </c>
      <c r="AB2" s="68" t="s">
        <v>154</v>
      </c>
      <c r="AC2" s="73" t="s">
        <v>155</v>
      </c>
      <c r="AD2" s="61"/>
      <c r="AE2" s="91"/>
      <c r="AF2" s="91"/>
      <c r="AG2" s="91"/>
      <c r="AH2" s="91"/>
      <c r="AI2" s="91"/>
      <c r="AJ2" s="91"/>
      <c r="AK2" s="91"/>
      <c r="AL2" s="91"/>
      <c r="AM2" s="91"/>
      <c r="AN2" s="91"/>
      <c r="AO2" s="91"/>
      <c r="AP2" s="91"/>
      <c r="AQ2" s="91"/>
      <c r="AR2" s="91"/>
      <c r="AS2" s="91"/>
      <c r="AT2" s="91"/>
    </row>
    <row r="3">
      <c r="A3" s="94"/>
      <c r="B3" s="94"/>
      <c r="C3" s="95" t="s">
        <v>109</v>
      </c>
      <c r="D3" s="94"/>
      <c r="E3" s="94"/>
      <c r="F3" s="94"/>
      <c r="G3" s="94"/>
      <c r="H3" s="94"/>
      <c r="I3" s="94"/>
      <c r="J3" s="96" t="s">
        <v>114</v>
      </c>
      <c r="K3" s="96" t="s">
        <v>60</v>
      </c>
      <c r="M3" s="98" t="s">
        <v>172</v>
      </c>
      <c r="N3" s="75">
        <v>31934.0</v>
      </c>
      <c r="O3" s="95">
        <f t="shared" si="1"/>
        <v>39</v>
      </c>
      <c r="P3" s="95" t="s">
        <v>175</v>
      </c>
      <c r="Q3" s="100"/>
      <c r="R3" s="98" t="s">
        <v>136</v>
      </c>
      <c r="S3" s="94"/>
      <c r="T3" s="95" t="s">
        <v>182</v>
      </c>
      <c r="U3" s="95" t="s">
        <v>183</v>
      </c>
      <c r="V3" s="95" t="s">
        <v>184</v>
      </c>
      <c r="W3" s="95" t="s">
        <v>185</v>
      </c>
      <c r="X3" s="94"/>
      <c r="Y3" s="94"/>
      <c r="Z3" s="94"/>
      <c r="AA3" s="94"/>
      <c r="AB3" s="94"/>
      <c r="AC3" s="103">
        <v>45971.0</v>
      </c>
      <c r="AD3" s="104"/>
      <c r="AE3" s="104"/>
      <c r="AF3" s="104"/>
      <c r="AG3" s="104"/>
      <c r="AH3" s="104"/>
      <c r="AI3" s="104"/>
      <c r="AJ3" s="104"/>
      <c r="AK3" s="104"/>
      <c r="AL3" s="104"/>
      <c r="AM3" s="104"/>
      <c r="AN3" s="104"/>
      <c r="AO3" s="104"/>
      <c r="AP3" s="104"/>
      <c r="AQ3" s="104"/>
      <c r="AR3" s="104"/>
      <c r="AS3" s="104"/>
      <c r="AT3" s="104"/>
    </row>
    <row r="4">
      <c r="A4" s="94"/>
      <c r="B4" s="105"/>
      <c r="C4" s="95" t="s">
        <v>109</v>
      </c>
      <c r="D4" s="94"/>
      <c r="E4" s="107" t="s">
        <v>196</v>
      </c>
      <c r="F4" s="94"/>
      <c r="G4" s="94"/>
      <c r="H4" s="94"/>
      <c r="I4" s="94"/>
      <c r="J4" s="95" t="s">
        <v>114</v>
      </c>
      <c r="K4" s="96" t="s">
        <v>60</v>
      </c>
      <c r="M4" s="98" t="s">
        <v>200</v>
      </c>
      <c r="N4" s="103">
        <v>32688.0</v>
      </c>
      <c r="O4" s="95">
        <f t="shared" si="1"/>
        <v>37</v>
      </c>
      <c r="P4" s="96" t="s">
        <v>209</v>
      </c>
      <c r="Q4" s="100"/>
      <c r="R4" s="98" t="s">
        <v>136</v>
      </c>
      <c r="S4" s="94"/>
      <c r="T4" s="95" t="s">
        <v>145</v>
      </c>
      <c r="U4" s="95" t="s">
        <v>146</v>
      </c>
      <c r="V4" s="94"/>
      <c r="W4" s="95" t="s">
        <v>114</v>
      </c>
      <c r="X4" s="94"/>
      <c r="Y4" s="113"/>
      <c r="Z4" s="94"/>
      <c r="AA4" s="94"/>
      <c r="AB4" s="94"/>
      <c r="AC4" s="103">
        <v>45970.0</v>
      </c>
      <c r="AD4" s="104"/>
      <c r="AE4" s="104"/>
      <c r="AF4" s="104"/>
      <c r="AG4" s="104"/>
      <c r="AH4" s="104"/>
      <c r="AI4" s="104"/>
      <c r="AJ4" s="104"/>
      <c r="AK4" s="104"/>
      <c r="AL4" s="104"/>
      <c r="AM4" s="104"/>
      <c r="AN4" s="104"/>
      <c r="AO4" s="104"/>
      <c r="AP4" s="104"/>
      <c r="AQ4" s="104"/>
      <c r="AR4" s="104"/>
      <c r="AS4" s="104"/>
      <c r="AT4" s="104"/>
    </row>
    <row r="5">
      <c r="A5" s="94"/>
      <c r="B5" s="94"/>
      <c r="C5" s="95" t="s">
        <v>109</v>
      </c>
      <c r="D5" s="94"/>
      <c r="E5" s="94"/>
      <c r="F5" s="94"/>
      <c r="G5" s="94"/>
      <c r="H5" s="94"/>
      <c r="I5" s="94"/>
      <c r="J5" s="96" t="s">
        <v>114</v>
      </c>
      <c r="K5" s="96" t="s">
        <v>60</v>
      </c>
      <c r="M5" s="98" t="s">
        <v>231</v>
      </c>
      <c r="N5" s="75">
        <v>32699.0</v>
      </c>
      <c r="O5" s="95">
        <f t="shared" si="1"/>
        <v>37</v>
      </c>
      <c r="P5" s="95" t="s">
        <v>235</v>
      </c>
      <c r="Q5" s="100"/>
      <c r="R5" s="98" t="s">
        <v>136</v>
      </c>
      <c r="S5" s="94"/>
      <c r="T5" s="95" t="s">
        <v>182</v>
      </c>
      <c r="U5" s="95" t="s">
        <v>183</v>
      </c>
      <c r="V5" s="95" t="s">
        <v>184</v>
      </c>
      <c r="W5" s="95" t="s">
        <v>185</v>
      </c>
      <c r="X5" s="94"/>
      <c r="Y5" s="113"/>
      <c r="Z5" s="94"/>
      <c r="AA5" s="119"/>
      <c r="AB5" s="94"/>
      <c r="AC5" s="103">
        <v>45936.0</v>
      </c>
      <c r="AD5" s="104"/>
      <c r="AE5" s="104"/>
      <c r="AF5" s="104"/>
      <c r="AG5" s="104"/>
      <c r="AH5" s="104"/>
      <c r="AI5" s="104"/>
      <c r="AJ5" s="104"/>
      <c r="AK5" s="104"/>
      <c r="AL5" s="104"/>
      <c r="AM5" s="104"/>
      <c r="AN5" s="104"/>
      <c r="AO5" s="104"/>
      <c r="AP5" s="104"/>
      <c r="AQ5" s="104"/>
      <c r="AR5" s="104"/>
      <c r="AS5" s="104"/>
      <c r="AT5" s="104"/>
    </row>
    <row r="6">
      <c r="A6" s="94"/>
      <c r="B6" s="94"/>
      <c r="C6" s="95" t="s">
        <v>109</v>
      </c>
      <c r="D6" s="94"/>
      <c r="E6" s="94"/>
      <c r="F6" s="94"/>
      <c r="G6" s="94"/>
      <c r="H6" s="94"/>
      <c r="I6" s="94"/>
      <c r="J6" s="96" t="s">
        <v>114</v>
      </c>
      <c r="K6" s="96" t="s">
        <v>60</v>
      </c>
      <c r="M6" s="98" t="s">
        <v>248</v>
      </c>
      <c r="N6" s="75">
        <v>27081.0</v>
      </c>
      <c r="O6" s="95">
        <f t="shared" si="1"/>
        <v>52</v>
      </c>
      <c r="P6" s="123" t="s">
        <v>251</v>
      </c>
      <c r="Q6" s="100"/>
      <c r="R6" s="98" t="s">
        <v>136</v>
      </c>
      <c r="S6" s="94"/>
      <c r="T6" s="95" t="s">
        <v>182</v>
      </c>
      <c r="U6" s="95" t="s">
        <v>183</v>
      </c>
      <c r="V6" s="95" t="s">
        <v>184</v>
      </c>
      <c r="W6" s="95" t="s">
        <v>114</v>
      </c>
      <c r="X6" s="94"/>
      <c r="Y6" s="113"/>
      <c r="Z6" s="94"/>
      <c r="AA6" s="94"/>
      <c r="AB6" s="125"/>
      <c r="AC6" s="103">
        <v>45924.0</v>
      </c>
      <c r="AD6" s="104"/>
      <c r="AE6" s="104"/>
      <c r="AF6" s="104"/>
      <c r="AG6" s="104"/>
      <c r="AH6" s="104"/>
      <c r="AI6" s="104"/>
      <c r="AJ6" s="104"/>
      <c r="AK6" s="104"/>
      <c r="AL6" s="104"/>
      <c r="AM6" s="104"/>
      <c r="AN6" s="104"/>
      <c r="AO6" s="104"/>
      <c r="AP6" s="104"/>
      <c r="AQ6" s="104"/>
      <c r="AR6" s="104"/>
      <c r="AS6" s="104"/>
      <c r="AT6" s="104"/>
    </row>
    <row r="7">
      <c r="A7" s="94"/>
      <c r="B7" s="94"/>
      <c r="C7" s="95" t="s">
        <v>109</v>
      </c>
      <c r="D7" s="94"/>
      <c r="E7" s="128" t="s">
        <v>271</v>
      </c>
      <c r="F7" s="94"/>
      <c r="G7" s="94"/>
      <c r="H7" s="94"/>
      <c r="I7" s="94"/>
      <c r="J7" s="96" t="s">
        <v>114</v>
      </c>
      <c r="K7" s="129" t="s">
        <v>60</v>
      </c>
      <c r="M7" s="98" t="s">
        <v>280</v>
      </c>
      <c r="N7" s="75">
        <v>32782.0</v>
      </c>
      <c r="O7" s="95">
        <f t="shared" si="1"/>
        <v>36</v>
      </c>
      <c r="P7" s="130" t="s">
        <v>282</v>
      </c>
      <c r="Q7" s="100"/>
      <c r="R7" s="98" t="s">
        <v>136</v>
      </c>
      <c r="S7" s="94"/>
      <c r="T7" s="95" t="s">
        <v>145</v>
      </c>
      <c r="U7" s="95" t="s">
        <v>146</v>
      </c>
      <c r="V7" s="129" t="s">
        <v>290</v>
      </c>
      <c r="W7" s="95" t="s">
        <v>185</v>
      </c>
      <c r="X7" s="94"/>
      <c r="Y7" s="113"/>
      <c r="Z7" s="95" t="s">
        <v>291</v>
      </c>
      <c r="AA7" s="95" t="s">
        <v>292</v>
      </c>
      <c r="AB7" s="119"/>
      <c r="AC7" s="133">
        <v>45946.0</v>
      </c>
      <c r="AD7" s="104"/>
      <c r="AE7" s="104"/>
      <c r="AF7" s="104"/>
      <c r="AG7" s="104"/>
      <c r="AH7" s="104"/>
      <c r="AI7" s="104"/>
      <c r="AJ7" s="104"/>
      <c r="AK7" s="104"/>
      <c r="AL7" s="104"/>
      <c r="AM7" s="104"/>
      <c r="AN7" s="104"/>
      <c r="AO7" s="104"/>
      <c r="AP7" s="104"/>
      <c r="AQ7" s="104"/>
      <c r="AR7" s="104"/>
      <c r="AS7" s="104"/>
      <c r="AT7" s="104"/>
    </row>
    <row r="8">
      <c r="A8" s="94"/>
      <c r="B8" s="94"/>
      <c r="C8" s="95" t="s">
        <v>109</v>
      </c>
      <c r="D8" s="94"/>
      <c r="E8" s="128" t="s">
        <v>303</v>
      </c>
      <c r="F8" s="94"/>
      <c r="G8" s="94"/>
      <c r="H8" s="94"/>
      <c r="I8" s="94"/>
      <c r="J8" s="96" t="s">
        <v>114</v>
      </c>
      <c r="K8" s="96" t="s">
        <v>60</v>
      </c>
      <c r="M8" s="98" t="s">
        <v>305</v>
      </c>
      <c r="N8" s="75">
        <v>29119.0</v>
      </c>
      <c r="O8" s="95">
        <f t="shared" si="1"/>
        <v>46</v>
      </c>
      <c r="P8" s="95" t="s">
        <v>308</v>
      </c>
      <c r="Q8" s="100"/>
      <c r="R8" s="98" t="s">
        <v>136</v>
      </c>
      <c r="S8" s="94"/>
      <c r="T8" s="95" t="s">
        <v>145</v>
      </c>
      <c r="U8" s="95" t="s">
        <v>146</v>
      </c>
      <c r="V8" s="94"/>
      <c r="W8" s="95" t="s">
        <v>185</v>
      </c>
      <c r="X8" s="94"/>
      <c r="Y8" s="113"/>
      <c r="Z8" s="95" t="s">
        <v>291</v>
      </c>
      <c r="AA8" s="95" t="s">
        <v>292</v>
      </c>
      <c r="AB8" s="94"/>
      <c r="AC8" s="133">
        <v>45946.0</v>
      </c>
      <c r="AD8" s="104"/>
      <c r="AE8" s="104"/>
      <c r="AF8" s="104"/>
      <c r="AG8" s="104"/>
      <c r="AH8" s="104"/>
      <c r="AI8" s="104"/>
      <c r="AJ8" s="104"/>
      <c r="AK8" s="104"/>
      <c r="AL8" s="104"/>
      <c r="AM8" s="104"/>
      <c r="AN8" s="104"/>
      <c r="AO8" s="104"/>
      <c r="AP8" s="104"/>
      <c r="AQ8" s="104"/>
      <c r="AR8" s="104"/>
      <c r="AS8" s="104"/>
      <c r="AT8" s="104"/>
    </row>
    <row r="9">
      <c r="A9" s="94"/>
      <c r="B9" s="94"/>
      <c r="C9" s="95" t="s">
        <v>109</v>
      </c>
      <c r="D9" s="94"/>
      <c r="E9" s="94"/>
      <c r="F9" s="94"/>
      <c r="G9" s="94"/>
      <c r="H9" s="94"/>
      <c r="I9" s="94"/>
      <c r="J9" s="96" t="s">
        <v>114</v>
      </c>
      <c r="K9" s="96" t="s">
        <v>60</v>
      </c>
      <c r="M9" s="98" t="s">
        <v>325</v>
      </c>
      <c r="N9" s="75">
        <v>29097.0</v>
      </c>
      <c r="O9" s="95">
        <f t="shared" si="1"/>
        <v>47</v>
      </c>
      <c r="P9" s="95" t="s">
        <v>327</v>
      </c>
      <c r="Q9" s="100"/>
      <c r="R9" s="98" t="s">
        <v>136</v>
      </c>
      <c r="S9" s="94"/>
      <c r="T9" s="95" t="s">
        <v>145</v>
      </c>
      <c r="U9" s="95" t="s">
        <v>146</v>
      </c>
      <c r="V9" s="94"/>
      <c r="W9" s="95" t="s">
        <v>185</v>
      </c>
      <c r="X9" s="94"/>
      <c r="Y9" s="94"/>
      <c r="Z9" s="94"/>
      <c r="AA9" s="94"/>
      <c r="AB9" s="94"/>
      <c r="AC9" s="103">
        <v>45934.0</v>
      </c>
      <c r="AD9" s="104"/>
      <c r="AE9" s="104"/>
      <c r="AF9" s="104"/>
      <c r="AG9" s="104"/>
      <c r="AH9" s="104"/>
      <c r="AI9" s="104"/>
      <c r="AJ9" s="104"/>
      <c r="AK9" s="104"/>
      <c r="AL9" s="104"/>
      <c r="AM9" s="104"/>
      <c r="AN9" s="104"/>
      <c r="AO9" s="104"/>
      <c r="AP9" s="104"/>
      <c r="AQ9" s="104"/>
      <c r="AR9" s="104"/>
      <c r="AS9" s="104"/>
      <c r="AT9" s="104"/>
    </row>
    <row r="10">
      <c r="A10" s="94"/>
      <c r="B10" s="94"/>
      <c r="C10" s="95" t="s">
        <v>109</v>
      </c>
      <c r="D10" s="94"/>
      <c r="E10" s="128" t="s">
        <v>336</v>
      </c>
      <c r="F10" s="94"/>
      <c r="G10" s="94"/>
      <c r="H10" s="94"/>
      <c r="I10" s="94"/>
      <c r="J10" s="96" t="s">
        <v>114</v>
      </c>
      <c r="K10" s="96" t="s">
        <v>60</v>
      </c>
      <c r="M10" s="138" t="s">
        <v>338</v>
      </c>
      <c r="N10" s="75">
        <v>29346.0</v>
      </c>
      <c r="O10" s="95">
        <f t="shared" si="1"/>
        <v>46</v>
      </c>
      <c r="P10" s="95" t="s">
        <v>341</v>
      </c>
      <c r="Q10" s="100"/>
      <c r="R10" s="130" t="s">
        <v>344</v>
      </c>
      <c r="S10" s="94"/>
      <c r="T10" s="95" t="s">
        <v>145</v>
      </c>
      <c r="U10" s="95" t="s">
        <v>146</v>
      </c>
      <c r="V10" s="94"/>
      <c r="W10" s="95" t="s">
        <v>348</v>
      </c>
      <c r="X10" s="94"/>
      <c r="Y10" s="94"/>
      <c r="Z10" s="94"/>
      <c r="AA10" s="95" t="s">
        <v>155</v>
      </c>
      <c r="AB10" s="95" t="s">
        <v>351</v>
      </c>
      <c r="AC10" s="129" t="s">
        <v>352</v>
      </c>
      <c r="AD10" s="104"/>
      <c r="AE10" s="104"/>
      <c r="AF10" s="104"/>
      <c r="AG10" s="104"/>
      <c r="AH10" s="104"/>
      <c r="AI10" s="104"/>
      <c r="AJ10" s="104"/>
      <c r="AK10" s="104"/>
      <c r="AL10" s="104"/>
      <c r="AM10" s="104"/>
      <c r="AN10" s="104"/>
      <c r="AO10" s="104"/>
      <c r="AP10" s="104"/>
      <c r="AQ10" s="104"/>
      <c r="AR10" s="104"/>
      <c r="AS10" s="104"/>
      <c r="AT10" s="104"/>
    </row>
    <row r="11">
      <c r="A11" s="94"/>
      <c r="B11" s="105"/>
      <c r="C11" s="94"/>
      <c r="D11" s="94"/>
      <c r="E11" s="128" t="s">
        <v>358</v>
      </c>
      <c r="F11" s="94"/>
      <c r="G11" s="94"/>
      <c r="H11" s="94"/>
      <c r="I11" s="94"/>
      <c r="J11" s="95" t="s">
        <v>114</v>
      </c>
      <c r="K11" s="96" t="s">
        <v>60</v>
      </c>
      <c r="M11" s="138" t="s">
        <v>361</v>
      </c>
      <c r="N11" s="119"/>
      <c r="O11" s="94"/>
      <c r="P11" s="95" t="s">
        <v>365</v>
      </c>
      <c r="Q11" s="100"/>
      <c r="R11" s="140" t="s">
        <v>368</v>
      </c>
      <c r="S11" s="94"/>
      <c r="T11" s="95" t="s">
        <v>145</v>
      </c>
      <c r="U11" s="95" t="s">
        <v>371</v>
      </c>
      <c r="V11" s="95" t="s">
        <v>372</v>
      </c>
      <c r="W11" s="95" t="s">
        <v>185</v>
      </c>
      <c r="X11" s="95" t="s">
        <v>150</v>
      </c>
      <c r="Y11" s="95" t="s">
        <v>150</v>
      </c>
      <c r="Z11" s="94"/>
      <c r="AA11" s="94"/>
      <c r="AB11" s="81" t="s">
        <v>375</v>
      </c>
      <c r="AC11" s="142">
        <v>45977.0</v>
      </c>
      <c r="AD11" s="104"/>
      <c r="AE11" s="104"/>
      <c r="AF11" s="104"/>
      <c r="AG11" s="104"/>
      <c r="AH11" s="104"/>
      <c r="AI11" s="104"/>
      <c r="AJ11" s="104"/>
      <c r="AK11" s="104"/>
      <c r="AL11" s="104"/>
      <c r="AM11" s="104"/>
      <c r="AN11" s="104"/>
      <c r="AO11" s="104"/>
      <c r="AP11" s="104"/>
      <c r="AQ11" s="104"/>
      <c r="AR11" s="104"/>
      <c r="AS11" s="104"/>
      <c r="AT11" s="104"/>
    </row>
    <row r="12">
      <c r="A12" s="94"/>
      <c r="B12" s="105"/>
      <c r="C12" s="94"/>
      <c r="D12" s="94"/>
      <c r="E12" s="128" t="s">
        <v>381</v>
      </c>
      <c r="F12" s="94"/>
      <c r="G12" s="94"/>
      <c r="H12" s="94"/>
      <c r="I12" s="94"/>
      <c r="J12" s="94"/>
      <c r="K12" s="96" t="s">
        <v>60</v>
      </c>
      <c r="M12" s="138" t="s">
        <v>383</v>
      </c>
      <c r="N12" s="119"/>
      <c r="O12" s="94"/>
      <c r="P12" s="95" t="s">
        <v>384</v>
      </c>
      <c r="Q12" s="100"/>
      <c r="R12" s="140" t="s">
        <v>368</v>
      </c>
      <c r="S12" s="94"/>
      <c r="T12" s="95" t="s">
        <v>145</v>
      </c>
      <c r="U12" s="95" t="s">
        <v>371</v>
      </c>
      <c r="V12" s="95" t="s">
        <v>372</v>
      </c>
      <c r="W12" s="95" t="s">
        <v>185</v>
      </c>
      <c r="X12" s="94"/>
      <c r="Y12" s="94"/>
      <c r="Z12" s="94"/>
      <c r="AA12" s="94"/>
      <c r="AB12" s="81" t="s">
        <v>375</v>
      </c>
      <c r="AC12" s="142">
        <v>45974.0</v>
      </c>
      <c r="AD12" s="104"/>
      <c r="AE12" s="104"/>
      <c r="AF12" s="104"/>
      <c r="AG12" s="104"/>
      <c r="AH12" s="104"/>
      <c r="AI12" s="104"/>
      <c r="AJ12" s="104"/>
      <c r="AK12" s="104"/>
      <c r="AL12" s="104"/>
      <c r="AM12" s="104"/>
      <c r="AN12" s="104"/>
      <c r="AO12" s="104"/>
      <c r="AP12" s="104"/>
      <c r="AQ12" s="104"/>
      <c r="AR12" s="104"/>
      <c r="AS12" s="104"/>
      <c r="AT12" s="104"/>
    </row>
    <row r="13">
      <c r="A13" s="94"/>
      <c r="B13" s="105"/>
      <c r="C13" s="95" t="s">
        <v>109</v>
      </c>
      <c r="D13" s="94"/>
      <c r="E13" s="128" t="s">
        <v>394</v>
      </c>
      <c r="F13" s="94"/>
      <c r="G13" s="94"/>
      <c r="H13" s="94"/>
      <c r="I13" s="94"/>
      <c r="J13" s="95" t="s">
        <v>114</v>
      </c>
      <c r="K13" s="95" t="s">
        <v>60</v>
      </c>
      <c r="M13" s="138" t="s">
        <v>395</v>
      </c>
      <c r="N13" s="119"/>
      <c r="O13" s="94"/>
      <c r="P13" s="96" t="s">
        <v>310</v>
      </c>
      <c r="Q13" s="100"/>
      <c r="R13" s="140" t="s">
        <v>368</v>
      </c>
      <c r="S13" s="94"/>
      <c r="T13" s="95" t="s">
        <v>145</v>
      </c>
      <c r="U13" s="95" t="s">
        <v>146</v>
      </c>
      <c r="V13" s="94"/>
      <c r="W13" s="95" t="s">
        <v>114</v>
      </c>
      <c r="X13" s="94"/>
      <c r="Y13" s="94"/>
      <c r="Z13" s="94"/>
      <c r="AA13" s="94"/>
      <c r="AB13" s="95" t="s">
        <v>375</v>
      </c>
      <c r="AC13" s="142">
        <v>45967.0</v>
      </c>
      <c r="AD13" s="104"/>
      <c r="AE13" s="104"/>
      <c r="AF13" s="104"/>
      <c r="AG13" s="104"/>
      <c r="AH13" s="104"/>
      <c r="AI13" s="104"/>
      <c r="AJ13" s="104"/>
      <c r="AK13" s="104"/>
      <c r="AL13" s="104"/>
      <c r="AM13" s="104"/>
      <c r="AN13" s="104"/>
      <c r="AO13" s="104"/>
      <c r="AP13" s="104"/>
      <c r="AQ13" s="104"/>
      <c r="AR13" s="104"/>
      <c r="AS13" s="104"/>
      <c r="AT13" s="104"/>
    </row>
    <row r="14">
      <c r="A14" s="94"/>
      <c r="B14" s="105"/>
      <c r="C14" s="95" t="s">
        <v>109</v>
      </c>
      <c r="D14" s="94"/>
      <c r="E14" s="107" t="s">
        <v>404</v>
      </c>
      <c r="F14" s="94"/>
      <c r="G14" s="94"/>
      <c r="H14" s="94"/>
      <c r="I14" s="94"/>
      <c r="J14" s="95" t="s">
        <v>114</v>
      </c>
      <c r="K14" s="96" t="s">
        <v>60</v>
      </c>
      <c r="M14" s="138" t="s">
        <v>409</v>
      </c>
      <c r="N14" s="133">
        <v>28412.0</v>
      </c>
      <c r="O14" s="95">
        <f t="shared" ref="O14:O27" si="2">DATEDIF($N14,TODAY(),"Y")</f>
        <v>48</v>
      </c>
      <c r="P14" s="96" t="s">
        <v>416</v>
      </c>
      <c r="Q14" s="100"/>
      <c r="R14" s="140" t="s">
        <v>368</v>
      </c>
      <c r="S14" s="94"/>
      <c r="T14" s="95" t="s">
        <v>182</v>
      </c>
      <c r="U14" s="95" t="s">
        <v>183</v>
      </c>
      <c r="V14" s="123" t="s">
        <v>418</v>
      </c>
      <c r="W14" s="95" t="s">
        <v>185</v>
      </c>
      <c r="X14" s="94"/>
      <c r="Y14" s="94"/>
      <c r="Z14" s="94"/>
      <c r="AA14" s="95" t="s">
        <v>421</v>
      </c>
      <c r="AB14" s="95" t="s">
        <v>423</v>
      </c>
      <c r="AC14" s="149" t="s">
        <v>424</v>
      </c>
      <c r="AD14" s="104"/>
      <c r="AE14" s="104"/>
      <c r="AF14" s="104"/>
      <c r="AG14" s="104"/>
      <c r="AH14" s="104"/>
      <c r="AI14" s="104"/>
      <c r="AJ14" s="104"/>
      <c r="AK14" s="104"/>
      <c r="AL14" s="104"/>
      <c r="AM14" s="104"/>
      <c r="AN14" s="104"/>
      <c r="AO14" s="104"/>
      <c r="AP14" s="104"/>
      <c r="AQ14" s="104"/>
      <c r="AR14" s="104"/>
      <c r="AS14" s="104"/>
      <c r="AT14" s="104"/>
    </row>
    <row r="15">
      <c r="A15" s="94"/>
      <c r="B15" s="94"/>
      <c r="C15" s="95" t="s">
        <v>109</v>
      </c>
      <c r="D15" s="94"/>
      <c r="E15" s="94"/>
      <c r="F15" s="94"/>
      <c r="G15" s="94"/>
      <c r="H15" s="94"/>
      <c r="I15" s="94"/>
      <c r="J15" s="96" t="s">
        <v>114</v>
      </c>
      <c r="K15" s="96" t="s">
        <v>60</v>
      </c>
      <c r="M15" s="95" t="s">
        <v>433</v>
      </c>
      <c r="N15" s="75">
        <v>30558.0</v>
      </c>
      <c r="O15" s="95">
        <f t="shared" si="2"/>
        <v>43</v>
      </c>
      <c r="P15" s="95" t="s">
        <v>435</v>
      </c>
      <c r="Q15" s="100"/>
      <c r="R15" s="140" t="s">
        <v>368</v>
      </c>
      <c r="S15" s="94"/>
      <c r="T15" s="95" t="s">
        <v>145</v>
      </c>
      <c r="U15" s="95" t="s">
        <v>146</v>
      </c>
      <c r="V15" s="94"/>
      <c r="W15" s="95" t="s">
        <v>185</v>
      </c>
      <c r="X15" s="94"/>
      <c r="Y15" s="94"/>
      <c r="Z15" s="94"/>
      <c r="AA15" s="95" t="s">
        <v>441</v>
      </c>
      <c r="AB15" s="96" t="s">
        <v>442</v>
      </c>
      <c r="AC15" s="149" t="s">
        <v>443</v>
      </c>
      <c r="AD15" s="104"/>
      <c r="AE15" s="104"/>
      <c r="AF15" s="104"/>
      <c r="AG15" s="104"/>
      <c r="AH15" s="104"/>
      <c r="AI15" s="104"/>
      <c r="AJ15" s="104"/>
      <c r="AK15" s="104"/>
      <c r="AL15" s="104"/>
      <c r="AM15" s="104"/>
      <c r="AN15" s="104"/>
      <c r="AO15" s="104"/>
      <c r="AP15" s="104"/>
      <c r="AQ15" s="104"/>
      <c r="AR15" s="104"/>
      <c r="AS15" s="104"/>
      <c r="AT15" s="104"/>
    </row>
    <row r="16">
      <c r="A16" s="94"/>
      <c r="B16" s="105"/>
      <c r="C16" s="95" t="s">
        <v>109</v>
      </c>
      <c r="D16" s="94"/>
      <c r="E16" s="128" t="s">
        <v>447</v>
      </c>
      <c r="F16" s="94"/>
      <c r="G16" s="94"/>
      <c r="H16" s="94"/>
      <c r="I16" s="94"/>
      <c r="J16" s="95" t="s">
        <v>114</v>
      </c>
      <c r="K16" s="96" t="s">
        <v>60</v>
      </c>
      <c r="M16" s="138" t="s">
        <v>448</v>
      </c>
      <c r="N16" s="103">
        <v>34541.0</v>
      </c>
      <c r="O16" s="95">
        <f t="shared" si="2"/>
        <v>32</v>
      </c>
      <c r="P16" s="96" t="s">
        <v>452</v>
      </c>
      <c r="Q16" s="100"/>
      <c r="R16" s="140" t="s">
        <v>368</v>
      </c>
      <c r="S16" s="94"/>
      <c r="T16" s="95" t="s">
        <v>182</v>
      </c>
      <c r="U16" s="95" t="s">
        <v>183</v>
      </c>
      <c r="V16" s="95" t="s">
        <v>184</v>
      </c>
      <c r="W16" s="95" t="s">
        <v>114</v>
      </c>
      <c r="X16" s="94"/>
      <c r="Y16" s="94"/>
      <c r="Z16" s="94"/>
      <c r="AA16" s="95" t="s">
        <v>292</v>
      </c>
      <c r="AB16" s="95" t="s">
        <v>351</v>
      </c>
      <c r="AC16" s="149" t="s">
        <v>458</v>
      </c>
      <c r="AD16" s="104"/>
      <c r="AE16" s="104"/>
      <c r="AF16" s="104"/>
      <c r="AG16" s="104"/>
      <c r="AH16" s="104"/>
      <c r="AI16" s="104"/>
      <c r="AJ16" s="104"/>
      <c r="AK16" s="104"/>
      <c r="AL16" s="104"/>
      <c r="AM16" s="104"/>
      <c r="AN16" s="104"/>
      <c r="AO16" s="104"/>
      <c r="AP16" s="104"/>
      <c r="AQ16" s="104"/>
      <c r="AR16" s="104"/>
      <c r="AS16" s="104"/>
      <c r="AT16" s="104"/>
    </row>
    <row r="17">
      <c r="A17" s="94"/>
      <c r="B17" s="105"/>
      <c r="C17" s="95" t="s">
        <v>109</v>
      </c>
      <c r="D17" s="94"/>
      <c r="E17" s="128" t="s">
        <v>465</v>
      </c>
      <c r="F17" s="94"/>
      <c r="G17" s="94"/>
      <c r="H17" s="94"/>
      <c r="I17" s="94"/>
      <c r="J17" s="95" t="s">
        <v>114</v>
      </c>
      <c r="K17" s="96" t="s">
        <v>60</v>
      </c>
      <c r="M17" s="138" t="s">
        <v>469</v>
      </c>
      <c r="N17" s="151"/>
      <c r="O17" s="95">
        <f t="shared" si="2"/>
        <v>126</v>
      </c>
      <c r="P17" s="95" t="s">
        <v>193</v>
      </c>
      <c r="Q17" s="100"/>
      <c r="R17" s="140" t="s">
        <v>368</v>
      </c>
      <c r="S17" s="94"/>
      <c r="T17" s="95" t="s">
        <v>186</v>
      </c>
      <c r="U17" s="95" t="s">
        <v>183</v>
      </c>
      <c r="V17" s="95" t="s">
        <v>184</v>
      </c>
      <c r="W17" s="95" t="s">
        <v>114</v>
      </c>
      <c r="X17" s="94"/>
      <c r="Y17" s="94"/>
      <c r="Z17" s="94"/>
      <c r="AA17" s="95" t="s">
        <v>292</v>
      </c>
      <c r="AB17" s="95" t="s">
        <v>351</v>
      </c>
      <c r="AC17" s="149" t="s">
        <v>458</v>
      </c>
      <c r="AD17" s="104"/>
      <c r="AE17" s="104"/>
      <c r="AF17" s="104"/>
      <c r="AG17" s="104"/>
      <c r="AH17" s="104"/>
      <c r="AI17" s="104"/>
      <c r="AJ17" s="104"/>
      <c r="AK17" s="104"/>
      <c r="AL17" s="104"/>
      <c r="AM17" s="104"/>
      <c r="AN17" s="104"/>
      <c r="AO17" s="104"/>
      <c r="AP17" s="104"/>
      <c r="AQ17" s="104"/>
      <c r="AR17" s="104"/>
      <c r="AS17" s="104"/>
      <c r="AT17" s="104"/>
    </row>
    <row r="18">
      <c r="A18" s="94"/>
      <c r="B18" s="105"/>
      <c r="C18" s="95" t="s">
        <v>109</v>
      </c>
      <c r="D18" s="94"/>
      <c r="E18" s="128" t="s">
        <v>481</v>
      </c>
      <c r="F18" s="94"/>
      <c r="G18" s="94"/>
      <c r="H18" s="94"/>
      <c r="I18" s="94"/>
      <c r="J18" s="95" t="s">
        <v>114</v>
      </c>
      <c r="K18" s="96" t="s">
        <v>326</v>
      </c>
      <c r="M18" s="138" t="s">
        <v>482</v>
      </c>
      <c r="N18" s="75">
        <v>35860.0</v>
      </c>
      <c r="O18" s="95">
        <f t="shared" si="2"/>
        <v>28</v>
      </c>
      <c r="P18" s="95" t="s">
        <v>483</v>
      </c>
      <c r="Q18" s="100"/>
      <c r="R18" s="140" t="s">
        <v>368</v>
      </c>
      <c r="S18" s="94"/>
      <c r="T18" s="95" t="s">
        <v>182</v>
      </c>
      <c r="U18" s="95" t="s">
        <v>183</v>
      </c>
      <c r="V18" s="95" t="s">
        <v>184</v>
      </c>
      <c r="W18" s="95" t="s">
        <v>114</v>
      </c>
      <c r="X18" s="94"/>
      <c r="Y18" s="94"/>
      <c r="Z18" s="94"/>
      <c r="AA18" s="95" t="s">
        <v>292</v>
      </c>
      <c r="AB18" s="95" t="s">
        <v>351</v>
      </c>
      <c r="AC18" s="149" t="s">
        <v>458</v>
      </c>
      <c r="AD18" s="104"/>
      <c r="AE18" s="104"/>
      <c r="AF18" s="104"/>
      <c r="AG18" s="104"/>
      <c r="AH18" s="104"/>
      <c r="AI18" s="104"/>
      <c r="AJ18" s="104"/>
      <c r="AK18" s="104"/>
      <c r="AL18" s="104"/>
      <c r="AM18" s="104"/>
      <c r="AN18" s="104"/>
      <c r="AO18" s="104"/>
      <c r="AP18" s="104"/>
      <c r="AQ18" s="104"/>
      <c r="AR18" s="104"/>
      <c r="AS18" s="104"/>
      <c r="AT18" s="104"/>
    </row>
    <row r="19">
      <c r="A19" s="94"/>
      <c r="B19" s="105"/>
      <c r="C19" s="95" t="s">
        <v>109</v>
      </c>
      <c r="D19" s="94"/>
      <c r="E19" s="128" t="s">
        <v>493</v>
      </c>
      <c r="F19" s="94"/>
      <c r="G19" s="94"/>
      <c r="H19" s="94"/>
      <c r="I19" s="94"/>
      <c r="J19" s="95" t="s">
        <v>114</v>
      </c>
      <c r="K19" s="96" t="s">
        <v>60</v>
      </c>
      <c r="M19" s="138" t="s">
        <v>497</v>
      </c>
      <c r="N19" s="75">
        <v>32358.0</v>
      </c>
      <c r="O19" s="95">
        <f t="shared" si="2"/>
        <v>38</v>
      </c>
      <c r="P19" s="95" t="s">
        <v>501</v>
      </c>
      <c r="Q19" s="100"/>
      <c r="R19" s="140" t="s">
        <v>368</v>
      </c>
      <c r="S19" s="94"/>
      <c r="T19" s="95" t="s">
        <v>182</v>
      </c>
      <c r="U19" s="95" t="s">
        <v>183</v>
      </c>
      <c r="V19" s="95" t="s">
        <v>184</v>
      </c>
      <c r="W19" s="95" t="s">
        <v>114</v>
      </c>
      <c r="X19" s="94"/>
      <c r="Y19" s="94"/>
      <c r="Z19" s="94"/>
      <c r="AA19" s="95" t="s">
        <v>292</v>
      </c>
      <c r="AB19" s="95" t="s">
        <v>351</v>
      </c>
      <c r="AC19" s="149" t="s">
        <v>506</v>
      </c>
      <c r="AD19" s="104"/>
      <c r="AE19" s="104"/>
      <c r="AF19" s="104"/>
      <c r="AG19" s="104"/>
      <c r="AH19" s="104"/>
      <c r="AI19" s="104"/>
      <c r="AJ19" s="104"/>
      <c r="AK19" s="104"/>
      <c r="AL19" s="104"/>
      <c r="AM19" s="104"/>
      <c r="AN19" s="104"/>
      <c r="AO19" s="104"/>
      <c r="AP19" s="104"/>
      <c r="AQ19" s="104"/>
      <c r="AR19" s="104"/>
      <c r="AS19" s="104"/>
      <c r="AT19" s="104"/>
    </row>
    <row r="20">
      <c r="A20" s="94"/>
      <c r="B20" s="94"/>
      <c r="C20" s="95" t="s">
        <v>109</v>
      </c>
      <c r="D20" s="94"/>
      <c r="E20" s="128" t="s">
        <v>510</v>
      </c>
      <c r="F20" s="94"/>
      <c r="G20" s="94"/>
      <c r="H20" s="94"/>
      <c r="I20" s="94"/>
      <c r="J20" s="96" t="s">
        <v>114</v>
      </c>
      <c r="K20" s="96" t="s">
        <v>60</v>
      </c>
      <c r="M20" s="138" t="s">
        <v>515</v>
      </c>
      <c r="N20" s="75">
        <v>30194.0</v>
      </c>
      <c r="O20" s="95">
        <f t="shared" si="2"/>
        <v>44</v>
      </c>
      <c r="P20" s="95" t="s">
        <v>516</v>
      </c>
      <c r="Q20" s="100"/>
      <c r="R20" s="140" t="s">
        <v>368</v>
      </c>
      <c r="S20" s="94"/>
      <c r="T20" s="95" t="s">
        <v>145</v>
      </c>
      <c r="U20" s="95" t="s">
        <v>146</v>
      </c>
      <c r="V20" s="94"/>
      <c r="W20" s="95" t="s">
        <v>185</v>
      </c>
      <c r="X20" s="94"/>
      <c r="Y20" s="94"/>
      <c r="Z20" s="94"/>
      <c r="AA20" s="95" t="s">
        <v>292</v>
      </c>
      <c r="AB20" s="95" t="s">
        <v>351</v>
      </c>
      <c r="AC20" s="149" t="s">
        <v>520</v>
      </c>
      <c r="AD20" s="104"/>
      <c r="AE20" s="104"/>
      <c r="AF20" s="104"/>
      <c r="AG20" s="104"/>
      <c r="AH20" s="104"/>
      <c r="AI20" s="104"/>
      <c r="AJ20" s="104"/>
      <c r="AK20" s="104"/>
      <c r="AL20" s="104"/>
      <c r="AM20" s="104"/>
      <c r="AN20" s="104"/>
      <c r="AO20" s="104"/>
      <c r="AP20" s="104"/>
      <c r="AQ20" s="104"/>
      <c r="AR20" s="104"/>
      <c r="AS20" s="104"/>
      <c r="AT20" s="104"/>
    </row>
    <row r="21">
      <c r="A21" s="94"/>
      <c r="B21" s="94"/>
      <c r="C21" s="95" t="s">
        <v>109</v>
      </c>
      <c r="D21" s="94"/>
      <c r="E21" s="128" t="s">
        <v>523</v>
      </c>
      <c r="F21" s="94"/>
      <c r="G21" s="94"/>
      <c r="H21" s="94"/>
      <c r="I21" s="94"/>
      <c r="J21" s="96" t="s">
        <v>114</v>
      </c>
      <c r="K21" s="96" t="s">
        <v>60</v>
      </c>
      <c r="M21" s="138" t="s">
        <v>525</v>
      </c>
      <c r="N21" s="75">
        <v>30552.0</v>
      </c>
      <c r="O21" s="95">
        <f t="shared" si="2"/>
        <v>43</v>
      </c>
      <c r="P21" s="95" t="s">
        <v>529</v>
      </c>
      <c r="Q21" s="100"/>
      <c r="R21" s="140" t="s">
        <v>368</v>
      </c>
      <c r="S21" s="94"/>
      <c r="T21" s="95" t="s">
        <v>145</v>
      </c>
      <c r="U21" s="95" t="s">
        <v>146</v>
      </c>
      <c r="V21" s="94"/>
      <c r="W21" s="95" t="s">
        <v>185</v>
      </c>
      <c r="X21" s="94"/>
      <c r="Y21" s="94"/>
      <c r="Z21" s="94"/>
      <c r="AA21" s="95" t="s">
        <v>292</v>
      </c>
      <c r="AB21" s="95" t="s">
        <v>351</v>
      </c>
      <c r="AC21" s="149" t="s">
        <v>458</v>
      </c>
      <c r="AD21" s="104"/>
      <c r="AE21" s="104"/>
      <c r="AF21" s="104"/>
      <c r="AG21" s="104"/>
      <c r="AH21" s="104"/>
      <c r="AI21" s="104"/>
      <c r="AJ21" s="104"/>
      <c r="AK21" s="104"/>
      <c r="AL21" s="104"/>
      <c r="AM21" s="104"/>
      <c r="AN21" s="104"/>
      <c r="AO21" s="104"/>
      <c r="AP21" s="104"/>
      <c r="AQ21" s="104"/>
      <c r="AR21" s="104"/>
      <c r="AS21" s="104"/>
      <c r="AT21" s="104"/>
    </row>
    <row r="22">
      <c r="A22" s="94"/>
      <c r="B22" s="94"/>
      <c r="C22" s="95" t="s">
        <v>109</v>
      </c>
      <c r="D22" s="94"/>
      <c r="E22" s="128" t="s">
        <v>538</v>
      </c>
      <c r="F22" s="94"/>
      <c r="G22" s="94"/>
      <c r="H22" s="94"/>
      <c r="I22" s="94"/>
      <c r="J22" s="96" t="s">
        <v>114</v>
      </c>
      <c r="K22" s="96" t="s">
        <v>60</v>
      </c>
      <c r="M22" s="138" t="s">
        <v>539</v>
      </c>
      <c r="N22" s="75">
        <v>28012.0</v>
      </c>
      <c r="O22" s="95">
        <f t="shared" si="2"/>
        <v>49</v>
      </c>
      <c r="P22" s="95" t="s">
        <v>540</v>
      </c>
      <c r="Q22" s="100"/>
      <c r="R22" s="140" t="s">
        <v>368</v>
      </c>
      <c r="S22" s="94"/>
      <c r="T22" s="95" t="s">
        <v>145</v>
      </c>
      <c r="U22" s="95" t="s">
        <v>146</v>
      </c>
      <c r="V22" s="94"/>
      <c r="W22" s="95" t="s">
        <v>185</v>
      </c>
      <c r="X22" s="94"/>
      <c r="Y22" s="94"/>
      <c r="Z22" s="94"/>
      <c r="AA22" s="95" t="s">
        <v>292</v>
      </c>
      <c r="AB22" s="95" t="s">
        <v>351</v>
      </c>
      <c r="AC22" s="149" t="s">
        <v>506</v>
      </c>
      <c r="AD22" s="104"/>
      <c r="AE22" s="104"/>
      <c r="AF22" s="104"/>
      <c r="AG22" s="104"/>
      <c r="AH22" s="104"/>
      <c r="AI22" s="104"/>
      <c r="AJ22" s="104"/>
      <c r="AK22" s="104"/>
      <c r="AL22" s="104"/>
      <c r="AM22" s="104"/>
      <c r="AN22" s="104"/>
      <c r="AO22" s="104"/>
      <c r="AP22" s="104"/>
      <c r="AQ22" s="104"/>
      <c r="AR22" s="104"/>
      <c r="AS22" s="104"/>
      <c r="AT22" s="104"/>
    </row>
    <row r="23">
      <c r="A23" s="94"/>
      <c r="B23" s="94"/>
      <c r="C23" s="95" t="s">
        <v>109</v>
      </c>
      <c r="D23" s="94"/>
      <c r="E23" s="128" t="s">
        <v>551</v>
      </c>
      <c r="F23" s="94"/>
      <c r="G23" s="94"/>
      <c r="H23" s="94"/>
      <c r="I23" s="94"/>
      <c r="J23" s="96" t="s">
        <v>114</v>
      </c>
      <c r="K23" s="96" t="s">
        <v>60</v>
      </c>
      <c r="M23" s="138" t="s">
        <v>552</v>
      </c>
      <c r="N23" s="75">
        <v>31995.0</v>
      </c>
      <c r="O23" s="95">
        <f t="shared" si="2"/>
        <v>39</v>
      </c>
      <c r="P23" s="95">
        <v>37.0</v>
      </c>
      <c r="Q23" s="100"/>
      <c r="R23" s="140" t="s">
        <v>368</v>
      </c>
      <c r="S23" s="94"/>
      <c r="T23" s="95" t="s">
        <v>145</v>
      </c>
      <c r="U23" s="95" t="s">
        <v>146</v>
      </c>
      <c r="V23" s="94"/>
      <c r="W23" s="95" t="s">
        <v>185</v>
      </c>
      <c r="X23" s="94"/>
      <c r="Y23" s="94"/>
      <c r="Z23" s="94"/>
      <c r="AA23" s="95" t="s">
        <v>292</v>
      </c>
      <c r="AB23" s="95" t="s">
        <v>351</v>
      </c>
      <c r="AC23" s="149" t="s">
        <v>506</v>
      </c>
      <c r="AD23" s="104"/>
      <c r="AE23" s="104"/>
      <c r="AF23" s="104"/>
      <c r="AG23" s="104"/>
      <c r="AH23" s="104"/>
      <c r="AI23" s="104"/>
      <c r="AJ23" s="104"/>
      <c r="AK23" s="104"/>
      <c r="AL23" s="104"/>
      <c r="AM23" s="104"/>
      <c r="AN23" s="104"/>
      <c r="AO23" s="104"/>
      <c r="AP23" s="104"/>
      <c r="AQ23" s="104"/>
      <c r="AR23" s="104"/>
      <c r="AS23" s="104"/>
      <c r="AT23" s="104"/>
    </row>
    <row r="24">
      <c r="A24" s="94"/>
      <c r="B24" s="94"/>
      <c r="C24" s="95" t="s">
        <v>109</v>
      </c>
      <c r="D24" s="94"/>
      <c r="E24" s="128" t="s">
        <v>561</v>
      </c>
      <c r="F24" s="94"/>
      <c r="G24" s="94"/>
      <c r="H24" s="94"/>
      <c r="I24" s="94"/>
      <c r="J24" s="96" t="s">
        <v>114</v>
      </c>
      <c r="K24" s="96" t="s">
        <v>60</v>
      </c>
      <c r="M24" s="138" t="s">
        <v>568</v>
      </c>
      <c r="N24" s="75">
        <v>29597.0</v>
      </c>
      <c r="O24" s="95">
        <f t="shared" si="2"/>
        <v>45</v>
      </c>
      <c r="P24" s="95" t="s">
        <v>569</v>
      </c>
      <c r="Q24" s="100"/>
      <c r="R24" s="140" t="s">
        <v>368</v>
      </c>
      <c r="S24" s="94"/>
      <c r="T24" s="95" t="s">
        <v>145</v>
      </c>
      <c r="U24" s="95" t="s">
        <v>146</v>
      </c>
      <c r="V24" s="94"/>
      <c r="W24" s="95" t="s">
        <v>185</v>
      </c>
      <c r="X24" s="94"/>
      <c r="Y24" s="94"/>
      <c r="Z24" s="94"/>
      <c r="AA24" s="81" t="s">
        <v>292</v>
      </c>
      <c r="AB24" s="95" t="s">
        <v>351</v>
      </c>
      <c r="AC24" s="149" t="s">
        <v>506</v>
      </c>
      <c r="AD24" s="104"/>
      <c r="AE24" s="104"/>
      <c r="AF24" s="104"/>
      <c r="AG24" s="104"/>
      <c r="AH24" s="104"/>
      <c r="AI24" s="104"/>
      <c r="AJ24" s="104"/>
      <c r="AK24" s="104"/>
      <c r="AL24" s="104"/>
      <c r="AM24" s="104"/>
      <c r="AN24" s="104"/>
      <c r="AO24" s="104"/>
      <c r="AP24" s="104"/>
      <c r="AQ24" s="104"/>
      <c r="AR24" s="104"/>
      <c r="AS24" s="104"/>
      <c r="AT24" s="104"/>
    </row>
    <row r="25">
      <c r="A25" s="94"/>
      <c r="B25" s="94"/>
      <c r="C25" s="95" t="s">
        <v>109</v>
      </c>
      <c r="D25" s="94"/>
      <c r="E25" s="128" t="s">
        <v>579</v>
      </c>
      <c r="F25" s="94"/>
      <c r="G25" s="94"/>
      <c r="H25" s="94"/>
      <c r="I25" s="94"/>
      <c r="J25" s="96" t="s">
        <v>114</v>
      </c>
      <c r="K25" s="96" t="s">
        <v>326</v>
      </c>
      <c r="M25" s="138" t="s">
        <v>587</v>
      </c>
      <c r="N25" s="75">
        <v>32878.0</v>
      </c>
      <c r="O25" s="95">
        <f t="shared" si="2"/>
        <v>36</v>
      </c>
      <c r="P25" s="95">
        <f>DATEDIF($N25,TODAY(),"Y")</f>
        <v>36</v>
      </c>
      <c r="Q25" s="100"/>
      <c r="R25" s="140" t="s">
        <v>368</v>
      </c>
      <c r="S25" s="94"/>
      <c r="T25" s="95" t="s">
        <v>182</v>
      </c>
      <c r="U25" s="95" t="s">
        <v>183</v>
      </c>
      <c r="V25" s="95" t="s">
        <v>184</v>
      </c>
      <c r="W25" s="95" t="s">
        <v>185</v>
      </c>
      <c r="X25" s="94"/>
      <c r="Y25" s="94"/>
      <c r="Z25" s="94"/>
      <c r="AA25" s="95" t="s">
        <v>292</v>
      </c>
      <c r="AB25" s="95" t="s">
        <v>351</v>
      </c>
      <c r="AC25" s="149" t="s">
        <v>601</v>
      </c>
      <c r="AD25" s="104"/>
      <c r="AE25" s="104"/>
      <c r="AF25" s="104"/>
      <c r="AG25" s="104"/>
      <c r="AH25" s="104"/>
      <c r="AI25" s="104"/>
      <c r="AJ25" s="104"/>
      <c r="AK25" s="104"/>
      <c r="AL25" s="104"/>
      <c r="AM25" s="104"/>
      <c r="AN25" s="104"/>
      <c r="AO25" s="104"/>
      <c r="AP25" s="104"/>
      <c r="AQ25" s="104"/>
      <c r="AR25" s="104"/>
      <c r="AS25" s="104"/>
      <c r="AT25" s="104"/>
    </row>
    <row r="26">
      <c r="A26" s="94"/>
      <c r="B26" s="94"/>
      <c r="C26" s="95" t="s">
        <v>109</v>
      </c>
      <c r="D26" s="94"/>
      <c r="E26" s="128" t="s">
        <v>605</v>
      </c>
      <c r="F26" s="94"/>
      <c r="G26" s="94"/>
      <c r="H26" s="94"/>
      <c r="I26" s="94"/>
      <c r="J26" s="96" t="s">
        <v>114</v>
      </c>
      <c r="K26" s="96" t="s">
        <v>610</v>
      </c>
      <c r="M26" s="138" t="s">
        <v>612</v>
      </c>
      <c r="N26" s="75">
        <v>31433.0</v>
      </c>
      <c r="O26" s="95">
        <f t="shared" si="2"/>
        <v>40</v>
      </c>
      <c r="P26" s="95" t="s">
        <v>613</v>
      </c>
      <c r="Q26" s="100"/>
      <c r="R26" s="140" t="s">
        <v>368</v>
      </c>
      <c r="S26" s="94"/>
      <c r="T26" s="95" t="s">
        <v>182</v>
      </c>
      <c r="U26" s="95" t="s">
        <v>183</v>
      </c>
      <c r="V26" s="95" t="s">
        <v>184</v>
      </c>
      <c r="W26" s="95" t="s">
        <v>185</v>
      </c>
      <c r="X26" s="94"/>
      <c r="Y26" s="94"/>
      <c r="Z26" s="94"/>
      <c r="AA26" s="95" t="s">
        <v>292</v>
      </c>
      <c r="AB26" s="95" t="s">
        <v>351</v>
      </c>
      <c r="AC26" s="149" t="s">
        <v>618</v>
      </c>
      <c r="AD26" s="104"/>
      <c r="AE26" s="104"/>
      <c r="AF26" s="104"/>
      <c r="AG26" s="104"/>
      <c r="AH26" s="104"/>
      <c r="AI26" s="104"/>
      <c r="AJ26" s="104"/>
      <c r="AK26" s="104"/>
      <c r="AL26" s="104"/>
      <c r="AM26" s="104"/>
      <c r="AN26" s="104"/>
      <c r="AO26" s="104"/>
      <c r="AP26" s="104"/>
      <c r="AQ26" s="104"/>
      <c r="AR26" s="104"/>
      <c r="AS26" s="104"/>
      <c r="AT26" s="104"/>
    </row>
    <row r="27">
      <c r="A27" s="94"/>
      <c r="B27" s="94"/>
      <c r="C27" s="95" t="s">
        <v>109</v>
      </c>
      <c r="D27" s="94"/>
      <c r="E27" s="128" t="s">
        <v>626</v>
      </c>
      <c r="F27" s="94"/>
      <c r="G27" s="94"/>
      <c r="H27" s="94"/>
      <c r="I27" s="94"/>
      <c r="J27" s="96" t="s">
        <v>114</v>
      </c>
      <c r="K27" s="96" t="s">
        <v>60</v>
      </c>
      <c r="M27" s="138" t="s">
        <v>629</v>
      </c>
      <c r="N27" s="75">
        <v>32010.0</v>
      </c>
      <c r="O27" s="95">
        <f t="shared" si="2"/>
        <v>39</v>
      </c>
      <c r="P27" s="95" t="s">
        <v>631</v>
      </c>
      <c r="Q27" s="100"/>
      <c r="R27" s="140" t="s">
        <v>368</v>
      </c>
      <c r="S27" s="94"/>
      <c r="T27" s="95" t="s">
        <v>145</v>
      </c>
      <c r="U27" s="95" t="s">
        <v>183</v>
      </c>
      <c r="V27" s="94"/>
      <c r="W27" s="95" t="s">
        <v>185</v>
      </c>
      <c r="X27" s="94"/>
      <c r="Y27" s="94"/>
      <c r="Z27" s="94"/>
      <c r="AA27" s="81" t="s">
        <v>292</v>
      </c>
      <c r="AB27" s="161" t="s">
        <v>351</v>
      </c>
      <c r="AC27" s="149" t="s">
        <v>643</v>
      </c>
      <c r="AD27" s="104"/>
      <c r="AE27" s="104"/>
      <c r="AF27" s="104"/>
      <c r="AG27" s="104"/>
      <c r="AH27" s="104"/>
      <c r="AI27" s="104"/>
      <c r="AJ27" s="104"/>
      <c r="AK27" s="104"/>
      <c r="AL27" s="104"/>
      <c r="AM27" s="104"/>
      <c r="AN27" s="104"/>
      <c r="AO27" s="104"/>
      <c r="AP27" s="104"/>
      <c r="AQ27" s="104"/>
      <c r="AR27" s="104"/>
      <c r="AS27" s="104"/>
      <c r="AT27" s="104"/>
    </row>
    <row r="28">
      <c r="A28" s="64"/>
      <c r="B28" s="163"/>
      <c r="C28" s="64" t="s">
        <v>648</v>
      </c>
      <c r="D28" s="64"/>
      <c r="E28" s="71" t="s">
        <v>650</v>
      </c>
      <c r="F28" s="64"/>
      <c r="G28" s="64"/>
      <c r="H28" s="64"/>
      <c r="I28" s="64"/>
      <c r="J28" s="68"/>
      <c r="K28" s="73" t="s">
        <v>360</v>
      </c>
      <c r="M28" s="68" t="s">
        <v>653</v>
      </c>
      <c r="N28" s="64"/>
      <c r="O28" s="64"/>
      <c r="P28" s="64" t="s">
        <v>654</v>
      </c>
      <c r="Q28" s="81"/>
      <c r="R28" s="166" t="s">
        <v>393</v>
      </c>
      <c r="S28" s="64"/>
      <c r="T28" s="64"/>
      <c r="U28" s="68"/>
      <c r="V28" s="68"/>
      <c r="W28" s="68"/>
      <c r="X28" s="68" t="s">
        <v>667</v>
      </c>
      <c r="Y28" s="169"/>
      <c r="Z28" s="83" t="s">
        <v>672</v>
      </c>
      <c r="AA28" s="142" t="s">
        <v>155</v>
      </c>
      <c r="AB28" s="83" t="s">
        <v>674</v>
      </c>
      <c r="AC28" s="170" t="s">
        <v>675</v>
      </c>
      <c r="AD28" s="91"/>
      <c r="AE28" s="91"/>
      <c r="AF28" s="91"/>
      <c r="AG28" s="91"/>
      <c r="AH28" s="91"/>
      <c r="AI28" s="91"/>
      <c r="AJ28" s="91"/>
      <c r="AK28" s="91"/>
      <c r="AL28" s="91"/>
      <c r="AM28" s="91"/>
      <c r="AN28" s="91"/>
      <c r="AO28" s="91"/>
      <c r="AP28" s="91"/>
      <c r="AQ28" s="91"/>
      <c r="AR28" s="91"/>
      <c r="AS28" s="91"/>
      <c r="AT28" s="91"/>
    </row>
    <row r="29">
      <c r="A29" s="64"/>
      <c r="B29" s="163"/>
      <c r="C29" s="68" t="s">
        <v>648</v>
      </c>
      <c r="D29" s="64"/>
      <c r="E29" s="71" t="s">
        <v>681</v>
      </c>
      <c r="F29" s="64"/>
      <c r="G29" s="64"/>
      <c r="H29" s="64"/>
      <c r="I29" s="64"/>
      <c r="J29" s="64"/>
      <c r="K29" s="171" t="s">
        <v>60</v>
      </c>
      <c r="M29" s="64" t="s">
        <v>685</v>
      </c>
      <c r="N29" s="64"/>
      <c r="O29" s="64"/>
      <c r="P29" s="68" t="s">
        <v>688</v>
      </c>
      <c r="Q29" s="81"/>
      <c r="R29" s="172" t="s">
        <v>344</v>
      </c>
      <c r="S29" s="64"/>
      <c r="T29" s="64"/>
      <c r="U29" s="68"/>
      <c r="V29" s="68"/>
      <c r="W29" s="68"/>
      <c r="X29" s="68" t="s">
        <v>667</v>
      </c>
      <c r="Y29" s="169"/>
      <c r="Z29" s="68"/>
      <c r="AA29" s="68" t="s">
        <v>155</v>
      </c>
      <c r="AB29" s="68" t="s">
        <v>697</v>
      </c>
      <c r="AC29" s="133">
        <v>45955.0</v>
      </c>
      <c r="AD29" s="91"/>
      <c r="AE29" s="91"/>
      <c r="AF29" s="91"/>
      <c r="AG29" s="91"/>
      <c r="AH29" s="91"/>
      <c r="AI29" s="91"/>
      <c r="AJ29" s="91"/>
      <c r="AK29" s="91"/>
      <c r="AL29" s="91"/>
      <c r="AM29" s="91"/>
      <c r="AN29" s="91"/>
      <c r="AO29" s="91"/>
      <c r="AP29" s="91"/>
      <c r="AQ29" s="91"/>
      <c r="AR29" s="91"/>
      <c r="AS29" s="91"/>
      <c r="AT29" s="91"/>
    </row>
    <row r="30">
      <c r="A30" s="64"/>
      <c r="B30" s="163"/>
      <c r="C30" s="68" t="s">
        <v>700</v>
      </c>
      <c r="D30" s="64"/>
      <c r="E30" s="71" t="s">
        <v>702</v>
      </c>
      <c r="F30" s="64"/>
      <c r="G30" s="64"/>
      <c r="H30" s="64"/>
      <c r="I30" s="64"/>
      <c r="J30" s="64"/>
      <c r="K30" s="171" t="s">
        <v>60</v>
      </c>
      <c r="M30" s="68" t="s">
        <v>704</v>
      </c>
      <c r="N30" s="68"/>
      <c r="O30" s="68"/>
      <c r="P30" s="68" t="s">
        <v>705</v>
      </c>
      <c r="Q30" s="81"/>
      <c r="R30" s="174" t="s">
        <v>379</v>
      </c>
      <c r="S30" s="64"/>
      <c r="T30" s="64"/>
      <c r="U30" s="68"/>
      <c r="V30" s="68"/>
      <c r="W30" s="68"/>
      <c r="X30" s="68" t="s">
        <v>667</v>
      </c>
      <c r="Y30" s="68" t="s">
        <v>715</v>
      </c>
      <c r="Z30" s="68" t="s">
        <v>716</v>
      </c>
      <c r="AA30" s="81"/>
      <c r="AB30" s="161"/>
      <c r="AC30" s="96"/>
      <c r="AD30" s="91"/>
      <c r="AE30" s="91"/>
      <c r="AF30" s="91"/>
      <c r="AG30" s="91"/>
      <c r="AH30" s="91"/>
      <c r="AI30" s="91"/>
      <c r="AJ30" s="91"/>
      <c r="AK30" s="91"/>
      <c r="AL30" s="91"/>
      <c r="AM30" s="91"/>
      <c r="AN30" s="91"/>
      <c r="AO30" s="91"/>
      <c r="AP30" s="91"/>
      <c r="AQ30" s="91"/>
      <c r="AR30" s="91"/>
      <c r="AS30" s="91"/>
      <c r="AT30" s="91"/>
    </row>
    <row r="31">
      <c r="A31" s="64"/>
      <c r="B31" s="163"/>
      <c r="C31" s="68" t="s">
        <v>720</v>
      </c>
      <c r="D31" s="64"/>
      <c r="E31" s="71" t="s">
        <v>723</v>
      </c>
      <c r="F31" s="64"/>
      <c r="G31" s="64"/>
      <c r="H31" s="64"/>
      <c r="I31" s="64"/>
      <c r="J31" s="64"/>
      <c r="K31" s="171" t="s">
        <v>360</v>
      </c>
      <c r="M31" s="64" t="s">
        <v>724</v>
      </c>
      <c r="N31" s="64"/>
      <c r="O31" s="64"/>
      <c r="P31" s="68" t="s">
        <v>725</v>
      </c>
      <c r="Q31" s="81"/>
      <c r="R31" s="174" t="s">
        <v>379</v>
      </c>
      <c r="S31" s="64"/>
      <c r="T31" s="64"/>
      <c r="U31" s="68"/>
      <c r="V31" s="68"/>
      <c r="W31" s="68"/>
      <c r="X31" s="68" t="s">
        <v>667</v>
      </c>
      <c r="Y31" s="68" t="s">
        <v>715</v>
      </c>
      <c r="Z31" s="68" t="s">
        <v>716</v>
      </c>
      <c r="AA31" s="68"/>
      <c r="AB31" s="68"/>
      <c r="AC31" s="96"/>
      <c r="AD31" s="91"/>
      <c r="AE31" s="91"/>
      <c r="AF31" s="91"/>
      <c r="AG31" s="91"/>
      <c r="AH31" s="91"/>
      <c r="AI31" s="91"/>
      <c r="AJ31" s="91"/>
      <c r="AK31" s="91"/>
      <c r="AL31" s="91"/>
      <c r="AM31" s="91"/>
      <c r="AN31" s="91"/>
      <c r="AO31" s="91"/>
      <c r="AP31" s="91"/>
      <c r="AQ31" s="91"/>
      <c r="AR31" s="91"/>
      <c r="AS31" s="91"/>
      <c r="AT31" s="91"/>
    </row>
    <row r="32">
      <c r="A32" s="64"/>
      <c r="B32" s="163"/>
      <c r="C32" s="68" t="s">
        <v>648</v>
      </c>
      <c r="D32" s="64"/>
      <c r="E32" s="71" t="s">
        <v>736</v>
      </c>
      <c r="F32" s="64"/>
      <c r="G32" s="64"/>
      <c r="H32" s="64"/>
      <c r="I32" s="64"/>
      <c r="J32" s="64"/>
      <c r="K32" s="171" t="s">
        <v>60</v>
      </c>
      <c r="M32" s="64" t="s">
        <v>741</v>
      </c>
      <c r="N32" s="64"/>
      <c r="O32" s="64"/>
      <c r="P32" s="68" t="s">
        <v>742</v>
      </c>
      <c r="Q32" s="81"/>
      <c r="R32" s="174" t="s">
        <v>379</v>
      </c>
      <c r="S32" s="64"/>
      <c r="T32" s="64"/>
      <c r="U32" s="68"/>
      <c r="V32" s="68"/>
      <c r="W32" s="68"/>
      <c r="X32" s="68" t="s">
        <v>667</v>
      </c>
      <c r="Y32" s="68" t="s">
        <v>715</v>
      </c>
      <c r="Z32" s="68" t="s">
        <v>716</v>
      </c>
      <c r="AA32" s="68"/>
      <c r="AB32" s="68"/>
      <c r="AC32" s="96"/>
      <c r="AD32" s="91"/>
      <c r="AE32" s="91"/>
      <c r="AF32" s="91"/>
      <c r="AG32" s="91"/>
      <c r="AH32" s="91"/>
      <c r="AI32" s="91"/>
      <c r="AJ32" s="91"/>
      <c r="AK32" s="91"/>
      <c r="AL32" s="91"/>
      <c r="AM32" s="91"/>
      <c r="AN32" s="91"/>
      <c r="AO32" s="91"/>
      <c r="AP32" s="91"/>
      <c r="AQ32" s="91"/>
      <c r="AR32" s="91"/>
      <c r="AS32" s="91"/>
      <c r="AT32" s="91"/>
    </row>
    <row r="33">
      <c r="A33" s="64"/>
      <c r="B33" s="163"/>
      <c r="C33" s="68" t="s">
        <v>648</v>
      </c>
      <c r="D33" s="64"/>
      <c r="E33" s="71" t="s">
        <v>752</v>
      </c>
      <c r="F33" s="64"/>
      <c r="G33" s="64"/>
      <c r="H33" s="64"/>
      <c r="I33" s="64"/>
      <c r="J33" s="64"/>
      <c r="K33" s="171" t="s">
        <v>60</v>
      </c>
      <c r="M33" s="64" t="s">
        <v>754</v>
      </c>
      <c r="N33" s="64"/>
      <c r="O33" s="64"/>
      <c r="P33" s="68" t="s">
        <v>756</v>
      </c>
      <c r="Q33" s="81"/>
      <c r="R33" s="174" t="s">
        <v>379</v>
      </c>
      <c r="S33" s="64"/>
      <c r="T33" s="64"/>
      <c r="U33" s="68"/>
      <c r="V33" s="68"/>
      <c r="W33" s="68"/>
      <c r="X33" s="68" t="s">
        <v>667</v>
      </c>
      <c r="Y33" s="68" t="s">
        <v>715</v>
      </c>
      <c r="Z33" s="68" t="s">
        <v>716</v>
      </c>
      <c r="AA33" s="68"/>
      <c r="AB33" s="68"/>
      <c r="AC33" s="96"/>
      <c r="AD33" s="91"/>
      <c r="AE33" s="91"/>
      <c r="AF33" s="91"/>
      <c r="AG33" s="91"/>
      <c r="AH33" s="91"/>
      <c r="AI33" s="91"/>
      <c r="AJ33" s="91"/>
      <c r="AK33" s="91"/>
      <c r="AL33" s="91"/>
      <c r="AM33" s="91"/>
      <c r="AN33" s="91"/>
      <c r="AO33" s="91"/>
      <c r="AP33" s="91"/>
      <c r="AQ33" s="91"/>
      <c r="AR33" s="91"/>
      <c r="AS33" s="91"/>
      <c r="AT33" s="91"/>
    </row>
    <row r="34">
      <c r="A34" s="64"/>
      <c r="B34" s="163"/>
      <c r="C34" s="68" t="s">
        <v>768</v>
      </c>
      <c r="D34" s="64"/>
      <c r="E34" s="71" t="s">
        <v>769</v>
      </c>
      <c r="F34" s="64"/>
      <c r="G34" s="64"/>
      <c r="H34" s="64"/>
      <c r="I34" s="64"/>
      <c r="J34" s="64"/>
      <c r="K34" s="171" t="s">
        <v>60</v>
      </c>
      <c r="M34" s="68" t="s">
        <v>770</v>
      </c>
      <c r="N34" s="68"/>
      <c r="O34" s="68"/>
      <c r="P34" s="68" t="s">
        <v>771</v>
      </c>
      <c r="Q34" s="81"/>
      <c r="R34" s="174" t="s">
        <v>379</v>
      </c>
      <c r="S34" s="64"/>
      <c r="T34" s="64"/>
      <c r="U34" s="68"/>
      <c r="V34" s="68"/>
      <c r="W34" s="68"/>
      <c r="X34" s="68" t="s">
        <v>667</v>
      </c>
      <c r="Y34" s="68" t="s">
        <v>715</v>
      </c>
      <c r="Z34" s="68" t="s">
        <v>716</v>
      </c>
      <c r="AA34" s="68"/>
      <c r="AB34" s="68"/>
      <c r="AC34" s="96"/>
      <c r="AD34" s="91"/>
      <c r="AE34" s="91"/>
      <c r="AF34" s="91"/>
      <c r="AG34" s="91"/>
      <c r="AH34" s="91"/>
      <c r="AI34" s="91"/>
      <c r="AJ34" s="91"/>
      <c r="AK34" s="91"/>
      <c r="AL34" s="91"/>
      <c r="AM34" s="91"/>
      <c r="AN34" s="91"/>
      <c r="AO34" s="91"/>
      <c r="AP34" s="91"/>
      <c r="AQ34" s="91"/>
      <c r="AR34" s="91"/>
      <c r="AS34" s="91"/>
      <c r="AT34" s="91"/>
    </row>
    <row r="35">
      <c r="A35" s="64"/>
      <c r="B35" s="163"/>
      <c r="C35" s="68" t="s">
        <v>720</v>
      </c>
      <c r="D35" s="64"/>
      <c r="E35" s="71" t="s">
        <v>774</v>
      </c>
      <c r="F35" s="64"/>
      <c r="G35" s="64"/>
      <c r="H35" s="64"/>
      <c r="I35" s="64"/>
      <c r="J35" s="64"/>
      <c r="K35" s="171" t="s">
        <v>102</v>
      </c>
      <c r="M35" s="64" t="s">
        <v>775</v>
      </c>
      <c r="N35" s="64"/>
      <c r="O35" s="64"/>
      <c r="P35" s="68" t="s">
        <v>778</v>
      </c>
      <c r="Q35" s="81"/>
      <c r="R35" s="174" t="s">
        <v>379</v>
      </c>
      <c r="S35" s="64"/>
      <c r="T35" s="64"/>
      <c r="U35" s="68"/>
      <c r="V35" s="68"/>
      <c r="W35" s="68"/>
      <c r="X35" s="68" t="s">
        <v>667</v>
      </c>
      <c r="Y35" s="68" t="s">
        <v>715</v>
      </c>
      <c r="Z35" s="68" t="s">
        <v>716</v>
      </c>
      <c r="AA35" s="68"/>
      <c r="AB35" s="68"/>
      <c r="AC35" s="96"/>
      <c r="AD35" s="91"/>
      <c r="AE35" s="91"/>
      <c r="AF35" s="91"/>
      <c r="AG35" s="91"/>
      <c r="AH35" s="91"/>
      <c r="AI35" s="91"/>
      <c r="AJ35" s="91"/>
      <c r="AK35" s="91"/>
      <c r="AL35" s="91"/>
      <c r="AM35" s="91"/>
      <c r="AN35" s="91"/>
      <c r="AO35" s="91"/>
      <c r="AP35" s="91"/>
      <c r="AQ35" s="91"/>
      <c r="AR35" s="91"/>
      <c r="AS35" s="91"/>
      <c r="AT35" s="91"/>
    </row>
    <row r="36">
      <c r="A36" s="64"/>
      <c r="B36" s="163"/>
      <c r="C36" s="68" t="s">
        <v>720</v>
      </c>
      <c r="D36" s="64"/>
      <c r="E36" s="71" t="s">
        <v>789</v>
      </c>
      <c r="F36" s="64"/>
      <c r="G36" s="64"/>
      <c r="H36" s="64"/>
      <c r="I36" s="64"/>
      <c r="J36" s="64"/>
      <c r="K36" s="171" t="s">
        <v>102</v>
      </c>
      <c r="M36" s="64" t="s">
        <v>790</v>
      </c>
      <c r="N36" s="64"/>
      <c r="O36" s="64"/>
      <c r="P36" s="68" t="s">
        <v>513</v>
      </c>
      <c r="Q36" s="81"/>
      <c r="R36" s="174" t="s">
        <v>379</v>
      </c>
      <c r="S36" s="64"/>
      <c r="T36" s="64"/>
      <c r="U36" s="68"/>
      <c r="V36" s="68"/>
      <c r="W36" s="68"/>
      <c r="X36" s="68" t="s">
        <v>667</v>
      </c>
      <c r="Y36" s="68" t="s">
        <v>715</v>
      </c>
      <c r="Z36" s="68" t="s">
        <v>716</v>
      </c>
      <c r="AA36" s="68"/>
      <c r="AB36" s="68"/>
      <c r="AC36" s="96"/>
      <c r="AD36" s="91"/>
      <c r="AE36" s="91"/>
      <c r="AF36" s="91"/>
      <c r="AG36" s="91"/>
      <c r="AH36" s="91"/>
      <c r="AI36" s="91"/>
      <c r="AJ36" s="91"/>
      <c r="AK36" s="91"/>
      <c r="AL36" s="91"/>
      <c r="AM36" s="91"/>
      <c r="AN36" s="91"/>
      <c r="AO36" s="91"/>
      <c r="AP36" s="91"/>
      <c r="AQ36" s="91"/>
      <c r="AR36" s="91"/>
      <c r="AS36" s="91"/>
      <c r="AT36" s="91"/>
    </row>
    <row r="37">
      <c r="A37" s="64"/>
      <c r="B37" s="163"/>
      <c r="C37" s="68" t="s">
        <v>720</v>
      </c>
      <c r="D37" s="64"/>
      <c r="E37" s="71" t="s">
        <v>806</v>
      </c>
      <c r="F37" s="64"/>
      <c r="G37" s="64"/>
      <c r="H37" s="64"/>
      <c r="I37" s="64"/>
      <c r="J37" s="64"/>
      <c r="K37" s="171" t="s">
        <v>102</v>
      </c>
      <c r="M37" s="64" t="s">
        <v>812</v>
      </c>
      <c r="N37" s="64"/>
      <c r="O37" s="64"/>
      <c r="P37" s="68" t="s">
        <v>814</v>
      </c>
      <c r="Q37" s="81"/>
      <c r="R37" s="174" t="s">
        <v>379</v>
      </c>
      <c r="S37" s="64"/>
      <c r="T37" s="64"/>
      <c r="U37" s="68"/>
      <c r="V37" s="68"/>
      <c r="W37" s="68"/>
      <c r="X37" s="68" t="s">
        <v>667</v>
      </c>
      <c r="Y37" s="68" t="s">
        <v>715</v>
      </c>
      <c r="Z37" s="68" t="s">
        <v>716</v>
      </c>
      <c r="AA37" s="68"/>
      <c r="AB37" s="68"/>
      <c r="AC37" s="96"/>
      <c r="AD37" s="91"/>
      <c r="AE37" s="91"/>
      <c r="AF37" s="91"/>
      <c r="AG37" s="91"/>
      <c r="AH37" s="91"/>
      <c r="AI37" s="91"/>
      <c r="AJ37" s="91"/>
      <c r="AK37" s="91"/>
      <c r="AL37" s="91"/>
      <c r="AM37" s="91"/>
      <c r="AN37" s="91"/>
      <c r="AO37" s="91"/>
      <c r="AP37" s="91"/>
      <c r="AQ37" s="91"/>
      <c r="AR37" s="91"/>
      <c r="AS37" s="91"/>
      <c r="AT37" s="91"/>
    </row>
    <row r="38">
      <c r="A38" s="64"/>
      <c r="B38" s="163"/>
      <c r="C38" s="68" t="s">
        <v>720</v>
      </c>
      <c r="D38" s="64"/>
      <c r="E38" s="71" t="s">
        <v>823</v>
      </c>
      <c r="F38" s="64"/>
      <c r="G38" s="64"/>
      <c r="H38" s="64"/>
      <c r="I38" s="64"/>
      <c r="J38" s="64"/>
      <c r="K38" s="171" t="s">
        <v>102</v>
      </c>
      <c r="M38" s="64" t="s">
        <v>825</v>
      </c>
      <c r="N38" s="64"/>
      <c r="O38" s="64"/>
      <c r="P38" s="68" t="s">
        <v>827</v>
      </c>
      <c r="Q38" s="81"/>
      <c r="R38" s="174" t="s">
        <v>379</v>
      </c>
      <c r="S38" s="64"/>
      <c r="T38" s="64"/>
      <c r="U38" s="68"/>
      <c r="V38" s="68"/>
      <c r="W38" s="68"/>
      <c r="X38" s="68" t="s">
        <v>667</v>
      </c>
      <c r="Y38" s="68" t="s">
        <v>715</v>
      </c>
      <c r="Z38" s="68" t="s">
        <v>716</v>
      </c>
      <c r="AA38" s="68"/>
      <c r="AB38" s="68"/>
      <c r="AC38" s="96"/>
      <c r="AD38" s="91"/>
      <c r="AE38" s="91"/>
      <c r="AF38" s="91"/>
      <c r="AG38" s="91"/>
      <c r="AH38" s="91"/>
      <c r="AI38" s="91"/>
      <c r="AJ38" s="91"/>
      <c r="AK38" s="91"/>
      <c r="AL38" s="91"/>
      <c r="AM38" s="91"/>
      <c r="AN38" s="91"/>
      <c r="AO38" s="91"/>
      <c r="AP38" s="91"/>
      <c r="AQ38" s="91"/>
      <c r="AR38" s="91"/>
      <c r="AS38" s="91"/>
      <c r="AT38" s="91"/>
    </row>
    <row r="39">
      <c r="A39" s="64"/>
      <c r="B39" s="163"/>
      <c r="C39" s="68" t="s">
        <v>648</v>
      </c>
      <c r="D39" s="64"/>
      <c r="E39" s="71" t="s">
        <v>839</v>
      </c>
      <c r="F39" s="64"/>
      <c r="G39" s="64"/>
      <c r="H39" s="64"/>
      <c r="I39" s="64"/>
      <c r="J39" s="64"/>
      <c r="K39" s="171" t="s">
        <v>102</v>
      </c>
      <c r="M39" s="68" t="s">
        <v>841</v>
      </c>
      <c r="N39" s="68"/>
      <c r="O39" s="68"/>
      <c r="P39" s="68" t="s">
        <v>842</v>
      </c>
      <c r="Q39" s="81"/>
      <c r="R39" s="174" t="s">
        <v>379</v>
      </c>
      <c r="S39" s="64"/>
      <c r="T39" s="64"/>
      <c r="U39" s="68"/>
      <c r="V39" s="68"/>
      <c r="W39" s="68"/>
      <c r="X39" s="68" t="s">
        <v>667</v>
      </c>
      <c r="Y39" s="68" t="s">
        <v>715</v>
      </c>
      <c r="Z39" s="68" t="s">
        <v>716</v>
      </c>
      <c r="AA39" s="68"/>
      <c r="AB39" s="68"/>
      <c r="AC39" s="96"/>
      <c r="AD39" s="91"/>
      <c r="AE39" s="91"/>
      <c r="AF39" s="91"/>
      <c r="AG39" s="91"/>
      <c r="AH39" s="91"/>
      <c r="AI39" s="91"/>
      <c r="AJ39" s="91"/>
      <c r="AK39" s="91"/>
      <c r="AL39" s="91"/>
      <c r="AM39" s="91"/>
      <c r="AN39" s="91"/>
      <c r="AO39" s="91"/>
      <c r="AP39" s="91"/>
      <c r="AQ39" s="91"/>
      <c r="AR39" s="91"/>
      <c r="AS39" s="91"/>
      <c r="AT39" s="91"/>
    </row>
    <row r="40">
      <c r="A40" s="64"/>
      <c r="B40" s="163"/>
      <c r="C40" s="64"/>
      <c r="D40" s="64"/>
      <c r="E40" s="179"/>
      <c r="F40" s="64"/>
      <c r="G40" s="64"/>
      <c r="H40" s="64"/>
      <c r="I40" s="64"/>
      <c r="J40" s="68" t="s">
        <v>114</v>
      </c>
      <c r="K40" s="171" t="s">
        <v>60</v>
      </c>
      <c r="M40" s="64" t="s">
        <v>855</v>
      </c>
      <c r="N40" s="64"/>
      <c r="O40" s="64"/>
      <c r="P40" s="64" t="s">
        <v>581</v>
      </c>
      <c r="Q40" s="81"/>
      <c r="R40" s="180" t="s">
        <v>344</v>
      </c>
      <c r="S40" s="64"/>
      <c r="T40" s="64"/>
      <c r="U40" s="64"/>
      <c r="V40" s="64"/>
      <c r="W40" s="64"/>
      <c r="X40" s="64" t="s">
        <v>860</v>
      </c>
      <c r="Y40" s="169"/>
      <c r="Z40" s="64"/>
      <c r="AA40" s="68"/>
      <c r="AB40" s="68" t="s">
        <v>697</v>
      </c>
      <c r="AC40" s="142" t="s">
        <v>863</v>
      </c>
      <c r="AD40" s="91"/>
      <c r="AE40" s="91"/>
      <c r="AF40" s="91"/>
      <c r="AG40" s="91"/>
      <c r="AH40" s="91"/>
      <c r="AI40" s="91"/>
      <c r="AJ40" s="91"/>
      <c r="AK40" s="91"/>
      <c r="AL40" s="91"/>
      <c r="AM40" s="91"/>
      <c r="AN40" s="91"/>
      <c r="AO40" s="91"/>
      <c r="AP40" s="91"/>
      <c r="AQ40" s="91"/>
      <c r="AR40" s="91"/>
      <c r="AS40" s="91"/>
      <c r="AT40" s="91"/>
    </row>
    <row r="41">
      <c r="A41" s="64"/>
      <c r="B41" s="163"/>
      <c r="C41" s="64"/>
      <c r="D41" s="64"/>
      <c r="E41" s="179"/>
      <c r="F41" s="64"/>
      <c r="G41" s="64"/>
      <c r="H41" s="64"/>
      <c r="I41" s="64"/>
      <c r="J41" s="68" t="s">
        <v>114</v>
      </c>
      <c r="K41" s="171" t="s">
        <v>60</v>
      </c>
      <c r="M41" s="64" t="s">
        <v>872</v>
      </c>
      <c r="N41" s="64"/>
      <c r="O41" s="64"/>
      <c r="P41" s="64" t="s">
        <v>414</v>
      </c>
      <c r="Q41" s="81"/>
      <c r="R41" s="172" t="s">
        <v>344</v>
      </c>
      <c r="S41" s="64"/>
      <c r="T41" s="64"/>
      <c r="U41" s="64"/>
      <c r="V41" s="64"/>
      <c r="W41" s="64"/>
      <c r="X41" s="64" t="s">
        <v>876</v>
      </c>
      <c r="Y41" s="169"/>
      <c r="Z41" s="64"/>
      <c r="AA41" s="68"/>
      <c r="AB41" s="68" t="s">
        <v>697</v>
      </c>
      <c r="AC41" s="182" t="s">
        <v>880</v>
      </c>
      <c r="AD41" s="91"/>
      <c r="AE41" s="91"/>
      <c r="AF41" s="91"/>
      <c r="AG41" s="91"/>
      <c r="AH41" s="91"/>
      <c r="AI41" s="91"/>
      <c r="AJ41" s="91"/>
      <c r="AK41" s="91"/>
      <c r="AL41" s="91"/>
      <c r="AM41" s="91"/>
      <c r="AN41" s="91"/>
      <c r="AO41" s="91"/>
      <c r="AP41" s="91"/>
      <c r="AQ41" s="91"/>
      <c r="AR41" s="91"/>
      <c r="AS41" s="91"/>
      <c r="AT41" s="91"/>
    </row>
    <row r="42">
      <c r="A42" s="64"/>
      <c r="B42" s="163"/>
      <c r="C42" s="64"/>
      <c r="D42" s="64"/>
      <c r="E42" s="179"/>
      <c r="F42" s="64"/>
      <c r="G42" s="64"/>
      <c r="H42" s="64"/>
      <c r="I42" s="64"/>
      <c r="J42" s="68" t="s">
        <v>114</v>
      </c>
      <c r="K42" s="171" t="s">
        <v>60</v>
      </c>
      <c r="M42" s="64" t="s">
        <v>887</v>
      </c>
      <c r="N42" s="64"/>
      <c r="O42" s="64"/>
      <c r="P42" s="64" t="s">
        <v>889</v>
      </c>
      <c r="Q42" s="81"/>
      <c r="R42" s="186" t="s">
        <v>368</v>
      </c>
      <c r="S42" s="64"/>
      <c r="T42" s="64"/>
      <c r="U42" s="64"/>
      <c r="V42" s="64"/>
      <c r="W42" s="64"/>
      <c r="X42" s="64" t="s">
        <v>876</v>
      </c>
      <c r="Y42" s="169"/>
      <c r="Z42" s="64"/>
      <c r="AA42" s="81"/>
      <c r="AB42" s="161" t="s">
        <v>697</v>
      </c>
      <c r="AC42" s="142">
        <v>45859.0</v>
      </c>
      <c r="AD42" s="91"/>
      <c r="AE42" s="91"/>
      <c r="AF42" s="91"/>
      <c r="AG42" s="91"/>
      <c r="AH42" s="91"/>
      <c r="AI42" s="91"/>
      <c r="AJ42" s="91"/>
      <c r="AK42" s="91"/>
      <c r="AL42" s="91"/>
      <c r="AM42" s="91"/>
      <c r="AN42" s="91"/>
      <c r="AO42" s="91"/>
      <c r="AP42" s="91"/>
      <c r="AQ42" s="91"/>
      <c r="AR42" s="91"/>
      <c r="AS42" s="91"/>
      <c r="AT42" s="91"/>
    </row>
    <row r="43">
      <c r="A43" s="64"/>
      <c r="B43" s="163"/>
      <c r="C43" s="64"/>
      <c r="D43" s="64"/>
      <c r="E43" s="71"/>
      <c r="F43" s="64"/>
      <c r="G43" s="64"/>
      <c r="H43" s="64"/>
      <c r="I43" s="64"/>
      <c r="J43" s="68" t="s">
        <v>114</v>
      </c>
      <c r="K43" s="73" t="s">
        <v>60</v>
      </c>
      <c r="M43" s="68" t="s">
        <v>907</v>
      </c>
      <c r="N43" s="64"/>
      <c r="O43" s="64"/>
      <c r="P43" s="68" t="s">
        <v>725</v>
      </c>
      <c r="Q43" s="81"/>
      <c r="R43" s="190" t="s">
        <v>393</v>
      </c>
      <c r="S43" s="64"/>
      <c r="T43" s="64"/>
      <c r="U43" s="68"/>
      <c r="V43" s="68"/>
      <c r="W43" s="68"/>
      <c r="X43" s="68" t="s">
        <v>876</v>
      </c>
      <c r="Y43" s="169"/>
      <c r="Z43" s="68" t="s">
        <v>672</v>
      </c>
      <c r="AA43" s="73" t="s">
        <v>155</v>
      </c>
      <c r="AB43" s="83" t="s">
        <v>697</v>
      </c>
      <c r="AC43" s="193" t="s">
        <v>917</v>
      </c>
      <c r="AD43" s="91"/>
      <c r="AE43" s="91"/>
      <c r="AF43" s="91"/>
      <c r="AG43" s="91"/>
      <c r="AH43" s="91"/>
      <c r="AI43" s="91"/>
      <c r="AJ43" s="91"/>
      <c r="AK43" s="91"/>
      <c r="AL43" s="91"/>
      <c r="AM43" s="91"/>
      <c r="AN43" s="91"/>
      <c r="AO43" s="91"/>
      <c r="AP43" s="91"/>
      <c r="AQ43" s="91"/>
      <c r="AR43" s="91"/>
      <c r="AS43" s="91"/>
      <c r="AT43" s="91"/>
    </row>
    <row r="44">
      <c r="A44" s="64"/>
      <c r="B44" s="163"/>
      <c r="C44" s="64"/>
      <c r="D44" s="64"/>
      <c r="E44" s="71"/>
      <c r="F44" s="64"/>
      <c r="G44" s="64"/>
      <c r="H44" s="64"/>
      <c r="I44" s="64"/>
      <c r="J44" s="68" t="s">
        <v>114</v>
      </c>
      <c r="K44" s="73" t="s">
        <v>60</v>
      </c>
      <c r="M44" s="68" t="s">
        <v>950</v>
      </c>
      <c r="N44" s="64"/>
      <c r="O44" s="64"/>
      <c r="P44" s="64" t="s">
        <v>951</v>
      </c>
      <c r="Q44" s="81"/>
      <c r="R44" s="166" t="s">
        <v>393</v>
      </c>
      <c r="S44" s="64"/>
      <c r="T44" s="64"/>
      <c r="U44" s="68"/>
      <c r="V44" s="68"/>
      <c r="W44" s="68"/>
      <c r="X44" s="68" t="s">
        <v>876</v>
      </c>
      <c r="Y44" s="169"/>
      <c r="Z44" s="68" t="s">
        <v>672</v>
      </c>
      <c r="AA44" s="142" t="s">
        <v>155</v>
      </c>
      <c r="AB44" s="83" t="s">
        <v>697</v>
      </c>
      <c r="AC44" s="193" t="s">
        <v>965</v>
      </c>
      <c r="AD44" s="91"/>
      <c r="AE44" s="91"/>
      <c r="AF44" s="91"/>
      <c r="AG44" s="91"/>
      <c r="AH44" s="91"/>
      <c r="AI44" s="91"/>
      <c r="AJ44" s="91"/>
      <c r="AK44" s="91"/>
      <c r="AL44" s="91"/>
      <c r="AM44" s="91"/>
      <c r="AN44" s="91"/>
      <c r="AO44" s="91"/>
      <c r="AP44" s="91"/>
      <c r="AQ44" s="91"/>
      <c r="AR44" s="91"/>
      <c r="AS44" s="91"/>
      <c r="AT44" s="91"/>
    </row>
    <row r="45">
      <c r="A45" s="64"/>
      <c r="B45" s="196"/>
      <c r="C45" s="68"/>
      <c r="D45" s="64"/>
      <c r="E45" s="68"/>
      <c r="F45" s="64"/>
      <c r="G45" s="64"/>
      <c r="H45" s="64"/>
      <c r="I45" s="64"/>
      <c r="J45" s="83" t="s">
        <v>114</v>
      </c>
      <c r="K45" s="73" t="s">
        <v>60</v>
      </c>
      <c r="M45" s="198" t="s">
        <v>975</v>
      </c>
      <c r="N45" s="200"/>
      <c r="O45" s="201"/>
      <c r="P45" s="198" t="s">
        <v>984</v>
      </c>
      <c r="Q45" s="81"/>
      <c r="R45" s="68" t="s">
        <v>261</v>
      </c>
      <c r="S45" s="64" t="s">
        <v>350</v>
      </c>
      <c r="T45" s="83" t="s">
        <v>182</v>
      </c>
      <c r="U45" s="68" t="s">
        <v>183</v>
      </c>
      <c r="V45" s="170" t="s">
        <v>991</v>
      </c>
      <c r="W45" s="68"/>
      <c r="X45" s="68"/>
      <c r="Y45" s="68"/>
      <c r="Z45" s="169"/>
      <c r="AA45" s="83" t="s">
        <v>291</v>
      </c>
      <c r="AB45" s="170" t="s">
        <v>998</v>
      </c>
      <c r="AC45" s="202"/>
      <c r="AD45" s="203"/>
      <c r="AE45" s="61"/>
      <c r="AF45" s="61"/>
      <c r="AG45" s="61"/>
      <c r="AH45" s="61"/>
      <c r="AI45" s="61"/>
      <c r="AJ45" s="61"/>
      <c r="AK45" s="61"/>
      <c r="AL45" s="61"/>
      <c r="AM45" s="61"/>
      <c r="AN45" s="61"/>
      <c r="AO45" s="61"/>
      <c r="AP45" s="61"/>
      <c r="AQ45" s="61"/>
      <c r="AR45" s="61"/>
      <c r="AS45" s="61"/>
      <c r="AT45" s="61"/>
    </row>
    <row r="46">
      <c r="A46" s="64"/>
      <c r="B46" s="196"/>
      <c r="C46" s="68" t="s">
        <v>109</v>
      </c>
      <c r="D46" s="68"/>
      <c r="E46" s="204" t="s">
        <v>1009</v>
      </c>
      <c r="F46" s="68"/>
      <c r="G46" s="68"/>
      <c r="H46" s="68"/>
      <c r="I46" s="68"/>
      <c r="J46" s="68" t="s">
        <v>114</v>
      </c>
      <c r="K46" s="73" t="s">
        <v>60</v>
      </c>
      <c r="M46" s="198" t="s">
        <v>1013</v>
      </c>
      <c r="N46" s="200">
        <v>29733.0</v>
      </c>
      <c r="O46" s="198">
        <f>DATEDIF($N46,TODAY(),"Y")</f>
        <v>45</v>
      </c>
      <c r="P46" s="198" t="s">
        <v>1022</v>
      </c>
      <c r="Q46" s="81"/>
      <c r="R46" s="68" t="s">
        <v>261</v>
      </c>
      <c r="S46" s="64"/>
      <c r="T46" s="83" t="s">
        <v>186</v>
      </c>
      <c r="U46" s="68" t="s">
        <v>183</v>
      </c>
      <c r="V46" s="205" t="s">
        <v>184</v>
      </c>
      <c r="W46" s="206" t="s">
        <v>1030</v>
      </c>
      <c r="X46" s="68"/>
      <c r="Y46" s="68" t="s">
        <v>1032</v>
      </c>
      <c r="Z46" s="68" t="s">
        <v>1032</v>
      </c>
      <c r="AA46" s="83" t="s">
        <v>632</v>
      </c>
      <c r="AB46" s="170" t="s">
        <v>1033</v>
      </c>
      <c r="AC46" s="68"/>
      <c r="AD46" s="203"/>
      <c r="AE46" s="61"/>
      <c r="AF46" s="61"/>
      <c r="AG46" s="61"/>
      <c r="AH46" s="61"/>
      <c r="AI46" s="61"/>
      <c r="AJ46" s="61"/>
      <c r="AK46" s="61"/>
      <c r="AL46" s="61"/>
      <c r="AM46" s="61"/>
      <c r="AN46" s="61"/>
      <c r="AO46" s="61"/>
      <c r="AP46" s="61"/>
      <c r="AQ46" s="61"/>
      <c r="AR46" s="61"/>
      <c r="AS46" s="61"/>
      <c r="AT46" s="61"/>
    </row>
    <row r="47">
      <c r="A47" s="64"/>
      <c r="B47" s="196"/>
      <c r="C47" s="68"/>
      <c r="D47" s="64"/>
      <c r="E47" s="207">
        <v>45975.0</v>
      </c>
      <c r="F47" s="64"/>
      <c r="G47" s="64"/>
      <c r="H47" s="64"/>
      <c r="I47" s="64"/>
      <c r="J47" s="68"/>
      <c r="K47" s="171"/>
      <c r="M47" s="208" t="s">
        <v>1044</v>
      </c>
      <c r="N47" s="75"/>
      <c r="O47" s="64"/>
      <c r="P47" s="73"/>
      <c r="Q47" s="81"/>
      <c r="R47" s="68" t="s">
        <v>261</v>
      </c>
      <c r="S47" s="64" t="s">
        <v>350</v>
      </c>
      <c r="T47" s="83" t="s">
        <v>182</v>
      </c>
      <c r="U47" s="68"/>
      <c r="V47" s="170" t="s">
        <v>1053</v>
      </c>
      <c r="W47" s="83" t="s">
        <v>185</v>
      </c>
      <c r="X47" s="68"/>
      <c r="Y47" s="68"/>
      <c r="Z47" s="169"/>
      <c r="AA47" s="68" t="s">
        <v>861</v>
      </c>
      <c r="AB47" s="193" t="s">
        <v>1058</v>
      </c>
      <c r="AC47" s="81"/>
      <c r="AD47" s="203"/>
      <c r="AE47" s="61"/>
      <c r="AF47" s="61"/>
      <c r="AG47" s="61"/>
      <c r="AH47" s="61"/>
      <c r="AI47" s="61"/>
      <c r="AJ47" s="61"/>
      <c r="AK47" s="61"/>
      <c r="AL47" s="61"/>
      <c r="AM47" s="61"/>
      <c r="AN47" s="61"/>
      <c r="AO47" s="61"/>
      <c r="AP47" s="61"/>
      <c r="AQ47" s="61"/>
      <c r="AR47" s="61"/>
      <c r="AS47" s="61"/>
      <c r="AT47" s="61"/>
    </row>
    <row r="48">
      <c r="A48" s="64"/>
      <c r="B48" s="196"/>
      <c r="C48" s="68"/>
      <c r="D48" s="64"/>
      <c r="E48" s="207">
        <v>45975.0</v>
      </c>
      <c r="F48" s="64"/>
      <c r="G48" s="64"/>
      <c r="H48" s="64"/>
      <c r="I48" s="64"/>
      <c r="J48" s="68"/>
      <c r="K48" s="171"/>
      <c r="M48" s="208" t="s">
        <v>1068</v>
      </c>
      <c r="N48" s="75"/>
      <c r="O48" s="64"/>
      <c r="P48" s="73"/>
      <c r="Q48" s="81"/>
      <c r="R48" s="68" t="s">
        <v>261</v>
      </c>
      <c r="S48" s="64" t="s">
        <v>350</v>
      </c>
      <c r="T48" s="83" t="s">
        <v>182</v>
      </c>
      <c r="U48" s="68"/>
      <c r="V48" s="170" t="s">
        <v>1053</v>
      </c>
      <c r="W48" s="83" t="s">
        <v>185</v>
      </c>
      <c r="X48" s="68"/>
      <c r="Y48" s="68"/>
      <c r="Z48" s="169"/>
      <c r="AA48" s="68" t="s">
        <v>861</v>
      </c>
      <c r="AB48" s="193" t="s">
        <v>1058</v>
      </c>
      <c r="AC48" s="81"/>
      <c r="AD48" s="203"/>
      <c r="AE48" s="61"/>
      <c r="AF48" s="61"/>
      <c r="AG48" s="61"/>
      <c r="AH48" s="61"/>
      <c r="AI48" s="61"/>
      <c r="AJ48" s="61"/>
      <c r="AK48" s="61"/>
      <c r="AL48" s="61"/>
      <c r="AM48" s="61"/>
      <c r="AN48" s="61"/>
      <c r="AO48" s="61"/>
      <c r="AP48" s="61"/>
      <c r="AQ48" s="61"/>
      <c r="AR48" s="61"/>
      <c r="AS48" s="61"/>
      <c r="AT48" s="61"/>
    </row>
    <row r="49">
      <c r="A49" s="64"/>
      <c r="B49" s="196"/>
      <c r="C49" s="68"/>
      <c r="D49" s="64"/>
      <c r="E49" s="207">
        <v>45975.0</v>
      </c>
      <c r="F49" s="64"/>
      <c r="G49" s="64"/>
      <c r="H49" s="64"/>
      <c r="I49" s="64"/>
      <c r="J49" s="83" t="s">
        <v>114</v>
      </c>
      <c r="K49" s="170" t="s">
        <v>60</v>
      </c>
      <c r="M49" s="210" t="s">
        <v>1086</v>
      </c>
      <c r="N49" s="75"/>
      <c r="O49" s="64"/>
      <c r="P49" s="170" t="s">
        <v>1089</v>
      </c>
      <c r="Q49" s="81"/>
      <c r="R49" s="68" t="s">
        <v>261</v>
      </c>
      <c r="S49" s="64" t="s">
        <v>350</v>
      </c>
      <c r="T49" s="83" t="s">
        <v>182</v>
      </c>
      <c r="U49" s="68" t="s">
        <v>183</v>
      </c>
      <c r="V49" s="170" t="s">
        <v>1053</v>
      </c>
      <c r="W49" s="83" t="s">
        <v>114</v>
      </c>
      <c r="X49" s="68"/>
      <c r="Y49" s="68"/>
      <c r="Z49" s="169"/>
      <c r="AA49" s="68" t="s">
        <v>861</v>
      </c>
      <c r="AB49" s="193" t="s">
        <v>1058</v>
      </c>
      <c r="AC49" s="81"/>
      <c r="AD49" s="203"/>
      <c r="AE49" s="61"/>
      <c r="AF49" s="61"/>
      <c r="AG49" s="61"/>
      <c r="AH49" s="61"/>
      <c r="AI49" s="61"/>
      <c r="AJ49" s="61"/>
      <c r="AK49" s="61"/>
      <c r="AL49" s="61"/>
      <c r="AM49" s="61"/>
      <c r="AN49" s="61"/>
      <c r="AO49" s="61"/>
      <c r="AP49" s="61"/>
      <c r="AQ49" s="61"/>
      <c r="AR49" s="61"/>
      <c r="AS49" s="61"/>
      <c r="AT49" s="61"/>
    </row>
    <row r="50">
      <c r="A50" s="64"/>
      <c r="B50" s="196"/>
      <c r="C50" s="68"/>
      <c r="D50" s="64"/>
      <c r="E50" s="207">
        <v>45975.0</v>
      </c>
      <c r="F50" s="64"/>
      <c r="G50" s="64"/>
      <c r="H50" s="64"/>
      <c r="I50" s="64"/>
      <c r="J50" s="83" t="s">
        <v>114</v>
      </c>
      <c r="K50" s="170" t="s">
        <v>60</v>
      </c>
      <c r="M50" s="172" t="s">
        <v>1106</v>
      </c>
      <c r="N50" s="75"/>
      <c r="O50" s="64"/>
      <c r="P50" s="170" t="s">
        <v>1108</v>
      </c>
      <c r="Q50" s="81"/>
      <c r="R50" s="68" t="s">
        <v>261</v>
      </c>
      <c r="S50" s="64" t="s">
        <v>350</v>
      </c>
      <c r="T50" s="83" t="s">
        <v>182</v>
      </c>
      <c r="U50" s="68" t="s">
        <v>183</v>
      </c>
      <c r="V50" s="170" t="s">
        <v>1053</v>
      </c>
      <c r="W50" s="68"/>
      <c r="X50" s="83" t="s">
        <v>269</v>
      </c>
      <c r="Y50" s="68"/>
      <c r="Z50" s="169"/>
      <c r="AA50" s="68" t="s">
        <v>861</v>
      </c>
      <c r="AB50" s="170" t="s">
        <v>1114</v>
      </c>
      <c r="AC50" s="81"/>
      <c r="AD50" s="203"/>
      <c r="AE50" s="61"/>
      <c r="AF50" s="61"/>
      <c r="AG50" s="61"/>
      <c r="AH50" s="61"/>
      <c r="AI50" s="61"/>
      <c r="AJ50" s="61"/>
      <c r="AK50" s="61"/>
      <c r="AL50" s="61"/>
      <c r="AM50" s="61"/>
      <c r="AN50" s="61"/>
      <c r="AO50" s="61"/>
      <c r="AP50" s="61"/>
      <c r="AQ50" s="61"/>
      <c r="AR50" s="61"/>
      <c r="AS50" s="61"/>
      <c r="AT50" s="61"/>
    </row>
    <row r="51">
      <c r="A51" s="64"/>
      <c r="B51" s="196"/>
      <c r="C51" s="68"/>
      <c r="D51" s="64"/>
      <c r="E51" s="207">
        <v>45975.0</v>
      </c>
      <c r="F51" s="64"/>
      <c r="G51" s="64"/>
      <c r="H51" s="64"/>
      <c r="I51" s="64"/>
      <c r="J51" s="83" t="s">
        <v>114</v>
      </c>
      <c r="K51" s="170" t="s">
        <v>60</v>
      </c>
      <c r="M51" s="68" t="s">
        <v>1122</v>
      </c>
      <c r="N51" s="75"/>
      <c r="O51" s="64"/>
      <c r="P51" s="170" t="s">
        <v>1125</v>
      </c>
      <c r="Q51" s="81"/>
      <c r="R51" s="68" t="s">
        <v>261</v>
      </c>
      <c r="S51" s="64" t="s">
        <v>350</v>
      </c>
      <c r="T51" s="83" t="s">
        <v>182</v>
      </c>
      <c r="U51" s="68" t="s">
        <v>183</v>
      </c>
      <c r="V51" s="170" t="s">
        <v>1053</v>
      </c>
      <c r="W51" s="83" t="s">
        <v>114</v>
      </c>
      <c r="X51" s="68"/>
      <c r="Y51" s="68"/>
      <c r="Z51" s="169"/>
      <c r="AA51" s="68" t="s">
        <v>861</v>
      </c>
      <c r="AB51" s="193" t="s">
        <v>1132</v>
      </c>
      <c r="AC51" s="81"/>
      <c r="AD51" s="203"/>
      <c r="AE51" s="61"/>
      <c r="AF51" s="61"/>
      <c r="AG51" s="61"/>
      <c r="AH51" s="61"/>
      <c r="AI51" s="61"/>
      <c r="AJ51" s="61"/>
      <c r="AK51" s="61"/>
      <c r="AL51" s="61"/>
      <c r="AM51" s="61"/>
      <c r="AN51" s="61"/>
      <c r="AO51" s="61"/>
      <c r="AP51" s="61"/>
      <c r="AQ51" s="61"/>
      <c r="AR51" s="61"/>
      <c r="AS51" s="61"/>
      <c r="AT51" s="61"/>
    </row>
    <row r="52">
      <c r="A52" s="64"/>
      <c r="B52" s="196"/>
      <c r="C52" s="68"/>
      <c r="D52" s="64"/>
      <c r="E52" s="207">
        <v>45975.0</v>
      </c>
      <c r="F52" s="64"/>
      <c r="G52" s="64"/>
      <c r="H52" s="64"/>
      <c r="I52" s="64"/>
      <c r="J52" s="83" t="s">
        <v>114</v>
      </c>
      <c r="K52" s="170" t="s">
        <v>60</v>
      </c>
      <c r="M52" s="68" t="s">
        <v>1141</v>
      </c>
      <c r="N52" s="75"/>
      <c r="O52" s="64"/>
      <c r="P52" s="170" t="s">
        <v>1143</v>
      </c>
      <c r="Q52" s="81"/>
      <c r="R52" s="68" t="s">
        <v>261</v>
      </c>
      <c r="S52" s="64" t="s">
        <v>350</v>
      </c>
      <c r="T52" s="83" t="s">
        <v>182</v>
      </c>
      <c r="U52" s="68" t="s">
        <v>183</v>
      </c>
      <c r="V52" s="170" t="s">
        <v>1053</v>
      </c>
      <c r="W52" s="68"/>
      <c r="X52" s="68"/>
      <c r="Y52" s="68"/>
      <c r="Z52" s="169"/>
      <c r="AA52" s="68" t="s">
        <v>861</v>
      </c>
      <c r="AB52" s="193" t="s">
        <v>1132</v>
      </c>
      <c r="AC52" s="81"/>
      <c r="AD52" s="203"/>
      <c r="AE52" s="61"/>
      <c r="AF52" s="61"/>
      <c r="AG52" s="61"/>
      <c r="AH52" s="61"/>
      <c r="AI52" s="61"/>
      <c r="AJ52" s="61"/>
      <c r="AK52" s="61"/>
      <c r="AL52" s="61"/>
      <c r="AM52" s="61"/>
      <c r="AN52" s="61"/>
      <c r="AO52" s="61"/>
      <c r="AP52" s="61"/>
      <c r="AQ52" s="61"/>
      <c r="AR52" s="61"/>
      <c r="AS52" s="61"/>
      <c r="AT52" s="61"/>
    </row>
    <row r="53">
      <c r="A53" s="64"/>
      <c r="B53" s="213" t="s">
        <v>1159</v>
      </c>
      <c r="C53" s="68"/>
      <c r="D53" s="64"/>
      <c r="E53" s="214"/>
      <c r="F53" s="64"/>
      <c r="G53" s="64"/>
      <c r="H53" s="64"/>
      <c r="I53" s="64"/>
      <c r="J53" s="83" t="s">
        <v>114</v>
      </c>
      <c r="K53" s="171" t="s">
        <v>60</v>
      </c>
      <c r="M53" s="215" t="s">
        <v>1168</v>
      </c>
      <c r="N53" s="75"/>
      <c r="O53" s="64"/>
      <c r="P53" s="73" t="s">
        <v>1169</v>
      </c>
      <c r="Q53" s="81"/>
      <c r="R53" s="68" t="s">
        <v>261</v>
      </c>
      <c r="S53" s="64" t="s">
        <v>350</v>
      </c>
      <c r="T53" s="83" t="s">
        <v>186</v>
      </c>
      <c r="U53" s="68" t="s">
        <v>1174</v>
      </c>
      <c r="V53" s="73" t="s">
        <v>991</v>
      </c>
      <c r="W53" s="68"/>
      <c r="X53" s="68"/>
      <c r="Y53" s="68"/>
      <c r="Z53" s="169"/>
      <c r="AA53" s="83" t="s">
        <v>1136</v>
      </c>
      <c r="AB53" s="170" t="s">
        <v>1177</v>
      </c>
      <c r="AC53" s="81"/>
      <c r="AD53" s="203"/>
      <c r="AE53" s="61"/>
      <c r="AF53" s="61"/>
      <c r="AG53" s="61"/>
      <c r="AH53" s="61"/>
      <c r="AI53" s="61"/>
      <c r="AJ53" s="61"/>
      <c r="AK53" s="61"/>
      <c r="AL53" s="61"/>
      <c r="AM53" s="61"/>
      <c r="AN53" s="61"/>
      <c r="AO53" s="61"/>
      <c r="AP53" s="61"/>
      <c r="AQ53" s="61"/>
      <c r="AR53" s="61"/>
      <c r="AS53" s="61"/>
      <c r="AT53" s="61"/>
    </row>
    <row r="54">
      <c r="A54" s="64"/>
      <c r="B54" s="196"/>
      <c r="C54" s="68"/>
      <c r="D54" s="64"/>
      <c r="E54" s="68"/>
      <c r="F54" s="64"/>
      <c r="G54" s="64"/>
      <c r="H54" s="64"/>
      <c r="I54" s="64"/>
      <c r="J54" s="83" t="s">
        <v>114</v>
      </c>
      <c r="K54" s="73" t="s">
        <v>60</v>
      </c>
      <c r="M54" s="68" t="s">
        <v>1184</v>
      </c>
      <c r="N54" s="75"/>
      <c r="O54" s="64"/>
      <c r="P54" s="68" t="s">
        <v>1185</v>
      </c>
      <c r="Q54" s="81"/>
      <c r="R54" s="83" t="s">
        <v>379</v>
      </c>
      <c r="S54" s="64" t="s">
        <v>350</v>
      </c>
      <c r="T54" s="83" t="s">
        <v>182</v>
      </c>
      <c r="U54" s="68" t="s">
        <v>183</v>
      </c>
      <c r="V54" s="170" t="s">
        <v>991</v>
      </c>
      <c r="W54" s="83" t="s">
        <v>185</v>
      </c>
      <c r="X54" s="68"/>
      <c r="Y54" s="68"/>
      <c r="Z54" s="169"/>
      <c r="AA54" s="83" t="s">
        <v>291</v>
      </c>
      <c r="AB54" s="170" t="s">
        <v>1194</v>
      </c>
      <c r="AC54" s="83"/>
      <c r="AD54" s="203"/>
      <c r="AE54" s="61"/>
      <c r="AF54" s="61"/>
      <c r="AG54" s="61"/>
      <c r="AH54" s="61"/>
      <c r="AI54" s="61"/>
      <c r="AJ54" s="61"/>
      <c r="AK54" s="61"/>
      <c r="AL54" s="61"/>
      <c r="AM54" s="61"/>
      <c r="AN54" s="61"/>
      <c r="AO54" s="61"/>
      <c r="AP54" s="61"/>
      <c r="AQ54" s="61"/>
      <c r="AR54" s="61"/>
      <c r="AS54" s="61"/>
      <c r="AT54" s="61"/>
    </row>
    <row r="55">
      <c r="A55" s="64"/>
      <c r="B55" s="218" t="s">
        <v>1200</v>
      </c>
      <c r="C55" s="68"/>
      <c r="D55" s="64"/>
      <c r="E55" s="219">
        <v>45967.0</v>
      </c>
      <c r="F55" s="64"/>
      <c r="G55" s="64"/>
      <c r="H55" s="64"/>
      <c r="I55" s="64"/>
      <c r="J55" s="83" t="s">
        <v>114</v>
      </c>
      <c r="K55" s="73" t="s">
        <v>60</v>
      </c>
      <c r="M55" s="68" t="s">
        <v>1204</v>
      </c>
      <c r="N55" s="75"/>
      <c r="O55" s="64"/>
      <c r="P55" s="68" t="s">
        <v>1207</v>
      </c>
      <c r="Q55" s="81"/>
      <c r="R55" s="68" t="s">
        <v>261</v>
      </c>
      <c r="S55" s="68" t="s">
        <v>350</v>
      </c>
      <c r="T55" s="83" t="s">
        <v>186</v>
      </c>
      <c r="U55" s="68" t="s">
        <v>1174</v>
      </c>
      <c r="V55" s="170" t="s">
        <v>1053</v>
      </c>
      <c r="W55" s="68"/>
      <c r="X55" s="68"/>
      <c r="Y55" s="68"/>
      <c r="Z55" s="169"/>
      <c r="AA55" s="83" t="s">
        <v>491</v>
      </c>
      <c r="AB55" s="170" t="s">
        <v>1212</v>
      </c>
      <c r="AC55" s="81"/>
      <c r="AD55" s="203"/>
      <c r="AE55" s="61"/>
      <c r="AF55" s="61"/>
      <c r="AG55" s="61"/>
      <c r="AH55" s="61"/>
      <c r="AI55" s="61"/>
      <c r="AJ55" s="61"/>
      <c r="AK55" s="61"/>
      <c r="AL55" s="61"/>
      <c r="AM55" s="61"/>
      <c r="AN55" s="61"/>
      <c r="AO55" s="61"/>
      <c r="AP55" s="61"/>
      <c r="AQ55" s="61"/>
      <c r="AR55" s="61"/>
      <c r="AS55" s="61"/>
      <c r="AT55" s="61"/>
    </row>
    <row r="56">
      <c r="A56" s="64"/>
      <c r="B56" s="218" t="s">
        <v>1200</v>
      </c>
      <c r="C56" s="68"/>
      <c r="D56" s="64"/>
      <c r="E56" s="220">
        <v>45945.0</v>
      </c>
      <c r="F56" s="64"/>
      <c r="G56" s="64"/>
      <c r="H56" s="64"/>
      <c r="I56" s="64"/>
      <c r="J56" s="83" t="s">
        <v>114</v>
      </c>
      <c r="K56" s="73" t="s">
        <v>60</v>
      </c>
      <c r="M56" s="74" t="s">
        <v>1222</v>
      </c>
      <c r="N56" s="75"/>
      <c r="O56" s="64"/>
      <c r="P56" s="68" t="s">
        <v>1224</v>
      </c>
      <c r="Q56" s="81"/>
      <c r="R56" s="83" t="s">
        <v>136</v>
      </c>
      <c r="S56" s="64" t="s">
        <v>350</v>
      </c>
      <c r="T56" s="83" t="s">
        <v>182</v>
      </c>
      <c r="U56" s="221"/>
      <c r="V56" s="170" t="s">
        <v>991</v>
      </c>
      <c r="W56" s="83" t="s">
        <v>185</v>
      </c>
      <c r="X56" s="68"/>
      <c r="Y56" s="68"/>
      <c r="Z56" s="169"/>
      <c r="AA56" s="83"/>
      <c r="AB56" s="73"/>
      <c r="AC56" s="81"/>
      <c r="AD56" s="203"/>
      <c r="AE56" s="61"/>
      <c r="AF56" s="61"/>
      <c r="AG56" s="61"/>
      <c r="AH56" s="61"/>
      <c r="AI56" s="61"/>
      <c r="AJ56" s="61"/>
      <c r="AK56" s="61"/>
      <c r="AL56" s="61"/>
      <c r="AM56" s="61"/>
      <c r="AN56" s="61"/>
      <c r="AO56" s="61"/>
      <c r="AP56" s="61"/>
      <c r="AQ56" s="61"/>
      <c r="AR56" s="61"/>
      <c r="AS56" s="61"/>
      <c r="AT56" s="61"/>
    </row>
    <row r="57">
      <c r="A57" s="64"/>
      <c r="B57" s="218" t="s">
        <v>1200</v>
      </c>
      <c r="C57" s="68"/>
      <c r="D57" s="64"/>
      <c r="E57" s="220">
        <v>45973.0</v>
      </c>
      <c r="F57" s="64"/>
      <c r="G57" s="64"/>
      <c r="H57" s="64"/>
      <c r="I57" s="64"/>
      <c r="J57" s="83" t="s">
        <v>114</v>
      </c>
      <c r="K57" s="171" t="s">
        <v>60</v>
      </c>
      <c r="M57" s="68" t="s">
        <v>1237</v>
      </c>
      <c r="N57" s="75"/>
      <c r="O57" s="64"/>
      <c r="P57" s="222" t="s">
        <v>1238</v>
      </c>
      <c r="Q57" s="81"/>
      <c r="R57" s="68" t="s">
        <v>261</v>
      </c>
      <c r="S57" s="64" t="s">
        <v>350</v>
      </c>
      <c r="T57" s="83" t="s">
        <v>186</v>
      </c>
      <c r="U57" s="68" t="s">
        <v>1174</v>
      </c>
      <c r="V57" s="170" t="s">
        <v>1053</v>
      </c>
      <c r="W57" s="68"/>
      <c r="X57" s="68"/>
      <c r="Y57" s="68"/>
      <c r="Z57" s="169"/>
      <c r="AA57" s="68" t="s">
        <v>861</v>
      </c>
      <c r="AB57" s="73"/>
      <c r="AC57" s="81"/>
      <c r="AD57" s="203"/>
      <c r="AE57" s="61"/>
      <c r="AF57" s="61"/>
      <c r="AG57" s="61"/>
      <c r="AH57" s="61"/>
      <c r="AI57" s="61"/>
      <c r="AJ57" s="61"/>
      <c r="AK57" s="61"/>
      <c r="AL57" s="61"/>
      <c r="AM57" s="61"/>
      <c r="AN57" s="61"/>
      <c r="AO57" s="61"/>
      <c r="AP57" s="61"/>
      <c r="AQ57" s="61"/>
      <c r="AR57" s="61"/>
      <c r="AS57" s="61"/>
      <c r="AT57" s="61"/>
    </row>
    <row r="58">
      <c r="A58" s="64"/>
      <c r="B58" s="218" t="s">
        <v>1200</v>
      </c>
      <c r="C58" s="68"/>
      <c r="D58" s="64"/>
      <c r="E58" s="219">
        <v>45968.0</v>
      </c>
      <c r="F58" s="64"/>
      <c r="G58" s="64"/>
      <c r="H58" s="64"/>
      <c r="I58" s="64"/>
      <c r="J58" s="83" t="s">
        <v>114</v>
      </c>
      <c r="K58" s="73" t="s">
        <v>60</v>
      </c>
      <c r="M58" s="68" t="s">
        <v>1255</v>
      </c>
      <c r="N58" s="75"/>
      <c r="O58" s="64"/>
      <c r="P58" s="215" t="s">
        <v>1258</v>
      </c>
      <c r="Q58" s="81"/>
      <c r="R58" s="68" t="s">
        <v>261</v>
      </c>
      <c r="S58" s="68" t="s">
        <v>350</v>
      </c>
      <c r="T58" s="83" t="s">
        <v>182</v>
      </c>
      <c r="U58" s="68" t="s">
        <v>183</v>
      </c>
      <c r="V58" s="170" t="s">
        <v>1053</v>
      </c>
      <c r="W58" s="83" t="s">
        <v>114</v>
      </c>
      <c r="X58" s="68"/>
      <c r="Y58" s="68"/>
      <c r="Z58" s="169"/>
      <c r="AA58" s="172" t="s">
        <v>861</v>
      </c>
      <c r="AB58" s="170" t="s">
        <v>1266</v>
      </c>
      <c r="AC58" s="81"/>
      <c r="AD58" s="203"/>
      <c r="AE58" s="61"/>
      <c r="AF58" s="61"/>
      <c r="AG58" s="61"/>
      <c r="AH58" s="61"/>
      <c r="AI58" s="61"/>
      <c r="AJ58" s="61"/>
      <c r="AK58" s="61"/>
      <c r="AL58" s="61"/>
      <c r="AM58" s="61"/>
      <c r="AN58" s="61"/>
      <c r="AO58" s="61"/>
      <c r="AP58" s="61"/>
      <c r="AQ58" s="61"/>
      <c r="AR58" s="61"/>
      <c r="AS58" s="61"/>
      <c r="AT58" s="61"/>
    </row>
    <row r="59">
      <c r="A59" s="64"/>
      <c r="B59" s="218" t="s">
        <v>1200</v>
      </c>
      <c r="C59" s="68"/>
      <c r="D59" s="64"/>
      <c r="E59" s="219">
        <v>45968.0</v>
      </c>
      <c r="F59" s="64"/>
      <c r="G59" s="64"/>
      <c r="H59" s="64"/>
      <c r="I59" s="64"/>
      <c r="J59" s="83" t="s">
        <v>114</v>
      </c>
      <c r="K59" s="73" t="s">
        <v>60</v>
      </c>
      <c r="M59" s="68" t="s">
        <v>1272</v>
      </c>
      <c r="N59" s="75"/>
      <c r="O59" s="64"/>
      <c r="P59" s="215" t="s">
        <v>1275</v>
      </c>
      <c r="Q59" s="81"/>
      <c r="R59" s="68" t="s">
        <v>261</v>
      </c>
      <c r="S59" s="68" t="s">
        <v>350</v>
      </c>
      <c r="T59" s="83" t="s">
        <v>186</v>
      </c>
      <c r="U59" s="68" t="s">
        <v>1174</v>
      </c>
      <c r="V59" s="170" t="s">
        <v>1053</v>
      </c>
      <c r="W59" s="68"/>
      <c r="X59" s="68"/>
      <c r="Y59" s="68"/>
      <c r="Z59" s="169"/>
      <c r="AA59" s="172" t="s">
        <v>861</v>
      </c>
      <c r="AB59" s="170" t="s">
        <v>1266</v>
      </c>
      <c r="AC59" s="81"/>
      <c r="AD59" s="203"/>
      <c r="AE59" s="61"/>
      <c r="AF59" s="61"/>
      <c r="AG59" s="61"/>
      <c r="AH59" s="61"/>
      <c r="AI59" s="61"/>
      <c r="AJ59" s="61"/>
      <c r="AK59" s="61"/>
      <c r="AL59" s="61"/>
      <c r="AM59" s="61"/>
      <c r="AN59" s="61"/>
      <c r="AO59" s="61"/>
      <c r="AP59" s="61"/>
      <c r="AQ59" s="61"/>
      <c r="AR59" s="61"/>
      <c r="AS59" s="61"/>
      <c r="AT59" s="61"/>
    </row>
    <row r="60">
      <c r="A60" s="64"/>
      <c r="B60" s="218" t="s">
        <v>1200</v>
      </c>
      <c r="C60" s="68"/>
      <c r="D60" s="64"/>
      <c r="E60" s="219">
        <v>45968.0</v>
      </c>
      <c r="F60" s="64"/>
      <c r="G60" s="64"/>
      <c r="H60" s="64"/>
      <c r="I60" s="64"/>
      <c r="J60" s="83" t="s">
        <v>114</v>
      </c>
      <c r="K60" s="73" t="s">
        <v>60</v>
      </c>
      <c r="M60" s="68" t="s">
        <v>1284</v>
      </c>
      <c r="N60" s="75"/>
      <c r="O60" s="64"/>
      <c r="P60" s="215" t="s">
        <v>1286</v>
      </c>
      <c r="Q60" s="81"/>
      <c r="R60" s="68" t="s">
        <v>261</v>
      </c>
      <c r="S60" s="68" t="s">
        <v>350</v>
      </c>
      <c r="T60" s="83" t="s">
        <v>186</v>
      </c>
      <c r="U60" s="68" t="s">
        <v>1174</v>
      </c>
      <c r="V60" s="170" t="s">
        <v>1053</v>
      </c>
      <c r="W60" s="68"/>
      <c r="X60" s="68"/>
      <c r="Y60" s="68"/>
      <c r="Z60" s="169"/>
      <c r="AA60" s="172" t="s">
        <v>861</v>
      </c>
      <c r="AB60" s="170" t="s">
        <v>1266</v>
      </c>
      <c r="AC60" s="81"/>
      <c r="AD60" s="203"/>
      <c r="AE60" s="61"/>
      <c r="AF60" s="61"/>
      <c r="AG60" s="61"/>
      <c r="AH60" s="61"/>
      <c r="AI60" s="61"/>
      <c r="AJ60" s="61"/>
      <c r="AK60" s="61"/>
      <c r="AL60" s="61"/>
      <c r="AM60" s="61"/>
      <c r="AN60" s="61"/>
      <c r="AO60" s="61"/>
      <c r="AP60" s="61"/>
      <c r="AQ60" s="61"/>
      <c r="AR60" s="61"/>
      <c r="AS60" s="61"/>
      <c r="AT60" s="61"/>
    </row>
    <row r="61">
      <c r="A61" s="64"/>
      <c r="B61" s="196"/>
      <c r="C61" s="68"/>
      <c r="D61" s="64"/>
      <c r="E61" s="207">
        <v>45975.0</v>
      </c>
      <c r="F61" s="64"/>
      <c r="G61" s="64"/>
      <c r="H61" s="64"/>
      <c r="I61" s="64"/>
      <c r="J61" s="68"/>
      <c r="K61" s="170" t="s">
        <v>60</v>
      </c>
      <c r="M61" s="68" t="s">
        <v>1297</v>
      </c>
      <c r="N61" s="75"/>
      <c r="O61" s="64"/>
      <c r="P61" s="222"/>
      <c r="Q61" s="81"/>
      <c r="R61" s="68" t="s">
        <v>261</v>
      </c>
      <c r="S61" s="64" t="s">
        <v>350</v>
      </c>
      <c r="T61" s="83" t="s">
        <v>182</v>
      </c>
      <c r="U61" s="68"/>
      <c r="V61" s="170" t="s">
        <v>1053</v>
      </c>
      <c r="W61" s="83" t="s">
        <v>185</v>
      </c>
      <c r="X61" s="68"/>
      <c r="Y61" s="68"/>
      <c r="Z61" s="169"/>
      <c r="AA61" s="68" t="s">
        <v>861</v>
      </c>
      <c r="AB61" s="73"/>
      <c r="AC61" s="81"/>
      <c r="AD61" s="203"/>
      <c r="AE61" s="61"/>
      <c r="AF61" s="61"/>
      <c r="AG61" s="61"/>
      <c r="AH61" s="61"/>
      <c r="AI61" s="61"/>
      <c r="AJ61" s="61"/>
      <c r="AK61" s="61"/>
      <c r="AL61" s="61"/>
      <c r="AM61" s="61"/>
      <c r="AN61" s="61"/>
      <c r="AO61" s="61"/>
      <c r="AP61" s="61"/>
      <c r="AQ61" s="61"/>
      <c r="AR61" s="61"/>
      <c r="AS61" s="61"/>
      <c r="AT61" s="61"/>
    </row>
    <row r="62">
      <c r="A62" s="64"/>
      <c r="B62" s="196"/>
      <c r="C62" s="68"/>
      <c r="D62" s="64"/>
      <c r="E62" s="207">
        <v>45975.0</v>
      </c>
      <c r="F62" s="64"/>
      <c r="G62" s="64"/>
      <c r="H62" s="64"/>
      <c r="I62" s="64"/>
      <c r="J62" s="83" t="s">
        <v>114</v>
      </c>
      <c r="K62" s="170" t="s">
        <v>60</v>
      </c>
      <c r="M62" s="68" t="s">
        <v>1306</v>
      </c>
      <c r="N62" s="75"/>
      <c r="O62" s="64"/>
      <c r="P62" s="222"/>
      <c r="Q62" s="81"/>
      <c r="R62" s="68" t="s">
        <v>261</v>
      </c>
      <c r="S62" s="64" t="s">
        <v>350</v>
      </c>
      <c r="T62" s="83" t="s">
        <v>182</v>
      </c>
      <c r="U62" s="68" t="s">
        <v>183</v>
      </c>
      <c r="V62" s="170" t="s">
        <v>1053</v>
      </c>
      <c r="W62" s="83" t="s">
        <v>185</v>
      </c>
      <c r="X62" s="68"/>
      <c r="Y62" s="68"/>
      <c r="Z62" s="169"/>
      <c r="AA62" s="68" t="s">
        <v>861</v>
      </c>
      <c r="AB62" s="73"/>
      <c r="AC62" s="81"/>
      <c r="AD62" s="203"/>
      <c r="AE62" s="61"/>
      <c r="AF62" s="61"/>
      <c r="AG62" s="61"/>
      <c r="AH62" s="61"/>
      <c r="AI62" s="61"/>
      <c r="AJ62" s="61"/>
      <c r="AK62" s="61"/>
      <c r="AL62" s="61"/>
      <c r="AM62" s="61"/>
      <c r="AN62" s="61"/>
      <c r="AO62" s="61"/>
      <c r="AP62" s="61"/>
      <c r="AQ62" s="61"/>
      <c r="AR62" s="61"/>
      <c r="AS62" s="61"/>
      <c r="AT62" s="61"/>
    </row>
    <row r="63">
      <c r="A63" s="64"/>
      <c r="B63" s="231" t="s">
        <v>1313</v>
      </c>
      <c r="C63" s="64"/>
      <c r="D63" s="64"/>
      <c r="E63" s="68"/>
      <c r="F63" s="64"/>
      <c r="G63" s="64"/>
      <c r="H63" s="64"/>
      <c r="I63" s="64"/>
      <c r="J63" s="83"/>
      <c r="K63" s="83" t="s">
        <v>60</v>
      </c>
      <c r="M63" s="83" t="s">
        <v>1319</v>
      </c>
      <c r="N63" s="64"/>
      <c r="O63" s="64"/>
      <c r="P63" s="64"/>
      <c r="Q63" s="81"/>
      <c r="R63" s="64"/>
      <c r="S63" s="64"/>
      <c r="T63" s="68"/>
      <c r="U63" s="68"/>
      <c r="V63" s="68"/>
      <c r="W63" s="68"/>
      <c r="X63" s="68"/>
      <c r="Y63" s="68"/>
      <c r="Z63" s="169"/>
      <c r="AA63" s="68"/>
      <c r="AB63" s="170" t="s">
        <v>1324</v>
      </c>
      <c r="AC63" s="161"/>
      <c r="AD63" s="203"/>
      <c r="AE63" s="61"/>
      <c r="AF63" s="61"/>
      <c r="AG63" s="61"/>
      <c r="AH63" s="61"/>
      <c r="AI63" s="61"/>
      <c r="AJ63" s="61"/>
      <c r="AK63" s="61"/>
      <c r="AL63" s="61"/>
      <c r="AM63" s="61"/>
      <c r="AN63" s="61"/>
      <c r="AO63" s="61"/>
      <c r="AP63" s="61"/>
      <c r="AQ63" s="61"/>
      <c r="AR63" s="61"/>
      <c r="AS63" s="61"/>
      <c r="AT63" s="61"/>
    </row>
    <row r="64">
      <c r="A64" s="64"/>
      <c r="B64" s="231" t="s">
        <v>1313</v>
      </c>
      <c r="C64" s="64"/>
      <c r="D64" s="64"/>
      <c r="E64" s="68"/>
      <c r="F64" s="64"/>
      <c r="G64" s="64"/>
      <c r="H64" s="64"/>
      <c r="I64" s="64"/>
      <c r="J64" s="83"/>
      <c r="K64" s="170" t="s">
        <v>326</v>
      </c>
      <c r="M64" s="83" t="s">
        <v>1333</v>
      </c>
      <c r="N64" s="64"/>
      <c r="O64" s="64"/>
      <c r="P64" s="64"/>
      <c r="Q64" s="81"/>
      <c r="R64" s="64"/>
      <c r="S64" s="64"/>
      <c r="T64" s="68"/>
      <c r="U64" s="68"/>
      <c r="V64" s="68"/>
      <c r="W64" s="68"/>
      <c r="X64" s="68"/>
      <c r="Y64" s="68"/>
      <c r="Z64" s="169"/>
      <c r="AA64" s="68"/>
      <c r="AB64" s="170" t="s">
        <v>1324</v>
      </c>
      <c r="AC64" s="161"/>
      <c r="AD64" s="203"/>
      <c r="AE64" s="61"/>
      <c r="AF64" s="61"/>
      <c r="AG64" s="61"/>
      <c r="AH64" s="61"/>
      <c r="AI64" s="61"/>
      <c r="AJ64" s="61"/>
      <c r="AK64" s="61"/>
      <c r="AL64" s="61"/>
      <c r="AM64" s="61"/>
      <c r="AN64" s="61"/>
      <c r="AO64" s="61"/>
      <c r="AP64" s="61"/>
      <c r="AQ64" s="61"/>
      <c r="AR64" s="61"/>
      <c r="AS64" s="61"/>
      <c r="AT64" s="61"/>
    </row>
    <row r="65">
      <c r="A65" s="64"/>
      <c r="B65" s="231" t="s">
        <v>1313</v>
      </c>
      <c r="C65" s="64"/>
      <c r="D65" s="64"/>
      <c r="E65" s="68"/>
      <c r="F65" s="64"/>
      <c r="G65" s="64"/>
      <c r="H65" s="64"/>
      <c r="I65" s="64"/>
      <c r="J65" s="83"/>
      <c r="K65" s="170" t="s">
        <v>326</v>
      </c>
      <c r="M65" s="83" t="s">
        <v>1344</v>
      </c>
      <c r="N65" s="64"/>
      <c r="O65" s="64"/>
      <c r="P65" s="64"/>
      <c r="Q65" s="81"/>
      <c r="R65" s="64"/>
      <c r="S65" s="64"/>
      <c r="T65" s="68"/>
      <c r="U65" s="68"/>
      <c r="V65" s="68"/>
      <c r="W65" s="68"/>
      <c r="X65" s="68"/>
      <c r="Y65" s="68"/>
      <c r="Z65" s="169"/>
      <c r="AA65" s="68"/>
      <c r="AB65" s="170" t="s">
        <v>1324</v>
      </c>
      <c r="AC65" s="161"/>
      <c r="AD65" s="203"/>
      <c r="AE65" s="61"/>
      <c r="AF65" s="61"/>
      <c r="AG65" s="61"/>
      <c r="AH65" s="61"/>
      <c r="AI65" s="61"/>
      <c r="AJ65" s="61"/>
      <c r="AK65" s="61"/>
      <c r="AL65" s="61"/>
      <c r="AM65" s="61"/>
      <c r="AN65" s="61"/>
      <c r="AO65" s="61"/>
      <c r="AP65" s="61"/>
      <c r="AQ65" s="61"/>
      <c r="AR65" s="61"/>
      <c r="AS65" s="61"/>
      <c r="AT65" s="61"/>
    </row>
    <row r="66">
      <c r="A66" s="64"/>
      <c r="B66" s="231" t="s">
        <v>1313</v>
      </c>
      <c r="C66" s="64"/>
      <c r="D66" s="64"/>
      <c r="E66" s="68"/>
      <c r="F66" s="64"/>
      <c r="G66" s="64"/>
      <c r="H66" s="64"/>
      <c r="I66" s="64"/>
      <c r="J66" s="83"/>
      <c r="K66" s="83" t="s">
        <v>60</v>
      </c>
      <c r="M66" s="83" t="s">
        <v>1355</v>
      </c>
      <c r="N66" s="64"/>
      <c r="O66" s="64"/>
      <c r="P66" s="64"/>
      <c r="Q66" s="81"/>
      <c r="R66" s="64"/>
      <c r="S66" s="64"/>
      <c r="T66" s="68"/>
      <c r="U66" s="68"/>
      <c r="V66" s="68"/>
      <c r="W66" s="68"/>
      <c r="X66" s="68"/>
      <c r="Y66" s="68"/>
      <c r="Z66" s="169"/>
      <c r="AA66" s="68"/>
      <c r="AB66" s="170" t="s">
        <v>1324</v>
      </c>
      <c r="AC66" s="161"/>
      <c r="AD66" s="203"/>
      <c r="AE66" s="61"/>
      <c r="AF66" s="61"/>
      <c r="AG66" s="61"/>
      <c r="AH66" s="61"/>
      <c r="AI66" s="61"/>
      <c r="AJ66" s="61"/>
      <c r="AK66" s="61"/>
      <c r="AL66" s="61"/>
      <c r="AM66" s="61"/>
      <c r="AN66" s="61"/>
      <c r="AO66" s="61"/>
      <c r="AP66" s="61"/>
      <c r="AQ66" s="61"/>
      <c r="AR66" s="61"/>
      <c r="AS66" s="61"/>
      <c r="AT66" s="61"/>
    </row>
    <row r="67">
      <c r="A67" s="64"/>
      <c r="B67" s="231" t="s">
        <v>1313</v>
      </c>
      <c r="C67" s="64"/>
      <c r="D67" s="64"/>
      <c r="E67" s="218" t="s">
        <v>1370</v>
      </c>
      <c r="F67" s="64"/>
      <c r="G67" s="64"/>
      <c r="H67" s="64"/>
      <c r="I67" s="64"/>
      <c r="J67" s="68"/>
      <c r="K67" s="171" t="s">
        <v>60</v>
      </c>
      <c r="M67" s="180" t="s">
        <v>1374</v>
      </c>
      <c r="N67" s="103"/>
      <c r="O67" s="64"/>
      <c r="P67" s="171" t="s">
        <v>1375</v>
      </c>
      <c r="Q67" s="64" t="s">
        <v>1376</v>
      </c>
      <c r="R67" s="83" t="s">
        <v>219</v>
      </c>
      <c r="S67" s="83"/>
      <c r="T67" s="68"/>
      <c r="U67" s="68"/>
      <c r="V67" s="68"/>
      <c r="W67" s="68"/>
      <c r="X67" s="68"/>
      <c r="Y67" s="68"/>
      <c r="Z67" s="169"/>
      <c r="AA67" s="83"/>
      <c r="AB67" s="239" t="s">
        <v>1385</v>
      </c>
      <c r="AC67" s="95"/>
      <c r="AD67" s="203"/>
      <c r="AE67" s="61"/>
      <c r="AF67" s="61"/>
      <c r="AG67" s="61"/>
      <c r="AH67" s="61"/>
      <c r="AI67" s="61"/>
      <c r="AJ67" s="61"/>
      <c r="AK67" s="61"/>
      <c r="AL67" s="61"/>
      <c r="AM67" s="61"/>
      <c r="AN67" s="61"/>
      <c r="AO67" s="61"/>
      <c r="AP67" s="61"/>
      <c r="AQ67" s="61"/>
      <c r="AR67" s="61"/>
      <c r="AS67" s="61"/>
      <c r="AT67" s="61"/>
    </row>
    <row r="68">
      <c r="A68" s="64"/>
      <c r="B68" s="218" t="s">
        <v>1200</v>
      </c>
      <c r="C68" s="68"/>
      <c r="D68" s="64"/>
      <c r="E68" s="242">
        <v>45973.0</v>
      </c>
      <c r="F68" s="64"/>
      <c r="G68" s="64"/>
      <c r="H68" s="64"/>
      <c r="I68" s="64"/>
      <c r="J68" s="83" t="s">
        <v>114</v>
      </c>
      <c r="K68" s="171" t="s">
        <v>60</v>
      </c>
      <c r="M68" s="68" t="s">
        <v>1396</v>
      </c>
      <c r="N68" s="75"/>
      <c r="O68" s="64"/>
      <c r="P68" s="73" t="s">
        <v>230</v>
      </c>
      <c r="Q68" s="81"/>
      <c r="R68" s="68" t="s">
        <v>261</v>
      </c>
      <c r="S68" s="64" t="s">
        <v>350</v>
      </c>
      <c r="T68" s="83" t="s">
        <v>186</v>
      </c>
      <c r="U68" s="68" t="s">
        <v>1174</v>
      </c>
      <c r="V68" s="170" t="s">
        <v>1053</v>
      </c>
      <c r="W68" s="68"/>
      <c r="X68" s="68"/>
      <c r="Y68" s="68"/>
      <c r="Z68" s="169"/>
      <c r="AA68" s="68" t="s">
        <v>861</v>
      </c>
      <c r="AB68" s="170" t="s">
        <v>1407</v>
      </c>
      <c r="AC68" s="161"/>
      <c r="AD68" s="203"/>
      <c r="AE68" s="61"/>
      <c r="AF68" s="61"/>
      <c r="AG68" s="61"/>
      <c r="AH68" s="61"/>
      <c r="AI68" s="61"/>
      <c r="AJ68" s="61"/>
      <c r="AK68" s="61"/>
      <c r="AL68" s="61"/>
      <c r="AM68" s="61"/>
      <c r="AN68" s="61"/>
      <c r="AO68" s="61"/>
      <c r="AP68" s="61"/>
      <c r="AQ68" s="61"/>
      <c r="AR68" s="61"/>
      <c r="AS68" s="61"/>
      <c r="AT68" s="61"/>
    </row>
    <row r="69">
      <c r="A69" s="218"/>
      <c r="B69" s="68"/>
      <c r="C69" s="64"/>
      <c r="D69" s="246" t="s">
        <v>1412</v>
      </c>
      <c r="E69" s="64"/>
      <c r="F69" s="64"/>
      <c r="G69" s="64"/>
      <c r="H69" s="64"/>
      <c r="I69" s="83" t="s">
        <v>114</v>
      </c>
      <c r="J69" s="171" t="s">
        <v>60</v>
      </c>
      <c r="K69" s="68"/>
      <c r="M69" s="68" t="s">
        <v>1416</v>
      </c>
      <c r="N69" s="103"/>
      <c r="O69" s="64"/>
      <c r="P69" s="249" t="s">
        <v>1418</v>
      </c>
      <c r="Q69" s="81"/>
      <c r="R69" s="83" t="s">
        <v>165</v>
      </c>
      <c r="S69" s="83" t="s">
        <v>350</v>
      </c>
      <c r="T69" s="83" t="s">
        <v>186</v>
      </c>
      <c r="U69" s="68"/>
      <c r="V69" s="170" t="s">
        <v>991</v>
      </c>
      <c r="W69" s="83"/>
      <c r="X69" s="68"/>
      <c r="Y69" s="83" t="s">
        <v>715</v>
      </c>
      <c r="Z69" s="169"/>
      <c r="AA69" s="83" t="s">
        <v>632</v>
      </c>
      <c r="AB69" s="170" t="s">
        <v>1425</v>
      </c>
      <c r="AC69" s="170"/>
      <c r="AD69" s="203"/>
      <c r="AE69" s="203"/>
      <c r="AF69" s="203"/>
      <c r="AG69" s="203"/>
      <c r="AH69" s="203"/>
      <c r="AI69" s="203"/>
      <c r="AJ69" s="203"/>
      <c r="AK69" s="203"/>
      <c r="AL69" s="203"/>
      <c r="AM69" s="203"/>
      <c r="AN69" s="203"/>
      <c r="AO69" s="203"/>
      <c r="AP69" s="203"/>
      <c r="AQ69" s="203"/>
      <c r="AR69" s="203"/>
      <c r="AS69" s="203"/>
      <c r="AT69" s="203"/>
    </row>
    <row r="70">
      <c r="A70" s="64">
        <v>462.0</v>
      </c>
      <c r="B70" s="163" t="s">
        <v>1433</v>
      </c>
      <c r="C70" s="64" t="s">
        <v>1434</v>
      </c>
      <c r="D70" s="64" t="s">
        <v>121</v>
      </c>
      <c r="E70" s="163" t="s">
        <v>201</v>
      </c>
      <c r="F70" s="254" t="s">
        <v>1437</v>
      </c>
      <c r="G70" s="68" t="s">
        <v>60</v>
      </c>
      <c r="H70" s="171" t="s">
        <v>1221</v>
      </c>
      <c r="I70" s="64" t="s">
        <v>1443</v>
      </c>
      <c r="J70" s="73" t="s">
        <v>114</v>
      </c>
      <c r="K70" s="64" t="s">
        <v>60</v>
      </c>
      <c r="M70" s="64" t="s">
        <v>1446</v>
      </c>
      <c r="N70" s="75"/>
      <c r="O70" s="64"/>
      <c r="P70" s="171" t="s">
        <v>1447</v>
      </c>
      <c r="Q70" s="81"/>
      <c r="R70" s="257" t="s">
        <v>379</v>
      </c>
      <c r="S70" s="64"/>
      <c r="T70" s="68"/>
      <c r="U70" s="68"/>
      <c r="V70" s="68"/>
      <c r="W70" s="68"/>
      <c r="X70" s="68"/>
      <c r="Y70" s="68" t="s">
        <v>1032</v>
      </c>
      <c r="Z70" s="83" t="s">
        <v>1456</v>
      </c>
      <c r="AA70" s="68" t="s">
        <v>291</v>
      </c>
      <c r="AB70" s="170" t="s">
        <v>1457</v>
      </c>
      <c r="AC70" s="73"/>
      <c r="AD70" s="203"/>
      <c r="AE70" s="203"/>
      <c r="AF70" s="203"/>
      <c r="AG70" s="203"/>
      <c r="AH70" s="203"/>
      <c r="AI70" s="203"/>
      <c r="AJ70" s="203"/>
      <c r="AK70" s="203"/>
      <c r="AL70" s="203"/>
      <c r="AM70" s="203"/>
      <c r="AN70" s="203"/>
      <c r="AO70" s="203"/>
      <c r="AP70" s="203"/>
      <c r="AQ70" s="203"/>
      <c r="AR70" s="203"/>
      <c r="AS70" s="203"/>
      <c r="AT70" s="203"/>
    </row>
    <row r="71">
      <c r="A71" s="64">
        <v>41.0</v>
      </c>
      <c r="B71" s="163" t="s">
        <v>1039</v>
      </c>
      <c r="C71" s="64" t="s">
        <v>1269</v>
      </c>
      <c r="D71" s="64" t="s">
        <v>1368</v>
      </c>
      <c r="E71" s="259" t="s">
        <v>187</v>
      </c>
      <c r="F71" s="254" t="s">
        <v>1469</v>
      </c>
      <c r="G71" s="68" t="s">
        <v>60</v>
      </c>
      <c r="H71" s="171" t="s">
        <v>1221</v>
      </c>
      <c r="I71" s="64" t="s">
        <v>1443</v>
      </c>
      <c r="J71" s="73"/>
      <c r="K71" s="261" t="s">
        <v>60</v>
      </c>
      <c r="M71" s="263" t="s">
        <v>1478</v>
      </c>
      <c r="N71" s="103"/>
      <c r="O71" s="64"/>
      <c r="P71" s="73"/>
      <c r="Q71" s="81"/>
      <c r="R71" s="83" t="s">
        <v>379</v>
      </c>
      <c r="S71" s="68"/>
      <c r="T71" s="68"/>
      <c r="U71" s="68"/>
      <c r="V71" s="68"/>
      <c r="W71" s="68"/>
      <c r="X71" s="68"/>
      <c r="Y71" s="83" t="s">
        <v>632</v>
      </c>
      <c r="Z71" s="83" t="s">
        <v>1485</v>
      </c>
      <c r="AA71" s="83" t="s">
        <v>632</v>
      </c>
      <c r="AB71" s="103"/>
      <c r="AC71" s="161"/>
      <c r="AD71" s="203"/>
      <c r="AE71" s="203"/>
      <c r="AF71" s="61"/>
      <c r="AG71" s="61"/>
      <c r="AH71" s="91"/>
      <c r="AI71" s="91"/>
      <c r="AJ71" s="91"/>
      <c r="AK71" s="61"/>
      <c r="AL71" s="61"/>
      <c r="AM71" s="61"/>
      <c r="AN71" s="61"/>
      <c r="AO71" s="61"/>
      <c r="AP71" s="61"/>
      <c r="AQ71" s="61"/>
      <c r="AR71" s="61"/>
      <c r="AS71" s="61"/>
      <c r="AT71" s="61"/>
    </row>
    <row r="72">
      <c r="A72" s="64">
        <v>55.0</v>
      </c>
      <c r="B72" s="163" t="s">
        <v>1039</v>
      </c>
      <c r="C72" s="64" t="s">
        <v>1269</v>
      </c>
      <c r="D72" s="64" t="s">
        <v>1494</v>
      </c>
      <c r="E72" s="266" t="s">
        <v>58</v>
      </c>
      <c r="F72" s="254" t="s">
        <v>1496</v>
      </c>
      <c r="G72" s="68" t="s">
        <v>60</v>
      </c>
      <c r="H72" s="171" t="s">
        <v>1221</v>
      </c>
      <c r="I72" s="171" t="s">
        <v>1221</v>
      </c>
      <c r="J72" s="73"/>
      <c r="K72" s="73" t="s">
        <v>60</v>
      </c>
      <c r="M72" s="68" t="s">
        <v>1284</v>
      </c>
      <c r="N72" s="64"/>
      <c r="O72" s="68"/>
      <c r="P72" s="68" t="s">
        <v>1286</v>
      </c>
      <c r="Q72" s="81"/>
      <c r="R72" s="270" t="s">
        <v>379</v>
      </c>
      <c r="S72" s="68"/>
      <c r="T72" s="83" t="s">
        <v>186</v>
      </c>
      <c r="U72" s="68" t="s">
        <v>1174</v>
      </c>
      <c r="V72" s="170" t="s">
        <v>1053</v>
      </c>
      <c r="W72" s="68"/>
      <c r="X72" s="68"/>
      <c r="Y72" s="83" t="s">
        <v>632</v>
      </c>
      <c r="Z72" s="83" t="s">
        <v>632</v>
      </c>
      <c r="AA72" s="83" t="s">
        <v>632</v>
      </c>
      <c r="AB72" s="73"/>
      <c r="AC72" s="81"/>
      <c r="AD72" s="203"/>
      <c r="AE72" s="203"/>
      <c r="AF72" s="203"/>
      <c r="AG72" s="203"/>
      <c r="AH72" s="203"/>
      <c r="AI72" s="203"/>
      <c r="AJ72" s="203"/>
      <c r="AK72" s="203"/>
      <c r="AL72" s="203"/>
      <c r="AM72" s="203"/>
      <c r="AN72" s="203"/>
      <c r="AO72" s="203"/>
      <c r="AP72" s="203"/>
      <c r="AQ72" s="203"/>
      <c r="AR72" s="203"/>
      <c r="AS72" s="203"/>
      <c r="AT72" s="203"/>
    </row>
    <row r="73">
      <c r="A73" s="64">
        <v>91.0</v>
      </c>
      <c r="B73" s="163" t="s">
        <v>1039</v>
      </c>
      <c r="C73" s="64" t="s">
        <v>1517</v>
      </c>
      <c r="D73" s="64" t="s">
        <v>1519</v>
      </c>
      <c r="E73" s="271" t="s">
        <v>213</v>
      </c>
      <c r="F73" s="254" t="s">
        <v>1523</v>
      </c>
      <c r="G73" s="68" t="s">
        <v>60</v>
      </c>
      <c r="H73" s="171" t="s">
        <v>1221</v>
      </c>
      <c r="I73" s="64" t="s">
        <v>1443</v>
      </c>
      <c r="J73" s="73"/>
      <c r="K73" s="261" t="s">
        <v>60</v>
      </c>
      <c r="M73" s="261" t="s">
        <v>1530</v>
      </c>
      <c r="N73" s="272"/>
      <c r="O73" s="64"/>
      <c r="P73" s="68"/>
      <c r="Q73" s="81"/>
      <c r="R73" s="83" t="s">
        <v>379</v>
      </c>
      <c r="S73" s="68"/>
      <c r="T73" s="68"/>
      <c r="U73" s="68"/>
      <c r="V73" s="68"/>
      <c r="W73" s="68"/>
      <c r="X73" s="68"/>
      <c r="Y73" s="83" t="s">
        <v>632</v>
      </c>
      <c r="Z73" s="83" t="s">
        <v>632</v>
      </c>
      <c r="AA73" s="83" t="s">
        <v>632</v>
      </c>
      <c r="AB73" s="170" t="s">
        <v>1559</v>
      </c>
      <c r="AC73" s="83"/>
      <c r="AD73" s="203"/>
      <c r="AE73" s="203"/>
      <c r="AF73" s="203"/>
      <c r="AG73" s="203"/>
      <c r="AH73" s="203"/>
      <c r="AI73" s="203"/>
      <c r="AJ73" s="203"/>
      <c r="AK73" s="203"/>
      <c r="AL73" s="203"/>
      <c r="AM73" s="203"/>
      <c r="AN73" s="203"/>
      <c r="AO73" s="203"/>
      <c r="AP73" s="203"/>
      <c r="AQ73" s="203"/>
      <c r="AR73" s="203"/>
      <c r="AS73" s="203"/>
      <c r="AT73" s="203"/>
    </row>
    <row r="74">
      <c r="A74" s="64">
        <v>92.0</v>
      </c>
      <c r="B74" s="163" t="s">
        <v>1039</v>
      </c>
      <c r="C74" s="64" t="s">
        <v>1517</v>
      </c>
      <c r="D74" s="64" t="s">
        <v>1519</v>
      </c>
      <c r="E74" s="271" t="s">
        <v>213</v>
      </c>
      <c r="F74" s="254" t="s">
        <v>1523</v>
      </c>
      <c r="G74" s="68" t="s">
        <v>60</v>
      </c>
      <c r="H74" s="171" t="s">
        <v>1221</v>
      </c>
      <c r="I74" s="64"/>
      <c r="J74" s="68"/>
      <c r="K74" s="261" t="s">
        <v>60</v>
      </c>
      <c r="M74" s="277" t="s">
        <v>1588</v>
      </c>
      <c r="N74" s="75"/>
      <c r="O74" s="64"/>
      <c r="P74" s="64"/>
      <c r="Q74" s="81"/>
      <c r="R74" s="83" t="s">
        <v>379</v>
      </c>
      <c r="S74" s="68"/>
      <c r="T74" s="68"/>
      <c r="U74" s="68"/>
      <c r="V74" s="68"/>
      <c r="W74" s="68"/>
      <c r="X74" s="68"/>
      <c r="Y74" s="83" t="s">
        <v>632</v>
      </c>
      <c r="Z74" s="83" t="s">
        <v>632</v>
      </c>
      <c r="AA74" s="83" t="s">
        <v>632</v>
      </c>
      <c r="AB74" s="142"/>
      <c r="AC74" s="95"/>
      <c r="AD74" s="203"/>
      <c r="AE74" s="203"/>
      <c r="AF74" s="203"/>
      <c r="AG74" s="203"/>
      <c r="AH74" s="203"/>
      <c r="AI74" s="203"/>
      <c r="AJ74" s="203"/>
      <c r="AK74" s="203"/>
      <c r="AL74" s="203"/>
      <c r="AM74" s="203"/>
      <c r="AN74" s="203"/>
      <c r="AO74" s="203"/>
      <c r="AP74" s="203"/>
      <c r="AQ74" s="203"/>
      <c r="AR74" s="203"/>
      <c r="AS74" s="203"/>
      <c r="AT74" s="203"/>
    </row>
    <row r="75">
      <c r="A75" s="64">
        <v>102.0</v>
      </c>
      <c r="B75" s="163" t="s">
        <v>1039</v>
      </c>
      <c r="C75" s="64" t="s">
        <v>1611</v>
      </c>
      <c r="D75" s="64" t="s">
        <v>1368</v>
      </c>
      <c r="E75" s="271" t="s">
        <v>139</v>
      </c>
      <c r="F75" s="254" t="s">
        <v>1520</v>
      </c>
      <c r="G75" s="68" t="s">
        <v>60</v>
      </c>
      <c r="H75" s="171" t="s">
        <v>1221</v>
      </c>
      <c r="I75" s="64" t="s">
        <v>1443</v>
      </c>
      <c r="J75" s="83"/>
      <c r="K75" s="280" t="s">
        <v>60</v>
      </c>
      <c r="M75" s="277" t="s">
        <v>1272</v>
      </c>
      <c r="N75" s="75"/>
      <c r="O75" s="64"/>
      <c r="P75" s="73"/>
      <c r="Q75" s="81"/>
      <c r="R75" s="83" t="s">
        <v>379</v>
      </c>
      <c r="S75" s="64"/>
      <c r="T75" s="83"/>
      <c r="U75" s="68"/>
      <c r="V75" s="170"/>
      <c r="W75" s="68"/>
      <c r="X75" s="68"/>
      <c r="Y75" s="83" t="s">
        <v>632</v>
      </c>
      <c r="Z75" s="83" t="s">
        <v>632</v>
      </c>
      <c r="AA75" s="83" t="s">
        <v>632</v>
      </c>
      <c r="AB75" s="73"/>
      <c r="AC75" s="81"/>
      <c r="AD75" s="203"/>
      <c r="AE75" s="203"/>
      <c r="AF75" s="203"/>
      <c r="AG75" s="203"/>
      <c r="AH75" s="203"/>
      <c r="AI75" s="203"/>
      <c r="AJ75" s="203"/>
      <c r="AK75" s="203"/>
      <c r="AL75" s="203"/>
      <c r="AM75" s="203"/>
      <c r="AN75" s="203"/>
      <c r="AO75" s="203"/>
      <c r="AP75" s="203"/>
      <c r="AQ75" s="203"/>
      <c r="AR75" s="203"/>
      <c r="AS75" s="203"/>
      <c r="AT75" s="203"/>
    </row>
    <row r="76">
      <c r="A76" s="64">
        <v>186.0</v>
      </c>
      <c r="B76" s="283" t="s">
        <v>1645</v>
      </c>
      <c r="C76" s="284" t="s">
        <v>1517</v>
      </c>
      <c r="D76" s="283" t="s">
        <v>1368</v>
      </c>
      <c r="E76" s="271" t="s">
        <v>321</v>
      </c>
      <c r="F76" s="254" t="s">
        <v>1552</v>
      </c>
      <c r="G76" s="68" t="s">
        <v>60</v>
      </c>
      <c r="H76" s="171" t="s">
        <v>1221</v>
      </c>
      <c r="I76" s="171"/>
      <c r="J76" s="171"/>
      <c r="K76" s="280" t="s">
        <v>60</v>
      </c>
      <c r="M76" s="277" t="s">
        <v>1655</v>
      </c>
      <c r="N76" s="103"/>
      <c r="O76" s="64"/>
      <c r="P76" s="171"/>
      <c r="Q76" s="81"/>
      <c r="R76" s="83" t="s">
        <v>379</v>
      </c>
      <c r="S76" s="64"/>
      <c r="T76" s="68"/>
      <c r="U76" s="68"/>
      <c r="V76" s="68"/>
      <c r="W76" s="68"/>
      <c r="X76" s="68"/>
      <c r="Y76" s="83" t="s">
        <v>632</v>
      </c>
      <c r="Z76" s="83" t="s">
        <v>632</v>
      </c>
      <c r="AA76" s="83" t="s">
        <v>632</v>
      </c>
      <c r="AB76" s="285"/>
      <c r="AC76" s="95"/>
      <c r="AD76" s="203"/>
      <c r="AE76" s="203"/>
      <c r="AF76" s="203"/>
      <c r="AG76" s="203"/>
      <c r="AH76" s="203"/>
      <c r="AI76" s="203"/>
      <c r="AJ76" s="203"/>
      <c r="AK76" s="203"/>
      <c r="AL76" s="203"/>
      <c r="AM76" s="203"/>
      <c r="AN76" s="203"/>
      <c r="AO76" s="203"/>
      <c r="AP76" s="203"/>
      <c r="AQ76" s="203"/>
      <c r="AR76" s="203"/>
      <c r="AS76" s="203"/>
      <c r="AT76" s="203"/>
    </row>
    <row r="77">
      <c r="A77" s="64">
        <v>221.0</v>
      </c>
      <c r="B77" s="163" t="s">
        <v>1645</v>
      </c>
      <c r="C77" s="64" t="s">
        <v>1611</v>
      </c>
      <c r="D77" s="163" t="s">
        <v>1494</v>
      </c>
      <c r="E77" s="271" t="s">
        <v>302</v>
      </c>
      <c r="F77" s="254" t="s">
        <v>1404</v>
      </c>
      <c r="G77" s="68" t="s">
        <v>326</v>
      </c>
      <c r="H77" s="171" t="s">
        <v>1221</v>
      </c>
      <c r="I77" s="64"/>
      <c r="J77" s="73"/>
      <c r="K77" s="193" t="s">
        <v>360</v>
      </c>
      <c r="M77" s="277" t="s">
        <v>1679</v>
      </c>
      <c r="N77" s="103"/>
      <c r="O77" s="64"/>
      <c r="P77" s="171"/>
      <c r="Q77" s="81"/>
      <c r="R77" s="257" t="s">
        <v>379</v>
      </c>
      <c r="S77" s="64"/>
      <c r="T77" s="68"/>
      <c r="U77" s="68"/>
      <c r="V77" s="68"/>
      <c r="W77" s="68"/>
      <c r="X77" s="68"/>
      <c r="Y77" s="83" t="s">
        <v>632</v>
      </c>
      <c r="Z77" s="83" t="s">
        <v>150</v>
      </c>
      <c r="AA77" s="83" t="s">
        <v>632</v>
      </c>
      <c r="AB77" s="103"/>
      <c r="AC77" s="95"/>
      <c r="AD77" s="203"/>
      <c r="AE77" s="203"/>
      <c r="AF77" s="203"/>
      <c r="AG77" s="203"/>
      <c r="AH77" s="203"/>
      <c r="AI77" s="203"/>
      <c r="AJ77" s="203"/>
      <c r="AK77" s="203"/>
      <c r="AL77" s="203"/>
      <c r="AM77" s="203"/>
      <c r="AN77" s="203"/>
      <c r="AO77" s="203"/>
      <c r="AP77" s="203"/>
      <c r="AQ77" s="203"/>
      <c r="AR77" s="203"/>
      <c r="AS77" s="203"/>
      <c r="AT77" s="203"/>
    </row>
    <row r="78">
      <c r="A78" s="64">
        <v>226.0</v>
      </c>
      <c r="B78" s="283" t="s">
        <v>1645</v>
      </c>
      <c r="C78" s="284" t="s">
        <v>1611</v>
      </c>
      <c r="D78" s="283" t="s">
        <v>1494</v>
      </c>
      <c r="E78" s="259" t="s">
        <v>213</v>
      </c>
      <c r="F78" s="254" t="s">
        <v>1523</v>
      </c>
      <c r="G78" s="68" t="s">
        <v>60</v>
      </c>
      <c r="H78" s="171" t="s">
        <v>1221</v>
      </c>
      <c r="I78" s="64" t="s">
        <v>1443</v>
      </c>
      <c r="J78" s="68"/>
      <c r="K78" s="280" t="s">
        <v>60</v>
      </c>
      <c r="M78" s="277" t="s">
        <v>1396</v>
      </c>
      <c r="N78" s="75"/>
      <c r="O78" s="64"/>
      <c r="P78" s="64"/>
      <c r="Q78" s="81"/>
      <c r="R78" s="83" t="s">
        <v>379</v>
      </c>
      <c r="S78" s="64"/>
      <c r="T78" s="68"/>
      <c r="U78" s="68"/>
      <c r="V78" s="68"/>
      <c r="W78" s="68"/>
      <c r="X78" s="68"/>
      <c r="Y78" s="83" t="s">
        <v>632</v>
      </c>
      <c r="Z78" s="83" t="s">
        <v>632</v>
      </c>
      <c r="AA78" s="83" t="s">
        <v>632</v>
      </c>
      <c r="AB78" s="142"/>
      <c r="AC78" s="95"/>
      <c r="AD78" s="203"/>
      <c r="AE78" s="203"/>
      <c r="AF78" s="203"/>
      <c r="AG78" s="203"/>
      <c r="AH78" s="203"/>
      <c r="AI78" s="203"/>
      <c r="AJ78" s="203"/>
      <c r="AK78" s="203"/>
      <c r="AL78" s="203"/>
      <c r="AM78" s="203"/>
      <c r="AN78" s="203"/>
      <c r="AO78" s="203"/>
      <c r="AP78" s="203"/>
      <c r="AQ78" s="203"/>
      <c r="AR78" s="203"/>
      <c r="AS78" s="203"/>
      <c r="AT78" s="203"/>
    </row>
    <row r="79">
      <c r="A79" s="64">
        <v>277.0</v>
      </c>
      <c r="B79" s="163" t="s">
        <v>1709</v>
      </c>
      <c r="C79" s="64" t="s">
        <v>1269</v>
      </c>
      <c r="D79" s="163" t="s">
        <v>1494</v>
      </c>
      <c r="E79" s="271" t="s">
        <v>321</v>
      </c>
      <c r="F79" s="254" t="s">
        <v>1552</v>
      </c>
      <c r="G79" s="68" t="s">
        <v>60</v>
      </c>
      <c r="H79" s="171" t="s">
        <v>1221</v>
      </c>
      <c r="I79" s="64" t="s">
        <v>1443</v>
      </c>
      <c r="J79" s="73"/>
      <c r="K79" s="280" t="s">
        <v>60</v>
      </c>
      <c r="M79" s="277" t="s">
        <v>1715</v>
      </c>
      <c r="N79" s="75"/>
      <c r="O79" s="64"/>
      <c r="P79" s="68"/>
      <c r="Q79" s="81"/>
      <c r="R79" s="83" t="s">
        <v>379</v>
      </c>
      <c r="S79" s="64"/>
      <c r="T79" s="68"/>
      <c r="U79" s="68"/>
      <c r="V79" s="68"/>
      <c r="W79" s="68"/>
      <c r="X79" s="68"/>
      <c r="Y79" s="83" t="s">
        <v>632</v>
      </c>
      <c r="Z79" s="83" t="s">
        <v>632</v>
      </c>
      <c r="AA79" s="83" t="s">
        <v>632</v>
      </c>
      <c r="AB79" s="142"/>
      <c r="AC79" s="161"/>
      <c r="AD79" s="203"/>
      <c r="AE79" s="203"/>
      <c r="AF79" s="203"/>
      <c r="AG79" s="203"/>
      <c r="AH79" s="203"/>
      <c r="AI79" s="203"/>
      <c r="AJ79" s="203"/>
      <c r="AK79" s="203"/>
      <c r="AL79" s="203"/>
      <c r="AM79" s="203"/>
      <c r="AN79" s="203"/>
      <c r="AO79" s="203"/>
      <c r="AP79" s="203"/>
      <c r="AQ79" s="203"/>
      <c r="AR79" s="203"/>
      <c r="AS79" s="203"/>
      <c r="AT79" s="203"/>
    </row>
    <row r="80">
      <c r="A80" s="64">
        <v>534.0</v>
      </c>
      <c r="B80" s="163" t="s">
        <v>1728</v>
      </c>
      <c r="C80" s="64" t="s">
        <v>1729</v>
      </c>
      <c r="D80" s="64" t="s">
        <v>121</v>
      </c>
      <c r="E80" s="171" t="s">
        <v>331</v>
      </c>
      <c r="F80" s="254" t="s">
        <v>1731</v>
      </c>
      <c r="G80" s="68" t="s">
        <v>60</v>
      </c>
      <c r="H80" s="171" t="s">
        <v>1221</v>
      </c>
      <c r="I80" s="64"/>
      <c r="J80" s="171"/>
      <c r="K80" s="193" t="s">
        <v>60</v>
      </c>
      <c r="M80" s="277" t="s">
        <v>1736</v>
      </c>
      <c r="N80" s="203"/>
      <c r="O80" s="203"/>
      <c r="P80" s="203"/>
      <c r="Q80" s="81"/>
      <c r="R80" s="83" t="s">
        <v>379</v>
      </c>
      <c r="S80" s="64"/>
      <c r="T80" s="68"/>
      <c r="U80" s="68"/>
      <c r="V80" s="68"/>
      <c r="W80" s="68"/>
      <c r="X80" s="68"/>
      <c r="Y80" s="83" t="s">
        <v>632</v>
      </c>
      <c r="Z80" s="83" t="s">
        <v>632</v>
      </c>
      <c r="AA80" s="83" t="s">
        <v>632</v>
      </c>
      <c r="AB80" s="170"/>
      <c r="AC80" s="83"/>
      <c r="AD80" s="203"/>
      <c r="AE80" s="203"/>
      <c r="AF80" s="203"/>
      <c r="AG80" s="203"/>
      <c r="AH80" s="203"/>
      <c r="AI80" s="203"/>
      <c r="AJ80" s="203"/>
      <c r="AK80" s="203"/>
      <c r="AL80" s="203"/>
      <c r="AM80" s="203"/>
      <c r="AN80" s="203"/>
      <c r="AO80" s="203"/>
      <c r="AP80" s="203"/>
      <c r="AQ80" s="203"/>
      <c r="AR80" s="203"/>
      <c r="AS80" s="203"/>
      <c r="AT80" s="203"/>
    </row>
    <row r="81">
      <c r="A81" s="64">
        <v>596.0</v>
      </c>
      <c r="B81" s="163" t="s">
        <v>1751</v>
      </c>
      <c r="C81" s="64" t="s">
        <v>1752</v>
      </c>
      <c r="D81" s="64" t="s">
        <v>121</v>
      </c>
      <c r="E81" s="171" t="s">
        <v>1753</v>
      </c>
      <c r="F81" s="254" t="s">
        <v>1754</v>
      </c>
      <c r="G81" s="68" t="s">
        <v>60</v>
      </c>
      <c r="H81" s="171" t="s">
        <v>1221</v>
      </c>
      <c r="I81" s="64"/>
      <c r="J81" s="73"/>
      <c r="K81" s="180" t="s">
        <v>60</v>
      </c>
      <c r="M81" s="277" t="s">
        <v>1762</v>
      </c>
      <c r="N81" s="75"/>
      <c r="O81" s="64"/>
      <c r="P81" s="171"/>
      <c r="Q81" s="81"/>
      <c r="R81" s="257" t="s">
        <v>379</v>
      </c>
      <c r="S81" s="64"/>
      <c r="T81" s="68"/>
      <c r="U81" s="64"/>
      <c r="V81" s="64"/>
      <c r="W81" s="64"/>
      <c r="X81" s="68"/>
      <c r="Y81" s="83" t="s">
        <v>632</v>
      </c>
      <c r="Z81" s="83" t="s">
        <v>632</v>
      </c>
      <c r="AA81" s="83" t="s">
        <v>632</v>
      </c>
      <c r="AB81" s="285"/>
      <c r="AC81" s="161"/>
      <c r="AD81" s="203"/>
      <c r="AE81" s="203"/>
      <c r="AF81" s="203"/>
      <c r="AG81" s="203"/>
      <c r="AH81" s="203"/>
      <c r="AI81" s="203"/>
      <c r="AJ81" s="203"/>
      <c r="AK81" s="203"/>
      <c r="AL81" s="203"/>
      <c r="AM81" s="203"/>
      <c r="AN81" s="203"/>
      <c r="AO81" s="203"/>
      <c r="AP81" s="203"/>
      <c r="AQ81" s="203"/>
      <c r="AR81" s="203"/>
      <c r="AS81" s="203"/>
      <c r="AT81" s="203"/>
    </row>
    <row r="82">
      <c r="A82" s="94"/>
      <c r="B82" s="95" t="s">
        <v>1774</v>
      </c>
      <c r="C82" s="94"/>
      <c r="D82" s="94"/>
      <c r="E82" s="94"/>
      <c r="F82" s="94"/>
      <c r="G82" s="94"/>
      <c r="H82" s="94"/>
      <c r="I82" s="94"/>
      <c r="J82" s="94"/>
      <c r="K82" s="96" t="s">
        <v>102</v>
      </c>
      <c r="M82" s="95" t="s">
        <v>1779</v>
      </c>
      <c r="N82" s="119"/>
      <c r="O82" s="94"/>
      <c r="P82" s="95" t="s">
        <v>1415</v>
      </c>
      <c r="Q82" s="100"/>
      <c r="R82" s="293" t="s">
        <v>165</v>
      </c>
      <c r="S82" s="95" t="s">
        <v>350</v>
      </c>
      <c r="T82" s="94"/>
      <c r="U82" s="94"/>
      <c r="V82" s="94"/>
      <c r="W82" s="94"/>
      <c r="X82" s="94"/>
      <c r="Y82" s="94"/>
      <c r="Z82" s="113"/>
      <c r="AA82" s="95" t="s">
        <v>1794</v>
      </c>
      <c r="AB82" s="96" t="s">
        <v>1795</v>
      </c>
      <c r="AC82" s="94"/>
      <c r="AD82" s="203"/>
      <c r="AE82" s="203"/>
      <c r="AF82" s="104"/>
      <c r="AG82" s="104"/>
      <c r="AH82" s="104"/>
      <c r="AI82" s="104"/>
      <c r="AJ82" s="104"/>
      <c r="AK82" s="104"/>
      <c r="AL82" s="104"/>
      <c r="AM82" s="104"/>
      <c r="AN82" s="104"/>
      <c r="AO82" s="104"/>
      <c r="AP82" s="104"/>
      <c r="AQ82" s="104"/>
      <c r="AR82" s="104"/>
      <c r="AS82" s="104"/>
      <c r="AT82" s="104"/>
    </row>
    <row r="83">
      <c r="A83" s="94"/>
      <c r="B83" s="95" t="s">
        <v>1774</v>
      </c>
      <c r="C83" s="94"/>
      <c r="D83" s="94"/>
      <c r="E83" s="94"/>
      <c r="F83" s="94"/>
      <c r="G83" s="94"/>
      <c r="H83" s="94"/>
      <c r="I83" s="94"/>
      <c r="J83" s="94"/>
      <c r="K83" s="96" t="s">
        <v>60</v>
      </c>
      <c r="M83" s="95" t="s">
        <v>1804</v>
      </c>
      <c r="N83" s="119"/>
      <c r="O83" s="94"/>
      <c r="P83" s="95" t="s">
        <v>1806</v>
      </c>
      <c r="Q83" s="100"/>
      <c r="R83" s="293" t="s">
        <v>165</v>
      </c>
      <c r="S83" s="95" t="s">
        <v>350</v>
      </c>
      <c r="T83" s="94"/>
      <c r="U83" s="94"/>
      <c r="V83" s="94"/>
      <c r="W83" s="94"/>
      <c r="X83" s="94"/>
      <c r="Y83" s="94"/>
      <c r="Z83" s="113"/>
      <c r="AA83" s="95" t="s">
        <v>1794</v>
      </c>
      <c r="AB83" s="96" t="s">
        <v>1795</v>
      </c>
      <c r="AC83" s="94"/>
      <c r="AD83" s="203"/>
      <c r="AE83" s="203"/>
      <c r="AF83" s="104"/>
      <c r="AG83" s="104"/>
      <c r="AH83" s="104"/>
      <c r="AI83" s="104"/>
      <c r="AJ83" s="104"/>
      <c r="AK83" s="104"/>
      <c r="AL83" s="104"/>
      <c r="AM83" s="104"/>
      <c r="AN83" s="104"/>
      <c r="AO83" s="104"/>
      <c r="AP83" s="104"/>
      <c r="AQ83" s="104"/>
      <c r="AR83" s="104"/>
      <c r="AS83" s="104"/>
      <c r="AT83" s="104"/>
    </row>
    <row r="84">
      <c r="A84" s="94"/>
      <c r="B84" s="95" t="s">
        <v>1774</v>
      </c>
      <c r="C84" s="94"/>
      <c r="D84" s="94"/>
      <c r="E84" s="94"/>
      <c r="F84" s="94"/>
      <c r="G84" s="94"/>
      <c r="H84" s="94"/>
      <c r="I84" s="94"/>
      <c r="J84" s="94"/>
      <c r="K84" s="96" t="s">
        <v>60</v>
      </c>
      <c r="M84" s="95" t="s">
        <v>1820</v>
      </c>
      <c r="N84" s="119"/>
      <c r="O84" s="94"/>
      <c r="P84" s="95" t="s">
        <v>1821</v>
      </c>
      <c r="Q84" s="100"/>
      <c r="R84" s="298" t="s">
        <v>393</v>
      </c>
      <c r="S84" s="94"/>
      <c r="T84" s="94"/>
      <c r="U84" s="94"/>
      <c r="V84" s="94"/>
      <c r="W84" s="94"/>
      <c r="X84" s="94"/>
      <c r="Y84" s="94"/>
      <c r="Z84" s="113"/>
      <c r="AA84" s="95" t="s">
        <v>1136</v>
      </c>
      <c r="AB84" s="96" t="s">
        <v>1795</v>
      </c>
      <c r="AC84" s="94"/>
      <c r="AD84" s="203"/>
      <c r="AE84" s="203"/>
      <c r="AF84" s="104"/>
      <c r="AG84" s="104"/>
      <c r="AH84" s="104"/>
      <c r="AI84" s="104"/>
      <c r="AJ84" s="104"/>
      <c r="AK84" s="104"/>
      <c r="AL84" s="104"/>
      <c r="AM84" s="104"/>
      <c r="AN84" s="104"/>
      <c r="AO84" s="104"/>
      <c r="AP84" s="104"/>
      <c r="AQ84" s="104"/>
      <c r="AR84" s="104"/>
      <c r="AS84" s="104"/>
      <c r="AT84" s="104"/>
    </row>
    <row r="85">
      <c r="A85" s="64"/>
      <c r="B85" s="218"/>
      <c r="C85" s="68"/>
      <c r="D85" s="64"/>
      <c r="E85" s="246" t="s">
        <v>1840</v>
      </c>
      <c r="F85" s="64"/>
      <c r="G85" s="64"/>
      <c r="H85" s="64"/>
      <c r="I85" s="64"/>
      <c r="J85" s="83" t="s">
        <v>114</v>
      </c>
      <c r="K85" s="171" t="s">
        <v>60</v>
      </c>
      <c r="M85" s="68" t="s">
        <v>1844</v>
      </c>
      <c r="N85" s="103"/>
      <c r="O85" s="64"/>
      <c r="P85" s="73" t="s">
        <v>1846</v>
      </c>
      <c r="Q85" s="81"/>
      <c r="R85" s="83" t="s">
        <v>165</v>
      </c>
      <c r="S85" s="83" t="s">
        <v>350</v>
      </c>
      <c r="T85" s="83"/>
      <c r="U85" s="83" t="s">
        <v>372</v>
      </c>
      <c r="V85" s="73"/>
      <c r="W85" s="83"/>
      <c r="X85" s="68"/>
      <c r="Y85" s="83" t="s">
        <v>715</v>
      </c>
      <c r="Z85" s="169"/>
      <c r="AA85" s="83" t="s">
        <v>901</v>
      </c>
      <c r="AB85" s="170" t="s">
        <v>1425</v>
      </c>
      <c r="AC85" s="83" t="s">
        <v>1852</v>
      </c>
      <c r="AD85" s="203"/>
      <c r="AE85" s="203"/>
      <c r="AF85" s="61"/>
      <c r="AG85" s="61"/>
      <c r="AH85" s="61"/>
      <c r="AI85" s="61"/>
      <c r="AJ85" s="61"/>
      <c r="AK85" s="61"/>
      <c r="AL85" s="61"/>
      <c r="AM85" s="61"/>
      <c r="AN85" s="61"/>
      <c r="AO85" s="61"/>
      <c r="AP85" s="61"/>
      <c r="AQ85" s="61"/>
      <c r="AR85" s="61"/>
      <c r="AS85" s="61"/>
      <c r="AT85" s="61"/>
    </row>
    <row r="86">
      <c r="A86" s="64"/>
      <c r="B86" s="218"/>
      <c r="C86" s="68"/>
      <c r="D86" s="64"/>
      <c r="E86" s="246" t="s">
        <v>1859</v>
      </c>
      <c r="F86" s="64"/>
      <c r="G86" s="64"/>
      <c r="H86" s="64"/>
      <c r="I86" s="64"/>
      <c r="J86" s="83" t="s">
        <v>114</v>
      </c>
      <c r="K86" s="171" t="s">
        <v>60</v>
      </c>
      <c r="M86" s="68" t="s">
        <v>1862</v>
      </c>
      <c r="N86" s="103"/>
      <c r="O86" s="64"/>
      <c r="P86" s="249" t="s">
        <v>1865</v>
      </c>
      <c r="Q86" s="81"/>
      <c r="R86" s="83" t="s">
        <v>165</v>
      </c>
      <c r="S86" s="83" t="s">
        <v>425</v>
      </c>
      <c r="T86" s="83"/>
      <c r="U86" s="83" t="s">
        <v>372</v>
      </c>
      <c r="V86" s="73"/>
      <c r="W86" s="83"/>
      <c r="X86" s="68"/>
      <c r="Y86" s="83" t="s">
        <v>715</v>
      </c>
      <c r="Z86" s="169"/>
      <c r="AA86" s="83" t="s">
        <v>1871</v>
      </c>
      <c r="AB86" s="170" t="s">
        <v>1425</v>
      </c>
      <c r="AC86" s="161"/>
      <c r="AD86" s="203"/>
      <c r="AE86" s="203"/>
      <c r="AF86" s="61"/>
      <c r="AG86" s="61"/>
      <c r="AH86" s="61"/>
      <c r="AI86" s="61"/>
      <c r="AJ86" s="61"/>
      <c r="AK86" s="61"/>
      <c r="AL86" s="61"/>
      <c r="AM86" s="61"/>
      <c r="AN86" s="61"/>
      <c r="AO86" s="61"/>
      <c r="AP86" s="61"/>
      <c r="AQ86" s="61"/>
      <c r="AR86" s="61"/>
      <c r="AS86" s="61"/>
      <c r="AT86" s="61"/>
    </row>
    <row r="87">
      <c r="A87" s="64"/>
      <c r="B87" s="218"/>
      <c r="C87" s="68"/>
      <c r="D87" s="64"/>
      <c r="E87" s="246" t="s">
        <v>1877</v>
      </c>
      <c r="F87" s="64"/>
      <c r="G87" s="64"/>
      <c r="H87" s="64"/>
      <c r="I87" s="64"/>
      <c r="J87" s="83" t="s">
        <v>114</v>
      </c>
      <c r="K87" s="171" t="s">
        <v>60</v>
      </c>
      <c r="M87" s="83" t="s">
        <v>1878</v>
      </c>
      <c r="N87" s="103"/>
      <c r="O87" s="64"/>
      <c r="P87" s="73" t="s">
        <v>1879</v>
      </c>
      <c r="Q87" s="81"/>
      <c r="R87" s="83" t="s">
        <v>165</v>
      </c>
      <c r="S87" s="83" t="s">
        <v>350</v>
      </c>
      <c r="T87" s="83" t="s">
        <v>145</v>
      </c>
      <c r="U87" s="83" t="s">
        <v>372</v>
      </c>
      <c r="V87" s="73"/>
      <c r="W87" s="83" t="s">
        <v>185</v>
      </c>
      <c r="X87" s="68"/>
      <c r="Y87" s="83" t="s">
        <v>715</v>
      </c>
      <c r="Z87" s="169"/>
      <c r="AA87" s="83" t="s">
        <v>901</v>
      </c>
      <c r="AB87" s="170" t="s">
        <v>1425</v>
      </c>
      <c r="AC87" s="83" t="s">
        <v>1852</v>
      </c>
      <c r="AD87" s="203"/>
      <c r="AE87" s="203"/>
      <c r="AF87" s="61"/>
      <c r="AG87" s="61"/>
      <c r="AH87" s="61"/>
      <c r="AI87" s="61"/>
      <c r="AJ87" s="61"/>
      <c r="AK87" s="61"/>
      <c r="AL87" s="61"/>
      <c r="AM87" s="61"/>
      <c r="AN87" s="61"/>
      <c r="AO87" s="61"/>
      <c r="AP87" s="61"/>
      <c r="AQ87" s="61"/>
      <c r="AR87" s="61"/>
      <c r="AS87" s="61"/>
      <c r="AT87" s="61"/>
    </row>
    <row r="88">
      <c r="A88" s="64"/>
      <c r="B88" s="218"/>
      <c r="C88" s="68"/>
      <c r="D88" s="64"/>
      <c r="E88" s="246" t="s">
        <v>1893</v>
      </c>
      <c r="F88" s="64"/>
      <c r="G88" s="64"/>
      <c r="H88" s="64"/>
      <c r="I88" s="64"/>
      <c r="J88" s="83" t="s">
        <v>114</v>
      </c>
      <c r="K88" s="171" t="s">
        <v>60</v>
      </c>
      <c r="M88" s="68" t="s">
        <v>1898</v>
      </c>
      <c r="N88" s="103"/>
      <c r="O88" s="64"/>
      <c r="P88" s="73" t="s">
        <v>1902</v>
      </c>
      <c r="Q88" s="81"/>
      <c r="R88" s="83" t="s">
        <v>165</v>
      </c>
      <c r="S88" s="83" t="s">
        <v>350</v>
      </c>
      <c r="T88" s="83" t="s">
        <v>186</v>
      </c>
      <c r="U88" s="68"/>
      <c r="V88" s="170" t="s">
        <v>991</v>
      </c>
      <c r="W88" s="83"/>
      <c r="X88" s="68"/>
      <c r="Y88" s="83" t="s">
        <v>715</v>
      </c>
      <c r="Z88" s="169"/>
      <c r="AA88" s="83" t="s">
        <v>901</v>
      </c>
      <c r="AB88" s="170" t="s">
        <v>1425</v>
      </c>
      <c r="AC88" s="83" t="s">
        <v>1852</v>
      </c>
      <c r="AD88" s="203"/>
      <c r="AE88" s="203"/>
      <c r="AF88" s="61"/>
      <c r="AG88" s="61"/>
      <c r="AH88" s="61"/>
      <c r="AI88" s="61"/>
      <c r="AJ88" s="61"/>
      <c r="AK88" s="61"/>
      <c r="AL88" s="61"/>
      <c r="AM88" s="61"/>
      <c r="AN88" s="61"/>
      <c r="AO88" s="61"/>
      <c r="AP88" s="61"/>
      <c r="AQ88" s="61"/>
      <c r="AR88" s="61"/>
      <c r="AS88" s="61"/>
      <c r="AT88" s="61"/>
    </row>
    <row r="89">
      <c r="A89" s="64"/>
      <c r="B89" s="218"/>
      <c r="C89" s="68"/>
      <c r="D89" s="64"/>
      <c r="E89" s="246" t="s">
        <v>1914</v>
      </c>
      <c r="F89" s="64"/>
      <c r="G89" s="64"/>
      <c r="H89" s="64"/>
      <c r="I89" s="64"/>
      <c r="J89" s="83" t="s">
        <v>114</v>
      </c>
      <c r="K89" s="171" t="s">
        <v>60</v>
      </c>
      <c r="M89" s="68" t="s">
        <v>1916</v>
      </c>
      <c r="N89" s="103"/>
      <c r="O89" s="64"/>
      <c r="P89" s="73" t="s">
        <v>1918</v>
      </c>
      <c r="Q89" s="81"/>
      <c r="R89" s="83" t="s">
        <v>165</v>
      </c>
      <c r="S89" s="83" t="s">
        <v>350</v>
      </c>
      <c r="T89" s="83" t="s">
        <v>186</v>
      </c>
      <c r="U89" s="68"/>
      <c r="V89" s="170" t="s">
        <v>991</v>
      </c>
      <c r="W89" s="83"/>
      <c r="X89" s="68"/>
      <c r="Y89" s="83" t="s">
        <v>715</v>
      </c>
      <c r="Z89" s="169"/>
      <c r="AA89" s="83" t="s">
        <v>901</v>
      </c>
      <c r="AB89" s="170" t="s">
        <v>1425</v>
      </c>
      <c r="AC89" s="83" t="s">
        <v>1852</v>
      </c>
      <c r="AD89" s="203"/>
      <c r="AE89" s="203"/>
      <c r="AF89" s="61"/>
      <c r="AG89" s="61"/>
      <c r="AH89" s="61"/>
      <c r="AI89" s="61"/>
      <c r="AJ89" s="61"/>
      <c r="AK89" s="61"/>
      <c r="AL89" s="61"/>
      <c r="AM89" s="61"/>
      <c r="AN89" s="61"/>
      <c r="AO89" s="61"/>
      <c r="AP89" s="61"/>
      <c r="AQ89" s="61"/>
      <c r="AR89" s="61"/>
      <c r="AS89" s="61"/>
      <c r="AT89" s="61"/>
    </row>
    <row r="90">
      <c r="A90" s="64"/>
      <c r="B90" s="218"/>
      <c r="C90" s="68"/>
      <c r="D90" s="64"/>
      <c r="E90" s="246" t="s">
        <v>1933</v>
      </c>
      <c r="F90" s="64"/>
      <c r="G90" s="64"/>
      <c r="H90" s="64"/>
      <c r="I90" s="64"/>
      <c r="J90" s="83" t="s">
        <v>114</v>
      </c>
      <c r="K90" s="171" t="s">
        <v>60</v>
      </c>
      <c r="M90" s="68" t="s">
        <v>1942</v>
      </c>
      <c r="N90" s="103"/>
      <c r="O90" s="64"/>
      <c r="P90" s="73" t="s">
        <v>1944</v>
      </c>
      <c r="Q90" s="81"/>
      <c r="R90" s="83" t="s">
        <v>165</v>
      </c>
      <c r="S90" s="83" t="s">
        <v>350</v>
      </c>
      <c r="T90" s="83" t="s">
        <v>182</v>
      </c>
      <c r="U90" s="68"/>
      <c r="V90" s="170" t="s">
        <v>991</v>
      </c>
      <c r="W90" s="83" t="s">
        <v>185</v>
      </c>
      <c r="X90" s="68"/>
      <c r="Y90" s="83" t="s">
        <v>715</v>
      </c>
      <c r="Z90" s="169"/>
      <c r="AA90" s="83" t="s">
        <v>901</v>
      </c>
      <c r="AB90" s="170" t="s">
        <v>1425</v>
      </c>
      <c r="AC90" s="83" t="s">
        <v>1852</v>
      </c>
      <c r="AD90" s="203"/>
      <c r="AE90" s="203"/>
      <c r="AF90" s="61"/>
      <c r="AG90" s="61"/>
      <c r="AH90" s="61"/>
      <c r="AI90" s="61"/>
      <c r="AJ90" s="61"/>
      <c r="AK90" s="61"/>
      <c r="AL90" s="61"/>
      <c r="AM90" s="61"/>
      <c r="AN90" s="61"/>
      <c r="AO90" s="61"/>
      <c r="AP90" s="61"/>
      <c r="AQ90" s="61"/>
      <c r="AR90" s="61"/>
      <c r="AS90" s="61"/>
      <c r="AT90" s="61"/>
    </row>
    <row r="91">
      <c r="A91" s="64"/>
      <c r="B91" s="218"/>
      <c r="C91" s="68"/>
      <c r="D91" s="64"/>
      <c r="E91" s="246" t="s">
        <v>1969</v>
      </c>
      <c r="F91" s="64"/>
      <c r="G91" s="64"/>
      <c r="H91" s="64"/>
      <c r="I91" s="64"/>
      <c r="J91" s="83" t="s">
        <v>114</v>
      </c>
      <c r="K91" s="171" t="s">
        <v>60</v>
      </c>
      <c r="M91" s="305" t="s">
        <v>1974</v>
      </c>
      <c r="N91" s="103"/>
      <c r="O91" s="64"/>
      <c r="P91" s="73" t="s">
        <v>1979</v>
      </c>
      <c r="Q91" s="81"/>
      <c r="R91" s="83" t="s">
        <v>165</v>
      </c>
      <c r="S91" s="83" t="s">
        <v>350</v>
      </c>
      <c r="T91" s="83" t="s">
        <v>145</v>
      </c>
      <c r="U91" s="83" t="s">
        <v>372</v>
      </c>
      <c r="V91" s="73"/>
      <c r="W91" s="83" t="s">
        <v>185</v>
      </c>
      <c r="X91" s="68"/>
      <c r="Y91" s="83" t="s">
        <v>715</v>
      </c>
      <c r="Z91" s="169"/>
      <c r="AA91" s="83" t="s">
        <v>901</v>
      </c>
      <c r="AB91" s="170" t="s">
        <v>1425</v>
      </c>
      <c r="AC91" s="83" t="s">
        <v>1852</v>
      </c>
      <c r="AD91" s="203"/>
      <c r="AE91" s="203"/>
      <c r="AF91" s="61"/>
      <c r="AG91" s="61"/>
      <c r="AH91" s="61"/>
      <c r="AI91" s="61"/>
      <c r="AJ91" s="61"/>
      <c r="AK91" s="61"/>
      <c r="AL91" s="61"/>
      <c r="AM91" s="61"/>
      <c r="AN91" s="61"/>
      <c r="AO91" s="61"/>
      <c r="AP91" s="61"/>
      <c r="AQ91" s="61"/>
      <c r="AR91" s="61"/>
      <c r="AS91" s="61"/>
      <c r="AT91" s="61"/>
    </row>
    <row r="92">
      <c r="A92" s="64"/>
      <c r="B92" s="218"/>
      <c r="C92" s="68"/>
      <c r="D92" s="64"/>
      <c r="E92" s="246" t="s">
        <v>1412</v>
      </c>
      <c r="F92" s="64"/>
      <c r="G92" s="64"/>
      <c r="H92" s="64"/>
      <c r="I92" s="64"/>
      <c r="J92" s="83" t="s">
        <v>114</v>
      </c>
      <c r="K92" s="171" t="s">
        <v>60</v>
      </c>
      <c r="M92" s="83" t="s">
        <v>1995</v>
      </c>
      <c r="N92" s="103"/>
      <c r="O92" s="64"/>
      <c r="P92" s="73" t="s">
        <v>1998</v>
      </c>
      <c r="Q92" s="81"/>
      <c r="R92" s="83" t="s">
        <v>165</v>
      </c>
      <c r="S92" s="83" t="s">
        <v>350</v>
      </c>
      <c r="T92" s="83" t="s">
        <v>186</v>
      </c>
      <c r="U92" s="68"/>
      <c r="V92" s="170" t="s">
        <v>991</v>
      </c>
      <c r="W92" s="83"/>
      <c r="X92" s="68"/>
      <c r="Y92" s="83" t="s">
        <v>715</v>
      </c>
      <c r="Z92" s="169"/>
      <c r="AA92" s="83" t="s">
        <v>901</v>
      </c>
      <c r="AB92" s="170" t="s">
        <v>1425</v>
      </c>
      <c r="AC92" s="83" t="s">
        <v>1852</v>
      </c>
      <c r="AD92" s="203"/>
      <c r="AE92" s="203"/>
      <c r="AF92" s="61"/>
      <c r="AG92" s="61"/>
      <c r="AH92" s="61"/>
      <c r="AI92" s="61"/>
      <c r="AJ92" s="61"/>
      <c r="AK92" s="61"/>
      <c r="AL92" s="61"/>
      <c r="AM92" s="61"/>
      <c r="AN92" s="61"/>
      <c r="AO92" s="61"/>
      <c r="AP92" s="61"/>
      <c r="AQ92" s="61"/>
      <c r="AR92" s="61"/>
      <c r="AS92" s="61"/>
      <c r="AT92" s="61"/>
    </row>
    <row r="93">
      <c r="A93" s="64"/>
      <c r="B93" s="218"/>
      <c r="C93" s="68"/>
      <c r="D93" s="64"/>
      <c r="E93" s="246" t="s">
        <v>2001</v>
      </c>
      <c r="F93" s="64"/>
      <c r="G93" s="64"/>
      <c r="H93" s="64"/>
      <c r="I93" s="64"/>
      <c r="J93" s="83" t="s">
        <v>114</v>
      </c>
      <c r="K93" s="171" t="s">
        <v>60</v>
      </c>
      <c r="M93" s="68" t="s">
        <v>2004</v>
      </c>
      <c r="N93" s="103"/>
      <c r="O93" s="64"/>
      <c r="P93" s="73" t="s">
        <v>1055</v>
      </c>
      <c r="Q93" s="81"/>
      <c r="R93" s="83" t="s">
        <v>165</v>
      </c>
      <c r="S93" s="83" t="s">
        <v>350</v>
      </c>
      <c r="T93" s="83" t="s">
        <v>186</v>
      </c>
      <c r="U93" s="68"/>
      <c r="V93" s="170" t="s">
        <v>991</v>
      </c>
      <c r="W93" s="83"/>
      <c r="X93" s="68"/>
      <c r="Y93" s="83" t="s">
        <v>715</v>
      </c>
      <c r="Z93" s="169"/>
      <c r="AA93" s="83" t="s">
        <v>901</v>
      </c>
      <c r="AB93" s="170" t="s">
        <v>1425</v>
      </c>
      <c r="AC93" s="83" t="s">
        <v>1852</v>
      </c>
      <c r="AD93" s="203"/>
      <c r="AE93" s="203"/>
      <c r="AF93" s="61"/>
      <c r="AG93" s="61"/>
      <c r="AH93" s="61"/>
      <c r="AI93" s="61"/>
      <c r="AJ93" s="61"/>
      <c r="AK93" s="61"/>
      <c r="AL93" s="61"/>
      <c r="AM93" s="61"/>
      <c r="AN93" s="61"/>
      <c r="AO93" s="61"/>
      <c r="AP93" s="61"/>
      <c r="AQ93" s="61"/>
      <c r="AR93" s="61"/>
      <c r="AS93" s="61"/>
      <c r="AT93" s="61"/>
    </row>
    <row r="94">
      <c r="A94" s="64"/>
      <c r="B94" s="218"/>
      <c r="C94" s="68"/>
      <c r="D94" s="64"/>
      <c r="E94" s="246" t="s">
        <v>2019</v>
      </c>
      <c r="F94" s="64"/>
      <c r="G94" s="64"/>
      <c r="H94" s="64"/>
      <c r="I94" s="64"/>
      <c r="J94" s="83" t="s">
        <v>114</v>
      </c>
      <c r="K94" s="171" t="s">
        <v>60</v>
      </c>
      <c r="M94" s="68" t="s">
        <v>2024</v>
      </c>
      <c r="N94" s="103"/>
      <c r="O94" s="64"/>
      <c r="P94" s="73" t="s">
        <v>2025</v>
      </c>
      <c r="Q94" s="81"/>
      <c r="R94" s="83" t="s">
        <v>165</v>
      </c>
      <c r="S94" s="83" t="s">
        <v>350</v>
      </c>
      <c r="T94" s="83" t="s">
        <v>182</v>
      </c>
      <c r="U94" s="68"/>
      <c r="V94" s="170" t="s">
        <v>991</v>
      </c>
      <c r="W94" s="83" t="s">
        <v>185</v>
      </c>
      <c r="X94" s="68"/>
      <c r="Y94" s="83" t="s">
        <v>715</v>
      </c>
      <c r="Z94" s="169"/>
      <c r="AA94" s="83" t="s">
        <v>901</v>
      </c>
      <c r="AB94" s="170" t="s">
        <v>1425</v>
      </c>
      <c r="AC94" s="83" t="s">
        <v>1852</v>
      </c>
      <c r="AD94" s="203"/>
      <c r="AE94" s="203"/>
      <c r="AF94" s="61"/>
      <c r="AG94" s="61"/>
      <c r="AH94" s="61"/>
      <c r="AI94" s="61"/>
      <c r="AJ94" s="61"/>
      <c r="AK94" s="61"/>
      <c r="AL94" s="61"/>
      <c r="AM94" s="61"/>
      <c r="AN94" s="61"/>
      <c r="AO94" s="61"/>
      <c r="AP94" s="61"/>
      <c r="AQ94" s="61"/>
      <c r="AR94" s="61"/>
      <c r="AS94" s="61"/>
      <c r="AT94" s="61"/>
    </row>
    <row r="95">
      <c r="A95" s="64"/>
      <c r="B95" s="218"/>
      <c r="C95" s="68"/>
      <c r="D95" s="64"/>
      <c r="E95" s="307" t="s">
        <v>1009</v>
      </c>
      <c r="F95" s="64"/>
      <c r="G95" s="64"/>
      <c r="H95" s="64"/>
      <c r="I95" s="64"/>
      <c r="J95" s="83" t="s">
        <v>114</v>
      </c>
      <c r="K95" s="171" t="s">
        <v>60</v>
      </c>
      <c r="M95" s="68" t="s">
        <v>2039</v>
      </c>
      <c r="N95" s="103"/>
      <c r="O95" s="64"/>
      <c r="P95" s="73" t="s">
        <v>2042</v>
      </c>
      <c r="Q95" s="81"/>
      <c r="R95" s="83" t="s">
        <v>165</v>
      </c>
      <c r="S95" s="83" t="s">
        <v>350</v>
      </c>
      <c r="T95" s="83"/>
      <c r="U95" s="83" t="s">
        <v>372</v>
      </c>
      <c r="V95" s="170"/>
      <c r="W95" s="83"/>
      <c r="X95" s="68"/>
      <c r="Y95" s="83" t="s">
        <v>715</v>
      </c>
      <c r="Z95" s="169"/>
      <c r="AA95" s="83" t="s">
        <v>901</v>
      </c>
      <c r="AB95" s="170" t="s">
        <v>1425</v>
      </c>
      <c r="AC95" s="83" t="s">
        <v>1852</v>
      </c>
      <c r="AD95" s="203"/>
      <c r="AE95" s="203"/>
      <c r="AF95" s="61"/>
      <c r="AG95" s="61"/>
      <c r="AH95" s="61"/>
      <c r="AI95" s="61"/>
      <c r="AJ95" s="61"/>
      <c r="AK95" s="61"/>
      <c r="AL95" s="61"/>
      <c r="AM95" s="61"/>
      <c r="AN95" s="61"/>
      <c r="AO95" s="61"/>
      <c r="AP95" s="61"/>
      <c r="AQ95" s="61"/>
      <c r="AR95" s="61"/>
      <c r="AS95" s="61"/>
      <c r="AT95" s="61"/>
    </row>
    <row r="96">
      <c r="A96" s="64"/>
      <c r="B96" s="218"/>
      <c r="C96" s="68"/>
      <c r="D96" s="64"/>
      <c r="E96" s="246" t="s">
        <v>2054</v>
      </c>
      <c r="F96" s="64"/>
      <c r="G96" s="64"/>
      <c r="H96" s="64"/>
      <c r="I96" s="64"/>
      <c r="J96" s="83" t="s">
        <v>114</v>
      </c>
      <c r="K96" s="171" t="s">
        <v>60</v>
      </c>
      <c r="M96" s="172" t="s">
        <v>2056</v>
      </c>
      <c r="N96" s="103"/>
      <c r="O96" s="64"/>
      <c r="P96" s="73" t="s">
        <v>2058</v>
      </c>
      <c r="Q96" s="81"/>
      <c r="R96" s="83" t="s">
        <v>165</v>
      </c>
      <c r="S96" s="83" t="s">
        <v>350</v>
      </c>
      <c r="T96" s="83" t="s">
        <v>182</v>
      </c>
      <c r="U96" s="68"/>
      <c r="V96" s="170" t="s">
        <v>991</v>
      </c>
      <c r="W96" s="83" t="s">
        <v>185</v>
      </c>
      <c r="X96" s="83" t="s">
        <v>269</v>
      </c>
      <c r="Y96" s="83" t="s">
        <v>715</v>
      </c>
      <c r="Z96" s="169"/>
      <c r="AA96" s="83" t="s">
        <v>901</v>
      </c>
      <c r="AB96" s="170" t="s">
        <v>1425</v>
      </c>
      <c r="AC96" s="83" t="s">
        <v>1852</v>
      </c>
      <c r="AD96" s="203"/>
      <c r="AE96" s="203"/>
      <c r="AF96" s="61"/>
      <c r="AG96" s="61"/>
      <c r="AH96" s="61"/>
      <c r="AI96" s="61"/>
      <c r="AJ96" s="61"/>
      <c r="AK96" s="61"/>
      <c r="AL96" s="61"/>
      <c r="AM96" s="61"/>
      <c r="AN96" s="61"/>
      <c r="AO96" s="61"/>
      <c r="AP96" s="61"/>
      <c r="AQ96" s="61"/>
      <c r="AR96" s="61"/>
      <c r="AS96" s="61"/>
      <c r="AT96" s="61"/>
    </row>
    <row r="97">
      <c r="A97" s="64"/>
      <c r="B97" s="218"/>
      <c r="C97" s="68"/>
      <c r="D97" s="64"/>
      <c r="E97" s="246" t="s">
        <v>2071</v>
      </c>
      <c r="F97" s="64"/>
      <c r="G97" s="64"/>
      <c r="H97" s="64"/>
      <c r="I97" s="64"/>
      <c r="J97" s="83" t="s">
        <v>114</v>
      </c>
      <c r="K97" s="171" t="s">
        <v>60</v>
      </c>
      <c r="M97" s="68" t="s">
        <v>2076</v>
      </c>
      <c r="N97" s="103"/>
      <c r="O97" s="64"/>
      <c r="P97" s="73" t="s">
        <v>2077</v>
      </c>
      <c r="Q97" s="81"/>
      <c r="R97" s="83" t="s">
        <v>165</v>
      </c>
      <c r="S97" s="83" t="s">
        <v>350</v>
      </c>
      <c r="T97" s="83" t="s">
        <v>186</v>
      </c>
      <c r="U97" s="68"/>
      <c r="V97" s="170" t="s">
        <v>991</v>
      </c>
      <c r="W97" s="83"/>
      <c r="X97" s="68"/>
      <c r="Y97" s="83" t="s">
        <v>715</v>
      </c>
      <c r="Z97" s="169"/>
      <c r="AA97" s="83" t="s">
        <v>901</v>
      </c>
      <c r="AB97" s="170" t="s">
        <v>1425</v>
      </c>
      <c r="AC97" s="83" t="s">
        <v>1852</v>
      </c>
      <c r="AD97" s="203"/>
      <c r="AE97" s="203"/>
      <c r="AF97" s="61"/>
      <c r="AG97" s="61"/>
      <c r="AH97" s="61"/>
      <c r="AI97" s="61"/>
      <c r="AJ97" s="61"/>
      <c r="AK97" s="61"/>
      <c r="AL97" s="61"/>
      <c r="AM97" s="61"/>
      <c r="AN97" s="61"/>
      <c r="AO97" s="61"/>
      <c r="AP97" s="61"/>
      <c r="AQ97" s="61"/>
      <c r="AR97" s="61"/>
      <c r="AS97" s="61"/>
      <c r="AT97" s="61"/>
    </row>
    <row r="98">
      <c r="A98" s="64"/>
      <c r="B98" s="218"/>
      <c r="C98" s="68"/>
      <c r="D98" s="64"/>
      <c r="E98" s="246" t="s">
        <v>2091</v>
      </c>
      <c r="F98" s="64"/>
      <c r="G98" s="64"/>
      <c r="H98" s="64"/>
      <c r="I98" s="64"/>
      <c r="J98" s="83" t="s">
        <v>114</v>
      </c>
      <c r="K98" s="171" t="s">
        <v>60</v>
      </c>
      <c r="M98" s="68" t="s">
        <v>2101</v>
      </c>
      <c r="N98" s="103"/>
      <c r="O98" s="64"/>
      <c r="P98" s="73" t="s">
        <v>2102</v>
      </c>
      <c r="Q98" s="81"/>
      <c r="R98" s="83" t="s">
        <v>165</v>
      </c>
      <c r="S98" s="83" t="s">
        <v>350</v>
      </c>
      <c r="T98" s="83" t="s">
        <v>145</v>
      </c>
      <c r="U98" s="83" t="s">
        <v>372</v>
      </c>
      <c r="V98" s="73"/>
      <c r="W98" s="83" t="s">
        <v>185</v>
      </c>
      <c r="X98" s="68"/>
      <c r="Y98" s="83" t="s">
        <v>715</v>
      </c>
      <c r="Z98" s="169"/>
      <c r="AA98" s="83" t="s">
        <v>901</v>
      </c>
      <c r="AB98" s="170" t="s">
        <v>1425</v>
      </c>
      <c r="AC98" s="83" t="s">
        <v>1852</v>
      </c>
      <c r="AD98" s="203"/>
      <c r="AE98" s="203"/>
      <c r="AF98" s="61"/>
      <c r="AG98" s="61"/>
      <c r="AH98" s="61"/>
      <c r="AI98" s="61"/>
      <c r="AJ98" s="61"/>
      <c r="AK98" s="61"/>
      <c r="AL98" s="61"/>
      <c r="AM98" s="61"/>
      <c r="AN98" s="61"/>
      <c r="AO98" s="61"/>
      <c r="AP98" s="61"/>
      <c r="AQ98" s="61"/>
      <c r="AR98" s="61"/>
      <c r="AS98" s="61"/>
      <c r="AT98" s="61"/>
    </row>
    <row r="99">
      <c r="A99" s="64"/>
      <c r="B99" s="218"/>
      <c r="C99" s="68"/>
      <c r="D99" s="64"/>
      <c r="E99" s="246" t="s">
        <v>2091</v>
      </c>
      <c r="F99" s="64"/>
      <c r="G99" s="64"/>
      <c r="H99" s="64"/>
      <c r="I99" s="64"/>
      <c r="J99" s="83" t="s">
        <v>114</v>
      </c>
      <c r="K99" s="171" t="s">
        <v>60</v>
      </c>
      <c r="M99" s="68" t="s">
        <v>2115</v>
      </c>
      <c r="N99" s="103"/>
      <c r="O99" s="64"/>
      <c r="P99" s="73" t="s">
        <v>2117</v>
      </c>
      <c r="Q99" s="81"/>
      <c r="R99" s="83" t="s">
        <v>165</v>
      </c>
      <c r="S99" s="83" t="s">
        <v>350</v>
      </c>
      <c r="T99" s="83" t="s">
        <v>182</v>
      </c>
      <c r="U99" s="68"/>
      <c r="V99" s="170" t="s">
        <v>991</v>
      </c>
      <c r="W99" s="83" t="s">
        <v>185</v>
      </c>
      <c r="X99" s="68"/>
      <c r="Y99" s="83" t="s">
        <v>715</v>
      </c>
      <c r="Z99" s="169"/>
      <c r="AA99" s="83" t="s">
        <v>901</v>
      </c>
      <c r="AB99" s="170" t="s">
        <v>1425</v>
      </c>
      <c r="AC99" s="83" t="s">
        <v>1852</v>
      </c>
      <c r="AD99" s="203"/>
      <c r="AE99" s="203"/>
      <c r="AF99" s="61"/>
      <c r="AG99" s="61"/>
      <c r="AH99" s="61"/>
      <c r="AI99" s="61"/>
      <c r="AJ99" s="61"/>
      <c r="AK99" s="61"/>
      <c r="AL99" s="61"/>
      <c r="AM99" s="61"/>
      <c r="AN99" s="61"/>
      <c r="AO99" s="61"/>
      <c r="AP99" s="61"/>
      <c r="AQ99" s="61"/>
      <c r="AR99" s="61"/>
      <c r="AS99" s="61"/>
      <c r="AT99" s="61"/>
    </row>
    <row r="100">
      <c r="A100" s="64"/>
      <c r="B100" s="218"/>
      <c r="C100" s="68"/>
      <c r="D100" s="64"/>
      <c r="E100" s="246" t="s">
        <v>2130</v>
      </c>
      <c r="F100" s="64"/>
      <c r="G100" s="64"/>
      <c r="H100" s="64"/>
      <c r="I100" s="64"/>
      <c r="J100" s="83" t="s">
        <v>114</v>
      </c>
      <c r="K100" s="171" t="s">
        <v>60</v>
      </c>
      <c r="M100" s="68" t="s">
        <v>2134</v>
      </c>
      <c r="N100" s="103"/>
      <c r="O100" s="64"/>
      <c r="P100" s="73" t="s">
        <v>2135</v>
      </c>
      <c r="Q100" s="81"/>
      <c r="R100" s="83" t="s">
        <v>165</v>
      </c>
      <c r="S100" s="83" t="s">
        <v>350</v>
      </c>
      <c r="T100" s="83" t="s">
        <v>182</v>
      </c>
      <c r="U100" s="68"/>
      <c r="V100" s="170" t="s">
        <v>991</v>
      </c>
      <c r="W100" s="83" t="s">
        <v>114</v>
      </c>
      <c r="X100" s="68"/>
      <c r="Y100" s="83" t="s">
        <v>715</v>
      </c>
      <c r="Z100" s="169"/>
      <c r="AA100" s="83" t="s">
        <v>901</v>
      </c>
      <c r="AB100" s="170" t="s">
        <v>1425</v>
      </c>
      <c r="AC100" s="83" t="s">
        <v>1852</v>
      </c>
      <c r="AD100" s="203"/>
      <c r="AE100" s="203"/>
      <c r="AF100" s="61"/>
      <c r="AG100" s="61"/>
      <c r="AH100" s="61"/>
      <c r="AI100" s="61"/>
      <c r="AJ100" s="61"/>
      <c r="AK100" s="61"/>
      <c r="AL100" s="61"/>
      <c r="AM100" s="61"/>
      <c r="AN100" s="61"/>
      <c r="AO100" s="61"/>
      <c r="AP100" s="61"/>
      <c r="AQ100" s="61"/>
      <c r="AR100" s="61"/>
      <c r="AS100" s="61"/>
      <c r="AT100" s="61"/>
    </row>
    <row r="101">
      <c r="A101" s="64"/>
      <c r="B101" s="218"/>
      <c r="C101" s="68"/>
      <c r="D101" s="64"/>
      <c r="E101" s="246" t="s">
        <v>2148</v>
      </c>
      <c r="F101" s="64"/>
      <c r="G101" s="64"/>
      <c r="H101" s="64"/>
      <c r="I101" s="64"/>
      <c r="J101" s="83" t="s">
        <v>114</v>
      </c>
      <c r="K101" s="171" t="s">
        <v>60</v>
      </c>
      <c r="M101" s="68" t="s">
        <v>2152</v>
      </c>
      <c r="N101" s="103"/>
      <c r="O101" s="64"/>
      <c r="P101" s="73" t="s">
        <v>2153</v>
      </c>
      <c r="Q101" s="81"/>
      <c r="R101" s="83" t="s">
        <v>165</v>
      </c>
      <c r="S101" s="83" t="s">
        <v>350</v>
      </c>
      <c r="T101" s="83"/>
      <c r="U101" s="83" t="s">
        <v>372</v>
      </c>
      <c r="V101" s="73"/>
      <c r="W101" s="83"/>
      <c r="X101" s="68"/>
      <c r="Y101" s="83" t="s">
        <v>715</v>
      </c>
      <c r="Z101" s="169"/>
      <c r="AA101" s="83" t="s">
        <v>901</v>
      </c>
      <c r="AB101" s="170" t="s">
        <v>1425</v>
      </c>
      <c r="AC101" s="83" t="s">
        <v>1852</v>
      </c>
      <c r="AD101" s="203"/>
      <c r="AE101" s="203"/>
      <c r="AF101" s="61"/>
      <c r="AG101" s="61"/>
      <c r="AH101" s="61"/>
      <c r="AI101" s="61"/>
      <c r="AJ101" s="61"/>
      <c r="AK101" s="61"/>
      <c r="AL101" s="61"/>
      <c r="AM101" s="61"/>
      <c r="AN101" s="61"/>
      <c r="AO101" s="61"/>
      <c r="AP101" s="61"/>
      <c r="AQ101" s="61"/>
      <c r="AR101" s="61"/>
      <c r="AS101" s="61"/>
      <c r="AT101" s="61"/>
    </row>
    <row r="102">
      <c r="A102" s="64"/>
      <c r="B102" s="218"/>
      <c r="C102" s="68"/>
      <c r="D102" s="64"/>
      <c r="E102" s="246" t="s">
        <v>2166</v>
      </c>
      <c r="F102" s="64"/>
      <c r="G102" s="64"/>
      <c r="H102" s="64"/>
      <c r="I102" s="64"/>
      <c r="J102" s="83" t="s">
        <v>114</v>
      </c>
      <c r="K102" s="171" t="s">
        <v>60</v>
      </c>
      <c r="M102" s="68" t="s">
        <v>2172</v>
      </c>
      <c r="N102" s="103"/>
      <c r="O102" s="64"/>
      <c r="P102" s="73" t="s">
        <v>2173</v>
      </c>
      <c r="Q102" s="81"/>
      <c r="R102" s="83" t="s">
        <v>165</v>
      </c>
      <c r="S102" s="83" t="s">
        <v>350</v>
      </c>
      <c r="T102" s="83"/>
      <c r="U102" s="83" t="s">
        <v>372</v>
      </c>
      <c r="V102" s="73"/>
      <c r="W102" s="83"/>
      <c r="X102" s="68"/>
      <c r="Y102" s="83" t="s">
        <v>715</v>
      </c>
      <c r="Z102" s="169"/>
      <c r="AA102" s="83" t="s">
        <v>901</v>
      </c>
      <c r="AB102" s="170" t="s">
        <v>1425</v>
      </c>
      <c r="AC102" s="83" t="s">
        <v>1852</v>
      </c>
      <c r="AD102" s="203"/>
      <c r="AE102" s="203"/>
      <c r="AF102" s="61"/>
      <c r="AG102" s="61"/>
      <c r="AH102" s="61"/>
      <c r="AI102" s="61"/>
      <c r="AJ102" s="61"/>
      <c r="AK102" s="61"/>
      <c r="AL102" s="61"/>
      <c r="AM102" s="61"/>
      <c r="AN102" s="61"/>
      <c r="AO102" s="61"/>
      <c r="AP102" s="61"/>
      <c r="AQ102" s="61"/>
      <c r="AR102" s="61"/>
      <c r="AS102" s="61"/>
      <c r="AT102" s="61"/>
    </row>
    <row r="103">
      <c r="A103" s="64"/>
      <c r="B103" s="218"/>
      <c r="C103" s="68"/>
      <c r="D103" s="64"/>
      <c r="E103" s="246" t="s">
        <v>2181</v>
      </c>
      <c r="F103" s="64"/>
      <c r="G103" s="64"/>
      <c r="H103" s="64"/>
      <c r="I103" s="64"/>
      <c r="J103" s="83" t="s">
        <v>114</v>
      </c>
      <c r="K103" s="170" t="s">
        <v>60</v>
      </c>
      <c r="M103" s="68" t="s">
        <v>2186</v>
      </c>
      <c r="N103" s="103"/>
      <c r="O103" s="64"/>
      <c r="P103" s="73" t="s">
        <v>2187</v>
      </c>
      <c r="Q103" s="81"/>
      <c r="R103" s="83" t="s">
        <v>165</v>
      </c>
      <c r="S103" s="83" t="s">
        <v>350</v>
      </c>
      <c r="T103" s="83" t="s">
        <v>145</v>
      </c>
      <c r="U103" s="83" t="s">
        <v>372</v>
      </c>
      <c r="V103" s="73"/>
      <c r="W103" s="83" t="s">
        <v>185</v>
      </c>
      <c r="X103" s="68"/>
      <c r="Y103" s="83" t="s">
        <v>715</v>
      </c>
      <c r="Z103" s="169"/>
      <c r="AA103" s="83" t="s">
        <v>901</v>
      </c>
      <c r="AB103" s="170" t="s">
        <v>1425</v>
      </c>
      <c r="AC103" s="83" t="s">
        <v>1852</v>
      </c>
      <c r="AD103" s="203"/>
      <c r="AE103" s="203"/>
      <c r="AF103" s="61"/>
      <c r="AG103" s="61"/>
      <c r="AH103" s="61"/>
      <c r="AI103" s="61"/>
      <c r="AJ103" s="61"/>
      <c r="AK103" s="61"/>
      <c r="AL103" s="61"/>
      <c r="AM103" s="61"/>
      <c r="AN103" s="61"/>
      <c r="AO103" s="61"/>
      <c r="AP103" s="61"/>
      <c r="AQ103" s="61"/>
      <c r="AR103" s="61"/>
      <c r="AS103" s="61"/>
      <c r="AT103" s="61"/>
    </row>
    <row r="104">
      <c r="A104" s="64"/>
      <c r="B104" s="218"/>
      <c r="C104" s="68"/>
      <c r="D104" s="64"/>
      <c r="E104" s="246" t="s">
        <v>2199</v>
      </c>
      <c r="F104" s="64"/>
      <c r="G104" s="64"/>
      <c r="H104" s="64"/>
      <c r="I104" s="64"/>
      <c r="J104" s="83" t="s">
        <v>114</v>
      </c>
      <c r="K104" s="170" t="s">
        <v>60</v>
      </c>
      <c r="M104" s="68" t="s">
        <v>2202</v>
      </c>
      <c r="N104" s="103"/>
      <c r="O104" s="64"/>
      <c r="P104" s="73" t="s">
        <v>2157</v>
      </c>
      <c r="Q104" s="81"/>
      <c r="R104" s="83" t="s">
        <v>165</v>
      </c>
      <c r="S104" s="83" t="s">
        <v>350</v>
      </c>
      <c r="T104" s="83" t="s">
        <v>182</v>
      </c>
      <c r="U104" s="68"/>
      <c r="V104" s="170" t="s">
        <v>991</v>
      </c>
      <c r="W104" s="83" t="s">
        <v>185</v>
      </c>
      <c r="X104" s="68"/>
      <c r="Y104" s="83" t="s">
        <v>715</v>
      </c>
      <c r="Z104" s="169"/>
      <c r="AA104" s="83" t="s">
        <v>901</v>
      </c>
      <c r="AB104" s="170" t="s">
        <v>1425</v>
      </c>
      <c r="AC104" s="83" t="s">
        <v>1852</v>
      </c>
      <c r="AD104" s="203"/>
      <c r="AE104" s="203"/>
      <c r="AF104" s="61"/>
      <c r="AG104" s="61"/>
      <c r="AH104" s="61"/>
      <c r="AI104" s="61"/>
      <c r="AJ104" s="61"/>
      <c r="AK104" s="61"/>
      <c r="AL104" s="61"/>
      <c r="AM104" s="61"/>
      <c r="AN104" s="61"/>
      <c r="AO104" s="61"/>
      <c r="AP104" s="61"/>
      <c r="AQ104" s="61"/>
      <c r="AR104" s="61"/>
      <c r="AS104" s="61"/>
      <c r="AT104" s="61"/>
    </row>
    <row r="105">
      <c r="A105" s="64"/>
      <c r="B105" s="218"/>
      <c r="C105" s="68"/>
      <c r="D105" s="64"/>
      <c r="E105" s="246" t="s">
        <v>2212</v>
      </c>
      <c r="F105" s="64"/>
      <c r="G105" s="64"/>
      <c r="H105" s="64"/>
      <c r="I105" s="64"/>
      <c r="J105" s="83" t="s">
        <v>114</v>
      </c>
      <c r="K105" s="170" t="s">
        <v>60</v>
      </c>
      <c r="M105" s="172" t="s">
        <v>2214</v>
      </c>
      <c r="N105" s="103"/>
      <c r="O105" s="64"/>
      <c r="P105" s="73" t="s">
        <v>2215</v>
      </c>
      <c r="Q105" s="81"/>
      <c r="R105" s="83" t="s">
        <v>165</v>
      </c>
      <c r="S105" s="83" t="s">
        <v>350</v>
      </c>
      <c r="T105" s="83" t="s">
        <v>182</v>
      </c>
      <c r="U105" s="68"/>
      <c r="V105" s="170" t="s">
        <v>991</v>
      </c>
      <c r="W105" s="83" t="s">
        <v>185</v>
      </c>
      <c r="X105" s="83" t="s">
        <v>269</v>
      </c>
      <c r="Y105" s="83" t="s">
        <v>715</v>
      </c>
      <c r="Z105" s="169"/>
      <c r="AA105" s="83" t="s">
        <v>901</v>
      </c>
      <c r="AB105" s="170" t="s">
        <v>1425</v>
      </c>
      <c r="AC105" s="83" t="s">
        <v>1852</v>
      </c>
      <c r="AD105" s="203"/>
      <c r="AE105" s="203"/>
      <c r="AF105" s="61"/>
      <c r="AG105" s="61"/>
      <c r="AH105" s="61"/>
      <c r="AI105" s="61"/>
      <c r="AJ105" s="61"/>
      <c r="AK105" s="61"/>
      <c r="AL105" s="61"/>
      <c r="AM105" s="61"/>
      <c r="AN105" s="61"/>
      <c r="AO105" s="61"/>
      <c r="AP105" s="61"/>
      <c r="AQ105" s="61"/>
      <c r="AR105" s="61"/>
      <c r="AS105" s="61"/>
      <c r="AT105" s="61"/>
    </row>
    <row r="106">
      <c r="A106" s="64"/>
      <c r="B106" s="218"/>
      <c r="C106" s="68"/>
      <c r="D106" s="64"/>
      <c r="E106" s="307" t="s">
        <v>1009</v>
      </c>
      <c r="F106" s="64"/>
      <c r="G106" s="64"/>
      <c r="H106" s="64"/>
      <c r="I106" s="64"/>
      <c r="J106" s="83" t="s">
        <v>114</v>
      </c>
      <c r="K106" s="170" t="s">
        <v>60</v>
      </c>
      <c r="M106" s="68" t="s">
        <v>2235</v>
      </c>
      <c r="N106" s="103"/>
      <c r="O106" s="64"/>
      <c r="P106" s="73" t="s">
        <v>2238</v>
      </c>
      <c r="Q106" s="81"/>
      <c r="R106" s="83" t="s">
        <v>165</v>
      </c>
      <c r="S106" s="83" t="s">
        <v>350</v>
      </c>
      <c r="T106" s="83"/>
      <c r="U106" s="83" t="s">
        <v>372</v>
      </c>
      <c r="V106" s="73"/>
      <c r="W106" s="83"/>
      <c r="X106" s="68"/>
      <c r="Y106" s="83" t="s">
        <v>715</v>
      </c>
      <c r="Z106" s="169"/>
      <c r="AA106" s="83" t="s">
        <v>901</v>
      </c>
      <c r="AB106" s="170" t="s">
        <v>1425</v>
      </c>
      <c r="AC106" s="83" t="s">
        <v>1852</v>
      </c>
      <c r="AD106" s="203"/>
      <c r="AE106" s="203"/>
      <c r="AF106" s="61"/>
      <c r="AG106" s="61"/>
      <c r="AH106" s="61"/>
      <c r="AI106" s="61"/>
      <c r="AJ106" s="61"/>
      <c r="AK106" s="61"/>
      <c r="AL106" s="61"/>
      <c r="AM106" s="61"/>
      <c r="AN106" s="61"/>
      <c r="AO106" s="61"/>
      <c r="AP106" s="61"/>
      <c r="AQ106" s="61"/>
      <c r="AR106" s="61"/>
      <c r="AS106" s="61"/>
      <c r="AT106" s="61"/>
    </row>
    <row r="107">
      <c r="A107" s="64"/>
      <c r="B107" s="218"/>
      <c r="C107" s="68"/>
      <c r="D107" s="64"/>
      <c r="E107" s="246" t="s">
        <v>2250</v>
      </c>
      <c r="F107" s="64"/>
      <c r="G107" s="64"/>
      <c r="H107" s="64"/>
      <c r="I107" s="64"/>
      <c r="J107" s="83" t="s">
        <v>114</v>
      </c>
      <c r="K107" s="171" t="s">
        <v>60</v>
      </c>
      <c r="M107" s="68" t="s">
        <v>2252</v>
      </c>
      <c r="N107" s="103"/>
      <c r="O107" s="64"/>
      <c r="P107" s="73" t="s">
        <v>2253</v>
      </c>
      <c r="Q107" s="81"/>
      <c r="R107" s="83" t="s">
        <v>368</v>
      </c>
      <c r="S107" s="83"/>
      <c r="T107" s="83" t="s">
        <v>145</v>
      </c>
      <c r="U107" s="83" t="s">
        <v>372</v>
      </c>
      <c r="V107" s="73"/>
      <c r="W107" s="83" t="s">
        <v>185</v>
      </c>
      <c r="X107" s="68"/>
      <c r="Y107" s="83" t="s">
        <v>715</v>
      </c>
      <c r="Z107" s="169"/>
      <c r="AA107" s="83"/>
      <c r="AB107" s="170" t="s">
        <v>1425</v>
      </c>
      <c r="AC107" s="83" t="s">
        <v>1852</v>
      </c>
      <c r="AD107" s="203"/>
      <c r="AE107" s="203"/>
      <c r="AF107" s="61"/>
      <c r="AG107" s="61"/>
      <c r="AH107" s="61"/>
      <c r="AI107" s="61"/>
      <c r="AJ107" s="61"/>
      <c r="AK107" s="61"/>
      <c r="AL107" s="61"/>
      <c r="AM107" s="61"/>
      <c r="AN107" s="61"/>
      <c r="AO107" s="61"/>
      <c r="AP107" s="61"/>
      <c r="AQ107" s="61"/>
      <c r="AR107" s="61"/>
      <c r="AS107" s="61"/>
      <c r="AT107" s="61"/>
    </row>
    <row r="108">
      <c r="A108" s="64"/>
      <c r="B108" s="218"/>
      <c r="C108" s="68"/>
      <c r="D108" s="64"/>
      <c r="E108" s="246" t="s">
        <v>2262</v>
      </c>
      <c r="F108" s="64"/>
      <c r="G108" s="64"/>
      <c r="H108" s="64"/>
      <c r="I108" s="64"/>
      <c r="J108" s="83" t="s">
        <v>114</v>
      </c>
      <c r="K108" s="171" t="s">
        <v>60</v>
      </c>
      <c r="M108" s="68" t="s">
        <v>2265</v>
      </c>
      <c r="N108" s="103"/>
      <c r="O108" s="64"/>
      <c r="P108" s="73" t="s">
        <v>2268</v>
      </c>
      <c r="Q108" s="81"/>
      <c r="R108" s="83" t="s">
        <v>368</v>
      </c>
      <c r="S108" s="83"/>
      <c r="T108" s="83"/>
      <c r="U108" s="83" t="s">
        <v>372</v>
      </c>
      <c r="V108" s="73"/>
      <c r="W108" s="83"/>
      <c r="X108" s="68"/>
      <c r="Y108" s="83" t="s">
        <v>715</v>
      </c>
      <c r="Z108" s="169"/>
      <c r="AA108" s="83"/>
      <c r="AB108" s="170" t="s">
        <v>1425</v>
      </c>
      <c r="AC108" s="83" t="s">
        <v>1852</v>
      </c>
      <c r="AD108" s="203"/>
      <c r="AE108" s="203"/>
      <c r="AF108" s="61"/>
      <c r="AG108" s="61"/>
      <c r="AH108" s="61"/>
      <c r="AI108" s="61"/>
      <c r="AJ108" s="61"/>
      <c r="AK108" s="61"/>
      <c r="AL108" s="61"/>
      <c r="AM108" s="61"/>
      <c r="AN108" s="61"/>
      <c r="AO108" s="61"/>
      <c r="AP108" s="61"/>
      <c r="AQ108" s="61"/>
      <c r="AR108" s="61"/>
      <c r="AS108" s="61"/>
      <c r="AT108" s="61"/>
    </row>
    <row r="109">
      <c r="A109" s="64"/>
      <c r="B109" s="218"/>
      <c r="C109" s="68"/>
      <c r="D109" s="64"/>
      <c r="E109" s="246" t="s">
        <v>2277</v>
      </c>
      <c r="F109" s="64"/>
      <c r="G109" s="64"/>
      <c r="H109" s="64"/>
      <c r="I109" s="64"/>
      <c r="J109" s="83"/>
      <c r="K109" s="171" t="s">
        <v>60</v>
      </c>
      <c r="M109" s="74" t="s">
        <v>2283</v>
      </c>
      <c r="N109" s="103"/>
      <c r="O109" s="64"/>
      <c r="P109" s="73" t="s">
        <v>2285</v>
      </c>
      <c r="Q109" s="81"/>
      <c r="R109" s="83" t="s">
        <v>136</v>
      </c>
      <c r="S109" s="83"/>
      <c r="T109" s="83" t="s">
        <v>186</v>
      </c>
      <c r="U109" s="68" t="s">
        <v>1174</v>
      </c>
      <c r="V109" s="170" t="s">
        <v>2291</v>
      </c>
      <c r="W109" s="83"/>
      <c r="X109" s="68"/>
      <c r="Y109" s="83" t="s">
        <v>715</v>
      </c>
      <c r="Z109" s="169"/>
      <c r="AA109" s="83"/>
      <c r="AB109" s="170" t="s">
        <v>1425</v>
      </c>
      <c r="AC109" s="161"/>
      <c r="AD109" s="203"/>
      <c r="AE109" s="203"/>
      <c r="AF109" s="61"/>
      <c r="AG109" s="61"/>
      <c r="AH109" s="61"/>
      <c r="AI109" s="61"/>
      <c r="AJ109" s="61"/>
      <c r="AK109" s="61"/>
      <c r="AL109" s="61"/>
      <c r="AM109" s="61"/>
      <c r="AN109" s="61"/>
      <c r="AO109" s="61"/>
      <c r="AP109" s="61"/>
      <c r="AQ109" s="61"/>
      <c r="AR109" s="61"/>
      <c r="AS109" s="61"/>
      <c r="AT109" s="61"/>
    </row>
    <row r="110">
      <c r="A110" s="64"/>
      <c r="B110" s="66"/>
      <c r="C110" s="68"/>
      <c r="D110" s="68"/>
      <c r="E110" s="316" t="s">
        <v>2299</v>
      </c>
      <c r="F110" s="68"/>
      <c r="G110" s="68"/>
      <c r="H110" s="68"/>
      <c r="I110" s="68"/>
      <c r="J110" s="73" t="s">
        <v>114</v>
      </c>
      <c r="K110" s="73" t="s">
        <v>60</v>
      </c>
      <c r="M110" s="317" t="s">
        <v>2306</v>
      </c>
      <c r="N110" s="317"/>
      <c r="O110" s="83"/>
      <c r="P110" s="68" t="s">
        <v>2307</v>
      </c>
      <c r="Q110" s="81"/>
      <c r="R110" s="83" t="s">
        <v>368</v>
      </c>
      <c r="S110" s="64"/>
      <c r="T110" s="83" t="s">
        <v>145</v>
      </c>
      <c r="U110" s="83" t="s">
        <v>2311</v>
      </c>
      <c r="V110" s="319" t="s">
        <v>184</v>
      </c>
      <c r="W110" s="68" t="s">
        <v>185</v>
      </c>
      <c r="X110" s="68"/>
      <c r="Y110" s="68" t="s">
        <v>1032</v>
      </c>
      <c r="Z110" s="68" t="s">
        <v>1032</v>
      </c>
      <c r="AA110" s="83"/>
      <c r="AB110" s="83"/>
      <c r="AC110" s="83" t="s">
        <v>375</v>
      </c>
      <c r="AD110" s="203"/>
      <c r="AE110" s="203"/>
      <c r="AF110" s="91"/>
      <c r="AG110" s="91"/>
      <c r="AH110" s="91"/>
      <c r="AI110" s="91"/>
      <c r="AJ110" s="91"/>
      <c r="AK110" s="91"/>
      <c r="AL110" s="91"/>
      <c r="AM110" s="91"/>
      <c r="AN110" s="91"/>
      <c r="AO110" s="91"/>
      <c r="AP110" s="91"/>
      <c r="AQ110" s="91"/>
      <c r="AR110" s="91"/>
      <c r="AS110" s="91"/>
      <c r="AT110" s="91"/>
    </row>
    <row r="111">
      <c r="A111" s="64"/>
      <c r="B111" s="163"/>
      <c r="C111" s="64"/>
      <c r="D111" s="64"/>
      <c r="E111" s="322" t="s">
        <v>2327</v>
      </c>
      <c r="F111" s="64"/>
      <c r="G111" s="64"/>
      <c r="H111" s="64"/>
      <c r="I111" s="64"/>
      <c r="J111" s="73" t="s">
        <v>114</v>
      </c>
      <c r="K111" s="171" t="s">
        <v>60</v>
      </c>
      <c r="M111" s="186" t="s">
        <v>2334</v>
      </c>
      <c r="N111" s="186"/>
      <c r="O111" s="75"/>
      <c r="P111" s="64" t="s">
        <v>2335</v>
      </c>
      <c r="Q111" s="81"/>
      <c r="R111" s="83" t="s">
        <v>368</v>
      </c>
      <c r="S111" s="64"/>
      <c r="T111" s="83" t="s">
        <v>145</v>
      </c>
      <c r="U111" s="83" t="s">
        <v>2311</v>
      </c>
      <c r="V111" s="323" t="s">
        <v>184</v>
      </c>
      <c r="W111" s="64" t="s">
        <v>185</v>
      </c>
      <c r="X111" s="68"/>
      <c r="Y111" s="83" t="s">
        <v>1032</v>
      </c>
      <c r="Z111" s="83" t="s">
        <v>1032</v>
      </c>
      <c r="AA111" s="83"/>
      <c r="AB111" s="83"/>
      <c r="AC111" s="83" t="s">
        <v>375</v>
      </c>
      <c r="AD111" s="203"/>
      <c r="AE111" s="203"/>
      <c r="AF111" s="91"/>
      <c r="AG111" s="91"/>
      <c r="AH111" s="91"/>
      <c r="AI111" s="91"/>
      <c r="AJ111" s="91"/>
      <c r="AK111" s="91"/>
      <c r="AL111" s="91"/>
      <c r="AM111" s="91"/>
      <c r="AN111" s="91"/>
      <c r="AO111" s="91"/>
      <c r="AP111" s="91"/>
      <c r="AQ111" s="91"/>
      <c r="AR111" s="91"/>
      <c r="AS111" s="91"/>
      <c r="AT111" s="91"/>
    </row>
    <row r="112">
      <c r="A112" s="64"/>
      <c r="B112" s="66"/>
      <c r="C112" s="68"/>
      <c r="D112" s="68"/>
      <c r="E112" s="316" t="s">
        <v>2345</v>
      </c>
      <c r="F112" s="68"/>
      <c r="G112" s="68"/>
      <c r="H112" s="68"/>
      <c r="I112" s="68"/>
      <c r="J112" s="73" t="s">
        <v>114</v>
      </c>
      <c r="K112" s="73" t="s">
        <v>60</v>
      </c>
      <c r="M112" s="317" t="s">
        <v>2346</v>
      </c>
      <c r="N112" s="317"/>
      <c r="O112" s="68"/>
      <c r="P112" s="68" t="s">
        <v>2349</v>
      </c>
      <c r="Q112" s="81"/>
      <c r="R112" s="83" t="s">
        <v>368</v>
      </c>
      <c r="S112" s="64"/>
      <c r="T112" s="83" t="s">
        <v>145</v>
      </c>
      <c r="U112" s="83" t="s">
        <v>2311</v>
      </c>
      <c r="V112" s="319" t="s">
        <v>184</v>
      </c>
      <c r="W112" s="68" t="s">
        <v>185</v>
      </c>
      <c r="X112" s="68"/>
      <c r="Y112" s="68" t="s">
        <v>1032</v>
      </c>
      <c r="Z112" s="68" t="s">
        <v>1032</v>
      </c>
      <c r="AA112" s="83"/>
      <c r="AB112" s="83"/>
      <c r="AC112" s="83" t="s">
        <v>375</v>
      </c>
      <c r="AD112" s="203"/>
      <c r="AE112" s="203"/>
      <c r="AF112" s="91"/>
      <c r="AG112" s="91"/>
      <c r="AH112" s="91"/>
      <c r="AI112" s="91"/>
      <c r="AJ112" s="91"/>
      <c r="AK112" s="91"/>
      <c r="AL112" s="91"/>
      <c r="AM112" s="91"/>
      <c r="AN112" s="91"/>
      <c r="AO112" s="91"/>
      <c r="AP112" s="91"/>
      <c r="AQ112" s="91"/>
      <c r="AR112" s="91"/>
      <c r="AS112" s="91"/>
      <c r="AT112" s="91"/>
    </row>
    <row r="113">
      <c r="A113" s="64"/>
      <c r="B113" s="163"/>
      <c r="C113" s="64"/>
      <c r="D113" s="64"/>
      <c r="E113" s="316" t="s">
        <v>2364</v>
      </c>
      <c r="F113" s="64"/>
      <c r="G113" s="64"/>
      <c r="H113" s="64"/>
      <c r="I113" s="64"/>
      <c r="J113" s="73" t="s">
        <v>114</v>
      </c>
      <c r="K113" s="171" t="s">
        <v>60</v>
      </c>
      <c r="M113" s="186" t="s">
        <v>2366</v>
      </c>
      <c r="N113" s="186"/>
      <c r="O113" s="75"/>
      <c r="P113" s="64" t="s">
        <v>2367</v>
      </c>
      <c r="Q113" s="81"/>
      <c r="R113" s="83" t="s">
        <v>368</v>
      </c>
      <c r="S113" s="64"/>
      <c r="T113" s="83" t="s">
        <v>145</v>
      </c>
      <c r="U113" s="83" t="s">
        <v>2311</v>
      </c>
      <c r="V113" s="323" t="s">
        <v>184</v>
      </c>
      <c r="W113" s="64" t="s">
        <v>185</v>
      </c>
      <c r="X113" s="68"/>
      <c r="Y113" s="83" t="s">
        <v>1032</v>
      </c>
      <c r="Z113" s="83" t="s">
        <v>1032</v>
      </c>
      <c r="AA113" s="83"/>
      <c r="AB113" s="83"/>
      <c r="AC113" s="83" t="s">
        <v>375</v>
      </c>
      <c r="AD113" s="203"/>
      <c r="AE113" s="203"/>
      <c r="AF113" s="91"/>
      <c r="AG113" s="91"/>
      <c r="AH113" s="91"/>
      <c r="AI113" s="91"/>
      <c r="AJ113" s="91"/>
      <c r="AK113" s="91"/>
      <c r="AL113" s="91"/>
      <c r="AM113" s="91"/>
      <c r="AN113" s="91"/>
      <c r="AO113" s="91"/>
      <c r="AP113" s="91"/>
      <c r="AQ113" s="91"/>
      <c r="AR113" s="91"/>
      <c r="AS113" s="91"/>
      <c r="AT113" s="91"/>
    </row>
    <row r="114">
      <c r="A114" s="64"/>
      <c r="B114" s="163"/>
      <c r="C114" s="64"/>
      <c r="D114" s="64"/>
      <c r="E114" s="316" t="s">
        <v>2374</v>
      </c>
      <c r="F114" s="64"/>
      <c r="G114" s="64"/>
      <c r="H114" s="64"/>
      <c r="I114" s="64"/>
      <c r="J114" s="68" t="s">
        <v>114</v>
      </c>
      <c r="K114" s="73" t="s">
        <v>60</v>
      </c>
      <c r="M114" s="317" t="s">
        <v>2375</v>
      </c>
      <c r="N114" s="317"/>
      <c r="O114" s="64"/>
      <c r="P114" s="64" t="s">
        <v>2379</v>
      </c>
      <c r="Q114" s="81"/>
      <c r="R114" s="329" t="s">
        <v>368</v>
      </c>
      <c r="S114" s="64"/>
      <c r="T114" s="83" t="s">
        <v>145</v>
      </c>
      <c r="U114" s="68"/>
      <c r="V114" s="68"/>
      <c r="W114" s="68"/>
      <c r="X114" s="68"/>
      <c r="Y114" s="83" t="s">
        <v>1032</v>
      </c>
      <c r="Z114" s="83" t="s">
        <v>1032</v>
      </c>
      <c r="AA114" s="83"/>
      <c r="AB114" s="68"/>
      <c r="AC114" s="83" t="s">
        <v>375</v>
      </c>
      <c r="AD114" s="203"/>
      <c r="AE114" s="203"/>
      <c r="AF114" s="91"/>
      <c r="AG114" s="91"/>
      <c r="AH114" s="91"/>
      <c r="AI114" s="91"/>
      <c r="AJ114" s="91"/>
      <c r="AK114" s="91"/>
      <c r="AL114" s="91"/>
      <c r="AM114" s="91"/>
      <c r="AN114" s="91"/>
      <c r="AO114" s="91"/>
      <c r="AP114" s="91"/>
      <c r="AQ114" s="91"/>
      <c r="AR114" s="91"/>
      <c r="AS114" s="91"/>
      <c r="AT114" s="91"/>
    </row>
    <row r="115">
      <c r="A115" s="64"/>
      <c r="B115" s="66"/>
      <c r="C115" s="68"/>
      <c r="D115" s="68"/>
      <c r="E115" s="71" t="s">
        <v>2390</v>
      </c>
      <c r="F115" s="68"/>
      <c r="G115" s="68"/>
      <c r="H115" s="68"/>
      <c r="I115" s="68"/>
      <c r="J115" s="73" t="s">
        <v>114</v>
      </c>
      <c r="K115" s="73" t="s">
        <v>60</v>
      </c>
      <c r="M115" s="331" t="s">
        <v>2396</v>
      </c>
      <c r="N115" s="68"/>
      <c r="O115" s="75"/>
      <c r="P115" s="68" t="s">
        <v>2398</v>
      </c>
      <c r="Q115" s="68"/>
      <c r="R115" s="68" t="s">
        <v>261</v>
      </c>
      <c r="S115" s="64"/>
      <c r="T115" s="83" t="s">
        <v>145</v>
      </c>
      <c r="U115" s="68" t="s">
        <v>146</v>
      </c>
      <c r="V115" s="64"/>
      <c r="W115" s="68"/>
      <c r="X115" s="83" t="s">
        <v>269</v>
      </c>
      <c r="Y115" s="83" t="s">
        <v>1032</v>
      </c>
      <c r="Z115" s="83" t="s">
        <v>1032</v>
      </c>
      <c r="AA115" s="83" t="s">
        <v>632</v>
      </c>
      <c r="AB115" s="170" t="s">
        <v>2410</v>
      </c>
      <c r="AC115" s="68"/>
      <c r="AD115" s="203"/>
      <c r="AE115" s="203"/>
      <c r="AF115" s="91"/>
      <c r="AG115" s="91"/>
      <c r="AH115" s="91"/>
      <c r="AI115" s="91"/>
      <c r="AJ115" s="91"/>
      <c r="AK115" s="91"/>
      <c r="AL115" s="91"/>
      <c r="AM115" s="91"/>
      <c r="AN115" s="91"/>
      <c r="AO115" s="91"/>
      <c r="AP115" s="91"/>
      <c r="AQ115" s="91"/>
      <c r="AR115" s="91"/>
      <c r="AS115" s="91"/>
      <c r="AT115" s="91"/>
    </row>
    <row r="116">
      <c r="A116" s="64"/>
      <c r="B116" s="163"/>
      <c r="C116" s="64"/>
      <c r="D116" s="64"/>
      <c r="E116" s="71" t="s">
        <v>2414</v>
      </c>
      <c r="F116" s="64"/>
      <c r="G116" s="64"/>
      <c r="H116" s="64"/>
      <c r="I116" s="64"/>
      <c r="J116" s="73" t="s">
        <v>114</v>
      </c>
      <c r="K116" s="171" t="s">
        <v>60</v>
      </c>
      <c r="M116" s="331" t="s">
        <v>2419</v>
      </c>
      <c r="N116" s="331"/>
      <c r="O116" s="75"/>
      <c r="P116" s="68" t="s">
        <v>483</v>
      </c>
      <c r="Q116" s="68" t="s">
        <v>483</v>
      </c>
      <c r="R116" s="68" t="s">
        <v>261</v>
      </c>
      <c r="S116" s="68"/>
      <c r="T116" s="83" t="s">
        <v>145</v>
      </c>
      <c r="U116" s="68" t="s">
        <v>146</v>
      </c>
      <c r="V116" s="64"/>
      <c r="W116" s="64" t="s">
        <v>185</v>
      </c>
      <c r="X116" s="83" t="s">
        <v>269</v>
      </c>
      <c r="Y116" s="83" t="s">
        <v>150</v>
      </c>
      <c r="Z116" s="83" t="s">
        <v>150</v>
      </c>
      <c r="AA116" s="83" t="s">
        <v>632</v>
      </c>
      <c r="AB116" s="170" t="s">
        <v>2432</v>
      </c>
      <c r="AC116" s="203"/>
      <c r="AD116" s="95"/>
      <c r="AE116" s="75"/>
      <c r="AF116" s="91"/>
      <c r="AG116" s="91"/>
      <c r="AH116" s="91"/>
      <c r="AI116" s="91"/>
      <c r="AJ116" s="91"/>
      <c r="AK116" s="91"/>
      <c r="AL116" s="91"/>
      <c r="AM116" s="91"/>
      <c r="AN116" s="91"/>
      <c r="AO116" s="91"/>
      <c r="AP116" s="91"/>
      <c r="AQ116" s="91"/>
      <c r="AR116" s="91"/>
      <c r="AS116" s="91"/>
      <c r="AT116" s="91"/>
    </row>
    <row r="117">
      <c r="A117" s="64">
        <v>67.0</v>
      </c>
      <c r="B117" s="163" t="s">
        <v>1039</v>
      </c>
      <c r="C117" s="64" t="s">
        <v>1517</v>
      </c>
      <c r="D117" s="64" t="s">
        <v>121</v>
      </c>
      <c r="E117" s="266" t="s">
        <v>295</v>
      </c>
      <c r="F117" s="254" t="s">
        <v>1241</v>
      </c>
      <c r="G117" s="68" t="s">
        <v>60</v>
      </c>
      <c r="H117" s="171" t="s">
        <v>1221</v>
      </c>
      <c r="I117" s="64" t="s">
        <v>1443</v>
      </c>
      <c r="J117" s="73" t="s">
        <v>114</v>
      </c>
      <c r="K117" s="73" t="s">
        <v>60</v>
      </c>
      <c r="M117" s="68" t="s">
        <v>2440</v>
      </c>
      <c r="N117" s="75"/>
      <c r="O117" s="64"/>
      <c r="P117" s="336" t="s">
        <v>2442</v>
      </c>
      <c r="Q117" s="81"/>
      <c r="R117" s="83" t="s">
        <v>165</v>
      </c>
      <c r="S117" s="64"/>
      <c r="T117" s="83" t="s">
        <v>227</v>
      </c>
      <c r="U117" s="83" t="s">
        <v>186</v>
      </c>
      <c r="V117" s="68" t="s">
        <v>1174</v>
      </c>
      <c r="W117" s="73" t="s">
        <v>991</v>
      </c>
      <c r="X117" s="68"/>
      <c r="Y117" s="68"/>
      <c r="Z117" s="83" t="s">
        <v>2451</v>
      </c>
      <c r="AA117" s="169"/>
      <c r="AB117" s="83" t="s">
        <v>259</v>
      </c>
      <c r="AC117" s="339" t="s">
        <v>2457</v>
      </c>
      <c r="AD117" s="83"/>
      <c r="AE117" s="203"/>
      <c r="AF117" s="61"/>
      <c r="AG117" s="61"/>
      <c r="AH117" s="61"/>
      <c r="AI117" s="61"/>
      <c r="AJ117" s="61"/>
      <c r="AK117" s="61"/>
      <c r="AL117" s="61"/>
      <c r="AM117" s="61"/>
      <c r="AN117" s="61"/>
      <c r="AO117" s="61"/>
      <c r="AP117" s="61"/>
      <c r="AQ117" s="61"/>
      <c r="AR117" s="61"/>
      <c r="AS117" s="61"/>
      <c r="AT117" s="61"/>
    </row>
    <row r="118">
      <c r="A118" s="64"/>
      <c r="B118" s="231"/>
      <c r="C118" s="64"/>
      <c r="D118" s="64"/>
      <c r="E118" s="68"/>
      <c r="F118" s="64"/>
      <c r="G118" s="64"/>
      <c r="H118" s="64"/>
      <c r="I118" s="64"/>
      <c r="J118" s="83"/>
      <c r="K118" s="83" t="s">
        <v>60</v>
      </c>
      <c r="M118" s="340" t="s">
        <v>2469</v>
      </c>
      <c r="N118" s="64"/>
      <c r="O118" s="64"/>
      <c r="P118" s="83" t="s">
        <v>2473</v>
      </c>
      <c r="Q118" s="81"/>
      <c r="R118" s="83" t="s">
        <v>261</v>
      </c>
      <c r="S118" s="83" t="s">
        <v>350</v>
      </c>
      <c r="T118" s="83"/>
      <c r="U118" s="68" t="s">
        <v>186</v>
      </c>
      <c r="V118" s="68"/>
      <c r="W118" s="170" t="s">
        <v>2482</v>
      </c>
      <c r="X118" s="68"/>
      <c r="Y118" s="68"/>
      <c r="Z118" s="68"/>
      <c r="AA118" s="169"/>
      <c r="AB118" s="83" t="s">
        <v>861</v>
      </c>
      <c r="AC118" s="340" t="s">
        <v>2492</v>
      </c>
      <c r="AD118" s="83"/>
      <c r="AE118" s="68"/>
      <c r="AF118" s="61"/>
      <c r="AG118" s="61"/>
      <c r="AH118" s="61"/>
      <c r="AI118" s="61"/>
      <c r="AJ118" s="61"/>
      <c r="AK118" s="61"/>
      <c r="AL118" s="61"/>
      <c r="AM118" s="61"/>
      <c r="AN118" s="61"/>
      <c r="AO118" s="61"/>
      <c r="AP118" s="61"/>
      <c r="AQ118" s="61"/>
      <c r="AR118" s="61"/>
      <c r="AS118" s="61"/>
      <c r="AT118" s="61"/>
    </row>
    <row r="119">
      <c r="A119" s="64"/>
      <c r="B119" s="163"/>
      <c r="C119" s="64"/>
      <c r="D119" s="64"/>
      <c r="E119" s="71"/>
      <c r="F119" s="64"/>
      <c r="G119" s="64"/>
      <c r="H119" s="64"/>
      <c r="I119" s="64"/>
      <c r="J119" s="73" t="s">
        <v>114</v>
      </c>
      <c r="K119" s="73" t="s">
        <v>2499</v>
      </c>
      <c r="M119" s="68" t="s">
        <v>2500</v>
      </c>
      <c r="N119" s="64"/>
      <c r="O119" s="64"/>
      <c r="P119" s="343" t="s">
        <v>2504</v>
      </c>
      <c r="Q119" s="81"/>
      <c r="R119" s="345" t="s">
        <v>165</v>
      </c>
      <c r="S119" s="83" t="s">
        <v>425</v>
      </c>
      <c r="T119" s="64"/>
      <c r="U119" s="68"/>
      <c r="V119" s="68"/>
      <c r="W119" s="68"/>
      <c r="X119" s="68"/>
      <c r="Y119" s="68"/>
      <c r="Z119" s="68" t="s">
        <v>2515</v>
      </c>
      <c r="AA119" s="169"/>
      <c r="AB119" s="68" t="s">
        <v>259</v>
      </c>
      <c r="AC119" s="81"/>
      <c r="AD119" s="83"/>
      <c r="AE119" s="203"/>
      <c r="AF119" s="91"/>
      <c r="AG119" s="91"/>
      <c r="AH119" s="91"/>
      <c r="AI119" s="91"/>
      <c r="AJ119" s="91"/>
      <c r="AK119" s="91"/>
      <c r="AL119" s="91"/>
      <c r="AM119" s="91"/>
      <c r="AN119" s="91"/>
      <c r="AO119" s="91"/>
      <c r="AP119" s="91"/>
      <c r="AQ119" s="91"/>
      <c r="AR119" s="91"/>
      <c r="AS119" s="91"/>
      <c r="AT119" s="91"/>
    </row>
    <row r="120">
      <c r="A120" s="64"/>
      <c r="B120" s="346"/>
      <c r="C120" s="347">
        <v>45995.0</v>
      </c>
      <c r="D120" s="348"/>
      <c r="E120" s="349"/>
      <c r="F120" s="348"/>
      <c r="G120" s="348"/>
      <c r="H120" s="348"/>
      <c r="I120" s="348"/>
      <c r="J120" s="350" t="s">
        <v>114</v>
      </c>
      <c r="K120" s="83" t="s">
        <v>60</v>
      </c>
      <c r="M120" s="83" t="s">
        <v>2529</v>
      </c>
      <c r="N120" s="64"/>
      <c r="O120" s="64"/>
      <c r="P120" s="352" t="s">
        <v>2531</v>
      </c>
      <c r="Q120" s="353"/>
      <c r="R120" s="83" t="s">
        <v>261</v>
      </c>
      <c r="S120" s="83" t="s">
        <v>350</v>
      </c>
      <c r="T120" s="83"/>
      <c r="U120" s="83" t="s">
        <v>145</v>
      </c>
      <c r="V120" s="68"/>
      <c r="W120" s="68"/>
      <c r="X120" s="83" t="s">
        <v>185</v>
      </c>
      <c r="Y120" s="68"/>
      <c r="Z120" s="68"/>
      <c r="AA120" s="169"/>
      <c r="AB120" s="83" t="s">
        <v>259</v>
      </c>
      <c r="AC120" s="83"/>
      <c r="AD120" s="83"/>
      <c r="AE120" s="203"/>
      <c r="AF120" s="61"/>
      <c r="AG120" s="61"/>
      <c r="AH120" s="61"/>
      <c r="AI120" s="61"/>
      <c r="AJ120" s="61"/>
      <c r="AK120" s="61"/>
      <c r="AL120" s="61"/>
      <c r="AM120" s="61"/>
      <c r="AN120" s="61"/>
      <c r="AO120" s="61"/>
      <c r="AP120" s="61"/>
      <c r="AQ120" s="61"/>
      <c r="AR120" s="61"/>
      <c r="AS120" s="61"/>
      <c r="AT120" s="61"/>
    </row>
    <row r="121">
      <c r="A121" s="83" t="s">
        <v>2548</v>
      </c>
      <c r="B121" s="231"/>
      <c r="C121" s="64"/>
      <c r="D121" s="64"/>
      <c r="E121" s="354" t="s">
        <v>2552</v>
      </c>
      <c r="F121" s="64"/>
      <c r="G121" s="64"/>
      <c r="H121" s="64"/>
      <c r="I121" s="64"/>
      <c r="J121" s="83" t="s">
        <v>114</v>
      </c>
      <c r="K121" s="83" t="s">
        <v>60</v>
      </c>
      <c r="M121" s="83" t="s">
        <v>2556</v>
      </c>
      <c r="N121" s="64"/>
      <c r="O121" s="64"/>
      <c r="P121" s="356" t="s">
        <v>2557</v>
      </c>
      <c r="Q121" s="81"/>
      <c r="R121" s="83"/>
      <c r="S121" s="83"/>
      <c r="T121" s="83"/>
      <c r="U121" s="68" t="s">
        <v>182</v>
      </c>
      <c r="V121" s="68"/>
      <c r="W121" s="357" t="s">
        <v>418</v>
      </c>
      <c r="X121" s="83" t="s">
        <v>114</v>
      </c>
      <c r="Y121" s="68"/>
      <c r="Z121" s="68"/>
      <c r="AA121" s="169"/>
      <c r="AB121" s="83"/>
      <c r="AC121" s="83"/>
      <c r="AD121" s="83"/>
      <c r="AE121" s="203"/>
      <c r="AF121" s="61"/>
      <c r="AG121" s="61"/>
      <c r="AH121" s="61"/>
      <c r="AI121" s="61"/>
      <c r="AJ121" s="61"/>
      <c r="AK121" s="61"/>
      <c r="AL121" s="61"/>
      <c r="AM121" s="61"/>
      <c r="AN121" s="61"/>
      <c r="AO121" s="61"/>
      <c r="AP121" s="61"/>
      <c r="AQ121" s="61"/>
      <c r="AR121" s="61"/>
      <c r="AS121" s="61"/>
      <c r="AT121" s="61"/>
    </row>
    <row r="122">
      <c r="A122" s="83" t="s">
        <v>2548</v>
      </c>
      <c r="B122" s="231"/>
      <c r="C122" s="64"/>
      <c r="D122" s="64"/>
      <c r="E122" s="354" t="s">
        <v>2552</v>
      </c>
      <c r="F122" s="64"/>
      <c r="G122" s="64"/>
      <c r="H122" s="64"/>
      <c r="I122" s="64"/>
      <c r="J122" s="83"/>
      <c r="K122" s="83" t="s">
        <v>60</v>
      </c>
      <c r="M122" s="83" t="s">
        <v>2585</v>
      </c>
      <c r="N122" s="64"/>
      <c r="O122" s="64"/>
      <c r="P122" s="356" t="s">
        <v>1123</v>
      </c>
      <c r="Q122" s="81"/>
      <c r="R122" s="83"/>
      <c r="S122" s="83"/>
      <c r="T122" s="83"/>
      <c r="U122" s="68" t="s">
        <v>182</v>
      </c>
      <c r="V122" s="68"/>
      <c r="W122" s="357" t="s">
        <v>418</v>
      </c>
      <c r="X122" s="83" t="s">
        <v>114</v>
      </c>
      <c r="Y122" s="68"/>
      <c r="Z122" s="68"/>
      <c r="AA122" s="169"/>
      <c r="AB122" s="83"/>
      <c r="AC122" s="83"/>
      <c r="AD122" s="83"/>
      <c r="AE122" s="203"/>
      <c r="AF122" s="61"/>
      <c r="AG122" s="61"/>
      <c r="AH122" s="61"/>
      <c r="AI122" s="61"/>
      <c r="AJ122" s="61"/>
      <c r="AK122" s="61"/>
      <c r="AL122" s="61"/>
      <c r="AM122" s="61"/>
      <c r="AN122" s="61"/>
      <c r="AO122" s="61"/>
      <c r="AP122" s="61"/>
      <c r="AQ122" s="61"/>
      <c r="AR122" s="61"/>
      <c r="AS122" s="61"/>
      <c r="AT122" s="61"/>
    </row>
    <row r="123">
      <c r="A123" s="83" t="s">
        <v>2548</v>
      </c>
      <c r="B123" s="231"/>
      <c r="C123" s="64"/>
      <c r="D123" s="64"/>
      <c r="E123" s="354" t="s">
        <v>2552</v>
      </c>
      <c r="F123" s="64"/>
      <c r="G123" s="64"/>
      <c r="H123" s="64"/>
      <c r="I123" s="64"/>
      <c r="J123" s="83" t="s">
        <v>114</v>
      </c>
      <c r="K123" s="83" t="s">
        <v>60</v>
      </c>
      <c r="M123" s="83" t="s">
        <v>2598</v>
      </c>
      <c r="N123" s="64"/>
      <c r="O123" s="64"/>
      <c r="P123" s="356" t="s">
        <v>663</v>
      </c>
      <c r="Q123" s="81"/>
      <c r="R123" s="83"/>
      <c r="S123" s="83"/>
      <c r="T123" s="83"/>
      <c r="U123" s="68" t="s">
        <v>182</v>
      </c>
      <c r="V123" s="68"/>
      <c r="W123" s="357" t="s">
        <v>418</v>
      </c>
      <c r="X123" s="83" t="s">
        <v>185</v>
      </c>
      <c r="Y123" s="68"/>
      <c r="Z123" s="68"/>
      <c r="AA123" s="169"/>
      <c r="AB123" s="83"/>
      <c r="AC123" s="83"/>
      <c r="AD123" s="83"/>
      <c r="AE123" s="203"/>
      <c r="AF123" s="61"/>
      <c r="AG123" s="61"/>
      <c r="AH123" s="61"/>
      <c r="AI123" s="61"/>
      <c r="AJ123" s="61"/>
      <c r="AK123" s="61"/>
      <c r="AL123" s="61"/>
      <c r="AM123" s="61"/>
      <c r="AN123" s="61"/>
      <c r="AO123" s="61"/>
      <c r="AP123" s="61"/>
      <c r="AQ123" s="61"/>
      <c r="AR123" s="61"/>
      <c r="AS123" s="61"/>
      <c r="AT123" s="61"/>
    </row>
    <row r="124">
      <c r="A124" s="83" t="s">
        <v>2548</v>
      </c>
      <c r="B124" s="231"/>
      <c r="C124" s="64"/>
      <c r="D124" s="64"/>
      <c r="E124" s="354" t="s">
        <v>2552</v>
      </c>
      <c r="F124" s="64"/>
      <c r="G124" s="64"/>
      <c r="H124" s="64"/>
      <c r="I124" s="64"/>
      <c r="J124" s="83" t="s">
        <v>114</v>
      </c>
      <c r="K124" s="170" t="s">
        <v>326</v>
      </c>
      <c r="M124" s="83" t="s">
        <v>2607</v>
      </c>
      <c r="N124" s="64"/>
      <c r="O124" s="64"/>
      <c r="P124" s="356" t="s">
        <v>1968</v>
      </c>
      <c r="Q124" s="81"/>
      <c r="R124" s="83"/>
      <c r="S124" s="83"/>
      <c r="T124" s="83"/>
      <c r="U124" s="68" t="s">
        <v>182</v>
      </c>
      <c r="V124" s="68"/>
      <c r="W124" s="357" t="s">
        <v>418</v>
      </c>
      <c r="X124" s="83" t="s">
        <v>185</v>
      </c>
      <c r="Y124" s="68"/>
      <c r="Z124" s="68"/>
      <c r="AA124" s="169"/>
      <c r="AB124" s="83"/>
      <c r="AC124" s="83"/>
      <c r="AD124" s="83"/>
      <c r="AE124" s="203"/>
      <c r="AF124" s="61"/>
      <c r="AG124" s="61"/>
      <c r="AH124" s="61"/>
      <c r="AI124" s="61"/>
      <c r="AJ124" s="61"/>
      <c r="AK124" s="61"/>
      <c r="AL124" s="61"/>
      <c r="AM124" s="61"/>
      <c r="AN124" s="61"/>
      <c r="AO124" s="61"/>
      <c r="AP124" s="61"/>
      <c r="AQ124" s="61"/>
      <c r="AR124" s="61"/>
      <c r="AS124" s="61"/>
      <c r="AT124" s="61"/>
    </row>
    <row r="125">
      <c r="A125" s="83" t="s">
        <v>2548</v>
      </c>
      <c r="B125" s="231"/>
      <c r="C125" s="64"/>
      <c r="D125" s="64"/>
      <c r="E125" s="354" t="s">
        <v>2552</v>
      </c>
      <c r="F125" s="64"/>
      <c r="G125" s="64"/>
      <c r="H125" s="64"/>
      <c r="I125" s="64"/>
      <c r="J125" s="83" t="s">
        <v>114</v>
      </c>
      <c r="K125" s="83" t="s">
        <v>60</v>
      </c>
      <c r="M125" s="83" t="s">
        <v>2621</v>
      </c>
      <c r="N125" s="64"/>
      <c r="O125" s="64"/>
      <c r="P125" s="356" t="s">
        <v>2622</v>
      </c>
      <c r="Q125" s="81"/>
      <c r="R125" s="83"/>
      <c r="S125" s="83"/>
      <c r="T125" s="83"/>
      <c r="U125" s="68" t="s">
        <v>182</v>
      </c>
      <c r="V125" s="68"/>
      <c r="W125" s="357" t="s">
        <v>418</v>
      </c>
      <c r="X125" s="83" t="s">
        <v>185</v>
      </c>
      <c r="Y125" s="68"/>
      <c r="Z125" s="68"/>
      <c r="AA125" s="169"/>
      <c r="AB125" s="83"/>
      <c r="AC125" s="83"/>
      <c r="AD125" s="83"/>
      <c r="AE125" s="203"/>
      <c r="AF125" s="61"/>
      <c r="AG125" s="61"/>
      <c r="AH125" s="61"/>
      <c r="AI125" s="61"/>
      <c r="AJ125" s="61"/>
      <c r="AK125" s="61"/>
      <c r="AL125" s="61"/>
      <c r="AM125" s="61"/>
      <c r="AN125" s="61"/>
      <c r="AO125" s="61"/>
      <c r="AP125" s="61"/>
      <c r="AQ125" s="61"/>
      <c r="AR125" s="61"/>
      <c r="AS125" s="61"/>
      <c r="AT125" s="61"/>
    </row>
    <row r="126">
      <c r="A126" s="83" t="s">
        <v>2548</v>
      </c>
      <c r="B126" s="231"/>
      <c r="C126" s="64"/>
      <c r="D126" s="64"/>
      <c r="E126" s="354" t="s">
        <v>2552</v>
      </c>
      <c r="F126" s="64"/>
      <c r="G126" s="64"/>
      <c r="H126" s="64"/>
      <c r="I126" s="64"/>
      <c r="J126" s="83"/>
      <c r="K126" s="170" t="s">
        <v>102</v>
      </c>
      <c r="M126" s="83" t="s">
        <v>2637</v>
      </c>
      <c r="N126" s="64"/>
      <c r="O126" s="64"/>
      <c r="P126" s="356" t="s">
        <v>2639</v>
      </c>
      <c r="Q126" s="81"/>
      <c r="R126" s="83"/>
      <c r="S126" s="83"/>
      <c r="T126" s="83"/>
      <c r="U126" s="68" t="s">
        <v>182</v>
      </c>
      <c r="V126" s="68"/>
      <c r="W126" s="357" t="s">
        <v>418</v>
      </c>
      <c r="X126" s="83" t="s">
        <v>185</v>
      </c>
      <c r="Y126" s="68"/>
      <c r="Z126" s="68"/>
      <c r="AA126" s="169"/>
      <c r="AB126" s="83"/>
      <c r="AC126" s="83"/>
      <c r="AD126" s="83"/>
      <c r="AE126" s="203"/>
      <c r="AF126" s="61"/>
      <c r="AG126" s="61"/>
      <c r="AH126" s="61"/>
      <c r="AI126" s="61"/>
      <c r="AJ126" s="61"/>
      <c r="AK126" s="61"/>
      <c r="AL126" s="61"/>
      <c r="AM126" s="61"/>
      <c r="AN126" s="61"/>
      <c r="AO126" s="61"/>
      <c r="AP126" s="61"/>
      <c r="AQ126" s="61"/>
      <c r="AR126" s="61"/>
      <c r="AS126" s="61"/>
      <c r="AT126" s="61"/>
    </row>
    <row r="127">
      <c r="A127" s="64"/>
      <c r="B127" s="163"/>
      <c r="C127" s="64"/>
      <c r="D127" s="64"/>
      <c r="E127" s="359" t="s">
        <v>2645</v>
      </c>
      <c r="F127" s="64"/>
      <c r="G127" s="64"/>
      <c r="H127" s="64"/>
      <c r="I127" s="64"/>
      <c r="J127" s="73" t="s">
        <v>114</v>
      </c>
      <c r="K127" s="171" t="s">
        <v>102</v>
      </c>
      <c r="M127" s="361" t="s">
        <v>2648</v>
      </c>
      <c r="N127" s="75">
        <v>28026.0</v>
      </c>
      <c r="O127" s="64">
        <f>DATEDIF($N127,TODAY(),"Y")</f>
        <v>49</v>
      </c>
      <c r="P127" s="64" t="s">
        <v>2665</v>
      </c>
      <c r="Q127" s="81"/>
      <c r="R127" s="83" t="s">
        <v>136</v>
      </c>
      <c r="S127" s="64"/>
      <c r="T127" s="64"/>
      <c r="U127" s="83" t="s">
        <v>182</v>
      </c>
      <c r="V127" s="64" t="s">
        <v>183</v>
      </c>
      <c r="W127" s="205" t="s">
        <v>184</v>
      </c>
      <c r="X127" s="206" t="s">
        <v>1030</v>
      </c>
      <c r="Y127" s="68"/>
      <c r="Z127" s="83" t="s">
        <v>150</v>
      </c>
      <c r="AA127" s="83" t="s">
        <v>150</v>
      </c>
      <c r="AB127" s="68"/>
      <c r="AC127" s="81"/>
      <c r="AD127" s="83"/>
      <c r="AE127" s="203"/>
      <c r="AF127" s="91"/>
      <c r="AG127" s="91"/>
      <c r="AH127" s="91"/>
      <c r="AI127" s="91"/>
      <c r="AJ127" s="91"/>
      <c r="AK127" s="91"/>
      <c r="AL127" s="91"/>
      <c r="AM127" s="91"/>
      <c r="AN127" s="91"/>
      <c r="AO127" s="91"/>
      <c r="AP127" s="91"/>
      <c r="AQ127" s="91"/>
      <c r="AR127" s="91"/>
      <c r="AS127" s="91"/>
      <c r="AT127" s="91"/>
    </row>
    <row r="128">
      <c r="A128" s="64"/>
      <c r="B128" s="218" t="s">
        <v>1200</v>
      </c>
      <c r="C128" s="68"/>
      <c r="D128" s="64"/>
      <c r="E128" s="371">
        <v>45967.0</v>
      </c>
      <c r="F128" s="64"/>
      <c r="G128" s="64"/>
      <c r="H128" s="64"/>
      <c r="I128" s="64"/>
      <c r="J128" s="83" t="s">
        <v>114</v>
      </c>
      <c r="K128" s="73" t="s">
        <v>60</v>
      </c>
      <c r="M128" s="331" t="s">
        <v>2682</v>
      </c>
      <c r="N128" s="75"/>
      <c r="O128" s="64"/>
      <c r="P128" s="68" t="s">
        <v>2683</v>
      </c>
      <c r="Q128" s="81"/>
      <c r="R128" s="83" t="s">
        <v>368</v>
      </c>
      <c r="S128" s="68"/>
      <c r="T128" s="83"/>
      <c r="U128" s="83" t="s">
        <v>182</v>
      </c>
      <c r="V128" s="68" t="s">
        <v>183</v>
      </c>
      <c r="W128" s="170" t="s">
        <v>1725</v>
      </c>
      <c r="X128" s="83" t="s">
        <v>114</v>
      </c>
      <c r="Y128" s="68"/>
      <c r="Z128" s="68"/>
      <c r="AA128" s="169"/>
      <c r="AB128" s="83" t="s">
        <v>291</v>
      </c>
      <c r="AC128" s="83" t="s">
        <v>2689</v>
      </c>
      <c r="AD128" s="95"/>
      <c r="AE128" s="203"/>
      <c r="AF128" s="61"/>
      <c r="AG128" s="61"/>
      <c r="AH128" s="61"/>
      <c r="AI128" s="61"/>
      <c r="AJ128" s="61"/>
      <c r="AK128" s="61"/>
      <c r="AL128" s="61"/>
      <c r="AM128" s="61"/>
      <c r="AN128" s="61"/>
      <c r="AO128" s="61"/>
      <c r="AP128" s="61"/>
      <c r="AQ128" s="61"/>
      <c r="AR128" s="61"/>
      <c r="AS128" s="61"/>
      <c r="AT128" s="61"/>
    </row>
    <row r="129">
      <c r="A129" s="64"/>
      <c r="B129" s="231" t="s">
        <v>1774</v>
      </c>
      <c r="C129" s="64"/>
      <c r="D129" s="64"/>
      <c r="E129" s="68"/>
      <c r="F129" s="64"/>
      <c r="G129" s="64"/>
      <c r="H129" s="64"/>
      <c r="I129" s="64"/>
      <c r="J129" s="68"/>
      <c r="K129" s="373"/>
      <c r="L129" s="171" t="s">
        <v>102</v>
      </c>
      <c r="M129" s="64"/>
      <c r="N129" s="64" t="s">
        <v>2697</v>
      </c>
      <c r="O129" s="374"/>
      <c r="P129" s="64"/>
      <c r="Q129" s="83" t="s">
        <v>2473</v>
      </c>
      <c r="R129" s="81"/>
      <c r="S129" s="345" t="s">
        <v>165</v>
      </c>
      <c r="T129" s="64" t="s">
        <v>350</v>
      </c>
      <c r="U129" s="345" t="s">
        <v>165</v>
      </c>
      <c r="V129" s="83" t="s">
        <v>197</v>
      </c>
      <c r="W129" s="68"/>
      <c r="X129" s="68"/>
      <c r="Y129" s="68"/>
      <c r="Z129" s="68"/>
      <c r="AA129" s="68"/>
      <c r="AB129" s="169"/>
      <c r="AC129" s="83" t="s">
        <v>2718</v>
      </c>
      <c r="AD129" s="83" t="s">
        <v>1795</v>
      </c>
      <c r="AE129" s="95"/>
      <c r="AF129" s="83"/>
      <c r="AG129" s="61"/>
      <c r="AH129" s="61"/>
      <c r="AI129" s="61"/>
      <c r="AJ129" s="61"/>
      <c r="AK129" s="61"/>
      <c r="AL129" s="61"/>
      <c r="AM129" s="61"/>
      <c r="AN129" s="61"/>
      <c r="AO129" s="61"/>
      <c r="AP129" s="61"/>
      <c r="AQ129" s="61"/>
      <c r="AR129" s="61"/>
      <c r="AS129" s="61"/>
      <c r="AT129" s="61"/>
    </row>
    <row r="130">
      <c r="A130" s="64"/>
      <c r="B130" s="196"/>
      <c r="C130" s="68"/>
      <c r="D130" s="68"/>
      <c r="E130" s="377" t="s">
        <v>2724</v>
      </c>
      <c r="F130" s="68"/>
      <c r="G130" s="68"/>
      <c r="H130" s="68"/>
      <c r="I130" s="68"/>
      <c r="J130" s="68" t="s">
        <v>114</v>
      </c>
      <c r="K130" s="378" t="s">
        <v>2731</v>
      </c>
      <c r="L130" s="73" t="s">
        <v>60</v>
      </c>
      <c r="M130" s="331"/>
      <c r="N130" s="331" t="s">
        <v>2734</v>
      </c>
      <c r="O130" s="103">
        <v>31686.0</v>
      </c>
      <c r="P130" s="68">
        <f>DATEDIF($O130,TODAY(),"Y")</f>
        <v>39</v>
      </c>
      <c r="Q130" s="73" t="s">
        <v>2742</v>
      </c>
      <c r="R130" s="81"/>
      <c r="S130" s="174" t="s">
        <v>379</v>
      </c>
      <c r="T130" s="64"/>
      <c r="U130" s="174" t="s">
        <v>379</v>
      </c>
      <c r="V130" s="83" t="s">
        <v>145</v>
      </c>
      <c r="W130" s="83" t="s">
        <v>2754</v>
      </c>
      <c r="X130" s="319" t="s">
        <v>184</v>
      </c>
      <c r="Y130" s="68" t="s">
        <v>114</v>
      </c>
      <c r="Z130" s="83" t="s">
        <v>269</v>
      </c>
      <c r="AA130" s="68" t="s">
        <v>632</v>
      </c>
      <c r="AB130" s="68" t="s">
        <v>632</v>
      </c>
      <c r="AC130" s="68" t="s">
        <v>632</v>
      </c>
      <c r="AD130" s="68"/>
      <c r="AE130" s="83"/>
      <c r="AF130" s="83"/>
      <c r="AG130" s="61"/>
      <c r="AH130" s="61"/>
      <c r="AI130" s="61"/>
      <c r="AJ130" s="61"/>
      <c r="AK130" s="61"/>
      <c r="AL130" s="61"/>
      <c r="AM130" s="61"/>
      <c r="AN130" s="61"/>
      <c r="AO130" s="61"/>
      <c r="AP130" s="61"/>
      <c r="AQ130" s="61"/>
      <c r="AR130" s="61"/>
      <c r="AS130" s="61"/>
      <c r="AT130" s="61"/>
    </row>
    <row r="131">
      <c r="A131" s="64">
        <v>93.0</v>
      </c>
      <c r="B131" s="163" t="s">
        <v>1039</v>
      </c>
      <c r="C131" s="64" t="s">
        <v>1517</v>
      </c>
      <c r="D131" s="64" t="s">
        <v>1519</v>
      </c>
      <c r="E131" s="171" t="s">
        <v>201</v>
      </c>
      <c r="F131" s="254" t="s">
        <v>1849</v>
      </c>
      <c r="G131" s="382" t="s">
        <v>60</v>
      </c>
      <c r="H131" s="171" t="s">
        <v>1221</v>
      </c>
      <c r="I131" s="64" t="s">
        <v>1443</v>
      </c>
      <c r="J131" s="170" t="s">
        <v>114</v>
      </c>
      <c r="K131" s="378" t="s">
        <v>2767</v>
      </c>
      <c r="L131" s="73" t="s">
        <v>60</v>
      </c>
      <c r="M131" s="83" t="s">
        <v>114</v>
      </c>
      <c r="N131" s="331" t="s">
        <v>2770</v>
      </c>
      <c r="O131" s="75"/>
      <c r="P131" s="64"/>
      <c r="Q131" s="73" t="s">
        <v>555</v>
      </c>
      <c r="R131" s="81"/>
      <c r="S131" s="83" t="s">
        <v>368</v>
      </c>
      <c r="T131" s="68"/>
      <c r="U131" s="83" t="s">
        <v>368</v>
      </c>
      <c r="V131" s="83"/>
      <c r="W131" s="68" t="s">
        <v>1174</v>
      </c>
      <c r="X131" s="383" t="s">
        <v>991</v>
      </c>
      <c r="Y131" s="68"/>
      <c r="Z131" s="68"/>
      <c r="AA131" s="83" t="s">
        <v>2451</v>
      </c>
      <c r="AB131" s="169"/>
      <c r="AC131" s="83"/>
      <c r="AD131" s="83"/>
      <c r="AE131" s="83" t="s">
        <v>375</v>
      </c>
      <c r="AF131" s="385">
        <v>45996.0</v>
      </c>
      <c r="AG131" s="203"/>
      <c r="AH131" s="203"/>
      <c r="AI131" s="203"/>
      <c r="AJ131" s="203"/>
      <c r="AK131" s="203"/>
      <c r="AL131" s="203"/>
      <c r="AM131" s="203"/>
      <c r="AN131" s="203"/>
      <c r="AO131" s="203"/>
      <c r="AP131" s="203"/>
      <c r="AQ131" s="203"/>
      <c r="AR131" s="203"/>
      <c r="AS131" s="203"/>
      <c r="AT131" s="203"/>
    </row>
    <row r="132">
      <c r="A132" s="64">
        <v>356.0</v>
      </c>
      <c r="B132" s="283" t="s">
        <v>1709</v>
      </c>
      <c r="C132" s="284" t="s">
        <v>1728</v>
      </c>
      <c r="D132" s="284" t="s">
        <v>121</v>
      </c>
      <c r="E132" s="171" t="s">
        <v>201</v>
      </c>
      <c r="F132" s="254" t="s">
        <v>1849</v>
      </c>
      <c r="G132" s="68" t="s">
        <v>60</v>
      </c>
      <c r="H132" s="171" t="s">
        <v>1221</v>
      </c>
      <c r="I132" s="171" t="s">
        <v>1221</v>
      </c>
      <c r="J132" s="171" t="s">
        <v>114</v>
      </c>
      <c r="K132" s="378" t="s">
        <v>2822</v>
      </c>
      <c r="L132" s="171" t="s">
        <v>60</v>
      </c>
      <c r="M132" s="387"/>
      <c r="N132" s="387" t="s">
        <v>2826</v>
      </c>
      <c r="O132" s="75">
        <v>32635.0</v>
      </c>
      <c r="P132" s="64">
        <f t="shared" ref="P132:P135" si="3">DATEDIF($O132,TODAY(),"Y")</f>
        <v>37</v>
      </c>
      <c r="Q132" s="64" t="s">
        <v>555</v>
      </c>
      <c r="R132" s="81"/>
      <c r="S132" s="329" t="s">
        <v>136</v>
      </c>
      <c r="T132" s="64"/>
      <c r="U132" s="329" t="s">
        <v>136</v>
      </c>
      <c r="V132" s="68"/>
      <c r="W132" s="64"/>
      <c r="X132" s="64"/>
      <c r="Y132" s="64"/>
      <c r="Z132" s="68"/>
      <c r="AA132" s="64" t="s">
        <v>1032</v>
      </c>
      <c r="AB132" s="169"/>
      <c r="AC132" s="64"/>
      <c r="AD132" s="169"/>
      <c r="AE132" s="161"/>
      <c r="AF132" s="388">
        <v>45967.0</v>
      </c>
      <c r="AG132" s="203"/>
      <c r="AH132" s="203"/>
      <c r="AI132" s="203"/>
      <c r="AJ132" s="203"/>
      <c r="AK132" s="203"/>
      <c r="AL132" s="203"/>
      <c r="AM132" s="203"/>
      <c r="AN132" s="203"/>
      <c r="AO132" s="203"/>
      <c r="AP132" s="203"/>
      <c r="AQ132" s="203"/>
      <c r="AR132" s="203"/>
      <c r="AS132" s="203"/>
      <c r="AT132" s="203"/>
    </row>
    <row r="133">
      <c r="A133" s="64">
        <v>358.0</v>
      </c>
      <c r="B133" s="163" t="s">
        <v>1709</v>
      </c>
      <c r="C133" s="64" t="s">
        <v>1728</v>
      </c>
      <c r="D133" s="64" t="s">
        <v>121</v>
      </c>
      <c r="E133" s="171" t="s">
        <v>287</v>
      </c>
      <c r="F133" s="254" t="s">
        <v>2853</v>
      </c>
      <c r="G133" s="68" t="s">
        <v>60</v>
      </c>
      <c r="H133" s="171" t="s">
        <v>1221</v>
      </c>
      <c r="I133" s="64" t="s">
        <v>1443</v>
      </c>
      <c r="J133" s="73" t="s">
        <v>114</v>
      </c>
      <c r="K133" s="378" t="s">
        <v>2854</v>
      </c>
      <c r="L133" s="171" t="s">
        <v>60</v>
      </c>
      <c r="M133" s="74"/>
      <c r="N133" s="74" t="s">
        <v>2855</v>
      </c>
      <c r="O133" s="75">
        <v>34724.0</v>
      </c>
      <c r="P133" s="64">
        <f t="shared" si="3"/>
        <v>31</v>
      </c>
      <c r="Q133" s="68" t="s">
        <v>2359</v>
      </c>
      <c r="R133" s="81"/>
      <c r="S133" s="329" t="s">
        <v>136</v>
      </c>
      <c r="T133" s="64"/>
      <c r="U133" s="329" t="s">
        <v>136</v>
      </c>
      <c r="V133" s="83" t="s">
        <v>186</v>
      </c>
      <c r="W133" s="68" t="s">
        <v>1174</v>
      </c>
      <c r="X133" s="205" t="s">
        <v>184</v>
      </c>
      <c r="Y133" s="206" t="s">
        <v>2861</v>
      </c>
      <c r="Z133" s="68"/>
      <c r="AA133" s="68" t="s">
        <v>1032</v>
      </c>
      <c r="AB133" s="169"/>
      <c r="AC133" s="68"/>
      <c r="AD133" s="68"/>
      <c r="AE133" s="68"/>
      <c r="AF133" s="207">
        <v>45972.0</v>
      </c>
      <c r="AG133" s="203"/>
      <c r="AH133" s="203"/>
      <c r="AI133" s="203"/>
      <c r="AJ133" s="203"/>
      <c r="AK133" s="203"/>
      <c r="AL133" s="203"/>
      <c r="AM133" s="203"/>
      <c r="AN133" s="203"/>
      <c r="AO133" s="203"/>
      <c r="AP133" s="203"/>
      <c r="AQ133" s="203"/>
      <c r="AR133" s="203"/>
      <c r="AS133" s="203"/>
      <c r="AT133" s="203"/>
    </row>
    <row r="134">
      <c r="A134" s="64">
        <v>717.0</v>
      </c>
      <c r="B134" s="397" t="s">
        <v>1751</v>
      </c>
      <c r="C134" s="398" t="s">
        <v>121</v>
      </c>
      <c r="D134" s="400" t="s">
        <v>121</v>
      </c>
      <c r="E134" s="402" t="s">
        <v>212</v>
      </c>
      <c r="F134" s="404" t="s">
        <v>2203</v>
      </c>
      <c r="G134" s="400" t="s">
        <v>326</v>
      </c>
      <c r="H134" s="171" t="s">
        <v>1221</v>
      </c>
      <c r="I134" s="64" t="s">
        <v>1443</v>
      </c>
      <c r="J134" s="171" t="s">
        <v>114</v>
      </c>
      <c r="K134" s="373"/>
      <c r="L134" s="171" t="s">
        <v>60</v>
      </c>
      <c r="M134" s="74"/>
      <c r="N134" s="74" t="s">
        <v>2870</v>
      </c>
      <c r="O134" s="103">
        <v>29690.0</v>
      </c>
      <c r="P134" s="64">
        <f t="shared" si="3"/>
        <v>45</v>
      </c>
      <c r="Q134" s="171" t="s">
        <v>1960</v>
      </c>
      <c r="R134" s="81" t="s">
        <v>1057</v>
      </c>
      <c r="S134" s="329" t="s">
        <v>136</v>
      </c>
      <c r="T134" s="64"/>
      <c r="U134" s="329" t="s">
        <v>136</v>
      </c>
      <c r="V134" s="68"/>
      <c r="W134" s="68"/>
      <c r="X134" s="68"/>
      <c r="Y134" s="68"/>
      <c r="Z134" s="68"/>
      <c r="AA134" s="68" t="s">
        <v>2876</v>
      </c>
      <c r="AB134" s="68" t="s">
        <v>2876</v>
      </c>
      <c r="AC134" s="68"/>
      <c r="AD134" s="169"/>
      <c r="AE134" s="161"/>
      <c r="AF134" s="385">
        <v>45969.0</v>
      </c>
      <c r="AG134" s="203"/>
      <c r="AH134" s="203"/>
      <c r="AI134" s="203"/>
      <c r="AJ134" s="203"/>
      <c r="AK134" s="203"/>
      <c r="AL134" s="203"/>
      <c r="AM134" s="203"/>
      <c r="AN134" s="203"/>
      <c r="AO134" s="203"/>
      <c r="AP134" s="203"/>
      <c r="AQ134" s="203"/>
      <c r="AR134" s="203"/>
      <c r="AS134" s="203"/>
      <c r="AT134" s="203"/>
    </row>
    <row r="135">
      <c r="A135" s="64"/>
      <c r="B135" s="218"/>
      <c r="C135" s="68"/>
      <c r="D135" s="64"/>
      <c r="E135" s="407" t="s">
        <v>2884</v>
      </c>
      <c r="F135" s="64"/>
      <c r="G135" s="64"/>
      <c r="H135" s="64"/>
      <c r="I135" s="64"/>
      <c r="J135" s="83" t="s">
        <v>114</v>
      </c>
      <c r="K135" s="373"/>
      <c r="L135" s="171" t="s">
        <v>60</v>
      </c>
      <c r="M135" s="68"/>
      <c r="N135" s="83" t="s">
        <v>2885</v>
      </c>
      <c r="O135" s="374"/>
      <c r="P135" s="68">
        <f t="shared" si="3"/>
        <v>126</v>
      </c>
      <c r="Q135" s="73" t="s">
        <v>2889</v>
      </c>
      <c r="R135" s="81"/>
      <c r="S135" s="83" t="s">
        <v>393</v>
      </c>
      <c r="T135" s="83"/>
      <c r="U135" s="83" t="s">
        <v>393</v>
      </c>
      <c r="V135" s="83"/>
      <c r="W135" s="68" t="s">
        <v>146</v>
      </c>
      <c r="X135" s="73"/>
      <c r="Y135" s="83"/>
      <c r="Z135" s="68"/>
      <c r="AA135" s="83" t="s">
        <v>715</v>
      </c>
      <c r="AB135" s="169"/>
      <c r="AC135" s="83" t="s">
        <v>154</v>
      </c>
      <c r="AD135" s="83" t="s">
        <v>2894</v>
      </c>
      <c r="AE135" s="83" t="s">
        <v>1852</v>
      </c>
      <c r="AF135" s="207">
        <v>45991.0</v>
      </c>
      <c r="AG135" s="61"/>
      <c r="AH135" s="61"/>
      <c r="AI135" s="61"/>
      <c r="AJ135" s="61"/>
      <c r="AK135" s="61"/>
      <c r="AL135" s="61"/>
      <c r="AM135" s="61"/>
      <c r="AN135" s="61"/>
      <c r="AO135" s="61"/>
      <c r="AP135" s="61"/>
      <c r="AQ135" s="61"/>
      <c r="AR135" s="61"/>
      <c r="AS135" s="61"/>
      <c r="AT135" s="61"/>
    </row>
    <row r="136">
      <c r="A136" s="64"/>
      <c r="B136" s="218"/>
      <c r="C136" s="68"/>
      <c r="D136" s="64"/>
      <c r="E136" s="407" t="s">
        <v>1893</v>
      </c>
      <c r="F136" s="64"/>
      <c r="G136" s="64"/>
      <c r="H136" s="64"/>
      <c r="I136" s="64"/>
      <c r="J136" s="83" t="s">
        <v>114</v>
      </c>
      <c r="K136" s="378" t="s">
        <v>2900</v>
      </c>
      <c r="L136" s="171" t="s">
        <v>656</v>
      </c>
      <c r="M136" s="83"/>
      <c r="N136" s="68" t="s">
        <v>2903</v>
      </c>
      <c r="O136" s="103"/>
      <c r="P136" s="64"/>
      <c r="Q136" s="73" t="s">
        <v>2905</v>
      </c>
      <c r="R136" s="81"/>
      <c r="S136" s="83" t="s">
        <v>344</v>
      </c>
      <c r="T136" s="83"/>
      <c r="U136" s="83" t="s">
        <v>344</v>
      </c>
      <c r="V136" s="83"/>
      <c r="W136" s="68"/>
      <c r="X136" s="383" t="s">
        <v>991</v>
      </c>
      <c r="Y136" s="83"/>
      <c r="Z136" s="68"/>
      <c r="AA136" s="83" t="s">
        <v>715</v>
      </c>
      <c r="AB136" s="169"/>
      <c r="AC136" s="83"/>
      <c r="AD136" s="83" t="s">
        <v>1425</v>
      </c>
      <c r="AE136" s="83" t="s">
        <v>375</v>
      </c>
      <c r="AF136" s="202">
        <v>46001.0</v>
      </c>
      <c r="AG136" s="61"/>
      <c r="AH136" s="61"/>
      <c r="AI136" s="61"/>
      <c r="AJ136" s="61"/>
      <c r="AK136" s="61"/>
      <c r="AL136" s="61"/>
      <c r="AM136" s="61"/>
      <c r="AN136" s="61"/>
      <c r="AO136" s="61"/>
      <c r="AP136" s="61"/>
      <c r="AQ136" s="61"/>
      <c r="AR136" s="61"/>
      <c r="AS136" s="61"/>
      <c r="AT136" s="61"/>
    </row>
    <row r="137">
      <c r="A137" s="64"/>
      <c r="B137" s="218"/>
      <c r="C137" s="68"/>
      <c r="D137" s="64"/>
      <c r="E137" s="407" t="s">
        <v>2054</v>
      </c>
      <c r="F137" s="64"/>
      <c r="G137" s="64"/>
      <c r="H137" s="64"/>
      <c r="I137" s="64"/>
      <c r="J137" s="83" t="s">
        <v>114</v>
      </c>
      <c r="K137" s="373"/>
      <c r="L137" s="171" t="s">
        <v>60</v>
      </c>
      <c r="M137" s="83"/>
      <c r="N137" s="68" t="s">
        <v>2911</v>
      </c>
      <c r="O137" s="103"/>
      <c r="P137" s="64"/>
      <c r="Q137" s="73" t="s">
        <v>2912</v>
      </c>
      <c r="R137" s="81"/>
      <c r="S137" s="83" t="s">
        <v>368</v>
      </c>
      <c r="T137" s="83"/>
      <c r="U137" s="83" t="s">
        <v>368</v>
      </c>
      <c r="V137" s="83" t="s">
        <v>145</v>
      </c>
      <c r="W137" s="68" t="s">
        <v>183</v>
      </c>
      <c r="X137" s="383" t="s">
        <v>991</v>
      </c>
      <c r="Y137" s="83" t="s">
        <v>185</v>
      </c>
      <c r="Z137" s="68"/>
      <c r="AA137" s="83" t="s">
        <v>715</v>
      </c>
      <c r="AB137" s="169"/>
      <c r="AC137" s="83"/>
      <c r="AD137" s="83" t="s">
        <v>1425</v>
      </c>
      <c r="AE137" s="83" t="s">
        <v>375</v>
      </c>
      <c r="AF137" s="385">
        <v>46003.0</v>
      </c>
      <c r="AG137" s="61"/>
      <c r="AH137" s="61"/>
      <c r="AI137" s="61"/>
      <c r="AJ137" s="61"/>
      <c r="AK137" s="61"/>
      <c r="AL137" s="61"/>
      <c r="AM137" s="61"/>
      <c r="AN137" s="61"/>
      <c r="AO137" s="61"/>
      <c r="AP137" s="61"/>
      <c r="AQ137" s="61"/>
      <c r="AR137" s="61"/>
      <c r="AS137" s="61"/>
      <c r="AT137" s="61"/>
    </row>
    <row r="138">
      <c r="A138" s="64"/>
      <c r="B138" s="218"/>
      <c r="C138" s="68"/>
      <c r="D138" s="64"/>
      <c r="E138" s="407" t="s">
        <v>2130</v>
      </c>
      <c r="F138" s="64"/>
      <c r="G138" s="64"/>
      <c r="H138" s="64"/>
      <c r="I138" s="64"/>
      <c r="J138" s="83" t="s">
        <v>114</v>
      </c>
      <c r="K138" s="373"/>
      <c r="L138" s="171" t="s">
        <v>60</v>
      </c>
      <c r="M138" s="83"/>
      <c r="N138" s="68" t="s">
        <v>2928</v>
      </c>
      <c r="O138" s="103"/>
      <c r="P138" s="64"/>
      <c r="Q138" s="408" t="s">
        <v>2931</v>
      </c>
      <c r="R138" s="81"/>
      <c r="S138" s="83" t="s">
        <v>368</v>
      </c>
      <c r="T138" s="83"/>
      <c r="U138" s="83" t="s">
        <v>368</v>
      </c>
      <c r="V138" s="83" t="s">
        <v>145</v>
      </c>
      <c r="W138" s="68" t="s">
        <v>183</v>
      </c>
      <c r="X138" s="383" t="s">
        <v>991</v>
      </c>
      <c r="Y138" s="83" t="s">
        <v>185</v>
      </c>
      <c r="Z138" s="68"/>
      <c r="AA138" s="83" t="s">
        <v>715</v>
      </c>
      <c r="AB138" s="169"/>
      <c r="AC138" s="83"/>
      <c r="AD138" s="83" t="s">
        <v>1425</v>
      </c>
      <c r="AE138" s="83" t="s">
        <v>375</v>
      </c>
      <c r="AF138" s="385">
        <v>46004.0</v>
      </c>
      <c r="AG138" s="61"/>
      <c r="AH138" s="61"/>
      <c r="AI138" s="61"/>
      <c r="AJ138" s="61"/>
      <c r="AK138" s="61"/>
      <c r="AL138" s="61"/>
      <c r="AM138" s="61"/>
      <c r="AN138" s="61"/>
      <c r="AO138" s="61"/>
      <c r="AP138" s="61"/>
      <c r="AQ138" s="61"/>
      <c r="AR138" s="61"/>
      <c r="AS138" s="61"/>
      <c r="AT138" s="61"/>
    </row>
    <row r="139">
      <c r="A139" s="64"/>
      <c r="B139" s="218"/>
      <c r="C139" s="68"/>
      <c r="D139" s="64"/>
      <c r="E139" s="407" t="s">
        <v>2944</v>
      </c>
      <c r="F139" s="64"/>
      <c r="G139" s="64"/>
      <c r="H139" s="64"/>
      <c r="I139" s="64"/>
      <c r="J139" s="83" t="s">
        <v>114</v>
      </c>
      <c r="K139" s="373"/>
      <c r="L139" s="171" t="s">
        <v>60</v>
      </c>
      <c r="M139" s="83"/>
      <c r="N139" s="68" t="s">
        <v>2949</v>
      </c>
      <c r="O139" s="374"/>
      <c r="P139" s="68">
        <f t="shared" ref="P139:P140" si="4">DATEDIF($O139,TODAY(),"Y")</f>
        <v>126</v>
      </c>
      <c r="Q139" s="170" t="s">
        <v>2955</v>
      </c>
      <c r="R139" s="81"/>
      <c r="S139" s="83" t="s">
        <v>393</v>
      </c>
      <c r="T139" s="83"/>
      <c r="U139" s="83" t="s">
        <v>393</v>
      </c>
      <c r="V139" s="83" t="s">
        <v>145</v>
      </c>
      <c r="W139" s="68" t="s">
        <v>183</v>
      </c>
      <c r="X139" s="383" t="s">
        <v>991</v>
      </c>
      <c r="Y139" s="83" t="s">
        <v>114</v>
      </c>
      <c r="Z139" s="68"/>
      <c r="AA139" s="83" t="s">
        <v>715</v>
      </c>
      <c r="AB139" s="169"/>
      <c r="AC139" s="83" t="s">
        <v>154</v>
      </c>
      <c r="AD139" s="83" t="s">
        <v>2894</v>
      </c>
      <c r="AE139" s="83" t="s">
        <v>375</v>
      </c>
      <c r="AF139" s="385">
        <v>45996.0</v>
      </c>
      <c r="AG139" s="61"/>
      <c r="AH139" s="61"/>
      <c r="AI139" s="61"/>
      <c r="AJ139" s="61"/>
      <c r="AK139" s="61"/>
      <c r="AL139" s="61"/>
      <c r="AM139" s="61"/>
      <c r="AN139" s="61"/>
      <c r="AO139" s="61"/>
      <c r="AP139" s="61"/>
      <c r="AQ139" s="61"/>
      <c r="AR139" s="61"/>
      <c r="AS139" s="61"/>
      <c r="AT139" s="61"/>
    </row>
    <row r="140">
      <c r="A140" s="64"/>
      <c r="B140" s="218"/>
      <c r="C140" s="68"/>
      <c r="D140" s="64"/>
      <c r="E140" s="407" t="s">
        <v>2969</v>
      </c>
      <c r="F140" s="64"/>
      <c r="G140" s="64"/>
      <c r="H140" s="64"/>
      <c r="I140" s="64"/>
      <c r="J140" s="83" t="s">
        <v>114</v>
      </c>
      <c r="K140" s="373"/>
      <c r="L140" s="171" t="s">
        <v>656</v>
      </c>
      <c r="M140" s="68"/>
      <c r="N140" s="68" t="s">
        <v>2973</v>
      </c>
      <c r="O140" s="374"/>
      <c r="P140" s="68">
        <f t="shared" si="4"/>
        <v>126</v>
      </c>
      <c r="Q140" s="73" t="s">
        <v>1624</v>
      </c>
      <c r="R140" s="81"/>
      <c r="S140" s="83" t="s">
        <v>393</v>
      </c>
      <c r="T140" s="83"/>
      <c r="U140" s="83" t="s">
        <v>393</v>
      </c>
      <c r="V140" s="83"/>
      <c r="W140" s="68" t="s">
        <v>146</v>
      </c>
      <c r="X140" s="73"/>
      <c r="Y140" s="83"/>
      <c r="Z140" s="68"/>
      <c r="AA140" s="83" t="s">
        <v>715</v>
      </c>
      <c r="AB140" s="169"/>
      <c r="AC140" s="83" t="s">
        <v>672</v>
      </c>
      <c r="AD140" s="83" t="s">
        <v>2894</v>
      </c>
      <c r="AE140" s="83" t="s">
        <v>375</v>
      </c>
      <c r="AF140" s="83" t="s">
        <v>2983</v>
      </c>
      <c r="AG140" s="61"/>
      <c r="AH140" s="61"/>
      <c r="AI140" s="61"/>
      <c r="AJ140" s="61"/>
      <c r="AK140" s="61"/>
      <c r="AL140" s="61"/>
      <c r="AM140" s="61"/>
      <c r="AN140" s="61"/>
      <c r="AO140" s="61"/>
      <c r="AP140" s="61"/>
      <c r="AQ140" s="61"/>
      <c r="AR140" s="61"/>
      <c r="AS140" s="61"/>
      <c r="AT140" s="61"/>
    </row>
    <row r="141">
      <c r="A141" s="64"/>
      <c r="B141" s="218"/>
      <c r="C141" s="68"/>
      <c r="D141" s="64"/>
      <c r="E141" s="407" t="s">
        <v>2944</v>
      </c>
      <c r="F141" s="64"/>
      <c r="G141" s="64"/>
      <c r="H141" s="64"/>
      <c r="I141" s="64"/>
      <c r="J141" s="83" t="s">
        <v>114</v>
      </c>
      <c r="K141" s="239"/>
      <c r="L141" s="170" t="s">
        <v>60</v>
      </c>
      <c r="M141" s="83"/>
      <c r="N141" s="68" t="s">
        <v>2988</v>
      </c>
      <c r="O141" s="103"/>
      <c r="P141" s="64"/>
      <c r="Q141" s="408" t="s">
        <v>99</v>
      </c>
      <c r="R141" s="81"/>
      <c r="S141" s="83" t="s">
        <v>368</v>
      </c>
      <c r="T141" s="83"/>
      <c r="U141" s="83" t="s">
        <v>368</v>
      </c>
      <c r="V141" s="83" t="s">
        <v>145</v>
      </c>
      <c r="W141" s="68" t="s">
        <v>183</v>
      </c>
      <c r="X141" s="383" t="s">
        <v>991</v>
      </c>
      <c r="Y141" s="83" t="s">
        <v>185</v>
      </c>
      <c r="Z141" s="68"/>
      <c r="AA141" s="83" t="s">
        <v>715</v>
      </c>
      <c r="AB141" s="169"/>
      <c r="AC141" s="83"/>
      <c r="AD141" s="83" t="s">
        <v>1425</v>
      </c>
      <c r="AE141" s="83" t="s">
        <v>375</v>
      </c>
      <c r="AF141" s="385">
        <v>46004.0</v>
      </c>
      <c r="AG141" s="61"/>
      <c r="AH141" s="61"/>
      <c r="AI141" s="61"/>
      <c r="AJ141" s="61"/>
      <c r="AK141" s="61"/>
      <c r="AL141" s="61"/>
      <c r="AM141" s="61"/>
      <c r="AN141" s="61"/>
      <c r="AO141" s="61"/>
      <c r="AP141" s="61"/>
      <c r="AQ141" s="61"/>
      <c r="AR141" s="61"/>
      <c r="AS141" s="61"/>
      <c r="AT141" s="61"/>
    </row>
    <row r="142">
      <c r="A142" s="64"/>
      <c r="B142" s="346"/>
      <c r="C142" s="202">
        <v>46019.0</v>
      </c>
      <c r="D142" s="64"/>
      <c r="E142" s="68"/>
      <c r="F142" s="64"/>
      <c r="G142" s="64"/>
      <c r="H142" s="64"/>
      <c r="I142" s="64"/>
      <c r="J142" s="83"/>
      <c r="K142" s="239"/>
      <c r="L142" s="170" t="s">
        <v>36</v>
      </c>
      <c r="M142" s="83"/>
      <c r="N142" s="83" t="s">
        <v>3000</v>
      </c>
      <c r="O142" s="64"/>
      <c r="P142" s="64"/>
      <c r="Q142" s="83" t="s">
        <v>3001</v>
      </c>
      <c r="R142" s="81"/>
      <c r="S142" s="83" t="s">
        <v>261</v>
      </c>
      <c r="T142" s="83" t="s">
        <v>350</v>
      </c>
      <c r="U142" s="83" t="s">
        <v>261</v>
      </c>
      <c r="V142" s="83" t="s">
        <v>182</v>
      </c>
      <c r="W142" s="68" t="s">
        <v>183</v>
      </c>
      <c r="X142" s="357" t="s">
        <v>418</v>
      </c>
      <c r="Y142" s="83" t="s">
        <v>185</v>
      </c>
      <c r="Z142" s="68"/>
      <c r="AA142" s="68"/>
      <c r="AB142" s="169"/>
      <c r="AC142" s="83" t="s">
        <v>259</v>
      </c>
      <c r="AD142" s="83" t="s">
        <v>3010</v>
      </c>
      <c r="AE142" s="83"/>
      <c r="AF142" s="68"/>
      <c r="AG142" s="61"/>
      <c r="AH142" s="61"/>
      <c r="AI142" s="61"/>
      <c r="AJ142" s="61"/>
      <c r="AK142" s="61"/>
      <c r="AL142" s="61"/>
      <c r="AM142" s="61"/>
      <c r="AN142" s="61"/>
      <c r="AO142" s="61"/>
      <c r="AP142" s="61"/>
      <c r="AQ142" s="61"/>
      <c r="AR142" s="61"/>
      <c r="AS142" s="61"/>
      <c r="AT142" s="61"/>
    </row>
    <row r="143">
      <c r="A143" s="64">
        <v>487.0</v>
      </c>
      <c r="B143" s="163" t="s">
        <v>3014</v>
      </c>
      <c r="C143" s="64" t="s">
        <v>3015</v>
      </c>
      <c r="D143" s="64" t="s">
        <v>121</v>
      </c>
      <c r="E143" s="171" t="s">
        <v>331</v>
      </c>
      <c r="F143" s="254" t="s">
        <v>3016</v>
      </c>
      <c r="G143" s="68" t="s">
        <v>60</v>
      </c>
      <c r="H143" s="171" t="s">
        <v>1221</v>
      </c>
      <c r="I143" s="64" t="s">
        <v>1443</v>
      </c>
      <c r="J143" s="73" t="s">
        <v>114</v>
      </c>
      <c r="K143" s="373"/>
      <c r="L143" s="171" t="s">
        <v>60</v>
      </c>
      <c r="M143" s="387"/>
      <c r="N143" s="387" t="s">
        <v>3020</v>
      </c>
      <c r="O143" s="103">
        <v>28648.0</v>
      </c>
      <c r="P143" s="64">
        <f>DATEDIF($O143,TODAY(),"Y")</f>
        <v>48</v>
      </c>
      <c r="Q143" s="171" t="s">
        <v>3024</v>
      </c>
      <c r="R143" s="81"/>
      <c r="S143" s="329" t="s">
        <v>136</v>
      </c>
      <c r="T143" s="64"/>
      <c r="U143" s="329" t="s">
        <v>136</v>
      </c>
      <c r="V143" s="68"/>
      <c r="W143" s="64"/>
      <c r="X143" s="64"/>
      <c r="Y143" s="64"/>
      <c r="Z143" s="68"/>
      <c r="AA143" s="83" t="s">
        <v>1923</v>
      </c>
      <c r="AB143" s="169"/>
      <c r="AC143" s="64"/>
      <c r="AD143" s="75"/>
      <c r="AE143" s="161"/>
      <c r="AF143" s="202">
        <v>45968.0</v>
      </c>
      <c r="AG143" s="203"/>
      <c r="AH143" s="203"/>
      <c r="AI143" s="203"/>
      <c r="AJ143" s="203"/>
      <c r="AK143" s="203"/>
      <c r="AL143" s="203"/>
      <c r="AM143" s="203"/>
      <c r="AN143" s="203"/>
      <c r="AO143" s="203"/>
      <c r="AP143" s="203"/>
      <c r="AQ143" s="203"/>
      <c r="AR143" s="203"/>
      <c r="AS143" s="203"/>
      <c r="AT143" s="203"/>
    </row>
    <row r="144">
      <c r="A144" s="64">
        <v>509.0</v>
      </c>
      <c r="B144" s="163" t="s">
        <v>1728</v>
      </c>
      <c r="C144" s="64" t="s">
        <v>3031</v>
      </c>
      <c r="D144" s="64" t="s">
        <v>121</v>
      </c>
      <c r="E144" s="171" t="s">
        <v>331</v>
      </c>
      <c r="F144" s="254" t="s">
        <v>1731</v>
      </c>
      <c r="G144" s="68" t="s">
        <v>60</v>
      </c>
      <c r="H144" s="171" t="s">
        <v>1221</v>
      </c>
      <c r="I144" s="64" t="s">
        <v>1443</v>
      </c>
      <c r="J144" s="73" t="s">
        <v>114</v>
      </c>
      <c r="K144" s="412" t="s">
        <v>3037</v>
      </c>
      <c r="L144" s="64" t="s">
        <v>60</v>
      </c>
      <c r="M144" s="74"/>
      <c r="N144" s="74" t="s">
        <v>3038</v>
      </c>
      <c r="O144" s="413"/>
      <c r="P144" s="64"/>
      <c r="Q144" s="73" t="s">
        <v>2478</v>
      </c>
      <c r="R144" s="81"/>
      <c r="S144" s="329" t="s">
        <v>136</v>
      </c>
      <c r="T144" s="68"/>
      <c r="U144" s="329" t="s">
        <v>136</v>
      </c>
      <c r="V144" s="68"/>
      <c r="W144" s="68"/>
      <c r="X144" s="68"/>
      <c r="Y144" s="68"/>
      <c r="Z144" s="68"/>
      <c r="AA144" s="68" t="s">
        <v>1032</v>
      </c>
      <c r="AB144" s="68" t="s">
        <v>1032</v>
      </c>
      <c r="AC144" s="68"/>
      <c r="AD144" s="81"/>
      <c r="AE144" s="161"/>
      <c r="AF144" s="202">
        <v>45973.0</v>
      </c>
      <c r="AG144" s="203"/>
      <c r="AH144" s="203"/>
      <c r="AI144" s="203"/>
      <c r="AJ144" s="203"/>
      <c r="AK144" s="203"/>
      <c r="AL144" s="203"/>
      <c r="AM144" s="203"/>
      <c r="AN144" s="203"/>
      <c r="AO144" s="203"/>
      <c r="AP144" s="203"/>
      <c r="AQ144" s="203"/>
      <c r="AR144" s="203"/>
      <c r="AS144" s="203"/>
      <c r="AT144" s="203"/>
    </row>
    <row r="145">
      <c r="A145" s="64"/>
      <c r="B145" s="231"/>
      <c r="C145" s="81">
        <v>46005.0</v>
      </c>
      <c r="D145" s="64"/>
      <c r="E145" s="68"/>
      <c r="F145" s="64"/>
      <c r="G145" s="64"/>
      <c r="H145" s="64"/>
      <c r="I145" s="64"/>
      <c r="J145" s="83" t="s">
        <v>114</v>
      </c>
      <c r="K145" s="239"/>
      <c r="L145" s="170" t="s">
        <v>60</v>
      </c>
      <c r="M145" s="83"/>
      <c r="N145" s="414" t="s">
        <v>3053</v>
      </c>
      <c r="O145" s="64"/>
      <c r="P145" s="64"/>
      <c r="Q145" s="83" t="s">
        <v>2844</v>
      </c>
      <c r="R145" s="81"/>
      <c r="S145" s="83" t="s">
        <v>136</v>
      </c>
      <c r="T145" s="83"/>
      <c r="U145" s="83" t="s">
        <v>136</v>
      </c>
      <c r="V145" s="83" t="s">
        <v>186</v>
      </c>
      <c r="W145" s="68" t="s">
        <v>1174</v>
      </c>
      <c r="X145" s="357" t="s">
        <v>418</v>
      </c>
      <c r="Y145" s="83"/>
      <c r="Z145" s="68"/>
      <c r="AA145" s="68"/>
      <c r="AB145" s="169"/>
      <c r="AC145" s="83"/>
      <c r="AD145" s="83"/>
      <c r="AE145" s="83"/>
      <c r="AF145" s="83" t="s">
        <v>3066</v>
      </c>
      <c r="AG145" s="61"/>
      <c r="AH145" s="61"/>
      <c r="AI145" s="61"/>
      <c r="AJ145" s="61"/>
      <c r="AK145" s="61"/>
      <c r="AL145" s="61"/>
      <c r="AM145" s="61"/>
      <c r="AN145" s="61"/>
      <c r="AO145" s="61"/>
      <c r="AP145" s="61"/>
      <c r="AQ145" s="61"/>
      <c r="AR145" s="61"/>
      <c r="AS145" s="61"/>
      <c r="AT145" s="61"/>
    </row>
    <row r="146">
      <c r="A146" s="64"/>
      <c r="B146" s="231"/>
      <c r="C146" s="81">
        <v>46005.0</v>
      </c>
      <c r="D146" s="64"/>
      <c r="E146" s="68"/>
      <c r="F146" s="64"/>
      <c r="G146" s="64"/>
      <c r="H146" s="64"/>
      <c r="I146" s="64"/>
      <c r="J146" s="83" t="s">
        <v>114</v>
      </c>
      <c r="K146" s="239"/>
      <c r="L146" s="170" t="s">
        <v>60</v>
      </c>
      <c r="M146" s="83"/>
      <c r="N146" s="414" t="s">
        <v>3071</v>
      </c>
      <c r="O146" s="64"/>
      <c r="P146" s="64"/>
      <c r="Q146" s="83" t="s">
        <v>3080</v>
      </c>
      <c r="R146" s="81"/>
      <c r="S146" s="83" t="s">
        <v>136</v>
      </c>
      <c r="T146" s="83"/>
      <c r="U146" s="83" t="s">
        <v>136</v>
      </c>
      <c r="V146" s="83" t="s">
        <v>186</v>
      </c>
      <c r="W146" s="68" t="s">
        <v>1174</v>
      </c>
      <c r="X146" s="357" t="s">
        <v>418</v>
      </c>
      <c r="Y146" s="83"/>
      <c r="Z146" s="68"/>
      <c r="AA146" s="68"/>
      <c r="AB146" s="169"/>
      <c r="AC146" s="83"/>
      <c r="AD146" s="83"/>
      <c r="AE146" s="83"/>
      <c r="AF146" s="83" t="s">
        <v>3066</v>
      </c>
      <c r="AG146" s="61"/>
      <c r="AH146" s="61"/>
      <c r="AI146" s="61"/>
      <c r="AJ146" s="61"/>
      <c r="AK146" s="61"/>
      <c r="AL146" s="61"/>
      <c r="AM146" s="61"/>
      <c r="AN146" s="61"/>
      <c r="AO146" s="61"/>
      <c r="AP146" s="61"/>
      <c r="AQ146" s="61"/>
      <c r="AR146" s="61"/>
      <c r="AS146" s="61"/>
      <c r="AT146" s="61"/>
    </row>
    <row r="147">
      <c r="A147" s="64"/>
      <c r="B147" s="196"/>
      <c r="C147" s="68"/>
      <c r="D147" s="64"/>
      <c r="E147" s="207">
        <v>45978.0</v>
      </c>
      <c r="F147" s="64"/>
      <c r="G147" s="64"/>
      <c r="H147" s="64"/>
      <c r="I147" s="64"/>
      <c r="J147" s="83" t="s">
        <v>114</v>
      </c>
      <c r="K147" s="239"/>
      <c r="L147" s="170" t="s">
        <v>60</v>
      </c>
      <c r="M147" s="416"/>
      <c r="N147" s="416" t="s">
        <v>3092</v>
      </c>
      <c r="O147" s="75"/>
      <c r="P147" s="64"/>
      <c r="Q147" s="170" t="s">
        <v>3093</v>
      </c>
      <c r="R147" s="81"/>
      <c r="S147" s="83" t="s">
        <v>543</v>
      </c>
      <c r="T147" s="64" t="s">
        <v>350</v>
      </c>
      <c r="U147" s="83" t="s">
        <v>543</v>
      </c>
      <c r="V147" s="83" t="s">
        <v>186</v>
      </c>
      <c r="W147" s="68" t="s">
        <v>183</v>
      </c>
      <c r="X147" s="170" t="s">
        <v>2482</v>
      </c>
      <c r="Y147" s="68"/>
      <c r="Z147" s="68"/>
      <c r="AA147" s="68"/>
      <c r="AB147" s="169"/>
      <c r="AC147" s="83" t="s">
        <v>759</v>
      </c>
      <c r="AD147" s="207">
        <v>45980.0</v>
      </c>
      <c r="AE147" s="417" t="s">
        <v>3100</v>
      </c>
      <c r="AF147" s="161"/>
      <c r="AG147" s="61"/>
      <c r="AH147" s="61"/>
      <c r="AI147" s="61"/>
      <c r="AJ147" s="61"/>
      <c r="AK147" s="61"/>
      <c r="AL147" s="61"/>
      <c r="AM147" s="61"/>
      <c r="AN147" s="61"/>
      <c r="AO147" s="61"/>
      <c r="AP147" s="61"/>
      <c r="AQ147" s="61"/>
      <c r="AR147" s="61"/>
      <c r="AS147" s="61"/>
      <c r="AT147" s="61"/>
    </row>
    <row r="148">
      <c r="A148" s="64">
        <v>91.0</v>
      </c>
      <c r="B148" s="163" t="s">
        <v>1039</v>
      </c>
      <c r="C148" s="64" t="s">
        <v>1517</v>
      </c>
      <c r="D148" s="64" t="s">
        <v>1519</v>
      </c>
      <c r="E148" s="271" t="s">
        <v>213</v>
      </c>
      <c r="F148" s="254" t="s">
        <v>1523</v>
      </c>
      <c r="G148" s="68" t="s">
        <v>60</v>
      </c>
      <c r="H148" s="171" t="s">
        <v>1221</v>
      </c>
      <c r="I148" s="171" t="s">
        <v>1221</v>
      </c>
      <c r="J148" s="83" t="s">
        <v>114</v>
      </c>
      <c r="K148" s="378" t="s">
        <v>3107</v>
      </c>
      <c r="L148" s="171" t="s">
        <v>60</v>
      </c>
      <c r="M148" s="83"/>
      <c r="N148" s="68" t="s">
        <v>3109</v>
      </c>
      <c r="O148" s="418"/>
      <c r="P148" s="68">
        <f t="shared" ref="P148:P160" si="5">DATEDIF($O148,TODAY(),"Y")</f>
        <v>126</v>
      </c>
      <c r="Q148" s="73" t="s">
        <v>3115</v>
      </c>
      <c r="R148" s="81"/>
      <c r="S148" s="174" t="s">
        <v>379</v>
      </c>
      <c r="T148" s="83"/>
      <c r="U148" s="174" t="s">
        <v>379</v>
      </c>
      <c r="V148" s="83"/>
      <c r="W148" s="68" t="s">
        <v>183</v>
      </c>
      <c r="X148" s="419" t="s">
        <v>1725</v>
      </c>
      <c r="Y148" s="83" t="s">
        <v>1178</v>
      </c>
      <c r="Z148" s="68"/>
      <c r="AA148" s="83" t="s">
        <v>3127</v>
      </c>
      <c r="AB148" s="169"/>
      <c r="AC148" s="83" t="s">
        <v>291</v>
      </c>
      <c r="AD148" s="68"/>
      <c r="AE148" s="68"/>
      <c r="AF148" s="161"/>
      <c r="AG148" s="203"/>
      <c r="AH148" s="203"/>
      <c r="AI148" s="203"/>
      <c r="AJ148" s="203"/>
      <c r="AK148" s="203"/>
      <c r="AL148" s="203"/>
      <c r="AM148" s="203"/>
      <c r="AN148" s="203"/>
      <c r="AO148" s="203"/>
      <c r="AP148" s="203"/>
      <c r="AQ148" s="203"/>
      <c r="AR148" s="203"/>
      <c r="AS148" s="203"/>
      <c r="AT148" s="203"/>
    </row>
    <row r="149">
      <c r="A149" s="64">
        <v>100.0</v>
      </c>
      <c r="B149" s="163" t="s">
        <v>1039</v>
      </c>
      <c r="C149" s="64" t="s">
        <v>1611</v>
      </c>
      <c r="D149" s="64" t="s">
        <v>1368</v>
      </c>
      <c r="E149" s="266" t="s">
        <v>212</v>
      </c>
      <c r="F149" s="254" t="s">
        <v>2203</v>
      </c>
      <c r="G149" s="68" t="s">
        <v>326</v>
      </c>
      <c r="H149" s="171" t="s">
        <v>1221</v>
      </c>
      <c r="I149" s="64" t="s">
        <v>1443</v>
      </c>
      <c r="J149" s="83" t="s">
        <v>114</v>
      </c>
      <c r="K149" s="373"/>
      <c r="L149" s="171" t="s">
        <v>60</v>
      </c>
      <c r="M149" s="83"/>
      <c r="N149" s="68" t="s">
        <v>3139</v>
      </c>
      <c r="O149" s="420">
        <v>31171.0</v>
      </c>
      <c r="P149" s="64">
        <f t="shared" si="5"/>
        <v>41</v>
      </c>
      <c r="Q149" s="73" t="s">
        <v>3146</v>
      </c>
      <c r="R149" s="81"/>
      <c r="S149" s="174" t="s">
        <v>379</v>
      </c>
      <c r="T149" s="83"/>
      <c r="U149" s="174" t="s">
        <v>379</v>
      </c>
      <c r="V149" s="83"/>
      <c r="W149" s="68" t="s">
        <v>1174</v>
      </c>
      <c r="X149" s="419" t="s">
        <v>1725</v>
      </c>
      <c r="Y149" s="68"/>
      <c r="Z149" s="68"/>
      <c r="AA149" s="83" t="s">
        <v>3127</v>
      </c>
      <c r="AB149" s="169"/>
      <c r="AC149" s="83" t="s">
        <v>291</v>
      </c>
      <c r="AD149" s="68"/>
      <c r="AE149" s="81"/>
      <c r="AF149" s="68"/>
      <c r="AG149" s="203"/>
      <c r="AH149" s="203"/>
      <c r="AI149" s="203"/>
      <c r="AJ149" s="203"/>
      <c r="AK149" s="203"/>
      <c r="AL149" s="203"/>
      <c r="AM149" s="203"/>
      <c r="AN149" s="203"/>
      <c r="AO149" s="203"/>
      <c r="AP149" s="203"/>
      <c r="AQ149" s="203"/>
      <c r="AR149" s="203"/>
      <c r="AS149" s="203"/>
      <c r="AT149" s="203"/>
    </row>
    <row r="150">
      <c r="A150" s="64">
        <v>124.0</v>
      </c>
      <c r="B150" s="163" t="s">
        <v>1039</v>
      </c>
      <c r="C150" s="64" t="s">
        <v>1611</v>
      </c>
      <c r="D150" s="64" t="s">
        <v>1519</v>
      </c>
      <c r="E150" s="171" t="s">
        <v>58</v>
      </c>
      <c r="F150" s="254" t="s">
        <v>1496</v>
      </c>
      <c r="G150" s="68" t="s">
        <v>60</v>
      </c>
      <c r="H150" s="171" t="s">
        <v>1221</v>
      </c>
      <c r="I150" s="171" t="s">
        <v>1221</v>
      </c>
      <c r="J150" s="83" t="s">
        <v>114</v>
      </c>
      <c r="K150" s="378" t="s">
        <v>3160</v>
      </c>
      <c r="L150" s="73" t="s">
        <v>60</v>
      </c>
      <c r="M150" s="83"/>
      <c r="N150" s="68" t="s">
        <v>3162</v>
      </c>
      <c r="O150" s="420">
        <v>34193.0</v>
      </c>
      <c r="P150" s="64">
        <f t="shared" si="5"/>
        <v>33</v>
      </c>
      <c r="Q150" s="68" t="s">
        <v>3165</v>
      </c>
      <c r="R150" s="81"/>
      <c r="S150" s="174" t="s">
        <v>379</v>
      </c>
      <c r="T150" s="83"/>
      <c r="U150" s="174" t="s">
        <v>379</v>
      </c>
      <c r="V150" s="83"/>
      <c r="W150" s="68" t="s">
        <v>183</v>
      </c>
      <c r="X150" s="419" t="s">
        <v>1725</v>
      </c>
      <c r="Y150" s="68"/>
      <c r="Z150" s="68"/>
      <c r="AA150" s="83" t="s">
        <v>3127</v>
      </c>
      <c r="AB150" s="169"/>
      <c r="AC150" s="83" t="s">
        <v>291</v>
      </c>
      <c r="AD150" s="68"/>
      <c r="AE150" s="81"/>
      <c r="AF150" s="68"/>
      <c r="AG150" s="203"/>
      <c r="AH150" s="203"/>
      <c r="AI150" s="203"/>
      <c r="AJ150" s="203"/>
      <c r="AK150" s="203"/>
      <c r="AL150" s="203"/>
      <c r="AM150" s="203"/>
      <c r="AN150" s="203"/>
      <c r="AO150" s="203"/>
      <c r="AP150" s="203"/>
      <c r="AQ150" s="203"/>
      <c r="AR150" s="203"/>
      <c r="AS150" s="203"/>
      <c r="AT150" s="203"/>
    </row>
    <row r="151">
      <c r="A151" s="64">
        <v>132.0</v>
      </c>
      <c r="B151" s="283" t="s">
        <v>1039</v>
      </c>
      <c r="C151" s="284" t="s">
        <v>1728</v>
      </c>
      <c r="D151" s="284" t="s">
        <v>121</v>
      </c>
      <c r="E151" s="422" t="s">
        <v>287</v>
      </c>
      <c r="F151" s="254" t="s">
        <v>2853</v>
      </c>
      <c r="G151" s="68" t="s">
        <v>60</v>
      </c>
      <c r="H151" s="171" t="s">
        <v>1221</v>
      </c>
      <c r="I151" s="64" t="s">
        <v>1443</v>
      </c>
      <c r="J151" s="83" t="s">
        <v>114</v>
      </c>
      <c r="K151" s="378" t="s">
        <v>3178</v>
      </c>
      <c r="L151" s="73" t="s">
        <v>60</v>
      </c>
      <c r="M151" s="68"/>
      <c r="N151" s="68" t="s">
        <v>3179</v>
      </c>
      <c r="O151" s="420">
        <v>29247.0</v>
      </c>
      <c r="P151" s="64">
        <f t="shared" si="5"/>
        <v>46</v>
      </c>
      <c r="Q151" s="174" t="s">
        <v>2496</v>
      </c>
      <c r="R151" s="81"/>
      <c r="S151" s="174" t="s">
        <v>379</v>
      </c>
      <c r="T151" s="83"/>
      <c r="U151" s="174" t="s">
        <v>379</v>
      </c>
      <c r="V151" s="83"/>
      <c r="W151" s="68" t="s">
        <v>1174</v>
      </c>
      <c r="X151" s="419" t="s">
        <v>1725</v>
      </c>
      <c r="Y151" s="68"/>
      <c r="Z151" s="68"/>
      <c r="AA151" s="83" t="s">
        <v>3127</v>
      </c>
      <c r="AB151" s="169"/>
      <c r="AC151" s="83" t="s">
        <v>291</v>
      </c>
      <c r="AD151" s="81"/>
      <c r="AE151" s="81"/>
      <c r="AF151" s="207"/>
      <c r="AG151" s="203"/>
      <c r="AH151" s="203"/>
      <c r="AI151" s="203"/>
      <c r="AJ151" s="203"/>
      <c r="AK151" s="203"/>
      <c r="AL151" s="203"/>
      <c r="AM151" s="203"/>
      <c r="AN151" s="203"/>
      <c r="AO151" s="203"/>
      <c r="AP151" s="203"/>
      <c r="AQ151" s="203"/>
      <c r="AR151" s="203"/>
      <c r="AS151" s="203"/>
      <c r="AT151" s="203"/>
    </row>
    <row r="152">
      <c r="A152" s="64">
        <v>154.0</v>
      </c>
      <c r="B152" s="163" t="s">
        <v>1645</v>
      </c>
      <c r="C152" s="64" t="s">
        <v>1269</v>
      </c>
      <c r="D152" s="163" t="s">
        <v>1368</v>
      </c>
      <c r="E152" s="423" t="s">
        <v>187</v>
      </c>
      <c r="F152" s="254" t="s">
        <v>1469</v>
      </c>
      <c r="G152" s="68" t="s">
        <v>60</v>
      </c>
      <c r="H152" s="171" t="s">
        <v>1221</v>
      </c>
      <c r="I152" s="64" t="s">
        <v>1443</v>
      </c>
      <c r="J152" s="83" t="s">
        <v>114</v>
      </c>
      <c r="K152" s="424"/>
      <c r="L152" s="73" t="s">
        <v>60</v>
      </c>
      <c r="M152" s="83"/>
      <c r="N152" s="68" t="s">
        <v>2408</v>
      </c>
      <c r="O152" s="420">
        <v>29236.0</v>
      </c>
      <c r="P152" s="64">
        <f t="shared" si="5"/>
        <v>46</v>
      </c>
      <c r="Q152" s="68" t="s">
        <v>526</v>
      </c>
      <c r="R152" s="81"/>
      <c r="S152" s="174" t="s">
        <v>379</v>
      </c>
      <c r="T152" s="83"/>
      <c r="U152" s="174" t="s">
        <v>379</v>
      </c>
      <c r="V152" s="83"/>
      <c r="W152" s="68" t="s">
        <v>1174</v>
      </c>
      <c r="X152" s="419" t="s">
        <v>1725</v>
      </c>
      <c r="Y152" s="68"/>
      <c r="Z152" s="68"/>
      <c r="AA152" s="83" t="s">
        <v>3127</v>
      </c>
      <c r="AB152" s="169"/>
      <c r="AC152" s="83" t="s">
        <v>291</v>
      </c>
      <c r="AD152" s="68"/>
      <c r="AE152" s="95"/>
      <c r="AF152" s="161"/>
      <c r="AG152" s="203"/>
      <c r="AH152" s="203"/>
      <c r="AI152" s="203"/>
      <c r="AJ152" s="203"/>
      <c r="AK152" s="203"/>
      <c r="AL152" s="203"/>
      <c r="AM152" s="203"/>
      <c r="AN152" s="203"/>
      <c r="AO152" s="203"/>
      <c r="AP152" s="203"/>
      <c r="AQ152" s="203"/>
      <c r="AR152" s="203"/>
      <c r="AS152" s="203"/>
      <c r="AT152" s="203"/>
    </row>
    <row r="153">
      <c r="A153" s="64">
        <v>161.0</v>
      </c>
      <c r="B153" s="283" t="s">
        <v>1645</v>
      </c>
      <c r="C153" s="284" t="s">
        <v>1269</v>
      </c>
      <c r="D153" s="283" t="s">
        <v>1494</v>
      </c>
      <c r="E153" s="425" t="s">
        <v>302</v>
      </c>
      <c r="F153" s="254" t="s">
        <v>1404</v>
      </c>
      <c r="G153" s="68" t="s">
        <v>326</v>
      </c>
      <c r="H153" s="171" t="s">
        <v>1221</v>
      </c>
      <c r="I153" s="64" t="s">
        <v>1443</v>
      </c>
      <c r="J153" s="83" t="s">
        <v>114</v>
      </c>
      <c r="K153" s="424"/>
      <c r="L153" s="73" t="s">
        <v>60</v>
      </c>
      <c r="M153" s="83"/>
      <c r="N153" s="68" t="s">
        <v>3209</v>
      </c>
      <c r="O153" s="420">
        <v>35235.0</v>
      </c>
      <c r="P153" s="64">
        <f t="shared" si="5"/>
        <v>30</v>
      </c>
      <c r="Q153" s="68" t="s">
        <v>3212</v>
      </c>
      <c r="R153" s="81"/>
      <c r="S153" s="174" t="s">
        <v>379</v>
      </c>
      <c r="T153" s="83"/>
      <c r="U153" s="174" t="s">
        <v>379</v>
      </c>
      <c r="V153" s="83"/>
      <c r="W153" s="68" t="s">
        <v>1174</v>
      </c>
      <c r="X153" s="419" t="s">
        <v>1725</v>
      </c>
      <c r="Y153" s="68"/>
      <c r="Z153" s="68"/>
      <c r="AA153" s="83" t="s">
        <v>3127</v>
      </c>
      <c r="AB153" s="169"/>
      <c r="AC153" s="83" t="s">
        <v>291</v>
      </c>
      <c r="AD153" s="68"/>
      <c r="AE153" s="95"/>
      <c r="AF153" s="81"/>
      <c r="AG153" s="203"/>
      <c r="AH153" s="203"/>
      <c r="AI153" s="203"/>
      <c r="AJ153" s="203"/>
      <c r="AK153" s="203"/>
      <c r="AL153" s="203"/>
      <c r="AM153" s="203"/>
      <c r="AN153" s="203"/>
      <c r="AO153" s="203"/>
      <c r="AP153" s="203"/>
      <c r="AQ153" s="203"/>
      <c r="AR153" s="203"/>
      <c r="AS153" s="203"/>
      <c r="AT153" s="203"/>
    </row>
    <row r="154">
      <c r="A154" s="64">
        <v>186.0</v>
      </c>
      <c r="B154" s="283" t="s">
        <v>1645</v>
      </c>
      <c r="C154" s="284" t="s">
        <v>1517</v>
      </c>
      <c r="D154" s="283" t="s">
        <v>1368</v>
      </c>
      <c r="E154" s="271" t="s">
        <v>321</v>
      </c>
      <c r="F154" s="254" t="s">
        <v>1552</v>
      </c>
      <c r="G154" s="68" t="s">
        <v>60</v>
      </c>
      <c r="H154" s="171" t="s">
        <v>1221</v>
      </c>
      <c r="I154" s="171" t="s">
        <v>1221</v>
      </c>
      <c r="J154" s="83" t="s">
        <v>114</v>
      </c>
      <c r="K154" s="239"/>
      <c r="L154" s="170" t="s">
        <v>60</v>
      </c>
      <c r="M154" s="83"/>
      <c r="N154" s="68" t="s">
        <v>3219</v>
      </c>
      <c r="O154" s="418"/>
      <c r="P154" s="68">
        <f t="shared" si="5"/>
        <v>126</v>
      </c>
      <c r="Q154" s="170" t="s">
        <v>3221</v>
      </c>
      <c r="R154" s="81"/>
      <c r="S154" s="174" t="s">
        <v>379</v>
      </c>
      <c r="T154" s="83"/>
      <c r="U154" s="174" t="s">
        <v>379</v>
      </c>
      <c r="V154" s="83"/>
      <c r="W154" s="68" t="s">
        <v>183</v>
      </c>
      <c r="X154" s="419" t="s">
        <v>1725</v>
      </c>
      <c r="Y154" s="83"/>
      <c r="Z154" s="68"/>
      <c r="AA154" s="83" t="s">
        <v>3127</v>
      </c>
      <c r="AB154" s="169"/>
      <c r="AC154" s="83" t="s">
        <v>291</v>
      </c>
      <c r="AD154" s="68"/>
      <c r="AE154" s="68"/>
      <c r="AF154" s="75"/>
      <c r="AG154" s="203"/>
      <c r="AH154" s="203"/>
      <c r="AI154" s="203"/>
      <c r="AJ154" s="203"/>
      <c r="AK154" s="203"/>
      <c r="AL154" s="203"/>
      <c r="AM154" s="203"/>
      <c r="AN154" s="203"/>
      <c r="AO154" s="203"/>
      <c r="AP154" s="203"/>
      <c r="AQ154" s="203"/>
      <c r="AR154" s="203"/>
      <c r="AS154" s="203"/>
      <c r="AT154" s="203"/>
    </row>
    <row r="155">
      <c r="A155" s="64">
        <v>206.0</v>
      </c>
      <c r="B155" s="163" t="s">
        <v>1645</v>
      </c>
      <c r="C155" s="64" t="s">
        <v>1517</v>
      </c>
      <c r="D155" s="163" t="s">
        <v>1519</v>
      </c>
      <c r="E155" s="266" t="s">
        <v>201</v>
      </c>
      <c r="F155" s="254" t="s">
        <v>1849</v>
      </c>
      <c r="G155" s="68" t="s">
        <v>60</v>
      </c>
      <c r="H155" s="171" t="s">
        <v>1221</v>
      </c>
      <c r="I155" s="171" t="s">
        <v>1221</v>
      </c>
      <c r="J155" s="83" t="s">
        <v>114</v>
      </c>
      <c r="K155" s="378" t="s">
        <v>3226</v>
      </c>
      <c r="L155" s="73" t="s">
        <v>60</v>
      </c>
      <c r="M155" s="83"/>
      <c r="N155" s="83" t="s">
        <v>3228</v>
      </c>
      <c r="O155" s="420">
        <v>31697.0</v>
      </c>
      <c r="P155" s="64">
        <f t="shared" si="5"/>
        <v>39</v>
      </c>
      <c r="Q155" s="68" t="s">
        <v>3229</v>
      </c>
      <c r="R155" s="81"/>
      <c r="S155" s="174" t="s">
        <v>379</v>
      </c>
      <c r="T155" s="83"/>
      <c r="U155" s="174" t="s">
        <v>379</v>
      </c>
      <c r="V155" s="83"/>
      <c r="W155" s="68" t="s">
        <v>1174</v>
      </c>
      <c r="X155" s="419" t="s">
        <v>1725</v>
      </c>
      <c r="Y155" s="68"/>
      <c r="Z155" s="68"/>
      <c r="AA155" s="83" t="s">
        <v>3127</v>
      </c>
      <c r="AB155" s="169"/>
      <c r="AC155" s="83" t="s">
        <v>291</v>
      </c>
      <c r="AD155" s="68"/>
      <c r="AE155" s="95"/>
      <c r="AF155" s="81"/>
      <c r="AG155" s="203"/>
      <c r="AH155" s="203"/>
      <c r="AI155" s="203"/>
      <c r="AJ155" s="203"/>
      <c r="AK155" s="203"/>
      <c r="AL155" s="203"/>
      <c r="AM155" s="203"/>
      <c r="AN155" s="203"/>
      <c r="AO155" s="203"/>
      <c r="AP155" s="203"/>
      <c r="AQ155" s="203"/>
      <c r="AR155" s="203"/>
      <c r="AS155" s="203"/>
      <c r="AT155" s="203"/>
    </row>
    <row r="156">
      <c r="A156" s="64">
        <v>207.0</v>
      </c>
      <c r="B156" s="283" t="s">
        <v>1645</v>
      </c>
      <c r="C156" s="284" t="s">
        <v>1517</v>
      </c>
      <c r="D156" s="283" t="s">
        <v>1519</v>
      </c>
      <c r="E156" s="266" t="s">
        <v>58</v>
      </c>
      <c r="F156" s="254" t="s">
        <v>1496</v>
      </c>
      <c r="G156" s="68" t="s">
        <v>60</v>
      </c>
      <c r="H156" s="171" t="s">
        <v>1221</v>
      </c>
      <c r="I156" s="64" t="s">
        <v>1443</v>
      </c>
      <c r="J156" s="83" t="s">
        <v>114</v>
      </c>
      <c r="K156" s="378" t="s">
        <v>3235</v>
      </c>
      <c r="L156" s="73" t="s">
        <v>60</v>
      </c>
      <c r="M156" s="83"/>
      <c r="N156" s="426" t="s">
        <v>3237</v>
      </c>
      <c r="O156" s="420">
        <v>35213.0</v>
      </c>
      <c r="P156" s="64">
        <f t="shared" si="5"/>
        <v>30</v>
      </c>
      <c r="Q156" s="83" t="s">
        <v>3238</v>
      </c>
      <c r="R156" s="81"/>
      <c r="S156" s="174" t="s">
        <v>379</v>
      </c>
      <c r="T156" s="83"/>
      <c r="U156" s="174" t="s">
        <v>379</v>
      </c>
      <c r="V156" s="83"/>
      <c r="W156" s="68" t="s">
        <v>1174</v>
      </c>
      <c r="X156" s="419" t="s">
        <v>1725</v>
      </c>
      <c r="Y156" s="68"/>
      <c r="Z156" s="68"/>
      <c r="AA156" s="83" t="s">
        <v>3127</v>
      </c>
      <c r="AB156" s="169"/>
      <c r="AC156" s="83" t="s">
        <v>291</v>
      </c>
      <c r="AD156" s="68"/>
      <c r="AE156" s="81"/>
      <c r="AF156" s="68"/>
      <c r="AG156" s="203"/>
      <c r="AH156" s="203"/>
      <c r="AI156" s="203"/>
      <c r="AJ156" s="203"/>
      <c r="AK156" s="203"/>
      <c r="AL156" s="203"/>
      <c r="AM156" s="203"/>
      <c r="AN156" s="203"/>
      <c r="AO156" s="203"/>
      <c r="AP156" s="203"/>
      <c r="AQ156" s="203"/>
      <c r="AR156" s="203"/>
      <c r="AS156" s="203"/>
      <c r="AT156" s="203"/>
    </row>
    <row r="157">
      <c r="A157" s="64">
        <v>242.0</v>
      </c>
      <c r="B157" s="283" t="s">
        <v>1645</v>
      </c>
      <c r="C157" s="284" t="s">
        <v>1728</v>
      </c>
      <c r="D157" s="283" t="s">
        <v>121</v>
      </c>
      <c r="E157" s="266" t="s">
        <v>201</v>
      </c>
      <c r="F157" s="254" t="s">
        <v>1849</v>
      </c>
      <c r="G157" s="68" t="s">
        <v>60</v>
      </c>
      <c r="H157" s="171" t="s">
        <v>1221</v>
      </c>
      <c r="I157" s="64" t="s">
        <v>1443</v>
      </c>
      <c r="J157" s="64" t="s">
        <v>114</v>
      </c>
      <c r="K157" s="378" t="s">
        <v>3244</v>
      </c>
      <c r="L157" s="171" t="s">
        <v>60</v>
      </c>
      <c r="M157" s="64"/>
      <c r="N157" s="68" t="s">
        <v>2498</v>
      </c>
      <c r="O157" s="420">
        <v>30111.0</v>
      </c>
      <c r="P157" s="64">
        <f t="shared" si="5"/>
        <v>44</v>
      </c>
      <c r="Q157" s="270" t="s">
        <v>1180</v>
      </c>
      <c r="R157" s="81"/>
      <c r="S157" s="340" t="s">
        <v>165</v>
      </c>
      <c r="T157" s="83" t="s">
        <v>350</v>
      </c>
      <c r="U157" s="340" t="s">
        <v>165</v>
      </c>
      <c r="V157" s="68" t="s">
        <v>186</v>
      </c>
      <c r="W157" s="64" t="s">
        <v>1174</v>
      </c>
      <c r="X157" s="193" t="s">
        <v>1725</v>
      </c>
      <c r="Y157" s="64"/>
      <c r="Z157" s="68"/>
      <c r="AA157" s="83"/>
      <c r="AB157" s="169"/>
      <c r="AC157" s="83" t="s">
        <v>259</v>
      </c>
      <c r="AD157" s="81"/>
      <c r="AE157" s="161"/>
      <c r="AF157" s="413"/>
      <c r="AG157" s="203"/>
      <c r="AH157" s="203"/>
      <c r="AI157" s="203"/>
      <c r="AJ157" s="203"/>
      <c r="AK157" s="203"/>
      <c r="AL157" s="203"/>
      <c r="AM157" s="203"/>
      <c r="AN157" s="203"/>
      <c r="AO157" s="203"/>
      <c r="AP157" s="203"/>
      <c r="AQ157" s="203"/>
      <c r="AR157" s="203"/>
      <c r="AS157" s="203"/>
      <c r="AT157" s="203"/>
    </row>
    <row r="158">
      <c r="A158" s="64">
        <v>247.0</v>
      </c>
      <c r="B158" s="163" t="s">
        <v>1645</v>
      </c>
      <c r="C158" s="64" t="s">
        <v>1728</v>
      </c>
      <c r="D158" s="163" t="s">
        <v>121</v>
      </c>
      <c r="E158" s="171" t="s">
        <v>287</v>
      </c>
      <c r="F158" s="254" t="s">
        <v>2853</v>
      </c>
      <c r="G158" s="68" t="s">
        <v>60</v>
      </c>
      <c r="H158" s="171" t="s">
        <v>1221</v>
      </c>
      <c r="I158" s="64" t="s">
        <v>1443</v>
      </c>
      <c r="J158" s="68" t="s">
        <v>114</v>
      </c>
      <c r="K158" s="378" t="s">
        <v>3251</v>
      </c>
      <c r="L158" s="171" t="s">
        <v>60</v>
      </c>
      <c r="M158" s="83"/>
      <c r="N158" s="68" t="s">
        <v>3252</v>
      </c>
      <c r="O158" s="420">
        <v>30995.0</v>
      </c>
      <c r="P158" s="64">
        <f t="shared" si="5"/>
        <v>41</v>
      </c>
      <c r="Q158" s="83" t="s">
        <v>3253</v>
      </c>
      <c r="R158" s="81"/>
      <c r="S158" s="174" t="s">
        <v>379</v>
      </c>
      <c r="T158" s="83"/>
      <c r="U158" s="174" t="s">
        <v>379</v>
      </c>
      <c r="V158" s="68"/>
      <c r="W158" s="68" t="s">
        <v>1174</v>
      </c>
      <c r="X158" s="419" t="s">
        <v>1725</v>
      </c>
      <c r="Y158" s="68"/>
      <c r="Z158" s="68"/>
      <c r="AA158" s="83" t="s">
        <v>3127</v>
      </c>
      <c r="AB158" s="169"/>
      <c r="AC158" s="83" t="s">
        <v>291</v>
      </c>
      <c r="AD158" s="81"/>
      <c r="AE158" s="95"/>
      <c r="AF158" s="161"/>
      <c r="AG158" s="203"/>
      <c r="AH158" s="203"/>
      <c r="AI158" s="203"/>
      <c r="AJ158" s="203"/>
      <c r="AK158" s="203"/>
      <c r="AL158" s="203"/>
      <c r="AM158" s="203"/>
      <c r="AN158" s="203"/>
      <c r="AO158" s="203"/>
      <c r="AP158" s="203"/>
      <c r="AQ158" s="203"/>
      <c r="AR158" s="203"/>
      <c r="AS158" s="203"/>
      <c r="AT158" s="203"/>
    </row>
    <row r="159">
      <c r="A159" s="64">
        <v>316.0</v>
      </c>
      <c r="B159" s="283" t="s">
        <v>1709</v>
      </c>
      <c r="C159" s="284" t="s">
        <v>1517</v>
      </c>
      <c r="D159" s="284" t="s">
        <v>1519</v>
      </c>
      <c r="E159" s="259" t="s">
        <v>321</v>
      </c>
      <c r="F159" s="254" t="s">
        <v>1552</v>
      </c>
      <c r="G159" s="68" t="s">
        <v>60</v>
      </c>
      <c r="H159" s="171" t="s">
        <v>1221</v>
      </c>
      <c r="I159" s="64" t="s">
        <v>1443</v>
      </c>
      <c r="J159" s="68" t="s">
        <v>114</v>
      </c>
      <c r="K159" s="378" t="s">
        <v>3257</v>
      </c>
      <c r="L159" s="73" t="s">
        <v>60</v>
      </c>
      <c r="M159" s="83"/>
      <c r="N159" s="68" t="s">
        <v>3258</v>
      </c>
      <c r="O159" s="420">
        <v>32129.0</v>
      </c>
      <c r="P159" s="64">
        <f t="shared" si="5"/>
        <v>38</v>
      </c>
      <c r="Q159" s="73" t="s">
        <v>3260</v>
      </c>
      <c r="R159" s="81"/>
      <c r="S159" s="174" t="s">
        <v>379</v>
      </c>
      <c r="T159" s="83"/>
      <c r="U159" s="174" t="s">
        <v>379</v>
      </c>
      <c r="V159" s="68"/>
      <c r="W159" s="68" t="s">
        <v>1174</v>
      </c>
      <c r="X159" s="419" t="s">
        <v>1725</v>
      </c>
      <c r="Y159" s="68"/>
      <c r="Z159" s="68"/>
      <c r="AA159" s="83" t="s">
        <v>3127</v>
      </c>
      <c r="AB159" s="169"/>
      <c r="AC159" s="83" t="s">
        <v>291</v>
      </c>
      <c r="AD159" s="68"/>
      <c r="AE159" s="68"/>
      <c r="AF159" s="75"/>
      <c r="AG159" s="203"/>
      <c r="AH159" s="203"/>
      <c r="AI159" s="203"/>
      <c r="AJ159" s="203"/>
      <c r="AK159" s="203"/>
      <c r="AL159" s="203"/>
      <c r="AM159" s="203"/>
      <c r="AN159" s="203"/>
      <c r="AO159" s="203"/>
      <c r="AP159" s="203"/>
      <c r="AQ159" s="203"/>
      <c r="AR159" s="203"/>
      <c r="AS159" s="203"/>
      <c r="AT159" s="203"/>
    </row>
    <row r="160">
      <c r="A160" s="64">
        <v>331.0</v>
      </c>
      <c r="B160" s="283" t="s">
        <v>1709</v>
      </c>
      <c r="C160" s="284" t="s">
        <v>1611</v>
      </c>
      <c r="D160" s="284" t="s">
        <v>1368</v>
      </c>
      <c r="E160" s="259" t="s">
        <v>213</v>
      </c>
      <c r="F160" s="254" t="s">
        <v>1523</v>
      </c>
      <c r="G160" s="68" t="s">
        <v>60</v>
      </c>
      <c r="H160" s="171" t="s">
        <v>1221</v>
      </c>
      <c r="I160" s="64" t="s">
        <v>1443</v>
      </c>
      <c r="J160" s="64" t="s">
        <v>114</v>
      </c>
      <c r="K160" s="378" t="s">
        <v>3263</v>
      </c>
      <c r="L160" s="171" t="s">
        <v>60</v>
      </c>
      <c r="M160" s="83"/>
      <c r="N160" s="68" t="s">
        <v>3264</v>
      </c>
      <c r="O160" s="420">
        <v>29980.0</v>
      </c>
      <c r="P160" s="64">
        <f t="shared" si="5"/>
        <v>44</v>
      </c>
      <c r="Q160" s="171" t="s">
        <v>3265</v>
      </c>
      <c r="R160" s="81"/>
      <c r="S160" s="174" t="s">
        <v>379</v>
      </c>
      <c r="T160" s="83"/>
      <c r="U160" s="174" t="s">
        <v>379</v>
      </c>
      <c r="V160" s="68"/>
      <c r="W160" s="64" t="s">
        <v>1174</v>
      </c>
      <c r="X160" s="419" t="s">
        <v>1725</v>
      </c>
      <c r="Y160" s="64"/>
      <c r="Z160" s="68"/>
      <c r="AA160" s="83" t="s">
        <v>3127</v>
      </c>
      <c r="AB160" s="169"/>
      <c r="AC160" s="83" t="s">
        <v>291</v>
      </c>
      <c r="AD160" s="169"/>
      <c r="AE160" s="95"/>
      <c r="AF160" s="81"/>
      <c r="AG160" s="203"/>
      <c r="AH160" s="203"/>
      <c r="AI160" s="203"/>
      <c r="AJ160" s="203"/>
      <c r="AK160" s="203"/>
      <c r="AL160" s="203"/>
      <c r="AM160" s="203"/>
      <c r="AN160" s="203"/>
      <c r="AO160" s="203"/>
      <c r="AP160" s="203"/>
      <c r="AQ160" s="203"/>
      <c r="AR160" s="203"/>
      <c r="AS160" s="203"/>
      <c r="AT160" s="203"/>
    </row>
    <row r="161">
      <c r="A161" s="64">
        <v>332.0</v>
      </c>
      <c r="B161" s="283" t="s">
        <v>1709</v>
      </c>
      <c r="C161" s="284" t="s">
        <v>1611</v>
      </c>
      <c r="D161" s="284" t="s">
        <v>1368</v>
      </c>
      <c r="E161" s="266" t="s">
        <v>58</v>
      </c>
      <c r="F161" s="254" t="s">
        <v>1496</v>
      </c>
      <c r="G161" s="68" t="s">
        <v>60</v>
      </c>
      <c r="H161" s="171" t="s">
        <v>1221</v>
      </c>
      <c r="I161" s="64" t="s">
        <v>1443</v>
      </c>
      <c r="J161" s="83" t="s">
        <v>114</v>
      </c>
      <c r="K161" s="424"/>
      <c r="L161" s="73" t="s">
        <v>60</v>
      </c>
      <c r="M161" s="68"/>
      <c r="N161" s="68" t="s">
        <v>3274</v>
      </c>
      <c r="O161" s="75"/>
      <c r="P161" s="64"/>
      <c r="Q161" s="68" t="s">
        <v>3275</v>
      </c>
      <c r="R161" s="81"/>
      <c r="S161" s="174" t="s">
        <v>379</v>
      </c>
      <c r="T161" s="83"/>
      <c r="U161" s="174" t="s">
        <v>379</v>
      </c>
      <c r="V161" s="83"/>
      <c r="W161" s="68" t="s">
        <v>183</v>
      </c>
      <c r="X161" s="419" t="s">
        <v>1725</v>
      </c>
      <c r="Y161" s="83" t="s">
        <v>1178</v>
      </c>
      <c r="Z161" s="68"/>
      <c r="AA161" s="83" t="s">
        <v>3127</v>
      </c>
      <c r="AB161" s="169"/>
      <c r="AC161" s="83" t="s">
        <v>291</v>
      </c>
      <c r="AD161" s="83"/>
      <c r="AE161" s="95"/>
      <c r="AF161" s="202"/>
      <c r="AG161" s="203"/>
      <c r="AH161" s="203"/>
      <c r="AI161" s="203"/>
      <c r="AJ161" s="203"/>
      <c r="AK161" s="203"/>
      <c r="AL161" s="203"/>
      <c r="AM161" s="203"/>
      <c r="AN161" s="203"/>
      <c r="AO161" s="203"/>
      <c r="AP161" s="203"/>
      <c r="AQ161" s="203"/>
      <c r="AR161" s="203"/>
      <c r="AS161" s="203"/>
      <c r="AT161" s="203"/>
    </row>
    <row r="162">
      <c r="A162" s="64">
        <v>341.0</v>
      </c>
      <c r="B162" s="163" t="s">
        <v>1709</v>
      </c>
      <c r="C162" s="64" t="s">
        <v>1611</v>
      </c>
      <c r="D162" s="64" t="s">
        <v>1494</v>
      </c>
      <c r="E162" s="266" t="s">
        <v>58</v>
      </c>
      <c r="F162" s="254" t="s">
        <v>1496</v>
      </c>
      <c r="G162" s="68" t="s">
        <v>60</v>
      </c>
      <c r="H162" s="171" t="s">
        <v>1221</v>
      </c>
      <c r="I162" s="64" t="s">
        <v>1443</v>
      </c>
      <c r="J162" s="73" t="s">
        <v>114</v>
      </c>
      <c r="K162" s="378" t="s">
        <v>3282</v>
      </c>
      <c r="L162" s="171" t="s">
        <v>60</v>
      </c>
      <c r="M162" s="64"/>
      <c r="N162" s="64" t="s">
        <v>3283</v>
      </c>
      <c r="O162" s="75"/>
      <c r="P162" s="64"/>
      <c r="Q162" s="171" t="s">
        <v>3285</v>
      </c>
      <c r="R162" s="81"/>
      <c r="S162" s="340" t="s">
        <v>368</v>
      </c>
      <c r="T162" s="64"/>
      <c r="U162" s="340" t="s">
        <v>368</v>
      </c>
      <c r="V162" s="68"/>
      <c r="W162" s="68"/>
      <c r="X162" s="68"/>
      <c r="Y162" s="68"/>
      <c r="Z162" s="68"/>
      <c r="AA162" s="68" t="s">
        <v>1032</v>
      </c>
      <c r="AB162" s="68"/>
      <c r="AC162" s="83"/>
      <c r="AD162" s="83"/>
      <c r="AE162" s="81" t="s">
        <v>375</v>
      </c>
      <c r="AF162" s="202">
        <v>45996.0</v>
      </c>
      <c r="AG162" s="203"/>
      <c r="AH162" s="203"/>
      <c r="AI162" s="203"/>
      <c r="AJ162" s="203"/>
      <c r="AK162" s="203"/>
      <c r="AL162" s="203"/>
      <c r="AM162" s="203"/>
      <c r="AN162" s="203"/>
      <c r="AO162" s="203"/>
      <c r="AP162" s="203"/>
      <c r="AQ162" s="203"/>
      <c r="AR162" s="203"/>
      <c r="AS162" s="203"/>
      <c r="AT162" s="203"/>
    </row>
    <row r="163">
      <c r="A163" s="64">
        <v>528.0</v>
      </c>
      <c r="B163" s="163" t="s">
        <v>1728</v>
      </c>
      <c r="C163" s="64" t="s">
        <v>1729</v>
      </c>
      <c r="D163" s="64" t="s">
        <v>121</v>
      </c>
      <c r="E163" s="171" t="s">
        <v>212</v>
      </c>
      <c r="F163" s="254" t="s">
        <v>2203</v>
      </c>
      <c r="G163" s="382" t="s">
        <v>326</v>
      </c>
      <c r="H163" s="171" t="s">
        <v>1221</v>
      </c>
      <c r="I163" s="68" t="s">
        <v>1443</v>
      </c>
      <c r="J163" s="73" t="s">
        <v>114</v>
      </c>
      <c r="K163" s="373"/>
      <c r="L163" s="171" t="s">
        <v>60</v>
      </c>
      <c r="M163" s="83"/>
      <c r="N163" s="68" t="s">
        <v>3290</v>
      </c>
      <c r="O163" s="420">
        <v>31740.0</v>
      </c>
      <c r="P163" s="64">
        <f>DATEDIF($O163,TODAY(),"Y")</f>
        <v>39</v>
      </c>
      <c r="Q163" s="64" t="s">
        <v>3293</v>
      </c>
      <c r="R163" s="81"/>
      <c r="S163" s="174" t="s">
        <v>379</v>
      </c>
      <c r="T163" s="83"/>
      <c r="U163" s="174" t="s">
        <v>379</v>
      </c>
      <c r="V163" s="68"/>
      <c r="W163" s="64" t="s">
        <v>183</v>
      </c>
      <c r="X163" s="419" t="s">
        <v>1725</v>
      </c>
      <c r="Y163" s="64"/>
      <c r="Z163" s="68"/>
      <c r="AA163" s="83" t="s">
        <v>3127</v>
      </c>
      <c r="AB163" s="169"/>
      <c r="AC163" s="83" t="s">
        <v>291</v>
      </c>
      <c r="AD163" s="169"/>
      <c r="AE163" s="81"/>
      <c r="AF163" s="413"/>
      <c r="AG163" s="203"/>
      <c r="AH163" s="203"/>
      <c r="AI163" s="203"/>
      <c r="AJ163" s="203"/>
      <c r="AK163" s="203"/>
      <c r="AL163" s="203"/>
      <c r="AM163" s="203"/>
      <c r="AN163" s="203"/>
      <c r="AO163" s="203"/>
      <c r="AP163" s="203"/>
      <c r="AQ163" s="203"/>
      <c r="AR163" s="203"/>
      <c r="AS163" s="203"/>
      <c r="AT163" s="203"/>
    </row>
    <row r="164">
      <c r="A164" s="64">
        <v>546.0</v>
      </c>
      <c r="B164" s="163" t="s">
        <v>3297</v>
      </c>
      <c r="C164" s="64" t="s">
        <v>3298</v>
      </c>
      <c r="D164" s="64" t="s">
        <v>121</v>
      </c>
      <c r="E164" s="171" t="s">
        <v>1536</v>
      </c>
      <c r="F164" s="254" t="s">
        <v>3299</v>
      </c>
      <c r="G164" s="68" t="s">
        <v>60</v>
      </c>
      <c r="H164" s="171" t="s">
        <v>1221</v>
      </c>
      <c r="I164" s="64" t="s">
        <v>1443</v>
      </c>
      <c r="J164" s="83"/>
      <c r="K164" s="431"/>
      <c r="L164" s="180" t="s">
        <v>60</v>
      </c>
      <c r="M164" s="180"/>
      <c r="N164" s="433" t="s">
        <v>3302</v>
      </c>
      <c r="O164" s="75"/>
      <c r="P164" s="64"/>
      <c r="Q164" s="171"/>
      <c r="R164" s="81"/>
      <c r="S164" s="340" t="s">
        <v>379</v>
      </c>
      <c r="T164" s="68"/>
      <c r="U164" s="340" t="s">
        <v>379</v>
      </c>
      <c r="V164" s="68"/>
      <c r="W164" s="68"/>
      <c r="X164" s="68"/>
      <c r="Y164" s="68"/>
      <c r="Z164" s="68"/>
      <c r="AA164" s="417" t="s">
        <v>630</v>
      </c>
      <c r="AB164" s="83" t="s">
        <v>632</v>
      </c>
      <c r="AC164" s="83" t="s">
        <v>632</v>
      </c>
      <c r="AD164" s="417" t="s">
        <v>630</v>
      </c>
      <c r="AE164" s="81"/>
      <c r="AF164" s="103"/>
      <c r="AG164" s="203"/>
      <c r="AH164" s="203"/>
      <c r="AI164" s="203"/>
      <c r="AJ164" s="203"/>
      <c r="AK164" s="203"/>
      <c r="AL164" s="203"/>
      <c r="AM164" s="203"/>
      <c r="AN164" s="203"/>
      <c r="AO164" s="203"/>
      <c r="AP164" s="203"/>
      <c r="AQ164" s="203"/>
      <c r="AR164" s="203"/>
      <c r="AS164" s="203"/>
      <c r="AT164" s="203"/>
    </row>
    <row r="165">
      <c r="A165" s="64">
        <v>620.0</v>
      </c>
      <c r="B165" s="163" t="s">
        <v>3307</v>
      </c>
      <c r="C165" s="64" t="s">
        <v>3308</v>
      </c>
      <c r="D165" s="64" t="s">
        <v>121</v>
      </c>
      <c r="E165" s="259" t="s">
        <v>1756</v>
      </c>
      <c r="F165" s="254" t="s">
        <v>3309</v>
      </c>
      <c r="G165" s="382" t="s">
        <v>60</v>
      </c>
      <c r="H165" s="171" t="s">
        <v>1221</v>
      </c>
      <c r="I165" s="64" t="s">
        <v>1443</v>
      </c>
      <c r="J165" s="83" t="s">
        <v>114</v>
      </c>
      <c r="K165" s="378" t="s">
        <v>3310</v>
      </c>
      <c r="L165" s="73" t="s">
        <v>60</v>
      </c>
      <c r="M165" s="83"/>
      <c r="N165" s="68" t="s">
        <v>3311</v>
      </c>
      <c r="O165" s="420">
        <v>30263.0</v>
      </c>
      <c r="P165" s="64"/>
      <c r="Q165" s="68" t="s">
        <v>3312</v>
      </c>
      <c r="R165" s="81"/>
      <c r="S165" s="174" t="s">
        <v>379</v>
      </c>
      <c r="T165" s="83"/>
      <c r="U165" s="174" t="s">
        <v>379</v>
      </c>
      <c r="V165" s="83"/>
      <c r="W165" s="68" t="s">
        <v>1174</v>
      </c>
      <c r="X165" s="419" t="s">
        <v>1725</v>
      </c>
      <c r="Y165" s="68"/>
      <c r="Z165" s="68"/>
      <c r="AA165" s="83" t="s">
        <v>3127</v>
      </c>
      <c r="AB165" s="169"/>
      <c r="AC165" s="83" t="s">
        <v>291</v>
      </c>
      <c r="AD165" s="68"/>
      <c r="AE165" s="81"/>
      <c r="AF165" s="68"/>
      <c r="AG165" s="203"/>
      <c r="AH165" s="203"/>
      <c r="AI165" s="203"/>
      <c r="AJ165" s="203"/>
      <c r="AK165" s="203"/>
      <c r="AL165" s="203"/>
      <c r="AM165" s="203"/>
      <c r="AN165" s="203"/>
      <c r="AO165" s="203"/>
      <c r="AP165" s="203"/>
      <c r="AQ165" s="203"/>
      <c r="AR165" s="203"/>
      <c r="AS165" s="203"/>
      <c r="AT165" s="203"/>
    </row>
    <row r="166">
      <c r="A166" s="64">
        <v>631.0</v>
      </c>
      <c r="B166" s="163" t="s">
        <v>3307</v>
      </c>
      <c r="C166" s="64" t="s">
        <v>3317</v>
      </c>
      <c r="D166" s="64" t="s">
        <v>121</v>
      </c>
      <c r="E166" s="259" t="s">
        <v>1637</v>
      </c>
      <c r="F166" s="254" t="s">
        <v>3318</v>
      </c>
      <c r="G166" s="68" t="s">
        <v>326</v>
      </c>
      <c r="H166" s="171" t="s">
        <v>1221</v>
      </c>
      <c r="I166" s="64" t="s">
        <v>1443</v>
      </c>
      <c r="J166" s="170" t="s">
        <v>114</v>
      </c>
      <c r="K166" s="378" t="s">
        <v>3320</v>
      </c>
      <c r="L166" s="170" t="s">
        <v>60</v>
      </c>
      <c r="M166" s="83"/>
      <c r="N166" s="68" t="s">
        <v>3322</v>
      </c>
      <c r="O166" s="420">
        <v>28503.0</v>
      </c>
      <c r="P166" s="64"/>
      <c r="Q166" s="170" t="s">
        <v>483</v>
      </c>
      <c r="R166" s="81"/>
      <c r="S166" s="174" t="s">
        <v>379</v>
      </c>
      <c r="T166" s="83"/>
      <c r="U166" s="174" t="s">
        <v>379</v>
      </c>
      <c r="V166" s="83"/>
      <c r="W166" s="68" t="s">
        <v>1174</v>
      </c>
      <c r="X166" s="419" t="s">
        <v>1725</v>
      </c>
      <c r="Y166" s="68"/>
      <c r="Z166" s="68"/>
      <c r="AA166" s="83" t="s">
        <v>3127</v>
      </c>
      <c r="AB166" s="169"/>
      <c r="AC166" s="83" t="s">
        <v>291</v>
      </c>
      <c r="AD166" s="68"/>
      <c r="AE166" s="95"/>
      <c r="AF166" s="81"/>
      <c r="AG166" s="203"/>
      <c r="AH166" s="203"/>
      <c r="AI166" s="203"/>
      <c r="AJ166" s="203"/>
      <c r="AK166" s="203"/>
      <c r="AL166" s="203"/>
      <c r="AM166" s="203"/>
      <c r="AN166" s="203"/>
      <c r="AO166" s="203"/>
      <c r="AP166" s="203"/>
      <c r="AQ166" s="203"/>
      <c r="AR166" s="203"/>
      <c r="AS166" s="203"/>
      <c r="AT166" s="203"/>
    </row>
    <row r="167">
      <c r="A167" s="64">
        <v>620.0</v>
      </c>
      <c r="B167" s="163" t="s">
        <v>3307</v>
      </c>
      <c r="C167" s="64" t="s">
        <v>3308</v>
      </c>
      <c r="D167" s="64" t="s">
        <v>121</v>
      </c>
      <c r="E167" s="259" t="s">
        <v>1756</v>
      </c>
      <c r="F167" s="254" t="s">
        <v>3309</v>
      </c>
      <c r="G167" s="382" t="s">
        <v>60</v>
      </c>
      <c r="H167" s="171" t="s">
        <v>1221</v>
      </c>
      <c r="I167" s="64" t="s">
        <v>1443</v>
      </c>
      <c r="J167" s="83" t="s">
        <v>114</v>
      </c>
      <c r="K167" s="378" t="s">
        <v>3310</v>
      </c>
      <c r="L167" s="73" t="s">
        <v>60</v>
      </c>
      <c r="M167" s="83"/>
      <c r="N167" s="68" t="s">
        <v>3311</v>
      </c>
      <c r="O167" s="420">
        <v>30263.0</v>
      </c>
      <c r="P167" s="64"/>
      <c r="Q167" s="68" t="s">
        <v>3312</v>
      </c>
      <c r="R167" s="81"/>
      <c r="S167" s="174" t="s">
        <v>379</v>
      </c>
      <c r="T167" s="83"/>
      <c r="U167" s="174" t="s">
        <v>379</v>
      </c>
      <c r="V167" s="83"/>
      <c r="W167" s="68" t="s">
        <v>1174</v>
      </c>
      <c r="X167" s="419" t="s">
        <v>1725</v>
      </c>
      <c r="Y167" s="68"/>
      <c r="Z167" s="68"/>
      <c r="AA167" s="83" t="s">
        <v>3127</v>
      </c>
      <c r="AB167" s="169"/>
      <c r="AC167" s="83" t="s">
        <v>291</v>
      </c>
      <c r="AD167" s="68"/>
      <c r="AE167" s="81"/>
      <c r="AF167" s="68"/>
      <c r="AG167" s="203"/>
      <c r="AH167" s="203"/>
      <c r="AI167" s="203"/>
      <c r="AJ167" s="203"/>
      <c r="AK167" s="203"/>
      <c r="AL167" s="203"/>
      <c r="AM167" s="203"/>
      <c r="AN167" s="203"/>
      <c r="AO167" s="203"/>
      <c r="AP167" s="203"/>
      <c r="AQ167" s="203"/>
      <c r="AR167" s="203"/>
      <c r="AS167" s="203"/>
      <c r="AT167" s="203"/>
    </row>
    <row r="168">
      <c r="A168" s="64">
        <v>666.0</v>
      </c>
      <c r="B168" s="163" t="s">
        <v>3332</v>
      </c>
      <c r="C168" s="64" t="s">
        <v>3333</v>
      </c>
      <c r="D168" s="64" t="s">
        <v>121</v>
      </c>
      <c r="E168" s="171" t="s">
        <v>3334</v>
      </c>
      <c r="F168" s="254" t="s">
        <v>3335</v>
      </c>
      <c r="G168" s="68" t="s">
        <v>102</v>
      </c>
      <c r="H168" s="436" t="s">
        <v>3336</v>
      </c>
      <c r="I168" s="64" t="s">
        <v>1443</v>
      </c>
      <c r="J168" s="73" t="s">
        <v>114</v>
      </c>
      <c r="K168" s="424"/>
      <c r="L168" s="73" t="s">
        <v>60</v>
      </c>
      <c r="M168" s="68"/>
      <c r="N168" s="68" t="s">
        <v>2108</v>
      </c>
      <c r="O168" s="103">
        <v>30534.0</v>
      </c>
      <c r="P168" s="64">
        <f>DATEDIF($O168,TODAY(),"Y")</f>
        <v>43</v>
      </c>
      <c r="Q168" s="73" t="s">
        <v>1261</v>
      </c>
      <c r="R168" s="81"/>
      <c r="S168" s="190" t="s">
        <v>393</v>
      </c>
      <c r="T168" s="68"/>
      <c r="U168" s="190" t="s">
        <v>393</v>
      </c>
      <c r="V168" s="68"/>
      <c r="W168" s="68"/>
      <c r="X168" s="68"/>
      <c r="Y168" s="68"/>
      <c r="Z168" s="68"/>
      <c r="AA168" s="68" t="s">
        <v>150</v>
      </c>
      <c r="AB168" s="68" t="s">
        <v>150</v>
      </c>
      <c r="AC168" s="83" t="s">
        <v>672</v>
      </c>
      <c r="AD168" s="169" t="s">
        <v>155</v>
      </c>
      <c r="AE168" s="83" t="s">
        <v>697</v>
      </c>
      <c r="AF168" s="83" t="s">
        <v>3344</v>
      </c>
      <c r="AG168" s="203"/>
      <c r="AH168" s="203"/>
      <c r="AI168" s="203"/>
      <c r="AJ168" s="203"/>
      <c r="AK168" s="203"/>
      <c r="AL168" s="203"/>
      <c r="AM168" s="203"/>
      <c r="AN168" s="203"/>
      <c r="AO168" s="203"/>
      <c r="AP168" s="203"/>
      <c r="AQ168" s="203"/>
      <c r="AR168" s="203"/>
      <c r="AS168" s="203"/>
      <c r="AT168" s="203"/>
    </row>
    <row r="169">
      <c r="A169" s="64"/>
      <c r="B169" s="231"/>
      <c r="C169" s="202">
        <v>46020.0</v>
      </c>
      <c r="D169" s="64"/>
      <c r="E169" s="68"/>
      <c r="F169" s="64"/>
      <c r="G169" s="64"/>
      <c r="H169" s="64"/>
      <c r="I169" s="64"/>
      <c r="J169" s="239" t="s">
        <v>114</v>
      </c>
      <c r="K169" s="239"/>
      <c r="L169" s="170" t="s">
        <v>60</v>
      </c>
      <c r="M169" s="83"/>
      <c r="N169" s="83" t="s">
        <v>3350</v>
      </c>
      <c r="O169" s="64"/>
      <c r="P169" s="64"/>
      <c r="Q169" s="83" t="s">
        <v>3352</v>
      </c>
      <c r="R169" s="81"/>
      <c r="S169" s="83" t="s">
        <v>379</v>
      </c>
      <c r="T169" s="83"/>
      <c r="U169" s="83" t="s">
        <v>379</v>
      </c>
      <c r="V169" s="83" t="s">
        <v>145</v>
      </c>
      <c r="W169" s="68" t="s">
        <v>183</v>
      </c>
      <c r="X169" s="83" t="s">
        <v>3354</v>
      </c>
      <c r="Y169" s="83" t="s">
        <v>114</v>
      </c>
      <c r="Z169" s="68"/>
      <c r="AA169" s="68"/>
      <c r="AB169" s="169"/>
      <c r="AC169" s="83" t="s">
        <v>586</v>
      </c>
      <c r="AD169" s="83" t="s">
        <v>3356</v>
      </c>
      <c r="AE169" s="83"/>
      <c r="AF169" s="68"/>
      <c r="AG169" s="203"/>
      <c r="AH169" s="203"/>
      <c r="AI169" s="203"/>
      <c r="AJ169" s="203"/>
      <c r="AK169" s="203"/>
      <c r="AL169" s="203"/>
      <c r="AM169" s="203"/>
      <c r="AN169" s="203"/>
      <c r="AO169" s="203"/>
      <c r="AP169" s="203"/>
      <c r="AQ169" s="203"/>
      <c r="AR169" s="203"/>
      <c r="AS169" s="203"/>
      <c r="AT169" s="203"/>
    </row>
    <row r="170">
      <c r="A170" s="64">
        <v>79.0</v>
      </c>
      <c r="B170" s="163" t="s">
        <v>1039</v>
      </c>
      <c r="C170" s="64" t="s">
        <v>1517</v>
      </c>
      <c r="D170" s="64" t="s">
        <v>1494</v>
      </c>
      <c r="E170" s="259" t="s">
        <v>187</v>
      </c>
      <c r="F170" s="254" t="s">
        <v>1469</v>
      </c>
      <c r="G170" s="68" t="s">
        <v>60</v>
      </c>
      <c r="H170" s="171" t="s">
        <v>1221</v>
      </c>
      <c r="I170" s="64" t="s">
        <v>1443</v>
      </c>
      <c r="J170" s="73" t="s">
        <v>114</v>
      </c>
      <c r="K170" s="378" t="s">
        <v>3361</v>
      </c>
      <c r="L170" s="73" t="s">
        <v>60</v>
      </c>
      <c r="M170" s="74"/>
      <c r="N170" s="74" t="s">
        <v>3362</v>
      </c>
      <c r="O170" s="75">
        <v>31677.0</v>
      </c>
      <c r="P170" s="64">
        <f t="shared" ref="P170:P176" si="6">DATEDIF($O170,TODAY(),"Y")</f>
        <v>39</v>
      </c>
      <c r="Q170" s="68" t="s">
        <v>3365</v>
      </c>
      <c r="R170" s="81"/>
      <c r="S170" s="340" t="s">
        <v>136</v>
      </c>
      <c r="T170" s="83"/>
      <c r="U170" s="340" t="s">
        <v>136</v>
      </c>
      <c r="V170" s="68"/>
      <c r="W170" s="68"/>
      <c r="X170" s="68"/>
      <c r="Y170" s="68"/>
      <c r="Z170" s="68"/>
      <c r="AA170" s="68" t="s">
        <v>2451</v>
      </c>
      <c r="AB170" s="68"/>
      <c r="AC170" s="83"/>
      <c r="AD170" s="68"/>
      <c r="AE170" s="68"/>
      <c r="AF170" s="202">
        <v>45975.0</v>
      </c>
      <c r="AG170" s="203"/>
      <c r="AH170" s="203"/>
      <c r="AI170" s="203"/>
      <c r="AJ170" s="203"/>
      <c r="AK170" s="203"/>
      <c r="AL170" s="203"/>
      <c r="AM170" s="203"/>
      <c r="AN170" s="203"/>
      <c r="AO170" s="203"/>
      <c r="AP170" s="203"/>
      <c r="AQ170" s="203"/>
      <c r="AR170" s="203"/>
      <c r="AS170" s="203"/>
      <c r="AT170" s="203"/>
    </row>
    <row r="171">
      <c r="A171" s="64">
        <v>91.0</v>
      </c>
      <c r="B171" s="163" t="s">
        <v>1039</v>
      </c>
      <c r="C171" s="64" t="s">
        <v>1517</v>
      </c>
      <c r="D171" s="64" t="s">
        <v>1519</v>
      </c>
      <c r="E171" s="271" t="s">
        <v>213</v>
      </c>
      <c r="F171" s="254" t="s">
        <v>1523</v>
      </c>
      <c r="G171" s="68" t="s">
        <v>60</v>
      </c>
      <c r="H171" s="171" t="s">
        <v>1221</v>
      </c>
      <c r="I171" s="171" t="s">
        <v>1221</v>
      </c>
      <c r="J171" s="83"/>
      <c r="K171" s="239"/>
      <c r="L171" s="193" t="s">
        <v>3372</v>
      </c>
      <c r="M171" s="417"/>
      <c r="N171" s="277" t="s">
        <v>3374</v>
      </c>
      <c r="O171" s="418"/>
      <c r="P171" s="68">
        <f t="shared" si="6"/>
        <v>126</v>
      </c>
      <c r="Q171" s="73"/>
      <c r="R171" s="81"/>
      <c r="S171" s="174" t="s">
        <v>379</v>
      </c>
      <c r="T171" s="83"/>
      <c r="U171" s="174" t="s">
        <v>379</v>
      </c>
      <c r="V171" s="83"/>
      <c r="W171" s="68"/>
      <c r="X171" s="68"/>
      <c r="Y171" s="83"/>
      <c r="Z171" s="68"/>
      <c r="AA171" s="417" t="s">
        <v>630</v>
      </c>
      <c r="AB171" s="83" t="s">
        <v>632</v>
      </c>
      <c r="AC171" s="83" t="s">
        <v>632</v>
      </c>
      <c r="AD171" s="417" t="s">
        <v>630</v>
      </c>
      <c r="AE171" s="68"/>
      <c r="AF171" s="161"/>
      <c r="AG171" s="203"/>
      <c r="AH171" s="203"/>
      <c r="AI171" s="203"/>
      <c r="AJ171" s="203"/>
      <c r="AK171" s="203"/>
      <c r="AL171" s="203"/>
      <c r="AM171" s="203"/>
      <c r="AN171" s="203"/>
      <c r="AO171" s="203"/>
      <c r="AP171" s="203"/>
      <c r="AQ171" s="203"/>
      <c r="AR171" s="203"/>
      <c r="AS171" s="203"/>
      <c r="AT171" s="203"/>
    </row>
    <row r="172">
      <c r="A172" s="64">
        <v>204.0</v>
      </c>
      <c r="B172" s="163" t="s">
        <v>1645</v>
      </c>
      <c r="C172" s="64" t="s">
        <v>1517</v>
      </c>
      <c r="D172" s="163" t="s">
        <v>1519</v>
      </c>
      <c r="E172" s="259" t="s">
        <v>213</v>
      </c>
      <c r="F172" s="254" t="s">
        <v>1523</v>
      </c>
      <c r="G172" s="68" t="s">
        <v>60</v>
      </c>
      <c r="H172" s="171" t="s">
        <v>1221</v>
      </c>
      <c r="I172" s="64" t="s">
        <v>1443</v>
      </c>
      <c r="J172" s="73" t="s">
        <v>114</v>
      </c>
      <c r="K172" s="373"/>
      <c r="L172" s="171" t="s">
        <v>60</v>
      </c>
      <c r="M172" s="74"/>
      <c r="N172" s="74" t="s">
        <v>2566</v>
      </c>
      <c r="O172" s="103">
        <v>30009.0</v>
      </c>
      <c r="P172" s="64">
        <f t="shared" si="6"/>
        <v>44</v>
      </c>
      <c r="Q172" s="73" t="s">
        <v>2567</v>
      </c>
      <c r="R172" s="81"/>
      <c r="S172" s="257" t="s">
        <v>136</v>
      </c>
      <c r="T172" s="64"/>
      <c r="U172" s="257" t="s">
        <v>136</v>
      </c>
      <c r="V172" s="68"/>
      <c r="W172" s="68"/>
      <c r="X172" s="68"/>
      <c r="Y172" s="68"/>
      <c r="Z172" s="68"/>
      <c r="AA172" s="68" t="s">
        <v>150</v>
      </c>
      <c r="AB172" s="169"/>
      <c r="AC172" s="68"/>
      <c r="AD172" s="73"/>
      <c r="AE172" s="68"/>
      <c r="AF172" s="207">
        <v>45971.0</v>
      </c>
      <c r="AG172" s="203"/>
      <c r="AH172" s="203"/>
      <c r="AI172" s="203"/>
      <c r="AJ172" s="203"/>
      <c r="AK172" s="203"/>
      <c r="AL172" s="203"/>
      <c r="AM172" s="203"/>
      <c r="AN172" s="203"/>
      <c r="AO172" s="203"/>
      <c r="AP172" s="203"/>
      <c r="AQ172" s="203"/>
      <c r="AR172" s="203"/>
      <c r="AS172" s="203"/>
      <c r="AT172" s="203"/>
    </row>
    <row r="173">
      <c r="A173" s="64">
        <v>206.0</v>
      </c>
      <c r="B173" s="163" t="s">
        <v>1645</v>
      </c>
      <c r="C173" s="64" t="s">
        <v>1517</v>
      </c>
      <c r="D173" s="163" t="s">
        <v>1519</v>
      </c>
      <c r="E173" s="266" t="s">
        <v>201</v>
      </c>
      <c r="F173" s="254" t="s">
        <v>1849</v>
      </c>
      <c r="G173" s="68" t="s">
        <v>60</v>
      </c>
      <c r="H173" s="171" t="s">
        <v>1221</v>
      </c>
      <c r="I173" s="171" t="s">
        <v>1221</v>
      </c>
      <c r="J173" s="83"/>
      <c r="K173" s="239"/>
      <c r="L173" s="193" t="s">
        <v>3390</v>
      </c>
      <c r="M173" s="417"/>
      <c r="N173" s="277" t="s">
        <v>3392</v>
      </c>
      <c r="O173" s="420">
        <v>31697.0</v>
      </c>
      <c r="P173" s="64">
        <f t="shared" si="6"/>
        <v>39</v>
      </c>
      <c r="Q173" s="68"/>
      <c r="R173" s="81"/>
      <c r="S173" s="83" t="s">
        <v>379</v>
      </c>
      <c r="T173" s="68"/>
      <c r="U173" s="83" t="s">
        <v>379</v>
      </c>
      <c r="V173" s="68"/>
      <c r="W173" s="68"/>
      <c r="X173" s="68"/>
      <c r="Y173" s="68"/>
      <c r="Z173" s="68"/>
      <c r="AA173" s="417" t="s">
        <v>630</v>
      </c>
      <c r="AB173" s="83" t="s">
        <v>632</v>
      </c>
      <c r="AC173" s="83" t="s">
        <v>632</v>
      </c>
      <c r="AD173" s="417" t="s">
        <v>630</v>
      </c>
      <c r="AE173" s="95"/>
      <c r="AF173" s="81"/>
      <c r="AG173" s="203"/>
      <c r="AH173" s="203"/>
      <c r="AI173" s="203"/>
      <c r="AJ173" s="203"/>
      <c r="AK173" s="203"/>
      <c r="AL173" s="203"/>
      <c r="AM173" s="203"/>
      <c r="AN173" s="203"/>
      <c r="AO173" s="203"/>
      <c r="AP173" s="203"/>
      <c r="AQ173" s="203"/>
      <c r="AR173" s="203"/>
      <c r="AS173" s="203"/>
      <c r="AT173" s="203"/>
    </row>
    <row r="174">
      <c r="A174" s="64">
        <v>237.0</v>
      </c>
      <c r="B174" s="163" t="s">
        <v>1645</v>
      </c>
      <c r="C174" s="64" t="s">
        <v>1611</v>
      </c>
      <c r="D174" s="163" t="s">
        <v>1519</v>
      </c>
      <c r="E174" s="266" t="s">
        <v>58</v>
      </c>
      <c r="F174" s="254" t="s">
        <v>1496</v>
      </c>
      <c r="G174" s="68" t="s">
        <v>60</v>
      </c>
      <c r="H174" s="171" t="s">
        <v>1221</v>
      </c>
      <c r="I174" s="64" t="s">
        <v>1443</v>
      </c>
      <c r="J174" s="73" t="s">
        <v>114</v>
      </c>
      <c r="K174" s="378" t="s">
        <v>3397</v>
      </c>
      <c r="L174" s="73" t="s">
        <v>60</v>
      </c>
      <c r="M174" s="68"/>
      <c r="N174" s="68" t="s">
        <v>2074</v>
      </c>
      <c r="O174" s="103">
        <v>34415.0</v>
      </c>
      <c r="P174" s="64">
        <f t="shared" si="6"/>
        <v>32</v>
      </c>
      <c r="Q174" s="73" t="s">
        <v>2075</v>
      </c>
      <c r="R174" s="81"/>
      <c r="S174" s="340" t="s">
        <v>379</v>
      </c>
      <c r="T174" s="68"/>
      <c r="U174" s="340" t="s">
        <v>379</v>
      </c>
      <c r="V174" s="68"/>
      <c r="W174" s="68"/>
      <c r="X174" s="68"/>
      <c r="Y174" s="68"/>
      <c r="Z174" s="68"/>
      <c r="AA174" s="83" t="s">
        <v>715</v>
      </c>
      <c r="AB174" s="83" t="s">
        <v>150</v>
      </c>
      <c r="AC174" s="83" t="s">
        <v>291</v>
      </c>
      <c r="AD174" s="83" t="s">
        <v>3399</v>
      </c>
      <c r="AE174" s="161"/>
      <c r="AF174" s="81"/>
      <c r="AG174" s="203"/>
      <c r="AH174" s="203"/>
      <c r="AI174" s="203"/>
      <c r="AJ174" s="203"/>
      <c r="AK174" s="203"/>
      <c r="AL174" s="203"/>
      <c r="AM174" s="203"/>
      <c r="AN174" s="203"/>
      <c r="AO174" s="203"/>
      <c r="AP174" s="203"/>
      <c r="AQ174" s="203"/>
      <c r="AR174" s="203"/>
      <c r="AS174" s="203"/>
      <c r="AT174" s="203"/>
    </row>
    <row r="175">
      <c r="A175" s="64">
        <v>242.0</v>
      </c>
      <c r="B175" s="283" t="s">
        <v>1645</v>
      </c>
      <c r="C175" s="284" t="s">
        <v>1728</v>
      </c>
      <c r="D175" s="283" t="s">
        <v>121</v>
      </c>
      <c r="E175" s="266" t="s">
        <v>201</v>
      </c>
      <c r="F175" s="254" t="s">
        <v>1849</v>
      </c>
      <c r="G175" s="68" t="s">
        <v>60</v>
      </c>
      <c r="H175" s="171" t="s">
        <v>1221</v>
      </c>
      <c r="I175" s="64" t="s">
        <v>1443</v>
      </c>
      <c r="J175" s="68"/>
      <c r="K175" s="437"/>
      <c r="L175" s="280" t="s">
        <v>60</v>
      </c>
      <c r="M175" s="180"/>
      <c r="N175" s="277" t="s">
        <v>3403</v>
      </c>
      <c r="O175" s="420">
        <v>30111.0</v>
      </c>
      <c r="P175" s="64">
        <f t="shared" si="6"/>
        <v>44</v>
      </c>
      <c r="Q175" s="64"/>
      <c r="R175" s="81"/>
      <c r="S175" s="83" t="s">
        <v>379</v>
      </c>
      <c r="T175" s="68"/>
      <c r="U175" s="83" t="s">
        <v>379</v>
      </c>
      <c r="V175" s="68"/>
      <c r="W175" s="68"/>
      <c r="X175" s="68"/>
      <c r="Y175" s="68"/>
      <c r="Z175" s="68"/>
      <c r="AA175" s="417" t="s">
        <v>630</v>
      </c>
      <c r="AB175" s="83" t="s">
        <v>632</v>
      </c>
      <c r="AC175" s="83" t="s">
        <v>632</v>
      </c>
      <c r="AD175" s="417" t="s">
        <v>630</v>
      </c>
      <c r="AE175" s="161"/>
      <c r="AF175" s="413"/>
      <c r="AG175" s="203"/>
      <c r="AH175" s="203"/>
      <c r="AI175" s="203"/>
      <c r="AJ175" s="203"/>
      <c r="AK175" s="203"/>
      <c r="AL175" s="203"/>
      <c r="AM175" s="203"/>
      <c r="AN175" s="203"/>
      <c r="AO175" s="203"/>
      <c r="AP175" s="203"/>
      <c r="AQ175" s="203"/>
      <c r="AR175" s="203"/>
      <c r="AS175" s="203"/>
      <c r="AT175" s="203"/>
    </row>
    <row r="176">
      <c r="A176" s="64">
        <v>316.0</v>
      </c>
      <c r="B176" s="283" t="s">
        <v>1709</v>
      </c>
      <c r="C176" s="284" t="s">
        <v>1517</v>
      </c>
      <c r="D176" s="284" t="s">
        <v>1519</v>
      </c>
      <c r="E176" s="259" t="s">
        <v>321</v>
      </c>
      <c r="F176" s="254" t="s">
        <v>1552</v>
      </c>
      <c r="G176" s="68" t="s">
        <v>60</v>
      </c>
      <c r="H176" s="171" t="s">
        <v>1221</v>
      </c>
      <c r="I176" s="64" t="s">
        <v>1443</v>
      </c>
      <c r="J176" s="68"/>
      <c r="K176" s="239"/>
      <c r="L176" s="439" t="s">
        <v>60</v>
      </c>
      <c r="M176" s="417"/>
      <c r="N176" s="277" t="s">
        <v>3411</v>
      </c>
      <c r="O176" s="420">
        <v>32129.0</v>
      </c>
      <c r="P176" s="64">
        <f t="shared" si="6"/>
        <v>38</v>
      </c>
      <c r="Q176" s="73"/>
      <c r="R176" s="81"/>
      <c r="S176" s="83" t="s">
        <v>379</v>
      </c>
      <c r="T176" s="64"/>
      <c r="U176" s="83" t="s">
        <v>379</v>
      </c>
      <c r="V176" s="68"/>
      <c r="W176" s="68"/>
      <c r="X176" s="68"/>
      <c r="Y176" s="68"/>
      <c r="Z176" s="68"/>
      <c r="AA176" s="417" t="s">
        <v>630</v>
      </c>
      <c r="AB176" s="83" t="s">
        <v>632</v>
      </c>
      <c r="AC176" s="83" t="s">
        <v>632</v>
      </c>
      <c r="AD176" s="417" t="s">
        <v>630</v>
      </c>
      <c r="AE176" s="161"/>
      <c r="AF176" s="81"/>
      <c r="AG176" s="203"/>
      <c r="AH176" s="203"/>
      <c r="AI176" s="203"/>
      <c r="AJ176" s="203"/>
      <c r="AK176" s="203"/>
      <c r="AL176" s="203"/>
      <c r="AM176" s="203"/>
      <c r="AN176" s="203"/>
      <c r="AO176" s="203"/>
      <c r="AP176" s="203"/>
      <c r="AQ176" s="203"/>
      <c r="AR176" s="203"/>
      <c r="AS176" s="203"/>
      <c r="AT176" s="203"/>
    </row>
    <row r="177">
      <c r="A177" s="64">
        <v>332.0</v>
      </c>
      <c r="B177" s="283" t="s">
        <v>1709</v>
      </c>
      <c r="C177" s="284" t="s">
        <v>1611</v>
      </c>
      <c r="D177" s="284" t="s">
        <v>1368</v>
      </c>
      <c r="E177" s="266" t="s">
        <v>58</v>
      </c>
      <c r="F177" s="254" t="s">
        <v>1496</v>
      </c>
      <c r="G177" s="68" t="s">
        <v>60</v>
      </c>
      <c r="H177" s="171" t="s">
        <v>1221</v>
      </c>
      <c r="I177" s="64" t="s">
        <v>1443</v>
      </c>
      <c r="J177" s="83"/>
      <c r="K177" s="424"/>
      <c r="L177" s="439" t="s">
        <v>60</v>
      </c>
      <c r="M177" s="172"/>
      <c r="N177" s="277" t="s">
        <v>3417</v>
      </c>
      <c r="O177" s="75"/>
      <c r="P177" s="64"/>
      <c r="Q177" s="68"/>
      <c r="R177" s="81"/>
      <c r="S177" s="83" t="s">
        <v>379</v>
      </c>
      <c r="T177" s="64"/>
      <c r="U177" s="83" t="s">
        <v>379</v>
      </c>
      <c r="V177" s="68"/>
      <c r="W177" s="68"/>
      <c r="X177" s="68"/>
      <c r="Y177" s="68"/>
      <c r="Z177" s="68"/>
      <c r="AA177" s="417" t="s">
        <v>630</v>
      </c>
      <c r="AB177" s="83" t="s">
        <v>632</v>
      </c>
      <c r="AC177" s="83" t="s">
        <v>632</v>
      </c>
      <c r="AD177" s="417" t="s">
        <v>630</v>
      </c>
      <c r="AE177" s="161"/>
      <c r="AF177" s="81"/>
      <c r="AG177" s="203"/>
      <c r="AH177" s="203"/>
      <c r="AI177" s="203"/>
      <c r="AJ177" s="203"/>
      <c r="AK177" s="203"/>
      <c r="AL177" s="203"/>
      <c r="AM177" s="203"/>
      <c r="AN177" s="203"/>
      <c r="AO177" s="203"/>
      <c r="AP177" s="203"/>
      <c r="AQ177" s="203"/>
      <c r="AR177" s="203"/>
      <c r="AS177" s="203"/>
      <c r="AT177" s="203"/>
    </row>
    <row r="178">
      <c r="A178" s="64">
        <v>609.0</v>
      </c>
      <c r="B178" s="444" t="s">
        <v>3423</v>
      </c>
      <c r="C178" s="270" t="s">
        <v>3424</v>
      </c>
      <c r="D178" s="270" t="s">
        <v>121</v>
      </c>
      <c r="E178" s="445" t="s">
        <v>1431</v>
      </c>
      <c r="F178" s="446" t="s">
        <v>1437</v>
      </c>
      <c r="G178" s="174" t="s">
        <v>60</v>
      </c>
      <c r="H178" s="171" t="s">
        <v>1221</v>
      </c>
      <c r="I178" s="64" t="s">
        <v>1443</v>
      </c>
      <c r="J178" s="83" t="s">
        <v>114</v>
      </c>
      <c r="K178" s="412" t="s">
        <v>3426</v>
      </c>
      <c r="L178" s="83" t="s">
        <v>60</v>
      </c>
      <c r="M178" s="83"/>
      <c r="N178" s="83" t="s">
        <v>3427</v>
      </c>
      <c r="O178" s="64"/>
      <c r="P178" s="64"/>
      <c r="Q178" s="83" t="s">
        <v>3428</v>
      </c>
      <c r="R178" s="81"/>
      <c r="S178" s="83" t="s">
        <v>379</v>
      </c>
      <c r="T178" s="83"/>
      <c r="U178" s="83" t="s">
        <v>379</v>
      </c>
      <c r="V178" s="68" t="s">
        <v>186</v>
      </c>
      <c r="W178" s="68" t="s">
        <v>1174</v>
      </c>
      <c r="X178" s="170" t="s">
        <v>2482</v>
      </c>
      <c r="Y178" s="68"/>
      <c r="Z178" s="68"/>
      <c r="AA178" s="83" t="s">
        <v>632</v>
      </c>
      <c r="AB178" s="83" t="s">
        <v>632</v>
      </c>
      <c r="AC178" s="83" t="s">
        <v>632</v>
      </c>
      <c r="AD178" s="83" t="s">
        <v>3437</v>
      </c>
      <c r="AE178" s="83"/>
      <c r="AF178" s="68"/>
      <c r="AG178" s="203"/>
      <c r="AH178" s="203"/>
      <c r="AI178" s="203"/>
      <c r="AJ178" s="203"/>
      <c r="AK178" s="203"/>
      <c r="AL178" s="203"/>
      <c r="AM178" s="203"/>
      <c r="AN178" s="203"/>
      <c r="AO178" s="203"/>
      <c r="AP178" s="203"/>
      <c r="AQ178" s="203"/>
      <c r="AR178" s="203"/>
      <c r="AS178" s="203"/>
      <c r="AT178" s="203"/>
    </row>
    <row r="179">
      <c r="A179" s="64">
        <v>631.0</v>
      </c>
      <c r="B179" s="163" t="s">
        <v>3307</v>
      </c>
      <c r="C179" s="64" t="s">
        <v>3317</v>
      </c>
      <c r="D179" s="64" t="s">
        <v>121</v>
      </c>
      <c r="E179" s="259" t="s">
        <v>1637</v>
      </c>
      <c r="F179" s="254" t="s">
        <v>3318</v>
      </c>
      <c r="G179" s="68" t="s">
        <v>326</v>
      </c>
      <c r="H179" s="171" t="s">
        <v>1221</v>
      </c>
      <c r="I179" s="64" t="s">
        <v>1443</v>
      </c>
      <c r="J179" s="171"/>
      <c r="K179" s="424"/>
      <c r="L179" s="193" t="s">
        <v>60</v>
      </c>
      <c r="M179" s="417"/>
      <c r="N179" s="277" t="s">
        <v>3440</v>
      </c>
      <c r="O179" s="420">
        <v>28503.0</v>
      </c>
      <c r="P179" s="64"/>
      <c r="Q179" s="170"/>
      <c r="R179" s="81"/>
      <c r="S179" s="174" t="s">
        <v>379</v>
      </c>
      <c r="T179" s="83"/>
      <c r="U179" s="174" t="s">
        <v>379</v>
      </c>
      <c r="V179" s="83"/>
      <c r="W179" s="68"/>
      <c r="X179" s="170"/>
      <c r="Y179" s="68"/>
      <c r="Z179" s="68"/>
      <c r="AA179" s="417" t="s">
        <v>630</v>
      </c>
      <c r="AB179" s="83" t="s">
        <v>632</v>
      </c>
      <c r="AC179" s="83"/>
      <c r="AD179" s="417" t="s">
        <v>630</v>
      </c>
      <c r="AE179" s="95"/>
      <c r="AF179" s="81"/>
      <c r="AG179" s="203"/>
      <c r="AH179" s="203"/>
      <c r="AI179" s="203"/>
      <c r="AJ179" s="203"/>
      <c r="AK179" s="203"/>
      <c r="AL179" s="203"/>
      <c r="AM179" s="203"/>
      <c r="AN179" s="203"/>
      <c r="AO179" s="203"/>
      <c r="AP179" s="203"/>
      <c r="AQ179" s="203"/>
      <c r="AR179" s="203"/>
      <c r="AS179" s="203"/>
      <c r="AT179" s="203"/>
    </row>
    <row r="180">
      <c r="A180" s="64">
        <v>636.0</v>
      </c>
      <c r="B180" s="163" t="s">
        <v>3307</v>
      </c>
      <c r="C180" s="64" t="s">
        <v>3445</v>
      </c>
      <c r="D180" s="64" t="s">
        <v>121</v>
      </c>
      <c r="E180" s="171" t="s">
        <v>786</v>
      </c>
      <c r="F180" s="254" t="s">
        <v>1216</v>
      </c>
      <c r="G180" s="68" t="s">
        <v>60</v>
      </c>
      <c r="H180" s="171" t="s">
        <v>1221</v>
      </c>
      <c r="I180" s="64" t="s">
        <v>1443</v>
      </c>
      <c r="J180" s="68"/>
      <c r="K180" s="437"/>
      <c r="L180" s="193" t="s">
        <v>60</v>
      </c>
      <c r="M180" s="417"/>
      <c r="N180" s="277" t="s">
        <v>3448</v>
      </c>
      <c r="O180" s="420">
        <v>30498.0</v>
      </c>
      <c r="P180" s="64"/>
      <c r="Q180" s="170"/>
      <c r="R180" s="81"/>
      <c r="S180" s="174" t="s">
        <v>379</v>
      </c>
      <c r="T180" s="83"/>
      <c r="U180" s="174" t="s">
        <v>379</v>
      </c>
      <c r="V180" s="83"/>
      <c r="W180" s="68"/>
      <c r="X180" s="170"/>
      <c r="Y180" s="68"/>
      <c r="Z180" s="68"/>
      <c r="AA180" s="417" t="s">
        <v>630</v>
      </c>
      <c r="AB180" s="83" t="s">
        <v>632</v>
      </c>
      <c r="AC180" s="83"/>
      <c r="AD180" s="417" t="s">
        <v>630</v>
      </c>
      <c r="AE180" s="68"/>
      <c r="AF180" s="161"/>
      <c r="AG180" s="203"/>
      <c r="AH180" s="203"/>
      <c r="AI180" s="203"/>
      <c r="AJ180" s="203"/>
      <c r="AK180" s="203"/>
      <c r="AL180" s="203"/>
      <c r="AM180" s="203"/>
      <c r="AN180" s="203"/>
      <c r="AO180" s="203"/>
      <c r="AP180" s="203"/>
      <c r="AQ180" s="203"/>
      <c r="AR180" s="203"/>
      <c r="AS180" s="203"/>
      <c r="AT180" s="203"/>
    </row>
    <row r="181">
      <c r="A181" s="64">
        <v>696.0</v>
      </c>
      <c r="B181" s="66" t="s">
        <v>3454</v>
      </c>
      <c r="C181" s="68" t="s">
        <v>3455</v>
      </c>
      <c r="D181" s="64" t="s">
        <v>121</v>
      </c>
      <c r="E181" s="73" t="s">
        <v>2281</v>
      </c>
      <c r="F181" s="254" t="s">
        <v>3457</v>
      </c>
      <c r="G181" s="64" t="s">
        <v>326</v>
      </c>
      <c r="H181" s="171" t="s">
        <v>1221</v>
      </c>
      <c r="I181" s="449" t="s">
        <v>408</v>
      </c>
      <c r="J181" s="73" t="s">
        <v>114</v>
      </c>
      <c r="K181" s="373"/>
      <c r="L181" s="171" t="s">
        <v>360</v>
      </c>
      <c r="M181" s="74"/>
      <c r="N181" s="74" t="s">
        <v>3458</v>
      </c>
      <c r="O181" s="103">
        <v>30950.0</v>
      </c>
      <c r="P181" s="64">
        <f t="shared" ref="P181:P182" si="7">DATEDIF($O181,TODAY(),"Y")</f>
        <v>41</v>
      </c>
      <c r="Q181" s="73" t="s">
        <v>1743</v>
      </c>
      <c r="R181" s="81" t="s">
        <v>1110</v>
      </c>
      <c r="S181" s="329" t="s">
        <v>136</v>
      </c>
      <c r="T181" s="64"/>
      <c r="U181" s="329" t="s">
        <v>136</v>
      </c>
      <c r="V181" s="68"/>
      <c r="W181" s="68"/>
      <c r="X181" s="68"/>
      <c r="Y181" s="68"/>
      <c r="Z181" s="68"/>
      <c r="AA181" s="68" t="s">
        <v>2876</v>
      </c>
      <c r="AB181" s="68" t="s">
        <v>2876</v>
      </c>
      <c r="AC181" s="83"/>
      <c r="AD181" s="169"/>
      <c r="AE181" s="161"/>
      <c r="AF181" s="202">
        <v>45978.0</v>
      </c>
      <c r="AG181" s="203"/>
      <c r="AH181" s="203"/>
      <c r="AI181" s="203"/>
      <c r="AJ181" s="203"/>
      <c r="AK181" s="203"/>
      <c r="AL181" s="203"/>
      <c r="AM181" s="203"/>
      <c r="AN181" s="203"/>
      <c r="AO181" s="203"/>
      <c r="AP181" s="203"/>
      <c r="AQ181" s="203"/>
      <c r="AR181" s="203"/>
      <c r="AS181" s="203"/>
      <c r="AT181" s="203"/>
    </row>
    <row r="182">
      <c r="A182" s="64">
        <v>61.0</v>
      </c>
      <c r="B182" s="163" t="s">
        <v>1039</v>
      </c>
      <c r="C182" s="64" t="s">
        <v>1269</v>
      </c>
      <c r="D182" s="64" t="s">
        <v>1519</v>
      </c>
      <c r="E182" s="271" t="s">
        <v>213</v>
      </c>
      <c r="F182" s="254" t="s">
        <v>1523</v>
      </c>
      <c r="G182" s="68" t="s">
        <v>60</v>
      </c>
      <c r="H182" s="171" t="s">
        <v>1221</v>
      </c>
      <c r="I182" s="64" t="s">
        <v>1443</v>
      </c>
      <c r="J182" s="83" t="s">
        <v>114</v>
      </c>
      <c r="K182" s="378" t="s">
        <v>3460</v>
      </c>
      <c r="L182" s="171" t="s">
        <v>60</v>
      </c>
      <c r="M182" s="83"/>
      <c r="N182" s="68" t="s">
        <v>3461</v>
      </c>
      <c r="O182" s="385">
        <v>31922.0</v>
      </c>
      <c r="P182" s="64">
        <f t="shared" si="7"/>
        <v>39</v>
      </c>
      <c r="Q182" s="170" t="s">
        <v>3464</v>
      </c>
      <c r="R182" s="81"/>
      <c r="S182" s="83" t="s">
        <v>379</v>
      </c>
      <c r="T182" s="64"/>
      <c r="U182" s="83" t="s">
        <v>379</v>
      </c>
      <c r="V182" s="83"/>
      <c r="W182" s="68" t="s">
        <v>1174</v>
      </c>
      <c r="X182" s="383" t="s">
        <v>991</v>
      </c>
      <c r="Y182" s="68"/>
      <c r="Z182" s="83" t="s">
        <v>226</v>
      </c>
      <c r="AA182" s="83" t="s">
        <v>632</v>
      </c>
      <c r="AB182" s="169"/>
      <c r="AC182" s="83" t="s">
        <v>291</v>
      </c>
      <c r="AD182" s="83" t="s">
        <v>3469</v>
      </c>
      <c r="AE182" s="81"/>
      <c r="AF182" s="83" t="s">
        <v>3470</v>
      </c>
      <c r="AG182" s="203"/>
      <c r="AH182" s="203"/>
      <c r="AI182" s="203"/>
      <c r="AJ182" s="203"/>
      <c r="AK182" s="203"/>
      <c r="AL182" s="203"/>
      <c r="AM182" s="203"/>
      <c r="AN182" s="203"/>
      <c r="AO182" s="203"/>
      <c r="AP182" s="203"/>
      <c r="AQ182" s="203"/>
      <c r="AR182" s="203"/>
      <c r="AS182" s="203"/>
      <c r="AT182" s="203"/>
    </row>
    <row r="183">
      <c r="A183" s="64">
        <v>104.0</v>
      </c>
      <c r="B183" s="163" t="s">
        <v>1039</v>
      </c>
      <c r="C183" s="64" t="s">
        <v>1611</v>
      </c>
      <c r="D183" s="64" t="s">
        <v>1368</v>
      </c>
      <c r="E183" s="259" t="s">
        <v>213</v>
      </c>
      <c r="F183" s="254" t="s">
        <v>1523</v>
      </c>
      <c r="G183" s="68" t="s">
        <v>60</v>
      </c>
      <c r="H183" s="171" t="s">
        <v>1221</v>
      </c>
      <c r="I183" s="64" t="s">
        <v>1443</v>
      </c>
      <c r="J183" s="83" t="s">
        <v>114</v>
      </c>
      <c r="K183" s="424"/>
      <c r="L183" s="73" t="s">
        <v>60</v>
      </c>
      <c r="M183" s="68"/>
      <c r="N183" s="68" t="s">
        <v>3473</v>
      </c>
      <c r="O183" s="75"/>
      <c r="P183" s="64"/>
      <c r="Q183" s="73" t="s">
        <v>3476</v>
      </c>
      <c r="R183" s="81"/>
      <c r="S183" s="329" t="s">
        <v>543</v>
      </c>
      <c r="T183" s="64"/>
      <c r="U183" s="329" t="s">
        <v>543</v>
      </c>
      <c r="V183" s="83"/>
      <c r="W183" s="68" t="s">
        <v>1174</v>
      </c>
      <c r="X183" s="383" t="s">
        <v>991</v>
      </c>
      <c r="Y183" s="68"/>
      <c r="Z183" s="68"/>
      <c r="AA183" s="83" t="s">
        <v>2451</v>
      </c>
      <c r="AB183" s="83" t="s">
        <v>3127</v>
      </c>
      <c r="AC183" s="83" t="s">
        <v>3482</v>
      </c>
      <c r="AD183" s="83" t="s">
        <v>3483</v>
      </c>
      <c r="AE183" s="81"/>
      <c r="AF183" s="83"/>
      <c r="AG183" s="203"/>
      <c r="AH183" s="203"/>
      <c r="AI183" s="203"/>
      <c r="AJ183" s="203"/>
      <c r="AK183" s="203"/>
      <c r="AL183" s="203"/>
      <c r="AM183" s="203"/>
      <c r="AN183" s="203"/>
      <c r="AO183" s="203"/>
      <c r="AP183" s="203"/>
      <c r="AQ183" s="203"/>
      <c r="AR183" s="203"/>
      <c r="AS183" s="203"/>
      <c r="AT183" s="203"/>
    </row>
    <row r="184">
      <c r="A184" s="64">
        <v>542.0</v>
      </c>
      <c r="B184" s="163" t="s">
        <v>3297</v>
      </c>
      <c r="C184" s="64" t="s">
        <v>3298</v>
      </c>
      <c r="D184" s="64" t="s">
        <v>121</v>
      </c>
      <c r="E184" s="171" t="s">
        <v>1932</v>
      </c>
      <c r="F184" s="254" t="s">
        <v>3486</v>
      </c>
      <c r="G184" s="68" t="s">
        <v>326</v>
      </c>
      <c r="H184" s="171" t="s">
        <v>1221</v>
      </c>
      <c r="I184" s="64" t="s">
        <v>1443</v>
      </c>
      <c r="J184" s="171" t="s">
        <v>114</v>
      </c>
      <c r="K184" s="378" t="s">
        <v>3488</v>
      </c>
      <c r="L184" s="171" t="s">
        <v>60</v>
      </c>
      <c r="M184" s="83"/>
      <c r="N184" s="64" t="s">
        <v>3491</v>
      </c>
      <c r="O184" s="103">
        <v>32001.0</v>
      </c>
      <c r="P184" s="64">
        <f>DATEDIF($O184,TODAY(),"Y")</f>
        <v>39</v>
      </c>
      <c r="Q184" s="171" t="s">
        <v>3494</v>
      </c>
      <c r="R184" s="81"/>
      <c r="S184" s="329" t="s">
        <v>379</v>
      </c>
      <c r="T184" s="83"/>
      <c r="U184" s="329" t="s">
        <v>379</v>
      </c>
      <c r="V184" s="68"/>
      <c r="W184" s="64"/>
      <c r="X184" s="64"/>
      <c r="Y184" s="64"/>
      <c r="Z184" s="83" t="s">
        <v>226</v>
      </c>
      <c r="AA184" s="83" t="s">
        <v>632</v>
      </c>
      <c r="AB184" s="64" t="s">
        <v>2451</v>
      </c>
      <c r="AC184" s="83" t="s">
        <v>291</v>
      </c>
      <c r="AD184" s="354" t="s">
        <v>3499</v>
      </c>
      <c r="AE184" s="161"/>
      <c r="AF184" s="83" t="s">
        <v>3470</v>
      </c>
      <c r="AG184" s="203"/>
      <c r="AH184" s="203"/>
      <c r="AI184" s="203"/>
      <c r="AJ184" s="203"/>
      <c r="AK184" s="203"/>
      <c r="AL184" s="203"/>
      <c r="AM184" s="203"/>
      <c r="AN184" s="203"/>
      <c r="AO184" s="203"/>
      <c r="AP184" s="203"/>
      <c r="AQ184" s="203"/>
      <c r="AR184" s="203"/>
      <c r="AS184" s="203"/>
      <c r="AT184" s="203"/>
    </row>
    <row r="185">
      <c r="A185" s="64"/>
      <c r="B185" s="231"/>
      <c r="C185" s="202"/>
      <c r="D185" s="81">
        <v>46015.0</v>
      </c>
      <c r="E185" s="71"/>
      <c r="F185" s="64"/>
      <c r="G185" s="64"/>
      <c r="H185" s="64"/>
      <c r="I185" s="64"/>
      <c r="J185" s="239" t="s">
        <v>3503</v>
      </c>
      <c r="K185" s="239"/>
      <c r="L185" s="170" t="s">
        <v>504</v>
      </c>
      <c r="M185" s="83"/>
      <c r="N185" s="83" t="s">
        <v>3504</v>
      </c>
      <c r="O185" s="64"/>
      <c r="P185" s="64"/>
      <c r="Q185" s="83" t="s">
        <v>3505</v>
      </c>
      <c r="R185" s="353"/>
      <c r="S185" s="83" t="s">
        <v>261</v>
      </c>
      <c r="T185" s="83" t="s">
        <v>350</v>
      </c>
      <c r="U185" s="83" t="s">
        <v>261</v>
      </c>
      <c r="V185" s="83" t="s">
        <v>186</v>
      </c>
      <c r="W185" s="68"/>
      <c r="X185" s="170" t="s">
        <v>2090</v>
      </c>
      <c r="Y185" s="83"/>
      <c r="Z185" s="83"/>
      <c r="AA185" s="68"/>
      <c r="AB185" s="169"/>
      <c r="AC185" s="83" t="s">
        <v>861</v>
      </c>
      <c r="AD185" s="83"/>
      <c r="AE185" s="83"/>
      <c r="AF185" s="385"/>
      <c r="AG185" s="203"/>
      <c r="AH185" s="203"/>
      <c r="AI185" s="203"/>
      <c r="AJ185" s="203"/>
      <c r="AK185" s="203"/>
      <c r="AL185" s="203"/>
      <c r="AM185" s="203"/>
      <c r="AN185" s="203"/>
      <c r="AO185" s="203"/>
      <c r="AP185" s="203"/>
      <c r="AQ185" s="203"/>
      <c r="AR185" s="203"/>
      <c r="AS185" s="203"/>
      <c r="AT185" s="203"/>
    </row>
    <row r="186">
      <c r="A186" s="64"/>
      <c r="B186" s="218" t="s">
        <v>145</v>
      </c>
      <c r="C186" s="202"/>
      <c r="D186" s="81">
        <v>46030.0</v>
      </c>
      <c r="E186" s="71"/>
      <c r="F186" s="64"/>
      <c r="G186" s="64"/>
      <c r="H186" s="64"/>
      <c r="I186" s="64"/>
      <c r="J186" s="239" t="s">
        <v>3514</v>
      </c>
      <c r="K186" s="239"/>
      <c r="L186" s="170" t="s">
        <v>60</v>
      </c>
      <c r="M186" s="83"/>
      <c r="N186" s="83" t="s">
        <v>3515</v>
      </c>
      <c r="O186" s="64"/>
      <c r="P186" s="64"/>
      <c r="Q186" s="83" t="s">
        <v>792</v>
      </c>
      <c r="R186" s="353"/>
      <c r="S186" s="83" t="s">
        <v>261</v>
      </c>
      <c r="T186" s="83" t="s">
        <v>350</v>
      </c>
      <c r="U186" s="83" t="s">
        <v>261</v>
      </c>
      <c r="V186" s="83" t="s">
        <v>182</v>
      </c>
      <c r="W186" s="68" t="s">
        <v>183</v>
      </c>
      <c r="X186" s="170" t="s">
        <v>2090</v>
      </c>
      <c r="Y186" s="83" t="s">
        <v>185</v>
      </c>
      <c r="Z186" s="83" t="s">
        <v>269</v>
      </c>
      <c r="AA186" s="68"/>
      <c r="AB186" s="169"/>
      <c r="AC186" s="83" t="s">
        <v>861</v>
      </c>
      <c r="AD186" s="83"/>
      <c r="AE186" s="83"/>
      <c r="AF186" s="385"/>
      <c r="AG186" s="203"/>
      <c r="AH186" s="203"/>
      <c r="AI186" s="203"/>
      <c r="AJ186" s="203"/>
      <c r="AK186" s="203"/>
      <c r="AL186" s="203"/>
      <c r="AM186" s="203"/>
      <c r="AN186" s="203"/>
      <c r="AO186" s="203"/>
      <c r="AP186" s="203"/>
      <c r="AQ186" s="203"/>
      <c r="AR186" s="203"/>
      <c r="AS186" s="203"/>
      <c r="AT186" s="203"/>
    </row>
    <row r="187">
      <c r="A187" s="64">
        <v>233.0</v>
      </c>
      <c r="B187" s="283" t="s">
        <v>1645</v>
      </c>
      <c r="C187" s="284" t="s">
        <v>1611</v>
      </c>
      <c r="D187" s="283" t="s">
        <v>1519</v>
      </c>
      <c r="E187" s="452" t="s">
        <v>321</v>
      </c>
      <c r="F187" s="254" t="s">
        <v>1552</v>
      </c>
      <c r="G187" s="68" t="s">
        <v>60</v>
      </c>
      <c r="H187" s="171" t="s">
        <v>1221</v>
      </c>
      <c r="I187" s="64" t="s">
        <v>1443</v>
      </c>
      <c r="J187" s="68" t="s">
        <v>114</v>
      </c>
      <c r="K187" s="412" t="s">
        <v>3521</v>
      </c>
      <c r="L187" s="64" t="s">
        <v>60</v>
      </c>
      <c r="N187" s="64" t="s">
        <v>3522</v>
      </c>
      <c r="O187" s="64" t="s">
        <v>3523</v>
      </c>
      <c r="P187" s="103">
        <v>27781.0</v>
      </c>
      <c r="Q187" s="64"/>
      <c r="R187" s="64">
        <f>DATEDIF($P187,TODAY(),"Y")</f>
        <v>50</v>
      </c>
      <c r="S187" s="81"/>
      <c r="T187" s="81"/>
      <c r="U187" s="414" t="s">
        <v>344</v>
      </c>
      <c r="V187" s="64"/>
      <c r="W187" s="68"/>
      <c r="X187" s="68"/>
      <c r="Y187" s="68"/>
      <c r="Z187" s="68"/>
      <c r="AA187" s="68"/>
      <c r="AB187" s="68"/>
      <c r="AC187" s="68"/>
      <c r="AD187" s="169"/>
      <c r="AE187" s="68"/>
      <c r="AF187" s="75"/>
      <c r="AG187" s="68"/>
      <c r="AH187" s="83" t="s">
        <v>3534</v>
      </c>
      <c r="AI187" s="203"/>
      <c r="AJ187" s="203"/>
      <c r="AK187" s="203"/>
      <c r="AL187" s="203"/>
      <c r="AM187" s="203"/>
      <c r="AN187" s="203"/>
      <c r="AO187" s="203"/>
      <c r="AP187" s="203"/>
      <c r="AQ187" s="203"/>
      <c r="AR187" s="203"/>
      <c r="AS187" s="203"/>
      <c r="AT187" s="203"/>
    </row>
    <row r="188">
      <c r="A188" s="64">
        <v>507.0</v>
      </c>
      <c r="B188" s="163" t="s">
        <v>1728</v>
      </c>
      <c r="C188" s="64" t="s">
        <v>3031</v>
      </c>
      <c r="D188" s="64" t="s">
        <v>121</v>
      </c>
      <c r="E188" s="179" t="s">
        <v>287</v>
      </c>
      <c r="F188" s="254" t="s">
        <v>2853</v>
      </c>
      <c r="G188" s="68" t="s">
        <v>60</v>
      </c>
      <c r="H188" s="171" t="s">
        <v>1221</v>
      </c>
      <c r="I188" s="64" t="s">
        <v>1443</v>
      </c>
      <c r="J188" s="83" t="s">
        <v>114</v>
      </c>
      <c r="K188" s="369"/>
      <c r="L188" s="83" t="s">
        <v>60</v>
      </c>
      <c r="N188" s="83" t="s">
        <v>3537</v>
      </c>
      <c r="O188" s="83" t="s">
        <v>3539</v>
      </c>
      <c r="P188" s="64"/>
      <c r="Q188" s="64"/>
      <c r="R188" s="64"/>
      <c r="S188" s="81"/>
      <c r="T188" s="81"/>
      <c r="U188" s="83" t="s">
        <v>344</v>
      </c>
      <c r="V188" s="83"/>
      <c r="W188" s="83"/>
      <c r="X188" s="68" t="s">
        <v>186</v>
      </c>
      <c r="Y188" s="68"/>
      <c r="Z188" s="170" t="s">
        <v>2482</v>
      </c>
      <c r="AA188" s="68"/>
      <c r="AB188" s="68"/>
      <c r="AC188" s="68"/>
      <c r="AD188" s="169"/>
      <c r="AE188" s="83"/>
      <c r="AF188" s="83" t="s">
        <v>3541</v>
      </c>
      <c r="AG188" s="83"/>
      <c r="AH188" s="207">
        <v>46009.0</v>
      </c>
      <c r="AI188" s="203"/>
      <c r="AJ188" s="203"/>
      <c r="AK188" s="203"/>
      <c r="AL188" s="203"/>
      <c r="AM188" s="203"/>
      <c r="AN188" s="203"/>
      <c r="AO188" s="203"/>
      <c r="AP188" s="203"/>
      <c r="AQ188" s="203"/>
      <c r="AR188" s="203"/>
      <c r="AS188" s="203"/>
      <c r="AT188" s="203"/>
    </row>
    <row r="189">
      <c r="A189" s="64">
        <v>27.0</v>
      </c>
      <c r="B189" s="163" t="s">
        <v>1039</v>
      </c>
      <c r="C189" s="64" t="s">
        <v>121</v>
      </c>
      <c r="D189" s="64" t="s">
        <v>121</v>
      </c>
      <c r="E189" s="454" t="s">
        <v>1063</v>
      </c>
      <c r="F189" s="254" t="s">
        <v>126</v>
      </c>
      <c r="G189" s="68" t="s">
        <v>143</v>
      </c>
      <c r="H189" s="455" t="s">
        <v>3545</v>
      </c>
      <c r="I189" s="456" t="s">
        <v>135</v>
      </c>
      <c r="J189" s="171" t="s">
        <v>114</v>
      </c>
      <c r="K189" s="373"/>
      <c r="L189" s="171" t="s">
        <v>363</v>
      </c>
      <c r="N189" s="387" t="s">
        <v>3547</v>
      </c>
      <c r="O189" s="171" t="s">
        <v>3548</v>
      </c>
      <c r="P189" s="103"/>
      <c r="Q189" s="81"/>
      <c r="R189" s="64"/>
      <c r="S189" s="83"/>
      <c r="T189" s="81"/>
      <c r="U189" s="329" t="s">
        <v>136</v>
      </c>
      <c r="V189" s="64"/>
      <c r="W189" s="64"/>
      <c r="X189" s="68"/>
      <c r="Y189" s="64"/>
      <c r="Z189" s="64"/>
      <c r="AA189" s="64"/>
      <c r="AB189" s="68"/>
      <c r="AC189" s="64" t="s">
        <v>2451</v>
      </c>
      <c r="AD189" s="169"/>
      <c r="AE189" s="83"/>
      <c r="AF189" s="169"/>
      <c r="AG189" s="161"/>
      <c r="AH189" s="207">
        <v>45985.0</v>
      </c>
      <c r="AI189" s="203"/>
      <c r="AJ189" s="203"/>
      <c r="AK189" s="203"/>
      <c r="AL189" s="203"/>
      <c r="AM189" s="203"/>
      <c r="AN189" s="203"/>
      <c r="AO189" s="203"/>
      <c r="AP189" s="203"/>
      <c r="AQ189" s="203"/>
      <c r="AR189" s="203"/>
      <c r="AS189" s="203"/>
      <c r="AT189" s="203"/>
    </row>
    <row r="190">
      <c r="A190" s="64">
        <v>37.0</v>
      </c>
      <c r="B190" s="283" t="s">
        <v>1039</v>
      </c>
      <c r="C190" s="284" t="s">
        <v>1269</v>
      </c>
      <c r="D190" s="284" t="s">
        <v>121</v>
      </c>
      <c r="E190" s="454" t="s">
        <v>295</v>
      </c>
      <c r="F190" s="254" t="s">
        <v>1241</v>
      </c>
      <c r="G190" s="68" t="s">
        <v>60</v>
      </c>
      <c r="H190" s="171" t="s">
        <v>1221</v>
      </c>
      <c r="I190" s="171" t="s">
        <v>1221</v>
      </c>
      <c r="J190" s="83" t="s">
        <v>114</v>
      </c>
      <c r="K190" s="378" t="s">
        <v>3552</v>
      </c>
      <c r="L190" s="73" t="s">
        <v>60</v>
      </c>
      <c r="N190" s="323" t="s">
        <v>3553</v>
      </c>
      <c r="O190" s="369" t="s">
        <v>3554</v>
      </c>
      <c r="P190" s="75"/>
      <c r="Q190" s="64"/>
      <c r="R190" s="64"/>
      <c r="S190" s="81"/>
      <c r="T190" s="81"/>
      <c r="U190" s="83" t="s">
        <v>368</v>
      </c>
      <c r="V190" s="68"/>
      <c r="W190" s="83"/>
      <c r="X190" s="83"/>
      <c r="Y190" s="68" t="s">
        <v>1174</v>
      </c>
      <c r="Z190" s="383" t="s">
        <v>991</v>
      </c>
      <c r="AA190" s="68"/>
      <c r="AB190" s="68"/>
      <c r="AC190" s="68" t="s">
        <v>2451</v>
      </c>
      <c r="AD190" s="169"/>
      <c r="AE190" s="83"/>
      <c r="AF190" s="75"/>
      <c r="AG190" s="83" t="s">
        <v>375</v>
      </c>
      <c r="AH190" s="385">
        <v>46009.0</v>
      </c>
      <c r="AI190" s="203"/>
      <c r="AJ190" s="203"/>
      <c r="AK190" s="203"/>
      <c r="AL190" s="203"/>
      <c r="AM190" s="203"/>
      <c r="AN190" s="203"/>
      <c r="AO190" s="203"/>
      <c r="AP190" s="203"/>
      <c r="AQ190" s="203"/>
      <c r="AR190" s="203"/>
      <c r="AS190" s="203"/>
      <c r="AT190" s="203"/>
    </row>
    <row r="191">
      <c r="A191" s="64">
        <v>40.0</v>
      </c>
      <c r="B191" s="163" t="s">
        <v>1039</v>
      </c>
      <c r="C191" s="64" t="s">
        <v>1269</v>
      </c>
      <c r="D191" s="64" t="s">
        <v>1368</v>
      </c>
      <c r="E191" s="454" t="s">
        <v>460</v>
      </c>
      <c r="F191" s="254" t="s">
        <v>1435</v>
      </c>
      <c r="G191" s="68" t="s">
        <v>326</v>
      </c>
      <c r="H191" s="171" t="s">
        <v>1221</v>
      </c>
      <c r="I191" s="64" t="s">
        <v>1443</v>
      </c>
      <c r="J191" s="73" t="s">
        <v>114</v>
      </c>
      <c r="K191" s="383" t="s">
        <v>3564</v>
      </c>
      <c r="L191" s="171" t="s">
        <v>656</v>
      </c>
      <c r="N191" s="387" t="s">
        <v>3566</v>
      </c>
      <c r="O191" s="383" t="s">
        <v>3564</v>
      </c>
      <c r="P191" s="103"/>
      <c r="Q191" s="81"/>
      <c r="R191" s="64"/>
      <c r="S191" s="81"/>
      <c r="T191" s="81"/>
      <c r="U191" s="329" t="s">
        <v>136</v>
      </c>
      <c r="V191" s="68"/>
      <c r="W191" s="68"/>
      <c r="X191" s="68"/>
      <c r="Y191" s="68"/>
      <c r="Z191" s="68"/>
      <c r="AA191" s="68"/>
      <c r="AB191" s="68"/>
      <c r="AC191" s="68" t="s">
        <v>2451</v>
      </c>
      <c r="AD191" s="169"/>
      <c r="AE191" s="83"/>
      <c r="AF191" s="83"/>
      <c r="AG191" s="83"/>
      <c r="AH191" s="385">
        <v>45982.0</v>
      </c>
      <c r="AI191" s="203"/>
      <c r="AJ191" s="203"/>
      <c r="AK191" s="203"/>
      <c r="AL191" s="203"/>
      <c r="AM191" s="203"/>
      <c r="AN191" s="203"/>
      <c r="AO191" s="203"/>
      <c r="AP191" s="203"/>
      <c r="AQ191" s="203"/>
      <c r="AR191" s="203"/>
      <c r="AS191" s="203"/>
      <c r="AT191" s="203"/>
    </row>
    <row r="192">
      <c r="A192" s="64">
        <v>81.0</v>
      </c>
      <c r="B192" s="163" t="s">
        <v>1039</v>
      </c>
      <c r="C192" s="64" t="s">
        <v>1517</v>
      </c>
      <c r="D192" s="64" t="s">
        <v>1494</v>
      </c>
      <c r="E192" s="452" t="s">
        <v>321</v>
      </c>
      <c r="F192" s="254" t="s">
        <v>1552</v>
      </c>
      <c r="G192" s="68" t="s">
        <v>60</v>
      </c>
      <c r="H192" s="171" t="s">
        <v>1221</v>
      </c>
      <c r="I192" s="64" t="s">
        <v>1443</v>
      </c>
      <c r="J192" s="68" t="s">
        <v>114</v>
      </c>
      <c r="K192" s="378" t="s">
        <v>3580</v>
      </c>
      <c r="L192" s="73" t="s">
        <v>60</v>
      </c>
      <c r="N192" s="68" t="s">
        <v>3581</v>
      </c>
      <c r="O192" s="83" t="s">
        <v>3582</v>
      </c>
      <c r="P192" s="458">
        <v>28460.0</v>
      </c>
      <c r="Q192" s="81">
        <f t="shared" ref="Q192:Q204" si="8">VALUE(LEFT(TEXT(S192,0),5))+1</f>
        <v>28460</v>
      </c>
      <c r="R192" s="64">
        <f t="shared" ref="R192:R204" si="9">DATEDIF($P192,TODAY(),"Y")</f>
        <v>48</v>
      </c>
      <c r="S192" s="81">
        <v>2.845901933E9</v>
      </c>
      <c r="T192" s="81"/>
      <c r="U192" s="83" t="s">
        <v>368</v>
      </c>
      <c r="V192" s="64"/>
      <c r="W192" s="68"/>
      <c r="X192" s="83"/>
      <c r="Y192" s="68" t="s">
        <v>1174</v>
      </c>
      <c r="Z192" s="383" t="s">
        <v>991</v>
      </c>
      <c r="AA192" s="68"/>
      <c r="AB192" s="68"/>
      <c r="AC192" s="83"/>
      <c r="AD192" s="169"/>
      <c r="AE192" s="83"/>
      <c r="AF192" s="83"/>
      <c r="AG192" s="83" t="s">
        <v>375</v>
      </c>
      <c r="AH192" s="202">
        <v>46024.0</v>
      </c>
      <c r="AI192" s="203"/>
      <c r="AJ192" s="203"/>
      <c r="AK192" s="203"/>
      <c r="AL192" s="203"/>
      <c r="AM192" s="203"/>
      <c r="AN192" s="203"/>
      <c r="AO192" s="203"/>
      <c r="AP192" s="203"/>
      <c r="AQ192" s="203"/>
      <c r="AR192" s="203"/>
      <c r="AS192" s="203"/>
      <c r="AT192" s="203"/>
    </row>
    <row r="193">
      <c r="A193" s="64">
        <v>84.0</v>
      </c>
      <c r="B193" s="163" t="s">
        <v>1039</v>
      </c>
      <c r="C193" s="64" t="s">
        <v>1517</v>
      </c>
      <c r="D193" s="64" t="s">
        <v>1494</v>
      </c>
      <c r="E193" s="454" t="s">
        <v>536</v>
      </c>
      <c r="F193" s="254" t="s">
        <v>2458</v>
      </c>
      <c r="G193" s="68" t="s">
        <v>60</v>
      </c>
      <c r="H193" s="171" t="s">
        <v>1221</v>
      </c>
      <c r="I193" s="64" t="s">
        <v>1443</v>
      </c>
      <c r="J193" s="171" t="s">
        <v>114</v>
      </c>
      <c r="K193" s="378" t="s">
        <v>3609</v>
      </c>
      <c r="L193" s="171" t="s">
        <v>60</v>
      </c>
      <c r="N193" s="462" t="s">
        <v>3610</v>
      </c>
      <c r="O193" s="64" t="s">
        <v>2037</v>
      </c>
      <c r="P193" s="463">
        <v>32103.0</v>
      </c>
      <c r="Q193" s="81">
        <f t="shared" si="8"/>
        <v>32103</v>
      </c>
      <c r="R193" s="64">
        <f t="shared" si="9"/>
        <v>38</v>
      </c>
      <c r="S193" s="81">
        <v>3.210209475E9</v>
      </c>
      <c r="T193" s="81"/>
      <c r="U193" s="329" t="s">
        <v>368</v>
      </c>
      <c r="V193" s="83"/>
      <c r="W193" s="83"/>
      <c r="X193" s="68"/>
      <c r="Y193" s="83"/>
      <c r="Z193" s="64"/>
      <c r="AA193" s="64"/>
      <c r="AB193" s="68"/>
      <c r="AC193" s="64" t="s">
        <v>2451</v>
      </c>
      <c r="AD193" s="169"/>
      <c r="AE193" s="83"/>
      <c r="AF193" s="464"/>
      <c r="AG193" s="95" t="s">
        <v>375</v>
      </c>
      <c r="AH193" s="202">
        <v>46018.0</v>
      </c>
      <c r="AI193" s="203"/>
      <c r="AJ193" s="203"/>
      <c r="AK193" s="203"/>
      <c r="AL193" s="203"/>
      <c r="AM193" s="203"/>
      <c r="AN193" s="203"/>
      <c r="AO193" s="203"/>
      <c r="AP193" s="203"/>
      <c r="AQ193" s="203"/>
      <c r="AR193" s="203"/>
      <c r="AS193" s="203"/>
      <c r="AT193" s="203"/>
    </row>
    <row r="194">
      <c r="A194" s="64">
        <v>92.0</v>
      </c>
      <c r="B194" s="163" t="s">
        <v>1039</v>
      </c>
      <c r="C194" s="64" t="s">
        <v>1517</v>
      </c>
      <c r="D194" s="64" t="s">
        <v>1519</v>
      </c>
      <c r="E194" s="452" t="s">
        <v>213</v>
      </c>
      <c r="F194" s="254" t="s">
        <v>1523</v>
      </c>
      <c r="G194" s="68" t="s">
        <v>60</v>
      </c>
      <c r="H194" s="171" t="s">
        <v>1221</v>
      </c>
      <c r="I194" s="171" t="s">
        <v>1221</v>
      </c>
      <c r="J194" s="83" t="s">
        <v>114</v>
      </c>
      <c r="K194" s="239"/>
      <c r="L194" s="170" t="s">
        <v>60</v>
      </c>
      <c r="N194" s="465" t="s">
        <v>3623</v>
      </c>
      <c r="O194" s="170" t="s">
        <v>2093</v>
      </c>
      <c r="P194" s="458">
        <v>26973.0</v>
      </c>
      <c r="Q194" s="81">
        <f t="shared" si="8"/>
        <v>26973</v>
      </c>
      <c r="R194" s="64">
        <f t="shared" si="9"/>
        <v>52</v>
      </c>
      <c r="S194" s="81">
        <v>2.697208438E9</v>
      </c>
      <c r="T194" s="81"/>
      <c r="U194" s="83" t="s">
        <v>368</v>
      </c>
      <c r="V194" s="64"/>
      <c r="W194" s="83"/>
      <c r="X194" s="83"/>
      <c r="Y194" s="68" t="s">
        <v>183</v>
      </c>
      <c r="Z194" s="419" t="s">
        <v>1725</v>
      </c>
      <c r="AA194" s="83" t="s">
        <v>1178</v>
      </c>
      <c r="AB194" s="68"/>
      <c r="AC194" s="83" t="s">
        <v>2451</v>
      </c>
      <c r="AD194" s="169"/>
      <c r="AE194" s="83"/>
      <c r="AF194" s="68"/>
      <c r="AG194" s="83" t="s">
        <v>375</v>
      </c>
      <c r="AH194" s="202">
        <v>46029.0</v>
      </c>
      <c r="AI194" s="203"/>
      <c r="AJ194" s="203"/>
      <c r="AK194" s="203"/>
      <c r="AL194" s="203"/>
      <c r="AM194" s="203"/>
      <c r="AN194" s="203"/>
      <c r="AO194" s="203"/>
      <c r="AP194" s="203"/>
      <c r="AQ194" s="203"/>
      <c r="AR194" s="203"/>
      <c r="AS194" s="203"/>
      <c r="AT194" s="203"/>
    </row>
    <row r="195">
      <c r="A195" s="64">
        <v>117.0</v>
      </c>
      <c r="B195" s="163" t="s">
        <v>1039</v>
      </c>
      <c r="C195" s="64" t="s">
        <v>1611</v>
      </c>
      <c r="D195" s="64" t="s">
        <v>1519</v>
      </c>
      <c r="E195" s="452" t="s">
        <v>302</v>
      </c>
      <c r="F195" s="254" t="s">
        <v>1404</v>
      </c>
      <c r="G195" s="68" t="s">
        <v>326</v>
      </c>
      <c r="H195" s="171" t="s">
        <v>1221</v>
      </c>
      <c r="I195" s="449" t="s">
        <v>408</v>
      </c>
      <c r="J195" s="73" t="s">
        <v>114</v>
      </c>
      <c r="K195" s="378" t="s">
        <v>3637</v>
      </c>
      <c r="L195" s="171" t="s">
        <v>360</v>
      </c>
      <c r="N195" s="83" t="s">
        <v>3639</v>
      </c>
      <c r="O195" s="171" t="s">
        <v>3640</v>
      </c>
      <c r="P195" s="133">
        <v>27680.0</v>
      </c>
      <c r="Q195" s="81" t="str">
        <f t="shared" si="8"/>
        <v>#VALUE!</v>
      </c>
      <c r="R195" s="64">
        <f t="shared" si="9"/>
        <v>50</v>
      </c>
      <c r="S195" s="83" t="s">
        <v>3642</v>
      </c>
      <c r="T195" s="81"/>
      <c r="U195" s="329" t="s">
        <v>344</v>
      </c>
      <c r="V195" s="68"/>
      <c r="W195" s="64"/>
      <c r="X195" s="68"/>
      <c r="Y195" s="68"/>
      <c r="Z195" s="68"/>
      <c r="AA195" s="68"/>
      <c r="AB195" s="68"/>
      <c r="AC195" s="68" t="s">
        <v>2451</v>
      </c>
      <c r="AD195" s="169"/>
      <c r="AE195" s="68"/>
      <c r="AF195" s="169"/>
      <c r="AG195" s="83" t="s">
        <v>3648</v>
      </c>
      <c r="AH195" s="202">
        <v>45984.0</v>
      </c>
      <c r="AI195" s="203"/>
      <c r="AJ195" s="203"/>
      <c r="AK195" s="203"/>
      <c r="AL195" s="203"/>
      <c r="AM195" s="203"/>
      <c r="AN195" s="203"/>
      <c r="AO195" s="203"/>
      <c r="AP195" s="203"/>
      <c r="AQ195" s="203"/>
      <c r="AR195" s="203"/>
      <c r="AS195" s="203"/>
      <c r="AT195" s="203"/>
    </row>
    <row r="196">
      <c r="A196" s="64">
        <v>226.0</v>
      </c>
      <c r="B196" s="283" t="s">
        <v>1645</v>
      </c>
      <c r="C196" s="284" t="s">
        <v>1611</v>
      </c>
      <c r="D196" s="283" t="s">
        <v>1494</v>
      </c>
      <c r="E196" s="469" t="s">
        <v>213</v>
      </c>
      <c r="F196" s="254" t="s">
        <v>1523</v>
      </c>
      <c r="G196" s="68" t="s">
        <v>60</v>
      </c>
      <c r="H196" s="171" t="s">
        <v>1221</v>
      </c>
      <c r="I196" s="64" t="s">
        <v>1443</v>
      </c>
      <c r="J196" s="83" t="s">
        <v>114</v>
      </c>
      <c r="K196" s="239"/>
      <c r="L196" s="170" t="s">
        <v>60</v>
      </c>
      <c r="N196" s="68" t="s">
        <v>3652</v>
      </c>
      <c r="O196" s="170" t="s">
        <v>3653</v>
      </c>
      <c r="P196" s="458">
        <v>29407.0</v>
      </c>
      <c r="Q196" s="81" t="str">
        <f t="shared" si="8"/>
        <v>#VALUE!</v>
      </c>
      <c r="R196" s="64">
        <f t="shared" si="9"/>
        <v>46</v>
      </c>
      <c r="S196" s="83" t="s">
        <v>3642</v>
      </c>
      <c r="T196" s="81"/>
      <c r="U196" s="83" t="s">
        <v>368</v>
      </c>
      <c r="V196" s="64"/>
      <c r="W196" s="83"/>
      <c r="X196" s="83"/>
      <c r="Y196" s="68" t="s">
        <v>183</v>
      </c>
      <c r="Z196" s="419" t="s">
        <v>1725</v>
      </c>
      <c r="AA196" s="83"/>
      <c r="AB196" s="68"/>
      <c r="AC196" s="83" t="s">
        <v>150</v>
      </c>
      <c r="AD196" s="169"/>
      <c r="AE196" s="83"/>
      <c r="AF196" s="68"/>
      <c r="AG196" s="83" t="s">
        <v>375</v>
      </c>
      <c r="AH196" s="385">
        <v>46032.0</v>
      </c>
      <c r="AI196" s="203"/>
      <c r="AJ196" s="203"/>
      <c r="AK196" s="203"/>
      <c r="AL196" s="203"/>
      <c r="AM196" s="203"/>
      <c r="AN196" s="203"/>
      <c r="AO196" s="203"/>
      <c r="AP196" s="203"/>
      <c r="AQ196" s="203"/>
      <c r="AR196" s="203"/>
      <c r="AS196" s="203"/>
      <c r="AT196" s="203"/>
    </row>
    <row r="197">
      <c r="A197" s="64">
        <v>244.0</v>
      </c>
      <c r="B197" s="283" t="s">
        <v>1645</v>
      </c>
      <c r="C197" s="284" t="s">
        <v>1728</v>
      </c>
      <c r="D197" s="283" t="s">
        <v>121</v>
      </c>
      <c r="E197" s="454" t="s">
        <v>201</v>
      </c>
      <c r="F197" s="254" t="s">
        <v>1849</v>
      </c>
      <c r="G197" s="382" t="s">
        <v>60</v>
      </c>
      <c r="H197" s="171" t="s">
        <v>1221</v>
      </c>
      <c r="I197" s="64" t="s">
        <v>1443</v>
      </c>
      <c r="J197" s="64" t="s">
        <v>114</v>
      </c>
      <c r="K197" s="378" t="s">
        <v>3659</v>
      </c>
      <c r="L197" s="73" t="s">
        <v>60</v>
      </c>
      <c r="N197" s="74" t="s">
        <v>3661</v>
      </c>
      <c r="O197" s="64" t="s">
        <v>943</v>
      </c>
      <c r="P197" s="385">
        <v>33479.0</v>
      </c>
      <c r="Q197" s="81">
        <f t="shared" si="8"/>
        <v>33479</v>
      </c>
      <c r="R197" s="64">
        <f t="shared" si="9"/>
        <v>35</v>
      </c>
      <c r="S197" s="83">
        <v>3.347811412E9</v>
      </c>
      <c r="T197" s="81"/>
      <c r="U197" s="387" t="s">
        <v>136</v>
      </c>
      <c r="V197" s="64"/>
      <c r="W197" s="68"/>
      <c r="X197" s="68" t="s">
        <v>186</v>
      </c>
      <c r="Y197" s="68" t="s">
        <v>1174</v>
      </c>
      <c r="Z197" s="170" t="s">
        <v>1725</v>
      </c>
      <c r="AA197" s="68"/>
      <c r="AB197" s="68"/>
      <c r="AC197" s="68"/>
      <c r="AD197" s="169"/>
      <c r="AE197" s="68"/>
      <c r="AF197" s="83"/>
      <c r="AG197" s="95"/>
      <c r="AH197" s="413">
        <v>45989.0</v>
      </c>
      <c r="AI197" s="203"/>
      <c r="AJ197" s="203"/>
      <c r="AK197" s="203"/>
      <c r="AL197" s="203"/>
      <c r="AM197" s="203"/>
      <c r="AN197" s="203"/>
      <c r="AO197" s="203"/>
      <c r="AP197" s="203"/>
      <c r="AQ197" s="203"/>
      <c r="AR197" s="203"/>
      <c r="AS197" s="203"/>
      <c r="AT197" s="203"/>
    </row>
    <row r="198">
      <c r="A198" s="64">
        <v>281.0</v>
      </c>
      <c r="B198" s="163" t="s">
        <v>1709</v>
      </c>
      <c r="C198" s="64" t="s">
        <v>1269</v>
      </c>
      <c r="D198" s="163" t="s">
        <v>1494</v>
      </c>
      <c r="E198" s="454" t="s">
        <v>58</v>
      </c>
      <c r="F198" s="254" t="s">
        <v>1496</v>
      </c>
      <c r="G198" s="68" t="s">
        <v>60</v>
      </c>
      <c r="H198" s="171" t="s">
        <v>1221</v>
      </c>
      <c r="I198" s="64" t="s">
        <v>1443</v>
      </c>
      <c r="J198" s="73" t="s">
        <v>114</v>
      </c>
      <c r="K198" s="412" t="s">
        <v>3674</v>
      </c>
      <c r="L198" s="64" t="s">
        <v>60</v>
      </c>
      <c r="N198" s="68" t="s">
        <v>3675</v>
      </c>
      <c r="O198" s="73" t="s">
        <v>3676</v>
      </c>
      <c r="P198" s="458">
        <v>36677.0</v>
      </c>
      <c r="Q198" s="81">
        <f t="shared" si="8"/>
        <v>36677</v>
      </c>
      <c r="R198" s="64">
        <f t="shared" si="9"/>
        <v>26</v>
      </c>
      <c r="S198" s="81">
        <v>3.66761005E9</v>
      </c>
      <c r="T198" s="81"/>
      <c r="U198" s="329" t="s">
        <v>368</v>
      </c>
      <c r="V198" s="68"/>
      <c r="W198" s="83"/>
      <c r="X198" s="68"/>
      <c r="Y198" s="68"/>
      <c r="Z198" s="68"/>
      <c r="AA198" s="68"/>
      <c r="AB198" s="68"/>
      <c r="AC198" s="68" t="s">
        <v>1032</v>
      </c>
      <c r="AD198" s="68"/>
      <c r="AE198" s="83"/>
      <c r="AF198" s="68"/>
      <c r="AG198" s="83" t="s">
        <v>375</v>
      </c>
      <c r="AH198" s="207">
        <v>46022.0</v>
      </c>
      <c r="AI198" s="203"/>
      <c r="AJ198" s="203"/>
      <c r="AK198" s="203"/>
      <c r="AL198" s="203"/>
      <c r="AM198" s="203"/>
      <c r="AN198" s="203"/>
      <c r="AO198" s="203"/>
      <c r="AP198" s="203"/>
      <c r="AQ198" s="203"/>
      <c r="AR198" s="203"/>
      <c r="AS198" s="203"/>
      <c r="AT198" s="203"/>
    </row>
    <row r="199">
      <c r="A199" s="64">
        <v>332.0</v>
      </c>
      <c r="B199" s="283" t="s">
        <v>1709</v>
      </c>
      <c r="C199" s="284" t="s">
        <v>1611</v>
      </c>
      <c r="D199" s="284" t="s">
        <v>1368</v>
      </c>
      <c r="E199" s="454" t="s">
        <v>58</v>
      </c>
      <c r="F199" s="254" t="s">
        <v>1496</v>
      </c>
      <c r="G199" s="68" t="s">
        <v>60</v>
      </c>
      <c r="H199" s="171" t="s">
        <v>1221</v>
      </c>
      <c r="I199" s="64" t="s">
        <v>1443</v>
      </c>
      <c r="J199" s="83" t="s">
        <v>114</v>
      </c>
      <c r="K199" s="471" t="s">
        <v>3698</v>
      </c>
      <c r="L199" s="170" t="s">
        <v>60</v>
      </c>
      <c r="N199" s="83" t="s">
        <v>3703</v>
      </c>
      <c r="O199" s="472" t="s">
        <v>3704</v>
      </c>
      <c r="P199" s="81">
        <v>27883.0</v>
      </c>
      <c r="Q199" s="81">
        <f t="shared" si="8"/>
        <v>27883</v>
      </c>
      <c r="R199" s="64">
        <f t="shared" si="9"/>
        <v>50</v>
      </c>
      <c r="S199" s="81">
        <v>2.788212774E9</v>
      </c>
      <c r="T199" s="81"/>
      <c r="U199" s="83" t="s">
        <v>379</v>
      </c>
      <c r="V199" s="83"/>
      <c r="W199" s="83"/>
      <c r="X199" s="83" t="s">
        <v>186</v>
      </c>
      <c r="Y199" s="68" t="s">
        <v>1174</v>
      </c>
      <c r="Z199" s="170" t="s">
        <v>2090</v>
      </c>
      <c r="AA199" s="83"/>
      <c r="AB199" s="68"/>
      <c r="AC199" s="83" t="s">
        <v>632</v>
      </c>
      <c r="AD199" s="169"/>
      <c r="AE199" s="83" t="s">
        <v>632</v>
      </c>
      <c r="AF199" s="83"/>
      <c r="AG199" s="83"/>
      <c r="AH199" s="170" t="s">
        <v>3718</v>
      </c>
      <c r="AI199" s="203"/>
      <c r="AJ199" s="203"/>
      <c r="AK199" s="203"/>
      <c r="AL199" s="203"/>
      <c r="AM199" s="203"/>
      <c r="AN199" s="203"/>
      <c r="AO199" s="203"/>
      <c r="AP199" s="203"/>
      <c r="AQ199" s="203"/>
      <c r="AR199" s="203"/>
      <c r="AS199" s="203"/>
      <c r="AT199" s="203"/>
    </row>
    <row r="200">
      <c r="A200" s="64">
        <v>419.0</v>
      </c>
      <c r="B200" s="163" t="s">
        <v>3722</v>
      </c>
      <c r="C200" s="64" t="s">
        <v>3724</v>
      </c>
      <c r="D200" s="64" t="s">
        <v>121</v>
      </c>
      <c r="E200" s="179" t="s">
        <v>1431</v>
      </c>
      <c r="F200" s="254" t="s">
        <v>1437</v>
      </c>
      <c r="G200" s="68" t="s">
        <v>60</v>
      </c>
      <c r="H200" s="171" t="s">
        <v>1221</v>
      </c>
      <c r="I200" s="64" t="s">
        <v>1443</v>
      </c>
      <c r="J200" s="73" t="s">
        <v>114</v>
      </c>
      <c r="K200" s="239" t="s">
        <v>3728</v>
      </c>
      <c r="L200" s="171" t="s">
        <v>60</v>
      </c>
      <c r="N200" s="387" t="s">
        <v>3732</v>
      </c>
      <c r="O200" s="171" t="s">
        <v>3733</v>
      </c>
      <c r="P200" s="103">
        <v>30722.0</v>
      </c>
      <c r="Q200" s="81">
        <f t="shared" si="8"/>
        <v>30722</v>
      </c>
      <c r="R200" s="64">
        <f t="shared" si="9"/>
        <v>42</v>
      </c>
      <c r="S200" s="83">
        <v>3.072117895E9</v>
      </c>
      <c r="T200" s="81"/>
      <c r="U200" s="257" t="s">
        <v>136</v>
      </c>
      <c r="V200" s="64"/>
      <c r="W200" s="68"/>
      <c r="X200" s="68"/>
      <c r="Y200" s="68"/>
      <c r="Z200" s="68"/>
      <c r="AA200" s="68"/>
      <c r="AB200" s="68"/>
      <c r="AC200" s="68" t="s">
        <v>1566</v>
      </c>
      <c r="AD200" s="169"/>
      <c r="AE200" s="68"/>
      <c r="AF200" s="68"/>
      <c r="AG200" s="81"/>
      <c r="AH200" s="207">
        <v>45986.0</v>
      </c>
      <c r="AI200" s="203"/>
      <c r="AJ200" s="203"/>
      <c r="AK200" s="203"/>
      <c r="AL200" s="203"/>
      <c r="AM200" s="203"/>
      <c r="AN200" s="203"/>
      <c r="AO200" s="203"/>
      <c r="AP200" s="203"/>
      <c r="AQ200" s="203"/>
      <c r="AR200" s="203"/>
      <c r="AS200" s="203"/>
      <c r="AT200" s="203"/>
    </row>
    <row r="201">
      <c r="A201" s="64">
        <v>433.0</v>
      </c>
      <c r="B201" s="163" t="s">
        <v>3722</v>
      </c>
      <c r="C201" s="64" t="s">
        <v>3724</v>
      </c>
      <c r="D201" s="64" t="s">
        <v>3746</v>
      </c>
      <c r="E201" s="179" t="s">
        <v>786</v>
      </c>
      <c r="F201" s="254" t="s">
        <v>1216</v>
      </c>
      <c r="G201" s="68" t="s">
        <v>60</v>
      </c>
      <c r="H201" s="171" t="s">
        <v>1221</v>
      </c>
      <c r="I201" s="64" t="s">
        <v>1443</v>
      </c>
      <c r="J201" s="73" t="s">
        <v>114</v>
      </c>
      <c r="K201" s="471" t="s">
        <v>3749</v>
      </c>
      <c r="L201" s="73" t="s">
        <v>60</v>
      </c>
      <c r="N201" s="74" t="s">
        <v>3751</v>
      </c>
      <c r="O201" s="73" t="s">
        <v>3752</v>
      </c>
      <c r="P201" s="388">
        <v>31387.0</v>
      </c>
      <c r="Q201" s="81">
        <f t="shared" si="8"/>
        <v>31387</v>
      </c>
      <c r="R201" s="64">
        <f t="shared" si="9"/>
        <v>40</v>
      </c>
      <c r="S201" s="83">
        <v>3.138615191E9</v>
      </c>
      <c r="T201" s="81"/>
      <c r="U201" s="340" t="s">
        <v>136</v>
      </c>
      <c r="V201" s="83"/>
      <c r="W201" s="68"/>
      <c r="X201" s="68"/>
      <c r="Y201" s="68"/>
      <c r="Z201" s="68"/>
      <c r="AA201" s="68"/>
      <c r="AB201" s="68"/>
      <c r="AC201" s="68" t="s">
        <v>1566</v>
      </c>
      <c r="AD201" s="68"/>
      <c r="AE201" s="83"/>
      <c r="AF201" s="170"/>
      <c r="AG201" s="83"/>
      <c r="AH201" s="207">
        <v>45987.0</v>
      </c>
      <c r="AI201" s="203"/>
      <c r="AJ201" s="203"/>
      <c r="AK201" s="203"/>
      <c r="AL201" s="203"/>
      <c r="AM201" s="203"/>
      <c r="AN201" s="203"/>
      <c r="AO201" s="203"/>
      <c r="AP201" s="203"/>
      <c r="AQ201" s="203"/>
      <c r="AR201" s="203"/>
      <c r="AS201" s="203"/>
      <c r="AT201" s="203"/>
    </row>
    <row r="202">
      <c r="A202" s="64">
        <v>442.0</v>
      </c>
      <c r="B202" s="163" t="s">
        <v>3722</v>
      </c>
      <c r="C202" s="64" t="s">
        <v>3724</v>
      </c>
      <c r="D202" s="64" t="s">
        <v>3763</v>
      </c>
      <c r="E202" s="179" t="s">
        <v>786</v>
      </c>
      <c r="F202" s="254" t="s">
        <v>1216</v>
      </c>
      <c r="G202" s="68" t="s">
        <v>60</v>
      </c>
      <c r="H202" s="171" t="s">
        <v>1221</v>
      </c>
      <c r="I202" s="64" t="s">
        <v>1443</v>
      </c>
      <c r="J202" s="73" t="s">
        <v>114</v>
      </c>
      <c r="K202" s="471" t="s">
        <v>3769</v>
      </c>
      <c r="L202" s="171" t="s">
        <v>60</v>
      </c>
      <c r="N202" s="64" t="s">
        <v>3770</v>
      </c>
      <c r="O202" s="171" t="s">
        <v>802</v>
      </c>
      <c r="P202" s="103">
        <v>28154.0</v>
      </c>
      <c r="Q202" s="81">
        <f t="shared" si="8"/>
        <v>28154</v>
      </c>
      <c r="R202" s="64">
        <f t="shared" si="9"/>
        <v>49</v>
      </c>
      <c r="S202" s="83">
        <v>2.815306259E9</v>
      </c>
      <c r="T202" s="81"/>
      <c r="U202" s="476" t="s">
        <v>368</v>
      </c>
      <c r="V202" s="83"/>
      <c r="W202" s="83"/>
      <c r="X202" s="68"/>
      <c r="Y202" s="64"/>
      <c r="Z202" s="64"/>
      <c r="AA202" s="64"/>
      <c r="AB202" s="68"/>
      <c r="AC202" s="83" t="s">
        <v>3780</v>
      </c>
      <c r="AD202" s="83" t="s">
        <v>3780</v>
      </c>
      <c r="AE202" s="83"/>
      <c r="AF202" s="103"/>
      <c r="AG202" s="83" t="s">
        <v>3781</v>
      </c>
      <c r="AH202" s="202">
        <v>46026.0</v>
      </c>
      <c r="AI202" s="203"/>
      <c r="AJ202" s="203"/>
      <c r="AK202" s="203"/>
      <c r="AL202" s="203"/>
      <c r="AM202" s="203"/>
      <c r="AN202" s="203"/>
      <c r="AO202" s="203"/>
      <c r="AP202" s="203"/>
      <c r="AQ202" s="203"/>
      <c r="AR202" s="203"/>
      <c r="AS202" s="203"/>
      <c r="AT202" s="203"/>
    </row>
    <row r="203">
      <c r="A203" s="64">
        <v>724.0</v>
      </c>
      <c r="B203" s="397" t="s">
        <v>1751</v>
      </c>
      <c r="C203" s="398" t="s">
        <v>121</v>
      </c>
      <c r="D203" s="400" t="s">
        <v>121</v>
      </c>
      <c r="E203" s="477" t="s">
        <v>331</v>
      </c>
      <c r="F203" s="404" t="s">
        <v>3791</v>
      </c>
      <c r="G203" s="400" t="s">
        <v>60</v>
      </c>
      <c r="H203" s="171" t="s">
        <v>1221</v>
      </c>
      <c r="I203" s="64" t="s">
        <v>1443</v>
      </c>
      <c r="J203" s="83" t="s">
        <v>114</v>
      </c>
      <c r="K203" s="239"/>
      <c r="L203" s="170" t="s">
        <v>60</v>
      </c>
      <c r="N203" s="319" t="s">
        <v>3797</v>
      </c>
      <c r="O203" s="170" t="s">
        <v>1250</v>
      </c>
      <c r="P203" s="385">
        <v>29778.0</v>
      </c>
      <c r="Q203" s="81">
        <f t="shared" si="8"/>
        <v>29778</v>
      </c>
      <c r="R203" s="64">
        <f t="shared" si="9"/>
        <v>45</v>
      </c>
      <c r="S203" s="81">
        <v>2.977700176E9</v>
      </c>
      <c r="T203" s="81"/>
      <c r="U203" s="83" t="s">
        <v>379</v>
      </c>
      <c r="V203" s="64"/>
      <c r="W203" s="83"/>
      <c r="X203" s="83" t="s">
        <v>186</v>
      </c>
      <c r="Y203" s="68" t="s">
        <v>183</v>
      </c>
      <c r="Z203" s="170" t="s">
        <v>2482</v>
      </c>
      <c r="AA203" s="68"/>
      <c r="AB203" s="68"/>
      <c r="AC203" s="83" t="s">
        <v>3127</v>
      </c>
      <c r="AD203" s="169"/>
      <c r="AE203" s="83" t="s">
        <v>291</v>
      </c>
      <c r="AF203" s="207">
        <v>45980.0</v>
      </c>
      <c r="AG203" s="81"/>
      <c r="AH203" s="68"/>
      <c r="AI203" s="203"/>
      <c r="AJ203" s="203"/>
      <c r="AK203" s="203"/>
      <c r="AL203" s="203"/>
      <c r="AM203" s="203"/>
      <c r="AN203" s="203"/>
      <c r="AO203" s="203"/>
      <c r="AP203" s="203"/>
      <c r="AQ203" s="203"/>
      <c r="AR203" s="203"/>
      <c r="AS203" s="203"/>
      <c r="AT203" s="203"/>
    </row>
    <row r="204">
      <c r="A204" s="64">
        <v>704.0</v>
      </c>
      <c r="B204" s="66" t="s">
        <v>3454</v>
      </c>
      <c r="C204" s="68" t="s">
        <v>3813</v>
      </c>
      <c r="D204" s="64" t="s">
        <v>121</v>
      </c>
      <c r="E204" s="71" t="s">
        <v>1536</v>
      </c>
      <c r="F204" s="254" t="s">
        <v>3815</v>
      </c>
      <c r="G204" s="64" t="s">
        <v>60</v>
      </c>
      <c r="H204" s="171" t="s">
        <v>1221</v>
      </c>
      <c r="I204" s="64" t="s">
        <v>1443</v>
      </c>
      <c r="J204" s="83" t="s">
        <v>114</v>
      </c>
      <c r="K204" s="369"/>
      <c r="L204" s="83" t="s">
        <v>60</v>
      </c>
      <c r="N204" s="83" t="s">
        <v>3818</v>
      </c>
      <c r="O204" s="83" t="s">
        <v>3819</v>
      </c>
      <c r="P204" s="385">
        <v>33735.0</v>
      </c>
      <c r="Q204" s="81">
        <f t="shared" si="8"/>
        <v>33735</v>
      </c>
      <c r="R204" s="64">
        <f t="shared" si="9"/>
        <v>34</v>
      </c>
      <c r="S204" s="81">
        <v>3.373413575E9</v>
      </c>
      <c r="T204" s="81"/>
      <c r="U204" s="83" t="s">
        <v>368</v>
      </c>
      <c r="V204" s="83"/>
      <c r="W204" s="83"/>
      <c r="X204" s="83"/>
      <c r="Y204" s="83" t="s">
        <v>3824</v>
      </c>
      <c r="Z204" s="68"/>
      <c r="AA204" s="83" t="s">
        <v>1178</v>
      </c>
      <c r="AB204" s="68"/>
      <c r="AC204" s="68"/>
      <c r="AD204" s="169"/>
      <c r="AE204" s="83"/>
      <c r="AF204" s="83" t="s">
        <v>3827</v>
      </c>
      <c r="AG204" s="83" t="s">
        <v>375</v>
      </c>
      <c r="AH204" s="207">
        <v>46014.0</v>
      </c>
      <c r="AI204" s="203"/>
      <c r="AJ204" s="203"/>
      <c r="AK204" s="203"/>
      <c r="AL204" s="203"/>
      <c r="AM204" s="203"/>
      <c r="AN204" s="203"/>
      <c r="AO204" s="203"/>
      <c r="AP204" s="203"/>
      <c r="AQ204" s="203"/>
      <c r="AR204" s="203"/>
      <c r="AS204" s="203"/>
      <c r="AT204" s="203"/>
    </row>
    <row r="205">
      <c r="A205" s="64">
        <v>675.0</v>
      </c>
      <c r="B205" s="66" t="s">
        <v>3332</v>
      </c>
      <c r="C205" s="68" t="s">
        <v>3829</v>
      </c>
      <c r="D205" s="64" t="s">
        <v>121</v>
      </c>
      <c r="E205" s="71" t="s">
        <v>2242</v>
      </c>
      <c r="F205" s="254" t="s">
        <v>3830</v>
      </c>
      <c r="G205" s="64" t="s">
        <v>60</v>
      </c>
      <c r="H205" s="171" t="s">
        <v>1221</v>
      </c>
      <c r="I205" s="64" t="s">
        <v>1443</v>
      </c>
      <c r="J205" s="68"/>
      <c r="K205" s="68"/>
      <c r="L205" s="193" t="s">
        <v>60</v>
      </c>
      <c r="N205" s="263" t="s">
        <v>3833</v>
      </c>
      <c r="O205" s="68"/>
      <c r="P205" s="75"/>
      <c r="Q205" s="64"/>
      <c r="R205" s="64"/>
      <c r="S205" s="81"/>
      <c r="T205" s="81"/>
      <c r="U205" s="340" t="s">
        <v>565</v>
      </c>
      <c r="V205" s="64"/>
      <c r="W205" s="68"/>
      <c r="X205" s="68"/>
      <c r="Y205" s="68"/>
      <c r="Z205" s="68"/>
      <c r="AA205" s="68"/>
      <c r="AB205" s="68"/>
      <c r="AC205" s="417" t="s">
        <v>630</v>
      </c>
      <c r="AD205" s="68" t="s">
        <v>632</v>
      </c>
      <c r="AE205" s="68" t="s">
        <v>632</v>
      </c>
      <c r="AF205" s="417" t="s">
        <v>630</v>
      </c>
      <c r="AG205" s="161"/>
      <c r="AH205" s="68"/>
      <c r="AI205" s="203"/>
      <c r="AJ205" s="203"/>
      <c r="AK205" s="203"/>
      <c r="AL205" s="203"/>
      <c r="AM205" s="203"/>
      <c r="AN205" s="203"/>
      <c r="AO205" s="203"/>
      <c r="AP205" s="203"/>
      <c r="AQ205" s="203"/>
      <c r="AR205" s="203"/>
      <c r="AS205" s="203"/>
      <c r="AT205" s="203"/>
    </row>
    <row r="206">
      <c r="A206" s="64">
        <v>673.0</v>
      </c>
      <c r="B206" s="66" t="s">
        <v>3332</v>
      </c>
      <c r="C206" s="68" t="s">
        <v>3829</v>
      </c>
      <c r="D206" s="64" t="s">
        <v>121</v>
      </c>
      <c r="E206" s="71" t="s">
        <v>2233</v>
      </c>
      <c r="F206" s="254" t="s">
        <v>3847</v>
      </c>
      <c r="G206" s="64" t="s">
        <v>60</v>
      </c>
      <c r="H206" s="171" t="s">
        <v>1221</v>
      </c>
      <c r="I206" s="64" t="s">
        <v>1443</v>
      </c>
      <c r="J206" s="83" t="s">
        <v>114</v>
      </c>
      <c r="K206" s="378" t="s">
        <v>3849</v>
      </c>
      <c r="L206" s="83" t="s">
        <v>60</v>
      </c>
      <c r="N206" s="83" t="s">
        <v>3851</v>
      </c>
      <c r="O206" s="170" t="s">
        <v>3852</v>
      </c>
      <c r="P206" s="385">
        <v>28099.0</v>
      </c>
      <c r="Q206" s="81">
        <f>VALUE(LEFT(TEXT(S206,0),5))+1</f>
        <v>28099</v>
      </c>
      <c r="R206" s="64">
        <f>DATEDIF($P206,TODAY(),"Y")</f>
        <v>49</v>
      </c>
      <c r="S206" s="81">
        <v>2.809801293E9</v>
      </c>
      <c r="T206" s="81"/>
      <c r="U206" s="83" t="s">
        <v>368</v>
      </c>
      <c r="V206" s="83"/>
      <c r="W206" s="83"/>
      <c r="X206" s="83"/>
      <c r="Y206" s="68" t="s">
        <v>371</v>
      </c>
      <c r="Z206" s="68"/>
      <c r="AA206" s="83" t="s">
        <v>1178</v>
      </c>
      <c r="AB206" s="68"/>
      <c r="AC206" s="68"/>
      <c r="AD206" s="169"/>
      <c r="AE206" s="83"/>
      <c r="AF206" s="83"/>
      <c r="AG206" s="83" t="s">
        <v>375</v>
      </c>
      <c r="AH206" s="207">
        <v>46014.0</v>
      </c>
      <c r="AI206" s="203"/>
      <c r="AJ206" s="203"/>
      <c r="AK206" s="203"/>
      <c r="AL206" s="203"/>
      <c r="AM206" s="203"/>
      <c r="AN206" s="203"/>
      <c r="AO206" s="203"/>
      <c r="AP206" s="203"/>
      <c r="AQ206" s="203"/>
      <c r="AR206" s="203"/>
      <c r="AS206" s="203"/>
      <c r="AT206" s="203"/>
    </row>
    <row r="207">
      <c r="A207" s="64">
        <v>642.0</v>
      </c>
      <c r="B207" s="163" t="s">
        <v>3875</v>
      </c>
      <c r="C207" s="64" t="s">
        <v>121</v>
      </c>
      <c r="D207" s="64" t="s">
        <v>121</v>
      </c>
      <c r="E207" s="179" t="s">
        <v>726</v>
      </c>
      <c r="F207" s="254" t="s">
        <v>3876</v>
      </c>
      <c r="G207" s="68" t="s">
        <v>60</v>
      </c>
      <c r="H207" s="171" t="s">
        <v>1221</v>
      </c>
      <c r="I207" s="64" t="s">
        <v>1443</v>
      </c>
      <c r="J207" s="221"/>
      <c r="K207" s="221"/>
      <c r="L207" s="280" t="s">
        <v>60</v>
      </c>
      <c r="N207" s="433" t="s">
        <v>3889</v>
      </c>
      <c r="O207" s="64"/>
      <c r="P207" s="64"/>
      <c r="Q207" s="64"/>
      <c r="R207" s="64"/>
      <c r="S207" s="81"/>
      <c r="T207" s="81"/>
      <c r="U207" s="329" t="s">
        <v>379</v>
      </c>
      <c r="V207" s="64"/>
      <c r="W207" s="64"/>
      <c r="X207" s="68"/>
      <c r="Y207" s="68"/>
      <c r="Z207" s="68"/>
      <c r="AA207" s="68"/>
      <c r="AB207" s="68"/>
      <c r="AC207" s="417" t="s">
        <v>630</v>
      </c>
      <c r="AD207" s="68" t="s">
        <v>632</v>
      </c>
      <c r="AE207" s="83"/>
      <c r="AF207" s="417" t="s">
        <v>630</v>
      </c>
      <c r="AG207" s="161"/>
      <c r="AH207" s="64"/>
      <c r="AI207" s="203"/>
      <c r="AJ207" s="203"/>
      <c r="AK207" s="203"/>
      <c r="AL207" s="203"/>
      <c r="AM207" s="203"/>
      <c r="AN207" s="203"/>
      <c r="AO207" s="203"/>
      <c r="AP207" s="203"/>
      <c r="AQ207" s="203"/>
      <c r="AR207" s="203"/>
      <c r="AS207" s="203"/>
      <c r="AT207" s="203"/>
    </row>
    <row r="208">
      <c r="A208" s="64">
        <v>580.0</v>
      </c>
      <c r="B208" s="163" t="s">
        <v>3898</v>
      </c>
      <c r="C208" s="64" t="s">
        <v>3900</v>
      </c>
      <c r="D208" s="64" t="s">
        <v>121</v>
      </c>
      <c r="E208" s="179" t="s">
        <v>786</v>
      </c>
      <c r="F208" s="254" t="s">
        <v>3901</v>
      </c>
      <c r="G208" s="68" t="s">
        <v>60</v>
      </c>
      <c r="H208" s="171" t="s">
        <v>1221</v>
      </c>
      <c r="I208" s="171" t="s">
        <v>1221</v>
      </c>
      <c r="J208" s="68"/>
      <c r="K208" s="484"/>
      <c r="L208" s="439" t="s">
        <v>60</v>
      </c>
      <c r="N208" s="172" t="s">
        <v>3906</v>
      </c>
      <c r="O208" s="68"/>
      <c r="P208" s="413"/>
      <c r="Q208" s="64"/>
      <c r="R208" s="64"/>
      <c r="S208" s="81"/>
      <c r="T208" s="81"/>
      <c r="U208" s="340" t="s">
        <v>136</v>
      </c>
      <c r="V208" s="68"/>
      <c r="W208" s="64"/>
      <c r="X208" s="83"/>
      <c r="Y208" s="68"/>
      <c r="Z208" s="383" t="s">
        <v>991</v>
      </c>
      <c r="AA208" s="68"/>
      <c r="AB208" s="68"/>
      <c r="AC208" s="417" t="s">
        <v>630</v>
      </c>
      <c r="AD208" s="68" t="s">
        <v>632</v>
      </c>
      <c r="AE208" s="68"/>
      <c r="AF208" s="417" t="s">
        <v>630</v>
      </c>
      <c r="AG208" s="81" t="s">
        <v>3912</v>
      </c>
      <c r="AH208" s="207">
        <v>45983.0</v>
      </c>
      <c r="AI208" s="203"/>
      <c r="AJ208" s="203"/>
      <c r="AK208" s="203"/>
      <c r="AL208" s="203"/>
      <c r="AM208" s="203"/>
      <c r="AN208" s="203"/>
      <c r="AO208" s="203"/>
      <c r="AP208" s="203"/>
      <c r="AQ208" s="203"/>
      <c r="AR208" s="203"/>
      <c r="AS208" s="203"/>
      <c r="AT208" s="203"/>
    </row>
    <row r="209">
      <c r="A209" s="64">
        <v>581.0</v>
      </c>
      <c r="B209" s="163" t="s">
        <v>3898</v>
      </c>
      <c r="C209" s="64" t="s">
        <v>3900</v>
      </c>
      <c r="D209" s="64" t="s">
        <v>121</v>
      </c>
      <c r="E209" s="179" t="s">
        <v>1536</v>
      </c>
      <c r="F209" s="254" t="s">
        <v>3915</v>
      </c>
      <c r="G209" s="68" t="s">
        <v>60</v>
      </c>
      <c r="H209" s="171" t="s">
        <v>1221</v>
      </c>
      <c r="I209" s="64"/>
      <c r="J209" s="83"/>
      <c r="K209" s="485" t="s">
        <v>3564</v>
      </c>
      <c r="L209" s="439" t="s">
        <v>60</v>
      </c>
      <c r="N209" s="433" t="s">
        <v>3919</v>
      </c>
      <c r="O209" s="485" t="s">
        <v>3564</v>
      </c>
      <c r="P209" s="75"/>
      <c r="Q209" s="64"/>
      <c r="R209" s="64"/>
      <c r="S209" s="81"/>
      <c r="T209" s="81"/>
      <c r="U209" s="83" t="s">
        <v>379</v>
      </c>
      <c r="V209" s="64"/>
      <c r="W209" s="83"/>
      <c r="X209" s="83"/>
      <c r="Y209" s="68"/>
      <c r="Z209" s="170"/>
      <c r="AA209" s="68"/>
      <c r="AB209" s="68"/>
      <c r="AC209" s="417" t="s">
        <v>630</v>
      </c>
      <c r="AD209" s="68" t="s">
        <v>632</v>
      </c>
      <c r="AE209" s="68"/>
      <c r="AF209" s="417" t="s">
        <v>630</v>
      </c>
      <c r="AG209" s="81"/>
      <c r="AH209" s="68"/>
      <c r="AI209" s="203"/>
      <c r="AJ209" s="203"/>
      <c r="AK209" s="203"/>
      <c r="AL209" s="203"/>
      <c r="AM209" s="203"/>
      <c r="AN209" s="203"/>
      <c r="AO209" s="203"/>
      <c r="AP209" s="203"/>
      <c r="AQ209" s="203"/>
      <c r="AR209" s="203"/>
      <c r="AS209" s="203"/>
      <c r="AT209" s="203"/>
    </row>
    <row r="210">
      <c r="A210" s="64">
        <v>542.0</v>
      </c>
      <c r="B210" s="163" t="s">
        <v>3297</v>
      </c>
      <c r="C210" s="64" t="s">
        <v>3298</v>
      </c>
      <c r="D210" s="64" t="s">
        <v>121</v>
      </c>
      <c r="E210" s="179" t="s">
        <v>1932</v>
      </c>
      <c r="F210" s="254" t="s">
        <v>3486</v>
      </c>
      <c r="G210" s="68" t="s">
        <v>326</v>
      </c>
      <c r="H210" s="171" t="s">
        <v>1221</v>
      </c>
      <c r="I210" s="64"/>
      <c r="J210" s="171"/>
      <c r="K210" s="239"/>
      <c r="L210" s="180" t="s">
        <v>60</v>
      </c>
      <c r="N210" s="433" t="s">
        <v>3935</v>
      </c>
      <c r="O210" s="170" t="s">
        <v>1143</v>
      </c>
      <c r="P210" s="388">
        <v>29214.0</v>
      </c>
      <c r="Q210" s="64"/>
      <c r="R210" s="64"/>
      <c r="S210" s="81"/>
      <c r="T210" s="81"/>
      <c r="U210" s="340" t="s">
        <v>379</v>
      </c>
      <c r="V210" s="83"/>
      <c r="W210" s="64"/>
      <c r="X210" s="68"/>
      <c r="Y210" s="64"/>
      <c r="Z210" s="64"/>
      <c r="AA210" s="64"/>
      <c r="AB210" s="83"/>
      <c r="AC210" s="417" t="s">
        <v>630</v>
      </c>
      <c r="AD210" s="83" t="s">
        <v>632</v>
      </c>
      <c r="AE210" s="83" t="s">
        <v>632</v>
      </c>
      <c r="AF210" s="417" t="s">
        <v>630</v>
      </c>
      <c r="AG210" s="161"/>
      <c r="AH210" s="83"/>
      <c r="AI210" s="203"/>
      <c r="AJ210" s="203"/>
      <c r="AK210" s="203"/>
      <c r="AL210" s="203"/>
      <c r="AM210" s="203"/>
      <c r="AN210" s="203"/>
      <c r="AO210" s="203"/>
      <c r="AP210" s="203"/>
      <c r="AQ210" s="203"/>
      <c r="AR210" s="203"/>
      <c r="AS210" s="203"/>
      <c r="AT210" s="203"/>
    </row>
    <row r="211">
      <c r="A211" s="64">
        <v>481.0</v>
      </c>
      <c r="B211" s="163" t="s">
        <v>3014</v>
      </c>
      <c r="C211" s="64" t="s">
        <v>3946</v>
      </c>
      <c r="D211" s="64" t="s">
        <v>121</v>
      </c>
      <c r="E211" s="179" t="s">
        <v>1466</v>
      </c>
      <c r="F211" s="254" t="s">
        <v>3949</v>
      </c>
      <c r="G211" s="68" t="s">
        <v>326</v>
      </c>
      <c r="H211" s="171" t="s">
        <v>1221</v>
      </c>
      <c r="I211" s="64" t="s">
        <v>1443</v>
      </c>
      <c r="J211" s="73" t="s">
        <v>114</v>
      </c>
      <c r="K211" s="487"/>
      <c r="L211" s="488" t="s">
        <v>60</v>
      </c>
      <c r="N211" s="489" t="s">
        <v>3288</v>
      </c>
      <c r="O211" s="408" t="s">
        <v>3289</v>
      </c>
      <c r="P211" s="103">
        <v>30484.0</v>
      </c>
      <c r="Q211" s="81">
        <f t="shared" ref="Q211:Q214" si="10">VALUE(LEFT(TEXT(S211,0),5))+1</f>
        <v>30484</v>
      </c>
      <c r="R211" s="64">
        <f t="shared" ref="R211:R214" si="11">DATEDIF($P211,TODAY(),"Y")</f>
        <v>43</v>
      </c>
      <c r="S211" s="81">
        <v>3.048316414E9</v>
      </c>
      <c r="T211" s="81"/>
      <c r="U211" s="329" t="s">
        <v>379</v>
      </c>
      <c r="V211" s="83"/>
      <c r="W211" s="64"/>
      <c r="X211" s="68"/>
      <c r="Y211" s="64"/>
      <c r="Z211" s="64"/>
      <c r="AA211" s="64"/>
      <c r="AB211" s="68"/>
      <c r="AC211" s="83" t="s">
        <v>632</v>
      </c>
      <c r="AD211" s="83" t="s">
        <v>632</v>
      </c>
      <c r="AE211" s="83" t="s">
        <v>632</v>
      </c>
      <c r="AF211" s="83" t="s">
        <v>3979</v>
      </c>
      <c r="AG211" s="83" t="s">
        <v>3781</v>
      </c>
      <c r="AH211" s="385"/>
      <c r="AI211" s="203"/>
      <c r="AJ211" s="203"/>
      <c r="AK211" s="203"/>
      <c r="AL211" s="203"/>
      <c r="AM211" s="203"/>
      <c r="AN211" s="203"/>
      <c r="AO211" s="203"/>
      <c r="AP211" s="203"/>
      <c r="AQ211" s="203"/>
      <c r="AR211" s="203"/>
      <c r="AS211" s="203"/>
      <c r="AT211" s="203"/>
    </row>
    <row r="212">
      <c r="A212" s="64">
        <v>526.0</v>
      </c>
      <c r="B212" s="163" t="s">
        <v>1728</v>
      </c>
      <c r="C212" s="64" t="s">
        <v>1729</v>
      </c>
      <c r="D212" s="64" t="s">
        <v>121</v>
      </c>
      <c r="E212" s="469" t="s">
        <v>3984</v>
      </c>
      <c r="F212" s="254" t="s">
        <v>3985</v>
      </c>
      <c r="G212" s="382" t="s">
        <v>326</v>
      </c>
      <c r="H212" s="171" t="s">
        <v>1221</v>
      </c>
      <c r="I212" s="64" t="s">
        <v>1443</v>
      </c>
      <c r="J212" s="95" t="s">
        <v>114</v>
      </c>
      <c r="K212" s="378" t="s">
        <v>3989</v>
      </c>
      <c r="L212" s="96" t="s">
        <v>60</v>
      </c>
      <c r="N212" s="68" t="s">
        <v>3990</v>
      </c>
      <c r="O212" s="96" t="s">
        <v>3991</v>
      </c>
      <c r="P212" s="385">
        <v>36015.0</v>
      </c>
      <c r="Q212" s="81">
        <f t="shared" si="10"/>
        <v>36015</v>
      </c>
      <c r="R212" s="64">
        <f t="shared" si="11"/>
        <v>28</v>
      </c>
      <c r="S212" s="81">
        <v>3.60140019E9</v>
      </c>
      <c r="T212" s="81"/>
      <c r="U212" s="83" t="s">
        <v>368</v>
      </c>
      <c r="V212" s="95"/>
      <c r="W212" s="95"/>
      <c r="X212" s="95"/>
      <c r="Y212" s="95" t="s">
        <v>1174</v>
      </c>
      <c r="Z212" s="383" t="s">
        <v>991</v>
      </c>
      <c r="AA212" s="95"/>
      <c r="AB212" s="95"/>
      <c r="AC212" s="83" t="s">
        <v>1032</v>
      </c>
      <c r="AD212" s="169"/>
      <c r="AE212" s="83"/>
      <c r="AF212" s="95"/>
      <c r="AG212" s="83" t="s">
        <v>375</v>
      </c>
      <c r="AH212" s="202">
        <v>46015.0</v>
      </c>
      <c r="AI212" s="203"/>
      <c r="AJ212" s="203"/>
      <c r="AK212" s="203"/>
      <c r="AL212" s="203"/>
      <c r="AM212" s="203"/>
      <c r="AN212" s="203"/>
      <c r="AO212" s="203"/>
      <c r="AP212" s="203"/>
      <c r="AQ212" s="203"/>
      <c r="AR212" s="203"/>
      <c r="AS212" s="203"/>
      <c r="AT212" s="203"/>
    </row>
    <row r="213">
      <c r="A213" s="64">
        <v>532.0</v>
      </c>
      <c r="B213" s="163" t="s">
        <v>1728</v>
      </c>
      <c r="C213" s="64" t="s">
        <v>1729</v>
      </c>
      <c r="D213" s="64" t="s">
        <v>121</v>
      </c>
      <c r="E213" s="179" t="s">
        <v>201</v>
      </c>
      <c r="F213" s="254" t="s">
        <v>1849</v>
      </c>
      <c r="G213" s="68" t="s">
        <v>60</v>
      </c>
      <c r="H213" s="171" t="s">
        <v>1221</v>
      </c>
      <c r="I213" s="64" t="s">
        <v>1443</v>
      </c>
      <c r="J213" s="83" t="s">
        <v>114</v>
      </c>
      <c r="K213" s="239"/>
      <c r="L213" s="170" t="s">
        <v>60</v>
      </c>
      <c r="N213" s="68" t="s">
        <v>4014</v>
      </c>
      <c r="O213" s="170" t="s">
        <v>4016</v>
      </c>
      <c r="P213" s="385">
        <v>35433.0</v>
      </c>
      <c r="Q213" s="81">
        <f t="shared" si="10"/>
        <v>35433</v>
      </c>
      <c r="R213" s="64">
        <f t="shared" si="11"/>
        <v>29</v>
      </c>
      <c r="S213" s="81">
        <v>3.543214437E9</v>
      </c>
      <c r="T213" s="81"/>
      <c r="U213" s="83" t="s">
        <v>379</v>
      </c>
      <c r="V213" s="64"/>
      <c r="W213" s="83"/>
      <c r="X213" s="83" t="s">
        <v>186</v>
      </c>
      <c r="Y213" s="68" t="s">
        <v>183</v>
      </c>
      <c r="Z213" s="170" t="s">
        <v>2482</v>
      </c>
      <c r="AA213" s="68"/>
      <c r="AB213" s="68"/>
      <c r="AC213" s="83" t="s">
        <v>3127</v>
      </c>
      <c r="AD213" s="169"/>
      <c r="AE213" s="83" t="s">
        <v>291</v>
      </c>
      <c r="AF213" s="207">
        <v>45980.0</v>
      </c>
      <c r="AG213" s="81"/>
      <c r="AH213" s="68"/>
      <c r="AI213" s="203"/>
      <c r="AJ213" s="203"/>
      <c r="AK213" s="203"/>
      <c r="AL213" s="203"/>
      <c r="AM213" s="203"/>
      <c r="AN213" s="203"/>
      <c r="AO213" s="203"/>
      <c r="AP213" s="203"/>
      <c r="AQ213" s="203"/>
      <c r="AR213" s="203"/>
      <c r="AS213" s="203"/>
      <c r="AT213" s="203"/>
    </row>
    <row r="214">
      <c r="A214" s="64">
        <v>524.0</v>
      </c>
      <c r="B214" s="163" t="s">
        <v>1728</v>
      </c>
      <c r="C214" s="64" t="s">
        <v>4028</v>
      </c>
      <c r="D214" s="64" t="s">
        <v>121</v>
      </c>
      <c r="E214" s="179" t="s">
        <v>331</v>
      </c>
      <c r="F214" s="254" t="s">
        <v>1731</v>
      </c>
      <c r="G214" s="382" t="s">
        <v>60</v>
      </c>
      <c r="H214" s="171" t="s">
        <v>1221</v>
      </c>
      <c r="I214" s="64" t="s">
        <v>1443</v>
      </c>
      <c r="J214" s="83" t="s">
        <v>114</v>
      </c>
      <c r="K214" s="239"/>
      <c r="L214" s="170" t="s">
        <v>60</v>
      </c>
      <c r="N214" s="170" t="s">
        <v>4032</v>
      </c>
      <c r="O214" s="170" t="s">
        <v>4034</v>
      </c>
      <c r="P214" s="385">
        <v>30128.0</v>
      </c>
      <c r="Q214" s="81">
        <f t="shared" si="10"/>
        <v>30128</v>
      </c>
      <c r="R214" s="64">
        <f t="shared" si="11"/>
        <v>44</v>
      </c>
      <c r="S214" s="81">
        <v>3.012723735E9</v>
      </c>
      <c r="T214" s="81"/>
      <c r="U214" s="83" t="s">
        <v>379</v>
      </c>
      <c r="V214" s="64"/>
      <c r="W214" s="83"/>
      <c r="X214" s="83" t="s">
        <v>186</v>
      </c>
      <c r="Y214" s="68" t="s">
        <v>183</v>
      </c>
      <c r="Z214" s="170" t="s">
        <v>2482</v>
      </c>
      <c r="AA214" s="68"/>
      <c r="AB214" s="68"/>
      <c r="AC214" s="83" t="s">
        <v>3127</v>
      </c>
      <c r="AD214" s="169"/>
      <c r="AE214" s="83" t="s">
        <v>291</v>
      </c>
      <c r="AF214" s="207">
        <v>45980.0</v>
      </c>
      <c r="AG214" s="81"/>
      <c r="AH214" s="68"/>
      <c r="AI214" s="203"/>
      <c r="AJ214" s="203"/>
      <c r="AK214" s="203"/>
      <c r="AL214" s="203"/>
      <c r="AM214" s="203"/>
      <c r="AN214" s="203"/>
      <c r="AO214" s="203"/>
      <c r="AP214" s="203"/>
      <c r="AQ214" s="203"/>
      <c r="AR214" s="203"/>
      <c r="AS214" s="203"/>
      <c r="AT214" s="203"/>
    </row>
    <row r="215">
      <c r="A215" s="64">
        <v>509.0</v>
      </c>
      <c r="B215" s="163" t="s">
        <v>1728</v>
      </c>
      <c r="C215" s="64" t="s">
        <v>3031</v>
      </c>
      <c r="D215" s="64" t="s">
        <v>121</v>
      </c>
      <c r="E215" s="179" t="s">
        <v>331</v>
      </c>
      <c r="F215" s="254" t="s">
        <v>1731</v>
      </c>
      <c r="G215" s="68" t="s">
        <v>60</v>
      </c>
      <c r="H215" s="171" t="s">
        <v>1221</v>
      </c>
      <c r="I215" s="64"/>
      <c r="J215" s="73"/>
      <c r="K215" s="369"/>
      <c r="L215" s="417" t="s">
        <v>60</v>
      </c>
      <c r="N215" s="433" t="s">
        <v>4048</v>
      </c>
      <c r="O215" s="73"/>
      <c r="P215" s="463">
        <v>29619.0</v>
      </c>
      <c r="Q215" s="64"/>
      <c r="R215" s="64"/>
      <c r="S215" s="81"/>
      <c r="T215" s="81"/>
      <c r="U215" s="83" t="s">
        <v>379</v>
      </c>
      <c r="V215" s="83"/>
      <c r="W215" s="83"/>
      <c r="X215" s="68"/>
      <c r="Y215" s="68"/>
      <c r="Z215" s="170"/>
      <c r="AA215" s="68"/>
      <c r="AB215" s="68"/>
      <c r="AC215" s="417" t="s">
        <v>630</v>
      </c>
      <c r="AD215" s="83" t="s">
        <v>632</v>
      </c>
      <c r="AE215" s="83" t="s">
        <v>632</v>
      </c>
      <c r="AF215" s="417" t="s">
        <v>630</v>
      </c>
      <c r="AG215" s="161"/>
      <c r="AH215" s="385"/>
      <c r="AI215" s="203"/>
      <c r="AJ215" s="203"/>
      <c r="AK215" s="203"/>
      <c r="AL215" s="203"/>
      <c r="AM215" s="203"/>
      <c r="AN215" s="203"/>
      <c r="AO215" s="203"/>
      <c r="AP215" s="203"/>
      <c r="AQ215" s="203"/>
      <c r="AR215" s="203"/>
      <c r="AS215" s="203"/>
      <c r="AT215" s="203"/>
    </row>
    <row r="216">
      <c r="A216" s="64">
        <v>510.0</v>
      </c>
      <c r="B216" s="163" t="s">
        <v>1728</v>
      </c>
      <c r="C216" s="64" t="s">
        <v>3031</v>
      </c>
      <c r="D216" s="64" t="s">
        <v>121</v>
      </c>
      <c r="E216" s="179" t="s">
        <v>331</v>
      </c>
      <c r="F216" s="254" t="s">
        <v>1731</v>
      </c>
      <c r="G216" s="68" t="s">
        <v>60</v>
      </c>
      <c r="H216" s="171" t="s">
        <v>1221</v>
      </c>
      <c r="I216" s="64" t="s">
        <v>1443</v>
      </c>
      <c r="J216" s="83" t="s">
        <v>114</v>
      </c>
      <c r="K216" s="239"/>
      <c r="L216" s="170" t="s">
        <v>656</v>
      </c>
      <c r="N216" s="383" t="s">
        <v>4065</v>
      </c>
      <c r="O216" s="170" t="s">
        <v>1277</v>
      </c>
      <c r="P216" s="385">
        <v>30780.0</v>
      </c>
      <c r="Q216" s="81">
        <f t="shared" ref="Q216:Q218" si="12">VALUE(LEFT(TEXT(S216,0),5))+1</f>
        <v>30780</v>
      </c>
      <c r="R216" s="64">
        <f t="shared" ref="R216:R218" si="13">DATEDIF($P216,TODAY(),"Y")</f>
        <v>42</v>
      </c>
      <c r="S216" s="81">
        <v>3.077903215E9</v>
      </c>
      <c r="T216" s="81"/>
      <c r="U216" s="83" t="s">
        <v>379</v>
      </c>
      <c r="V216" s="64"/>
      <c r="W216" s="83"/>
      <c r="X216" s="83" t="s">
        <v>186</v>
      </c>
      <c r="Y216" s="68" t="s">
        <v>183</v>
      </c>
      <c r="Z216" s="170" t="s">
        <v>2482</v>
      </c>
      <c r="AA216" s="68"/>
      <c r="AB216" s="68"/>
      <c r="AC216" s="83" t="s">
        <v>3127</v>
      </c>
      <c r="AD216" s="169"/>
      <c r="AE216" s="83" t="s">
        <v>291</v>
      </c>
      <c r="AF216" s="207">
        <v>45980.0</v>
      </c>
      <c r="AG216" s="81"/>
      <c r="AH216" s="68"/>
      <c r="AI216" s="203"/>
      <c r="AJ216" s="203"/>
      <c r="AK216" s="203"/>
      <c r="AL216" s="203"/>
      <c r="AM216" s="203"/>
      <c r="AN216" s="203"/>
      <c r="AO216" s="203"/>
      <c r="AP216" s="203"/>
      <c r="AQ216" s="203"/>
      <c r="AR216" s="203"/>
      <c r="AS216" s="203"/>
      <c r="AT216" s="203"/>
    </row>
    <row r="217">
      <c r="A217" s="64">
        <v>627.0</v>
      </c>
      <c r="B217" s="163" t="s">
        <v>3307</v>
      </c>
      <c r="C217" s="64" t="s">
        <v>4089</v>
      </c>
      <c r="D217" s="64" t="s">
        <v>121</v>
      </c>
      <c r="E217" s="469" t="s">
        <v>139</v>
      </c>
      <c r="F217" s="254" t="s">
        <v>1520</v>
      </c>
      <c r="G217" s="68" t="s">
        <v>60</v>
      </c>
      <c r="H217" s="171" t="s">
        <v>1221</v>
      </c>
      <c r="I217" s="64" t="s">
        <v>1443</v>
      </c>
      <c r="J217" s="171" t="s">
        <v>114</v>
      </c>
      <c r="K217" s="378" t="s">
        <v>4093</v>
      </c>
      <c r="L217" s="171" t="s">
        <v>60</v>
      </c>
      <c r="N217" s="387" t="s">
        <v>3691</v>
      </c>
      <c r="O217" s="171" t="s">
        <v>3692</v>
      </c>
      <c r="P217" s="103">
        <v>32033.0</v>
      </c>
      <c r="Q217" s="81">
        <f t="shared" si="12"/>
        <v>32033</v>
      </c>
      <c r="R217" s="64">
        <f t="shared" si="13"/>
        <v>38</v>
      </c>
      <c r="S217" s="83">
        <v>3.203211617E9</v>
      </c>
      <c r="T217" s="81"/>
      <c r="U217" s="329" t="s">
        <v>136</v>
      </c>
      <c r="V217" s="83"/>
      <c r="W217" s="83"/>
      <c r="X217" s="68"/>
      <c r="Y217" s="64"/>
      <c r="Z217" s="64"/>
      <c r="AA217" s="64"/>
      <c r="AB217" s="68"/>
      <c r="AC217" s="64" t="s">
        <v>1510</v>
      </c>
      <c r="AD217" s="169"/>
      <c r="AE217" s="83"/>
      <c r="AF217" s="169"/>
      <c r="AG217" s="81"/>
      <c r="AH217" s="207">
        <v>45980.0</v>
      </c>
      <c r="AI217" s="203"/>
      <c r="AJ217" s="203"/>
      <c r="AK217" s="203"/>
      <c r="AL217" s="203"/>
      <c r="AM217" s="203"/>
      <c r="AN217" s="203"/>
      <c r="AO217" s="203"/>
      <c r="AP217" s="203"/>
      <c r="AQ217" s="203"/>
      <c r="AR217" s="203"/>
      <c r="AS217" s="203"/>
      <c r="AT217" s="203"/>
    </row>
    <row r="218">
      <c r="A218" s="64">
        <v>634.0</v>
      </c>
      <c r="B218" s="163" t="s">
        <v>3307</v>
      </c>
      <c r="C218" s="64" t="s">
        <v>3317</v>
      </c>
      <c r="D218" s="64" t="s">
        <v>121</v>
      </c>
      <c r="E218" s="469" t="s">
        <v>1522</v>
      </c>
      <c r="F218" s="254" t="s">
        <v>4111</v>
      </c>
      <c r="G218" s="68" t="s">
        <v>60</v>
      </c>
      <c r="H218" s="171" t="s">
        <v>1221</v>
      </c>
      <c r="I218" s="64" t="s">
        <v>1443</v>
      </c>
      <c r="J218" s="83" t="s">
        <v>114</v>
      </c>
      <c r="K218" s="378" t="s">
        <v>4115</v>
      </c>
      <c r="L218" s="170" t="s">
        <v>60</v>
      </c>
      <c r="N218" s="83" t="s">
        <v>4119</v>
      </c>
      <c r="O218" s="170" t="s">
        <v>3223</v>
      </c>
      <c r="P218" s="458">
        <v>28359.0</v>
      </c>
      <c r="Q218" s="81">
        <f t="shared" si="12"/>
        <v>28557</v>
      </c>
      <c r="R218" s="68">
        <f t="shared" si="13"/>
        <v>49</v>
      </c>
      <c r="S218" s="83">
        <v>2.855604313E9</v>
      </c>
      <c r="T218" s="81"/>
      <c r="U218" s="83" t="s">
        <v>368</v>
      </c>
      <c r="V218" s="83"/>
      <c r="W218" s="83"/>
      <c r="X218" s="83"/>
      <c r="Y218" s="68" t="s">
        <v>146</v>
      </c>
      <c r="Z218" s="68"/>
      <c r="AA218" s="68"/>
      <c r="AB218" s="68"/>
      <c r="AC218" s="83" t="s">
        <v>1510</v>
      </c>
      <c r="AD218" s="169"/>
      <c r="AE218" s="83"/>
      <c r="AF218" s="81"/>
      <c r="AG218" s="83" t="s">
        <v>375</v>
      </c>
      <c r="AH218" s="207">
        <v>46032.0</v>
      </c>
      <c r="AI218" s="203"/>
      <c r="AJ218" s="203"/>
      <c r="AK218" s="203"/>
      <c r="AL218" s="203"/>
      <c r="AM218" s="203"/>
      <c r="AN218" s="203"/>
      <c r="AO218" s="203"/>
      <c r="AP218" s="203"/>
      <c r="AQ218" s="203"/>
      <c r="AR218" s="203"/>
      <c r="AS218" s="203"/>
      <c r="AT218" s="203"/>
    </row>
    <row r="219">
      <c r="A219" s="64">
        <v>623.0</v>
      </c>
      <c r="B219" s="163" t="s">
        <v>3307</v>
      </c>
      <c r="C219" s="64" t="s">
        <v>3308</v>
      </c>
      <c r="D219" s="64" t="s">
        <v>121</v>
      </c>
      <c r="E219" s="179" t="s">
        <v>331</v>
      </c>
      <c r="F219" s="254" t="s">
        <v>1731</v>
      </c>
      <c r="G219" s="382" t="s">
        <v>60</v>
      </c>
      <c r="H219" s="171" t="s">
        <v>1221</v>
      </c>
      <c r="I219" s="64" t="s">
        <v>1443</v>
      </c>
      <c r="J219" s="171"/>
      <c r="K219" s="369"/>
      <c r="L219" s="280" t="s">
        <v>60</v>
      </c>
      <c r="N219" s="433" t="s">
        <v>3862</v>
      </c>
      <c r="O219" s="171"/>
      <c r="P219" s="75"/>
      <c r="Q219" s="64"/>
      <c r="R219" s="64"/>
      <c r="S219" s="81"/>
      <c r="T219" s="81"/>
      <c r="U219" s="83" t="s">
        <v>565</v>
      </c>
      <c r="V219" s="64"/>
      <c r="W219" s="64"/>
      <c r="X219" s="68"/>
      <c r="Y219" s="64"/>
      <c r="Z219" s="64"/>
      <c r="AA219" s="64"/>
      <c r="AB219" s="68"/>
      <c r="AC219" s="417" t="s">
        <v>630</v>
      </c>
      <c r="AD219" s="83" t="s">
        <v>632</v>
      </c>
      <c r="AE219" s="83"/>
      <c r="AF219" s="417" t="s">
        <v>630</v>
      </c>
      <c r="AG219" s="161"/>
      <c r="AH219" s="171"/>
      <c r="AI219" s="203"/>
      <c r="AJ219" s="203"/>
      <c r="AK219" s="203"/>
      <c r="AL219" s="203"/>
      <c r="AM219" s="203"/>
      <c r="AN219" s="203"/>
      <c r="AO219" s="203"/>
      <c r="AP219" s="203"/>
      <c r="AQ219" s="203"/>
      <c r="AR219" s="203"/>
      <c r="AS219" s="203"/>
      <c r="AT219" s="203"/>
    </row>
    <row r="220">
      <c r="A220" s="64"/>
      <c r="B220" s="231" t="s">
        <v>4145</v>
      </c>
      <c r="C220" s="231" t="s">
        <v>1774</v>
      </c>
      <c r="D220" s="64"/>
      <c r="E220" s="71"/>
      <c r="F220" s="64"/>
      <c r="G220" s="64"/>
      <c r="H220" s="64"/>
      <c r="I220" s="64"/>
      <c r="J220" s="64"/>
      <c r="K220" s="373"/>
      <c r="L220" s="171" t="s">
        <v>102</v>
      </c>
      <c r="N220" s="68" t="s">
        <v>4149</v>
      </c>
      <c r="O220" s="83" t="s">
        <v>1206</v>
      </c>
      <c r="P220" s="437"/>
      <c r="Q220" s="64"/>
      <c r="R220" s="64"/>
      <c r="S220" s="81"/>
      <c r="T220" s="81"/>
      <c r="U220" s="329" t="s">
        <v>393</v>
      </c>
      <c r="V220" s="64"/>
      <c r="W220" s="64"/>
      <c r="X220" s="68"/>
      <c r="Y220" s="68"/>
      <c r="Z220" s="68"/>
      <c r="AA220" s="68"/>
      <c r="AB220" s="68"/>
      <c r="AC220" s="68"/>
      <c r="AD220" s="169"/>
      <c r="AE220" s="83" t="s">
        <v>154</v>
      </c>
      <c r="AF220" s="83" t="s">
        <v>4154</v>
      </c>
      <c r="AG220" s="83" t="s">
        <v>375</v>
      </c>
      <c r="AH220" s="385">
        <v>45968.0</v>
      </c>
      <c r="AI220" s="61"/>
      <c r="AJ220" s="61"/>
      <c r="AK220" s="61"/>
      <c r="AL220" s="61"/>
      <c r="AM220" s="61"/>
      <c r="AN220" s="61"/>
      <c r="AO220" s="61"/>
      <c r="AP220" s="61"/>
      <c r="AQ220" s="61"/>
      <c r="AR220" s="61"/>
      <c r="AS220" s="61"/>
      <c r="AT220" s="61"/>
    </row>
    <row r="221">
      <c r="A221" s="64"/>
      <c r="B221" s="231" t="s">
        <v>4145</v>
      </c>
      <c r="C221" s="231" t="s">
        <v>1774</v>
      </c>
      <c r="D221" s="64"/>
      <c r="E221" s="71"/>
      <c r="F221" s="64"/>
      <c r="G221" s="64"/>
      <c r="H221" s="64"/>
      <c r="I221" s="64"/>
      <c r="J221" s="68"/>
      <c r="K221" s="373"/>
      <c r="L221" s="171" t="s">
        <v>504</v>
      </c>
      <c r="N221" s="64" t="s">
        <v>4161</v>
      </c>
      <c r="O221" s="83" t="s">
        <v>2654</v>
      </c>
      <c r="P221" s="374"/>
      <c r="Q221" s="64"/>
      <c r="R221" s="64"/>
      <c r="S221" s="81"/>
      <c r="T221" s="81"/>
      <c r="U221" s="329" t="s">
        <v>393</v>
      </c>
      <c r="V221" s="64"/>
      <c r="W221" s="64"/>
      <c r="X221" s="68"/>
      <c r="Y221" s="68"/>
      <c r="Z221" s="68"/>
      <c r="AA221" s="68"/>
      <c r="AB221" s="68"/>
      <c r="AC221" s="68"/>
      <c r="AD221" s="169"/>
      <c r="AE221" s="83" t="s">
        <v>672</v>
      </c>
      <c r="AF221" s="83" t="s">
        <v>4154</v>
      </c>
      <c r="AG221" s="83" t="s">
        <v>375</v>
      </c>
      <c r="AH221" s="83" t="s">
        <v>4165</v>
      </c>
      <c r="AI221" s="61"/>
      <c r="AJ221" s="61"/>
      <c r="AK221" s="61"/>
      <c r="AL221" s="61"/>
      <c r="AM221" s="61"/>
      <c r="AN221" s="61"/>
      <c r="AO221" s="61"/>
      <c r="AP221" s="61"/>
      <c r="AQ221" s="61"/>
      <c r="AR221" s="61"/>
      <c r="AS221" s="61"/>
      <c r="AT221" s="61"/>
    </row>
    <row r="222">
      <c r="A222" s="64"/>
      <c r="B222" s="231" t="s">
        <v>4145</v>
      </c>
      <c r="C222" s="231" t="s">
        <v>1774</v>
      </c>
      <c r="D222" s="64"/>
      <c r="E222" s="179"/>
      <c r="F222" s="64"/>
      <c r="G222" s="64"/>
      <c r="H222" s="64"/>
      <c r="I222" s="64"/>
      <c r="J222" s="68"/>
      <c r="K222" s="373"/>
      <c r="L222" s="171" t="s">
        <v>60</v>
      </c>
      <c r="N222" s="64" t="s">
        <v>4173</v>
      </c>
      <c r="O222" s="83" t="s">
        <v>4174</v>
      </c>
      <c r="P222" s="374"/>
      <c r="Q222" s="64"/>
      <c r="R222" s="64"/>
      <c r="S222" s="81"/>
      <c r="T222" s="81"/>
      <c r="U222" s="329" t="s">
        <v>393</v>
      </c>
      <c r="V222" s="64"/>
      <c r="W222" s="83"/>
      <c r="X222" s="68"/>
      <c r="Y222" s="68"/>
      <c r="Z222" s="68"/>
      <c r="AA222" s="68"/>
      <c r="AB222" s="68"/>
      <c r="AC222" s="68"/>
      <c r="AD222" s="169"/>
      <c r="AE222" s="83" t="s">
        <v>154</v>
      </c>
      <c r="AF222" s="83" t="s">
        <v>4154</v>
      </c>
      <c r="AG222" s="83" t="s">
        <v>375</v>
      </c>
      <c r="AH222" s="202">
        <v>45982.0</v>
      </c>
      <c r="AI222" s="61"/>
      <c r="AJ222" s="61"/>
      <c r="AK222" s="61"/>
      <c r="AL222" s="61"/>
      <c r="AM222" s="61"/>
      <c r="AN222" s="61"/>
      <c r="AO222" s="61"/>
      <c r="AP222" s="61"/>
      <c r="AQ222" s="61"/>
      <c r="AR222" s="61"/>
      <c r="AS222" s="61"/>
      <c r="AT222" s="61"/>
    </row>
    <row r="223">
      <c r="A223" s="64"/>
      <c r="B223" s="231" t="s">
        <v>4145</v>
      </c>
      <c r="C223" s="231" t="s">
        <v>1774</v>
      </c>
      <c r="D223" s="64"/>
      <c r="E223" s="71"/>
      <c r="F223" s="64"/>
      <c r="G223" s="64"/>
      <c r="H223" s="64"/>
      <c r="I223" s="64"/>
      <c r="J223" s="64"/>
      <c r="K223" s="373"/>
      <c r="L223" s="171" t="s">
        <v>360</v>
      </c>
      <c r="N223" s="64" t="s">
        <v>4184</v>
      </c>
      <c r="O223" s="171" t="s">
        <v>1960</v>
      </c>
      <c r="P223" s="103"/>
      <c r="Q223" s="64"/>
      <c r="R223" s="64"/>
      <c r="S223" s="81"/>
      <c r="T223" s="81"/>
      <c r="U223" s="329" t="s">
        <v>368</v>
      </c>
      <c r="V223" s="64"/>
      <c r="W223" s="64"/>
      <c r="X223" s="68"/>
      <c r="Y223" s="68"/>
      <c r="Z223" s="68"/>
      <c r="AA223" s="68"/>
      <c r="AB223" s="68"/>
      <c r="AC223" s="68"/>
      <c r="AD223" s="169"/>
      <c r="AE223" s="83"/>
      <c r="AF223" s="83" t="s">
        <v>1795</v>
      </c>
      <c r="AG223" s="83" t="s">
        <v>375</v>
      </c>
      <c r="AH223" s="207">
        <v>45973.0</v>
      </c>
      <c r="AI223" s="61"/>
      <c r="AJ223" s="61"/>
      <c r="AK223" s="61"/>
      <c r="AL223" s="61"/>
      <c r="AM223" s="61"/>
      <c r="AN223" s="61"/>
      <c r="AO223" s="61"/>
      <c r="AP223" s="61"/>
      <c r="AQ223" s="61"/>
      <c r="AR223" s="61"/>
      <c r="AS223" s="61"/>
      <c r="AT223" s="61"/>
    </row>
    <row r="224">
      <c r="A224" s="64"/>
      <c r="B224" s="231" t="s">
        <v>4145</v>
      </c>
      <c r="C224" s="231" t="s">
        <v>1774</v>
      </c>
      <c r="D224" s="64"/>
      <c r="E224" s="71"/>
      <c r="F224" s="64"/>
      <c r="G224" s="64"/>
      <c r="H224" s="64"/>
      <c r="I224" s="64"/>
      <c r="J224" s="68"/>
      <c r="K224" s="373"/>
      <c r="L224" s="171" t="s">
        <v>60</v>
      </c>
      <c r="N224" s="64" t="s">
        <v>4194</v>
      </c>
      <c r="O224" s="171" t="s">
        <v>4195</v>
      </c>
      <c r="P224" s="103"/>
      <c r="Q224" s="64"/>
      <c r="R224" s="64"/>
      <c r="S224" s="81"/>
      <c r="T224" s="81"/>
      <c r="U224" s="329" t="s">
        <v>368</v>
      </c>
      <c r="V224" s="64"/>
      <c r="W224" s="83"/>
      <c r="X224" s="68"/>
      <c r="Y224" s="68"/>
      <c r="Z224" s="68"/>
      <c r="AA224" s="68"/>
      <c r="AB224" s="68"/>
      <c r="AC224" s="68"/>
      <c r="AD224" s="169"/>
      <c r="AE224" s="83"/>
      <c r="AF224" s="83" t="s">
        <v>1795</v>
      </c>
      <c r="AG224" s="83" t="s">
        <v>375</v>
      </c>
      <c r="AH224" s="202">
        <v>45972.0</v>
      </c>
      <c r="AI224" s="61"/>
      <c r="AJ224" s="61"/>
      <c r="AK224" s="61"/>
      <c r="AL224" s="61"/>
      <c r="AM224" s="61"/>
      <c r="AN224" s="61"/>
      <c r="AO224" s="61"/>
      <c r="AP224" s="61"/>
      <c r="AQ224" s="61"/>
      <c r="AR224" s="61"/>
      <c r="AS224" s="61"/>
      <c r="AT224" s="61"/>
    </row>
    <row r="225">
      <c r="A225" s="64"/>
      <c r="B225" s="231" t="s">
        <v>4145</v>
      </c>
      <c r="C225" s="231" t="s">
        <v>1774</v>
      </c>
      <c r="D225" s="64"/>
      <c r="E225" s="71"/>
      <c r="F225" s="64"/>
      <c r="G225" s="64"/>
      <c r="H225" s="64"/>
      <c r="I225" s="64"/>
      <c r="J225" s="64"/>
      <c r="K225" s="373"/>
      <c r="L225" s="171" t="s">
        <v>60</v>
      </c>
      <c r="N225" s="68" t="s">
        <v>4203</v>
      </c>
      <c r="O225" s="83" t="s">
        <v>4204</v>
      </c>
      <c r="P225" s="64"/>
      <c r="Q225" s="64"/>
      <c r="R225" s="64"/>
      <c r="S225" s="81"/>
      <c r="T225" s="81"/>
      <c r="U225" s="329" t="s">
        <v>368</v>
      </c>
      <c r="V225" s="64"/>
      <c r="W225" s="64"/>
      <c r="X225" s="68"/>
      <c r="Y225" s="68"/>
      <c r="Z225" s="68"/>
      <c r="AA225" s="68"/>
      <c r="AB225" s="68"/>
      <c r="AC225" s="68"/>
      <c r="AD225" s="169"/>
      <c r="AE225" s="83"/>
      <c r="AF225" s="83" t="s">
        <v>1795</v>
      </c>
      <c r="AG225" s="83" t="s">
        <v>375</v>
      </c>
      <c r="AH225" s="202">
        <v>45969.0</v>
      </c>
      <c r="AI225" s="61"/>
      <c r="AJ225" s="61"/>
      <c r="AK225" s="61"/>
      <c r="AL225" s="61"/>
      <c r="AM225" s="61"/>
      <c r="AN225" s="61"/>
      <c r="AO225" s="61"/>
      <c r="AP225" s="61"/>
      <c r="AQ225" s="61"/>
      <c r="AR225" s="61"/>
      <c r="AS225" s="61"/>
      <c r="AT225" s="61"/>
    </row>
    <row r="226">
      <c r="A226" s="64"/>
      <c r="B226" s="231" t="s">
        <v>4145</v>
      </c>
      <c r="C226" s="231" t="s">
        <v>1774</v>
      </c>
      <c r="D226" s="64"/>
      <c r="E226" s="71"/>
      <c r="F226" s="64"/>
      <c r="G226" s="64"/>
      <c r="H226" s="64"/>
      <c r="I226" s="64"/>
      <c r="J226" s="64"/>
      <c r="K226" s="373"/>
      <c r="L226" s="171" t="s">
        <v>60</v>
      </c>
      <c r="N226" s="68" t="s">
        <v>4212</v>
      </c>
      <c r="O226" s="83" t="s">
        <v>4213</v>
      </c>
      <c r="P226" s="64"/>
      <c r="Q226" s="64"/>
      <c r="R226" s="64"/>
      <c r="S226" s="81"/>
      <c r="T226" s="81"/>
      <c r="U226" s="329" t="s">
        <v>368</v>
      </c>
      <c r="V226" s="64"/>
      <c r="W226" s="64"/>
      <c r="X226" s="68"/>
      <c r="Y226" s="68"/>
      <c r="Z226" s="68"/>
      <c r="AA226" s="68"/>
      <c r="AB226" s="68"/>
      <c r="AC226" s="68"/>
      <c r="AD226" s="169"/>
      <c r="AE226" s="83"/>
      <c r="AF226" s="83" t="s">
        <v>1795</v>
      </c>
      <c r="AG226" s="83" t="s">
        <v>375</v>
      </c>
      <c r="AH226" s="385">
        <v>45970.0</v>
      </c>
      <c r="AI226" s="61"/>
      <c r="AJ226" s="61"/>
      <c r="AK226" s="61"/>
      <c r="AL226" s="61"/>
      <c r="AM226" s="61"/>
      <c r="AN226" s="61"/>
      <c r="AO226" s="61"/>
      <c r="AP226" s="61"/>
      <c r="AQ226" s="61"/>
      <c r="AR226" s="61"/>
      <c r="AS226" s="61"/>
      <c r="AT226" s="61"/>
    </row>
    <row r="227">
      <c r="A227" s="64"/>
      <c r="B227" s="231" t="s">
        <v>4145</v>
      </c>
      <c r="C227" s="231" t="s">
        <v>1774</v>
      </c>
      <c r="D227" s="64"/>
      <c r="E227" s="71"/>
      <c r="F227" s="64"/>
      <c r="G227" s="64"/>
      <c r="H227" s="64"/>
      <c r="I227" s="64"/>
      <c r="J227" s="68"/>
      <c r="K227" s="373"/>
      <c r="L227" s="171" t="s">
        <v>60</v>
      </c>
      <c r="N227" s="64" t="s">
        <v>4223</v>
      </c>
      <c r="O227" s="171" t="s">
        <v>4224</v>
      </c>
      <c r="P227" s="103"/>
      <c r="Q227" s="64"/>
      <c r="R227" s="64"/>
      <c r="S227" s="81"/>
      <c r="T227" s="81"/>
      <c r="U227" s="329" t="s">
        <v>368</v>
      </c>
      <c r="V227" s="64"/>
      <c r="W227" s="64"/>
      <c r="X227" s="68"/>
      <c r="Y227" s="68"/>
      <c r="Z227" s="68"/>
      <c r="AA227" s="68"/>
      <c r="AB227" s="68"/>
      <c r="AC227" s="68"/>
      <c r="AD227" s="169"/>
      <c r="AE227" s="83"/>
      <c r="AF227" s="83" t="s">
        <v>1795</v>
      </c>
      <c r="AG227" s="83" t="s">
        <v>375</v>
      </c>
      <c r="AH227" s="202">
        <v>45972.0</v>
      </c>
      <c r="AI227" s="61"/>
      <c r="AJ227" s="61"/>
      <c r="AK227" s="61"/>
      <c r="AL227" s="61"/>
      <c r="AM227" s="61"/>
      <c r="AN227" s="61"/>
      <c r="AO227" s="61"/>
      <c r="AP227" s="61"/>
      <c r="AQ227" s="61"/>
      <c r="AR227" s="61"/>
      <c r="AS227" s="61"/>
      <c r="AT227" s="61"/>
    </row>
    <row r="228">
      <c r="A228" s="64"/>
      <c r="B228" s="231" t="s">
        <v>4145</v>
      </c>
      <c r="C228" s="231" t="s">
        <v>1774</v>
      </c>
      <c r="D228" s="64"/>
      <c r="E228" s="71"/>
      <c r="F228" s="64"/>
      <c r="G228" s="64"/>
      <c r="H228" s="64"/>
      <c r="I228" s="64"/>
      <c r="J228" s="68"/>
      <c r="K228" s="373"/>
      <c r="L228" s="171" t="s">
        <v>60</v>
      </c>
      <c r="N228" s="64" t="s">
        <v>4240</v>
      </c>
      <c r="O228" s="83" t="s">
        <v>2006</v>
      </c>
      <c r="P228" s="103"/>
      <c r="Q228" s="64"/>
      <c r="R228" s="64"/>
      <c r="S228" s="81"/>
      <c r="T228" s="81"/>
      <c r="U228" s="329" t="s">
        <v>368</v>
      </c>
      <c r="V228" s="64"/>
      <c r="W228" s="64"/>
      <c r="X228" s="68"/>
      <c r="Y228" s="68"/>
      <c r="Z228" s="68"/>
      <c r="AA228" s="68"/>
      <c r="AB228" s="68"/>
      <c r="AC228" s="68"/>
      <c r="AD228" s="169"/>
      <c r="AE228" s="83"/>
      <c r="AF228" s="83" t="s">
        <v>1795</v>
      </c>
      <c r="AG228" s="83" t="s">
        <v>375</v>
      </c>
      <c r="AH228" s="202">
        <v>45970.0</v>
      </c>
      <c r="AI228" s="61"/>
      <c r="AJ228" s="61"/>
      <c r="AK228" s="61"/>
      <c r="AL228" s="61"/>
      <c r="AM228" s="61"/>
      <c r="AN228" s="61"/>
      <c r="AO228" s="61"/>
      <c r="AP228" s="61"/>
      <c r="AQ228" s="61"/>
      <c r="AR228" s="61"/>
      <c r="AS228" s="61"/>
      <c r="AT228" s="61"/>
    </row>
    <row r="229">
      <c r="A229" s="64"/>
      <c r="B229" s="231" t="s">
        <v>4145</v>
      </c>
      <c r="C229" s="231" t="s">
        <v>1774</v>
      </c>
      <c r="D229" s="64"/>
      <c r="E229" s="71"/>
      <c r="F229" s="64"/>
      <c r="G229" s="64"/>
      <c r="H229" s="64"/>
      <c r="I229" s="64"/>
      <c r="J229" s="68"/>
      <c r="K229" s="373"/>
      <c r="L229" s="171" t="s">
        <v>60</v>
      </c>
      <c r="N229" s="64" t="s">
        <v>4253</v>
      </c>
      <c r="O229" s="83" t="s">
        <v>4254</v>
      </c>
      <c r="P229" s="103"/>
      <c r="Q229" s="64"/>
      <c r="R229" s="64"/>
      <c r="S229" s="81"/>
      <c r="T229" s="81"/>
      <c r="U229" s="329" t="s">
        <v>368</v>
      </c>
      <c r="V229" s="64"/>
      <c r="W229" s="64"/>
      <c r="X229" s="68"/>
      <c r="Y229" s="68"/>
      <c r="Z229" s="68"/>
      <c r="AA229" s="68"/>
      <c r="AB229" s="68"/>
      <c r="AC229" s="68"/>
      <c r="AD229" s="169"/>
      <c r="AE229" s="83"/>
      <c r="AF229" s="83" t="s">
        <v>1795</v>
      </c>
      <c r="AG229" s="83" t="s">
        <v>375</v>
      </c>
      <c r="AH229" s="202">
        <v>45975.0</v>
      </c>
      <c r="AI229" s="61"/>
      <c r="AJ229" s="61"/>
      <c r="AK229" s="61"/>
      <c r="AL229" s="61"/>
      <c r="AM229" s="61"/>
      <c r="AN229" s="61"/>
      <c r="AO229" s="61"/>
      <c r="AP229" s="61"/>
      <c r="AQ229" s="61"/>
      <c r="AR229" s="61"/>
      <c r="AS229" s="61"/>
      <c r="AT229" s="61"/>
    </row>
    <row r="230">
      <c r="A230" s="64"/>
      <c r="B230" s="231" t="s">
        <v>4145</v>
      </c>
      <c r="C230" s="231" t="s">
        <v>1774</v>
      </c>
      <c r="D230" s="64"/>
      <c r="E230" s="71"/>
      <c r="F230" s="64"/>
      <c r="G230" s="64"/>
      <c r="H230" s="64"/>
      <c r="I230" s="64"/>
      <c r="J230" s="68"/>
      <c r="K230" s="373"/>
      <c r="L230" s="171" t="s">
        <v>60</v>
      </c>
      <c r="N230" s="64" t="s">
        <v>4267</v>
      </c>
      <c r="O230" s="83" t="s">
        <v>4268</v>
      </c>
      <c r="P230" s="103"/>
      <c r="Q230" s="64"/>
      <c r="R230" s="64"/>
      <c r="S230" s="81"/>
      <c r="T230" s="81"/>
      <c r="U230" s="329" t="s">
        <v>368</v>
      </c>
      <c r="V230" s="64"/>
      <c r="W230" s="64"/>
      <c r="X230" s="68"/>
      <c r="Y230" s="68"/>
      <c r="Z230" s="68"/>
      <c r="AA230" s="68"/>
      <c r="AB230" s="68"/>
      <c r="AC230" s="68"/>
      <c r="AD230" s="169"/>
      <c r="AE230" s="83"/>
      <c r="AF230" s="83" t="s">
        <v>1795</v>
      </c>
      <c r="AG230" s="83" t="s">
        <v>375</v>
      </c>
      <c r="AH230" s="202">
        <v>45975.0</v>
      </c>
      <c r="AI230" s="61"/>
      <c r="AJ230" s="61"/>
      <c r="AK230" s="61"/>
      <c r="AL230" s="61"/>
      <c r="AM230" s="61"/>
      <c r="AN230" s="61"/>
      <c r="AO230" s="61"/>
      <c r="AP230" s="61"/>
      <c r="AQ230" s="61"/>
      <c r="AR230" s="61"/>
      <c r="AS230" s="61"/>
      <c r="AT230" s="61"/>
    </row>
    <row r="231">
      <c r="A231" s="64"/>
      <c r="B231" s="231" t="s">
        <v>4145</v>
      </c>
      <c r="C231" s="231" t="s">
        <v>1774</v>
      </c>
      <c r="D231" s="64"/>
      <c r="E231" s="71"/>
      <c r="F231" s="64"/>
      <c r="G231" s="64"/>
      <c r="H231" s="64"/>
      <c r="I231" s="64"/>
      <c r="J231" s="68"/>
      <c r="K231" s="373"/>
      <c r="L231" s="171" t="s">
        <v>60</v>
      </c>
      <c r="N231" s="64" t="s">
        <v>4279</v>
      </c>
      <c r="O231" s="83" t="s">
        <v>4280</v>
      </c>
      <c r="P231" s="103"/>
      <c r="Q231" s="64"/>
      <c r="R231" s="64"/>
      <c r="S231" s="81"/>
      <c r="T231" s="81"/>
      <c r="U231" s="329" t="s">
        <v>368</v>
      </c>
      <c r="V231" s="64"/>
      <c r="W231" s="83"/>
      <c r="X231" s="68"/>
      <c r="Y231" s="68"/>
      <c r="Z231" s="68"/>
      <c r="AA231" s="68"/>
      <c r="AB231" s="68"/>
      <c r="AC231" s="68"/>
      <c r="AD231" s="169"/>
      <c r="AE231" s="83"/>
      <c r="AF231" s="83" t="s">
        <v>1795</v>
      </c>
      <c r="AG231" s="83" t="s">
        <v>375</v>
      </c>
      <c r="AH231" s="202">
        <v>45976.0</v>
      </c>
      <c r="AI231" s="61"/>
      <c r="AJ231" s="61"/>
      <c r="AK231" s="61"/>
      <c r="AL231" s="61"/>
      <c r="AM231" s="61"/>
      <c r="AN231" s="61"/>
      <c r="AO231" s="61"/>
      <c r="AP231" s="61"/>
      <c r="AQ231" s="61"/>
      <c r="AR231" s="61"/>
      <c r="AS231" s="61"/>
      <c r="AT231" s="61"/>
    </row>
    <row r="232">
      <c r="A232" s="64"/>
      <c r="B232" s="231" t="s">
        <v>4145</v>
      </c>
      <c r="C232" s="231" t="s">
        <v>1774</v>
      </c>
      <c r="D232" s="64"/>
      <c r="E232" s="179"/>
      <c r="F232" s="64"/>
      <c r="G232" s="64"/>
      <c r="H232" s="64"/>
      <c r="I232" s="64"/>
      <c r="J232" s="68"/>
      <c r="K232" s="373"/>
      <c r="L232" s="171" t="s">
        <v>60</v>
      </c>
      <c r="N232" s="64" t="s">
        <v>4291</v>
      </c>
      <c r="O232" s="83" t="s">
        <v>2528</v>
      </c>
      <c r="P232" s="103"/>
      <c r="Q232" s="64"/>
      <c r="R232" s="64"/>
      <c r="S232" s="81"/>
      <c r="T232" s="81"/>
      <c r="U232" s="329" t="s">
        <v>368</v>
      </c>
      <c r="V232" s="64"/>
      <c r="W232" s="83"/>
      <c r="X232" s="68"/>
      <c r="Y232" s="68"/>
      <c r="Z232" s="68"/>
      <c r="AA232" s="68"/>
      <c r="AB232" s="68"/>
      <c r="AC232" s="68"/>
      <c r="AD232" s="169"/>
      <c r="AE232" s="83"/>
      <c r="AF232" s="83" t="s">
        <v>1795</v>
      </c>
      <c r="AG232" s="83" t="s">
        <v>375</v>
      </c>
      <c r="AH232" s="385">
        <v>45976.0</v>
      </c>
      <c r="AI232" s="61"/>
      <c r="AJ232" s="61"/>
      <c r="AK232" s="61"/>
      <c r="AL232" s="61"/>
      <c r="AM232" s="61"/>
      <c r="AN232" s="61"/>
      <c r="AO232" s="61"/>
      <c r="AP232" s="61"/>
      <c r="AQ232" s="61"/>
      <c r="AR232" s="61"/>
      <c r="AS232" s="61"/>
      <c r="AT232" s="61"/>
    </row>
    <row r="233">
      <c r="A233" s="64"/>
      <c r="B233" s="231" t="s">
        <v>4145</v>
      </c>
      <c r="C233" s="231" t="s">
        <v>1774</v>
      </c>
      <c r="D233" s="64"/>
      <c r="E233" s="71"/>
      <c r="F233" s="64"/>
      <c r="G233" s="64"/>
      <c r="H233" s="64"/>
      <c r="I233" s="64"/>
      <c r="J233" s="64"/>
      <c r="K233" s="373"/>
      <c r="L233" s="171" t="s">
        <v>360</v>
      </c>
      <c r="N233" s="64" t="s">
        <v>4302</v>
      </c>
      <c r="O233" s="83" t="s">
        <v>4303</v>
      </c>
      <c r="P233" s="103"/>
      <c r="Q233" s="64"/>
      <c r="R233" s="64"/>
      <c r="S233" s="81"/>
      <c r="T233" s="81"/>
      <c r="U233" s="329" t="s">
        <v>368</v>
      </c>
      <c r="V233" s="64"/>
      <c r="W233" s="64"/>
      <c r="X233" s="68"/>
      <c r="Y233" s="68"/>
      <c r="Z233" s="68"/>
      <c r="AA233" s="68"/>
      <c r="AB233" s="68"/>
      <c r="AC233" s="68"/>
      <c r="AD233" s="169"/>
      <c r="AE233" s="83"/>
      <c r="AF233" s="83" t="s">
        <v>1795</v>
      </c>
      <c r="AG233" s="83" t="s">
        <v>375</v>
      </c>
      <c r="AH233" s="202">
        <v>45977.0</v>
      </c>
      <c r="AI233" s="61"/>
      <c r="AJ233" s="61"/>
      <c r="AK233" s="61"/>
      <c r="AL233" s="61"/>
      <c r="AM233" s="61"/>
      <c r="AN233" s="61"/>
      <c r="AO233" s="61"/>
      <c r="AP233" s="61"/>
      <c r="AQ233" s="61"/>
      <c r="AR233" s="61"/>
      <c r="AS233" s="61"/>
      <c r="AT233" s="61"/>
    </row>
    <row r="234">
      <c r="A234" s="64"/>
      <c r="B234" s="231" t="s">
        <v>4145</v>
      </c>
      <c r="C234" s="231" t="s">
        <v>1774</v>
      </c>
      <c r="D234" s="64"/>
      <c r="E234" s="71"/>
      <c r="F234" s="64"/>
      <c r="G234" s="64"/>
      <c r="H234" s="64"/>
      <c r="I234" s="64"/>
      <c r="J234" s="64"/>
      <c r="K234" s="373"/>
      <c r="L234" s="171" t="s">
        <v>60</v>
      </c>
      <c r="N234" s="64" t="s">
        <v>4317</v>
      </c>
      <c r="O234" s="83" t="s">
        <v>483</v>
      </c>
      <c r="P234" s="103"/>
      <c r="Q234" s="64"/>
      <c r="R234" s="64"/>
      <c r="S234" s="81"/>
      <c r="T234" s="81"/>
      <c r="U234" s="329" t="s">
        <v>368</v>
      </c>
      <c r="V234" s="64"/>
      <c r="W234" s="83"/>
      <c r="X234" s="68"/>
      <c r="Y234" s="68"/>
      <c r="Z234" s="68"/>
      <c r="AA234" s="68"/>
      <c r="AB234" s="68"/>
      <c r="AC234" s="68"/>
      <c r="AD234" s="169"/>
      <c r="AE234" s="83"/>
      <c r="AF234" s="83" t="s">
        <v>1795</v>
      </c>
      <c r="AG234" s="83" t="s">
        <v>375</v>
      </c>
      <c r="AH234" s="202">
        <v>45977.0</v>
      </c>
      <c r="AI234" s="61"/>
      <c r="AJ234" s="61"/>
      <c r="AK234" s="61"/>
      <c r="AL234" s="61"/>
      <c r="AM234" s="61"/>
      <c r="AN234" s="61"/>
      <c r="AO234" s="61"/>
      <c r="AP234" s="61"/>
      <c r="AQ234" s="61"/>
      <c r="AR234" s="61"/>
      <c r="AS234" s="61"/>
      <c r="AT234" s="61"/>
    </row>
    <row r="235">
      <c r="A235" s="502"/>
      <c r="B235" s="95" t="s">
        <v>4145</v>
      </c>
      <c r="C235" s="95" t="s">
        <v>1774</v>
      </c>
      <c r="D235" s="502"/>
      <c r="E235" s="502"/>
      <c r="F235" s="502"/>
      <c r="G235" s="502"/>
      <c r="H235" s="502"/>
      <c r="I235" s="502"/>
      <c r="J235" s="502"/>
      <c r="K235" s="502"/>
      <c r="L235" s="96" t="s">
        <v>102</v>
      </c>
      <c r="N235" s="95" t="s">
        <v>4328</v>
      </c>
      <c r="O235" s="96" t="s">
        <v>2931</v>
      </c>
      <c r="P235" s="504"/>
      <c r="Q235" s="502"/>
      <c r="R235" s="502"/>
      <c r="S235" s="505"/>
      <c r="T235" s="505"/>
      <c r="U235" s="140" t="s">
        <v>368</v>
      </c>
      <c r="V235" s="502"/>
      <c r="W235" s="502"/>
      <c r="X235" s="502"/>
      <c r="Y235" s="502"/>
      <c r="Z235" s="502"/>
      <c r="AA235" s="502"/>
      <c r="AB235" s="502"/>
      <c r="AC235" s="502"/>
      <c r="AD235" s="508"/>
      <c r="AE235" s="502"/>
      <c r="AF235" s="95" t="s">
        <v>1795</v>
      </c>
      <c r="AG235" s="95" t="s">
        <v>375</v>
      </c>
      <c r="AH235" s="81">
        <v>46015.0</v>
      </c>
      <c r="AI235" s="509"/>
      <c r="AJ235" s="509"/>
      <c r="AK235" s="509"/>
      <c r="AL235" s="509"/>
      <c r="AM235" s="509"/>
      <c r="AN235" s="509"/>
      <c r="AO235" s="509"/>
      <c r="AP235" s="509"/>
      <c r="AQ235" s="509"/>
      <c r="AR235" s="509"/>
      <c r="AS235" s="509"/>
      <c r="AT235" s="509"/>
    </row>
    <row r="236">
      <c r="A236" s="502"/>
      <c r="B236" s="95" t="s">
        <v>4145</v>
      </c>
      <c r="C236" s="95" t="s">
        <v>1774</v>
      </c>
      <c r="D236" s="502"/>
      <c r="E236" s="502"/>
      <c r="F236" s="502"/>
      <c r="G236" s="502"/>
      <c r="H236" s="502"/>
      <c r="I236" s="502"/>
      <c r="J236" s="502"/>
      <c r="K236" s="502"/>
      <c r="L236" s="96" t="s">
        <v>504</v>
      </c>
      <c r="N236" s="95" t="s">
        <v>4358</v>
      </c>
      <c r="O236" s="502"/>
      <c r="P236" s="502"/>
      <c r="Q236" s="502"/>
      <c r="R236" s="502"/>
      <c r="S236" s="505"/>
      <c r="T236" s="505"/>
      <c r="U236" s="510" t="s">
        <v>379</v>
      </c>
      <c r="V236" s="502"/>
      <c r="W236" s="502"/>
      <c r="X236" s="502"/>
      <c r="Y236" s="502"/>
      <c r="Z236" s="502"/>
      <c r="AA236" s="502"/>
      <c r="AB236" s="502"/>
      <c r="AC236" s="502"/>
      <c r="AD236" s="508"/>
      <c r="AE236" s="95" t="s">
        <v>632</v>
      </c>
      <c r="AF236" s="95" t="s">
        <v>1795</v>
      </c>
      <c r="AG236" s="502"/>
      <c r="AH236" s="511"/>
      <c r="AI236" s="509"/>
      <c r="AJ236" s="509"/>
      <c r="AK236" s="509"/>
      <c r="AL236" s="509"/>
      <c r="AM236" s="509"/>
      <c r="AN236" s="509"/>
      <c r="AO236" s="509"/>
      <c r="AP236" s="509"/>
      <c r="AQ236" s="509"/>
      <c r="AR236" s="509"/>
      <c r="AS236" s="509"/>
      <c r="AT236" s="509"/>
    </row>
    <row r="237">
      <c r="A237" s="502"/>
      <c r="B237" s="95" t="s">
        <v>4145</v>
      </c>
      <c r="C237" s="95" t="s">
        <v>1774</v>
      </c>
      <c r="D237" s="502"/>
      <c r="E237" s="502"/>
      <c r="F237" s="502"/>
      <c r="G237" s="502"/>
      <c r="H237" s="502"/>
      <c r="I237" s="502"/>
      <c r="J237" s="502"/>
      <c r="K237" s="513" t="s">
        <v>4379</v>
      </c>
      <c r="L237" s="96" t="s">
        <v>60</v>
      </c>
      <c r="N237" s="95" t="s">
        <v>4380</v>
      </c>
      <c r="O237" s="96" t="s">
        <v>4381</v>
      </c>
      <c r="P237" s="504"/>
      <c r="Q237" s="502"/>
      <c r="R237" s="502"/>
      <c r="S237" s="505"/>
      <c r="T237" s="505"/>
      <c r="U237" s="140" t="s">
        <v>368</v>
      </c>
      <c r="V237" s="502"/>
      <c r="W237" s="502"/>
      <c r="X237" s="502"/>
      <c r="Y237" s="502"/>
      <c r="Z237" s="502"/>
      <c r="AA237" s="502"/>
      <c r="AB237" s="502"/>
      <c r="AC237" s="502"/>
      <c r="AD237" s="508"/>
      <c r="AE237" s="502"/>
      <c r="AF237" s="95" t="s">
        <v>4392</v>
      </c>
      <c r="AG237" s="95" t="s">
        <v>375</v>
      </c>
      <c r="AH237" s="81">
        <v>46007.0</v>
      </c>
      <c r="AI237" s="509"/>
      <c r="AJ237" s="509"/>
      <c r="AK237" s="509"/>
      <c r="AL237" s="509"/>
      <c r="AM237" s="509"/>
      <c r="AN237" s="509"/>
      <c r="AO237" s="509"/>
      <c r="AP237" s="509"/>
      <c r="AQ237" s="509"/>
      <c r="AR237" s="509"/>
      <c r="AS237" s="509"/>
      <c r="AT237" s="509"/>
    </row>
    <row r="238">
      <c r="A238" s="502"/>
      <c r="B238" s="95" t="s">
        <v>4145</v>
      </c>
      <c r="C238" s="95" t="s">
        <v>1774</v>
      </c>
      <c r="D238" s="502"/>
      <c r="E238" s="502"/>
      <c r="F238" s="502"/>
      <c r="G238" s="502"/>
      <c r="H238" s="502"/>
      <c r="I238" s="502"/>
      <c r="J238" s="502"/>
      <c r="K238" s="513" t="s">
        <v>4397</v>
      </c>
      <c r="L238" s="96" t="s">
        <v>102</v>
      </c>
      <c r="N238" s="95" t="s">
        <v>4400</v>
      </c>
      <c r="O238" s="96" t="s">
        <v>294</v>
      </c>
      <c r="P238" s="504"/>
      <c r="Q238" s="502"/>
      <c r="R238" s="502"/>
      <c r="S238" s="505"/>
      <c r="T238" s="505"/>
      <c r="U238" s="140" t="s">
        <v>368</v>
      </c>
      <c r="V238" s="502"/>
      <c r="W238" s="502"/>
      <c r="X238" s="502"/>
      <c r="Y238" s="502"/>
      <c r="Z238" s="502"/>
      <c r="AA238" s="502"/>
      <c r="AB238" s="502"/>
      <c r="AC238" s="502"/>
      <c r="AD238" s="508"/>
      <c r="AE238" s="502"/>
      <c r="AF238" s="95" t="s">
        <v>4392</v>
      </c>
      <c r="AG238" s="95" t="s">
        <v>375</v>
      </c>
      <c r="AH238" s="81">
        <v>45994.0</v>
      </c>
      <c r="AI238" s="509"/>
      <c r="AJ238" s="509"/>
      <c r="AK238" s="509"/>
      <c r="AL238" s="509"/>
      <c r="AM238" s="509"/>
      <c r="AN238" s="509"/>
      <c r="AO238" s="509"/>
      <c r="AP238" s="509"/>
      <c r="AQ238" s="509"/>
      <c r="AR238" s="509"/>
      <c r="AS238" s="509"/>
      <c r="AT238" s="509"/>
    </row>
    <row r="239">
      <c r="A239" s="502"/>
      <c r="B239" s="95" t="s">
        <v>4145</v>
      </c>
      <c r="C239" s="95" t="s">
        <v>1774</v>
      </c>
      <c r="D239" s="502"/>
      <c r="E239" s="502"/>
      <c r="F239" s="502"/>
      <c r="G239" s="502"/>
      <c r="H239" s="502"/>
      <c r="I239" s="502"/>
      <c r="J239" s="502"/>
      <c r="K239" s="513" t="s">
        <v>4412</v>
      </c>
      <c r="L239" s="96" t="s">
        <v>360</v>
      </c>
      <c r="N239" s="95" t="s">
        <v>4413</v>
      </c>
      <c r="O239" s="96" t="s">
        <v>4414</v>
      </c>
      <c r="P239" s="504"/>
      <c r="Q239" s="502"/>
      <c r="R239" s="502"/>
      <c r="S239" s="505"/>
      <c r="T239" s="505"/>
      <c r="U239" s="140" t="s">
        <v>368</v>
      </c>
      <c r="V239" s="502"/>
      <c r="W239" s="502"/>
      <c r="X239" s="502"/>
      <c r="Y239" s="502"/>
      <c r="Z239" s="502"/>
      <c r="AA239" s="502"/>
      <c r="AB239" s="502"/>
      <c r="AC239" s="502"/>
      <c r="AD239" s="508"/>
      <c r="AE239" s="502"/>
      <c r="AF239" s="95" t="s">
        <v>4392</v>
      </c>
      <c r="AG239" s="95" t="s">
        <v>375</v>
      </c>
      <c r="AH239" s="81">
        <v>46017.0</v>
      </c>
      <c r="AI239" s="509"/>
      <c r="AJ239" s="509"/>
      <c r="AK239" s="509"/>
      <c r="AL239" s="509"/>
      <c r="AM239" s="509"/>
      <c r="AN239" s="509"/>
      <c r="AO239" s="509"/>
      <c r="AP239" s="509"/>
      <c r="AQ239" s="509"/>
      <c r="AR239" s="509"/>
      <c r="AS239" s="509"/>
      <c r="AT239" s="509"/>
    </row>
    <row r="240">
      <c r="A240" s="502"/>
      <c r="B240" s="95" t="s">
        <v>4145</v>
      </c>
      <c r="C240" s="95" t="s">
        <v>1774</v>
      </c>
      <c r="D240" s="502"/>
      <c r="E240" s="502"/>
      <c r="F240" s="502"/>
      <c r="G240" s="502"/>
      <c r="H240" s="502"/>
      <c r="I240" s="502"/>
      <c r="J240" s="502"/>
      <c r="K240" s="502"/>
      <c r="L240" s="96" t="s">
        <v>102</v>
      </c>
      <c r="N240" s="95" t="s">
        <v>4427</v>
      </c>
      <c r="O240" s="96" t="s">
        <v>4428</v>
      </c>
      <c r="P240" s="504"/>
      <c r="Q240" s="502"/>
      <c r="R240" s="502"/>
      <c r="S240" s="505"/>
      <c r="T240" s="505"/>
      <c r="U240" s="140" t="s">
        <v>368</v>
      </c>
      <c r="V240" s="502"/>
      <c r="W240" s="502"/>
      <c r="X240" s="502"/>
      <c r="Y240" s="502"/>
      <c r="Z240" s="502"/>
      <c r="AA240" s="502"/>
      <c r="AB240" s="502"/>
      <c r="AC240" s="502"/>
      <c r="AD240" s="508"/>
      <c r="AE240" s="502"/>
      <c r="AF240" s="95" t="s">
        <v>4392</v>
      </c>
      <c r="AG240" s="95" t="s">
        <v>375</v>
      </c>
      <c r="AH240" s="81">
        <v>46007.0</v>
      </c>
      <c r="AI240" s="509"/>
      <c r="AJ240" s="509"/>
      <c r="AK240" s="509"/>
      <c r="AL240" s="509"/>
      <c r="AM240" s="509"/>
      <c r="AN240" s="509"/>
      <c r="AO240" s="509"/>
      <c r="AP240" s="509"/>
      <c r="AQ240" s="509"/>
      <c r="AR240" s="509"/>
      <c r="AS240" s="509"/>
      <c r="AT240" s="509"/>
    </row>
    <row r="241">
      <c r="A241" s="502"/>
      <c r="B241" s="95" t="s">
        <v>4145</v>
      </c>
      <c r="C241" s="95" t="s">
        <v>1774</v>
      </c>
      <c r="D241" s="502"/>
      <c r="E241" s="502"/>
      <c r="F241" s="502"/>
      <c r="G241" s="502"/>
      <c r="H241" s="502"/>
      <c r="I241" s="502"/>
      <c r="J241" s="502"/>
      <c r="K241" s="502"/>
      <c r="L241" s="96" t="s">
        <v>360</v>
      </c>
      <c r="N241" s="95" t="s">
        <v>4439</v>
      </c>
      <c r="O241" s="96" t="s">
        <v>4442</v>
      </c>
      <c r="P241" s="504"/>
      <c r="Q241" s="502"/>
      <c r="R241" s="502"/>
      <c r="S241" s="505"/>
      <c r="T241" s="505"/>
      <c r="U241" s="140" t="s">
        <v>368</v>
      </c>
      <c r="V241" s="502"/>
      <c r="W241" s="502"/>
      <c r="X241" s="502"/>
      <c r="Y241" s="502"/>
      <c r="Z241" s="502"/>
      <c r="AA241" s="502"/>
      <c r="AB241" s="502"/>
      <c r="AC241" s="95" t="s">
        <v>4447</v>
      </c>
      <c r="AD241" s="508"/>
      <c r="AE241" s="95" t="s">
        <v>291</v>
      </c>
      <c r="AF241" s="140" t="s">
        <v>4392</v>
      </c>
      <c r="AG241" s="516"/>
      <c r="AH241" s="516"/>
      <c r="AI241" s="509"/>
      <c r="AJ241" s="509"/>
      <c r="AK241" s="509"/>
      <c r="AL241" s="509"/>
      <c r="AM241" s="509"/>
      <c r="AN241" s="509"/>
      <c r="AO241" s="509"/>
      <c r="AP241" s="509"/>
      <c r="AQ241" s="509"/>
      <c r="AR241" s="509"/>
      <c r="AS241" s="509"/>
      <c r="AT241" s="509"/>
    </row>
    <row r="242">
      <c r="A242" s="502"/>
      <c r="B242" s="95" t="s">
        <v>4145</v>
      </c>
      <c r="C242" s="95" t="s">
        <v>1774</v>
      </c>
      <c r="D242" s="502"/>
      <c r="E242" s="502"/>
      <c r="F242" s="502"/>
      <c r="G242" s="502"/>
      <c r="H242" s="502"/>
      <c r="I242" s="502"/>
      <c r="J242" s="502"/>
      <c r="K242" s="513" t="s">
        <v>4456</v>
      </c>
      <c r="L242" s="96" t="s">
        <v>60</v>
      </c>
      <c r="N242" s="95" t="s">
        <v>4458</v>
      </c>
      <c r="O242" s="96" t="s">
        <v>4459</v>
      </c>
      <c r="P242" s="504"/>
      <c r="Q242" s="502"/>
      <c r="R242" s="502"/>
      <c r="S242" s="505"/>
      <c r="T242" s="505"/>
      <c r="U242" s="140" t="s">
        <v>368</v>
      </c>
      <c r="V242" s="502"/>
      <c r="W242" s="502"/>
      <c r="X242" s="502"/>
      <c r="Y242" s="502"/>
      <c r="Z242" s="502"/>
      <c r="AA242" s="502"/>
      <c r="AB242" s="502"/>
      <c r="AC242" s="502"/>
      <c r="AD242" s="508"/>
      <c r="AE242" s="502"/>
      <c r="AF242" s="95" t="s">
        <v>4392</v>
      </c>
      <c r="AG242" s="95" t="s">
        <v>375</v>
      </c>
      <c r="AH242" s="81">
        <v>46020.0</v>
      </c>
      <c r="AI242" s="509"/>
      <c r="AJ242" s="509"/>
      <c r="AK242" s="509"/>
      <c r="AL242" s="509"/>
      <c r="AM242" s="509"/>
      <c r="AN242" s="509"/>
      <c r="AO242" s="509"/>
      <c r="AP242" s="509"/>
      <c r="AQ242" s="509"/>
      <c r="AR242" s="509"/>
      <c r="AS242" s="509"/>
      <c r="AT242" s="509"/>
    </row>
    <row r="243">
      <c r="A243" s="502"/>
      <c r="B243" s="95" t="s">
        <v>4145</v>
      </c>
      <c r="C243" s="95" t="s">
        <v>1313</v>
      </c>
      <c r="D243" s="502"/>
      <c r="E243" s="128" t="s">
        <v>4469</v>
      </c>
      <c r="F243" s="502"/>
      <c r="G243" s="502"/>
      <c r="H243" s="502"/>
      <c r="I243" s="502"/>
      <c r="J243" s="95" t="s">
        <v>114</v>
      </c>
      <c r="K243" s="502"/>
      <c r="L243" s="96" t="s">
        <v>60</v>
      </c>
      <c r="N243" s="95" t="s">
        <v>4471</v>
      </c>
      <c r="O243" s="95" t="s">
        <v>1943</v>
      </c>
      <c r="P243" s="502"/>
      <c r="Q243" s="502"/>
      <c r="R243" s="502"/>
      <c r="S243" s="505"/>
      <c r="T243" s="505"/>
      <c r="U243" s="140" t="s">
        <v>368</v>
      </c>
      <c r="V243" s="502"/>
      <c r="W243" s="502"/>
      <c r="X243" s="502"/>
      <c r="Y243" s="502"/>
      <c r="Z243" s="502"/>
      <c r="AA243" s="502"/>
      <c r="AB243" s="502"/>
      <c r="AC243" s="95" t="s">
        <v>1566</v>
      </c>
      <c r="AD243" s="95" t="s">
        <v>1566</v>
      </c>
      <c r="AE243" s="502"/>
      <c r="AF243" s="95" t="s">
        <v>4478</v>
      </c>
      <c r="AG243" s="95" t="s">
        <v>375</v>
      </c>
      <c r="AH243" s="81">
        <v>45988.0</v>
      </c>
      <c r="AI243" s="509"/>
      <c r="AJ243" s="509"/>
      <c r="AK243" s="509"/>
      <c r="AL243" s="509"/>
      <c r="AM243" s="509"/>
      <c r="AN243" s="509"/>
      <c r="AO243" s="509"/>
      <c r="AP243" s="509"/>
      <c r="AQ243" s="509"/>
      <c r="AR243" s="509"/>
      <c r="AS243" s="509"/>
      <c r="AT243" s="509"/>
    </row>
    <row r="244">
      <c r="A244" s="502"/>
      <c r="B244" s="95" t="s">
        <v>4145</v>
      </c>
      <c r="C244" s="95" t="s">
        <v>1313</v>
      </c>
      <c r="D244" s="502"/>
      <c r="E244" s="128" t="s">
        <v>4481</v>
      </c>
      <c r="F244" s="502"/>
      <c r="G244" s="502"/>
      <c r="H244" s="502"/>
      <c r="I244" s="502"/>
      <c r="J244" s="95" t="s">
        <v>114</v>
      </c>
      <c r="K244" s="502"/>
      <c r="L244" s="96" t="s">
        <v>60</v>
      </c>
      <c r="N244" s="95" t="s">
        <v>4483</v>
      </c>
      <c r="O244" s="95" t="s">
        <v>4484</v>
      </c>
      <c r="P244" s="502"/>
      <c r="Q244" s="502"/>
      <c r="R244" s="502"/>
      <c r="S244" s="505"/>
      <c r="T244" s="505"/>
      <c r="U244" s="298" t="s">
        <v>393</v>
      </c>
      <c r="V244" s="502"/>
      <c r="W244" s="502"/>
      <c r="X244" s="502"/>
      <c r="Y244" s="502"/>
      <c r="Z244" s="502"/>
      <c r="AA244" s="502"/>
      <c r="AB244" s="502"/>
      <c r="AC244" s="95" t="s">
        <v>1566</v>
      </c>
      <c r="AD244" s="95" t="s">
        <v>1566</v>
      </c>
      <c r="AE244" s="95" t="s">
        <v>154</v>
      </c>
      <c r="AF244" s="95" t="s">
        <v>4478</v>
      </c>
      <c r="AG244" s="95" t="s">
        <v>4491</v>
      </c>
      <c r="AH244" s="413">
        <v>46001.0</v>
      </c>
      <c r="AI244" s="509"/>
      <c r="AJ244" s="509"/>
      <c r="AK244" s="509"/>
      <c r="AL244" s="509"/>
      <c r="AM244" s="509"/>
      <c r="AN244" s="509"/>
      <c r="AO244" s="509"/>
      <c r="AP244" s="509"/>
      <c r="AQ244" s="509"/>
      <c r="AR244" s="509"/>
      <c r="AS244" s="509"/>
      <c r="AT244" s="509"/>
    </row>
    <row r="245">
      <c r="A245" s="502"/>
      <c r="B245" s="95" t="s">
        <v>4145</v>
      </c>
      <c r="C245" s="95" t="s">
        <v>1313</v>
      </c>
      <c r="D245" s="502"/>
      <c r="E245" s="128" t="s">
        <v>4494</v>
      </c>
      <c r="F245" s="502"/>
      <c r="G245" s="502"/>
      <c r="H245" s="502"/>
      <c r="I245" s="502"/>
      <c r="J245" s="95" t="s">
        <v>114</v>
      </c>
      <c r="K245" s="502"/>
      <c r="L245" s="96" t="s">
        <v>60</v>
      </c>
      <c r="N245" s="95" t="s">
        <v>4497</v>
      </c>
      <c r="O245" s="95" t="s">
        <v>3538</v>
      </c>
      <c r="P245" s="502"/>
      <c r="Q245" s="502"/>
      <c r="R245" s="502"/>
      <c r="S245" s="505"/>
      <c r="T245" s="505"/>
      <c r="U245" s="140" t="s">
        <v>368</v>
      </c>
      <c r="V245" s="502"/>
      <c r="W245" s="502"/>
      <c r="X245" s="502"/>
      <c r="Y245" s="502"/>
      <c r="Z245" s="502"/>
      <c r="AA245" s="502"/>
      <c r="AB245" s="502"/>
      <c r="AC245" s="95" t="s">
        <v>1566</v>
      </c>
      <c r="AD245" s="95" t="s">
        <v>1566</v>
      </c>
      <c r="AE245" s="502"/>
      <c r="AF245" s="95" t="s">
        <v>4478</v>
      </c>
      <c r="AG245" s="95" t="s">
        <v>4491</v>
      </c>
      <c r="AH245" s="413">
        <v>46009.0</v>
      </c>
      <c r="AI245" s="509"/>
      <c r="AJ245" s="509"/>
      <c r="AK245" s="509"/>
      <c r="AL245" s="509"/>
      <c r="AM245" s="509"/>
      <c r="AN245" s="509"/>
      <c r="AO245" s="509"/>
      <c r="AP245" s="509"/>
      <c r="AQ245" s="509"/>
      <c r="AR245" s="509"/>
      <c r="AS245" s="509"/>
      <c r="AT245" s="509"/>
    </row>
    <row r="246">
      <c r="A246" s="502"/>
      <c r="B246" s="95" t="s">
        <v>4145</v>
      </c>
      <c r="C246" s="95" t="s">
        <v>1313</v>
      </c>
      <c r="D246" s="502"/>
      <c r="E246" s="128" t="s">
        <v>4511</v>
      </c>
      <c r="F246" s="502"/>
      <c r="G246" s="502"/>
      <c r="H246" s="502"/>
      <c r="I246" s="502"/>
      <c r="J246" s="95" t="s">
        <v>114</v>
      </c>
      <c r="K246" s="502"/>
      <c r="L246" s="96" t="s">
        <v>60</v>
      </c>
      <c r="N246" s="95" t="s">
        <v>4514</v>
      </c>
      <c r="O246" s="95" t="s">
        <v>4515</v>
      </c>
      <c r="P246" s="502"/>
      <c r="Q246" s="502"/>
      <c r="R246" s="502"/>
      <c r="S246" s="505"/>
      <c r="T246" s="505"/>
      <c r="U246" s="298" t="s">
        <v>393</v>
      </c>
      <c r="V246" s="502"/>
      <c r="W246" s="502"/>
      <c r="X246" s="502"/>
      <c r="Y246" s="502"/>
      <c r="Z246" s="502"/>
      <c r="AA246" s="502"/>
      <c r="AB246" s="502"/>
      <c r="AC246" s="95" t="s">
        <v>1566</v>
      </c>
      <c r="AD246" s="95" t="s">
        <v>1566</v>
      </c>
      <c r="AE246" s="95" t="s">
        <v>154</v>
      </c>
      <c r="AF246" s="95" t="s">
        <v>4478</v>
      </c>
      <c r="AG246" s="502"/>
      <c r="AH246" s="413">
        <v>45991.0</v>
      </c>
      <c r="AI246" s="509"/>
      <c r="AJ246" s="509"/>
      <c r="AK246" s="509"/>
      <c r="AL246" s="509"/>
      <c r="AM246" s="509"/>
      <c r="AN246" s="509"/>
      <c r="AO246" s="509"/>
      <c r="AP246" s="509"/>
      <c r="AQ246" s="509"/>
      <c r="AR246" s="509"/>
      <c r="AS246" s="509"/>
      <c r="AT246" s="509"/>
    </row>
    <row r="247">
      <c r="A247" s="502"/>
      <c r="B247" s="95" t="s">
        <v>4145</v>
      </c>
      <c r="C247" s="95" t="s">
        <v>1313</v>
      </c>
      <c r="D247" s="502"/>
      <c r="E247" s="128" t="s">
        <v>4481</v>
      </c>
      <c r="F247" s="502"/>
      <c r="G247" s="502"/>
      <c r="H247" s="502"/>
      <c r="I247" s="502"/>
      <c r="J247" s="95" t="s">
        <v>114</v>
      </c>
      <c r="K247" s="502"/>
      <c r="L247" s="96" t="s">
        <v>326</v>
      </c>
      <c r="N247" s="95" t="s">
        <v>4530</v>
      </c>
      <c r="O247" s="95" t="s">
        <v>4532</v>
      </c>
      <c r="P247" s="502"/>
      <c r="Q247" s="502"/>
      <c r="R247" s="502"/>
      <c r="S247" s="505"/>
      <c r="T247" s="505"/>
      <c r="U247" s="140" t="s">
        <v>368</v>
      </c>
      <c r="V247" s="502"/>
      <c r="W247" s="502"/>
      <c r="X247" s="502"/>
      <c r="Y247" s="502"/>
      <c r="Z247" s="502"/>
      <c r="AA247" s="502"/>
      <c r="AB247" s="502"/>
      <c r="AC247" s="95" t="s">
        <v>1566</v>
      </c>
      <c r="AD247" s="95" t="s">
        <v>1566</v>
      </c>
      <c r="AE247" s="502"/>
      <c r="AF247" s="95" t="s">
        <v>4478</v>
      </c>
      <c r="AG247" s="95" t="s">
        <v>4491</v>
      </c>
      <c r="AH247" s="75">
        <v>45997.0</v>
      </c>
      <c r="AI247" s="509"/>
      <c r="AJ247" s="509"/>
      <c r="AK247" s="509"/>
      <c r="AL247" s="509"/>
      <c r="AM247" s="509"/>
      <c r="AN247" s="509"/>
      <c r="AO247" s="509"/>
      <c r="AP247" s="509"/>
      <c r="AQ247" s="509"/>
      <c r="AR247" s="509"/>
      <c r="AS247" s="509"/>
      <c r="AT247" s="509"/>
    </row>
    <row r="248">
      <c r="A248" s="502"/>
      <c r="B248" s="95" t="s">
        <v>4145</v>
      </c>
      <c r="C248" s="95" t="s">
        <v>1313</v>
      </c>
      <c r="D248" s="502"/>
      <c r="E248" s="128" t="s">
        <v>4544</v>
      </c>
      <c r="F248" s="502"/>
      <c r="G248" s="502"/>
      <c r="H248" s="502"/>
      <c r="I248" s="502"/>
      <c r="J248" s="502"/>
      <c r="K248" s="517" t="s">
        <v>4548</v>
      </c>
      <c r="L248" s="95" t="s">
        <v>360</v>
      </c>
      <c r="N248" s="95" t="s">
        <v>4551</v>
      </c>
      <c r="O248" s="95" t="s">
        <v>4552</v>
      </c>
      <c r="P248" s="502"/>
      <c r="Q248" s="502"/>
      <c r="R248" s="502"/>
      <c r="S248" s="505"/>
      <c r="T248" s="505"/>
      <c r="U248" s="140" t="s">
        <v>368</v>
      </c>
      <c r="V248" s="502"/>
      <c r="W248" s="502"/>
      <c r="X248" s="502"/>
      <c r="Y248" s="502"/>
      <c r="Z248" s="502"/>
      <c r="AA248" s="502"/>
      <c r="AB248" s="502"/>
      <c r="AC248" s="502"/>
      <c r="AD248" s="508"/>
      <c r="AE248" s="502"/>
      <c r="AF248" s="95" t="s">
        <v>4559</v>
      </c>
      <c r="AG248" s="95" t="s">
        <v>375</v>
      </c>
      <c r="AH248" s="81">
        <v>45998.0</v>
      </c>
      <c r="AI248" s="509"/>
      <c r="AJ248" s="509"/>
      <c r="AK248" s="509"/>
      <c r="AL248" s="509"/>
      <c r="AM248" s="509"/>
      <c r="AN248" s="509"/>
      <c r="AO248" s="509"/>
      <c r="AP248" s="509"/>
      <c r="AQ248" s="509"/>
      <c r="AR248" s="509"/>
      <c r="AS248" s="509"/>
      <c r="AT248" s="509"/>
    </row>
    <row r="249">
      <c r="A249" s="502"/>
      <c r="B249" s="95" t="s">
        <v>4145</v>
      </c>
      <c r="C249" s="95" t="s">
        <v>1313</v>
      </c>
      <c r="D249" s="502"/>
      <c r="E249" s="128" t="s">
        <v>4564</v>
      </c>
      <c r="F249" s="502"/>
      <c r="G249" s="502"/>
      <c r="H249" s="502"/>
      <c r="I249" s="502"/>
      <c r="J249" s="502"/>
      <c r="K249" s="502"/>
      <c r="L249" s="95" t="s">
        <v>60</v>
      </c>
      <c r="N249" s="95" t="s">
        <v>4566</v>
      </c>
      <c r="O249" s="95" t="s">
        <v>4567</v>
      </c>
      <c r="P249" s="502"/>
      <c r="Q249" s="502"/>
      <c r="R249" s="502"/>
      <c r="S249" s="505"/>
      <c r="T249" s="505"/>
      <c r="U249" s="140" t="s">
        <v>368</v>
      </c>
      <c r="V249" s="502"/>
      <c r="W249" s="502"/>
      <c r="X249" s="502"/>
      <c r="Y249" s="502"/>
      <c r="Z249" s="502"/>
      <c r="AA249" s="502"/>
      <c r="AB249" s="502"/>
      <c r="AC249" s="502"/>
      <c r="AD249" s="508"/>
      <c r="AE249" s="502"/>
      <c r="AF249" s="95" t="s">
        <v>4559</v>
      </c>
      <c r="AG249" s="95" t="s">
        <v>375</v>
      </c>
      <c r="AH249" s="81">
        <v>45998.0</v>
      </c>
      <c r="AI249" s="509"/>
      <c r="AJ249" s="509"/>
      <c r="AK249" s="509"/>
      <c r="AL249" s="509"/>
      <c r="AM249" s="509"/>
      <c r="AN249" s="509"/>
      <c r="AO249" s="509"/>
      <c r="AP249" s="509"/>
      <c r="AQ249" s="509"/>
      <c r="AR249" s="509"/>
      <c r="AS249" s="509"/>
      <c r="AT249" s="509"/>
    </row>
    <row r="250">
      <c r="A250" s="502"/>
      <c r="B250" s="95" t="s">
        <v>4145</v>
      </c>
      <c r="C250" s="95" t="s">
        <v>1313</v>
      </c>
      <c r="D250" s="502"/>
      <c r="E250" s="128" t="s">
        <v>4577</v>
      </c>
      <c r="F250" s="502"/>
      <c r="G250" s="502"/>
      <c r="H250" s="502"/>
      <c r="I250" s="502"/>
      <c r="J250" s="502"/>
      <c r="K250" s="502"/>
      <c r="L250" s="96" t="s">
        <v>60</v>
      </c>
      <c r="N250" s="519" t="s">
        <v>4582</v>
      </c>
      <c r="O250" s="95" t="s">
        <v>4584</v>
      </c>
      <c r="P250" s="502"/>
      <c r="Q250" s="502"/>
      <c r="R250" s="502"/>
      <c r="S250" s="505"/>
      <c r="T250" s="505"/>
      <c r="U250" s="140" t="s">
        <v>368</v>
      </c>
      <c r="V250" s="502"/>
      <c r="W250" s="502"/>
      <c r="X250" s="502"/>
      <c r="Y250" s="502"/>
      <c r="Z250" s="502"/>
      <c r="AA250" s="502"/>
      <c r="AB250" s="502"/>
      <c r="AC250" s="502"/>
      <c r="AD250" s="508"/>
      <c r="AE250" s="502"/>
      <c r="AF250" s="95" t="s">
        <v>4591</v>
      </c>
      <c r="AG250" s="95" t="s">
        <v>375</v>
      </c>
      <c r="AH250" s="81">
        <v>46014.0</v>
      </c>
      <c r="AI250" s="509"/>
      <c r="AJ250" s="509"/>
      <c r="AK250" s="509"/>
      <c r="AL250" s="509"/>
      <c r="AM250" s="509"/>
      <c r="AN250" s="509"/>
      <c r="AO250" s="509"/>
      <c r="AP250" s="509"/>
      <c r="AQ250" s="509"/>
      <c r="AR250" s="509"/>
      <c r="AS250" s="509"/>
      <c r="AT250" s="509"/>
    </row>
    <row r="251">
      <c r="A251" s="502"/>
      <c r="B251" s="95" t="s">
        <v>4145</v>
      </c>
      <c r="C251" s="95" t="s">
        <v>1313</v>
      </c>
      <c r="D251" s="502"/>
      <c r="E251" s="128" t="s">
        <v>4596</v>
      </c>
      <c r="F251" s="502"/>
      <c r="G251" s="502"/>
      <c r="H251" s="502"/>
      <c r="I251" s="502"/>
      <c r="J251" s="502"/>
      <c r="K251" s="502"/>
      <c r="L251" s="96" t="s">
        <v>60</v>
      </c>
      <c r="N251" s="519" t="s">
        <v>4600</v>
      </c>
      <c r="O251" s="95" t="s">
        <v>4601</v>
      </c>
      <c r="P251" s="502"/>
      <c r="Q251" s="502"/>
      <c r="R251" s="502"/>
      <c r="S251" s="505"/>
      <c r="T251" s="505"/>
      <c r="U251" s="130" t="s">
        <v>344</v>
      </c>
      <c r="V251" s="502"/>
      <c r="W251" s="502"/>
      <c r="X251" s="502"/>
      <c r="Y251" s="502"/>
      <c r="Z251" s="502"/>
      <c r="AA251" s="502"/>
      <c r="AB251" s="502"/>
      <c r="AC251" s="502"/>
      <c r="AD251" s="508"/>
      <c r="AE251" s="502"/>
      <c r="AF251" s="95" t="s">
        <v>4591</v>
      </c>
      <c r="AG251" s="95" t="s">
        <v>375</v>
      </c>
      <c r="AH251" s="81">
        <v>46014.0</v>
      </c>
      <c r="AI251" s="509"/>
      <c r="AJ251" s="509"/>
      <c r="AK251" s="509"/>
      <c r="AL251" s="509"/>
      <c r="AM251" s="509"/>
      <c r="AN251" s="509"/>
      <c r="AO251" s="509"/>
      <c r="AP251" s="509"/>
      <c r="AQ251" s="509"/>
      <c r="AR251" s="509"/>
      <c r="AS251" s="509"/>
      <c r="AT251" s="509"/>
    </row>
    <row r="252">
      <c r="A252" s="502"/>
      <c r="B252" s="95" t="s">
        <v>4145</v>
      </c>
      <c r="C252" s="95" t="s">
        <v>1313</v>
      </c>
      <c r="D252" s="502"/>
      <c r="E252" s="128" t="s">
        <v>4609</v>
      </c>
      <c r="F252" s="502"/>
      <c r="G252" s="502"/>
      <c r="H252" s="502"/>
      <c r="I252" s="502"/>
      <c r="J252" s="502"/>
      <c r="K252" s="502"/>
      <c r="L252" s="96" t="s">
        <v>326</v>
      </c>
      <c r="N252" s="95" t="s">
        <v>4613</v>
      </c>
      <c r="O252" s="521" t="s">
        <v>1563</v>
      </c>
      <c r="P252" s="502"/>
      <c r="Q252" s="502"/>
      <c r="R252" s="502"/>
      <c r="S252" s="505"/>
      <c r="T252" s="505"/>
      <c r="U252" s="140" t="s">
        <v>368</v>
      </c>
      <c r="V252" s="502"/>
      <c r="W252" s="502"/>
      <c r="X252" s="502"/>
      <c r="Y252" s="502"/>
      <c r="Z252" s="502"/>
      <c r="AA252" s="502"/>
      <c r="AB252" s="502"/>
      <c r="AC252" s="502"/>
      <c r="AD252" s="508"/>
      <c r="AE252" s="502"/>
      <c r="AF252" s="95" t="s">
        <v>4591</v>
      </c>
      <c r="AG252" s="95" t="s">
        <v>375</v>
      </c>
      <c r="AH252" s="81">
        <v>46031.0</v>
      </c>
      <c r="AI252" s="509"/>
      <c r="AJ252" s="509"/>
      <c r="AK252" s="509"/>
      <c r="AL252" s="509"/>
      <c r="AM252" s="509"/>
      <c r="AN252" s="509"/>
      <c r="AO252" s="509"/>
      <c r="AP252" s="509"/>
      <c r="AQ252" s="509"/>
      <c r="AR252" s="509"/>
      <c r="AS252" s="509"/>
      <c r="AT252" s="509"/>
    </row>
    <row r="253">
      <c r="A253" s="502"/>
      <c r="B253" s="95" t="s">
        <v>4145</v>
      </c>
      <c r="C253" s="95" t="s">
        <v>1313</v>
      </c>
      <c r="D253" s="502"/>
      <c r="E253" s="128" t="s">
        <v>4626</v>
      </c>
      <c r="F253" s="502"/>
      <c r="G253" s="502"/>
      <c r="H253" s="502"/>
      <c r="I253" s="502"/>
      <c r="J253" s="502"/>
      <c r="K253" s="502"/>
      <c r="L253" s="96" t="s">
        <v>60</v>
      </c>
      <c r="N253" s="95" t="s">
        <v>4630</v>
      </c>
      <c r="O253" s="95" t="s">
        <v>2435</v>
      </c>
      <c r="P253" s="502"/>
      <c r="Q253" s="502"/>
      <c r="R253" s="502"/>
      <c r="S253" s="505"/>
      <c r="T253" s="505"/>
      <c r="U253" s="298" t="s">
        <v>393</v>
      </c>
      <c r="V253" s="502"/>
      <c r="W253" s="502"/>
      <c r="X253" s="502"/>
      <c r="Y253" s="502"/>
      <c r="Z253" s="502"/>
      <c r="AA253" s="502"/>
      <c r="AB253" s="502"/>
      <c r="AC253" s="502"/>
      <c r="AD253" s="508"/>
      <c r="AE253" s="95" t="s">
        <v>154</v>
      </c>
      <c r="AF253" s="95" t="s">
        <v>4591</v>
      </c>
      <c r="AG253" s="95" t="s">
        <v>375</v>
      </c>
      <c r="AH253" s="81">
        <v>46014.0</v>
      </c>
      <c r="AI253" s="509"/>
      <c r="AJ253" s="509"/>
      <c r="AK253" s="509"/>
      <c r="AL253" s="509"/>
      <c r="AM253" s="509"/>
      <c r="AN253" s="509"/>
      <c r="AO253" s="509"/>
      <c r="AP253" s="509"/>
      <c r="AQ253" s="509"/>
      <c r="AR253" s="509"/>
      <c r="AS253" s="509"/>
      <c r="AT253" s="509"/>
    </row>
    <row r="254">
      <c r="A254" s="64"/>
      <c r="B254" s="231" t="s">
        <v>4145</v>
      </c>
      <c r="C254" s="231" t="s">
        <v>1313</v>
      </c>
      <c r="D254" s="64"/>
      <c r="E254" s="218" t="s">
        <v>4640</v>
      </c>
      <c r="F254" s="64"/>
      <c r="G254" s="64"/>
      <c r="H254" s="64"/>
      <c r="I254" s="64"/>
      <c r="J254" s="68"/>
      <c r="K254" s="373"/>
      <c r="L254" s="171" t="s">
        <v>60</v>
      </c>
      <c r="N254" s="64" t="s">
        <v>4646</v>
      </c>
      <c r="O254" s="171" t="s">
        <v>3316</v>
      </c>
      <c r="P254" s="103"/>
      <c r="Q254" s="64"/>
      <c r="R254" s="64"/>
      <c r="S254" s="81"/>
      <c r="T254" s="81"/>
      <c r="U254" s="83" t="s">
        <v>368</v>
      </c>
      <c r="V254" s="83"/>
      <c r="W254" s="64"/>
      <c r="X254" s="68"/>
      <c r="Y254" s="68"/>
      <c r="Z254" s="68"/>
      <c r="AA254" s="68"/>
      <c r="AB254" s="68"/>
      <c r="AC254" s="68"/>
      <c r="AD254" s="169"/>
      <c r="AE254" s="83"/>
      <c r="AF254" s="83" t="s">
        <v>4478</v>
      </c>
      <c r="AG254" s="83" t="s">
        <v>375</v>
      </c>
      <c r="AH254" s="202">
        <v>45971.0</v>
      </c>
      <c r="AI254" s="61"/>
      <c r="AJ254" s="61"/>
      <c r="AK254" s="61"/>
      <c r="AL254" s="61"/>
      <c r="AM254" s="61"/>
      <c r="AN254" s="61"/>
      <c r="AO254" s="61"/>
      <c r="AP254" s="61"/>
      <c r="AQ254" s="61"/>
      <c r="AR254" s="61"/>
      <c r="AS254" s="61"/>
      <c r="AT254" s="61"/>
    </row>
    <row r="255">
      <c r="A255" s="64"/>
      <c r="B255" s="231" t="s">
        <v>4145</v>
      </c>
      <c r="C255" s="231" t="s">
        <v>1313</v>
      </c>
      <c r="D255" s="64"/>
      <c r="E255" s="218" t="s">
        <v>4653</v>
      </c>
      <c r="F255" s="64"/>
      <c r="G255" s="64"/>
      <c r="H255" s="64"/>
      <c r="I255" s="64"/>
      <c r="J255" s="68"/>
      <c r="K255" s="373"/>
      <c r="L255" s="171" t="s">
        <v>60</v>
      </c>
      <c r="N255" s="64" t="s">
        <v>4657</v>
      </c>
      <c r="O255" s="171" t="s">
        <v>792</v>
      </c>
      <c r="P255" s="103"/>
      <c r="Q255" s="64"/>
      <c r="R255" s="64"/>
      <c r="S255" s="81"/>
      <c r="T255" s="81"/>
      <c r="U255" s="83" t="s">
        <v>368</v>
      </c>
      <c r="V255" s="83"/>
      <c r="W255" s="64"/>
      <c r="X255" s="68"/>
      <c r="Y255" s="68"/>
      <c r="Z255" s="68"/>
      <c r="AA255" s="68"/>
      <c r="AB255" s="68"/>
      <c r="AC255" s="68"/>
      <c r="AD255" s="169"/>
      <c r="AE255" s="83"/>
      <c r="AF255" s="83" t="s">
        <v>4478</v>
      </c>
      <c r="AG255" s="83" t="s">
        <v>375</v>
      </c>
      <c r="AH255" s="202">
        <v>45971.0</v>
      </c>
      <c r="AI255" s="61"/>
      <c r="AJ255" s="61"/>
      <c r="AK255" s="61"/>
      <c r="AL255" s="61"/>
      <c r="AM255" s="61"/>
      <c r="AN255" s="61"/>
      <c r="AO255" s="61"/>
      <c r="AP255" s="61"/>
      <c r="AQ255" s="61"/>
      <c r="AR255" s="61"/>
      <c r="AS255" s="61"/>
      <c r="AT255" s="61"/>
    </row>
    <row r="256">
      <c r="A256" s="64"/>
      <c r="B256" s="231" t="s">
        <v>4145</v>
      </c>
      <c r="C256" s="231" t="s">
        <v>1313</v>
      </c>
      <c r="D256" s="64"/>
      <c r="E256" s="218" t="s">
        <v>4669</v>
      </c>
      <c r="F256" s="64"/>
      <c r="G256" s="64"/>
      <c r="H256" s="64"/>
      <c r="I256" s="64"/>
      <c r="J256" s="68"/>
      <c r="K256" s="373"/>
      <c r="L256" s="171" t="s">
        <v>60</v>
      </c>
      <c r="N256" s="64" t="s">
        <v>4673</v>
      </c>
      <c r="O256" s="171" t="s">
        <v>4674</v>
      </c>
      <c r="P256" s="103"/>
      <c r="Q256" s="64"/>
      <c r="R256" s="64"/>
      <c r="S256" s="81"/>
      <c r="T256" s="81"/>
      <c r="U256" s="83" t="s">
        <v>368</v>
      </c>
      <c r="V256" s="83"/>
      <c r="W256" s="64"/>
      <c r="X256" s="68"/>
      <c r="Y256" s="68"/>
      <c r="Z256" s="68"/>
      <c r="AA256" s="68"/>
      <c r="AB256" s="68"/>
      <c r="AC256" s="68"/>
      <c r="AD256" s="169"/>
      <c r="AE256" s="83"/>
      <c r="AF256" s="83" t="s">
        <v>4478</v>
      </c>
      <c r="AG256" s="83" t="s">
        <v>375</v>
      </c>
      <c r="AH256" s="202">
        <v>45973.0</v>
      </c>
      <c r="AI256" s="61"/>
      <c r="AJ256" s="61"/>
      <c r="AK256" s="61"/>
      <c r="AL256" s="61"/>
      <c r="AM256" s="61"/>
      <c r="AN256" s="61"/>
      <c r="AO256" s="61"/>
      <c r="AP256" s="61"/>
      <c r="AQ256" s="61"/>
      <c r="AR256" s="61"/>
      <c r="AS256" s="61"/>
      <c r="AT256" s="61"/>
    </row>
    <row r="257">
      <c r="A257" s="64"/>
      <c r="B257" s="231" t="s">
        <v>4145</v>
      </c>
      <c r="C257" s="231" t="s">
        <v>1313</v>
      </c>
      <c r="D257" s="64"/>
      <c r="E257" s="218" t="s">
        <v>4690</v>
      </c>
      <c r="F257" s="64"/>
      <c r="G257" s="64"/>
      <c r="H257" s="64"/>
      <c r="I257" s="64"/>
      <c r="J257" s="68"/>
      <c r="K257" s="373"/>
      <c r="L257" s="171" t="s">
        <v>326</v>
      </c>
      <c r="N257" s="64" t="s">
        <v>4693</v>
      </c>
      <c r="O257" s="171" t="s">
        <v>4694</v>
      </c>
      <c r="P257" s="103"/>
      <c r="Q257" s="64"/>
      <c r="R257" s="64"/>
      <c r="S257" s="81"/>
      <c r="T257" s="81"/>
      <c r="U257" s="83" t="s">
        <v>368</v>
      </c>
      <c r="V257" s="83"/>
      <c r="W257" s="64"/>
      <c r="X257" s="68"/>
      <c r="Y257" s="68"/>
      <c r="Z257" s="68"/>
      <c r="AA257" s="68"/>
      <c r="AB257" s="68"/>
      <c r="AC257" s="68"/>
      <c r="AD257" s="169"/>
      <c r="AE257" s="83"/>
      <c r="AF257" s="83" t="s">
        <v>4478</v>
      </c>
      <c r="AG257" s="83" t="s">
        <v>375</v>
      </c>
      <c r="AH257" s="202">
        <v>45970.0</v>
      </c>
      <c r="AI257" s="61"/>
      <c r="AJ257" s="61"/>
      <c r="AK257" s="61"/>
      <c r="AL257" s="61"/>
      <c r="AM257" s="61"/>
      <c r="AN257" s="61"/>
      <c r="AO257" s="61"/>
      <c r="AP257" s="61"/>
      <c r="AQ257" s="61"/>
      <c r="AR257" s="61"/>
      <c r="AS257" s="61"/>
      <c r="AT257" s="61"/>
    </row>
    <row r="258">
      <c r="A258" s="64"/>
      <c r="B258" s="231" t="s">
        <v>4145</v>
      </c>
      <c r="C258" s="231" t="s">
        <v>1313</v>
      </c>
      <c r="D258" s="64"/>
      <c r="E258" s="218" t="s">
        <v>4703</v>
      </c>
      <c r="F258" s="64"/>
      <c r="G258" s="64"/>
      <c r="H258" s="64"/>
      <c r="I258" s="64"/>
      <c r="J258" s="68"/>
      <c r="K258" s="373"/>
      <c r="L258" s="171" t="s">
        <v>326</v>
      </c>
      <c r="N258" s="64" t="s">
        <v>4706</v>
      </c>
      <c r="O258" s="171" t="s">
        <v>4708</v>
      </c>
      <c r="P258" s="103"/>
      <c r="Q258" s="64"/>
      <c r="R258" s="64"/>
      <c r="S258" s="81"/>
      <c r="T258" s="81"/>
      <c r="U258" s="83" t="s">
        <v>368</v>
      </c>
      <c r="V258" s="83"/>
      <c r="W258" s="64"/>
      <c r="X258" s="68"/>
      <c r="Y258" s="68"/>
      <c r="Z258" s="68"/>
      <c r="AA258" s="68"/>
      <c r="AB258" s="68"/>
      <c r="AC258" s="68"/>
      <c r="AD258" s="169"/>
      <c r="AE258" s="83"/>
      <c r="AF258" s="83" t="s">
        <v>4478</v>
      </c>
      <c r="AG258" s="83" t="s">
        <v>375</v>
      </c>
      <c r="AH258" s="202">
        <v>45973.0</v>
      </c>
      <c r="AI258" s="61"/>
      <c r="AJ258" s="61"/>
      <c r="AK258" s="61"/>
      <c r="AL258" s="61"/>
      <c r="AM258" s="61"/>
      <c r="AN258" s="61"/>
      <c r="AO258" s="61"/>
      <c r="AP258" s="61"/>
      <c r="AQ258" s="61"/>
      <c r="AR258" s="61"/>
      <c r="AS258" s="61"/>
      <c r="AT258" s="61"/>
    </row>
    <row r="259">
      <c r="A259" s="64"/>
      <c r="B259" s="231" t="s">
        <v>4145</v>
      </c>
      <c r="C259" s="231" t="s">
        <v>1313</v>
      </c>
      <c r="D259" s="64"/>
      <c r="E259" s="218" t="s">
        <v>4716</v>
      </c>
      <c r="F259" s="64"/>
      <c r="G259" s="64"/>
      <c r="H259" s="64"/>
      <c r="I259" s="64"/>
      <c r="J259" s="68"/>
      <c r="K259" s="373"/>
      <c r="L259" s="171" t="s">
        <v>60</v>
      </c>
      <c r="N259" s="64" t="s">
        <v>4718</v>
      </c>
      <c r="O259" s="171" t="s">
        <v>4719</v>
      </c>
      <c r="P259" s="103"/>
      <c r="Q259" s="64"/>
      <c r="R259" s="64"/>
      <c r="S259" s="81"/>
      <c r="T259" s="81"/>
      <c r="U259" s="83" t="s">
        <v>368</v>
      </c>
      <c r="V259" s="83"/>
      <c r="W259" s="64"/>
      <c r="X259" s="68"/>
      <c r="Y259" s="68"/>
      <c r="Z259" s="68"/>
      <c r="AA259" s="68"/>
      <c r="AB259" s="68"/>
      <c r="AC259" s="68"/>
      <c r="AD259" s="169"/>
      <c r="AE259" s="83"/>
      <c r="AF259" s="83" t="s">
        <v>4478</v>
      </c>
      <c r="AG259" s="83" t="s">
        <v>375</v>
      </c>
      <c r="AH259" s="202">
        <v>45974.0</v>
      </c>
      <c r="AI259" s="61"/>
      <c r="AJ259" s="61"/>
      <c r="AK259" s="61"/>
      <c r="AL259" s="61"/>
      <c r="AM259" s="61"/>
      <c r="AN259" s="61"/>
      <c r="AO259" s="61"/>
      <c r="AP259" s="61"/>
      <c r="AQ259" s="61"/>
      <c r="AR259" s="61"/>
      <c r="AS259" s="61"/>
      <c r="AT259" s="61"/>
    </row>
    <row r="260">
      <c r="A260" s="64"/>
      <c r="B260" s="231" t="s">
        <v>4145</v>
      </c>
      <c r="C260" s="231" t="s">
        <v>1313</v>
      </c>
      <c r="D260" s="64"/>
      <c r="E260" s="218" t="s">
        <v>4730</v>
      </c>
      <c r="F260" s="64"/>
      <c r="G260" s="64"/>
      <c r="H260" s="64"/>
      <c r="I260" s="64"/>
      <c r="J260" s="68"/>
      <c r="K260" s="373"/>
      <c r="L260" s="171" t="s">
        <v>60</v>
      </c>
      <c r="N260" s="64" t="s">
        <v>4732</v>
      </c>
      <c r="O260" s="171" t="s">
        <v>4733</v>
      </c>
      <c r="P260" s="103"/>
      <c r="Q260" s="64"/>
      <c r="R260" s="64"/>
      <c r="S260" s="81"/>
      <c r="T260" s="81"/>
      <c r="U260" s="83" t="s">
        <v>368</v>
      </c>
      <c r="V260" s="83"/>
      <c r="W260" s="64"/>
      <c r="X260" s="68"/>
      <c r="Y260" s="68"/>
      <c r="Z260" s="68"/>
      <c r="AA260" s="68"/>
      <c r="AB260" s="68"/>
      <c r="AC260" s="68"/>
      <c r="AD260" s="169"/>
      <c r="AE260" s="83"/>
      <c r="AF260" s="83" t="s">
        <v>4478</v>
      </c>
      <c r="AG260" s="83" t="s">
        <v>375</v>
      </c>
      <c r="AH260" s="202">
        <v>45973.0</v>
      </c>
      <c r="AI260" s="61"/>
      <c r="AJ260" s="61"/>
      <c r="AK260" s="61"/>
      <c r="AL260" s="61"/>
      <c r="AM260" s="61"/>
      <c r="AN260" s="61"/>
      <c r="AO260" s="61"/>
      <c r="AP260" s="61"/>
      <c r="AQ260" s="61"/>
      <c r="AR260" s="61"/>
      <c r="AS260" s="61"/>
      <c r="AT260" s="61"/>
    </row>
    <row r="261">
      <c r="A261" s="64"/>
      <c r="B261" s="231" t="s">
        <v>4145</v>
      </c>
      <c r="C261" s="231" t="s">
        <v>1313</v>
      </c>
      <c r="D261" s="64"/>
      <c r="E261" s="218" t="s">
        <v>4741</v>
      </c>
      <c r="F261" s="64"/>
      <c r="G261" s="64"/>
      <c r="H261" s="64"/>
      <c r="I261" s="64"/>
      <c r="J261" s="68"/>
      <c r="K261" s="373"/>
      <c r="L261" s="171" t="s">
        <v>60</v>
      </c>
      <c r="N261" s="64" t="s">
        <v>4745</v>
      </c>
      <c r="O261" s="171" t="s">
        <v>2739</v>
      </c>
      <c r="P261" s="103"/>
      <c r="Q261" s="64"/>
      <c r="R261" s="64"/>
      <c r="S261" s="81"/>
      <c r="T261" s="81"/>
      <c r="U261" s="83" t="s">
        <v>368</v>
      </c>
      <c r="V261" s="83"/>
      <c r="W261" s="64"/>
      <c r="X261" s="68"/>
      <c r="Y261" s="68"/>
      <c r="Z261" s="68"/>
      <c r="AA261" s="68"/>
      <c r="AB261" s="68"/>
      <c r="AC261" s="68"/>
      <c r="AD261" s="169"/>
      <c r="AE261" s="83"/>
      <c r="AF261" s="83" t="s">
        <v>4478</v>
      </c>
      <c r="AG261" s="83" t="s">
        <v>375</v>
      </c>
      <c r="AH261" s="202">
        <v>45973.0</v>
      </c>
      <c r="AI261" s="61"/>
      <c r="AJ261" s="61"/>
      <c r="AK261" s="61"/>
      <c r="AL261" s="61"/>
      <c r="AM261" s="61"/>
      <c r="AN261" s="61"/>
      <c r="AO261" s="61"/>
      <c r="AP261" s="61"/>
      <c r="AQ261" s="61"/>
      <c r="AR261" s="61"/>
      <c r="AS261" s="61"/>
      <c r="AT261" s="61"/>
    </row>
    <row r="262">
      <c r="A262" s="64"/>
      <c r="B262" s="231" t="s">
        <v>4145</v>
      </c>
      <c r="C262" s="231" t="s">
        <v>1313</v>
      </c>
      <c r="D262" s="64"/>
      <c r="E262" s="218" t="s">
        <v>4757</v>
      </c>
      <c r="F262" s="64"/>
      <c r="G262" s="64"/>
      <c r="H262" s="64"/>
      <c r="I262" s="64"/>
      <c r="J262" s="68"/>
      <c r="K262" s="373"/>
      <c r="L262" s="171" t="s">
        <v>96</v>
      </c>
      <c r="N262" s="64" t="s">
        <v>4760</v>
      </c>
      <c r="O262" s="171" t="s">
        <v>4762</v>
      </c>
      <c r="P262" s="103"/>
      <c r="Q262" s="64"/>
      <c r="R262" s="64"/>
      <c r="S262" s="81"/>
      <c r="T262" s="81"/>
      <c r="U262" s="83" t="s">
        <v>368</v>
      </c>
      <c r="V262" s="83"/>
      <c r="W262" s="64"/>
      <c r="X262" s="68"/>
      <c r="Y262" s="68"/>
      <c r="Z262" s="68"/>
      <c r="AA262" s="68"/>
      <c r="AB262" s="68"/>
      <c r="AC262" s="68"/>
      <c r="AD262" s="169"/>
      <c r="AE262" s="83"/>
      <c r="AF262" s="83" t="s">
        <v>4478</v>
      </c>
      <c r="AG262" s="83" t="s">
        <v>375</v>
      </c>
      <c r="AH262" s="202">
        <v>45973.0</v>
      </c>
      <c r="AI262" s="61"/>
      <c r="AJ262" s="61"/>
      <c r="AK262" s="61"/>
      <c r="AL262" s="61"/>
      <c r="AM262" s="61"/>
      <c r="AN262" s="61"/>
      <c r="AO262" s="61"/>
      <c r="AP262" s="61"/>
      <c r="AQ262" s="61"/>
      <c r="AR262" s="61"/>
      <c r="AS262" s="61"/>
      <c r="AT262" s="61"/>
    </row>
    <row r="263">
      <c r="A263" s="64"/>
      <c r="B263" s="231" t="s">
        <v>4145</v>
      </c>
      <c r="C263" s="231" t="s">
        <v>1313</v>
      </c>
      <c r="D263" s="64"/>
      <c r="E263" s="218" t="s">
        <v>4772</v>
      </c>
      <c r="F263" s="64"/>
      <c r="G263" s="64"/>
      <c r="H263" s="64"/>
      <c r="I263" s="64"/>
      <c r="J263" s="68"/>
      <c r="K263" s="373"/>
      <c r="L263" s="171" t="s">
        <v>60</v>
      </c>
      <c r="N263" s="64" t="s">
        <v>4775</v>
      </c>
      <c r="O263" s="171" t="s">
        <v>4776</v>
      </c>
      <c r="P263" s="103"/>
      <c r="Q263" s="64"/>
      <c r="R263" s="64"/>
      <c r="S263" s="81"/>
      <c r="T263" s="81"/>
      <c r="U263" s="83" t="s">
        <v>368</v>
      </c>
      <c r="V263" s="83"/>
      <c r="W263" s="64"/>
      <c r="X263" s="68"/>
      <c r="Y263" s="68"/>
      <c r="Z263" s="68"/>
      <c r="AA263" s="68"/>
      <c r="AB263" s="68"/>
      <c r="AC263" s="68"/>
      <c r="AD263" s="169"/>
      <c r="AE263" s="83"/>
      <c r="AF263" s="83" t="s">
        <v>4478</v>
      </c>
      <c r="AG263" s="83" t="s">
        <v>375</v>
      </c>
      <c r="AH263" s="202">
        <v>45974.0</v>
      </c>
      <c r="AI263" s="61"/>
      <c r="AJ263" s="61"/>
      <c r="AK263" s="61"/>
      <c r="AL263" s="61"/>
      <c r="AM263" s="61"/>
      <c r="AN263" s="61"/>
      <c r="AO263" s="61"/>
      <c r="AP263" s="61"/>
      <c r="AQ263" s="61"/>
      <c r="AR263" s="61"/>
      <c r="AS263" s="61"/>
      <c r="AT263" s="61"/>
    </row>
    <row r="264">
      <c r="A264" s="64"/>
      <c r="B264" s="231" t="s">
        <v>4145</v>
      </c>
      <c r="C264" s="231" t="s">
        <v>1313</v>
      </c>
      <c r="D264" s="64"/>
      <c r="E264" s="218" t="s">
        <v>4784</v>
      </c>
      <c r="F264" s="64"/>
      <c r="G264" s="64"/>
      <c r="H264" s="64"/>
      <c r="I264" s="64"/>
      <c r="J264" s="68"/>
      <c r="K264" s="373"/>
      <c r="L264" s="171" t="s">
        <v>60</v>
      </c>
      <c r="N264" s="83" t="s">
        <v>4787</v>
      </c>
      <c r="O264" s="171" t="s">
        <v>4788</v>
      </c>
      <c r="P264" s="103"/>
      <c r="Q264" s="64"/>
      <c r="R264" s="64"/>
      <c r="S264" s="81"/>
      <c r="T264" s="81"/>
      <c r="U264" s="83" t="s">
        <v>368</v>
      </c>
      <c r="V264" s="83"/>
      <c r="W264" s="64"/>
      <c r="X264" s="68"/>
      <c r="Y264" s="68"/>
      <c r="Z264" s="68"/>
      <c r="AA264" s="68"/>
      <c r="AB264" s="68"/>
      <c r="AC264" s="68"/>
      <c r="AD264" s="169"/>
      <c r="AE264" s="83"/>
      <c r="AF264" s="83" t="s">
        <v>1385</v>
      </c>
      <c r="AG264" s="83" t="s">
        <v>375</v>
      </c>
      <c r="AH264" s="202">
        <v>45978.0</v>
      </c>
      <c r="AI264" s="61"/>
      <c r="AJ264" s="61"/>
      <c r="AK264" s="61"/>
      <c r="AL264" s="61"/>
      <c r="AM264" s="61"/>
      <c r="AN264" s="61"/>
      <c r="AO264" s="61"/>
      <c r="AP264" s="61"/>
      <c r="AQ264" s="61"/>
      <c r="AR264" s="61"/>
      <c r="AS264" s="61"/>
      <c r="AT264" s="61"/>
    </row>
    <row r="265">
      <c r="A265" s="64"/>
      <c r="B265" s="231" t="s">
        <v>4145</v>
      </c>
      <c r="C265" s="231" t="s">
        <v>1313</v>
      </c>
      <c r="D265" s="64"/>
      <c r="E265" s="218" t="s">
        <v>4796</v>
      </c>
      <c r="F265" s="64"/>
      <c r="G265" s="64"/>
      <c r="H265" s="64"/>
      <c r="I265" s="64"/>
      <c r="J265" s="68"/>
      <c r="K265" s="471" t="s">
        <v>4798</v>
      </c>
      <c r="L265" s="170" t="s">
        <v>4800</v>
      </c>
      <c r="N265" s="64" t="s">
        <v>4801</v>
      </c>
      <c r="O265" s="171" t="s">
        <v>4802</v>
      </c>
      <c r="P265" s="103"/>
      <c r="Q265" s="64"/>
      <c r="R265" s="64"/>
      <c r="S265" s="81"/>
      <c r="T265" s="81"/>
      <c r="U265" s="83" t="s">
        <v>368</v>
      </c>
      <c r="V265" s="83"/>
      <c r="W265" s="64"/>
      <c r="X265" s="68"/>
      <c r="Y265" s="68"/>
      <c r="Z265" s="68"/>
      <c r="AA265" s="68"/>
      <c r="AB265" s="68"/>
      <c r="AC265" s="68"/>
      <c r="AD265" s="169"/>
      <c r="AE265" s="83"/>
      <c r="AF265" s="83" t="s">
        <v>1385</v>
      </c>
      <c r="AG265" s="83" t="s">
        <v>375</v>
      </c>
      <c r="AH265" s="202">
        <v>45977.0</v>
      </c>
      <c r="AI265" s="61"/>
      <c r="AJ265" s="61"/>
      <c r="AK265" s="61"/>
      <c r="AL265" s="61"/>
      <c r="AM265" s="61"/>
      <c r="AN265" s="61"/>
      <c r="AO265" s="61"/>
      <c r="AP265" s="61"/>
      <c r="AQ265" s="61"/>
      <c r="AR265" s="61"/>
      <c r="AS265" s="61"/>
      <c r="AT265" s="61"/>
    </row>
    <row r="266">
      <c r="A266" s="64"/>
      <c r="B266" s="231" t="s">
        <v>4145</v>
      </c>
      <c r="C266" s="231" t="s">
        <v>1313</v>
      </c>
      <c r="D266" s="64"/>
      <c r="E266" s="218" t="s">
        <v>4807</v>
      </c>
      <c r="F266" s="64"/>
      <c r="G266" s="64"/>
      <c r="H266" s="64"/>
      <c r="I266" s="64"/>
      <c r="J266" s="68"/>
      <c r="K266" s="471" t="s">
        <v>4811</v>
      </c>
      <c r="L266" s="170" t="s">
        <v>4800</v>
      </c>
      <c r="N266" s="64" t="s">
        <v>4814</v>
      </c>
      <c r="O266" s="171" t="s">
        <v>4815</v>
      </c>
      <c r="P266" s="103"/>
      <c r="Q266" s="64"/>
      <c r="R266" s="64"/>
      <c r="S266" s="81"/>
      <c r="T266" s="81"/>
      <c r="U266" s="83" t="s">
        <v>368</v>
      </c>
      <c r="V266" s="83"/>
      <c r="W266" s="64"/>
      <c r="X266" s="68"/>
      <c r="Y266" s="68"/>
      <c r="Z266" s="68"/>
      <c r="AA266" s="68"/>
      <c r="AB266" s="68"/>
      <c r="AC266" s="68"/>
      <c r="AD266" s="169"/>
      <c r="AE266" s="83"/>
      <c r="AF266" s="83" t="s">
        <v>1385</v>
      </c>
      <c r="AG266" s="83" t="s">
        <v>375</v>
      </c>
      <c r="AH266" s="202">
        <v>45978.0</v>
      </c>
      <c r="AI266" s="61"/>
      <c r="AJ266" s="61"/>
      <c r="AK266" s="61"/>
      <c r="AL266" s="61"/>
      <c r="AM266" s="61"/>
      <c r="AN266" s="61"/>
      <c r="AO266" s="61"/>
      <c r="AP266" s="61"/>
      <c r="AQ266" s="61"/>
      <c r="AR266" s="61"/>
      <c r="AS266" s="61"/>
      <c r="AT266" s="61"/>
    </row>
    <row r="267">
      <c r="A267" s="64"/>
      <c r="B267" s="231" t="s">
        <v>4145</v>
      </c>
      <c r="C267" s="231" t="s">
        <v>1313</v>
      </c>
      <c r="D267" s="64"/>
      <c r="E267" s="218" t="s">
        <v>4821</v>
      </c>
      <c r="F267" s="64"/>
      <c r="G267" s="64"/>
      <c r="H267" s="64"/>
      <c r="I267" s="64"/>
      <c r="J267" s="68"/>
      <c r="K267" s="373"/>
      <c r="L267" s="171" t="s">
        <v>60</v>
      </c>
      <c r="N267" s="64" t="s">
        <v>4826</v>
      </c>
      <c r="O267" s="171" t="s">
        <v>129</v>
      </c>
      <c r="P267" s="103"/>
      <c r="Q267" s="64"/>
      <c r="R267" s="64"/>
      <c r="S267" s="81"/>
      <c r="T267" s="81"/>
      <c r="U267" s="83" t="s">
        <v>368</v>
      </c>
      <c r="V267" s="83"/>
      <c r="W267" s="64"/>
      <c r="X267" s="68"/>
      <c r="Y267" s="68"/>
      <c r="Z267" s="68"/>
      <c r="AA267" s="68"/>
      <c r="AB267" s="68"/>
      <c r="AC267" s="68"/>
      <c r="AD267" s="169"/>
      <c r="AE267" s="83"/>
      <c r="AF267" s="83" t="s">
        <v>1385</v>
      </c>
      <c r="AG267" s="83" t="s">
        <v>375</v>
      </c>
      <c r="AH267" s="202">
        <v>45978.0</v>
      </c>
      <c r="AI267" s="61"/>
      <c r="AJ267" s="61"/>
      <c r="AK267" s="61"/>
      <c r="AL267" s="61"/>
      <c r="AM267" s="61"/>
      <c r="AN267" s="61"/>
      <c r="AO267" s="61"/>
      <c r="AP267" s="61"/>
      <c r="AQ267" s="61"/>
      <c r="AR267" s="61"/>
      <c r="AS267" s="61"/>
      <c r="AT267" s="61"/>
    </row>
    <row r="268">
      <c r="A268" s="502"/>
      <c r="B268" s="95" t="s">
        <v>4145</v>
      </c>
      <c r="C268" s="95" t="s">
        <v>1313</v>
      </c>
      <c r="D268" s="502"/>
      <c r="E268" s="128" t="s">
        <v>4833</v>
      </c>
      <c r="F268" s="502"/>
      <c r="G268" s="502"/>
      <c r="H268" s="502"/>
      <c r="I268" s="502"/>
      <c r="J268" s="95" t="s">
        <v>114</v>
      </c>
      <c r="K268" s="513" t="s">
        <v>4836</v>
      </c>
      <c r="L268" s="96" t="s">
        <v>60</v>
      </c>
      <c r="N268" s="95" t="s">
        <v>4839</v>
      </c>
      <c r="O268" s="95" t="s">
        <v>4840</v>
      </c>
      <c r="P268" s="502"/>
      <c r="Q268" s="502"/>
      <c r="R268" s="502"/>
      <c r="S268" s="505"/>
      <c r="T268" s="505"/>
      <c r="U268" s="298" t="s">
        <v>393</v>
      </c>
      <c r="V268" s="502"/>
      <c r="W268" s="502"/>
      <c r="X268" s="502"/>
      <c r="Y268" s="502"/>
      <c r="Z268" s="502"/>
      <c r="AA268" s="502"/>
      <c r="AB268" s="502"/>
      <c r="AC268" s="95" t="s">
        <v>1566</v>
      </c>
      <c r="AD268" s="95" t="s">
        <v>1566</v>
      </c>
      <c r="AE268" s="95" t="s">
        <v>154</v>
      </c>
      <c r="AF268" s="95" t="s">
        <v>4848</v>
      </c>
      <c r="AG268" s="95" t="s">
        <v>375</v>
      </c>
      <c r="AH268" s="81">
        <v>45983.0</v>
      </c>
      <c r="AI268" s="509"/>
      <c r="AJ268" s="509"/>
      <c r="AK268" s="509"/>
      <c r="AL268" s="509"/>
      <c r="AM268" s="509"/>
      <c r="AN268" s="509"/>
      <c r="AO268" s="509"/>
      <c r="AP268" s="509"/>
      <c r="AQ268" s="509"/>
      <c r="AR268" s="509"/>
      <c r="AS268" s="509"/>
      <c r="AT268" s="509"/>
    </row>
    <row r="269">
      <c r="A269" s="502"/>
      <c r="B269" s="95" t="s">
        <v>4145</v>
      </c>
      <c r="C269" s="95" t="s">
        <v>1313</v>
      </c>
      <c r="D269" s="502"/>
      <c r="E269" s="128" t="s">
        <v>4853</v>
      </c>
      <c r="F269" s="502"/>
      <c r="G269" s="502"/>
      <c r="H269" s="502"/>
      <c r="I269" s="502"/>
      <c r="J269" s="502"/>
      <c r="K269" s="502"/>
      <c r="L269" s="96" t="s">
        <v>326</v>
      </c>
      <c r="N269" s="95" t="s">
        <v>4855</v>
      </c>
      <c r="O269" s="96" t="s">
        <v>4857</v>
      </c>
      <c r="P269" s="504"/>
      <c r="Q269" s="502"/>
      <c r="R269" s="502"/>
      <c r="S269" s="505"/>
      <c r="T269" s="505"/>
      <c r="U269" s="298" t="s">
        <v>393</v>
      </c>
      <c r="V269" s="502"/>
      <c r="W269" s="502"/>
      <c r="X269" s="502"/>
      <c r="Y269" s="502"/>
      <c r="Z269" s="502"/>
      <c r="AA269" s="502"/>
      <c r="AB269" s="502"/>
      <c r="AC269" s="502"/>
      <c r="AD269" s="508"/>
      <c r="AE269" s="95" t="s">
        <v>154</v>
      </c>
      <c r="AF269" s="95" t="s">
        <v>4848</v>
      </c>
      <c r="AG269" s="95" t="s">
        <v>375</v>
      </c>
      <c r="AH269" s="413">
        <v>45974.0</v>
      </c>
      <c r="AI269" s="509"/>
      <c r="AJ269" s="509"/>
      <c r="AK269" s="509"/>
      <c r="AL269" s="509"/>
      <c r="AM269" s="509"/>
      <c r="AN269" s="509"/>
      <c r="AO269" s="509"/>
      <c r="AP269" s="509"/>
      <c r="AQ269" s="509"/>
      <c r="AR269" s="509"/>
      <c r="AS269" s="509"/>
      <c r="AT269" s="509"/>
    </row>
    <row r="270">
      <c r="A270" s="502"/>
      <c r="B270" s="95" t="s">
        <v>4145</v>
      </c>
      <c r="C270" s="95" t="s">
        <v>1313</v>
      </c>
      <c r="D270" s="502"/>
      <c r="E270" s="128" t="s">
        <v>4868</v>
      </c>
      <c r="F270" s="502"/>
      <c r="G270" s="502"/>
      <c r="H270" s="502"/>
      <c r="I270" s="502"/>
      <c r="J270" s="502"/>
      <c r="K270" s="502"/>
      <c r="L270" s="96" t="s">
        <v>60</v>
      </c>
      <c r="N270" s="95" t="s">
        <v>4870</v>
      </c>
      <c r="O270" s="96" t="s">
        <v>4871</v>
      </c>
      <c r="P270" s="504"/>
      <c r="Q270" s="502"/>
      <c r="R270" s="502"/>
      <c r="S270" s="505"/>
      <c r="T270" s="505"/>
      <c r="U270" s="298" t="s">
        <v>393</v>
      </c>
      <c r="V270" s="502"/>
      <c r="W270" s="502"/>
      <c r="X270" s="502"/>
      <c r="Y270" s="502"/>
      <c r="Z270" s="502"/>
      <c r="AA270" s="502"/>
      <c r="AB270" s="502"/>
      <c r="AC270" s="502"/>
      <c r="AD270" s="508"/>
      <c r="AE270" s="95" t="s">
        <v>154</v>
      </c>
      <c r="AF270" s="95" t="s">
        <v>4848</v>
      </c>
      <c r="AG270" s="95" t="s">
        <v>375</v>
      </c>
      <c r="AH270" s="413">
        <v>45972.0</v>
      </c>
      <c r="AI270" s="509"/>
      <c r="AJ270" s="509"/>
      <c r="AK270" s="509"/>
      <c r="AL270" s="509"/>
      <c r="AM270" s="509"/>
      <c r="AN270" s="509"/>
      <c r="AO270" s="509"/>
      <c r="AP270" s="509"/>
      <c r="AQ270" s="509"/>
      <c r="AR270" s="509"/>
      <c r="AS270" s="509"/>
      <c r="AT270" s="509"/>
    </row>
    <row r="271">
      <c r="A271" s="502"/>
      <c r="B271" s="95" t="s">
        <v>4145</v>
      </c>
      <c r="C271" s="95" t="s">
        <v>1313</v>
      </c>
      <c r="D271" s="502"/>
      <c r="E271" s="128" t="s">
        <v>4879</v>
      </c>
      <c r="F271" s="502"/>
      <c r="G271" s="502"/>
      <c r="H271" s="502"/>
      <c r="I271" s="502"/>
      <c r="J271" s="502"/>
      <c r="K271" s="502"/>
      <c r="L271" s="96" t="s">
        <v>60</v>
      </c>
      <c r="N271" s="95" t="s">
        <v>4883</v>
      </c>
      <c r="O271" s="96" t="s">
        <v>634</v>
      </c>
      <c r="P271" s="504"/>
      <c r="Q271" s="502"/>
      <c r="R271" s="502"/>
      <c r="S271" s="505"/>
      <c r="T271" s="505"/>
      <c r="U271" s="298" t="s">
        <v>393</v>
      </c>
      <c r="V271" s="502"/>
      <c r="W271" s="502"/>
      <c r="X271" s="502"/>
      <c r="Y271" s="502"/>
      <c r="Z271" s="502"/>
      <c r="AA271" s="502"/>
      <c r="AB271" s="502"/>
      <c r="AC271" s="502"/>
      <c r="AD271" s="508"/>
      <c r="AE271" s="95" t="s">
        <v>154</v>
      </c>
      <c r="AF271" s="95" t="s">
        <v>4886</v>
      </c>
      <c r="AG271" s="95" t="s">
        <v>375</v>
      </c>
      <c r="AH271" s="81">
        <v>45981.0</v>
      </c>
      <c r="AI271" s="509"/>
      <c r="AJ271" s="509"/>
      <c r="AK271" s="509"/>
      <c r="AL271" s="509"/>
      <c r="AM271" s="509"/>
      <c r="AN271" s="509"/>
      <c r="AO271" s="509"/>
      <c r="AP271" s="509"/>
      <c r="AQ271" s="509"/>
      <c r="AR271" s="509"/>
      <c r="AS271" s="509"/>
      <c r="AT271" s="509"/>
    </row>
    <row r="272">
      <c r="A272" s="502"/>
      <c r="B272" s="95" t="s">
        <v>4145</v>
      </c>
      <c r="C272" s="95" t="s">
        <v>1313</v>
      </c>
      <c r="D272" s="502"/>
      <c r="E272" s="128" t="s">
        <v>4888</v>
      </c>
      <c r="F272" s="502"/>
      <c r="G272" s="502"/>
      <c r="H272" s="502"/>
      <c r="I272" s="502"/>
      <c r="J272" s="502"/>
      <c r="K272" s="502"/>
      <c r="L272" s="96" t="s">
        <v>60</v>
      </c>
      <c r="N272" s="95" t="s">
        <v>4890</v>
      </c>
      <c r="O272" s="96" t="s">
        <v>4892</v>
      </c>
      <c r="P272" s="504"/>
      <c r="Q272" s="502"/>
      <c r="R272" s="502"/>
      <c r="S272" s="505"/>
      <c r="T272" s="505"/>
      <c r="U272" s="298" t="s">
        <v>393</v>
      </c>
      <c r="V272" s="502"/>
      <c r="W272" s="502"/>
      <c r="X272" s="502"/>
      <c r="Y272" s="502"/>
      <c r="Z272" s="502"/>
      <c r="AA272" s="502"/>
      <c r="AB272" s="502"/>
      <c r="AC272" s="502"/>
      <c r="AD272" s="508"/>
      <c r="AE272" s="95" t="s">
        <v>154</v>
      </c>
      <c r="AF272" s="95" t="s">
        <v>4886</v>
      </c>
      <c r="AG272" s="95" t="s">
        <v>375</v>
      </c>
      <c r="AH272" s="81">
        <v>45981.0</v>
      </c>
      <c r="AI272" s="509"/>
      <c r="AJ272" s="509"/>
      <c r="AK272" s="509"/>
      <c r="AL272" s="509"/>
      <c r="AM272" s="509"/>
      <c r="AN272" s="509"/>
      <c r="AO272" s="509"/>
      <c r="AP272" s="509"/>
      <c r="AQ272" s="509"/>
      <c r="AR272" s="509"/>
      <c r="AS272" s="509"/>
      <c r="AT272" s="509"/>
    </row>
    <row r="273">
      <c r="A273" s="502"/>
      <c r="B273" s="128" t="s">
        <v>145</v>
      </c>
      <c r="C273" s="81">
        <v>45995.0</v>
      </c>
      <c r="D273" s="502"/>
      <c r="E273" s="502"/>
      <c r="F273" s="502"/>
      <c r="G273" s="502"/>
      <c r="H273" s="502"/>
      <c r="I273" s="502"/>
      <c r="J273" s="95" t="s">
        <v>114</v>
      </c>
      <c r="K273" s="293" t="s">
        <v>4902</v>
      </c>
      <c r="L273" s="95" t="s">
        <v>60</v>
      </c>
      <c r="N273" s="95" t="s">
        <v>4904</v>
      </c>
      <c r="O273" s="95" t="s">
        <v>4905</v>
      </c>
      <c r="P273" s="502"/>
      <c r="Q273" s="502"/>
      <c r="R273" s="502"/>
      <c r="S273" s="505"/>
      <c r="T273" s="505"/>
      <c r="U273" s="140" t="s">
        <v>368</v>
      </c>
      <c r="V273" s="502"/>
      <c r="W273" s="502"/>
      <c r="X273" s="95" t="s">
        <v>145</v>
      </c>
      <c r="Y273" s="95" t="s">
        <v>371</v>
      </c>
      <c r="Z273" s="502"/>
      <c r="AA273" s="95" t="s">
        <v>114</v>
      </c>
      <c r="AB273" s="502"/>
      <c r="AC273" s="502"/>
      <c r="AD273" s="508"/>
      <c r="AE273" s="502"/>
      <c r="AF273" s="502"/>
      <c r="AG273" s="95" t="s">
        <v>375</v>
      </c>
      <c r="AH273" s="413">
        <v>46010.0</v>
      </c>
      <c r="AI273" s="509"/>
      <c r="AJ273" s="509"/>
      <c r="AK273" s="509"/>
      <c r="AL273" s="509"/>
      <c r="AM273" s="509"/>
      <c r="AN273" s="509"/>
      <c r="AO273" s="509"/>
      <c r="AP273" s="509"/>
      <c r="AQ273" s="509"/>
      <c r="AR273" s="509"/>
      <c r="AS273" s="509"/>
      <c r="AT273" s="509"/>
    </row>
    <row r="274">
      <c r="A274" s="502"/>
      <c r="B274" s="128" t="s">
        <v>145</v>
      </c>
      <c r="C274" s="81">
        <v>45995.0</v>
      </c>
      <c r="D274" s="502"/>
      <c r="E274" s="502"/>
      <c r="F274" s="502"/>
      <c r="G274" s="502"/>
      <c r="H274" s="502"/>
      <c r="I274" s="502"/>
      <c r="J274" s="95" t="s">
        <v>114</v>
      </c>
      <c r="K274" s="293" t="s">
        <v>4917</v>
      </c>
      <c r="L274" s="95" t="s">
        <v>60</v>
      </c>
      <c r="N274" s="95" t="s">
        <v>4918</v>
      </c>
      <c r="O274" s="95" t="s">
        <v>4919</v>
      </c>
      <c r="P274" s="502"/>
      <c r="Q274" s="502"/>
      <c r="R274" s="502"/>
      <c r="S274" s="505"/>
      <c r="T274" s="505"/>
      <c r="U274" s="140" t="s">
        <v>368</v>
      </c>
      <c r="V274" s="502"/>
      <c r="W274" s="502"/>
      <c r="X274" s="95" t="s">
        <v>145</v>
      </c>
      <c r="Y274" s="95" t="s">
        <v>371</v>
      </c>
      <c r="Z274" s="502"/>
      <c r="AA274" s="95" t="s">
        <v>114</v>
      </c>
      <c r="AB274" s="502"/>
      <c r="AC274" s="502"/>
      <c r="AD274" s="508"/>
      <c r="AE274" s="502"/>
      <c r="AF274" s="502"/>
      <c r="AG274" s="95" t="s">
        <v>375</v>
      </c>
      <c r="AH274" s="75">
        <v>46008.0</v>
      </c>
      <c r="AI274" s="509"/>
      <c r="AJ274" s="509"/>
      <c r="AK274" s="509"/>
      <c r="AL274" s="509"/>
      <c r="AM274" s="509"/>
      <c r="AN274" s="509"/>
      <c r="AO274" s="509"/>
      <c r="AP274" s="509"/>
      <c r="AQ274" s="509"/>
      <c r="AR274" s="509"/>
      <c r="AS274" s="509"/>
      <c r="AT274" s="509"/>
    </row>
    <row r="275">
      <c r="A275" s="502"/>
      <c r="B275" s="128" t="s">
        <v>145</v>
      </c>
      <c r="C275" s="81">
        <v>45995.0</v>
      </c>
      <c r="D275" s="502"/>
      <c r="E275" s="502"/>
      <c r="F275" s="502"/>
      <c r="G275" s="502"/>
      <c r="H275" s="502"/>
      <c r="I275" s="502"/>
      <c r="J275" s="95" t="s">
        <v>114</v>
      </c>
      <c r="K275" s="502"/>
      <c r="L275" s="95" t="s">
        <v>60</v>
      </c>
      <c r="N275" s="95" t="s">
        <v>4927</v>
      </c>
      <c r="O275" s="95" t="s">
        <v>4928</v>
      </c>
      <c r="P275" s="502"/>
      <c r="Q275" s="502"/>
      <c r="R275" s="502"/>
      <c r="S275" s="505"/>
      <c r="T275" s="505"/>
      <c r="U275" s="140" t="s">
        <v>368</v>
      </c>
      <c r="V275" s="502"/>
      <c r="W275" s="502"/>
      <c r="X275" s="95" t="s">
        <v>145</v>
      </c>
      <c r="Y275" s="502"/>
      <c r="Z275" s="502"/>
      <c r="AA275" s="95" t="s">
        <v>114</v>
      </c>
      <c r="AB275" s="502"/>
      <c r="AC275" s="502"/>
      <c r="AD275" s="508"/>
      <c r="AE275" s="502"/>
      <c r="AF275" s="502"/>
      <c r="AG275" s="95" t="s">
        <v>375</v>
      </c>
      <c r="AH275" s="75">
        <v>46003.0</v>
      </c>
      <c r="AI275" s="509"/>
      <c r="AJ275" s="509"/>
      <c r="AK275" s="509"/>
      <c r="AL275" s="509"/>
      <c r="AM275" s="509"/>
      <c r="AN275" s="509"/>
      <c r="AO275" s="509"/>
      <c r="AP275" s="509"/>
      <c r="AQ275" s="509"/>
      <c r="AR275" s="509"/>
      <c r="AS275" s="509"/>
      <c r="AT275" s="509"/>
    </row>
    <row r="276">
      <c r="A276" s="502"/>
      <c r="B276" s="128" t="s">
        <v>145</v>
      </c>
      <c r="C276" s="81">
        <v>45995.0</v>
      </c>
      <c r="D276" s="502"/>
      <c r="E276" s="502"/>
      <c r="F276" s="502"/>
      <c r="G276" s="502"/>
      <c r="H276" s="502"/>
      <c r="I276" s="502"/>
      <c r="J276" s="95" t="s">
        <v>114</v>
      </c>
      <c r="K276" s="293" t="s">
        <v>4937</v>
      </c>
      <c r="L276" s="95" t="s">
        <v>60</v>
      </c>
      <c r="N276" s="95" t="s">
        <v>4938</v>
      </c>
      <c r="O276" s="95" t="s">
        <v>4939</v>
      </c>
      <c r="P276" s="502"/>
      <c r="Q276" s="502"/>
      <c r="R276" s="502"/>
      <c r="S276" s="505"/>
      <c r="T276" s="505"/>
      <c r="U276" s="140" t="s">
        <v>368</v>
      </c>
      <c r="V276" s="502"/>
      <c r="W276" s="502"/>
      <c r="X276" s="95" t="s">
        <v>145</v>
      </c>
      <c r="Y276" s="95" t="s">
        <v>371</v>
      </c>
      <c r="Z276" s="502"/>
      <c r="AA276" s="95" t="s">
        <v>114</v>
      </c>
      <c r="AB276" s="502"/>
      <c r="AC276" s="502"/>
      <c r="AD276" s="508"/>
      <c r="AE276" s="502"/>
      <c r="AF276" s="502"/>
      <c r="AG276" s="95" t="s">
        <v>375</v>
      </c>
      <c r="AH276" s="413">
        <v>46009.0</v>
      </c>
      <c r="AI276" s="509"/>
      <c r="AJ276" s="509"/>
      <c r="AK276" s="509"/>
      <c r="AL276" s="509"/>
      <c r="AM276" s="509"/>
      <c r="AN276" s="509"/>
      <c r="AO276" s="509"/>
      <c r="AP276" s="509"/>
      <c r="AQ276" s="509"/>
      <c r="AR276" s="509"/>
      <c r="AS276" s="509"/>
      <c r="AT276" s="509"/>
    </row>
    <row r="277">
      <c r="A277" s="502"/>
      <c r="B277" s="128" t="s">
        <v>145</v>
      </c>
      <c r="C277" s="81">
        <v>45995.0</v>
      </c>
      <c r="D277" s="502"/>
      <c r="E277" s="531" t="s">
        <v>4951</v>
      </c>
      <c r="F277" s="502"/>
      <c r="G277" s="502"/>
      <c r="H277" s="502"/>
      <c r="I277" s="502"/>
      <c r="J277" s="95" t="s">
        <v>114</v>
      </c>
      <c r="K277" s="293" t="s">
        <v>4964</v>
      </c>
      <c r="L277" s="95" t="s">
        <v>656</v>
      </c>
      <c r="N277" s="532" t="s">
        <v>4967</v>
      </c>
      <c r="O277" s="533" t="s">
        <v>4969</v>
      </c>
      <c r="P277" s="502"/>
      <c r="Q277" s="502"/>
      <c r="R277" s="95">
        <f t="shared" ref="R277:R278" si="14">DATEDIF($P277,TODAY(),"Y")</f>
        <v>126</v>
      </c>
      <c r="S277" s="81">
        <v>2.882315477E9</v>
      </c>
      <c r="T277" s="81" t="s">
        <v>378</v>
      </c>
      <c r="U277" s="140" t="s">
        <v>368</v>
      </c>
      <c r="V277" s="502"/>
      <c r="W277" s="502"/>
      <c r="X277" s="95" t="s">
        <v>145</v>
      </c>
      <c r="Y277" s="95" t="s">
        <v>371</v>
      </c>
      <c r="Z277" s="502"/>
      <c r="AA277" s="95" t="s">
        <v>114</v>
      </c>
      <c r="AB277" s="502"/>
      <c r="AC277" s="502"/>
      <c r="AD277" s="508"/>
      <c r="AE277" s="502"/>
      <c r="AF277" s="502"/>
      <c r="AG277" s="95" t="s">
        <v>375</v>
      </c>
      <c r="AH277" s="81">
        <v>46030.0</v>
      </c>
      <c r="AI277" s="509"/>
      <c r="AJ277" s="509"/>
      <c r="AK277" s="509"/>
      <c r="AL277" s="509"/>
      <c r="AM277" s="509"/>
      <c r="AN277" s="509"/>
      <c r="AO277" s="509"/>
      <c r="AP277" s="509"/>
      <c r="AQ277" s="509"/>
      <c r="AR277" s="509"/>
      <c r="AS277" s="509"/>
      <c r="AT277" s="509"/>
    </row>
    <row r="278">
      <c r="A278" s="64"/>
      <c r="B278" s="218" t="s">
        <v>145</v>
      </c>
      <c r="C278" s="202">
        <v>45995.0</v>
      </c>
      <c r="D278" s="64"/>
      <c r="E278" s="64"/>
      <c r="F278" s="64"/>
      <c r="G278" s="64"/>
      <c r="H278" s="64"/>
      <c r="I278" s="64"/>
      <c r="J278" s="83" t="s">
        <v>114</v>
      </c>
      <c r="K278" s="369"/>
      <c r="L278" s="83" t="s">
        <v>60</v>
      </c>
      <c r="N278" s="83" t="s">
        <v>4991</v>
      </c>
      <c r="O278" s="534" t="s">
        <v>2799</v>
      </c>
      <c r="P278" s="437"/>
      <c r="Q278" s="68"/>
      <c r="R278" s="68">
        <f t="shared" si="14"/>
        <v>126</v>
      </c>
      <c r="S278" s="81">
        <v>3.605600657E9</v>
      </c>
      <c r="T278" s="81"/>
      <c r="U278" s="83" t="s">
        <v>368</v>
      </c>
      <c r="V278" s="83"/>
      <c r="W278" s="83"/>
      <c r="X278" s="83" t="s">
        <v>145</v>
      </c>
      <c r="Y278" s="68" t="s">
        <v>371</v>
      </c>
      <c r="Z278" s="68"/>
      <c r="AA278" s="83" t="s">
        <v>185</v>
      </c>
      <c r="AB278" s="68"/>
      <c r="AC278" s="68"/>
      <c r="AD278" s="169"/>
      <c r="AE278" s="83"/>
      <c r="AF278" s="83"/>
      <c r="AG278" s="83" t="s">
        <v>375</v>
      </c>
      <c r="AH278" s="207">
        <v>46016.0</v>
      </c>
      <c r="AI278" s="61"/>
      <c r="AJ278" s="61"/>
      <c r="AK278" s="61"/>
      <c r="AL278" s="61"/>
      <c r="AM278" s="61"/>
      <c r="AN278" s="61"/>
      <c r="AO278" s="61"/>
      <c r="AP278" s="61"/>
      <c r="AQ278" s="61"/>
      <c r="AR278" s="61"/>
      <c r="AS278" s="61"/>
      <c r="AT278" s="61"/>
    </row>
    <row r="279">
      <c r="A279" s="64"/>
      <c r="B279" s="218" t="s">
        <v>145</v>
      </c>
      <c r="C279" s="202">
        <v>45995.0</v>
      </c>
      <c r="D279" s="64"/>
      <c r="E279" s="64"/>
      <c r="F279" s="64"/>
      <c r="G279" s="64"/>
      <c r="H279" s="64"/>
      <c r="I279" s="64"/>
      <c r="J279" s="83" t="s">
        <v>114</v>
      </c>
      <c r="K279" s="412" t="s">
        <v>5003</v>
      </c>
      <c r="L279" s="83" t="s">
        <v>60</v>
      </c>
      <c r="N279" s="83" t="s">
        <v>5004</v>
      </c>
      <c r="O279" s="534" t="s">
        <v>5006</v>
      </c>
      <c r="P279" s="64"/>
      <c r="Q279" s="64"/>
      <c r="R279" s="64"/>
      <c r="S279" s="81"/>
      <c r="T279" s="81"/>
      <c r="U279" s="83" t="s">
        <v>368</v>
      </c>
      <c r="V279" s="83"/>
      <c r="W279" s="83"/>
      <c r="X279" s="83" t="s">
        <v>145</v>
      </c>
      <c r="Y279" s="68" t="s">
        <v>371</v>
      </c>
      <c r="Z279" s="68"/>
      <c r="AA279" s="83" t="s">
        <v>185</v>
      </c>
      <c r="AB279" s="68"/>
      <c r="AC279" s="68"/>
      <c r="AD279" s="169"/>
      <c r="AE279" s="83"/>
      <c r="AF279" s="83"/>
      <c r="AG279" s="83" t="s">
        <v>375</v>
      </c>
      <c r="AH279" s="207">
        <v>46010.0</v>
      </c>
      <c r="AI279" s="61"/>
      <c r="AJ279" s="61"/>
      <c r="AK279" s="61"/>
      <c r="AL279" s="61"/>
      <c r="AM279" s="61"/>
      <c r="AN279" s="61"/>
      <c r="AO279" s="61"/>
      <c r="AP279" s="61"/>
      <c r="AQ279" s="61"/>
      <c r="AR279" s="61"/>
      <c r="AS279" s="61"/>
      <c r="AT279" s="61"/>
    </row>
    <row r="280">
      <c r="A280" s="502"/>
      <c r="B280" s="128" t="s">
        <v>145</v>
      </c>
      <c r="C280" s="81">
        <v>45995.0</v>
      </c>
      <c r="D280" s="502"/>
      <c r="E280" s="531" t="s">
        <v>5012</v>
      </c>
      <c r="F280" s="502"/>
      <c r="G280" s="502"/>
      <c r="H280" s="502"/>
      <c r="I280" s="502"/>
      <c r="J280" s="95" t="s">
        <v>114</v>
      </c>
      <c r="K280" s="535" t="s">
        <v>5014</v>
      </c>
      <c r="L280" s="96" t="s">
        <v>102</v>
      </c>
      <c r="N280" s="532" t="s">
        <v>5016</v>
      </c>
      <c r="O280" s="532" t="s">
        <v>2435</v>
      </c>
      <c r="P280" s="502"/>
      <c r="Q280" s="502"/>
      <c r="R280" s="95">
        <f t="shared" ref="R280:R281" si="15">DATEDIF($P280,TODAY(),"Y")</f>
        <v>126</v>
      </c>
      <c r="S280" s="81">
        <v>2.93762025E9</v>
      </c>
      <c r="T280" s="505"/>
      <c r="U280" s="140" t="s">
        <v>368</v>
      </c>
      <c r="V280" s="502"/>
      <c r="W280" s="502"/>
      <c r="X280" s="95" t="s">
        <v>145</v>
      </c>
      <c r="Y280" s="95" t="s">
        <v>371</v>
      </c>
      <c r="Z280" s="502"/>
      <c r="AA280" s="95" t="s">
        <v>114</v>
      </c>
      <c r="AB280" s="502"/>
      <c r="AC280" s="502"/>
      <c r="AD280" s="508"/>
      <c r="AE280" s="502"/>
      <c r="AF280" s="502"/>
      <c r="AG280" s="95" t="s">
        <v>375</v>
      </c>
      <c r="AH280" s="81">
        <v>46028.0</v>
      </c>
      <c r="AI280" s="509"/>
      <c r="AJ280" s="509"/>
      <c r="AK280" s="509"/>
      <c r="AL280" s="509"/>
      <c r="AM280" s="509"/>
      <c r="AN280" s="509"/>
      <c r="AO280" s="509"/>
      <c r="AP280" s="509"/>
      <c r="AQ280" s="509"/>
      <c r="AR280" s="509"/>
      <c r="AS280" s="509"/>
      <c r="AT280" s="509"/>
    </row>
    <row r="281">
      <c r="A281" s="502"/>
      <c r="B281" s="128" t="s">
        <v>145</v>
      </c>
      <c r="C281" s="81">
        <v>45996.0</v>
      </c>
      <c r="D281" s="502"/>
      <c r="E281" s="502"/>
      <c r="F281" s="502"/>
      <c r="G281" s="502"/>
      <c r="H281" s="502"/>
      <c r="I281" s="502"/>
      <c r="J281" s="95" t="s">
        <v>114</v>
      </c>
      <c r="K281" s="293" t="s">
        <v>5028</v>
      </c>
      <c r="L281" s="95" t="s">
        <v>610</v>
      </c>
      <c r="N281" s="138" t="s">
        <v>5029</v>
      </c>
      <c r="O281" s="533" t="s">
        <v>5031</v>
      </c>
      <c r="P281" s="502"/>
      <c r="Q281" s="502"/>
      <c r="R281" s="95">
        <f t="shared" si="15"/>
        <v>126</v>
      </c>
      <c r="S281" s="81">
        <v>3.357017659E9</v>
      </c>
      <c r="T281" s="81" t="s">
        <v>1317</v>
      </c>
      <c r="U281" s="140" t="s">
        <v>368</v>
      </c>
      <c r="V281" s="502"/>
      <c r="W281" s="502"/>
      <c r="X281" s="95" t="s">
        <v>145</v>
      </c>
      <c r="Y281" s="502"/>
      <c r="Z281" s="502"/>
      <c r="AA281" s="95" t="s">
        <v>114</v>
      </c>
      <c r="AB281" s="502"/>
      <c r="AC281" s="502"/>
      <c r="AD281" s="508"/>
      <c r="AE281" s="502"/>
      <c r="AF281" s="95" t="s">
        <v>375</v>
      </c>
      <c r="AG281" s="502"/>
      <c r="AH281" s="413">
        <v>46022.0</v>
      </c>
      <c r="AI281" s="509"/>
      <c r="AJ281" s="509"/>
      <c r="AK281" s="509"/>
      <c r="AL281" s="509"/>
      <c r="AM281" s="509"/>
      <c r="AN281" s="509"/>
      <c r="AO281" s="509"/>
      <c r="AP281" s="509"/>
      <c r="AQ281" s="509"/>
      <c r="AR281" s="509"/>
      <c r="AS281" s="509"/>
      <c r="AT281" s="509"/>
    </row>
    <row r="282">
      <c r="A282" s="64"/>
      <c r="B282" s="218" t="s">
        <v>145</v>
      </c>
      <c r="C282" s="202"/>
      <c r="D282" s="64"/>
      <c r="E282" s="71"/>
      <c r="F282" s="64"/>
      <c r="G282" s="64"/>
      <c r="H282" s="64"/>
      <c r="I282" s="64"/>
      <c r="J282" s="83" t="s">
        <v>114</v>
      </c>
      <c r="K282" s="239"/>
      <c r="L282" s="170" t="s">
        <v>60</v>
      </c>
      <c r="N282" s="83" t="s">
        <v>2283</v>
      </c>
      <c r="O282" s="83" t="s">
        <v>5045</v>
      </c>
      <c r="P282" s="64"/>
      <c r="Q282" s="64"/>
      <c r="R282" s="64"/>
      <c r="S282" s="81"/>
      <c r="T282" s="81"/>
      <c r="U282" s="83" t="s">
        <v>379</v>
      </c>
      <c r="V282" s="83"/>
      <c r="W282" s="83"/>
      <c r="X282" s="83" t="s">
        <v>182</v>
      </c>
      <c r="Y282" s="68" t="s">
        <v>183</v>
      </c>
      <c r="Z282" s="170" t="s">
        <v>2482</v>
      </c>
      <c r="AA282" s="83" t="s">
        <v>185</v>
      </c>
      <c r="AB282" s="68"/>
      <c r="AC282" s="68"/>
      <c r="AD282" s="169"/>
      <c r="AE282" s="83" t="s">
        <v>291</v>
      </c>
      <c r="AF282" s="170" t="s">
        <v>5053</v>
      </c>
      <c r="AG282" s="83"/>
      <c r="AH282" s="68"/>
      <c r="AI282" s="61"/>
      <c r="AJ282" s="61"/>
      <c r="AK282" s="61"/>
      <c r="AL282" s="61"/>
      <c r="AM282" s="61"/>
      <c r="AN282" s="61"/>
      <c r="AO282" s="61"/>
      <c r="AP282" s="61"/>
      <c r="AQ282" s="61"/>
      <c r="AR282" s="61"/>
      <c r="AS282" s="61"/>
      <c r="AT282" s="61"/>
    </row>
    <row r="283">
      <c r="A283" s="502"/>
      <c r="B283" s="502"/>
      <c r="C283" s="81">
        <v>46004.0</v>
      </c>
      <c r="D283" s="502"/>
      <c r="E283" s="502"/>
      <c r="F283" s="502"/>
      <c r="G283" s="502"/>
      <c r="H283" s="502"/>
      <c r="I283" s="502"/>
      <c r="J283" s="95" t="s">
        <v>114</v>
      </c>
      <c r="K283" s="502"/>
      <c r="L283" s="96" t="s">
        <v>60</v>
      </c>
      <c r="N283" s="95" t="s">
        <v>5056</v>
      </c>
      <c r="O283" s="95" t="s">
        <v>1580</v>
      </c>
      <c r="P283" s="502"/>
      <c r="Q283" s="502"/>
      <c r="R283" s="502"/>
      <c r="S283" s="81">
        <v>3.073222734E9</v>
      </c>
      <c r="T283" s="505"/>
      <c r="U283" s="510" t="s">
        <v>379</v>
      </c>
      <c r="V283" s="502"/>
      <c r="W283" s="502"/>
      <c r="X283" s="95" t="s">
        <v>186</v>
      </c>
      <c r="Y283" s="95" t="s">
        <v>1174</v>
      </c>
      <c r="Z283" s="96" t="s">
        <v>2090</v>
      </c>
      <c r="AA283" s="502"/>
      <c r="AB283" s="502"/>
      <c r="AC283" s="95" t="s">
        <v>5062</v>
      </c>
      <c r="AD283" s="508"/>
      <c r="AE283" s="95" t="s">
        <v>291</v>
      </c>
      <c r="AF283" s="96" t="s">
        <v>5068</v>
      </c>
      <c r="AG283" s="502"/>
      <c r="AH283" s="81">
        <v>46016.0</v>
      </c>
      <c r="AI283" s="509"/>
      <c r="AJ283" s="509"/>
      <c r="AK283" s="509"/>
      <c r="AL283" s="509"/>
      <c r="AM283" s="509"/>
      <c r="AN283" s="509"/>
      <c r="AO283" s="509"/>
      <c r="AP283" s="509"/>
      <c r="AQ283" s="509"/>
      <c r="AR283" s="509"/>
      <c r="AS283" s="509"/>
      <c r="AT283" s="509"/>
    </row>
    <row r="284">
      <c r="A284" s="502"/>
      <c r="B284" s="505"/>
      <c r="C284" s="505"/>
      <c r="D284" s="502"/>
      <c r="E284" s="502"/>
      <c r="F284" s="502"/>
      <c r="G284" s="502"/>
      <c r="H284" s="502"/>
      <c r="I284" s="502"/>
      <c r="J284" s="95" t="s">
        <v>114</v>
      </c>
      <c r="K284" s="502"/>
      <c r="L284" s="96" t="s">
        <v>60</v>
      </c>
      <c r="N284" s="95" t="s">
        <v>5070</v>
      </c>
      <c r="O284" s="95" t="s">
        <v>2379</v>
      </c>
      <c r="P284" s="502"/>
      <c r="Q284" s="502"/>
      <c r="R284" s="502"/>
      <c r="S284" s="81">
        <v>3.12230761E9</v>
      </c>
      <c r="T284" s="81" t="s">
        <v>1548</v>
      </c>
      <c r="U284" s="510" t="s">
        <v>379</v>
      </c>
      <c r="V284" s="502"/>
      <c r="W284" s="502"/>
      <c r="X284" s="95" t="s">
        <v>186</v>
      </c>
      <c r="Y284" s="95" t="s">
        <v>1174</v>
      </c>
      <c r="Z284" s="96" t="s">
        <v>2090</v>
      </c>
      <c r="AA284" s="502"/>
      <c r="AB284" s="502"/>
      <c r="AC284" s="95" t="s">
        <v>5062</v>
      </c>
      <c r="AD284" s="508"/>
      <c r="AE284" s="95" t="s">
        <v>291</v>
      </c>
      <c r="AF284" s="95" t="s">
        <v>5068</v>
      </c>
      <c r="AG284" s="502"/>
      <c r="AH284" s="504"/>
      <c r="AI284" s="509"/>
      <c r="AJ284" s="509"/>
      <c r="AK284" s="509"/>
      <c r="AL284" s="509"/>
      <c r="AM284" s="509"/>
      <c r="AN284" s="509"/>
      <c r="AO284" s="509"/>
      <c r="AP284" s="509"/>
      <c r="AQ284" s="509"/>
      <c r="AR284" s="509"/>
      <c r="AS284" s="509"/>
      <c r="AT284" s="509"/>
    </row>
    <row r="285">
      <c r="A285" s="64"/>
      <c r="B285" s="218" t="s">
        <v>145</v>
      </c>
      <c r="C285" s="202">
        <v>46020.0</v>
      </c>
      <c r="D285" s="64"/>
      <c r="E285" s="537" t="s">
        <v>5084</v>
      </c>
      <c r="F285" s="64"/>
      <c r="G285" s="64"/>
      <c r="H285" s="64"/>
      <c r="I285" s="64"/>
      <c r="J285" s="239" t="s">
        <v>114</v>
      </c>
      <c r="K285" s="378" t="s">
        <v>5088</v>
      </c>
      <c r="L285" s="170" t="s">
        <v>610</v>
      </c>
      <c r="N285" s="538" t="s">
        <v>5091</v>
      </c>
      <c r="O285" s="83" t="s">
        <v>5094</v>
      </c>
      <c r="P285" s="64"/>
      <c r="Q285" s="64"/>
      <c r="R285" s="64"/>
      <c r="S285" s="81"/>
      <c r="T285" s="81"/>
      <c r="U285" s="83" t="s">
        <v>368</v>
      </c>
      <c r="V285" s="83"/>
      <c r="W285" s="83"/>
      <c r="X285" s="83" t="s">
        <v>145</v>
      </c>
      <c r="Y285" s="68" t="s">
        <v>371</v>
      </c>
      <c r="Z285" s="68"/>
      <c r="AA285" s="83" t="s">
        <v>114</v>
      </c>
      <c r="AB285" s="68"/>
      <c r="AC285" s="68"/>
      <c r="AD285" s="169"/>
      <c r="AE285" s="83"/>
      <c r="AF285" s="83"/>
      <c r="AG285" s="83" t="s">
        <v>375</v>
      </c>
      <c r="AH285" s="385">
        <v>46035.0</v>
      </c>
      <c r="AI285" s="61"/>
      <c r="AJ285" s="61"/>
      <c r="AK285" s="61"/>
      <c r="AL285" s="61"/>
      <c r="AM285" s="61"/>
      <c r="AN285" s="61"/>
      <c r="AO285" s="61"/>
      <c r="AP285" s="61"/>
      <c r="AQ285" s="61"/>
      <c r="AR285" s="61"/>
      <c r="AS285" s="61"/>
      <c r="AT285" s="61"/>
    </row>
    <row r="286">
      <c r="A286" s="502"/>
      <c r="B286" s="502"/>
      <c r="C286" s="505"/>
      <c r="D286" s="81">
        <v>46023.0</v>
      </c>
      <c r="E286" s="502"/>
      <c r="F286" s="502"/>
      <c r="G286" s="502"/>
      <c r="H286" s="502"/>
      <c r="I286" s="502"/>
      <c r="J286" s="96" t="s">
        <v>114</v>
      </c>
      <c r="K286" s="96" t="s">
        <v>5105</v>
      </c>
      <c r="L286" s="96" t="s">
        <v>326</v>
      </c>
      <c r="N286" s="95" t="s">
        <v>5106</v>
      </c>
      <c r="O286" s="95" t="s">
        <v>5107</v>
      </c>
      <c r="P286" s="502"/>
      <c r="Q286" s="502"/>
      <c r="R286" s="502"/>
      <c r="S286" s="505"/>
      <c r="T286" s="505"/>
      <c r="U286" s="510" t="s">
        <v>379</v>
      </c>
      <c r="V286" s="502"/>
      <c r="W286" s="502"/>
      <c r="X286" s="95" t="s">
        <v>186</v>
      </c>
      <c r="Y286" s="95" t="s">
        <v>1174</v>
      </c>
      <c r="Z286" s="96" t="s">
        <v>2090</v>
      </c>
      <c r="AA286" s="502"/>
      <c r="AB286" s="502"/>
      <c r="AC286" s="95" t="s">
        <v>5062</v>
      </c>
      <c r="AD286" s="508"/>
      <c r="AE286" s="95" t="s">
        <v>291</v>
      </c>
      <c r="AF286" s="502"/>
      <c r="AG286" s="502"/>
      <c r="AH286" s="504"/>
      <c r="AI286" s="509"/>
      <c r="AJ286" s="509"/>
      <c r="AK286" s="509"/>
      <c r="AL286" s="509"/>
      <c r="AM286" s="509"/>
      <c r="AN286" s="509"/>
      <c r="AO286" s="509"/>
      <c r="AP286" s="509"/>
      <c r="AQ286" s="509"/>
      <c r="AR286" s="509"/>
      <c r="AS286" s="509"/>
      <c r="AT286" s="509"/>
    </row>
    <row r="287">
      <c r="A287" s="502"/>
      <c r="B287" s="502"/>
      <c r="C287" s="505"/>
      <c r="D287" s="81">
        <v>46025.0</v>
      </c>
      <c r="E287" s="502"/>
      <c r="F287" s="502"/>
      <c r="G287" s="502"/>
      <c r="H287" s="502"/>
      <c r="I287" s="502"/>
      <c r="J287" s="96" t="s">
        <v>114</v>
      </c>
      <c r="K287" s="96" t="s">
        <v>5122</v>
      </c>
      <c r="L287" s="96" t="s">
        <v>60</v>
      </c>
      <c r="N287" s="95" t="s">
        <v>5124</v>
      </c>
      <c r="O287" s="95" t="s">
        <v>5125</v>
      </c>
      <c r="P287" s="502"/>
      <c r="Q287" s="502"/>
      <c r="R287" s="502"/>
      <c r="S287" s="505"/>
      <c r="T287" s="505"/>
      <c r="U287" s="510" t="s">
        <v>379</v>
      </c>
      <c r="V287" s="502"/>
      <c r="W287" s="502"/>
      <c r="X287" s="95" t="s">
        <v>186</v>
      </c>
      <c r="Y287" s="95" t="s">
        <v>1174</v>
      </c>
      <c r="Z287" s="96" t="s">
        <v>2090</v>
      </c>
      <c r="AA287" s="502"/>
      <c r="AB287" s="502"/>
      <c r="AC287" s="95" t="s">
        <v>5062</v>
      </c>
      <c r="AD287" s="508"/>
      <c r="AE287" s="95" t="s">
        <v>291</v>
      </c>
      <c r="AF287" s="502"/>
      <c r="AG287" s="502"/>
      <c r="AH287" s="504"/>
      <c r="AI287" s="509"/>
      <c r="AJ287" s="509"/>
      <c r="AK287" s="509"/>
      <c r="AL287" s="509"/>
      <c r="AM287" s="509"/>
      <c r="AN287" s="509"/>
      <c r="AO287" s="509"/>
      <c r="AP287" s="509"/>
      <c r="AQ287" s="509"/>
      <c r="AR287" s="509"/>
      <c r="AS287" s="509"/>
      <c r="AT287" s="509"/>
    </row>
    <row r="288">
      <c r="A288" s="502"/>
      <c r="B288" s="502"/>
      <c r="C288" s="505"/>
      <c r="D288" s="81">
        <v>46025.0</v>
      </c>
      <c r="E288" s="502"/>
      <c r="F288" s="502"/>
      <c r="G288" s="502"/>
      <c r="H288" s="502"/>
      <c r="I288" s="502"/>
      <c r="J288" s="96" t="s">
        <v>114</v>
      </c>
      <c r="K288" s="96" t="s">
        <v>5137</v>
      </c>
      <c r="L288" s="96" t="s">
        <v>656</v>
      </c>
      <c r="N288" s="95" t="s">
        <v>5138</v>
      </c>
      <c r="O288" s="95" t="s">
        <v>5140</v>
      </c>
      <c r="P288" s="502"/>
      <c r="Q288" s="502"/>
      <c r="R288" s="502"/>
      <c r="S288" s="505"/>
      <c r="T288" s="505"/>
      <c r="U288" s="510" t="s">
        <v>379</v>
      </c>
      <c r="V288" s="502"/>
      <c r="W288" s="502"/>
      <c r="X288" s="95" t="s">
        <v>186</v>
      </c>
      <c r="Y288" s="95" t="s">
        <v>1174</v>
      </c>
      <c r="Z288" s="96" t="s">
        <v>2090</v>
      </c>
      <c r="AA288" s="502"/>
      <c r="AB288" s="502"/>
      <c r="AC288" s="95" t="s">
        <v>5062</v>
      </c>
      <c r="AD288" s="508"/>
      <c r="AE288" s="95" t="s">
        <v>291</v>
      </c>
      <c r="AF288" s="502"/>
      <c r="AG288" s="502"/>
      <c r="AH288" s="504"/>
      <c r="AI288" s="509"/>
      <c r="AJ288" s="509"/>
      <c r="AK288" s="509"/>
      <c r="AL288" s="509"/>
      <c r="AM288" s="509"/>
      <c r="AN288" s="509"/>
      <c r="AO288" s="509"/>
      <c r="AP288" s="509"/>
      <c r="AQ288" s="509"/>
      <c r="AR288" s="509"/>
      <c r="AS288" s="509"/>
      <c r="AT288" s="509"/>
    </row>
    <row r="289">
      <c r="A289" s="502"/>
      <c r="B289" s="502"/>
      <c r="C289" s="505"/>
      <c r="D289" s="81">
        <v>46030.0</v>
      </c>
      <c r="E289" s="502"/>
      <c r="F289" s="502"/>
      <c r="G289" s="502"/>
      <c r="H289" s="502"/>
      <c r="I289" s="502"/>
      <c r="J289" s="96" t="s">
        <v>114</v>
      </c>
      <c r="K289" s="96" t="s">
        <v>5151</v>
      </c>
      <c r="L289" s="96" t="s">
        <v>60</v>
      </c>
      <c r="N289" s="95" t="s">
        <v>5152</v>
      </c>
      <c r="O289" s="95" t="s">
        <v>5154</v>
      </c>
      <c r="P289" s="502"/>
      <c r="Q289" s="502"/>
      <c r="R289" s="502"/>
      <c r="S289" s="505"/>
      <c r="T289" s="505"/>
      <c r="U289" s="510" t="s">
        <v>379</v>
      </c>
      <c r="V289" s="502"/>
      <c r="W289" s="502"/>
      <c r="X289" s="95" t="s">
        <v>186</v>
      </c>
      <c r="Y289" s="95" t="s">
        <v>1174</v>
      </c>
      <c r="Z289" s="96" t="s">
        <v>1613</v>
      </c>
      <c r="AA289" s="502"/>
      <c r="AB289" s="502"/>
      <c r="AC289" s="95" t="s">
        <v>5062</v>
      </c>
      <c r="AD289" s="508"/>
      <c r="AE289" s="95" t="s">
        <v>291</v>
      </c>
      <c r="AF289" s="502"/>
      <c r="AG289" s="502"/>
      <c r="AH289" s="504"/>
      <c r="AI289" s="509"/>
      <c r="AJ289" s="509"/>
      <c r="AK289" s="509"/>
      <c r="AL289" s="509"/>
      <c r="AM289" s="509"/>
      <c r="AN289" s="509"/>
      <c r="AO289" s="509"/>
      <c r="AP289" s="509"/>
      <c r="AQ289" s="509"/>
      <c r="AR289" s="509"/>
      <c r="AS289" s="509"/>
      <c r="AT289" s="509"/>
    </row>
    <row r="290">
      <c r="A290" s="502"/>
      <c r="B290" s="502"/>
      <c r="C290" s="505"/>
      <c r="D290" s="81">
        <v>46030.0</v>
      </c>
      <c r="E290" s="502"/>
      <c r="F290" s="502"/>
      <c r="G290" s="502"/>
      <c r="H290" s="502"/>
      <c r="I290" s="502"/>
      <c r="J290" s="96" t="s">
        <v>114</v>
      </c>
      <c r="K290" s="96" t="s">
        <v>5169</v>
      </c>
      <c r="L290" s="96" t="s">
        <v>656</v>
      </c>
      <c r="N290" s="95" t="s">
        <v>5172</v>
      </c>
      <c r="O290" s="95" t="s">
        <v>5173</v>
      </c>
      <c r="P290" s="502"/>
      <c r="Q290" s="502"/>
      <c r="R290" s="502"/>
      <c r="S290" s="505"/>
      <c r="T290" s="505"/>
      <c r="U290" s="510" t="s">
        <v>379</v>
      </c>
      <c r="V290" s="502"/>
      <c r="W290" s="502"/>
      <c r="X290" s="95" t="s">
        <v>186</v>
      </c>
      <c r="Y290" s="95" t="s">
        <v>1174</v>
      </c>
      <c r="Z290" s="96" t="s">
        <v>1613</v>
      </c>
      <c r="AA290" s="502"/>
      <c r="AB290" s="502"/>
      <c r="AC290" s="95" t="s">
        <v>5062</v>
      </c>
      <c r="AD290" s="508"/>
      <c r="AE290" s="95" t="s">
        <v>291</v>
      </c>
      <c r="AF290" s="502"/>
      <c r="AG290" s="502"/>
      <c r="AH290" s="504"/>
      <c r="AI290" s="509"/>
      <c r="AJ290" s="509"/>
      <c r="AK290" s="509"/>
      <c r="AL290" s="509"/>
      <c r="AM290" s="509"/>
      <c r="AN290" s="509"/>
      <c r="AO290" s="509"/>
      <c r="AP290" s="509"/>
      <c r="AQ290" s="509"/>
      <c r="AR290" s="509"/>
      <c r="AS290" s="509"/>
      <c r="AT290" s="509"/>
    </row>
    <row r="291">
      <c r="A291" s="502"/>
      <c r="B291" s="502"/>
      <c r="C291" s="505"/>
      <c r="D291" s="81">
        <v>46022.0</v>
      </c>
      <c r="E291" s="502"/>
      <c r="F291" s="502"/>
      <c r="G291" s="502"/>
      <c r="H291" s="502"/>
      <c r="I291" s="502"/>
      <c r="J291" s="96" t="s">
        <v>114</v>
      </c>
      <c r="K291" s="96" t="s">
        <v>5183</v>
      </c>
      <c r="L291" s="96" t="s">
        <v>60</v>
      </c>
      <c r="N291" s="95" t="s">
        <v>5187</v>
      </c>
      <c r="O291" s="95" t="s">
        <v>3498</v>
      </c>
      <c r="P291" s="502"/>
      <c r="Q291" s="502"/>
      <c r="R291" s="502"/>
      <c r="S291" s="505"/>
      <c r="T291" s="505"/>
      <c r="U291" s="510" t="s">
        <v>379</v>
      </c>
      <c r="V291" s="502"/>
      <c r="W291" s="502"/>
      <c r="X291" s="95" t="s">
        <v>186</v>
      </c>
      <c r="Y291" s="95" t="s">
        <v>1174</v>
      </c>
      <c r="Z291" s="96" t="s">
        <v>2090</v>
      </c>
      <c r="AA291" s="502"/>
      <c r="AB291" s="502"/>
      <c r="AC291" s="95" t="s">
        <v>5062</v>
      </c>
      <c r="AD291" s="508"/>
      <c r="AE291" s="95" t="s">
        <v>291</v>
      </c>
      <c r="AF291" s="502"/>
      <c r="AG291" s="502"/>
      <c r="AH291" s="504"/>
      <c r="AI291" s="509"/>
      <c r="AJ291" s="509"/>
      <c r="AK291" s="509"/>
      <c r="AL291" s="509"/>
      <c r="AM291" s="509"/>
      <c r="AN291" s="509"/>
      <c r="AO291" s="509"/>
      <c r="AP291" s="509"/>
      <c r="AQ291" s="509"/>
      <c r="AR291" s="509"/>
      <c r="AS291" s="509"/>
      <c r="AT291" s="509"/>
    </row>
    <row r="292">
      <c r="A292" s="502"/>
      <c r="B292" s="502"/>
      <c r="C292" s="505"/>
      <c r="D292" s="81">
        <v>46022.0</v>
      </c>
      <c r="E292" s="502"/>
      <c r="F292" s="502"/>
      <c r="G292" s="502"/>
      <c r="H292" s="502"/>
      <c r="I292" s="502"/>
      <c r="J292" s="96" t="s">
        <v>114</v>
      </c>
      <c r="K292" s="96" t="s">
        <v>5197</v>
      </c>
      <c r="L292" s="96" t="s">
        <v>60</v>
      </c>
      <c r="N292" s="95" t="s">
        <v>5198</v>
      </c>
      <c r="O292" s="95" t="s">
        <v>5200</v>
      </c>
      <c r="P292" s="502"/>
      <c r="Q292" s="502"/>
      <c r="R292" s="502"/>
      <c r="S292" s="505"/>
      <c r="T292" s="505"/>
      <c r="U292" s="510" t="s">
        <v>379</v>
      </c>
      <c r="V292" s="502"/>
      <c r="W292" s="502"/>
      <c r="X292" s="95" t="s">
        <v>186</v>
      </c>
      <c r="Y292" s="95" t="s">
        <v>1174</v>
      </c>
      <c r="Z292" s="96" t="s">
        <v>2090</v>
      </c>
      <c r="AA292" s="502"/>
      <c r="AB292" s="502"/>
      <c r="AC292" s="95" t="s">
        <v>5062</v>
      </c>
      <c r="AD292" s="508"/>
      <c r="AE292" s="95" t="s">
        <v>291</v>
      </c>
      <c r="AF292" s="502"/>
      <c r="AG292" s="502"/>
      <c r="AH292" s="504"/>
      <c r="AI292" s="509"/>
      <c r="AJ292" s="509"/>
      <c r="AK292" s="509"/>
      <c r="AL292" s="509"/>
      <c r="AM292" s="509"/>
      <c r="AN292" s="509"/>
      <c r="AO292" s="509"/>
      <c r="AP292" s="509"/>
      <c r="AQ292" s="509"/>
      <c r="AR292" s="509"/>
      <c r="AS292" s="509"/>
      <c r="AT292" s="509"/>
    </row>
    <row r="293">
      <c r="A293" s="502"/>
      <c r="B293" s="502"/>
      <c r="C293" s="505"/>
      <c r="D293" s="81">
        <v>46022.0</v>
      </c>
      <c r="E293" s="502"/>
      <c r="F293" s="502"/>
      <c r="G293" s="502"/>
      <c r="H293" s="502"/>
      <c r="I293" s="502"/>
      <c r="J293" s="96" t="s">
        <v>114</v>
      </c>
      <c r="K293" s="502"/>
      <c r="L293" s="96" t="s">
        <v>656</v>
      </c>
      <c r="N293" s="95" t="s">
        <v>5216</v>
      </c>
      <c r="O293" s="95" t="s">
        <v>5217</v>
      </c>
      <c r="P293" s="502"/>
      <c r="Q293" s="502"/>
      <c r="R293" s="502"/>
      <c r="S293" s="505"/>
      <c r="T293" s="505"/>
      <c r="U293" s="510" t="s">
        <v>379</v>
      </c>
      <c r="V293" s="502"/>
      <c r="W293" s="502"/>
      <c r="X293" s="95" t="s">
        <v>186</v>
      </c>
      <c r="Y293" s="95" t="s">
        <v>183</v>
      </c>
      <c r="Z293" s="96" t="s">
        <v>2090</v>
      </c>
      <c r="AA293" s="502"/>
      <c r="AB293" s="502"/>
      <c r="AC293" s="95" t="s">
        <v>5062</v>
      </c>
      <c r="AD293" s="508"/>
      <c r="AE293" s="95" t="s">
        <v>291</v>
      </c>
      <c r="AF293" s="502"/>
      <c r="AG293" s="502"/>
      <c r="AH293" s="504"/>
      <c r="AI293" s="509"/>
      <c r="AJ293" s="509"/>
      <c r="AK293" s="509"/>
      <c r="AL293" s="509"/>
      <c r="AM293" s="509"/>
      <c r="AN293" s="509"/>
      <c r="AO293" s="509"/>
      <c r="AP293" s="509"/>
      <c r="AQ293" s="509"/>
      <c r="AR293" s="509"/>
      <c r="AS293" s="509"/>
      <c r="AT293" s="509"/>
    </row>
    <row r="294">
      <c r="A294" s="64"/>
      <c r="B294" s="231"/>
      <c r="C294" s="202"/>
      <c r="D294" s="81">
        <v>46032.0</v>
      </c>
      <c r="E294" s="71"/>
      <c r="F294" s="64"/>
      <c r="G294" s="64"/>
      <c r="H294" s="64"/>
      <c r="I294" s="64"/>
      <c r="J294" s="239" t="s">
        <v>114</v>
      </c>
      <c r="K294" s="239" t="s">
        <v>5230</v>
      </c>
      <c r="L294" s="170" t="s">
        <v>60</v>
      </c>
      <c r="N294" s="83" t="s">
        <v>5232</v>
      </c>
      <c r="O294" s="83" t="s">
        <v>1802</v>
      </c>
      <c r="P294" s="64"/>
      <c r="Q294" s="64"/>
      <c r="R294" s="64"/>
      <c r="S294" s="81"/>
      <c r="T294" s="81"/>
      <c r="U294" s="83" t="s">
        <v>379</v>
      </c>
      <c r="V294" s="83"/>
      <c r="W294" s="83"/>
      <c r="X294" s="83" t="s">
        <v>186</v>
      </c>
      <c r="Y294" s="68" t="s">
        <v>1174</v>
      </c>
      <c r="Z294" s="170" t="s">
        <v>1613</v>
      </c>
      <c r="AA294" s="83"/>
      <c r="AB294" s="83"/>
      <c r="AC294" s="83" t="s">
        <v>5062</v>
      </c>
      <c r="AD294" s="169"/>
      <c r="AE294" s="83" t="s">
        <v>291</v>
      </c>
      <c r="AF294" s="83"/>
      <c r="AG294" s="83"/>
      <c r="AH294" s="385"/>
      <c r="AI294" s="61"/>
      <c r="AJ294" s="61"/>
      <c r="AK294" s="61"/>
      <c r="AL294" s="61"/>
      <c r="AM294" s="61"/>
      <c r="AN294" s="61"/>
      <c r="AO294" s="61"/>
      <c r="AP294" s="61"/>
      <c r="AQ294" s="61"/>
      <c r="AR294" s="61"/>
      <c r="AS294" s="61"/>
      <c r="AT294" s="61"/>
    </row>
    <row r="295">
      <c r="A295" s="64"/>
      <c r="B295" s="218" t="s">
        <v>145</v>
      </c>
      <c r="C295" s="68"/>
      <c r="D295" s="64"/>
      <c r="E295" s="560" t="s">
        <v>5244</v>
      </c>
      <c r="F295" s="64"/>
      <c r="G295" s="64"/>
      <c r="H295" s="64"/>
      <c r="I295" s="64"/>
      <c r="J295" s="83" t="s">
        <v>114</v>
      </c>
      <c r="K295" s="424"/>
      <c r="L295" s="73" t="s">
        <v>60</v>
      </c>
      <c r="N295" s="331" t="s">
        <v>5250</v>
      </c>
      <c r="O295" s="83" t="s">
        <v>5251</v>
      </c>
      <c r="P295" s="565">
        <v>33983.0</v>
      </c>
      <c r="Q295" s="81">
        <f t="shared" ref="Q295:Q301" si="16">VALUE(LEFT(TEXT(S295,0),5))+1</f>
        <v>33983</v>
      </c>
      <c r="R295" s="68">
        <f t="shared" ref="R295:R301" si="17">DATEDIF($P295,TODAY(),"Y")</f>
        <v>33</v>
      </c>
      <c r="S295" s="81">
        <v>3.398212958E9</v>
      </c>
      <c r="T295" s="81"/>
      <c r="U295" s="83" t="s">
        <v>368</v>
      </c>
      <c r="V295" s="64"/>
      <c r="W295" s="68"/>
      <c r="X295" s="83" t="s">
        <v>145</v>
      </c>
      <c r="Y295" s="68" t="s">
        <v>371</v>
      </c>
      <c r="Z295" s="83" t="s">
        <v>146</v>
      </c>
      <c r="AA295" s="83" t="s">
        <v>185</v>
      </c>
      <c r="AB295" s="68"/>
      <c r="AC295" s="83" t="s">
        <v>150</v>
      </c>
      <c r="AD295" s="83" t="s">
        <v>150</v>
      </c>
      <c r="AE295" s="83"/>
      <c r="AF295" s="68"/>
      <c r="AG295" s="83" t="s">
        <v>375</v>
      </c>
      <c r="AH295" s="385">
        <v>46003.0</v>
      </c>
      <c r="AI295" s="61"/>
      <c r="AJ295" s="61"/>
      <c r="AK295" s="61"/>
      <c r="AL295" s="61"/>
      <c r="AM295" s="61"/>
      <c r="AN295" s="61"/>
      <c r="AO295" s="61"/>
      <c r="AP295" s="61"/>
      <c r="AQ295" s="61"/>
      <c r="AR295" s="61"/>
      <c r="AS295" s="61"/>
      <c r="AT295" s="61"/>
    </row>
    <row r="296">
      <c r="A296" s="64"/>
      <c r="B296" s="218" t="s">
        <v>145</v>
      </c>
      <c r="C296" s="68"/>
      <c r="D296" s="64"/>
      <c r="E296" s="560" t="s">
        <v>5231</v>
      </c>
      <c r="F296" s="64"/>
      <c r="G296" s="64"/>
      <c r="H296" s="64"/>
      <c r="I296" s="64"/>
      <c r="J296" s="68" t="s">
        <v>114</v>
      </c>
      <c r="K296" s="412" t="s">
        <v>5284</v>
      </c>
      <c r="L296" s="68" t="s">
        <v>60</v>
      </c>
      <c r="N296" s="331" t="s">
        <v>5287</v>
      </c>
      <c r="O296" s="73" t="s">
        <v>3539</v>
      </c>
      <c r="P296" s="565">
        <v>32847.0</v>
      </c>
      <c r="Q296" s="81">
        <f t="shared" si="16"/>
        <v>32847</v>
      </c>
      <c r="R296" s="68">
        <f t="shared" si="17"/>
        <v>36</v>
      </c>
      <c r="S296" s="81">
        <v>3.284617298E9</v>
      </c>
      <c r="T296" s="81"/>
      <c r="U296" s="83" t="s">
        <v>368</v>
      </c>
      <c r="V296" s="64"/>
      <c r="W296" s="68"/>
      <c r="X296" s="83" t="s">
        <v>145</v>
      </c>
      <c r="Y296" s="68" t="s">
        <v>371</v>
      </c>
      <c r="Z296" s="83" t="s">
        <v>146</v>
      </c>
      <c r="AA296" s="83" t="s">
        <v>185</v>
      </c>
      <c r="AB296" s="68"/>
      <c r="AC296" s="83" t="s">
        <v>150</v>
      </c>
      <c r="AD296" s="83" t="s">
        <v>150</v>
      </c>
      <c r="AE296" s="83"/>
      <c r="AF296" s="83"/>
      <c r="AG296" s="83" t="s">
        <v>375</v>
      </c>
      <c r="AH296" s="202">
        <v>45997.0</v>
      </c>
      <c r="AI296" s="61"/>
      <c r="AJ296" s="61"/>
      <c r="AK296" s="61"/>
      <c r="AL296" s="61"/>
      <c r="AM296" s="61"/>
      <c r="AN296" s="61"/>
      <c r="AO296" s="61"/>
      <c r="AP296" s="61"/>
      <c r="AQ296" s="61"/>
      <c r="AR296" s="61"/>
      <c r="AS296" s="61"/>
      <c r="AT296" s="61"/>
    </row>
    <row r="297">
      <c r="A297" s="64"/>
      <c r="B297" s="218" t="s">
        <v>145</v>
      </c>
      <c r="C297" s="68"/>
      <c r="D297" s="68"/>
      <c r="E297" s="71"/>
      <c r="F297" s="68"/>
      <c r="G297" s="68"/>
      <c r="H297" s="68"/>
      <c r="I297" s="68"/>
      <c r="J297" s="68" t="s">
        <v>114</v>
      </c>
      <c r="K297" s="424"/>
      <c r="L297" s="73" t="s">
        <v>60</v>
      </c>
      <c r="N297" s="68" t="s">
        <v>5303</v>
      </c>
      <c r="O297" s="572" t="s">
        <v>5304</v>
      </c>
      <c r="P297" s="388">
        <v>31127.0</v>
      </c>
      <c r="Q297" s="81">
        <f t="shared" si="16"/>
        <v>31127</v>
      </c>
      <c r="R297" s="68">
        <f t="shared" si="17"/>
        <v>41</v>
      </c>
      <c r="S297" s="81">
        <v>3.112608998E9</v>
      </c>
      <c r="T297" s="81" t="s">
        <v>378</v>
      </c>
      <c r="U297" s="83" t="s">
        <v>368</v>
      </c>
      <c r="V297" s="64"/>
      <c r="W297" s="83"/>
      <c r="X297" s="83" t="s">
        <v>145</v>
      </c>
      <c r="Y297" s="83" t="s">
        <v>2311</v>
      </c>
      <c r="Z297" s="319" t="s">
        <v>184</v>
      </c>
      <c r="AA297" s="68" t="s">
        <v>114</v>
      </c>
      <c r="AB297" s="68"/>
      <c r="AC297" s="83" t="s">
        <v>1032</v>
      </c>
      <c r="AD297" s="83" t="s">
        <v>1032</v>
      </c>
      <c r="AE297" s="83"/>
      <c r="AF297" s="83"/>
      <c r="AG297" s="83" t="s">
        <v>375</v>
      </c>
      <c r="AH297" s="202">
        <v>46023.0</v>
      </c>
      <c r="AI297" s="61"/>
      <c r="AJ297" s="61"/>
      <c r="AK297" s="61"/>
      <c r="AL297" s="61"/>
      <c r="AM297" s="61"/>
      <c r="AN297" s="61"/>
      <c r="AO297" s="61"/>
      <c r="AP297" s="61"/>
      <c r="AQ297" s="61"/>
      <c r="AR297" s="61"/>
      <c r="AS297" s="61"/>
      <c r="AT297" s="61"/>
    </row>
    <row r="298">
      <c r="A298" s="502"/>
      <c r="B298" s="577"/>
      <c r="C298" s="502"/>
      <c r="D298" s="502"/>
      <c r="E298" s="578">
        <v>45978.0</v>
      </c>
      <c r="F298" s="502"/>
      <c r="G298" s="502"/>
      <c r="H298" s="502"/>
      <c r="I298" s="502"/>
      <c r="J298" s="95" t="s">
        <v>114</v>
      </c>
      <c r="K298" s="502"/>
      <c r="L298" s="96" t="s">
        <v>60</v>
      </c>
      <c r="N298" s="579" t="s">
        <v>5328</v>
      </c>
      <c r="O298" s="96" t="s">
        <v>2688</v>
      </c>
      <c r="P298" s="75">
        <v>29551.0</v>
      </c>
      <c r="Q298" s="81" t="str">
        <f t="shared" si="16"/>
        <v>#VALUE!</v>
      </c>
      <c r="R298" s="95">
        <f t="shared" si="17"/>
        <v>45</v>
      </c>
      <c r="S298" s="95" t="s">
        <v>3642</v>
      </c>
      <c r="T298" s="505"/>
      <c r="U298" s="510" t="s">
        <v>379</v>
      </c>
      <c r="V298" s="502"/>
      <c r="W298" s="502"/>
      <c r="X298" s="95" t="s">
        <v>186</v>
      </c>
      <c r="Y298" s="95" t="s">
        <v>183</v>
      </c>
      <c r="Z298" s="96" t="s">
        <v>2482</v>
      </c>
      <c r="AA298" s="502"/>
      <c r="AB298" s="502"/>
      <c r="AC298" s="95" t="s">
        <v>3127</v>
      </c>
      <c r="AD298" s="508"/>
      <c r="AE298" s="95" t="s">
        <v>291</v>
      </c>
      <c r="AF298" s="413">
        <v>45980.0</v>
      </c>
      <c r="AG298" s="95" t="s">
        <v>759</v>
      </c>
      <c r="AH298" s="502"/>
      <c r="AI298" s="509"/>
      <c r="AJ298" s="509"/>
      <c r="AK298" s="509"/>
      <c r="AL298" s="509"/>
      <c r="AM298" s="509"/>
      <c r="AN298" s="509"/>
      <c r="AO298" s="509"/>
      <c r="AP298" s="509"/>
      <c r="AQ298" s="509"/>
      <c r="AR298" s="509"/>
      <c r="AS298" s="509"/>
      <c r="AT298" s="509"/>
    </row>
    <row r="299">
      <c r="A299" s="502"/>
      <c r="B299" s="577"/>
      <c r="C299" s="502"/>
      <c r="D299" s="502"/>
      <c r="E299" s="578">
        <v>45978.0</v>
      </c>
      <c r="F299" s="502"/>
      <c r="G299" s="502"/>
      <c r="H299" s="502"/>
      <c r="I299" s="502"/>
      <c r="J299" s="95" t="s">
        <v>114</v>
      </c>
      <c r="K299" s="502"/>
      <c r="L299" s="96" t="s">
        <v>60</v>
      </c>
      <c r="N299" s="579" t="s">
        <v>5347</v>
      </c>
      <c r="O299" s="96" t="s">
        <v>5350</v>
      </c>
      <c r="P299" s="75">
        <v>32025.0</v>
      </c>
      <c r="Q299" s="81" t="str">
        <f t="shared" si="16"/>
        <v>#VALUE!</v>
      </c>
      <c r="R299" s="95">
        <f t="shared" si="17"/>
        <v>38</v>
      </c>
      <c r="S299" s="95" t="s">
        <v>3642</v>
      </c>
      <c r="T299" s="505"/>
      <c r="U299" s="510" t="s">
        <v>379</v>
      </c>
      <c r="V299" s="502"/>
      <c r="W299" s="502"/>
      <c r="X299" s="95" t="s">
        <v>186</v>
      </c>
      <c r="Y299" s="95" t="s">
        <v>183</v>
      </c>
      <c r="Z299" s="96" t="s">
        <v>2482</v>
      </c>
      <c r="AA299" s="502"/>
      <c r="AB299" s="502"/>
      <c r="AC299" s="95" t="s">
        <v>3127</v>
      </c>
      <c r="AD299" s="508"/>
      <c r="AE299" s="95" t="s">
        <v>291</v>
      </c>
      <c r="AF299" s="413">
        <v>45980.0</v>
      </c>
      <c r="AG299" s="95" t="s">
        <v>759</v>
      </c>
      <c r="AH299" s="505"/>
      <c r="AI299" s="509"/>
      <c r="AJ299" s="509"/>
      <c r="AK299" s="509"/>
      <c r="AL299" s="509"/>
      <c r="AM299" s="509"/>
      <c r="AN299" s="509"/>
      <c r="AO299" s="509"/>
      <c r="AP299" s="509"/>
      <c r="AQ299" s="509"/>
      <c r="AR299" s="509"/>
      <c r="AS299" s="509"/>
      <c r="AT299" s="509"/>
    </row>
    <row r="300">
      <c r="A300" s="502"/>
      <c r="B300" s="577"/>
      <c r="C300" s="502"/>
      <c r="D300" s="502"/>
      <c r="E300" s="578">
        <v>45978.0</v>
      </c>
      <c r="F300" s="502"/>
      <c r="G300" s="502"/>
      <c r="H300" s="502"/>
      <c r="I300" s="502"/>
      <c r="J300" s="95" t="s">
        <v>114</v>
      </c>
      <c r="K300" s="502"/>
      <c r="L300" s="96" t="s">
        <v>60</v>
      </c>
      <c r="N300" s="579" t="s">
        <v>5365</v>
      </c>
      <c r="O300" s="96" t="s">
        <v>99</v>
      </c>
      <c r="P300" s="75">
        <v>30839.0</v>
      </c>
      <c r="Q300" s="594">
        <f t="shared" si="16"/>
        <v>30839</v>
      </c>
      <c r="R300" s="95">
        <f t="shared" si="17"/>
        <v>42</v>
      </c>
      <c r="S300" s="95">
        <v>3.083814793E9</v>
      </c>
      <c r="T300" s="505"/>
      <c r="U300" s="510" t="s">
        <v>379</v>
      </c>
      <c r="V300" s="502"/>
      <c r="W300" s="502"/>
      <c r="X300" s="95" t="s">
        <v>186</v>
      </c>
      <c r="Y300" s="95" t="s">
        <v>183</v>
      </c>
      <c r="Z300" s="96" t="s">
        <v>2482</v>
      </c>
      <c r="AA300" s="502"/>
      <c r="AB300" s="502"/>
      <c r="AC300" s="95" t="s">
        <v>3127</v>
      </c>
      <c r="AD300" s="508"/>
      <c r="AE300" s="95" t="s">
        <v>291</v>
      </c>
      <c r="AF300" s="413">
        <v>45980.0</v>
      </c>
      <c r="AG300" s="95" t="s">
        <v>759</v>
      </c>
      <c r="AH300" s="504"/>
      <c r="AI300" s="509"/>
      <c r="AJ300" s="509"/>
      <c r="AK300" s="509"/>
      <c r="AL300" s="509"/>
      <c r="AM300" s="509"/>
      <c r="AN300" s="509"/>
      <c r="AO300" s="509"/>
      <c r="AP300" s="509"/>
      <c r="AQ300" s="509"/>
      <c r="AR300" s="509"/>
      <c r="AS300" s="509"/>
      <c r="AT300" s="509"/>
    </row>
    <row r="301">
      <c r="A301" s="502"/>
      <c r="B301" s="577"/>
      <c r="C301" s="502"/>
      <c r="D301" s="502"/>
      <c r="E301" s="578">
        <v>45978.0</v>
      </c>
      <c r="F301" s="502"/>
      <c r="G301" s="502"/>
      <c r="H301" s="502"/>
      <c r="I301" s="502"/>
      <c r="J301" s="95" t="s">
        <v>114</v>
      </c>
      <c r="K301" s="502"/>
      <c r="L301" s="96" t="s">
        <v>60</v>
      </c>
      <c r="N301" s="579" t="s">
        <v>5386</v>
      </c>
      <c r="O301" s="96" t="s">
        <v>5387</v>
      </c>
      <c r="P301" s="75">
        <v>27782.0</v>
      </c>
      <c r="Q301" s="594">
        <f t="shared" si="16"/>
        <v>27782</v>
      </c>
      <c r="R301" s="95">
        <f t="shared" si="17"/>
        <v>50</v>
      </c>
      <c r="S301" s="95">
        <v>2.778102358E9</v>
      </c>
      <c r="T301" s="505"/>
      <c r="U301" s="510" t="s">
        <v>379</v>
      </c>
      <c r="V301" s="502"/>
      <c r="W301" s="502"/>
      <c r="X301" s="95" t="s">
        <v>186</v>
      </c>
      <c r="Y301" s="95" t="s">
        <v>183</v>
      </c>
      <c r="Z301" s="96" t="s">
        <v>2482</v>
      </c>
      <c r="AA301" s="502"/>
      <c r="AB301" s="502"/>
      <c r="AC301" s="95" t="s">
        <v>3127</v>
      </c>
      <c r="AD301" s="508"/>
      <c r="AE301" s="95" t="s">
        <v>291</v>
      </c>
      <c r="AF301" s="413">
        <v>45980.0</v>
      </c>
      <c r="AG301" s="95" t="s">
        <v>759</v>
      </c>
      <c r="AH301" s="95" t="s">
        <v>3127</v>
      </c>
      <c r="AI301" s="509"/>
      <c r="AJ301" s="509"/>
      <c r="AK301" s="509"/>
      <c r="AL301" s="509"/>
      <c r="AM301" s="509"/>
      <c r="AN301" s="509"/>
      <c r="AO301" s="509"/>
      <c r="AP301" s="509"/>
      <c r="AQ301" s="509"/>
      <c r="AR301" s="509"/>
      <c r="AS301" s="509"/>
      <c r="AT301" s="509"/>
    </row>
    <row r="302">
      <c r="A302" s="502"/>
      <c r="B302" s="128" t="s">
        <v>145</v>
      </c>
      <c r="C302" s="502"/>
      <c r="D302" s="502"/>
      <c r="E302" s="502"/>
      <c r="F302" s="502"/>
      <c r="G302" s="502"/>
      <c r="H302" s="502"/>
      <c r="I302" s="502"/>
      <c r="J302" s="95" t="s">
        <v>114</v>
      </c>
      <c r="K302" s="502"/>
      <c r="L302" s="96" t="s">
        <v>60</v>
      </c>
      <c r="N302" s="95" t="s">
        <v>5408</v>
      </c>
      <c r="O302" s="95" t="s">
        <v>65</v>
      </c>
      <c r="P302" s="504"/>
      <c r="Q302" s="502"/>
      <c r="R302" s="502"/>
      <c r="S302" s="505"/>
      <c r="T302" s="505"/>
      <c r="U302" s="510" t="s">
        <v>379</v>
      </c>
      <c r="V302" s="502"/>
      <c r="W302" s="502"/>
      <c r="X302" s="95" t="s">
        <v>145</v>
      </c>
      <c r="Y302" s="95" t="s">
        <v>183</v>
      </c>
      <c r="Z302" s="598" t="s">
        <v>1725</v>
      </c>
      <c r="AA302" s="95" t="s">
        <v>185</v>
      </c>
      <c r="AB302" s="502"/>
      <c r="AC302" s="502"/>
      <c r="AD302" s="95" t="s">
        <v>5418</v>
      </c>
      <c r="AE302" s="95" t="s">
        <v>3482</v>
      </c>
      <c r="AF302" s="95" t="s">
        <v>3483</v>
      </c>
      <c r="AG302" s="516"/>
      <c r="AH302" s="505"/>
      <c r="AI302" s="509"/>
      <c r="AJ302" s="509"/>
      <c r="AK302" s="509"/>
      <c r="AL302" s="509"/>
      <c r="AM302" s="509"/>
      <c r="AN302" s="509"/>
      <c r="AO302" s="509"/>
      <c r="AP302" s="509"/>
      <c r="AQ302" s="509"/>
      <c r="AR302" s="509"/>
      <c r="AS302" s="509"/>
      <c r="AT302" s="509"/>
    </row>
    <row r="303">
      <c r="A303" s="64"/>
      <c r="B303" s="218" t="s">
        <v>145</v>
      </c>
      <c r="C303" s="68"/>
      <c r="D303" s="64"/>
      <c r="E303" s="537" t="s">
        <v>5424</v>
      </c>
      <c r="F303" s="64"/>
      <c r="G303" s="64"/>
      <c r="H303" s="64"/>
      <c r="I303" s="64"/>
      <c r="J303" s="83" t="s">
        <v>114</v>
      </c>
      <c r="K303" s="239"/>
      <c r="L303" s="170" t="s">
        <v>60</v>
      </c>
      <c r="N303" s="319" t="s">
        <v>5426</v>
      </c>
      <c r="O303" s="170" t="s">
        <v>5428</v>
      </c>
      <c r="P303" s="602">
        <v>34771.0</v>
      </c>
      <c r="Q303" s="81">
        <f t="shared" ref="Q303:Q316" si="18">VALUE(LEFT(TEXT(S303,0),5))+1</f>
        <v>34771</v>
      </c>
      <c r="R303" s="68">
        <f t="shared" ref="R303:R316" si="19">DATEDIF($P303,TODAY(),"Y")</f>
        <v>31</v>
      </c>
      <c r="S303" s="81">
        <v>3.477011896E9</v>
      </c>
      <c r="T303" s="81"/>
      <c r="U303" s="83" t="s">
        <v>368</v>
      </c>
      <c r="V303" s="64"/>
      <c r="W303" s="83"/>
      <c r="X303" s="83" t="s">
        <v>145</v>
      </c>
      <c r="Y303" s="68" t="s">
        <v>183</v>
      </c>
      <c r="Z303" s="419" t="s">
        <v>1725</v>
      </c>
      <c r="AA303" s="83" t="s">
        <v>185</v>
      </c>
      <c r="AB303" s="68"/>
      <c r="AC303" s="68"/>
      <c r="AD303" s="169"/>
      <c r="AE303" s="83"/>
      <c r="AF303" s="68"/>
      <c r="AG303" s="83" t="s">
        <v>375</v>
      </c>
      <c r="AH303" s="385">
        <v>46029.0</v>
      </c>
      <c r="AI303" s="61"/>
      <c r="AJ303" s="61"/>
      <c r="AK303" s="61"/>
      <c r="AL303" s="61"/>
      <c r="AM303" s="61"/>
      <c r="AN303" s="61"/>
      <c r="AO303" s="61"/>
      <c r="AP303" s="61"/>
      <c r="AQ303" s="61"/>
      <c r="AR303" s="61"/>
      <c r="AS303" s="61"/>
      <c r="AT303" s="61"/>
    </row>
    <row r="304">
      <c r="A304" s="502"/>
      <c r="B304" s="128" t="s">
        <v>145</v>
      </c>
      <c r="C304" s="502"/>
      <c r="D304" s="502"/>
      <c r="E304" s="107" t="s">
        <v>5455</v>
      </c>
      <c r="F304" s="502"/>
      <c r="G304" s="502"/>
      <c r="H304" s="502"/>
      <c r="I304" s="502"/>
      <c r="J304" s="95" t="s">
        <v>114</v>
      </c>
      <c r="K304" s="502"/>
      <c r="L304" s="96" t="s">
        <v>60</v>
      </c>
      <c r="N304" s="138" t="s">
        <v>5458</v>
      </c>
      <c r="O304" s="96" t="s">
        <v>5460</v>
      </c>
      <c r="P304" s="75">
        <v>30679.0</v>
      </c>
      <c r="Q304" s="594">
        <f t="shared" si="18"/>
        <v>30679</v>
      </c>
      <c r="R304" s="95">
        <f t="shared" si="19"/>
        <v>42</v>
      </c>
      <c r="S304" s="81">
        <v>3.067803338E9</v>
      </c>
      <c r="T304" s="505"/>
      <c r="U304" s="140" t="s">
        <v>368</v>
      </c>
      <c r="V304" s="502"/>
      <c r="W304" s="502"/>
      <c r="X304" s="95" t="s">
        <v>145</v>
      </c>
      <c r="Y304" s="95" t="s">
        <v>183</v>
      </c>
      <c r="Z304" s="606" t="s">
        <v>991</v>
      </c>
      <c r="AA304" s="95" t="s">
        <v>185</v>
      </c>
      <c r="AB304" s="502"/>
      <c r="AC304" s="502"/>
      <c r="AD304" s="508"/>
      <c r="AE304" s="502"/>
      <c r="AF304" s="502"/>
      <c r="AG304" s="95" t="s">
        <v>375</v>
      </c>
      <c r="AH304" s="81">
        <v>46017.0</v>
      </c>
      <c r="AI304" s="509"/>
      <c r="AJ304" s="509"/>
      <c r="AK304" s="509"/>
      <c r="AL304" s="509"/>
      <c r="AM304" s="509"/>
      <c r="AN304" s="509"/>
      <c r="AO304" s="509"/>
      <c r="AP304" s="509"/>
      <c r="AQ304" s="509"/>
      <c r="AR304" s="509"/>
      <c r="AS304" s="509"/>
      <c r="AT304" s="509"/>
    </row>
    <row r="305">
      <c r="A305" s="502"/>
      <c r="B305" s="128" t="s">
        <v>145</v>
      </c>
      <c r="C305" s="502"/>
      <c r="D305" s="502"/>
      <c r="E305" s="107" t="s">
        <v>5473</v>
      </c>
      <c r="F305" s="502"/>
      <c r="G305" s="502"/>
      <c r="H305" s="502"/>
      <c r="I305" s="502"/>
      <c r="J305" s="95" t="s">
        <v>114</v>
      </c>
      <c r="K305" s="535" t="s">
        <v>5477</v>
      </c>
      <c r="L305" s="96" t="s">
        <v>60</v>
      </c>
      <c r="N305" s="138" t="s">
        <v>5478</v>
      </c>
      <c r="O305" s="95" t="s">
        <v>5480</v>
      </c>
      <c r="P305" s="75">
        <v>34216.0</v>
      </c>
      <c r="Q305" s="594">
        <f t="shared" si="18"/>
        <v>34216</v>
      </c>
      <c r="R305" s="95">
        <f t="shared" si="19"/>
        <v>32</v>
      </c>
      <c r="S305" s="95">
        <v>3.421505614E9</v>
      </c>
      <c r="T305" s="505"/>
      <c r="U305" s="140" t="s">
        <v>368</v>
      </c>
      <c r="V305" s="502"/>
      <c r="W305" s="502"/>
      <c r="X305" s="95" t="s">
        <v>145</v>
      </c>
      <c r="Y305" s="95" t="s">
        <v>371</v>
      </c>
      <c r="Z305" s="95" t="s">
        <v>146</v>
      </c>
      <c r="AA305" s="95" t="s">
        <v>185</v>
      </c>
      <c r="AB305" s="502"/>
      <c r="AC305" s="502"/>
      <c r="AD305" s="508"/>
      <c r="AE305" s="502"/>
      <c r="AF305" s="502"/>
      <c r="AG305" s="95" t="s">
        <v>375</v>
      </c>
      <c r="AH305" s="81">
        <v>45989.0</v>
      </c>
      <c r="AI305" s="509"/>
      <c r="AJ305" s="509"/>
      <c r="AK305" s="509"/>
      <c r="AL305" s="509"/>
      <c r="AM305" s="509"/>
      <c r="AN305" s="509"/>
      <c r="AO305" s="509"/>
      <c r="AP305" s="509"/>
      <c r="AQ305" s="509"/>
      <c r="AR305" s="509"/>
      <c r="AS305" s="509"/>
      <c r="AT305" s="509"/>
    </row>
    <row r="306">
      <c r="A306" s="64"/>
      <c r="B306" s="196"/>
      <c r="C306" s="68"/>
      <c r="D306" s="64"/>
      <c r="E306" s="607">
        <v>45975.0</v>
      </c>
      <c r="F306" s="64"/>
      <c r="G306" s="64"/>
      <c r="H306" s="64"/>
      <c r="I306" s="64"/>
      <c r="J306" s="83" t="s">
        <v>114</v>
      </c>
      <c r="K306" s="378" t="s">
        <v>5502</v>
      </c>
      <c r="L306" s="170" t="s">
        <v>60</v>
      </c>
      <c r="N306" s="68" t="s">
        <v>5503</v>
      </c>
      <c r="O306" s="170" t="s">
        <v>5504</v>
      </c>
      <c r="P306" s="385">
        <v>29688.0</v>
      </c>
      <c r="Q306" s="81" t="str">
        <f t="shared" si="18"/>
        <v>#VALUE!</v>
      </c>
      <c r="R306" s="64">
        <f t="shared" si="19"/>
        <v>45</v>
      </c>
      <c r="S306" s="83" t="s">
        <v>3642</v>
      </c>
      <c r="T306" s="81"/>
      <c r="U306" s="83" t="s">
        <v>379</v>
      </c>
      <c r="V306" s="64"/>
      <c r="W306" s="83"/>
      <c r="X306" s="83"/>
      <c r="Y306" s="68" t="s">
        <v>183</v>
      </c>
      <c r="Z306" s="419" t="s">
        <v>1725</v>
      </c>
      <c r="AA306" s="83" t="s">
        <v>114</v>
      </c>
      <c r="AB306" s="68"/>
      <c r="AC306" s="68"/>
      <c r="AD306" s="169"/>
      <c r="AE306" s="83" t="s">
        <v>3482</v>
      </c>
      <c r="AF306" s="83" t="s">
        <v>3483</v>
      </c>
      <c r="AG306" s="83"/>
      <c r="AH306" s="83"/>
      <c r="AI306" s="61"/>
      <c r="AJ306" s="61"/>
      <c r="AK306" s="61"/>
      <c r="AL306" s="61"/>
      <c r="AM306" s="61"/>
      <c r="AN306" s="61"/>
      <c r="AO306" s="61"/>
      <c r="AP306" s="61"/>
      <c r="AQ306" s="61"/>
      <c r="AR306" s="61"/>
      <c r="AS306" s="61"/>
      <c r="AT306" s="61"/>
    </row>
    <row r="307">
      <c r="A307" s="64"/>
      <c r="B307" s="218" t="s">
        <v>145</v>
      </c>
      <c r="C307" s="68"/>
      <c r="D307" s="64"/>
      <c r="E307" s="607">
        <v>45975.0</v>
      </c>
      <c r="F307" s="64"/>
      <c r="G307" s="64"/>
      <c r="H307" s="64"/>
      <c r="I307" s="64"/>
      <c r="J307" s="83" t="s">
        <v>114</v>
      </c>
      <c r="K307" s="239"/>
      <c r="L307" s="170" t="s">
        <v>60</v>
      </c>
      <c r="N307" s="68" t="s">
        <v>5522</v>
      </c>
      <c r="O307" s="170" t="s">
        <v>1391</v>
      </c>
      <c r="P307" s="385">
        <v>33586.0</v>
      </c>
      <c r="Q307" s="81" t="str">
        <f t="shared" si="18"/>
        <v>#VALUE!</v>
      </c>
      <c r="R307" s="64">
        <f t="shared" si="19"/>
        <v>34</v>
      </c>
      <c r="S307" s="83" t="s">
        <v>3642</v>
      </c>
      <c r="T307" s="81"/>
      <c r="U307" s="83" t="s">
        <v>379</v>
      </c>
      <c r="V307" s="64"/>
      <c r="W307" s="83"/>
      <c r="X307" s="83" t="s">
        <v>145</v>
      </c>
      <c r="Y307" s="68" t="s">
        <v>183</v>
      </c>
      <c r="Z307" s="419" t="s">
        <v>1725</v>
      </c>
      <c r="AA307" s="83" t="s">
        <v>114</v>
      </c>
      <c r="AB307" s="68"/>
      <c r="AC307" s="83" t="s">
        <v>632</v>
      </c>
      <c r="AD307" s="83" t="s">
        <v>632</v>
      </c>
      <c r="AE307" s="83" t="s">
        <v>291</v>
      </c>
      <c r="AF307" s="83" t="s">
        <v>4767</v>
      </c>
      <c r="AG307" s="83"/>
      <c r="AH307" s="170" t="s">
        <v>5531</v>
      </c>
      <c r="AI307" s="61"/>
      <c r="AJ307" s="61"/>
      <c r="AK307" s="61"/>
      <c r="AL307" s="61"/>
      <c r="AM307" s="61"/>
      <c r="AN307" s="61"/>
      <c r="AO307" s="61"/>
      <c r="AP307" s="61"/>
      <c r="AQ307" s="61"/>
      <c r="AR307" s="61"/>
      <c r="AS307" s="61"/>
      <c r="AT307" s="61"/>
    </row>
    <row r="308">
      <c r="A308" s="64"/>
      <c r="B308" s="218" t="s">
        <v>145</v>
      </c>
      <c r="C308" s="68"/>
      <c r="D308" s="64"/>
      <c r="E308" s="537" t="s">
        <v>5535</v>
      </c>
      <c r="F308" s="64"/>
      <c r="G308" s="64"/>
      <c r="H308" s="64"/>
      <c r="I308" s="64"/>
      <c r="J308" s="83" t="s">
        <v>114</v>
      </c>
      <c r="K308" s="373"/>
      <c r="L308" s="171" t="s">
        <v>60</v>
      </c>
      <c r="N308" s="319" t="s">
        <v>5537</v>
      </c>
      <c r="O308" s="73" t="s">
        <v>2121</v>
      </c>
      <c r="P308" s="385">
        <v>30807.0</v>
      </c>
      <c r="Q308" s="81" t="str">
        <f t="shared" si="18"/>
        <v>#VALUE!</v>
      </c>
      <c r="R308" s="68">
        <f t="shared" si="19"/>
        <v>42</v>
      </c>
      <c r="S308" s="83" t="s">
        <v>3642</v>
      </c>
      <c r="T308" s="81"/>
      <c r="U308" s="83" t="s">
        <v>379</v>
      </c>
      <c r="V308" s="64"/>
      <c r="W308" s="83"/>
      <c r="X308" s="83" t="s">
        <v>145</v>
      </c>
      <c r="Y308" s="68" t="s">
        <v>183</v>
      </c>
      <c r="Z308" s="419" t="s">
        <v>1725</v>
      </c>
      <c r="AA308" s="83" t="s">
        <v>114</v>
      </c>
      <c r="AB308" s="68"/>
      <c r="AC308" s="68"/>
      <c r="AD308" s="169"/>
      <c r="AE308" s="83" t="s">
        <v>291</v>
      </c>
      <c r="AF308" s="83" t="s">
        <v>5547</v>
      </c>
      <c r="AG308" s="95"/>
      <c r="AH308" s="75"/>
      <c r="AI308" s="61"/>
      <c r="AJ308" s="61"/>
      <c r="AK308" s="61"/>
      <c r="AL308" s="61"/>
      <c r="AM308" s="61"/>
      <c r="AN308" s="61"/>
      <c r="AO308" s="61"/>
      <c r="AP308" s="61"/>
      <c r="AQ308" s="61"/>
      <c r="AR308" s="61"/>
      <c r="AS308" s="61"/>
      <c r="AT308" s="61"/>
    </row>
    <row r="309">
      <c r="A309" s="64"/>
      <c r="B309" s="218" t="s">
        <v>145</v>
      </c>
      <c r="C309" s="68"/>
      <c r="D309" s="64"/>
      <c r="E309" s="612" t="s">
        <v>5551</v>
      </c>
      <c r="F309" s="64"/>
      <c r="G309" s="64"/>
      <c r="H309" s="64"/>
      <c r="I309" s="64"/>
      <c r="J309" s="83" t="s">
        <v>114</v>
      </c>
      <c r="K309" s="373"/>
      <c r="L309" s="171" t="s">
        <v>60</v>
      </c>
      <c r="N309" s="331" t="s">
        <v>5555</v>
      </c>
      <c r="O309" s="170" t="s">
        <v>5556</v>
      </c>
      <c r="P309" s="385">
        <v>31203.0</v>
      </c>
      <c r="Q309" s="81" t="str">
        <f t="shared" si="18"/>
        <v>#VALUE!</v>
      </c>
      <c r="R309" s="68">
        <f t="shared" si="19"/>
        <v>41</v>
      </c>
      <c r="S309" s="83" t="s">
        <v>3642</v>
      </c>
      <c r="T309" s="81"/>
      <c r="U309" s="83" t="s">
        <v>368</v>
      </c>
      <c r="V309" s="64"/>
      <c r="W309" s="68"/>
      <c r="X309" s="83" t="s">
        <v>145</v>
      </c>
      <c r="Y309" s="68" t="s">
        <v>183</v>
      </c>
      <c r="Z309" s="383" t="s">
        <v>991</v>
      </c>
      <c r="AA309" s="83" t="s">
        <v>185</v>
      </c>
      <c r="AB309" s="68"/>
      <c r="AC309" s="68"/>
      <c r="AD309" s="169"/>
      <c r="AE309" s="83"/>
      <c r="AF309" s="83"/>
      <c r="AG309" s="83" t="s">
        <v>375</v>
      </c>
      <c r="AH309" s="202">
        <v>46000.0</v>
      </c>
      <c r="AI309" s="61"/>
      <c r="AJ309" s="61"/>
      <c r="AK309" s="61"/>
      <c r="AL309" s="61"/>
      <c r="AM309" s="61"/>
      <c r="AN309" s="61"/>
      <c r="AO309" s="61"/>
      <c r="AP309" s="61"/>
      <c r="AQ309" s="61"/>
      <c r="AR309" s="61"/>
      <c r="AS309" s="61"/>
      <c r="AT309" s="61"/>
    </row>
    <row r="310">
      <c r="A310" s="64"/>
      <c r="B310" s="218" t="s">
        <v>145</v>
      </c>
      <c r="C310" s="68"/>
      <c r="D310" s="64"/>
      <c r="E310" s="612" t="s">
        <v>5568</v>
      </c>
      <c r="F310" s="64"/>
      <c r="G310" s="64"/>
      <c r="H310" s="64"/>
      <c r="I310" s="64"/>
      <c r="J310" s="83" t="s">
        <v>114</v>
      </c>
      <c r="K310" s="424"/>
      <c r="L310" s="73" t="s">
        <v>60</v>
      </c>
      <c r="N310" s="331" t="s">
        <v>5574</v>
      </c>
      <c r="O310" s="73" t="s">
        <v>5575</v>
      </c>
      <c r="P310" s="83" t="s">
        <v>3642</v>
      </c>
      <c r="Q310" s="81" t="str">
        <f t="shared" si="18"/>
        <v>#VALUE!</v>
      </c>
      <c r="R310" s="68" t="str">
        <f t="shared" si="19"/>
        <v>#VALUE!</v>
      </c>
      <c r="S310" s="83" t="s">
        <v>3642</v>
      </c>
      <c r="T310" s="83"/>
      <c r="U310" s="83" t="s">
        <v>368</v>
      </c>
      <c r="V310" s="64"/>
      <c r="W310" s="83"/>
      <c r="X310" s="83" t="s">
        <v>145</v>
      </c>
      <c r="Y310" s="68" t="s">
        <v>183</v>
      </c>
      <c r="Z310" s="73"/>
      <c r="AA310" s="83" t="s">
        <v>185</v>
      </c>
      <c r="AB310" s="68"/>
      <c r="AC310" s="83" t="s">
        <v>2451</v>
      </c>
      <c r="AD310" s="83" t="s">
        <v>2451</v>
      </c>
      <c r="AE310" s="83"/>
      <c r="AF310" s="464"/>
      <c r="AG310" s="83" t="s">
        <v>375</v>
      </c>
      <c r="AH310" s="385">
        <v>45996.0</v>
      </c>
      <c r="AI310" s="61"/>
      <c r="AJ310" s="61"/>
      <c r="AK310" s="61"/>
      <c r="AL310" s="61"/>
      <c r="AM310" s="61"/>
      <c r="AN310" s="61"/>
      <c r="AO310" s="61"/>
      <c r="AP310" s="61"/>
      <c r="AQ310" s="61"/>
      <c r="AR310" s="61"/>
      <c r="AS310" s="61"/>
      <c r="AT310" s="61"/>
    </row>
    <row r="311">
      <c r="A311" s="502"/>
      <c r="B311" s="128" t="s">
        <v>145</v>
      </c>
      <c r="C311" s="502"/>
      <c r="D311" s="502"/>
      <c r="E311" s="107" t="s">
        <v>5589</v>
      </c>
      <c r="F311" s="502"/>
      <c r="G311" s="502"/>
      <c r="H311" s="502"/>
      <c r="I311" s="502"/>
      <c r="J311" s="95" t="s">
        <v>114</v>
      </c>
      <c r="K311" s="535" t="s">
        <v>5592</v>
      </c>
      <c r="L311" s="96" t="s">
        <v>60</v>
      </c>
      <c r="N311" s="138" t="s">
        <v>5593</v>
      </c>
      <c r="O311" s="95" t="s">
        <v>5596</v>
      </c>
      <c r="P311" s="75">
        <v>32162.0</v>
      </c>
      <c r="Q311" s="81" t="str">
        <f t="shared" si="18"/>
        <v>#VALUE!</v>
      </c>
      <c r="R311" s="95">
        <f t="shared" si="19"/>
        <v>38</v>
      </c>
      <c r="S311" s="95" t="s">
        <v>3642</v>
      </c>
      <c r="T311" s="505"/>
      <c r="U311" s="140" t="s">
        <v>368</v>
      </c>
      <c r="V311" s="502"/>
      <c r="W311" s="502"/>
      <c r="X311" s="95" t="s">
        <v>145</v>
      </c>
      <c r="Y311" s="95" t="s">
        <v>183</v>
      </c>
      <c r="Z311" s="606" t="s">
        <v>991</v>
      </c>
      <c r="AA311" s="95" t="s">
        <v>185</v>
      </c>
      <c r="AB311" s="502"/>
      <c r="AC311" s="502"/>
      <c r="AD311" s="508"/>
      <c r="AE311" s="502"/>
      <c r="AF311" s="502"/>
      <c r="AG311" s="95" t="s">
        <v>375</v>
      </c>
      <c r="AH311" s="81">
        <v>46004.0</v>
      </c>
      <c r="AI311" s="509"/>
      <c r="AJ311" s="509"/>
      <c r="AK311" s="509"/>
      <c r="AL311" s="509"/>
      <c r="AM311" s="509"/>
      <c r="AN311" s="509"/>
      <c r="AO311" s="509"/>
      <c r="AP311" s="509"/>
      <c r="AQ311" s="509"/>
      <c r="AR311" s="509"/>
      <c r="AS311" s="509"/>
      <c r="AT311" s="509"/>
    </row>
    <row r="312">
      <c r="A312" s="502"/>
      <c r="B312" s="128" t="s">
        <v>145</v>
      </c>
      <c r="C312" s="502"/>
      <c r="D312" s="502"/>
      <c r="E312" s="107" t="s">
        <v>5609</v>
      </c>
      <c r="F312" s="502"/>
      <c r="G312" s="502"/>
      <c r="H312" s="502"/>
      <c r="I312" s="502"/>
      <c r="J312" s="95" t="s">
        <v>114</v>
      </c>
      <c r="K312" s="535" t="s">
        <v>5611</v>
      </c>
      <c r="L312" s="96" t="s">
        <v>60</v>
      </c>
      <c r="N312" s="138" t="s">
        <v>5613</v>
      </c>
      <c r="O312" s="95" t="s">
        <v>2145</v>
      </c>
      <c r="P312" s="75">
        <v>35226.0</v>
      </c>
      <c r="Q312" s="594">
        <f t="shared" si="18"/>
        <v>35226</v>
      </c>
      <c r="R312" s="95">
        <f t="shared" si="19"/>
        <v>30</v>
      </c>
      <c r="S312" s="95">
        <v>3.522512357E9</v>
      </c>
      <c r="T312" s="505"/>
      <c r="U312" s="140" t="s">
        <v>368</v>
      </c>
      <c r="V312" s="502"/>
      <c r="W312" s="502"/>
      <c r="X312" s="95" t="s">
        <v>145</v>
      </c>
      <c r="Y312" s="95" t="s">
        <v>183</v>
      </c>
      <c r="Z312" s="598" t="s">
        <v>991</v>
      </c>
      <c r="AA312" s="95" t="s">
        <v>114</v>
      </c>
      <c r="AB312" s="502"/>
      <c r="AC312" s="502"/>
      <c r="AD312" s="508"/>
      <c r="AE312" s="502"/>
      <c r="AF312" s="502"/>
      <c r="AG312" s="95" t="s">
        <v>375</v>
      </c>
      <c r="AH312" s="81">
        <v>46008.0</v>
      </c>
      <c r="AI312" s="509"/>
      <c r="AJ312" s="509"/>
      <c r="AK312" s="509"/>
      <c r="AL312" s="509"/>
      <c r="AM312" s="509"/>
      <c r="AN312" s="509"/>
      <c r="AO312" s="509"/>
      <c r="AP312" s="509"/>
      <c r="AQ312" s="509"/>
      <c r="AR312" s="509"/>
      <c r="AS312" s="509"/>
      <c r="AT312" s="509"/>
    </row>
    <row r="313">
      <c r="A313" s="64"/>
      <c r="B313" s="204" t="s">
        <v>1009</v>
      </c>
      <c r="C313" s="64"/>
      <c r="D313" s="64"/>
      <c r="E313" s="218"/>
      <c r="F313" s="64"/>
      <c r="G313" s="64"/>
      <c r="H313" s="64"/>
      <c r="I313" s="64"/>
      <c r="J313" s="68" t="s">
        <v>114</v>
      </c>
      <c r="K313" s="424"/>
      <c r="L313" s="73" t="s">
        <v>60</v>
      </c>
      <c r="N313" s="68" t="s">
        <v>5624</v>
      </c>
      <c r="O313" s="270" t="s">
        <v>1960</v>
      </c>
      <c r="P313" s="602">
        <v>26571.0</v>
      </c>
      <c r="Q313" s="81">
        <f t="shared" si="18"/>
        <v>26571</v>
      </c>
      <c r="R313" s="68">
        <f t="shared" si="19"/>
        <v>53</v>
      </c>
      <c r="S313" s="81">
        <v>2.65700995E9</v>
      </c>
      <c r="T313" s="81"/>
      <c r="U313" s="329" t="s">
        <v>379</v>
      </c>
      <c r="V313" s="64"/>
      <c r="W313" s="64"/>
      <c r="X313" s="68"/>
      <c r="Y313" s="68"/>
      <c r="Z313" s="68"/>
      <c r="AA313" s="68"/>
      <c r="AB313" s="68"/>
      <c r="AC313" s="83"/>
      <c r="AD313" s="83" t="s">
        <v>1032</v>
      </c>
      <c r="AE313" s="83" t="s">
        <v>291</v>
      </c>
      <c r="AF313" s="170" t="s">
        <v>5635</v>
      </c>
      <c r="AG313" s="83"/>
      <c r="AH313" s="83"/>
      <c r="AI313" s="91"/>
      <c r="AJ313" s="91"/>
      <c r="AK313" s="91"/>
      <c r="AL313" s="91"/>
      <c r="AM313" s="91"/>
      <c r="AN313" s="91"/>
      <c r="AO313" s="91"/>
      <c r="AP313" s="91"/>
      <c r="AQ313" s="91"/>
      <c r="AR313" s="91"/>
      <c r="AS313" s="91"/>
      <c r="AT313" s="91"/>
    </row>
    <row r="314">
      <c r="A314" s="64"/>
      <c r="B314" s="231"/>
      <c r="C314" s="64"/>
      <c r="D314" s="64"/>
      <c r="E314" s="71"/>
      <c r="F314" s="64"/>
      <c r="G314" s="64"/>
      <c r="H314" s="64"/>
      <c r="I314" s="64"/>
      <c r="J314" s="83" t="s">
        <v>114</v>
      </c>
      <c r="K314" s="412" t="s">
        <v>5642</v>
      </c>
      <c r="L314" s="83" t="s">
        <v>60</v>
      </c>
      <c r="N314" s="414" t="s">
        <v>5644</v>
      </c>
      <c r="O314" s="83" t="s">
        <v>5645</v>
      </c>
      <c r="P314" s="602">
        <v>27888.0</v>
      </c>
      <c r="Q314" s="81">
        <f t="shared" si="18"/>
        <v>27888</v>
      </c>
      <c r="R314" s="68">
        <f t="shared" si="19"/>
        <v>50</v>
      </c>
      <c r="S314" s="81">
        <v>2.788703495E9</v>
      </c>
      <c r="T314" s="81"/>
      <c r="U314" s="83" t="s">
        <v>136</v>
      </c>
      <c r="V314" s="83"/>
      <c r="W314" s="83"/>
      <c r="X314" s="68" t="s">
        <v>186</v>
      </c>
      <c r="Y314" s="68" t="s">
        <v>1174</v>
      </c>
      <c r="Z314" s="170" t="s">
        <v>2482</v>
      </c>
      <c r="AA314" s="68"/>
      <c r="AB314" s="68"/>
      <c r="AC314" s="68"/>
      <c r="AD314" s="169"/>
      <c r="AE314" s="83"/>
      <c r="AF314" s="83" t="s">
        <v>4767</v>
      </c>
      <c r="AG314" s="83"/>
      <c r="AH314" s="170" t="s">
        <v>5652</v>
      </c>
      <c r="AI314" s="61"/>
      <c r="AJ314" s="61"/>
      <c r="AK314" s="61"/>
      <c r="AL314" s="61"/>
      <c r="AM314" s="61"/>
      <c r="AN314" s="61"/>
      <c r="AO314" s="61"/>
      <c r="AP314" s="61"/>
      <c r="AQ314" s="61"/>
      <c r="AR314" s="61"/>
      <c r="AS314" s="61"/>
      <c r="AT314" s="61"/>
    </row>
    <row r="315">
      <c r="A315" s="64"/>
      <c r="B315" s="218" t="s">
        <v>145</v>
      </c>
      <c r="C315" s="68"/>
      <c r="D315" s="68"/>
      <c r="E315" s="340" t="s">
        <v>5062</v>
      </c>
      <c r="F315" s="68"/>
      <c r="G315" s="68"/>
      <c r="H315" s="68"/>
      <c r="I315" s="68"/>
      <c r="J315" s="73" t="s">
        <v>114</v>
      </c>
      <c r="K315" s="471" t="s">
        <v>5657</v>
      </c>
      <c r="L315" s="73" t="s">
        <v>102</v>
      </c>
      <c r="N315" s="319" t="s">
        <v>5659</v>
      </c>
      <c r="O315" s="68" t="s">
        <v>5660</v>
      </c>
      <c r="P315" s="413">
        <v>33174.0</v>
      </c>
      <c r="Q315" s="81">
        <f t="shared" si="18"/>
        <v>33174</v>
      </c>
      <c r="R315" s="68">
        <f t="shared" si="19"/>
        <v>35</v>
      </c>
      <c r="S315" s="81">
        <v>3.317312753E9</v>
      </c>
      <c r="T315" s="81"/>
      <c r="U315" s="83" t="s">
        <v>393</v>
      </c>
      <c r="V315" s="68"/>
      <c r="W315" s="68"/>
      <c r="X315" s="83" t="s">
        <v>145</v>
      </c>
      <c r="Y315" s="68" t="s">
        <v>146</v>
      </c>
      <c r="Z315" s="68"/>
      <c r="AA315" s="83" t="s">
        <v>114</v>
      </c>
      <c r="AB315" s="68"/>
      <c r="AC315" s="83" t="s">
        <v>1032</v>
      </c>
      <c r="AD315" s="83" t="s">
        <v>1032</v>
      </c>
      <c r="AE315" s="68" t="s">
        <v>1136</v>
      </c>
      <c r="AF315" s="73" t="s">
        <v>155</v>
      </c>
      <c r="AG315" s="83" t="s">
        <v>351</v>
      </c>
      <c r="AH315" s="202">
        <v>45954.0</v>
      </c>
      <c r="AI315" s="203"/>
      <c r="AJ315" s="203"/>
      <c r="AK315" s="203"/>
      <c r="AL315" s="203"/>
      <c r="AM315" s="203"/>
      <c r="AN315" s="203"/>
      <c r="AO315" s="203"/>
      <c r="AP315" s="203"/>
      <c r="AQ315" s="203"/>
      <c r="AR315" s="203"/>
      <c r="AS315" s="203"/>
      <c r="AT315" s="203"/>
    </row>
    <row r="316">
      <c r="A316" s="64"/>
      <c r="B316" s="618" t="s">
        <v>5668</v>
      </c>
      <c r="C316" s="68"/>
      <c r="D316" s="68"/>
      <c r="E316" s="71"/>
      <c r="F316" s="68"/>
      <c r="G316" s="68"/>
      <c r="H316" s="68"/>
      <c r="I316" s="68"/>
      <c r="J316" s="68" t="s">
        <v>114</v>
      </c>
      <c r="K316" s="471" t="s">
        <v>5671</v>
      </c>
      <c r="L316" s="73" t="s">
        <v>60</v>
      </c>
      <c r="N316" s="68" t="s">
        <v>5432</v>
      </c>
      <c r="O316" s="73" t="s">
        <v>5433</v>
      </c>
      <c r="P316" s="103">
        <v>31326.0</v>
      </c>
      <c r="Q316" s="81">
        <f t="shared" si="18"/>
        <v>31326</v>
      </c>
      <c r="R316" s="68">
        <f t="shared" si="19"/>
        <v>40</v>
      </c>
      <c r="S316" s="81">
        <v>3.132512799E9</v>
      </c>
      <c r="T316" s="81"/>
      <c r="U316" s="83" t="s">
        <v>393</v>
      </c>
      <c r="V316" s="64"/>
      <c r="W316" s="170"/>
      <c r="X316" s="83" t="s">
        <v>186</v>
      </c>
      <c r="Y316" s="68" t="s">
        <v>1174</v>
      </c>
      <c r="Z316" s="205" t="s">
        <v>184</v>
      </c>
      <c r="AA316" s="206" t="s">
        <v>1030</v>
      </c>
      <c r="AB316" s="83" t="s">
        <v>192</v>
      </c>
      <c r="AC316" s="83" t="s">
        <v>150</v>
      </c>
      <c r="AD316" s="83" t="s">
        <v>150</v>
      </c>
      <c r="AE316" s="83" t="s">
        <v>1136</v>
      </c>
      <c r="AF316" s="83" t="s">
        <v>155</v>
      </c>
      <c r="AG316" s="83" t="s">
        <v>351</v>
      </c>
      <c r="AH316" s="83" t="s">
        <v>5682</v>
      </c>
      <c r="AI316" s="61"/>
      <c r="AJ316" s="61"/>
      <c r="AK316" s="61"/>
      <c r="AL316" s="61"/>
      <c r="AM316" s="61"/>
      <c r="AN316" s="61"/>
      <c r="AO316" s="61"/>
      <c r="AP316" s="61"/>
      <c r="AQ316" s="61"/>
      <c r="AR316" s="61"/>
      <c r="AS316" s="61"/>
      <c r="AT316" s="61"/>
    </row>
    <row r="317">
      <c r="A317" s="64">
        <v>39.0</v>
      </c>
      <c r="B317" s="283" t="s">
        <v>1039</v>
      </c>
      <c r="C317" s="284" t="s">
        <v>121</v>
      </c>
      <c r="D317" s="284" t="s">
        <v>121</v>
      </c>
      <c r="E317" s="454" t="s">
        <v>295</v>
      </c>
      <c r="F317" s="254" t="s">
        <v>1241</v>
      </c>
      <c r="G317" s="68" t="s">
        <v>60</v>
      </c>
      <c r="H317" s="171" t="s">
        <v>1221</v>
      </c>
      <c r="I317" s="622"/>
      <c r="J317" s="622"/>
      <c r="K317" s="622"/>
      <c r="L317" s="180" t="s">
        <v>60</v>
      </c>
      <c r="N317" s="433" t="s">
        <v>5693</v>
      </c>
      <c r="O317" s="622"/>
      <c r="P317" s="622"/>
      <c r="Q317" s="622"/>
      <c r="R317" s="622"/>
      <c r="S317" s="622"/>
      <c r="T317" s="622"/>
      <c r="U317" s="83" t="s">
        <v>379</v>
      </c>
      <c r="V317" s="622"/>
      <c r="W317" s="622"/>
      <c r="X317" s="622"/>
      <c r="Y317" s="622"/>
      <c r="Z317" s="622"/>
      <c r="AA317" s="622"/>
      <c r="AB317" s="622"/>
      <c r="AC317" s="417" t="s">
        <v>630</v>
      </c>
      <c r="AD317" s="83" t="s">
        <v>632</v>
      </c>
      <c r="AE317" s="83" t="s">
        <v>632</v>
      </c>
      <c r="AF317" s="417" t="s">
        <v>630</v>
      </c>
      <c r="AG317" s="622"/>
      <c r="AH317" s="622"/>
      <c r="AI317" s="203"/>
      <c r="AJ317" s="203"/>
      <c r="AK317" s="203"/>
      <c r="AL317" s="203"/>
      <c r="AM317" s="203"/>
      <c r="AN317" s="203"/>
      <c r="AO317" s="203"/>
      <c r="AP317" s="203"/>
      <c r="AQ317" s="203"/>
      <c r="AR317" s="203"/>
      <c r="AS317" s="203"/>
      <c r="AT317" s="203"/>
    </row>
    <row r="318">
      <c r="A318" s="64">
        <v>53.0</v>
      </c>
      <c r="B318" s="163" t="s">
        <v>1039</v>
      </c>
      <c r="C318" s="64" t="s">
        <v>1269</v>
      </c>
      <c r="D318" s="64" t="s">
        <v>1494</v>
      </c>
      <c r="E318" s="452" t="s">
        <v>302</v>
      </c>
      <c r="F318" s="254" t="s">
        <v>1404</v>
      </c>
      <c r="G318" s="68" t="s">
        <v>326</v>
      </c>
      <c r="H318" s="171" t="s">
        <v>1221</v>
      </c>
      <c r="I318" s="622"/>
      <c r="J318" s="622"/>
      <c r="K318" s="622"/>
      <c r="L318" s="280" t="s">
        <v>60</v>
      </c>
      <c r="N318" s="433" t="s">
        <v>5705</v>
      </c>
      <c r="O318" s="622"/>
      <c r="P318" s="622"/>
      <c r="Q318" s="622"/>
      <c r="R318" s="622"/>
      <c r="S318" s="622"/>
      <c r="T318" s="622"/>
      <c r="U318" s="83" t="s">
        <v>379</v>
      </c>
      <c r="V318" s="68"/>
      <c r="W318" s="68"/>
      <c r="X318" s="68"/>
      <c r="Y318" s="68"/>
      <c r="Z318" s="68"/>
      <c r="AA318" s="68"/>
      <c r="AB318" s="68"/>
      <c r="AC318" s="417" t="s">
        <v>630</v>
      </c>
      <c r="AD318" s="83" t="s">
        <v>632</v>
      </c>
      <c r="AE318" s="83" t="s">
        <v>632</v>
      </c>
      <c r="AF318" s="417" t="s">
        <v>630</v>
      </c>
      <c r="AG318" s="622"/>
      <c r="AH318" s="622"/>
      <c r="AI318" s="203"/>
      <c r="AJ318" s="203"/>
      <c r="AK318" s="203"/>
      <c r="AL318" s="203"/>
      <c r="AM318" s="203"/>
      <c r="AN318" s="203"/>
      <c r="AO318" s="203"/>
      <c r="AP318" s="203"/>
      <c r="AQ318" s="203"/>
      <c r="AR318" s="203"/>
      <c r="AS318" s="203"/>
      <c r="AT318" s="203"/>
    </row>
    <row r="319">
      <c r="A319" s="64">
        <v>66.0</v>
      </c>
      <c r="B319" s="163" t="s">
        <v>1039</v>
      </c>
      <c r="C319" s="64" t="s">
        <v>1269</v>
      </c>
      <c r="D319" s="64" t="s">
        <v>1519</v>
      </c>
      <c r="E319" s="452" t="s">
        <v>213</v>
      </c>
      <c r="F319" s="254" t="s">
        <v>1523</v>
      </c>
      <c r="G319" s="68" t="s">
        <v>60</v>
      </c>
      <c r="H319" s="171" t="s">
        <v>1221</v>
      </c>
      <c r="I319" s="64" t="s">
        <v>1443</v>
      </c>
      <c r="J319" s="83" t="s">
        <v>114</v>
      </c>
      <c r="K319" s="369"/>
      <c r="L319" s="83" t="s">
        <v>60</v>
      </c>
      <c r="N319" s="68" t="s">
        <v>5718</v>
      </c>
      <c r="O319" s="534" t="s">
        <v>5719</v>
      </c>
      <c r="P319" s="625">
        <v>37209.0</v>
      </c>
      <c r="Q319" s="81">
        <f>VALUE(LEFT(TEXT(S319,0),5))+1</f>
        <v>37209</v>
      </c>
      <c r="R319" s="64">
        <f>DATEDIF($P319,TODAY(),"Y")</f>
        <v>24</v>
      </c>
      <c r="S319" s="81">
        <v>3.720804177E9</v>
      </c>
      <c r="T319" s="81"/>
      <c r="U319" s="83" t="s">
        <v>368</v>
      </c>
      <c r="V319" s="83"/>
      <c r="W319" s="83"/>
      <c r="X319" s="83"/>
      <c r="Y319" s="68" t="s">
        <v>183</v>
      </c>
      <c r="Z319" s="626" t="s">
        <v>2482</v>
      </c>
      <c r="AA319" s="83" t="s">
        <v>1178</v>
      </c>
      <c r="AB319" s="68"/>
      <c r="AC319" s="83" t="s">
        <v>2451</v>
      </c>
      <c r="AD319" s="169"/>
      <c r="AE319" s="83"/>
      <c r="AF319" s="83"/>
      <c r="AG319" s="83" t="s">
        <v>375</v>
      </c>
      <c r="AH319" s="202">
        <v>46053.0</v>
      </c>
      <c r="AI319" s="203"/>
      <c r="AJ319" s="203"/>
      <c r="AK319" s="203"/>
      <c r="AL319" s="203"/>
      <c r="AM319" s="203"/>
      <c r="AN319" s="203"/>
      <c r="AO319" s="203"/>
      <c r="AP319" s="203"/>
      <c r="AQ319" s="203"/>
      <c r="AR319" s="203"/>
      <c r="AS319" s="203"/>
      <c r="AT319" s="203"/>
    </row>
    <row r="320">
      <c r="A320" s="64">
        <v>69.0</v>
      </c>
      <c r="B320" s="283" t="s">
        <v>1039</v>
      </c>
      <c r="C320" s="284" t="s">
        <v>1269</v>
      </c>
      <c r="D320" s="284" t="s">
        <v>1519</v>
      </c>
      <c r="E320" s="454" t="s">
        <v>58</v>
      </c>
      <c r="F320" s="254" t="s">
        <v>1496</v>
      </c>
      <c r="G320" s="68" t="s">
        <v>60</v>
      </c>
      <c r="H320" s="171" t="s">
        <v>1221</v>
      </c>
      <c r="I320" s="622"/>
      <c r="J320" s="622"/>
      <c r="K320" s="622"/>
      <c r="L320" s="280" t="s">
        <v>60</v>
      </c>
      <c r="N320" s="433" t="s">
        <v>5744</v>
      </c>
      <c r="O320" s="622"/>
      <c r="P320" s="622"/>
      <c r="Q320" s="622"/>
      <c r="R320" s="622"/>
      <c r="S320" s="622"/>
      <c r="T320" s="622"/>
      <c r="U320" s="174" t="s">
        <v>379</v>
      </c>
      <c r="V320" s="622"/>
      <c r="W320" s="622"/>
      <c r="X320" s="622"/>
      <c r="Y320" s="622"/>
      <c r="Z320" s="622"/>
      <c r="AA320" s="622"/>
      <c r="AB320" s="622"/>
      <c r="AC320" s="417" t="s">
        <v>630</v>
      </c>
      <c r="AD320" s="83" t="s">
        <v>632</v>
      </c>
      <c r="AE320" s="83" t="s">
        <v>632</v>
      </c>
      <c r="AF320" s="417" t="s">
        <v>630</v>
      </c>
      <c r="AG320" s="622"/>
      <c r="AH320" s="622"/>
      <c r="AI320" s="203"/>
      <c r="AJ320" s="203"/>
      <c r="AK320" s="203"/>
      <c r="AL320" s="203"/>
      <c r="AM320" s="203"/>
      <c r="AN320" s="203"/>
      <c r="AO320" s="203"/>
      <c r="AP320" s="203"/>
      <c r="AQ320" s="203"/>
      <c r="AR320" s="203"/>
      <c r="AS320" s="203"/>
      <c r="AT320" s="203"/>
    </row>
    <row r="321">
      <c r="A321" s="64">
        <v>79.0</v>
      </c>
      <c r="B321" s="163" t="s">
        <v>1039</v>
      </c>
      <c r="C321" s="64" t="s">
        <v>1517</v>
      </c>
      <c r="D321" s="64" t="s">
        <v>1368</v>
      </c>
      <c r="E321" s="452" t="s">
        <v>213</v>
      </c>
      <c r="F321" s="254" t="s">
        <v>1523</v>
      </c>
      <c r="G321" s="68" t="s">
        <v>60</v>
      </c>
      <c r="H321" s="171" t="s">
        <v>1221</v>
      </c>
      <c r="I321" s="64" t="s">
        <v>1443</v>
      </c>
      <c r="J321" s="83" t="s">
        <v>114</v>
      </c>
      <c r="K321" s="239"/>
      <c r="L321" s="170" t="s">
        <v>60</v>
      </c>
      <c r="N321" s="68" t="s">
        <v>5754</v>
      </c>
      <c r="O321" s="170" t="s">
        <v>3183</v>
      </c>
      <c r="P321" s="602">
        <v>35957.0</v>
      </c>
      <c r="Q321" s="81" t="str">
        <f>VALUE(LEFT(TEXT(S321,0),5))+1</f>
        <v>#VALUE!</v>
      </c>
      <c r="R321" s="68">
        <f>DATEDIF($P321,TODAY(),"Y")</f>
        <v>28</v>
      </c>
      <c r="S321" s="83" t="s">
        <v>3642</v>
      </c>
      <c r="T321" s="81"/>
      <c r="U321" s="83" t="s">
        <v>368</v>
      </c>
      <c r="V321" s="64"/>
      <c r="W321" s="83"/>
      <c r="X321" s="83"/>
      <c r="Y321" s="68" t="s">
        <v>183</v>
      </c>
      <c r="Z321" s="419" t="s">
        <v>1725</v>
      </c>
      <c r="AA321" s="83" t="s">
        <v>1178</v>
      </c>
      <c r="AB321" s="68"/>
      <c r="AC321" s="83" t="s">
        <v>2451</v>
      </c>
      <c r="AD321" s="169"/>
      <c r="AE321" s="83"/>
      <c r="AF321" s="68"/>
      <c r="AG321" s="83" t="s">
        <v>375</v>
      </c>
      <c r="AH321" s="202">
        <v>46030.0</v>
      </c>
      <c r="AI321" s="203"/>
      <c r="AJ321" s="203"/>
      <c r="AK321" s="203"/>
      <c r="AL321" s="203"/>
      <c r="AM321" s="203"/>
      <c r="AN321" s="203"/>
      <c r="AO321" s="203"/>
      <c r="AP321" s="203"/>
      <c r="AQ321" s="203"/>
      <c r="AR321" s="203"/>
      <c r="AS321" s="203"/>
      <c r="AT321" s="203"/>
    </row>
    <row r="322">
      <c r="A322" s="64">
        <v>83.0</v>
      </c>
      <c r="B322" s="163" t="s">
        <v>1039</v>
      </c>
      <c r="C322" s="64" t="s">
        <v>1517</v>
      </c>
      <c r="D322" s="64" t="s">
        <v>1494</v>
      </c>
      <c r="E322" s="452" t="s">
        <v>302</v>
      </c>
      <c r="F322" s="254" t="s">
        <v>1404</v>
      </c>
      <c r="G322" s="68" t="s">
        <v>326</v>
      </c>
      <c r="H322" s="171" t="s">
        <v>1221</v>
      </c>
      <c r="I322" s="622"/>
      <c r="J322" s="622"/>
      <c r="K322" s="622"/>
      <c r="L322" s="439" t="s">
        <v>60</v>
      </c>
      <c r="N322" s="433" t="s">
        <v>5776</v>
      </c>
      <c r="O322" s="622"/>
      <c r="P322" s="622"/>
      <c r="Q322" s="622"/>
      <c r="R322" s="622"/>
      <c r="S322" s="622"/>
      <c r="T322" s="622"/>
      <c r="U322" s="174" t="s">
        <v>379</v>
      </c>
      <c r="V322" s="622"/>
      <c r="W322" s="622"/>
      <c r="X322" s="622"/>
      <c r="Y322" s="622"/>
      <c r="Z322" s="622"/>
      <c r="AA322" s="622"/>
      <c r="AB322" s="622"/>
      <c r="AC322" s="417" t="s">
        <v>630</v>
      </c>
      <c r="AD322" s="83" t="s">
        <v>632</v>
      </c>
      <c r="AE322" s="83" t="s">
        <v>632</v>
      </c>
      <c r="AF322" s="417" t="s">
        <v>630</v>
      </c>
      <c r="AG322" s="622"/>
      <c r="AH322" s="622"/>
      <c r="AI322" s="203"/>
      <c r="AJ322" s="203"/>
      <c r="AK322" s="203"/>
      <c r="AL322" s="203"/>
      <c r="AM322" s="203"/>
      <c r="AN322" s="203"/>
      <c r="AO322" s="203"/>
      <c r="AP322" s="203"/>
      <c r="AQ322" s="203"/>
      <c r="AR322" s="203"/>
      <c r="AS322" s="203"/>
      <c r="AT322" s="203"/>
    </row>
    <row r="323">
      <c r="A323" s="64">
        <v>90.0</v>
      </c>
      <c r="B323" s="163" t="s">
        <v>1039</v>
      </c>
      <c r="C323" s="64" t="s">
        <v>1517</v>
      </c>
      <c r="D323" s="64" t="s">
        <v>1494</v>
      </c>
      <c r="E323" s="454" t="s">
        <v>58</v>
      </c>
      <c r="F323" s="254" t="s">
        <v>1496</v>
      </c>
      <c r="G323" s="68" t="s">
        <v>60</v>
      </c>
      <c r="H323" s="171" t="s">
        <v>1221</v>
      </c>
      <c r="I323" s="64" t="s">
        <v>1443</v>
      </c>
      <c r="J323" s="73" t="s">
        <v>114</v>
      </c>
      <c r="K323" s="239" t="s">
        <v>5786</v>
      </c>
      <c r="L323" s="171" t="s">
        <v>60</v>
      </c>
      <c r="N323" s="64" t="s">
        <v>5570</v>
      </c>
      <c r="O323" s="171" t="s">
        <v>5571</v>
      </c>
      <c r="P323" s="458">
        <v>31027.0</v>
      </c>
      <c r="Q323" s="81">
        <f t="shared" ref="Q323:Q325" si="20">VALUE(LEFT(TEXT(S323,0),5))+1</f>
        <v>31027</v>
      </c>
      <c r="R323" s="64">
        <f t="shared" ref="R323:R325" si="21">DATEDIF($P323,TODAY(),"Y")</f>
        <v>41</v>
      </c>
      <c r="S323" s="81">
        <v>3.102600251E9</v>
      </c>
      <c r="T323" s="81"/>
      <c r="U323" s="257" t="s">
        <v>379</v>
      </c>
      <c r="V323" s="68"/>
      <c r="W323" s="68"/>
      <c r="X323" s="68"/>
      <c r="Y323" s="68"/>
      <c r="Z323" s="68"/>
      <c r="AA323" s="68"/>
      <c r="AB323" s="68"/>
      <c r="AC323" s="83" t="s">
        <v>5418</v>
      </c>
      <c r="AD323" s="169"/>
      <c r="AE323" s="83" t="s">
        <v>291</v>
      </c>
      <c r="AF323" s="170" t="s">
        <v>5813</v>
      </c>
      <c r="AG323" s="83"/>
      <c r="AH323" s="68"/>
      <c r="AI323" s="203"/>
      <c r="AJ323" s="203"/>
      <c r="AK323" s="203"/>
      <c r="AL323" s="203"/>
      <c r="AM323" s="203"/>
      <c r="AN323" s="203"/>
      <c r="AO323" s="203"/>
      <c r="AP323" s="203"/>
      <c r="AQ323" s="203"/>
      <c r="AR323" s="203"/>
      <c r="AS323" s="203"/>
      <c r="AT323" s="203"/>
    </row>
    <row r="324">
      <c r="A324" s="64">
        <v>106.0</v>
      </c>
      <c r="B324" s="163" t="s">
        <v>1039</v>
      </c>
      <c r="C324" s="64" t="s">
        <v>1611</v>
      </c>
      <c r="D324" s="64" t="s">
        <v>1368</v>
      </c>
      <c r="E324" s="469" t="s">
        <v>187</v>
      </c>
      <c r="F324" s="254" t="s">
        <v>1469</v>
      </c>
      <c r="G324" s="68" t="s">
        <v>60</v>
      </c>
      <c r="H324" s="171" t="s">
        <v>1221</v>
      </c>
      <c r="I324" s="64" t="s">
        <v>1443</v>
      </c>
      <c r="J324" s="73" t="s">
        <v>114</v>
      </c>
      <c r="K324" s="373"/>
      <c r="L324" s="171" t="s">
        <v>60</v>
      </c>
      <c r="N324" s="68" t="s">
        <v>3324</v>
      </c>
      <c r="O324" s="73" t="s">
        <v>3325</v>
      </c>
      <c r="P324" s="133">
        <v>33532.0</v>
      </c>
      <c r="Q324" s="81">
        <f t="shared" si="20"/>
        <v>33532</v>
      </c>
      <c r="R324" s="64">
        <f t="shared" si="21"/>
        <v>34</v>
      </c>
      <c r="S324" s="81">
        <v>3.353108454E9</v>
      </c>
      <c r="T324" s="81" t="s">
        <v>1479</v>
      </c>
      <c r="U324" s="329" t="s">
        <v>368</v>
      </c>
      <c r="V324" s="64"/>
      <c r="W324" s="68"/>
      <c r="X324" s="68"/>
      <c r="Y324" s="68"/>
      <c r="Z324" s="68"/>
      <c r="AA324" s="68"/>
      <c r="AB324" s="68"/>
      <c r="AC324" s="68" t="s">
        <v>2451</v>
      </c>
      <c r="AD324" s="68"/>
      <c r="AE324" s="83"/>
      <c r="AF324" s="68"/>
      <c r="AG324" s="83" t="s">
        <v>375</v>
      </c>
      <c r="AH324" s="385">
        <v>46034.0</v>
      </c>
      <c r="AI324" s="203"/>
      <c r="AJ324" s="203"/>
      <c r="AK324" s="203"/>
      <c r="AL324" s="203"/>
      <c r="AM324" s="203"/>
      <c r="AN324" s="203"/>
      <c r="AO324" s="203"/>
      <c r="AP324" s="203"/>
      <c r="AQ324" s="203"/>
      <c r="AR324" s="203"/>
      <c r="AS324" s="203"/>
      <c r="AT324" s="203"/>
    </row>
    <row r="325">
      <c r="A325" s="64">
        <v>121.0</v>
      </c>
      <c r="B325" s="283" t="s">
        <v>1039</v>
      </c>
      <c r="C325" s="284" t="s">
        <v>1611</v>
      </c>
      <c r="D325" s="64" t="s">
        <v>1519</v>
      </c>
      <c r="E325" s="454" t="s">
        <v>178</v>
      </c>
      <c r="F325" s="254" t="s">
        <v>1369</v>
      </c>
      <c r="G325" s="68" t="s">
        <v>102</v>
      </c>
      <c r="H325" s="436" t="s">
        <v>3336</v>
      </c>
      <c r="I325" s="449" t="s">
        <v>408</v>
      </c>
      <c r="J325" s="73" t="s">
        <v>114</v>
      </c>
      <c r="K325" s="368"/>
      <c r="L325" s="634" t="s">
        <v>360</v>
      </c>
      <c r="N325" s="636" t="s">
        <v>5844</v>
      </c>
      <c r="O325" s="637" t="s">
        <v>5847</v>
      </c>
      <c r="P325" s="103">
        <v>31778.0</v>
      </c>
      <c r="Q325" s="81">
        <f t="shared" si="20"/>
        <v>31778</v>
      </c>
      <c r="R325" s="64">
        <f t="shared" si="21"/>
        <v>39</v>
      </c>
      <c r="S325" s="81">
        <v>3.177700753E9</v>
      </c>
      <c r="T325" s="81"/>
      <c r="U325" s="329" t="s">
        <v>368</v>
      </c>
      <c r="V325" s="68"/>
      <c r="W325" s="83"/>
      <c r="X325" s="68"/>
      <c r="Y325" s="68"/>
      <c r="Z325" s="68"/>
      <c r="AA325" s="68" t="s">
        <v>2768</v>
      </c>
      <c r="AB325" s="68"/>
      <c r="AC325" s="68" t="s">
        <v>2451</v>
      </c>
      <c r="AD325" s="68"/>
      <c r="AE325" s="83"/>
      <c r="AF325" s="83"/>
      <c r="AG325" s="83" t="s">
        <v>375</v>
      </c>
      <c r="AH325" s="202">
        <v>46039.0</v>
      </c>
      <c r="AI325" s="203"/>
      <c r="AJ325" s="203"/>
      <c r="AK325" s="203"/>
      <c r="AL325" s="203"/>
      <c r="AM325" s="203"/>
      <c r="AN325" s="203"/>
      <c r="AO325" s="203"/>
      <c r="AP325" s="203"/>
      <c r="AQ325" s="203"/>
      <c r="AR325" s="203"/>
      <c r="AS325" s="203"/>
      <c r="AT325" s="203"/>
    </row>
    <row r="326">
      <c r="A326" s="64">
        <v>152.0</v>
      </c>
      <c r="B326" s="283" t="s">
        <v>1645</v>
      </c>
      <c r="C326" s="284" t="s">
        <v>121</v>
      </c>
      <c r="D326" s="284" t="s">
        <v>121</v>
      </c>
      <c r="E326" s="454" t="s">
        <v>295</v>
      </c>
      <c r="F326" s="254" t="s">
        <v>1241</v>
      </c>
      <c r="G326" s="68" t="s">
        <v>60</v>
      </c>
      <c r="H326" s="171" t="s">
        <v>1221</v>
      </c>
      <c r="I326" s="622"/>
      <c r="J326" s="622"/>
      <c r="K326" s="622"/>
      <c r="L326" s="439" t="s">
        <v>60</v>
      </c>
      <c r="N326" s="433" t="s">
        <v>5863</v>
      </c>
      <c r="O326" s="622"/>
      <c r="P326" s="622"/>
      <c r="Q326" s="622"/>
      <c r="R326" s="622"/>
      <c r="S326" s="622"/>
      <c r="T326" s="622"/>
      <c r="U326" s="83" t="s">
        <v>379</v>
      </c>
      <c r="V326" s="64"/>
      <c r="W326" s="68"/>
      <c r="X326" s="68"/>
      <c r="Y326" s="68"/>
      <c r="Z326" s="68"/>
      <c r="AA326" s="68"/>
      <c r="AB326" s="68"/>
      <c r="AC326" s="417" t="s">
        <v>630</v>
      </c>
      <c r="AD326" s="83" t="s">
        <v>632</v>
      </c>
      <c r="AE326" s="83" t="s">
        <v>632</v>
      </c>
      <c r="AF326" s="417" t="s">
        <v>630</v>
      </c>
      <c r="AG326" s="622"/>
      <c r="AH326" s="622"/>
      <c r="AI326" s="203"/>
      <c r="AJ326" s="203"/>
      <c r="AK326" s="203"/>
      <c r="AL326" s="203"/>
      <c r="AM326" s="203"/>
      <c r="AN326" s="203"/>
      <c r="AO326" s="203"/>
      <c r="AP326" s="203"/>
      <c r="AQ326" s="203"/>
      <c r="AR326" s="203"/>
      <c r="AS326" s="203"/>
      <c r="AT326" s="203"/>
    </row>
    <row r="327">
      <c r="A327" s="64">
        <v>154.0</v>
      </c>
      <c r="B327" s="163" t="s">
        <v>1645</v>
      </c>
      <c r="C327" s="64" t="s">
        <v>1269</v>
      </c>
      <c r="D327" s="64" t="s">
        <v>121</v>
      </c>
      <c r="E327" s="454" t="s">
        <v>119</v>
      </c>
      <c r="F327" s="254" t="s">
        <v>1295</v>
      </c>
      <c r="G327" s="68" t="s">
        <v>504</v>
      </c>
      <c r="H327" s="436" t="s">
        <v>3336</v>
      </c>
      <c r="I327" s="639" t="s">
        <v>408</v>
      </c>
      <c r="J327" s="73" t="s">
        <v>114</v>
      </c>
      <c r="K327" s="471" t="s">
        <v>5880</v>
      </c>
      <c r="L327" s="73" t="s">
        <v>102</v>
      </c>
      <c r="N327" s="68" t="s">
        <v>2139</v>
      </c>
      <c r="O327" s="640" t="s">
        <v>2140</v>
      </c>
      <c r="P327" s="103">
        <v>35036.0</v>
      </c>
      <c r="Q327" s="81">
        <f t="shared" ref="Q327:Q329" si="22">VALUE(LEFT(TEXT(S327,0),5))+1</f>
        <v>35036</v>
      </c>
      <c r="R327" s="64">
        <f t="shared" ref="R327:R329" si="23">DATEDIF($P327,TODAY(),"Y")</f>
        <v>30</v>
      </c>
      <c r="S327" s="81">
        <v>3.503500816E9</v>
      </c>
      <c r="T327" s="81"/>
      <c r="U327" s="190" t="s">
        <v>393</v>
      </c>
      <c r="V327" s="68"/>
      <c r="W327" s="64"/>
      <c r="X327" s="68"/>
      <c r="Y327" s="68"/>
      <c r="Z327" s="68"/>
      <c r="AA327" s="68"/>
      <c r="AB327" s="68"/>
      <c r="AC327" s="68" t="s">
        <v>150</v>
      </c>
      <c r="AD327" s="169"/>
      <c r="AE327" s="83" t="s">
        <v>672</v>
      </c>
      <c r="AF327" s="73" t="s">
        <v>155</v>
      </c>
      <c r="AG327" s="83" t="s">
        <v>697</v>
      </c>
      <c r="AH327" s="83" t="s">
        <v>5900</v>
      </c>
      <c r="AI327" s="203"/>
      <c r="AJ327" s="203"/>
      <c r="AK327" s="203"/>
      <c r="AL327" s="203"/>
      <c r="AM327" s="203"/>
      <c r="AN327" s="203"/>
      <c r="AO327" s="203"/>
      <c r="AP327" s="203"/>
      <c r="AQ327" s="203"/>
      <c r="AR327" s="203"/>
      <c r="AS327" s="203"/>
      <c r="AT327" s="203"/>
    </row>
    <row r="328">
      <c r="A328" s="64">
        <v>170.0</v>
      </c>
      <c r="B328" s="163" t="s">
        <v>1645</v>
      </c>
      <c r="C328" s="64" t="s">
        <v>1269</v>
      </c>
      <c r="D328" s="163" t="s">
        <v>1494</v>
      </c>
      <c r="E328" s="452" t="s">
        <v>213</v>
      </c>
      <c r="F328" s="254" t="s">
        <v>1523</v>
      </c>
      <c r="G328" s="68" t="s">
        <v>60</v>
      </c>
      <c r="H328" s="171" t="s">
        <v>1221</v>
      </c>
      <c r="I328" s="64" t="s">
        <v>1443</v>
      </c>
      <c r="J328" s="64" t="s">
        <v>114</v>
      </c>
      <c r="K328" s="378" t="s">
        <v>5905</v>
      </c>
      <c r="L328" s="171" t="s">
        <v>102</v>
      </c>
      <c r="N328" s="68" t="s">
        <v>5907</v>
      </c>
      <c r="O328" s="171" t="s">
        <v>5073</v>
      </c>
      <c r="P328" s="458">
        <v>33469.0</v>
      </c>
      <c r="Q328" s="81">
        <f t="shared" si="22"/>
        <v>33469</v>
      </c>
      <c r="R328" s="64">
        <f t="shared" si="23"/>
        <v>35</v>
      </c>
      <c r="S328" s="81">
        <v>3.346813318E9</v>
      </c>
      <c r="T328" s="81" t="s">
        <v>378</v>
      </c>
      <c r="U328" s="83" t="s">
        <v>368</v>
      </c>
      <c r="V328" s="64"/>
      <c r="W328" s="64"/>
      <c r="X328" s="68"/>
      <c r="Y328" s="64" t="s">
        <v>1174</v>
      </c>
      <c r="Z328" s="419" t="s">
        <v>1725</v>
      </c>
      <c r="AA328" s="64"/>
      <c r="AB328" s="68"/>
      <c r="AC328" s="64"/>
      <c r="AD328" s="169"/>
      <c r="AE328" s="83"/>
      <c r="AF328" s="169"/>
      <c r="AG328" s="83" t="s">
        <v>375</v>
      </c>
      <c r="AH328" s="202">
        <v>46034.0</v>
      </c>
      <c r="AI328" s="203"/>
      <c r="AJ328" s="203"/>
      <c r="AK328" s="203"/>
      <c r="AL328" s="203"/>
      <c r="AM328" s="203"/>
      <c r="AN328" s="203"/>
      <c r="AO328" s="203"/>
      <c r="AP328" s="203"/>
      <c r="AQ328" s="203"/>
      <c r="AR328" s="203"/>
      <c r="AS328" s="203"/>
      <c r="AT328" s="203"/>
    </row>
    <row r="329">
      <c r="A329" s="64">
        <v>176.0</v>
      </c>
      <c r="B329" s="283" t="s">
        <v>1645</v>
      </c>
      <c r="C329" s="284" t="s">
        <v>1269</v>
      </c>
      <c r="D329" s="283" t="s">
        <v>1519</v>
      </c>
      <c r="E329" s="452" t="s">
        <v>187</v>
      </c>
      <c r="F329" s="254" t="s">
        <v>1469</v>
      </c>
      <c r="G329" s="68" t="s">
        <v>60</v>
      </c>
      <c r="H329" s="171" t="s">
        <v>1221</v>
      </c>
      <c r="I329" s="64" t="s">
        <v>1443</v>
      </c>
      <c r="J329" s="83" t="s">
        <v>114</v>
      </c>
      <c r="K329" s="239"/>
      <c r="L329" s="170" t="s">
        <v>60</v>
      </c>
      <c r="N329" s="68" t="s">
        <v>5922</v>
      </c>
      <c r="O329" s="170" t="s">
        <v>5924</v>
      </c>
      <c r="P329" s="458">
        <v>35063.0</v>
      </c>
      <c r="Q329" s="81">
        <f t="shared" si="22"/>
        <v>35063</v>
      </c>
      <c r="R329" s="68">
        <f t="shared" si="23"/>
        <v>30</v>
      </c>
      <c r="S329" s="81">
        <v>3.506209834E9</v>
      </c>
      <c r="T329" s="81"/>
      <c r="U329" s="83" t="s">
        <v>368</v>
      </c>
      <c r="V329" s="64"/>
      <c r="W329" s="83"/>
      <c r="X329" s="83"/>
      <c r="Y329" s="68" t="s">
        <v>183</v>
      </c>
      <c r="Z329" s="419" t="s">
        <v>1725</v>
      </c>
      <c r="AA329" s="83"/>
      <c r="AB329" s="68"/>
      <c r="AC329" s="83" t="s">
        <v>150</v>
      </c>
      <c r="AD329" s="169"/>
      <c r="AE329" s="83"/>
      <c r="AF329" s="68"/>
      <c r="AG329" s="83" t="s">
        <v>375</v>
      </c>
      <c r="AH329" s="202">
        <v>46036.0</v>
      </c>
      <c r="AI329" s="203"/>
      <c r="AJ329" s="203"/>
      <c r="AK329" s="203"/>
      <c r="AL329" s="203"/>
      <c r="AM329" s="203"/>
      <c r="AN329" s="203"/>
      <c r="AO329" s="203"/>
      <c r="AP329" s="203"/>
      <c r="AQ329" s="203"/>
      <c r="AR329" s="203"/>
      <c r="AS329" s="203"/>
      <c r="AT329" s="203"/>
    </row>
    <row r="330">
      <c r="A330" s="64">
        <v>238.0</v>
      </c>
      <c r="B330" s="283" t="s">
        <v>1645</v>
      </c>
      <c r="C330" s="284" t="s">
        <v>1611</v>
      </c>
      <c r="D330" s="283" t="s">
        <v>1519</v>
      </c>
      <c r="E330" s="452" t="s">
        <v>321</v>
      </c>
      <c r="F330" s="254" t="s">
        <v>1552</v>
      </c>
      <c r="G330" s="68" t="s">
        <v>60</v>
      </c>
      <c r="H330" s="171" t="s">
        <v>1221</v>
      </c>
      <c r="I330" s="64"/>
      <c r="J330" s="68"/>
      <c r="K330" s="369"/>
      <c r="L330" s="280" t="s">
        <v>60</v>
      </c>
      <c r="N330" s="433" t="s">
        <v>5940</v>
      </c>
      <c r="O330" s="64"/>
      <c r="P330" s="103"/>
      <c r="Q330" s="64"/>
      <c r="R330" s="64"/>
      <c r="S330" s="81"/>
      <c r="T330" s="81"/>
      <c r="U330" s="83" t="s">
        <v>379</v>
      </c>
      <c r="V330" s="64"/>
      <c r="W330" s="68"/>
      <c r="X330" s="68"/>
      <c r="Y330" s="68"/>
      <c r="Z330" s="68"/>
      <c r="AA330" s="68"/>
      <c r="AB330" s="68"/>
      <c r="AC330" s="417" t="s">
        <v>630</v>
      </c>
      <c r="AD330" s="83" t="s">
        <v>632</v>
      </c>
      <c r="AE330" s="83" t="s">
        <v>632</v>
      </c>
      <c r="AF330" s="417" t="s">
        <v>630</v>
      </c>
      <c r="AG330" s="68"/>
      <c r="AH330" s="83"/>
      <c r="AI330" s="203"/>
      <c r="AJ330" s="203"/>
      <c r="AK330" s="203"/>
      <c r="AL330" s="203"/>
      <c r="AM330" s="203"/>
      <c r="AN330" s="203"/>
      <c r="AO330" s="203"/>
      <c r="AP330" s="203"/>
      <c r="AQ330" s="203"/>
      <c r="AR330" s="203"/>
      <c r="AS330" s="203"/>
      <c r="AT330" s="203"/>
    </row>
    <row r="331">
      <c r="A331" s="64">
        <v>239.0</v>
      </c>
      <c r="B331" s="283" t="s">
        <v>1645</v>
      </c>
      <c r="C331" s="284" t="s">
        <v>1611</v>
      </c>
      <c r="D331" s="283" t="s">
        <v>1519</v>
      </c>
      <c r="E331" s="469" t="s">
        <v>213</v>
      </c>
      <c r="F331" s="254" t="s">
        <v>1523</v>
      </c>
      <c r="G331" s="68" t="s">
        <v>60</v>
      </c>
      <c r="H331" s="171" t="s">
        <v>1221</v>
      </c>
      <c r="I331" s="64" t="s">
        <v>1443</v>
      </c>
      <c r="J331" s="68" t="s">
        <v>114</v>
      </c>
      <c r="K331" s="378" t="s">
        <v>5957</v>
      </c>
      <c r="L331" s="171" t="s">
        <v>60</v>
      </c>
      <c r="N331" s="74" t="s">
        <v>5958</v>
      </c>
      <c r="O331" s="171" t="s">
        <v>5960</v>
      </c>
      <c r="P331" s="75"/>
      <c r="Q331" s="64"/>
      <c r="R331" s="64"/>
      <c r="S331" s="81"/>
      <c r="T331" s="81"/>
      <c r="U331" s="257" t="s">
        <v>136</v>
      </c>
      <c r="V331" s="64"/>
      <c r="W331" s="64"/>
      <c r="X331" s="68" t="s">
        <v>186</v>
      </c>
      <c r="Y331" s="68" t="s">
        <v>1174</v>
      </c>
      <c r="Z331" s="170" t="s">
        <v>1725</v>
      </c>
      <c r="AA331" s="68"/>
      <c r="AB331" s="68"/>
      <c r="AC331" s="68"/>
      <c r="AD331" s="169"/>
      <c r="AE331" s="68"/>
      <c r="AF331" s="83" t="s">
        <v>5968</v>
      </c>
      <c r="AG331" s="68"/>
      <c r="AH331" s="385">
        <v>45994.0</v>
      </c>
      <c r="AI331" s="203"/>
      <c r="AJ331" s="203"/>
      <c r="AK331" s="203"/>
      <c r="AL331" s="203"/>
      <c r="AM331" s="203"/>
      <c r="AN331" s="203"/>
      <c r="AO331" s="203"/>
      <c r="AP331" s="203"/>
      <c r="AQ331" s="203"/>
      <c r="AR331" s="203"/>
      <c r="AS331" s="203"/>
      <c r="AT331" s="203"/>
    </row>
    <row r="332">
      <c r="A332" s="64">
        <v>252.0</v>
      </c>
      <c r="B332" s="163" t="s">
        <v>1645</v>
      </c>
      <c r="C332" s="64" t="s">
        <v>1728</v>
      </c>
      <c r="D332" s="163" t="s">
        <v>121</v>
      </c>
      <c r="E332" s="179" t="s">
        <v>287</v>
      </c>
      <c r="F332" s="254" t="s">
        <v>2853</v>
      </c>
      <c r="G332" s="68" t="s">
        <v>60</v>
      </c>
      <c r="H332" s="171" t="s">
        <v>1221</v>
      </c>
      <c r="I332" s="64" t="s">
        <v>1443</v>
      </c>
      <c r="J332" s="373"/>
      <c r="K332" s="373"/>
      <c r="L332" s="280" t="s">
        <v>60</v>
      </c>
      <c r="N332" s="433" t="s">
        <v>5974</v>
      </c>
      <c r="O332" s="83"/>
      <c r="P332" s="458"/>
      <c r="Q332" s="81"/>
      <c r="R332" s="64"/>
      <c r="S332" s="81"/>
      <c r="T332" s="81"/>
      <c r="U332" s="83" t="s">
        <v>379</v>
      </c>
      <c r="V332" s="68"/>
      <c r="W332" s="64"/>
      <c r="X332" s="68"/>
      <c r="Y332" s="68"/>
      <c r="Z332" s="68"/>
      <c r="AA332" s="68"/>
      <c r="AB332" s="68"/>
      <c r="AC332" s="417" t="s">
        <v>630</v>
      </c>
      <c r="AD332" s="83" t="s">
        <v>632</v>
      </c>
      <c r="AE332" s="83" t="s">
        <v>632</v>
      </c>
      <c r="AF332" s="417" t="s">
        <v>630</v>
      </c>
      <c r="AG332" s="161"/>
      <c r="AH332" s="413"/>
      <c r="AI332" s="203"/>
      <c r="AJ332" s="203"/>
      <c r="AK332" s="203"/>
      <c r="AL332" s="203"/>
      <c r="AM332" s="203"/>
      <c r="AN332" s="203"/>
      <c r="AO332" s="203"/>
      <c r="AP332" s="203"/>
      <c r="AQ332" s="203"/>
      <c r="AR332" s="203"/>
      <c r="AS332" s="203"/>
      <c r="AT332" s="203"/>
    </row>
    <row r="333">
      <c r="A333" s="64">
        <v>270.0</v>
      </c>
      <c r="B333" s="163" t="s">
        <v>1709</v>
      </c>
      <c r="C333" s="64" t="s">
        <v>1269</v>
      </c>
      <c r="D333" s="163" t="s">
        <v>1368</v>
      </c>
      <c r="E333" s="452" t="s">
        <v>302</v>
      </c>
      <c r="F333" s="254" t="s">
        <v>1404</v>
      </c>
      <c r="G333" s="68" t="s">
        <v>326</v>
      </c>
      <c r="H333" s="171" t="s">
        <v>1221</v>
      </c>
      <c r="I333" s="64" t="s">
        <v>1443</v>
      </c>
      <c r="J333" s="170"/>
      <c r="K333" s="383" t="s">
        <v>3564</v>
      </c>
      <c r="L333" s="439" t="s">
        <v>60</v>
      </c>
      <c r="N333" s="263" t="s">
        <v>5991</v>
      </c>
      <c r="O333" s="383" t="s">
        <v>3564</v>
      </c>
      <c r="P333" s="385">
        <v>30569.0</v>
      </c>
      <c r="Q333" s="81">
        <f>VALUE(LEFT(TEXT(S333,0),5))+1</f>
        <v>30569</v>
      </c>
      <c r="R333" s="64">
        <f>DATEDIF($P333,TODAY(),"Y")</f>
        <v>42</v>
      </c>
      <c r="S333" s="83">
        <v>3.056823831E9</v>
      </c>
      <c r="T333" s="81"/>
      <c r="U333" s="83" t="s">
        <v>379</v>
      </c>
      <c r="V333" s="64"/>
      <c r="W333" s="64"/>
      <c r="X333" s="68"/>
      <c r="Y333" s="68"/>
      <c r="Z333" s="68"/>
      <c r="AA333" s="68"/>
      <c r="AB333" s="68"/>
      <c r="AC333" s="417" t="s">
        <v>630</v>
      </c>
      <c r="AD333" s="83" t="s">
        <v>632</v>
      </c>
      <c r="AE333" s="83" t="s">
        <v>632</v>
      </c>
      <c r="AF333" s="417" t="s">
        <v>630</v>
      </c>
      <c r="AG333" s="95"/>
      <c r="AH333" s="81"/>
      <c r="AI333" s="203"/>
      <c r="AJ333" s="203"/>
      <c r="AK333" s="203"/>
      <c r="AL333" s="203"/>
      <c r="AM333" s="203"/>
      <c r="AN333" s="203"/>
      <c r="AO333" s="203"/>
      <c r="AP333" s="203"/>
      <c r="AQ333" s="203"/>
      <c r="AR333" s="203"/>
      <c r="AS333" s="203"/>
      <c r="AT333" s="203"/>
    </row>
    <row r="334">
      <c r="A334" s="64">
        <v>271.0</v>
      </c>
      <c r="B334" s="283" t="s">
        <v>1709</v>
      </c>
      <c r="C334" s="284" t="s">
        <v>1269</v>
      </c>
      <c r="D334" s="283" t="s">
        <v>1368</v>
      </c>
      <c r="E334" s="648" t="s">
        <v>2</v>
      </c>
      <c r="F334" s="254" t="s">
        <v>1435</v>
      </c>
      <c r="G334" s="68" t="s">
        <v>326</v>
      </c>
      <c r="H334" s="171" t="s">
        <v>1221</v>
      </c>
      <c r="I334" s="622"/>
      <c r="J334" s="622"/>
      <c r="K334" s="622"/>
      <c r="L334" s="439" t="s">
        <v>60</v>
      </c>
      <c r="N334" s="433" t="s">
        <v>6015</v>
      </c>
      <c r="O334" s="622"/>
      <c r="P334" s="622"/>
      <c r="Q334" s="622"/>
      <c r="R334" s="622"/>
      <c r="S334" s="622"/>
      <c r="T334" s="622"/>
      <c r="U334" s="174" t="s">
        <v>379</v>
      </c>
      <c r="V334" s="622"/>
      <c r="W334" s="622"/>
      <c r="X334" s="622"/>
      <c r="Y334" s="622"/>
      <c r="Z334" s="622"/>
      <c r="AA334" s="622"/>
      <c r="AB334" s="622"/>
      <c r="AC334" s="417" t="s">
        <v>630</v>
      </c>
      <c r="AD334" s="83" t="s">
        <v>632</v>
      </c>
      <c r="AE334" s="83" t="s">
        <v>632</v>
      </c>
      <c r="AF334" s="417" t="s">
        <v>630</v>
      </c>
      <c r="AG334" s="622"/>
      <c r="AH334" s="622"/>
      <c r="AI334" s="203"/>
      <c r="AJ334" s="203"/>
      <c r="AK334" s="203"/>
      <c r="AL334" s="203"/>
      <c r="AM334" s="203"/>
      <c r="AN334" s="203"/>
      <c r="AO334" s="203"/>
      <c r="AP334" s="203"/>
      <c r="AQ334" s="203"/>
      <c r="AR334" s="203"/>
      <c r="AS334" s="203"/>
      <c r="AT334" s="203"/>
    </row>
    <row r="335">
      <c r="A335" s="64">
        <v>279.0</v>
      </c>
      <c r="B335" s="163" t="s">
        <v>1709</v>
      </c>
      <c r="C335" s="64" t="s">
        <v>1269</v>
      </c>
      <c r="D335" s="163" t="s">
        <v>1494</v>
      </c>
      <c r="E335" s="452" t="s">
        <v>302</v>
      </c>
      <c r="F335" s="254" t="s">
        <v>1404</v>
      </c>
      <c r="G335" s="382" t="s">
        <v>326</v>
      </c>
      <c r="H335" s="171" t="s">
        <v>1221</v>
      </c>
      <c r="I335" s="171" t="s">
        <v>1221</v>
      </c>
      <c r="J335" s="83" t="s">
        <v>114</v>
      </c>
      <c r="K335" s="378" t="s">
        <v>6027</v>
      </c>
      <c r="L335" s="170" t="s">
        <v>60</v>
      </c>
      <c r="N335" s="68" t="s">
        <v>6028</v>
      </c>
      <c r="O335" s="170" t="s">
        <v>665</v>
      </c>
      <c r="P335" s="458">
        <v>36414.0</v>
      </c>
      <c r="Q335" s="81">
        <f t="shared" ref="Q335:Q336" si="24">VALUE(LEFT(TEXT(S335,0),5))+1</f>
        <v>36414</v>
      </c>
      <c r="R335" s="68">
        <f t="shared" ref="R335:R336" si="25">DATEDIF($P335,TODAY(),"Y")</f>
        <v>26</v>
      </c>
      <c r="S335" s="81">
        <v>3.641311255E9</v>
      </c>
      <c r="T335" s="81"/>
      <c r="U335" s="83" t="s">
        <v>368</v>
      </c>
      <c r="V335" s="64"/>
      <c r="W335" s="83"/>
      <c r="X335" s="83"/>
      <c r="Y335" s="68" t="s">
        <v>183</v>
      </c>
      <c r="Z335" s="419" t="s">
        <v>1725</v>
      </c>
      <c r="AA335" s="83" t="s">
        <v>1178</v>
      </c>
      <c r="AB335" s="68"/>
      <c r="AC335" s="68" t="s">
        <v>1032</v>
      </c>
      <c r="AD335" s="169"/>
      <c r="AE335" s="83"/>
      <c r="AF335" s="68"/>
      <c r="AG335" s="83" t="s">
        <v>375</v>
      </c>
      <c r="AH335" s="202">
        <v>46036.0</v>
      </c>
      <c r="AI335" s="203"/>
      <c r="AJ335" s="203"/>
      <c r="AK335" s="203"/>
      <c r="AL335" s="203"/>
      <c r="AM335" s="203"/>
      <c r="AN335" s="203"/>
      <c r="AO335" s="203"/>
      <c r="AP335" s="203"/>
      <c r="AQ335" s="203"/>
      <c r="AR335" s="203"/>
      <c r="AS335" s="203"/>
      <c r="AT335" s="203"/>
    </row>
    <row r="336">
      <c r="A336" s="64">
        <v>283.0</v>
      </c>
      <c r="B336" s="283" t="s">
        <v>1709</v>
      </c>
      <c r="C336" s="284" t="s">
        <v>1269</v>
      </c>
      <c r="D336" s="283" t="s">
        <v>1494</v>
      </c>
      <c r="E336" s="452" t="s">
        <v>213</v>
      </c>
      <c r="F336" s="254" t="s">
        <v>1523</v>
      </c>
      <c r="G336" s="382" t="s">
        <v>60</v>
      </c>
      <c r="H336" s="171" t="s">
        <v>1221</v>
      </c>
      <c r="I336" s="64" t="s">
        <v>1443</v>
      </c>
      <c r="J336" s="83" t="s">
        <v>114</v>
      </c>
      <c r="K336" s="239"/>
      <c r="L336" s="170" t="s">
        <v>60</v>
      </c>
      <c r="N336" s="414" t="s">
        <v>6051</v>
      </c>
      <c r="O336" s="170" t="s">
        <v>6052</v>
      </c>
      <c r="P336" s="385">
        <v>36377.0</v>
      </c>
      <c r="Q336" s="81">
        <f t="shared" si="24"/>
        <v>36377</v>
      </c>
      <c r="R336" s="64">
        <f t="shared" si="25"/>
        <v>27</v>
      </c>
      <c r="S336" s="83">
        <v>3.637605811E9</v>
      </c>
      <c r="T336" s="81"/>
      <c r="U336" s="83" t="s">
        <v>136</v>
      </c>
      <c r="V336" s="64"/>
      <c r="W336" s="83"/>
      <c r="X336" s="83" t="s">
        <v>186</v>
      </c>
      <c r="Y336" s="68" t="s">
        <v>183</v>
      </c>
      <c r="Z336" s="170" t="s">
        <v>2482</v>
      </c>
      <c r="AA336" s="68"/>
      <c r="AB336" s="68"/>
      <c r="AC336" s="68"/>
      <c r="AD336" s="169"/>
      <c r="AE336" s="83"/>
      <c r="AF336" s="207">
        <v>45980.0</v>
      </c>
      <c r="AG336" s="83" t="s">
        <v>759</v>
      </c>
      <c r="AH336" s="385">
        <v>45998.0</v>
      </c>
      <c r="AI336" s="203"/>
      <c r="AJ336" s="203"/>
      <c r="AK336" s="203"/>
      <c r="AL336" s="203"/>
      <c r="AM336" s="203"/>
      <c r="AN336" s="203"/>
      <c r="AO336" s="203"/>
      <c r="AP336" s="203"/>
      <c r="AQ336" s="203"/>
      <c r="AR336" s="203"/>
      <c r="AS336" s="203"/>
      <c r="AT336" s="203"/>
    </row>
    <row r="337">
      <c r="A337" s="64">
        <v>304.0</v>
      </c>
      <c r="B337" s="283" t="s">
        <v>1709</v>
      </c>
      <c r="C337" s="284" t="s">
        <v>1517</v>
      </c>
      <c r="D337" s="284" t="s">
        <v>1368</v>
      </c>
      <c r="E337" s="452" t="s">
        <v>321</v>
      </c>
      <c r="F337" s="254" t="s">
        <v>1552</v>
      </c>
      <c r="G337" s="68" t="s">
        <v>60</v>
      </c>
      <c r="H337" s="171" t="s">
        <v>1221</v>
      </c>
      <c r="I337" s="622"/>
      <c r="J337" s="622"/>
      <c r="K337" s="622"/>
      <c r="L337" s="280" t="s">
        <v>60</v>
      </c>
      <c r="N337" s="433" t="s">
        <v>6068</v>
      </c>
      <c r="O337" s="622"/>
      <c r="P337" s="622"/>
      <c r="Q337" s="622"/>
      <c r="R337" s="622"/>
      <c r="S337" s="622"/>
      <c r="T337" s="622"/>
      <c r="U337" s="329" t="s">
        <v>379</v>
      </c>
      <c r="V337" s="68"/>
      <c r="W337" s="83"/>
      <c r="X337" s="68"/>
      <c r="Y337" s="68"/>
      <c r="Z337" s="68"/>
      <c r="AA337" s="68"/>
      <c r="AB337" s="68"/>
      <c r="AC337" s="417" t="s">
        <v>630</v>
      </c>
      <c r="AD337" s="83" t="s">
        <v>632</v>
      </c>
      <c r="AE337" s="83" t="s">
        <v>632</v>
      </c>
      <c r="AF337" s="417" t="s">
        <v>630</v>
      </c>
      <c r="AG337" s="622"/>
      <c r="AH337" s="622"/>
      <c r="AI337" s="203"/>
      <c r="AJ337" s="203"/>
      <c r="AK337" s="203"/>
      <c r="AL337" s="203"/>
      <c r="AM337" s="203"/>
      <c r="AN337" s="203"/>
      <c r="AO337" s="203"/>
      <c r="AP337" s="203"/>
      <c r="AQ337" s="203"/>
      <c r="AR337" s="203"/>
      <c r="AS337" s="203"/>
      <c r="AT337" s="203"/>
    </row>
    <row r="338">
      <c r="A338" s="64">
        <v>306.0</v>
      </c>
      <c r="B338" s="163" t="s">
        <v>1709</v>
      </c>
      <c r="C338" s="64" t="s">
        <v>1517</v>
      </c>
      <c r="D338" s="64" t="s">
        <v>1368</v>
      </c>
      <c r="E338" s="469" t="s">
        <v>213</v>
      </c>
      <c r="F338" s="254" t="s">
        <v>1523</v>
      </c>
      <c r="G338" s="382" t="s">
        <v>60</v>
      </c>
      <c r="H338" s="171" t="s">
        <v>1221</v>
      </c>
      <c r="I338" s="622"/>
      <c r="J338" s="622"/>
      <c r="K338" s="622"/>
      <c r="L338" s="280" t="s">
        <v>60</v>
      </c>
      <c r="N338" s="433" t="s">
        <v>6083</v>
      </c>
      <c r="O338" s="622"/>
      <c r="P338" s="622"/>
      <c r="Q338" s="622"/>
      <c r="R338" s="622"/>
      <c r="S338" s="622"/>
      <c r="T338" s="622"/>
      <c r="U338" s="329" t="s">
        <v>379</v>
      </c>
      <c r="V338" s="68"/>
      <c r="W338" s="83"/>
      <c r="X338" s="68"/>
      <c r="Y338" s="68"/>
      <c r="Z338" s="68"/>
      <c r="AA338" s="68"/>
      <c r="AB338" s="68"/>
      <c r="AC338" s="417" t="s">
        <v>630</v>
      </c>
      <c r="AD338" s="83" t="s">
        <v>632</v>
      </c>
      <c r="AE338" s="83" t="s">
        <v>632</v>
      </c>
      <c r="AF338" s="417" t="s">
        <v>630</v>
      </c>
      <c r="AG338" s="622"/>
      <c r="AH338" s="622"/>
      <c r="AI338" s="203"/>
      <c r="AJ338" s="203"/>
      <c r="AK338" s="203"/>
      <c r="AL338" s="203"/>
      <c r="AM338" s="203"/>
      <c r="AN338" s="203"/>
      <c r="AO338" s="203"/>
      <c r="AP338" s="203"/>
      <c r="AQ338" s="203"/>
      <c r="AR338" s="203"/>
      <c r="AS338" s="203"/>
      <c r="AT338" s="203"/>
    </row>
    <row r="339">
      <c r="A339" s="64">
        <v>312.0</v>
      </c>
      <c r="B339" s="163" t="s">
        <v>1709</v>
      </c>
      <c r="C339" s="64" t="s">
        <v>1517</v>
      </c>
      <c r="D339" s="64" t="s">
        <v>1494</v>
      </c>
      <c r="E339" s="452" t="s">
        <v>321</v>
      </c>
      <c r="F339" s="254" t="s">
        <v>1552</v>
      </c>
      <c r="G339" s="68" t="s">
        <v>60</v>
      </c>
      <c r="H339" s="171" t="s">
        <v>1221</v>
      </c>
      <c r="I339" s="64" t="s">
        <v>1443</v>
      </c>
      <c r="J339" s="68" t="s">
        <v>114</v>
      </c>
      <c r="K339" s="378" t="s">
        <v>6099</v>
      </c>
      <c r="L339" s="73" t="s">
        <v>656</v>
      </c>
      <c r="N339" s="74" t="s">
        <v>6102</v>
      </c>
      <c r="O339" s="73" t="s">
        <v>6103</v>
      </c>
      <c r="P339" s="385">
        <v>31475.0</v>
      </c>
      <c r="Q339" s="81">
        <f t="shared" ref="Q339:Q340" si="26">VALUE(LEFT(TEXT(S339,0),5))+1</f>
        <v>31475</v>
      </c>
      <c r="R339" s="64">
        <f t="shared" ref="R339:R340" si="27">DATEDIF($P339,TODAY(),"Y")</f>
        <v>40</v>
      </c>
      <c r="S339" s="83">
        <v>3.147420239E9</v>
      </c>
      <c r="T339" s="81"/>
      <c r="U339" s="83" t="s">
        <v>136</v>
      </c>
      <c r="V339" s="64"/>
      <c r="W339" s="64"/>
      <c r="X339" s="68" t="s">
        <v>186</v>
      </c>
      <c r="Y339" s="68" t="s">
        <v>1174</v>
      </c>
      <c r="Z339" s="170" t="s">
        <v>1725</v>
      </c>
      <c r="AA339" s="68"/>
      <c r="AB339" s="68"/>
      <c r="AC339" s="68"/>
      <c r="AD339" s="169"/>
      <c r="AE339" s="68"/>
      <c r="AF339" s="81"/>
      <c r="AG339" s="68"/>
      <c r="AH339" s="81">
        <v>46002.0</v>
      </c>
      <c r="AI339" s="203"/>
      <c r="AJ339" s="203"/>
      <c r="AK339" s="203"/>
      <c r="AL339" s="203"/>
      <c r="AM339" s="203"/>
      <c r="AN339" s="203"/>
      <c r="AO339" s="203"/>
      <c r="AP339" s="203"/>
      <c r="AQ339" s="203"/>
      <c r="AR339" s="203"/>
      <c r="AS339" s="203"/>
      <c r="AT339" s="203"/>
    </row>
    <row r="340">
      <c r="A340" s="64">
        <v>313.0</v>
      </c>
      <c r="B340" s="283" t="s">
        <v>1709</v>
      </c>
      <c r="C340" s="284" t="s">
        <v>1517</v>
      </c>
      <c r="D340" s="284" t="s">
        <v>1494</v>
      </c>
      <c r="E340" s="452" t="s">
        <v>213</v>
      </c>
      <c r="F340" s="254" t="s">
        <v>1523</v>
      </c>
      <c r="G340" s="68" t="s">
        <v>60</v>
      </c>
      <c r="H340" s="171" t="s">
        <v>1221</v>
      </c>
      <c r="I340" s="64" t="s">
        <v>1443</v>
      </c>
      <c r="J340" s="73" t="s">
        <v>114</v>
      </c>
      <c r="K340" s="373"/>
      <c r="L340" s="171" t="s">
        <v>60</v>
      </c>
      <c r="N340" s="68" t="s">
        <v>1377</v>
      </c>
      <c r="O340" s="68" t="s">
        <v>1378</v>
      </c>
      <c r="P340" s="103">
        <v>28259.0</v>
      </c>
      <c r="Q340" s="81">
        <f t="shared" si="26"/>
        <v>28259</v>
      </c>
      <c r="R340" s="64">
        <f t="shared" si="27"/>
        <v>49</v>
      </c>
      <c r="S340" s="81">
        <v>2.825802959E9</v>
      </c>
      <c r="T340" s="81"/>
      <c r="U340" s="190" t="s">
        <v>393</v>
      </c>
      <c r="V340" s="64"/>
      <c r="W340" s="64"/>
      <c r="X340" s="68"/>
      <c r="Y340" s="68"/>
      <c r="Z340" s="68"/>
      <c r="AA340" s="68"/>
      <c r="AB340" s="68"/>
      <c r="AC340" s="68" t="s">
        <v>1032</v>
      </c>
      <c r="AD340" s="169"/>
      <c r="AE340" s="83" t="s">
        <v>154</v>
      </c>
      <c r="AF340" s="169" t="s">
        <v>155</v>
      </c>
      <c r="AG340" s="83" t="s">
        <v>661</v>
      </c>
      <c r="AH340" s="385">
        <v>46038.0</v>
      </c>
      <c r="AI340" s="203"/>
      <c r="AJ340" s="203"/>
      <c r="AK340" s="203"/>
      <c r="AL340" s="203"/>
      <c r="AM340" s="203"/>
      <c r="AN340" s="203"/>
      <c r="AO340" s="203"/>
      <c r="AP340" s="203"/>
      <c r="AQ340" s="203"/>
      <c r="AR340" s="203"/>
      <c r="AS340" s="203"/>
      <c r="AT340" s="203"/>
    </row>
    <row r="341">
      <c r="A341" s="64">
        <v>319.0</v>
      </c>
      <c r="B341" s="283" t="s">
        <v>1709</v>
      </c>
      <c r="C341" s="284" t="s">
        <v>1517</v>
      </c>
      <c r="D341" s="284" t="s">
        <v>1519</v>
      </c>
      <c r="E341" s="452" t="s">
        <v>187</v>
      </c>
      <c r="F341" s="254" t="s">
        <v>1469</v>
      </c>
      <c r="G341" s="68" t="s">
        <v>60</v>
      </c>
      <c r="H341" s="171" t="s">
        <v>1221</v>
      </c>
      <c r="I341" s="622"/>
      <c r="J341" s="622"/>
      <c r="K341" s="622"/>
      <c r="L341" s="193" t="s">
        <v>60</v>
      </c>
      <c r="N341" s="433" t="s">
        <v>6144</v>
      </c>
      <c r="O341" s="622"/>
      <c r="P341" s="622"/>
      <c r="Q341" s="622"/>
      <c r="R341" s="622"/>
      <c r="S341" s="622"/>
      <c r="T341" s="622"/>
      <c r="U341" s="83" t="s">
        <v>379</v>
      </c>
      <c r="V341" s="64"/>
      <c r="W341" s="64"/>
      <c r="X341" s="68"/>
      <c r="Y341" s="68"/>
      <c r="Z341" s="68"/>
      <c r="AA341" s="68"/>
      <c r="AB341" s="68"/>
      <c r="AC341" s="417" t="s">
        <v>630</v>
      </c>
      <c r="AD341" s="83" t="s">
        <v>632</v>
      </c>
      <c r="AE341" s="83" t="s">
        <v>632</v>
      </c>
      <c r="AF341" s="417" t="s">
        <v>630</v>
      </c>
      <c r="AG341" s="622"/>
      <c r="AH341" s="622"/>
      <c r="AI341" s="203"/>
      <c r="AJ341" s="203"/>
      <c r="AK341" s="203"/>
      <c r="AL341" s="203"/>
      <c r="AM341" s="203"/>
      <c r="AN341" s="203"/>
      <c r="AO341" s="203"/>
      <c r="AP341" s="203"/>
      <c r="AQ341" s="203"/>
      <c r="AR341" s="203"/>
      <c r="AS341" s="203"/>
      <c r="AT341" s="203"/>
    </row>
    <row r="342">
      <c r="A342" s="64">
        <v>427.0</v>
      </c>
      <c r="B342" s="163" t="s">
        <v>3722</v>
      </c>
      <c r="C342" s="64" t="s">
        <v>3724</v>
      </c>
      <c r="D342" s="64" t="s">
        <v>6147</v>
      </c>
      <c r="E342" s="179" t="s">
        <v>1431</v>
      </c>
      <c r="F342" s="254" t="s">
        <v>1437</v>
      </c>
      <c r="G342" s="68" t="s">
        <v>60</v>
      </c>
      <c r="H342" s="171" t="s">
        <v>1221</v>
      </c>
      <c r="I342" s="64" t="s">
        <v>1443</v>
      </c>
      <c r="J342" s="83" t="s">
        <v>114</v>
      </c>
      <c r="K342" s="378" t="s">
        <v>6153</v>
      </c>
      <c r="L342" s="170" t="s">
        <v>610</v>
      </c>
      <c r="N342" s="68" t="s">
        <v>6154</v>
      </c>
      <c r="O342" s="68" t="s">
        <v>6155</v>
      </c>
      <c r="P342" s="458">
        <v>30638.0</v>
      </c>
      <c r="Q342" s="81">
        <f t="shared" ref="Q342:Q347" si="28">VALUE(LEFT(TEXT(S342,0),5))+1</f>
        <v>30638</v>
      </c>
      <c r="R342" s="68">
        <f t="shared" ref="R342:R347" si="29">DATEDIF($P342,TODAY(),"Y")</f>
        <v>42</v>
      </c>
      <c r="S342" s="81">
        <v>3.063700257E9</v>
      </c>
      <c r="T342" s="81"/>
      <c r="U342" s="83" t="s">
        <v>344</v>
      </c>
      <c r="V342" s="68"/>
      <c r="W342" s="83"/>
      <c r="X342" s="83"/>
      <c r="Y342" s="68" t="s">
        <v>1174</v>
      </c>
      <c r="Z342" s="419" t="s">
        <v>1725</v>
      </c>
      <c r="AA342" s="83" t="s">
        <v>1178</v>
      </c>
      <c r="AB342" s="68"/>
      <c r="AC342" s="68"/>
      <c r="AD342" s="169"/>
      <c r="AE342" s="83"/>
      <c r="AF342" s="68"/>
      <c r="AG342" s="83" t="s">
        <v>375</v>
      </c>
      <c r="AH342" s="83" t="s">
        <v>6167</v>
      </c>
      <c r="AI342" s="203"/>
      <c r="AJ342" s="203"/>
      <c r="AK342" s="203"/>
      <c r="AL342" s="203"/>
      <c r="AM342" s="203"/>
      <c r="AN342" s="203"/>
      <c r="AO342" s="203"/>
      <c r="AP342" s="203"/>
      <c r="AQ342" s="203"/>
      <c r="AR342" s="203"/>
      <c r="AS342" s="203"/>
      <c r="AT342" s="203"/>
    </row>
    <row r="343">
      <c r="A343" s="64">
        <v>550.0</v>
      </c>
      <c r="B343" s="163" t="s">
        <v>3297</v>
      </c>
      <c r="C343" s="64" t="s">
        <v>3298</v>
      </c>
      <c r="D343" s="64" t="s">
        <v>121</v>
      </c>
      <c r="E343" s="179" t="s">
        <v>1536</v>
      </c>
      <c r="F343" s="254" t="s">
        <v>3299</v>
      </c>
      <c r="G343" s="68" t="s">
        <v>60</v>
      </c>
      <c r="H343" s="171" t="s">
        <v>1221</v>
      </c>
      <c r="I343" s="64" t="s">
        <v>1443</v>
      </c>
      <c r="J343" s="83" t="s">
        <v>114</v>
      </c>
      <c r="K343" s="369" t="s">
        <v>6174</v>
      </c>
      <c r="L343" s="83" t="s">
        <v>60</v>
      </c>
      <c r="N343" s="414" t="s">
        <v>6176</v>
      </c>
      <c r="O343" s="83" t="s">
        <v>6177</v>
      </c>
      <c r="P343" s="463">
        <v>35416.0</v>
      </c>
      <c r="Q343" s="81">
        <f t="shared" si="28"/>
        <v>35416</v>
      </c>
      <c r="R343" s="68">
        <f t="shared" si="29"/>
        <v>29</v>
      </c>
      <c r="S343" s="81">
        <v>3.541512877E9</v>
      </c>
      <c r="T343" s="81"/>
      <c r="U343" s="340" t="s">
        <v>379</v>
      </c>
      <c r="V343" s="83"/>
      <c r="W343" s="83" t="s">
        <v>227</v>
      </c>
      <c r="X343" s="68"/>
      <c r="Y343" s="95" t="s">
        <v>1174</v>
      </c>
      <c r="Z343" s="626" t="s">
        <v>2482</v>
      </c>
      <c r="AA343" s="68"/>
      <c r="AB343" s="68"/>
      <c r="AC343" s="83" t="s">
        <v>6183</v>
      </c>
      <c r="AD343" s="169"/>
      <c r="AE343" s="83"/>
      <c r="AF343" s="83" t="s">
        <v>4767</v>
      </c>
      <c r="AG343" s="83"/>
      <c r="AH343" s="170" t="s">
        <v>6187</v>
      </c>
      <c r="AI343" s="203"/>
      <c r="AJ343" s="203"/>
      <c r="AK343" s="203"/>
      <c r="AL343" s="203"/>
      <c r="AM343" s="203"/>
      <c r="AN343" s="203"/>
      <c r="AO343" s="203"/>
      <c r="AP343" s="203"/>
      <c r="AQ343" s="203"/>
      <c r="AR343" s="203"/>
      <c r="AS343" s="203"/>
      <c r="AT343" s="203"/>
    </row>
    <row r="344">
      <c r="A344" s="64">
        <v>552.0</v>
      </c>
      <c r="B344" s="163" t="s">
        <v>3297</v>
      </c>
      <c r="C344" s="64" t="s">
        <v>3298</v>
      </c>
      <c r="D344" s="64" t="s">
        <v>121</v>
      </c>
      <c r="E344" s="179" t="s">
        <v>201</v>
      </c>
      <c r="F344" s="254" t="s">
        <v>1849</v>
      </c>
      <c r="G344" s="68" t="s">
        <v>60</v>
      </c>
      <c r="H344" s="171" t="s">
        <v>1221</v>
      </c>
      <c r="I344" s="64" t="s">
        <v>1443</v>
      </c>
      <c r="J344" s="171" t="s">
        <v>114</v>
      </c>
      <c r="K344" s="424"/>
      <c r="L344" s="73" t="s">
        <v>60</v>
      </c>
      <c r="N344" s="68" t="s">
        <v>2738</v>
      </c>
      <c r="O344" s="171" t="s">
        <v>2739</v>
      </c>
      <c r="P344" s="103">
        <v>36328.0</v>
      </c>
      <c r="Q344" s="81">
        <f t="shared" si="28"/>
        <v>36328</v>
      </c>
      <c r="R344" s="64">
        <f t="shared" si="29"/>
        <v>27</v>
      </c>
      <c r="S344" s="81">
        <v>3.632703394E9</v>
      </c>
      <c r="T344" s="81"/>
      <c r="U344" s="329" t="s">
        <v>379</v>
      </c>
      <c r="V344" s="83"/>
      <c r="W344" s="64"/>
      <c r="X344" s="68"/>
      <c r="Y344" s="68"/>
      <c r="Z344" s="68"/>
      <c r="AA344" s="68"/>
      <c r="AB344" s="68"/>
      <c r="AC344" s="83" t="s">
        <v>632</v>
      </c>
      <c r="AD344" s="68" t="s">
        <v>2876</v>
      </c>
      <c r="AE344" s="83" t="s">
        <v>291</v>
      </c>
      <c r="AF344" s="339" t="s">
        <v>6206</v>
      </c>
      <c r="AG344" s="83"/>
      <c r="AH344" s="83"/>
      <c r="AI344" s="203"/>
      <c r="AJ344" s="203"/>
      <c r="AK344" s="203"/>
      <c r="AL344" s="203"/>
      <c r="AM344" s="203"/>
      <c r="AN344" s="203"/>
      <c r="AO344" s="203"/>
      <c r="AP344" s="203"/>
      <c r="AQ344" s="203"/>
      <c r="AR344" s="203"/>
      <c r="AS344" s="203"/>
      <c r="AT344" s="203"/>
    </row>
    <row r="345">
      <c r="A345" s="64">
        <v>706.0</v>
      </c>
      <c r="B345" s="66" t="s">
        <v>3454</v>
      </c>
      <c r="C345" s="68" t="s">
        <v>6209</v>
      </c>
      <c r="D345" s="64" t="s">
        <v>121</v>
      </c>
      <c r="E345" s="71" t="s">
        <v>4597</v>
      </c>
      <c r="F345" s="254" t="s">
        <v>6211</v>
      </c>
      <c r="G345" s="64" t="s">
        <v>60</v>
      </c>
      <c r="H345" s="171" t="s">
        <v>1221</v>
      </c>
      <c r="I345" s="171" t="s">
        <v>1221</v>
      </c>
      <c r="J345" s="83" t="s">
        <v>114</v>
      </c>
      <c r="K345" s="378" t="s">
        <v>6213</v>
      </c>
      <c r="L345" s="171" t="s">
        <v>60</v>
      </c>
      <c r="N345" s="340" t="s">
        <v>6216</v>
      </c>
      <c r="O345" s="408" t="s">
        <v>6217</v>
      </c>
      <c r="P345" s="458">
        <v>29882.0</v>
      </c>
      <c r="Q345" s="81">
        <f t="shared" si="28"/>
        <v>29882</v>
      </c>
      <c r="R345" s="68">
        <f t="shared" si="29"/>
        <v>44</v>
      </c>
      <c r="S345" s="81">
        <v>2.98810093E9</v>
      </c>
      <c r="T345" s="81"/>
      <c r="U345" s="83" t="s">
        <v>368</v>
      </c>
      <c r="V345" s="64"/>
      <c r="W345" s="83"/>
      <c r="X345" s="83"/>
      <c r="Y345" s="68" t="s">
        <v>1174</v>
      </c>
      <c r="Z345" s="383" t="s">
        <v>991</v>
      </c>
      <c r="AA345" s="68"/>
      <c r="AB345" s="68"/>
      <c r="AC345" s="68" t="s">
        <v>2876</v>
      </c>
      <c r="AD345" s="68" t="s">
        <v>2876</v>
      </c>
      <c r="AE345" s="83"/>
      <c r="AF345" s="83"/>
      <c r="AG345" s="83" t="s">
        <v>375</v>
      </c>
      <c r="AH345" s="202">
        <v>46039.0</v>
      </c>
      <c r="AI345" s="203"/>
      <c r="AJ345" s="203"/>
      <c r="AK345" s="203"/>
      <c r="AL345" s="203"/>
      <c r="AM345" s="203"/>
      <c r="AN345" s="203"/>
      <c r="AO345" s="203"/>
      <c r="AP345" s="203"/>
      <c r="AQ345" s="203"/>
      <c r="AR345" s="203"/>
      <c r="AS345" s="203"/>
      <c r="AT345" s="203"/>
    </row>
    <row r="346">
      <c r="A346" s="64">
        <v>655.0</v>
      </c>
      <c r="B346" s="163" t="s">
        <v>6229</v>
      </c>
      <c r="C346" s="64" t="s">
        <v>121</v>
      </c>
      <c r="D346" s="64" t="s">
        <v>121</v>
      </c>
      <c r="E346" s="179" t="s">
        <v>1536</v>
      </c>
      <c r="F346" s="254" t="s">
        <v>6230</v>
      </c>
      <c r="G346" s="68" t="s">
        <v>60</v>
      </c>
      <c r="H346" s="171" t="s">
        <v>1221</v>
      </c>
      <c r="I346" s="64" t="s">
        <v>1443</v>
      </c>
      <c r="J346" s="73" t="s">
        <v>114</v>
      </c>
      <c r="K346" s="378" t="s">
        <v>6232</v>
      </c>
      <c r="L346" s="73" t="s">
        <v>60</v>
      </c>
      <c r="N346" s="68" t="s">
        <v>5843</v>
      </c>
      <c r="O346" s="319" t="s">
        <v>5845</v>
      </c>
      <c r="P346" s="75">
        <v>32281.0</v>
      </c>
      <c r="Q346" s="81" t="str">
        <f t="shared" si="28"/>
        <v>#VALUE!</v>
      </c>
      <c r="R346" s="68">
        <f t="shared" si="29"/>
        <v>38</v>
      </c>
      <c r="S346" s="81" t="s">
        <v>6237</v>
      </c>
      <c r="T346" s="81" t="s">
        <v>378</v>
      </c>
      <c r="U346" s="83" t="s">
        <v>393</v>
      </c>
      <c r="V346" s="64"/>
      <c r="W346" s="83"/>
      <c r="X346" s="83"/>
      <c r="Y346" s="68" t="s">
        <v>371</v>
      </c>
      <c r="Z346" s="83" t="s">
        <v>146</v>
      </c>
      <c r="AA346" s="83" t="s">
        <v>1178</v>
      </c>
      <c r="AB346" s="68"/>
      <c r="AC346" s="83" t="s">
        <v>150</v>
      </c>
      <c r="AD346" s="83" t="s">
        <v>150</v>
      </c>
      <c r="AE346" s="83" t="s">
        <v>154</v>
      </c>
      <c r="AF346" s="83" t="s">
        <v>155</v>
      </c>
      <c r="AG346" s="83" t="s">
        <v>375</v>
      </c>
      <c r="AH346" s="207"/>
      <c r="AI346" s="203"/>
      <c r="AJ346" s="203"/>
      <c r="AK346" s="203"/>
      <c r="AL346" s="203"/>
      <c r="AM346" s="203"/>
      <c r="AN346" s="203"/>
      <c r="AO346" s="203"/>
      <c r="AP346" s="203"/>
      <c r="AQ346" s="203"/>
      <c r="AR346" s="203"/>
      <c r="AS346" s="203"/>
      <c r="AT346" s="203"/>
    </row>
    <row r="347">
      <c r="A347" s="203"/>
      <c r="B347" s="203"/>
      <c r="C347" s="203"/>
      <c r="D347" s="203"/>
      <c r="E347" s="203"/>
      <c r="F347" s="203"/>
      <c r="G347" s="203"/>
      <c r="H347" s="203"/>
      <c r="I347" s="203"/>
      <c r="J347" s="83" t="s">
        <v>114</v>
      </c>
      <c r="K347" s="378" t="s">
        <v>6248</v>
      </c>
      <c r="L347" s="73"/>
      <c r="M347" s="73" t="s">
        <v>60</v>
      </c>
      <c r="N347" s="74" t="s">
        <v>6249</v>
      </c>
      <c r="O347" s="68" t="s">
        <v>6250</v>
      </c>
      <c r="P347" s="602">
        <v>31235.0</v>
      </c>
      <c r="Q347" s="81">
        <f t="shared" si="28"/>
        <v>31235</v>
      </c>
      <c r="R347" s="64">
        <f t="shared" si="29"/>
        <v>41</v>
      </c>
      <c r="S347" s="83">
        <v>3.123407095E9</v>
      </c>
      <c r="T347" s="81"/>
      <c r="U347" s="83" t="s">
        <v>136</v>
      </c>
      <c r="V347" s="64"/>
      <c r="W347" s="83"/>
      <c r="X347" s="83" t="s">
        <v>145</v>
      </c>
      <c r="Y347" s="68" t="s">
        <v>371</v>
      </c>
      <c r="Z347" s="83" t="s">
        <v>146</v>
      </c>
      <c r="AA347" s="83" t="s">
        <v>185</v>
      </c>
      <c r="AB347" s="68"/>
      <c r="AC347" s="83"/>
      <c r="AD347" s="169"/>
      <c r="AE347" s="83"/>
      <c r="AF347" s="68"/>
      <c r="AG347" s="83"/>
      <c r="AH347" s="385">
        <v>46055.0</v>
      </c>
      <c r="AI347" s="203"/>
      <c r="AJ347" s="203"/>
      <c r="AK347" s="203"/>
      <c r="AL347" s="203"/>
      <c r="AM347" s="203"/>
      <c r="AN347" s="203"/>
      <c r="AO347" s="203"/>
      <c r="AP347" s="203"/>
      <c r="AQ347" s="203"/>
      <c r="AR347" s="203"/>
      <c r="AS347" s="203"/>
      <c r="AT347" s="203"/>
    </row>
    <row r="348">
      <c r="A348" s="203"/>
      <c r="B348" s="203"/>
      <c r="C348" s="203"/>
      <c r="D348" s="203"/>
      <c r="E348" s="203"/>
      <c r="F348" s="203"/>
      <c r="G348" s="203"/>
      <c r="H348" s="203"/>
      <c r="I348" s="203"/>
      <c r="J348" s="203"/>
      <c r="K348" s="203"/>
      <c r="L348" s="203"/>
      <c r="M348" s="83" t="s">
        <v>60</v>
      </c>
      <c r="N348" s="74" t="s">
        <v>6262</v>
      </c>
      <c r="O348" s="83" t="s">
        <v>2478</v>
      </c>
      <c r="P348" s="64"/>
      <c r="Q348" s="64"/>
      <c r="R348" s="64"/>
      <c r="S348" s="81"/>
      <c r="T348" s="81"/>
      <c r="U348" s="83" t="s">
        <v>136</v>
      </c>
      <c r="V348" s="83"/>
      <c r="W348" s="83"/>
      <c r="X348" s="68" t="s">
        <v>182</v>
      </c>
      <c r="Y348" s="68" t="s">
        <v>183</v>
      </c>
      <c r="Z348" s="170" t="s">
        <v>2090</v>
      </c>
      <c r="AA348" s="83" t="s">
        <v>185</v>
      </c>
      <c r="AB348" s="68"/>
      <c r="AC348" s="68"/>
      <c r="AD348" s="169"/>
      <c r="AE348" s="83"/>
      <c r="AF348" s="83" t="s">
        <v>6268</v>
      </c>
      <c r="AG348" s="83"/>
      <c r="AH348" s="68"/>
      <c r="AI348" s="203"/>
      <c r="AJ348" s="203"/>
      <c r="AK348" s="203"/>
      <c r="AL348" s="203"/>
      <c r="AM348" s="203"/>
      <c r="AN348" s="203"/>
      <c r="AO348" s="203"/>
      <c r="AP348" s="203"/>
      <c r="AQ348" s="203"/>
      <c r="AR348" s="203"/>
      <c r="AS348" s="203"/>
      <c r="AT348" s="203"/>
    </row>
    <row r="349">
      <c r="A349" s="203"/>
      <c r="B349" s="203"/>
      <c r="C349" s="203"/>
      <c r="D349" s="203"/>
      <c r="E349" s="203"/>
      <c r="F349" s="203"/>
      <c r="G349" s="203"/>
      <c r="H349" s="203"/>
      <c r="I349" s="203"/>
      <c r="J349" s="239" t="s">
        <v>114</v>
      </c>
      <c r="K349" s="239"/>
      <c r="L349" s="170"/>
      <c r="M349" s="170" t="s">
        <v>60</v>
      </c>
      <c r="N349" s="414" t="s">
        <v>6271</v>
      </c>
      <c r="O349" s="83" t="s">
        <v>1492</v>
      </c>
      <c r="P349" s="64"/>
      <c r="Q349" s="81">
        <f t="shared" ref="Q349:Q367" si="30">VALUE(LEFT(TEXT(S349,0),5))+1</f>
        <v>1</v>
      </c>
      <c r="R349" s="64"/>
      <c r="S349" s="81"/>
      <c r="T349" s="81"/>
      <c r="U349" s="83" t="s">
        <v>136</v>
      </c>
      <c r="V349" s="83"/>
      <c r="W349" s="83"/>
      <c r="X349" s="83" t="s">
        <v>182</v>
      </c>
      <c r="Y349" s="68" t="s">
        <v>183</v>
      </c>
      <c r="Z349" s="170" t="s">
        <v>2090</v>
      </c>
      <c r="AA349" s="83" t="s">
        <v>185</v>
      </c>
      <c r="AB349" s="68"/>
      <c r="AC349" s="83"/>
      <c r="AD349" s="169"/>
      <c r="AE349" s="83"/>
      <c r="AF349" s="83"/>
      <c r="AG349" s="83" t="s">
        <v>6281</v>
      </c>
      <c r="AH349" s="385">
        <v>46071.0</v>
      </c>
      <c r="AI349" s="203"/>
      <c r="AJ349" s="203"/>
      <c r="AK349" s="203"/>
      <c r="AL349" s="203"/>
      <c r="AM349" s="203"/>
      <c r="AN349" s="203"/>
      <c r="AO349" s="203"/>
      <c r="AP349" s="203"/>
      <c r="AQ349" s="203"/>
      <c r="AR349" s="203"/>
      <c r="AS349" s="203"/>
      <c r="AT349" s="203"/>
    </row>
    <row r="350">
      <c r="A350" s="64">
        <v>73.0</v>
      </c>
      <c r="B350" s="283" t="s">
        <v>1039</v>
      </c>
      <c r="C350" s="284" t="s">
        <v>1517</v>
      </c>
      <c r="D350" s="284" t="s">
        <v>1368</v>
      </c>
      <c r="E350" s="454" t="s">
        <v>178</v>
      </c>
      <c r="F350" s="254" t="s">
        <v>1369</v>
      </c>
      <c r="G350" s="68" t="s">
        <v>102</v>
      </c>
      <c r="H350" s="436" t="s">
        <v>3336</v>
      </c>
      <c r="I350" s="64" t="s">
        <v>408</v>
      </c>
      <c r="J350" s="73" t="s">
        <v>114</v>
      </c>
      <c r="K350" s="471" t="s">
        <v>6292</v>
      </c>
      <c r="L350" s="661"/>
      <c r="M350" s="661" t="s">
        <v>360</v>
      </c>
      <c r="N350" s="489" t="s">
        <v>6298</v>
      </c>
      <c r="O350" s="73" t="s">
        <v>1422</v>
      </c>
      <c r="P350" s="133">
        <v>29515.0</v>
      </c>
      <c r="Q350" s="81">
        <f t="shared" si="30"/>
        <v>29515</v>
      </c>
      <c r="R350" s="64">
        <f t="shared" ref="R350:R367" si="31">DATEDIF($P350,TODAY(),"Y")</f>
        <v>45</v>
      </c>
      <c r="S350" s="81">
        <v>2.951402113E9</v>
      </c>
      <c r="T350" s="81"/>
      <c r="U350" s="329" t="s">
        <v>344</v>
      </c>
      <c r="V350" s="64"/>
      <c r="W350" s="68"/>
      <c r="X350" s="68"/>
      <c r="Y350" s="68"/>
      <c r="Z350" s="83" t="s">
        <v>146</v>
      </c>
      <c r="AA350" s="68"/>
      <c r="AB350" s="68"/>
      <c r="AC350" s="68" t="s">
        <v>2451</v>
      </c>
      <c r="AD350" s="169"/>
      <c r="AE350" s="83"/>
      <c r="AF350" s="68"/>
      <c r="AG350" s="83" t="s">
        <v>375</v>
      </c>
      <c r="AH350" s="202">
        <v>46037.0</v>
      </c>
      <c r="AI350" s="203"/>
      <c r="AJ350" s="203"/>
      <c r="AK350" s="203"/>
      <c r="AL350" s="203"/>
      <c r="AM350" s="203"/>
      <c r="AN350" s="203"/>
      <c r="AO350" s="203"/>
      <c r="AP350" s="203"/>
      <c r="AQ350" s="203"/>
      <c r="AR350" s="203"/>
      <c r="AS350" s="203"/>
      <c r="AT350" s="203"/>
    </row>
    <row r="351">
      <c r="A351" s="64">
        <v>124.0</v>
      </c>
      <c r="B351" s="163" t="s">
        <v>1039</v>
      </c>
      <c r="C351" s="64" t="s">
        <v>1611</v>
      </c>
      <c r="D351" s="64" t="s">
        <v>1519</v>
      </c>
      <c r="E351" s="469" t="s">
        <v>139</v>
      </c>
      <c r="F351" s="254" t="s">
        <v>1520</v>
      </c>
      <c r="G351" s="68" t="s">
        <v>60</v>
      </c>
      <c r="H351" s="171" t="s">
        <v>1221</v>
      </c>
      <c r="I351" s="64" t="s">
        <v>1443</v>
      </c>
      <c r="J351" s="83" t="s">
        <v>114</v>
      </c>
      <c r="K351" s="239"/>
      <c r="L351" s="170"/>
      <c r="M351" s="170" t="s">
        <v>102</v>
      </c>
      <c r="N351" s="68" t="s">
        <v>6322</v>
      </c>
      <c r="O351" s="170" t="s">
        <v>1490</v>
      </c>
      <c r="P351" s="602">
        <v>32163.0</v>
      </c>
      <c r="Q351" s="81">
        <f t="shared" si="30"/>
        <v>32163</v>
      </c>
      <c r="R351" s="68">
        <f t="shared" si="31"/>
        <v>38</v>
      </c>
      <c r="S351" s="81">
        <v>3.216205654E9</v>
      </c>
      <c r="T351" s="81"/>
      <c r="U351" s="83" t="s">
        <v>393</v>
      </c>
      <c r="V351" s="64"/>
      <c r="W351" s="83"/>
      <c r="X351" s="83"/>
      <c r="Y351" s="68"/>
      <c r="Z351" s="419" t="s">
        <v>1725</v>
      </c>
      <c r="AA351" s="83" t="s">
        <v>1178</v>
      </c>
      <c r="AB351" s="68"/>
      <c r="AC351" s="83" t="s">
        <v>2451</v>
      </c>
      <c r="AD351" s="169"/>
      <c r="AE351" s="83" t="s">
        <v>672</v>
      </c>
      <c r="AF351" s="83" t="s">
        <v>155</v>
      </c>
      <c r="AG351" s="83" t="s">
        <v>375</v>
      </c>
      <c r="AH351" s="83" t="s">
        <v>6334</v>
      </c>
      <c r="AI351" s="203"/>
      <c r="AJ351" s="203"/>
      <c r="AK351" s="203"/>
      <c r="AL351" s="203"/>
      <c r="AM351" s="203"/>
      <c r="AN351" s="203"/>
      <c r="AO351" s="203"/>
      <c r="AP351" s="203"/>
      <c r="AQ351" s="203"/>
      <c r="AR351" s="203"/>
      <c r="AS351" s="203"/>
      <c r="AT351" s="203"/>
    </row>
    <row r="352">
      <c r="A352" s="64">
        <v>126.0</v>
      </c>
      <c r="B352" s="163" t="s">
        <v>1039</v>
      </c>
      <c r="C352" s="64" t="s">
        <v>1611</v>
      </c>
      <c r="D352" s="64" t="s">
        <v>1519</v>
      </c>
      <c r="E352" s="452" t="s">
        <v>213</v>
      </c>
      <c r="F352" s="254" t="s">
        <v>1523</v>
      </c>
      <c r="G352" s="68" t="s">
        <v>60</v>
      </c>
      <c r="H352" s="171" t="s">
        <v>1221</v>
      </c>
      <c r="I352" s="64" t="s">
        <v>1443</v>
      </c>
      <c r="J352" s="83" t="s">
        <v>114</v>
      </c>
      <c r="K352" s="378" t="s">
        <v>6338</v>
      </c>
      <c r="L352" s="171"/>
      <c r="M352" s="171" t="s">
        <v>60</v>
      </c>
      <c r="N352" s="68" t="s">
        <v>6341</v>
      </c>
      <c r="O352" s="73" t="s">
        <v>6344</v>
      </c>
      <c r="P352" s="458">
        <v>32203.0</v>
      </c>
      <c r="Q352" s="81">
        <f t="shared" si="30"/>
        <v>32203</v>
      </c>
      <c r="R352" s="64">
        <f t="shared" si="31"/>
        <v>38</v>
      </c>
      <c r="S352" s="81">
        <v>3.220215692E9</v>
      </c>
      <c r="T352" s="81" t="s">
        <v>378</v>
      </c>
      <c r="U352" s="83" t="s">
        <v>393</v>
      </c>
      <c r="V352" s="83"/>
      <c r="W352" s="83"/>
      <c r="X352" s="83"/>
      <c r="Y352" s="68" t="s">
        <v>1174</v>
      </c>
      <c r="Z352" s="419" t="s">
        <v>1725</v>
      </c>
      <c r="AA352" s="68"/>
      <c r="AB352" s="68"/>
      <c r="AC352" s="83" t="s">
        <v>2451</v>
      </c>
      <c r="AD352" s="169"/>
      <c r="AE352" s="83" t="s">
        <v>154</v>
      </c>
      <c r="AF352" s="83" t="s">
        <v>155</v>
      </c>
      <c r="AG352" s="83" t="s">
        <v>375</v>
      </c>
      <c r="AH352" s="170" t="s">
        <v>6352</v>
      </c>
      <c r="AI352" s="203"/>
      <c r="AJ352" s="203"/>
      <c r="AK352" s="203"/>
      <c r="AL352" s="203"/>
      <c r="AM352" s="203"/>
      <c r="AN352" s="203"/>
      <c r="AO352" s="203"/>
      <c r="AP352" s="203"/>
      <c r="AQ352" s="203"/>
      <c r="AR352" s="203"/>
      <c r="AS352" s="203"/>
      <c r="AT352" s="203"/>
    </row>
    <row r="353">
      <c r="A353" s="64">
        <v>133.0</v>
      </c>
      <c r="B353" s="163" t="s">
        <v>1039</v>
      </c>
      <c r="C353" s="64" t="s">
        <v>1728</v>
      </c>
      <c r="D353" s="64" t="s">
        <v>121</v>
      </c>
      <c r="E353" s="454" t="s">
        <v>178</v>
      </c>
      <c r="F353" s="254" t="s">
        <v>3247</v>
      </c>
      <c r="G353" s="68" t="s">
        <v>102</v>
      </c>
      <c r="H353" s="436" t="s">
        <v>3336</v>
      </c>
      <c r="I353" s="449" t="s">
        <v>408</v>
      </c>
      <c r="J353" s="171" t="s">
        <v>114</v>
      </c>
      <c r="K353" s="471" t="s">
        <v>6359</v>
      </c>
      <c r="L353" s="663"/>
      <c r="M353" s="663" t="s">
        <v>102</v>
      </c>
      <c r="N353" s="387" t="s">
        <v>6363</v>
      </c>
      <c r="O353" s="664" t="s">
        <v>6365</v>
      </c>
      <c r="P353" s="388">
        <v>28602.0</v>
      </c>
      <c r="Q353" s="81">
        <f t="shared" si="30"/>
        <v>28602</v>
      </c>
      <c r="R353" s="64">
        <f t="shared" si="31"/>
        <v>48</v>
      </c>
      <c r="S353" s="81">
        <v>2.860115412E9</v>
      </c>
      <c r="T353" s="81" t="s">
        <v>1479</v>
      </c>
      <c r="U353" s="329" t="s">
        <v>136</v>
      </c>
      <c r="V353" s="83"/>
      <c r="W353" s="83"/>
      <c r="X353" s="68"/>
      <c r="Y353" s="64"/>
      <c r="Z353" s="64"/>
      <c r="AA353" s="169" t="s">
        <v>2768</v>
      </c>
      <c r="AB353" s="83" t="s">
        <v>192</v>
      </c>
      <c r="AC353" s="64" t="s">
        <v>2451</v>
      </c>
      <c r="AD353" s="169"/>
      <c r="AE353" s="83"/>
      <c r="AF353" s="83" t="s">
        <v>6377</v>
      </c>
      <c r="AG353" s="95"/>
      <c r="AH353" s="83" t="s">
        <v>6378</v>
      </c>
      <c r="AI353" s="203"/>
      <c r="AJ353" s="203"/>
      <c r="AK353" s="203"/>
      <c r="AL353" s="203"/>
      <c r="AM353" s="203"/>
      <c r="AN353" s="203"/>
      <c r="AO353" s="203"/>
      <c r="AP353" s="203"/>
      <c r="AQ353" s="203"/>
      <c r="AR353" s="203"/>
      <c r="AS353" s="203"/>
      <c r="AT353" s="203"/>
    </row>
    <row r="354">
      <c r="A354" s="64">
        <v>248.0</v>
      </c>
      <c r="B354" s="163" t="s">
        <v>1645</v>
      </c>
      <c r="C354" s="64" t="s">
        <v>1728</v>
      </c>
      <c r="D354" s="163" t="s">
        <v>121</v>
      </c>
      <c r="E354" s="454" t="s">
        <v>201</v>
      </c>
      <c r="F354" s="254" t="s">
        <v>1849</v>
      </c>
      <c r="G354" s="68" t="s">
        <v>60</v>
      </c>
      <c r="H354" s="171" t="s">
        <v>1221</v>
      </c>
      <c r="I354" s="64" t="s">
        <v>1443</v>
      </c>
      <c r="J354" s="68" t="s">
        <v>114</v>
      </c>
      <c r="K354" s="666" t="s">
        <v>6386</v>
      </c>
      <c r="L354" s="64"/>
      <c r="M354" s="64" t="s">
        <v>60</v>
      </c>
      <c r="N354" s="387" t="s">
        <v>4366</v>
      </c>
      <c r="O354" s="171" t="s">
        <v>4367</v>
      </c>
      <c r="P354" s="133">
        <v>29155.0</v>
      </c>
      <c r="Q354" s="81">
        <f t="shared" si="30"/>
        <v>29155</v>
      </c>
      <c r="R354" s="64">
        <f t="shared" si="31"/>
        <v>46</v>
      </c>
      <c r="S354" s="81" t="s">
        <v>6392</v>
      </c>
      <c r="T354" s="81"/>
      <c r="U354" s="387" t="s">
        <v>136</v>
      </c>
      <c r="V354" s="64"/>
      <c r="W354" s="64"/>
      <c r="X354" s="68"/>
      <c r="Y354" s="68"/>
      <c r="Z354" s="68"/>
      <c r="AA354" s="68"/>
      <c r="AB354" s="68"/>
      <c r="AC354" s="68" t="s">
        <v>150</v>
      </c>
      <c r="AD354" s="169"/>
      <c r="AE354" s="68"/>
      <c r="AF354" s="285" t="s">
        <v>155</v>
      </c>
      <c r="AG354" s="83" t="s">
        <v>697</v>
      </c>
      <c r="AH354" s="83" t="s">
        <v>6398</v>
      </c>
      <c r="AI354" s="203"/>
      <c r="AJ354" s="203"/>
      <c r="AK354" s="203"/>
      <c r="AL354" s="203"/>
      <c r="AM354" s="203"/>
      <c r="AN354" s="203"/>
      <c r="AO354" s="203"/>
      <c r="AP354" s="203"/>
      <c r="AQ354" s="203"/>
      <c r="AR354" s="203"/>
      <c r="AS354" s="203"/>
      <c r="AT354" s="203"/>
    </row>
    <row r="355">
      <c r="A355" s="64">
        <v>255.0</v>
      </c>
      <c r="B355" s="163" t="s">
        <v>1645</v>
      </c>
      <c r="C355" s="64" t="s">
        <v>1728</v>
      </c>
      <c r="D355" s="64" t="s">
        <v>121</v>
      </c>
      <c r="E355" s="454" t="s">
        <v>331</v>
      </c>
      <c r="F355" s="254" t="s">
        <v>1731</v>
      </c>
      <c r="G355" s="68" t="s">
        <v>60</v>
      </c>
      <c r="H355" s="171" t="s">
        <v>1221</v>
      </c>
      <c r="I355" s="64" t="s">
        <v>1443</v>
      </c>
      <c r="J355" s="73" t="s">
        <v>114</v>
      </c>
      <c r="K355" s="239" t="s">
        <v>6405</v>
      </c>
      <c r="L355" s="663"/>
      <c r="M355" s="663" t="s">
        <v>60</v>
      </c>
      <c r="N355" s="319" t="s">
        <v>5101</v>
      </c>
      <c r="O355" s="634" t="s">
        <v>694</v>
      </c>
      <c r="P355" s="272">
        <v>27774.0</v>
      </c>
      <c r="Q355" s="81">
        <f t="shared" si="30"/>
        <v>27774</v>
      </c>
      <c r="R355" s="64">
        <f t="shared" si="31"/>
        <v>50</v>
      </c>
      <c r="S355" s="83">
        <v>2.777316558E9</v>
      </c>
      <c r="T355" s="81"/>
      <c r="U355" s="317" t="s">
        <v>368</v>
      </c>
      <c r="V355" s="68"/>
      <c r="W355" s="68"/>
      <c r="X355" s="68"/>
      <c r="Y355" s="68"/>
      <c r="Z355" s="68"/>
      <c r="AA355" s="68"/>
      <c r="AB355" s="68"/>
      <c r="AC355" s="68" t="s">
        <v>150</v>
      </c>
      <c r="AD355" s="169"/>
      <c r="AE355" s="68"/>
      <c r="AF355" s="81"/>
      <c r="AG355" s="161"/>
      <c r="AH355" s="81">
        <v>45937.0</v>
      </c>
      <c r="AI355" s="203"/>
      <c r="AJ355" s="203"/>
      <c r="AK355" s="203"/>
      <c r="AL355" s="203"/>
      <c r="AM355" s="203"/>
      <c r="AN355" s="203"/>
      <c r="AO355" s="203"/>
      <c r="AP355" s="203"/>
      <c r="AQ355" s="203"/>
      <c r="AR355" s="203"/>
      <c r="AS355" s="203"/>
      <c r="AT355" s="203"/>
    </row>
    <row r="356">
      <c r="A356" s="64">
        <v>256.0</v>
      </c>
      <c r="B356" s="163" t="s">
        <v>1645</v>
      </c>
      <c r="C356" s="64" t="s">
        <v>1728</v>
      </c>
      <c r="D356" s="64" t="s">
        <v>121</v>
      </c>
      <c r="E356" s="454" t="s">
        <v>331</v>
      </c>
      <c r="F356" s="254" t="s">
        <v>1731</v>
      </c>
      <c r="G356" s="68" t="s">
        <v>60</v>
      </c>
      <c r="H356" s="171" t="s">
        <v>1221</v>
      </c>
      <c r="I356" s="64" t="s">
        <v>1443</v>
      </c>
      <c r="J356" s="73" t="s">
        <v>114</v>
      </c>
      <c r="K356" s="437"/>
      <c r="L356" s="64"/>
      <c r="M356" s="64" t="s">
        <v>60</v>
      </c>
      <c r="N356" s="387" t="s">
        <v>5967</v>
      </c>
      <c r="O356" s="73" t="s">
        <v>2093</v>
      </c>
      <c r="P356" s="458">
        <v>30092.0</v>
      </c>
      <c r="Q356" s="81">
        <f t="shared" si="30"/>
        <v>30092</v>
      </c>
      <c r="R356" s="64">
        <f t="shared" si="31"/>
        <v>44</v>
      </c>
      <c r="S356" s="81">
        <v>3.009102453E9</v>
      </c>
      <c r="T356" s="81"/>
      <c r="U356" s="340" t="s">
        <v>136</v>
      </c>
      <c r="V356" s="64"/>
      <c r="W356" s="64"/>
      <c r="X356" s="68"/>
      <c r="Y356" s="68"/>
      <c r="Z356" s="68"/>
      <c r="AA356" s="68"/>
      <c r="AB356" s="68"/>
      <c r="AC356" s="68" t="s">
        <v>150</v>
      </c>
      <c r="AD356" s="169"/>
      <c r="AE356" s="83"/>
      <c r="AF356" s="83"/>
      <c r="AG356" s="83"/>
      <c r="AH356" s="83" t="s">
        <v>6429</v>
      </c>
      <c r="AI356" s="203"/>
      <c r="AJ356" s="203"/>
      <c r="AK356" s="203"/>
      <c r="AL356" s="203"/>
      <c r="AM356" s="203"/>
      <c r="AN356" s="203"/>
      <c r="AO356" s="203"/>
      <c r="AP356" s="203"/>
      <c r="AQ356" s="203"/>
      <c r="AR356" s="203"/>
      <c r="AS356" s="203"/>
      <c r="AT356" s="203"/>
    </row>
    <row r="357">
      <c r="A357" s="64">
        <v>275.0</v>
      </c>
      <c r="B357" s="283" t="s">
        <v>1709</v>
      </c>
      <c r="C357" s="284" t="s">
        <v>1269</v>
      </c>
      <c r="D357" s="283" t="s">
        <v>1368</v>
      </c>
      <c r="E357" s="469" t="s">
        <v>213</v>
      </c>
      <c r="F357" s="254" t="s">
        <v>1523</v>
      </c>
      <c r="G357" s="68" t="s">
        <v>60</v>
      </c>
      <c r="H357" s="171" t="s">
        <v>1221</v>
      </c>
      <c r="I357" s="64" t="s">
        <v>1443</v>
      </c>
      <c r="J357" s="73" t="s">
        <v>114</v>
      </c>
      <c r="K357" s="373"/>
      <c r="L357" s="171"/>
      <c r="M357" s="171" t="s">
        <v>60</v>
      </c>
      <c r="N357" s="323" t="s">
        <v>6436</v>
      </c>
      <c r="O357" s="64" t="s">
        <v>3214</v>
      </c>
      <c r="P357" s="103">
        <v>29266.0</v>
      </c>
      <c r="Q357" s="81">
        <f t="shared" si="30"/>
        <v>29266</v>
      </c>
      <c r="R357" s="64">
        <f t="shared" si="31"/>
        <v>46</v>
      </c>
      <c r="S357" s="83">
        <v>2.926514099E9</v>
      </c>
      <c r="T357" s="81"/>
      <c r="U357" s="186" t="s">
        <v>368</v>
      </c>
      <c r="V357" s="64"/>
      <c r="W357" s="64"/>
      <c r="X357" s="68"/>
      <c r="Y357" s="68"/>
      <c r="Z357" s="68"/>
      <c r="AA357" s="68"/>
      <c r="AB357" s="68"/>
      <c r="AC357" s="68" t="s">
        <v>1032</v>
      </c>
      <c r="AD357" s="169"/>
      <c r="AE357" s="64"/>
      <c r="AF357" s="81"/>
      <c r="AG357" s="161" t="s">
        <v>2967</v>
      </c>
      <c r="AH357" s="81">
        <v>45875.0</v>
      </c>
      <c r="AI357" s="203"/>
      <c r="AJ357" s="203"/>
      <c r="AK357" s="203"/>
      <c r="AL357" s="203"/>
      <c r="AM357" s="203"/>
      <c r="AN357" s="203"/>
      <c r="AO357" s="203"/>
      <c r="AP357" s="203"/>
      <c r="AQ357" s="203"/>
      <c r="AR357" s="203"/>
      <c r="AS357" s="203"/>
      <c r="AT357" s="203"/>
    </row>
    <row r="358">
      <c r="A358" s="64">
        <v>291.0</v>
      </c>
      <c r="B358" s="163" t="s">
        <v>1709</v>
      </c>
      <c r="C358" s="64" t="s">
        <v>1269</v>
      </c>
      <c r="D358" s="64" t="s">
        <v>1519</v>
      </c>
      <c r="E358" s="452" t="s">
        <v>321</v>
      </c>
      <c r="F358" s="254" t="s">
        <v>1552</v>
      </c>
      <c r="G358" s="68" t="s">
        <v>60</v>
      </c>
      <c r="H358" s="171" t="s">
        <v>1221</v>
      </c>
      <c r="I358" s="64" t="s">
        <v>1443</v>
      </c>
      <c r="J358" s="83" t="s">
        <v>114</v>
      </c>
      <c r="K358" s="378" t="s">
        <v>6450</v>
      </c>
      <c r="L358" s="170"/>
      <c r="M358" s="170" t="s">
        <v>60</v>
      </c>
      <c r="N358" s="83" t="s">
        <v>6452</v>
      </c>
      <c r="O358" s="670" t="s">
        <v>6454</v>
      </c>
      <c r="P358" s="671">
        <v>32065.0</v>
      </c>
      <c r="Q358" s="81">
        <f t="shared" si="30"/>
        <v>32065</v>
      </c>
      <c r="R358" s="68">
        <f t="shared" si="31"/>
        <v>38</v>
      </c>
      <c r="S358" s="83">
        <v>3.206409896E9</v>
      </c>
      <c r="T358" s="81"/>
      <c r="U358" s="83" t="s">
        <v>379</v>
      </c>
      <c r="V358" s="83"/>
      <c r="W358" s="68"/>
      <c r="X358" s="83" t="s">
        <v>186</v>
      </c>
      <c r="Y358" s="68"/>
      <c r="Z358" s="170" t="s">
        <v>1460</v>
      </c>
      <c r="AA358" s="83"/>
      <c r="AB358" s="68"/>
      <c r="AC358" s="83" t="s">
        <v>6465</v>
      </c>
      <c r="AD358" s="169"/>
      <c r="AE358" s="83" t="s">
        <v>291</v>
      </c>
      <c r="AF358" s="83" t="s">
        <v>6469</v>
      </c>
      <c r="AG358" s="83"/>
      <c r="AH358" s="385"/>
      <c r="AI358" s="203"/>
      <c r="AJ358" s="203"/>
      <c r="AK358" s="203"/>
      <c r="AL358" s="203"/>
      <c r="AM358" s="203"/>
      <c r="AN358" s="203"/>
      <c r="AO358" s="203"/>
      <c r="AP358" s="203"/>
      <c r="AQ358" s="203"/>
      <c r="AR358" s="203"/>
      <c r="AS358" s="203"/>
      <c r="AT358" s="203"/>
    </row>
    <row r="359">
      <c r="A359" s="64">
        <v>350.0</v>
      </c>
      <c r="B359" s="283" t="s">
        <v>1709</v>
      </c>
      <c r="C359" s="284" t="s">
        <v>1611</v>
      </c>
      <c r="D359" s="284" t="s">
        <v>1519</v>
      </c>
      <c r="E359" s="469" t="s">
        <v>139</v>
      </c>
      <c r="F359" s="254" t="s">
        <v>1520</v>
      </c>
      <c r="G359" s="68" t="s">
        <v>60</v>
      </c>
      <c r="H359" s="171" t="s">
        <v>1221</v>
      </c>
      <c r="I359" s="64" t="s">
        <v>1443</v>
      </c>
      <c r="J359" s="171" t="s">
        <v>114</v>
      </c>
      <c r="K359" s="239" t="s">
        <v>6477</v>
      </c>
      <c r="L359" s="171"/>
      <c r="M359" s="171" t="s">
        <v>60</v>
      </c>
      <c r="N359" s="64" t="s">
        <v>3220</v>
      </c>
      <c r="O359" s="64" t="s">
        <v>652</v>
      </c>
      <c r="P359" s="133">
        <v>28472.0</v>
      </c>
      <c r="Q359" s="81">
        <f t="shared" si="30"/>
        <v>28472</v>
      </c>
      <c r="R359" s="64">
        <f t="shared" si="31"/>
        <v>48</v>
      </c>
      <c r="S359" s="83">
        <v>2.847118215E9</v>
      </c>
      <c r="T359" s="81"/>
      <c r="U359" s="186" t="s">
        <v>368</v>
      </c>
      <c r="V359" s="64"/>
      <c r="W359" s="64"/>
      <c r="X359" s="68"/>
      <c r="Y359" s="64"/>
      <c r="Z359" s="64"/>
      <c r="AA359" s="64"/>
      <c r="AB359" s="68"/>
      <c r="AC359" s="64" t="s">
        <v>1032</v>
      </c>
      <c r="AD359" s="169"/>
      <c r="AE359" s="64"/>
      <c r="AF359" s="81"/>
      <c r="AG359" s="161" t="s">
        <v>2967</v>
      </c>
      <c r="AH359" s="81">
        <v>45875.0</v>
      </c>
      <c r="AI359" s="203"/>
      <c r="AJ359" s="203"/>
      <c r="AK359" s="203"/>
      <c r="AL359" s="203"/>
      <c r="AM359" s="203"/>
      <c r="AN359" s="203"/>
      <c r="AO359" s="203"/>
      <c r="AP359" s="203"/>
      <c r="AQ359" s="203"/>
      <c r="AR359" s="203"/>
      <c r="AS359" s="203"/>
      <c r="AT359" s="203"/>
    </row>
    <row r="360">
      <c r="A360" s="64">
        <v>528.0</v>
      </c>
      <c r="B360" s="163" t="s">
        <v>1728</v>
      </c>
      <c r="C360" s="64" t="s">
        <v>4028</v>
      </c>
      <c r="D360" s="64" t="s">
        <v>121</v>
      </c>
      <c r="E360" s="179" t="s">
        <v>331</v>
      </c>
      <c r="F360" s="254" t="s">
        <v>1731</v>
      </c>
      <c r="G360" s="68" t="s">
        <v>60</v>
      </c>
      <c r="H360" s="171" t="s">
        <v>1221</v>
      </c>
      <c r="I360" s="64" t="s">
        <v>1443</v>
      </c>
      <c r="J360" s="68" t="s">
        <v>114</v>
      </c>
      <c r="K360" s="437"/>
      <c r="L360" s="64"/>
      <c r="M360" s="64" t="s">
        <v>60</v>
      </c>
      <c r="N360" s="387" t="s">
        <v>4262</v>
      </c>
      <c r="O360" s="171" t="s">
        <v>1958</v>
      </c>
      <c r="P360" s="103">
        <v>34541.0</v>
      </c>
      <c r="Q360" s="81">
        <f t="shared" si="30"/>
        <v>34541</v>
      </c>
      <c r="R360" s="64">
        <f t="shared" si="31"/>
        <v>32</v>
      </c>
      <c r="S360" s="81">
        <v>3.454016157E9</v>
      </c>
      <c r="T360" s="81"/>
      <c r="U360" s="257" t="s">
        <v>136</v>
      </c>
      <c r="V360" s="64"/>
      <c r="W360" s="64"/>
      <c r="X360" s="68"/>
      <c r="Y360" s="68"/>
      <c r="Z360" s="68"/>
      <c r="AA360" s="68"/>
      <c r="AB360" s="68"/>
      <c r="AC360" s="68" t="s">
        <v>1032</v>
      </c>
      <c r="AD360" s="68" t="s">
        <v>1032</v>
      </c>
      <c r="AE360" s="68"/>
      <c r="AF360" s="68"/>
      <c r="AG360" s="83"/>
      <c r="AH360" s="83" t="s">
        <v>6500</v>
      </c>
      <c r="AI360" s="203"/>
      <c r="AJ360" s="203"/>
      <c r="AK360" s="203"/>
      <c r="AL360" s="203"/>
      <c r="AM360" s="203"/>
      <c r="AN360" s="203"/>
      <c r="AO360" s="203"/>
      <c r="AP360" s="203"/>
      <c r="AQ360" s="203"/>
      <c r="AR360" s="203"/>
      <c r="AS360" s="203"/>
      <c r="AT360" s="203"/>
    </row>
    <row r="361">
      <c r="A361" s="64">
        <v>524.0</v>
      </c>
      <c r="B361" s="163" t="s">
        <v>1728</v>
      </c>
      <c r="C361" s="64" t="s">
        <v>4028</v>
      </c>
      <c r="D361" s="64" t="s">
        <v>121</v>
      </c>
      <c r="E361" s="179" t="s">
        <v>201</v>
      </c>
      <c r="F361" s="254" t="s">
        <v>1849</v>
      </c>
      <c r="G361" s="382" t="s">
        <v>60</v>
      </c>
      <c r="H361" s="171" t="s">
        <v>1221</v>
      </c>
      <c r="I361" s="64" t="s">
        <v>1443</v>
      </c>
      <c r="J361" s="83" t="s">
        <v>114</v>
      </c>
      <c r="K361" s="383" t="s">
        <v>3564</v>
      </c>
      <c r="L361" s="170"/>
      <c r="M361" s="170" t="s">
        <v>60</v>
      </c>
      <c r="N361" s="74" t="s">
        <v>6505</v>
      </c>
      <c r="O361" s="383" t="s">
        <v>3564</v>
      </c>
      <c r="P361" s="385">
        <v>34805.0</v>
      </c>
      <c r="Q361" s="81">
        <f t="shared" si="30"/>
        <v>34805</v>
      </c>
      <c r="R361" s="64">
        <f t="shared" si="31"/>
        <v>31</v>
      </c>
      <c r="S361" s="83">
        <v>3.480413454E9</v>
      </c>
      <c r="T361" s="81"/>
      <c r="U361" s="83" t="s">
        <v>136</v>
      </c>
      <c r="V361" s="64"/>
      <c r="W361" s="83"/>
      <c r="X361" s="83" t="s">
        <v>186</v>
      </c>
      <c r="Y361" s="68" t="s">
        <v>183</v>
      </c>
      <c r="Z361" s="68"/>
      <c r="AA361" s="68"/>
      <c r="AB361" s="68"/>
      <c r="AC361" s="68"/>
      <c r="AD361" s="169"/>
      <c r="AE361" s="83"/>
      <c r="AF361" s="83" t="s">
        <v>6512</v>
      </c>
      <c r="AG361" s="81"/>
      <c r="AH361" s="385">
        <v>45995.0</v>
      </c>
      <c r="AI361" s="203"/>
      <c r="AJ361" s="203"/>
      <c r="AK361" s="203"/>
      <c r="AL361" s="203"/>
      <c r="AM361" s="203"/>
      <c r="AN361" s="203"/>
      <c r="AO361" s="203"/>
      <c r="AP361" s="203"/>
      <c r="AQ361" s="203"/>
      <c r="AR361" s="203"/>
      <c r="AS361" s="203"/>
      <c r="AT361" s="203"/>
    </row>
    <row r="362">
      <c r="A362" s="64">
        <v>527.0</v>
      </c>
      <c r="B362" s="163" t="s">
        <v>1728</v>
      </c>
      <c r="C362" s="64" t="s">
        <v>4028</v>
      </c>
      <c r="D362" s="64" t="s">
        <v>121</v>
      </c>
      <c r="E362" s="179" t="s">
        <v>331</v>
      </c>
      <c r="F362" s="254" t="s">
        <v>1731</v>
      </c>
      <c r="G362" s="68" t="s">
        <v>60</v>
      </c>
      <c r="H362" s="171" t="s">
        <v>1221</v>
      </c>
      <c r="I362" s="64" t="s">
        <v>1443</v>
      </c>
      <c r="J362" s="171" t="s">
        <v>114</v>
      </c>
      <c r="K362" s="378" t="s">
        <v>6518</v>
      </c>
      <c r="L362" s="171"/>
      <c r="M362" s="171" t="s">
        <v>60</v>
      </c>
      <c r="N362" s="387" t="s">
        <v>6521</v>
      </c>
      <c r="O362" s="171" t="s">
        <v>6522</v>
      </c>
      <c r="P362" s="103">
        <v>32597.0</v>
      </c>
      <c r="Q362" s="81">
        <f t="shared" si="30"/>
        <v>32597</v>
      </c>
      <c r="R362" s="64">
        <f t="shared" si="31"/>
        <v>37</v>
      </c>
      <c r="S362" s="81">
        <v>3.259612294E9</v>
      </c>
      <c r="T362" s="81"/>
      <c r="U362" s="257" t="s">
        <v>136</v>
      </c>
      <c r="V362" s="64"/>
      <c r="W362" s="83"/>
      <c r="X362" s="68"/>
      <c r="Y362" s="68"/>
      <c r="Z362" s="68"/>
      <c r="AA362" s="68"/>
      <c r="AB362" s="83" t="s">
        <v>192</v>
      </c>
      <c r="AC362" s="68" t="s">
        <v>1032</v>
      </c>
      <c r="AD362" s="68" t="s">
        <v>1032</v>
      </c>
      <c r="AE362" s="83"/>
      <c r="AF362" s="170"/>
      <c r="AG362" s="68"/>
      <c r="AH362" s="83" t="s">
        <v>6429</v>
      </c>
      <c r="AI362" s="203"/>
      <c r="AJ362" s="203"/>
      <c r="AK362" s="203"/>
      <c r="AL362" s="203"/>
      <c r="AM362" s="203"/>
      <c r="AN362" s="203"/>
      <c r="AO362" s="203"/>
      <c r="AP362" s="203"/>
      <c r="AQ362" s="203"/>
      <c r="AR362" s="203"/>
      <c r="AS362" s="203"/>
      <c r="AT362" s="203"/>
    </row>
    <row r="363">
      <c r="A363" s="64">
        <v>548.0</v>
      </c>
      <c r="B363" s="163" t="s">
        <v>3297</v>
      </c>
      <c r="C363" s="64" t="s">
        <v>3298</v>
      </c>
      <c r="D363" s="64" t="s">
        <v>121</v>
      </c>
      <c r="E363" s="179" t="s">
        <v>1932</v>
      </c>
      <c r="F363" s="254" t="s">
        <v>3486</v>
      </c>
      <c r="G363" s="68" t="s">
        <v>326</v>
      </c>
      <c r="H363" s="171" t="s">
        <v>1221</v>
      </c>
      <c r="I363" s="64" t="s">
        <v>1443</v>
      </c>
      <c r="J363" s="73" t="s">
        <v>114</v>
      </c>
      <c r="K363" s="239" t="s">
        <v>6533</v>
      </c>
      <c r="L363" s="73"/>
      <c r="M363" s="73" t="s">
        <v>60</v>
      </c>
      <c r="N363" s="74" t="s">
        <v>5030</v>
      </c>
      <c r="O363" s="171" t="s">
        <v>5032</v>
      </c>
      <c r="P363" s="103">
        <v>29136.0</v>
      </c>
      <c r="Q363" s="81">
        <f t="shared" si="30"/>
        <v>29136</v>
      </c>
      <c r="R363" s="64">
        <f t="shared" si="31"/>
        <v>46</v>
      </c>
      <c r="S363" s="81">
        <v>2.913500096E9</v>
      </c>
      <c r="T363" s="81"/>
      <c r="U363" s="257" t="s">
        <v>136</v>
      </c>
      <c r="V363" s="64"/>
      <c r="W363" s="64"/>
      <c r="X363" s="68"/>
      <c r="Y363" s="68"/>
      <c r="Z363" s="68"/>
      <c r="AA363" s="68"/>
      <c r="AB363" s="68"/>
      <c r="AC363" s="68" t="s">
        <v>2451</v>
      </c>
      <c r="AD363" s="68" t="s">
        <v>2451</v>
      </c>
      <c r="AE363" s="83"/>
      <c r="AF363" s="75"/>
      <c r="AG363" s="83"/>
      <c r="AH363" s="83" t="s">
        <v>6429</v>
      </c>
      <c r="AI363" s="203"/>
      <c r="AJ363" s="203"/>
      <c r="AK363" s="203"/>
      <c r="AL363" s="203"/>
      <c r="AM363" s="203"/>
      <c r="AN363" s="203"/>
      <c r="AO363" s="203"/>
      <c r="AP363" s="203"/>
      <c r="AQ363" s="203"/>
      <c r="AR363" s="203"/>
      <c r="AS363" s="203"/>
      <c r="AT363" s="203"/>
    </row>
    <row r="364">
      <c r="A364" s="64">
        <v>660.0</v>
      </c>
      <c r="B364" s="163" t="s">
        <v>6229</v>
      </c>
      <c r="C364" s="64" t="s">
        <v>121</v>
      </c>
      <c r="D364" s="64" t="s">
        <v>121</v>
      </c>
      <c r="E364" s="179" t="s">
        <v>1536</v>
      </c>
      <c r="F364" s="254" t="s">
        <v>6230</v>
      </c>
      <c r="G364" s="68" t="s">
        <v>60</v>
      </c>
      <c r="H364" s="171" t="s">
        <v>1221</v>
      </c>
      <c r="I364" s="64" t="s">
        <v>1443</v>
      </c>
      <c r="J364" s="73" t="s">
        <v>114</v>
      </c>
      <c r="K364" s="373"/>
      <c r="L364" s="171"/>
      <c r="M364" s="171" t="s">
        <v>60</v>
      </c>
      <c r="N364" s="387" t="s">
        <v>6548</v>
      </c>
      <c r="O364" s="171" t="s">
        <v>6549</v>
      </c>
      <c r="P364" s="103">
        <v>31519.0</v>
      </c>
      <c r="Q364" s="81">
        <f t="shared" si="30"/>
        <v>31519</v>
      </c>
      <c r="R364" s="64">
        <f t="shared" si="31"/>
        <v>40</v>
      </c>
      <c r="S364" s="83">
        <v>3.151807771E9</v>
      </c>
      <c r="T364" s="81"/>
      <c r="U364" s="340" t="s">
        <v>136</v>
      </c>
      <c r="V364" s="68"/>
      <c r="W364" s="83"/>
      <c r="X364" s="68"/>
      <c r="Y364" s="68"/>
      <c r="Z364" s="68"/>
      <c r="AA364" s="68"/>
      <c r="AB364" s="68"/>
      <c r="AC364" s="68" t="s">
        <v>6556</v>
      </c>
      <c r="AD364" s="68" t="s">
        <v>6556</v>
      </c>
      <c r="AE364" s="83"/>
      <c r="AF364" s="81" t="s">
        <v>6556</v>
      </c>
      <c r="AG364" s="83"/>
      <c r="AH364" s="675">
        <v>46017.0</v>
      </c>
      <c r="AI364" s="203"/>
      <c r="AJ364" s="203"/>
      <c r="AK364" s="203"/>
      <c r="AL364" s="203"/>
      <c r="AM364" s="203"/>
      <c r="AN364" s="203"/>
      <c r="AO364" s="203"/>
      <c r="AP364" s="203"/>
      <c r="AQ364" s="203"/>
      <c r="AR364" s="203"/>
      <c r="AS364" s="203"/>
      <c r="AT364" s="203"/>
    </row>
    <row r="365">
      <c r="A365" s="64">
        <v>670.0</v>
      </c>
      <c r="B365" s="163" t="s">
        <v>3332</v>
      </c>
      <c r="C365" s="64" t="s">
        <v>6561</v>
      </c>
      <c r="D365" s="64" t="s">
        <v>121</v>
      </c>
      <c r="E365" s="179" t="s">
        <v>295</v>
      </c>
      <c r="F365" s="254" t="s">
        <v>1241</v>
      </c>
      <c r="G365" s="68" t="s">
        <v>60</v>
      </c>
      <c r="H365" s="171" t="s">
        <v>1221</v>
      </c>
      <c r="I365" s="64" t="s">
        <v>1443</v>
      </c>
      <c r="J365" s="83" t="s">
        <v>114</v>
      </c>
      <c r="K365" s="369"/>
      <c r="L365" s="83"/>
      <c r="M365" s="83" t="s">
        <v>60</v>
      </c>
      <c r="N365" s="83" t="s">
        <v>6567</v>
      </c>
      <c r="O365" s="83" t="s">
        <v>6569</v>
      </c>
      <c r="P365" s="602">
        <v>33316.0</v>
      </c>
      <c r="Q365" s="81">
        <f t="shared" si="30"/>
        <v>33316</v>
      </c>
      <c r="R365" s="64">
        <f t="shared" si="31"/>
        <v>35</v>
      </c>
      <c r="S365" s="81">
        <v>3.331506076E9</v>
      </c>
      <c r="T365" s="81"/>
      <c r="U365" s="83" t="s">
        <v>368</v>
      </c>
      <c r="V365" s="83"/>
      <c r="W365" s="83"/>
      <c r="X365" s="83"/>
      <c r="Y365" s="68"/>
      <c r="Z365" s="626" t="s">
        <v>2482</v>
      </c>
      <c r="AA365" s="83" t="s">
        <v>1178</v>
      </c>
      <c r="AB365" s="68"/>
      <c r="AC365" s="68"/>
      <c r="AD365" s="169"/>
      <c r="AE365" s="83"/>
      <c r="AF365" s="83"/>
      <c r="AG365" s="83" t="s">
        <v>375</v>
      </c>
      <c r="AH365" s="385">
        <v>46054.0</v>
      </c>
      <c r="AI365" s="203"/>
      <c r="AJ365" s="203"/>
      <c r="AK365" s="203"/>
      <c r="AL365" s="203"/>
      <c r="AM365" s="203"/>
      <c r="AN365" s="203"/>
      <c r="AO365" s="203"/>
      <c r="AP365" s="203"/>
      <c r="AQ365" s="203"/>
      <c r="AR365" s="203"/>
      <c r="AS365" s="203"/>
      <c r="AT365" s="203"/>
    </row>
    <row r="366">
      <c r="A366" s="64">
        <v>728.0</v>
      </c>
      <c r="B366" s="397" t="s">
        <v>1751</v>
      </c>
      <c r="C366" s="398" t="s">
        <v>121</v>
      </c>
      <c r="D366" s="400" t="s">
        <v>121</v>
      </c>
      <c r="E366" s="477" t="s">
        <v>331</v>
      </c>
      <c r="F366" s="404" t="s">
        <v>3791</v>
      </c>
      <c r="G366" s="400" t="s">
        <v>60</v>
      </c>
      <c r="H366" s="171" t="s">
        <v>1221</v>
      </c>
      <c r="I366" s="64" t="s">
        <v>1443</v>
      </c>
      <c r="J366" s="73" t="s">
        <v>114</v>
      </c>
      <c r="K366" s="373"/>
      <c r="L366" s="171"/>
      <c r="M366" s="171" t="s">
        <v>60</v>
      </c>
      <c r="N366" s="64" t="s">
        <v>6122</v>
      </c>
      <c r="O366" s="171" t="s">
        <v>4016</v>
      </c>
      <c r="P366" s="103">
        <v>33659.0</v>
      </c>
      <c r="Q366" s="81">
        <f t="shared" si="30"/>
        <v>33659</v>
      </c>
      <c r="R366" s="64">
        <f t="shared" si="31"/>
        <v>34</v>
      </c>
      <c r="S366" s="81">
        <v>3.365811618E9</v>
      </c>
      <c r="T366" s="81"/>
      <c r="U366" s="257" t="s">
        <v>379</v>
      </c>
      <c r="V366" s="64"/>
      <c r="W366" s="64"/>
      <c r="X366" s="68"/>
      <c r="Y366" s="68"/>
      <c r="Z366" s="68"/>
      <c r="AA366" s="68"/>
      <c r="AB366" s="68"/>
      <c r="AC366" s="83" t="s">
        <v>632</v>
      </c>
      <c r="AD366" s="83"/>
      <c r="AE366" s="83" t="s">
        <v>632</v>
      </c>
      <c r="AF366" s="142"/>
      <c r="AG366" s="83"/>
      <c r="AH366" s="83" t="s">
        <v>6594</v>
      </c>
      <c r="AI366" s="203"/>
      <c r="AJ366" s="203"/>
      <c r="AK366" s="203"/>
      <c r="AL366" s="203"/>
      <c r="AM366" s="203"/>
      <c r="AN366" s="203"/>
      <c r="AO366" s="203"/>
      <c r="AP366" s="203"/>
      <c r="AQ366" s="203"/>
      <c r="AR366" s="203"/>
      <c r="AS366" s="203"/>
      <c r="AT366" s="203"/>
    </row>
    <row r="367">
      <c r="A367" s="64">
        <v>726.0</v>
      </c>
      <c r="B367" s="397" t="s">
        <v>1751</v>
      </c>
      <c r="C367" s="398" t="s">
        <v>121</v>
      </c>
      <c r="D367" s="400" t="s">
        <v>121</v>
      </c>
      <c r="E367" s="477" t="s">
        <v>178</v>
      </c>
      <c r="F367" s="404" t="s">
        <v>6599</v>
      </c>
      <c r="G367" s="400" t="s">
        <v>102</v>
      </c>
      <c r="H367" s="436" t="s">
        <v>3336</v>
      </c>
      <c r="I367" s="449" t="s">
        <v>408</v>
      </c>
      <c r="J367" s="171" t="s">
        <v>114</v>
      </c>
      <c r="K367" s="373"/>
      <c r="L367" s="171"/>
      <c r="M367" s="171" t="s">
        <v>102</v>
      </c>
      <c r="N367" s="270" t="s">
        <v>6605</v>
      </c>
      <c r="O367" s="664" t="s">
        <v>6606</v>
      </c>
      <c r="P367" s="458">
        <v>34765.0</v>
      </c>
      <c r="Q367" s="81" t="str">
        <f t="shared" si="30"/>
        <v>#VALUE!</v>
      </c>
      <c r="R367" s="64">
        <f t="shared" si="31"/>
        <v>31</v>
      </c>
      <c r="S367" s="83" t="s">
        <v>3642</v>
      </c>
      <c r="T367" s="81"/>
      <c r="U367" s="190" t="s">
        <v>393</v>
      </c>
      <c r="V367" s="64"/>
      <c r="W367" s="83"/>
      <c r="X367" s="83"/>
      <c r="Y367" s="68" t="s">
        <v>183</v>
      </c>
      <c r="Z367" s="383" t="s">
        <v>991</v>
      </c>
      <c r="AA367" s="68"/>
      <c r="AB367" s="68"/>
      <c r="AC367" s="68" t="s">
        <v>1032</v>
      </c>
      <c r="AD367" s="68" t="s">
        <v>1032</v>
      </c>
      <c r="AE367" s="83" t="s">
        <v>672</v>
      </c>
      <c r="AF367" s="169" t="s">
        <v>155</v>
      </c>
      <c r="AG367" s="83" t="s">
        <v>375</v>
      </c>
      <c r="AH367" s="83" t="s">
        <v>6615</v>
      </c>
      <c r="AI367" s="203"/>
      <c r="AJ367" s="203"/>
      <c r="AK367" s="203"/>
      <c r="AL367" s="203"/>
      <c r="AM367" s="203"/>
      <c r="AN367" s="203"/>
      <c r="AO367" s="203"/>
      <c r="AP367" s="203"/>
      <c r="AQ367" s="203"/>
      <c r="AR367" s="203"/>
      <c r="AS367" s="203"/>
      <c r="AT367" s="203"/>
    </row>
    <row r="368">
      <c r="A368" s="64">
        <v>722.0</v>
      </c>
      <c r="B368" s="397" t="s">
        <v>1751</v>
      </c>
      <c r="C368" s="398" t="s">
        <v>121</v>
      </c>
      <c r="D368" s="400" t="s">
        <v>121</v>
      </c>
      <c r="E368" s="477" t="s">
        <v>1753</v>
      </c>
      <c r="F368" s="404" t="s">
        <v>1754</v>
      </c>
      <c r="G368" s="400" t="s">
        <v>60</v>
      </c>
      <c r="H368" s="171" t="s">
        <v>1221</v>
      </c>
      <c r="I368" s="64" t="s">
        <v>1443</v>
      </c>
      <c r="J368" s="83" t="s">
        <v>114</v>
      </c>
      <c r="K368" s="239"/>
      <c r="L368" s="170"/>
      <c r="M368" s="170" t="s">
        <v>60</v>
      </c>
      <c r="N368" s="74" t="s">
        <v>6619</v>
      </c>
      <c r="O368" s="170" t="s">
        <v>6620</v>
      </c>
      <c r="P368" s="75"/>
      <c r="Q368" s="64"/>
      <c r="R368" s="64"/>
      <c r="S368" s="81"/>
      <c r="T368" s="81"/>
      <c r="U368" s="83" t="s">
        <v>136</v>
      </c>
      <c r="V368" s="64"/>
      <c r="W368" s="83"/>
      <c r="X368" s="83" t="s">
        <v>186</v>
      </c>
      <c r="Y368" s="68" t="s">
        <v>183</v>
      </c>
      <c r="Z368" s="677" t="s">
        <v>418</v>
      </c>
      <c r="AA368" s="68"/>
      <c r="AB368" s="68"/>
      <c r="AC368" s="68"/>
      <c r="AD368" s="169"/>
      <c r="AE368" s="83"/>
      <c r="AF368" s="83" t="s">
        <v>6512</v>
      </c>
      <c r="AG368" s="81"/>
      <c r="AH368" s="207">
        <v>46001.0</v>
      </c>
      <c r="AI368" s="203"/>
      <c r="AJ368" s="203"/>
      <c r="AK368" s="203"/>
      <c r="AL368" s="203"/>
      <c r="AM368" s="203"/>
      <c r="AN368" s="203"/>
      <c r="AO368" s="203"/>
      <c r="AP368" s="203"/>
      <c r="AQ368" s="203"/>
      <c r="AR368" s="203"/>
      <c r="AS368" s="203"/>
      <c r="AT368" s="203"/>
    </row>
    <row r="369">
      <c r="A369" s="221"/>
      <c r="B369" s="221"/>
      <c r="C369" s="221"/>
      <c r="D369" s="221"/>
      <c r="E369" s="221"/>
      <c r="F369" s="221"/>
      <c r="G369" s="221"/>
      <c r="H369" s="221"/>
      <c r="I369" s="221"/>
      <c r="J369" s="83" t="s">
        <v>114</v>
      </c>
      <c r="K369" s="239"/>
      <c r="L369" s="170"/>
      <c r="M369" s="170" t="s">
        <v>60</v>
      </c>
      <c r="N369" s="416" t="s">
        <v>6637</v>
      </c>
      <c r="O369" s="170" t="s">
        <v>3013</v>
      </c>
      <c r="P369" s="385">
        <v>33441.0</v>
      </c>
      <c r="Q369" s="81" t="str">
        <f t="shared" ref="Q369:Q376" si="32">VALUE(LEFT(TEXT(S369,0),5))+1</f>
        <v>#VALUE!</v>
      </c>
      <c r="R369" s="68">
        <f t="shared" ref="R369:R377" si="33">DATEDIF($P369,TODAY(),"Y")</f>
        <v>35</v>
      </c>
      <c r="S369" s="83" t="s">
        <v>3642</v>
      </c>
      <c r="T369" s="81"/>
      <c r="U369" s="83" t="s">
        <v>543</v>
      </c>
      <c r="V369" s="64" t="s">
        <v>350</v>
      </c>
      <c r="W369" s="83"/>
      <c r="X369" s="83" t="s">
        <v>186</v>
      </c>
      <c r="Y369" s="68" t="s">
        <v>183</v>
      </c>
      <c r="Z369" s="170" t="s">
        <v>2482</v>
      </c>
      <c r="AA369" s="68"/>
      <c r="AB369" s="68"/>
      <c r="AC369" s="68"/>
      <c r="AD369" s="169"/>
      <c r="AE369" s="83" t="s">
        <v>759</v>
      </c>
      <c r="AF369" s="207">
        <v>45980.0</v>
      </c>
      <c r="AG369" s="161"/>
      <c r="AH369" s="83" t="s">
        <v>6660</v>
      </c>
      <c r="AI369" s="203"/>
      <c r="AJ369" s="203"/>
      <c r="AK369" s="203"/>
      <c r="AL369" s="203"/>
      <c r="AM369" s="203"/>
      <c r="AN369" s="203"/>
      <c r="AO369" s="203"/>
      <c r="AP369" s="203"/>
      <c r="AQ369" s="203"/>
      <c r="AR369" s="203"/>
      <c r="AS369" s="203"/>
      <c r="AT369" s="203"/>
    </row>
    <row r="370">
      <c r="A370" s="221"/>
      <c r="B370" s="221"/>
      <c r="C370" s="221"/>
      <c r="D370" s="221"/>
      <c r="E370" s="221"/>
      <c r="F370" s="221"/>
      <c r="G370" s="221"/>
      <c r="H370" s="221"/>
      <c r="I370" s="221"/>
      <c r="J370" s="83" t="s">
        <v>114</v>
      </c>
      <c r="K370" s="239"/>
      <c r="L370" s="170"/>
      <c r="M370" s="170" t="s">
        <v>60</v>
      </c>
      <c r="N370" s="416" t="s">
        <v>6668</v>
      </c>
      <c r="O370" s="170" t="s">
        <v>6669</v>
      </c>
      <c r="P370" s="385">
        <v>34888.0</v>
      </c>
      <c r="Q370" s="81" t="str">
        <f t="shared" si="32"/>
        <v>#VALUE!</v>
      </c>
      <c r="R370" s="68">
        <f t="shared" si="33"/>
        <v>31</v>
      </c>
      <c r="S370" s="83" t="s">
        <v>3642</v>
      </c>
      <c r="T370" s="81"/>
      <c r="U370" s="83" t="s">
        <v>543</v>
      </c>
      <c r="V370" s="64" t="s">
        <v>350</v>
      </c>
      <c r="W370" s="83"/>
      <c r="X370" s="83" t="s">
        <v>186</v>
      </c>
      <c r="Y370" s="68" t="s">
        <v>183</v>
      </c>
      <c r="Z370" s="170" t="s">
        <v>2482</v>
      </c>
      <c r="AA370" s="68"/>
      <c r="AB370" s="68"/>
      <c r="AC370" s="68"/>
      <c r="AD370" s="169"/>
      <c r="AE370" s="83" t="s">
        <v>759</v>
      </c>
      <c r="AF370" s="207">
        <v>45980.0</v>
      </c>
      <c r="AG370" s="95"/>
      <c r="AH370" s="83" t="s">
        <v>6660</v>
      </c>
      <c r="AI370" s="203"/>
      <c r="AJ370" s="203"/>
      <c r="AK370" s="203"/>
      <c r="AL370" s="203"/>
      <c r="AM370" s="203"/>
      <c r="AN370" s="203"/>
      <c r="AO370" s="203"/>
      <c r="AP370" s="203"/>
      <c r="AQ370" s="203"/>
      <c r="AR370" s="203"/>
      <c r="AS370" s="203"/>
      <c r="AT370" s="203"/>
    </row>
    <row r="371">
      <c r="A371" s="221"/>
      <c r="B371" s="221"/>
      <c r="C371" s="221"/>
      <c r="D371" s="221"/>
      <c r="E371" s="221"/>
      <c r="F371" s="221"/>
      <c r="G371" s="221"/>
      <c r="H371" s="221"/>
      <c r="I371" s="221"/>
      <c r="J371" s="83" t="s">
        <v>114</v>
      </c>
      <c r="K371" s="239"/>
      <c r="L371" s="170"/>
      <c r="M371" s="170" t="s">
        <v>60</v>
      </c>
      <c r="N371" s="416" t="s">
        <v>6683</v>
      </c>
      <c r="O371" s="170" t="s">
        <v>3375</v>
      </c>
      <c r="P371" s="385">
        <v>31976.0</v>
      </c>
      <c r="Q371" s="81" t="str">
        <f t="shared" si="32"/>
        <v>#VALUE!</v>
      </c>
      <c r="R371" s="68">
        <f t="shared" si="33"/>
        <v>39</v>
      </c>
      <c r="S371" s="83" t="s">
        <v>3642</v>
      </c>
      <c r="T371" s="81"/>
      <c r="U371" s="83" t="s">
        <v>543</v>
      </c>
      <c r="V371" s="64" t="s">
        <v>350</v>
      </c>
      <c r="W371" s="83"/>
      <c r="X371" s="83" t="s">
        <v>186</v>
      </c>
      <c r="Y371" s="68" t="s">
        <v>183</v>
      </c>
      <c r="Z371" s="170" t="s">
        <v>2482</v>
      </c>
      <c r="AA371" s="68"/>
      <c r="AB371" s="68"/>
      <c r="AC371" s="68"/>
      <c r="AD371" s="169"/>
      <c r="AE371" s="83" t="s">
        <v>759</v>
      </c>
      <c r="AF371" s="207">
        <v>45980.0</v>
      </c>
      <c r="AG371" s="95"/>
      <c r="AH371" s="83" t="s">
        <v>6660</v>
      </c>
      <c r="AI371" s="203"/>
      <c r="AJ371" s="203"/>
      <c r="AK371" s="203"/>
      <c r="AL371" s="203"/>
      <c r="AM371" s="203"/>
      <c r="AN371" s="203"/>
      <c r="AO371" s="203"/>
      <c r="AP371" s="203"/>
      <c r="AQ371" s="203"/>
      <c r="AR371" s="203"/>
      <c r="AS371" s="203"/>
      <c r="AT371" s="203"/>
    </row>
    <row r="372">
      <c r="A372" s="221"/>
      <c r="B372" s="221"/>
      <c r="C372" s="221"/>
      <c r="D372" s="221"/>
      <c r="E372" s="221"/>
      <c r="F372" s="221"/>
      <c r="G372" s="221"/>
      <c r="H372" s="221"/>
      <c r="I372" s="221"/>
      <c r="J372" s="83" t="s">
        <v>114</v>
      </c>
      <c r="K372" s="239"/>
      <c r="L372" s="170"/>
      <c r="M372" s="170" t="s">
        <v>60</v>
      </c>
      <c r="N372" s="682" t="s">
        <v>6711</v>
      </c>
      <c r="O372" s="170" t="s">
        <v>4962</v>
      </c>
      <c r="P372" s="385">
        <v>36764.0</v>
      </c>
      <c r="Q372" s="81" t="str">
        <f t="shared" si="32"/>
        <v>#VALUE!</v>
      </c>
      <c r="R372" s="64">
        <f t="shared" si="33"/>
        <v>26</v>
      </c>
      <c r="S372" s="83" t="s">
        <v>3642</v>
      </c>
      <c r="T372" s="81"/>
      <c r="U372" s="83" t="s">
        <v>543</v>
      </c>
      <c r="V372" s="64" t="s">
        <v>350</v>
      </c>
      <c r="W372" s="83"/>
      <c r="X372" s="83" t="s">
        <v>186</v>
      </c>
      <c r="Y372" s="68" t="s">
        <v>183</v>
      </c>
      <c r="Z372" s="170" t="s">
        <v>2482</v>
      </c>
      <c r="AA372" s="68"/>
      <c r="AB372" s="68"/>
      <c r="AC372" s="68"/>
      <c r="AD372" s="169"/>
      <c r="AE372" s="83" t="s">
        <v>759</v>
      </c>
      <c r="AF372" s="207">
        <v>45980.0</v>
      </c>
      <c r="AG372" s="161"/>
      <c r="AH372" s="83" t="s">
        <v>6660</v>
      </c>
      <c r="AI372" s="203"/>
      <c r="AJ372" s="203"/>
      <c r="AK372" s="203"/>
      <c r="AL372" s="203"/>
      <c r="AM372" s="203"/>
      <c r="AN372" s="203"/>
      <c r="AO372" s="203"/>
      <c r="AP372" s="203"/>
      <c r="AQ372" s="203"/>
      <c r="AR372" s="203"/>
      <c r="AS372" s="203"/>
      <c r="AT372" s="203"/>
    </row>
    <row r="373">
      <c r="A373" s="221"/>
      <c r="B373" s="221"/>
      <c r="C373" s="221"/>
      <c r="D373" s="221"/>
      <c r="E373" s="221"/>
      <c r="F373" s="221"/>
      <c r="G373" s="221"/>
      <c r="H373" s="221"/>
      <c r="I373" s="221"/>
      <c r="J373" s="83" t="s">
        <v>114</v>
      </c>
      <c r="K373" s="369"/>
      <c r="L373" s="83"/>
      <c r="M373" s="83" t="s">
        <v>60</v>
      </c>
      <c r="N373" s="68" t="s">
        <v>6727</v>
      </c>
      <c r="O373" s="83" t="s">
        <v>6728</v>
      </c>
      <c r="P373" s="602">
        <v>31808.0</v>
      </c>
      <c r="Q373" s="81">
        <f t="shared" si="32"/>
        <v>31808</v>
      </c>
      <c r="R373" s="68">
        <f t="shared" si="33"/>
        <v>39</v>
      </c>
      <c r="S373" s="83">
        <v>3.180702979E9</v>
      </c>
      <c r="T373" s="81"/>
      <c r="U373" s="83" t="s">
        <v>543</v>
      </c>
      <c r="V373" s="83" t="s">
        <v>350</v>
      </c>
      <c r="W373" s="83"/>
      <c r="X373" s="83" t="s">
        <v>186</v>
      </c>
      <c r="Y373" s="68" t="s">
        <v>183</v>
      </c>
      <c r="Z373" s="170" t="s">
        <v>2090</v>
      </c>
      <c r="AA373" s="83" t="s">
        <v>1178</v>
      </c>
      <c r="AB373" s="68"/>
      <c r="AC373" s="68"/>
      <c r="AD373" s="169"/>
      <c r="AE373" s="83" t="s">
        <v>759</v>
      </c>
      <c r="AF373" s="83" t="s">
        <v>6268</v>
      </c>
      <c r="AG373" s="83"/>
      <c r="AH373" s="68"/>
      <c r="AI373" s="203"/>
      <c r="AJ373" s="203"/>
      <c r="AK373" s="203"/>
      <c r="AL373" s="203"/>
      <c r="AM373" s="203"/>
      <c r="AN373" s="203"/>
      <c r="AO373" s="203"/>
      <c r="AP373" s="203"/>
      <c r="AQ373" s="203"/>
      <c r="AR373" s="203"/>
      <c r="AS373" s="203"/>
      <c r="AT373" s="203"/>
    </row>
    <row r="374">
      <c r="A374" s="221"/>
      <c r="B374" s="221"/>
      <c r="C374" s="221"/>
      <c r="D374" s="221"/>
      <c r="E374" s="221"/>
      <c r="F374" s="221"/>
      <c r="G374" s="221"/>
      <c r="H374" s="221"/>
      <c r="I374" s="221"/>
      <c r="J374" s="83" t="s">
        <v>114</v>
      </c>
      <c r="K374" s="369"/>
      <c r="L374" s="83"/>
      <c r="M374" s="83" t="s">
        <v>60</v>
      </c>
      <c r="N374" s="83" t="s">
        <v>6745</v>
      </c>
      <c r="O374" s="83" t="s">
        <v>6746</v>
      </c>
      <c r="P374" s="385">
        <v>35279.0</v>
      </c>
      <c r="Q374" s="81" t="str">
        <f t="shared" si="32"/>
        <v>#VALUE!</v>
      </c>
      <c r="R374" s="68">
        <f t="shared" si="33"/>
        <v>30</v>
      </c>
      <c r="S374" s="83" t="s">
        <v>3642</v>
      </c>
      <c r="T374" s="81"/>
      <c r="U374" s="83" t="s">
        <v>543</v>
      </c>
      <c r="V374" s="83" t="s">
        <v>350</v>
      </c>
      <c r="W374" s="83"/>
      <c r="X374" s="83" t="s">
        <v>186</v>
      </c>
      <c r="Y374" s="68"/>
      <c r="Z374" s="170" t="s">
        <v>2482</v>
      </c>
      <c r="AA374" s="68"/>
      <c r="AB374" s="68"/>
      <c r="AC374" s="68"/>
      <c r="AD374" s="169"/>
      <c r="AE374" s="83" t="s">
        <v>759</v>
      </c>
      <c r="AF374" s="83" t="s">
        <v>6268</v>
      </c>
      <c r="AG374" s="83"/>
      <c r="AH374" s="68"/>
      <c r="AI374" s="203"/>
      <c r="AJ374" s="203"/>
      <c r="AK374" s="203"/>
      <c r="AL374" s="203"/>
      <c r="AM374" s="203"/>
      <c r="AN374" s="203"/>
      <c r="AO374" s="203"/>
      <c r="AP374" s="203"/>
      <c r="AQ374" s="203"/>
      <c r="AR374" s="203"/>
      <c r="AS374" s="203"/>
      <c r="AT374" s="203"/>
    </row>
    <row r="375">
      <c r="A375" s="221"/>
      <c r="B375" s="221"/>
      <c r="C375" s="221"/>
      <c r="D375" s="221"/>
      <c r="E375" s="221"/>
      <c r="F375" s="221"/>
      <c r="G375" s="221"/>
      <c r="H375" s="221"/>
      <c r="I375" s="221"/>
      <c r="J375" s="83" t="s">
        <v>114</v>
      </c>
      <c r="K375" s="239"/>
      <c r="L375" s="170"/>
      <c r="M375" s="170" t="s">
        <v>60</v>
      </c>
      <c r="N375" s="83" t="s">
        <v>6758</v>
      </c>
      <c r="O375" s="83" t="s">
        <v>1021</v>
      </c>
      <c r="P375" s="385">
        <v>32551.0</v>
      </c>
      <c r="Q375" s="81">
        <f t="shared" si="32"/>
        <v>32551</v>
      </c>
      <c r="R375" s="64">
        <f t="shared" si="33"/>
        <v>37</v>
      </c>
      <c r="S375" s="83">
        <v>3.255000975E9</v>
      </c>
      <c r="T375" s="81"/>
      <c r="U375" s="83" t="s">
        <v>543</v>
      </c>
      <c r="V375" s="83" t="s">
        <v>350</v>
      </c>
      <c r="W375" s="83"/>
      <c r="X375" s="68" t="s">
        <v>186</v>
      </c>
      <c r="Y375" s="68" t="s">
        <v>183</v>
      </c>
      <c r="Z375" s="170" t="s">
        <v>2482</v>
      </c>
      <c r="AA375" s="83"/>
      <c r="AB375" s="68"/>
      <c r="AC375" s="68"/>
      <c r="AD375" s="169"/>
      <c r="AE375" s="83" t="s">
        <v>759</v>
      </c>
      <c r="AF375" s="83" t="s">
        <v>6268</v>
      </c>
      <c r="AG375" s="83"/>
      <c r="AH375" s="68"/>
      <c r="AI375" s="203"/>
      <c r="AJ375" s="203"/>
      <c r="AK375" s="203"/>
      <c r="AL375" s="203"/>
      <c r="AM375" s="203"/>
      <c r="AN375" s="203"/>
      <c r="AO375" s="203"/>
      <c r="AP375" s="203"/>
      <c r="AQ375" s="203"/>
      <c r="AR375" s="203"/>
      <c r="AS375" s="203"/>
      <c r="AT375" s="203"/>
    </row>
    <row r="376">
      <c r="A376" s="221"/>
      <c r="B376" s="221"/>
      <c r="C376" s="221"/>
      <c r="D376" s="221"/>
      <c r="E376" s="221"/>
      <c r="F376" s="221"/>
      <c r="G376" s="221"/>
      <c r="H376" s="221"/>
      <c r="I376" s="221"/>
      <c r="J376" s="83" t="s">
        <v>114</v>
      </c>
      <c r="K376" s="239"/>
      <c r="L376" s="170"/>
      <c r="M376" s="170" t="s">
        <v>60</v>
      </c>
      <c r="N376" s="83" t="s">
        <v>6767</v>
      </c>
      <c r="O376" s="83" t="s">
        <v>6768</v>
      </c>
      <c r="P376" s="207">
        <v>36087.0</v>
      </c>
      <c r="Q376" s="81">
        <f t="shared" si="32"/>
        <v>36087</v>
      </c>
      <c r="R376" s="64">
        <f t="shared" si="33"/>
        <v>27</v>
      </c>
      <c r="S376" s="83">
        <v>3.608610657E9</v>
      </c>
      <c r="T376" s="81"/>
      <c r="U376" s="83" t="s">
        <v>543</v>
      </c>
      <c r="V376" s="83" t="s">
        <v>350</v>
      </c>
      <c r="W376" s="83"/>
      <c r="X376" s="68" t="s">
        <v>186</v>
      </c>
      <c r="Y376" s="68" t="s">
        <v>183</v>
      </c>
      <c r="Z376" s="170" t="s">
        <v>2482</v>
      </c>
      <c r="AA376" s="83"/>
      <c r="AB376" s="68"/>
      <c r="AC376" s="68"/>
      <c r="AD376" s="169"/>
      <c r="AE376" s="83" t="s">
        <v>759</v>
      </c>
      <c r="AF376" s="83" t="s">
        <v>6268</v>
      </c>
      <c r="AG376" s="83"/>
      <c r="AH376" s="68"/>
      <c r="AI376" s="203"/>
      <c r="AJ376" s="203"/>
      <c r="AK376" s="203"/>
      <c r="AL376" s="203"/>
      <c r="AM376" s="203"/>
      <c r="AN376" s="203"/>
      <c r="AO376" s="203"/>
      <c r="AP376" s="203"/>
      <c r="AQ376" s="203"/>
      <c r="AR376" s="203"/>
      <c r="AS376" s="203"/>
      <c r="AT376" s="203"/>
    </row>
    <row r="377">
      <c r="A377" s="221"/>
      <c r="B377" s="221"/>
      <c r="C377" s="221"/>
      <c r="D377" s="221"/>
      <c r="E377" s="221"/>
      <c r="F377" s="221"/>
      <c r="G377" s="221"/>
      <c r="H377" s="221"/>
      <c r="I377" s="221"/>
      <c r="J377" s="83" t="s">
        <v>114</v>
      </c>
      <c r="K377" s="239"/>
      <c r="L377" s="170"/>
      <c r="M377" s="170" t="s">
        <v>60</v>
      </c>
      <c r="N377" s="83" t="s">
        <v>6778</v>
      </c>
      <c r="O377" s="83" t="s">
        <v>3476</v>
      </c>
      <c r="P377" s="385">
        <v>30778.0</v>
      </c>
      <c r="Q377" s="64"/>
      <c r="R377" s="64">
        <f t="shared" si="33"/>
        <v>42</v>
      </c>
      <c r="S377" s="81"/>
      <c r="T377" s="81"/>
      <c r="U377" s="83" t="s">
        <v>543</v>
      </c>
      <c r="V377" s="83" t="s">
        <v>350</v>
      </c>
      <c r="W377" s="83"/>
      <c r="X377" s="68" t="s">
        <v>186</v>
      </c>
      <c r="Y377" s="68" t="s">
        <v>183</v>
      </c>
      <c r="Z377" s="170" t="s">
        <v>2482</v>
      </c>
      <c r="AA377" s="83"/>
      <c r="AB377" s="68"/>
      <c r="AC377" s="68"/>
      <c r="AD377" s="169"/>
      <c r="AE377" s="83" t="s">
        <v>759</v>
      </c>
      <c r="AF377" s="83" t="s">
        <v>6268</v>
      </c>
      <c r="AG377" s="83"/>
      <c r="AH377" s="68"/>
      <c r="AI377" s="203"/>
      <c r="AJ377" s="203"/>
      <c r="AK377" s="203"/>
      <c r="AL377" s="203"/>
      <c r="AM377" s="203"/>
      <c r="AN377" s="203"/>
      <c r="AO377" s="203"/>
      <c r="AP377" s="203"/>
      <c r="AQ377" s="203"/>
      <c r="AR377" s="203"/>
      <c r="AS377" s="203"/>
      <c r="AT377" s="203"/>
    </row>
    <row r="378">
      <c r="A378" s="221"/>
      <c r="B378" s="221"/>
      <c r="C378" s="221"/>
      <c r="D378" s="221"/>
      <c r="E378" s="221"/>
      <c r="F378" s="221"/>
      <c r="G378" s="221"/>
      <c r="H378" s="221"/>
      <c r="I378" s="221"/>
      <c r="J378" s="83" t="s">
        <v>114</v>
      </c>
      <c r="K378" s="239"/>
      <c r="L378" s="170"/>
      <c r="M378" s="170" t="s">
        <v>60</v>
      </c>
      <c r="N378" s="83" t="s">
        <v>6789</v>
      </c>
      <c r="O378" s="83" t="s">
        <v>6790</v>
      </c>
      <c r="P378" s="385">
        <v>33519.0</v>
      </c>
      <c r="Q378" s="64"/>
      <c r="R378" s="64"/>
      <c r="S378" s="81"/>
      <c r="T378" s="81"/>
      <c r="U378" s="83" t="s">
        <v>543</v>
      </c>
      <c r="V378" s="83" t="s">
        <v>350</v>
      </c>
      <c r="W378" s="83"/>
      <c r="X378" s="68" t="s">
        <v>186</v>
      </c>
      <c r="Y378" s="68" t="s">
        <v>183</v>
      </c>
      <c r="Z378" s="170" t="s">
        <v>2482</v>
      </c>
      <c r="AA378" s="83"/>
      <c r="AB378" s="68"/>
      <c r="AC378" s="68"/>
      <c r="AD378" s="169"/>
      <c r="AE378" s="83" t="s">
        <v>759</v>
      </c>
      <c r="AF378" s="83" t="s">
        <v>6268</v>
      </c>
      <c r="AG378" s="83"/>
      <c r="AH378" s="68"/>
      <c r="AI378" s="203"/>
      <c r="AJ378" s="203"/>
      <c r="AK378" s="203"/>
      <c r="AL378" s="203"/>
      <c r="AM378" s="203"/>
      <c r="AN378" s="203"/>
      <c r="AO378" s="203"/>
      <c r="AP378" s="203"/>
      <c r="AQ378" s="203"/>
      <c r="AR378" s="203"/>
      <c r="AS378" s="203"/>
      <c r="AT378" s="203"/>
    </row>
    <row r="379">
      <c r="A379" s="221"/>
      <c r="B379" s="221"/>
      <c r="C379" s="221"/>
      <c r="D379" s="221"/>
      <c r="E379" s="221"/>
      <c r="F379" s="221"/>
      <c r="G379" s="221"/>
      <c r="H379" s="221"/>
      <c r="I379" s="221"/>
      <c r="J379" s="83" t="s">
        <v>114</v>
      </c>
      <c r="K379" s="239"/>
      <c r="L379" s="170"/>
      <c r="M379" s="170" t="s">
        <v>60</v>
      </c>
      <c r="N379" s="83" t="s">
        <v>6803</v>
      </c>
      <c r="O379" s="83" t="s">
        <v>2862</v>
      </c>
      <c r="P379" s="385">
        <v>36252.0</v>
      </c>
      <c r="Q379" s="81">
        <f>VALUE(LEFT(TEXT(S379,0),5))+1</f>
        <v>36252</v>
      </c>
      <c r="R379" s="64">
        <f>DATEDIF($P379,TODAY(),"Y")</f>
        <v>27</v>
      </c>
      <c r="S379" s="83">
        <v>3.625104459E9</v>
      </c>
      <c r="T379" s="81"/>
      <c r="U379" s="83" t="s">
        <v>543</v>
      </c>
      <c r="V379" s="83" t="s">
        <v>350</v>
      </c>
      <c r="W379" s="83"/>
      <c r="X379" s="68" t="s">
        <v>186</v>
      </c>
      <c r="Y379" s="68" t="s">
        <v>183</v>
      </c>
      <c r="Z379" s="170" t="s">
        <v>2482</v>
      </c>
      <c r="AA379" s="83"/>
      <c r="AB379" s="68"/>
      <c r="AC379" s="68"/>
      <c r="AD379" s="169"/>
      <c r="AE379" s="83" t="s">
        <v>759</v>
      </c>
      <c r="AF379" s="83" t="s">
        <v>6268</v>
      </c>
      <c r="AG379" s="83"/>
      <c r="AH379" s="68"/>
      <c r="AI379" s="203"/>
      <c r="AJ379" s="203"/>
      <c r="AK379" s="203"/>
      <c r="AL379" s="203"/>
      <c r="AM379" s="203"/>
      <c r="AN379" s="203"/>
      <c r="AO379" s="203"/>
      <c r="AP379" s="203"/>
      <c r="AQ379" s="203"/>
      <c r="AR379" s="203"/>
      <c r="AS379" s="203"/>
      <c r="AT379" s="203"/>
    </row>
    <row r="380">
      <c r="A380" s="221"/>
      <c r="B380" s="221"/>
      <c r="C380" s="221"/>
      <c r="D380" s="221"/>
      <c r="E380" s="221"/>
      <c r="F380" s="221"/>
      <c r="G380" s="221"/>
      <c r="H380" s="221"/>
      <c r="I380" s="221"/>
      <c r="J380" s="83" t="s">
        <v>114</v>
      </c>
      <c r="K380" s="239"/>
      <c r="L380" s="170"/>
      <c r="M380" s="170" t="s">
        <v>656</v>
      </c>
      <c r="N380" s="83" t="s">
        <v>6820</v>
      </c>
      <c r="O380" s="83" t="s">
        <v>6821</v>
      </c>
      <c r="P380" s="385">
        <v>29860.0</v>
      </c>
      <c r="Q380" s="64"/>
      <c r="R380" s="64"/>
      <c r="S380" s="81"/>
      <c r="T380" s="81"/>
      <c r="U380" s="83" t="s">
        <v>543</v>
      </c>
      <c r="V380" s="83" t="s">
        <v>350</v>
      </c>
      <c r="W380" s="83"/>
      <c r="X380" s="68" t="s">
        <v>186</v>
      </c>
      <c r="Y380" s="68" t="s">
        <v>183</v>
      </c>
      <c r="Z380" s="170" t="s">
        <v>2482</v>
      </c>
      <c r="AA380" s="83"/>
      <c r="AB380" s="68"/>
      <c r="AC380" s="68"/>
      <c r="AD380" s="169"/>
      <c r="AE380" s="83" t="s">
        <v>759</v>
      </c>
      <c r="AF380" s="83" t="s">
        <v>6268</v>
      </c>
      <c r="AG380" s="83"/>
      <c r="AH380" s="68"/>
      <c r="AI380" s="203"/>
      <c r="AJ380" s="203"/>
      <c r="AK380" s="203"/>
      <c r="AL380" s="203"/>
      <c r="AM380" s="203"/>
      <c r="AN380" s="203"/>
      <c r="AO380" s="203"/>
      <c r="AP380" s="203"/>
      <c r="AQ380" s="203"/>
      <c r="AR380" s="203"/>
      <c r="AS380" s="203"/>
      <c r="AT380" s="203"/>
    </row>
    <row r="381">
      <c r="A381" s="221"/>
      <c r="B381" s="221"/>
      <c r="C381" s="221"/>
      <c r="D381" s="221"/>
      <c r="E381" s="221"/>
      <c r="F381" s="221"/>
      <c r="G381" s="221"/>
      <c r="H381" s="221"/>
      <c r="I381" s="221"/>
      <c r="J381" s="83" t="s">
        <v>114</v>
      </c>
      <c r="K381" s="239"/>
      <c r="L381" s="170"/>
      <c r="M381" s="170" t="s">
        <v>656</v>
      </c>
      <c r="N381" s="83" t="s">
        <v>1017</v>
      </c>
      <c r="O381" s="83" t="s">
        <v>5828</v>
      </c>
      <c r="P381" s="207">
        <v>30680.0</v>
      </c>
      <c r="Q381" s="64"/>
      <c r="R381" s="64"/>
      <c r="S381" s="81"/>
      <c r="T381" s="81"/>
      <c r="U381" s="83" t="s">
        <v>543</v>
      </c>
      <c r="V381" s="83" t="s">
        <v>350</v>
      </c>
      <c r="W381" s="83"/>
      <c r="X381" s="68" t="s">
        <v>186</v>
      </c>
      <c r="Y381" s="68" t="s">
        <v>183</v>
      </c>
      <c r="Z381" s="170" t="s">
        <v>2482</v>
      </c>
      <c r="AA381" s="83"/>
      <c r="AB381" s="68"/>
      <c r="AC381" s="68"/>
      <c r="AD381" s="169"/>
      <c r="AE381" s="83" t="s">
        <v>759</v>
      </c>
      <c r="AF381" s="83" t="s">
        <v>6268</v>
      </c>
      <c r="AG381" s="83"/>
      <c r="AH381" s="68"/>
      <c r="AI381" s="203"/>
      <c r="AJ381" s="203"/>
      <c r="AK381" s="203"/>
      <c r="AL381" s="203"/>
      <c r="AM381" s="203"/>
      <c r="AN381" s="203"/>
      <c r="AO381" s="203"/>
      <c r="AP381" s="203"/>
      <c r="AQ381" s="203"/>
      <c r="AR381" s="203"/>
      <c r="AS381" s="203"/>
      <c r="AT381" s="203"/>
    </row>
    <row r="382">
      <c r="A382" s="221"/>
      <c r="B382" s="221"/>
      <c r="C382" s="221"/>
      <c r="D382" s="221"/>
      <c r="E382" s="221"/>
      <c r="F382" s="221"/>
      <c r="G382" s="221"/>
      <c r="H382" s="221"/>
      <c r="I382" s="221"/>
      <c r="J382" s="83" t="s">
        <v>114</v>
      </c>
      <c r="K382" s="239"/>
      <c r="L382" s="170"/>
      <c r="M382" s="170" t="s">
        <v>60</v>
      </c>
      <c r="N382" s="83" t="s">
        <v>6841</v>
      </c>
      <c r="O382" s="83" t="s">
        <v>1659</v>
      </c>
      <c r="P382" s="385">
        <v>28691.0</v>
      </c>
      <c r="Q382" s="64"/>
      <c r="R382" s="64"/>
      <c r="S382" s="81"/>
      <c r="T382" s="81"/>
      <c r="U382" s="83" t="s">
        <v>543</v>
      </c>
      <c r="V382" s="83" t="s">
        <v>350</v>
      </c>
      <c r="W382" s="83"/>
      <c r="X382" s="68" t="s">
        <v>186</v>
      </c>
      <c r="Y382" s="68" t="s">
        <v>183</v>
      </c>
      <c r="Z382" s="170" t="s">
        <v>2482</v>
      </c>
      <c r="AA382" s="83"/>
      <c r="AB382" s="68"/>
      <c r="AC382" s="68"/>
      <c r="AD382" s="169"/>
      <c r="AE382" s="83" t="s">
        <v>759</v>
      </c>
      <c r="AF382" s="83" t="s">
        <v>6268</v>
      </c>
      <c r="AG382" s="83"/>
      <c r="AH382" s="68"/>
      <c r="AI382" s="203"/>
      <c r="AJ382" s="203"/>
      <c r="AK382" s="203"/>
      <c r="AL382" s="203"/>
      <c r="AM382" s="203"/>
      <c r="AN382" s="203"/>
      <c r="AO382" s="203"/>
      <c r="AP382" s="203"/>
      <c r="AQ382" s="203"/>
      <c r="AR382" s="203"/>
      <c r="AS382" s="203"/>
      <c r="AT382" s="203"/>
    </row>
    <row r="383">
      <c r="A383" s="221"/>
      <c r="B383" s="221"/>
      <c r="C383" s="221"/>
      <c r="D383" s="221"/>
      <c r="E383" s="221"/>
      <c r="F383" s="221"/>
      <c r="G383" s="221"/>
      <c r="H383" s="221"/>
      <c r="I383" s="221"/>
      <c r="J383" s="83" t="s">
        <v>114</v>
      </c>
      <c r="K383" s="239"/>
      <c r="L383" s="170"/>
      <c r="M383" s="170" t="s">
        <v>60</v>
      </c>
      <c r="N383" s="83" t="s">
        <v>6855</v>
      </c>
      <c r="O383" s="83" t="s">
        <v>3146</v>
      </c>
      <c r="P383" s="385">
        <v>28347.0</v>
      </c>
      <c r="Q383" s="81">
        <f t="shared" ref="Q383:Q385" si="34">VALUE(LEFT(TEXT(S383,0),5))+1</f>
        <v>28347</v>
      </c>
      <c r="R383" s="64">
        <f t="shared" ref="R383:R385" si="35">DATEDIF($P383,TODAY(),"Y")</f>
        <v>49</v>
      </c>
      <c r="S383" s="83">
        <v>2.834602258E9</v>
      </c>
      <c r="T383" s="81"/>
      <c r="U383" s="83" t="s">
        <v>543</v>
      </c>
      <c r="V383" s="83" t="s">
        <v>350</v>
      </c>
      <c r="W383" s="83"/>
      <c r="X383" s="68" t="s">
        <v>186</v>
      </c>
      <c r="Y383" s="68"/>
      <c r="Z383" s="170" t="s">
        <v>2482</v>
      </c>
      <c r="AA383" s="83"/>
      <c r="AB383" s="68"/>
      <c r="AC383" s="68"/>
      <c r="AD383" s="169"/>
      <c r="AE383" s="83" t="s">
        <v>759</v>
      </c>
      <c r="AF383" s="83" t="s">
        <v>6268</v>
      </c>
      <c r="AG383" s="83"/>
      <c r="AH383" s="68"/>
      <c r="AI383" s="203"/>
      <c r="AJ383" s="203"/>
      <c r="AK383" s="203"/>
      <c r="AL383" s="203"/>
      <c r="AM383" s="203"/>
      <c r="AN383" s="203"/>
      <c r="AO383" s="203"/>
      <c r="AP383" s="203"/>
      <c r="AQ383" s="203"/>
      <c r="AR383" s="203"/>
      <c r="AS383" s="203"/>
      <c r="AT383" s="203"/>
    </row>
    <row r="384">
      <c r="A384" s="221"/>
      <c r="B384" s="221"/>
      <c r="C384" s="221"/>
      <c r="D384" s="221"/>
      <c r="E384" s="221"/>
      <c r="F384" s="221"/>
      <c r="G384" s="221"/>
      <c r="H384" s="221"/>
      <c r="I384" s="221"/>
      <c r="J384" s="83" t="s">
        <v>114</v>
      </c>
      <c r="K384" s="239"/>
      <c r="L384" s="170"/>
      <c r="M384" s="170" t="s">
        <v>60</v>
      </c>
      <c r="N384" s="83" t="s">
        <v>6871</v>
      </c>
      <c r="O384" s="83" t="s">
        <v>414</v>
      </c>
      <c r="P384" s="385">
        <v>29715.0</v>
      </c>
      <c r="Q384" s="81">
        <f t="shared" si="34"/>
        <v>29715</v>
      </c>
      <c r="R384" s="64">
        <f t="shared" si="35"/>
        <v>45</v>
      </c>
      <c r="S384" s="83">
        <v>2.971420131E9</v>
      </c>
      <c r="T384" s="81"/>
      <c r="U384" s="83" t="s">
        <v>543</v>
      </c>
      <c r="V384" s="83" t="s">
        <v>350</v>
      </c>
      <c r="W384" s="83"/>
      <c r="X384" s="68" t="s">
        <v>186</v>
      </c>
      <c r="Y384" s="68" t="s">
        <v>183</v>
      </c>
      <c r="Z384" s="170" t="s">
        <v>2482</v>
      </c>
      <c r="AA384" s="83"/>
      <c r="AB384" s="68"/>
      <c r="AC384" s="68"/>
      <c r="AD384" s="169"/>
      <c r="AE384" s="83" t="s">
        <v>759</v>
      </c>
      <c r="AF384" s="83" t="s">
        <v>6268</v>
      </c>
      <c r="AG384" s="83"/>
      <c r="AH384" s="68"/>
      <c r="AI384" s="203"/>
      <c r="AJ384" s="203"/>
      <c r="AK384" s="203"/>
      <c r="AL384" s="203"/>
      <c r="AM384" s="203"/>
      <c r="AN384" s="203"/>
      <c r="AO384" s="203"/>
      <c r="AP384" s="203"/>
      <c r="AQ384" s="203"/>
      <c r="AR384" s="203"/>
      <c r="AS384" s="203"/>
      <c r="AT384" s="203"/>
    </row>
    <row r="385">
      <c r="A385" s="221"/>
      <c r="B385" s="221"/>
      <c r="C385" s="221"/>
      <c r="D385" s="221"/>
      <c r="E385" s="221"/>
      <c r="F385" s="221"/>
      <c r="G385" s="221"/>
      <c r="H385" s="221"/>
      <c r="I385" s="221"/>
      <c r="J385" s="83" t="s">
        <v>114</v>
      </c>
      <c r="K385" s="239"/>
      <c r="L385" s="170"/>
      <c r="M385" s="170" t="s">
        <v>60</v>
      </c>
      <c r="N385" s="83" t="s">
        <v>6882</v>
      </c>
      <c r="O385" s="83" t="s">
        <v>6883</v>
      </c>
      <c r="P385" s="385">
        <v>32342.0</v>
      </c>
      <c r="Q385" s="81">
        <f t="shared" si="34"/>
        <v>32342</v>
      </c>
      <c r="R385" s="64">
        <f t="shared" si="35"/>
        <v>38</v>
      </c>
      <c r="S385" s="83">
        <v>3.234115839E9</v>
      </c>
      <c r="T385" s="81"/>
      <c r="U385" s="83" t="s">
        <v>543</v>
      </c>
      <c r="V385" s="83" t="s">
        <v>350</v>
      </c>
      <c r="W385" s="83"/>
      <c r="X385" s="68" t="s">
        <v>186</v>
      </c>
      <c r="Y385" s="68" t="s">
        <v>183</v>
      </c>
      <c r="Z385" s="170" t="s">
        <v>2482</v>
      </c>
      <c r="AA385" s="83"/>
      <c r="AB385" s="68"/>
      <c r="AC385" s="68"/>
      <c r="AD385" s="169"/>
      <c r="AE385" s="83" t="s">
        <v>759</v>
      </c>
      <c r="AF385" s="83" t="s">
        <v>6268</v>
      </c>
      <c r="AG385" s="83"/>
      <c r="AH385" s="68"/>
      <c r="AI385" s="203"/>
      <c r="AJ385" s="203"/>
      <c r="AK385" s="203"/>
      <c r="AL385" s="203"/>
      <c r="AM385" s="203"/>
      <c r="AN385" s="203"/>
      <c r="AO385" s="203"/>
      <c r="AP385" s="203"/>
      <c r="AQ385" s="203"/>
      <c r="AR385" s="203"/>
      <c r="AS385" s="203"/>
      <c r="AT385" s="203"/>
    </row>
    <row r="386">
      <c r="A386" s="221"/>
      <c r="B386" s="221"/>
      <c r="C386" s="221"/>
      <c r="D386" s="221"/>
      <c r="E386" s="221"/>
      <c r="F386" s="221"/>
      <c r="G386" s="221"/>
      <c r="H386" s="221"/>
      <c r="I386" s="221"/>
      <c r="J386" s="83" t="s">
        <v>114</v>
      </c>
      <c r="K386" s="239"/>
      <c r="L386" s="170"/>
      <c r="M386" s="170" t="s">
        <v>60</v>
      </c>
      <c r="N386" s="83" t="s">
        <v>6896</v>
      </c>
      <c r="O386" s="83" t="s">
        <v>6898</v>
      </c>
      <c r="P386" s="385">
        <v>29967.0</v>
      </c>
      <c r="Q386" s="64"/>
      <c r="R386" s="64"/>
      <c r="S386" s="81"/>
      <c r="T386" s="81"/>
      <c r="U386" s="83" t="s">
        <v>543</v>
      </c>
      <c r="V386" s="83" t="s">
        <v>350</v>
      </c>
      <c r="W386" s="83"/>
      <c r="X386" s="68" t="s">
        <v>186</v>
      </c>
      <c r="Y386" s="68"/>
      <c r="Z386" s="170" t="s">
        <v>2482</v>
      </c>
      <c r="AA386" s="83"/>
      <c r="AB386" s="68"/>
      <c r="AC386" s="68"/>
      <c r="AD386" s="169"/>
      <c r="AE386" s="83" t="s">
        <v>759</v>
      </c>
      <c r="AF386" s="83" t="s">
        <v>6268</v>
      </c>
      <c r="AG386" s="83"/>
      <c r="AH386" s="68"/>
      <c r="AI386" s="203"/>
      <c r="AJ386" s="203"/>
      <c r="AK386" s="203"/>
      <c r="AL386" s="203"/>
      <c r="AM386" s="203"/>
      <c r="AN386" s="203"/>
      <c r="AO386" s="203"/>
      <c r="AP386" s="203"/>
      <c r="AQ386" s="203"/>
      <c r="AR386" s="203"/>
      <c r="AS386" s="203"/>
      <c r="AT386" s="203"/>
    </row>
    <row r="387">
      <c r="A387" s="221"/>
      <c r="B387" s="221"/>
      <c r="C387" s="221"/>
      <c r="D387" s="221"/>
      <c r="E387" s="221"/>
      <c r="F387" s="221"/>
      <c r="G387" s="221"/>
      <c r="H387" s="221"/>
      <c r="I387" s="221"/>
      <c r="J387" s="83" t="s">
        <v>114</v>
      </c>
      <c r="K387" s="239"/>
      <c r="L387" s="170"/>
      <c r="M387" s="170" t="s">
        <v>60</v>
      </c>
      <c r="N387" s="83" t="s">
        <v>5969</v>
      </c>
      <c r="O387" s="83" t="s">
        <v>6906</v>
      </c>
      <c r="P387" s="385">
        <v>30362.0</v>
      </c>
      <c r="Q387" s="64"/>
      <c r="R387" s="64"/>
      <c r="S387" s="81"/>
      <c r="T387" s="81"/>
      <c r="U387" s="83" t="s">
        <v>543</v>
      </c>
      <c r="V387" s="83" t="s">
        <v>350</v>
      </c>
      <c r="W387" s="83"/>
      <c r="X387" s="68" t="s">
        <v>186</v>
      </c>
      <c r="Y387" s="68" t="s">
        <v>183</v>
      </c>
      <c r="Z387" s="170" t="s">
        <v>2482</v>
      </c>
      <c r="AA387" s="83"/>
      <c r="AB387" s="68"/>
      <c r="AC387" s="68"/>
      <c r="AD387" s="169"/>
      <c r="AE387" s="83" t="s">
        <v>759</v>
      </c>
      <c r="AF387" s="83" t="s">
        <v>6268</v>
      </c>
      <c r="AG387" s="83"/>
      <c r="AH387" s="68"/>
      <c r="AI387" s="203"/>
      <c r="AJ387" s="203"/>
      <c r="AK387" s="203"/>
      <c r="AL387" s="203"/>
      <c r="AM387" s="203"/>
      <c r="AN387" s="203"/>
      <c r="AO387" s="203"/>
      <c r="AP387" s="203"/>
      <c r="AQ387" s="203"/>
      <c r="AR387" s="203"/>
      <c r="AS387" s="203"/>
      <c r="AT387" s="203"/>
    </row>
    <row r="388">
      <c r="A388" s="221"/>
      <c r="B388" s="221"/>
      <c r="C388" s="221"/>
      <c r="D388" s="221"/>
      <c r="E388" s="221"/>
      <c r="F388" s="221"/>
      <c r="G388" s="221"/>
      <c r="H388" s="221"/>
      <c r="I388" s="221"/>
      <c r="J388" s="83" t="s">
        <v>114</v>
      </c>
      <c r="K388" s="239"/>
      <c r="L388" s="170"/>
      <c r="M388" s="170" t="s">
        <v>60</v>
      </c>
      <c r="N388" s="83" t="s">
        <v>3955</v>
      </c>
      <c r="O388" s="83" t="s">
        <v>4313</v>
      </c>
      <c r="P388" s="207">
        <v>32758.0</v>
      </c>
      <c r="Q388" s="64"/>
      <c r="R388" s="64"/>
      <c r="S388" s="83"/>
      <c r="T388" s="81"/>
      <c r="U388" s="83" t="s">
        <v>543</v>
      </c>
      <c r="V388" s="83" t="s">
        <v>350</v>
      </c>
      <c r="W388" s="83"/>
      <c r="X388" s="68" t="s">
        <v>186</v>
      </c>
      <c r="Y388" s="68"/>
      <c r="Z388" s="170" t="s">
        <v>2482</v>
      </c>
      <c r="AA388" s="83"/>
      <c r="AB388" s="68"/>
      <c r="AC388" s="68"/>
      <c r="AD388" s="169"/>
      <c r="AE388" s="83" t="s">
        <v>759</v>
      </c>
      <c r="AF388" s="83" t="s">
        <v>6268</v>
      </c>
      <c r="AG388" s="83"/>
      <c r="AH388" s="68"/>
      <c r="AI388" s="203"/>
      <c r="AJ388" s="203"/>
      <c r="AK388" s="203"/>
      <c r="AL388" s="203"/>
      <c r="AM388" s="203"/>
      <c r="AN388" s="203"/>
      <c r="AO388" s="203"/>
      <c r="AP388" s="203"/>
      <c r="AQ388" s="203"/>
      <c r="AR388" s="203"/>
      <c r="AS388" s="203"/>
      <c r="AT388" s="203"/>
    </row>
    <row r="389">
      <c r="A389" s="221"/>
      <c r="B389" s="221"/>
      <c r="C389" s="221"/>
      <c r="D389" s="221"/>
      <c r="E389" s="221"/>
      <c r="F389" s="221"/>
      <c r="G389" s="221"/>
      <c r="H389" s="221"/>
      <c r="I389" s="221"/>
      <c r="J389" s="83" t="s">
        <v>114</v>
      </c>
      <c r="K389" s="239"/>
      <c r="L389" s="170"/>
      <c r="M389" s="170" t="s">
        <v>60</v>
      </c>
      <c r="N389" s="83" t="s">
        <v>6923</v>
      </c>
      <c r="O389" s="83" t="s">
        <v>6924</v>
      </c>
      <c r="P389" s="385">
        <v>30895.0</v>
      </c>
      <c r="Q389" s="81">
        <f>VALUE(LEFT(TEXT(S389,0),5))+1</f>
        <v>30895</v>
      </c>
      <c r="R389" s="64">
        <f>DATEDIF($P389,TODAY(),"Y")</f>
        <v>42</v>
      </c>
      <c r="S389" s="83">
        <v>3.089407333E9</v>
      </c>
      <c r="T389" s="81"/>
      <c r="U389" s="83" t="s">
        <v>543</v>
      </c>
      <c r="V389" s="83" t="s">
        <v>350</v>
      </c>
      <c r="W389" s="83"/>
      <c r="X389" s="68" t="s">
        <v>186</v>
      </c>
      <c r="Y389" s="68"/>
      <c r="Z389" s="170" t="s">
        <v>2482</v>
      </c>
      <c r="AA389" s="83"/>
      <c r="AB389" s="68"/>
      <c r="AC389" s="68"/>
      <c r="AD389" s="169"/>
      <c r="AE389" s="83" t="s">
        <v>759</v>
      </c>
      <c r="AF389" s="83" t="s">
        <v>6268</v>
      </c>
      <c r="AG389" s="83"/>
      <c r="AH389" s="68"/>
      <c r="AI389" s="203"/>
      <c r="AJ389" s="203"/>
      <c r="AK389" s="203"/>
      <c r="AL389" s="203"/>
      <c r="AM389" s="203"/>
      <c r="AN389" s="203"/>
      <c r="AO389" s="203"/>
      <c r="AP389" s="203"/>
      <c r="AQ389" s="203"/>
      <c r="AR389" s="203"/>
      <c r="AS389" s="203"/>
      <c r="AT389" s="203"/>
    </row>
    <row r="390">
      <c r="A390" s="221"/>
      <c r="B390" s="221"/>
      <c r="C390" s="221"/>
      <c r="D390" s="221"/>
      <c r="E390" s="221"/>
      <c r="F390" s="221"/>
      <c r="G390" s="221"/>
      <c r="H390" s="221"/>
      <c r="I390" s="221"/>
      <c r="J390" s="83" t="s">
        <v>114</v>
      </c>
      <c r="K390" s="239"/>
      <c r="L390" s="170"/>
      <c r="M390" s="170" t="s">
        <v>60</v>
      </c>
      <c r="N390" s="83" t="s">
        <v>6941</v>
      </c>
      <c r="O390" s="83" t="s">
        <v>1674</v>
      </c>
      <c r="P390" s="385">
        <v>35075.0</v>
      </c>
      <c r="Q390" s="64"/>
      <c r="R390" s="64"/>
      <c r="S390" s="81"/>
      <c r="T390" s="81"/>
      <c r="U390" s="83" t="s">
        <v>543</v>
      </c>
      <c r="V390" s="83" t="s">
        <v>350</v>
      </c>
      <c r="W390" s="83"/>
      <c r="X390" s="83" t="s">
        <v>182</v>
      </c>
      <c r="Y390" s="68" t="s">
        <v>183</v>
      </c>
      <c r="Z390" s="170" t="s">
        <v>2482</v>
      </c>
      <c r="AA390" s="83" t="s">
        <v>185</v>
      </c>
      <c r="AB390" s="68"/>
      <c r="AC390" s="68"/>
      <c r="AD390" s="169"/>
      <c r="AE390" s="83" t="s">
        <v>759</v>
      </c>
      <c r="AF390" s="83" t="s">
        <v>6268</v>
      </c>
      <c r="AG390" s="83"/>
      <c r="AH390" s="68"/>
      <c r="AI390" s="203"/>
      <c r="AJ390" s="203"/>
      <c r="AK390" s="203"/>
      <c r="AL390" s="203"/>
      <c r="AM390" s="203"/>
      <c r="AN390" s="203"/>
      <c r="AO390" s="203"/>
      <c r="AP390" s="203"/>
      <c r="AQ390" s="203"/>
      <c r="AR390" s="203"/>
      <c r="AS390" s="203"/>
      <c r="AT390" s="203"/>
    </row>
    <row r="391">
      <c r="A391" s="688">
        <v>48.0</v>
      </c>
      <c r="B391" s="163" t="s">
        <v>1039</v>
      </c>
      <c r="C391" s="688" t="s">
        <v>1269</v>
      </c>
      <c r="D391" s="688" t="s">
        <v>1368</v>
      </c>
      <c r="E391" s="700" t="s">
        <v>321</v>
      </c>
      <c r="F391" s="702" t="s">
        <v>1552</v>
      </c>
      <c r="G391" s="241" t="s">
        <v>60</v>
      </c>
      <c r="H391" s="687" t="s">
        <v>1221</v>
      </c>
      <c r="I391" s="688" t="s">
        <v>1443</v>
      </c>
      <c r="AI391" s="203"/>
      <c r="AJ391" s="203"/>
      <c r="AK391" s="203"/>
      <c r="AL391" s="203"/>
      <c r="AM391" s="203"/>
      <c r="AN391" s="203"/>
      <c r="AO391" s="203"/>
      <c r="AP391" s="203"/>
      <c r="AQ391" s="203"/>
      <c r="AR391" s="203"/>
      <c r="AS391" s="203"/>
      <c r="AT391" s="203"/>
    </row>
    <row r="392">
      <c r="A392" s="688">
        <v>54.0</v>
      </c>
      <c r="B392" s="163" t="s">
        <v>1039</v>
      </c>
      <c r="C392" s="688" t="s">
        <v>1269</v>
      </c>
      <c r="D392" s="688" t="s">
        <v>1494</v>
      </c>
      <c r="E392" s="700" t="s">
        <v>187</v>
      </c>
      <c r="F392" s="702" t="s">
        <v>1469</v>
      </c>
      <c r="G392" s="241" t="s">
        <v>60</v>
      </c>
      <c r="H392" s="687" t="s">
        <v>1221</v>
      </c>
      <c r="I392" s="688" t="s">
        <v>1443</v>
      </c>
      <c r="J392" s="85" t="s">
        <v>114</v>
      </c>
      <c r="K392" s="85"/>
      <c r="L392" s="321"/>
      <c r="M392" s="321" t="s">
        <v>326</v>
      </c>
      <c r="N392" s="540" t="s">
        <v>6967</v>
      </c>
      <c r="O392" s="240" t="s">
        <v>1960</v>
      </c>
      <c r="P392" s="688"/>
      <c r="Q392" s="703">
        <f t="shared" ref="Q392:Q405" si="36">VALUE(LEFT(TEXT(S392,0),5))+1</f>
        <v>1</v>
      </c>
      <c r="R392" s="241">
        <f t="shared" ref="R392:R405" si="37">DATEDIF($P392,TODAY(),"Y")</f>
        <v>126</v>
      </c>
      <c r="S392" s="703"/>
      <c r="T392" s="703"/>
      <c r="U392" s="240" t="s">
        <v>368</v>
      </c>
      <c r="V392" s="240"/>
      <c r="W392" s="240"/>
      <c r="X392" s="240"/>
      <c r="Y392" s="241" t="s">
        <v>183</v>
      </c>
      <c r="Z392" s="704" t="s">
        <v>2482</v>
      </c>
      <c r="AA392" s="240"/>
      <c r="AB392" s="240"/>
      <c r="AC392" s="241"/>
      <c r="AD392" s="705"/>
      <c r="AE392" s="240"/>
      <c r="AF392" s="240"/>
      <c r="AG392" s="240" t="s">
        <v>375</v>
      </c>
      <c r="AH392" s="638">
        <v>46061.0</v>
      </c>
      <c r="AI392" s="203"/>
      <c r="AJ392" s="203"/>
      <c r="AK392" s="203"/>
      <c r="AL392" s="203"/>
      <c r="AM392" s="203"/>
      <c r="AN392" s="203"/>
      <c r="AO392" s="203"/>
      <c r="AP392" s="203"/>
      <c r="AQ392" s="203"/>
      <c r="AR392" s="203"/>
      <c r="AS392" s="203"/>
      <c r="AT392" s="203"/>
    </row>
    <row r="393">
      <c r="A393" s="688">
        <v>87.0</v>
      </c>
      <c r="B393" s="163" t="s">
        <v>1039</v>
      </c>
      <c r="C393" s="688" t="s">
        <v>1517</v>
      </c>
      <c r="D393" s="688" t="s">
        <v>1494</v>
      </c>
      <c r="E393" s="700" t="s">
        <v>213</v>
      </c>
      <c r="F393" s="702" t="s">
        <v>1523</v>
      </c>
      <c r="G393" s="241" t="s">
        <v>60</v>
      </c>
      <c r="H393" s="687" t="s">
        <v>1221</v>
      </c>
      <c r="I393" s="688" t="s">
        <v>1443</v>
      </c>
      <c r="J393" s="706" t="s">
        <v>114</v>
      </c>
      <c r="K393" s="85" t="s">
        <v>7007</v>
      </c>
      <c r="L393" s="706"/>
      <c r="M393" s="706" t="s">
        <v>60</v>
      </c>
      <c r="N393" s="241" t="s">
        <v>6897</v>
      </c>
      <c r="O393" s="241" t="s">
        <v>230</v>
      </c>
      <c r="P393" s="707">
        <v>28557.0</v>
      </c>
      <c r="Q393" s="703">
        <f t="shared" si="36"/>
        <v>28557</v>
      </c>
      <c r="R393" s="688">
        <f t="shared" si="37"/>
        <v>48</v>
      </c>
      <c r="S393" s="703">
        <v>2.855611056E9</v>
      </c>
      <c r="T393" s="703"/>
      <c r="U393" s="708" t="s">
        <v>379</v>
      </c>
      <c r="V393" s="688"/>
      <c r="W393" s="241"/>
      <c r="X393" s="241"/>
      <c r="Y393" s="241"/>
      <c r="Z393" s="241"/>
      <c r="AA393" s="241"/>
      <c r="AB393" s="241"/>
      <c r="AC393" s="240" t="s">
        <v>7020</v>
      </c>
      <c r="AD393" s="705"/>
      <c r="AE393" s="240" t="s">
        <v>291</v>
      </c>
      <c r="AF393" s="240" t="s">
        <v>7022</v>
      </c>
      <c r="AG393" s="63" t="s">
        <v>375</v>
      </c>
      <c r="AH393" s="493">
        <v>46033.0</v>
      </c>
      <c r="AI393" s="203"/>
      <c r="AJ393" s="203"/>
      <c r="AK393" s="203"/>
      <c r="AL393" s="203"/>
      <c r="AM393" s="203"/>
      <c r="AN393" s="203"/>
      <c r="AO393" s="203"/>
      <c r="AP393" s="203"/>
      <c r="AQ393" s="203"/>
      <c r="AR393" s="203"/>
      <c r="AS393" s="203"/>
      <c r="AT393" s="203"/>
    </row>
    <row r="394">
      <c r="A394" s="688">
        <v>113.0</v>
      </c>
      <c r="B394" s="283" t="s">
        <v>1039</v>
      </c>
      <c r="C394" s="709" t="s">
        <v>1611</v>
      </c>
      <c r="D394" s="710" t="s">
        <v>1494</v>
      </c>
      <c r="E394" s="711" t="s">
        <v>178</v>
      </c>
      <c r="F394" s="702" t="s">
        <v>1404</v>
      </c>
      <c r="G394" s="241" t="s">
        <v>326</v>
      </c>
      <c r="H394" s="687" t="s">
        <v>1221</v>
      </c>
      <c r="I394" s="688" t="s">
        <v>1443</v>
      </c>
      <c r="J394" s="240" t="s">
        <v>114</v>
      </c>
      <c r="K394" s="176" t="s">
        <v>7032</v>
      </c>
      <c r="L394" s="687"/>
      <c r="M394" s="687" t="s">
        <v>60</v>
      </c>
      <c r="N394" s="543" t="s">
        <v>7035</v>
      </c>
      <c r="O394" s="321" t="s">
        <v>7036</v>
      </c>
      <c r="P394" s="712">
        <v>32689.0</v>
      </c>
      <c r="Q394" s="703" t="str">
        <f t="shared" si="36"/>
        <v>#VALUE!</v>
      </c>
      <c r="R394" s="688">
        <f t="shared" si="37"/>
        <v>37</v>
      </c>
      <c r="S394" s="240" t="s">
        <v>3642</v>
      </c>
      <c r="T394" s="703"/>
      <c r="U394" s="240" t="s">
        <v>368</v>
      </c>
      <c r="V394" s="688"/>
      <c r="W394" s="240"/>
      <c r="X394" s="240"/>
      <c r="Y394" s="241" t="s">
        <v>1174</v>
      </c>
      <c r="Z394" s="714" t="s">
        <v>1725</v>
      </c>
      <c r="AA394" s="241"/>
      <c r="AB394" s="241"/>
      <c r="AC394" s="240" t="s">
        <v>2451</v>
      </c>
      <c r="AD394" s="705"/>
      <c r="AE394" s="240"/>
      <c r="AF394" s="241"/>
      <c r="AG394" s="240" t="s">
        <v>375</v>
      </c>
      <c r="AH394" s="638">
        <v>46025.0</v>
      </c>
      <c r="AI394" s="203"/>
      <c r="AJ394" s="203"/>
      <c r="AK394" s="203"/>
      <c r="AL394" s="203"/>
      <c r="AM394" s="203"/>
      <c r="AN394" s="203"/>
      <c r="AO394" s="203"/>
      <c r="AP394" s="203"/>
      <c r="AQ394" s="203"/>
      <c r="AR394" s="203"/>
      <c r="AS394" s="203"/>
      <c r="AT394" s="203"/>
    </row>
    <row r="395">
      <c r="A395" s="688">
        <v>181.0</v>
      </c>
      <c r="B395" s="283" t="s">
        <v>1645</v>
      </c>
      <c r="C395" s="709" t="s">
        <v>1269</v>
      </c>
      <c r="D395" s="710" t="s">
        <v>1519</v>
      </c>
      <c r="E395" s="711" t="s">
        <v>201</v>
      </c>
      <c r="F395" s="702" t="s">
        <v>1849</v>
      </c>
      <c r="G395" s="715" t="s">
        <v>60</v>
      </c>
      <c r="H395" s="687" t="s">
        <v>1221</v>
      </c>
      <c r="I395" s="688" t="s">
        <v>1443</v>
      </c>
      <c r="J395" s="241" t="s">
        <v>114</v>
      </c>
      <c r="K395" s="176" t="s">
        <v>7054</v>
      </c>
      <c r="L395" s="706"/>
      <c r="M395" s="706" t="s">
        <v>60</v>
      </c>
      <c r="N395" s="543" t="s">
        <v>7057</v>
      </c>
      <c r="O395" s="706" t="s">
        <v>7058</v>
      </c>
      <c r="P395" s="712">
        <v>35680.0</v>
      </c>
      <c r="Q395" s="703">
        <f t="shared" si="36"/>
        <v>35680</v>
      </c>
      <c r="R395" s="688">
        <f t="shared" si="37"/>
        <v>28</v>
      </c>
      <c r="S395" s="240">
        <v>3.567905735E9</v>
      </c>
      <c r="T395" s="703" t="s">
        <v>1317</v>
      </c>
      <c r="U395" s="240" t="s">
        <v>368</v>
      </c>
      <c r="V395" s="688"/>
      <c r="W395" s="240"/>
      <c r="X395" s="241"/>
      <c r="Y395" s="241" t="s">
        <v>1174</v>
      </c>
      <c r="Z395" s="714" t="s">
        <v>1725</v>
      </c>
      <c r="AA395" s="718"/>
      <c r="AB395" s="718"/>
      <c r="AC395" s="718"/>
      <c r="AD395" s="720"/>
      <c r="AE395" s="240"/>
      <c r="AF395" s="240"/>
      <c r="AG395" s="240" t="s">
        <v>375</v>
      </c>
      <c r="AH395" s="493">
        <v>46063.0</v>
      </c>
      <c r="AI395" s="203"/>
      <c r="AJ395" s="203"/>
      <c r="AK395" s="203"/>
      <c r="AL395" s="203"/>
      <c r="AM395" s="203"/>
      <c r="AN395" s="203"/>
      <c r="AO395" s="203"/>
      <c r="AP395" s="203"/>
      <c r="AQ395" s="203"/>
      <c r="AR395" s="203"/>
      <c r="AS395" s="203"/>
      <c r="AT395" s="203"/>
    </row>
    <row r="396">
      <c r="A396" s="688">
        <v>188.0</v>
      </c>
      <c r="B396" s="283" t="s">
        <v>1645</v>
      </c>
      <c r="C396" s="709" t="s">
        <v>1517</v>
      </c>
      <c r="D396" s="710" t="s">
        <v>1368</v>
      </c>
      <c r="E396" s="711" t="s">
        <v>212</v>
      </c>
      <c r="F396" s="702" t="s">
        <v>2203</v>
      </c>
      <c r="G396" s="241" t="s">
        <v>326</v>
      </c>
      <c r="H396" s="687" t="s">
        <v>1221</v>
      </c>
      <c r="I396" s="688" t="s">
        <v>1443</v>
      </c>
      <c r="J396" s="240" t="s">
        <v>114</v>
      </c>
      <c r="K396" s="176" t="s">
        <v>7073</v>
      </c>
      <c r="L396" s="706"/>
      <c r="M396" s="706" t="s">
        <v>60</v>
      </c>
      <c r="N396" s="543" t="s">
        <v>7074</v>
      </c>
      <c r="O396" s="241" t="s">
        <v>7075</v>
      </c>
      <c r="P396" s="712">
        <v>32030.0</v>
      </c>
      <c r="Q396" s="703">
        <f t="shared" si="36"/>
        <v>32030</v>
      </c>
      <c r="R396" s="688">
        <f t="shared" si="37"/>
        <v>38</v>
      </c>
      <c r="S396" s="703">
        <v>3.202915398E9</v>
      </c>
      <c r="T396" s="703" t="s">
        <v>1479</v>
      </c>
      <c r="U396" s="240" t="s">
        <v>368</v>
      </c>
      <c r="V396" s="240"/>
      <c r="W396" s="240"/>
      <c r="X396" s="240"/>
      <c r="Y396" s="241" t="s">
        <v>1174</v>
      </c>
      <c r="Z396" s="714" t="s">
        <v>1725</v>
      </c>
      <c r="AA396" s="241"/>
      <c r="AB396" s="241"/>
      <c r="AC396" s="241"/>
      <c r="AD396" s="705"/>
      <c r="AE396" s="240"/>
      <c r="AF396" s="723"/>
      <c r="AG396" s="240" t="s">
        <v>375</v>
      </c>
      <c r="AH396" s="638">
        <v>46062.0</v>
      </c>
      <c r="AI396" s="203"/>
      <c r="AJ396" s="203"/>
      <c r="AK396" s="203"/>
      <c r="AL396" s="203"/>
      <c r="AM396" s="203"/>
      <c r="AN396" s="203"/>
      <c r="AO396" s="203"/>
      <c r="AP396" s="203"/>
      <c r="AQ396" s="203"/>
      <c r="AR396" s="203"/>
      <c r="AS396" s="203"/>
      <c r="AT396" s="203"/>
    </row>
    <row r="397">
      <c r="A397" s="688">
        <v>268.0</v>
      </c>
      <c r="B397" s="163" t="s">
        <v>1709</v>
      </c>
      <c r="C397" s="688" t="s">
        <v>1269</v>
      </c>
      <c r="D397" s="688" t="s">
        <v>121</v>
      </c>
      <c r="E397" s="711" t="s">
        <v>295</v>
      </c>
      <c r="F397" s="702" t="s">
        <v>1241</v>
      </c>
      <c r="G397" s="241" t="s">
        <v>60</v>
      </c>
      <c r="H397" s="687" t="s">
        <v>1221</v>
      </c>
      <c r="I397" s="688" t="s">
        <v>1443</v>
      </c>
      <c r="J397" s="706" t="s">
        <v>114</v>
      </c>
      <c r="K397" s="85" t="s">
        <v>7089</v>
      </c>
      <c r="L397" s="706"/>
      <c r="M397" s="706" t="s">
        <v>60</v>
      </c>
      <c r="N397" s="570" t="s">
        <v>6577</v>
      </c>
      <c r="O397" s="706" t="s">
        <v>1447</v>
      </c>
      <c r="P397" s="712">
        <v>28167.0</v>
      </c>
      <c r="Q397" s="703">
        <f t="shared" si="36"/>
        <v>28167</v>
      </c>
      <c r="R397" s="688">
        <f t="shared" si="37"/>
        <v>49</v>
      </c>
      <c r="S397" s="703">
        <v>2.816604599E9</v>
      </c>
      <c r="T397" s="703"/>
      <c r="U397" s="724" t="s">
        <v>136</v>
      </c>
      <c r="V397" s="241"/>
      <c r="W397" s="241"/>
      <c r="X397" s="241"/>
      <c r="Y397" s="241"/>
      <c r="Z397" s="241"/>
      <c r="AA397" s="241"/>
      <c r="AB397" s="241"/>
      <c r="AC397" s="241" t="s">
        <v>1032</v>
      </c>
      <c r="AD397" s="705"/>
      <c r="AE397" s="240"/>
      <c r="AF397" s="240"/>
      <c r="AG397" s="240"/>
      <c r="AH397" s="240" t="s">
        <v>7103</v>
      </c>
      <c r="AI397" s="203"/>
      <c r="AJ397" s="203"/>
      <c r="AK397" s="203"/>
      <c r="AL397" s="203"/>
      <c r="AM397" s="203"/>
      <c r="AN397" s="203"/>
      <c r="AO397" s="203"/>
      <c r="AP397" s="203"/>
      <c r="AQ397" s="203"/>
      <c r="AR397" s="203"/>
      <c r="AS397" s="203"/>
      <c r="AT397" s="203"/>
    </row>
    <row r="398">
      <c r="A398" s="688">
        <v>282.0</v>
      </c>
      <c r="B398" s="163" t="s">
        <v>1709</v>
      </c>
      <c r="C398" s="688" t="s">
        <v>1269</v>
      </c>
      <c r="D398" s="725" t="s">
        <v>1494</v>
      </c>
      <c r="E398" s="700" t="s">
        <v>321</v>
      </c>
      <c r="F398" s="702" t="s">
        <v>1552</v>
      </c>
      <c r="G398" s="241" t="s">
        <v>60</v>
      </c>
      <c r="H398" s="687" t="s">
        <v>1221</v>
      </c>
      <c r="I398" s="688" t="s">
        <v>1443</v>
      </c>
      <c r="J398" s="241" t="s">
        <v>114</v>
      </c>
      <c r="K398" s="176" t="s">
        <v>7108</v>
      </c>
      <c r="L398" s="706"/>
      <c r="M398" s="706" t="s">
        <v>60</v>
      </c>
      <c r="N398" s="543" t="s">
        <v>7111</v>
      </c>
      <c r="O398" s="241" t="s">
        <v>3304</v>
      </c>
      <c r="P398" s="712">
        <v>33427.0</v>
      </c>
      <c r="Q398" s="703">
        <f t="shared" si="36"/>
        <v>33427</v>
      </c>
      <c r="R398" s="688">
        <f t="shared" si="37"/>
        <v>35</v>
      </c>
      <c r="S398" s="703">
        <v>3.342600197E9</v>
      </c>
      <c r="T398" s="703" t="s">
        <v>1569</v>
      </c>
      <c r="U398" s="240" t="s">
        <v>368</v>
      </c>
      <c r="V398" s="688"/>
      <c r="W398" s="241"/>
      <c r="X398" s="240"/>
      <c r="Y398" s="241" t="s">
        <v>1174</v>
      </c>
      <c r="Z398" s="714" t="s">
        <v>1725</v>
      </c>
      <c r="AA398" s="240" t="s">
        <v>1178</v>
      </c>
      <c r="AB398" s="241"/>
      <c r="AC398" s="241"/>
      <c r="AD398" s="705"/>
      <c r="AE398" s="240"/>
      <c r="AF398" s="241"/>
      <c r="AG398" s="240" t="s">
        <v>375</v>
      </c>
      <c r="AH398" s="493">
        <v>46062.0</v>
      </c>
      <c r="AI398" s="203"/>
      <c r="AJ398" s="203"/>
      <c r="AK398" s="203"/>
      <c r="AL398" s="203"/>
      <c r="AM398" s="203"/>
      <c r="AN398" s="203"/>
      <c r="AO398" s="203"/>
      <c r="AP398" s="203"/>
      <c r="AQ398" s="203"/>
      <c r="AR398" s="203"/>
      <c r="AS398" s="203"/>
      <c r="AT398" s="203"/>
    </row>
    <row r="399">
      <c r="A399" s="688">
        <v>477.0</v>
      </c>
      <c r="B399" s="163" t="s">
        <v>1433</v>
      </c>
      <c r="C399" s="688" t="s">
        <v>7122</v>
      </c>
      <c r="D399" s="688" t="s">
        <v>121</v>
      </c>
      <c r="E399" s="727" t="s">
        <v>331</v>
      </c>
      <c r="F399" s="702" t="s">
        <v>7124</v>
      </c>
      <c r="G399" s="715" t="s">
        <v>60</v>
      </c>
      <c r="H399" s="687" t="s">
        <v>1221</v>
      </c>
      <c r="I399" s="688" t="s">
        <v>1443</v>
      </c>
      <c r="J399" s="241"/>
      <c r="K399" s="85"/>
      <c r="L399" s="321"/>
      <c r="M399" s="321" t="s">
        <v>656</v>
      </c>
      <c r="N399" s="729" t="s">
        <v>7127</v>
      </c>
      <c r="O399" s="321" t="s">
        <v>5094</v>
      </c>
      <c r="P399" s="638">
        <v>28380.0</v>
      </c>
      <c r="Q399" s="703">
        <f t="shared" si="36"/>
        <v>28380</v>
      </c>
      <c r="R399" s="688">
        <f t="shared" si="37"/>
        <v>48</v>
      </c>
      <c r="S399" s="240">
        <v>2.837919053E9</v>
      </c>
      <c r="T399" s="703"/>
      <c r="U399" s="240" t="s">
        <v>136</v>
      </c>
      <c r="V399" s="688"/>
      <c r="W399" s="240"/>
      <c r="X399" s="240" t="s">
        <v>186</v>
      </c>
      <c r="Y399" s="241"/>
      <c r="Z399" s="321" t="s">
        <v>2482</v>
      </c>
      <c r="AA399" s="241"/>
      <c r="AB399" s="241"/>
      <c r="AC399" s="241"/>
      <c r="AD399" s="705"/>
      <c r="AE399" s="240"/>
      <c r="AF399" s="642">
        <v>45980.0</v>
      </c>
      <c r="AG399" s="240" t="s">
        <v>759</v>
      </c>
      <c r="AH399" s="642">
        <v>45984.0</v>
      </c>
      <c r="AI399" s="203"/>
      <c r="AJ399" s="203"/>
      <c r="AK399" s="203"/>
      <c r="AL399" s="203"/>
      <c r="AM399" s="203"/>
      <c r="AN399" s="203"/>
      <c r="AO399" s="203"/>
      <c r="AP399" s="203"/>
      <c r="AQ399" s="203"/>
      <c r="AR399" s="203"/>
      <c r="AS399" s="203"/>
      <c r="AT399" s="203"/>
    </row>
    <row r="400">
      <c r="A400" s="688">
        <v>488.0</v>
      </c>
      <c r="B400" s="163" t="s">
        <v>3014</v>
      </c>
      <c r="C400" s="688" t="s">
        <v>121</v>
      </c>
      <c r="D400" s="688" t="s">
        <v>121</v>
      </c>
      <c r="E400" s="688" t="s">
        <v>1431</v>
      </c>
      <c r="F400" s="702" t="s">
        <v>3016</v>
      </c>
      <c r="G400" s="241" t="s">
        <v>60</v>
      </c>
      <c r="H400" s="687" t="s">
        <v>1221</v>
      </c>
      <c r="I400" s="688" t="s">
        <v>1443</v>
      </c>
      <c r="J400" s="241" t="s">
        <v>114</v>
      </c>
      <c r="K400" s="241" t="s">
        <v>7145</v>
      </c>
      <c r="L400" s="688"/>
      <c r="M400" s="688" t="s">
        <v>60</v>
      </c>
      <c r="N400" s="688" t="s">
        <v>7147</v>
      </c>
      <c r="O400" s="688" t="s">
        <v>7148</v>
      </c>
      <c r="P400" s="707">
        <v>33517.0</v>
      </c>
      <c r="Q400" s="731">
        <f t="shared" si="36"/>
        <v>33517</v>
      </c>
      <c r="R400" s="688">
        <f t="shared" si="37"/>
        <v>34</v>
      </c>
      <c r="S400" s="703">
        <v>3.351611376E9</v>
      </c>
      <c r="T400" s="703" t="s">
        <v>1317</v>
      </c>
      <c r="U400" s="561" t="s">
        <v>368</v>
      </c>
      <c r="V400" s="241"/>
      <c r="W400" s="732"/>
      <c r="X400" s="241"/>
      <c r="Y400" s="688" t="s">
        <v>1174</v>
      </c>
      <c r="Z400" s="733" t="s">
        <v>2482</v>
      </c>
      <c r="AA400" s="688" t="s">
        <v>1178</v>
      </c>
      <c r="AB400" s="734"/>
      <c r="AC400" s="732"/>
      <c r="AD400" s="736"/>
      <c r="AE400" s="241"/>
      <c r="AF400" s="738"/>
      <c r="AG400" s="241" t="s">
        <v>375</v>
      </c>
      <c r="AH400" s="638">
        <v>46065.0</v>
      </c>
      <c r="AI400" s="203"/>
      <c r="AJ400" s="203"/>
      <c r="AK400" s="203"/>
      <c r="AL400" s="203"/>
      <c r="AM400" s="203"/>
      <c r="AN400" s="203"/>
      <c r="AO400" s="203"/>
      <c r="AP400" s="203"/>
      <c r="AQ400" s="203"/>
      <c r="AR400" s="203"/>
      <c r="AS400" s="203"/>
      <c r="AT400" s="203"/>
    </row>
    <row r="401">
      <c r="A401" s="688">
        <v>506.0</v>
      </c>
      <c r="B401" s="163" t="s">
        <v>1728</v>
      </c>
      <c r="C401" s="688" t="s">
        <v>3031</v>
      </c>
      <c r="D401" s="688" t="s">
        <v>121</v>
      </c>
      <c r="E401" s="727" t="s">
        <v>201</v>
      </c>
      <c r="F401" s="702" t="s">
        <v>1849</v>
      </c>
      <c r="G401" s="241" t="s">
        <v>60</v>
      </c>
      <c r="H401" s="687" t="s">
        <v>1221</v>
      </c>
      <c r="I401" s="688" t="s">
        <v>1443</v>
      </c>
      <c r="J401" s="321" t="s">
        <v>114</v>
      </c>
      <c r="K401" s="124" t="s">
        <v>7164</v>
      </c>
      <c r="L401" s="240"/>
      <c r="M401" s="240" t="s">
        <v>60</v>
      </c>
      <c r="N401" s="540" t="s">
        <v>7166</v>
      </c>
      <c r="O401" s="240" t="s">
        <v>7167</v>
      </c>
      <c r="P401" s="712">
        <v>27613.0</v>
      </c>
      <c r="Q401" s="703">
        <f t="shared" si="36"/>
        <v>27613</v>
      </c>
      <c r="R401" s="688">
        <f t="shared" si="37"/>
        <v>51</v>
      </c>
      <c r="S401" s="240">
        <v>2.761216911E9</v>
      </c>
      <c r="T401" s="703" t="s">
        <v>1317</v>
      </c>
      <c r="U401" s="240" t="s">
        <v>368</v>
      </c>
      <c r="V401" s="240"/>
      <c r="W401" s="240"/>
      <c r="X401" s="241"/>
      <c r="Y401" s="241"/>
      <c r="Z401" s="704" t="s">
        <v>2482</v>
      </c>
      <c r="AA401" s="241"/>
      <c r="AB401" s="241"/>
      <c r="AC401" s="241"/>
      <c r="AD401" s="705"/>
      <c r="AE401" s="240"/>
      <c r="AF401" s="240"/>
      <c r="AG401" s="240" t="s">
        <v>375</v>
      </c>
      <c r="AH401" s="638">
        <v>46060.0</v>
      </c>
      <c r="AI401" s="203"/>
      <c r="AJ401" s="203"/>
      <c r="AK401" s="203"/>
      <c r="AL401" s="203"/>
      <c r="AM401" s="203"/>
      <c r="AN401" s="203"/>
      <c r="AO401" s="203"/>
      <c r="AP401" s="203"/>
      <c r="AQ401" s="203"/>
      <c r="AR401" s="203"/>
      <c r="AS401" s="203"/>
      <c r="AT401" s="203"/>
    </row>
    <row r="402">
      <c r="A402" s="688">
        <v>536.0</v>
      </c>
      <c r="B402" s="163" t="s">
        <v>1728</v>
      </c>
      <c r="C402" s="688" t="s">
        <v>1729</v>
      </c>
      <c r="D402" s="688" t="s">
        <v>121</v>
      </c>
      <c r="E402" s="727" t="s">
        <v>201</v>
      </c>
      <c r="F402" s="702" t="s">
        <v>1849</v>
      </c>
      <c r="G402" s="241" t="s">
        <v>60</v>
      </c>
      <c r="H402" s="687" t="s">
        <v>1221</v>
      </c>
      <c r="I402" s="688" t="s">
        <v>1443</v>
      </c>
      <c r="J402" s="240" t="s">
        <v>114</v>
      </c>
      <c r="K402" s="85"/>
      <c r="L402" s="321"/>
      <c r="M402" s="321" t="s">
        <v>60</v>
      </c>
      <c r="N402" s="739" t="s">
        <v>7176</v>
      </c>
      <c r="O402" s="321" t="s">
        <v>663</v>
      </c>
      <c r="P402" s="638">
        <v>31662.0</v>
      </c>
      <c r="Q402" s="703">
        <f t="shared" si="36"/>
        <v>31662</v>
      </c>
      <c r="R402" s="688">
        <f t="shared" si="37"/>
        <v>39</v>
      </c>
      <c r="S402" s="703">
        <v>3.166113257E9</v>
      </c>
      <c r="T402" s="703"/>
      <c r="U402" s="240" t="s">
        <v>136</v>
      </c>
      <c r="V402" s="688"/>
      <c r="W402" s="240"/>
      <c r="X402" s="240" t="s">
        <v>186</v>
      </c>
      <c r="Y402" s="241" t="s">
        <v>183</v>
      </c>
      <c r="Z402" s="321" t="s">
        <v>2482</v>
      </c>
      <c r="AA402" s="241"/>
      <c r="AB402" s="241"/>
      <c r="AC402" s="241"/>
      <c r="AD402" s="705"/>
      <c r="AE402" s="240"/>
      <c r="AF402" s="642">
        <v>45980.0</v>
      </c>
      <c r="AG402" s="240" t="s">
        <v>759</v>
      </c>
      <c r="AH402" s="241"/>
      <c r="AI402" s="203"/>
      <c r="AJ402" s="203"/>
      <c r="AK402" s="203"/>
      <c r="AL402" s="203"/>
      <c r="AM402" s="203"/>
      <c r="AN402" s="203"/>
      <c r="AO402" s="203"/>
      <c r="AP402" s="203"/>
      <c r="AQ402" s="203"/>
      <c r="AR402" s="203"/>
      <c r="AS402" s="203"/>
      <c r="AT402" s="203"/>
    </row>
    <row r="403">
      <c r="A403" s="688">
        <v>542.0</v>
      </c>
      <c r="B403" s="163" t="s">
        <v>1728</v>
      </c>
      <c r="C403" s="688" t="s">
        <v>1729</v>
      </c>
      <c r="D403" s="688" t="s">
        <v>121</v>
      </c>
      <c r="E403" s="727" t="s">
        <v>331</v>
      </c>
      <c r="F403" s="702" t="s">
        <v>1731</v>
      </c>
      <c r="G403" s="241" t="s">
        <v>60</v>
      </c>
      <c r="H403" s="687" t="s">
        <v>1221</v>
      </c>
      <c r="I403" s="688" t="s">
        <v>1443</v>
      </c>
      <c r="J403" s="240" t="s">
        <v>114</v>
      </c>
      <c r="K403" s="124" t="s">
        <v>7189</v>
      </c>
      <c r="L403" s="240"/>
      <c r="M403" s="240" t="s">
        <v>60</v>
      </c>
      <c r="N403" s="240" t="s">
        <v>7191</v>
      </c>
      <c r="O403" s="240" t="s">
        <v>7192</v>
      </c>
      <c r="P403" s="740">
        <v>33193.0</v>
      </c>
      <c r="Q403" s="703">
        <f t="shared" si="36"/>
        <v>33193</v>
      </c>
      <c r="R403" s="688">
        <f t="shared" si="37"/>
        <v>35</v>
      </c>
      <c r="S403" s="240">
        <v>3.319212171E9</v>
      </c>
      <c r="T403" s="703" t="s">
        <v>1479</v>
      </c>
      <c r="U403" s="240" t="s">
        <v>368</v>
      </c>
      <c r="V403" s="240"/>
      <c r="W403" s="240"/>
      <c r="X403" s="241"/>
      <c r="Y403" s="241"/>
      <c r="Z403" s="704" t="s">
        <v>2482</v>
      </c>
      <c r="AA403" s="241"/>
      <c r="AB403" s="241"/>
      <c r="AC403" s="241"/>
      <c r="AD403" s="705"/>
      <c r="AE403" s="240"/>
      <c r="AF403" s="240"/>
      <c r="AG403" s="240" t="s">
        <v>375</v>
      </c>
      <c r="AH403" s="638">
        <v>46065.0</v>
      </c>
      <c r="AI403" s="203"/>
      <c r="AJ403" s="203"/>
      <c r="AK403" s="203"/>
      <c r="AL403" s="203"/>
      <c r="AM403" s="203"/>
      <c r="AN403" s="203"/>
      <c r="AO403" s="203"/>
      <c r="AP403" s="203"/>
      <c r="AQ403" s="203"/>
      <c r="AR403" s="203"/>
      <c r="AS403" s="203"/>
      <c r="AT403" s="203"/>
    </row>
    <row r="404">
      <c r="A404" s="688">
        <v>545.0</v>
      </c>
      <c r="B404" s="163" t="s">
        <v>3297</v>
      </c>
      <c r="C404" s="688" t="s">
        <v>121</v>
      </c>
      <c r="D404" s="688" t="s">
        <v>121</v>
      </c>
      <c r="E404" s="727" t="s">
        <v>201</v>
      </c>
      <c r="F404" s="702" t="s">
        <v>1849</v>
      </c>
      <c r="G404" s="241" t="s">
        <v>60</v>
      </c>
      <c r="H404" s="687" t="s">
        <v>1221</v>
      </c>
      <c r="I404" s="688" t="s">
        <v>1443</v>
      </c>
      <c r="J404" s="240" t="s">
        <v>114</v>
      </c>
      <c r="K404" s="124" t="s">
        <v>7207</v>
      </c>
      <c r="L404" s="240"/>
      <c r="M404" s="240" t="s">
        <v>60</v>
      </c>
      <c r="N404" s="240" t="s">
        <v>7211</v>
      </c>
      <c r="O404" s="240" t="s">
        <v>7212</v>
      </c>
      <c r="P404" s="712">
        <v>32265.0</v>
      </c>
      <c r="Q404" s="703">
        <f t="shared" si="36"/>
        <v>32265</v>
      </c>
      <c r="R404" s="688">
        <f t="shared" si="37"/>
        <v>38</v>
      </c>
      <c r="S404" s="703">
        <v>3.226403719E9</v>
      </c>
      <c r="T404" s="703"/>
      <c r="U404" s="240" t="s">
        <v>368</v>
      </c>
      <c r="V404" s="240"/>
      <c r="W404" s="240"/>
      <c r="X404" s="241"/>
      <c r="Y404" s="241"/>
      <c r="Z404" s="704" t="s">
        <v>2482</v>
      </c>
      <c r="AA404" s="241"/>
      <c r="AB404" s="241"/>
      <c r="AC404" s="241"/>
      <c r="AD404" s="705"/>
      <c r="AE404" s="240"/>
      <c r="AF404" s="240"/>
      <c r="AG404" s="240" t="s">
        <v>375</v>
      </c>
      <c r="AH404" s="638">
        <v>46056.0</v>
      </c>
      <c r="AI404" s="203"/>
      <c r="AJ404" s="203"/>
      <c r="AK404" s="203"/>
      <c r="AL404" s="203"/>
      <c r="AM404" s="203"/>
      <c r="AN404" s="203"/>
      <c r="AO404" s="203"/>
      <c r="AP404" s="203"/>
      <c r="AQ404" s="203"/>
      <c r="AR404" s="203"/>
      <c r="AS404" s="203"/>
      <c r="AT404" s="203"/>
    </row>
    <row r="405">
      <c r="A405" s="688">
        <v>582.0</v>
      </c>
      <c r="B405" s="163" t="s">
        <v>3898</v>
      </c>
      <c r="C405" s="688" t="s">
        <v>3900</v>
      </c>
      <c r="D405" s="688" t="s">
        <v>121</v>
      </c>
      <c r="E405" s="727" t="s">
        <v>1978</v>
      </c>
      <c r="F405" s="702" t="s">
        <v>7224</v>
      </c>
      <c r="G405" s="241" t="s">
        <v>60</v>
      </c>
      <c r="H405" s="687" t="s">
        <v>1221</v>
      </c>
      <c r="I405" s="688" t="s">
        <v>1443</v>
      </c>
      <c r="J405" s="240" t="s">
        <v>114</v>
      </c>
      <c r="K405" s="85"/>
      <c r="L405" s="321"/>
      <c r="M405" s="321" t="s">
        <v>656</v>
      </c>
      <c r="N405" s="321" t="s">
        <v>7228</v>
      </c>
      <c r="O405" s="321" t="s">
        <v>7229</v>
      </c>
      <c r="P405" s="638">
        <v>29786.0</v>
      </c>
      <c r="Q405" s="703">
        <f t="shared" si="36"/>
        <v>29786</v>
      </c>
      <c r="R405" s="688">
        <f t="shared" si="37"/>
        <v>45</v>
      </c>
      <c r="S405" s="240">
        <v>2.978511113E9</v>
      </c>
      <c r="T405" s="703"/>
      <c r="U405" s="240" t="s">
        <v>379</v>
      </c>
      <c r="V405" s="688"/>
      <c r="W405" s="240"/>
      <c r="X405" s="240" t="s">
        <v>186</v>
      </c>
      <c r="Y405" s="241" t="s">
        <v>183</v>
      </c>
      <c r="Z405" s="321" t="s">
        <v>2482</v>
      </c>
      <c r="AA405" s="241"/>
      <c r="AB405" s="241"/>
      <c r="AC405" s="240" t="s">
        <v>3127</v>
      </c>
      <c r="AD405" s="705"/>
      <c r="AE405" s="240" t="s">
        <v>291</v>
      </c>
      <c r="AF405" s="642">
        <v>45980.0</v>
      </c>
      <c r="AG405" s="703"/>
      <c r="AH405" s="240" t="s">
        <v>7240</v>
      </c>
      <c r="AI405" s="203"/>
      <c r="AJ405" s="203"/>
      <c r="AK405" s="203"/>
      <c r="AL405" s="203"/>
      <c r="AM405" s="203"/>
      <c r="AN405" s="203"/>
      <c r="AO405" s="203"/>
      <c r="AP405" s="203"/>
      <c r="AQ405" s="203"/>
      <c r="AR405" s="203"/>
      <c r="AS405" s="203"/>
      <c r="AT405" s="203"/>
    </row>
    <row r="406">
      <c r="A406" s="688">
        <v>594.0</v>
      </c>
      <c r="B406" s="163" t="s">
        <v>3898</v>
      </c>
      <c r="C406" s="688" t="s">
        <v>7243</v>
      </c>
      <c r="D406" s="688" t="s">
        <v>121</v>
      </c>
      <c r="E406" s="727" t="s">
        <v>1536</v>
      </c>
      <c r="F406" s="702" t="s">
        <v>3915</v>
      </c>
      <c r="G406" s="241" t="s">
        <v>60</v>
      </c>
      <c r="H406" s="687" t="s">
        <v>1221</v>
      </c>
      <c r="I406" s="688" t="s">
        <v>1443</v>
      </c>
      <c r="J406" s="240" t="s">
        <v>114</v>
      </c>
      <c r="K406" s="85"/>
      <c r="L406" s="321"/>
      <c r="M406" s="321" t="s">
        <v>60</v>
      </c>
      <c r="N406" s="570" t="s">
        <v>7248</v>
      </c>
      <c r="O406" s="321"/>
      <c r="P406" s="638"/>
      <c r="Q406" s="688"/>
      <c r="R406" s="688"/>
      <c r="S406" s="703"/>
      <c r="T406" s="703"/>
      <c r="U406" s="240" t="s">
        <v>136</v>
      </c>
      <c r="V406" s="688"/>
      <c r="W406" s="240"/>
      <c r="X406" s="240" t="s">
        <v>186</v>
      </c>
      <c r="Y406" s="741" t="s">
        <v>2482</v>
      </c>
      <c r="Z406" s="742" t="s">
        <v>418</v>
      </c>
      <c r="AA406" s="241"/>
      <c r="AB406" s="241"/>
      <c r="AC406" s="241"/>
      <c r="AD406" s="705"/>
      <c r="AE406" s="240"/>
      <c r="AF406" s="642">
        <v>45980.0</v>
      </c>
      <c r="AG406" s="240" t="s">
        <v>759</v>
      </c>
      <c r="AH406" s="241"/>
      <c r="AI406" s="203"/>
      <c r="AJ406" s="203"/>
      <c r="AK406" s="203"/>
      <c r="AL406" s="203"/>
      <c r="AM406" s="203"/>
      <c r="AN406" s="203"/>
      <c r="AO406" s="203"/>
      <c r="AP406" s="203"/>
      <c r="AQ406" s="203"/>
      <c r="AR406" s="203"/>
      <c r="AS406" s="203"/>
      <c r="AT406" s="203"/>
    </row>
    <row r="407">
      <c r="A407" s="688">
        <v>634.0</v>
      </c>
      <c r="B407" s="163" t="s">
        <v>3307</v>
      </c>
      <c r="C407" s="688" t="s">
        <v>4089</v>
      </c>
      <c r="D407" s="688" t="s">
        <v>121</v>
      </c>
      <c r="E407" s="743" t="s">
        <v>1522</v>
      </c>
      <c r="F407" s="702" t="s">
        <v>4111</v>
      </c>
      <c r="G407" s="241" t="s">
        <v>60</v>
      </c>
      <c r="H407" s="687" t="s">
        <v>1221</v>
      </c>
      <c r="I407" s="688" t="s">
        <v>1443</v>
      </c>
      <c r="J407" s="240" t="s">
        <v>114</v>
      </c>
      <c r="K407" s="176" t="s">
        <v>7262</v>
      </c>
      <c r="L407" s="321"/>
      <c r="M407" s="321" t="s">
        <v>60</v>
      </c>
      <c r="N407" s="240" t="s">
        <v>7264</v>
      </c>
      <c r="O407" s="117" t="s">
        <v>7266</v>
      </c>
      <c r="P407" s="262">
        <v>29702.0</v>
      </c>
      <c r="Q407" s="703">
        <f t="shared" ref="Q407:Q413" si="38">VALUE(LEFT(TEXT(S407,0),5))+1</f>
        <v>29702</v>
      </c>
      <c r="R407" s="241">
        <f t="shared" ref="R407:R415" si="39">DATEDIF($P407,TODAY(),"Y")</f>
        <v>45</v>
      </c>
      <c r="S407" s="240">
        <v>2.970101773E9</v>
      </c>
      <c r="T407" s="703" t="s">
        <v>1479</v>
      </c>
      <c r="U407" s="240" t="s">
        <v>379</v>
      </c>
      <c r="V407" s="240"/>
      <c r="W407" s="241"/>
      <c r="X407" s="240" t="s">
        <v>186</v>
      </c>
      <c r="Y407" s="241"/>
      <c r="Z407" s="321" t="s">
        <v>1460</v>
      </c>
      <c r="AA407" s="240"/>
      <c r="AB407" s="241"/>
      <c r="AC407" s="240" t="s">
        <v>7020</v>
      </c>
      <c r="AD407" s="705"/>
      <c r="AE407" s="240"/>
      <c r="AF407" s="240" t="s">
        <v>3378</v>
      </c>
      <c r="AG407" s="240" t="s">
        <v>7282</v>
      </c>
      <c r="AH407" s="638"/>
      <c r="AI407" s="203"/>
      <c r="AJ407" s="203"/>
      <c r="AK407" s="203"/>
      <c r="AL407" s="203"/>
      <c r="AM407" s="203"/>
      <c r="AN407" s="203"/>
      <c r="AO407" s="203"/>
      <c r="AP407" s="203"/>
      <c r="AQ407" s="203"/>
      <c r="AR407" s="203"/>
      <c r="AS407" s="203"/>
      <c r="AT407" s="203"/>
    </row>
    <row r="408">
      <c r="A408" s="688">
        <v>676.0</v>
      </c>
      <c r="B408" s="66" t="s">
        <v>3332</v>
      </c>
      <c r="C408" s="241" t="s">
        <v>3829</v>
      </c>
      <c r="D408" s="688" t="s">
        <v>121</v>
      </c>
      <c r="E408" s="744" t="s">
        <v>6215</v>
      </c>
      <c r="F408" s="702" t="s">
        <v>7287</v>
      </c>
      <c r="G408" s="688" t="s">
        <v>326</v>
      </c>
      <c r="H408" s="687" t="s">
        <v>1221</v>
      </c>
      <c r="I408" s="688" t="s">
        <v>1443</v>
      </c>
      <c r="J408" s="240" t="s">
        <v>114</v>
      </c>
      <c r="K408" s="76"/>
      <c r="L408" s="240"/>
      <c r="M408" s="240" t="s">
        <v>60</v>
      </c>
      <c r="N408" s="540" t="s">
        <v>7293</v>
      </c>
      <c r="O408" s="240" t="s">
        <v>882</v>
      </c>
      <c r="P408" s="153">
        <v>34384.0</v>
      </c>
      <c r="Q408" s="703">
        <f t="shared" si="38"/>
        <v>34384</v>
      </c>
      <c r="R408" s="688">
        <f t="shared" si="39"/>
        <v>32</v>
      </c>
      <c r="S408" s="703">
        <v>3.438306714E9</v>
      </c>
      <c r="T408" s="703"/>
      <c r="U408" s="240" t="s">
        <v>368</v>
      </c>
      <c r="V408" s="240"/>
      <c r="W408" s="240"/>
      <c r="X408" s="240"/>
      <c r="Y408" s="241"/>
      <c r="Z408" s="704" t="s">
        <v>2482</v>
      </c>
      <c r="AA408" s="240" t="s">
        <v>1178</v>
      </c>
      <c r="AB408" s="241"/>
      <c r="AC408" s="241"/>
      <c r="AD408" s="705"/>
      <c r="AE408" s="240"/>
      <c r="AF408" s="240"/>
      <c r="AG408" s="240" t="s">
        <v>375</v>
      </c>
      <c r="AH408" s="638">
        <v>46060.0</v>
      </c>
      <c r="AI408" s="203"/>
      <c r="AJ408" s="203"/>
      <c r="AK408" s="203"/>
      <c r="AL408" s="203"/>
      <c r="AM408" s="203"/>
      <c r="AN408" s="203"/>
      <c r="AO408" s="203"/>
      <c r="AP408" s="203"/>
      <c r="AQ408" s="203"/>
      <c r="AR408" s="203"/>
      <c r="AS408" s="203"/>
      <c r="AT408" s="203"/>
    </row>
    <row r="409">
      <c r="A409" s="688">
        <v>688.0</v>
      </c>
      <c r="B409" s="66" t="s">
        <v>3454</v>
      </c>
      <c r="C409" s="241" t="s">
        <v>7302</v>
      </c>
      <c r="D409" s="688" t="s">
        <v>121</v>
      </c>
      <c r="E409" s="744" t="s">
        <v>201</v>
      </c>
      <c r="F409" s="702" t="s">
        <v>1849</v>
      </c>
      <c r="G409" s="745" t="s">
        <v>60</v>
      </c>
      <c r="H409" s="687" t="s">
        <v>1221</v>
      </c>
      <c r="I409" s="688" t="s">
        <v>1443</v>
      </c>
      <c r="J409" s="240" t="s">
        <v>114</v>
      </c>
      <c r="K409" s="76"/>
      <c r="L409" s="240"/>
      <c r="M409" s="240" t="s">
        <v>60</v>
      </c>
      <c r="N409" s="240" t="s">
        <v>7307</v>
      </c>
      <c r="O409" s="240" t="s">
        <v>7309</v>
      </c>
      <c r="P409" s="153">
        <v>28246.0</v>
      </c>
      <c r="Q409" s="703">
        <f t="shared" si="38"/>
        <v>28246</v>
      </c>
      <c r="R409" s="688">
        <f t="shared" si="39"/>
        <v>49</v>
      </c>
      <c r="S409" s="703">
        <v>2.824523972E9</v>
      </c>
      <c r="T409" s="703"/>
      <c r="U409" s="240" t="s">
        <v>368</v>
      </c>
      <c r="V409" s="240"/>
      <c r="W409" s="240"/>
      <c r="X409" s="240"/>
      <c r="Y409" s="241"/>
      <c r="Z409" s="704" t="s">
        <v>2482</v>
      </c>
      <c r="AA409" s="240" t="s">
        <v>1178</v>
      </c>
      <c r="AB409" s="241"/>
      <c r="AC409" s="241"/>
      <c r="AD409" s="705"/>
      <c r="AE409" s="240"/>
      <c r="AF409" s="240"/>
      <c r="AG409" s="240" t="s">
        <v>375</v>
      </c>
      <c r="AH409" s="638">
        <v>46057.0</v>
      </c>
      <c r="AI409" s="203"/>
      <c r="AJ409" s="203"/>
      <c r="AK409" s="203"/>
      <c r="AL409" s="203"/>
      <c r="AM409" s="203"/>
      <c r="AN409" s="203"/>
      <c r="AO409" s="203"/>
      <c r="AP409" s="203"/>
      <c r="AQ409" s="203"/>
      <c r="AR409" s="203"/>
      <c r="AS409" s="203"/>
      <c r="AT409" s="203"/>
    </row>
    <row r="410">
      <c r="A410" s="86">
        <v>139.0</v>
      </c>
      <c r="B410" s="529" t="s">
        <v>1039</v>
      </c>
      <c r="C410" s="86" t="s">
        <v>1728</v>
      </c>
      <c r="D410" s="86" t="s">
        <v>121</v>
      </c>
      <c r="E410" s="746" t="s">
        <v>287</v>
      </c>
      <c r="F410" s="747" t="s">
        <v>2853</v>
      </c>
      <c r="G410" s="97" t="s">
        <v>60</v>
      </c>
      <c r="H410" s="87" t="s">
        <v>1221</v>
      </c>
      <c r="I410" s="86" t="s">
        <v>1443</v>
      </c>
      <c r="J410" s="76" t="s">
        <v>114</v>
      </c>
      <c r="K410" s="87"/>
      <c r="L410" s="87"/>
      <c r="M410" s="87" t="s">
        <v>60</v>
      </c>
      <c r="N410" s="76" t="s">
        <v>7333</v>
      </c>
      <c r="O410" s="109" t="s">
        <v>193</v>
      </c>
      <c r="P410" s="712">
        <v>34009.0</v>
      </c>
      <c r="Q410" s="315">
        <f t="shared" si="38"/>
        <v>34009</v>
      </c>
      <c r="R410" s="86">
        <f t="shared" si="39"/>
        <v>33</v>
      </c>
      <c r="S410" s="315">
        <v>3.40081305E9</v>
      </c>
      <c r="T410" s="315"/>
      <c r="U410" s="76" t="s">
        <v>379</v>
      </c>
      <c r="V410" s="86"/>
      <c r="W410" s="76"/>
      <c r="X410" s="76"/>
      <c r="Y410" s="97" t="s">
        <v>1174</v>
      </c>
      <c r="Z410" s="289" t="s">
        <v>1725</v>
      </c>
      <c r="AA410" s="97"/>
      <c r="AB410" s="97"/>
      <c r="AC410" s="76" t="s">
        <v>632</v>
      </c>
      <c r="AD410" s="99"/>
      <c r="AE410" s="76" t="s">
        <v>632</v>
      </c>
      <c r="AF410" s="76" t="s">
        <v>7347</v>
      </c>
      <c r="AG410" s="315"/>
      <c r="AH410" s="97"/>
      <c r="AI410" s="67"/>
      <c r="AJ410" s="67"/>
      <c r="AK410" s="748"/>
      <c r="AL410" s="748"/>
      <c r="AM410" s="748"/>
      <c r="AN410" s="748"/>
      <c r="AO410" s="748"/>
      <c r="AP410" s="748"/>
      <c r="AQ410" s="67"/>
      <c r="AR410" s="67"/>
      <c r="AS410" s="67"/>
      <c r="AT410" s="67"/>
    </row>
    <row r="411">
      <c r="A411" s="86">
        <v>172.0</v>
      </c>
      <c r="B411" s="529" t="s">
        <v>1645</v>
      </c>
      <c r="C411" s="87" t="s">
        <v>1269</v>
      </c>
      <c r="D411" s="549" t="s">
        <v>1494</v>
      </c>
      <c r="E411" s="749" t="s">
        <v>201</v>
      </c>
      <c r="F411" s="747" t="s">
        <v>1849</v>
      </c>
      <c r="G411" s="97" t="s">
        <v>60</v>
      </c>
      <c r="H411" s="87" t="s">
        <v>1221</v>
      </c>
      <c r="I411" s="97" t="s">
        <v>1443</v>
      </c>
      <c r="J411" s="109" t="s">
        <v>114</v>
      </c>
      <c r="K411" s="118" t="s">
        <v>7360</v>
      </c>
      <c r="L411" s="109"/>
      <c r="M411" s="109" t="s">
        <v>60</v>
      </c>
      <c r="N411" s="97" t="s">
        <v>7362</v>
      </c>
      <c r="O411" s="109" t="s">
        <v>7363</v>
      </c>
      <c r="P411" s="750">
        <v>30855.0</v>
      </c>
      <c r="Q411" s="315">
        <f t="shared" si="38"/>
        <v>30855</v>
      </c>
      <c r="R411" s="86">
        <f t="shared" si="39"/>
        <v>42</v>
      </c>
      <c r="S411" s="315">
        <v>3.085421431E9</v>
      </c>
      <c r="T411" s="315"/>
      <c r="U411" s="751" t="s">
        <v>543</v>
      </c>
      <c r="V411" s="86"/>
      <c r="W411" s="97"/>
      <c r="X411" s="97"/>
      <c r="Y411" s="97"/>
      <c r="Z411" s="97"/>
      <c r="AA411" s="97"/>
      <c r="AB411" s="97"/>
      <c r="AC411" s="97"/>
      <c r="AD411" s="99"/>
      <c r="AE411" s="76" t="s">
        <v>491</v>
      </c>
      <c r="AF411" s="99" t="s">
        <v>7380</v>
      </c>
      <c r="AG411" s="189"/>
      <c r="AH411" s="112"/>
      <c r="AI411" s="67"/>
      <c r="AJ411" s="67"/>
      <c r="AK411" s="748"/>
      <c r="AL411" s="748"/>
      <c r="AM411" s="748"/>
      <c r="AN411" s="748"/>
      <c r="AO411" s="748"/>
      <c r="AP411" s="748"/>
      <c r="AQ411" s="67"/>
      <c r="AR411" s="67"/>
      <c r="AS411" s="67"/>
      <c r="AT411" s="67"/>
    </row>
    <row r="412">
      <c r="A412" s="86">
        <v>222.0</v>
      </c>
      <c r="B412" s="529" t="s">
        <v>1645</v>
      </c>
      <c r="C412" s="86" t="s">
        <v>1611</v>
      </c>
      <c r="D412" s="549" t="s">
        <v>1368</v>
      </c>
      <c r="E412" s="752" t="s">
        <v>213</v>
      </c>
      <c r="F412" s="747" t="s">
        <v>1523</v>
      </c>
      <c r="G412" s="753" t="s">
        <v>60</v>
      </c>
      <c r="H412" s="87" t="s">
        <v>1221</v>
      </c>
      <c r="I412" s="86" t="s">
        <v>1443</v>
      </c>
      <c r="J412" s="97" t="s">
        <v>114</v>
      </c>
      <c r="K412" s="118" t="s">
        <v>7387</v>
      </c>
      <c r="L412" s="109"/>
      <c r="M412" s="109" t="s">
        <v>60</v>
      </c>
      <c r="N412" s="97" t="s">
        <v>7390</v>
      </c>
      <c r="O412" s="86" t="s">
        <v>1538</v>
      </c>
      <c r="P412" s="153">
        <v>31087.0</v>
      </c>
      <c r="Q412" s="315">
        <f t="shared" si="38"/>
        <v>31087</v>
      </c>
      <c r="R412" s="86">
        <f t="shared" si="39"/>
        <v>41</v>
      </c>
      <c r="S412" s="76">
        <v>3.10860649E9</v>
      </c>
      <c r="T412" s="315"/>
      <c r="U412" s="76" t="s">
        <v>379</v>
      </c>
      <c r="V412" s="183"/>
      <c r="W412" s="183"/>
      <c r="X412" s="184"/>
      <c r="Y412" s="184"/>
      <c r="Z412" s="97" t="s">
        <v>371</v>
      </c>
      <c r="AA412" s="97" t="s">
        <v>185</v>
      </c>
      <c r="AB412" s="184"/>
      <c r="AC412" s="76" t="s">
        <v>7398</v>
      </c>
      <c r="AD412" s="99" t="s">
        <v>3127</v>
      </c>
      <c r="AE412" s="97" t="s">
        <v>3482</v>
      </c>
      <c r="AF412" s="209" t="s">
        <v>3483</v>
      </c>
      <c r="AG412" s="187"/>
      <c r="AH412" s="754"/>
      <c r="AI412" s="67"/>
      <c r="AJ412" s="67"/>
      <c r="AK412" s="748"/>
      <c r="AL412" s="748"/>
      <c r="AM412" s="748"/>
      <c r="AN412" s="748"/>
      <c r="AO412" s="748"/>
      <c r="AP412" s="748"/>
      <c r="AQ412" s="67"/>
      <c r="AR412" s="67"/>
      <c r="AS412" s="67"/>
      <c r="AT412" s="67"/>
    </row>
    <row r="413">
      <c r="A413" s="86">
        <v>177.0</v>
      </c>
      <c r="B413" s="529" t="s">
        <v>1645</v>
      </c>
      <c r="C413" s="87" t="s">
        <v>1269</v>
      </c>
      <c r="D413" s="549" t="s">
        <v>1519</v>
      </c>
      <c r="E413" s="755" t="s">
        <v>139</v>
      </c>
      <c r="F413" s="747" t="s">
        <v>1520</v>
      </c>
      <c r="G413" s="97" t="s">
        <v>60</v>
      </c>
      <c r="H413" s="87" t="s">
        <v>1221</v>
      </c>
      <c r="I413" s="86" t="s">
        <v>1443</v>
      </c>
      <c r="J413" s="76" t="s">
        <v>114</v>
      </c>
      <c r="K413" s="176" t="s">
        <v>7411</v>
      </c>
      <c r="L413" s="109"/>
      <c r="M413" s="109" t="s">
        <v>60</v>
      </c>
      <c r="N413" s="97" t="s">
        <v>7413</v>
      </c>
      <c r="O413" s="76" t="s">
        <v>1885</v>
      </c>
      <c r="P413" s="153">
        <v>35680.0</v>
      </c>
      <c r="Q413" s="315">
        <f t="shared" si="38"/>
        <v>35680</v>
      </c>
      <c r="R413" s="97">
        <f t="shared" si="39"/>
        <v>28</v>
      </c>
      <c r="S413" s="315">
        <v>3.567905735E9</v>
      </c>
      <c r="T413" s="315" t="s">
        <v>1317</v>
      </c>
      <c r="U413" s="76" t="s">
        <v>543</v>
      </c>
      <c r="V413" s="97"/>
      <c r="W413" s="76"/>
      <c r="X413" s="76"/>
      <c r="Y413" s="97" t="s">
        <v>1174</v>
      </c>
      <c r="Z413" s="289" t="s">
        <v>1725</v>
      </c>
      <c r="AA413" s="97"/>
      <c r="AB413" s="97"/>
      <c r="AC413" s="97"/>
      <c r="AD413" s="99"/>
      <c r="AE413" s="76" t="s">
        <v>291</v>
      </c>
      <c r="AF413" s="76" t="s">
        <v>3912</v>
      </c>
      <c r="AG413" s="189"/>
      <c r="AH413" s="539"/>
      <c r="AI413" s="67"/>
      <c r="AJ413" s="67"/>
      <c r="AK413" s="748"/>
      <c r="AL413" s="748"/>
      <c r="AM413" s="748"/>
      <c r="AN413" s="748"/>
      <c r="AO413" s="748"/>
      <c r="AP413" s="748"/>
      <c r="AQ413" s="67"/>
      <c r="AR413" s="67"/>
      <c r="AS413" s="67"/>
      <c r="AT413" s="67"/>
    </row>
    <row r="414">
      <c r="A414" s="86">
        <v>628.0</v>
      </c>
      <c r="B414" s="529" t="s">
        <v>3307</v>
      </c>
      <c r="C414" s="86" t="s">
        <v>3308</v>
      </c>
      <c r="D414" s="86" t="s">
        <v>121</v>
      </c>
      <c r="E414" s="746" t="s">
        <v>331</v>
      </c>
      <c r="F414" s="747" t="s">
        <v>1731</v>
      </c>
      <c r="G414" s="753" t="s">
        <v>60</v>
      </c>
      <c r="H414" s="87" t="s">
        <v>1221</v>
      </c>
      <c r="I414" s="86" t="s">
        <v>1443</v>
      </c>
      <c r="J414" s="76" t="s">
        <v>114</v>
      </c>
      <c r="K414" s="87"/>
      <c r="L414" s="85"/>
      <c r="M414" s="85" t="s">
        <v>60</v>
      </c>
      <c r="N414" s="76" t="s">
        <v>5822</v>
      </c>
      <c r="O414" s="756" t="s">
        <v>7430</v>
      </c>
      <c r="P414" s="750"/>
      <c r="Q414" s="97"/>
      <c r="R414" s="97">
        <f t="shared" si="39"/>
        <v>126</v>
      </c>
      <c r="S414" s="315"/>
      <c r="T414" s="315" t="s">
        <v>1317</v>
      </c>
      <c r="U414" s="76" t="s">
        <v>379</v>
      </c>
      <c r="V414" s="76"/>
      <c r="W414" s="97"/>
      <c r="X414" s="76"/>
      <c r="Y414" s="97"/>
      <c r="Z414" s="278" t="s">
        <v>1613</v>
      </c>
      <c r="AA414" s="76"/>
      <c r="AB414" s="97"/>
      <c r="AC414" s="76" t="s">
        <v>632</v>
      </c>
      <c r="AD414" s="99"/>
      <c r="AE414" s="76"/>
      <c r="AF414" s="76"/>
      <c r="AG414" s="76"/>
      <c r="AH414" s="76" t="s">
        <v>7438</v>
      </c>
      <c r="AI414" s="67"/>
      <c r="AJ414" s="67"/>
      <c r="AK414" s="67"/>
      <c r="AL414" s="67"/>
      <c r="AM414" s="67"/>
      <c r="AN414" s="67"/>
      <c r="AO414" s="67"/>
      <c r="AP414" s="67"/>
      <c r="AQ414" s="67"/>
      <c r="AR414" s="67"/>
      <c r="AS414" s="67"/>
      <c r="AT414" s="67"/>
    </row>
    <row r="415">
      <c r="A415" s="76" t="s">
        <v>116</v>
      </c>
      <c r="B415" s="757" t="s">
        <v>1039</v>
      </c>
      <c r="C415" s="757" t="s">
        <v>1269</v>
      </c>
      <c r="D415" s="757" t="s">
        <v>1494</v>
      </c>
      <c r="E415" s="758" t="s">
        <v>302</v>
      </c>
      <c r="F415" s="759" t="s">
        <v>1404</v>
      </c>
      <c r="G415" s="760" t="s">
        <v>1685</v>
      </c>
      <c r="H415" s="760" t="s">
        <v>326</v>
      </c>
      <c r="I415" s="87" t="s">
        <v>1221</v>
      </c>
      <c r="J415" s="85" t="s">
        <v>114</v>
      </c>
      <c r="K415" s="85" t="s">
        <v>7448</v>
      </c>
      <c r="L415" s="85"/>
      <c r="M415" s="85" t="s">
        <v>60</v>
      </c>
      <c r="N415" s="256" t="s">
        <v>7453</v>
      </c>
      <c r="O415" s="76" t="s">
        <v>7455</v>
      </c>
      <c r="P415" s="86"/>
      <c r="Q415" s="315">
        <f>VALUE(LEFT(TEXT(S415,0),5))+1</f>
        <v>1</v>
      </c>
      <c r="R415" s="97">
        <f t="shared" si="39"/>
        <v>126</v>
      </c>
      <c r="S415" s="315"/>
      <c r="T415" s="315"/>
      <c r="U415" s="76" t="s">
        <v>368</v>
      </c>
      <c r="V415" s="76"/>
      <c r="W415" s="76"/>
      <c r="X415" s="76"/>
      <c r="Y415" s="97" t="s">
        <v>1174</v>
      </c>
      <c r="Z415" s="728" t="s">
        <v>2482</v>
      </c>
      <c r="AA415" s="76"/>
      <c r="AB415" s="76"/>
      <c r="AC415" s="97"/>
      <c r="AD415" s="99"/>
      <c r="AE415" s="76"/>
      <c r="AF415" s="76"/>
      <c r="AG415" s="76" t="s">
        <v>375</v>
      </c>
      <c r="AH415" s="153">
        <v>46078.0</v>
      </c>
      <c r="AI415" s="203"/>
      <c r="AJ415" s="203"/>
      <c r="AK415" s="203"/>
      <c r="AL415" s="203"/>
      <c r="AM415" s="203"/>
      <c r="AN415" s="203"/>
      <c r="AO415" s="203"/>
      <c r="AP415" s="203"/>
      <c r="AQ415" s="203"/>
      <c r="AR415" s="203"/>
      <c r="AS415" s="203"/>
      <c r="AT415" s="203"/>
    </row>
    <row r="416">
      <c r="A416" s="86"/>
      <c r="B416" s="450" t="s">
        <v>4145</v>
      </c>
      <c r="C416" s="302" t="s">
        <v>7477</v>
      </c>
      <c r="D416" s="76"/>
      <c r="E416" s="524" t="s">
        <v>7482</v>
      </c>
      <c r="F416" s="762"/>
      <c r="G416" s="762"/>
      <c r="H416" s="762"/>
      <c r="I416" s="762"/>
      <c r="J416" s="762"/>
      <c r="K416" s="762"/>
      <c r="L416" s="762"/>
      <c r="M416" s="85" t="s">
        <v>60</v>
      </c>
      <c r="N416" s="85" t="s">
        <v>7489</v>
      </c>
      <c r="O416" s="76" t="s">
        <v>7490</v>
      </c>
      <c r="P416" s="86"/>
      <c r="Q416" s="97"/>
      <c r="R416" s="97"/>
      <c r="S416" s="315"/>
      <c r="T416" s="315"/>
      <c r="U416" s="124" t="s">
        <v>368</v>
      </c>
      <c r="V416" s="76"/>
      <c r="W416" s="76"/>
      <c r="X416" s="97"/>
      <c r="Y416" s="97"/>
      <c r="Z416" s="97"/>
      <c r="AA416" s="97"/>
      <c r="AB416" s="97"/>
      <c r="AC416" s="97"/>
      <c r="AD416" s="99"/>
      <c r="AE416" s="76"/>
      <c r="AF416" s="76" t="s">
        <v>7497</v>
      </c>
      <c r="AG416" s="315"/>
      <c r="AH416" s="153">
        <v>46074.0</v>
      </c>
      <c r="AI416" s="763"/>
      <c r="AJ416" s="763"/>
      <c r="AK416" s="763"/>
      <c r="AL416" s="763"/>
      <c r="AM416" s="763"/>
      <c r="AN416" s="763"/>
      <c r="AO416" s="763"/>
      <c r="AP416" s="763"/>
      <c r="AQ416" s="763"/>
      <c r="AR416" s="763"/>
      <c r="AS416" s="763"/>
      <c r="AT416" s="763"/>
    </row>
    <row r="417">
      <c r="A417" s="86"/>
      <c r="B417" s="450" t="s">
        <v>4145</v>
      </c>
      <c r="C417" s="302" t="s">
        <v>7477</v>
      </c>
      <c r="D417" s="76"/>
      <c r="E417" s="524" t="s">
        <v>7503</v>
      </c>
      <c r="F417" s="762"/>
      <c r="G417" s="762"/>
      <c r="H417" s="762"/>
      <c r="I417" s="762"/>
      <c r="J417" s="762"/>
      <c r="K417" s="762"/>
      <c r="L417" s="762"/>
      <c r="M417" s="85" t="s">
        <v>60</v>
      </c>
      <c r="N417" s="85" t="s">
        <v>7505</v>
      </c>
      <c r="O417" s="76" t="s">
        <v>7506</v>
      </c>
      <c r="P417" s="86"/>
      <c r="Q417" s="97"/>
      <c r="R417" s="97"/>
      <c r="S417" s="315"/>
      <c r="T417" s="315"/>
      <c r="U417" s="124" t="s">
        <v>368</v>
      </c>
      <c r="V417" s="76"/>
      <c r="W417" s="76"/>
      <c r="X417" s="97"/>
      <c r="Y417" s="97"/>
      <c r="Z417" s="97"/>
      <c r="AA417" s="97"/>
      <c r="AB417" s="97"/>
      <c r="AC417" s="97"/>
      <c r="AD417" s="99"/>
      <c r="AE417" s="76"/>
      <c r="AF417" s="76" t="s">
        <v>7497</v>
      </c>
      <c r="AG417" s="315"/>
      <c r="AH417" s="153">
        <v>46075.0</v>
      </c>
      <c r="AI417" s="763"/>
      <c r="AJ417" s="763"/>
      <c r="AK417" s="763"/>
      <c r="AL417" s="763"/>
      <c r="AM417" s="763"/>
      <c r="AN417" s="763"/>
      <c r="AO417" s="763"/>
      <c r="AP417" s="763"/>
      <c r="AQ417" s="763"/>
      <c r="AR417" s="763"/>
      <c r="AS417" s="763"/>
      <c r="AT417" s="763"/>
    </row>
    <row r="418">
      <c r="A418" s="86"/>
      <c r="B418" s="450" t="s">
        <v>4145</v>
      </c>
      <c r="C418" s="302" t="s">
        <v>7477</v>
      </c>
      <c r="D418" s="76"/>
      <c r="E418" s="524" t="s">
        <v>7513</v>
      </c>
      <c r="F418" s="762"/>
      <c r="G418" s="762"/>
      <c r="H418" s="762"/>
      <c r="I418" s="762"/>
      <c r="J418" s="762"/>
      <c r="K418" s="762"/>
      <c r="L418" s="762"/>
      <c r="M418" s="85" t="s">
        <v>60</v>
      </c>
      <c r="N418" s="85" t="s">
        <v>7518</v>
      </c>
      <c r="O418" s="76" t="s">
        <v>7519</v>
      </c>
      <c r="P418" s="86"/>
      <c r="Q418" s="97"/>
      <c r="R418" s="97"/>
      <c r="S418" s="315"/>
      <c r="T418" s="315"/>
      <c r="U418" s="124" t="s">
        <v>368</v>
      </c>
      <c r="V418" s="76"/>
      <c r="W418" s="76"/>
      <c r="X418" s="97"/>
      <c r="Y418" s="97"/>
      <c r="Z418" s="97"/>
      <c r="AA418" s="97"/>
      <c r="AB418" s="97"/>
      <c r="AC418" s="97"/>
      <c r="AD418" s="99"/>
      <c r="AE418" s="76"/>
      <c r="AF418" s="76" t="s">
        <v>7497</v>
      </c>
      <c r="AG418" s="315"/>
      <c r="AH418" s="153">
        <v>46074.0</v>
      </c>
      <c r="AI418" s="763"/>
      <c r="AJ418" s="763"/>
      <c r="AK418" s="763"/>
      <c r="AL418" s="763"/>
      <c r="AM418" s="763"/>
      <c r="AN418" s="763"/>
      <c r="AO418" s="763"/>
      <c r="AP418" s="763"/>
      <c r="AQ418" s="763"/>
      <c r="AR418" s="763"/>
      <c r="AS418" s="763"/>
      <c r="AT418" s="763"/>
    </row>
    <row r="419">
      <c r="A419" s="86"/>
      <c r="B419" s="450" t="s">
        <v>4145</v>
      </c>
      <c r="C419" s="341" t="s">
        <v>1774</v>
      </c>
      <c r="D419" s="86"/>
      <c r="E419" s="764"/>
      <c r="F419" s="86"/>
      <c r="G419" s="86"/>
      <c r="H419" s="86"/>
      <c r="I419" s="86"/>
      <c r="J419" s="86"/>
      <c r="K419" s="87"/>
      <c r="L419" s="87"/>
      <c r="M419" s="87" t="s">
        <v>363</v>
      </c>
      <c r="N419" s="97" t="s">
        <v>7527</v>
      </c>
      <c r="O419" s="76" t="s">
        <v>7528</v>
      </c>
      <c r="P419" s="86"/>
      <c r="Q419" s="86"/>
      <c r="R419" s="86"/>
      <c r="S419" s="315"/>
      <c r="T419" s="315"/>
      <c r="U419" s="443" t="s">
        <v>165</v>
      </c>
      <c r="V419" s="76" t="s">
        <v>425</v>
      </c>
      <c r="W419" s="76"/>
      <c r="X419" s="97"/>
      <c r="Y419" s="97"/>
      <c r="Z419" s="97"/>
      <c r="AA419" s="97"/>
      <c r="AB419" s="97"/>
      <c r="AC419" s="97"/>
      <c r="AD419" s="99"/>
      <c r="AE419" s="76" t="s">
        <v>180</v>
      </c>
      <c r="AF419" s="76" t="s">
        <v>1795</v>
      </c>
      <c r="AG419" s="97"/>
      <c r="AH419" s="539"/>
      <c r="AI419" s="67"/>
      <c r="AJ419" s="67"/>
      <c r="AK419" s="67"/>
      <c r="AL419" s="67"/>
      <c r="AM419" s="67"/>
      <c r="AN419" s="67"/>
      <c r="AO419" s="67"/>
      <c r="AP419" s="67"/>
      <c r="AQ419" s="67"/>
      <c r="AR419" s="67"/>
      <c r="AS419" s="67"/>
      <c r="AT419" s="67"/>
    </row>
    <row r="420">
      <c r="A420" s="86"/>
      <c r="B420" s="450" t="s">
        <v>4145</v>
      </c>
      <c r="C420" s="341" t="s">
        <v>1774</v>
      </c>
      <c r="D420" s="86"/>
      <c r="E420" s="764"/>
      <c r="F420" s="86"/>
      <c r="G420" s="86"/>
      <c r="H420" s="86"/>
      <c r="I420" s="86"/>
      <c r="J420" s="97"/>
      <c r="K420" s="109"/>
      <c r="L420" s="109"/>
      <c r="M420" s="109" t="s">
        <v>363</v>
      </c>
      <c r="N420" s="97" t="s">
        <v>7539</v>
      </c>
      <c r="O420" s="76" t="s">
        <v>7540</v>
      </c>
      <c r="P420" s="86"/>
      <c r="Q420" s="86"/>
      <c r="R420" s="86"/>
      <c r="S420" s="315"/>
      <c r="T420" s="315"/>
      <c r="U420" s="443" t="s">
        <v>165</v>
      </c>
      <c r="V420" s="76" t="s">
        <v>425</v>
      </c>
      <c r="W420" s="76"/>
      <c r="X420" s="97"/>
      <c r="Y420" s="97"/>
      <c r="Z420" s="97"/>
      <c r="AA420" s="97"/>
      <c r="AB420" s="97"/>
      <c r="AC420" s="97"/>
      <c r="AD420" s="99"/>
      <c r="AE420" s="76" t="s">
        <v>180</v>
      </c>
      <c r="AF420" s="76" t="s">
        <v>1795</v>
      </c>
      <c r="AG420" s="76" t="s">
        <v>375</v>
      </c>
      <c r="AH420" s="153">
        <v>45984.0</v>
      </c>
      <c r="AI420" s="67"/>
      <c r="AJ420" s="67"/>
      <c r="AK420" s="67"/>
      <c r="AL420" s="67"/>
      <c r="AM420" s="67"/>
      <c r="AN420" s="67"/>
      <c r="AO420" s="67"/>
      <c r="AP420" s="67"/>
      <c r="AQ420" s="67"/>
      <c r="AR420" s="67"/>
      <c r="AS420" s="67"/>
      <c r="AT420" s="67"/>
    </row>
    <row r="421">
      <c r="A421" s="86">
        <v>233.0</v>
      </c>
      <c r="B421" s="529" t="s">
        <v>1645</v>
      </c>
      <c r="C421" s="87" t="s">
        <v>1611</v>
      </c>
      <c r="D421" s="549" t="s">
        <v>1494</v>
      </c>
      <c r="E421" s="749" t="s">
        <v>58</v>
      </c>
      <c r="F421" s="747" t="s">
        <v>1496</v>
      </c>
      <c r="G421" s="97" t="s">
        <v>60</v>
      </c>
      <c r="H421" s="87" t="s">
        <v>1221</v>
      </c>
      <c r="I421" s="86" t="s">
        <v>1443</v>
      </c>
      <c r="J421" s="86" t="s">
        <v>114</v>
      </c>
      <c r="K421" s="176" t="s">
        <v>7549</v>
      </c>
      <c r="L421" s="87"/>
      <c r="M421" s="87" t="s">
        <v>60</v>
      </c>
      <c r="N421" s="766" t="s">
        <v>7553</v>
      </c>
      <c r="O421" s="86" t="s">
        <v>308</v>
      </c>
      <c r="P421" s="712">
        <v>30490.0</v>
      </c>
      <c r="Q421" s="315">
        <f t="shared" ref="Q421:Q435" si="40">VALUE(LEFT(TEXT(S421,0),5))+1</f>
        <v>30490</v>
      </c>
      <c r="R421" s="86">
        <f t="shared" ref="R421:R435" si="41">DATEDIF($P421,TODAY(),"Y")</f>
        <v>43</v>
      </c>
      <c r="S421" s="76">
        <v>3.048914757E9</v>
      </c>
      <c r="T421" s="315" t="s">
        <v>1479</v>
      </c>
      <c r="U421" s="76" t="s">
        <v>165</v>
      </c>
      <c r="V421" s="76" t="s">
        <v>350</v>
      </c>
      <c r="W421" s="447" t="s">
        <v>227</v>
      </c>
      <c r="X421" s="97"/>
      <c r="Y421" s="86" t="s">
        <v>1174</v>
      </c>
      <c r="Z421" s="289" t="s">
        <v>1725</v>
      </c>
      <c r="AA421" s="183"/>
      <c r="AB421" s="447" t="s">
        <v>226</v>
      </c>
      <c r="AC421" s="183"/>
      <c r="AD421" s="185"/>
      <c r="AE421" s="76" t="s">
        <v>259</v>
      </c>
      <c r="AF421" s="315" t="s">
        <v>4767</v>
      </c>
      <c r="AG421" s="76" t="s">
        <v>7576</v>
      </c>
      <c r="AH421" s="768" t="s">
        <v>7578</v>
      </c>
      <c r="AI421" s="67"/>
      <c r="AJ421" s="67"/>
      <c r="AK421" s="769"/>
      <c r="AL421" s="769"/>
      <c r="AM421" s="769"/>
      <c r="AN421" s="769"/>
      <c r="AO421" s="769"/>
      <c r="AP421" s="769"/>
      <c r="AQ421" s="67"/>
      <c r="AR421" s="67"/>
      <c r="AS421" s="67"/>
      <c r="AT421" s="67"/>
    </row>
    <row r="422">
      <c r="A422" s="86"/>
      <c r="B422" s="450"/>
      <c r="C422" s="523"/>
      <c r="D422" s="86"/>
      <c r="E422" s="574">
        <v>46088.0</v>
      </c>
      <c r="F422" s="86"/>
      <c r="G422" s="86"/>
      <c r="H422" s="86"/>
      <c r="I422" s="86"/>
      <c r="J422" s="85"/>
      <c r="K422" s="124" t="s">
        <v>7633</v>
      </c>
      <c r="L422" s="76"/>
      <c r="M422" s="85" t="s">
        <v>656</v>
      </c>
      <c r="N422" s="771" t="s">
        <v>7634</v>
      </c>
      <c r="O422" s="76" t="s">
        <v>7638</v>
      </c>
      <c r="P422" s="153">
        <v>29975.0</v>
      </c>
      <c r="Q422" s="315">
        <f t="shared" si="40"/>
        <v>29975</v>
      </c>
      <c r="R422" s="86">
        <f t="shared" si="41"/>
        <v>44</v>
      </c>
      <c r="S422" s="76">
        <v>2.997408158E9</v>
      </c>
      <c r="T422" s="86"/>
      <c r="U422" s="76" t="s">
        <v>261</v>
      </c>
      <c r="V422" s="76" t="s">
        <v>350</v>
      </c>
      <c r="W422" s="76" t="s">
        <v>227</v>
      </c>
      <c r="X422" s="76"/>
      <c r="Y422" s="97" t="s">
        <v>1174</v>
      </c>
      <c r="Z422" s="278" t="s">
        <v>2090</v>
      </c>
      <c r="AA422" s="168"/>
      <c r="AB422" s="97"/>
      <c r="AC422" s="168"/>
      <c r="AD422" s="168"/>
      <c r="AE422" s="76" t="s">
        <v>259</v>
      </c>
      <c r="AF422" s="76"/>
      <c r="AG422" s="76"/>
      <c r="AH422" s="768" t="s">
        <v>7578</v>
      </c>
      <c r="AI422" s="67"/>
      <c r="AJ422" s="67"/>
      <c r="AK422" s="67"/>
      <c r="AL422" s="67"/>
      <c r="AM422" s="67"/>
      <c r="AN422" s="67"/>
      <c r="AO422" s="67"/>
      <c r="AP422" s="67"/>
      <c r="AQ422" s="67"/>
      <c r="AR422" s="67"/>
      <c r="AS422" s="67"/>
      <c r="AT422" s="67"/>
    </row>
    <row r="423">
      <c r="A423" s="86">
        <v>624.0</v>
      </c>
      <c r="B423" s="529" t="s">
        <v>3307</v>
      </c>
      <c r="C423" s="86" t="s">
        <v>3308</v>
      </c>
      <c r="D423" s="86" t="s">
        <v>121</v>
      </c>
      <c r="E423" s="752" t="s">
        <v>1522</v>
      </c>
      <c r="F423" s="747" t="s">
        <v>4111</v>
      </c>
      <c r="G423" s="97" t="s">
        <v>60</v>
      </c>
      <c r="H423" s="87" t="s">
        <v>1221</v>
      </c>
      <c r="I423" s="86" t="s">
        <v>1443</v>
      </c>
      <c r="J423" s="85" t="s">
        <v>114</v>
      </c>
      <c r="K423" s="76"/>
      <c r="L423" s="76"/>
      <c r="M423" s="76" t="s">
        <v>60</v>
      </c>
      <c r="N423" s="771" t="s">
        <v>7650</v>
      </c>
      <c r="O423" s="76" t="s">
        <v>7651</v>
      </c>
      <c r="P423" s="740">
        <v>33950.0</v>
      </c>
      <c r="Q423" s="315">
        <f t="shared" si="40"/>
        <v>33950</v>
      </c>
      <c r="R423" s="86">
        <f t="shared" si="41"/>
        <v>33</v>
      </c>
      <c r="S423" s="315">
        <v>3.394913031E9</v>
      </c>
      <c r="T423" s="315" t="s">
        <v>1479</v>
      </c>
      <c r="U423" s="76" t="s">
        <v>165</v>
      </c>
      <c r="V423" s="76" t="s">
        <v>350</v>
      </c>
      <c r="W423" s="76" t="s">
        <v>227</v>
      </c>
      <c r="X423" s="97"/>
      <c r="Y423" s="97" t="s">
        <v>1174</v>
      </c>
      <c r="Z423" s="728" t="s">
        <v>2482</v>
      </c>
      <c r="AA423" s="97"/>
      <c r="AB423" s="76" t="s">
        <v>226</v>
      </c>
      <c r="AC423" s="97"/>
      <c r="AD423" s="99"/>
      <c r="AE423" s="76" t="s">
        <v>259</v>
      </c>
      <c r="AF423" s="76" t="s">
        <v>3378</v>
      </c>
      <c r="AG423" s="85" t="s">
        <v>7659</v>
      </c>
      <c r="AH423" s="768" t="s">
        <v>7578</v>
      </c>
      <c r="AI423" s="67"/>
      <c r="AJ423" s="67"/>
      <c r="AK423" s="67"/>
      <c r="AL423" s="67"/>
      <c r="AM423" s="67"/>
      <c r="AN423" s="67"/>
      <c r="AO423" s="67"/>
      <c r="AP423" s="67"/>
      <c r="AQ423" s="67"/>
      <c r="AR423" s="67"/>
      <c r="AS423" s="67"/>
      <c r="AT423" s="67"/>
    </row>
    <row r="424">
      <c r="A424" s="86">
        <v>293.0</v>
      </c>
      <c r="B424" s="529" t="s">
        <v>1709</v>
      </c>
      <c r="C424" s="86" t="s">
        <v>1269</v>
      </c>
      <c r="D424" s="86" t="s">
        <v>1519</v>
      </c>
      <c r="E424" s="755" t="s">
        <v>213</v>
      </c>
      <c r="F424" s="747" t="s">
        <v>1523</v>
      </c>
      <c r="G424" s="97" t="s">
        <v>60</v>
      </c>
      <c r="H424" s="87" t="s">
        <v>1221</v>
      </c>
      <c r="I424" s="86" t="s">
        <v>1443</v>
      </c>
      <c r="J424" s="76" t="s">
        <v>114</v>
      </c>
      <c r="K424" s="176" t="s">
        <v>7667</v>
      </c>
      <c r="L424" s="85"/>
      <c r="M424" s="85" t="s">
        <v>60</v>
      </c>
      <c r="N424" s="766" t="s">
        <v>7668</v>
      </c>
      <c r="O424" s="85" t="s">
        <v>7669</v>
      </c>
      <c r="P424" s="153">
        <v>31684.0</v>
      </c>
      <c r="Q424" s="315">
        <f t="shared" si="40"/>
        <v>31684</v>
      </c>
      <c r="R424" s="86">
        <f t="shared" si="41"/>
        <v>39</v>
      </c>
      <c r="S424" s="315">
        <v>3.16830987E9</v>
      </c>
      <c r="T424" s="315" t="s">
        <v>378</v>
      </c>
      <c r="U424" s="76" t="s">
        <v>165</v>
      </c>
      <c r="V424" s="86" t="s">
        <v>350</v>
      </c>
      <c r="W424" s="76" t="s">
        <v>227</v>
      </c>
      <c r="X424" s="76"/>
      <c r="Y424" s="76" t="s">
        <v>7676</v>
      </c>
      <c r="Z424" s="289" t="s">
        <v>1725</v>
      </c>
      <c r="AA424" s="76" t="s">
        <v>1178</v>
      </c>
      <c r="AB424" s="447" t="s">
        <v>226</v>
      </c>
      <c r="AC424" s="97"/>
      <c r="AD424" s="99"/>
      <c r="AE424" s="76" t="s">
        <v>259</v>
      </c>
      <c r="AF424" s="97"/>
      <c r="AG424" s="112"/>
      <c r="AH424" s="768" t="s">
        <v>7578</v>
      </c>
      <c r="AI424" s="67"/>
      <c r="AJ424" s="67"/>
      <c r="AK424" s="748"/>
      <c r="AL424" s="748"/>
      <c r="AM424" s="748"/>
      <c r="AN424" s="748"/>
      <c r="AO424" s="748"/>
      <c r="AP424" s="748"/>
      <c r="AQ424" s="67"/>
      <c r="AR424" s="67"/>
      <c r="AS424" s="67"/>
      <c r="AT424" s="67"/>
    </row>
    <row r="425">
      <c r="A425" s="86">
        <v>72.0</v>
      </c>
      <c r="B425" s="529" t="s">
        <v>1039</v>
      </c>
      <c r="C425" s="86" t="s">
        <v>1517</v>
      </c>
      <c r="D425" s="86" t="s">
        <v>121</v>
      </c>
      <c r="E425" s="749" t="s">
        <v>295</v>
      </c>
      <c r="F425" s="747" t="s">
        <v>1241</v>
      </c>
      <c r="G425" s="97" t="s">
        <v>60</v>
      </c>
      <c r="H425" s="87" t="s">
        <v>1221</v>
      </c>
      <c r="I425" s="86" t="s">
        <v>1443</v>
      </c>
      <c r="J425" s="76" t="s">
        <v>114</v>
      </c>
      <c r="K425" s="76"/>
      <c r="L425" s="76"/>
      <c r="M425" s="76" t="s">
        <v>60</v>
      </c>
      <c r="N425" s="771" t="s">
        <v>7684</v>
      </c>
      <c r="O425" s="76" t="s">
        <v>7685</v>
      </c>
      <c r="P425" s="153">
        <v>28559.0</v>
      </c>
      <c r="Q425" s="315">
        <f t="shared" si="40"/>
        <v>28559</v>
      </c>
      <c r="R425" s="86">
        <f t="shared" si="41"/>
        <v>48</v>
      </c>
      <c r="S425" s="315">
        <v>2.855806638E9</v>
      </c>
      <c r="T425" s="315"/>
      <c r="U425" s="76" t="s">
        <v>165</v>
      </c>
      <c r="V425" s="76" t="s">
        <v>350</v>
      </c>
      <c r="W425" s="76" t="s">
        <v>227</v>
      </c>
      <c r="X425" s="76"/>
      <c r="Y425" s="97" t="s">
        <v>183</v>
      </c>
      <c r="Z425" s="728" t="s">
        <v>2482</v>
      </c>
      <c r="AA425" s="76" t="s">
        <v>1178</v>
      </c>
      <c r="AB425" s="76" t="s">
        <v>226</v>
      </c>
      <c r="AC425" s="76"/>
      <c r="AD425" s="99"/>
      <c r="AE425" s="76" t="s">
        <v>259</v>
      </c>
      <c r="AF425" s="772" t="s">
        <v>7699</v>
      </c>
      <c r="AG425" s="76"/>
      <c r="AH425" s="768" t="s">
        <v>7578</v>
      </c>
      <c r="AK425" s="67"/>
      <c r="AL425" s="67"/>
      <c r="AM425" s="748"/>
      <c r="AN425" s="748"/>
      <c r="AO425" s="748"/>
      <c r="AP425" s="748"/>
      <c r="AQ425" s="748"/>
      <c r="AR425" s="748"/>
      <c r="AS425" s="67"/>
      <c r="AT425" s="67"/>
    </row>
    <row r="426">
      <c r="A426" s="86">
        <v>166.0</v>
      </c>
      <c r="B426" s="529" t="s">
        <v>1645</v>
      </c>
      <c r="C426" s="87" t="s">
        <v>1269</v>
      </c>
      <c r="D426" s="549" t="s">
        <v>1494</v>
      </c>
      <c r="E426" s="755" t="s">
        <v>302</v>
      </c>
      <c r="F426" s="747" t="s">
        <v>1404</v>
      </c>
      <c r="G426" s="97" t="s">
        <v>326</v>
      </c>
      <c r="H426" s="87" t="s">
        <v>1221</v>
      </c>
      <c r="I426" s="86" t="s">
        <v>1443</v>
      </c>
      <c r="J426" s="76" t="s">
        <v>114</v>
      </c>
      <c r="K426" s="85" t="s">
        <v>7709</v>
      </c>
      <c r="L426" s="85"/>
      <c r="M426" s="85" t="s">
        <v>60</v>
      </c>
      <c r="N426" s="771" t="s">
        <v>7710</v>
      </c>
      <c r="O426" s="34" t="s">
        <v>2100</v>
      </c>
      <c r="P426" s="153">
        <v>34156.0</v>
      </c>
      <c r="Q426" s="315">
        <f t="shared" si="40"/>
        <v>34156</v>
      </c>
      <c r="R426" s="86">
        <f t="shared" si="41"/>
        <v>33</v>
      </c>
      <c r="S426" s="315">
        <v>3.415518577E9</v>
      </c>
      <c r="T426" s="315"/>
      <c r="U426" s="76" t="s">
        <v>165</v>
      </c>
      <c r="V426" s="76" t="s">
        <v>350</v>
      </c>
      <c r="W426" s="76" t="s">
        <v>227</v>
      </c>
      <c r="X426" s="76"/>
      <c r="Y426" s="97" t="s">
        <v>1174</v>
      </c>
      <c r="Z426" s="278" t="s">
        <v>2090</v>
      </c>
      <c r="AA426" s="76"/>
      <c r="AB426" s="76" t="s">
        <v>226</v>
      </c>
      <c r="AC426" s="97"/>
      <c r="AD426" s="99"/>
      <c r="AE426" s="76" t="s">
        <v>259</v>
      </c>
      <c r="AF426" s="76"/>
      <c r="AG426" s="76" t="s">
        <v>7721</v>
      </c>
      <c r="AH426" s="768" t="s">
        <v>7578</v>
      </c>
      <c r="AK426" s="67"/>
      <c r="AL426" s="67"/>
      <c r="AM426" s="748"/>
      <c r="AN426" s="748"/>
      <c r="AO426" s="748"/>
      <c r="AP426" s="748"/>
      <c r="AQ426" s="748"/>
      <c r="AR426" s="748"/>
      <c r="AS426" s="67"/>
      <c r="AT426" s="67"/>
    </row>
    <row r="427">
      <c r="A427" s="86">
        <v>238.0</v>
      </c>
      <c r="B427" s="529" t="s">
        <v>1645</v>
      </c>
      <c r="C427" s="87" t="s">
        <v>1611</v>
      </c>
      <c r="D427" s="549" t="s">
        <v>1519</v>
      </c>
      <c r="E427" s="755" t="s">
        <v>321</v>
      </c>
      <c r="F427" s="747" t="s">
        <v>1552</v>
      </c>
      <c r="G427" s="97" t="s">
        <v>60</v>
      </c>
      <c r="H427" s="87" t="s">
        <v>1221</v>
      </c>
      <c r="I427" s="86" t="s">
        <v>1443</v>
      </c>
      <c r="J427" s="76" t="s">
        <v>114</v>
      </c>
      <c r="K427" s="85" t="s">
        <v>7726</v>
      </c>
      <c r="L427" s="85"/>
      <c r="M427" s="85" t="s">
        <v>60</v>
      </c>
      <c r="N427" s="771" t="s">
        <v>7727</v>
      </c>
      <c r="O427" s="76" t="s">
        <v>7729</v>
      </c>
      <c r="P427" s="330">
        <v>30644.0</v>
      </c>
      <c r="Q427" s="315">
        <f t="shared" si="40"/>
        <v>30644</v>
      </c>
      <c r="R427" s="86">
        <f t="shared" si="41"/>
        <v>42</v>
      </c>
      <c r="S427" s="315">
        <v>3.064323294E9</v>
      </c>
      <c r="T427" s="315"/>
      <c r="U427" s="76" t="s">
        <v>165</v>
      </c>
      <c r="V427" s="76" t="s">
        <v>350</v>
      </c>
      <c r="W427" s="76" t="s">
        <v>227</v>
      </c>
      <c r="X427" s="76"/>
      <c r="Y427" s="97" t="s">
        <v>1174</v>
      </c>
      <c r="Z427" s="278" t="s">
        <v>2090</v>
      </c>
      <c r="AA427" s="76"/>
      <c r="AB427" s="76" t="s">
        <v>226</v>
      </c>
      <c r="AC427" s="97"/>
      <c r="AD427" s="99"/>
      <c r="AE427" s="76" t="s">
        <v>259</v>
      </c>
      <c r="AF427" s="76" t="s">
        <v>4767</v>
      </c>
      <c r="AG427" s="76" t="s">
        <v>7743</v>
      </c>
      <c r="AH427" s="768" t="s">
        <v>7578</v>
      </c>
      <c r="AK427" s="67"/>
      <c r="AL427" s="67"/>
      <c r="AM427" s="748"/>
      <c r="AN427" s="748"/>
      <c r="AO427" s="748"/>
      <c r="AP427" s="748"/>
      <c r="AQ427" s="748"/>
      <c r="AR427" s="748"/>
      <c r="AS427" s="67"/>
      <c r="AT427" s="67"/>
    </row>
    <row r="428">
      <c r="A428" s="86"/>
      <c r="B428" s="450"/>
      <c r="C428" s="523"/>
      <c r="D428" s="86"/>
      <c r="E428" s="574">
        <v>46088.0</v>
      </c>
      <c r="F428" s="86"/>
      <c r="G428" s="86"/>
      <c r="H428" s="86"/>
      <c r="I428" s="86"/>
      <c r="J428" s="85"/>
      <c r="K428" s="124" t="s">
        <v>7748</v>
      </c>
      <c r="L428" s="76"/>
      <c r="M428" s="85" t="s">
        <v>60</v>
      </c>
      <c r="N428" s="771" t="s">
        <v>7749</v>
      </c>
      <c r="O428" s="76" t="s">
        <v>7751</v>
      </c>
      <c r="P428" s="153">
        <v>30749.0</v>
      </c>
      <c r="Q428" s="315">
        <f t="shared" si="40"/>
        <v>30749</v>
      </c>
      <c r="R428" s="86">
        <f t="shared" si="41"/>
        <v>42</v>
      </c>
      <c r="S428" s="76">
        <v>3.074806132E9</v>
      </c>
      <c r="T428" s="86"/>
      <c r="U428" s="76" t="s">
        <v>261</v>
      </c>
      <c r="V428" s="76" t="s">
        <v>350</v>
      </c>
      <c r="W428" s="76" t="s">
        <v>227</v>
      </c>
      <c r="X428" s="76"/>
      <c r="Y428" s="97" t="s">
        <v>1174</v>
      </c>
      <c r="Z428" s="278" t="s">
        <v>2090</v>
      </c>
      <c r="AA428" s="168"/>
      <c r="AB428" s="97"/>
      <c r="AC428" s="168"/>
      <c r="AD428" s="168"/>
      <c r="AE428" s="76" t="s">
        <v>259</v>
      </c>
      <c r="AF428" s="76"/>
      <c r="AG428" s="76"/>
      <c r="AH428" s="768" t="s">
        <v>7578</v>
      </c>
      <c r="AK428" s="67"/>
      <c r="AL428" s="67"/>
      <c r="AM428" s="67"/>
      <c r="AN428" s="67"/>
      <c r="AO428" s="67"/>
      <c r="AP428" s="67"/>
      <c r="AQ428" s="67"/>
      <c r="AR428" s="67"/>
      <c r="AS428" s="67"/>
      <c r="AT428" s="67"/>
    </row>
    <row r="429">
      <c r="A429" s="86"/>
      <c r="B429" s="302" t="s">
        <v>145</v>
      </c>
      <c r="C429" s="523">
        <v>46024.0</v>
      </c>
      <c r="D429" s="86"/>
      <c r="E429" s="764"/>
      <c r="F429" s="86"/>
      <c r="G429" s="86"/>
      <c r="H429" s="86"/>
      <c r="I429" s="86"/>
      <c r="J429" s="76" t="s">
        <v>114</v>
      </c>
      <c r="K429" s="85" t="s">
        <v>7762</v>
      </c>
      <c r="L429" s="85"/>
      <c r="M429" s="85" t="s">
        <v>60</v>
      </c>
      <c r="N429" s="776" t="s">
        <v>7765</v>
      </c>
      <c r="O429" s="34" t="s">
        <v>7768</v>
      </c>
      <c r="P429" s="153">
        <v>31908.0</v>
      </c>
      <c r="Q429" s="315">
        <f t="shared" si="40"/>
        <v>31908</v>
      </c>
      <c r="R429" s="86">
        <f t="shared" si="41"/>
        <v>39</v>
      </c>
      <c r="S429" s="76">
        <v>3.190713915E9</v>
      </c>
      <c r="T429" s="315"/>
      <c r="U429" s="76" t="s">
        <v>379</v>
      </c>
      <c r="V429" s="76"/>
      <c r="W429" s="76"/>
      <c r="X429" s="76" t="s">
        <v>145</v>
      </c>
      <c r="Y429" s="76" t="s">
        <v>371</v>
      </c>
      <c r="Z429" s="97"/>
      <c r="AA429" s="76" t="s">
        <v>185</v>
      </c>
      <c r="AB429" s="76" t="s">
        <v>269</v>
      </c>
      <c r="AC429" s="76" t="s">
        <v>5062</v>
      </c>
      <c r="AD429" s="99"/>
      <c r="AE429" s="76" t="s">
        <v>632</v>
      </c>
      <c r="AF429" s="76" t="s">
        <v>3378</v>
      </c>
      <c r="AG429" s="76"/>
      <c r="AH429" s="97"/>
      <c r="AI429" s="67"/>
      <c r="AJ429" s="67"/>
      <c r="AK429" s="67"/>
      <c r="AL429" s="67"/>
      <c r="AM429" s="67"/>
      <c r="AN429" s="67"/>
      <c r="AO429" s="67"/>
      <c r="AP429" s="67"/>
      <c r="AQ429" s="67"/>
      <c r="AR429" s="203"/>
      <c r="AS429" s="203"/>
      <c r="AT429" s="203"/>
    </row>
    <row r="430">
      <c r="A430" s="86"/>
      <c r="B430" s="302" t="s">
        <v>145</v>
      </c>
      <c r="C430" s="523">
        <v>46024.0</v>
      </c>
      <c r="D430" s="86"/>
      <c r="E430" s="764"/>
      <c r="F430" s="86"/>
      <c r="G430" s="86"/>
      <c r="H430" s="86"/>
      <c r="I430" s="86"/>
      <c r="J430" s="76" t="s">
        <v>114</v>
      </c>
      <c r="K430" s="85"/>
      <c r="L430" s="85"/>
      <c r="M430" s="85" t="s">
        <v>60</v>
      </c>
      <c r="N430" s="76" t="s">
        <v>7783</v>
      </c>
      <c r="O430" s="34" t="s">
        <v>4016</v>
      </c>
      <c r="P430" s="153">
        <v>31068.0</v>
      </c>
      <c r="Q430" s="315">
        <f t="shared" si="40"/>
        <v>31068</v>
      </c>
      <c r="R430" s="86">
        <f t="shared" si="41"/>
        <v>41</v>
      </c>
      <c r="S430" s="76">
        <v>3.106716832E9</v>
      </c>
      <c r="T430" s="315"/>
      <c r="U430" s="76" t="s">
        <v>379</v>
      </c>
      <c r="V430" s="76"/>
      <c r="W430" s="76"/>
      <c r="X430" s="76" t="s">
        <v>145</v>
      </c>
      <c r="Y430" s="97" t="s">
        <v>183</v>
      </c>
      <c r="Z430" s="278" t="s">
        <v>2090</v>
      </c>
      <c r="AA430" s="76" t="s">
        <v>7790</v>
      </c>
      <c r="AB430" s="97"/>
      <c r="AC430" s="97"/>
      <c r="AD430" s="99"/>
      <c r="AE430" s="76"/>
      <c r="AF430" s="76"/>
      <c r="AG430" s="76"/>
      <c r="AH430" s="76" t="s">
        <v>7792</v>
      </c>
      <c r="AI430" s="67"/>
      <c r="AJ430" s="67"/>
      <c r="AK430" s="67"/>
      <c r="AL430" s="67"/>
      <c r="AM430" s="67"/>
      <c r="AN430" s="67"/>
      <c r="AO430" s="67"/>
      <c r="AP430" s="67"/>
      <c r="AQ430" s="67"/>
      <c r="AR430" s="203"/>
      <c r="AS430" s="203"/>
      <c r="AT430" s="203"/>
    </row>
    <row r="431">
      <c r="A431" s="86"/>
      <c r="B431" s="302" t="s">
        <v>145</v>
      </c>
      <c r="C431" s="86"/>
      <c r="D431" s="86"/>
      <c r="E431" s="777" t="s">
        <v>7797</v>
      </c>
      <c r="F431" s="86"/>
      <c r="G431" s="86"/>
      <c r="H431" s="86"/>
      <c r="I431" s="86"/>
      <c r="J431" s="109" t="s">
        <v>114</v>
      </c>
      <c r="K431" s="85" t="s">
        <v>7801</v>
      </c>
      <c r="L431" s="87"/>
      <c r="M431" s="87" t="s">
        <v>102</v>
      </c>
      <c r="N431" s="474" t="s">
        <v>7803</v>
      </c>
      <c r="O431" s="86" t="s">
        <v>7807</v>
      </c>
      <c r="P431" s="209">
        <v>28875.0</v>
      </c>
      <c r="Q431" s="315" t="str">
        <f t="shared" si="40"/>
        <v>#VALUE!</v>
      </c>
      <c r="R431" s="86">
        <f t="shared" si="41"/>
        <v>47</v>
      </c>
      <c r="S431" s="76" t="s">
        <v>3642</v>
      </c>
      <c r="T431" s="315"/>
      <c r="U431" s="76" t="s">
        <v>379</v>
      </c>
      <c r="V431" s="86"/>
      <c r="W431" s="97"/>
      <c r="X431" s="76" t="s">
        <v>145</v>
      </c>
      <c r="Y431" s="76" t="s">
        <v>2311</v>
      </c>
      <c r="Z431" s="778" t="s">
        <v>184</v>
      </c>
      <c r="AA431" s="76" t="s">
        <v>185</v>
      </c>
      <c r="AB431" s="97"/>
      <c r="AC431" s="76" t="s">
        <v>632</v>
      </c>
      <c r="AD431" s="99"/>
      <c r="AE431" s="76"/>
      <c r="AF431" s="315" t="s">
        <v>4767</v>
      </c>
      <c r="AG431" s="189"/>
      <c r="AH431" s="76" t="s">
        <v>7821</v>
      </c>
      <c r="AI431" s="763"/>
      <c r="AJ431" s="763"/>
      <c r="AK431" s="763"/>
      <c r="AL431" s="763"/>
      <c r="AM431" s="763"/>
      <c r="AN431" s="763"/>
      <c r="AO431" s="763"/>
      <c r="AP431" s="763"/>
      <c r="AQ431" s="763"/>
      <c r="AR431" s="203"/>
      <c r="AS431" s="203"/>
      <c r="AT431" s="203"/>
    </row>
    <row r="432">
      <c r="A432" s="86"/>
      <c r="B432" s="302" t="s">
        <v>145</v>
      </c>
      <c r="C432" s="97"/>
      <c r="D432" s="86"/>
      <c r="E432" s="777" t="s">
        <v>7797</v>
      </c>
      <c r="F432" s="86"/>
      <c r="G432" s="86"/>
      <c r="H432" s="86"/>
      <c r="I432" s="86"/>
      <c r="J432" s="76" t="s">
        <v>114</v>
      </c>
      <c r="K432" s="87"/>
      <c r="L432" s="87"/>
      <c r="M432" s="87" t="s">
        <v>60</v>
      </c>
      <c r="N432" s="474" t="s">
        <v>7833</v>
      </c>
      <c r="O432" s="779" t="s">
        <v>7834</v>
      </c>
      <c r="P432" s="153">
        <v>31299.0</v>
      </c>
      <c r="Q432" s="315">
        <f t="shared" si="40"/>
        <v>31299</v>
      </c>
      <c r="R432" s="86">
        <f t="shared" si="41"/>
        <v>40</v>
      </c>
      <c r="S432" s="315">
        <v>3.129814799E9</v>
      </c>
      <c r="T432" s="315"/>
      <c r="U432" s="76" t="s">
        <v>379</v>
      </c>
      <c r="V432" s="76"/>
      <c r="W432" s="97"/>
      <c r="X432" s="76" t="s">
        <v>145</v>
      </c>
      <c r="Y432" s="97" t="s">
        <v>371</v>
      </c>
      <c r="Z432" s="97"/>
      <c r="AA432" s="97" t="s">
        <v>185</v>
      </c>
      <c r="AB432" s="76" t="s">
        <v>269</v>
      </c>
      <c r="AC432" s="76" t="s">
        <v>150</v>
      </c>
      <c r="AD432" s="76" t="s">
        <v>150</v>
      </c>
      <c r="AE432" s="76"/>
      <c r="AF432" s="76" t="s">
        <v>4767</v>
      </c>
      <c r="AG432" s="189"/>
      <c r="AH432" s="76" t="s">
        <v>7843</v>
      </c>
      <c r="AI432" s="67"/>
      <c r="AJ432" s="67"/>
      <c r="AK432" s="67"/>
      <c r="AL432" s="67"/>
      <c r="AM432" s="67"/>
      <c r="AN432" s="67"/>
      <c r="AO432" s="67"/>
      <c r="AP432" s="67"/>
      <c r="AQ432" s="67"/>
      <c r="AR432" s="203"/>
      <c r="AS432" s="203"/>
      <c r="AT432" s="203"/>
    </row>
    <row r="433">
      <c r="A433" s="86"/>
      <c r="B433" s="450" t="s">
        <v>4145</v>
      </c>
      <c r="C433" s="97"/>
      <c r="D433" s="97"/>
      <c r="E433" s="762"/>
      <c r="F433" s="97"/>
      <c r="G433" s="97"/>
      <c r="H433" s="97"/>
      <c r="I433" s="97"/>
      <c r="J433" s="97" t="s">
        <v>114</v>
      </c>
      <c r="K433" s="97"/>
      <c r="L433" s="109"/>
      <c r="M433" s="299" t="s">
        <v>60</v>
      </c>
      <c r="N433" s="97" t="s">
        <v>6700</v>
      </c>
      <c r="O433" s="97" t="s">
        <v>5596</v>
      </c>
      <c r="P433" s="209">
        <v>28830.0</v>
      </c>
      <c r="Q433" s="315">
        <f t="shared" si="40"/>
        <v>28830</v>
      </c>
      <c r="R433" s="97">
        <f t="shared" si="41"/>
        <v>47</v>
      </c>
      <c r="S433" s="315">
        <v>2.882904837E9</v>
      </c>
      <c r="T433" s="315"/>
      <c r="U433" s="76" t="s">
        <v>379</v>
      </c>
      <c r="V433" s="86"/>
      <c r="W433" s="97"/>
      <c r="X433" s="97"/>
      <c r="Y433" s="97" t="s">
        <v>146</v>
      </c>
      <c r="Z433" s="97"/>
      <c r="AA433" s="97"/>
      <c r="AB433" s="97"/>
      <c r="AC433" s="97" t="s">
        <v>2451</v>
      </c>
      <c r="AD433" s="97" t="s">
        <v>2451</v>
      </c>
      <c r="AE433" s="76"/>
      <c r="AF433" s="97" t="s">
        <v>155</v>
      </c>
      <c r="AG433" s="76" t="s">
        <v>3443</v>
      </c>
      <c r="AH433" s="85" t="s">
        <v>7855</v>
      </c>
      <c r="AI433" s="355">
        <v>9.0</v>
      </c>
      <c r="AJ433" s="67"/>
      <c r="AK433" s="67"/>
      <c r="AL433" s="67"/>
      <c r="AM433" s="67"/>
      <c r="AN433" s="67"/>
      <c r="AO433" s="67"/>
      <c r="AP433" s="67"/>
      <c r="AQ433" s="67"/>
      <c r="AR433" s="203"/>
      <c r="AS433" s="203"/>
      <c r="AT433" s="203"/>
    </row>
    <row r="434">
      <c r="A434" s="86"/>
      <c r="B434" s="450" t="s">
        <v>4145</v>
      </c>
      <c r="C434" s="314" t="s">
        <v>5668</v>
      </c>
      <c r="D434" s="86"/>
      <c r="E434" s="764"/>
      <c r="F434" s="86"/>
      <c r="G434" s="86"/>
      <c r="H434" s="86"/>
      <c r="I434" s="86"/>
      <c r="J434" s="76" t="s">
        <v>114</v>
      </c>
      <c r="K434" s="76"/>
      <c r="L434" s="76"/>
      <c r="M434" s="76" t="s">
        <v>60</v>
      </c>
      <c r="N434" s="76" t="s">
        <v>6761</v>
      </c>
      <c r="O434" s="76" t="s">
        <v>7858</v>
      </c>
      <c r="P434" s="153">
        <v>34600.0</v>
      </c>
      <c r="Q434" s="315">
        <f t="shared" si="40"/>
        <v>34600</v>
      </c>
      <c r="R434" s="97">
        <f t="shared" si="41"/>
        <v>31</v>
      </c>
      <c r="S434" s="315">
        <v>3.459911576E9</v>
      </c>
      <c r="T434" s="315"/>
      <c r="U434" s="76" t="s">
        <v>379</v>
      </c>
      <c r="V434" s="76"/>
      <c r="W434" s="76"/>
      <c r="X434" s="76"/>
      <c r="Y434" s="276" t="s">
        <v>7864</v>
      </c>
      <c r="Z434" s="728" t="s">
        <v>2482</v>
      </c>
      <c r="AA434" s="76" t="s">
        <v>1178</v>
      </c>
      <c r="AB434" s="97"/>
      <c r="AC434" s="76" t="s">
        <v>632</v>
      </c>
      <c r="AD434" s="99"/>
      <c r="AE434" s="76"/>
      <c r="AF434" s="76" t="s">
        <v>155</v>
      </c>
      <c r="AG434" s="76" t="s">
        <v>3827</v>
      </c>
      <c r="AH434" s="76" t="s">
        <v>7867</v>
      </c>
      <c r="AI434" s="67"/>
      <c r="AJ434" s="67"/>
      <c r="AK434" s="67"/>
      <c r="AL434" s="67"/>
      <c r="AM434" s="67"/>
      <c r="AN434" s="67"/>
      <c r="AO434" s="67"/>
      <c r="AP434" s="67"/>
      <c r="AQ434" s="67"/>
      <c r="AR434" s="203"/>
      <c r="AS434" s="203"/>
      <c r="AT434" s="203"/>
    </row>
    <row r="435">
      <c r="A435" s="86"/>
      <c r="B435" s="302" t="s">
        <v>145</v>
      </c>
      <c r="C435" s="97"/>
      <c r="D435" s="86"/>
      <c r="E435" s="781">
        <v>46047.0</v>
      </c>
      <c r="F435" s="86"/>
      <c r="G435" s="86"/>
      <c r="H435" s="86"/>
      <c r="I435" s="86"/>
      <c r="J435" s="76" t="s">
        <v>114</v>
      </c>
      <c r="K435" s="176" t="s">
        <v>7871</v>
      </c>
      <c r="L435" s="85"/>
      <c r="M435" s="85" t="s">
        <v>610</v>
      </c>
      <c r="N435" s="76" t="s">
        <v>7872</v>
      </c>
      <c r="O435" s="756" t="s">
        <v>7874</v>
      </c>
      <c r="P435" s="262">
        <v>34259.0</v>
      </c>
      <c r="Q435" s="315">
        <f t="shared" si="40"/>
        <v>34259</v>
      </c>
      <c r="R435" s="97">
        <f t="shared" si="41"/>
        <v>32</v>
      </c>
      <c r="S435" s="76">
        <v>3.425800553E9</v>
      </c>
      <c r="T435" s="315" t="s">
        <v>1548</v>
      </c>
      <c r="U435" s="76" t="s">
        <v>393</v>
      </c>
      <c r="V435" s="76"/>
      <c r="W435" s="97"/>
      <c r="X435" s="76" t="s">
        <v>182</v>
      </c>
      <c r="Y435" s="76" t="s">
        <v>1174</v>
      </c>
      <c r="Z435" s="85" t="s">
        <v>1460</v>
      </c>
      <c r="AA435" s="76" t="s">
        <v>114</v>
      </c>
      <c r="AB435" s="97"/>
      <c r="AC435" s="76"/>
      <c r="AD435" s="99"/>
      <c r="AE435" s="76" t="s">
        <v>1136</v>
      </c>
      <c r="AF435" s="76"/>
      <c r="AG435" s="76"/>
      <c r="AH435" s="76" t="s">
        <v>7882</v>
      </c>
      <c r="AI435" s="67"/>
      <c r="AJ435" s="67"/>
      <c r="AK435" s="67"/>
      <c r="AL435" s="67"/>
      <c r="AM435" s="67"/>
      <c r="AN435" s="67"/>
      <c r="AO435" s="67"/>
      <c r="AP435" s="67"/>
      <c r="AQ435" s="67"/>
      <c r="AR435" s="203"/>
      <c r="AS435" s="203"/>
      <c r="AT435" s="203"/>
    </row>
    <row r="436">
      <c r="A436" s="86"/>
      <c r="B436" s="450" t="s">
        <v>4145</v>
      </c>
      <c r="C436" s="302" t="s">
        <v>7885</v>
      </c>
      <c r="D436" s="76"/>
      <c r="E436" s="762" t="s">
        <v>7886</v>
      </c>
      <c r="F436" s="762"/>
      <c r="G436" s="762"/>
      <c r="H436" s="762"/>
      <c r="I436" s="762"/>
      <c r="J436" s="762"/>
      <c r="K436" s="762"/>
      <c r="L436" s="762"/>
      <c r="M436" s="85" t="s">
        <v>60</v>
      </c>
      <c r="N436" s="85" t="s">
        <v>7888</v>
      </c>
      <c r="O436" s="76" t="s">
        <v>7889</v>
      </c>
      <c r="P436" s="86"/>
      <c r="Q436" s="97"/>
      <c r="R436" s="97"/>
      <c r="S436" s="315"/>
      <c r="T436" s="315"/>
      <c r="U436" s="124" t="s">
        <v>393</v>
      </c>
      <c r="V436" s="76"/>
      <c r="W436" s="76"/>
      <c r="X436" s="97"/>
      <c r="Y436" s="97"/>
      <c r="Z436" s="97"/>
      <c r="AA436" s="97"/>
      <c r="AB436" s="97"/>
      <c r="AC436" s="97"/>
      <c r="AD436" s="99"/>
      <c r="AE436" s="76" t="s">
        <v>1136</v>
      </c>
      <c r="AF436" s="76" t="s">
        <v>7497</v>
      </c>
      <c r="AG436" s="315"/>
      <c r="AH436" s="76" t="s">
        <v>7897</v>
      </c>
      <c r="AI436" s="763"/>
      <c r="AJ436" s="763"/>
      <c r="AK436" s="763"/>
      <c r="AL436" s="763"/>
      <c r="AM436" s="763"/>
      <c r="AN436" s="763"/>
      <c r="AO436" s="763"/>
      <c r="AP436" s="763"/>
      <c r="AQ436" s="763"/>
      <c r="AR436" s="203"/>
      <c r="AS436" s="203"/>
      <c r="AT436" s="203"/>
    </row>
    <row r="437">
      <c r="A437" s="86"/>
      <c r="B437" s="302" t="s">
        <v>145</v>
      </c>
      <c r="C437" s="97"/>
      <c r="D437" s="97"/>
      <c r="E437" s="783" t="s">
        <v>7899</v>
      </c>
      <c r="F437" s="97"/>
      <c r="G437" s="97"/>
      <c r="H437" s="97"/>
      <c r="I437" s="97"/>
      <c r="J437" s="109" t="s">
        <v>114</v>
      </c>
      <c r="K437" s="97"/>
      <c r="L437" s="784"/>
      <c r="M437" s="784" t="s">
        <v>60</v>
      </c>
      <c r="N437" s="785" t="s">
        <v>7901</v>
      </c>
      <c r="O437" s="474" t="s">
        <v>7905</v>
      </c>
      <c r="P437" s="209">
        <v>30361.0</v>
      </c>
      <c r="Q437" s="315">
        <f t="shared" ref="Q437:Q443" si="42">VALUE(LEFT(TEXT(S437,0),5))+1</f>
        <v>30361</v>
      </c>
      <c r="R437" s="86">
        <f t="shared" ref="R437:R446" si="43">DATEDIF($P437,TODAY(),"Y")</f>
        <v>43</v>
      </c>
      <c r="S437" s="315">
        <v>3.036024816E9</v>
      </c>
      <c r="T437" s="315" t="s">
        <v>1317</v>
      </c>
      <c r="U437" s="76" t="s">
        <v>368</v>
      </c>
      <c r="V437" s="86"/>
      <c r="W437" s="76"/>
      <c r="X437" s="76" t="s">
        <v>145</v>
      </c>
      <c r="Y437" s="97" t="s">
        <v>183</v>
      </c>
      <c r="Z437" s="728" t="s">
        <v>2482</v>
      </c>
      <c r="AA437" s="76" t="s">
        <v>114</v>
      </c>
      <c r="AB437" s="97"/>
      <c r="AC437" s="97"/>
      <c r="AD437" s="97"/>
      <c r="AE437" s="76"/>
      <c r="AF437" s="85"/>
      <c r="AG437" s="76" t="s">
        <v>375</v>
      </c>
      <c r="AH437" s="523">
        <v>46084.0</v>
      </c>
      <c r="AI437" s="763"/>
      <c r="AJ437" s="763"/>
      <c r="AK437" s="763"/>
      <c r="AL437" s="763"/>
      <c r="AM437" s="763"/>
      <c r="AN437" s="763"/>
      <c r="AO437" s="763"/>
      <c r="AP437" s="763"/>
      <c r="AQ437" s="763"/>
      <c r="AR437" s="203"/>
      <c r="AS437" s="203"/>
      <c r="AT437" s="203"/>
    </row>
    <row r="438">
      <c r="A438" s="86"/>
      <c r="B438" s="302" t="s">
        <v>145</v>
      </c>
      <c r="C438" s="97"/>
      <c r="D438" s="97"/>
      <c r="E438" s="783" t="s">
        <v>7922</v>
      </c>
      <c r="F438" s="97"/>
      <c r="G438" s="97"/>
      <c r="H438" s="97"/>
      <c r="I438" s="97"/>
      <c r="J438" s="97" t="s">
        <v>114</v>
      </c>
      <c r="K438" s="109"/>
      <c r="L438" s="109"/>
      <c r="M438" s="109" t="s">
        <v>102</v>
      </c>
      <c r="N438" s="332" t="s">
        <v>4570</v>
      </c>
      <c r="O438" s="76" t="s">
        <v>4571</v>
      </c>
      <c r="P438" s="330">
        <v>32491.0</v>
      </c>
      <c r="Q438" s="315">
        <f t="shared" si="42"/>
        <v>32491</v>
      </c>
      <c r="R438" s="97">
        <f t="shared" si="43"/>
        <v>37</v>
      </c>
      <c r="S438" s="315">
        <v>3.249002898E9</v>
      </c>
      <c r="T438" s="315"/>
      <c r="U438" s="76" t="s">
        <v>136</v>
      </c>
      <c r="V438" s="86"/>
      <c r="W438" s="97"/>
      <c r="X438" s="76" t="s">
        <v>145</v>
      </c>
      <c r="Y438" s="97" t="s">
        <v>183</v>
      </c>
      <c r="Z438" s="97"/>
      <c r="AA438" s="97" t="s">
        <v>114</v>
      </c>
      <c r="AB438" s="97"/>
      <c r="AC438" s="76" t="s">
        <v>150</v>
      </c>
      <c r="AD438" s="76" t="s">
        <v>150</v>
      </c>
      <c r="AE438" s="76"/>
      <c r="AF438" s="109" t="s">
        <v>155</v>
      </c>
      <c r="AG438" s="76" t="s">
        <v>351</v>
      </c>
      <c r="AH438" s="76" t="s">
        <v>7934</v>
      </c>
      <c r="AI438" s="67"/>
      <c r="AJ438" s="67"/>
      <c r="AK438" s="67"/>
      <c r="AL438" s="67"/>
      <c r="AM438" s="67"/>
      <c r="AN438" s="67"/>
      <c r="AO438" s="67"/>
      <c r="AP438" s="67"/>
      <c r="AQ438" s="67"/>
      <c r="AR438" s="203"/>
      <c r="AS438" s="203"/>
      <c r="AT438" s="203"/>
    </row>
    <row r="439">
      <c r="A439" s="86"/>
      <c r="B439" s="302" t="s">
        <v>145</v>
      </c>
      <c r="C439" s="97"/>
      <c r="D439" s="97"/>
      <c r="E439" s="783" t="s">
        <v>7937</v>
      </c>
      <c r="F439" s="97"/>
      <c r="G439" s="97"/>
      <c r="H439" s="97"/>
      <c r="I439" s="97"/>
      <c r="J439" s="109" t="s">
        <v>114</v>
      </c>
      <c r="K439" s="97"/>
      <c r="L439" s="784"/>
      <c r="M439" s="784" t="s">
        <v>60</v>
      </c>
      <c r="N439" s="785" t="s">
        <v>5862</v>
      </c>
      <c r="O439" s="474" t="s">
        <v>5864</v>
      </c>
      <c r="P439" s="209">
        <v>28653.0</v>
      </c>
      <c r="Q439" s="315" t="str">
        <f t="shared" si="42"/>
        <v>#VALUE!</v>
      </c>
      <c r="R439" s="86">
        <f t="shared" si="43"/>
        <v>48</v>
      </c>
      <c r="S439" s="76" t="s">
        <v>3642</v>
      </c>
      <c r="T439" s="315" t="s">
        <v>1317</v>
      </c>
      <c r="U439" s="76" t="s">
        <v>368</v>
      </c>
      <c r="V439" s="76"/>
      <c r="W439" s="76"/>
      <c r="X439" s="76" t="s">
        <v>145</v>
      </c>
      <c r="Y439" s="76" t="s">
        <v>2311</v>
      </c>
      <c r="Z439" s="474" t="s">
        <v>184</v>
      </c>
      <c r="AA439" s="76" t="s">
        <v>114</v>
      </c>
      <c r="AB439" s="97"/>
      <c r="AC439" s="76"/>
      <c r="AD439" s="76"/>
      <c r="AE439" s="76"/>
      <c r="AF439" s="76"/>
      <c r="AG439" s="76" t="s">
        <v>375</v>
      </c>
      <c r="AH439" s="523">
        <v>46061.0</v>
      </c>
      <c r="AI439" s="763"/>
      <c r="AJ439" s="763"/>
      <c r="AK439" s="763"/>
      <c r="AL439" s="763"/>
      <c r="AM439" s="763"/>
      <c r="AN439" s="763"/>
      <c r="AO439" s="763"/>
      <c r="AP439" s="763"/>
      <c r="AQ439" s="763"/>
      <c r="AR439" s="203"/>
      <c r="AS439" s="203"/>
      <c r="AT439" s="203"/>
    </row>
    <row r="440">
      <c r="A440" s="86"/>
      <c r="B440" s="450" t="s">
        <v>4145</v>
      </c>
      <c r="C440" s="314" t="s">
        <v>5668</v>
      </c>
      <c r="D440" s="86"/>
      <c r="E440" s="764"/>
      <c r="F440" s="86"/>
      <c r="G440" s="86"/>
      <c r="H440" s="86"/>
      <c r="I440" s="86"/>
      <c r="J440" s="76" t="s">
        <v>114</v>
      </c>
      <c r="K440" s="76"/>
      <c r="L440" s="76"/>
      <c r="M440" s="76" t="s">
        <v>60</v>
      </c>
      <c r="N440" s="76" t="s">
        <v>7949</v>
      </c>
      <c r="O440" s="76" t="s">
        <v>177</v>
      </c>
      <c r="P440" s="153">
        <v>34851.0</v>
      </c>
      <c r="Q440" s="315">
        <f t="shared" si="42"/>
        <v>34851</v>
      </c>
      <c r="R440" s="97">
        <f t="shared" si="43"/>
        <v>31</v>
      </c>
      <c r="S440" s="315">
        <v>3.48500289E9</v>
      </c>
      <c r="T440" s="315"/>
      <c r="U440" s="76" t="s">
        <v>379</v>
      </c>
      <c r="V440" s="76"/>
      <c r="W440" s="76"/>
      <c r="X440" s="76"/>
      <c r="Y440" s="97"/>
      <c r="Z440" s="728" t="s">
        <v>2482</v>
      </c>
      <c r="AA440" s="76" t="s">
        <v>185</v>
      </c>
      <c r="AB440" s="97"/>
      <c r="AC440" s="76" t="s">
        <v>2915</v>
      </c>
      <c r="AD440" s="99"/>
      <c r="AE440" s="76"/>
      <c r="AF440" s="76" t="s">
        <v>7956</v>
      </c>
      <c r="AG440" s="76"/>
      <c r="AH440" s="97"/>
      <c r="AI440" s="67"/>
      <c r="AJ440" s="67"/>
      <c r="AK440" s="67"/>
      <c r="AL440" s="67"/>
      <c r="AM440" s="67"/>
      <c r="AN440" s="67"/>
      <c r="AO440" s="67"/>
      <c r="AP440" s="67"/>
      <c r="AQ440" s="67"/>
      <c r="AR440" s="203"/>
      <c r="AS440" s="203"/>
      <c r="AT440" s="203"/>
    </row>
    <row r="441">
      <c r="A441" s="86"/>
      <c r="B441" s="450" t="s">
        <v>4145</v>
      </c>
      <c r="C441" s="523"/>
      <c r="D441" s="86"/>
      <c r="E441" s="574">
        <v>46071.0</v>
      </c>
      <c r="F441" s="86"/>
      <c r="G441" s="86"/>
      <c r="H441" s="86"/>
      <c r="I441" s="86"/>
      <c r="J441" s="85" t="s">
        <v>114</v>
      </c>
      <c r="K441" s="85"/>
      <c r="L441" s="76"/>
      <c r="M441" s="85" t="s">
        <v>60</v>
      </c>
      <c r="N441" s="76" t="s">
        <v>7961</v>
      </c>
      <c r="O441" s="76" t="s">
        <v>3082</v>
      </c>
      <c r="P441" s="153">
        <v>36088.0</v>
      </c>
      <c r="Q441" s="315">
        <f t="shared" si="42"/>
        <v>36088</v>
      </c>
      <c r="R441" s="86">
        <f t="shared" si="43"/>
        <v>27</v>
      </c>
      <c r="S441" s="76">
        <v>3.608701677E9</v>
      </c>
      <c r="T441" s="86"/>
      <c r="U441" s="76" t="s">
        <v>379</v>
      </c>
      <c r="V441" s="76"/>
      <c r="W441" s="76"/>
      <c r="X441" s="76" t="s">
        <v>186</v>
      </c>
      <c r="Y441" s="167"/>
      <c r="Z441" s="85" t="s">
        <v>1351</v>
      </c>
      <c r="AA441" s="168"/>
      <c r="AB441" s="97"/>
      <c r="AC441" s="167" t="s">
        <v>2915</v>
      </c>
      <c r="AD441" s="168"/>
      <c r="AE441" s="76"/>
      <c r="AF441" s="76"/>
      <c r="AG441" s="76"/>
      <c r="AH441" s="76" t="s">
        <v>7965</v>
      </c>
      <c r="AI441" s="67"/>
      <c r="AJ441" s="67"/>
      <c r="AK441" s="67"/>
      <c r="AL441" s="67"/>
      <c r="AM441" s="67"/>
      <c r="AN441" s="67"/>
      <c r="AO441" s="67"/>
      <c r="AP441" s="67"/>
      <c r="AQ441" s="67"/>
      <c r="AR441" s="203"/>
      <c r="AS441" s="203"/>
      <c r="AT441" s="203"/>
    </row>
    <row r="442">
      <c r="A442" s="86"/>
      <c r="B442" s="450" t="s">
        <v>4145</v>
      </c>
      <c r="C442" s="97"/>
      <c r="D442" s="86"/>
      <c r="E442" s="781">
        <v>46043.0</v>
      </c>
      <c r="F442" s="86"/>
      <c r="G442" s="86"/>
      <c r="H442" s="86"/>
      <c r="I442" s="86"/>
      <c r="J442" s="76" t="s">
        <v>114</v>
      </c>
      <c r="K442" s="176" t="s">
        <v>7973</v>
      </c>
      <c r="L442" s="341" t="s">
        <v>7974</v>
      </c>
      <c r="M442" s="85" t="s">
        <v>60</v>
      </c>
      <c r="N442" s="789" t="s">
        <v>7976</v>
      </c>
      <c r="O442" s="756" t="s">
        <v>7979</v>
      </c>
      <c r="P442" s="262">
        <v>35997.0</v>
      </c>
      <c r="Q442" s="315">
        <f t="shared" si="42"/>
        <v>1</v>
      </c>
      <c r="R442" s="97">
        <f t="shared" si="43"/>
        <v>28</v>
      </c>
      <c r="S442" s="315"/>
      <c r="T442" s="76" t="s">
        <v>1317</v>
      </c>
      <c r="U442" s="76" t="s">
        <v>379</v>
      </c>
      <c r="V442" s="76"/>
      <c r="W442" s="97"/>
      <c r="X442" s="76"/>
      <c r="Y442" s="97"/>
      <c r="Z442" s="278" t="s">
        <v>1613</v>
      </c>
      <c r="AA442" s="76"/>
      <c r="AB442" s="97"/>
      <c r="AC442" s="76"/>
      <c r="AD442" s="99"/>
      <c r="AE442" s="76" t="s">
        <v>491</v>
      </c>
      <c r="AF442" s="76" t="s">
        <v>3378</v>
      </c>
      <c r="AG442" s="76"/>
      <c r="AH442" s="76" t="s">
        <v>7989</v>
      </c>
      <c r="AI442" s="67"/>
      <c r="AJ442" s="67"/>
      <c r="AK442" s="67"/>
      <c r="AL442" s="67"/>
      <c r="AM442" s="67"/>
      <c r="AN442" s="67"/>
      <c r="AO442" s="67"/>
      <c r="AP442" s="67"/>
      <c r="AQ442" s="67"/>
      <c r="AR442" s="203"/>
      <c r="AS442" s="203"/>
      <c r="AT442" s="203"/>
    </row>
    <row r="443">
      <c r="A443" s="86"/>
      <c r="B443" s="450"/>
      <c r="C443" s="523"/>
      <c r="D443" s="86"/>
      <c r="E443" s="574">
        <v>46080.0</v>
      </c>
      <c r="F443" s="86"/>
      <c r="G443" s="86"/>
      <c r="H443" s="86"/>
      <c r="I443" s="86"/>
      <c r="J443" s="85"/>
      <c r="K443" s="176" t="s">
        <v>7993</v>
      </c>
      <c r="L443" s="76"/>
      <c r="M443" s="85" t="s">
        <v>60</v>
      </c>
      <c r="N443" s="76" t="s">
        <v>7996</v>
      </c>
      <c r="O443" s="76"/>
      <c r="P443" s="153">
        <v>30925.0</v>
      </c>
      <c r="Q443" s="315">
        <f t="shared" si="42"/>
        <v>30925</v>
      </c>
      <c r="R443" s="86">
        <f t="shared" si="43"/>
        <v>42</v>
      </c>
      <c r="S443" s="76">
        <v>3.092409833E9</v>
      </c>
      <c r="T443" s="86"/>
      <c r="U443" s="76" t="s">
        <v>344</v>
      </c>
      <c r="V443" s="76"/>
      <c r="W443" s="76"/>
      <c r="X443" s="76" t="s">
        <v>186</v>
      </c>
      <c r="Y443" s="167"/>
      <c r="Z443" s="85" t="s">
        <v>1351</v>
      </c>
      <c r="AA443" s="168"/>
      <c r="AB443" s="97"/>
      <c r="AC443" s="168"/>
      <c r="AD443" s="168"/>
      <c r="AE443" s="76"/>
      <c r="AF443" s="76"/>
      <c r="AG443" s="76" t="s">
        <v>8013</v>
      </c>
      <c r="AH443" s="792">
        <v>46090.0</v>
      </c>
      <c r="AI443" s="67"/>
      <c r="AJ443" s="67"/>
      <c r="AK443" s="67"/>
      <c r="AL443" s="67"/>
      <c r="AM443" s="67"/>
      <c r="AN443" s="67"/>
      <c r="AO443" s="67"/>
      <c r="AP443" s="67"/>
      <c r="AQ443" s="67"/>
      <c r="AR443" s="203"/>
      <c r="AS443" s="203"/>
      <c r="AT443" s="203"/>
    </row>
    <row r="444">
      <c r="A444" s="86"/>
      <c r="B444" s="302" t="s">
        <v>145</v>
      </c>
      <c r="C444" s="523"/>
      <c r="D444" s="86"/>
      <c r="E444" s="574">
        <v>46058.0</v>
      </c>
      <c r="F444" s="86"/>
      <c r="G444" s="86"/>
      <c r="H444" s="86"/>
      <c r="I444" s="86"/>
      <c r="J444" s="76"/>
      <c r="K444" s="76"/>
      <c r="L444" s="76"/>
      <c r="M444" s="76" t="s">
        <v>60</v>
      </c>
      <c r="N444" s="76" t="s">
        <v>8019</v>
      </c>
      <c r="O444" s="76" t="s">
        <v>8020</v>
      </c>
      <c r="P444" s="86"/>
      <c r="Q444" s="86"/>
      <c r="R444" s="97">
        <f t="shared" si="43"/>
        <v>126</v>
      </c>
      <c r="S444" s="86"/>
      <c r="T444" s="86"/>
      <c r="U444" s="76" t="s">
        <v>379</v>
      </c>
      <c r="V444" s="76"/>
      <c r="W444" s="97"/>
      <c r="X444" s="76" t="s">
        <v>182</v>
      </c>
      <c r="Y444" s="168"/>
      <c r="Z444" s="85" t="s">
        <v>2155</v>
      </c>
      <c r="AA444" s="76" t="s">
        <v>114</v>
      </c>
      <c r="AB444" s="97"/>
      <c r="AC444" s="168"/>
      <c r="AD444" s="168"/>
      <c r="AE444" s="76" t="s">
        <v>491</v>
      </c>
      <c r="AF444" s="76"/>
      <c r="AG444" s="76"/>
      <c r="AH444" s="76" t="s">
        <v>7989</v>
      </c>
      <c r="AI444" s="67"/>
      <c r="AJ444" s="67"/>
      <c r="AK444" s="67"/>
      <c r="AL444" s="67"/>
      <c r="AM444" s="67"/>
      <c r="AN444" s="67"/>
      <c r="AO444" s="67"/>
      <c r="AP444" s="67"/>
      <c r="AQ444" s="67"/>
      <c r="AR444" s="203"/>
      <c r="AS444" s="203"/>
      <c r="AT444" s="203"/>
    </row>
    <row r="445">
      <c r="A445" s="86"/>
      <c r="B445" s="450" t="s">
        <v>4145</v>
      </c>
      <c r="C445" s="97"/>
      <c r="D445" s="86"/>
      <c r="E445" s="478"/>
      <c r="F445" s="86"/>
      <c r="G445" s="86"/>
      <c r="H445" s="86"/>
      <c r="I445" s="86"/>
      <c r="J445" s="76" t="s">
        <v>114</v>
      </c>
      <c r="K445" s="87"/>
      <c r="L445" s="87"/>
      <c r="M445" s="87" t="s">
        <v>60</v>
      </c>
      <c r="N445" s="776" t="s">
        <v>3906</v>
      </c>
      <c r="O445" s="85" t="s">
        <v>1571</v>
      </c>
      <c r="P445" s="262">
        <v>36794.0</v>
      </c>
      <c r="Q445" s="315">
        <f t="shared" ref="Q445:Q446" si="44">VALUE(LEFT(TEXT(S445,0),5))+1</f>
        <v>36794</v>
      </c>
      <c r="R445" s="97">
        <f t="shared" si="43"/>
        <v>25</v>
      </c>
      <c r="S445" s="76">
        <v>3.67930323E9</v>
      </c>
      <c r="T445" s="315"/>
      <c r="U445" s="76" t="s">
        <v>379</v>
      </c>
      <c r="V445" s="76"/>
      <c r="W445" s="76"/>
      <c r="X445" s="76"/>
      <c r="Y445" s="76"/>
      <c r="Z445" s="76"/>
      <c r="AA445" s="76"/>
      <c r="AB445" s="97"/>
      <c r="AC445" s="76" t="s">
        <v>7020</v>
      </c>
      <c r="AD445" s="99"/>
      <c r="AE445" s="76" t="s">
        <v>291</v>
      </c>
      <c r="AF445" s="76"/>
      <c r="AG445" s="76"/>
      <c r="AH445" s="76"/>
      <c r="AI445" s="67"/>
      <c r="AJ445" s="67"/>
      <c r="AK445" s="67"/>
      <c r="AL445" s="67"/>
      <c r="AM445" s="67"/>
      <c r="AN445" s="67"/>
      <c r="AO445" s="67"/>
      <c r="AP445" s="67"/>
      <c r="AQ445" s="67"/>
      <c r="AR445" s="203"/>
      <c r="AS445" s="203"/>
      <c r="AT445" s="203"/>
    </row>
    <row r="446">
      <c r="A446" s="86"/>
      <c r="B446" s="450" t="s">
        <v>4145</v>
      </c>
      <c r="C446" s="97"/>
      <c r="D446" s="86"/>
      <c r="E446" s="781">
        <v>46047.0</v>
      </c>
      <c r="F446" s="86"/>
      <c r="G446" s="86"/>
      <c r="H446" s="86"/>
      <c r="I446" s="86"/>
      <c r="J446" s="76" t="s">
        <v>114</v>
      </c>
      <c r="K446" s="176" t="s">
        <v>8053</v>
      </c>
      <c r="L446" s="85"/>
      <c r="M446" s="85" t="s">
        <v>60</v>
      </c>
      <c r="N446" s="76" t="s">
        <v>8056</v>
      </c>
      <c r="O446" s="756" t="s">
        <v>8057</v>
      </c>
      <c r="P446" s="262">
        <v>30534.0</v>
      </c>
      <c r="Q446" s="315">
        <f t="shared" si="44"/>
        <v>30534</v>
      </c>
      <c r="R446" s="97">
        <f t="shared" si="43"/>
        <v>43</v>
      </c>
      <c r="S446" s="76">
        <v>3.053323476E9</v>
      </c>
      <c r="T446" s="315"/>
      <c r="U446" s="76" t="s">
        <v>379</v>
      </c>
      <c r="V446" s="76"/>
      <c r="W446" s="97"/>
      <c r="X446" s="76" t="s">
        <v>186</v>
      </c>
      <c r="Y446" s="97"/>
      <c r="Z446" s="85" t="s">
        <v>1460</v>
      </c>
      <c r="AA446" s="76"/>
      <c r="AB446" s="97"/>
      <c r="AC446" s="76" t="s">
        <v>5062</v>
      </c>
      <c r="AD446" s="99"/>
      <c r="AE446" s="76" t="s">
        <v>632</v>
      </c>
      <c r="AF446" s="76" t="s">
        <v>3378</v>
      </c>
      <c r="AG446" s="76"/>
      <c r="AH446" s="153"/>
      <c r="AI446" s="67"/>
      <c r="AJ446" s="67"/>
      <c r="AK446" s="67"/>
      <c r="AL446" s="67"/>
      <c r="AM446" s="67"/>
      <c r="AN446" s="67"/>
      <c r="AO446" s="67"/>
      <c r="AP446" s="67"/>
      <c r="AQ446" s="67"/>
      <c r="AR446" s="203"/>
      <c r="AS446" s="203"/>
      <c r="AT446" s="203"/>
    </row>
    <row r="447">
      <c r="A447" s="86"/>
      <c r="B447" s="450" t="s">
        <v>4145</v>
      </c>
      <c r="C447" s="523"/>
      <c r="D447" s="86"/>
      <c r="E447" s="574">
        <v>46066.0</v>
      </c>
      <c r="F447" s="86"/>
      <c r="G447" s="86"/>
      <c r="H447" s="86"/>
      <c r="I447" s="86"/>
      <c r="J447" s="85"/>
      <c r="K447" s="176" t="s">
        <v>8067</v>
      </c>
      <c r="L447" s="76"/>
      <c r="M447" s="85" t="s">
        <v>60</v>
      </c>
      <c r="N447" s="76" t="s">
        <v>8069</v>
      </c>
      <c r="O447" s="76"/>
      <c r="P447" s="153"/>
      <c r="Q447" s="315"/>
      <c r="R447" s="97"/>
      <c r="S447" s="76"/>
      <c r="T447" s="86"/>
      <c r="U447" s="76" t="s">
        <v>379</v>
      </c>
      <c r="V447" s="76"/>
      <c r="W447" s="97"/>
      <c r="X447" s="76" t="s">
        <v>186</v>
      </c>
      <c r="Y447" s="168"/>
      <c r="Z447" s="85" t="s">
        <v>2155</v>
      </c>
      <c r="AA447" s="168"/>
      <c r="AB447" s="97"/>
      <c r="AC447" s="167" t="s">
        <v>8076</v>
      </c>
      <c r="AD447" s="168"/>
      <c r="AE447" s="76"/>
      <c r="AF447" s="76"/>
      <c r="AG447" s="76"/>
      <c r="AH447" s="76" t="s">
        <v>8077</v>
      </c>
      <c r="AI447" s="67"/>
      <c r="AJ447" s="67"/>
      <c r="AK447" s="67"/>
      <c r="AL447" s="67"/>
      <c r="AM447" s="67"/>
      <c r="AN447" s="67"/>
      <c r="AO447" s="67"/>
      <c r="AP447" s="67"/>
      <c r="AQ447" s="67"/>
      <c r="AR447" s="203"/>
      <c r="AS447" s="203"/>
      <c r="AT447" s="203"/>
    </row>
    <row r="448">
      <c r="A448" s="127"/>
      <c r="B448" s="796"/>
      <c r="C448" s="197"/>
      <c r="D448" s="127"/>
      <c r="E448" s="798"/>
      <c r="F448" s="800"/>
      <c r="G448" s="802"/>
      <c r="H448" s="803"/>
      <c r="I448" s="804"/>
      <c r="J448" s="468"/>
      <c r="K448" s="211"/>
      <c r="L448" s="197"/>
      <c r="M448" s="197"/>
      <c r="N448" s="127"/>
      <c r="O448" s="197"/>
      <c r="P448" s="805"/>
      <c r="Q448" s="806"/>
      <c r="R448" s="127"/>
      <c r="S448" s="127"/>
      <c r="T448" s="806"/>
      <c r="U448" s="160"/>
      <c r="V448" s="127"/>
      <c r="W448" s="127"/>
      <c r="X448" s="802"/>
      <c r="Y448" s="802"/>
      <c r="Z448" s="802"/>
      <c r="AA448" s="802"/>
      <c r="AB448" s="802"/>
      <c r="AC448" s="802"/>
      <c r="AD448" s="807"/>
      <c r="AE448" s="802"/>
      <c r="AF448" s="802"/>
      <c r="AG448" s="808"/>
      <c r="AH448" s="160"/>
      <c r="AI448" s="809"/>
      <c r="AJ448" s="809"/>
      <c r="AK448" s="748"/>
      <c r="AL448" s="748"/>
      <c r="AM448" s="810"/>
      <c r="AN448" s="810"/>
      <c r="AO448" s="748"/>
      <c r="AP448" s="748"/>
      <c r="AQ448" s="809"/>
      <c r="AR448" s="203"/>
      <c r="AS448" s="203"/>
      <c r="AT448" s="203"/>
    </row>
    <row r="449">
      <c r="A449" s="76">
        <v>155.0</v>
      </c>
      <c r="B449" s="811" t="s">
        <v>8106</v>
      </c>
      <c r="C449" s="97" t="s">
        <v>121</v>
      </c>
      <c r="D449" s="86" t="s">
        <v>121</v>
      </c>
      <c r="E449" s="764" t="s">
        <v>194</v>
      </c>
      <c r="F449" s="747" t="s">
        <v>8108</v>
      </c>
      <c r="G449" s="86" t="s">
        <v>360</v>
      </c>
      <c r="H449" s="817" t="s">
        <v>3336</v>
      </c>
      <c r="I449" s="146" t="s">
        <v>408</v>
      </c>
      <c r="J449" s="87" t="s">
        <v>114</v>
      </c>
      <c r="K449" s="87"/>
      <c r="L449" s="85"/>
      <c r="M449" s="85" t="s">
        <v>102</v>
      </c>
      <c r="N449" s="819" t="s">
        <v>4622</v>
      </c>
      <c r="O449" s="87" t="s">
        <v>4623</v>
      </c>
      <c r="P449" s="750">
        <v>30568.0</v>
      </c>
      <c r="Q449" s="315">
        <f t="shared" ref="Q449:Q497" si="45">VALUE(LEFT(TEXT(S449,0),5))+1</f>
        <v>30568</v>
      </c>
      <c r="R449" s="86">
        <f t="shared" ref="R449:R497" si="46">DATEDIF($P449,TODAY(),"Y")</f>
        <v>42</v>
      </c>
      <c r="S449" s="315">
        <v>3.056718136E9</v>
      </c>
      <c r="T449" s="315" t="s">
        <v>378</v>
      </c>
      <c r="U449" s="124" t="s">
        <v>379</v>
      </c>
      <c r="V449" s="76"/>
      <c r="W449" s="86"/>
      <c r="X449" s="97"/>
      <c r="Y449" s="86"/>
      <c r="Z449" s="86"/>
      <c r="AA449" s="86"/>
      <c r="AB449" s="97"/>
      <c r="AC449" s="771">
        <v>155.0</v>
      </c>
      <c r="AD449" s="99"/>
      <c r="AE449" s="86"/>
      <c r="AF449" s="315"/>
      <c r="AG449" s="112"/>
      <c r="AH449" s="76"/>
      <c r="AI449" s="67"/>
      <c r="AJ449" s="67"/>
      <c r="AK449" s="67"/>
      <c r="AL449" s="67"/>
      <c r="AM449" s="67"/>
      <c r="AN449" s="67"/>
      <c r="AO449" s="67"/>
      <c r="AP449" s="67"/>
      <c r="AQ449" s="67"/>
      <c r="AR449" s="203"/>
      <c r="AS449" s="203"/>
      <c r="AT449" s="203"/>
    </row>
    <row r="450">
      <c r="A450" s="76" t="s">
        <v>8135</v>
      </c>
      <c r="B450" s="529" t="s">
        <v>1039</v>
      </c>
      <c r="C450" s="87" t="s">
        <v>121</v>
      </c>
      <c r="D450" s="87" t="s">
        <v>121</v>
      </c>
      <c r="E450" s="749" t="s">
        <v>786</v>
      </c>
      <c r="F450" s="747" t="s">
        <v>1216</v>
      </c>
      <c r="G450" s="97" t="s">
        <v>60</v>
      </c>
      <c r="H450" s="87" t="s">
        <v>1221</v>
      </c>
      <c r="I450" s="86" t="s">
        <v>1443</v>
      </c>
      <c r="J450" s="76" t="s">
        <v>114</v>
      </c>
      <c r="K450" s="97"/>
      <c r="L450" s="85" t="s">
        <v>8139</v>
      </c>
      <c r="M450" s="109" t="s">
        <v>60</v>
      </c>
      <c r="N450" s="766" t="s">
        <v>8141</v>
      </c>
      <c r="O450" s="97" t="s">
        <v>472</v>
      </c>
      <c r="P450" s="153">
        <v>29801.0</v>
      </c>
      <c r="Q450" s="315" t="str">
        <f t="shared" si="45"/>
        <v>#VALUE!</v>
      </c>
      <c r="R450" s="86">
        <f t="shared" si="46"/>
        <v>45</v>
      </c>
      <c r="S450" s="76" t="s">
        <v>8143</v>
      </c>
      <c r="T450" s="315"/>
      <c r="U450" s="76" t="s">
        <v>379</v>
      </c>
      <c r="V450" s="76"/>
      <c r="W450" s="76"/>
      <c r="X450" s="76"/>
      <c r="Y450" s="97" t="s">
        <v>183</v>
      </c>
      <c r="Z450" s="289" t="s">
        <v>1725</v>
      </c>
      <c r="AA450" s="76" t="s">
        <v>1178</v>
      </c>
      <c r="AB450" s="97"/>
      <c r="AC450" s="771">
        <v>155.0</v>
      </c>
      <c r="AD450" s="99"/>
      <c r="AE450" s="76"/>
      <c r="AF450" s="97"/>
      <c r="AG450" s="315"/>
      <c r="AH450" s="76" t="s">
        <v>8149</v>
      </c>
      <c r="AI450" s="67"/>
      <c r="AJ450" s="67"/>
      <c r="AK450" s="748"/>
      <c r="AL450" s="748"/>
      <c r="AM450" s="748"/>
      <c r="AN450" s="748"/>
      <c r="AO450" s="748"/>
      <c r="AP450" s="748"/>
      <c r="AQ450" s="67"/>
      <c r="AR450" s="203"/>
      <c r="AS450" s="203"/>
      <c r="AT450" s="203"/>
    </row>
    <row r="451">
      <c r="A451" s="76" t="s">
        <v>8135</v>
      </c>
      <c r="B451" s="529" t="s">
        <v>1039</v>
      </c>
      <c r="C451" s="87" t="s">
        <v>1269</v>
      </c>
      <c r="D451" s="87" t="s">
        <v>1519</v>
      </c>
      <c r="E451" s="749" t="s">
        <v>58</v>
      </c>
      <c r="F451" s="747" t="s">
        <v>1496</v>
      </c>
      <c r="G451" s="97" t="s">
        <v>60</v>
      </c>
      <c r="H451" s="87" t="s">
        <v>1221</v>
      </c>
      <c r="I451" s="86" t="s">
        <v>1443</v>
      </c>
      <c r="J451" s="85" t="s">
        <v>114</v>
      </c>
      <c r="K451" s="176" t="s">
        <v>8151</v>
      </c>
      <c r="L451" s="85" t="s">
        <v>8139</v>
      </c>
      <c r="M451" s="85" t="s">
        <v>60</v>
      </c>
      <c r="N451" s="771" t="s">
        <v>8153</v>
      </c>
      <c r="O451" s="76" t="s">
        <v>8155</v>
      </c>
      <c r="P451" s="153">
        <v>30577.0</v>
      </c>
      <c r="Q451" s="315">
        <f t="shared" si="45"/>
        <v>30577</v>
      </c>
      <c r="R451" s="97">
        <f t="shared" si="46"/>
        <v>42</v>
      </c>
      <c r="S451" s="76">
        <v>3.057607159E9</v>
      </c>
      <c r="T451" s="315"/>
      <c r="U451" s="76" t="s">
        <v>379</v>
      </c>
      <c r="V451" s="76"/>
      <c r="W451" s="76"/>
      <c r="X451" s="76"/>
      <c r="Y451" s="97" t="s">
        <v>1174</v>
      </c>
      <c r="Z451" s="278" t="s">
        <v>2090</v>
      </c>
      <c r="AA451" s="76"/>
      <c r="AB451" s="76"/>
      <c r="AC451" s="771">
        <v>155.0</v>
      </c>
      <c r="AD451" s="99"/>
      <c r="AE451" s="76"/>
      <c r="AF451" s="76"/>
      <c r="AG451" s="76"/>
      <c r="AH451" s="76" t="s">
        <v>8162</v>
      </c>
      <c r="AI451" s="67"/>
      <c r="AJ451" s="67"/>
      <c r="AK451" s="769"/>
      <c r="AL451" s="769"/>
      <c r="AM451" s="769"/>
      <c r="AN451" s="769"/>
      <c r="AO451" s="769"/>
      <c r="AP451" s="769"/>
      <c r="AQ451" s="67"/>
      <c r="AR451" s="203"/>
      <c r="AS451" s="203"/>
      <c r="AT451" s="203"/>
    </row>
    <row r="452">
      <c r="A452" s="76" t="s">
        <v>8135</v>
      </c>
      <c r="B452" s="529" t="s">
        <v>1039</v>
      </c>
      <c r="C452" s="86" t="s">
        <v>1517</v>
      </c>
      <c r="D452" s="86" t="s">
        <v>1368</v>
      </c>
      <c r="E452" s="755" t="s">
        <v>302</v>
      </c>
      <c r="F452" s="747" t="s">
        <v>1404</v>
      </c>
      <c r="G452" s="97" t="s">
        <v>326</v>
      </c>
      <c r="H452" s="87" t="s">
        <v>1221</v>
      </c>
      <c r="I452" s="86" t="s">
        <v>1443</v>
      </c>
      <c r="J452" s="76" t="s">
        <v>114</v>
      </c>
      <c r="K452" s="76"/>
      <c r="L452" s="85" t="s">
        <v>8139</v>
      </c>
      <c r="M452" s="76" t="s">
        <v>60</v>
      </c>
      <c r="N452" s="771" t="s">
        <v>8163</v>
      </c>
      <c r="O452" s="76" t="s">
        <v>8164</v>
      </c>
      <c r="P452" s="153">
        <v>33711.0</v>
      </c>
      <c r="Q452" s="315">
        <f t="shared" si="45"/>
        <v>33711</v>
      </c>
      <c r="R452" s="86">
        <f t="shared" si="46"/>
        <v>34</v>
      </c>
      <c r="S452" s="315">
        <v>3.371007014E9</v>
      </c>
      <c r="T452" s="315" t="s">
        <v>378</v>
      </c>
      <c r="U452" s="76" t="s">
        <v>379</v>
      </c>
      <c r="V452" s="76"/>
      <c r="W452" s="76"/>
      <c r="X452" s="76"/>
      <c r="Y452" s="97" t="s">
        <v>183</v>
      </c>
      <c r="Z452" s="728" t="s">
        <v>2482</v>
      </c>
      <c r="AA452" s="76" t="s">
        <v>1178</v>
      </c>
      <c r="AB452" s="97"/>
      <c r="AC452" s="771">
        <v>155.0</v>
      </c>
      <c r="AD452" s="99"/>
      <c r="AE452" s="76"/>
      <c r="AF452" s="595" t="s">
        <v>8171</v>
      </c>
      <c r="AG452" s="76"/>
      <c r="AH452" s="76" t="s">
        <v>8149</v>
      </c>
      <c r="AI452" s="67"/>
      <c r="AJ452" s="67"/>
      <c r="AK452" s="748"/>
      <c r="AL452" s="748"/>
      <c r="AM452" s="748"/>
      <c r="AN452" s="748"/>
      <c r="AO452" s="748"/>
      <c r="AP452" s="748"/>
      <c r="AQ452" s="67"/>
      <c r="AR452" s="203"/>
      <c r="AS452" s="203"/>
      <c r="AT452" s="203"/>
    </row>
    <row r="453">
      <c r="A453" s="76" t="s">
        <v>8135</v>
      </c>
      <c r="B453" s="529" t="s">
        <v>1039</v>
      </c>
      <c r="C453" s="87" t="s">
        <v>1611</v>
      </c>
      <c r="D453" s="549" t="s">
        <v>1368</v>
      </c>
      <c r="E453" s="749" t="s">
        <v>178</v>
      </c>
      <c r="F453" s="747" t="s">
        <v>1369</v>
      </c>
      <c r="G453" s="97" t="s">
        <v>102</v>
      </c>
      <c r="H453" s="817" t="s">
        <v>3336</v>
      </c>
      <c r="I453" s="146" t="s">
        <v>408</v>
      </c>
      <c r="J453" s="109" t="s">
        <v>114</v>
      </c>
      <c r="K453" s="87"/>
      <c r="L453" s="85" t="s">
        <v>8139</v>
      </c>
      <c r="M453" s="87" t="s">
        <v>102</v>
      </c>
      <c r="N453" s="819" t="s">
        <v>3393</v>
      </c>
      <c r="O453" s="87" t="s">
        <v>3394</v>
      </c>
      <c r="P453" s="825">
        <v>31636.0</v>
      </c>
      <c r="Q453" s="315">
        <f t="shared" si="45"/>
        <v>31636</v>
      </c>
      <c r="R453" s="86">
        <f t="shared" si="46"/>
        <v>40</v>
      </c>
      <c r="S453" s="315">
        <v>3.163513971E9</v>
      </c>
      <c r="T453" s="315"/>
      <c r="U453" s="124" t="s">
        <v>379</v>
      </c>
      <c r="V453" s="86"/>
      <c r="W453" s="86"/>
      <c r="X453" s="97"/>
      <c r="Y453" s="97"/>
      <c r="Z453" s="97"/>
      <c r="AA453" s="97"/>
      <c r="AB453" s="97"/>
      <c r="AC453" s="771">
        <v>155.0</v>
      </c>
      <c r="AD453" s="99"/>
      <c r="AE453" s="76"/>
      <c r="AF453" s="315"/>
      <c r="AG453" s="189"/>
      <c r="AH453" s="76" t="s">
        <v>8186</v>
      </c>
      <c r="AI453" s="67"/>
      <c r="AJ453" s="67"/>
      <c r="AK453" s="748"/>
      <c r="AL453" s="748"/>
      <c r="AM453" s="748"/>
      <c r="AN453" s="748"/>
      <c r="AO453" s="748"/>
      <c r="AP453" s="748"/>
      <c r="AQ453" s="67"/>
      <c r="AR453" s="203"/>
      <c r="AS453" s="203"/>
      <c r="AT453" s="203"/>
    </row>
    <row r="454">
      <c r="A454" s="76" t="s">
        <v>8135</v>
      </c>
      <c r="B454" s="529" t="s">
        <v>1039</v>
      </c>
      <c r="C454" s="86" t="s">
        <v>1611</v>
      </c>
      <c r="D454" s="86" t="s">
        <v>1368</v>
      </c>
      <c r="E454" s="752" t="s">
        <v>213</v>
      </c>
      <c r="F454" s="747" t="s">
        <v>1523</v>
      </c>
      <c r="G454" s="97" t="s">
        <v>60</v>
      </c>
      <c r="H454" s="87" t="s">
        <v>1221</v>
      </c>
      <c r="I454" s="86" t="s">
        <v>1443</v>
      </c>
      <c r="J454" s="76" t="s">
        <v>114</v>
      </c>
      <c r="K454" s="85"/>
      <c r="L454" s="85" t="s">
        <v>8139</v>
      </c>
      <c r="M454" s="85" t="s">
        <v>60</v>
      </c>
      <c r="N454" s="771" t="s">
        <v>8188</v>
      </c>
      <c r="O454" s="76" t="s">
        <v>8189</v>
      </c>
      <c r="P454" s="153">
        <v>29706.0</v>
      </c>
      <c r="Q454" s="315" t="str">
        <f t="shared" si="45"/>
        <v>#VALUE!</v>
      </c>
      <c r="R454" s="86">
        <f t="shared" si="46"/>
        <v>45</v>
      </c>
      <c r="S454" s="76" t="s">
        <v>3642</v>
      </c>
      <c r="T454" s="315" t="s">
        <v>1511</v>
      </c>
      <c r="U454" s="76" t="s">
        <v>379</v>
      </c>
      <c r="V454" s="76"/>
      <c r="W454" s="76"/>
      <c r="X454" s="76"/>
      <c r="Y454" s="97" t="s">
        <v>183</v>
      </c>
      <c r="Z454" s="278" t="s">
        <v>2090</v>
      </c>
      <c r="AA454" s="76"/>
      <c r="AB454" s="97"/>
      <c r="AC454" s="771">
        <v>155.0</v>
      </c>
      <c r="AD454" s="99"/>
      <c r="AE454" s="76"/>
      <c r="AF454" s="97"/>
      <c r="AG454" s="76"/>
      <c r="AH454" s="76" t="s">
        <v>8186</v>
      </c>
      <c r="AI454" s="67"/>
      <c r="AJ454" s="67"/>
      <c r="AK454" s="748"/>
      <c r="AL454" s="748"/>
      <c r="AM454" s="748"/>
      <c r="AN454" s="748"/>
      <c r="AO454" s="748"/>
      <c r="AP454" s="748"/>
      <c r="AQ454" s="67"/>
      <c r="AR454" s="203"/>
      <c r="AS454" s="203"/>
      <c r="AT454" s="203"/>
    </row>
    <row r="455">
      <c r="A455" s="76" t="s">
        <v>8135</v>
      </c>
      <c r="B455" s="529" t="s">
        <v>1039</v>
      </c>
      <c r="C455" s="87" t="s">
        <v>1611</v>
      </c>
      <c r="D455" s="549" t="s">
        <v>1494</v>
      </c>
      <c r="E455" s="749" t="s">
        <v>178</v>
      </c>
      <c r="F455" s="747" t="s">
        <v>1369</v>
      </c>
      <c r="G455" s="97" t="s">
        <v>102</v>
      </c>
      <c r="H455" s="817" t="s">
        <v>3336</v>
      </c>
      <c r="I455" s="146" t="s">
        <v>408</v>
      </c>
      <c r="J455" s="109" t="s">
        <v>114</v>
      </c>
      <c r="K455" s="176" t="s">
        <v>8200</v>
      </c>
      <c r="L455" s="85" t="s">
        <v>8139</v>
      </c>
      <c r="M455" s="85" t="s">
        <v>102</v>
      </c>
      <c r="N455" s="766" t="s">
        <v>4926</v>
      </c>
      <c r="O455" s="97" t="s">
        <v>4930</v>
      </c>
      <c r="P455" s="209">
        <v>33492.0</v>
      </c>
      <c r="Q455" s="315">
        <f t="shared" si="45"/>
        <v>33492</v>
      </c>
      <c r="R455" s="86">
        <f t="shared" si="46"/>
        <v>34</v>
      </c>
      <c r="S455" s="315">
        <v>3.349115197E9</v>
      </c>
      <c r="T455" s="315" t="s">
        <v>1511</v>
      </c>
      <c r="U455" s="291" t="s">
        <v>379</v>
      </c>
      <c r="V455" s="76"/>
      <c r="W455" s="76"/>
      <c r="X455" s="97"/>
      <c r="Y455" s="97"/>
      <c r="Z455" s="97"/>
      <c r="AA455" s="76"/>
      <c r="AB455" s="97"/>
      <c r="AC455" s="771">
        <v>155.0</v>
      </c>
      <c r="AD455" s="97"/>
      <c r="AE455" s="76"/>
      <c r="AF455" s="97"/>
      <c r="AG455" s="315"/>
      <c r="AH455" s="76" t="s">
        <v>8186</v>
      </c>
      <c r="AI455" s="67"/>
      <c r="AJ455" s="67"/>
      <c r="AK455" s="748"/>
      <c r="AL455" s="748"/>
      <c r="AM455" s="748"/>
      <c r="AN455" s="748"/>
      <c r="AO455" s="748"/>
      <c r="AP455" s="748"/>
      <c r="AQ455" s="67"/>
      <c r="AR455" s="203"/>
      <c r="AS455" s="203"/>
      <c r="AT455" s="203"/>
    </row>
    <row r="456">
      <c r="A456" s="76" t="s">
        <v>8135</v>
      </c>
      <c r="B456" s="529" t="s">
        <v>1039</v>
      </c>
      <c r="C456" s="86" t="s">
        <v>1611</v>
      </c>
      <c r="D456" s="86" t="s">
        <v>1494</v>
      </c>
      <c r="E456" s="752" t="s">
        <v>213</v>
      </c>
      <c r="F456" s="747" t="s">
        <v>1523</v>
      </c>
      <c r="G456" s="97" t="s">
        <v>60</v>
      </c>
      <c r="H456" s="87" t="s">
        <v>1221</v>
      </c>
      <c r="I456" s="86" t="s">
        <v>1443</v>
      </c>
      <c r="J456" s="76" t="s">
        <v>114</v>
      </c>
      <c r="K456" s="87"/>
      <c r="L456" s="85" t="s">
        <v>8139</v>
      </c>
      <c r="M456" s="87" t="s">
        <v>60</v>
      </c>
      <c r="N456" s="766" t="s">
        <v>8218</v>
      </c>
      <c r="O456" s="109" t="s">
        <v>8219</v>
      </c>
      <c r="P456" s="712">
        <v>29141.0</v>
      </c>
      <c r="Q456" s="315">
        <f t="shared" si="45"/>
        <v>29141</v>
      </c>
      <c r="R456" s="86">
        <f t="shared" si="46"/>
        <v>46</v>
      </c>
      <c r="S456" s="315">
        <v>2.914000857E9</v>
      </c>
      <c r="T456" s="315"/>
      <c r="U456" s="124" t="s">
        <v>379</v>
      </c>
      <c r="V456" s="76"/>
      <c r="W456" s="76"/>
      <c r="X456" s="76"/>
      <c r="Y456" s="97" t="s">
        <v>1174</v>
      </c>
      <c r="Z456" s="289" t="s">
        <v>1725</v>
      </c>
      <c r="AA456" s="97"/>
      <c r="AB456" s="97"/>
      <c r="AC456" s="771">
        <v>155.0</v>
      </c>
      <c r="AD456" s="99"/>
      <c r="AE456" s="76"/>
      <c r="AF456" s="76"/>
      <c r="AG456" s="76"/>
      <c r="AH456" s="76" t="s">
        <v>8186</v>
      </c>
      <c r="AI456" s="67"/>
      <c r="AJ456" s="67"/>
      <c r="AK456" s="748"/>
      <c r="AL456" s="748"/>
      <c r="AM456" s="748"/>
      <c r="AN456" s="748"/>
      <c r="AO456" s="748"/>
      <c r="AP456" s="748"/>
      <c r="AQ456" s="67"/>
      <c r="AR456" s="203"/>
      <c r="AS456" s="203"/>
      <c r="AT456" s="203"/>
    </row>
    <row r="457">
      <c r="A457" s="76" t="s">
        <v>8135</v>
      </c>
      <c r="B457" s="529" t="s">
        <v>1039</v>
      </c>
      <c r="C457" s="86" t="s">
        <v>1611</v>
      </c>
      <c r="D457" s="86" t="s">
        <v>1494</v>
      </c>
      <c r="E457" s="746" t="s">
        <v>536</v>
      </c>
      <c r="F457" s="747" t="s">
        <v>2458</v>
      </c>
      <c r="G457" s="97" t="s">
        <v>60</v>
      </c>
      <c r="H457" s="87" t="s">
        <v>1221</v>
      </c>
      <c r="I457" s="86" t="s">
        <v>1443</v>
      </c>
      <c r="J457" s="76" t="s">
        <v>114</v>
      </c>
      <c r="K457" s="85"/>
      <c r="L457" s="85" t="s">
        <v>8139</v>
      </c>
      <c r="M457" s="85" t="s">
        <v>60</v>
      </c>
      <c r="N457" s="766" t="s">
        <v>8233</v>
      </c>
      <c r="O457" s="85" t="s">
        <v>8234</v>
      </c>
      <c r="P457" s="712">
        <v>29547.0</v>
      </c>
      <c r="Q457" s="315">
        <f t="shared" si="45"/>
        <v>29547</v>
      </c>
      <c r="R457" s="86">
        <f t="shared" si="46"/>
        <v>45</v>
      </c>
      <c r="S457" s="315">
        <v>2.954611496E9</v>
      </c>
      <c r="T457" s="315" t="s">
        <v>1362</v>
      </c>
      <c r="U457" s="76" t="s">
        <v>379</v>
      </c>
      <c r="V457" s="76"/>
      <c r="W457" s="76"/>
      <c r="X457" s="76"/>
      <c r="Y457" s="97" t="s">
        <v>183</v>
      </c>
      <c r="Z457" s="289" t="s">
        <v>1725</v>
      </c>
      <c r="AA457" s="76" t="s">
        <v>1178</v>
      </c>
      <c r="AB457" s="97"/>
      <c r="AC457" s="771">
        <v>155.0</v>
      </c>
      <c r="AD457" s="99"/>
      <c r="AE457" s="76"/>
      <c r="AF457" s="76"/>
      <c r="AG457" s="76"/>
      <c r="AH457" s="76" t="s">
        <v>8162</v>
      </c>
      <c r="AI457" s="67"/>
      <c r="AJ457" s="67"/>
      <c r="AK457" s="748"/>
      <c r="AL457" s="748"/>
      <c r="AM457" s="748"/>
      <c r="AN457" s="748"/>
      <c r="AO457" s="748"/>
      <c r="AP457" s="748"/>
      <c r="AQ457" s="67"/>
      <c r="AR457" s="203"/>
      <c r="AS457" s="203"/>
      <c r="AT457" s="203"/>
    </row>
    <row r="458">
      <c r="A458" s="76" t="s">
        <v>8135</v>
      </c>
      <c r="B458" s="529" t="s">
        <v>1039</v>
      </c>
      <c r="C458" s="86" t="s">
        <v>1728</v>
      </c>
      <c r="D458" s="86" t="s">
        <v>121</v>
      </c>
      <c r="E458" s="749" t="s">
        <v>178</v>
      </c>
      <c r="F458" s="747" t="s">
        <v>3247</v>
      </c>
      <c r="G458" s="97" t="s">
        <v>102</v>
      </c>
      <c r="H458" s="817" t="s">
        <v>3336</v>
      </c>
      <c r="I458" s="146" t="s">
        <v>408</v>
      </c>
      <c r="J458" s="109" t="s">
        <v>114</v>
      </c>
      <c r="K458" s="176" t="s">
        <v>8245</v>
      </c>
      <c r="L458" s="85" t="s">
        <v>8139</v>
      </c>
      <c r="M458" s="87" t="s">
        <v>60</v>
      </c>
      <c r="N458" s="766" t="s">
        <v>5949</v>
      </c>
      <c r="O458" s="97" t="s">
        <v>5951</v>
      </c>
      <c r="P458" s="712">
        <v>31209.0</v>
      </c>
      <c r="Q458" s="315">
        <f t="shared" si="45"/>
        <v>31209</v>
      </c>
      <c r="R458" s="86">
        <f t="shared" si="46"/>
        <v>41</v>
      </c>
      <c r="S458" s="315">
        <v>3.12082201E9</v>
      </c>
      <c r="T458" s="315" t="s">
        <v>1362</v>
      </c>
      <c r="U458" s="291" t="s">
        <v>379</v>
      </c>
      <c r="V458" s="76"/>
      <c r="W458" s="76"/>
      <c r="X458" s="97"/>
      <c r="Y458" s="76"/>
      <c r="Z458" s="76" t="s">
        <v>146</v>
      </c>
      <c r="AA458" s="97"/>
      <c r="AB458" s="97"/>
      <c r="AC458" s="771">
        <v>155.0</v>
      </c>
      <c r="AD458" s="99"/>
      <c r="AE458" s="76"/>
      <c r="AF458" s="112"/>
      <c r="AG458" s="112"/>
      <c r="AH458" s="76" t="s">
        <v>8149</v>
      </c>
      <c r="AI458" s="67"/>
      <c r="AJ458" s="67"/>
      <c r="AK458" s="748"/>
      <c r="AL458" s="748"/>
      <c r="AM458" s="748"/>
      <c r="AN458" s="748"/>
      <c r="AO458" s="748"/>
      <c r="AP458" s="748"/>
      <c r="AQ458" s="67"/>
      <c r="AR458" s="203"/>
      <c r="AS458" s="203"/>
      <c r="AT458" s="203"/>
    </row>
    <row r="459">
      <c r="A459" s="76" t="s">
        <v>8135</v>
      </c>
      <c r="B459" s="529" t="s">
        <v>1039</v>
      </c>
      <c r="C459" s="87" t="s">
        <v>1728</v>
      </c>
      <c r="D459" s="87" t="s">
        <v>121</v>
      </c>
      <c r="E459" s="749" t="s">
        <v>287</v>
      </c>
      <c r="F459" s="747" t="s">
        <v>2853</v>
      </c>
      <c r="G459" s="97" t="s">
        <v>60</v>
      </c>
      <c r="H459" s="87" t="s">
        <v>1221</v>
      </c>
      <c r="I459" s="86" t="s">
        <v>1443</v>
      </c>
      <c r="J459" s="76" t="s">
        <v>114</v>
      </c>
      <c r="K459" s="97"/>
      <c r="L459" s="85" t="s">
        <v>8139</v>
      </c>
      <c r="M459" s="76" t="s">
        <v>60</v>
      </c>
      <c r="N459" s="766" t="s">
        <v>8252</v>
      </c>
      <c r="O459" s="76" t="s">
        <v>8253</v>
      </c>
      <c r="P459" s="153">
        <v>30891.0</v>
      </c>
      <c r="Q459" s="315">
        <f t="shared" si="45"/>
        <v>30891</v>
      </c>
      <c r="R459" s="86">
        <f t="shared" si="46"/>
        <v>42</v>
      </c>
      <c r="S459" s="315">
        <v>3.089025599E9</v>
      </c>
      <c r="T459" s="315" t="s">
        <v>378</v>
      </c>
      <c r="U459" s="76" t="s">
        <v>379</v>
      </c>
      <c r="V459" s="76"/>
      <c r="W459" s="76"/>
      <c r="X459" s="97"/>
      <c r="Y459" s="97" t="s">
        <v>183</v>
      </c>
      <c r="Z459" s="728" t="s">
        <v>2482</v>
      </c>
      <c r="AA459" s="76" t="s">
        <v>1178</v>
      </c>
      <c r="AB459" s="97"/>
      <c r="AC459" s="771">
        <v>155.0</v>
      </c>
      <c r="AD459" s="99"/>
      <c r="AE459" s="76"/>
      <c r="AF459" s="76"/>
      <c r="AG459" s="76" t="s">
        <v>375</v>
      </c>
      <c r="AH459" s="76" t="s">
        <v>8149</v>
      </c>
      <c r="AI459" s="67"/>
      <c r="AJ459" s="67"/>
      <c r="AK459" s="748"/>
      <c r="AL459" s="748"/>
      <c r="AM459" s="748"/>
      <c r="AN459" s="748"/>
      <c r="AO459" s="748"/>
      <c r="AP459" s="748"/>
      <c r="AQ459" s="67"/>
      <c r="AR459" s="203"/>
      <c r="AS459" s="203"/>
      <c r="AT459" s="203"/>
    </row>
    <row r="460">
      <c r="A460" s="76" t="s">
        <v>8135</v>
      </c>
      <c r="B460" s="529" t="s">
        <v>1039</v>
      </c>
      <c r="C460" s="87" t="s">
        <v>1728</v>
      </c>
      <c r="D460" s="87" t="s">
        <v>121</v>
      </c>
      <c r="E460" s="749" t="s">
        <v>331</v>
      </c>
      <c r="F460" s="747" t="s">
        <v>1731</v>
      </c>
      <c r="G460" s="97" t="s">
        <v>60</v>
      </c>
      <c r="H460" s="87" t="s">
        <v>1221</v>
      </c>
      <c r="I460" s="86" t="s">
        <v>1443</v>
      </c>
      <c r="J460" s="109" t="s">
        <v>114</v>
      </c>
      <c r="K460" s="87"/>
      <c r="L460" s="85" t="s">
        <v>8139</v>
      </c>
      <c r="M460" s="87" t="s">
        <v>60</v>
      </c>
      <c r="N460" s="819" t="s">
        <v>8267</v>
      </c>
      <c r="O460" s="76" t="s">
        <v>8268</v>
      </c>
      <c r="P460" s="209">
        <v>34835.0</v>
      </c>
      <c r="Q460" s="315">
        <f t="shared" si="45"/>
        <v>34835</v>
      </c>
      <c r="R460" s="86">
        <f t="shared" si="46"/>
        <v>31</v>
      </c>
      <c r="S460" s="315">
        <v>3.48340457E9</v>
      </c>
      <c r="T460" s="315"/>
      <c r="U460" s="76" t="s">
        <v>379</v>
      </c>
      <c r="V460" s="76"/>
      <c r="W460" s="76"/>
      <c r="X460" s="97"/>
      <c r="Y460" s="76" t="s">
        <v>2311</v>
      </c>
      <c r="Z460" s="778" t="s">
        <v>184</v>
      </c>
      <c r="AA460" s="86"/>
      <c r="AB460" s="97"/>
      <c r="AC460" s="771">
        <v>155.0</v>
      </c>
      <c r="AD460" s="99"/>
      <c r="AE460" s="76"/>
      <c r="AF460" s="97"/>
      <c r="AG460" s="76"/>
      <c r="AH460" s="76" t="s">
        <v>8149</v>
      </c>
      <c r="AI460" s="67"/>
      <c r="AJ460" s="67"/>
      <c r="AK460" s="748"/>
      <c r="AL460" s="748"/>
      <c r="AM460" s="748"/>
      <c r="AN460" s="748"/>
      <c r="AO460" s="748"/>
      <c r="AP460" s="748"/>
      <c r="AQ460" s="67"/>
      <c r="AR460" s="203"/>
      <c r="AS460" s="203"/>
      <c r="AT460" s="203"/>
    </row>
    <row r="461">
      <c r="A461" s="76" t="s">
        <v>8135</v>
      </c>
      <c r="B461" s="529" t="s">
        <v>1645</v>
      </c>
      <c r="C461" s="87" t="s">
        <v>121</v>
      </c>
      <c r="D461" s="87" t="s">
        <v>121</v>
      </c>
      <c r="E461" s="749" t="s">
        <v>1195</v>
      </c>
      <c r="F461" s="747" t="s">
        <v>1196</v>
      </c>
      <c r="G461" s="97" t="s">
        <v>360</v>
      </c>
      <c r="H461" s="817" t="s">
        <v>3336</v>
      </c>
      <c r="I461" s="146" t="s">
        <v>408</v>
      </c>
      <c r="J461" s="109" t="s">
        <v>114</v>
      </c>
      <c r="K461" s="118" t="s">
        <v>8279</v>
      </c>
      <c r="L461" s="85" t="s">
        <v>8139</v>
      </c>
      <c r="M461" s="87" t="s">
        <v>360</v>
      </c>
      <c r="N461" s="766" t="s">
        <v>8281</v>
      </c>
      <c r="O461" s="87" t="s">
        <v>6959</v>
      </c>
      <c r="P461" s="750">
        <v>27149.0</v>
      </c>
      <c r="Q461" s="315">
        <f t="shared" si="45"/>
        <v>27149</v>
      </c>
      <c r="R461" s="86">
        <f t="shared" si="46"/>
        <v>52</v>
      </c>
      <c r="S461" s="315">
        <v>2.71480327E9</v>
      </c>
      <c r="T461" s="315" t="s">
        <v>1569</v>
      </c>
      <c r="U461" s="76" t="s">
        <v>379</v>
      </c>
      <c r="V461" s="76"/>
      <c r="W461" s="183"/>
      <c r="X461" s="184"/>
      <c r="Y461" s="184"/>
      <c r="Z461" s="184"/>
      <c r="AA461" s="184"/>
      <c r="AB461" s="184"/>
      <c r="AC461" s="771">
        <v>155.0</v>
      </c>
      <c r="AD461" s="185"/>
      <c r="AE461" s="86"/>
      <c r="AF461" s="185"/>
      <c r="AG461" s="187"/>
      <c r="AH461" s="76" t="s">
        <v>8149</v>
      </c>
      <c r="AI461" s="67"/>
      <c r="AJ461" s="67"/>
      <c r="AK461" s="769"/>
      <c r="AL461" s="769"/>
      <c r="AM461" s="769"/>
      <c r="AN461" s="769"/>
      <c r="AO461" s="769"/>
      <c r="AP461" s="769"/>
      <c r="AQ461" s="67"/>
      <c r="AR461" s="203"/>
      <c r="AS461" s="203"/>
      <c r="AT461" s="203"/>
    </row>
    <row r="462">
      <c r="A462" s="76" t="s">
        <v>8135</v>
      </c>
      <c r="B462" s="529" t="s">
        <v>1645</v>
      </c>
      <c r="C462" s="87" t="s">
        <v>1269</v>
      </c>
      <c r="D462" s="549" t="s">
        <v>1368</v>
      </c>
      <c r="E462" s="749" t="s">
        <v>178</v>
      </c>
      <c r="F462" s="747" t="s">
        <v>1369</v>
      </c>
      <c r="G462" s="97" t="s">
        <v>102</v>
      </c>
      <c r="H462" s="817" t="s">
        <v>3336</v>
      </c>
      <c r="I462" s="834" t="s">
        <v>408</v>
      </c>
      <c r="J462" s="97" t="s">
        <v>114</v>
      </c>
      <c r="K462" s="118" t="s">
        <v>8297</v>
      </c>
      <c r="L462" s="85" t="s">
        <v>8139</v>
      </c>
      <c r="M462" s="109" t="s">
        <v>102</v>
      </c>
      <c r="N462" s="819" t="s">
        <v>4748</v>
      </c>
      <c r="O462" s="86" t="s">
        <v>4749</v>
      </c>
      <c r="P462" s="209">
        <v>28298.0</v>
      </c>
      <c r="Q462" s="315">
        <f t="shared" si="45"/>
        <v>28298</v>
      </c>
      <c r="R462" s="86">
        <f t="shared" si="46"/>
        <v>49</v>
      </c>
      <c r="S462" s="315">
        <v>2.829711696E9</v>
      </c>
      <c r="T462" s="315" t="s">
        <v>1317</v>
      </c>
      <c r="U462" s="291" t="s">
        <v>379</v>
      </c>
      <c r="V462" s="76"/>
      <c r="W462" s="76"/>
      <c r="X462" s="97"/>
      <c r="Y462" s="97"/>
      <c r="Z462" s="97"/>
      <c r="AA462" s="76"/>
      <c r="AB462" s="97"/>
      <c r="AC462" s="771">
        <v>155.0</v>
      </c>
      <c r="AD462" s="97"/>
      <c r="AE462" s="76"/>
      <c r="AF462" s="97"/>
      <c r="AG462" s="76"/>
      <c r="AH462" s="76" t="s">
        <v>8149</v>
      </c>
      <c r="AI462" s="67"/>
      <c r="AJ462" s="67"/>
      <c r="AK462" s="748"/>
      <c r="AL462" s="748"/>
      <c r="AM462" s="748"/>
      <c r="AN462" s="748"/>
      <c r="AO462" s="748"/>
      <c r="AP462" s="748"/>
      <c r="AQ462" s="67"/>
      <c r="AR462" s="203"/>
      <c r="AS462" s="203"/>
      <c r="AT462" s="203"/>
    </row>
    <row r="463">
      <c r="A463" s="76" t="s">
        <v>8135</v>
      </c>
      <c r="B463" s="529" t="s">
        <v>1645</v>
      </c>
      <c r="C463" s="87" t="s">
        <v>1517</v>
      </c>
      <c r="D463" s="549" t="s">
        <v>1368</v>
      </c>
      <c r="E463" s="755" t="s">
        <v>139</v>
      </c>
      <c r="F463" s="747" t="s">
        <v>1520</v>
      </c>
      <c r="G463" s="97" t="s">
        <v>60</v>
      </c>
      <c r="H463" s="87" t="s">
        <v>1221</v>
      </c>
      <c r="I463" s="86" t="s">
        <v>1443</v>
      </c>
      <c r="J463" s="109" t="s">
        <v>114</v>
      </c>
      <c r="K463" s="87"/>
      <c r="L463" s="85" t="s">
        <v>8139</v>
      </c>
      <c r="M463" s="87" t="s">
        <v>60</v>
      </c>
      <c r="N463" s="766" t="s">
        <v>8312</v>
      </c>
      <c r="O463" s="97" t="s">
        <v>1308</v>
      </c>
      <c r="P463" s="750">
        <v>28887.0</v>
      </c>
      <c r="Q463" s="315">
        <f t="shared" si="45"/>
        <v>28887</v>
      </c>
      <c r="R463" s="86">
        <f t="shared" si="46"/>
        <v>47</v>
      </c>
      <c r="S463" s="315">
        <v>2.888603555E9</v>
      </c>
      <c r="T463" s="315"/>
      <c r="U463" s="76" t="s">
        <v>379</v>
      </c>
      <c r="V463" s="76"/>
      <c r="W463" s="86"/>
      <c r="X463" s="97"/>
      <c r="Y463" s="97"/>
      <c r="Z463" s="97"/>
      <c r="AA463" s="97"/>
      <c r="AB463" s="97"/>
      <c r="AC463" s="771">
        <v>155.0</v>
      </c>
      <c r="AD463" s="99"/>
      <c r="AE463" s="76"/>
      <c r="AF463" s="99"/>
      <c r="AG463" s="97"/>
      <c r="AH463" s="76" t="s">
        <v>8162</v>
      </c>
      <c r="AI463" s="67"/>
      <c r="AJ463" s="67"/>
      <c r="AK463" s="748"/>
      <c r="AL463" s="748"/>
      <c r="AM463" s="748"/>
      <c r="AN463" s="748"/>
      <c r="AO463" s="748"/>
      <c r="AP463" s="748"/>
      <c r="AQ463" s="67"/>
      <c r="AR463" s="203"/>
      <c r="AS463" s="203"/>
      <c r="AT463" s="203"/>
    </row>
    <row r="464">
      <c r="A464" s="76" t="s">
        <v>8135</v>
      </c>
      <c r="B464" s="529" t="s">
        <v>1645</v>
      </c>
      <c r="C464" s="87" t="s">
        <v>1517</v>
      </c>
      <c r="D464" s="549" t="s">
        <v>1368</v>
      </c>
      <c r="E464" s="755" t="s">
        <v>321</v>
      </c>
      <c r="F464" s="747" t="s">
        <v>1552</v>
      </c>
      <c r="G464" s="97" t="s">
        <v>60</v>
      </c>
      <c r="H464" s="87" t="s">
        <v>1221</v>
      </c>
      <c r="I464" s="86" t="s">
        <v>1443</v>
      </c>
      <c r="J464" s="76" t="s">
        <v>114</v>
      </c>
      <c r="K464" s="76"/>
      <c r="L464" s="85" t="s">
        <v>8139</v>
      </c>
      <c r="M464" s="85" t="s">
        <v>326</v>
      </c>
      <c r="N464" s="766" t="s">
        <v>8323</v>
      </c>
      <c r="O464" s="76" t="s">
        <v>1714</v>
      </c>
      <c r="P464" s="153">
        <v>27788.0</v>
      </c>
      <c r="Q464" s="315">
        <f t="shared" si="45"/>
        <v>27788</v>
      </c>
      <c r="R464" s="86">
        <f t="shared" si="46"/>
        <v>50</v>
      </c>
      <c r="S464" s="315">
        <v>2.778711251E9</v>
      </c>
      <c r="T464" s="315" t="s">
        <v>1479</v>
      </c>
      <c r="U464" s="76" t="s">
        <v>379</v>
      </c>
      <c r="V464" s="76"/>
      <c r="W464" s="76"/>
      <c r="X464" s="76"/>
      <c r="Y464" s="97" t="s">
        <v>183</v>
      </c>
      <c r="Z464" s="728" t="s">
        <v>2482</v>
      </c>
      <c r="AA464" s="76" t="s">
        <v>1178</v>
      </c>
      <c r="AB464" s="97"/>
      <c r="AC464" s="771">
        <v>155.0</v>
      </c>
      <c r="AD464" s="99"/>
      <c r="AE464" s="76"/>
      <c r="AF464" s="291" t="s">
        <v>8329</v>
      </c>
      <c r="AG464" s="76"/>
      <c r="AH464" s="76" t="s">
        <v>8149</v>
      </c>
      <c r="AI464" s="67"/>
      <c r="AJ464" s="67"/>
      <c r="AK464" s="748"/>
      <c r="AL464" s="748"/>
      <c r="AM464" s="748"/>
      <c r="AN464" s="748"/>
      <c r="AO464" s="748"/>
      <c r="AP464" s="748"/>
      <c r="AQ464" s="67"/>
      <c r="AR464" s="203"/>
      <c r="AS464" s="203"/>
      <c r="AT464" s="203"/>
    </row>
    <row r="465">
      <c r="A465" s="76" t="s">
        <v>8135</v>
      </c>
      <c r="B465" s="529" t="s">
        <v>1645</v>
      </c>
      <c r="C465" s="87" t="s">
        <v>1728</v>
      </c>
      <c r="D465" s="549" t="s">
        <v>121</v>
      </c>
      <c r="E465" s="749" t="s">
        <v>178</v>
      </c>
      <c r="F465" s="747" t="s">
        <v>3247</v>
      </c>
      <c r="G465" s="97" t="s">
        <v>102</v>
      </c>
      <c r="H465" s="817" t="s">
        <v>3336</v>
      </c>
      <c r="I465" s="86"/>
      <c r="J465" s="76" t="s">
        <v>114</v>
      </c>
      <c r="K465" s="176" t="s">
        <v>8335</v>
      </c>
      <c r="L465" s="85" t="s">
        <v>8139</v>
      </c>
      <c r="M465" s="85" t="s">
        <v>360</v>
      </c>
      <c r="N465" s="766" t="s">
        <v>8339</v>
      </c>
      <c r="O465" s="76" t="s">
        <v>8340</v>
      </c>
      <c r="P465" s="712">
        <v>30691.0</v>
      </c>
      <c r="Q465" s="315">
        <f t="shared" si="45"/>
        <v>30691</v>
      </c>
      <c r="R465" s="86">
        <f t="shared" si="46"/>
        <v>42</v>
      </c>
      <c r="S465" s="315">
        <v>3.069000414E9</v>
      </c>
      <c r="T465" s="315" t="s">
        <v>378</v>
      </c>
      <c r="U465" s="76" t="s">
        <v>379</v>
      </c>
      <c r="V465" s="76"/>
      <c r="W465" s="76"/>
      <c r="X465" s="76"/>
      <c r="Y465" s="97" t="s">
        <v>1174</v>
      </c>
      <c r="Z465" s="289" t="s">
        <v>1725</v>
      </c>
      <c r="AA465" s="97"/>
      <c r="AB465" s="97"/>
      <c r="AC465" s="771">
        <v>155.0</v>
      </c>
      <c r="AD465" s="99"/>
      <c r="AE465" s="76"/>
      <c r="AF465" s="189"/>
      <c r="AG465" s="189"/>
      <c r="AH465" s="76" t="s">
        <v>8149</v>
      </c>
      <c r="AI465" s="67"/>
      <c r="AJ465" s="67"/>
      <c r="AK465" s="748"/>
      <c r="AL465" s="748"/>
      <c r="AM465" s="748"/>
      <c r="AN465" s="748"/>
      <c r="AO465" s="748"/>
      <c r="AP465" s="748"/>
      <c r="AQ465" s="67"/>
      <c r="AR465" s="203"/>
      <c r="AS465" s="203"/>
      <c r="AT465" s="203"/>
    </row>
    <row r="466">
      <c r="A466" s="76" t="s">
        <v>8135</v>
      </c>
      <c r="B466" s="529" t="s">
        <v>1709</v>
      </c>
      <c r="C466" s="86" t="s">
        <v>1269</v>
      </c>
      <c r="D466" s="86" t="s">
        <v>1519</v>
      </c>
      <c r="E466" s="755" t="s">
        <v>302</v>
      </c>
      <c r="F466" s="747" t="s">
        <v>1404</v>
      </c>
      <c r="G466" s="97" t="s">
        <v>326</v>
      </c>
      <c r="H466" s="87" t="s">
        <v>1221</v>
      </c>
      <c r="I466" s="86" t="s">
        <v>1443</v>
      </c>
      <c r="J466" s="109" t="s">
        <v>114</v>
      </c>
      <c r="K466" s="176" t="s">
        <v>8353</v>
      </c>
      <c r="L466" s="85" t="s">
        <v>8139</v>
      </c>
      <c r="M466" s="87" t="s">
        <v>60</v>
      </c>
      <c r="N466" s="766" t="s">
        <v>8355</v>
      </c>
      <c r="O466" s="87" t="s">
        <v>8356</v>
      </c>
      <c r="P466" s="740">
        <v>29285.0</v>
      </c>
      <c r="Q466" s="315">
        <f t="shared" si="45"/>
        <v>29285</v>
      </c>
      <c r="R466" s="86">
        <f t="shared" si="46"/>
        <v>46</v>
      </c>
      <c r="S466" s="315">
        <v>2.928415652E9</v>
      </c>
      <c r="T466" s="315" t="s">
        <v>1317</v>
      </c>
      <c r="U466" s="76" t="s">
        <v>379</v>
      </c>
      <c r="V466" s="76"/>
      <c r="W466" s="97"/>
      <c r="X466" s="97"/>
      <c r="Y466" s="97"/>
      <c r="Z466" s="97"/>
      <c r="AA466" s="97"/>
      <c r="AB466" s="76" t="s">
        <v>192</v>
      </c>
      <c r="AC466" s="771">
        <v>155.0</v>
      </c>
      <c r="AD466" s="99"/>
      <c r="AE466" s="97"/>
      <c r="AF466" s="97"/>
      <c r="AG466" s="189"/>
      <c r="AH466" s="76" t="s">
        <v>8149</v>
      </c>
      <c r="AI466" s="67"/>
      <c r="AJ466" s="67"/>
      <c r="AK466" s="748"/>
      <c r="AL466" s="748"/>
      <c r="AM466" s="748"/>
      <c r="AN466" s="748"/>
      <c r="AO466" s="748"/>
      <c r="AP466" s="748"/>
      <c r="AQ466" s="67"/>
      <c r="AR466" s="203"/>
      <c r="AS466" s="203"/>
      <c r="AT466" s="203"/>
    </row>
    <row r="467">
      <c r="A467" s="76" t="s">
        <v>8135</v>
      </c>
      <c r="B467" s="529" t="s">
        <v>1709</v>
      </c>
      <c r="C467" s="87" t="s">
        <v>1517</v>
      </c>
      <c r="D467" s="87" t="s">
        <v>121</v>
      </c>
      <c r="E467" s="749" t="s">
        <v>119</v>
      </c>
      <c r="F467" s="747" t="s">
        <v>1295</v>
      </c>
      <c r="G467" s="97" t="s">
        <v>504</v>
      </c>
      <c r="H467" s="817" t="s">
        <v>3336</v>
      </c>
      <c r="I467" s="97" t="s">
        <v>1443</v>
      </c>
      <c r="J467" s="97" t="s">
        <v>114</v>
      </c>
      <c r="K467" s="176" t="s">
        <v>8366</v>
      </c>
      <c r="L467" s="85" t="s">
        <v>8139</v>
      </c>
      <c r="M467" s="109" t="s">
        <v>60</v>
      </c>
      <c r="N467" s="766" t="s">
        <v>8367</v>
      </c>
      <c r="O467" s="76" t="s">
        <v>8368</v>
      </c>
      <c r="P467" s="712">
        <v>34421.0</v>
      </c>
      <c r="Q467" s="315">
        <f t="shared" si="45"/>
        <v>34421</v>
      </c>
      <c r="R467" s="86">
        <f t="shared" si="46"/>
        <v>32</v>
      </c>
      <c r="S467" s="315">
        <v>3.442002655E9</v>
      </c>
      <c r="T467" s="315" t="s">
        <v>1317</v>
      </c>
      <c r="U467" s="76" t="s">
        <v>379</v>
      </c>
      <c r="V467" s="76"/>
      <c r="W467" s="184"/>
      <c r="X467" s="97"/>
      <c r="Y467" s="97" t="s">
        <v>1174</v>
      </c>
      <c r="Z467" s="289" t="s">
        <v>1725</v>
      </c>
      <c r="AA467" s="184"/>
      <c r="AB467" s="184"/>
      <c r="AC467" s="771">
        <v>155.0</v>
      </c>
      <c r="AD467" s="185"/>
      <c r="AE467" s="97"/>
      <c r="AF467" s="754"/>
      <c r="AG467" s="184"/>
      <c r="AH467" s="76" t="s">
        <v>8162</v>
      </c>
      <c r="AI467" s="67"/>
      <c r="AJ467" s="67"/>
      <c r="AK467" s="748"/>
      <c r="AL467" s="748"/>
      <c r="AM467" s="748"/>
      <c r="AN467" s="748"/>
      <c r="AO467" s="748"/>
      <c r="AP467" s="748"/>
      <c r="AQ467" s="67"/>
      <c r="AR467" s="203"/>
      <c r="AS467" s="203"/>
      <c r="AT467" s="203"/>
    </row>
    <row r="468">
      <c r="A468" s="76" t="s">
        <v>8135</v>
      </c>
      <c r="B468" s="529" t="s">
        <v>1709</v>
      </c>
      <c r="C468" s="87" t="s">
        <v>1517</v>
      </c>
      <c r="D468" s="87" t="s">
        <v>1368</v>
      </c>
      <c r="E468" s="755" t="s">
        <v>302</v>
      </c>
      <c r="F468" s="747" t="s">
        <v>1404</v>
      </c>
      <c r="G468" s="97" t="s">
        <v>326</v>
      </c>
      <c r="H468" s="87" t="s">
        <v>1221</v>
      </c>
      <c r="I468" s="86" t="s">
        <v>1443</v>
      </c>
      <c r="J468" s="87" t="s">
        <v>114</v>
      </c>
      <c r="K468" s="85" t="s">
        <v>8382</v>
      </c>
      <c r="L468" s="85" t="s">
        <v>8139</v>
      </c>
      <c r="M468" s="87" t="s">
        <v>60</v>
      </c>
      <c r="N468" s="819" t="s">
        <v>6552</v>
      </c>
      <c r="O468" s="87" t="s">
        <v>792</v>
      </c>
      <c r="P468" s="712">
        <v>30376.0</v>
      </c>
      <c r="Q468" s="315">
        <f t="shared" si="45"/>
        <v>30376</v>
      </c>
      <c r="R468" s="86">
        <f t="shared" si="46"/>
        <v>43</v>
      </c>
      <c r="S468" s="315">
        <v>3.037524074E9</v>
      </c>
      <c r="T468" s="315"/>
      <c r="U468" s="291" t="s">
        <v>379</v>
      </c>
      <c r="V468" s="76"/>
      <c r="W468" s="76"/>
      <c r="X468" s="97"/>
      <c r="Y468" s="86"/>
      <c r="Z468" s="86"/>
      <c r="AA468" s="86"/>
      <c r="AB468" s="97"/>
      <c r="AC468" s="771">
        <v>155.0</v>
      </c>
      <c r="AD468" s="99"/>
      <c r="AE468" s="76"/>
      <c r="AF468" s="97"/>
      <c r="AG468" s="97"/>
      <c r="AH468" s="76" t="s">
        <v>8149</v>
      </c>
      <c r="AI468" s="67"/>
      <c r="AJ468" s="67"/>
      <c r="AK468" s="748"/>
      <c r="AL468" s="748"/>
      <c r="AM468" s="748"/>
      <c r="AN468" s="748"/>
      <c r="AO468" s="748"/>
      <c r="AP468" s="748"/>
      <c r="AQ468" s="67"/>
      <c r="AR468" s="203"/>
      <c r="AS468" s="203"/>
      <c r="AT468" s="203"/>
    </row>
    <row r="469">
      <c r="A469" s="76" t="s">
        <v>8135</v>
      </c>
      <c r="B469" s="529" t="s">
        <v>1709</v>
      </c>
      <c r="C469" s="87" t="s">
        <v>1517</v>
      </c>
      <c r="D469" s="87" t="s">
        <v>1494</v>
      </c>
      <c r="E469" s="749" t="s">
        <v>178</v>
      </c>
      <c r="F469" s="747" t="s">
        <v>1369</v>
      </c>
      <c r="G469" s="97" t="s">
        <v>102</v>
      </c>
      <c r="H469" s="817" t="s">
        <v>3336</v>
      </c>
      <c r="I469" s="817" t="s">
        <v>3336</v>
      </c>
      <c r="J469" s="109" t="s">
        <v>114</v>
      </c>
      <c r="K469" s="85" t="s">
        <v>8391</v>
      </c>
      <c r="L469" s="85" t="s">
        <v>8139</v>
      </c>
      <c r="M469" s="87" t="s">
        <v>360</v>
      </c>
      <c r="N469" s="819" t="s">
        <v>3517</v>
      </c>
      <c r="O469" s="76" t="s">
        <v>3518</v>
      </c>
      <c r="P469" s="750">
        <v>28597.0</v>
      </c>
      <c r="Q469" s="315">
        <f t="shared" si="45"/>
        <v>28597</v>
      </c>
      <c r="R469" s="86">
        <f t="shared" si="46"/>
        <v>48</v>
      </c>
      <c r="S469" s="315">
        <v>2.85960949E9</v>
      </c>
      <c r="T469" s="315" t="s">
        <v>1479</v>
      </c>
      <c r="U469" s="76" t="s">
        <v>379</v>
      </c>
      <c r="V469" s="76"/>
      <c r="W469" s="76"/>
      <c r="X469" s="97"/>
      <c r="Y469" s="97"/>
      <c r="Z469" s="97"/>
      <c r="AA469" s="97"/>
      <c r="AB469" s="97"/>
      <c r="AC469" s="771">
        <v>155.0</v>
      </c>
      <c r="AD469" s="99"/>
      <c r="AE469" s="97"/>
      <c r="AF469" s="76"/>
      <c r="AG469" s="97"/>
      <c r="AH469" s="76" t="s">
        <v>8149</v>
      </c>
      <c r="AI469" s="67"/>
      <c r="AJ469" s="67"/>
      <c r="AK469" s="748"/>
      <c r="AL469" s="748"/>
      <c r="AM469" s="748"/>
      <c r="AN469" s="748"/>
      <c r="AO469" s="748"/>
      <c r="AP469" s="748"/>
      <c r="AQ469" s="67"/>
      <c r="AR469" s="203"/>
      <c r="AS469" s="203"/>
      <c r="AT469" s="203"/>
    </row>
    <row r="470">
      <c r="A470" s="76" t="s">
        <v>8135</v>
      </c>
      <c r="B470" s="529" t="s">
        <v>1709</v>
      </c>
      <c r="C470" s="86" t="s">
        <v>1517</v>
      </c>
      <c r="D470" s="86" t="s">
        <v>1494</v>
      </c>
      <c r="E470" s="749" t="s">
        <v>58</v>
      </c>
      <c r="F470" s="747" t="s">
        <v>1496</v>
      </c>
      <c r="G470" s="753" t="s">
        <v>60</v>
      </c>
      <c r="H470" s="87" t="s">
        <v>1221</v>
      </c>
      <c r="I470" s="86" t="s">
        <v>1443</v>
      </c>
      <c r="J470" s="85" t="s">
        <v>114</v>
      </c>
      <c r="K470" s="85"/>
      <c r="L470" s="85" t="s">
        <v>8139</v>
      </c>
      <c r="M470" s="85" t="s">
        <v>60</v>
      </c>
      <c r="N470" s="771" t="s">
        <v>8403</v>
      </c>
      <c r="O470" s="85" t="s">
        <v>7349</v>
      </c>
      <c r="P470" s="712">
        <v>36222.0</v>
      </c>
      <c r="Q470" s="315">
        <f t="shared" si="45"/>
        <v>36222</v>
      </c>
      <c r="R470" s="97">
        <f t="shared" si="46"/>
        <v>27</v>
      </c>
      <c r="S470" s="76">
        <v>3.622101176E9</v>
      </c>
      <c r="T470" s="315"/>
      <c r="U470" s="124" t="s">
        <v>379</v>
      </c>
      <c r="V470" s="76"/>
      <c r="W470" s="76"/>
      <c r="X470" s="76"/>
      <c r="Y470" s="97"/>
      <c r="Z470" s="289" t="s">
        <v>1725</v>
      </c>
      <c r="AA470" s="76" t="s">
        <v>1178</v>
      </c>
      <c r="AB470" s="97"/>
      <c r="AC470" s="771">
        <v>155.0</v>
      </c>
      <c r="AD470" s="99"/>
      <c r="AE470" s="76"/>
      <c r="AF470" s="99"/>
      <c r="AG470" s="76"/>
      <c r="AH470" s="76" t="s">
        <v>8186</v>
      </c>
      <c r="AI470" s="67"/>
      <c r="AJ470" s="67"/>
      <c r="AK470" s="748"/>
      <c r="AL470" s="748"/>
      <c r="AM470" s="748"/>
      <c r="AN470" s="748"/>
      <c r="AO470" s="748"/>
      <c r="AP470" s="748"/>
      <c r="AQ470" s="67"/>
      <c r="AR470" s="203"/>
      <c r="AS470" s="203"/>
      <c r="AT470" s="203"/>
    </row>
    <row r="471">
      <c r="A471" s="76" t="s">
        <v>8135</v>
      </c>
      <c r="B471" s="529" t="s">
        <v>1709</v>
      </c>
      <c r="C471" s="87" t="s">
        <v>1611</v>
      </c>
      <c r="D471" s="87" t="s">
        <v>1368</v>
      </c>
      <c r="E471" s="755" t="s">
        <v>139</v>
      </c>
      <c r="F471" s="747" t="s">
        <v>1520</v>
      </c>
      <c r="G471" s="97" t="s">
        <v>60</v>
      </c>
      <c r="H471" s="87" t="s">
        <v>1221</v>
      </c>
      <c r="I471" s="86" t="s">
        <v>1443</v>
      </c>
      <c r="J471" s="85" t="s">
        <v>114</v>
      </c>
      <c r="K471" s="85" t="s">
        <v>8413</v>
      </c>
      <c r="L471" s="85" t="s">
        <v>8139</v>
      </c>
      <c r="M471" s="85" t="s">
        <v>60</v>
      </c>
      <c r="N471" s="771" t="s">
        <v>8414</v>
      </c>
      <c r="O471" s="76" t="s">
        <v>8415</v>
      </c>
      <c r="P471" s="153">
        <v>34433.0</v>
      </c>
      <c r="Q471" s="315">
        <f t="shared" si="45"/>
        <v>34433</v>
      </c>
      <c r="R471" s="97">
        <f t="shared" si="46"/>
        <v>32</v>
      </c>
      <c r="S471" s="76">
        <v>3.443212914E9</v>
      </c>
      <c r="T471" s="315"/>
      <c r="U471" s="76" t="s">
        <v>379</v>
      </c>
      <c r="V471" s="76"/>
      <c r="W471" s="76"/>
      <c r="X471" s="76"/>
      <c r="Y471" s="97" t="s">
        <v>1174</v>
      </c>
      <c r="Z471" s="278" t="s">
        <v>2090</v>
      </c>
      <c r="AA471" s="76"/>
      <c r="AB471" s="76"/>
      <c r="AC471" s="771">
        <v>155.0</v>
      </c>
      <c r="AD471" s="99"/>
      <c r="AE471" s="76"/>
      <c r="AF471" s="291" t="s">
        <v>8420</v>
      </c>
      <c r="AG471" s="76"/>
      <c r="AH471" s="76" t="s">
        <v>8149</v>
      </c>
      <c r="AI471" s="67"/>
      <c r="AJ471" s="67"/>
      <c r="AK471" s="748"/>
      <c r="AL471" s="748"/>
      <c r="AM471" s="748"/>
      <c r="AN471" s="748"/>
      <c r="AO471" s="748"/>
      <c r="AP471" s="748"/>
      <c r="AQ471" s="67"/>
      <c r="AR471" s="203"/>
      <c r="AS471" s="203"/>
      <c r="AT471" s="203"/>
    </row>
    <row r="472">
      <c r="A472" s="76" t="s">
        <v>8135</v>
      </c>
      <c r="B472" s="529" t="s">
        <v>1709</v>
      </c>
      <c r="C472" s="86" t="s">
        <v>1728</v>
      </c>
      <c r="D472" s="86" t="s">
        <v>121</v>
      </c>
      <c r="E472" s="746" t="s">
        <v>1345</v>
      </c>
      <c r="F472" s="747" t="s">
        <v>3239</v>
      </c>
      <c r="G472" s="97" t="s">
        <v>504</v>
      </c>
      <c r="H472" s="817" t="s">
        <v>3336</v>
      </c>
      <c r="I472" s="86" t="s">
        <v>1443</v>
      </c>
      <c r="J472" s="97" t="s">
        <v>114</v>
      </c>
      <c r="K472" s="176" t="s">
        <v>8426</v>
      </c>
      <c r="L472" s="85" t="s">
        <v>8139</v>
      </c>
      <c r="M472" s="109" t="s">
        <v>60</v>
      </c>
      <c r="N472" s="766" t="s">
        <v>8427</v>
      </c>
      <c r="O472" s="86" t="s">
        <v>1825</v>
      </c>
      <c r="P472" s="712">
        <v>31886.0</v>
      </c>
      <c r="Q472" s="315">
        <f t="shared" si="45"/>
        <v>31886</v>
      </c>
      <c r="R472" s="86">
        <f t="shared" si="46"/>
        <v>39</v>
      </c>
      <c r="S472" s="315">
        <v>3.188515774E9</v>
      </c>
      <c r="T472" s="315" t="s">
        <v>1479</v>
      </c>
      <c r="U472" s="76" t="s">
        <v>379</v>
      </c>
      <c r="V472" s="86"/>
      <c r="W472" s="86"/>
      <c r="X472" s="76"/>
      <c r="Y472" s="97"/>
      <c r="Z472" s="97"/>
      <c r="AA472" s="97"/>
      <c r="AB472" s="97"/>
      <c r="AC472" s="771">
        <v>155.0</v>
      </c>
      <c r="AD472" s="76"/>
      <c r="AE472" s="76"/>
      <c r="AF472" s="315"/>
      <c r="AG472" s="189"/>
      <c r="AH472" s="76" t="s">
        <v>8149</v>
      </c>
      <c r="AI472" s="67"/>
      <c r="AJ472" s="67"/>
      <c r="AK472" s="748"/>
      <c r="AL472" s="748"/>
      <c r="AM472" s="748"/>
      <c r="AN472" s="748"/>
      <c r="AO472" s="748"/>
      <c r="AP472" s="748"/>
      <c r="AQ472" s="67"/>
      <c r="AR472" s="203"/>
      <c r="AS472" s="203"/>
      <c r="AT472" s="203"/>
    </row>
    <row r="473">
      <c r="A473" s="76" t="s">
        <v>8135</v>
      </c>
      <c r="B473" s="529" t="s">
        <v>1433</v>
      </c>
      <c r="C473" s="86" t="s">
        <v>1434</v>
      </c>
      <c r="D473" s="86" t="s">
        <v>121</v>
      </c>
      <c r="E473" s="746" t="s">
        <v>331</v>
      </c>
      <c r="F473" s="747" t="s">
        <v>7124</v>
      </c>
      <c r="G473" s="753" t="s">
        <v>60</v>
      </c>
      <c r="H473" s="87" t="s">
        <v>1221</v>
      </c>
      <c r="I473" s="86" t="s">
        <v>1443</v>
      </c>
      <c r="J473" s="76" t="s">
        <v>114</v>
      </c>
      <c r="K473" s="85" t="s">
        <v>8436</v>
      </c>
      <c r="L473" s="85" t="s">
        <v>8139</v>
      </c>
      <c r="M473" s="85" t="s">
        <v>60</v>
      </c>
      <c r="N473" s="771" t="s">
        <v>8438</v>
      </c>
      <c r="O473" s="76" t="s">
        <v>8439</v>
      </c>
      <c r="P473" s="153">
        <v>30439.0</v>
      </c>
      <c r="Q473" s="315">
        <f t="shared" si="45"/>
        <v>30439</v>
      </c>
      <c r="R473" s="86">
        <f t="shared" si="46"/>
        <v>43</v>
      </c>
      <c r="S473" s="76">
        <v>3.04382421E9</v>
      </c>
      <c r="T473" s="315"/>
      <c r="U473" s="76" t="s">
        <v>379</v>
      </c>
      <c r="V473" s="76"/>
      <c r="W473" s="76"/>
      <c r="X473" s="76"/>
      <c r="Y473" s="97" t="s">
        <v>1174</v>
      </c>
      <c r="Z473" s="278" t="s">
        <v>2090</v>
      </c>
      <c r="AA473" s="76"/>
      <c r="AB473" s="97"/>
      <c r="AC473" s="771">
        <v>155.0</v>
      </c>
      <c r="AD473" s="99"/>
      <c r="AE473" s="76"/>
      <c r="AF473" s="76"/>
      <c r="AG473" s="76"/>
      <c r="AH473" s="76" t="s">
        <v>8149</v>
      </c>
      <c r="AI473" s="67"/>
      <c r="AJ473" s="67"/>
      <c r="AK473" s="748"/>
      <c r="AL473" s="748"/>
      <c r="AM473" s="748"/>
      <c r="AN473" s="748"/>
      <c r="AO473" s="748"/>
      <c r="AP473" s="748"/>
      <c r="AQ473" s="67"/>
      <c r="AR473" s="203"/>
      <c r="AS473" s="203"/>
      <c r="AT473" s="203"/>
    </row>
    <row r="474">
      <c r="A474" s="76" t="s">
        <v>8135</v>
      </c>
      <c r="B474" s="529" t="s">
        <v>1433</v>
      </c>
      <c r="C474" s="86" t="s">
        <v>1434</v>
      </c>
      <c r="D474" s="86" t="s">
        <v>121</v>
      </c>
      <c r="E474" s="746" t="s">
        <v>331</v>
      </c>
      <c r="F474" s="747" t="s">
        <v>7124</v>
      </c>
      <c r="G474" s="97" t="s">
        <v>60</v>
      </c>
      <c r="H474" s="87" t="s">
        <v>1221</v>
      </c>
      <c r="I474" s="87" t="s">
        <v>1221</v>
      </c>
      <c r="J474" s="85" t="s">
        <v>114</v>
      </c>
      <c r="K474" s="124" t="s">
        <v>8443</v>
      </c>
      <c r="L474" s="85" t="s">
        <v>8139</v>
      </c>
      <c r="M474" s="76" t="s">
        <v>60</v>
      </c>
      <c r="N474" s="771" t="s">
        <v>8447</v>
      </c>
      <c r="O474" s="76" t="s">
        <v>8448</v>
      </c>
      <c r="P474" s="712">
        <v>28133.0</v>
      </c>
      <c r="Q474" s="315">
        <f t="shared" si="45"/>
        <v>28133</v>
      </c>
      <c r="R474" s="86">
        <f t="shared" si="46"/>
        <v>49</v>
      </c>
      <c r="S474" s="76">
        <v>2.81320587E9</v>
      </c>
      <c r="T474" s="315" t="s">
        <v>1479</v>
      </c>
      <c r="U474" s="76" t="s">
        <v>379</v>
      </c>
      <c r="V474" s="76"/>
      <c r="W474" s="76"/>
      <c r="X474" s="97"/>
      <c r="Y474" s="97"/>
      <c r="Z474" s="728" t="s">
        <v>2482</v>
      </c>
      <c r="AA474" s="97"/>
      <c r="AB474" s="97"/>
      <c r="AC474" s="771">
        <v>155.0</v>
      </c>
      <c r="AD474" s="99"/>
      <c r="AE474" s="76"/>
      <c r="AF474" s="76"/>
      <c r="AG474" s="76"/>
      <c r="AH474" s="76" t="s">
        <v>8186</v>
      </c>
      <c r="AI474" s="67"/>
      <c r="AJ474" s="67"/>
      <c r="AK474" s="748"/>
      <c r="AL474" s="748"/>
      <c r="AM474" s="748"/>
      <c r="AN474" s="748"/>
      <c r="AO474" s="748"/>
      <c r="AP474" s="748"/>
      <c r="AQ474" s="67"/>
      <c r="AR474" s="203"/>
      <c r="AS474" s="203"/>
      <c r="AT474" s="203"/>
    </row>
    <row r="475">
      <c r="A475" s="76" t="s">
        <v>8135</v>
      </c>
      <c r="B475" s="529" t="s">
        <v>1433</v>
      </c>
      <c r="C475" s="86" t="s">
        <v>7122</v>
      </c>
      <c r="D475" s="86" t="s">
        <v>121</v>
      </c>
      <c r="E475" s="752" t="s">
        <v>178</v>
      </c>
      <c r="F475" s="747" t="s">
        <v>8284</v>
      </c>
      <c r="G475" s="97" t="s">
        <v>102</v>
      </c>
      <c r="H475" s="817" t="s">
        <v>3336</v>
      </c>
      <c r="I475" s="146" t="s">
        <v>408</v>
      </c>
      <c r="J475" s="109" t="s">
        <v>114</v>
      </c>
      <c r="K475" s="118" t="s">
        <v>8455</v>
      </c>
      <c r="L475" s="85" t="s">
        <v>8139</v>
      </c>
      <c r="M475" s="109" t="s">
        <v>60</v>
      </c>
      <c r="N475" s="766" t="s">
        <v>2245</v>
      </c>
      <c r="O475" s="109" t="s">
        <v>2246</v>
      </c>
      <c r="P475" s="850">
        <v>32889.0</v>
      </c>
      <c r="Q475" s="315">
        <f t="shared" si="45"/>
        <v>32889</v>
      </c>
      <c r="R475" s="86">
        <f t="shared" si="46"/>
        <v>36</v>
      </c>
      <c r="S475" s="315">
        <v>3.288810131E9</v>
      </c>
      <c r="T475" s="315" t="s">
        <v>1317</v>
      </c>
      <c r="U475" s="124" t="s">
        <v>379</v>
      </c>
      <c r="V475" s="76"/>
      <c r="W475" s="97"/>
      <c r="X475" s="97"/>
      <c r="Y475" s="97"/>
      <c r="Z475" s="97"/>
      <c r="AA475" s="97"/>
      <c r="AB475" s="97"/>
      <c r="AC475" s="771">
        <v>155.0</v>
      </c>
      <c r="AD475" s="97"/>
      <c r="AE475" s="76"/>
      <c r="AF475" s="209"/>
      <c r="AG475" s="76"/>
      <c r="AH475" s="76" t="s">
        <v>8186</v>
      </c>
      <c r="AI475" s="67"/>
      <c r="AJ475" s="67"/>
      <c r="AK475" s="748"/>
      <c r="AL475" s="748"/>
      <c r="AM475" s="748"/>
      <c r="AN475" s="748"/>
      <c r="AO475" s="748"/>
      <c r="AP475" s="748"/>
      <c r="AQ475" s="67"/>
      <c r="AR475" s="203"/>
      <c r="AS475" s="203"/>
      <c r="AT475" s="203"/>
    </row>
    <row r="476">
      <c r="A476" s="76" t="s">
        <v>8135</v>
      </c>
      <c r="B476" s="529" t="s">
        <v>3014</v>
      </c>
      <c r="C476" s="86" t="s">
        <v>121</v>
      </c>
      <c r="D476" s="86" t="s">
        <v>121</v>
      </c>
      <c r="E476" s="86" t="s">
        <v>1769</v>
      </c>
      <c r="F476" s="747" t="s">
        <v>3016</v>
      </c>
      <c r="G476" s="97" t="s">
        <v>60</v>
      </c>
      <c r="H476" s="87" t="s">
        <v>1221</v>
      </c>
      <c r="I476" s="86" t="s">
        <v>1443</v>
      </c>
      <c r="J476" s="109" t="s">
        <v>114</v>
      </c>
      <c r="K476" s="851" t="s">
        <v>8465</v>
      </c>
      <c r="L476" s="85" t="s">
        <v>8139</v>
      </c>
      <c r="M476" s="87" t="s">
        <v>60</v>
      </c>
      <c r="N476" s="819" t="s">
        <v>3641</v>
      </c>
      <c r="O476" s="86" t="s">
        <v>3190</v>
      </c>
      <c r="P476" s="750">
        <v>29127.0</v>
      </c>
      <c r="Q476" s="852">
        <f t="shared" si="45"/>
        <v>29127</v>
      </c>
      <c r="R476" s="86">
        <f t="shared" si="46"/>
        <v>46</v>
      </c>
      <c r="S476" s="315">
        <v>2.912614491E9</v>
      </c>
      <c r="T476" s="315" t="s">
        <v>378</v>
      </c>
      <c r="U476" s="124" t="s">
        <v>379</v>
      </c>
      <c r="V476" s="97"/>
      <c r="W476" s="853"/>
      <c r="X476" s="854"/>
      <c r="Y476" s="854"/>
      <c r="Z476" s="854"/>
      <c r="AA476" s="854"/>
      <c r="AB476" s="854"/>
      <c r="AC476" s="771">
        <v>155.0</v>
      </c>
      <c r="AD476" s="854"/>
      <c r="AE476" s="97"/>
      <c r="AF476" s="855"/>
      <c r="AG476" s="854"/>
      <c r="AH476" s="76" t="s">
        <v>8186</v>
      </c>
      <c r="AI476" s="67"/>
      <c r="AJ476" s="67"/>
      <c r="AK476" s="748"/>
      <c r="AL476" s="748"/>
      <c r="AM476" s="748"/>
      <c r="AN476" s="748"/>
      <c r="AO476" s="748"/>
      <c r="AP476" s="748"/>
      <c r="AQ476" s="67"/>
      <c r="AR476" s="203"/>
      <c r="AS476" s="203"/>
      <c r="AT476" s="203"/>
    </row>
    <row r="477">
      <c r="A477" s="76" t="s">
        <v>8135</v>
      </c>
      <c r="B477" s="529" t="s">
        <v>3014</v>
      </c>
      <c r="C477" s="86" t="s">
        <v>121</v>
      </c>
      <c r="D477" s="86" t="s">
        <v>121</v>
      </c>
      <c r="E477" s="86" t="s">
        <v>331</v>
      </c>
      <c r="F477" s="747" t="s">
        <v>8487</v>
      </c>
      <c r="G477" s="97" t="s">
        <v>102</v>
      </c>
      <c r="H477" s="87" t="s">
        <v>1221</v>
      </c>
      <c r="I477" s="86" t="s">
        <v>1443</v>
      </c>
      <c r="J477" s="109" t="s">
        <v>114</v>
      </c>
      <c r="K477" s="851" t="s">
        <v>8492</v>
      </c>
      <c r="L477" s="85" t="s">
        <v>8139</v>
      </c>
      <c r="M477" s="87" t="s">
        <v>60</v>
      </c>
      <c r="N477" s="819" t="s">
        <v>2672</v>
      </c>
      <c r="O477" s="87" t="s">
        <v>2673</v>
      </c>
      <c r="P477" s="856">
        <v>31706.0</v>
      </c>
      <c r="Q477" s="852">
        <f t="shared" si="45"/>
        <v>31706</v>
      </c>
      <c r="R477" s="86">
        <f t="shared" si="46"/>
        <v>39</v>
      </c>
      <c r="S477" s="315">
        <v>3.170523933E9</v>
      </c>
      <c r="T477" s="315" t="s">
        <v>378</v>
      </c>
      <c r="U477" s="124" t="s">
        <v>379</v>
      </c>
      <c r="V477" s="86"/>
      <c r="W477" s="853"/>
      <c r="X477" s="854"/>
      <c r="Y477" s="854"/>
      <c r="Z477" s="854"/>
      <c r="AA477" s="854"/>
      <c r="AB477" s="854"/>
      <c r="AC477" s="771">
        <v>155.0</v>
      </c>
      <c r="AD477" s="97"/>
      <c r="AE477" s="97"/>
      <c r="AF477" s="857"/>
      <c r="AG477" s="112"/>
      <c r="AH477" s="76" t="s">
        <v>8186</v>
      </c>
      <c r="AI477" s="67"/>
      <c r="AJ477" s="67"/>
      <c r="AK477" s="748"/>
      <c r="AL477" s="748"/>
      <c r="AM477" s="748"/>
      <c r="AN477" s="748"/>
      <c r="AO477" s="748"/>
      <c r="AP477" s="748"/>
      <c r="AQ477" s="67"/>
      <c r="AR477" s="203"/>
      <c r="AS477" s="203"/>
      <c r="AT477" s="203"/>
    </row>
    <row r="478">
      <c r="A478" s="76" t="s">
        <v>8135</v>
      </c>
      <c r="B478" s="529" t="s">
        <v>1728</v>
      </c>
      <c r="C478" s="86" t="s">
        <v>3031</v>
      </c>
      <c r="D478" s="86" t="s">
        <v>121</v>
      </c>
      <c r="E478" s="752" t="s">
        <v>213</v>
      </c>
      <c r="F478" s="747" t="s">
        <v>1523</v>
      </c>
      <c r="G478" s="97" t="s">
        <v>60</v>
      </c>
      <c r="H478" s="87" t="s">
        <v>1221</v>
      </c>
      <c r="I478" s="86" t="s">
        <v>1443</v>
      </c>
      <c r="J478" s="76" t="s">
        <v>114</v>
      </c>
      <c r="K478" s="176" t="s">
        <v>8505</v>
      </c>
      <c r="L478" s="85" t="s">
        <v>8139</v>
      </c>
      <c r="M478" s="87" t="s">
        <v>60</v>
      </c>
      <c r="N478" s="819" t="s">
        <v>8511</v>
      </c>
      <c r="O478" s="87" t="s">
        <v>8513</v>
      </c>
      <c r="P478" s="750">
        <v>29925.0</v>
      </c>
      <c r="Q478" s="315">
        <f t="shared" si="45"/>
        <v>29925</v>
      </c>
      <c r="R478" s="86">
        <f t="shared" si="46"/>
        <v>44</v>
      </c>
      <c r="S478" s="315">
        <v>2.992410418E9</v>
      </c>
      <c r="T478" s="315" t="s">
        <v>1317</v>
      </c>
      <c r="U478" s="76" t="s">
        <v>379</v>
      </c>
      <c r="V478" s="76"/>
      <c r="W478" s="76"/>
      <c r="X478" s="97"/>
      <c r="Y478" s="76" t="s">
        <v>1174</v>
      </c>
      <c r="Z478" s="85"/>
      <c r="AA478" s="76"/>
      <c r="AB478" s="76" t="s">
        <v>192</v>
      </c>
      <c r="AC478" s="771">
        <v>155.0</v>
      </c>
      <c r="AD478" s="76"/>
      <c r="AE478" s="76"/>
      <c r="AF478" s="76"/>
      <c r="AG478" s="112"/>
      <c r="AH478" s="76" t="s">
        <v>8149</v>
      </c>
      <c r="AI478" s="67"/>
      <c r="AJ478" s="67"/>
      <c r="AK478" s="748"/>
      <c r="AL478" s="748"/>
      <c r="AM478" s="748"/>
      <c r="AN478" s="748"/>
      <c r="AO478" s="748"/>
      <c r="AP478" s="748"/>
      <c r="AQ478" s="67"/>
      <c r="AR478" s="203"/>
      <c r="AS478" s="203"/>
      <c r="AT478" s="203"/>
    </row>
    <row r="479">
      <c r="A479" s="76" t="s">
        <v>8135</v>
      </c>
      <c r="B479" s="529" t="s">
        <v>1728</v>
      </c>
      <c r="C479" s="86" t="s">
        <v>3031</v>
      </c>
      <c r="D479" s="86" t="s">
        <v>121</v>
      </c>
      <c r="E479" s="746" t="s">
        <v>201</v>
      </c>
      <c r="F479" s="747" t="s">
        <v>1849</v>
      </c>
      <c r="G479" s="753" t="s">
        <v>60</v>
      </c>
      <c r="H479" s="87" t="s">
        <v>1221</v>
      </c>
      <c r="I479" s="86" t="s">
        <v>1443</v>
      </c>
      <c r="J479" s="76" t="s">
        <v>114</v>
      </c>
      <c r="K479" s="176" t="s">
        <v>8520</v>
      </c>
      <c r="L479" s="85" t="s">
        <v>8139</v>
      </c>
      <c r="M479" s="109" t="s">
        <v>60</v>
      </c>
      <c r="N479" s="766" t="s">
        <v>8525</v>
      </c>
      <c r="O479" s="97" t="s">
        <v>8526</v>
      </c>
      <c r="P479" s="209">
        <v>29070.0</v>
      </c>
      <c r="Q479" s="315">
        <f t="shared" si="45"/>
        <v>29070</v>
      </c>
      <c r="R479" s="86">
        <f t="shared" si="46"/>
        <v>47</v>
      </c>
      <c r="S479" s="76">
        <v>2.90690977E9</v>
      </c>
      <c r="T479" s="315" t="s">
        <v>378</v>
      </c>
      <c r="U479" s="124" t="s">
        <v>379</v>
      </c>
      <c r="V479" s="76"/>
      <c r="W479" s="76"/>
      <c r="X479" s="97"/>
      <c r="Y479" s="76" t="s">
        <v>2754</v>
      </c>
      <c r="Z479" s="474" t="s">
        <v>184</v>
      </c>
      <c r="AA479" s="97"/>
      <c r="AB479" s="97"/>
      <c r="AC479" s="771">
        <v>155.0</v>
      </c>
      <c r="AD479" s="76"/>
      <c r="AE479" s="97"/>
      <c r="AF479" s="76"/>
      <c r="AG479" s="76"/>
      <c r="AH479" s="76" t="s">
        <v>8162</v>
      </c>
      <c r="AI479" s="67"/>
      <c r="AJ479" s="67"/>
      <c r="AK479" s="748"/>
      <c r="AL479" s="748"/>
      <c r="AM479" s="748"/>
      <c r="AN479" s="748"/>
      <c r="AO479" s="748"/>
      <c r="AP479" s="748"/>
      <c r="AQ479" s="67"/>
      <c r="AR479" s="203"/>
      <c r="AS479" s="203"/>
      <c r="AT479" s="203"/>
    </row>
    <row r="480">
      <c r="A480" s="76" t="s">
        <v>8135</v>
      </c>
      <c r="B480" s="529" t="s">
        <v>1728</v>
      </c>
      <c r="C480" s="86" t="s">
        <v>1729</v>
      </c>
      <c r="D480" s="86" t="s">
        <v>121</v>
      </c>
      <c r="E480" s="746" t="s">
        <v>331</v>
      </c>
      <c r="F480" s="747" t="s">
        <v>1731</v>
      </c>
      <c r="G480" s="97" t="s">
        <v>60</v>
      </c>
      <c r="H480" s="87" t="s">
        <v>1221</v>
      </c>
      <c r="I480" s="86" t="s">
        <v>1443</v>
      </c>
      <c r="J480" s="76" t="s">
        <v>114</v>
      </c>
      <c r="K480" s="124" t="s">
        <v>8534</v>
      </c>
      <c r="L480" s="85" t="s">
        <v>8139</v>
      </c>
      <c r="M480" s="76" t="s">
        <v>60</v>
      </c>
      <c r="N480" s="771" t="s">
        <v>8536</v>
      </c>
      <c r="O480" s="76" t="s">
        <v>8537</v>
      </c>
      <c r="P480" s="712">
        <v>30432.0</v>
      </c>
      <c r="Q480" s="315">
        <f t="shared" si="45"/>
        <v>30432</v>
      </c>
      <c r="R480" s="86">
        <f t="shared" si="46"/>
        <v>43</v>
      </c>
      <c r="S480" s="315">
        <v>3.043114816E9</v>
      </c>
      <c r="T480" s="315" t="s">
        <v>378</v>
      </c>
      <c r="U480" s="76" t="s">
        <v>379</v>
      </c>
      <c r="V480" s="76"/>
      <c r="W480" s="76"/>
      <c r="X480" s="97"/>
      <c r="Y480" s="189" t="s">
        <v>1174</v>
      </c>
      <c r="Z480" s="728" t="s">
        <v>2482</v>
      </c>
      <c r="AA480" s="97"/>
      <c r="AB480" s="76" t="s">
        <v>192</v>
      </c>
      <c r="AC480" s="771">
        <v>155.0</v>
      </c>
      <c r="AD480" s="99"/>
      <c r="AE480" s="76"/>
      <c r="AF480" s="76"/>
      <c r="AG480" s="76"/>
      <c r="AH480" s="76" t="s">
        <v>8149</v>
      </c>
      <c r="AI480" s="67"/>
      <c r="AJ480" s="67"/>
      <c r="AK480" s="748"/>
      <c r="AL480" s="748"/>
      <c r="AM480" s="748"/>
      <c r="AN480" s="748"/>
      <c r="AO480" s="748"/>
      <c r="AP480" s="748"/>
      <c r="AQ480" s="67"/>
      <c r="AR480" s="203"/>
      <c r="AS480" s="203"/>
      <c r="AT480" s="203"/>
    </row>
    <row r="481">
      <c r="A481" s="76" t="s">
        <v>8135</v>
      </c>
      <c r="B481" s="529" t="s">
        <v>3297</v>
      </c>
      <c r="C481" s="86" t="s">
        <v>8546</v>
      </c>
      <c r="D481" s="86" t="s">
        <v>121</v>
      </c>
      <c r="E481" s="746" t="s">
        <v>178</v>
      </c>
      <c r="F481" s="747" t="s">
        <v>8547</v>
      </c>
      <c r="G481" s="97" t="s">
        <v>102</v>
      </c>
      <c r="H481" s="817" t="s">
        <v>3336</v>
      </c>
      <c r="I481" s="86" t="s">
        <v>1443</v>
      </c>
      <c r="J481" s="109" t="s">
        <v>114</v>
      </c>
      <c r="K481" s="86"/>
      <c r="L481" s="85" t="s">
        <v>8139</v>
      </c>
      <c r="M481" s="86" t="s">
        <v>60</v>
      </c>
      <c r="N481" s="819" t="s">
        <v>8551</v>
      </c>
      <c r="O481" s="86" t="s">
        <v>8552</v>
      </c>
      <c r="P481" s="712">
        <v>29871.0</v>
      </c>
      <c r="Q481" s="315">
        <f t="shared" si="45"/>
        <v>29871</v>
      </c>
      <c r="R481" s="86">
        <f t="shared" si="46"/>
        <v>44</v>
      </c>
      <c r="S481" s="315">
        <v>2.987020811E9</v>
      </c>
      <c r="T481" s="315" t="s">
        <v>1317</v>
      </c>
      <c r="U481" s="76" t="s">
        <v>379</v>
      </c>
      <c r="V481" s="86"/>
      <c r="W481" s="76"/>
      <c r="X481" s="76"/>
      <c r="Y481" s="97" t="s">
        <v>183</v>
      </c>
      <c r="Z481" s="300" t="s">
        <v>991</v>
      </c>
      <c r="AA481" s="97"/>
      <c r="AB481" s="97"/>
      <c r="AC481" s="771">
        <v>155.0</v>
      </c>
      <c r="AD481" s="97"/>
      <c r="AE481" s="76"/>
      <c r="AF481" s="76" t="s">
        <v>8563</v>
      </c>
      <c r="AG481" s="97"/>
      <c r="AH481" s="76" t="s">
        <v>8149</v>
      </c>
      <c r="AI481" s="67"/>
      <c r="AJ481" s="67"/>
      <c r="AK481" s="748"/>
      <c r="AL481" s="748"/>
      <c r="AM481" s="748"/>
      <c r="AN481" s="748"/>
      <c r="AO481" s="748"/>
      <c r="AP481" s="748"/>
      <c r="AQ481" s="67"/>
      <c r="AR481" s="203"/>
      <c r="AS481" s="203"/>
      <c r="AT481" s="203"/>
    </row>
    <row r="482">
      <c r="A482" s="76" t="s">
        <v>8135</v>
      </c>
      <c r="B482" s="529" t="s">
        <v>3898</v>
      </c>
      <c r="C482" s="86" t="s">
        <v>121</v>
      </c>
      <c r="D482" s="86" t="s">
        <v>121</v>
      </c>
      <c r="E482" s="746" t="s">
        <v>1978</v>
      </c>
      <c r="F482" s="747" t="s">
        <v>7224</v>
      </c>
      <c r="G482" s="97" t="s">
        <v>60</v>
      </c>
      <c r="H482" s="87" t="s">
        <v>1221</v>
      </c>
      <c r="I482" s="86" t="s">
        <v>1443</v>
      </c>
      <c r="J482" s="97" t="s">
        <v>114</v>
      </c>
      <c r="K482" s="124" t="s">
        <v>8570</v>
      </c>
      <c r="L482" s="85" t="s">
        <v>8139</v>
      </c>
      <c r="M482" s="97" t="s">
        <v>60</v>
      </c>
      <c r="N482" s="766" t="s">
        <v>8574</v>
      </c>
      <c r="O482" s="97" t="s">
        <v>6287</v>
      </c>
      <c r="P482" s="153">
        <v>33432.0</v>
      </c>
      <c r="Q482" s="315">
        <f t="shared" si="45"/>
        <v>33432</v>
      </c>
      <c r="R482" s="86">
        <f t="shared" si="46"/>
        <v>35</v>
      </c>
      <c r="S482" s="315">
        <v>3.343103592E9</v>
      </c>
      <c r="T482" s="315" t="s">
        <v>378</v>
      </c>
      <c r="U482" s="76" t="s">
        <v>379</v>
      </c>
      <c r="V482" s="76"/>
      <c r="W482" s="97"/>
      <c r="X482" s="76"/>
      <c r="Y482" s="97" t="s">
        <v>146</v>
      </c>
      <c r="Z482" s="97"/>
      <c r="AA482" s="76" t="s">
        <v>1178</v>
      </c>
      <c r="AB482" s="76" t="s">
        <v>192</v>
      </c>
      <c r="AC482" s="771">
        <v>155.0</v>
      </c>
      <c r="AD482" s="97"/>
      <c r="AE482" s="76"/>
      <c r="AF482" s="97"/>
      <c r="AG482" s="76"/>
      <c r="AH482" s="76" t="s">
        <v>8149</v>
      </c>
      <c r="AI482" s="67"/>
      <c r="AJ482" s="67"/>
      <c r="AK482" s="748"/>
      <c r="AL482" s="748"/>
      <c r="AM482" s="748"/>
      <c r="AN482" s="748"/>
      <c r="AO482" s="748"/>
      <c r="AP482" s="748"/>
      <c r="AQ482" s="67"/>
      <c r="AR482" s="203"/>
      <c r="AS482" s="203"/>
      <c r="AT482" s="203"/>
    </row>
    <row r="483">
      <c r="A483" s="76" t="s">
        <v>8135</v>
      </c>
      <c r="B483" s="529" t="s">
        <v>3898</v>
      </c>
      <c r="C483" s="86" t="s">
        <v>8583</v>
      </c>
      <c r="D483" s="86" t="s">
        <v>121</v>
      </c>
      <c r="E483" s="746" t="s">
        <v>1978</v>
      </c>
      <c r="F483" s="747" t="s">
        <v>7224</v>
      </c>
      <c r="G483" s="97" t="s">
        <v>60</v>
      </c>
      <c r="H483" s="87" t="s">
        <v>1221</v>
      </c>
      <c r="I483" s="86" t="s">
        <v>1443</v>
      </c>
      <c r="J483" s="76" t="s">
        <v>114</v>
      </c>
      <c r="K483" s="176" t="s">
        <v>8584</v>
      </c>
      <c r="L483" s="85" t="s">
        <v>8139</v>
      </c>
      <c r="M483" s="87" t="s">
        <v>60</v>
      </c>
      <c r="N483" s="819" t="s">
        <v>8586</v>
      </c>
      <c r="O483" s="87" t="s">
        <v>8587</v>
      </c>
      <c r="P483" s="712">
        <v>31556.0</v>
      </c>
      <c r="Q483" s="315">
        <f t="shared" si="45"/>
        <v>31556</v>
      </c>
      <c r="R483" s="86">
        <f t="shared" si="46"/>
        <v>40</v>
      </c>
      <c r="S483" s="315">
        <v>3.155505658E9</v>
      </c>
      <c r="T483" s="315" t="s">
        <v>1317</v>
      </c>
      <c r="U483" s="76" t="s">
        <v>379</v>
      </c>
      <c r="V483" s="76"/>
      <c r="W483" s="86"/>
      <c r="X483" s="97"/>
      <c r="Y483" s="97"/>
      <c r="Z483" s="97"/>
      <c r="AA483" s="97"/>
      <c r="AB483" s="97"/>
      <c r="AC483" s="771">
        <v>155.0</v>
      </c>
      <c r="AD483" s="97"/>
      <c r="AE483" s="76"/>
      <c r="AF483" s="76" t="s">
        <v>8594</v>
      </c>
      <c r="AG483" s="315"/>
      <c r="AH483" s="76" t="s">
        <v>8149</v>
      </c>
      <c r="AI483" s="67"/>
      <c r="AJ483" s="67"/>
      <c r="AK483" s="748"/>
      <c r="AL483" s="748"/>
      <c r="AM483" s="748"/>
      <c r="AN483" s="748"/>
      <c r="AO483" s="748"/>
      <c r="AP483" s="748"/>
      <c r="AQ483" s="67"/>
      <c r="AR483" s="203"/>
      <c r="AS483" s="203"/>
      <c r="AT483" s="203"/>
    </row>
    <row r="484">
      <c r="A484" s="76" t="s">
        <v>8135</v>
      </c>
      <c r="B484" s="529" t="s">
        <v>3898</v>
      </c>
      <c r="C484" s="86" t="s">
        <v>8583</v>
      </c>
      <c r="D484" s="86" t="s">
        <v>121</v>
      </c>
      <c r="E484" s="746" t="s">
        <v>786</v>
      </c>
      <c r="F484" s="747" t="s">
        <v>3901</v>
      </c>
      <c r="G484" s="753" t="s">
        <v>60</v>
      </c>
      <c r="H484" s="87" t="s">
        <v>1221</v>
      </c>
      <c r="I484" s="86" t="s">
        <v>1443</v>
      </c>
      <c r="J484" s="85" t="s">
        <v>114</v>
      </c>
      <c r="K484" s="85" t="s">
        <v>8602</v>
      </c>
      <c r="L484" s="85" t="s">
        <v>8139</v>
      </c>
      <c r="M484" s="85" t="s">
        <v>60</v>
      </c>
      <c r="N484" s="771" t="s">
        <v>8605</v>
      </c>
      <c r="O484" s="76" t="s">
        <v>8607</v>
      </c>
      <c r="P484" s="153">
        <v>29970.0</v>
      </c>
      <c r="Q484" s="315">
        <f t="shared" si="45"/>
        <v>29970</v>
      </c>
      <c r="R484" s="97">
        <f t="shared" si="46"/>
        <v>44</v>
      </c>
      <c r="S484" s="76">
        <v>2.996919058E9</v>
      </c>
      <c r="T484" s="315"/>
      <c r="U484" s="76" t="s">
        <v>379</v>
      </c>
      <c r="V484" s="76"/>
      <c r="W484" s="76"/>
      <c r="X484" s="76"/>
      <c r="Y484" s="97" t="s">
        <v>1174</v>
      </c>
      <c r="Z484" s="278" t="s">
        <v>2090</v>
      </c>
      <c r="AA484" s="76"/>
      <c r="AB484" s="76"/>
      <c r="AC484" s="771">
        <v>155.0</v>
      </c>
      <c r="AD484" s="99"/>
      <c r="AE484" s="76"/>
      <c r="AF484" s="76"/>
      <c r="AG484" s="76"/>
      <c r="AH484" s="76" t="s">
        <v>8162</v>
      </c>
      <c r="AI484" s="67"/>
      <c r="AJ484" s="67"/>
      <c r="AK484" s="67"/>
      <c r="AL484" s="67"/>
      <c r="AM484" s="67"/>
      <c r="AN484" s="67"/>
      <c r="AO484" s="67"/>
      <c r="AP484" s="67"/>
      <c r="AQ484" s="67"/>
      <c r="AR484" s="203"/>
      <c r="AS484" s="203"/>
      <c r="AT484" s="203"/>
    </row>
    <row r="485">
      <c r="A485" s="76" t="s">
        <v>8135</v>
      </c>
      <c r="B485" s="529" t="s">
        <v>3898</v>
      </c>
      <c r="C485" s="86" t="s">
        <v>8616</v>
      </c>
      <c r="D485" s="86" t="s">
        <v>121</v>
      </c>
      <c r="E485" s="746" t="s">
        <v>1536</v>
      </c>
      <c r="F485" s="747" t="s">
        <v>3915</v>
      </c>
      <c r="G485" s="97" t="s">
        <v>60</v>
      </c>
      <c r="H485" s="87" t="s">
        <v>1221</v>
      </c>
      <c r="I485" s="86" t="s">
        <v>1443</v>
      </c>
      <c r="J485" s="76" t="s">
        <v>114</v>
      </c>
      <c r="K485" s="124" t="s">
        <v>8619</v>
      </c>
      <c r="L485" s="85" t="s">
        <v>8139</v>
      </c>
      <c r="M485" s="76" t="s">
        <v>610</v>
      </c>
      <c r="N485" s="771" t="s">
        <v>8621</v>
      </c>
      <c r="O485" s="76" t="s">
        <v>6183</v>
      </c>
      <c r="P485" s="153">
        <v>35989.0</v>
      </c>
      <c r="Q485" s="315">
        <f t="shared" si="45"/>
        <v>35989</v>
      </c>
      <c r="R485" s="86">
        <f t="shared" si="46"/>
        <v>28</v>
      </c>
      <c r="S485" s="76">
        <v>3.598809875E9</v>
      </c>
      <c r="T485" s="315" t="s">
        <v>1479</v>
      </c>
      <c r="U485" s="76" t="s">
        <v>379</v>
      </c>
      <c r="V485" s="76"/>
      <c r="W485" s="76"/>
      <c r="X485" s="76"/>
      <c r="Y485" s="76"/>
      <c r="Z485" s="728" t="s">
        <v>2482</v>
      </c>
      <c r="AA485" s="76" t="s">
        <v>1178</v>
      </c>
      <c r="AB485" s="76" t="s">
        <v>192</v>
      </c>
      <c r="AC485" s="771">
        <v>155.0</v>
      </c>
      <c r="AD485" s="99"/>
      <c r="AE485" s="76"/>
      <c r="AF485" s="76" t="s">
        <v>155</v>
      </c>
      <c r="AG485" s="76" t="s">
        <v>3781</v>
      </c>
      <c r="AH485" s="76" t="s">
        <v>8149</v>
      </c>
      <c r="AI485" s="67"/>
      <c r="AJ485" s="67"/>
      <c r="AK485" s="67"/>
      <c r="AL485" s="67"/>
      <c r="AM485" s="67"/>
      <c r="AN485" s="67"/>
      <c r="AO485" s="67"/>
      <c r="AP485" s="67"/>
      <c r="AQ485" s="67"/>
      <c r="AR485" s="203"/>
      <c r="AS485" s="203"/>
      <c r="AT485" s="203"/>
    </row>
    <row r="486">
      <c r="A486" s="76" t="s">
        <v>8135</v>
      </c>
      <c r="B486" s="529" t="s">
        <v>3898</v>
      </c>
      <c r="C486" s="86" t="s">
        <v>7243</v>
      </c>
      <c r="D486" s="86" t="s">
        <v>121</v>
      </c>
      <c r="E486" s="746" t="s">
        <v>786</v>
      </c>
      <c r="F486" s="747" t="s">
        <v>1216</v>
      </c>
      <c r="G486" s="97" t="s">
        <v>60</v>
      </c>
      <c r="H486" s="87" t="s">
        <v>1221</v>
      </c>
      <c r="I486" s="86" t="s">
        <v>1443</v>
      </c>
      <c r="J486" s="109" t="s">
        <v>114</v>
      </c>
      <c r="K486" s="176" t="s">
        <v>8635</v>
      </c>
      <c r="L486" s="85" t="s">
        <v>8139</v>
      </c>
      <c r="M486" s="109" t="s">
        <v>60</v>
      </c>
      <c r="N486" s="766" t="s">
        <v>8636</v>
      </c>
      <c r="O486" s="97" t="s">
        <v>8637</v>
      </c>
      <c r="P486" s="209">
        <v>29840.0</v>
      </c>
      <c r="Q486" s="315">
        <f t="shared" si="45"/>
        <v>29840</v>
      </c>
      <c r="R486" s="86">
        <f t="shared" si="46"/>
        <v>44</v>
      </c>
      <c r="S486" s="315">
        <v>2.983905933E9</v>
      </c>
      <c r="T486" s="315" t="s">
        <v>378</v>
      </c>
      <c r="U486" s="76" t="s">
        <v>379</v>
      </c>
      <c r="V486" s="76"/>
      <c r="W486" s="76"/>
      <c r="X486" s="76"/>
      <c r="Y486" s="97" t="s">
        <v>146</v>
      </c>
      <c r="Z486" s="97"/>
      <c r="AA486" s="76" t="s">
        <v>1178</v>
      </c>
      <c r="AB486" s="76" t="s">
        <v>192</v>
      </c>
      <c r="AC486" s="771">
        <v>155.0</v>
      </c>
      <c r="AD486" s="97"/>
      <c r="AE486" s="97"/>
      <c r="AF486" s="76"/>
      <c r="AG486" s="97"/>
      <c r="AH486" s="76" t="s">
        <v>8149</v>
      </c>
      <c r="AI486" s="67"/>
      <c r="AJ486" s="67"/>
      <c r="AK486" s="67"/>
      <c r="AL486" s="67"/>
      <c r="AM486" s="67"/>
      <c r="AN486" s="67"/>
      <c r="AO486" s="67"/>
      <c r="AP486" s="67"/>
      <c r="AQ486" s="67"/>
      <c r="AR486" s="203"/>
      <c r="AS486" s="203"/>
      <c r="AT486" s="203"/>
    </row>
    <row r="487">
      <c r="A487" s="76" t="s">
        <v>8135</v>
      </c>
      <c r="B487" s="862" t="s">
        <v>3423</v>
      </c>
      <c r="C487" s="152" t="s">
        <v>121</v>
      </c>
      <c r="D487" s="152" t="s">
        <v>121</v>
      </c>
      <c r="E487" s="863" t="s">
        <v>2289</v>
      </c>
      <c r="F487" s="864" t="s">
        <v>7038</v>
      </c>
      <c r="G487" s="102" t="s">
        <v>60</v>
      </c>
      <c r="H487" s="87" t="s">
        <v>1221</v>
      </c>
      <c r="I487" s="86" t="s">
        <v>1443</v>
      </c>
      <c r="J487" s="76" t="s">
        <v>114</v>
      </c>
      <c r="K487" s="76"/>
      <c r="L487" s="85" t="s">
        <v>8139</v>
      </c>
      <c r="M487" s="76" t="s">
        <v>60</v>
      </c>
      <c r="N487" s="771" t="s">
        <v>8655</v>
      </c>
      <c r="O487" s="76" t="s">
        <v>8656</v>
      </c>
      <c r="P487" s="153">
        <v>35327.0</v>
      </c>
      <c r="Q487" s="315">
        <f t="shared" si="45"/>
        <v>35327</v>
      </c>
      <c r="R487" s="86">
        <f t="shared" si="46"/>
        <v>29</v>
      </c>
      <c r="S487" s="315">
        <v>3.532613695E9</v>
      </c>
      <c r="T487" s="315" t="s">
        <v>378</v>
      </c>
      <c r="U487" s="76" t="s">
        <v>379</v>
      </c>
      <c r="V487" s="76"/>
      <c r="W487" s="76"/>
      <c r="X487" s="76"/>
      <c r="Y487" s="97"/>
      <c r="Z487" s="278" t="s">
        <v>2090</v>
      </c>
      <c r="AA487" s="76" t="s">
        <v>1178</v>
      </c>
      <c r="AB487" s="97"/>
      <c r="AC487" s="771">
        <v>155.0</v>
      </c>
      <c r="AD487" s="99"/>
      <c r="AE487" s="76"/>
      <c r="AF487" s="76" t="s">
        <v>8662</v>
      </c>
      <c r="AG487" s="76"/>
      <c r="AH487" s="76" t="s">
        <v>8162</v>
      </c>
      <c r="AI487" s="67"/>
      <c r="AJ487" s="67"/>
      <c r="AK487" s="67"/>
      <c r="AL487" s="67"/>
      <c r="AM487" s="67"/>
      <c r="AN487" s="67"/>
      <c r="AO487" s="67"/>
      <c r="AP487" s="67"/>
      <c r="AQ487" s="67"/>
      <c r="AR487" s="203"/>
      <c r="AS487" s="203"/>
      <c r="AT487" s="203"/>
    </row>
    <row r="488">
      <c r="A488" s="76" t="s">
        <v>8135</v>
      </c>
      <c r="B488" s="862" t="s">
        <v>3423</v>
      </c>
      <c r="C488" s="152" t="s">
        <v>8667</v>
      </c>
      <c r="D488" s="152" t="s">
        <v>121</v>
      </c>
      <c r="E488" s="863" t="s">
        <v>152</v>
      </c>
      <c r="F488" s="864" t="s">
        <v>7116</v>
      </c>
      <c r="G488" s="102" t="s">
        <v>60</v>
      </c>
      <c r="H488" s="87" t="s">
        <v>1221</v>
      </c>
      <c r="I488" s="86" t="s">
        <v>1443</v>
      </c>
      <c r="J488" s="76" t="s">
        <v>114</v>
      </c>
      <c r="K488" s="124" t="s">
        <v>8671</v>
      </c>
      <c r="L488" s="85" t="s">
        <v>8139</v>
      </c>
      <c r="M488" s="76" t="s">
        <v>60</v>
      </c>
      <c r="N488" s="771" t="s">
        <v>8673</v>
      </c>
      <c r="O488" s="76" t="s">
        <v>8674</v>
      </c>
      <c r="P488" s="712">
        <v>30543.0</v>
      </c>
      <c r="Q488" s="315">
        <f t="shared" si="45"/>
        <v>30543</v>
      </c>
      <c r="R488" s="86">
        <f t="shared" si="46"/>
        <v>43</v>
      </c>
      <c r="S488" s="315">
        <v>3.05421343E9</v>
      </c>
      <c r="T488" s="315"/>
      <c r="U488" s="76" t="s">
        <v>379</v>
      </c>
      <c r="V488" s="76"/>
      <c r="W488" s="76"/>
      <c r="X488" s="97"/>
      <c r="Y488" s="97"/>
      <c r="Z488" s="728" t="s">
        <v>2482</v>
      </c>
      <c r="AA488" s="97"/>
      <c r="AB488" s="97"/>
      <c r="AC488" s="771">
        <v>155.0</v>
      </c>
      <c r="AD488" s="76"/>
      <c r="AE488" s="76"/>
      <c r="AF488" s="291" t="s">
        <v>8685</v>
      </c>
      <c r="AG488" s="76"/>
      <c r="AH488" s="76" t="s">
        <v>8149</v>
      </c>
      <c r="AI488" s="67"/>
      <c r="AJ488" s="67"/>
      <c r="AK488" s="67"/>
      <c r="AL488" s="67"/>
      <c r="AM488" s="67"/>
      <c r="AN488" s="67"/>
      <c r="AO488" s="67"/>
      <c r="AP488" s="67"/>
      <c r="AQ488" s="67"/>
      <c r="AR488" s="203"/>
      <c r="AS488" s="203"/>
      <c r="AT488" s="203"/>
    </row>
    <row r="489">
      <c r="A489" s="76" t="s">
        <v>8135</v>
      </c>
      <c r="B489" s="862" t="s">
        <v>3423</v>
      </c>
      <c r="C489" s="152" t="s">
        <v>8690</v>
      </c>
      <c r="D489" s="152" t="s">
        <v>121</v>
      </c>
      <c r="E489" s="863" t="s">
        <v>2015</v>
      </c>
      <c r="F489" s="864" t="s">
        <v>8693</v>
      </c>
      <c r="G489" s="102" t="s">
        <v>102</v>
      </c>
      <c r="H489" s="817" t="s">
        <v>3336</v>
      </c>
      <c r="I489" s="146" t="s">
        <v>408</v>
      </c>
      <c r="J489" s="87" t="s">
        <v>114</v>
      </c>
      <c r="K489" s="176" t="s">
        <v>8696</v>
      </c>
      <c r="L489" s="85" t="s">
        <v>8139</v>
      </c>
      <c r="M489" s="109" t="s">
        <v>102</v>
      </c>
      <c r="N489" s="819" t="s">
        <v>6730</v>
      </c>
      <c r="O489" s="109" t="s">
        <v>8698</v>
      </c>
      <c r="P489" s="869">
        <v>30964.0</v>
      </c>
      <c r="Q489" s="315">
        <f t="shared" si="45"/>
        <v>30964</v>
      </c>
      <c r="R489" s="86">
        <f t="shared" si="46"/>
        <v>41</v>
      </c>
      <c r="S489" s="315">
        <v>3.096314235E9</v>
      </c>
      <c r="T489" s="315" t="s">
        <v>1317</v>
      </c>
      <c r="U489" s="224" t="s">
        <v>379</v>
      </c>
      <c r="V489" s="76"/>
      <c r="W489" s="76"/>
      <c r="X489" s="97"/>
      <c r="Y489" s="97"/>
      <c r="Z489" s="97"/>
      <c r="AA489" s="97"/>
      <c r="AB489" s="97"/>
      <c r="AC489" s="771">
        <v>155.0</v>
      </c>
      <c r="AD489" s="99"/>
      <c r="AE489" s="76"/>
      <c r="AF489" s="76"/>
      <c r="AG489" s="76"/>
      <c r="AH489" s="76" t="s">
        <v>8186</v>
      </c>
      <c r="AI489" s="67"/>
      <c r="AJ489" s="67"/>
      <c r="AK489" s="67"/>
      <c r="AL489" s="67"/>
      <c r="AM489" s="67"/>
      <c r="AN489" s="67"/>
      <c r="AO489" s="67"/>
      <c r="AP489" s="67"/>
      <c r="AQ489" s="67"/>
      <c r="AR489" s="203"/>
      <c r="AS489" s="203"/>
      <c r="AT489" s="203"/>
    </row>
    <row r="490">
      <c r="A490" s="76" t="s">
        <v>8135</v>
      </c>
      <c r="B490" s="529" t="s">
        <v>3307</v>
      </c>
      <c r="C490" s="86" t="s">
        <v>3317</v>
      </c>
      <c r="D490" s="86" t="s">
        <v>121</v>
      </c>
      <c r="E490" s="752" t="s">
        <v>178</v>
      </c>
      <c r="F490" s="747" t="s">
        <v>8709</v>
      </c>
      <c r="G490" s="97" t="s">
        <v>102</v>
      </c>
      <c r="H490" s="817" t="s">
        <v>3336</v>
      </c>
      <c r="I490" s="146" t="s">
        <v>408</v>
      </c>
      <c r="J490" s="109" t="s">
        <v>114</v>
      </c>
      <c r="K490" s="109"/>
      <c r="L490" s="85" t="s">
        <v>8139</v>
      </c>
      <c r="M490" s="85" t="s">
        <v>102</v>
      </c>
      <c r="N490" s="870" t="s">
        <v>2872</v>
      </c>
      <c r="O490" s="85" t="s">
        <v>2874</v>
      </c>
      <c r="P490" s="262">
        <v>31577.0</v>
      </c>
      <c r="Q490" s="315">
        <f t="shared" si="45"/>
        <v>31577</v>
      </c>
      <c r="R490" s="86">
        <f t="shared" si="46"/>
        <v>40</v>
      </c>
      <c r="S490" s="76">
        <v>3.157616313E9</v>
      </c>
      <c r="T490" s="315"/>
      <c r="U490" s="124" t="s">
        <v>379</v>
      </c>
      <c r="V490" s="76"/>
      <c r="W490" s="86"/>
      <c r="X490" s="97"/>
      <c r="Y490" s="97"/>
      <c r="Z490" s="97"/>
      <c r="AA490" s="97"/>
      <c r="AB490" s="97"/>
      <c r="AC490" s="771">
        <v>155.0</v>
      </c>
      <c r="AD490" s="99"/>
      <c r="AE490" s="76"/>
      <c r="AF490" s="872"/>
      <c r="AG490" s="97"/>
      <c r="AH490" s="209"/>
      <c r="AI490" s="67"/>
      <c r="AJ490" s="67"/>
      <c r="AK490" s="67"/>
      <c r="AL490" s="67"/>
      <c r="AM490" s="67"/>
      <c r="AN490" s="67"/>
      <c r="AO490" s="67"/>
      <c r="AP490" s="67"/>
      <c r="AQ490" s="67"/>
      <c r="AR490" s="203"/>
      <c r="AS490" s="203"/>
      <c r="AT490" s="203"/>
    </row>
    <row r="491">
      <c r="A491" s="76" t="s">
        <v>8135</v>
      </c>
      <c r="B491" s="529" t="s">
        <v>6229</v>
      </c>
      <c r="C491" s="86" t="s">
        <v>121</v>
      </c>
      <c r="D491" s="86" t="s">
        <v>121</v>
      </c>
      <c r="E491" s="746" t="s">
        <v>1536</v>
      </c>
      <c r="F491" s="747" t="s">
        <v>6230</v>
      </c>
      <c r="G491" s="97" t="s">
        <v>60</v>
      </c>
      <c r="H491" s="87" t="s">
        <v>1221</v>
      </c>
      <c r="I491" s="86" t="s">
        <v>1443</v>
      </c>
      <c r="J491" s="109" t="s">
        <v>114</v>
      </c>
      <c r="K491" s="176" t="s">
        <v>8727</v>
      </c>
      <c r="L491" s="85" t="s">
        <v>8139</v>
      </c>
      <c r="M491" s="109" t="s">
        <v>60</v>
      </c>
      <c r="N491" s="766" t="s">
        <v>8729</v>
      </c>
      <c r="O491" s="87" t="s">
        <v>8731</v>
      </c>
      <c r="P491" s="209">
        <v>29383.0</v>
      </c>
      <c r="Q491" s="315">
        <f t="shared" si="45"/>
        <v>29383</v>
      </c>
      <c r="R491" s="86">
        <f t="shared" si="46"/>
        <v>46</v>
      </c>
      <c r="S491" s="76">
        <v>2.938225131E9</v>
      </c>
      <c r="T491" s="315" t="s">
        <v>378</v>
      </c>
      <c r="U491" s="76" t="s">
        <v>379</v>
      </c>
      <c r="V491" s="76"/>
      <c r="W491" s="76"/>
      <c r="X491" s="97"/>
      <c r="Y491" s="76" t="s">
        <v>2754</v>
      </c>
      <c r="Z491" s="474" t="s">
        <v>184</v>
      </c>
      <c r="AA491" s="97"/>
      <c r="AB491" s="97"/>
      <c r="AC491" s="771">
        <v>155.0</v>
      </c>
      <c r="AD491" s="97"/>
      <c r="AE491" s="76"/>
      <c r="AF491" s="595" t="s">
        <v>8736</v>
      </c>
      <c r="AG491" s="97"/>
      <c r="AH491" s="153"/>
      <c r="AI491" s="67"/>
      <c r="AJ491" s="67"/>
      <c r="AK491" s="67"/>
      <c r="AL491" s="67"/>
      <c r="AM491" s="67"/>
      <c r="AN491" s="67"/>
      <c r="AO491" s="67"/>
      <c r="AP491" s="67"/>
      <c r="AQ491" s="67"/>
      <c r="AR491" s="203"/>
      <c r="AS491" s="203"/>
      <c r="AT491" s="203"/>
    </row>
    <row r="492">
      <c r="A492" s="76" t="s">
        <v>8135</v>
      </c>
      <c r="B492" s="811" t="s">
        <v>3454</v>
      </c>
      <c r="C492" s="97" t="s">
        <v>121</v>
      </c>
      <c r="D492" s="86" t="s">
        <v>121</v>
      </c>
      <c r="E492" s="764" t="s">
        <v>119</v>
      </c>
      <c r="F492" s="747" t="s">
        <v>8740</v>
      </c>
      <c r="G492" s="86" t="s">
        <v>504</v>
      </c>
      <c r="H492" s="817" t="s">
        <v>3336</v>
      </c>
      <c r="I492" s="146" t="s">
        <v>408</v>
      </c>
      <c r="J492" s="87" t="s">
        <v>114</v>
      </c>
      <c r="K492" s="873"/>
      <c r="L492" s="85" t="s">
        <v>8139</v>
      </c>
      <c r="M492" s="87" t="s">
        <v>102</v>
      </c>
      <c r="N492" s="819" t="s">
        <v>2653</v>
      </c>
      <c r="O492" s="86" t="s">
        <v>2654</v>
      </c>
      <c r="P492" s="856">
        <v>30613.0</v>
      </c>
      <c r="Q492" s="315">
        <f t="shared" si="45"/>
        <v>30613</v>
      </c>
      <c r="R492" s="86">
        <f t="shared" si="46"/>
        <v>42</v>
      </c>
      <c r="S492" s="315">
        <v>3.061213513E9</v>
      </c>
      <c r="T492" s="315" t="s">
        <v>378</v>
      </c>
      <c r="U492" s="76" t="s">
        <v>379</v>
      </c>
      <c r="V492" s="76"/>
      <c r="W492" s="86"/>
      <c r="X492" s="97"/>
      <c r="Y492" s="86"/>
      <c r="Z492" s="86"/>
      <c r="AA492" s="86"/>
      <c r="AB492" s="97"/>
      <c r="AC492" s="771">
        <v>155.0</v>
      </c>
      <c r="AD492" s="99"/>
      <c r="AE492" s="76"/>
      <c r="AF492" s="99"/>
      <c r="AG492" s="189"/>
      <c r="AH492" s="76"/>
      <c r="AI492" s="67"/>
      <c r="AJ492" s="67"/>
      <c r="AK492" s="67"/>
      <c r="AL492" s="67"/>
      <c r="AM492" s="67"/>
      <c r="AN492" s="67"/>
      <c r="AO492" s="67"/>
      <c r="AP492" s="67"/>
      <c r="AQ492" s="67"/>
      <c r="AR492" s="203"/>
      <c r="AS492" s="203"/>
      <c r="AT492" s="203"/>
    </row>
    <row r="493">
      <c r="A493" s="76" t="s">
        <v>8135</v>
      </c>
      <c r="B493" s="811" t="s">
        <v>3454</v>
      </c>
      <c r="C493" s="97" t="s">
        <v>7302</v>
      </c>
      <c r="D493" s="86" t="s">
        <v>121</v>
      </c>
      <c r="E493" s="764" t="s">
        <v>178</v>
      </c>
      <c r="F493" s="747" t="s">
        <v>8751</v>
      </c>
      <c r="G493" s="86" t="s">
        <v>102</v>
      </c>
      <c r="H493" s="817" t="s">
        <v>3336</v>
      </c>
      <c r="I493" s="146" t="s">
        <v>408</v>
      </c>
      <c r="J493" s="85" t="s">
        <v>114</v>
      </c>
      <c r="K493" s="176" t="s">
        <v>8755</v>
      </c>
      <c r="L493" s="85" t="s">
        <v>8139</v>
      </c>
      <c r="M493" s="87" t="s">
        <v>102</v>
      </c>
      <c r="N493" s="766" t="s">
        <v>8757</v>
      </c>
      <c r="O493" s="109" t="s">
        <v>8759</v>
      </c>
      <c r="P493" s="712">
        <v>30625.0</v>
      </c>
      <c r="Q493" s="315">
        <f t="shared" si="45"/>
        <v>30625</v>
      </c>
      <c r="R493" s="86">
        <f t="shared" si="46"/>
        <v>42</v>
      </c>
      <c r="S493" s="315">
        <v>3.062418537E9</v>
      </c>
      <c r="T493" s="315" t="s">
        <v>378</v>
      </c>
      <c r="U493" s="76" t="s">
        <v>379</v>
      </c>
      <c r="V493" s="76"/>
      <c r="W493" s="86"/>
      <c r="X493" s="76"/>
      <c r="Y493" s="97" t="s">
        <v>1174</v>
      </c>
      <c r="Z493" s="300" t="s">
        <v>991</v>
      </c>
      <c r="AA493" s="97"/>
      <c r="AB493" s="97"/>
      <c r="AC493" s="771">
        <v>155.0</v>
      </c>
      <c r="AD493" s="76"/>
      <c r="AE493" s="76"/>
      <c r="AF493" s="76"/>
      <c r="AG493" s="189"/>
      <c r="AH493" s="76" t="s">
        <v>8162</v>
      </c>
      <c r="AI493" s="67"/>
      <c r="AJ493" s="67"/>
      <c r="AK493" s="67"/>
      <c r="AL493" s="67"/>
      <c r="AM493" s="67"/>
      <c r="AN493" s="67"/>
      <c r="AO493" s="67"/>
      <c r="AP493" s="67"/>
      <c r="AQ493" s="67"/>
      <c r="AR493" s="203"/>
      <c r="AS493" s="203"/>
      <c r="AT493" s="203"/>
    </row>
    <row r="494">
      <c r="A494" s="76" t="s">
        <v>8135</v>
      </c>
      <c r="B494" s="811" t="s">
        <v>3454</v>
      </c>
      <c r="C494" s="97" t="s">
        <v>3455</v>
      </c>
      <c r="D494" s="86" t="s">
        <v>121</v>
      </c>
      <c r="E494" s="764" t="s">
        <v>5482</v>
      </c>
      <c r="F494" s="747" t="s">
        <v>8766</v>
      </c>
      <c r="G494" s="86" t="s">
        <v>60</v>
      </c>
      <c r="H494" s="87" t="s">
        <v>1221</v>
      </c>
      <c r="I494" s="86" t="s">
        <v>1443</v>
      </c>
      <c r="J494" s="76" t="s">
        <v>114</v>
      </c>
      <c r="K494" s="76"/>
      <c r="L494" s="85" t="s">
        <v>8139</v>
      </c>
      <c r="M494" s="76" t="s">
        <v>60</v>
      </c>
      <c r="N494" s="771" t="s">
        <v>8770</v>
      </c>
      <c r="O494" s="76" t="s">
        <v>8771</v>
      </c>
      <c r="P494" s="330">
        <v>32094.0</v>
      </c>
      <c r="Q494" s="315">
        <f t="shared" si="45"/>
        <v>32094</v>
      </c>
      <c r="R494" s="86">
        <f t="shared" si="46"/>
        <v>38</v>
      </c>
      <c r="S494" s="76">
        <v>3.209305071E9</v>
      </c>
      <c r="T494" s="315" t="s">
        <v>1479</v>
      </c>
      <c r="U494" s="76" t="s">
        <v>379</v>
      </c>
      <c r="V494" s="76"/>
      <c r="W494" s="76"/>
      <c r="X494" s="76"/>
      <c r="Y494" s="97"/>
      <c r="Z494" s="728" t="s">
        <v>2482</v>
      </c>
      <c r="AA494" s="76" t="s">
        <v>1178</v>
      </c>
      <c r="AB494" s="97"/>
      <c r="AC494" s="771">
        <v>155.0</v>
      </c>
      <c r="AD494" s="99"/>
      <c r="AE494" s="76"/>
      <c r="AF494" s="76"/>
      <c r="AG494" s="76"/>
      <c r="AH494" s="76" t="s">
        <v>8186</v>
      </c>
      <c r="AI494" s="67"/>
      <c r="AJ494" s="67"/>
      <c r="AK494" s="67"/>
      <c r="AL494" s="67"/>
      <c r="AM494" s="67"/>
      <c r="AN494" s="67"/>
      <c r="AO494" s="67"/>
      <c r="AP494" s="67"/>
      <c r="AQ494" s="67"/>
      <c r="AR494" s="203"/>
      <c r="AS494" s="203"/>
      <c r="AT494" s="203"/>
    </row>
    <row r="495">
      <c r="A495" s="76" t="s">
        <v>8135</v>
      </c>
      <c r="B495" s="302" t="s">
        <v>4145</v>
      </c>
      <c r="C495" s="86"/>
      <c r="D495" s="86"/>
      <c r="E495" s="86"/>
      <c r="F495" s="86"/>
      <c r="G495" s="86"/>
      <c r="H495" s="86"/>
      <c r="I495" s="86"/>
      <c r="J495" s="76" t="s">
        <v>114</v>
      </c>
      <c r="K495" s="176" t="s">
        <v>8778</v>
      </c>
      <c r="L495" s="85" t="s">
        <v>8139</v>
      </c>
      <c r="M495" s="109" t="s">
        <v>60</v>
      </c>
      <c r="N495" s="766" t="s">
        <v>8779</v>
      </c>
      <c r="O495" s="97" t="s">
        <v>5828</v>
      </c>
      <c r="P495" s="153">
        <v>32756.0</v>
      </c>
      <c r="Q495" s="315">
        <f t="shared" si="45"/>
        <v>32756</v>
      </c>
      <c r="R495" s="86">
        <f t="shared" si="46"/>
        <v>36</v>
      </c>
      <c r="S495" s="315">
        <v>3.275518752E9</v>
      </c>
      <c r="T495" s="315" t="s">
        <v>1479</v>
      </c>
      <c r="U495" s="76" t="s">
        <v>379</v>
      </c>
      <c r="V495" s="76"/>
      <c r="W495" s="76"/>
      <c r="X495" s="76"/>
      <c r="Y495" s="97" t="s">
        <v>183</v>
      </c>
      <c r="Z495" s="300" t="s">
        <v>991</v>
      </c>
      <c r="AA495" s="76" t="s">
        <v>1178</v>
      </c>
      <c r="AB495" s="97"/>
      <c r="AC495" s="771">
        <v>155.0</v>
      </c>
      <c r="AD495" s="99"/>
      <c r="AE495" s="76"/>
      <c r="AF495" s="76"/>
      <c r="AG495" s="97"/>
      <c r="AH495" s="209"/>
      <c r="AI495" s="67"/>
      <c r="AJ495" s="67"/>
      <c r="AK495" s="67"/>
      <c r="AL495" s="67"/>
      <c r="AM495" s="67"/>
      <c r="AN495" s="67"/>
      <c r="AO495" s="67"/>
      <c r="AP495" s="67"/>
      <c r="AQ495" s="67"/>
      <c r="AR495" s="203"/>
      <c r="AS495" s="203"/>
      <c r="AT495" s="203"/>
    </row>
    <row r="496">
      <c r="A496" s="76" t="s">
        <v>8135</v>
      </c>
      <c r="B496" s="302" t="s">
        <v>4145</v>
      </c>
      <c r="C496" s="86"/>
      <c r="D496" s="86"/>
      <c r="E496" s="783" t="s">
        <v>8788</v>
      </c>
      <c r="F496" s="86"/>
      <c r="G496" s="86"/>
      <c r="H496" s="86"/>
      <c r="I496" s="86"/>
      <c r="J496" s="76" t="s">
        <v>114</v>
      </c>
      <c r="K496" s="97"/>
      <c r="L496" s="85" t="s">
        <v>8139</v>
      </c>
      <c r="M496" s="87" t="s">
        <v>102</v>
      </c>
      <c r="N496" s="766" t="s">
        <v>8792</v>
      </c>
      <c r="O496" s="97" t="s">
        <v>4016</v>
      </c>
      <c r="P496" s="153">
        <v>32807.0</v>
      </c>
      <c r="Q496" s="315">
        <f t="shared" si="45"/>
        <v>32807</v>
      </c>
      <c r="R496" s="86">
        <f t="shared" si="46"/>
        <v>36</v>
      </c>
      <c r="S496" s="315">
        <v>3.280612371E9</v>
      </c>
      <c r="T496" s="315" t="s">
        <v>378</v>
      </c>
      <c r="U496" s="76" t="s">
        <v>379</v>
      </c>
      <c r="V496" s="97"/>
      <c r="W496" s="76"/>
      <c r="X496" s="76"/>
      <c r="Y496" s="97" t="s">
        <v>183</v>
      </c>
      <c r="Z496" s="289" t="s">
        <v>1725</v>
      </c>
      <c r="AA496" s="76" t="s">
        <v>1178</v>
      </c>
      <c r="AB496" s="97"/>
      <c r="AC496" s="771">
        <v>155.0</v>
      </c>
      <c r="AD496" s="99"/>
      <c r="AE496" s="76"/>
      <c r="AF496" s="76"/>
      <c r="AG496" s="315"/>
      <c r="AH496" s="97"/>
      <c r="AI496" s="67"/>
      <c r="AJ496" s="67"/>
      <c r="AK496" s="67"/>
      <c r="AL496" s="67"/>
      <c r="AM496" s="67"/>
      <c r="AN496" s="67"/>
      <c r="AO496" s="67"/>
      <c r="AP496" s="67"/>
      <c r="AQ496" s="67"/>
      <c r="AR496" s="203"/>
      <c r="AS496" s="203"/>
      <c r="AT496" s="203"/>
    </row>
    <row r="497">
      <c r="A497" s="76" t="s">
        <v>8135</v>
      </c>
      <c r="B497" s="302" t="s">
        <v>4145</v>
      </c>
      <c r="C497" s="86"/>
      <c r="D497" s="86"/>
      <c r="E497" s="875">
        <v>45960.0</v>
      </c>
      <c r="F497" s="86"/>
      <c r="G497" s="86"/>
      <c r="H497" s="86"/>
      <c r="I497" s="86"/>
      <c r="J497" s="76" t="s">
        <v>114</v>
      </c>
      <c r="K497" s="176" t="s">
        <v>8806</v>
      </c>
      <c r="L497" s="85" t="s">
        <v>8139</v>
      </c>
      <c r="M497" s="87" t="s">
        <v>60</v>
      </c>
      <c r="N497" s="766" t="s">
        <v>8807</v>
      </c>
      <c r="O497" s="109" t="s">
        <v>2935</v>
      </c>
      <c r="P497" s="153">
        <v>30951.0</v>
      </c>
      <c r="Q497" s="315">
        <f t="shared" si="45"/>
        <v>30951</v>
      </c>
      <c r="R497" s="86">
        <f t="shared" si="46"/>
        <v>41</v>
      </c>
      <c r="S497" s="315">
        <v>3.095016012E9</v>
      </c>
      <c r="T497" s="315" t="s">
        <v>1479</v>
      </c>
      <c r="U497" s="76" t="s">
        <v>379</v>
      </c>
      <c r="V497" s="76"/>
      <c r="W497" s="76"/>
      <c r="X497" s="76"/>
      <c r="Y497" s="97" t="s">
        <v>371</v>
      </c>
      <c r="Z497" s="76" t="s">
        <v>146</v>
      </c>
      <c r="AA497" s="76" t="s">
        <v>1178</v>
      </c>
      <c r="AB497" s="97"/>
      <c r="AC497" s="771">
        <v>155.0</v>
      </c>
      <c r="AD497" s="99"/>
      <c r="AE497" s="76"/>
      <c r="AF497" s="76"/>
      <c r="AG497" s="112"/>
      <c r="AH497" s="315"/>
      <c r="AI497" s="67"/>
      <c r="AJ497" s="67"/>
      <c r="AK497" s="67"/>
      <c r="AL497" s="67"/>
      <c r="AM497" s="67"/>
      <c r="AN497" s="67"/>
      <c r="AO497" s="67"/>
      <c r="AP497" s="67"/>
      <c r="AQ497" s="67"/>
      <c r="AR497" s="203"/>
      <c r="AS497" s="203"/>
      <c r="AT497" s="203"/>
    </row>
    <row r="498">
      <c r="A498" s="76" t="s">
        <v>8135</v>
      </c>
      <c r="B498" s="302" t="s">
        <v>4145</v>
      </c>
      <c r="C498" s="523"/>
      <c r="D498" s="86"/>
      <c r="E498" s="574">
        <v>46066.0</v>
      </c>
      <c r="F498" s="86"/>
      <c r="G498" s="86"/>
      <c r="H498" s="86"/>
      <c r="I498" s="86"/>
      <c r="J498" s="85"/>
      <c r="K498" s="85"/>
      <c r="L498" s="85" t="s">
        <v>8139</v>
      </c>
      <c r="M498" s="85" t="s">
        <v>60</v>
      </c>
      <c r="N498" s="771" t="s">
        <v>283</v>
      </c>
      <c r="O498" s="76" t="s">
        <v>284</v>
      </c>
      <c r="P498" s="153"/>
      <c r="Q498" s="315"/>
      <c r="R498" s="97"/>
      <c r="S498" s="76"/>
      <c r="T498" s="86"/>
      <c r="U498" s="76" t="s">
        <v>379</v>
      </c>
      <c r="V498" s="76"/>
      <c r="W498" s="76"/>
      <c r="X498" s="76"/>
      <c r="Y498" s="341" t="s">
        <v>146</v>
      </c>
      <c r="Z498" s="168"/>
      <c r="AA498" s="168"/>
      <c r="AB498" s="97"/>
      <c r="AC498" s="877">
        <v>155.0</v>
      </c>
      <c r="AD498" s="168"/>
      <c r="AE498" s="76"/>
      <c r="AF498" s="76"/>
      <c r="AG498" s="76"/>
      <c r="AH498" s="76" t="s">
        <v>8186</v>
      </c>
      <c r="AI498" s="67"/>
      <c r="AJ498" s="67"/>
      <c r="AK498" s="67"/>
      <c r="AL498" s="67"/>
      <c r="AM498" s="67"/>
      <c r="AN498" s="67"/>
      <c r="AO498" s="67"/>
      <c r="AP498" s="67"/>
      <c r="AQ498" s="67"/>
      <c r="AR498" s="203"/>
      <c r="AS498" s="203"/>
      <c r="AT498" s="203"/>
    </row>
    <row r="499">
      <c r="A499" s="76" t="s">
        <v>8135</v>
      </c>
      <c r="B499" s="302" t="s">
        <v>4145</v>
      </c>
      <c r="C499" s="302" t="s">
        <v>8834</v>
      </c>
      <c r="D499" s="76"/>
      <c r="E499" s="524" t="s">
        <v>8836</v>
      </c>
      <c r="F499" s="762"/>
      <c r="G499" s="762"/>
      <c r="H499" s="762"/>
      <c r="I499" s="762"/>
      <c r="J499" s="76"/>
      <c r="K499" s="76"/>
      <c r="L499" s="85" t="s">
        <v>8139</v>
      </c>
      <c r="M499" s="85" t="s">
        <v>60</v>
      </c>
      <c r="N499" s="870" t="s">
        <v>8840</v>
      </c>
      <c r="O499" s="76" t="s">
        <v>2781</v>
      </c>
      <c r="P499" s="153"/>
      <c r="Q499" s="315"/>
      <c r="R499" s="86"/>
      <c r="S499" s="76"/>
      <c r="T499" s="315"/>
      <c r="U499" s="76" t="s">
        <v>379</v>
      </c>
      <c r="V499" s="76"/>
      <c r="W499" s="76"/>
      <c r="X499" s="97"/>
      <c r="Y499" s="97"/>
      <c r="Z499" s="97"/>
      <c r="AA499" s="97"/>
      <c r="AB499" s="97"/>
      <c r="AC499" s="771">
        <v>155.0</v>
      </c>
      <c r="AD499" s="76"/>
      <c r="AE499" s="76"/>
      <c r="AF499" s="76" t="s">
        <v>8847</v>
      </c>
      <c r="AG499" s="189"/>
      <c r="AH499" s="112"/>
      <c r="AI499" s="763"/>
      <c r="AJ499" s="763"/>
      <c r="AK499" s="763"/>
      <c r="AL499" s="763"/>
      <c r="AM499" s="763"/>
      <c r="AN499" s="763"/>
      <c r="AO499" s="763"/>
      <c r="AP499" s="763"/>
      <c r="AQ499" s="763"/>
      <c r="AR499" s="203"/>
      <c r="AS499" s="203"/>
      <c r="AT499" s="203"/>
    </row>
    <row r="500">
      <c r="A500" s="76" t="s">
        <v>8135</v>
      </c>
      <c r="B500" s="450" t="s">
        <v>4145</v>
      </c>
      <c r="C500" s="302" t="s">
        <v>7885</v>
      </c>
      <c r="D500" s="76"/>
      <c r="E500" s="762" t="s">
        <v>8852</v>
      </c>
      <c r="F500" s="762"/>
      <c r="G500" s="762"/>
      <c r="H500" s="762"/>
      <c r="I500" s="762"/>
      <c r="J500" s="762"/>
      <c r="K500" s="762"/>
      <c r="L500" s="85" t="s">
        <v>8139</v>
      </c>
      <c r="M500" s="85" t="s">
        <v>60</v>
      </c>
      <c r="N500" s="882" t="s">
        <v>8853</v>
      </c>
      <c r="O500" s="76" t="s">
        <v>2836</v>
      </c>
      <c r="P500" s="86"/>
      <c r="Q500" s="97"/>
      <c r="R500" s="97"/>
      <c r="S500" s="315"/>
      <c r="T500" s="315"/>
      <c r="U500" s="76" t="s">
        <v>379</v>
      </c>
      <c r="V500" s="76"/>
      <c r="W500" s="76"/>
      <c r="X500" s="97"/>
      <c r="Y500" s="97"/>
      <c r="Z500" s="97"/>
      <c r="AA500" s="97"/>
      <c r="AB500" s="97"/>
      <c r="AC500" s="771">
        <v>155.0</v>
      </c>
      <c r="AD500" s="99"/>
      <c r="AE500" s="76"/>
      <c r="AF500" s="76" t="s">
        <v>7497</v>
      </c>
      <c r="AG500" s="315"/>
      <c r="AH500" s="76" t="s">
        <v>8861</v>
      </c>
      <c r="AI500" s="763"/>
      <c r="AJ500" s="763"/>
      <c r="AK500" s="763"/>
      <c r="AL500" s="763"/>
      <c r="AM500" s="763"/>
      <c r="AN500" s="763"/>
      <c r="AO500" s="763"/>
      <c r="AP500" s="763"/>
      <c r="AQ500" s="763"/>
      <c r="AR500" s="203"/>
      <c r="AS500" s="203"/>
      <c r="AT500" s="203"/>
    </row>
    <row r="501">
      <c r="A501" s="76" t="s">
        <v>8135</v>
      </c>
      <c r="B501" s="450" t="s">
        <v>4145</v>
      </c>
      <c r="C501" s="302" t="s">
        <v>7885</v>
      </c>
      <c r="D501" s="76"/>
      <c r="E501" s="762" t="s">
        <v>8863</v>
      </c>
      <c r="F501" s="762"/>
      <c r="G501" s="762"/>
      <c r="H501" s="762"/>
      <c r="I501" s="762"/>
      <c r="J501" s="85" t="s">
        <v>114</v>
      </c>
      <c r="K501" s="762"/>
      <c r="L501" s="85" t="s">
        <v>8139</v>
      </c>
      <c r="M501" s="85" t="s">
        <v>60</v>
      </c>
      <c r="N501" s="882" t="s">
        <v>8866</v>
      </c>
      <c r="O501" s="76" t="s">
        <v>8868</v>
      </c>
      <c r="P501" s="86"/>
      <c r="Q501" s="97"/>
      <c r="R501" s="97"/>
      <c r="S501" s="315"/>
      <c r="T501" s="315"/>
      <c r="U501" s="76" t="s">
        <v>379</v>
      </c>
      <c r="V501" s="76"/>
      <c r="W501" s="76"/>
      <c r="X501" s="97"/>
      <c r="Y501" s="97"/>
      <c r="Z501" s="97"/>
      <c r="AA501" s="97"/>
      <c r="AB501" s="97"/>
      <c r="AC501" s="771">
        <v>155.0</v>
      </c>
      <c r="AD501" s="99"/>
      <c r="AE501" s="76"/>
      <c r="AF501" s="76" t="s">
        <v>7497</v>
      </c>
      <c r="AG501" s="315"/>
      <c r="AH501" s="76" t="s">
        <v>8861</v>
      </c>
      <c r="AI501" s="763"/>
      <c r="AJ501" s="763"/>
      <c r="AK501" s="763"/>
      <c r="AL501" s="763"/>
      <c r="AM501" s="763"/>
      <c r="AN501" s="763"/>
      <c r="AO501" s="763"/>
      <c r="AP501" s="763"/>
      <c r="AQ501" s="763"/>
      <c r="AR501" s="203"/>
      <c r="AS501" s="203"/>
      <c r="AT501" s="203"/>
    </row>
    <row r="502">
      <c r="A502" s="76" t="s">
        <v>8135</v>
      </c>
      <c r="B502" s="450" t="s">
        <v>4145</v>
      </c>
      <c r="C502" s="302" t="s">
        <v>7885</v>
      </c>
      <c r="D502" s="76"/>
      <c r="E502" s="762" t="s">
        <v>8863</v>
      </c>
      <c r="F502" s="762"/>
      <c r="G502" s="762"/>
      <c r="H502" s="762"/>
      <c r="I502" s="762"/>
      <c r="J502" s="762"/>
      <c r="K502" s="762"/>
      <c r="L502" s="85" t="s">
        <v>8139</v>
      </c>
      <c r="M502" s="85" t="s">
        <v>326</v>
      </c>
      <c r="N502" s="882" t="s">
        <v>8876</v>
      </c>
      <c r="O502" s="76" t="s">
        <v>8877</v>
      </c>
      <c r="P502" s="86"/>
      <c r="Q502" s="97"/>
      <c r="R502" s="97"/>
      <c r="S502" s="315"/>
      <c r="T502" s="315"/>
      <c r="U502" s="76" t="s">
        <v>379</v>
      </c>
      <c r="V502" s="76"/>
      <c r="W502" s="76"/>
      <c r="X502" s="97"/>
      <c r="Y502" s="97"/>
      <c r="Z502" s="97"/>
      <c r="AA502" s="97"/>
      <c r="AB502" s="97"/>
      <c r="AC502" s="771">
        <v>155.0</v>
      </c>
      <c r="AD502" s="99"/>
      <c r="AE502" s="76"/>
      <c r="AF502" s="76" t="s">
        <v>7497</v>
      </c>
      <c r="AG502" s="315"/>
      <c r="AH502" s="76" t="s">
        <v>8861</v>
      </c>
      <c r="AI502" s="763"/>
      <c r="AJ502" s="763"/>
      <c r="AK502" s="763"/>
      <c r="AL502" s="763"/>
      <c r="AM502" s="763"/>
      <c r="AN502" s="763"/>
      <c r="AO502" s="763"/>
      <c r="AP502" s="763"/>
      <c r="AQ502" s="763"/>
      <c r="AR502" s="203"/>
      <c r="AS502" s="203"/>
      <c r="AT502" s="203"/>
    </row>
    <row r="503">
      <c r="A503" s="76" t="s">
        <v>8135</v>
      </c>
      <c r="B503" s="718" t="s">
        <v>1039</v>
      </c>
      <c r="C503" s="241" t="s">
        <v>1269</v>
      </c>
      <c r="D503" s="688" t="s">
        <v>1368</v>
      </c>
      <c r="E503" s="884" t="s">
        <v>187</v>
      </c>
      <c r="F503" s="885" t="s">
        <v>1469</v>
      </c>
      <c r="G503" s="688" t="s">
        <v>60</v>
      </c>
      <c r="H503" s="687" t="s">
        <v>1221</v>
      </c>
      <c r="I503" s="688" t="s">
        <v>1443</v>
      </c>
      <c r="J503" s="241" t="s">
        <v>114</v>
      </c>
      <c r="K503" s="886" t="s">
        <v>8891</v>
      </c>
      <c r="L503" s="887"/>
      <c r="M503" s="241" t="s">
        <v>60</v>
      </c>
      <c r="N503" s="888" t="s">
        <v>8337</v>
      </c>
      <c r="O503" s="889" t="s">
        <v>8338</v>
      </c>
      <c r="P503" s="707">
        <v>29557.0</v>
      </c>
      <c r="Q503" s="731">
        <f t="shared" ref="Q503:Q543" si="47">VALUE(LEFT(TEXT(S503,0),5))+1</f>
        <v>29557</v>
      </c>
      <c r="R503" s="688">
        <f t="shared" ref="R503:R543" si="48">DATEDIF($P503,TODAY(),"Y")</f>
        <v>45</v>
      </c>
      <c r="S503" s="703">
        <v>2.955600173E9</v>
      </c>
      <c r="T503" s="891"/>
      <c r="U503" s="708" t="s">
        <v>379</v>
      </c>
      <c r="V503" s="887"/>
      <c r="W503" s="892"/>
      <c r="X503" s="887"/>
      <c r="Y503" s="241" t="s">
        <v>371</v>
      </c>
      <c r="Z503" s="887"/>
      <c r="AA503" s="241" t="s">
        <v>1178</v>
      </c>
      <c r="AB503" s="887"/>
      <c r="AC503" s="893">
        <v>155.0</v>
      </c>
      <c r="AD503" s="895"/>
      <c r="AE503" s="887"/>
      <c r="AF503" s="887"/>
      <c r="AG503" s="887"/>
      <c r="AH503" s="891"/>
      <c r="AI503" s="896"/>
      <c r="AJ503" s="896"/>
      <c r="AK503" s="896"/>
      <c r="AL503" s="896"/>
      <c r="AM503" s="896"/>
      <c r="AN503" s="896"/>
      <c r="AO503" s="896"/>
      <c r="AP503" s="896"/>
      <c r="AQ503" s="896"/>
      <c r="AR503" s="203"/>
      <c r="AS503" s="203"/>
      <c r="AT503" s="203"/>
    </row>
    <row r="504">
      <c r="A504" s="76" t="s">
        <v>8135</v>
      </c>
      <c r="B504" s="718" t="s">
        <v>1039</v>
      </c>
      <c r="C504" s="241" t="s">
        <v>1269</v>
      </c>
      <c r="D504" s="688" t="s">
        <v>1368</v>
      </c>
      <c r="E504" s="700" t="s">
        <v>213</v>
      </c>
      <c r="F504" s="885" t="s">
        <v>1523</v>
      </c>
      <c r="G504" s="745" t="s">
        <v>60</v>
      </c>
      <c r="H504" s="687" t="s">
        <v>1221</v>
      </c>
      <c r="I504" s="688" t="s">
        <v>1443</v>
      </c>
      <c r="J504" s="241" t="s">
        <v>114</v>
      </c>
      <c r="K504" s="898" t="s">
        <v>8915</v>
      </c>
      <c r="L504" s="887"/>
      <c r="M504" s="706" t="s">
        <v>60</v>
      </c>
      <c r="N504" s="888" t="s">
        <v>8916</v>
      </c>
      <c r="O504" s="688" t="s">
        <v>8917</v>
      </c>
      <c r="P504" s="707">
        <v>29910.0</v>
      </c>
      <c r="Q504" s="731">
        <f t="shared" si="47"/>
        <v>29910</v>
      </c>
      <c r="R504" s="688">
        <f t="shared" si="48"/>
        <v>44</v>
      </c>
      <c r="S504" s="703">
        <v>2.990916074E9</v>
      </c>
      <c r="T504" s="703" t="s">
        <v>1479</v>
      </c>
      <c r="U504" s="708" t="s">
        <v>379</v>
      </c>
      <c r="V504" s="887"/>
      <c r="W504" s="892"/>
      <c r="X504" s="887"/>
      <c r="Y504" s="241" t="s">
        <v>1174</v>
      </c>
      <c r="Z504" s="900" t="s">
        <v>1725</v>
      </c>
      <c r="AA504" s="887"/>
      <c r="AB504" s="887"/>
      <c r="AC504" s="893">
        <v>155.0</v>
      </c>
      <c r="AD504" s="895"/>
      <c r="AE504" s="887"/>
      <c r="AF504" s="887"/>
      <c r="AG504" s="901"/>
      <c r="AH504" s="902"/>
      <c r="AI504" s="896"/>
      <c r="AJ504" s="896"/>
      <c r="AK504" s="896"/>
      <c r="AL504" s="896"/>
      <c r="AM504" s="896"/>
      <c r="AN504" s="896"/>
      <c r="AO504" s="896"/>
      <c r="AP504" s="896"/>
      <c r="AQ504" s="896"/>
      <c r="AR504" s="203"/>
      <c r="AS504" s="203"/>
      <c r="AT504" s="203"/>
    </row>
    <row r="505">
      <c r="A505" s="76" t="s">
        <v>8135</v>
      </c>
      <c r="B505" s="718" t="s">
        <v>1039</v>
      </c>
      <c r="C505" s="241" t="s">
        <v>1269</v>
      </c>
      <c r="D505" s="688" t="s">
        <v>1519</v>
      </c>
      <c r="E505" s="744" t="s">
        <v>201</v>
      </c>
      <c r="F505" s="885" t="s">
        <v>1849</v>
      </c>
      <c r="G505" s="688" t="s">
        <v>60</v>
      </c>
      <c r="H505" s="687" t="s">
        <v>1221</v>
      </c>
      <c r="I505" s="688" t="s">
        <v>1443</v>
      </c>
      <c r="J505" s="706" t="s">
        <v>114</v>
      </c>
      <c r="K505" s="898" t="s">
        <v>8933</v>
      </c>
      <c r="L505" s="887"/>
      <c r="M505" s="706" t="s">
        <v>60</v>
      </c>
      <c r="N505" s="888" t="s">
        <v>8935</v>
      </c>
      <c r="O505" s="688" t="s">
        <v>4024</v>
      </c>
      <c r="P505" s="707">
        <v>32573.0</v>
      </c>
      <c r="Q505" s="731">
        <f t="shared" si="47"/>
        <v>32573</v>
      </c>
      <c r="R505" s="688">
        <f t="shared" si="48"/>
        <v>37</v>
      </c>
      <c r="S505" s="703">
        <v>3.257218076E9</v>
      </c>
      <c r="T505" s="703" t="s">
        <v>1317</v>
      </c>
      <c r="U505" s="708" t="s">
        <v>379</v>
      </c>
      <c r="V505" s="887"/>
      <c r="W505" s="892"/>
      <c r="X505" s="887"/>
      <c r="Y505" s="887"/>
      <c r="Z505" s="241" t="s">
        <v>146</v>
      </c>
      <c r="AA505" s="887"/>
      <c r="AB505" s="241" t="s">
        <v>226</v>
      </c>
      <c r="AC505" s="893">
        <v>155.0</v>
      </c>
      <c r="AD505" s="895"/>
      <c r="AE505" s="887"/>
      <c r="AF505" s="887"/>
      <c r="AG505" s="887"/>
      <c r="AH505" s="891"/>
      <c r="AI505" s="896"/>
      <c r="AJ505" s="896"/>
      <c r="AK505" s="896"/>
      <c r="AL505" s="896"/>
      <c r="AM505" s="896"/>
      <c r="AN505" s="896"/>
      <c r="AO505" s="896"/>
      <c r="AP505" s="896"/>
      <c r="AQ505" s="896"/>
      <c r="AR505" s="203"/>
      <c r="AS505" s="203"/>
      <c r="AT505" s="203"/>
    </row>
    <row r="506">
      <c r="A506" s="76" t="s">
        <v>8135</v>
      </c>
      <c r="B506" s="718" t="s">
        <v>1039</v>
      </c>
      <c r="C506" s="241" t="s">
        <v>1517</v>
      </c>
      <c r="D506" s="688" t="s">
        <v>1368</v>
      </c>
      <c r="E506" s="711" t="s">
        <v>212</v>
      </c>
      <c r="F506" s="885" t="s">
        <v>2203</v>
      </c>
      <c r="G506" s="688" t="s">
        <v>326</v>
      </c>
      <c r="H506" s="687" t="s">
        <v>1221</v>
      </c>
      <c r="I506" s="688" t="s">
        <v>1443</v>
      </c>
      <c r="J506" s="241" t="s">
        <v>114</v>
      </c>
      <c r="K506" s="898" t="s">
        <v>8944</v>
      </c>
      <c r="L506" s="887"/>
      <c r="M506" s="706" t="s">
        <v>326</v>
      </c>
      <c r="N506" s="888" t="s">
        <v>8946</v>
      </c>
      <c r="O506" s="688" t="s">
        <v>8947</v>
      </c>
      <c r="P506" s="707">
        <v>32091.0</v>
      </c>
      <c r="Q506" s="731">
        <f t="shared" si="47"/>
        <v>32091</v>
      </c>
      <c r="R506" s="688">
        <f t="shared" si="48"/>
        <v>38</v>
      </c>
      <c r="S506" s="703">
        <v>3.209092917E9</v>
      </c>
      <c r="T506" s="703" t="s">
        <v>1479</v>
      </c>
      <c r="U506" s="708" t="s">
        <v>379</v>
      </c>
      <c r="V506" s="887"/>
      <c r="W506" s="892"/>
      <c r="X506" s="887"/>
      <c r="Y506" s="241" t="s">
        <v>1174</v>
      </c>
      <c r="Z506" s="900" t="s">
        <v>1725</v>
      </c>
      <c r="AA506" s="887"/>
      <c r="AB506" s="887"/>
      <c r="AC506" s="893">
        <v>155.0</v>
      </c>
      <c r="AD506" s="895"/>
      <c r="AE506" s="887"/>
      <c r="AF506" s="887"/>
      <c r="AG506" s="887"/>
      <c r="AH506" s="891"/>
      <c r="AI506" s="896"/>
      <c r="AJ506" s="896"/>
      <c r="AK506" s="896"/>
      <c r="AL506" s="896"/>
      <c r="AM506" s="896"/>
      <c r="AN506" s="896"/>
      <c r="AO506" s="896"/>
      <c r="AP506" s="896"/>
      <c r="AQ506" s="896"/>
      <c r="AR506" s="203"/>
      <c r="AS506" s="203"/>
      <c r="AT506" s="203"/>
    </row>
    <row r="507">
      <c r="A507" s="76" t="s">
        <v>8135</v>
      </c>
      <c r="B507" s="718" t="s">
        <v>1039</v>
      </c>
      <c r="C507" s="241" t="s">
        <v>1517</v>
      </c>
      <c r="D507" s="688" t="s">
        <v>1494</v>
      </c>
      <c r="E507" s="884" t="s">
        <v>213</v>
      </c>
      <c r="F507" s="885" t="s">
        <v>1523</v>
      </c>
      <c r="G507" s="688" t="s">
        <v>60</v>
      </c>
      <c r="H507" s="687" t="s">
        <v>1221</v>
      </c>
      <c r="I507" s="688" t="s">
        <v>1443</v>
      </c>
      <c r="J507" s="241" t="s">
        <v>114</v>
      </c>
      <c r="K507" s="706" t="s">
        <v>8954</v>
      </c>
      <c r="L507" s="887"/>
      <c r="M507" s="706" t="s">
        <v>60</v>
      </c>
      <c r="N507" s="888" t="s">
        <v>8955</v>
      </c>
      <c r="O507" s="687" t="s">
        <v>8957</v>
      </c>
      <c r="P507" s="707">
        <v>29996.0</v>
      </c>
      <c r="Q507" s="731">
        <f t="shared" si="47"/>
        <v>29996</v>
      </c>
      <c r="R507" s="688">
        <f t="shared" si="48"/>
        <v>44</v>
      </c>
      <c r="S507" s="703">
        <v>2.999503971E9</v>
      </c>
      <c r="T507" s="703" t="s">
        <v>1479</v>
      </c>
      <c r="U507" s="708" t="s">
        <v>379</v>
      </c>
      <c r="V507" s="887"/>
      <c r="W507" s="892"/>
      <c r="X507" s="887"/>
      <c r="Y507" s="241" t="s">
        <v>1174</v>
      </c>
      <c r="Z507" s="904" t="s">
        <v>991</v>
      </c>
      <c r="AA507" s="887"/>
      <c r="AB507" s="887"/>
      <c r="AC507" s="893">
        <v>155.0</v>
      </c>
      <c r="AD507" s="895"/>
      <c r="AE507" s="887"/>
      <c r="AF507" s="887"/>
      <c r="AG507" s="887"/>
      <c r="AH507" s="901"/>
      <c r="AI507" s="896"/>
      <c r="AJ507" s="896"/>
      <c r="AK507" s="896"/>
      <c r="AL507" s="896"/>
      <c r="AM507" s="896"/>
      <c r="AN507" s="896"/>
      <c r="AO507" s="896"/>
      <c r="AP507" s="896"/>
      <c r="AQ507" s="896"/>
      <c r="AR507" s="203"/>
      <c r="AS507" s="203"/>
      <c r="AT507" s="203"/>
    </row>
    <row r="508">
      <c r="A508" s="76" t="s">
        <v>8135</v>
      </c>
      <c r="B508" s="718" t="s">
        <v>1039</v>
      </c>
      <c r="C508" s="241" t="s">
        <v>1611</v>
      </c>
      <c r="D508" s="688" t="s">
        <v>1368</v>
      </c>
      <c r="E508" s="700" t="s">
        <v>139</v>
      </c>
      <c r="F508" s="885" t="s">
        <v>1520</v>
      </c>
      <c r="G508" s="688" t="s">
        <v>60</v>
      </c>
      <c r="H508" s="687" t="s">
        <v>1221</v>
      </c>
      <c r="I508" s="688" t="s">
        <v>1443</v>
      </c>
      <c r="J508" s="241" t="s">
        <v>114</v>
      </c>
      <c r="K508" s="887"/>
      <c r="L508" s="887"/>
      <c r="M508" s="706" t="s">
        <v>326</v>
      </c>
      <c r="N508" s="888" t="s">
        <v>7830</v>
      </c>
      <c r="O508" s="905" t="s">
        <v>7832</v>
      </c>
      <c r="P508" s="707">
        <v>37172.0</v>
      </c>
      <c r="Q508" s="703" t="str">
        <f t="shared" si="47"/>
        <v>#VALUE!</v>
      </c>
      <c r="R508" s="688">
        <f t="shared" si="48"/>
        <v>24</v>
      </c>
      <c r="S508" s="703" t="s">
        <v>3642</v>
      </c>
      <c r="T508" s="891"/>
      <c r="U508" s="708" t="s">
        <v>379</v>
      </c>
      <c r="V508" s="887"/>
      <c r="W508" s="892"/>
      <c r="X508" s="887"/>
      <c r="Y508" s="241" t="s">
        <v>183</v>
      </c>
      <c r="Z508" s="900" t="s">
        <v>1725</v>
      </c>
      <c r="AA508" s="241" t="s">
        <v>1178</v>
      </c>
      <c r="AB508" s="887"/>
      <c r="AC508" s="893">
        <v>155.0</v>
      </c>
      <c r="AD508" s="895"/>
      <c r="AE508" s="887"/>
      <c r="AF508" s="887"/>
      <c r="AG508" s="887"/>
      <c r="AH508" s="891"/>
      <c r="AI508" s="896"/>
      <c r="AJ508" s="896"/>
      <c r="AK508" s="896"/>
      <c r="AL508" s="896"/>
      <c r="AM508" s="896"/>
      <c r="AN508" s="896"/>
      <c r="AO508" s="896"/>
      <c r="AP508" s="896"/>
      <c r="AQ508" s="896"/>
      <c r="AR508" s="203"/>
      <c r="AS508" s="203"/>
      <c r="AT508" s="203"/>
    </row>
    <row r="509">
      <c r="A509" s="76" t="s">
        <v>8135</v>
      </c>
      <c r="B509" s="718" t="s">
        <v>1645</v>
      </c>
      <c r="C509" s="706" t="s">
        <v>1728</v>
      </c>
      <c r="D509" s="688" t="s">
        <v>121</v>
      </c>
      <c r="E509" s="711" t="s">
        <v>178</v>
      </c>
      <c r="F509" s="885" t="s">
        <v>3247</v>
      </c>
      <c r="G509" s="688" t="s">
        <v>102</v>
      </c>
      <c r="H509" s="906" t="s">
        <v>3336</v>
      </c>
      <c r="I509" s="906" t="s">
        <v>3336</v>
      </c>
      <c r="J509" s="241" t="s">
        <v>114</v>
      </c>
      <c r="K509" s="706" t="s">
        <v>8974</v>
      </c>
      <c r="L509" s="887"/>
      <c r="M509" s="706" t="s">
        <v>102</v>
      </c>
      <c r="N509" s="888" t="s">
        <v>8975</v>
      </c>
      <c r="O509" s="907" t="s">
        <v>1037</v>
      </c>
      <c r="P509" s="707">
        <v>30107.0</v>
      </c>
      <c r="Q509" s="731">
        <f t="shared" si="47"/>
        <v>30107</v>
      </c>
      <c r="R509" s="688">
        <f t="shared" si="48"/>
        <v>44</v>
      </c>
      <c r="S509" s="703">
        <v>3.010614692E9</v>
      </c>
      <c r="T509" s="703" t="s">
        <v>1479</v>
      </c>
      <c r="U509" s="708" t="s">
        <v>379</v>
      </c>
      <c r="V509" s="887"/>
      <c r="W509" s="892"/>
      <c r="X509" s="887"/>
      <c r="Y509" s="241" t="s">
        <v>1174</v>
      </c>
      <c r="Z509" s="908" t="s">
        <v>2090</v>
      </c>
      <c r="AA509" s="887"/>
      <c r="AB509" s="887"/>
      <c r="AC509" s="893">
        <v>155.0</v>
      </c>
      <c r="AD509" s="895"/>
      <c r="AE509" s="887"/>
      <c r="AF509" s="887"/>
      <c r="AG509" s="887"/>
      <c r="AH509" s="891"/>
      <c r="AI509" s="896"/>
      <c r="AJ509" s="896"/>
      <c r="AK509" s="896"/>
      <c r="AL509" s="896"/>
      <c r="AM509" s="896"/>
      <c r="AN509" s="896"/>
      <c r="AO509" s="896"/>
      <c r="AP509" s="896"/>
      <c r="AQ509" s="896"/>
      <c r="AR509" s="203"/>
      <c r="AS509" s="203"/>
      <c r="AT509" s="203"/>
    </row>
    <row r="510">
      <c r="A510" s="76" t="s">
        <v>8135</v>
      </c>
      <c r="B510" s="718" t="s">
        <v>1709</v>
      </c>
      <c r="C510" s="241" t="s">
        <v>1728</v>
      </c>
      <c r="D510" s="688" t="s">
        <v>121</v>
      </c>
      <c r="E510" s="711" t="s">
        <v>178</v>
      </c>
      <c r="F510" s="885" t="s">
        <v>3247</v>
      </c>
      <c r="G510" s="745" t="s">
        <v>102</v>
      </c>
      <c r="H510" s="906" t="s">
        <v>3336</v>
      </c>
      <c r="I510" s="906" t="s">
        <v>3336</v>
      </c>
      <c r="J510" s="241" t="s">
        <v>114</v>
      </c>
      <c r="K510" s="887"/>
      <c r="L510" s="887"/>
      <c r="M510" s="706" t="s">
        <v>102</v>
      </c>
      <c r="N510" s="888" t="s">
        <v>8994</v>
      </c>
      <c r="O510" s="911" t="s">
        <v>284</v>
      </c>
      <c r="P510" s="707">
        <v>31354.0</v>
      </c>
      <c r="Q510" s="731">
        <f t="shared" si="47"/>
        <v>31354</v>
      </c>
      <c r="R510" s="688">
        <f t="shared" si="48"/>
        <v>40</v>
      </c>
      <c r="S510" s="703">
        <v>3.135303555E9</v>
      </c>
      <c r="T510" s="703" t="s">
        <v>1548</v>
      </c>
      <c r="U510" s="708" t="s">
        <v>379</v>
      </c>
      <c r="V510" s="887"/>
      <c r="W510" s="892"/>
      <c r="X510" s="887"/>
      <c r="Y510" s="241" t="s">
        <v>183</v>
      </c>
      <c r="Z510" s="904" t="s">
        <v>991</v>
      </c>
      <c r="AA510" s="241" t="s">
        <v>1178</v>
      </c>
      <c r="AB510" s="887"/>
      <c r="AC510" s="893">
        <v>155.0</v>
      </c>
      <c r="AD510" s="895"/>
      <c r="AE510" s="887"/>
      <c r="AF510" s="887"/>
      <c r="AG510" s="887"/>
      <c r="AH510" s="891"/>
      <c r="AI510" s="896"/>
      <c r="AJ510" s="896"/>
      <c r="AK510" s="896"/>
      <c r="AL510" s="896"/>
      <c r="AM510" s="896"/>
      <c r="AN510" s="896"/>
      <c r="AO510" s="896"/>
      <c r="AP510" s="896"/>
      <c r="AQ510" s="896"/>
      <c r="AR510" s="203"/>
      <c r="AS510" s="203"/>
      <c r="AT510" s="203"/>
    </row>
    <row r="511">
      <c r="A511" s="76" t="s">
        <v>8135</v>
      </c>
      <c r="B511" s="718" t="s">
        <v>3722</v>
      </c>
      <c r="C511" s="241" t="s">
        <v>9001</v>
      </c>
      <c r="D511" s="688" t="s">
        <v>7574</v>
      </c>
      <c r="E511" s="711" t="s">
        <v>152</v>
      </c>
      <c r="F511" s="885" t="s">
        <v>7116</v>
      </c>
      <c r="G511" s="688" t="s">
        <v>60</v>
      </c>
      <c r="H511" s="687" t="s">
        <v>1221</v>
      </c>
      <c r="I511" s="688" t="s">
        <v>1443</v>
      </c>
      <c r="J511" s="706" t="s">
        <v>114</v>
      </c>
      <c r="K511" s="887"/>
      <c r="L511" s="887"/>
      <c r="M511" s="706" t="s">
        <v>60</v>
      </c>
      <c r="N511" s="888" t="s">
        <v>9005</v>
      </c>
      <c r="O511" s="687" t="s">
        <v>9006</v>
      </c>
      <c r="P511" s="912">
        <v>32669.0</v>
      </c>
      <c r="Q511" s="703">
        <f t="shared" si="47"/>
        <v>32824</v>
      </c>
      <c r="R511" s="688">
        <f t="shared" si="48"/>
        <v>37</v>
      </c>
      <c r="S511" s="703">
        <v>3.282317712E9</v>
      </c>
      <c r="T511" s="891"/>
      <c r="U511" s="708" t="s">
        <v>379</v>
      </c>
      <c r="V511" s="887"/>
      <c r="W511" s="892"/>
      <c r="X511" s="887"/>
      <c r="Y511" s="887"/>
      <c r="Z511" s="887"/>
      <c r="AA511" s="887"/>
      <c r="AB511" s="887"/>
      <c r="AC511" s="893">
        <v>155.0</v>
      </c>
      <c r="AD511" s="895"/>
      <c r="AE511" s="887"/>
      <c r="AF511" s="887"/>
      <c r="AG511" s="887"/>
      <c r="AH511" s="902"/>
      <c r="AI511" s="896"/>
      <c r="AJ511" s="896"/>
      <c r="AK511" s="896"/>
      <c r="AL511" s="896"/>
      <c r="AM511" s="896"/>
      <c r="AN511" s="896"/>
      <c r="AO511" s="896"/>
      <c r="AP511" s="896"/>
      <c r="AQ511" s="896"/>
      <c r="AR511" s="203"/>
      <c r="AS511" s="203"/>
      <c r="AT511" s="203"/>
    </row>
    <row r="512">
      <c r="A512" s="76" t="s">
        <v>8135</v>
      </c>
      <c r="B512" s="718" t="s">
        <v>3722</v>
      </c>
      <c r="C512" s="241" t="s">
        <v>3724</v>
      </c>
      <c r="D512" s="688" t="s">
        <v>7870</v>
      </c>
      <c r="E512" s="744" t="s">
        <v>786</v>
      </c>
      <c r="F512" s="885" t="s">
        <v>1216</v>
      </c>
      <c r="G512" s="688" t="s">
        <v>60</v>
      </c>
      <c r="H512" s="687" t="s">
        <v>1221</v>
      </c>
      <c r="I512" s="688" t="s">
        <v>1443</v>
      </c>
      <c r="J512" s="706" t="s">
        <v>114</v>
      </c>
      <c r="K512" s="556" t="s">
        <v>9013</v>
      </c>
      <c r="L512" s="887"/>
      <c r="M512" s="706" t="s">
        <v>60</v>
      </c>
      <c r="N512" s="888" t="s">
        <v>9016</v>
      </c>
      <c r="O512" s="687" t="s">
        <v>2837</v>
      </c>
      <c r="P512" s="912">
        <v>26892.0</v>
      </c>
      <c r="Q512" s="731">
        <f t="shared" si="47"/>
        <v>26892</v>
      </c>
      <c r="R512" s="688">
        <f t="shared" si="48"/>
        <v>53</v>
      </c>
      <c r="S512" s="703">
        <v>2.689118019E9</v>
      </c>
      <c r="T512" s="703" t="s">
        <v>378</v>
      </c>
      <c r="U512" s="708" t="s">
        <v>379</v>
      </c>
      <c r="V512" s="887"/>
      <c r="W512" s="892"/>
      <c r="X512" s="887"/>
      <c r="Y512" s="887"/>
      <c r="Z512" s="887"/>
      <c r="AA512" s="887"/>
      <c r="AB512" s="887"/>
      <c r="AC512" s="893">
        <v>155.0</v>
      </c>
      <c r="AD512" s="895"/>
      <c r="AE512" s="887"/>
      <c r="AF512" s="895"/>
      <c r="AG512" s="901"/>
      <c r="AH512" s="891"/>
      <c r="AI512" s="896"/>
      <c r="AJ512" s="896"/>
      <c r="AK512" s="896"/>
      <c r="AL512" s="896"/>
      <c r="AM512" s="896"/>
      <c r="AN512" s="896"/>
      <c r="AO512" s="896"/>
      <c r="AP512" s="896"/>
      <c r="AQ512" s="896"/>
      <c r="AR512" s="203"/>
      <c r="AS512" s="203"/>
      <c r="AT512" s="203"/>
    </row>
    <row r="513">
      <c r="A513" s="76" t="s">
        <v>8135</v>
      </c>
      <c r="B513" s="718" t="s">
        <v>1728</v>
      </c>
      <c r="C513" s="241" t="s">
        <v>3031</v>
      </c>
      <c r="D513" s="688" t="s">
        <v>121</v>
      </c>
      <c r="E513" s="884" t="s">
        <v>213</v>
      </c>
      <c r="F513" s="885" t="s">
        <v>9020</v>
      </c>
      <c r="G513" s="745" t="s">
        <v>60</v>
      </c>
      <c r="H513" s="687" t="s">
        <v>1221</v>
      </c>
      <c r="I513" s="688" t="s">
        <v>1443</v>
      </c>
      <c r="J513" s="706" t="s">
        <v>114</v>
      </c>
      <c r="K513" s="886" t="s">
        <v>9022</v>
      </c>
      <c r="L513" s="887"/>
      <c r="M513" s="241" t="s">
        <v>60</v>
      </c>
      <c r="N513" s="888" t="s">
        <v>9023</v>
      </c>
      <c r="O513" s="907" t="s">
        <v>9024</v>
      </c>
      <c r="P513" s="707">
        <v>29961.0</v>
      </c>
      <c r="Q513" s="731">
        <f t="shared" si="47"/>
        <v>29961</v>
      </c>
      <c r="R513" s="688">
        <f t="shared" si="48"/>
        <v>44</v>
      </c>
      <c r="S513" s="703">
        <v>2.996008599E9</v>
      </c>
      <c r="T513" s="891"/>
      <c r="U513" s="708" t="s">
        <v>379</v>
      </c>
      <c r="V513" s="887"/>
      <c r="W513" s="892"/>
      <c r="X513" s="887"/>
      <c r="Y513" s="887"/>
      <c r="Z513" s="915" t="s">
        <v>2482</v>
      </c>
      <c r="AA513" s="887"/>
      <c r="AB513" s="887"/>
      <c r="AC513" s="893">
        <v>155.0</v>
      </c>
      <c r="AD513" s="895"/>
      <c r="AE513" s="887"/>
      <c r="AF513" s="887"/>
      <c r="AG513" s="887"/>
      <c r="AH513" s="891"/>
      <c r="AI513" s="896"/>
      <c r="AJ513" s="896"/>
      <c r="AK513" s="896"/>
      <c r="AL513" s="896"/>
      <c r="AM513" s="896"/>
      <c r="AN513" s="896"/>
      <c r="AO513" s="896"/>
      <c r="AP513" s="896"/>
      <c r="AQ513" s="896"/>
      <c r="AR513" s="203"/>
      <c r="AS513" s="203"/>
      <c r="AT513" s="203"/>
    </row>
    <row r="514">
      <c r="A514" s="76" t="s">
        <v>8135</v>
      </c>
      <c r="B514" s="718" t="s">
        <v>1728</v>
      </c>
      <c r="C514" s="241" t="s">
        <v>1729</v>
      </c>
      <c r="D514" s="688" t="s">
        <v>121</v>
      </c>
      <c r="E514" s="884" t="s">
        <v>178</v>
      </c>
      <c r="F514" s="885" t="s">
        <v>3247</v>
      </c>
      <c r="G514" s="688" t="s">
        <v>102</v>
      </c>
      <c r="H514" s="906" t="s">
        <v>3336</v>
      </c>
      <c r="I514" s="906" t="s">
        <v>3336</v>
      </c>
      <c r="J514" s="706" t="s">
        <v>114</v>
      </c>
      <c r="K514" s="556" t="s">
        <v>9029</v>
      </c>
      <c r="L514" s="887"/>
      <c r="M514" s="706" t="s">
        <v>102</v>
      </c>
      <c r="N514" s="888" t="s">
        <v>3276</v>
      </c>
      <c r="O514" s="911" t="s">
        <v>3277</v>
      </c>
      <c r="P514" s="916">
        <v>34686.0</v>
      </c>
      <c r="Q514" s="731">
        <f t="shared" si="47"/>
        <v>34686</v>
      </c>
      <c r="R514" s="688">
        <f t="shared" si="48"/>
        <v>31</v>
      </c>
      <c r="S514" s="703">
        <v>3.468505453E9</v>
      </c>
      <c r="T514" s="703" t="s">
        <v>1317</v>
      </c>
      <c r="U514" s="708" t="s">
        <v>379</v>
      </c>
      <c r="V514" s="887"/>
      <c r="W514" s="892"/>
      <c r="X514" s="887"/>
      <c r="Y514" s="887"/>
      <c r="Z514" s="887"/>
      <c r="AA514" s="887"/>
      <c r="AB514" s="887"/>
      <c r="AC514" s="893">
        <v>155.0</v>
      </c>
      <c r="AD514" s="895"/>
      <c r="AE514" s="887"/>
      <c r="AF514" s="918"/>
      <c r="AG514" s="887"/>
      <c r="AH514" s="918"/>
      <c r="AI514" s="896"/>
      <c r="AJ514" s="896"/>
      <c r="AK514" s="896"/>
      <c r="AL514" s="896"/>
      <c r="AM514" s="896"/>
      <c r="AN514" s="896"/>
      <c r="AO514" s="896"/>
      <c r="AP514" s="896"/>
      <c r="AQ514" s="896"/>
      <c r="AR514" s="203"/>
      <c r="AS514" s="203"/>
      <c r="AT514" s="203"/>
    </row>
    <row r="515">
      <c r="A515" s="76" t="s">
        <v>8135</v>
      </c>
      <c r="B515" s="718" t="s">
        <v>3297</v>
      </c>
      <c r="C515" s="241" t="s">
        <v>3298</v>
      </c>
      <c r="D515" s="688" t="s">
        <v>121</v>
      </c>
      <c r="E515" s="744" t="s">
        <v>178</v>
      </c>
      <c r="F515" s="885" t="s">
        <v>8547</v>
      </c>
      <c r="G515" s="688" t="s">
        <v>102</v>
      </c>
      <c r="H515" s="906" t="s">
        <v>3336</v>
      </c>
      <c r="I515" s="688" t="s">
        <v>1443</v>
      </c>
      <c r="J515" s="241" t="s">
        <v>114</v>
      </c>
      <c r="K515" s="887"/>
      <c r="L515" s="887"/>
      <c r="M515" s="706" t="s">
        <v>102</v>
      </c>
      <c r="N515" s="888" t="s">
        <v>9037</v>
      </c>
      <c r="O515" s="911" t="s">
        <v>943</v>
      </c>
      <c r="P515" s="916">
        <v>28814.0</v>
      </c>
      <c r="Q515" s="731">
        <f t="shared" si="47"/>
        <v>28814</v>
      </c>
      <c r="R515" s="688">
        <f t="shared" si="48"/>
        <v>47</v>
      </c>
      <c r="S515" s="703" t="s">
        <v>9040</v>
      </c>
      <c r="T515" s="703" t="s">
        <v>1317</v>
      </c>
      <c r="U515" s="708" t="s">
        <v>379</v>
      </c>
      <c r="V515" s="887"/>
      <c r="W515" s="892"/>
      <c r="X515" s="887"/>
      <c r="Y515" s="887"/>
      <c r="Z515" s="887"/>
      <c r="AA515" s="887"/>
      <c r="AB515" s="887"/>
      <c r="AC515" s="893">
        <v>155.0</v>
      </c>
      <c r="AD515" s="895"/>
      <c r="AE515" s="887"/>
      <c r="AF515" s="887"/>
      <c r="AG515" s="901"/>
      <c r="AH515" s="891"/>
      <c r="AI515" s="896"/>
      <c r="AJ515" s="896"/>
      <c r="AK515" s="896"/>
      <c r="AL515" s="896"/>
      <c r="AM515" s="896"/>
      <c r="AN515" s="896"/>
      <c r="AO515" s="896"/>
      <c r="AP515" s="896"/>
      <c r="AQ515" s="896"/>
      <c r="AR515" s="203"/>
      <c r="AS515" s="203"/>
      <c r="AT515" s="203"/>
    </row>
    <row r="516">
      <c r="A516" s="76" t="s">
        <v>8135</v>
      </c>
      <c r="B516" s="718" t="s">
        <v>3297</v>
      </c>
      <c r="C516" s="241" t="s">
        <v>8546</v>
      </c>
      <c r="D516" s="688" t="s">
        <v>121</v>
      </c>
      <c r="E516" s="744" t="s">
        <v>201</v>
      </c>
      <c r="F516" s="885" t="s">
        <v>1849</v>
      </c>
      <c r="G516" s="688" t="s">
        <v>60</v>
      </c>
      <c r="H516" s="687" t="s">
        <v>1221</v>
      </c>
      <c r="I516" s="687" t="s">
        <v>1221</v>
      </c>
      <c r="J516" s="706" t="s">
        <v>114</v>
      </c>
      <c r="K516" s="556" t="s">
        <v>9043</v>
      </c>
      <c r="L516" s="887"/>
      <c r="M516" s="706" t="s">
        <v>60</v>
      </c>
      <c r="N516" s="888" t="s">
        <v>3438</v>
      </c>
      <c r="O516" s="907" t="s">
        <v>3439</v>
      </c>
      <c r="P516" s="916">
        <v>29183.0</v>
      </c>
      <c r="Q516" s="731">
        <f t="shared" si="47"/>
        <v>29183</v>
      </c>
      <c r="R516" s="688">
        <f t="shared" si="48"/>
        <v>46</v>
      </c>
      <c r="S516" s="703">
        <v>2.918209894E9</v>
      </c>
      <c r="T516" s="703" t="s">
        <v>1317</v>
      </c>
      <c r="U516" s="708" t="s">
        <v>379</v>
      </c>
      <c r="V516" s="887"/>
      <c r="W516" s="892"/>
      <c r="X516" s="887"/>
      <c r="Y516" s="887"/>
      <c r="Z516" s="887"/>
      <c r="AA516" s="887"/>
      <c r="AB516" s="887"/>
      <c r="AC516" s="893">
        <v>155.0</v>
      </c>
      <c r="AD516" s="895"/>
      <c r="AE516" s="887"/>
      <c r="AF516" s="887"/>
      <c r="AG516" s="918"/>
      <c r="AH516" s="918"/>
      <c r="AI516" s="896"/>
      <c r="AJ516" s="896"/>
      <c r="AK516" s="896"/>
      <c r="AL516" s="896"/>
      <c r="AM516" s="896"/>
      <c r="AN516" s="896"/>
      <c r="AO516" s="896"/>
      <c r="AP516" s="896"/>
      <c r="AQ516" s="896"/>
      <c r="AR516" s="203"/>
      <c r="AS516" s="203"/>
      <c r="AT516" s="203"/>
    </row>
    <row r="517">
      <c r="A517" s="76" t="s">
        <v>8135</v>
      </c>
      <c r="B517" s="718" t="s">
        <v>3307</v>
      </c>
      <c r="C517" s="241" t="s">
        <v>4089</v>
      </c>
      <c r="D517" s="688" t="s">
        <v>121</v>
      </c>
      <c r="E517" s="884" t="s">
        <v>178</v>
      </c>
      <c r="F517" s="885" t="s">
        <v>8709</v>
      </c>
      <c r="G517" s="688" t="s">
        <v>102</v>
      </c>
      <c r="H517" s="906" t="s">
        <v>3336</v>
      </c>
      <c r="I517" s="906" t="s">
        <v>3336</v>
      </c>
      <c r="J517" s="241" t="s">
        <v>114</v>
      </c>
      <c r="K517" s="887"/>
      <c r="L517" s="887"/>
      <c r="M517" s="706" t="s">
        <v>102</v>
      </c>
      <c r="N517" s="888" t="s">
        <v>2495</v>
      </c>
      <c r="O517" s="688" t="s">
        <v>2496</v>
      </c>
      <c r="P517" s="707">
        <v>32579.0</v>
      </c>
      <c r="Q517" s="731">
        <f t="shared" si="47"/>
        <v>32579</v>
      </c>
      <c r="R517" s="688">
        <f t="shared" si="48"/>
        <v>37</v>
      </c>
      <c r="S517" s="703">
        <v>3.257806577E9</v>
      </c>
      <c r="T517" s="703" t="s">
        <v>378</v>
      </c>
      <c r="U517" s="708" t="s">
        <v>379</v>
      </c>
      <c r="V517" s="887"/>
      <c r="W517" s="892"/>
      <c r="X517" s="887"/>
      <c r="Y517" s="887"/>
      <c r="Z517" s="887"/>
      <c r="AA517" s="887"/>
      <c r="AB517" s="887"/>
      <c r="AC517" s="893">
        <v>155.0</v>
      </c>
      <c r="AD517" s="895"/>
      <c r="AE517" s="887"/>
      <c r="AF517" s="891"/>
      <c r="AG517" s="241" t="s">
        <v>2692</v>
      </c>
      <c r="AH517" s="901"/>
      <c r="AI517" s="896"/>
      <c r="AJ517" s="896"/>
      <c r="AK517" s="896"/>
      <c r="AL517" s="896"/>
      <c r="AM517" s="896"/>
      <c r="AN517" s="896"/>
      <c r="AO517" s="896"/>
      <c r="AP517" s="896"/>
      <c r="AQ517" s="896"/>
      <c r="AR517" s="203"/>
      <c r="AS517" s="203"/>
      <c r="AT517" s="203"/>
    </row>
    <row r="518">
      <c r="A518" s="76" t="s">
        <v>8135</v>
      </c>
      <c r="B518" s="718" t="s">
        <v>3332</v>
      </c>
      <c r="C518" s="241" t="s">
        <v>3829</v>
      </c>
      <c r="D518" s="688" t="s">
        <v>121</v>
      </c>
      <c r="E518" s="744" t="s">
        <v>178</v>
      </c>
      <c r="F518" s="885" t="s">
        <v>9053</v>
      </c>
      <c r="G518" s="688" t="s">
        <v>102</v>
      </c>
      <c r="H518" s="906" t="s">
        <v>3336</v>
      </c>
      <c r="I518" s="688" t="s">
        <v>1443</v>
      </c>
      <c r="J518" s="706" t="s">
        <v>114</v>
      </c>
      <c r="K518" s="887"/>
      <c r="L518" s="887"/>
      <c r="M518" s="706" t="s">
        <v>102</v>
      </c>
      <c r="N518" s="888" t="s">
        <v>9055</v>
      </c>
      <c r="O518" s="687" t="s">
        <v>2545</v>
      </c>
      <c r="P518" s="912">
        <v>31231.0</v>
      </c>
      <c r="Q518" s="731">
        <f t="shared" si="47"/>
        <v>31231</v>
      </c>
      <c r="R518" s="688">
        <f t="shared" si="48"/>
        <v>41</v>
      </c>
      <c r="S518" s="703" t="s">
        <v>9056</v>
      </c>
      <c r="T518" s="703" t="s">
        <v>1317</v>
      </c>
      <c r="U518" s="708" t="s">
        <v>379</v>
      </c>
      <c r="V518" s="887"/>
      <c r="W518" s="892"/>
      <c r="X518" s="887"/>
      <c r="Y518" s="887"/>
      <c r="Z518" s="887"/>
      <c r="AA518" s="887"/>
      <c r="AB518" s="887"/>
      <c r="AC518" s="893">
        <v>155.0</v>
      </c>
      <c r="AD518" s="895"/>
      <c r="AE518" s="887"/>
      <c r="AF518" s="895"/>
      <c r="AG518" s="901"/>
      <c r="AH518" s="891"/>
      <c r="AI518" s="896"/>
      <c r="AJ518" s="896"/>
      <c r="AK518" s="896"/>
      <c r="AL518" s="896"/>
      <c r="AM518" s="896"/>
      <c r="AN518" s="896"/>
      <c r="AO518" s="896"/>
      <c r="AP518" s="896"/>
      <c r="AQ518" s="896"/>
      <c r="AR518" s="203"/>
      <c r="AS518" s="203"/>
      <c r="AT518" s="203"/>
    </row>
    <row r="519">
      <c r="A519" s="76" t="s">
        <v>8135</v>
      </c>
      <c r="B519" s="718" t="s">
        <v>3454</v>
      </c>
      <c r="C519" s="241" t="s">
        <v>7302</v>
      </c>
      <c r="D519" s="688" t="s">
        <v>121</v>
      </c>
      <c r="E519" s="744" t="s">
        <v>5569</v>
      </c>
      <c r="F519" s="885" t="s">
        <v>9057</v>
      </c>
      <c r="G519" s="688" t="s">
        <v>326</v>
      </c>
      <c r="H519" s="687" t="s">
        <v>1221</v>
      </c>
      <c r="I519" s="688" t="s">
        <v>1443</v>
      </c>
      <c r="J519" s="706" t="s">
        <v>114</v>
      </c>
      <c r="K519" s="898" t="s">
        <v>9058</v>
      </c>
      <c r="L519" s="887"/>
      <c r="M519" s="706" t="s">
        <v>60</v>
      </c>
      <c r="N519" s="888" t="s">
        <v>9059</v>
      </c>
      <c r="O519" s="920" t="s">
        <v>9060</v>
      </c>
      <c r="P519" s="912">
        <v>33767.0</v>
      </c>
      <c r="Q519" s="731">
        <f t="shared" si="47"/>
        <v>33767</v>
      </c>
      <c r="R519" s="688">
        <f t="shared" si="48"/>
        <v>34</v>
      </c>
      <c r="S519" s="703">
        <v>3.376608519E9</v>
      </c>
      <c r="T519" s="703" t="s">
        <v>378</v>
      </c>
      <c r="U519" s="708" t="s">
        <v>379</v>
      </c>
      <c r="V519" s="887"/>
      <c r="W519" s="892"/>
      <c r="X519" s="887"/>
      <c r="Y519" s="887"/>
      <c r="Z519" s="887"/>
      <c r="AA519" s="887"/>
      <c r="AB519" s="887"/>
      <c r="AC519" s="893">
        <v>155.0</v>
      </c>
      <c r="AD519" s="895"/>
      <c r="AE519" s="887"/>
      <c r="AF519" s="887"/>
      <c r="AG519" s="901"/>
      <c r="AH519" s="891"/>
      <c r="AI519" s="896"/>
      <c r="AJ519" s="896"/>
      <c r="AK519" s="896"/>
      <c r="AL519" s="896"/>
      <c r="AM519" s="896"/>
      <c r="AN519" s="896"/>
      <c r="AO519" s="896"/>
      <c r="AP519" s="896"/>
      <c r="AQ519" s="896"/>
      <c r="AR519" s="203"/>
      <c r="AS519" s="203"/>
      <c r="AT519" s="203"/>
    </row>
    <row r="520">
      <c r="A520" s="76" t="s">
        <v>8135</v>
      </c>
      <c r="B520" s="718" t="s">
        <v>3454</v>
      </c>
      <c r="C520" s="241" t="s">
        <v>7302</v>
      </c>
      <c r="D520" s="688" t="s">
        <v>121</v>
      </c>
      <c r="E520" s="744" t="s">
        <v>457</v>
      </c>
      <c r="F520" s="885" t="s">
        <v>9068</v>
      </c>
      <c r="G520" s="688" t="s">
        <v>60</v>
      </c>
      <c r="H520" s="687" t="s">
        <v>1221</v>
      </c>
      <c r="I520" s="688" t="s">
        <v>1443</v>
      </c>
      <c r="J520" s="706" t="s">
        <v>114</v>
      </c>
      <c r="K520" s="898" t="s">
        <v>9069</v>
      </c>
      <c r="L520" s="887"/>
      <c r="M520" s="706" t="s">
        <v>60</v>
      </c>
      <c r="N520" s="888" t="s">
        <v>9070</v>
      </c>
      <c r="O520" s="687" t="s">
        <v>148</v>
      </c>
      <c r="P520" s="912">
        <v>33334.0</v>
      </c>
      <c r="Q520" s="731">
        <f t="shared" si="47"/>
        <v>33334</v>
      </c>
      <c r="R520" s="688">
        <f t="shared" si="48"/>
        <v>35</v>
      </c>
      <c r="S520" s="703">
        <v>3.333305696E9</v>
      </c>
      <c r="T520" s="703" t="s">
        <v>1548</v>
      </c>
      <c r="U520" s="708" t="s">
        <v>379</v>
      </c>
      <c r="V520" s="887"/>
      <c r="W520" s="892"/>
      <c r="X520" s="887"/>
      <c r="Y520" s="887"/>
      <c r="Z520" s="887"/>
      <c r="AA520" s="887"/>
      <c r="AB520" s="887"/>
      <c r="AC520" s="893">
        <v>155.0</v>
      </c>
      <c r="AD520" s="895"/>
      <c r="AE520" s="887"/>
      <c r="AF520" s="887"/>
      <c r="AG520" s="901"/>
      <c r="AH520" s="891"/>
      <c r="AI520" s="896"/>
      <c r="AJ520" s="896"/>
      <c r="AK520" s="896"/>
      <c r="AL520" s="896"/>
      <c r="AM520" s="896"/>
      <c r="AN520" s="896"/>
      <c r="AO520" s="896"/>
      <c r="AP520" s="896"/>
      <c r="AQ520" s="896"/>
      <c r="AR520" s="203"/>
      <c r="AS520" s="203"/>
      <c r="AT520" s="203"/>
    </row>
    <row r="521">
      <c r="A521" s="76">
        <v>155.0</v>
      </c>
      <c r="B521" s="302"/>
      <c r="C521" s="523"/>
      <c r="D521" s="86"/>
      <c r="E521" s="574">
        <v>46071.0</v>
      </c>
      <c r="F521" s="86"/>
      <c r="G521" s="86"/>
      <c r="H521" s="86"/>
      <c r="I521" s="86"/>
      <c r="J521" s="85" t="s">
        <v>114</v>
      </c>
      <c r="K521" s="85"/>
      <c r="L521" s="76"/>
      <c r="M521" s="85" t="s">
        <v>60</v>
      </c>
      <c r="N521" s="771" t="s">
        <v>9076</v>
      </c>
      <c r="O521" s="76" t="s">
        <v>9078</v>
      </c>
      <c r="P521" s="153">
        <v>30270.0</v>
      </c>
      <c r="Q521" s="315">
        <f t="shared" si="47"/>
        <v>1</v>
      </c>
      <c r="R521" s="86">
        <f t="shared" si="48"/>
        <v>43</v>
      </c>
      <c r="S521" s="76"/>
      <c r="T521" s="76" t="s">
        <v>378</v>
      </c>
      <c r="U521" s="76" t="s">
        <v>379</v>
      </c>
      <c r="V521" s="76"/>
      <c r="W521" s="76"/>
      <c r="X521" s="76" t="s">
        <v>186</v>
      </c>
      <c r="Y521" s="167"/>
      <c r="Z521" s="85" t="s">
        <v>2155</v>
      </c>
      <c r="AA521" s="168"/>
      <c r="AB521" s="97"/>
      <c r="AC521" s="168"/>
      <c r="AD521" s="168"/>
      <c r="AE521" s="76"/>
      <c r="AF521" s="76"/>
      <c r="AG521" s="76"/>
      <c r="AH521" s="76" t="s">
        <v>9083</v>
      </c>
      <c r="AI521" s="67"/>
      <c r="AJ521" s="67"/>
      <c r="AK521" s="67"/>
      <c r="AL521" s="67"/>
      <c r="AM521" s="67"/>
      <c r="AN521" s="67"/>
      <c r="AO521" s="67"/>
      <c r="AP521" s="67"/>
      <c r="AQ521" s="67"/>
      <c r="AR521" s="203"/>
      <c r="AS521" s="203"/>
      <c r="AT521" s="203"/>
    </row>
    <row r="522">
      <c r="A522" s="76">
        <v>155.0</v>
      </c>
      <c r="B522" s="302"/>
      <c r="C522" s="523"/>
      <c r="D522" s="86"/>
      <c r="E522" s="574">
        <v>46071.0</v>
      </c>
      <c r="F522" s="86"/>
      <c r="G522" s="86"/>
      <c r="H522" s="86"/>
      <c r="I522" s="86"/>
      <c r="J522" s="85" t="s">
        <v>114</v>
      </c>
      <c r="K522" s="176" t="s">
        <v>9086</v>
      </c>
      <c r="L522" s="76"/>
      <c r="M522" s="85" t="s">
        <v>60</v>
      </c>
      <c r="N522" s="771" t="s">
        <v>9087</v>
      </c>
      <c r="O522" s="76" t="s">
        <v>4313</v>
      </c>
      <c r="P522" s="153">
        <v>31023.0</v>
      </c>
      <c r="Q522" s="315">
        <f t="shared" si="47"/>
        <v>31023</v>
      </c>
      <c r="R522" s="86">
        <f t="shared" si="48"/>
        <v>41</v>
      </c>
      <c r="S522" s="76">
        <v>3.102214318E9</v>
      </c>
      <c r="T522" s="86"/>
      <c r="U522" s="76" t="s">
        <v>379</v>
      </c>
      <c r="V522" s="76"/>
      <c r="W522" s="76"/>
      <c r="X522" s="76" t="s">
        <v>186</v>
      </c>
      <c r="Y522" s="167"/>
      <c r="Z522" s="85" t="s">
        <v>2155</v>
      </c>
      <c r="AA522" s="168"/>
      <c r="AB522" s="97"/>
      <c r="AC522" s="168"/>
      <c r="AD522" s="168"/>
      <c r="AE522" s="76"/>
      <c r="AF522" s="76"/>
      <c r="AG522" s="76"/>
      <c r="AH522" s="76" t="s">
        <v>9083</v>
      </c>
      <c r="AI522" s="67"/>
      <c r="AJ522" s="67"/>
      <c r="AK522" s="67"/>
      <c r="AL522" s="67"/>
      <c r="AM522" s="67"/>
      <c r="AN522" s="67"/>
      <c r="AO522" s="67"/>
      <c r="AP522" s="67"/>
      <c r="AQ522" s="67"/>
      <c r="AR522" s="203"/>
      <c r="AS522" s="203"/>
      <c r="AT522" s="203"/>
    </row>
    <row r="523">
      <c r="A523" s="76">
        <v>155.0</v>
      </c>
      <c r="B523" s="302"/>
      <c r="C523" s="523"/>
      <c r="D523" s="86"/>
      <c r="E523" s="574">
        <v>46071.0</v>
      </c>
      <c r="F523" s="86"/>
      <c r="G523" s="86"/>
      <c r="H523" s="86"/>
      <c r="I523" s="86"/>
      <c r="J523" s="85" t="s">
        <v>114</v>
      </c>
      <c r="K523" s="176" t="s">
        <v>9090</v>
      </c>
      <c r="L523" s="76"/>
      <c r="M523" s="85" t="s">
        <v>60</v>
      </c>
      <c r="N523" s="771" t="s">
        <v>9092</v>
      </c>
      <c r="O523" s="76" t="s">
        <v>9093</v>
      </c>
      <c r="P523" s="153">
        <v>33932.0</v>
      </c>
      <c r="Q523" s="315">
        <f t="shared" si="47"/>
        <v>33932</v>
      </c>
      <c r="R523" s="86">
        <f t="shared" si="48"/>
        <v>33</v>
      </c>
      <c r="S523" s="76">
        <v>3.393114658E9</v>
      </c>
      <c r="T523" s="86"/>
      <c r="U523" s="76" t="s">
        <v>379</v>
      </c>
      <c r="V523" s="76"/>
      <c r="W523" s="76"/>
      <c r="X523" s="76" t="s">
        <v>186</v>
      </c>
      <c r="Y523" s="167"/>
      <c r="Z523" s="85" t="s">
        <v>2155</v>
      </c>
      <c r="AA523" s="168"/>
      <c r="AB523" s="97"/>
      <c r="AC523" s="168"/>
      <c r="AD523" s="168"/>
      <c r="AE523" s="76"/>
      <c r="AF523" s="76"/>
      <c r="AG523" s="76"/>
      <c r="AH523" s="76" t="s">
        <v>9083</v>
      </c>
      <c r="AI523" s="67"/>
      <c r="AJ523" s="67"/>
      <c r="AK523" s="67"/>
      <c r="AL523" s="67"/>
      <c r="AM523" s="67"/>
      <c r="AN523" s="67"/>
      <c r="AO523" s="67"/>
      <c r="AP523" s="67"/>
      <c r="AQ523" s="67"/>
      <c r="AR523" s="203"/>
      <c r="AS523" s="203"/>
      <c r="AT523" s="203"/>
    </row>
    <row r="524">
      <c r="A524" s="76">
        <v>155.0</v>
      </c>
      <c r="B524" s="757" t="s">
        <v>1709</v>
      </c>
      <c r="C524" s="757" t="s">
        <v>1517</v>
      </c>
      <c r="D524" s="757" t="s">
        <v>1519</v>
      </c>
      <c r="E524" s="758" t="s">
        <v>58</v>
      </c>
      <c r="F524" s="759" t="s">
        <v>1496</v>
      </c>
      <c r="G524" s="760" t="s">
        <v>6240</v>
      </c>
      <c r="H524" s="760" t="s">
        <v>60</v>
      </c>
      <c r="I524" s="87" t="s">
        <v>1221</v>
      </c>
      <c r="J524" s="85" t="s">
        <v>114</v>
      </c>
      <c r="K524" s="176" t="s">
        <v>9100</v>
      </c>
      <c r="L524" s="76"/>
      <c r="M524" s="85" t="s">
        <v>60</v>
      </c>
      <c r="N524" s="771" t="s">
        <v>9101</v>
      </c>
      <c r="O524" s="76" t="s">
        <v>9102</v>
      </c>
      <c r="P524" s="153">
        <v>34717.0</v>
      </c>
      <c r="Q524" s="315">
        <f t="shared" si="47"/>
        <v>34717</v>
      </c>
      <c r="R524" s="86">
        <f t="shared" si="48"/>
        <v>31</v>
      </c>
      <c r="S524" s="76">
        <v>3.471610913E9</v>
      </c>
      <c r="T524" s="76" t="s">
        <v>1426</v>
      </c>
      <c r="U524" s="76" t="s">
        <v>379</v>
      </c>
      <c r="V524" s="76"/>
      <c r="W524" s="76"/>
      <c r="X524" s="76" t="s">
        <v>186</v>
      </c>
      <c r="Y524" s="167"/>
      <c r="Z524" s="85" t="s">
        <v>2155</v>
      </c>
      <c r="AA524" s="168"/>
      <c r="AB524" s="97"/>
      <c r="AC524" s="168"/>
      <c r="AD524" s="168"/>
      <c r="AE524" s="76"/>
      <c r="AF524" s="76"/>
      <c r="AG524" s="76"/>
      <c r="AH524" s="76" t="s">
        <v>9083</v>
      </c>
      <c r="AI524" s="67"/>
      <c r="AJ524" s="67"/>
      <c r="AK524" s="67"/>
      <c r="AL524" s="67"/>
      <c r="AM524" s="67"/>
      <c r="AN524" s="67"/>
      <c r="AO524" s="67"/>
      <c r="AP524" s="67"/>
      <c r="AQ524" s="67"/>
      <c r="AR524" s="203"/>
      <c r="AS524" s="203"/>
      <c r="AT524" s="203"/>
    </row>
    <row r="525">
      <c r="A525" s="241">
        <v>155.0</v>
      </c>
      <c r="B525" s="922" t="s">
        <v>1039</v>
      </c>
      <c r="C525" s="922" t="s">
        <v>1269</v>
      </c>
      <c r="D525" s="922" t="s">
        <v>1494</v>
      </c>
      <c r="E525" s="923" t="s">
        <v>139</v>
      </c>
      <c r="F525" s="924" t="s">
        <v>1520</v>
      </c>
      <c r="G525" s="925" t="s">
        <v>337</v>
      </c>
      <c r="H525" s="925" t="s">
        <v>60</v>
      </c>
      <c r="I525" s="687" t="s">
        <v>1221</v>
      </c>
      <c r="J525" s="706" t="s">
        <v>114</v>
      </c>
      <c r="K525" s="898" t="s">
        <v>9112</v>
      </c>
      <c r="L525" s="887"/>
      <c r="M525" s="706" t="s">
        <v>60</v>
      </c>
      <c r="N525" s="926" t="s">
        <v>9113</v>
      </c>
      <c r="O525" s="241" t="s">
        <v>9117</v>
      </c>
      <c r="P525" s="707">
        <v>30763.0</v>
      </c>
      <c r="Q525" s="731">
        <f t="shared" si="47"/>
        <v>30763</v>
      </c>
      <c r="R525" s="688">
        <f t="shared" si="48"/>
        <v>42</v>
      </c>
      <c r="S525" s="241">
        <v>3.076209239E9</v>
      </c>
      <c r="T525" s="887"/>
      <c r="U525" s="708" t="s">
        <v>379</v>
      </c>
      <c r="V525" s="887"/>
      <c r="W525" s="887"/>
      <c r="X525" s="241" t="s">
        <v>186</v>
      </c>
      <c r="Y525" s="887"/>
      <c r="Z525" s="706" t="s">
        <v>1351</v>
      </c>
      <c r="AA525" s="892"/>
      <c r="AB525" s="887"/>
      <c r="AC525" s="892"/>
      <c r="AD525" s="892"/>
      <c r="AE525" s="241" t="s">
        <v>259</v>
      </c>
      <c r="AF525" s="887"/>
      <c r="AG525" s="887"/>
      <c r="AH525" s="241" t="s">
        <v>9124</v>
      </c>
      <c r="AI525" s="896"/>
      <c r="AJ525" s="896"/>
      <c r="AK525" s="896"/>
      <c r="AL525" s="896"/>
      <c r="AM525" s="896"/>
      <c r="AN525" s="896"/>
      <c r="AO525" s="896"/>
      <c r="AP525" s="896"/>
      <c r="AQ525" s="896"/>
      <c r="AR525" s="927"/>
      <c r="AS525" s="927"/>
      <c r="AT525" s="927"/>
    </row>
    <row r="526">
      <c r="A526" s="241">
        <v>155.0</v>
      </c>
      <c r="B526" s="922" t="s">
        <v>1645</v>
      </c>
      <c r="C526" s="922" t="s">
        <v>1611</v>
      </c>
      <c r="D526" s="922" t="s">
        <v>1368</v>
      </c>
      <c r="E526" s="923" t="s">
        <v>213</v>
      </c>
      <c r="F526" s="924" t="s">
        <v>1523</v>
      </c>
      <c r="G526" s="925" t="s">
        <v>982</v>
      </c>
      <c r="H526" s="925" t="s">
        <v>60</v>
      </c>
      <c r="I526" s="687" t="s">
        <v>1221</v>
      </c>
      <c r="J526" s="706" t="s">
        <v>114</v>
      </c>
      <c r="K526" s="898" t="s">
        <v>1602</v>
      </c>
      <c r="L526" s="887"/>
      <c r="M526" s="706" t="s">
        <v>60</v>
      </c>
      <c r="N526" s="926" t="s">
        <v>9131</v>
      </c>
      <c r="O526" s="241" t="s">
        <v>9132</v>
      </c>
      <c r="P526" s="707">
        <v>33804.0</v>
      </c>
      <c r="Q526" s="731">
        <f t="shared" si="47"/>
        <v>33804</v>
      </c>
      <c r="R526" s="688">
        <f t="shared" si="48"/>
        <v>34</v>
      </c>
      <c r="S526" s="241">
        <v>3.380313456E9</v>
      </c>
      <c r="T526" s="887"/>
      <c r="U526" s="708" t="s">
        <v>379</v>
      </c>
      <c r="V526" s="887"/>
      <c r="W526" s="887"/>
      <c r="X526" s="241" t="s">
        <v>186</v>
      </c>
      <c r="Y526" s="887"/>
      <c r="Z526" s="706" t="s">
        <v>1351</v>
      </c>
      <c r="AA526" s="892"/>
      <c r="AB526" s="887"/>
      <c r="AC526" s="892"/>
      <c r="AD526" s="892"/>
      <c r="AE526" s="241" t="s">
        <v>259</v>
      </c>
      <c r="AF526" s="887"/>
      <c r="AG526" s="887"/>
      <c r="AH526" s="241" t="s">
        <v>9124</v>
      </c>
      <c r="AI526" s="896"/>
      <c r="AJ526" s="896"/>
      <c r="AK526" s="896"/>
      <c r="AL526" s="896"/>
      <c r="AM526" s="896"/>
      <c r="AN526" s="896"/>
      <c r="AO526" s="896"/>
      <c r="AP526" s="896"/>
      <c r="AQ526" s="896"/>
      <c r="AR526" s="927"/>
      <c r="AS526" s="927"/>
      <c r="AT526" s="927"/>
    </row>
    <row r="527">
      <c r="A527" s="241">
        <v>155.0</v>
      </c>
      <c r="B527" s="922" t="s">
        <v>1709</v>
      </c>
      <c r="C527" s="922" t="s">
        <v>1517</v>
      </c>
      <c r="D527" s="922" t="s">
        <v>1519</v>
      </c>
      <c r="E527" s="923" t="s">
        <v>187</v>
      </c>
      <c r="F527" s="924" t="s">
        <v>1469</v>
      </c>
      <c r="G527" s="925" t="s">
        <v>6134</v>
      </c>
      <c r="H527" s="925" t="s">
        <v>60</v>
      </c>
      <c r="I527" s="687" t="s">
        <v>1221</v>
      </c>
      <c r="J527" s="706" t="s">
        <v>114</v>
      </c>
      <c r="K527" s="887"/>
      <c r="L527" s="887"/>
      <c r="M527" s="706" t="s">
        <v>60</v>
      </c>
      <c r="N527" s="926" t="s">
        <v>9136</v>
      </c>
      <c r="O527" s="241" t="s">
        <v>9137</v>
      </c>
      <c r="P527" s="918"/>
      <c r="Q527" s="929">
        <f t="shared" si="47"/>
        <v>1</v>
      </c>
      <c r="R527" s="688">
        <f t="shared" si="48"/>
        <v>126</v>
      </c>
      <c r="S527" s="887"/>
      <c r="T527" s="887"/>
      <c r="U527" s="708" t="s">
        <v>379</v>
      </c>
      <c r="V527" s="887"/>
      <c r="W527" s="887"/>
      <c r="X527" s="241" t="s">
        <v>186</v>
      </c>
      <c r="Y527" s="887"/>
      <c r="Z527" s="706" t="s">
        <v>1351</v>
      </c>
      <c r="AA527" s="892"/>
      <c r="AB527" s="887"/>
      <c r="AC527" s="892"/>
      <c r="AD527" s="892"/>
      <c r="AE527" s="241" t="s">
        <v>259</v>
      </c>
      <c r="AF527" s="887"/>
      <c r="AG527" s="887"/>
      <c r="AH527" s="241" t="s">
        <v>9124</v>
      </c>
      <c r="AI527" s="896"/>
      <c r="AJ527" s="896"/>
      <c r="AK527" s="896"/>
      <c r="AL527" s="896"/>
      <c r="AM527" s="896"/>
      <c r="AN527" s="896"/>
      <c r="AO527" s="896"/>
      <c r="AP527" s="896"/>
      <c r="AQ527" s="896"/>
      <c r="AR527" s="927"/>
      <c r="AS527" s="927"/>
      <c r="AT527" s="927"/>
    </row>
    <row r="528">
      <c r="A528" s="241">
        <v>155.0</v>
      </c>
      <c r="B528" s="922" t="s">
        <v>1709</v>
      </c>
      <c r="C528" s="922" t="s">
        <v>1611</v>
      </c>
      <c r="D528" s="922" t="s">
        <v>1519</v>
      </c>
      <c r="E528" s="923" t="s">
        <v>58</v>
      </c>
      <c r="F528" s="924" t="s">
        <v>1496</v>
      </c>
      <c r="G528" s="925" t="s">
        <v>6662</v>
      </c>
      <c r="H528" s="925" t="s">
        <v>60</v>
      </c>
      <c r="I528" s="687" t="s">
        <v>1221</v>
      </c>
      <c r="J528" s="706" t="s">
        <v>114</v>
      </c>
      <c r="K528" s="898" t="s">
        <v>9146</v>
      </c>
      <c r="L528" s="887"/>
      <c r="M528" s="706" t="s">
        <v>60</v>
      </c>
      <c r="N528" s="926" t="s">
        <v>9147</v>
      </c>
      <c r="O528" s="241" t="s">
        <v>4016</v>
      </c>
      <c r="P528" s="707">
        <v>27286.0</v>
      </c>
      <c r="Q528" s="731">
        <f t="shared" si="47"/>
        <v>27286</v>
      </c>
      <c r="R528" s="688">
        <f t="shared" si="48"/>
        <v>51</v>
      </c>
      <c r="S528" s="241">
        <v>2.72852289E9</v>
      </c>
      <c r="T528" s="887"/>
      <c r="U528" s="708" t="s">
        <v>379</v>
      </c>
      <c r="V528" s="887"/>
      <c r="W528" s="887"/>
      <c r="X528" s="241" t="s">
        <v>186</v>
      </c>
      <c r="Y528" s="887"/>
      <c r="Z528" s="706" t="s">
        <v>1351</v>
      </c>
      <c r="AA528" s="892"/>
      <c r="AB528" s="887"/>
      <c r="AC528" s="892"/>
      <c r="AD528" s="892"/>
      <c r="AE528" s="241" t="s">
        <v>259</v>
      </c>
      <c r="AF528" s="887"/>
      <c r="AG528" s="887"/>
      <c r="AH528" s="241" t="s">
        <v>9124</v>
      </c>
      <c r="AI528" s="896"/>
      <c r="AJ528" s="896"/>
      <c r="AK528" s="896"/>
      <c r="AL528" s="896"/>
      <c r="AM528" s="896"/>
      <c r="AN528" s="896"/>
      <c r="AO528" s="896"/>
      <c r="AP528" s="896"/>
      <c r="AQ528" s="896"/>
      <c r="AR528" s="927"/>
      <c r="AS528" s="927"/>
      <c r="AT528" s="927"/>
    </row>
    <row r="529">
      <c r="A529" s="241">
        <v>155.0</v>
      </c>
      <c r="B529" s="922" t="s">
        <v>3722</v>
      </c>
      <c r="C529" s="922" t="s">
        <v>7267</v>
      </c>
      <c r="D529" s="922" t="s">
        <v>7199</v>
      </c>
      <c r="E529" s="923" t="s">
        <v>152</v>
      </c>
      <c r="F529" s="924" t="s">
        <v>7116</v>
      </c>
      <c r="G529" s="925" t="s">
        <v>7569</v>
      </c>
      <c r="H529" s="925" t="s">
        <v>60</v>
      </c>
      <c r="I529" s="687" t="s">
        <v>1221</v>
      </c>
      <c r="J529" s="887"/>
      <c r="K529" s="887"/>
      <c r="L529" s="887"/>
      <c r="M529" s="706" t="s">
        <v>60</v>
      </c>
      <c r="N529" s="926" t="s">
        <v>9157</v>
      </c>
      <c r="O529" s="241" t="s">
        <v>9159</v>
      </c>
      <c r="P529" s="918"/>
      <c r="Q529" s="929">
        <f t="shared" si="47"/>
        <v>1</v>
      </c>
      <c r="R529" s="688">
        <f t="shared" si="48"/>
        <v>126</v>
      </c>
      <c r="S529" s="887"/>
      <c r="T529" s="887"/>
      <c r="U529" s="708" t="s">
        <v>379</v>
      </c>
      <c r="V529" s="887"/>
      <c r="W529" s="887"/>
      <c r="X529" s="241" t="s">
        <v>186</v>
      </c>
      <c r="Y529" s="887"/>
      <c r="Z529" s="706" t="s">
        <v>1351</v>
      </c>
      <c r="AA529" s="892"/>
      <c r="AB529" s="887"/>
      <c r="AC529" s="892"/>
      <c r="AD529" s="892"/>
      <c r="AE529" s="241" t="s">
        <v>259</v>
      </c>
      <c r="AF529" s="887"/>
      <c r="AG529" s="887"/>
      <c r="AH529" s="241" t="s">
        <v>9124</v>
      </c>
      <c r="AI529" s="896"/>
      <c r="AJ529" s="896"/>
      <c r="AK529" s="896"/>
      <c r="AL529" s="896"/>
      <c r="AM529" s="896"/>
      <c r="AN529" s="896"/>
      <c r="AO529" s="896"/>
      <c r="AP529" s="896"/>
      <c r="AQ529" s="896"/>
      <c r="AR529" s="927"/>
      <c r="AS529" s="927"/>
      <c r="AT529" s="927"/>
    </row>
    <row r="530">
      <c r="A530" s="887"/>
      <c r="B530" s="744" t="s">
        <v>4145</v>
      </c>
      <c r="C530" s="891"/>
      <c r="D530" s="887"/>
      <c r="E530" s="931">
        <v>46071.0</v>
      </c>
      <c r="F530" s="932"/>
      <c r="G530" s="887"/>
      <c r="H530" s="887"/>
      <c r="I530" s="892"/>
      <c r="J530" s="706" t="s">
        <v>114</v>
      </c>
      <c r="K530" s="887"/>
      <c r="L530" s="887"/>
      <c r="M530" s="706" t="s">
        <v>60</v>
      </c>
      <c r="N530" s="926" t="s">
        <v>9163</v>
      </c>
      <c r="O530" s="241" t="s">
        <v>9164</v>
      </c>
      <c r="P530" s="707">
        <v>28028.0</v>
      </c>
      <c r="Q530" s="929">
        <f t="shared" si="47"/>
        <v>1</v>
      </c>
      <c r="R530" s="688">
        <f t="shared" si="48"/>
        <v>49</v>
      </c>
      <c r="S530" s="887"/>
      <c r="T530" s="887"/>
      <c r="U530" s="708" t="s">
        <v>379</v>
      </c>
      <c r="V530" s="887"/>
      <c r="W530" s="887"/>
      <c r="X530" s="241" t="s">
        <v>186</v>
      </c>
      <c r="Y530" s="887"/>
      <c r="Z530" s="706" t="s">
        <v>1351</v>
      </c>
      <c r="AA530" s="892"/>
      <c r="AB530" s="887"/>
      <c r="AC530" s="892"/>
      <c r="AD530" s="892"/>
      <c r="AE530" s="241" t="s">
        <v>259</v>
      </c>
      <c r="AF530" s="887"/>
      <c r="AG530" s="887"/>
      <c r="AH530" s="241" t="s">
        <v>9124</v>
      </c>
      <c r="AI530" s="896"/>
      <c r="AJ530" s="896"/>
      <c r="AK530" s="896"/>
      <c r="AL530" s="896"/>
      <c r="AM530" s="896"/>
      <c r="AN530" s="896"/>
      <c r="AO530" s="896"/>
      <c r="AP530" s="896"/>
      <c r="AQ530" s="896"/>
      <c r="AR530" s="927"/>
      <c r="AS530" s="927"/>
      <c r="AT530" s="927"/>
    </row>
    <row r="531">
      <c r="A531" s="887"/>
      <c r="B531" s="744" t="s">
        <v>4145</v>
      </c>
      <c r="C531" s="891"/>
      <c r="D531" s="887"/>
      <c r="E531" s="931">
        <v>46077.0</v>
      </c>
      <c r="F531" s="932"/>
      <c r="G531" s="887"/>
      <c r="H531" s="887"/>
      <c r="I531" s="892"/>
      <c r="J531" s="706" t="s">
        <v>114</v>
      </c>
      <c r="K531" s="898" t="s">
        <v>9169</v>
      </c>
      <c r="L531" s="887"/>
      <c r="M531" s="706" t="s">
        <v>656</v>
      </c>
      <c r="N531" s="926" t="s">
        <v>9171</v>
      </c>
      <c r="O531" s="241" t="s">
        <v>2248</v>
      </c>
      <c r="P531" s="707">
        <v>31602.0</v>
      </c>
      <c r="Q531" s="731">
        <f t="shared" si="47"/>
        <v>31602</v>
      </c>
      <c r="R531" s="688">
        <f t="shared" si="48"/>
        <v>40</v>
      </c>
      <c r="S531" s="241">
        <v>3.160114374E9</v>
      </c>
      <c r="T531" s="703" t="s">
        <v>1548</v>
      </c>
      <c r="U531" s="708" t="s">
        <v>379</v>
      </c>
      <c r="V531" s="887"/>
      <c r="W531" s="887"/>
      <c r="X531" s="241" t="s">
        <v>186</v>
      </c>
      <c r="Y531" s="887"/>
      <c r="Z531" s="706" t="s">
        <v>1351</v>
      </c>
      <c r="AA531" s="892"/>
      <c r="AB531" s="887"/>
      <c r="AC531" s="892"/>
      <c r="AD531" s="892"/>
      <c r="AE531" s="241" t="s">
        <v>259</v>
      </c>
      <c r="AF531" s="887"/>
      <c r="AG531" s="887"/>
      <c r="AH531" s="241" t="s">
        <v>9124</v>
      </c>
      <c r="AI531" s="896"/>
      <c r="AJ531" s="896"/>
      <c r="AK531" s="896"/>
      <c r="AL531" s="896"/>
      <c r="AM531" s="896"/>
      <c r="AN531" s="896"/>
      <c r="AO531" s="896"/>
      <c r="AP531" s="896"/>
      <c r="AQ531" s="896"/>
      <c r="AR531" s="927"/>
      <c r="AS531" s="927"/>
      <c r="AT531" s="927"/>
    </row>
    <row r="532">
      <c r="A532" s="887"/>
      <c r="B532" s="744" t="s">
        <v>4145</v>
      </c>
      <c r="C532" s="891"/>
      <c r="D532" s="887"/>
      <c r="E532" s="931">
        <v>46077.0</v>
      </c>
      <c r="F532" s="932"/>
      <c r="G532" s="887"/>
      <c r="H532" s="887"/>
      <c r="I532" s="892"/>
      <c r="J532" s="706" t="s">
        <v>114</v>
      </c>
      <c r="K532" s="898" t="s">
        <v>9177</v>
      </c>
      <c r="L532" s="887"/>
      <c r="M532" s="706" t="s">
        <v>60</v>
      </c>
      <c r="N532" s="926" t="s">
        <v>9178</v>
      </c>
      <c r="O532" s="241" t="s">
        <v>9179</v>
      </c>
      <c r="P532" s="707">
        <v>29863.0</v>
      </c>
      <c r="Q532" s="731">
        <f t="shared" si="47"/>
        <v>29863</v>
      </c>
      <c r="R532" s="688">
        <f t="shared" si="48"/>
        <v>44</v>
      </c>
      <c r="S532" s="241">
        <v>2.986213437E9</v>
      </c>
      <c r="T532" s="887"/>
      <c r="U532" s="708" t="s">
        <v>379</v>
      </c>
      <c r="V532" s="887"/>
      <c r="W532" s="887"/>
      <c r="X532" s="241" t="s">
        <v>186</v>
      </c>
      <c r="Y532" s="887"/>
      <c r="Z532" s="706" t="s">
        <v>1351</v>
      </c>
      <c r="AA532" s="892"/>
      <c r="AB532" s="887"/>
      <c r="AC532" s="892"/>
      <c r="AD532" s="892"/>
      <c r="AE532" s="241" t="s">
        <v>259</v>
      </c>
      <c r="AF532" s="887"/>
      <c r="AG532" s="887"/>
      <c r="AH532" s="241" t="s">
        <v>9124</v>
      </c>
      <c r="AI532" s="896"/>
      <c r="AJ532" s="896"/>
      <c r="AK532" s="896"/>
      <c r="AL532" s="896"/>
      <c r="AM532" s="896"/>
      <c r="AN532" s="896"/>
      <c r="AO532" s="896"/>
      <c r="AP532" s="896"/>
      <c r="AQ532" s="896"/>
      <c r="AR532" s="927"/>
      <c r="AS532" s="927"/>
      <c r="AT532" s="927"/>
    </row>
    <row r="533">
      <c r="A533" s="887"/>
      <c r="B533" s="744" t="s">
        <v>4145</v>
      </c>
      <c r="C533" s="891"/>
      <c r="D533" s="887"/>
      <c r="E533" s="931">
        <v>46077.0</v>
      </c>
      <c r="F533" s="932"/>
      <c r="G533" s="887"/>
      <c r="H533" s="887"/>
      <c r="I533" s="892"/>
      <c r="J533" s="706" t="s">
        <v>114</v>
      </c>
      <c r="K533" s="898" t="s">
        <v>9184</v>
      </c>
      <c r="L533" s="887"/>
      <c r="M533" s="706" t="s">
        <v>60</v>
      </c>
      <c r="N533" s="926" t="s">
        <v>9186</v>
      </c>
      <c r="O533" s="241" t="s">
        <v>9187</v>
      </c>
      <c r="P533" s="707">
        <v>28012.0</v>
      </c>
      <c r="Q533" s="731">
        <f t="shared" si="47"/>
        <v>28012</v>
      </c>
      <c r="R533" s="688">
        <f t="shared" si="48"/>
        <v>49</v>
      </c>
      <c r="S533" s="241">
        <v>2.80111807E9</v>
      </c>
      <c r="T533" s="887"/>
      <c r="U533" s="708" t="s">
        <v>379</v>
      </c>
      <c r="V533" s="887"/>
      <c r="W533" s="887"/>
      <c r="X533" s="241" t="s">
        <v>186</v>
      </c>
      <c r="Y533" s="887"/>
      <c r="Z533" s="706" t="s">
        <v>1351</v>
      </c>
      <c r="AA533" s="892"/>
      <c r="AB533" s="887"/>
      <c r="AC533" s="892"/>
      <c r="AD533" s="892"/>
      <c r="AE533" s="241" t="s">
        <v>259</v>
      </c>
      <c r="AF533" s="887"/>
      <c r="AG533" s="887"/>
      <c r="AH533" s="241" t="s">
        <v>9124</v>
      </c>
      <c r="AI533" s="896"/>
      <c r="AJ533" s="896"/>
      <c r="AK533" s="896"/>
      <c r="AL533" s="896"/>
      <c r="AM533" s="896"/>
      <c r="AN533" s="896"/>
      <c r="AO533" s="896"/>
      <c r="AP533" s="896"/>
      <c r="AQ533" s="896"/>
      <c r="AR533" s="927"/>
      <c r="AS533" s="927"/>
      <c r="AT533" s="927"/>
    </row>
    <row r="534">
      <c r="A534" s="887"/>
      <c r="B534" s="744" t="s">
        <v>4145</v>
      </c>
      <c r="C534" s="891"/>
      <c r="D534" s="887"/>
      <c r="E534" s="931">
        <v>46077.0</v>
      </c>
      <c r="F534" s="932"/>
      <c r="G534" s="887"/>
      <c r="H534" s="887"/>
      <c r="I534" s="892"/>
      <c r="J534" s="706" t="s">
        <v>114</v>
      </c>
      <c r="K534" s="898" t="s">
        <v>9191</v>
      </c>
      <c r="L534" s="887"/>
      <c r="M534" s="706" t="s">
        <v>656</v>
      </c>
      <c r="N534" s="926" t="s">
        <v>9193</v>
      </c>
      <c r="O534" s="241" t="s">
        <v>9194</v>
      </c>
      <c r="P534" s="707">
        <v>28661.0</v>
      </c>
      <c r="Q534" s="731">
        <f t="shared" si="47"/>
        <v>28661</v>
      </c>
      <c r="R534" s="688">
        <f t="shared" si="48"/>
        <v>48</v>
      </c>
      <c r="S534" s="241">
        <v>2.866018976E9</v>
      </c>
      <c r="T534" s="887"/>
      <c r="U534" s="708" t="s">
        <v>379</v>
      </c>
      <c r="V534" s="887"/>
      <c r="W534" s="887"/>
      <c r="X534" s="241" t="s">
        <v>186</v>
      </c>
      <c r="Y534" s="887"/>
      <c r="Z534" s="706" t="s">
        <v>1351</v>
      </c>
      <c r="AA534" s="892"/>
      <c r="AB534" s="887"/>
      <c r="AC534" s="892"/>
      <c r="AD534" s="892"/>
      <c r="AE534" s="241" t="s">
        <v>259</v>
      </c>
      <c r="AF534" s="887"/>
      <c r="AG534" s="887"/>
      <c r="AH534" s="241" t="s">
        <v>9124</v>
      </c>
      <c r="AI534" s="896"/>
      <c r="AJ534" s="896"/>
      <c r="AK534" s="896"/>
      <c r="AL534" s="896"/>
      <c r="AM534" s="896"/>
      <c r="AN534" s="896"/>
      <c r="AO534" s="896"/>
      <c r="AP534" s="896"/>
      <c r="AQ534" s="896"/>
      <c r="AR534" s="927"/>
      <c r="AS534" s="927"/>
      <c r="AT534" s="927"/>
    </row>
    <row r="535">
      <c r="A535" s="887"/>
      <c r="B535" s="744" t="s">
        <v>4145</v>
      </c>
      <c r="C535" s="891"/>
      <c r="D535" s="887"/>
      <c r="E535" s="931">
        <v>46077.0</v>
      </c>
      <c r="F535" s="932"/>
      <c r="G535" s="887"/>
      <c r="H535" s="887"/>
      <c r="I535" s="892"/>
      <c r="J535" s="706" t="s">
        <v>114</v>
      </c>
      <c r="K535" s="887"/>
      <c r="L535" s="887"/>
      <c r="M535" s="706" t="s">
        <v>60</v>
      </c>
      <c r="N535" s="926" t="s">
        <v>9200</v>
      </c>
      <c r="O535" s="241" t="s">
        <v>9201</v>
      </c>
      <c r="P535" s="707">
        <v>27374.0</v>
      </c>
      <c r="Q535" s="731">
        <f t="shared" si="47"/>
        <v>27374</v>
      </c>
      <c r="R535" s="688">
        <f t="shared" si="48"/>
        <v>51</v>
      </c>
      <c r="S535" s="241">
        <v>2.737319876E9</v>
      </c>
      <c r="T535" s="887"/>
      <c r="U535" s="708" t="s">
        <v>379</v>
      </c>
      <c r="V535" s="887"/>
      <c r="W535" s="887"/>
      <c r="X535" s="241" t="s">
        <v>186</v>
      </c>
      <c r="Y535" s="887"/>
      <c r="Z535" s="706" t="s">
        <v>1351</v>
      </c>
      <c r="AA535" s="892"/>
      <c r="AB535" s="887"/>
      <c r="AC535" s="892"/>
      <c r="AD535" s="892"/>
      <c r="AE535" s="241" t="s">
        <v>259</v>
      </c>
      <c r="AF535" s="887"/>
      <c r="AG535" s="887"/>
      <c r="AH535" s="241" t="s">
        <v>9124</v>
      </c>
      <c r="AI535" s="896"/>
      <c r="AJ535" s="896"/>
      <c r="AK535" s="896"/>
      <c r="AL535" s="896"/>
      <c r="AM535" s="896"/>
      <c r="AN535" s="896"/>
      <c r="AO535" s="896"/>
      <c r="AP535" s="896"/>
      <c r="AQ535" s="896"/>
      <c r="AR535" s="927"/>
      <c r="AS535" s="927"/>
      <c r="AT535" s="927"/>
    </row>
    <row r="536">
      <c r="A536" s="887"/>
      <c r="B536" s="744" t="s">
        <v>4145</v>
      </c>
      <c r="C536" s="891"/>
      <c r="D536" s="887"/>
      <c r="E536" s="931">
        <v>46077.0</v>
      </c>
      <c r="F536" s="932"/>
      <c r="G536" s="887"/>
      <c r="H536" s="887"/>
      <c r="I536" s="892"/>
      <c r="J536" s="706" t="s">
        <v>114</v>
      </c>
      <c r="K536" s="898" t="s">
        <v>9208</v>
      </c>
      <c r="L536" s="887"/>
      <c r="M536" s="706" t="s">
        <v>60</v>
      </c>
      <c r="N536" s="926" t="s">
        <v>9210</v>
      </c>
      <c r="O536" s="241" t="s">
        <v>9211</v>
      </c>
      <c r="P536" s="707">
        <v>28584.0</v>
      </c>
      <c r="Q536" s="929">
        <f t="shared" si="47"/>
        <v>1</v>
      </c>
      <c r="R536" s="688">
        <f t="shared" si="48"/>
        <v>48</v>
      </c>
      <c r="S536" s="887"/>
      <c r="T536" s="887"/>
      <c r="U536" s="708" t="s">
        <v>379</v>
      </c>
      <c r="V536" s="887"/>
      <c r="W536" s="887"/>
      <c r="X536" s="241" t="s">
        <v>186</v>
      </c>
      <c r="Y536" s="887"/>
      <c r="Z536" s="706" t="s">
        <v>1351</v>
      </c>
      <c r="AA536" s="892"/>
      <c r="AB536" s="887"/>
      <c r="AC536" s="892"/>
      <c r="AD536" s="892"/>
      <c r="AE536" s="241" t="s">
        <v>259</v>
      </c>
      <c r="AF536" s="887"/>
      <c r="AG536" s="887"/>
      <c r="AH536" s="241" t="s">
        <v>9124</v>
      </c>
      <c r="AI536" s="896"/>
      <c r="AJ536" s="896"/>
      <c r="AK536" s="896"/>
      <c r="AL536" s="896"/>
      <c r="AM536" s="896"/>
      <c r="AN536" s="896"/>
      <c r="AO536" s="896"/>
      <c r="AP536" s="896"/>
      <c r="AQ536" s="896"/>
      <c r="AR536" s="927"/>
      <c r="AS536" s="927"/>
      <c r="AT536" s="927"/>
    </row>
    <row r="537">
      <c r="A537" s="887"/>
      <c r="B537" s="744" t="s">
        <v>4145</v>
      </c>
      <c r="C537" s="891"/>
      <c r="D537" s="887"/>
      <c r="E537" s="931">
        <v>46077.0</v>
      </c>
      <c r="F537" s="932"/>
      <c r="G537" s="887"/>
      <c r="H537" s="887"/>
      <c r="I537" s="892"/>
      <c r="J537" s="706" t="s">
        <v>114</v>
      </c>
      <c r="K537" s="887"/>
      <c r="L537" s="887"/>
      <c r="M537" s="706" t="s">
        <v>60</v>
      </c>
      <c r="N537" s="926" t="s">
        <v>9217</v>
      </c>
      <c r="O537" s="241" t="s">
        <v>9218</v>
      </c>
      <c r="P537" s="707">
        <v>28267.0</v>
      </c>
      <c r="Q537" s="731">
        <f t="shared" si="47"/>
        <v>28267</v>
      </c>
      <c r="R537" s="688">
        <f t="shared" si="48"/>
        <v>49</v>
      </c>
      <c r="S537" s="241">
        <v>2.826601037E9</v>
      </c>
      <c r="T537" s="887"/>
      <c r="U537" s="708" t="s">
        <v>379</v>
      </c>
      <c r="V537" s="887"/>
      <c r="W537" s="887"/>
      <c r="X537" s="241" t="s">
        <v>186</v>
      </c>
      <c r="Y537" s="887"/>
      <c r="Z537" s="706" t="s">
        <v>1351</v>
      </c>
      <c r="AA537" s="892"/>
      <c r="AB537" s="887"/>
      <c r="AC537" s="892"/>
      <c r="AD537" s="892"/>
      <c r="AE537" s="241" t="s">
        <v>259</v>
      </c>
      <c r="AF537" s="887"/>
      <c r="AG537" s="887"/>
      <c r="AH537" s="241" t="s">
        <v>9124</v>
      </c>
      <c r="AI537" s="896"/>
      <c r="AJ537" s="896"/>
      <c r="AK537" s="896"/>
      <c r="AL537" s="896"/>
      <c r="AM537" s="896"/>
      <c r="AN537" s="896"/>
      <c r="AO537" s="896"/>
      <c r="AP537" s="896"/>
      <c r="AQ537" s="896"/>
      <c r="AR537" s="927"/>
      <c r="AS537" s="927"/>
      <c r="AT537" s="927"/>
    </row>
    <row r="538">
      <c r="A538" s="887"/>
      <c r="B538" s="744" t="s">
        <v>4145</v>
      </c>
      <c r="C538" s="891"/>
      <c r="D538" s="887"/>
      <c r="E538" s="931">
        <v>46077.0</v>
      </c>
      <c r="F538" s="932"/>
      <c r="G538" s="887"/>
      <c r="H538" s="887"/>
      <c r="I538" s="892"/>
      <c r="J538" s="706" t="s">
        <v>114</v>
      </c>
      <c r="K538" s="898" t="s">
        <v>9222</v>
      </c>
      <c r="L538" s="887"/>
      <c r="M538" s="706" t="s">
        <v>60</v>
      </c>
      <c r="N538" s="926" t="s">
        <v>9223</v>
      </c>
      <c r="O538" s="241" t="s">
        <v>9224</v>
      </c>
      <c r="P538" s="707">
        <v>28443.0</v>
      </c>
      <c r="Q538" s="731">
        <f t="shared" si="47"/>
        <v>28443</v>
      </c>
      <c r="R538" s="688">
        <f t="shared" si="48"/>
        <v>48</v>
      </c>
      <c r="S538" s="241">
        <v>2.844218178E9</v>
      </c>
      <c r="T538" s="887"/>
      <c r="U538" s="708" t="s">
        <v>379</v>
      </c>
      <c r="V538" s="887"/>
      <c r="W538" s="887"/>
      <c r="X538" s="241" t="s">
        <v>186</v>
      </c>
      <c r="Y538" s="887"/>
      <c r="Z538" s="706" t="s">
        <v>1351</v>
      </c>
      <c r="AA538" s="892"/>
      <c r="AB538" s="887"/>
      <c r="AC538" s="892"/>
      <c r="AD538" s="892"/>
      <c r="AE538" s="241" t="s">
        <v>259</v>
      </c>
      <c r="AF538" s="887"/>
      <c r="AG538" s="887"/>
      <c r="AH538" s="241" t="s">
        <v>9124</v>
      </c>
      <c r="AI538" s="896"/>
      <c r="AJ538" s="896"/>
      <c r="AK538" s="896"/>
      <c r="AL538" s="896"/>
      <c r="AM538" s="896"/>
      <c r="AN538" s="896"/>
      <c r="AO538" s="896"/>
      <c r="AP538" s="896"/>
      <c r="AQ538" s="896"/>
      <c r="AR538" s="927"/>
      <c r="AS538" s="927"/>
      <c r="AT538" s="927"/>
    </row>
    <row r="539">
      <c r="A539" s="887"/>
      <c r="B539" s="744" t="s">
        <v>4145</v>
      </c>
      <c r="C539" s="891"/>
      <c r="D539" s="887"/>
      <c r="E539" s="931">
        <v>46077.0</v>
      </c>
      <c r="F539" s="932"/>
      <c r="G539" s="887"/>
      <c r="H539" s="887"/>
      <c r="I539" s="892"/>
      <c r="J539" s="706" t="s">
        <v>114</v>
      </c>
      <c r="K539" s="898" t="s">
        <v>9231</v>
      </c>
      <c r="L539" s="887"/>
      <c r="M539" s="706" t="s">
        <v>60</v>
      </c>
      <c r="N539" s="926" t="s">
        <v>9232</v>
      </c>
      <c r="O539" s="241" t="s">
        <v>9233</v>
      </c>
      <c r="P539" s="707">
        <v>30763.0</v>
      </c>
      <c r="Q539" s="929">
        <f t="shared" si="47"/>
        <v>1</v>
      </c>
      <c r="R539" s="688">
        <f t="shared" si="48"/>
        <v>42</v>
      </c>
      <c r="S539" s="887"/>
      <c r="T539" s="887"/>
      <c r="U539" s="708" t="s">
        <v>379</v>
      </c>
      <c r="V539" s="887"/>
      <c r="W539" s="887"/>
      <c r="X539" s="241" t="s">
        <v>186</v>
      </c>
      <c r="Y539" s="887"/>
      <c r="Z539" s="706" t="s">
        <v>1351</v>
      </c>
      <c r="AA539" s="892"/>
      <c r="AB539" s="887"/>
      <c r="AC539" s="892"/>
      <c r="AD539" s="892"/>
      <c r="AE539" s="241" t="s">
        <v>259</v>
      </c>
      <c r="AF539" s="887"/>
      <c r="AG539" s="887"/>
      <c r="AH539" s="241" t="s">
        <v>9124</v>
      </c>
      <c r="AI539" s="896"/>
      <c r="AJ539" s="896"/>
      <c r="AK539" s="896"/>
      <c r="AL539" s="896"/>
      <c r="AM539" s="896"/>
      <c r="AN539" s="896"/>
      <c r="AO539" s="896"/>
      <c r="AP539" s="896"/>
      <c r="AQ539" s="896"/>
      <c r="AR539" s="927"/>
      <c r="AS539" s="927"/>
      <c r="AT539" s="927"/>
    </row>
    <row r="540">
      <c r="A540" s="887"/>
      <c r="B540" s="744" t="s">
        <v>4145</v>
      </c>
      <c r="C540" s="891"/>
      <c r="D540" s="887"/>
      <c r="E540" s="931">
        <v>46077.0</v>
      </c>
      <c r="F540" s="932"/>
      <c r="G540" s="887"/>
      <c r="H540" s="887"/>
      <c r="I540" s="892"/>
      <c r="J540" s="706" t="s">
        <v>114</v>
      </c>
      <c r="K540" s="898" t="s">
        <v>9237</v>
      </c>
      <c r="L540" s="887"/>
      <c r="M540" s="706" t="s">
        <v>60</v>
      </c>
      <c r="N540" s="926" t="s">
        <v>9238</v>
      </c>
      <c r="O540" s="241" t="s">
        <v>9239</v>
      </c>
      <c r="P540" s="707">
        <v>29243.0</v>
      </c>
      <c r="Q540" s="731">
        <f t="shared" si="47"/>
        <v>29243</v>
      </c>
      <c r="R540" s="688">
        <f t="shared" si="48"/>
        <v>46</v>
      </c>
      <c r="S540" s="241">
        <v>2.924208759E9</v>
      </c>
      <c r="T540" s="703" t="s">
        <v>1548</v>
      </c>
      <c r="U540" s="708" t="s">
        <v>379</v>
      </c>
      <c r="V540" s="887"/>
      <c r="W540" s="887"/>
      <c r="X540" s="241" t="s">
        <v>186</v>
      </c>
      <c r="Y540" s="887"/>
      <c r="Z540" s="706" t="s">
        <v>1351</v>
      </c>
      <c r="AA540" s="892"/>
      <c r="AB540" s="887"/>
      <c r="AC540" s="892"/>
      <c r="AD540" s="892"/>
      <c r="AE540" s="241" t="s">
        <v>259</v>
      </c>
      <c r="AF540" s="887"/>
      <c r="AG540" s="887"/>
      <c r="AH540" s="241" t="s">
        <v>9124</v>
      </c>
      <c r="AI540" s="896"/>
      <c r="AJ540" s="896"/>
      <c r="AK540" s="896"/>
      <c r="AL540" s="896"/>
      <c r="AM540" s="896"/>
      <c r="AN540" s="896"/>
      <c r="AO540" s="896"/>
      <c r="AP540" s="896"/>
      <c r="AQ540" s="896"/>
      <c r="AR540" s="927"/>
      <c r="AS540" s="927"/>
      <c r="AT540" s="927"/>
    </row>
    <row r="541">
      <c r="A541" s="887"/>
      <c r="B541" s="744" t="s">
        <v>4145</v>
      </c>
      <c r="C541" s="891"/>
      <c r="D541" s="887"/>
      <c r="E541" s="931">
        <v>46080.0</v>
      </c>
      <c r="F541" s="932"/>
      <c r="G541" s="887"/>
      <c r="H541" s="887"/>
      <c r="I541" s="892"/>
      <c r="J541" s="706" t="s">
        <v>114</v>
      </c>
      <c r="K541" s="898" t="s">
        <v>1602</v>
      </c>
      <c r="L541" s="887"/>
      <c r="M541" s="706" t="s">
        <v>60</v>
      </c>
      <c r="N541" s="926" t="s">
        <v>9249</v>
      </c>
      <c r="O541" s="241" t="s">
        <v>1689</v>
      </c>
      <c r="P541" s="707">
        <v>30775.0</v>
      </c>
      <c r="Q541" s="731">
        <f t="shared" si="47"/>
        <v>30775</v>
      </c>
      <c r="R541" s="688">
        <f t="shared" si="48"/>
        <v>42</v>
      </c>
      <c r="S541" s="241">
        <v>3.077400278E9</v>
      </c>
      <c r="T541" s="887"/>
      <c r="U541" s="708" t="s">
        <v>379</v>
      </c>
      <c r="V541" s="887"/>
      <c r="W541" s="887"/>
      <c r="X541" s="241" t="s">
        <v>186</v>
      </c>
      <c r="Y541" s="887"/>
      <c r="Z541" s="706" t="s">
        <v>1351</v>
      </c>
      <c r="AA541" s="892"/>
      <c r="AB541" s="887"/>
      <c r="AC541" s="892"/>
      <c r="AD541" s="892"/>
      <c r="AE541" s="241" t="s">
        <v>259</v>
      </c>
      <c r="AF541" s="887"/>
      <c r="AG541" s="887"/>
      <c r="AH541" s="241" t="s">
        <v>9124</v>
      </c>
      <c r="AI541" s="896"/>
      <c r="AJ541" s="896"/>
      <c r="AK541" s="896"/>
      <c r="AL541" s="896"/>
      <c r="AM541" s="896"/>
      <c r="AN541" s="896"/>
      <c r="AO541" s="896"/>
      <c r="AP541" s="896"/>
      <c r="AQ541" s="896"/>
      <c r="AR541" s="927"/>
      <c r="AS541" s="927"/>
      <c r="AT541" s="927"/>
    </row>
    <row r="542">
      <c r="A542" s="887"/>
      <c r="B542" s="744" t="s">
        <v>4145</v>
      </c>
      <c r="C542" s="891"/>
      <c r="D542" s="887"/>
      <c r="E542" s="931">
        <v>46080.0</v>
      </c>
      <c r="F542" s="932"/>
      <c r="G542" s="887"/>
      <c r="H542" s="887"/>
      <c r="I542" s="892"/>
      <c r="J542" s="706" t="s">
        <v>114</v>
      </c>
      <c r="K542" s="898" t="s">
        <v>9252</v>
      </c>
      <c r="L542" s="887"/>
      <c r="M542" s="706" t="s">
        <v>60</v>
      </c>
      <c r="N542" s="926" t="s">
        <v>9254</v>
      </c>
      <c r="O542" s="241" t="s">
        <v>9255</v>
      </c>
      <c r="P542" s="707">
        <v>28000.0</v>
      </c>
      <c r="Q542" s="731">
        <f t="shared" si="47"/>
        <v>28000</v>
      </c>
      <c r="R542" s="688">
        <f t="shared" si="48"/>
        <v>50</v>
      </c>
      <c r="S542" s="241">
        <v>2.799903451E9</v>
      </c>
      <c r="T542" s="887"/>
      <c r="U542" s="708" t="s">
        <v>379</v>
      </c>
      <c r="V542" s="887"/>
      <c r="W542" s="887"/>
      <c r="X542" s="241" t="s">
        <v>186</v>
      </c>
      <c r="Y542" s="887"/>
      <c r="Z542" s="706" t="s">
        <v>1351</v>
      </c>
      <c r="AA542" s="892"/>
      <c r="AB542" s="887"/>
      <c r="AC542" s="892"/>
      <c r="AD542" s="892"/>
      <c r="AE542" s="241" t="s">
        <v>259</v>
      </c>
      <c r="AF542" s="887"/>
      <c r="AG542" s="887"/>
      <c r="AH542" s="241" t="s">
        <v>9124</v>
      </c>
      <c r="AI542" s="896"/>
      <c r="AJ542" s="896"/>
      <c r="AK542" s="896"/>
      <c r="AL542" s="896"/>
      <c r="AM542" s="896"/>
      <c r="AN542" s="896"/>
      <c r="AO542" s="896"/>
      <c r="AP542" s="896"/>
      <c r="AQ542" s="896"/>
      <c r="AR542" s="927"/>
      <c r="AS542" s="927"/>
      <c r="AT542" s="927"/>
    </row>
    <row r="543">
      <c r="A543" s="887"/>
      <c r="B543" s="744" t="s">
        <v>4145</v>
      </c>
      <c r="C543" s="891"/>
      <c r="D543" s="887"/>
      <c r="E543" s="931">
        <v>46080.0</v>
      </c>
      <c r="F543" s="932"/>
      <c r="G543" s="887"/>
      <c r="H543" s="887"/>
      <c r="I543" s="892"/>
      <c r="J543" s="706" t="s">
        <v>114</v>
      </c>
      <c r="K543" s="898" t="s">
        <v>9258</v>
      </c>
      <c r="L543" s="887"/>
      <c r="M543" s="706" t="s">
        <v>60</v>
      </c>
      <c r="N543" s="926" t="s">
        <v>9259</v>
      </c>
      <c r="O543" s="241" t="s">
        <v>8499</v>
      </c>
      <c r="P543" s="707">
        <v>28502.0</v>
      </c>
      <c r="Q543" s="731">
        <f t="shared" si="47"/>
        <v>28502</v>
      </c>
      <c r="R543" s="688">
        <f t="shared" si="48"/>
        <v>48</v>
      </c>
      <c r="S543" s="241">
        <v>2.850124213E9</v>
      </c>
      <c r="T543" s="887"/>
      <c r="U543" s="708" t="s">
        <v>379</v>
      </c>
      <c r="V543" s="887"/>
      <c r="W543" s="887"/>
      <c r="X543" s="241" t="s">
        <v>186</v>
      </c>
      <c r="Y543" s="887"/>
      <c r="Z543" s="706" t="s">
        <v>1351</v>
      </c>
      <c r="AA543" s="892"/>
      <c r="AB543" s="887"/>
      <c r="AC543" s="892"/>
      <c r="AD543" s="892"/>
      <c r="AE543" s="241" t="s">
        <v>259</v>
      </c>
      <c r="AF543" s="887"/>
      <c r="AG543" s="887"/>
      <c r="AH543" s="241" t="s">
        <v>9124</v>
      </c>
      <c r="AI543" s="896"/>
      <c r="AJ543" s="896"/>
      <c r="AK543" s="896"/>
      <c r="AL543" s="896"/>
      <c r="AM543" s="896"/>
      <c r="AN543" s="896"/>
      <c r="AO543" s="896"/>
      <c r="AP543" s="896"/>
      <c r="AQ543" s="896"/>
      <c r="AR543" s="927"/>
      <c r="AS543" s="927"/>
      <c r="AT543" s="927"/>
    </row>
    <row r="544">
      <c r="A544" s="887"/>
      <c r="B544" s="887"/>
      <c r="C544" s="887"/>
      <c r="D544" s="887"/>
      <c r="E544" s="931">
        <v>46110.0</v>
      </c>
      <c r="F544" s="932"/>
      <c r="G544" s="887"/>
      <c r="H544" s="887"/>
      <c r="I544" s="892"/>
      <c r="J544" s="706" t="s">
        <v>114</v>
      </c>
      <c r="K544" s="887"/>
      <c r="L544" s="887"/>
      <c r="M544" s="887"/>
      <c r="N544" s="926" t="s">
        <v>9262</v>
      </c>
      <c r="O544" s="241" t="s">
        <v>9263</v>
      </c>
      <c r="P544" s="918"/>
      <c r="Q544" s="948"/>
      <c r="R544" s="892"/>
      <c r="S544" s="887"/>
      <c r="T544" s="891"/>
      <c r="U544" s="708" t="s">
        <v>379</v>
      </c>
      <c r="V544" s="887"/>
      <c r="W544" s="887"/>
      <c r="X544" s="241" t="s">
        <v>186</v>
      </c>
      <c r="Y544" s="887"/>
      <c r="Z544" s="706" t="s">
        <v>2521</v>
      </c>
      <c r="AA544" s="892"/>
      <c r="AB544" s="887"/>
      <c r="AC544" s="892"/>
      <c r="AD544" s="892"/>
      <c r="AE544" s="241" t="s">
        <v>259</v>
      </c>
      <c r="AF544" s="887"/>
      <c r="AG544" s="887"/>
      <c r="AH544" s="241" t="s">
        <v>9124</v>
      </c>
      <c r="AI544" s="896"/>
      <c r="AJ544" s="896"/>
      <c r="AK544" s="896"/>
      <c r="AL544" s="896"/>
      <c r="AM544" s="896"/>
      <c r="AN544" s="896"/>
      <c r="AO544" s="896"/>
      <c r="AP544" s="896"/>
      <c r="AQ544" s="896"/>
      <c r="AR544" s="927"/>
      <c r="AS544" s="927"/>
      <c r="AT544" s="927"/>
    </row>
    <row r="545">
      <c r="A545" s="127"/>
      <c r="B545" s="949"/>
      <c r="C545" s="950"/>
      <c r="D545" s="127"/>
      <c r="E545" s="951"/>
      <c r="F545" s="127"/>
      <c r="G545" s="127"/>
      <c r="H545" s="127"/>
      <c r="I545" s="127"/>
      <c r="J545" s="802"/>
      <c r="K545" s="211"/>
      <c r="L545" s="211"/>
      <c r="M545" s="211"/>
      <c r="N545" s="127"/>
      <c r="O545" s="197"/>
      <c r="P545" s="805"/>
      <c r="Q545" s="127"/>
      <c r="R545" s="127"/>
      <c r="S545" s="806"/>
      <c r="T545" s="806"/>
      <c r="U545" s="160"/>
      <c r="V545" s="160"/>
      <c r="W545" s="127"/>
      <c r="X545" s="802"/>
      <c r="Y545" s="802"/>
      <c r="Z545" s="802"/>
      <c r="AA545" s="802"/>
      <c r="AB545" s="802"/>
      <c r="AC545" s="802"/>
      <c r="AD545" s="807"/>
      <c r="AE545" s="160"/>
      <c r="AF545" s="160"/>
      <c r="AG545" s="160"/>
      <c r="AH545" s="952"/>
      <c r="AI545" s="809"/>
      <c r="AJ545" s="809"/>
      <c r="AK545" s="809"/>
      <c r="AL545" s="809"/>
      <c r="AM545" s="809"/>
      <c r="AN545" s="809"/>
      <c r="AO545" s="809"/>
      <c r="AP545" s="809"/>
      <c r="AQ545" s="809"/>
      <c r="AR545" s="953"/>
      <c r="AS545" s="953"/>
      <c r="AT545" s="953"/>
    </row>
    <row r="546">
      <c r="A546" s="86"/>
      <c r="B546" s="450" t="s">
        <v>4145</v>
      </c>
      <c r="C546" s="341" t="s">
        <v>1313</v>
      </c>
      <c r="D546" s="86"/>
      <c r="E546" s="524" t="s">
        <v>9279</v>
      </c>
      <c r="F546" s="86"/>
      <c r="G546" s="86"/>
      <c r="H546" s="86"/>
      <c r="I546" s="86"/>
      <c r="J546" s="97"/>
      <c r="K546" s="85"/>
      <c r="L546" s="85" t="s">
        <v>8139</v>
      </c>
      <c r="M546" s="85" t="s">
        <v>4800</v>
      </c>
      <c r="N546" s="86" t="s">
        <v>9282</v>
      </c>
      <c r="O546" s="87" t="s">
        <v>9283</v>
      </c>
      <c r="P546" s="750"/>
      <c r="Q546" s="86"/>
      <c r="R546" s="86"/>
      <c r="S546" s="315"/>
      <c r="T546" s="315"/>
      <c r="U546" s="76" t="s">
        <v>393</v>
      </c>
      <c r="V546" s="76"/>
      <c r="W546" s="86"/>
      <c r="X546" s="97"/>
      <c r="Y546" s="97"/>
      <c r="Z546" s="97"/>
      <c r="AA546" s="97"/>
      <c r="AB546" s="97"/>
      <c r="AC546" s="97"/>
      <c r="AD546" s="99"/>
      <c r="AE546" s="76" t="s">
        <v>154</v>
      </c>
      <c r="AF546" s="76" t="s">
        <v>9286</v>
      </c>
      <c r="AG546" s="76"/>
      <c r="AH546" s="523">
        <v>45973.0</v>
      </c>
      <c r="AI546" s="67"/>
      <c r="AJ546" s="67"/>
      <c r="AK546" s="67"/>
      <c r="AL546" s="67"/>
      <c r="AM546" s="67"/>
      <c r="AN546" s="67"/>
      <c r="AO546" s="67"/>
      <c r="AP546" s="67"/>
      <c r="AQ546" s="67"/>
      <c r="AR546" s="203"/>
      <c r="AS546" s="203"/>
      <c r="AT546" s="203"/>
    </row>
    <row r="547">
      <c r="A547" s="86">
        <v>171.0</v>
      </c>
      <c r="B547" s="529" t="s">
        <v>1645</v>
      </c>
      <c r="C547" s="86" t="s">
        <v>1269</v>
      </c>
      <c r="D547" s="549" t="s">
        <v>1494</v>
      </c>
      <c r="E547" s="755" t="s">
        <v>213</v>
      </c>
      <c r="F547" s="747" t="s">
        <v>1523</v>
      </c>
      <c r="G547" s="97" t="s">
        <v>60</v>
      </c>
      <c r="H547" s="87" t="s">
        <v>1221</v>
      </c>
      <c r="I547" s="97" t="s">
        <v>1443</v>
      </c>
      <c r="J547" s="76" t="s">
        <v>114</v>
      </c>
      <c r="K547" s="76" t="s">
        <v>9289</v>
      </c>
      <c r="L547" s="85" t="s">
        <v>8139</v>
      </c>
      <c r="M547" s="85" t="s">
        <v>60</v>
      </c>
      <c r="N547" s="294" t="s">
        <v>9256</v>
      </c>
      <c r="O547" s="34" t="s">
        <v>9257</v>
      </c>
      <c r="P547" s="330">
        <v>33207.0</v>
      </c>
      <c r="Q547" s="315">
        <f t="shared" ref="Q547:Q567" si="49">VALUE(LEFT(TEXT(S547,0),5))+1</f>
        <v>33207</v>
      </c>
      <c r="R547" s="86">
        <f t="shared" ref="R547:R567" si="50">DATEDIF($P547,TODAY(),"Y")</f>
        <v>35</v>
      </c>
      <c r="S547" s="315">
        <v>3.320601794E9</v>
      </c>
      <c r="T547" s="315" t="s">
        <v>1317</v>
      </c>
      <c r="U547" s="76" t="s">
        <v>368</v>
      </c>
      <c r="V547" s="76"/>
      <c r="W547" s="76"/>
      <c r="X547" s="76"/>
      <c r="Y547" s="97" t="s">
        <v>1174</v>
      </c>
      <c r="Z547" s="278" t="s">
        <v>2090</v>
      </c>
      <c r="AA547" s="76"/>
      <c r="AB547" s="97"/>
      <c r="AC547" s="97"/>
      <c r="AD547" s="99"/>
      <c r="AE547" s="76"/>
      <c r="AF547" s="76"/>
      <c r="AG547" s="76"/>
      <c r="AH547" s="153">
        <v>46081.0</v>
      </c>
      <c r="AI547" s="67"/>
      <c r="AJ547" s="67"/>
      <c r="AK547" s="748"/>
      <c r="AL547" s="748"/>
      <c r="AM547" s="748"/>
      <c r="AN547" s="748"/>
      <c r="AO547" s="748"/>
      <c r="AP547" s="748"/>
      <c r="AQ547" s="67"/>
      <c r="AR547" s="203"/>
      <c r="AS547" s="203"/>
      <c r="AT547" s="203"/>
    </row>
    <row r="548">
      <c r="A548" s="86">
        <v>242.0</v>
      </c>
      <c r="B548" s="529" t="s">
        <v>1645</v>
      </c>
      <c r="C548" s="86" t="s">
        <v>1611</v>
      </c>
      <c r="D548" s="549" t="s">
        <v>1519</v>
      </c>
      <c r="E548" s="749" t="s">
        <v>58</v>
      </c>
      <c r="F548" s="747" t="s">
        <v>1496</v>
      </c>
      <c r="G548" s="97" t="s">
        <v>60</v>
      </c>
      <c r="H548" s="87" t="s">
        <v>1221</v>
      </c>
      <c r="I548" s="86" t="s">
        <v>1443</v>
      </c>
      <c r="J548" s="76" t="s">
        <v>114</v>
      </c>
      <c r="K548" s="85" t="s">
        <v>9295</v>
      </c>
      <c r="L548" s="85" t="s">
        <v>8139</v>
      </c>
      <c r="M548" s="85" t="s">
        <v>656</v>
      </c>
      <c r="N548" s="256" t="s">
        <v>9296</v>
      </c>
      <c r="O548" s="34" t="s">
        <v>9297</v>
      </c>
      <c r="P548" s="153">
        <v>28498.0</v>
      </c>
      <c r="Q548" s="315">
        <f t="shared" si="49"/>
        <v>28498</v>
      </c>
      <c r="R548" s="86">
        <f t="shared" si="50"/>
        <v>48</v>
      </c>
      <c r="S548" s="315">
        <v>2.849711477E9</v>
      </c>
      <c r="T548" s="315" t="s">
        <v>1317</v>
      </c>
      <c r="U548" s="76" t="s">
        <v>368</v>
      </c>
      <c r="V548" s="76"/>
      <c r="W548" s="76"/>
      <c r="X548" s="76"/>
      <c r="Y548" s="97" t="s">
        <v>1174</v>
      </c>
      <c r="Z548" s="278" t="s">
        <v>2090</v>
      </c>
      <c r="AA548" s="76"/>
      <c r="AB548" s="97"/>
      <c r="AC548" s="97"/>
      <c r="AD548" s="99"/>
      <c r="AE548" s="76"/>
      <c r="AF548" s="954"/>
      <c r="AG548" s="76" t="s">
        <v>1187</v>
      </c>
      <c r="AH548" s="153">
        <v>46093.0</v>
      </c>
      <c r="AI548" s="67"/>
      <c r="AJ548" s="67"/>
      <c r="AK548" s="748"/>
      <c r="AL548" s="748"/>
      <c r="AM548" s="748"/>
      <c r="AN548" s="748"/>
      <c r="AO548" s="748"/>
      <c r="AP548" s="748"/>
      <c r="AQ548" s="67"/>
      <c r="AR548" s="203"/>
      <c r="AS548" s="203"/>
      <c r="AT548" s="203"/>
    </row>
    <row r="549">
      <c r="A549" s="86">
        <v>319.0</v>
      </c>
      <c r="B549" s="529" t="s">
        <v>1709</v>
      </c>
      <c r="C549" s="87" t="s">
        <v>1517</v>
      </c>
      <c r="D549" s="87" t="s">
        <v>1519</v>
      </c>
      <c r="E549" s="755" t="s">
        <v>187</v>
      </c>
      <c r="F549" s="747" t="s">
        <v>1469</v>
      </c>
      <c r="G549" s="97" t="s">
        <v>60</v>
      </c>
      <c r="H549" s="87" t="s">
        <v>1221</v>
      </c>
      <c r="I549" s="86" t="s">
        <v>1443</v>
      </c>
      <c r="J549" s="85" t="s">
        <v>114</v>
      </c>
      <c r="K549" s="85" t="s">
        <v>9301</v>
      </c>
      <c r="L549" s="85" t="s">
        <v>8139</v>
      </c>
      <c r="M549" s="85" t="s">
        <v>60</v>
      </c>
      <c r="N549" s="256" t="s">
        <v>9302</v>
      </c>
      <c r="O549" s="76" t="s">
        <v>2042</v>
      </c>
      <c r="P549" s="153">
        <v>31180.0</v>
      </c>
      <c r="Q549" s="315">
        <f t="shared" si="49"/>
        <v>31180</v>
      </c>
      <c r="R549" s="97">
        <f t="shared" si="50"/>
        <v>41</v>
      </c>
      <c r="S549" s="76">
        <v>3.117919012E9</v>
      </c>
      <c r="T549" s="315"/>
      <c r="U549" s="76" t="s">
        <v>368</v>
      </c>
      <c r="V549" s="76"/>
      <c r="W549" s="76"/>
      <c r="X549" s="76"/>
      <c r="Y549" s="97" t="s">
        <v>1174</v>
      </c>
      <c r="Z549" s="278" t="s">
        <v>2090</v>
      </c>
      <c r="AA549" s="76"/>
      <c r="AB549" s="76"/>
      <c r="AC549" s="97"/>
      <c r="AD549" s="99"/>
      <c r="AE549" s="76"/>
      <c r="AF549" s="76"/>
      <c r="AG549" s="76" t="s">
        <v>1187</v>
      </c>
      <c r="AH549" s="153">
        <v>46093.0</v>
      </c>
      <c r="AI549" s="67"/>
      <c r="AJ549" s="67"/>
      <c r="AK549" s="769"/>
      <c r="AL549" s="769"/>
      <c r="AM549" s="769"/>
      <c r="AN549" s="769"/>
      <c r="AO549" s="769"/>
      <c r="AP549" s="769"/>
      <c r="AQ549" s="67"/>
      <c r="AR549" s="203"/>
      <c r="AS549" s="203"/>
      <c r="AT549" s="203"/>
    </row>
    <row r="550">
      <c r="A550" s="86">
        <v>461.0</v>
      </c>
      <c r="B550" s="529" t="s">
        <v>1433</v>
      </c>
      <c r="C550" s="86" t="s">
        <v>9305</v>
      </c>
      <c r="D550" s="86" t="s">
        <v>121</v>
      </c>
      <c r="E550" s="746" t="s">
        <v>331</v>
      </c>
      <c r="F550" s="747" t="s">
        <v>7124</v>
      </c>
      <c r="G550" s="97" t="s">
        <v>60</v>
      </c>
      <c r="H550" s="87" t="s">
        <v>1221</v>
      </c>
      <c r="I550" s="87" t="s">
        <v>1221</v>
      </c>
      <c r="J550" s="85" t="s">
        <v>114</v>
      </c>
      <c r="K550" s="85" t="s">
        <v>9308</v>
      </c>
      <c r="L550" s="85" t="s">
        <v>8139</v>
      </c>
      <c r="M550" s="85" t="s">
        <v>656</v>
      </c>
      <c r="N550" s="256" t="s">
        <v>9309</v>
      </c>
      <c r="O550" s="76" t="s">
        <v>3218</v>
      </c>
      <c r="P550" s="153">
        <v>28241.0</v>
      </c>
      <c r="Q550" s="315">
        <f t="shared" si="49"/>
        <v>28241</v>
      </c>
      <c r="R550" s="97">
        <f t="shared" si="50"/>
        <v>49</v>
      </c>
      <c r="S550" s="76">
        <v>2.824018436E9</v>
      </c>
      <c r="T550" s="315"/>
      <c r="U550" s="76" t="s">
        <v>368</v>
      </c>
      <c r="V550" s="76"/>
      <c r="W550" s="76"/>
      <c r="X550" s="76"/>
      <c r="Y550" s="97" t="s">
        <v>1174</v>
      </c>
      <c r="Z550" s="278" t="s">
        <v>2090</v>
      </c>
      <c r="AA550" s="76"/>
      <c r="AB550" s="76"/>
      <c r="AC550" s="97"/>
      <c r="AD550" s="99"/>
      <c r="AE550" s="76"/>
      <c r="AF550" s="76"/>
      <c r="AG550" s="76" t="s">
        <v>1187</v>
      </c>
      <c r="AH550" s="153">
        <v>46092.0</v>
      </c>
      <c r="AI550" s="67"/>
      <c r="AJ550" s="67"/>
      <c r="AK550" s="748"/>
      <c r="AL550" s="748"/>
      <c r="AM550" s="748"/>
      <c r="AN550" s="748"/>
      <c r="AO550" s="748"/>
      <c r="AP550" s="748"/>
      <c r="AQ550" s="67"/>
      <c r="AR550" s="203"/>
      <c r="AS550" s="203"/>
      <c r="AT550" s="203"/>
    </row>
    <row r="551">
      <c r="A551" s="86">
        <v>649.0</v>
      </c>
      <c r="B551" s="529" t="s">
        <v>3875</v>
      </c>
      <c r="C551" s="86" t="s">
        <v>121</v>
      </c>
      <c r="D551" s="86" t="s">
        <v>121</v>
      </c>
      <c r="E551" s="746" t="s">
        <v>726</v>
      </c>
      <c r="F551" s="747" t="s">
        <v>3876</v>
      </c>
      <c r="G551" s="97" t="s">
        <v>60</v>
      </c>
      <c r="H551" s="87" t="s">
        <v>1221</v>
      </c>
      <c r="I551" s="86" t="s">
        <v>1443</v>
      </c>
      <c r="J551" s="85" t="s">
        <v>114</v>
      </c>
      <c r="K551" s="85"/>
      <c r="L551" s="85" t="s">
        <v>8139</v>
      </c>
      <c r="M551" s="85" t="s">
        <v>60</v>
      </c>
      <c r="N551" s="256" t="s">
        <v>9316</v>
      </c>
      <c r="O551" s="76" t="s">
        <v>1870</v>
      </c>
      <c r="P551" s="86"/>
      <c r="Q551" s="315">
        <f t="shared" si="49"/>
        <v>1</v>
      </c>
      <c r="R551" s="97">
        <f t="shared" si="50"/>
        <v>126</v>
      </c>
      <c r="S551" s="315"/>
      <c r="T551" s="315"/>
      <c r="U551" s="76" t="s">
        <v>368</v>
      </c>
      <c r="V551" s="76"/>
      <c r="W551" s="76"/>
      <c r="X551" s="76"/>
      <c r="Y551" s="97" t="s">
        <v>183</v>
      </c>
      <c r="Z551" s="278" t="s">
        <v>2090</v>
      </c>
      <c r="AA551" s="76"/>
      <c r="AB551" s="76"/>
      <c r="AC551" s="97"/>
      <c r="AD551" s="99"/>
      <c r="AE551" s="76"/>
      <c r="AF551" s="76"/>
      <c r="AG551" s="76" t="s">
        <v>1187</v>
      </c>
      <c r="AH551" s="153">
        <v>46094.0</v>
      </c>
      <c r="AI551" s="67"/>
      <c r="AJ551" s="67"/>
      <c r="AK551" s="67"/>
      <c r="AL551" s="67"/>
      <c r="AM551" s="67"/>
      <c r="AN551" s="67"/>
      <c r="AO551" s="67"/>
      <c r="AP551" s="67"/>
      <c r="AQ551" s="67"/>
      <c r="AR551" s="203"/>
      <c r="AS551" s="203"/>
      <c r="AT551" s="203"/>
    </row>
    <row r="552">
      <c r="A552" s="86"/>
      <c r="B552" s="302" t="s">
        <v>4145</v>
      </c>
      <c r="C552" s="86"/>
      <c r="D552" s="86"/>
      <c r="E552" s="783" t="s">
        <v>9321</v>
      </c>
      <c r="F552" s="86"/>
      <c r="G552" s="86"/>
      <c r="H552" s="86"/>
      <c r="I552" s="86"/>
      <c r="J552" s="76" t="s">
        <v>114</v>
      </c>
      <c r="K552" s="97"/>
      <c r="L552" s="85" t="s">
        <v>8139</v>
      </c>
      <c r="M552" s="85" t="s">
        <v>326</v>
      </c>
      <c r="N552" s="785" t="s">
        <v>8878</v>
      </c>
      <c r="O552" s="76" t="s">
        <v>4532</v>
      </c>
      <c r="P552" s="330">
        <v>36493.0</v>
      </c>
      <c r="Q552" s="315">
        <f t="shared" si="49"/>
        <v>36493</v>
      </c>
      <c r="R552" s="86">
        <f t="shared" si="50"/>
        <v>26</v>
      </c>
      <c r="S552" s="76">
        <v>3.649200579E9</v>
      </c>
      <c r="T552" s="315" t="s">
        <v>1362</v>
      </c>
      <c r="U552" s="76" t="s">
        <v>368</v>
      </c>
      <c r="V552" s="76"/>
      <c r="W552" s="76"/>
      <c r="X552" s="76"/>
      <c r="Y552" s="97" t="s">
        <v>183</v>
      </c>
      <c r="Z552" s="728" t="s">
        <v>2482</v>
      </c>
      <c r="AA552" s="76" t="s">
        <v>1178</v>
      </c>
      <c r="AB552" s="97"/>
      <c r="AC552" s="97"/>
      <c r="AD552" s="99"/>
      <c r="AE552" s="76"/>
      <c r="AF552" s="76"/>
      <c r="AG552" s="76" t="s">
        <v>375</v>
      </c>
      <c r="AH552" s="153">
        <v>46056.0</v>
      </c>
      <c r="AI552" s="67"/>
      <c r="AJ552" s="67"/>
      <c r="AK552" s="67"/>
      <c r="AL552" s="67"/>
      <c r="AM552" s="67"/>
      <c r="AN552" s="67"/>
      <c r="AO552" s="67"/>
      <c r="AP552" s="67"/>
      <c r="AQ552" s="67"/>
      <c r="AR552" s="203"/>
      <c r="AS552" s="203"/>
      <c r="AT552" s="203"/>
    </row>
    <row r="553">
      <c r="A553" s="86"/>
      <c r="B553" s="450" t="s">
        <v>4145</v>
      </c>
      <c r="C553" s="86"/>
      <c r="D553" s="86"/>
      <c r="E553" s="86"/>
      <c r="F553" s="86"/>
      <c r="G553" s="86"/>
      <c r="H553" s="86"/>
      <c r="I553" s="86"/>
      <c r="J553" s="76" t="s">
        <v>114</v>
      </c>
      <c r="K553" s="76" t="s">
        <v>7801</v>
      </c>
      <c r="L553" s="85" t="s">
        <v>8139</v>
      </c>
      <c r="M553" s="76" t="s">
        <v>60</v>
      </c>
      <c r="N553" s="287" t="s">
        <v>9332</v>
      </c>
      <c r="O553" s="76" t="s">
        <v>9333</v>
      </c>
      <c r="P553" s="330">
        <v>34687.0</v>
      </c>
      <c r="Q553" s="315">
        <f t="shared" si="49"/>
        <v>34687</v>
      </c>
      <c r="R553" s="86">
        <f t="shared" si="50"/>
        <v>31</v>
      </c>
      <c r="S553" s="315">
        <v>3.46860741E9</v>
      </c>
      <c r="T553" s="315"/>
      <c r="U553" s="76" t="s">
        <v>136</v>
      </c>
      <c r="V553" s="76"/>
      <c r="W553" s="76"/>
      <c r="X553" s="76"/>
      <c r="Y553" s="97" t="s">
        <v>183</v>
      </c>
      <c r="Z553" s="728" t="s">
        <v>2482</v>
      </c>
      <c r="AA553" s="76" t="s">
        <v>1178</v>
      </c>
      <c r="AB553" s="97"/>
      <c r="AC553" s="97"/>
      <c r="AD553" s="99"/>
      <c r="AE553" s="76"/>
      <c r="AF553" s="76"/>
      <c r="AG553" s="76"/>
      <c r="AH553" s="76" t="s">
        <v>9337</v>
      </c>
      <c r="AI553" s="67"/>
      <c r="AJ553" s="67"/>
      <c r="AK553" s="67"/>
      <c r="AL553" s="67"/>
      <c r="AM553" s="67"/>
      <c r="AN553" s="67"/>
      <c r="AO553" s="67"/>
      <c r="AP553" s="67"/>
      <c r="AQ553" s="67"/>
      <c r="AR553" s="203"/>
      <c r="AS553" s="203"/>
      <c r="AT553" s="203"/>
    </row>
    <row r="554">
      <c r="A554" s="86"/>
      <c r="B554" s="302" t="s">
        <v>4145</v>
      </c>
      <c r="C554" s="291" t="s">
        <v>5668</v>
      </c>
      <c r="D554" s="86"/>
      <c r="E554" s="955" t="s">
        <v>8216</v>
      </c>
      <c r="F554" s="86"/>
      <c r="G554" s="86"/>
      <c r="H554" s="86"/>
      <c r="I554" s="86"/>
      <c r="J554" s="76" t="s">
        <v>114</v>
      </c>
      <c r="K554" s="85"/>
      <c r="L554" s="85" t="s">
        <v>8139</v>
      </c>
      <c r="M554" s="85" t="s">
        <v>60</v>
      </c>
      <c r="N554" s="256" t="s">
        <v>9340</v>
      </c>
      <c r="O554" s="34" t="s">
        <v>1183</v>
      </c>
      <c r="P554" s="153">
        <v>31432.0</v>
      </c>
      <c r="Q554" s="315">
        <f t="shared" si="49"/>
        <v>31432</v>
      </c>
      <c r="R554" s="86">
        <f t="shared" si="50"/>
        <v>40</v>
      </c>
      <c r="S554" s="76">
        <v>3.143125159E9</v>
      </c>
      <c r="T554" s="315"/>
      <c r="U554" s="76" t="s">
        <v>368</v>
      </c>
      <c r="V554" s="76"/>
      <c r="W554" s="76"/>
      <c r="X554" s="76"/>
      <c r="Y554" s="97" t="s">
        <v>183</v>
      </c>
      <c r="Z554" s="278" t="s">
        <v>2090</v>
      </c>
      <c r="AA554" s="76" t="s">
        <v>1178</v>
      </c>
      <c r="AB554" s="97"/>
      <c r="AC554" s="97"/>
      <c r="AD554" s="99"/>
      <c r="AE554" s="76"/>
      <c r="AF554" s="76"/>
      <c r="AG554" s="76" t="s">
        <v>1187</v>
      </c>
      <c r="AH554" s="153">
        <v>46089.0</v>
      </c>
      <c r="AI554" s="67"/>
      <c r="AJ554" s="67"/>
      <c r="AK554" s="67"/>
      <c r="AL554" s="67"/>
      <c r="AM554" s="67"/>
      <c r="AN554" s="67"/>
      <c r="AO554" s="67"/>
      <c r="AP554" s="67"/>
      <c r="AQ554" s="67"/>
      <c r="AR554" s="203"/>
      <c r="AS554" s="203"/>
      <c r="AT554" s="203"/>
    </row>
    <row r="555">
      <c r="A555" s="86"/>
      <c r="B555" s="302" t="s">
        <v>145</v>
      </c>
      <c r="C555" s="523">
        <v>46024.0</v>
      </c>
      <c r="D555" s="86"/>
      <c r="E555" s="783" t="s">
        <v>9347</v>
      </c>
      <c r="F555" s="86"/>
      <c r="G555" s="86"/>
      <c r="H555" s="86"/>
      <c r="I555" s="86"/>
      <c r="J555" s="76" t="s">
        <v>114</v>
      </c>
      <c r="K555" s="85" t="s">
        <v>9348</v>
      </c>
      <c r="L555" s="85" t="s">
        <v>8139</v>
      </c>
      <c r="M555" s="85" t="s">
        <v>60</v>
      </c>
      <c r="N555" s="785" t="s">
        <v>9151</v>
      </c>
      <c r="O555" s="34" t="s">
        <v>9152</v>
      </c>
      <c r="P555" s="153">
        <v>30785.0</v>
      </c>
      <c r="Q555" s="315">
        <f t="shared" si="49"/>
        <v>30785</v>
      </c>
      <c r="R555" s="86">
        <f t="shared" si="50"/>
        <v>42</v>
      </c>
      <c r="S555" s="76">
        <v>3.078419039E9</v>
      </c>
      <c r="T555" s="315"/>
      <c r="U555" s="76" t="s">
        <v>368</v>
      </c>
      <c r="V555" s="76"/>
      <c r="W555" s="76"/>
      <c r="X555" s="76" t="s">
        <v>145</v>
      </c>
      <c r="Y555" s="76" t="s">
        <v>371</v>
      </c>
      <c r="Z555" s="97"/>
      <c r="AA555" s="76" t="s">
        <v>114</v>
      </c>
      <c r="AB555" s="97"/>
      <c r="AC555" s="97"/>
      <c r="AD555" s="99"/>
      <c r="AE555" s="76"/>
      <c r="AF555" s="76"/>
      <c r="AG555" s="76" t="s">
        <v>375</v>
      </c>
      <c r="AH555" s="153">
        <v>46083.0</v>
      </c>
      <c r="AI555" s="67"/>
      <c r="AJ555" s="67"/>
      <c r="AK555" s="67"/>
      <c r="AL555" s="67"/>
      <c r="AM555" s="67"/>
      <c r="AN555" s="67"/>
      <c r="AO555" s="67"/>
      <c r="AP555" s="67"/>
      <c r="AQ555" s="67"/>
      <c r="AR555" s="203"/>
      <c r="AS555" s="203"/>
      <c r="AT555" s="203"/>
    </row>
    <row r="556">
      <c r="A556" s="86"/>
      <c r="B556" s="302"/>
      <c r="C556" s="86"/>
      <c r="D556" s="86"/>
      <c r="E556" s="764"/>
      <c r="F556" s="86"/>
      <c r="G556" s="86"/>
      <c r="H556" s="86"/>
      <c r="I556" s="86"/>
      <c r="J556" s="76" t="s">
        <v>114</v>
      </c>
      <c r="K556" s="76" t="s">
        <v>9354</v>
      </c>
      <c r="L556" s="85" t="s">
        <v>8139</v>
      </c>
      <c r="M556" s="85" t="s">
        <v>60</v>
      </c>
      <c r="N556" s="956" t="s">
        <v>9356</v>
      </c>
      <c r="O556" s="76" t="s">
        <v>9358</v>
      </c>
      <c r="P556" s="153">
        <v>36636.0</v>
      </c>
      <c r="Q556" s="315">
        <f t="shared" si="49"/>
        <v>36636</v>
      </c>
      <c r="R556" s="86">
        <f t="shared" si="50"/>
        <v>26</v>
      </c>
      <c r="S556" s="76">
        <v>3.663509131E9</v>
      </c>
      <c r="T556" s="315" t="s">
        <v>1317</v>
      </c>
      <c r="U556" s="76" t="s">
        <v>219</v>
      </c>
      <c r="V556" s="76"/>
      <c r="W556" s="76"/>
      <c r="X556" s="76"/>
      <c r="Y556" s="97" t="s">
        <v>1174</v>
      </c>
      <c r="Z556" s="278" t="s">
        <v>2090</v>
      </c>
      <c r="AA556" s="76" t="s">
        <v>1178</v>
      </c>
      <c r="AB556" s="97"/>
      <c r="AC556" s="97"/>
      <c r="AD556" s="99"/>
      <c r="AE556" s="76"/>
      <c r="AF556" s="76"/>
      <c r="AG556" s="76" t="s">
        <v>1187</v>
      </c>
      <c r="AH556" s="76" t="s">
        <v>9364</v>
      </c>
      <c r="AI556" s="67"/>
      <c r="AJ556" s="67"/>
      <c r="AK556" s="67"/>
      <c r="AL556" s="67"/>
      <c r="AM556" s="67"/>
      <c r="AN556" s="67"/>
      <c r="AO556" s="67"/>
      <c r="AP556" s="67"/>
      <c r="AQ556" s="67"/>
      <c r="AR556" s="203"/>
      <c r="AS556" s="203"/>
      <c r="AT556" s="203"/>
    </row>
    <row r="557">
      <c r="A557" s="86"/>
      <c r="B557" s="302" t="s">
        <v>4145</v>
      </c>
      <c r="C557" s="291" t="s">
        <v>5668</v>
      </c>
      <c r="D557" s="86"/>
      <c r="E557" s="783" t="s">
        <v>9365</v>
      </c>
      <c r="F557" s="86"/>
      <c r="G557" s="86"/>
      <c r="H557" s="86"/>
      <c r="I557" s="86"/>
      <c r="J557" s="85" t="s">
        <v>114</v>
      </c>
      <c r="K557" s="176" t="s">
        <v>9367</v>
      </c>
      <c r="L557" s="85" t="s">
        <v>8139</v>
      </c>
      <c r="M557" s="85" t="s">
        <v>102</v>
      </c>
      <c r="N557" s="256" t="s">
        <v>8522</v>
      </c>
      <c r="O557" s="76" t="s">
        <v>8523</v>
      </c>
      <c r="P557" s="153">
        <v>28197.0</v>
      </c>
      <c r="Q557" s="315">
        <f t="shared" si="49"/>
        <v>28197</v>
      </c>
      <c r="R557" s="86">
        <f t="shared" si="50"/>
        <v>49</v>
      </c>
      <c r="S557" s="76">
        <v>2.819601093E9</v>
      </c>
      <c r="T557" s="315"/>
      <c r="U557" s="76" t="s">
        <v>368</v>
      </c>
      <c r="V557" s="76"/>
      <c r="W557" s="76"/>
      <c r="X557" s="76"/>
      <c r="Y557" s="97" t="s">
        <v>371</v>
      </c>
      <c r="Z557" s="97"/>
      <c r="AA557" s="76" t="s">
        <v>1178</v>
      </c>
      <c r="AB557" s="97"/>
      <c r="AC557" s="97"/>
      <c r="AD557" s="99"/>
      <c r="AE557" s="76"/>
      <c r="AF557" s="76"/>
      <c r="AG557" s="76" t="s">
        <v>375</v>
      </c>
      <c r="AH557" s="153">
        <v>46080.0</v>
      </c>
      <c r="AI557" s="67"/>
      <c r="AJ557" s="67"/>
      <c r="AK557" s="67"/>
      <c r="AL557" s="67"/>
      <c r="AM557" s="67"/>
      <c r="AN557" s="67"/>
      <c r="AO557" s="67"/>
      <c r="AP557" s="67"/>
      <c r="AQ557" s="67"/>
      <c r="AR557" s="203"/>
      <c r="AS557" s="203"/>
      <c r="AT557" s="203"/>
    </row>
    <row r="558">
      <c r="A558" s="86"/>
      <c r="B558" s="450" t="s">
        <v>4145</v>
      </c>
      <c r="C558" s="523"/>
      <c r="D558" s="315">
        <v>46000.0</v>
      </c>
      <c r="E558" s="764"/>
      <c r="F558" s="86"/>
      <c r="G558" s="86"/>
      <c r="H558" s="86"/>
      <c r="I558" s="86"/>
      <c r="J558" s="85" t="s">
        <v>114</v>
      </c>
      <c r="K558" s="124" t="s">
        <v>9379</v>
      </c>
      <c r="L558" s="85" t="s">
        <v>8139</v>
      </c>
      <c r="M558" s="76" t="s">
        <v>60</v>
      </c>
      <c r="N558" s="256" t="s">
        <v>8979</v>
      </c>
      <c r="O558" s="76" t="s">
        <v>8980</v>
      </c>
      <c r="P558" s="712">
        <v>31536.0</v>
      </c>
      <c r="Q558" s="315">
        <f t="shared" si="49"/>
        <v>31536</v>
      </c>
      <c r="R558" s="86">
        <f t="shared" si="50"/>
        <v>40</v>
      </c>
      <c r="S558" s="76">
        <v>3.153503255E9</v>
      </c>
      <c r="T558" s="315" t="s">
        <v>1479</v>
      </c>
      <c r="U558" s="76" t="s">
        <v>368</v>
      </c>
      <c r="V558" s="76"/>
      <c r="W558" s="76"/>
      <c r="X558" s="97"/>
      <c r="Y558" s="76"/>
      <c r="Z558" s="728" t="s">
        <v>2482</v>
      </c>
      <c r="AA558" s="97"/>
      <c r="AB558" s="97"/>
      <c r="AC558" s="97"/>
      <c r="AD558" s="99"/>
      <c r="AE558" s="76"/>
      <c r="AF558" s="76"/>
      <c r="AG558" s="76" t="s">
        <v>375</v>
      </c>
      <c r="AH558" s="330">
        <v>46067.0</v>
      </c>
      <c r="AI558" s="67"/>
      <c r="AJ558" s="67"/>
      <c r="AK558" s="67"/>
      <c r="AL558" s="67"/>
      <c r="AM558" s="67"/>
      <c r="AN558" s="67"/>
      <c r="AO558" s="67"/>
      <c r="AP558" s="67"/>
      <c r="AQ558" s="67"/>
      <c r="AR558" s="203"/>
      <c r="AS558" s="203"/>
      <c r="AT558" s="203"/>
    </row>
    <row r="559">
      <c r="A559" s="86"/>
      <c r="B559" s="450" t="s">
        <v>4145</v>
      </c>
      <c r="C559" s="523"/>
      <c r="D559" s="315"/>
      <c r="E559" s="764"/>
      <c r="F559" s="86"/>
      <c r="G559" s="86"/>
      <c r="H559" s="86"/>
      <c r="I559" s="86"/>
      <c r="J559" s="76" t="s">
        <v>114</v>
      </c>
      <c r="K559" s="76"/>
      <c r="L559" s="85" t="s">
        <v>8139</v>
      </c>
      <c r="M559" s="76" t="s">
        <v>60</v>
      </c>
      <c r="N559" s="785" t="s">
        <v>8209</v>
      </c>
      <c r="O559" s="76" t="s">
        <v>8210</v>
      </c>
      <c r="P559" s="153">
        <v>34448.0</v>
      </c>
      <c r="Q559" s="315">
        <f t="shared" si="49"/>
        <v>34448</v>
      </c>
      <c r="R559" s="86">
        <f t="shared" si="50"/>
        <v>32</v>
      </c>
      <c r="S559" s="315">
        <v>3.444702657E9</v>
      </c>
      <c r="T559" s="315"/>
      <c r="U559" s="76" t="s">
        <v>368</v>
      </c>
      <c r="V559" s="76"/>
      <c r="W559" s="76"/>
      <c r="X559" s="76"/>
      <c r="Y559" s="97" t="s">
        <v>183</v>
      </c>
      <c r="Z559" s="728" t="s">
        <v>2482</v>
      </c>
      <c r="AA559" s="76" t="s">
        <v>1178</v>
      </c>
      <c r="AB559" s="97"/>
      <c r="AC559" s="76" t="s">
        <v>2451</v>
      </c>
      <c r="AD559" s="99"/>
      <c r="AE559" s="76"/>
      <c r="AF559" s="76"/>
      <c r="AG559" s="76" t="s">
        <v>375</v>
      </c>
      <c r="AH559" s="153">
        <v>46053.0</v>
      </c>
      <c r="AI559" s="67"/>
      <c r="AJ559" s="67"/>
      <c r="AK559" s="67"/>
      <c r="AL559" s="67"/>
      <c r="AM559" s="67"/>
      <c r="AN559" s="67"/>
      <c r="AO559" s="67"/>
      <c r="AP559" s="67"/>
      <c r="AQ559" s="67"/>
      <c r="AR559" s="203"/>
      <c r="AS559" s="203"/>
      <c r="AT559" s="203"/>
    </row>
    <row r="560">
      <c r="A560" s="86"/>
      <c r="B560" s="450" t="s">
        <v>4145</v>
      </c>
      <c r="C560" s="97"/>
      <c r="D560" s="86"/>
      <c r="E560" s="781">
        <v>46043.0</v>
      </c>
      <c r="F560" s="86"/>
      <c r="G560" s="86"/>
      <c r="H560" s="86"/>
      <c r="I560" s="86"/>
      <c r="J560" s="76"/>
      <c r="K560" s="176" t="s">
        <v>9389</v>
      </c>
      <c r="L560" s="85" t="s">
        <v>8139</v>
      </c>
      <c r="M560" s="85" t="s">
        <v>60</v>
      </c>
      <c r="N560" s="785" t="s">
        <v>9198</v>
      </c>
      <c r="O560" s="756" t="s">
        <v>1772</v>
      </c>
      <c r="P560" s="750"/>
      <c r="Q560" s="315">
        <f t="shared" si="49"/>
        <v>1</v>
      </c>
      <c r="R560" s="97">
        <f t="shared" si="50"/>
        <v>126</v>
      </c>
      <c r="S560" s="315"/>
      <c r="T560" s="315"/>
      <c r="U560" s="76" t="s">
        <v>368</v>
      </c>
      <c r="V560" s="76"/>
      <c r="W560" s="76"/>
      <c r="X560" s="76"/>
      <c r="Y560" s="97" t="s">
        <v>371</v>
      </c>
      <c r="Z560" s="85"/>
      <c r="AA560" s="76"/>
      <c r="AB560" s="97"/>
      <c r="AC560" s="76"/>
      <c r="AD560" s="99"/>
      <c r="AE560" s="76"/>
      <c r="AF560" s="76"/>
      <c r="AG560" s="76" t="s">
        <v>375</v>
      </c>
      <c r="AH560" s="153">
        <v>46070.0</v>
      </c>
      <c r="AI560" s="67"/>
      <c r="AJ560" s="67"/>
      <c r="AK560" s="67"/>
      <c r="AL560" s="67"/>
      <c r="AM560" s="67"/>
      <c r="AN560" s="67"/>
      <c r="AO560" s="67"/>
      <c r="AP560" s="67"/>
      <c r="AQ560" s="67"/>
      <c r="AR560" s="203"/>
      <c r="AS560" s="203"/>
      <c r="AT560" s="203"/>
    </row>
    <row r="561">
      <c r="A561" s="86"/>
      <c r="B561" s="450" t="s">
        <v>4145</v>
      </c>
      <c r="C561" s="76" t="s">
        <v>3780</v>
      </c>
      <c r="D561" s="86"/>
      <c r="E561" s="781">
        <v>46043.0</v>
      </c>
      <c r="F561" s="86"/>
      <c r="G561" s="86"/>
      <c r="H561" s="86"/>
      <c r="I561" s="86"/>
      <c r="J561" s="76" t="s">
        <v>114</v>
      </c>
      <c r="K561" s="176" t="s">
        <v>9396</v>
      </c>
      <c r="L561" s="85" t="s">
        <v>8139</v>
      </c>
      <c r="M561" s="85" t="s">
        <v>60</v>
      </c>
      <c r="N561" s="960" t="s">
        <v>9098</v>
      </c>
      <c r="O561" s="756" t="s">
        <v>9099</v>
      </c>
      <c r="P561" s="262">
        <v>31186.0</v>
      </c>
      <c r="Q561" s="315">
        <f t="shared" si="49"/>
        <v>31186</v>
      </c>
      <c r="R561" s="97">
        <f t="shared" si="50"/>
        <v>41</v>
      </c>
      <c r="S561" s="76">
        <v>3.118513771E9</v>
      </c>
      <c r="T561" s="315" t="s">
        <v>1548</v>
      </c>
      <c r="U561" s="76" t="s">
        <v>344</v>
      </c>
      <c r="V561" s="76"/>
      <c r="W561" s="97"/>
      <c r="X561" s="76"/>
      <c r="Y561" s="97" t="s">
        <v>371</v>
      </c>
      <c r="Z561" s="85"/>
      <c r="AA561" s="76"/>
      <c r="AB561" s="97"/>
      <c r="AC561" s="76"/>
      <c r="AD561" s="99"/>
      <c r="AE561" s="76"/>
      <c r="AF561" s="76"/>
      <c r="AG561" s="76" t="s">
        <v>375</v>
      </c>
      <c r="AH561" s="153">
        <v>46050.0</v>
      </c>
      <c r="AI561" s="67"/>
      <c r="AJ561" s="67"/>
      <c r="AK561" s="67"/>
      <c r="AL561" s="67"/>
      <c r="AM561" s="67"/>
      <c r="AN561" s="67"/>
      <c r="AO561" s="67"/>
      <c r="AP561" s="67"/>
      <c r="AQ561" s="67"/>
      <c r="AR561" s="203"/>
      <c r="AS561" s="203"/>
      <c r="AT561" s="203"/>
    </row>
    <row r="562">
      <c r="A562" s="86"/>
      <c r="B562" s="450" t="s">
        <v>4145</v>
      </c>
      <c r="C562" s="76" t="s">
        <v>3780</v>
      </c>
      <c r="D562" s="86"/>
      <c r="E562" s="781">
        <v>46043.0</v>
      </c>
      <c r="F562" s="86"/>
      <c r="G562" s="86"/>
      <c r="H562" s="86"/>
      <c r="I562" s="86"/>
      <c r="J562" s="76"/>
      <c r="K562" s="176" t="s">
        <v>9405</v>
      </c>
      <c r="L562" s="85" t="s">
        <v>8139</v>
      </c>
      <c r="M562" s="85" t="s">
        <v>656</v>
      </c>
      <c r="N562" s="785" t="s">
        <v>9119</v>
      </c>
      <c r="O562" s="756" t="s">
        <v>9120</v>
      </c>
      <c r="P562" s="750"/>
      <c r="Q562" s="315">
        <f t="shared" si="49"/>
        <v>1</v>
      </c>
      <c r="R562" s="97">
        <f t="shared" si="50"/>
        <v>126</v>
      </c>
      <c r="S562" s="315"/>
      <c r="T562" s="315"/>
      <c r="U562" s="76" t="s">
        <v>368</v>
      </c>
      <c r="V562" s="76"/>
      <c r="W562" s="97"/>
      <c r="X562" s="76"/>
      <c r="Y562" s="97" t="s">
        <v>371</v>
      </c>
      <c r="Z562" s="85"/>
      <c r="AA562" s="76"/>
      <c r="AB562" s="97"/>
      <c r="AC562" s="76"/>
      <c r="AD562" s="99"/>
      <c r="AE562" s="76"/>
      <c r="AF562" s="76"/>
      <c r="AG562" s="76" t="s">
        <v>375</v>
      </c>
      <c r="AH562" s="153">
        <v>46059.0</v>
      </c>
      <c r="AI562" s="67"/>
      <c r="AJ562" s="67"/>
      <c r="AK562" s="67"/>
      <c r="AL562" s="67"/>
      <c r="AM562" s="67"/>
      <c r="AN562" s="67"/>
      <c r="AO562" s="67"/>
      <c r="AP562" s="67"/>
      <c r="AQ562" s="67"/>
      <c r="AR562" s="203"/>
      <c r="AS562" s="203"/>
      <c r="AT562" s="203"/>
    </row>
    <row r="563">
      <c r="A563" s="86"/>
      <c r="B563" s="450" t="s">
        <v>4145</v>
      </c>
      <c r="C563" s="76" t="s">
        <v>3780</v>
      </c>
      <c r="D563" s="86"/>
      <c r="E563" s="781">
        <v>46043.0</v>
      </c>
      <c r="F563" s="86"/>
      <c r="G563" s="86"/>
      <c r="H563" s="86"/>
      <c r="I563" s="86"/>
      <c r="J563" s="76" t="s">
        <v>114</v>
      </c>
      <c r="K563" s="176" t="s">
        <v>9411</v>
      </c>
      <c r="L563" s="85" t="s">
        <v>8139</v>
      </c>
      <c r="M563" s="85" t="s">
        <v>60</v>
      </c>
      <c r="N563" s="785" t="s">
        <v>9108</v>
      </c>
      <c r="O563" s="756" t="s">
        <v>9109</v>
      </c>
      <c r="P563" s="262">
        <v>30213.0</v>
      </c>
      <c r="Q563" s="315">
        <f t="shared" si="49"/>
        <v>30213</v>
      </c>
      <c r="R563" s="97">
        <f t="shared" si="50"/>
        <v>43</v>
      </c>
      <c r="S563" s="76">
        <v>3.021214213E9</v>
      </c>
      <c r="T563" s="76" t="s">
        <v>9414</v>
      </c>
      <c r="U563" s="76" t="s">
        <v>368</v>
      </c>
      <c r="V563" s="76"/>
      <c r="W563" s="97"/>
      <c r="X563" s="76"/>
      <c r="Y563" s="97" t="s">
        <v>371</v>
      </c>
      <c r="Z563" s="85"/>
      <c r="AA563" s="76"/>
      <c r="AB563" s="97"/>
      <c r="AC563" s="76"/>
      <c r="AD563" s="99"/>
      <c r="AE563" s="76"/>
      <c r="AF563" s="76"/>
      <c r="AG563" s="76" t="s">
        <v>375</v>
      </c>
      <c r="AH563" s="153">
        <v>46059.0</v>
      </c>
      <c r="AI563" s="67"/>
      <c r="AJ563" s="67"/>
      <c r="AK563" s="67"/>
      <c r="AL563" s="67"/>
      <c r="AM563" s="67"/>
      <c r="AN563" s="67"/>
      <c r="AO563" s="67"/>
      <c r="AP563" s="67"/>
      <c r="AQ563" s="67"/>
      <c r="AR563" s="203"/>
      <c r="AS563" s="203"/>
      <c r="AT563" s="203"/>
    </row>
    <row r="564">
      <c r="A564" s="86"/>
      <c r="B564" s="450" t="s">
        <v>4145</v>
      </c>
      <c r="C564" s="97"/>
      <c r="D564" s="86"/>
      <c r="E564" s="781">
        <v>46047.0</v>
      </c>
      <c r="F564" s="86"/>
      <c r="G564" s="86"/>
      <c r="H564" s="86"/>
      <c r="I564" s="86"/>
      <c r="J564" s="76" t="s">
        <v>114</v>
      </c>
      <c r="K564" s="176" t="s">
        <v>9418</v>
      </c>
      <c r="L564" s="85" t="s">
        <v>8139</v>
      </c>
      <c r="M564" s="85" t="s">
        <v>60</v>
      </c>
      <c r="N564" s="76" t="s">
        <v>9419</v>
      </c>
      <c r="O564" s="756" t="s">
        <v>9420</v>
      </c>
      <c r="P564" s="262">
        <v>29327.0</v>
      </c>
      <c r="Q564" s="315">
        <f t="shared" si="49"/>
        <v>29327</v>
      </c>
      <c r="R564" s="97">
        <f t="shared" si="50"/>
        <v>46</v>
      </c>
      <c r="S564" s="76">
        <v>2.932608799E9</v>
      </c>
      <c r="T564" s="315"/>
      <c r="U564" s="76" t="s">
        <v>344</v>
      </c>
      <c r="V564" s="76"/>
      <c r="W564" s="97"/>
      <c r="X564" s="76" t="s">
        <v>186</v>
      </c>
      <c r="Y564" s="97"/>
      <c r="Z564" s="85" t="s">
        <v>1460</v>
      </c>
      <c r="AA564" s="76"/>
      <c r="AB564" s="97"/>
      <c r="AC564" s="76"/>
      <c r="AD564" s="99"/>
      <c r="AE564" s="76"/>
      <c r="AF564" s="76"/>
      <c r="AG564" s="76"/>
      <c r="AH564" s="76" t="s">
        <v>9422</v>
      </c>
      <c r="AI564" s="67"/>
      <c r="AJ564" s="67"/>
      <c r="AK564" s="67"/>
      <c r="AL564" s="67"/>
      <c r="AM564" s="67"/>
      <c r="AN564" s="67"/>
      <c r="AO564" s="67"/>
      <c r="AP564" s="67"/>
      <c r="AQ564" s="67"/>
      <c r="AR564" s="203"/>
      <c r="AS564" s="203"/>
      <c r="AT564" s="203"/>
    </row>
    <row r="565">
      <c r="A565" s="86"/>
      <c r="B565" s="450" t="s">
        <v>4145</v>
      </c>
      <c r="C565" s="97"/>
      <c r="D565" s="86"/>
      <c r="E565" s="781">
        <v>46047.0</v>
      </c>
      <c r="F565" s="86"/>
      <c r="G565" s="86"/>
      <c r="H565" s="86"/>
      <c r="I565" s="86"/>
      <c r="J565" s="76" t="s">
        <v>114</v>
      </c>
      <c r="K565" s="176" t="s">
        <v>9426</v>
      </c>
      <c r="L565" s="85" t="s">
        <v>8139</v>
      </c>
      <c r="M565" s="85" t="s">
        <v>60</v>
      </c>
      <c r="N565" s="287" t="s">
        <v>9427</v>
      </c>
      <c r="O565" s="756" t="s">
        <v>9428</v>
      </c>
      <c r="P565" s="262">
        <v>33913.0</v>
      </c>
      <c r="Q565" s="315">
        <f t="shared" si="49"/>
        <v>33913</v>
      </c>
      <c r="R565" s="97">
        <f t="shared" si="50"/>
        <v>33</v>
      </c>
      <c r="S565" s="76">
        <v>3.391210531E9</v>
      </c>
      <c r="T565" s="315"/>
      <c r="U565" s="76" t="s">
        <v>136</v>
      </c>
      <c r="V565" s="76"/>
      <c r="W565" s="97"/>
      <c r="X565" s="76" t="s">
        <v>186</v>
      </c>
      <c r="Y565" s="97"/>
      <c r="Z565" s="85" t="s">
        <v>1460</v>
      </c>
      <c r="AA565" s="76"/>
      <c r="AB565" s="97"/>
      <c r="AC565" s="76"/>
      <c r="AD565" s="99"/>
      <c r="AE565" s="76"/>
      <c r="AF565" s="76"/>
      <c r="AG565" s="76" t="s">
        <v>9430</v>
      </c>
      <c r="AH565" s="153">
        <v>46074.0</v>
      </c>
      <c r="AI565" s="67"/>
      <c r="AJ565" s="67"/>
      <c r="AK565" s="67"/>
      <c r="AL565" s="67"/>
      <c r="AM565" s="67"/>
      <c r="AN565" s="67"/>
      <c r="AO565" s="67"/>
      <c r="AP565" s="67"/>
      <c r="AQ565" s="67"/>
      <c r="AR565" s="203"/>
      <c r="AS565" s="203"/>
      <c r="AT565" s="203"/>
    </row>
    <row r="566">
      <c r="A566" s="86"/>
      <c r="B566" s="302"/>
      <c r="C566" s="168"/>
      <c r="D566" s="962" t="s">
        <v>8593</v>
      </c>
      <c r="E566" s="574">
        <v>46054.0</v>
      </c>
      <c r="F566" s="168"/>
      <c r="G566" s="168"/>
      <c r="H566" s="168"/>
      <c r="I566" s="168"/>
      <c r="J566" s="76" t="s">
        <v>114</v>
      </c>
      <c r="K566" s="176" t="s">
        <v>9433</v>
      </c>
      <c r="L566" s="85" t="s">
        <v>8139</v>
      </c>
      <c r="M566" s="85" t="s">
        <v>60</v>
      </c>
      <c r="N566" s="256" t="s">
        <v>9435</v>
      </c>
      <c r="O566" s="341" t="s">
        <v>9436</v>
      </c>
      <c r="P566" s="262">
        <v>29718.0</v>
      </c>
      <c r="Q566" s="315">
        <f t="shared" si="49"/>
        <v>1</v>
      </c>
      <c r="R566" s="97">
        <f t="shared" si="50"/>
        <v>45</v>
      </c>
      <c r="S566" s="76"/>
      <c r="T566" s="168"/>
      <c r="U566" s="76" t="s">
        <v>368</v>
      </c>
      <c r="V566" s="76"/>
      <c r="W566" s="76"/>
      <c r="X566" s="76"/>
      <c r="Y566" s="276" t="s">
        <v>371</v>
      </c>
      <c r="Z566" s="85"/>
      <c r="AA566" s="76" t="s">
        <v>1178</v>
      </c>
      <c r="AB566" s="97"/>
      <c r="AC566" s="168"/>
      <c r="AD566" s="168"/>
      <c r="AE566" s="76"/>
      <c r="AF566" s="168"/>
      <c r="AG566" s="341" t="s">
        <v>1187</v>
      </c>
      <c r="AH566" s="963">
        <v>46081.0</v>
      </c>
      <c r="AI566" s="67"/>
      <c r="AJ566" s="67"/>
      <c r="AK566" s="67"/>
      <c r="AL566" s="67"/>
      <c r="AM566" s="67"/>
      <c r="AN566" s="67"/>
      <c r="AO566" s="67"/>
      <c r="AP566" s="67"/>
      <c r="AQ566" s="67"/>
      <c r="AR566" s="203"/>
      <c r="AS566" s="203"/>
      <c r="AT566" s="203"/>
    </row>
    <row r="567">
      <c r="A567" s="86">
        <v>672.0</v>
      </c>
      <c r="B567" s="529" t="s">
        <v>3332</v>
      </c>
      <c r="C567" s="86" t="s">
        <v>3333</v>
      </c>
      <c r="D567" s="86" t="s">
        <v>121</v>
      </c>
      <c r="E567" s="746" t="s">
        <v>4525</v>
      </c>
      <c r="F567" s="747" t="s">
        <v>9438</v>
      </c>
      <c r="G567" s="97" t="s">
        <v>326</v>
      </c>
      <c r="H567" s="87" t="s">
        <v>1221</v>
      </c>
      <c r="I567" s="86" t="s">
        <v>1443</v>
      </c>
      <c r="J567" s="76" t="s">
        <v>114</v>
      </c>
      <c r="K567" s="176" t="s">
        <v>9439</v>
      </c>
      <c r="L567" s="85"/>
      <c r="M567" s="85" t="s">
        <v>60</v>
      </c>
      <c r="N567" s="300" t="s">
        <v>9440</v>
      </c>
      <c r="O567" s="756" t="s">
        <v>2100</v>
      </c>
      <c r="P567" s="262">
        <v>27931.0</v>
      </c>
      <c r="Q567" s="315">
        <f t="shared" si="49"/>
        <v>27931</v>
      </c>
      <c r="R567" s="86">
        <f t="shared" si="50"/>
        <v>50</v>
      </c>
      <c r="S567" s="76">
        <v>2.793021779E9</v>
      </c>
      <c r="T567" s="315"/>
      <c r="U567" s="76" t="s">
        <v>379</v>
      </c>
      <c r="V567" s="76"/>
      <c r="W567" s="76"/>
      <c r="X567" s="76" t="s">
        <v>186</v>
      </c>
      <c r="Y567" s="211" t="s">
        <v>2090</v>
      </c>
      <c r="Z567" s="501" t="s">
        <v>418</v>
      </c>
      <c r="AA567" s="168"/>
      <c r="AB567" s="97"/>
      <c r="AC567" s="76"/>
      <c r="AD567" s="99"/>
      <c r="AE567" s="76"/>
      <c r="AF567" s="76"/>
      <c r="AG567" s="76" t="s">
        <v>1187</v>
      </c>
      <c r="AH567" s="76" t="s">
        <v>9442</v>
      </c>
      <c r="AI567" s="67"/>
      <c r="AJ567" s="67"/>
      <c r="AK567" s="67"/>
      <c r="AL567" s="67"/>
      <c r="AM567" s="67"/>
      <c r="AN567" s="67"/>
      <c r="AO567" s="67"/>
      <c r="AP567" s="67"/>
      <c r="AQ567" s="67"/>
      <c r="AR567" s="203"/>
      <c r="AS567" s="203"/>
      <c r="AT567" s="203"/>
    </row>
    <row r="568">
      <c r="A568" s="86"/>
      <c r="B568" s="450" t="s">
        <v>4145</v>
      </c>
      <c r="C568" s="302"/>
      <c r="D568" s="76"/>
      <c r="E568" s="524"/>
      <c r="F568" s="762"/>
      <c r="G568" s="762"/>
      <c r="H568" s="762"/>
      <c r="I568" s="762"/>
      <c r="J568" s="76"/>
      <c r="K568" s="76" t="s">
        <v>1</v>
      </c>
      <c r="L568" s="964"/>
      <c r="M568" s="85" t="s">
        <v>36</v>
      </c>
      <c r="N568" s="306" t="s">
        <v>9447</v>
      </c>
      <c r="O568" s="76" t="s">
        <v>2925</v>
      </c>
      <c r="P568" s="153"/>
      <c r="Q568" s="315"/>
      <c r="R568" s="86"/>
      <c r="S568" s="76"/>
      <c r="T568" s="315"/>
      <c r="U568" s="76" t="s">
        <v>379</v>
      </c>
      <c r="V568" s="76"/>
      <c r="W568" s="76"/>
      <c r="X568" s="76" t="s">
        <v>186</v>
      </c>
      <c r="Y568" s="97"/>
      <c r="Z568" s="501" t="s">
        <v>418</v>
      </c>
      <c r="AA568" s="97"/>
      <c r="AB568" s="97"/>
      <c r="AC568" s="76"/>
      <c r="AD568" s="76"/>
      <c r="AE568" s="76"/>
      <c r="AF568" s="76"/>
      <c r="AG568" s="189"/>
      <c r="AH568" s="76" t="s">
        <v>9451</v>
      </c>
      <c r="AI568" s="763"/>
      <c r="AJ568" s="763"/>
      <c r="AK568" s="763"/>
      <c r="AL568" s="763"/>
      <c r="AM568" s="763"/>
      <c r="AN568" s="763"/>
      <c r="AO568" s="763"/>
      <c r="AP568" s="763"/>
      <c r="AQ568" s="763"/>
      <c r="AR568" s="203"/>
      <c r="AS568" s="203"/>
      <c r="AT568" s="203"/>
    </row>
    <row r="569">
      <c r="A569" s="86">
        <v>203.0</v>
      </c>
      <c r="B569" s="529" t="s">
        <v>1645</v>
      </c>
      <c r="C569" s="87" t="s">
        <v>1517</v>
      </c>
      <c r="D569" s="549" t="s">
        <v>1494</v>
      </c>
      <c r="E569" s="749" t="s">
        <v>58</v>
      </c>
      <c r="F569" s="747" t="s">
        <v>1496</v>
      </c>
      <c r="G569" s="753" t="s">
        <v>60</v>
      </c>
      <c r="H569" s="87" t="s">
        <v>1221</v>
      </c>
      <c r="I569" s="86" t="s">
        <v>1443</v>
      </c>
      <c r="J569" s="76" t="s">
        <v>114</v>
      </c>
      <c r="K569" s="85" t="s">
        <v>9458</v>
      </c>
      <c r="L569" s="85"/>
      <c r="M569" s="85" t="s">
        <v>656</v>
      </c>
      <c r="N569" s="256" t="s">
        <v>9324</v>
      </c>
      <c r="O569" s="34" t="s">
        <v>9325</v>
      </c>
      <c r="P569" s="153">
        <v>31420.0</v>
      </c>
      <c r="Q569" s="315">
        <f t="shared" ref="Q569:Q573" si="51">VALUE(LEFT(TEXT(S569,0),5))+1</f>
        <v>31420</v>
      </c>
      <c r="R569" s="86">
        <f t="shared" ref="R569:R573" si="52">DATEDIF($P569,TODAY(),"Y")</f>
        <v>40</v>
      </c>
      <c r="S569" s="315">
        <v>3.141905992E9</v>
      </c>
      <c r="T569" s="315" t="s">
        <v>378</v>
      </c>
      <c r="U569" s="76" t="s">
        <v>219</v>
      </c>
      <c r="V569" s="76"/>
      <c r="W569" s="76"/>
      <c r="X569" s="76"/>
      <c r="Y569" s="97" t="s">
        <v>1174</v>
      </c>
      <c r="Z569" s="278" t="s">
        <v>2090</v>
      </c>
      <c r="AA569" s="76"/>
      <c r="AB569" s="97"/>
      <c r="AC569" s="97"/>
      <c r="AD569" s="99"/>
      <c r="AE569" s="76"/>
      <c r="AF569" s="76"/>
      <c r="AG569" s="76" t="s">
        <v>1187</v>
      </c>
      <c r="AH569" s="76" t="s">
        <v>9467</v>
      </c>
      <c r="AI569" s="67"/>
      <c r="AJ569" s="67"/>
      <c r="AK569" s="748"/>
      <c r="AL569" s="748"/>
      <c r="AM569" s="748"/>
      <c r="AN569" s="748"/>
      <c r="AO569" s="748"/>
      <c r="AP569" s="748"/>
      <c r="AQ569" s="67"/>
      <c r="AR569" s="203"/>
      <c r="AS569" s="203"/>
      <c r="AT569" s="203"/>
    </row>
    <row r="570">
      <c r="A570" s="86"/>
      <c r="B570" s="302" t="s">
        <v>145</v>
      </c>
      <c r="C570" s="523">
        <v>45995.0</v>
      </c>
      <c r="D570" s="86"/>
      <c r="E570" s="783" t="s">
        <v>9469</v>
      </c>
      <c r="F570" s="86"/>
      <c r="G570" s="86"/>
      <c r="H570" s="86"/>
      <c r="I570" s="86"/>
      <c r="J570" s="76" t="s">
        <v>114</v>
      </c>
      <c r="K570" s="97"/>
      <c r="L570" s="76"/>
      <c r="M570" s="76" t="s">
        <v>60</v>
      </c>
      <c r="N570" s="474" t="s">
        <v>9471</v>
      </c>
      <c r="O570" s="76" t="s">
        <v>9473</v>
      </c>
      <c r="P570" s="153">
        <v>26138.0</v>
      </c>
      <c r="Q570" s="315">
        <f t="shared" si="51"/>
        <v>26138</v>
      </c>
      <c r="R570" s="86">
        <f t="shared" si="52"/>
        <v>55</v>
      </c>
      <c r="S570" s="315">
        <v>2.613711551E9</v>
      </c>
      <c r="T570" s="315" t="s">
        <v>1317</v>
      </c>
      <c r="U570" s="76" t="s">
        <v>368</v>
      </c>
      <c r="V570" s="76"/>
      <c r="W570" s="76"/>
      <c r="X570" s="76" t="s">
        <v>145</v>
      </c>
      <c r="Y570" s="97" t="s">
        <v>183</v>
      </c>
      <c r="Z570" s="728" t="s">
        <v>2482</v>
      </c>
      <c r="AA570" s="76" t="s">
        <v>114</v>
      </c>
      <c r="AB570" s="97"/>
      <c r="AC570" s="97"/>
      <c r="AD570" s="99"/>
      <c r="AE570" s="76"/>
      <c r="AF570" s="76"/>
      <c r="AG570" s="76" t="s">
        <v>1187</v>
      </c>
      <c r="AH570" s="153">
        <v>46096.0</v>
      </c>
      <c r="AI570" s="67"/>
      <c r="AJ570" s="67"/>
      <c r="AK570" s="67"/>
      <c r="AL570" s="67"/>
      <c r="AM570" s="67"/>
      <c r="AN570" s="67"/>
      <c r="AO570" s="67"/>
      <c r="AP570" s="67"/>
      <c r="AQ570" s="67"/>
      <c r="AR570" s="203"/>
      <c r="AS570" s="203"/>
      <c r="AT570" s="203"/>
    </row>
    <row r="571">
      <c r="A571" s="86"/>
      <c r="B571" s="450" t="s">
        <v>4145</v>
      </c>
      <c r="C571" s="966" t="s">
        <v>5668</v>
      </c>
      <c r="D571" s="86"/>
      <c r="E571" s="783" t="s">
        <v>9477</v>
      </c>
      <c r="F571" s="86"/>
      <c r="G571" s="86"/>
      <c r="H571" s="86"/>
      <c r="I571" s="86"/>
      <c r="J571" s="76" t="s">
        <v>114</v>
      </c>
      <c r="K571" s="97"/>
      <c r="L571" s="76"/>
      <c r="M571" s="76" t="s">
        <v>60</v>
      </c>
      <c r="N571" s="785" t="s">
        <v>9041</v>
      </c>
      <c r="O571" s="76" t="s">
        <v>4502</v>
      </c>
      <c r="P571" s="153">
        <v>30280.0</v>
      </c>
      <c r="Q571" s="315">
        <f t="shared" si="51"/>
        <v>30280</v>
      </c>
      <c r="R571" s="86">
        <f t="shared" si="52"/>
        <v>43</v>
      </c>
      <c r="S571" s="315">
        <v>3.027915579E9</v>
      </c>
      <c r="T571" s="315" t="s">
        <v>1479</v>
      </c>
      <c r="U571" s="76" t="s">
        <v>368</v>
      </c>
      <c r="V571" s="76"/>
      <c r="W571" s="76"/>
      <c r="X571" s="76"/>
      <c r="Y571" s="97" t="s">
        <v>183</v>
      </c>
      <c r="Z571" s="728" t="s">
        <v>2482</v>
      </c>
      <c r="AA571" s="76" t="s">
        <v>1178</v>
      </c>
      <c r="AB571" s="97"/>
      <c r="AC571" s="97"/>
      <c r="AD571" s="99"/>
      <c r="AE571" s="76"/>
      <c r="AF571" s="76"/>
      <c r="AG571" s="76" t="s">
        <v>375</v>
      </c>
      <c r="AH571" s="153">
        <v>46098.0</v>
      </c>
      <c r="AI571" s="67"/>
      <c r="AJ571" s="67"/>
      <c r="AK571" s="67"/>
      <c r="AL571" s="67"/>
      <c r="AM571" s="67"/>
      <c r="AN571" s="67"/>
      <c r="AO571" s="67"/>
      <c r="AP571" s="67"/>
      <c r="AQ571" s="67"/>
      <c r="AR571" s="203"/>
      <c r="AS571" s="203"/>
      <c r="AT571" s="203"/>
    </row>
    <row r="572">
      <c r="A572" s="76"/>
      <c r="B572" s="757" t="s">
        <v>1728</v>
      </c>
      <c r="C572" s="757" t="s">
        <v>121</v>
      </c>
      <c r="D572" s="757" t="s">
        <v>121</v>
      </c>
      <c r="E572" s="758" t="s">
        <v>213</v>
      </c>
      <c r="F572" s="759" t="s">
        <v>1523</v>
      </c>
      <c r="G572" s="760" t="s">
        <v>1826</v>
      </c>
      <c r="H572" s="760" t="s">
        <v>60</v>
      </c>
      <c r="I572" s="87" t="s">
        <v>1221</v>
      </c>
      <c r="J572" s="87" t="s">
        <v>114</v>
      </c>
      <c r="K572" s="109"/>
      <c r="L572" s="109"/>
      <c r="M572" s="109" t="s">
        <v>60</v>
      </c>
      <c r="N572" s="97" t="s">
        <v>5827</v>
      </c>
      <c r="O572" s="97" t="s">
        <v>5828</v>
      </c>
      <c r="P572" s="712">
        <v>29971.0</v>
      </c>
      <c r="Q572" s="315" t="str">
        <f t="shared" si="51"/>
        <v>#VALUE!</v>
      </c>
      <c r="R572" s="86">
        <f t="shared" si="52"/>
        <v>44</v>
      </c>
      <c r="S572" s="76" t="s">
        <v>3642</v>
      </c>
      <c r="T572" s="76"/>
      <c r="U572" s="76" t="s">
        <v>393</v>
      </c>
      <c r="V572" s="86"/>
      <c r="W572" s="76"/>
      <c r="X572" s="76" t="s">
        <v>186</v>
      </c>
      <c r="Y572" s="967" t="s">
        <v>184</v>
      </c>
      <c r="Z572" s="501" t="s">
        <v>418</v>
      </c>
      <c r="AA572" s="76"/>
      <c r="AB572" s="97"/>
      <c r="AC572" s="76"/>
      <c r="AD572" s="76"/>
      <c r="AE572" s="97" t="s">
        <v>154</v>
      </c>
      <c r="AF572" s="109" t="s">
        <v>155</v>
      </c>
      <c r="AG572" s="76" t="s">
        <v>351</v>
      </c>
      <c r="AH572" s="330">
        <v>45952.0</v>
      </c>
      <c r="AI572" s="203"/>
      <c r="AJ572" s="203"/>
      <c r="AK572" s="203"/>
      <c r="AL572" s="203"/>
      <c r="AM572" s="203"/>
      <c r="AN572" s="203"/>
      <c r="AO572" s="203"/>
      <c r="AP572" s="203"/>
      <c r="AQ572" s="203"/>
      <c r="AR572" s="203"/>
      <c r="AS572" s="203"/>
      <c r="AT572" s="203"/>
    </row>
    <row r="573">
      <c r="A573" s="76"/>
      <c r="B573" s="757" t="s">
        <v>3297</v>
      </c>
      <c r="C573" s="757" t="s">
        <v>3298</v>
      </c>
      <c r="D573" s="757" t="s">
        <v>121</v>
      </c>
      <c r="E573" s="758" t="s">
        <v>201</v>
      </c>
      <c r="F573" s="759" t="s">
        <v>1849</v>
      </c>
      <c r="G573" s="760" t="s">
        <v>8136</v>
      </c>
      <c r="H573" s="760" t="s">
        <v>60</v>
      </c>
      <c r="I573" s="87" t="s">
        <v>1221</v>
      </c>
      <c r="J573" s="76" t="s">
        <v>114</v>
      </c>
      <c r="K573" s="176" t="s">
        <v>9494</v>
      </c>
      <c r="L573" s="85"/>
      <c r="M573" s="85" t="s">
        <v>60</v>
      </c>
      <c r="N573" s="76" t="s">
        <v>406</v>
      </c>
      <c r="O573" s="756" t="s">
        <v>407</v>
      </c>
      <c r="P573" s="262">
        <v>30473.0</v>
      </c>
      <c r="Q573" s="315">
        <f t="shared" si="51"/>
        <v>30473</v>
      </c>
      <c r="R573" s="97">
        <f t="shared" si="52"/>
        <v>43</v>
      </c>
      <c r="S573" s="76">
        <v>3.047200517E9</v>
      </c>
      <c r="T573" s="315"/>
      <c r="U573" s="76" t="s">
        <v>393</v>
      </c>
      <c r="V573" s="76"/>
      <c r="W573" s="97"/>
      <c r="X573" s="76"/>
      <c r="Y573" s="97"/>
      <c r="Z573" s="278" t="s">
        <v>1613</v>
      </c>
      <c r="AA573" s="76"/>
      <c r="AB573" s="97"/>
      <c r="AC573" s="76"/>
      <c r="AD573" s="99"/>
      <c r="AE573" s="76" t="s">
        <v>154</v>
      </c>
      <c r="AF573" s="76"/>
      <c r="AG573" s="76"/>
      <c r="AH573" s="76" t="s">
        <v>9501</v>
      </c>
      <c r="AI573" s="203"/>
      <c r="AJ573" s="203"/>
      <c r="AK573" s="203"/>
      <c r="AL573" s="203"/>
      <c r="AM573" s="203"/>
      <c r="AN573" s="203"/>
      <c r="AO573" s="203"/>
      <c r="AP573" s="203"/>
      <c r="AQ573" s="203"/>
      <c r="AR573" s="203"/>
      <c r="AS573" s="203"/>
      <c r="AT573" s="203"/>
    </row>
    <row r="574">
      <c r="A574" s="86"/>
      <c r="B574" s="450" t="s">
        <v>4145</v>
      </c>
      <c r="C574" s="341" t="s">
        <v>1313</v>
      </c>
      <c r="D574" s="86"/>
      <c r="E574" s="524" t="s">
        <v>8565</v>
      </c>
      <c r="F574" s="86"/>
      <c r="G574" s="86"/>
      <c r="H574" s="86"/>
      <c r="I574" s="86"/>
      <c r="J574" s="76"/>
      <c r="K574" s="85"/>
      <c r="L574" s="85"/>
      <c r="M574" s="85" t="s">
        <v>102</v>
      </c>
      <c r="N574" s="76" t="s">
        <v>8567</v>
      </c>
      <c r="O574" s="913" t="s">
        <v>8568</v>
      </c>
      <c r="P574" s="86"/>
      <c r="Q574" s="86"/>
      <c r="R574" s="86"/>
      <c r="S574" s="315"/>
      <c r="T574" s="315"/>
      <c r="U574" s="76" t="s">
        <v>393</v>
      </c>
      <c r="V574" s="76"/>
      <c r="W574" s="76"/>
      <c r="X574" s="97"/>
      <c r="Y574" s="97"/>
      <c r="Z574" s="97"/>
      <c r="AA574" s="97"/>
      <c r="AB574" s="97"/>
      <c r="AC574" s="97"/>
      <c r="AD574" s="99"/>
      <c r="AE574" s="76" t="s">
        <v>154</v>
      </c>
      <c r="AF574" s="76" t="s">
        <v>4591</v>
      </c>
      <c r="AG574" s="76" t="s">
        <v>1187</v>
      </c>
      <c r="AH574" s="153">
        <v>46071.0</v>
      </c>
      <c r="AI574" s="67"/>
      <c r="AJ574" s="67"/>
      <c r="AK574" s="67"/>
      <c r="AL574" s="67"/>
      <c r="AM574" s="67"/>
      <c r="AN574" s="67"/>
      <c r="AO574" s="67"/>
      <c r="AP574" s="67"/>
      <c r="AQ574" s="67"/>
      <c r="AR574" s="203"/>
      <c r="AS574" s="203"/>
      <c r="AT574" s="203"/>
    </row>
    <row r="575">
      <c r="A575" s="86"/>
      <c r="B575" s="450" t="s">
        <v>4145</v>
      </c>
      <c r="C575" s="314" t="s">
        <v>5668</v>
      </c>
      <c r="D575" s="86"/>
      <c r="E575" s="783" t="s">
        <v>7703</v>
      </c>
      <c r="F575" s="86"/>
      <c r="G575" s="86"/>
      <c r="H575" s="86"/>
      <c r="I575" s="86"/>
      <c r="J575" s="76" t="s">
        <v>114</v>
      </c>
      <c r="K575" s="85"/>
      <c r="L575" s="85"/>
      <c r="M575" s="85" t="s">
        <v>60</v>
      </c>
      <c r="N575" s="97" t="s">
        <v>7704</v>
      </c>
      <c r="O575" s="85" t="s">
        <v>7706</v>
      </c>
      <c r="P575" s="153">
        <v>28451.0</v>
      </c>
      <c r="Q575" s="315" t="str">
        <f t="shared" ref="Q575:Q576" si="53">VALUE(LEFT(TEXT(S575,0),5))+1</f>
        <v>#VALUE!</v>
      </c>
      <c r="R575" s="86">
        <f t="shared" ref="R575:R576" si="54">DATEDIF($P575,TODAY(),"Y")</f>
        <v>48</v>
      </c>
      <c r="S575" s="76" t="s">
        <v>3642</v>
      </c>
      <c r="T575" s="315"/>
      <c r="U575" s="76" t="s">
        <v>136</v>
      </c>
      <c r="V575" s="86"/>
      <c r="W575" s="76"/>
      <c r="X575" s="76"/>
      <c r="Y575" s="97" t="s">
        <v>183</v>
      </c>
      <c r="Z575" s="289" t="s">
        <v>1725</v>
      </c>
      <c r="AA575" s="76" t="s">
        <v>114</v>
      </c>
      <c r="AB575" s="97"/>
      <c r="AC575" s="97"/>
      <c r="AD575" s="99"/>
      <c r="AE575" s="76" t="s">
        <v>154</v>
      </c>
      <c r="AF575" s="76" t="s">
        <v>155</v>
      </c>
      <c r="AG575" s="76" t="s">
        <v>3781</v>
      </c>
      <c r="AH575" s="330">
        <v>45983.0</v>
      </c>
      <c r="AI575" s="67"/>
      <c r="AJ575" s="67"/>
      <c r="AK575" s="67"/>
      <c r="AL575" s="67"/>
      <c r="AM575" s="67"/>
      <c r="AN575" s="67"/>
      <c r="AO575" s="67"/>
      <c r="AP575" s="67"/>
      <c r="AQ575" s="67"/>
      <c r="AR575" s="203"/>
      <c r="AS575" s="203"/>
      <c r="AT575" s="203"/>
    </row>
    <row r="576">
      <c r="A576" s="86"/>
      <c r="B576" s="450" t="s">
        <v>4145</v>
      </c>
      <c r="C576" s="341" t="s">
        <v>1313</v>
      </c>
      <c r="D576" s="86"/>
      <c r="E576" s="524" t="s">
        <v>9523</v>
      </c>
      <c r="F576" s="86"/>
      <c r="G576" s="86"/>
      <c r="H576" s="86"/>
      <c r="I576" s="86"/>
      <c r="J576" s="76"/>
      <c r="K576" s="85"/>
      <c r="L576" s="85"/>
      <c r="M576" s="85" t="s">
        <v>60</v>
      </c>
      <c r="N576" s="76" t="s">
        <v>8451</v>
      </c>
      <c r="O576" s="303" t="s">
        <v>9525</v>
      </c>
      <c r="P576" s="153">
        <v>26309.0</v>
      </c>
      <c r="Q576" s="315">
        <f t="shared" si="53"/>
        <v>26309</v>
      </c>
      <c r="R576" s="86">
        <f t="shared" si="54"/>
        <v>54</v>
      </c>
      <c r="S576" s="76">
        <v>2.63080753E9</v>
      </c>
      <c r="T576" s="315"/>
      <c r="U576" s="76" t="s">
        <v>165</v>
      </c>
      <c r="V576" s="76" t="s">
        <v>425</v>
      </c>
      <c r="W576" s="76" t="s">
        <v>227</v>
      </c>
      <c r="X576" s="97"/>
      <c r="Y576" s="97"/>
      <c r="Z576" s="97"/>
      <c r="AA576" s="97"/>
      <c r="AB576" s="97"/>
      <c r="AC576" s="97"/>
      <c r="AD576" s="99"/>
      <c r="AE576" s="76" t="s">
        <v>259</v>
      </c>
      <c r="AF576" s="76" t="s">
        <v>4591</v>
      </c>
      <c r="AG576" s="112"/>
      <c r="AH576" s="291" t="s">
        <v>9532</v>
      </c>
      <c r="AI576" s="67"/>
      <c r="AJ576" s="67"/>
      <c r="AK576" s="67"/>
      <c r="AL576" s="67"/>
      <c r="AM576" s="67"/>
      <c r="AN576" s="67"/>
      <c r="AO576" s="67"/>
      <c r="AP576" s="67"/>
      <c r="AQ576" s="67"/>
      <c r="AR576" s="203"/>
      <c r="AS576" s="203"/>
      <c r="AT576" s="203"/>
    </row>
    <row r="577">
      <c r="A577" s="86"/>
      <c r="B577" s="450" t="s">
        <v>4145</v>
      </c>
      <c r="C577" s="341" t="s">
        <v>1313</v>
      </c>
      <c r="D577" s="86"/>
      <c r="E577" s="524" t="s">
        <v>9535</v>
      </c>
      <c r="F577" s="86"/>
      <c r="G577" s="86"/>
      <c r="H577" s="86"/>
      <c r="I577" s="86"/>
      <c r="J577" s="97"/>
      <c r="K577" s="109"/>
      <c r="L577" s="109"/>
      <c r="M577" s="109" t="s">
        <v>326</v>
      </c>
      <c r="N577" s="97" t="s">
        <v>9537</v>
      </c>
      <c r="O577" s="76" t="s">
        <v>9538</v>
      </c>
      <c r="P577" s="86"/>
      <c r="Q577" s="86"/>
      <c r="R577" s="86"/>
      <c r="S577" s="315"/>
      <c r="T577" s="315"/>
      <c r="U577" s="76" t="s">
        <v>379</v>
      </c>
      <c r="V577" s="76" t="s">
        <v>583</v>
      </c>
      <c r="W577" s="86"/>
      <c r="X577" s="97"/>
      <c r="Y577" s="97"/>
      <c r="Z577" s="97"/>
      <c r="AA577" s="97"/>
      <c r="AB577" s="97"/>
      <c r="AC577" s="76" t="s">
        <v>1566</v>
      </c>
      <c r="AD577" s="76"/>
      <c r="AE577" s="76" t="s">
        <v>259</v>
      </c>
      <c r="AF577" s="76" t="s">
        <v>4478</v>
      </c>
      <c r="AG577" s="76" t="s">
        <v>9541</v>
      </c>
      <c r="AH577" s="76" t="s">
        <v>9542</v>
      </c>
      <c r="AI577" s="67"/>
      <c r="AJ577" s="67"/>
      <c r="AK577" s="67"/>
      <c r="AL577" s="67"/>
      <c r="AM577" s="67"/>
      <c r="AN577" s="67"/>
      <c r="AO577" s="67"/>
      <c r="AP577" s="67"/>
      <c r="AQ577" s="67"/>
      <c r="AR577" s="203"/>
      <c r="AS577" s="203"/>
      <c r="AT577" s="203"/>
    </row>
    <row r="578">
      <c r="A578" s="86"/>
      <c r="B578" s="450" t="s">
        <v>4145</v>
      </c>
      <c r="C578" s="341" t="s">
        <v>1313</v>
      </c>
      <c r="D578" s="86"/>
      <c r="E578" s="524" t="s">
        <v>9544</v>
      </c>
      <c r="F578" s="86"/>
      <c r="G578" s="86"/>
      <c r="H578" s="86"/>
      <c r="I578" s="86"/>
      <c r="J578" s="97"/>
      <c r="K578" s="109"/>
      <c r="L578" s="109"/>
      <c r="M578" s="109" t="s">
        <v>60</v>
      </c>
      <c r="N578" s="97" t="s">
        <v>9546</v>
      </c>
      <c r="O578" s="76" t="s">
        <v>2456</v>
      </c>
      <c r="P578" s="86"/>
      <c r="Q578" s="86"/>
      <c r="R578" s="86"/>
      <c r="S578" s="315"/>
      <c r="T578" s="315"/>
      <c r="U578" s="76" t="s">
        <v>379</v>
      </c>
      <c r="V578" s="76" t="s">
        <v>583</v>
      </c>
      <c r="W578" s="86"/>
      <c r="X578" s="97"/>
      <c r="Y578" s="97"/>
      <c r="Z578" s="97"/>
      <c r="AA578" s="97"/>
      <c r="AB578" s="97"/>
      <c r="AC578" s="76" t="s">
        <v>1566</v>
      </c>
      <c r="AD578" s="76"/>
      <c r="AE578" s="76" t="s">
        <v>9550</v>
      </c>
      <c r="AF578" s="76" t="s">
        <v>4478</v>
      </c>
      <c r="AG578" s="76" t="s">
        <v>9541</v>
      </c>
      <c r="AH578" s="76" t="s">
        <v>9542</v>
      </c>
      <c r="AI578" s="67"/>
      <c r="AJ578" s="67"/>
      <c r="AK578" s="67"/>
      <c r="AL578" s="67"/>
      <c r="AM578" s="67"/>
      <c r="AN578" s="67"/>
      <c r="AO578" s="67"/>
      <c r="AP578" s="67"/>
      <c r="AQ578" s="67"/>
      <c r="AR578" s="203"/>
      <c r="AS578" s="203"/>
      <c r="AT578" s="203"/>
    </row>
    <row r="579">
      <c r="A579" s="86"/>
      <c r="B579" s="450" t="s">
        <v>4145</v>
      </c>
      <c r="C579" s="302" t="s">
        <v>7477</v>
      </c>
      <c r="D579" s="76"/>
      <c r="E579" s="524" t="s">
        <v>9267</v>
      </c>
      <c r="F579" s="762"/>
      <c r="G579" s="762"/>
      <c r="H579" s="762"/>
      <c r="I579" s="762"/>
      <c r="J579" s="762"/>
      <c r="K579" s="762"/>
      <c r="L579" s="762"/>
      <c r="M579" s="85" t="s">
        <v>326</v>
      </c>
      <c r="N579" s="85" t="s">
        <v>9269</v>
      </c>
      <c r="O579" s="76" t="s">
        <v>5951</v>
      </c>
      <c r="P579" s="86"/>
      <c r="Q579" s="97"/>
      <c r="R579" s="97"/>
      <c r="S579" s="315"/>
      <c r="T579" s="315"/>
      <c r="U579" s="124" t="s">
        <v>393</v>
      </c>
      <c r="V579" s="76" t="s">
        <v>350</v>
      </c>
      <c r="W579" s="76" t="s">
        <v>227</v>
      </c>
      <c r="X579" s="97"/>
      <c r="Y579" s="97"/>
      <c r="Z579" s="97"/>
      <c r="AA579" s="97"/>
      <c r="AB579" s="97"/>
      <c r="AC579" s="97"/>
      <c r="AD579" s="99"/>
      <c r="AE579" s="76"/>
      <c r="AF579" s="76" t="s">
        <v>7497</v>
      </c>
      <c r="AG579" s="315"/>
      <c r="AH579" s="97"/>
      <c r="AI579" s="763"/>
      <c r="AJ579" s="763"/>
      <c r="AK579" s="763"/>
      <c r="AL579" s="763"/>
      <c r="AM579" s="763"/>
      <c r="AN579" s="763"/>
      <c r="AO579" s="763"/>
      <c r="AP579" s="763"/>
      <c r="AQ579" s="763"/>
      <c r="AR579" s="203"/>
      <c r="AS579" s="203"/>
      <c r="AT579" s="203"/>
    </row>
    <row r="580">
      <c r="A580" s="86"/>
      <c r="B580" s="450" t="s">
        <v>4145</v>
      </c>
      <c r="C580" s="302" t="s">
        <v>7477</v>
      </c>
      <c r="D580" s="76"/>
      <c r="E580" s="524" t="s">
        <v>9271</v>
      </c>
      <c r="F580" s="762"/>
      <c r="G580" s="762"/>
      <c r="H580" s="762"/>
      <c r="I580" s="762"/>
      <c r="J580" s="762"/>
      <c r="K580" s="762"/>
      <c r="L580" s="762"/>
      <c r="M580" s="85" t="s">
        <v>60</v>
      </c>
      <c r="N580" s="85" t="s">
        <v>9272</v>
      </c>
      <c r="O580" s="76" t="s">
        <v>9273</v>
      </c>
      <c r="P580" s="86"/>
      <c r="Q580" s="97"/>
      <c r="R580" s="97"/>
      <c r="S580" s="315"/>
      <c r="T580" s="315"/>
      <c r="U580" s="124" t="s">
        <v>393</v>
      </c>
      <c r="V580" s="76" t="s">
        <v>350</v>
      </c>
      <c r="W580" s="76" t="s">
        <v>227</v>
      </c>
      <c r="X580" s="97"/>
      <c r="Y580" s="97"/>
      <c r="Z580" s="97"/>
      <c r="AA580" s="97"/>
      <c r="AB580" s="97"/>
      <c r="AC580" s="97"/>
      <c r="AD580" s="99"/>
      <c r="AE580" s="76"/>
      <c r="AF580" s="76" t="s">
        <v>7497</v>
      </c>
      <c r="AG580" s="315"/>
      <c r="AH580" s="97"/>
      <c r="AI580" s="763"/>
      <c r="AJ580" s="763"/>
      <c r="AK580" s="763"/>
      <c r="AL580" s="763"/>
      <c r="AM580" s="763"/>
      <c r="AN580" s="763"/>
      <c r="AO580" s="763"/>
      <c r="AP580" s="763"/>
      <c r="AQ580" s="763"/>
      <c r="AR580" s="203"/>
      <c r="AS580" s="203"/>
      <c r="AT580" s="203"/>
    </row>
    <row r="581">
      <c r="A581" s="86"/>
      <c r="B581" s="450" t="s">
        <v>4145</v>
      </c>
      <c r="C581" s="302" t="s">
        <v>7477</v>
      </c>
      <c r="D581" s="76"/>
      <c r="E581" s="524" t="s">
        <v>9287</v>
      </c>
      <c r="F581" s="762"/>
      <c r="G581" s="762"/>
      <c r="H581" s="762"/>
      <c r="I581" s="762"/>
      <c r="J581" s="762"/>
      <c r="K581" s="762"/>
      <c r="L581" s="762"/>
      <c r="M581" s="85" t="s">
        <v>60</v>
      </c>
      <c r="N581" s="85" t="s">
        <v>9288</v>
      </c>
      <c r="O581" s="76" t="s">
        <v>6692</v>
      </c>
      <c r="P581" s="86"/>
      <c r="Q581" s="97"/>
      <c r="R581" s="97"/>
      <c r="S581" s="315"/>
      <c r="T581" s="315"/>
      <c r="U581" s="124" t="s">
        <v>393</v>
      </c>
      <c r="V581" s="76" t="s">
        <v>350</v>
      </c>
      <c r="W581" s="76" t="s">
        <v>227</v>
      </c>
      <c r="X581" s="97"/>
      <c r="Y581" s="97"/>
      <c r="Z581" s="97"/>
      <c r="AA581" s="97"/>
      <c r="AB581" s="97"/>
      <c r="AC581" s="97"/>
      <c r="AD581" s="99"/>
      <c r="AE581" s="76"/>
      <c r="AF581" s="76" t="s">
        <v>7497</v>
      </c>
      <c r="AG581" s="315"/>
      <c r="AH581" s="97"/>
      <c r="AI581" s="763"/>
      <c r="AJ581" s="763"/>
      <c r="AK581" s="763"/>
      <c r="AL581" s="763"/>
      <c r="AM581" s="763"/>
      <c r="AN581" s="763"/>
      <c r="AO581" s="763"/>
      <c r="AP581" s="763"/>
      <c r="AQ581" s="763"/>
      <c r="AR581" s="203"/>
      <c r="AS581" s="203"/>
      <c r="AT581" s="203"/>
    </row>
    <row r="582">
      <c r="A582" s="86"/>
      <c r="B582" s="450" t="s">
        <v>4145</v>
      </c>
      <c r="C582" s="302" t="s">
        <v>7477</v>
      </c>
      <c r="D582" s="76"/>
      <c r="E582" s="524" t="s">
        <v>9274</v>
      </c>
      <c r="F582" s="762"/>
      <c r="G582" s="762"/>
      <c r="H582" s="762"/>
      <c r="I582" s="762"/>
      <c r="J582" s="762"/>
      <c r="K582" s="762"/>
      <c r="L582" s="762"/>
      <c r="M582" s="85" t="s">
        <v>60</v>
      </c>
      <c r="N582" s="85" t="s">
        <v>9275</v>
      </c>
      <c r="O582" s="76" t="s">
        <v>9277</v>
      </c>
      <c r="P582" s="86"/>
      <c r="Q582" s="97"/>
      <c r="R582" s="97"/>
      <c r="S582" s="315"/>
      <c r="T582" s="315"/>
      <c r="U582" s="124" t="s">
        <v>368</v>
      </c>
      <c r="V582" s="76"/>
      <c r="W582" s="76"/>
      <c r="X582" s="97"/>
      <c r="Y582" s="97"/>
      <c r="Z582" s="97"/>
      <c r="AA582" s="97"/>
      <c r="AB582" s="97"/>
      <c r="AC582" s="97"/>
      <c r="AD582" s="99"/>
      <c r="AE582" s="76"/>
      <c r="AF582" s="76" t="s">
        <v>7497</v>
      </c>
      <c r="AG582" s="315"/>
      <c r="AH582" s="153">
        <v>46118.0</v>
      </c>
      <c r="AI582" s="67"/>
      <c r="AJ582" s="67"/>
      <c r="AK582" s="67"/>
      <c r="AL582" s="67"/>
      <c r="AM582" s="67"/>
      <c r="AN582" s="67"/>
      <c r="AO582" s="67"/>
      <c r="AP582" s="67"/>
      <c r="AQ582" s="67"/>
      <c r="AR582" s="67"/>
      <c r="AS582" s="67"/>
      <c r="AT582" s="67"/>
    </row>
    <row r="583">
      <c r="A583" s="86"/>
      <c r="B583" s="450" t="s">
        <v>4145</v>
      </c>
      <c r="C583" s="341" t="s">
        <v>1313</v>
      </c>
      <c r="D583" s="86"/>
      <c r="E583" s="524" t="s">
        <v>7449</v>
      </c>
      <c r="F583" s="86"/>
      <c r="G583" s="86"/>
      <c r="H583" s="86"/>
      <c r="I583" s="86"/>
      <c r="J583" s="97"/>
      <c r="K583" s="176" t="s">
        <v>9575</v>
      </c>
      <c r="L583" s="87"/>
      <c r="M583" s="87" t="s">
        <v>60</v>
      </c>
      <c r="N583" s="86" t="s">
        <v>7451</v>
      </c>
      <c r="O583" s="970" t="s">
        <v>7452</v>
      </c>
      <c r="P583" s="750"/>
      <c r="Q583" s="86"/>
      <c r="R583" s="86"/>
      <c r="S583" s="315"/>
      <c r="T583" s="315"/>
      <c r="U583" s="76" t="s">
        <v>379</v>
      </c>
      <c r="V583" s="76" t="s">
        <v>425</v>
      </c>
      <c r="W583" s="76"/>
      <c r="X583" s="97"/>
      <c r="Y583" s="97"/>
      <c r="Z583" s="97"/>
      <c r="AA583" s="97"/>
      <c r="AB583" s="97"/>
      <c r="AC583" s="97"/>
      <c r="AD583" s="99"/>
      <c r="AE583" s="76" t="s">
        <v>586</v>
      </c>
      <c r="AF583" s="76" t="s">
        <v>9579</v>
      </c>
      <c r="AG583" s="76"/>
      <c r="AH583" s="76" t="s">
        <v>9580</v>
      </c>
      <c r="AI583" s="67"/>
      <c r="AJ583" s="67"/>
      <c r="AK583" s="67"/>
      <c r="AL583" s="67"/>
      <c r="AM583" s="67"/>
      <c r="AN583" s="67"/>
      <c r="AO583" s="67"/>
      <c r="AP583" s="67"/>
      <c r="AQ583" s="67"/>
      <c r="AR583" s="67"/>
      <c r="AS583" s="67"/>
      <c r="AT583" s="67"/>
    </row>
    <row r="584">
      <c r="A584" s="86"/>
      <c r="B584" s="450" t="s">
        <v>4145</v>
      </c>
      <c r="C584" s="341" t="s">
        <v>1313</v>
      </c>
      <c r="D584" s="86"/>
      <c r="E584" s="524" t="s">
        <v>9582</v>
      </c>
      <c r="F584" s="86"/>
      <c r="G584" s="86"/>
      <c r="H584" s="86"/>
      <c r="I584" s="86"/>
      <c r="J584" s="97"/>
      <c r="K584" s="87"/>
      <c r="L584" s="87"/>
      <c r="M584" s="87" t="s">
        <v>60</v>
      </c>
      <c r="N584" s="86" t="s">
        <v>9583</v>
      </c>
      <c r="O584" s="291" t="s">
        <v>9584</v>
      </c>
      <c r="P584" s="750"/>
      <c r="Q584" s="86"/>
      <c r="R584" s="86"/>
      <c r="S584" s="315"/>
      <c r="T584" s="315"/>
      <c r="U584" s="76" t="s">
        <v>165</v>
      </c>
      <c r="V584" s="76" t="s">
        <v>152</v>
      </c>
      <c r="W584" s="76"/>
      <c r="X584" s="97"/>
      <c r="Y584" s="97"/>
      <c r="Z584" s="97"/>
      <c r="AA584" s="97"/>
      <c r="AB584" s="97"/>
      <c r="AC584" s="97"/>
      <c r="AD584" s="99"/>
      <c r="AE584" s="76" t="s">
        <v>586</v>
      </c>
      <c r="AF584" s="76" t="s">
        <v>1385</v>
      </c>
      <c r="AG584" s="76"/>
      <c r="AH584" s="76" t="s">
        <v>9588</v>
      </c>
      <c r="AI584" s="67"/>
      <c r="AJ584" s="67"/>
      <c r="AK584" s="67"/>
      <c r="AL584" s="67"/>
      <c r="AM584" s="67"/>
      <c r="AN584" s="67"/>
      <c r="AO584" s="67"/>
      <c r="AP584" s="67"/>
      <c r="AQ584" s="67"/>
      <c r="AR584" s="67"/>
      <c r="AS584" s="67"/>
      <c r="AT584" s="67"/>
    </row>
    <row r="585">
      <c r="A585" s="86"/>
      <c r="B585" s="302" t="s">
        <v>4145</v>
      </c>
      <c r="C585" s="302" t="s">
        <v>9590</v>
      </c>
      <c r="D585" s="76"/>
      <c r="E585" s="524" t="s">
        <v>9592</v>
      </c>
      <c r="F585" s="762"/>
      <c r="G585" s="762"/>
      <c r="H585" s="762"/>
      <c r="I585" s="762"/>
      <c r="J585" s="76"/>
      <c r="K585" s="76"/>
      <c r="L585" s="964"/>
      <c r="M585" s="85" t="s">
        <v>60</v>
      </c>
      <c r="N585" s="306" t="s">
        <v>9594</v>
      </c>
      <c r="O585" s="76" t="s">
        <v>9595</v>
      </c>
      <c r="P585" s="153"/>
      <c r="Q585" s="315"/>
      <c r="R585" s="86"/>
      <c r="S585" s="76"/>
      <c r="T585" s="315"/>
      <c r="U585" s="76" t="s">
        <v>379</v>
      </c>
      <c r="V585" s="76" t="s">
        <v>566</v>
      </c>
      <c r="W585" s="76"/>
      <c r="X585" s="97"/>
      <c r="Y585" s="97"/>
      <c r="Z585" s="344" t="s">
        <v>3170</v>
      </c>
      <c r="AA585" s="97"/>
      <c r="AB585" s="97"/>
      <c r="AC585" s="76" t="s">
        <v>1566</v>
      </c>
      <c r="AD585" s="76"/>
      <c r="AE585" s="76"/>
      <c r="AF585" s="76" t="s">
        <v>7794</v>
      </c>
      <c r="AG585" s="189"/>
      <c r="AH585" s="76" t="s">
        <v>9599</v>
      </c>
      <c r="AI585" s="203"/>
      <c r="AJ585" s="203"/>
      <c r="AK585" s="203"/>
      <c r="AL585" s="203"/>
      <c r="AM585" s="203"/>
      <c r="AN585" s="203"/>
      <c r="AO585" s="203"/>
      <c r="AP585" s="203"/>
      <c r="AQ585" s="203"/>
      <c r="AR585" s="203"/>
      <c r="AS585" s="203"/>
      <c r="AT585" s="203"/>
    </row>
    <row r="586">
      <c r="A586" s="86"/>
      <c r="B586" s="302" t="s">
        <v>4145</v>
      </c>
      <c r="C586" s="302" t="s">
        <v>9590</v>
      </c>
      <c r="D586" s="76"/>
      <c r="E586" s="524" t="s">
        <v>9602</v>
      </c>
      <c r="F586" s="762"/>
      <c r="G586" s="762"/>
      <c r="H586" s="762"/>
      <c r="I586" s="762"/>
      <c r="J586" s="76"/>
      <c r="K586" s="76"/>
      <c r="L586" s="964"/>
      <c r="M586" s="85" t="s">
        <v>60</v>
      </c>
      <c r="N586" s="306" t="s">
        <v>9603</v>
      </c>
      <c r="O586" s="76" t="s">
        <v>9604</v>
      </c>
      <c r="P586" s="153"/>
      <c r="Q586" s="315"/>
      <c r="R586" s="86"/>
      <c r="S586" s="76"/>
      <c r="T586" s="315"/>
      <c r="U586" s="76" t="s">
        <v>379</v>
      </c>
      <c r="V586" s="76" t="s">
        <v>566</v>
      </c>
      <c r="W586" s="76"/>
      <c r="X586" s="97"/>
      <c r="Y586" s="97"/>
      <c r="Z586" s="344" t="s">
        <v>3170</v>
      </c>
      <c r="AA586" s="97"/>
      <c r="AB586" s="97"/>
      <c r="AC586" s="76" t="s">
        <v>1566</v>
      </c>
      <c r="AD586" s="76"/>
      <c r="AE586" s="76"/>
      <c r="AF586" s="76" t="s">
        <v>7794</v>
      </c>
      <c r="AG586" s="189"/>
      <c r="AH586" s="76" t="s">
        <v>9599</v>
      </c>
      <c r="AI586" s="203"/>
      <c r="AJ586" s="203"/>
      <c r="AK586" s="203"/>
      <c r="AL586" s="203"/>
      <c r="AM586" s="203"/>
      <c r="AN586" s="203"/>
      <c r="AO586" s="203"/>
      <c r="AP586" s="203"/>
      <c r="AQ586" s="203"/>
      <c r="AR586" s="203"/>
      <c r="AS586" s="203"/>
      <c r="AT586" s="203"/>
    </row>
    <row r="587">
      <c r="A587" s="86"/>
      <c r="B587" s="450" t="s">
        <v>4145</v>
      </c>
      <c r="C587" s="341" t="s">
        <v>1774</v>
      </c>
      <c r="D587" s="86"/>
      <c r="E587" s="764"/>
      <c r="F587" s="86"/>
      <c r="G587" s="86"/>
      <c r="H587" s="86"/>
      <c r="I587" s="86"/>
      <c r="J587" s="97"/>
      <c r="K587" s="176" t="s">
        <v>9606</v>
      </c>
      <c r="L587" s="85"/>
      <c r="M587" s="85" t="s">
        <v>326</v>
      </c>
      <c r="N587" s="86" t="s">
        <v>7374</v>
      </c>
      <c r="O587" s="87" t="s">
        <v>3539</v>
      </c>
      <c r="P587" s="750"/>
      <c r="Q587" s="86"/>
      <c r="R587" s="86"/>
      <c r="S587" s="315"/>
      <c r="T587" s="315"/>
      <c r="U587" s="124" t="s">
        <v>368</v>
      </c>
      <c r="V587" s="86"/>
      <c r="W587" s="76"/>
      <c r="X587" s="97"/>
      <c r="Y587" s="97"/>
      <c r="Z587" s="97"/>
      <c r="AA587" s="97"/>
      <c r="AB587" s="97"/>
      <c r="AC587" s="97"/>
      <c r="AD587" s="99"/>
      <c r="AE587" s="76"/>
      <c r="AF587" s="76" t="s">
        <v>4392</v>
      </c>
      <c r="AG587" s="76" t="s">
        <v>375</v>
      </c>
      <c r="AH587" s="523">
        <v>46115.0</v>
      </c>
      <c r="AI587" s="67"/>
      <c r="AJ587" s="67"/>
      <c r="AK587" s="67"/>
      <c r="AL587" s="67"/>
      <c r="AM587" s="67"/>
      <c r="AN587" s="67"/>
      <c r="AO587" s="67"/>
      <c r="AP587" s="67"/>
      <c r="AQ587" s="67"/>
      <c r="AR587" s="67"/>
      <c r="AS587" s="67"/>
      <c r="AT587" s="67"/>
    </row>
    <row r="588">
      <c r="A588" s="86"/>
      <c r="B588" s="450" t="s">
        <v>4145</v>
      </c>
      <c r="C588" s="341" t="s">
        <v>1774</v>
      </c>
      <c r="D588" s="86"/>
      <c r="E588" s="764"/>
      <c r="F588" s="86"/>
      <c r="G588" s="86"/>
      <c r="H588" s="86"/>
      <c r="I588" s="86"/>
      <c r="J588" s="97"/>
      <c r="K588" s="85"/>
      <c r="L588" s="85"/>
      <c r="M588" s="85" t="s">
        <v>326</v>
      </c>
      <c r="N588" s="86" t="s">
        <v>7397</v>
      </c>
      <c r="O588" s="87" t="s">
        <v>1920</v>
      </c>
      <c r="P588" s="750"/>
      <c r="Q588" s="86"/>
      <c r="R588" s="86"/>
      <c r="S588" s="315"/>
      <c r="T588" s="315"/>
      <c r="U588" s="124" t="s">
        <v>368</v>
      </c>
      <c r="V588" s="86"/>
      <c r="W588" s="76"/>
      <c r="X588" s="97"/>
      <c r="Y588" s="97"/>
      <c r="Z588" s="97"/>
      <c r="AA588" s="97"/>
      <c r="AB588" s="97"/>
      <c r="AC588" s="97"/>
      <c r="AD588" s="99"/>
      <c r="AE588" s="76"/>
      <c r="AF588" s="76" t="s">
        <v>4392</v>
      </c>
      <c r="AG588" s="76" t="s">
        <v>375</v>
      </c>
      <c r="AH588" s="523">
        <v>46115.0</v>
      </c>
      <c r="AI588" s="67"/>
      <c r="AJ588" s="67"/>
      <c r="AK588" s="67"/>
      <c r="AL588" s="67"/>
      <c r="AM588" s="67"/>
      <c r="AN588" s="67"/>
      <c r="AO588" s="67"/>
      <c r="AP588" s="67"/>
      <c r="AQ588" s="67"/>
      <c r="AR588" s="67"/>
      <c r="AS588" s="67"/>
      <c r="AT588" s="67"/>
    </row>
    <row r="589">
      <c r="A589" s="76" t="s">
        <v>116</v>
      </c>
      <c r="B589" s="757" t="s">
        <v>1709</v>
      </c>
      <c r="C589" s="757" t="s">
        <v>1517</v>
      </c>
      <c r="D589" s="757" t="s">
        <v>1519</v>
      </c>
      <c r="E589" s="758" t="s">
        <v>201</v>
      </c>
      <c r="F589" s="759" t="s">
        <v>1849</v>
      </c>
      <c r="G589" s="760" t="s">
        <v>6225</v>
      </c>
      <c r="H589" s="760" t="s">
        <v>60</v>
      </c>
      <c r="I589" s="87" t="s">
        <v>1221</v>
      </c>
      <c r="J589" s="85" t="s">
        <v>114</v>
      </c>
      <c r="K589" s="85"/>
      <c r="L589" s="85"/>
      <c r="M589" s="85" t="s">
        <v>60</v>
      </c>
      <c r="N589" s="97" t="s">
        <v>9619</v>
      </c>
      <c r="O589" s="756" t="s">
        <v>9620</v>
      </c>
      <c r="P589" s="262">
        <v>33375.0</v>
      </c>
      <c r="Q589" s="315">
        <f t="shared" ref="Q589:Q590" si="55">VALUE(LEFT(TEXT(S589,0),5))+1</f>
        <v>33375</v>
      </c>
      <c r="R589" s="86">
        <f t="shared" ref="R589:R590" si="56">DATEDIF($P589,TODAY(),"Y")</f>
        <v>35</v>
      </c>
      <c r="S589" s="76">
        <v>3.337415418E9</v>
      </c>
      <c r="T589" s="315"/>
      <c r="U589" s="76" t="s">
        <v>379</v>
      </c>
      <c r="V589" s="76"/>
      <c r="W589" s="97"/>
      <c r="X589" s="97"/>
      <c r="Y589" s="97"/>
      <c r="Z589" s="176" t="s">
        <v>1460</v>
      </c>
      <c r="AA589" s="76"/>
      <c r="AB589" s="97"/>
      <c r="AC589" s="76" t="s">
        <v>9626</v>
      </c>
      <c r="AD589" s="99"/>
      <c r="AE589" s="76"/>
      <c r="AF589" s="76"/>
      <c r="AG589" s="76"/>
      <c r="AH589" s="153">
        <v>46100.0</v>
      </c>
      <c r="AI589" s="203"/>
      <c r="AJ589" s="203"/>
      <c r="AK589" s="203"/>
      <c r="AL589" s="203"/>
      <c r="AM589" s="203"/>
      <c r="AN589" s="203"/>
      <c r="AO589" s="203"/>
      <c r="AP589" s="203"/>
      <c r="AQ589" s="203"/>
      <c r="AR589" s="203"/>
      <c r="AS589" s="203"/>
      <c r="AT589" s="203"/>
    </row>
    <row r="590">
      <c r="A590" s="86"/>
      <c r="B590" s="302" t="s">
        <v>4145</v>
      </c>
      <c r="C590" s="302"/>
      <c r="D590" s="76"/>
      <c r="E590" s="574">
        <v>46110.0</v>
      </c>
      <c r="F590" s="762"/>
      <c r="G590" s="762"/>
      <c r="H590" s="762"/>
      <c r="I590" s="762"/>
      <c r="J590" s="76" t="s">
        <v>114</v>
      </c>
      <c r="K590" s="76"/>
      <c r="L590" s="964"/>
      <c r="M590" s="85" t="s">
        <v>656</v>
      </c>
      <c r="N590" s="306" t="s">
        <v>9629</v>
      </c>
      <c r="O590" s="76" t="s">
        <v>9630</v>
      </c>
      <c r="P590" s="153">
        <v>29867.0</v>
      </c>
      <c r="Q590" s="315">
        <f t="shared" si="55"/>
        <v>29867</v>
      </c>
      <c r="R590" s="86">
        <f t="shared" si="56"/>
        <v>44</v>
      </c>
      <c r="S590" s="76">
        <v>2.986615054E9</v>
      </c>
      <c r="T590" s="76" t="s">
        <v>1317</v>
      </c>
      <c r="U590" s="76" t="s">
        <v>344</v>
      </c>
      <c r="V590" s="76"/>
      <c r="W590" s="76"/>
      <c r="X590" s="76"/>
      <c r="Y590" s="276" t="s">
        <v>1836</v>
      </c>
      <c r="Z590" s="76"/>
      <c r="AA590" s="76"/>
      <c r="AB590" s="97"/>
      <c r="AC590" s="76"/>
      <c r="AD590" s="76"/>
      <c r="AE590" s="76"/>
      <c r="AF590" s="76"/>
      <c r="AG590" s="76"/>
      <c r="AH590" s="76" t="s">
        <v>9634</v>
      </c>
      <c r="AI590" s="763"/>
      <c r="AJ590" s="763"/>
      <c r="AK590" s="763"/>
      <c r="AL590" s="763"/>
      <c r="AM590" s="763"/>
      <c r="AN590" s="763"/>
      <c r="AO590" s="763"/>
      <c r="AP590" s="763"/>
      <c r="AQ590" s="763"/>
      <c r="AR590" s="763"/>
      <c r="AS590" s="763"/>
      <c r="AT590" s="763"/>
    </row>
    <row r="591">
      <c r="A591" s="86"/>
      <c r="B591" s="450" t="s">
        <v>4145</v>
      </c>
      <c r="C591" s="341" t="s">
        <v>1313</v>
      </c>
      <c r="D591" s="86"/>
      <c r="E591" s="524" t="s">
        <v>7462</v>
      </c>
      <c r="F591" s="86"/>
      <c r="G591" s="86"/>
      <c r="H591" s="86"/>
      <c r="I591" s="86"/>
      <c r="J591" s="97"/>
      <c r="K591" s="118" t="s">
        <v>9637</v>
      </c>
      <c r="L591" s="87"/>
      <c r="M591" s="87" t="s">
        <v>60</v>
      </c>
      <c r="N591" s="86" t="s">
        <v>7464</v>
      </c>
      <c r="O591" s="87" t="s">
        <v>3183</v>
      </c>
      <c r="P591" s="750"/>
      <c r="Q591" s="86"/>
      <c r="R591" s="86"/>
      <c r="S591" s="315"/>
      <c r="T591" s="315"/>
      <c r="U591" s="76" t="s">
        <v>368</v>
      </c>
      <c r="V591" s="76"/>
      <c r="W591" s="86"/>
      <c r="X591" s="97"/>
      <c r="Y591" s="97"/>
      <c r="Z591" s="97"/>
      <c r="AA591" s="97"/>
      <c r="AB591" s="97"/>
      <c r="AC591" s="97"/>
      <c r="AD591" s="99"/>
      <c r="AE591" s="76"/>
      <c r="AF591" s="76" t="s">
        <v>1385</v>
      </c>
      <c r="AG591" s="76" t="s">
        <v>375</v>
      </c>
      <c r="AH591" s="523">
        <v>46116.0</v>
      </c>
      <c r="AI591" s="67"/>
      <c r="AJ591" s="67"/>
      <c r="AK591" s="67"/>
      <c r="AL591" s="67"/>
      <c r="AM591" s="67"/>
      <c r="AN591" s="67"/>
      <c r="AO591" s="67"/>
      <c r="AP591" s="67"/>
      <c r="AQ591" s="67"/>
      <c r="AR591" s="67"/>
      <c r="AS591" s="67"/>
      <c r="AT591" s="67"/>
    </row>
    <row r="592">
      <c r="A592" s="86"/>
      <c r="B592" s="450" t="s">
        <v>4145</v>
      </c>
      <c r="C592" s="341" t="s">
        <v>1313</v>
      </c>
      <c r="D592" s="86"/>
      <c r="E592" s="524" t="s">
        <v>7469</v>
      </c>
      <c r="F592" s="86"/>
      <c r="G592" s="86"/>
      <c r="H592" s="86"/>
      <c r="I592" s="86"/>
      <c r="J592" s="97"/>
      <c r="K592" s="85"/>
      <c r="L592" s="85"/>
      <c r="M592" s="85" t="s">
        <v>4800</v>
      </c>
      <c r="N592" s="86" t="s">
        <v>7471</v>
      </c>
      <c r="O592" s="87" t="s">
        <v>7472</v>
      </c>
      <c r="P592" s="750"/>
      <c r="Q592" s="86"/>
      <c r="R592" s="86"/>
      <c r="S592" s="315"/>
      <c r="T592" s="315"/>
      <c r="U592" s="76" t="s">
        <v>368</v>
      </c>
      <c r="V592" s="76"/>
      <c r="W592" s="86"/>
      <c r="X592" s="97"/>
      <c r="Y592" s="97"/>
      <c r="Z592" s="97"/>
      <c r="AA592" s="97"/>
      <c r="AB592" s="97"/>
      <c r="AC592" s="97"/>
      <c r="AD592" s="99"/>
      <c r="AE592" s="76"/>
      <c r="AF592" s="76" t="s">
        <v>1385</v>
      </c>
      <c r="AG592" s="76" t="s">
        <v>375</v>
      </c>
      <c r="AH592" s="523">
        <v>46116.0</v>
      </c>
      <c r="AI592" s="67"/>
      <c r="AJ592" s="67"/>
      <c r="AK592" s="67"/>
      <c r="AL592" s="67"/>
      <c r="AM592" s="67"/>
      <c r="AN592" s="67"/>
      <c r="AO592" s="67"/>
      <c r="AP592" s="67"/>
      <c r="AQ592" s="67"/>
      <c r="AR592" s="67"/>
      <c r="AS592" s="67"/>
      <c r="AT592" s="67"/>
    </row>
    <row r="593">
      <c r="A593" s="76">
        <v>155.0</v>
      </c>
      <c r="B593" s="529" t="s">
        <v>3722</v>
      </c>
      <c r="C593" s="86" t="s">
        <v>3724</v>
      </c>
      <c r="D593" s="86" t="s">
        <v>121</v>
      </c>
      <c r="E593" s="746" t="s">
        <v>1431</v>
      </c>
      <c r="F593" s="747" t="s">
        <v>1437</v>
      </c>
      <c r="G593" s="97" t="s">
        <v>60</v>
      </c>
      <c r="H593" s="87" t="s">
        <v>1221</v>
      </c>
      <c r="I593" s="86" t="s">
        <v>1443</v>
      </c>
      <c r="J593" s="85" t="s">
        <v>114</v>
      </c>
      <c r="K593" s="85" t="s">
        <v>9646</v>
      </c>
      <c r="L593" s="85"/>
      <c r="M593" s="85" t="s">
        <v>656</v>
      </c>
      <c r="N593" s="256" t="s">
        <v>9366</v>
      </c>
      <c r="O593" s="76" t="s">
        <v>1538</v>
      </c>
      <c r="P593" s="330">
        <v>28050.0</v>
      </c>
      <c r="Q593" s="315">
        <f t="shared" ref="Q593:Q595" si="57">VALUE(LEFT(TEXT(S593,0),5))+1</f>
        <v>28050</v>
      </c>
      <c r="R593" s="97">
        <f t="shared" ref="R593:R595" si="58">DATEDIF($P593,TODAY(),"Y")</f>
        <v>49</v>
      </c>
      <c r="S593" s="76">
        <v>2.804908933E9</v>
      </c>
      <c r="T593" s="315"/>
      <c r="U593" s="76" t="s">
        <v>368</v>
      </c>
      <c r="V593" s="76"/>
      <c r="W593" s="76"/>
      <c r="X593" s="76"/>
      <c r="Y593" s="97" t="s">
        <v>1174</v>
      </c>
      <c r="Z593" s="278" t="s">
        <v>2090</v>
      </c>
      <c r="AA593" s="76"/>
      <c r="AB593" s="76"/>
      <c r="AC593" s="97"/>
      <c r="AD593" s="99"/>
      <c r="AE593" s="76"/>
      <c r="AF593" s="76"/>
      <c r="AG593" s="76"/>
      <c r="AH593" s="153">
        <v>46108.0</v>
      </c>
      <c r="AI593" s="67"/>
      <c r="AJ593" s="67"/>
      <c r="AK593" s="748"/>
      <c r="AL593" s="748"/>
      <c r="AM593" s="748"/>
      <c r="AN593" s="748"/>
      <c r="AO593" s="748"/>
      <c r="AP593" s="748"/>
      <c r="AQ593" s="67"/>
      <c r="AR593" s="67"/>
      <c r="AS593" s="67"/>
      <c r="AT593" s="67"/>
    </row>
    <row r="594">
      <c r="A594" s="86"/>
      <c r="B594" s="302" t="s">
        <v>4145</v>
      </c>
      <c r="C594" s="523"/>
      <c r="D594" s="86"/>
      <c r="E594" s="574">
        <v>46077.0</v>
      </c>
      <c r="F594" s="86"/>
      <c r="G594" s="86"/>
      <c r="H594" s="86"/>
      <c r="I594" s="86"/>
      <c r="J594" s="85" t="s">
        <v>114</v>
      </c>
      <c r="K594" s="176" t="s">
        <v>9654</v>
      </c>
      <c r="L594" s="76"/>
      <c r="M594" s="85" t="s">
        <v>60</v>
      </c>
      <c r="N594" s="76" t="s">
        <v>9656</v>
      </c>
      <c r="O594" s="76" t="s">
        <v>9657</v>
      </c>
      <c r="P594" s="153">
        <v>29431.0</v>
      </c>
      <c r="Q594" s="315">
        <f t="shared" si="57"/>
        <v>29431</v>
      </c>
      <c r="R594" s="86">
        <f t="shared" si="58"/>
        <v>46</v>
      </c>
      <c r="S594" s="76">
        <v>2.943022377E9</v>
      </c>
      <c r="T594" s="76" t="s">
        <v>1569</v>
      </c>
      <c r="U594" s="76" t="s">
        <v>379</v>
      </c>
      <c r="V594" s="76"/>
      <c r="W594" s="76"/>
      <c r="X594" s="76" t="s">
        <v>186</v>
      </c>
      <c r="Y594" s="167"/>
      <c r="Z594" s="85" t="s">
        <v>1351</v>
      </c>
      <c r="AA594" s="168"/>
      <c r="AB594" s="76"/>
      <c r="AC594" s="168"/>
      <c r="AD594" s="168"/>
      <c r="AE594" s="76"/>
      <c r="AF594" s="76"/>
      <c r="AG594" s="76"/>
      <c r="AH594" s="76" t="s">
        <v>9661</v>
      </c>
      <c r="AI594" s="67"/>
      <c r="AJ594" s="67"/>
      <c r="AK594" s="67"/>
      <c r="AL594" s="67"/>
      <c r="AM594" s="67"/>
      <c r="AN594" s="67"/>
      <c r="AO594" s="67"/>
      <c r="AP594" s="67"/>
      <c r="AQ594" s="67"/>
      <c r="AR594" s="67"/>
      <c r="AS594" s="67"/>
      <c r="AT594" s="67"/>
    </row>
    <row r="595">
      <c r="A595" s="240">
        <v>155.0</v>
      </c>
      <c r="B595" s="922" t="s">
        <v>3297</v>
      </c>
      <c r="C595" s="922" t="s">
        <v>8546</v>
      </c>
      <c r="D595" s="973" t="s">
        <v>121</v>
      </c>
      <c r="E595" s="923" t="s">
        <v>201</v>
      </c>
      <c r="F595" s="924" t="s">
        <v>1849</v>
      </c>
      <c r="G595" s="974" t="s">
        <v>9291</v>
      </c>
      <c r="H595" s="974" t="s">
        <v>60</v>
      </c>
      <c r="I595" s="687" t="s">
        <v>1221</v>
      </c>
      <c r="J595" s="241" t="s">
        <v>114</v>
      </c>
      <c r="K595" s="975" t="s">
        <v>9666</v>
      </c>
      <c r="L595" s="892"/>
      <c r="M595" s="87" t="s">
        <v>60</v>
      </c>
      <c r="N595" s="306" t="s">
        <v>9667</v>
      </c>
      <c r="O595" s="85" t="s">
        <v>9668</v>
      </c>
      <c r="P595" s="707">
        <v>28980.0</v>
      </c>
      <c r="Q595" s="731">
        <f t="shared" si="57"/>
        <v>28980</v>
      </c>
      <c r="R595" s="688">
        <f t="shared" si="58"/>
        <v>47</v>
      </c>
      <c r="S595" s="688">
        <v>2.897917252E9</v>
      </c>
      <c r="T595" s="891"/>
      <c r="U595" s="561" t="s">
        <v>379</v>
      </c>
      <c r="V595" s="688"/>
      <c r="W595" s="887"/>
      <c r="X595" s="241" t="s">
        <v>186</v>
      </c>
      <c r="Y595" s="887"/>
      <c r="Z595" s="706" t="s">
        <v>2521</v>
      </c>
      <c r="AA595" s="887"/>
      <c r="AB595" s="887"/>
      <c r="AC595" s="887"/>
      <c r="AD595" s="895"/>
      <c r="AE595" s="76"/>
      <c r="AF595" s="887"/>
      <c r="AG595" s="887"/>
      <c r="AH595" s="976" t="s">
        <v>9669</v>
      </c>
      <c r="AI595" s="896"/>
      <c r="AJ595" s="896"/>
      <c r="AK595" s="896"/>
      <c r="AL595" s="896"/>
      <c r="AM595" s="896"/>
      <c r="AN595" s="896"/>
      <c r="AO595" s="896"/>
      <c r="AP595" s="896"/>
      <c r="AQ595" s="896"/>
      <c r="AR595" s="896"/>
      <c r="AS595" s="896"/>
      <c r="AT595" s="896"/>
    </row>
    <row r="596">
      <c r="A596" s="86"/>
      <c r="B596" s="302" t="s">
        <v>4145</v>
      </c>
      <c r="C596" s="302" t="s">
        <v>7477</v>
      </c>
      <c r="D596" s="76"/>
      <c r="E596" s="524" t="s">
        <v>9672</v>
      </c>
      <c r="F596" s="762"/>
      <c r="G596" s="762"/>
      <c r="H596" s="762"/>
      <c r="I596" s="762"/>
      <c r="J596" s="762"/>
      <c r="K596" s="762"/>
      <c r="L596" s="762"/>
      <c r="M596" s="85" t="s">
        <v>60</v>
      </c>
      <c r="N596" s="85" t="s">
        <v>9285</v>
      </c>
      <c r="O596" s="76" t="s">
        <v>1206</v>
      </c>
      <c r="P596" s="86"/>
      <c r="Q596" s="97"/>
      <c r="R596" s="97"/>
      <c r="S596" s="315"/>
      <c r="T596" s="315"/>
      <c r="U596" s="561" t="s">
        <v>379</v>
      </c>
      <c r="V596" s="76" t="s">
        <v>350</v>
      </c>
      <c r="W596" s="76" t="s">
        <v>227</v>
      </c>
      <c r="X596" s="97"/>
      <c r="Y596" s="97"/>
      <c r="Z596" s="97"/>
      <c r="AA596" s="97"/>
      <c r="AB596" s="97"/>
      <c r="AC596" s="97"/>
      <c r="AD596" s="99"/>
      <c r="AE596" s="76" t="s">
        <v>259</v>
      </c>
      <c r="AF596" s="76" t="s">
        <v>7497</v>
      </c>
      <c r="AG596" s="315"/>
      <c r="AH596" s="76" t="s">
        <v>9678</v>
      </c>
      <c r="AI596" s="763"/>
      <c r="AJ596" s="763"/>
      <c r="AK596" s="763"/>
      <c r="AL596" s="763"/>
      <c r="AM596" s="763"/>
      <c r="AN596" s="763"/>
      <c r="AO596" s="763"/>
      <c r="AP596" s="763"/>
      <c r="AQ596" s="763"/>
      <c r="AR596" s="763"/>
      <c r="AS596" s="763"/>
      <c r="AT596" s="763"/>
    </row>
    <row r="597">
      <c r="A597" s="86"/>
      <c r="B597" s="302" t="s">
        <v>4145</v>
      </c>
      <c r="C597" s="76" t="s">
        <v>5318</v>
      </c>
      <c r="D597" s="86"/>
      <c r="E597" s="762"/>
      <c r="F597" s="86"/>
      <c r="G597" s="86"/>
      <c r="H597" s="86"/>
      <c r="I597" s="86"/>
      <c r="J597" s="85" t="s">
        <v>114</v>
      </c>
      <c r="K597" s="109"/>
      <c r="L597" s="85"/>
      <c r="M597" s="85" t="s">
        <v>60</v>
      </c>
      <c r="N597" s="85" t="s">
        <v>9683</v>
      </c>
      <c r="O597" s="76" t="s">
        <v>9685</v>
      </c>
      <c r="P597" s="86"/>
      <c r="Q597" s="97"/>
      <c r="R597" s="97">
        <f t="shared" ref="R597:R605" si="59">DATEDIF($P597,TODAY(),"Y")</f>
        <v>126</v>
      </c>
      <c r="S597" s="315"/>
      <c r="T597" s="315"/>
      <c r="U597" s="124" t="s">
        <v>379</v>
      </c>
      <c r="V597" s="76"/>
      <c r="W597" s="76"/>
      <c r="X597" s="97"/>
      <c r="Y597" s="97"/>
      <c r="Z597" s="97"/>
      <c r="AA597" s="97"/>
      <c r="AB597" s="97"/>
      <c r="AC597" s="97"/>
      <c r="AD597" s="99"/>
      <c r="AE597" s="76"/>
      <c r="AF597" s="85"/>
      <c r="AG597" s="315"/>
      <c r="AH597" s="76" t="s">
        <v>9694</v>
      </c>
      <c r="AI597" s="763"/>
      <c r="AJ597" s="763"/>
      <c r="AK597" s="763"/>
      <c r="AL597" s="763"/>
      <c r="AM597" s="763"/>
      <c r="AN597" s="763"/>
      <c r="AO597" s="763"/>
      <c r="AP597" s="763"/>
      <c r="AQ597" s="763"/>
      <c r="AR597" s="763"/>
      <c r="AS597" s="763"/>
      <c r="AT597" s="763"/>
    </row>
    <row r="598">
      <c r="A598" s="76" t="s">
        <v>9695</v>
      </c>
      <c r="B598" s="757" t="s">
        <v>3722</v>
      </c>
      <c r="C598" s="757" t="s">
        <v>3724</v>
      </c>
      <c r="D598" s="757" t="s">
        <v>3746</v>
      </c>
      <c r="E598" s="758" t="s">
        <v>2562</v>
      </c>
      <c r="F598" s="759" t="s">
        <v>7825</v>
      </c>
      <c r="G598" s="760" t="s">
        <v>7921</v>
      </c>
      <c r="H598" s="760" t="s">
        <v>102</v>
      </c>
      <c r="I598" s="146" t="s">
        <v>408</v>
      </c>
      <c r="J598" s="76" t="s">
        <v>114</v>
      </c>
      <c r="K598" s="176" t="s">
        <v>9702</v>
      </c>
      <c r="L598" s="85"/>
      <c r="M598" s="85" t="s">
        <v>60</v>
      </c>
      <c r="N598" s="76" t="s">
        <v>9704</v>
      </c>
      <c r="O598" s="756" t="s">
        <v>9705</v>
      </c>
      <c r="P598" s="262">
        <v>35683.0</v>
      </c>
      <c r="Q598" s="315">
        <f t="shared" ref="Q598:Q605" si="60">VALUE(LEFT(TEXT(S598,0),5))+1</f>
        <v>35683</v>
      </c>
      <c r="R598" s="97">
        <f t="shared" si="59"/>
        <v>28</v>
      </c>
      <c r="S598" s="76">
        <v>3.568207432E9</v>
      </c>
      <c r="T598" s="315" t="s">
        <v>1548</v>
      </c>
      <c r="U598" s="124" t="s">
        <v>379</v>
      </c>
      <c r="V598" s="76"/>
      <c r="W598" s="76"/>
      <c r="X598" s="76"/>
      <c r="Y598" s="76" t="s">
        <v>371</v>
      </c>
      <c r="Z598" s="85"/>
      <c r="AA598" s="76" t="s">
        <v>1178</v>
      </c>
      <c r="AB598" s="97"/>
      <c r="AC598" s="76" t="s">
        <v>9626</v>
      </c>
      <c r="AD598" s="99"/>
      <c r="AE598" s="76"/>
      <c r="AF598" s="76"/>
      <c r="AG598" s="76"/>
      <c r="AH598" s="153">
        <v>46100.0</v>
      </c>
      <c r="AI598" s="203"/>
      <c r="AJ598" s="203"/>
      <c r="AK598" s="203"/>
      <c r="AL598" s="203"/>
      <c r="AM598" s="203"/>
      <c r="AN598" s="203"/>
      <c r="AO598" s="203"/>
      <c r="AP598" s="203"/>
      <c r="AQ598" s="203"/>
      <c r="AR598" s="203"/>
      <c r="AS598" s="203"/>
      <c r="AT598" s="203"/>
    </row>
    <row r="599">
      <c r="A599" s="76">
        <v>155.0</v>
      </c>
      <c r="B599" s="529" t="s">
        <v>1039</v>
      </c>
      <c r="C599" s="86" t="s">
        <v>1269</v>
      </c>
      <c r="D599" s="86" t="s">
        <v>1368</v>
      </c>
      <c r="E599" s="749" t="s">
        <v>302</v>
      </c>
      <c r="F599" s="747" t="s">
        <v>1404</v>
      </c>
      <c r="G599" s="97" t="s">
        <v>326</v>
      </c>
      <c r="H599" s="87" t="s">
        <v>1221</v>
      </c>
      <c r="I599" s="86" t="s">
        <v>1443</v>
      </c>
      <c r="J599" s="85" t="s">
        <v>114</v>
      </c>
      <c r="K599" s="118" t="s">
        <v>9708</v>
      </c>
      <c r="L599" s="109"/>
      <c r="M599" s="109" t="s">
        <v>326</v>
      </c>
      <c r="N599" s="332" t="s">
        <v>9709</v>
      </c>
      <c r="O599" s="97" t="s">
        <v>9710</v>
      </c>
      <c r="P599" s="153">
        <v>30909.0</v>
      </c>
      <c r="Q599" s="315">
        <f t="shared" si="60"/>
        <v>30909</v>
      </c>
      <c r="R599" s="86">
        <f t="shared" si="59"/>
        <v>42</v>
      </c>
      <c r="S599" s="315">
        <v>3.090804976E9</v>
      </c>
      <c r="T599" s="315" t="s">
        <v>1479</v>
      </c>
      <c r="U599" s="76" t="s">
        <v>136</v>
      </c>
      <c r="V599" s="76"/>
      <c r="W599" s="97"/>
      <c r="X599" s="76"/>
      <c r="Y599" s="97" t="s">
        <v>1174</v>
      </c>
      <c r="Z599" s="289" t="s">
        <v>1725</v>
      </c>
      <c r="AA599" s="97"/>
      <c r="AB599" s="97"/>
      <c r="AC599" s="76"/>
      <c r="AD599" s="99"/>
      <c r="AE599" s="76"/>
      <c r="AF599" s="76"/>
      <c r="AG599" s="112"/>
      <c r="AH599" s="654">
        <v>46108.0</v>
      </c>
      <c r="AI599" s="67"/>
      <c r="AJ599" s="67"/>
      <c r="AK599" s="748"/>
      <c r="AL599" s="748"/>
      <c r="AM599" s="748"/>
      <c r="AN599" s="748"/>
      <c r="AO599" s="748"/>
      <c r="AP599" s="748"/>
      <c r="AQ599" s="67"/>
      <c r="AR599" s="67"/>
      <c r="AS599" s="67"/>
      <c r="AT599" s="67"/>
    </row>
    <row r="600">
      <c r="A600" s="76">
        <v>155.0</v>
      </c>
      <c r="B600" s="529" t="s">
        <v>1709</v>
      </c>
      <c r="C600" s="86" t="s">
        <v>121</v>
      </c>
      <c r="D600" s="86" t="s">
        <v>121</v>
      </c>
      <c r="E600" s="749" t="s">
        <v>786</v>
      </c>
      <c r="F600" s="747" t="s">
        <v>1216</v>
      </c>
      <c r="G600" s="97" t="s">
        <v>60</v>
      </c>
      <c r="H600" s="87" t="s">
        <v>1221</v>
      </c>
      <c r="I600" s="97" t="s">
        <v>1443</v>
      </c>
      <c r="J600" s="85" t="s">
        <v>114</v>
      </c>
      <c r="K600" s="85" t="s">
        <v>9715</v>
      </c>
      <c r="L600" s="85"/>
      <c r="M600" s="85" t="s">
        <v>60</v>
      </c>
      <c r="N600" s="256" t="s">
        <v>9464</v>
      </c>
      <c r="O600" s="76" t="s">
        <v>9465</v>
      </c>
      <c r="P600" s="153">
        <v>31286.0</v>
      </c>
      <c r="Q600" s="315">
        <f t="shared" si="60"/>
        <v>31286</v>
      </c>
      <c r="R600" s="97">
        <f t="shared" si="59"/>
        <v>41</v>
      </c>
      <c r="S600" s="76">
        <v>3.128526079E9</v>
      </c>
      <c r="T600" s="315"/>
      <c r="U600" s="76" t="s">
        <v>368</v>
      </c>
      <c r="V600" s="76"/>
      <c r="W600" s="76"/>
      <c r="X600" s="76"/>
      <c r="Y600" s="97" t="s">
        <v>1174</v>
      </c>
      <c r="Z600" s="278" t="s">
        <v>2090</v>
      </c>
      <c r="AA600" s="76"/>
      <c r="AB600" s="76"/>
      <c r="AC600" s="97"/>
      <c r="AD600" s="99"/>
      <c r="AE600" s="76"/>
      <c r="AF600" s="76"/>
      <c r="AG600" s="76" t="s">
        <v>1187</v>
      </c>
      <c r="AH600" s="153">
        <v>46112.0</v>
      </c>
      <c r="AI600" s="67"/>
      <c r="AJ600" s="67"/>
      <c r="AK600" s="748"/>
      <c r="AL600" s="748"/>
      <c r="AM600" s="748"/>
      <c r="AN600" s="748"/>
      <c r="AO600" s="748"/>
      <c r="AP600" s="748"/>
      <c r="AQ600" s="67"/>
      <c r="AR600" s="67"/>
      <c r="AS600" s="67"/>
      <c r="AT600" s="67"/>
    </row>
    <row r="601">
      <c r="A601" s="76">
        <v>155.0</v>
      </c>
      <c r="B601" s="529" t="s">
        <v>1709</v>
      </c>
      <c r="C601" s="86" t="s">
        <v>1517</v>
      </c>
      <c r="D601" s="86" t="s">
        <v>1368</v>
      </c>
      <c r="E601" s="749" t="s">
        <v>178</v>
      </c>
      <c r="F601" s="747" t="s">
        <v>1369</v>
      </c>
      <c r="G601" s="753" t="s">
        <v>102</v>
      </c>
      <c r="H601" s="817" t="s">
        <v>3336</v>
      </c>
      <c r="I601" s="817" t="s">
        <v>3336</v>
      </c>
      <c r="J601" s="109" t="s">
        <v>114</v>
      </c>
      <c r="K601" s="176" t="s">
        <v>9723</v>
      </c>
      <c r="L601" s="85"/>
      <c r="M601" s="85" t="s">
        <v>102</v>
      </c>
      <c r="N601" s="97" t="s">
        <v>3664</v>
      </c>
      <c r="O601" s="109" t="s">
        <v>3130</v>
      </c>
      <c r="P601" s="750">
        <v>28671.0</v>
      </c>
      <c r="Q601" s="315">
        <f t="shared" si="60"/>
        <v>28671</v>
      </c>
      <c r="R601" s="86">
        <f t="shared" si="59"/>
        <v>48</v>
      </c>
      <c r="S601" s="315">
        <v>2.867019611E9</v>
      </c>
      <c r="T601" s="315" t="s">
        <v>378</v>
      </c>
      <c r="U601" s="124" t="s">
        <v>136</v>
      </c>
      <c r="V601" s="76"/>
      <c r="W601" s="76"/>
      <c r="X601" s="97"/>
      <c r="Y601" s="97"/>
      <c r="Z601" s="97"/>
      <c r="AA601" s="97"/>
      <c r="AB601" s="97"/>
      <c r="AC601" s="97"/>
      <c r="AD601" s="97"/>
      <c r="AE601" s="76"/>
      <c r="AF601" s="595" t="s">
        <v>9732</v>
      </c>
      <c r="AG601" s="97"/>
      <c r="AH601" s="76" t="s">
        <v>9733</v>
      </c>
      <c r="AI601" s="67"/>
      <c r="AJ601" s="67"/>
      <c r="AK601" s="748"/>
      <c r="AL601" s="748"/>
      <c r="AM601" s="748"/>
      <c r="AN601" s="748"/>
      <c r="AO601" s="748"/>
      <c r="AP601" s="748"/>
      <c r="AQ601" s="67"/>
      <c r="AR601" s="67"/>
      <c r="AS601" s="67"/>
      <c r="AT601" s="67"/>
    </row>
    <row r="602">
      <c r="A602" s="76">
        <v>425.0</v>
      </c>
      <c r="B602" s="529" t="s">
        <v>1709</v>
      </c>
      <c r="C602" s="86" t="s">
        <v>1517</v>
      </c>
      <c r="D602" s="86" t="s">
        <v>1494</v>
      </c>
      <c r="E602" s="749" t="s">
        <v>536</v>
      </c>
      <c r="F602" s="747" t="s">
        <v>2458</v>
      </c>
      <c r="G602" s="97" t="s">
        <v>60</v>
      </c>
      <c r="H602" s="87" t="s">
        <v>1221</v>
      </c>
      <c r="I602" s="86" t="s">
        <v>1443</v>
      </c>
      <c r="J602" s="76" t="s">
        <v>114</v>
      </c>
      <c r="K602" s="85" t="s">
        <v>9737</v>
      </c>
      <c r="L602" s="85"/>
      <c r="M602" s="85" t="s">
        <v>60</v>
      </c>
      <c r="N602" s="287" t="s">
        <v>9738</v>
      </c>
      <c r="O602" s="34" t="s">
        <v>652</v>
      </c>
      <c r="P602" s="330">
        <v>34668.0</v>
      </c>
      <c r="Q602" s="315">
        <f t="shared" si="60"/>
        <v>34668</v>
      </c>
      <c r="R602" s="86">
        <f t="shared" si="59"/>
        <v>31</v>
      </c>
      <c r="S602" s="315">
        <v>3.466713533E9</v>
      </c>
      <c r="T602" s="315"/>
      <c r="U602" s="76" t="s">
        <v>136</v>
      </c>
      <c r="V602" s="76"/>
      <c r="W602" s="76"/>
      <c r="X602" s="76"/>
      <c r="Y602" s="97" t="s">
        <v>1174</v>
      </c>
      <c r="Z602" s="278" t="s">
        <v>2090</v>
      </c>
      <c r="AA602" s="76"/>
      <c r="AB602" s="76" t="s">
        <v>226</v>
      </c>
      <c r="AC602" s="99"/>
      <c r="AD602" s="99"/>
      <c r="AE602" s="76"/>
      <c r="AF602" s="99"/>
      <c r="AG602" s="76" t="s">
        <v>9743</v>
      </c>
      <c r="AH602" s="153">
        <v>46127.0</v>
      </c>
      <c r="AI602" s="67"/>
      <c r="AJ602" s="67"/>
      <c r="AK602" s="748"/>
      <c r="AL602" s="748"/>
      <c r="AM602" s="748"/>
      <c r="AN602" s="748"/>
      <c r="AO602" s="748"/>
      <c r="AP602" s="748"/>
      <c r="AQ602" s="67"/>
      <c r="AR602" s="67"/>
      <c r="AS602" s="67"/>
      <c r="AT602" s="67"/>
    </row>
    <row r="603">
      <c r="A603" s="76">
        <v>425.0</v>
      </c>
      <c r="B603" s="529" t="s">
        <v>1728</v>
      </c>
      <c r="C603" s="86" t="s">
        <v>1729</v>
      </c>
      <c r="D603" s="86" t="s">
        <v>121</v>
      </c>
      <c r="E603" s="746" t="s">
        <v>213</v>
      </c>
      <c r="F603" s="747" t="s">
        <v>9744</v>
      </c>
      <c r="G603" s="97" t="s">
        <v>60</v>
      </c>
      <c r="H603" s="87" t="s">
        <v>1221</v>
      </c>
      <c r="I603" s="86" t="s">
        <v>1443</v>
      </c>
      <c r="J603" s="76" t="s">
        <v>114</v>
      </c>
      <c r="K603" s="124" t="s">
        <v>9745</v>
      </c>
      <c r="L603" s="76"/>
      <c r="M603" s="85" t="s">
        <v>60</v>
      </c>
      <c r="N603" s="287" t="s">
        <v>9746</v>
      </c>
      <c r="O603" s="76" t="s">
        <v>9747</v>
      </c>
      <c r="P603" s="712">
        <v>34110.0</v>
      </c>
      <c r="Q603" s="315">
        <f t="shared" si="60"/>
        <v>34110</v>
      </c>
      <c r="R603" s="86">
        <f t="shared" si="59"/>
        <v>33</v>
      </c>
      <c r="S603" s="315">
        <v>3.410916853E9</v>
      </c>
      <c r="T603" s="315" t="s">
        <v>378</v>
      </c>
      <c r="U603" s="76" t="s">
        <v>136</v>
      </c>
      <c r="V603" s="76"/>
      <c r="W603" s="76"/>
      <c r="X603" s="97"/>
      <c r="Y603" s="97" t="s">
        <v>183</v>
      </c>
      <c r="Z603" s="728" t="s">
        <v>2482</v>
      </c>
      <c r="AA603" s="97"/>
      <c r="AB603" s="97"/>
      <c r="AC603" s="160" t="s">
        <v>630</v>
      </c>
      <c r="AD603" s="99"/>
      <c r="AE603" s="76"/>
      <c r="AF603" s="160" t="s">
        <v>630</v>
      </c>
      <c r="AG603" s="76"/>
      <c r="AH603" s="76" t="s">
        <v>9752</v>
      </c>
      <c r="AI603" s="67"/>
      <c r="AJ603" s="67"/>
      <c r="AK603" s="748"/>
      <c r="AL603" s="748"/>
      <c r="AM603" s="748"/>
      <c r="AN603" s="748"/>
      <c r="AO603" s="748"/>
      <c r="AP603" s="748"/>
      <c r="AQ603" s="67"/>
      <c r="AR603" s="67"/>
      <c r="AS603" s="67"/>
      <c r="AT603" s="67"/>
    </row>
    <row r="604">
      <c r="A604" s="76">
        <v>425.0</v>
      </c>
      <c r="B604" s="529" t="s">
        <v>3307</v>
      </c>
      <c r="C604" s="86" t="s">
        <v>3308</v>
      </c>
      <c r="D604" s="86" t="s">
        <v>121</v>
      </c>
      <c r="E604" s="746" t="s">
        <v>212</v>
      </c>
      <c r="F604" s="747" t="s">
        <v>2203</v>
      </c>
      <c r="G604" s="97" t="s">
        <v>326</v>
      </c>
      <c r="H604" s="87" t="s">
        <v>1221</v>
      </c>
      <c r="I604" s="86" t="s">
        <v>1443</v>
      </c>
      <c r="J604" s="97" t="s">
        <v>114</v>
      </c>
      <c r="K604" s="124" t="s">
        <v>9754</v>
      </c>
      <c r="L604" s="76"/>
      <c r="M604" s="76" t="s">
        <v>60</v>
      </c>
      <c r="N604" s="76" t="s">
        <v>9755</v>
      </c>
      <c r="O604" s="303" t="s">
        <v>9756</v>
      </c>
      <c r="P604" s="712">
        <v>30034.0</v>
      </c>
      <c r="Q604" s="315">
        <f t="shared" si="60"/>
        <v>30034</v>
      </c>
      <c r="R604" s="86">
        <f t="shared" si="59"/>
        <v>44</v>
      </c>
      <c r="S604" s="315">
        <v>3.003320817E9</v>
      </c>
      <c r="T604" s="315" t="s">
        <v>1317</v>
      </c>
      <c r="U604" s="76" t="s">
        <v>344</v>
      </c>
      <c r="V604" s="76"/>
      <c r="W604" s="76"/>
      <c r="X604" s="97"/>
      <c r="Y604" s="97" t="s">
        <v>1174</v>
      </c>
      <c r="Z604" s="728" t="s">
        <v>2482</v>
      </c>
      <c r="AA604" s="97"/>
      <c r="AB604" s="97"/>
      <c r="AC604" s="97"/>
      <c r="AD604" s="99"/>
      <c r="AE604" s="76"/>
      <c r="AF604" s="76"/>
      <c r="AG604" s="76" t="s">
        <v>9761</v>
      </c>
      <c r="AH604" s="76"/>
      <c r="AI604" s="67"/>
      <c r="AJ604" s="67"/>
      <c r="AK604" s="67"/>
      <c r="AL604" s="67"/>
      <c r="AM604" s="67"/>
      <c r="AN604" s="67"/>
      <c r="AO604" s="67"/>
      <c r="AP604" s="67"/>
      <c r="AQ604" s="67"/>
      <c r="AR604" s="67"/>
      <c r="AS604" s="67"/>
      <c r="AT604" s="67"/>
    </row>
    <row r="605">
      <c r="A605" s="76">
        <v>155.0</v>
      </c>
      <c r="B605" s="529" t="s">
        <v>3875</v>
      </c>
      <c r="C605" s="86" t="s">
        <v>121</v>
      </c>
      <c r="D605" s="86" t="s">
        <v>121</v>
      </c>
      <c r="E605" s="746" t="s">
        <v>178</v>
      </c>
      <c r="F605" s="747" t="s">
        <v>9763</v>
      </c>
      <c r="G605" s="97" t="s">
        <v>102</v>
      </c>
      <c r="H605" s="817" t="s">
        <v>3336</v>
      </c>
      <c r="I605" s="86" t="s">
        <v>1443</v>
      </c>
      <c r="J605" s="87" t="s">
        <v>114</v>
      </c>
      <c r="K605" s="87"/>
      <c r="L605" s="85"/>
      <c r="M605" s="85" t="s">
        <v>102</v>
      </c>
      <c r="N605" s="978" t="s">
        <v>9766</v>
      </c>
      <c r="O605" s="87" t="s">
        <v>9767</v>
      </c>
      <c r="P605" s="750">
        <v>28940.0</v>
      </c>
      <c r="Q605" s="315">
        <f t="shared" si="60"/>
        <v>28940</v>
      </c>
      <c r="R605" s="86">
        <f t="shared" si="59"/>
        <v>47</v>
      </c>
      <c r="S605" s="315">
        <v>2.893908335E9</v>
      </c>
      <c r="T605" s="315" t="s">
        <v>378</v>
      </c>
      <c r="U605" s="124" t="s">
        <v>136</v>
      </c>
      <c r="V605" s="86"/>
      <c r="W605" s="86"/>
      <c r="X605" s="97"/>
      <c r="Y605" s="97"/>
      <c r="Z605" s="97"/>
      <c r="AA605" s="97"/>
      <c r="AB605" s="97"/>
      <c r="AC605" s="160" t="s">
        <v>630</v>
      </c>
      <c r="AD605" s="99"/>
      <c r="AE605" s="76"/>
      <c r="AF605" s="160" t="s">
        <v>630</v>
      </c>
      <c r="AG605" s="112"/>
      <c r="AH605" s="153">
        <v>46116.0</v>
      </c>
      <c r="AI605" s="67"/>
      <c r="AJ605" s="67"/>
      <c r="AK605" s="67"/>
      <c r="AL605" s="67"/>
      <c r="AM605" s="67"/>
      <c r="AN605" s="67"/>
      <c r="AO605" s="67"/>
      <c r="AP605" s="67"/>
      <c r="AQ605" s="67"/>
      <c r="AR605" s="67"/>
      <c r="AS605" s="67"/>
      <c r="AT605" s="67"/>
    </row>
    <row r="606">
      <c r="A606" s="76">
        <v>425.0</v>
      </c>
      <c r="B606" s="529" t="s">
        <v>1709</v>
      </c>
      <c r="C606" s="86" t="s">
        <v>1611</v>
      </c>
      <c r="D606" s="86" t="s">
        <v>1519</v>
      </c>
      <c r="E606" s="746" t="s">
        <v>213</v>
      </c>
      <c r="F606" s="747" t="s">
        <v>1523</v>
      </c>
      <c r="G606" s="97" t="s">
        <v>60</v>
      </c>
      <c r="H606" s="87" t="s">
        <v>1221</v>
      </c>
      <c r="I606" s="86" t="s">
        <v>1443</v>
      </c>
      <c r="J606" s="85" t="s">
        <v>114</v>
      </c>
      <c r="K606" s="85"/>
      <c r="L606" s="85"/>
      <c r="M606" s="85" t="s">
        <v>60</v>
      </c>
      <c r="N606" s="287" t="s">
        <v>9772</v>
      </c>
      <c r="O606" s="76" t="s">
        <v>9773</v>
      </c>
      <c r="P606" s="86"/>
      <c r="Q606" s="315"/>
      <c r="R606" s="86"/>
      <c r="S606" s="315"/>
      <c r="T606" s="315"/>
      <c r="U606" s="76" t="s">
        <v>136</v>
      </c>
      <c r="V606" s="76"/>
      <c r="W606" s="76"/>
      <c r="X606" s="76" t="s">
        <v>186</v>
      </c>
      <c r="Y606" s="211" t="s">
        <v>2090</v>
      </c>
      <c r="Z606" s="501" t="s">
        <v>418</v>
      </c>
      <c r="AA606" s="168"/>
      <c r="AB606" s="97"/>
      <c r="AC606" s="168"/>
      <c r="AD606" s="168"/>
      <c r="AE606" s="76"/>
      <c r="AF606" s="76"/>
      <c r="AG606" s="76"/>
      <c r="AH606" s="76" t="s">
        <v>9775</v>
      </c>
      <c r="AI606" s="67"/>
      <c r="AJ606" s="67"/>
      <c r="AK606" s="748"/>
      <c r="AL606" s="748"/>
      <c r="AM606" s="748"/>
      <c r="AN606" s="748"/>
      <c r="AO606" s="748"/>
      <c r="AP606" s="748"/>
      <c r="AQ606" s="67"/>
      <c r="AR606" s="203"/>
      <c r="AS606" s="203"/>
      <c r="AT606" s="203"/>
    </row>
    <row r="607">
      <c r="A607" s="76">
        <v>425.0</v>
      </c>
      <c r="B607" s="529" t="s">
        <v>1709</v>
      </c>
      <c r="C607" s="87" t="s">
        <v>1269</v>
      </c>
      <c r="D607" s="549" t="s">
        <v>1368</v>
      </c>
      <c r="E607" s="979" t="s">
        <v>2</v>
      </c>
      <c r="F607" s="747" t="s">
        <v>1435</v>
      </c>
      <c r="G607" s="97" t="s">
        <v>326</v>
      </c>
      <c r="H607" s="87" t="s">
        <v>1221</v>
      </c>
      <c r="I607" s="86" t="s">
        <v>1443</v>
      </c>
      <c r="J607" s="85" t="s">
        <v>114</v>
      </c>
      <c r="K607" s="85"/>
      <c r="L607" s="85"/>
      <c r="M607" s="85" t="s">
        <v>60</v>
      </c>
      <c r="N607" s="287" t="s">
        <v>9778</v>
      </c>
      <c r="O607" s="76" t="s">
        <v>9779</v>
      </c>
      <c r="P607" s="153">
        <v>30538.0</v>
      </c>
      <c r="Q607" s="315">
        <f t="shared" ref="Q607:Q610" si="61">VALUE(LEFT(TEXT(S607,0),5))+1</f>
        <v>1</v>
      </c>
      <c r="R607" s="97">
        <f t="shared" ref="R607:R610" si="62">DATEDIF($P607,TODAY(),"Y")</f>
        <v>43</v>
      </c>
      <c r="S607" s="315"/>
      <c r="T607" s="315"/>
      <c r="U607" s="76" t="s">
        <v>136</v>
      </c>
      <c r="V607" s="76"/>
      <c r="W607" s="76"/>
      <c r="X607" s="76"/>
      <c r="Y607" s="97" t="s">
        <v>183</v>
      </c>
      <c r="Z607" s="278" t="s">
        <v>2090</v>
      </c>
      <c r="AA607" s="76"/>
      <c r="AB607" s="76"/>
      <c r="AC607" s="168"/>
      <c r="AD607" s="168"/>
      <c r="AE607" s="76"/>
      <c r="AF607" s="76"/>
      <c r="AG607" s="76" t="s">
        <v>9787</v>
      </c>
      <c r="AH607" s="153">
        <v>46125.0</v>
      </c>
      <c r="AI607" s="67"/>
      <c r="AJ607" s="67"/>
      <c r="AK607" s="748"/>
      <c r="AL607" s="748"/>
      <c r="AM607" s="748"/>
      <c r="AN607" s="748"/>
      <c r="AO607" s="748"/>
      <c r="AP607" s="748"/>
      <c r="AQ607" s="67"/>
      <c r="AR607" s="203"/>
      <c r="AS607" s="203"/>
      <c r="AT607" s="203"/>
    </row>
    <row r="608">
      <c r="A608" s="76" t="s">
        <v>116</v>
      </c>
      <c r="B608" s="757" t="s">
        <v>1039</v>
      </c>
      <c r="C608" s="757" t="s">
        <v>1269</v>
      </c>
      <c r="D608" s="757" t="s">
        <v>1368</v>
      </c>
      <c r="E608" s="758" t="s">
        <v>302</v>
      </c>
      <c r="F608" s="759" t="s">
        <v>1404</v>
      </c>
      <c r="G608" s="760" t="s">
        <v>304</v>
      </c>
      <c r="H608" s="760" t="s">
        <v>326</v>
      </c>
      <c r="I608" s="87" t="s">
        <v>1221</v>
      </c>
      <c r="J608" s="85" t="s">
        <v>114</v>
      </c>
      <c r="K608" s="85"/>
      <c r="L608" s="85"/>
      <c r="M608" s="85" t="s">
        <v>60</v>
      </c>
      <c r="N608" s="76" t="s">
        <v>9393</v>
      </c>
      <c r="O608" s="76" t="s">
        <v>9394</v>
      </c>
      <c r="P608" s="153">
        <v>30892.0</v>
      </c>
      <c r="Q608" s="315">
        <f t="shared" si="61"/>
        <v>1</v>
      </c>
      <c r="R608" s="97">
        <f t="shared" si="62"/>
        <v>42</v>
      </c>
      <c r="S608" s="315"/>
      <c r="T608" s="315"/>
      <c r="U608" s="76" t="s">
        <v>379</v>
      </c>
      <c r="V608" s="76"/>
      <c r="W608" s="76"/>
      <c r="X608" s="76"/>
      <c r="Y608" s="97" t="s">
        <v>183</v>
      </c>
      <c r="Z608" s="278" t="s">
        <v>2090</v>
      </c>
      <c r="AA608" s="76" t="s">
        <v>1178</v>
      </c>
      <c r="AB608" s="76"/>
      <c r="AC608" s="76" t="s">
        <v>4264</v>
      </c>
      <c r="AD608" s="99"/>
      <c r="AE608" s="76" t="s">
        <v>861</v>
      </c>
      <c r="AF608" s="76"/>
      <c r="AG608" s="76" t="s">
        <v>7112</v>
      </c>
      <c r="AH608" s="153">
        <v>46130.0</v>
      </c>
      <c r="AI608" s="67"/>
      <c r="AJ608" s="67"/>
      <c r="AK608" s="980" t="s">
        <v>1426</v>
      </c>
      <c r="AL608" s="748"/>
      <c r="AM608" s="810"/>
      <c r="AN608" s="810"/>
      <c r="AO608" s="748"/>
      <c r="AP608" s="748"/>
      <c r="AQ608" s="67"/>
      <c r="AR608" s="67"/>
      <c r="AS608" s="67"/>
      <c r="AT608" s="67"/>
    </row>
    <row r="609">
      <c r="A609" s="76" t="s">
        <v>116</v>
      </c>
      <c r="B609" s="757" t="s">
        <v>3722</v>
      </c>
      <c r="C609" s="757" t="s">
        <v>7267</v>
      </c>
      <c r="D609" s="757" t="s">
        <v>7134</v>
      </c>
      <c r="E609" s="758" t="s">
        <v>786</v>
      </c>
      <c r="F609" s="759" t="s">
        <v>1216</v>
      </c>
      <c r="G609" s="760" t="s">
        <v>1486</v>
      </c>
      <c r="H609" s="760" t="s">
        <v>60</v>
      </c>
      <c r="I609" s="87" t="s">
        <v>1221</v>
      </c>
      <c r="J609" s="76" t="s">
        <v>114</v>
      </c>
      <c r="K609" s="176" t="s">
        <v>9797</v>
      </c>
      <c r="L609" s="85"/>
      <c r="M609" s="85" t="s">
        <v>60</v>
      </c>
      <c r="N609" s="97" t="s">
        <v>9545</v>
      </c>
      <c r="O609" s="756" t="s">
        <v>6217</v>
      </c>
      <c r="P609" s="262">
        <v>29833.0</v>
      </c>
      <c r="Q609" s="315">
        <f t="shared" si="61"/>
        <v>29833</v>
      </c>
      <c r="R609" s="97">
        <f t="shared" si="62"/>
        <v>44</v>
      </c>
      <c r="S609" s="76">
        <v>2.983221791E9</v>
      </c>
      <c r="T609" s="315"/>
      <c r="U609" s="76" t="s">
        <v>379</v>
      </c>
      <c r="V609" s="76"/>
      <c r="W609" s="97"/>
      <c r="X609" s="76"/>
      <c r="Y609" s="97"/>
      <c r="Z609" s="278" t="s">
        <v>1613</v>
      </c>
      <c r="AA609" s="76"/>
      <c r="AB609" s="97"/>
      <c r="AC609" s="76" t="s">
        <v>632</v>
      </c>
      <c r="AD609" s="99"/>
      <c r="AE609" s="76"/>
      <c r="AF609" s="76"/>
      <c r="AG609" s="76"/>
      <c r="AH609" s="76" t="s">
        <v>9799</v>
      </c>
      <c r="AI609" s="67"/>
      <c r="AJ609" s="67"/>
      <c r="AK609" s="748"/>
      <c r="AL609" s="748"/>
      <c r="AM609" s="810"/>
      <c r="AN609" s="810"/>
      <c r="AO609" s="748"/>
      <c r="AP609" s="748"/>
      <c r="AQ609" s="67"/>
      <c r="AR609" s="67"/>
      <c r="AS609" s="67"/>
      <c r="AT609" s="67"/>
    </row>
    <row r="610">
      <c r="A610" s="76" t="s">
        <v>116</v>
      </c>
      <c r="B610" s="981" t="s">
        <v>3014</v>
      </c>
      <c r="C610" s="757" t="s">
        <v>121</v>
      </c>
      <c r="D610" s="757" t="s">
        <v>121</v>
      </c>
      <c r="E610" s="758" t="s">
        <v>1466</v>
      </c>
      <c r="F610" s="759" t="s">
        <v>3949</v>
      </c>
      <c r="G610" s="760" t="s">
        <v>1721</v>
      </c>
      <c r="H610" s="760" t="s">
        <v>326</v>
      </c>
      <c r="I610" s="87" t="s">
        <v>1221</v>
      </c>
      <c r="J610" s="76" t="s">
        <v>114</v>
      </c>
      <c r="K610" s="87"/>
      <c r="L610" s="85"/>
      <c r="M610" s="85" t="s">
        <v>60</v>
      </c>
      <c r="N610" s="97" t="s">
        <v>9802</v>
      </c>
      <c r="O610" s="756" t="s">
        <v>9803</v>
      </c>
      <c r="P610" s="262">
        <v>29933.0</v>
      </c>
      <c r="Q610" s="315">
        <f t="shared" si="61"/>
        <v>1</v>
      </c>
      <c r="R610" s="97">
        <f t="shared" si="62"/>
        <v>44</v>
      </c>
      <c r="S610" s="315"/>
      <c r="T610" s="76" t="s">
        <v>1317</v>
      </c>
      <c r="U610" s="76" t="s">
        <v>379</v>
      </c>
      <c r="V610" s="76"/>
      <c r="W610" s="76"/>
      <c r="X610" s="76"/>
      <c r="Y610" s="97"/>
      <c r="Z610" s="278" t="s">
        <v>1613</v>
      </c>
      <c r="AA610" s="76"/>
      <c r="AB610" s="97"/>
      <c r="AC610" s="76" t="s">
        <v>4264</v>
      </c>
      <c r="AD610" s="99"/>
      <c r="AE610" s="76" t="s">
        <v>861</v>
      </c>
      <c r="AF610" s="76"/>
      <c r="AG610" s="76"/>
      <c r="AH610" s="153">
        <v>46130.0</v>
      </c>
      <c r="AI610" s="67"/>
      <c r="AJ610" s="67"/>
      <c r="AK610" s="748"/>
      <c r="AL610" s="748"/>
      <c r="AM610" s="810"/>
      <c r="AN610" s="810"/>
      <c r="AO610" s="748"/>
      <c r="AP610" s="748"/>
      <c r="AQ610" s="67"/>
      <c r="AR610" s="67"/>
      <c r="AS610" s="67"/>
      <c r="AT610" s="67"/>
    </row>
    <row r="611">
      <c r="A611" s="76" t="s">
        <v>116</v>
      </c>
      <c r="B611" s="757" t="s">
        <v>1728</v>
      </c>
      <c r="C611" s="757" t="s">
        <v>121</v>
      </c>
      <c r="D611" s="757" t="s">
        <v>121</v>
      </c>
      <c r="E611" s="758" t="s">
        <v>213</v>
      </c>
      <c r="F611" s="759" t="s">
        <v>1523</v>
      </c>
      <c r="G611" s="760" t="s">
        <v>1826</v>
      </c>
      <c r="H611" s="760" t="s">
        <v>60</v>
      </c>
      <c r="I611" s="87" t="s">
        <v>1221</v>
      </c>
      <c r="J611" s="85" t="s">
        <v>114</v>
      </c>
      <c r="K611" s="124" t="s">
        <v>9807</v>
      </c>
      <c r="L611" s="964"/>
      <c r="M611" s="85" t="s">
        <v>60</v>
      </c>
      <c r="N611" s="306" t="s">
        <v>9808</v>
      </c>
      <c r="O611" s="76" t="s">
        <v>9809</v>
      </c>
      <c r="P611" s="153">
        <v>29958.0</v>
      </c>
      <c r="Q611" s="315"/>
      <c r="R611" s="86"/>
      <c r="S611" s="76"/>
      <c r="T611" s="315"/>
      <c r="U611" s="76" t="s">
        <v>379</v>
      </c>
      <c r="V611" s="76"/>
      <c r="W611" s="76"/>
      <c r="X611" s="76" t="s">
        <v>186</v>
      </c>
      <c r="Y611" s="97"/>
      <c r="Z611" s="85" t="s">
        <v>1815</v>
      </c>
      <c r="AA611" s="97"/>
      <c r="AB611" s="97"/>
      <c r="AC611" s="76" t="s">
        <v>4264</v>
      </c>
      <c r="AD611" s="76"/>
      <c r="AE611" s="76" t="s">
        <v>861</v>
      </c>
      <c r="AF611" s="76"/>
      <c r="AG611" s="76"/>
      <c r="AH611" s="153">
        <v>46130.0</v>
      </c>
      <c r="AI611" s="67"/>
      <c r="AJ611" s="67"/>
      <c r="AK611" s="748"/>
      <c r="AL611" s="748"/>
      <c r="AM611" s="810"/>
      <c r="AN611" s="810"/>
      <c r="AO611" s="748"/>
      <c r="AP611" s="748"/>
      <c r="AQ611" s="67"/>
      <c r="AR611" s="67"/>
      <c r="AS611" s="67"/>
      <c r="AT611" s="67"/>
    </row>
    <row r="612">
      <c r="A612" s="76" t="s">
        <v>116</v>
      </c>
      <c r="B612" s="757" t="s">
        <v>3898</v>
      </c>
      <c r="C612" s="757" t="s">
        <v>7243</v>
      </c>
      <c r="D612" s="757" t="s">
        <v>121</v>
      </c>
      <c r="E612" s="758" t="s">
        <v>1536</v>
      </c>
      <c r="F612" s="759" t="s">
        <v>3915</v>
      </c>
      <c r="G612" s="760" t="s">
        <v>9510</v>
      </c>
      <c r="H612" s="760" t="s">
        <v>60</v>
      </c>
      <c r="I612" s="87" t="s">
        <v>1221</v>
      </c>
      <c r="J612" s="97" t="s">
        <v>114</v>
      </c>
      <c r="K612" s="85"/>
      <c r="L612" s="85"/>
      <c r="M612" s="85" t="s">
        <v>60</v>
      </c>
      <c r="N612" s="306" t="s">
        <v>9816</v>
      </c>
      <c r="O612" s="76" t="s">
        <v>9817</v>
      </c>
      <c r="P612" s="153">
        <v>28746.0</v>
      </c>
      <c r="Q612" s="315">
        <f t="shared" ref="Q612:Q613" si="63">VALUE(LEFT(TEXT(S612,0),5))+1</f>
        <v>28746</v>
      </c>
      <c r="R612" s="86">
        <f t="shared" ref="R612:R613" si="64">DATEDIF($P612,TODAY(),"Y")</f>
        <v>47</v>
      </c>
      <c r="S612" s="76">
        <v>2.874521157E9</v>
      </c>
      <c r="T612" s="315" t="s">
        <v>1426</v>
      </c>
      <c r="U612" s="76" t="s">
        <v>379</v>
      </c>
      <c r="V612" s="76"/>
      <c r="W612" s="76"/>
      <c r="X612" s="76" t="s">
        <v>186</v>
      </c>
      <c r="Y612" s="97"/>
      <c r="Z612" s="85" t="s">
        <v>1173</v>
      </c>
      <c r="AA612" s="97"/>
      <c r="AB612" s="97"/>
      <c r="AC612" s="76" t="s">
        <v>4264</v>
      </c>
      <c r="AD612" s="76"/>
      <c r="AE612" s="76" t="s">
        <v>861</v>
      </c>
      <c r="AF612" s="76"/>
      <c r="AG612" s="189"/>
      <c r="AH612" s="153">
        <v>46130.0</v>
      </c>
      <c r="AI612" s="67"/>
      <c r="AJ612" s="67"/>
      <c r="AK612" s="748"/>
      <c r="AL612" s="748"/>
      <c r="AM612" s="810"/>
      <c r="AN612" s="810"/>
      <c r="AO612" s="748"/>
      <c r="AP612" s="748"/>
      <c r="AQ612" s="67"/>
      <c r="AR612" s="67"/>
      <c r="AS612" s="67"/>
      <c r="AT612" s="67"/>
    </row>
    <row r="613">
      <c r="A613" s="86"/>
      <c r="B613" s="302" t="s">
        <v>4145</v>
      </c>
      <c r="C613" s="86"/>
      <c r="D613" s="86"/>
      <c r="E613" s="764"/>
      <c r="F613" s="86"/>
      <c r="G613" s="86"/>
      <c r="H613" s="86"/>
      <c r="I613" s="86"/>
      <c r="J613" s="85" t="s">
        <v>114</v>
      </c>
      <c r="K613" s="85"/>
      <c r="L613" s="85"/>
      <c r="M613" s="85" t="s">
        <v>60</v>
      </c>
      <c r="N613" s="76" t="s">
        <v>9827</v>
      </c>
      <c r="O613" s="76" t="s">
        <v>9828</v>
      </c>
      <c r="P613" s="153">
        <v>36556.0</v>
      </c>
      <c r="Q613" s="315">
        <f t="shared" si="63"/>
        <v>36556</v>
      </c>
      <c r="R613" s="86">
        <f t="shared" si="64"/>
        <v>26</v>
      </c>
      <c r="S613" s="76">
        <v>3.655504785E9</v>
      </c>
      <c r="T613" s="315"/>
      <c r="U613" s="76" t="s">
        <v>379</v>
      </c>
      <c r="V613" s="76"/>
      <c r="W613" s="76"/>
      <c r="X613" s="76"/>
      <c r="Y613" s="97" t="s">
        <v>183</v>
      </c>
      <c r="Z613" s="278" t="s">
        <v>2090</v>
      </c>
      <c r="AA613" s="76" t="s">
        <v>1178</v>
      </c>
      <c r="AB613" s="97"/>
      <c r="AC613" s="76" t="s">
        <v>9626</v>
      </c>
      <c r="AD613" s="99"/>
      <c r="AE613" s="76"/>
      <c r="AF613" s="76"/>
      <c r="AG613" s="76"/>
      <c r="AH613" s="153">
        <v>46100.0</v>
      </c>
      <c r="AI613" s="67"/>
      <c r="AJ613" s="67"/>
      <c r="AK613" s="67"/>
      <c r="AL613" s="67"/>
      <c r="AM613" s="67"/>
      <c r="AN613" s="67"/>
      <c r="AO613" s="67"/>
      <c r="AP613" s="67"/>
      <c r="AQ613" s="67"/>
      <c r="AR613" s="67"/>
      <c r="AS613" s="67"/>
      <c r="AT613" s="67"/>
    </row>
    <row r="614">
      <c r="A614" s="86"/>
      <c r="B614" s="302" t="s">
        <v>4145</v>
      </c>
      <c r="C614" s="302" t="s">
        <v>7477</v>
      </c>
      <c r="D614" s="76"/>
      <c r="E614" s="524" t="s">
        <v>9264</v>
      </c>
      <c r="F614" s="762"/>
      <c r="G614" s="762"/>
      <c r="H614" s="762"/>
      <c r="I614" s="762"/>
      <c r="J614" s="762"/>
      <c r="K614" s="762"/>
      <c r="L614" s="762"/>
      <c r="M614" s="85" t="s">
        <v>102</v>
      </c>
      <c r="N614" s="85" t="s">
        <v>9265</v>
      </c>
      <c r="O614" s="76" t="s">
        <v>2248</v>
      </c>
      <c r="P614" s="86"/>
      <c r="Q614" s="97"/>
      <c r="R614" s="97"/>
      <c r="S614" s="315"/>
      <c r="T614" s="315"/>
      <c r="U614" s="124" t="s">
        <v>379</v>
      </c>
      <c r="V614" s="76" t="s">
        <v>350</v>
      </c>
      <c r="W614" s="76" t="s">
        <v>227</v>
      </c>
      <c r="X614" s="97"/>
      <c r="Y614" s="97"/>
      <c r="Z614" s="97"/>
      <c r="AA614" s="97"/>
      <c r="AB614" s="97"/>
      <c r="AC614" s="97"/>
      <c r="AD614" s="99"/>
      <c r="AE614" s="76" t="s">
        <v>259</v>
      </c>
      <c r="AF614" s="76" t="s">
        <v>7497</v>
      </c>
      <c r="AG614" s="315"/>
      <c r="AH614" s="97"/>
      <c r="AI614" s="763"/>
      <c r="AJ614" s="763"/>
      <c r="AK614" s="763"/>
      <c r="AL614" s="763"/>
      <c r="AM614" s="763"/>
      <c r="AN614" s="763"/>
      <c r="AO614" s="763"/>
      <c r="AP614" s="763"/>
      <c r="AQ614" s="763"/>
      <c r="AR614" s="763"/>
      <c r="AS614" s="763"/>
      <c r="AT614" s="763"/>
    </row>
    <row r="615">
      <c r="A615" s="86"/>
      <c r="B615" s="302" t="s">
        <v>4145</v>
      </c>
      <c r="C615" s="341" t="s">
        <v>3127</v>
      </c>
      <c r="D615" s="86"/>
      <c r="E615" s="762"/>
      <c r="F615" s="86"/>
      <c r="G615" s="86"/>
      <c r="H615" s="86"/>
      <c r="I615" s="86"/>
      <c r="J615" s="85" t="s">
        <v>114</v>
      </c>
      <c r="K615" s="85"/>
      <c r="L615" s="109"/>
      <c r="M615" s="109" t="s">
        <v>60</v>
      </c>
      <c r="N615" s="85" t="s">
        <v>8981</v>
      </c>
      <c r="O615" s="76" t="s">
        <v>9839</v>
      </c>
      <c r="P615" s="86"/>
      <c r="Q615" s="97"/>
      <c r="R615" s="97">
        <f t="shared" ref="R615:R632" si="65">DATEDIF($P615,TODAY(),"Y")</f>
        <v>126</v>
      </c>
      <c r="S615" s="315"/>
      <c r="T615" s="315"/>
      <c r="U615" s="124" t="s">
        <v>379</v>
      </c>
      <c r="V615" s="76" t="s">
        <v>350</v>
      </c>
      <c r="W615" s="76" t="s">
        <v>227</v>
      </c>
      <c r="X615" s="97"/>
      <c r="Y615" s="97"/>
      <c r="Z615" s="97"/>
      <c r="AA615" s="97"/>
      <c r="AB615" s="97"/>
      <c r="AC615" s="97"/>
      <c r="AD615" s="99"/>
      <c r="AE615" s="76" t="s">
        <v>259</v>
      </c>
      <c r="AF615" s="85"/>
      <c r="AG615" s="315"/>
      <c r="AH615" s="97"/>
      <c r="AI615" s="763"/>
      <c r="AJ615" s="763"/>
      <c r="AK615" s="763"/>
      <c r="AL615" s="763"/>
      <c r="AM615" s="763"/>
      <c r="AN615" s="763"/>
      <c r="AO615" s="763"/>
      <c r="AP615" s="763"/>
      <c r="AQ615" s="763"/>
      <c r="AR615" s="763"/>
      <c r="AS615" s="763"/>
      <c r="AT615" s="763"/>
    </row>
    <row r="616">
      <c r="A616" s="86"/>
      <c r="B616" s="302" t="s">
        <v>4145</v>
      </c>
      <c r="C616" s="302"/>
      <c r="D616" s="76"/>
      <c r="E616" s="524"/>
      <c r="F616" s="762"/>
      <c r="G616" s="762"/>
      <c r="H616" s="762"/>
      <c r="I616" s="762"/>
      <c r="J616" s="76" t="s">
        <v>114</v>
      </c>
      <c r="K616" s="76"/>
      <c r="L616" s="964"/>
      <c r="M616" s="85" t="s">
        <v>60</v>
      </c>
      <c r="N616" s="306" t="s">
        <v>8970</v>
      </c>
      <c r="O616" s="76" t="s">
        <v>9847</v>
      </c>
      <c r="P616" s="153">
        <v>36161.0</v>
      </c>
      <c r="Q616" s="315">
        <f t="shared" ref="Q616:Q632" si="66">VALUE(LEFT(TEXT(S616,0),5))+1</f>
        <v>1</v>
      </c>
      <c r="R616" s="86">
        <f t="shared" si="65"/>
        <v>27</v>
      </c>
      <c r="S616" s="76"/>
      <c r="T616" s="315"/>
      <c r="U616" s="76" t="s">
        <v>379</v>
      </c>
      <c r="V616" s="76" t="s">
        <v>350</v>
      </c>
      <c r="W616" s="76" t="s">
        <v>227</v>
      </c>
      <c r="X616" s="97"/>
      <c r="Y616" s="97"/>
      <c r="Z616" s="97"/>
      <c r="AA616" s="97"/>
      <c r="AB616" s="97"/>
      <c r="AC616" s="76"/>
      <c r="AD616" s="76"/>
      <c r="AE616" s="76" t="s">
        <v>259</v>
      </c>
      <c r="AF616" s="76"/>
      <c r="AG616" s="76" t="s">
        <v>6617</v>
      </c>
      <c r="AH616" s="112"/>
      <c r="AI616" s="763"/>
      <c r="AJ616" s="763"/>
      <c r="AK616" s="763"/>
      <c r="AL616" s="763"/>
      <c r="AM616" s="763"/>
      <c r="AN616" s="763"/>
      <c r="AO616" s="763"/>
      <c r="AP616" s="763"/>
      <c r="AQ616" s="763"/>
      <c r="AR616" s="763"/>
      <c r="AS616" s="763"/>
      <c r="AT616" s="763"/>
    </row>
    <row r="617">
      <c r="A617" s="76" t="s">
        <v>116</v>
      </c>
      <c r="B617" s="757" t="s">
        <v>432</v>
      </c>
      <c r="C617" s="757" t="s">
        <v>760</v>
      </c>
      <c r="D617" s="757" t="s">
        <v>121</v>
      </c>
      <c r="E617" s="758" t="s">
        <v>761</v>
      </c>
      <c r="F617" s="759" t="s">
        <v>762</v>
      </c>
      <c r="G617" s="760" t="s">
        <v>766</v>
      </c>
      <c r="H617" s="760" t="s">
        <v>143</v>
      </c>
      <c r="I617" s="82" t="s">
        <v>135</v>
      </c>
      <c r="J617" s="87" t="s">
        <v>114</v>
      </c>
      <c r="K617" s="118" t="s">
        <v>238</v>
      </c>
      <c r="L617" s="85"/>
      <c r="M617" s="698" t="s">
        <v>96</v>
      </c>
      <c r="N617" s="984" t="s">
        <v>3667</v>
      </c>
      <c r="O617" s="87" t="s">
        <v>9858</v>
      </c>
      <c r="P617" s="750">
        <v>36042.0</v>
      </c>
      <c r="Q617" s="315">
        <f t="shared" si="66"/>
        <v>36042</v>
      </c>
      <c r="R617" s="86">
        <f t="shared" si="65"/>
        <v>27</v>
      </c>
      <c r="S617" s="315">
        <v>3.60410675E9</v>
      </c>
      <c r="T617" s="315" t="s">
        <v>378</v>
      </c>
      <c r="U617" s="124" t="s">
        <v>393</v>
      </c>
      <c r="V617" s="86"/>
      <c r="W617" s="86"/>
      <c r="X617" s="97"/>
      <c r="Y617" s="86"/>
      <c r="Z617" s="86"/>
      <c r="AA617" s="86"/>
      <c r="AB617" s="97"/>
      <c r="AC617" s="86" t="s">
        <v>9862</v>
      </c>
      <c r="AD617" s="99"/>
      <c r="AE617" s="76" t="s">
        <v>154</v>
      </c>
      <c r="AF617" s="76" t="s">
        <v>155</v>
      </c>
      <c r="AG617" s="76" t="s">
        <v>9863</v>
      </c>
      <c r="AH617" s="85" t="s">
        <v>9864</v>
      </c>
      <c r="AI617" s="67"/>
      <c r="AJ617" s="67"/>
      <c r="AK617" s="748"/>
      <c r="AL617" s="748"/>
      <c r="AM617" s="810"/>
      <c r="AN617" s="97" t="s">
        <v>180</v>
      </c>
      <c r="AO617" s="748"/>
      <c r="AP617" s="748"/>
      <c r="AQ617" s="67"/>
      <c r="AR617" s="67"/>
      <c r="AS617" s="67"/>
      <c r="AT617" s="67"/>
    </row>
    <row r="618">
      <c r="A618" s="76" t="s">
        <v>116</v>
      </c>
      <c r="B618" s="757" t="s">
        <v>1039</v>
      </c>
      <c r="C618" s="757" t="s">
        <v>1611</v>
      </c>
      <c r="D618" s="757" t="s">
        <v>1494</v>
      </c>
      <c r="E618" s="758" t="s">
        <v>213</v>
      </c>
      <c r="F618" s="759" t="s">
        <v>1523</v>
      </c>
      <c r="G618" s="760" t="s">
        <v>2939</v>
      </c>
      <c r="H618" s="760" t="s">
        <v>60</v>
      </c>
      <c r="I618" s="87" t="s">
        <v>1221</v>
      </c>
      <c r="J618" s="85" t="s">
        <v>114</v>
      </c>
      <c r="K618" s="124" t="s">
        <v>9869</v>
      </c>
      <c r="L618" s="76"/>
      <c r="M618" s="85" t="s">
        <v>60</v>
      </c>
      <c r="N618" s="76" t="s">
        <v>9872</v>
      </c>
      <c r="O618" s="76" t="s">
        <v>9873</v>
      </c>
      <c r="P618" s="153">
        <v>31408.0</v>
      </c>
      <c r="Q618" s="315">
        <f t="shared" si="66"/>
        <v>31408</v>
      </c>
      <c r="R618" s="86">
        <f t="shared" si="65"/>
        <v>40</v>
      </c>
      <c r="S618" s="76">
        <v>3.140719356E9</v>
      </c>
      <c r="T618" s="86"/>
      <c r="U618" s="76" t="s">
        <v>379</v>
      </c>
      <c r="V618" s="76"/>
      <c r="W618" s="76"/>
      <c r="X618" s="97"/>
      <c r="Y618" s="167"/>
      <c r="Z618" s="176" t="s">
        <v>1460</v>
      </c>
      <c r="AA618" s="168"/>
      <c r="AB618" s="97"/>
      <c r="AC618" s="76" t="s">
        <v>9626</v>
      </c>
      <c r="AD618" s="168"/>
      <c r="AE618" s="76"/>
      <c r="AF618" s="76"/>
      <c r="AG618" s="76"/>
      <c r="AH618" s="76" t="s">
        <v>9876</v>
      </c>
      <c r="AI618" s="203"/>
      <c r="AJ618" s="203"/>
      <c r="AK618" s="203"/>
      <c r="AL618" s="203"/>
      <c r="AM618" s="203"/>
      <c r="AN618" s="203"/>
      <c r="AO618" s="203"/>
      <c r="AP618" s="203"/>
      <c r="AQ618" s="203"/>
      <c r="AR618" s="203"/>
      <c r="AS618" s="203"/>
      <c r="AT618" s="203"/>
    </row>
    <row r="619">
      <c r="A619" s="76" t="s">
        <v>116</v>
      </c>
      <c r="B619" s="757" t="s">
        <v>1645</v>
      </c>
      <c r="C619" s="757" t="s">
        <v>1517</v>
      </c>
      <c r="D619" s="757" t="s">
        <v>1519</v>
      </c>
      <c r="E619" s="758" t="s">
        <v>213</v>
      </c>
      <c r="F619" s="759" t="s">
        <v>1523</v>
      </c>
      <c r="G619" s="760" t="s">
        <v>957</v>
      </c>
      <c r="H619" s="760" t="s">
        <v>60</v>
      </c>
      <c r="I619" s="87" t="s">
        <v>1221</v>
      </c>
      <c r="J619" s="85" t="s">
        <v>114</v>
      </c>
      <c r="K619" s="176" t="s">
        <v>9879</v>
      </c>
      <c r="L619" s="76"/>
      <c r="M619" s="85" t="s">
        <v>60</v>
      </c>
      <c r="N619" s="614" t="s">
        <v>9881</v>
      </c>
      <c r="O619" s="76" t="s">
        <v>9883</v>
      </c>
      <c r="P619" s="153">
        <v>27757.0</v>
      </c>
      <c r="Q619" s="315" t="str">
        <f t="shared" si="66"/>
        <v>#VALUE!</v>
      </c>
      <c r="R619" s="86">
        <f t="shared" si="65"/>
        <v>50</v>
      </c>
      <c r="S619" s="76" t="s">
        <v>9885</v>
      </c>
      <c r="T619" s="86"/>
      <c r="U619" s="76" t="s">
        <v>379</v>
      </c>
      <c r="V619" s="76"/>
      <c r="W619" s="76"/>
      <c r="X619" s="76"/>
      <c r="Y619" s="167"/>
      <c r="Z619" s="234" t="s">
        <v>1351</v>
      </c>
      <c r="AA619" s="168"/>
      <c r="AB619" s="97"/>
      <c r="AC619" s="76" t="s">
        <v>9888</v>
      </c>
      <c r="AE619" s="76"/>
      <c r="AF619" s="76"/>
      <c r="AG619" s="76"/>
      <c r="AH619" s="76" t="s">
        <v>9889</v>
      </c>
      <c r="AI619" s="203"/>
      <c r="AJ619" s="203"/>
      <c r="AK619" s="203"/>
      <c r="AL619" s="203"/>
      <c r="AM619" s="203"/>
      <c r="AN619" s="203"/>
      <c r="AO619" s="203"/>
      <c r="AP619" s="203"/>
      <c r="AQ619" s="203"/>
      <c r="AR619" s="203"/>
      <c r="AS619" s="203"/>
      <c r="AT619" s="203"/>
    </row>
    <row r="620">
      <c r="A620" s="76" t="s">
        <v>116</v>
      </c>
      <c r="B620" s="757" t="s">
        <v>1645</v>
      </c>
      <c r="C620" s="757" t="s">
        <v>1517</v>
      </c>
      <c r="D620" s="757" t="s">
        <v>1519</v>
      </c>
      <c r="E620" s="758" t="s">
        <v>58</v>
      </c>
      <c r="F620" s="759" t="s">
        <v>1496</v>
      </c>
      <c r="G620" s="760" t="s">
        <v>963</v>
      </c>
      <c r="H620" s="760" t="s">
        <v>60</v>
      </c>
      <c r="I620" s="87" t="s">
        <v>1221</v>
      </c>
      <c r="J620" s="85" t="s">
        <v>114</v>
      </c>
      <c r="K620" s="85"/>
      <c r="L620" s="76"/>
      <c r="M620" s="85" t="s">
        <v>60</v>
      </c>
      <c r="N620" s="614" t="s">
        <v>9891</v>
      </c>
      <c r="O620" s="76" t="s">
        <v>9892</v>
      </c>
      <c r="P620" s="153">
        <v>29948.0</v>
      </c>
      <c r="Q620" s="315">
        <f t="shared" si="66"/>
        <v>29948</v>
      </c>
      <c r="R620" s="86">
        <f t="shared" si="65"/>
        <v>44</v>
      </c>
      <c r="S620" s="76">
        <v>2.994702991E9</v>
      </c>
      <c r="T620" s="86"/>
      <c r="U620" s="76" t="s">
        <v>379</v>
      </c>
      <c r="V620" s="76"/>
      <c r="W620" s="76"/>
      <c r="X620" s="76"/>
      <c r="Y620" s="167"/>
      <c r="Z620" s="234" t="s">
        <v>1351</v>
      </c>
      <c r="AA620" s="76" t="s">
        <v>1178</v>
      </c>
      <c r="AB620" s="97"/>
      <c r="AC620" s="76" t="s">
        <v>9888</v>
      </c>
      <c r="AD620" s="76"/>
      <c r="AE620" s="76"/>
      <c r="AF620" s="76"/>
      <c r="AG620" s="76"/>
      <c r="AH620" s="76" t="s">
        <v>9889</v>
      </c>
      <c r="AI620" s="203"/>
      <c r="AJ620" s="203"/>
      <c r="AK620" s="203"/>
      <c r="AL620" s="203"/>
      <c r="AM620" s="203"/>
      <c r="AN620" s="203"/>
      <c r="AO620" s="203"/>
      <c r="AP620" s="203"/>
      <c r="AQ620" s="203"/>
      <c r="AR620" s="203"/>
      <c r="AS620" s="203"/>
      <c r="AT620" s="203"/>
    </row>
    <row r="621">
      <c r="A621" s="76" t="s">
        <v>116</v>
      </c>
      <c r="B621" s="757" t="s">
        <v>1709</v>
      </c>
      <c r="C621" s="757" t="s">
        <v>1611</v>
      </c>
      <c r="D621" s="757" t="s">
        <v>1494</v>
      </c>
      <c r="E621" s="758" t="s">
        <v>536</v>
      </c>
      <c r="F621" s="759" t="s">
        <v>2458</v>
      </c>
      <c r="G621" s="760" t="s">
        <v>1314</v>
      </c>
      <c r="H621" s="760" t="s">
        <v>60</v>
      </c>
      <c r="I621" s="87" t="s">
        <v>1221</v>
      </c>
      <c r="J621" s="85" t="s">
        <v>114</v>
      </c>
      <c r="K621" s="76" t="s">
        <v>1</v>
      </c>
      <c r="L621" s="76"/>
      <c r="M621" s="85" t="s">
        <v>60</v>
      </c>
      <c r="N621" s="614" t="s">
        <v>9898</v>
      </c>
      <c r="O621" s="76" t="s">
        <v>9899</v>
      </c>
      <c r="P621" s="153">
        <v>30921.0</v>
      </c>
      <c r="Q621" s="315">
        <f t="shared" si="66"/>
        <v>1</v>
      </c>
      <c r="R621" s="86">
        <f t="shared" si="65"/>
        <v>42</v>
      </c>
      <c r="S621" s="76"/>
      <c r="T621" s="86"/>
      <c r="U621" s="76" t="s">
        <v>379</v>
      </c>
      <c r="V621" s="76"/>
      <c r="W621" s="76"/>
      <c r="X621" s="76"/>
      <c r="Y621" s="308" t="s">
        <v>2344</v>
      </c>
      <c r="Z621" s="168"/>
      <c r="AA621" s="76" t="s">
        <v>1178</v>
      </c>
      <c r="AB621" s="97"/>
      <c r="AC621" s="76" t="s">
        <v>9888</v>
      </c>
      <c r="AD621" s="76"/>
      <c r="AE621" s="76"/>
      <c r="AF621" s="76"/>
      <c r="AG621" s="76"/>
      <c r="AH621" s="76" t="s">
        <v>9889</v>
      </c>
      <c r="AI621" s="67"/>
      <c r="AJ621" s="67"/>
      <c r="AK621" s="748"/>
      <c r="AL621" s="748"/>
      <c r="AM621" s="810"/>
      <c r="AN621" s="810"/>
      <c r="AO621" s="748"/>
      <c r="AP621" s="748"/>
      <c r="AQ621" s="67"/>
      <c r="AR621" s="67"/>
      <c r="AS621" s="67"/>
      <c r="AT621" s="67"/>
    </row>
    <row r="622">
      <c r="A622" s="76" t="s">
        <v>116</v>
      </c>
      <c r="B622" s="757" t="s">
        <v>3898</v>
      </c>
      <c r="C622" s="757" t="s">
        <v>7243</v>
      </c>
      <c r="D622" s="757" t="s">
        <v>121</v>
      </c>
      <c r="E622" s="758" t="s">
        <v>1978</v>
      </c>
      <c r="F622" s="759" t="s">
        <v>7224</v>
      </c>
      <c r="G622" s="760" t="s">
        <v>2008</v>
      </c>
      <c r="H622" s="760" t="s">
        <v>60</v>
      </c>
      <c r="I622" s="87" t="s">
        <v>1221</v>
      </c>
      <c r="J622" s="76" t="s">
        <v>114</v>
      </c>
      <c r="K622" s="76"/>
      <c r="L622" s="964"/>
      <c r="M622" s="85" t="s">
        <v>60</v>
      </c>
      <c r="N622" s="306" t="s">
        <v>9911</v>
      </c>
      <c r="O622" s="76" t="s">
        <v>9913</v>
      </c>
      <c r="P622" s="153">
        <v>34708.0</v>
      </c>
      <c r="Q622" s="315">
        <f t="shared" si="66"/>
        <v>34708</v>
      </c>
      <c r="R622" s="86">
        <f t="shared" si="65"/>
        <v>31</v>
      </c>
      <c r="S622" s="76">
        <v>3.470707671E9</v>
      </c>
      <c r="T622" s="315"/>
      <c r="U622" s="76" t="s">
        <v>379</v>
      </c>
      <c r="V622" s="76"/>
      <c r="W622" s="76"/>
      <c r="X622" s="76" t="s">
        <v>186</v>
      </c>
      <c r="Y622" s="97"/>
      <c r="Z622" s="85" t="s">
        <v>1815</v>
      </c>
      <c r="AA622" s="76" t="s">
        <v>1178</v>
      </c>
      <c r="AB622" s="97"/>
      <c r="AC622" s="76" t="s">
        <v>4264</v>
      </c>
      <c r="AD622" s="76"/>
      <c r="AE622" s="76" t="s">
        <v>861</v>
      </c>
      <c r="AF622" s="76"/>
      <c r="AG622" s="189"/>
      <c r="AH622" s="76" t="s">
        <v>9920</v>
      </c>
      <c r="AI622" s="67"/>
      <c r="AJ622" s="67"/>
      <c r="AK622" s="748"/>
      <c r="AL622" s="748"/>
      <c r="AM622" s="810"/>
      <c r="AN622" s="810"/>
      <c r="AO622" s="748"/>
      <c r="AP622" s="748"/>
      <c r="AQ622" s="67"/>
      <c r="AR622" s="67"/>
      <c r="AS622" s="67"/>
      <c r="AT622" s="67"/>
    </row>
    <row r="623">
      <c r="A623" s="86"/>
      <c r="B623" s="302" t="s">
        <v>4145</v>
      </c>
      <c r="C623" s="966" t="s">
        <v>5668</v>
      </c>
      <c r="D623" s="76"/>
      <c r="E623" s="574">
        <v>46102.0</v>
      </c>
      <c r="F623" s="762"/>
      <c r="G623" s="762"/>
      <c r="H623" s="762"/>
      <c r="I623" s="762"/>
      <c r="J623" s="85" t="s">
        <v>114</v>
      </c>
      <c r="K623" s="124" t="s">
        <v>9923</v>
      </c>
      <c r="L623" s="964"/>
      <c r="M623" s="85" t="s">
        <v>60</v>
      </c>
      <c r="N623" s="306" t="s">
        <v>9925</v>
      </c>
      <c r="O623" s="76" t="s">
        <v>9927</v>
      </c>
      <c r="P623" s="153">
        <v>31819.0</v>
      </c>
      <c r="Q623" s="315">
        <f t="shared" si="66"/>
        <v>31819</v>
      </c>
      <c r="R623" s="86">
        <f t="shared" si="65"/>
        <v>39</v>
      </c>
      <c r="S623" s="76">
        <v>3.181823612E9</v>
      </c>
      <c r="T623" s="315"/>
      <c r="U623" s="76" t="s">
        <v>379</v>
      </c>
      <c r="V623" s="76"/>
      <c r="W623" s="76"/>
      <c r="X623" s="76" t="s">
        <v>186</v>
      </c>
      <c r="Y623" s="97"/>
      <c r="Z623" s="85" t="s">
        <v>1173</v>
      </c>
      <c r="AA623" s="76" t="s">
        <v>1178</v>
      </c>
      <c r="AB623" s="97"/>
      <c r="AC623" s="76"/>
      <c r="AD623" s="76"/>
      <c r="AE623" s="76" t="s">
        <v>861</v>
      </c>
      <c r="AF623" s="76"/>
      <c r="AG623" s="189"/>
      <c r="AH623" s="76" t="s">
        <v>9920</v>
      </c>
      <c r="AI623" s="763"/>
      <c r="AJ623" s="763"/>
      <c r="AK623" s="763"/>
      <c r="AL623" s="763"/>
      <c r="AM623" s="763"/>
      <c r="AN623" s="763"/>
      <c r="AO623" s="763"/>
      <c r="AP623" s="763"/>
      <c r="AQ623" s="763"/>
      <c r="AR623" s="763"/>
      <c r="AS623" s="763"/>
      <c r="AT623" s="763"/>
    </row>
    <row r="624">
      <c r="A624" s="86"/>
      <c r="B624" s="302" t="s">
        <v>4145</v>
      </c>
      <c r="C624" s="966" t="s">
        <v>5668</v>
      </c>
      <c r="D624" s="76"/>
      <c r="E624" s="574">
        <v>46102.0</v>
      </c>
      <c r="F624" s="762"/>
      <c r="G624" s="762"/>
      <c r="H624" s="762"/>
      <c r="I624" s="762"/>
      <c r="J624" s="85" t="s">
        <v>114</v>
      </c>
      <c r="K624" s="76"/>
      <c r="L624" s="964"/>
      <c r="M624" s="85" t="s">
        <v>60</v>
      </c>
      <c r="N624" s="306" t="s">
        <v>9930</v>
      </c>
      <c r="O624" s="76" t="s">
        <v>9931</v>
      </c>
      <c r="P624" s="153">
        <v>30744.0</v>
      </c>
      <c r="Q624" s="315">
        <f t="shared" si="66"/>
        <v>30744</v>
      </c>
      <c r="R624" s="86">
        <f t="shared" si="65"/>
        <v>42</v>
      </c>
      <c r="S624" s="76">
        <v>3.074324652E9</v>
      </c>
      <c r="T624" s="315"/>
      <c r="U624" s="76" t="s">
        <v>379</v>
      </c>
      <c r="V624" s="76"/>
      <c r="W624" s="76"/>
      <c r="X624" s="76" t="s">
        <v>186</v>
      </c>
      <c r="Y624" s="97"/>
      <c r="Z624" s="85" t="s">
        <v>1173</v>
      </c>
      <c r="AA624" s="76" t="s">
        <v>1178</v>
      </c>
      <c r="AB624" s="97"/>
      <c r="AC624" s="76"/>
      <c r="AD624" s="76"/>
      <c r="AE624" s="76" t="s">
        <v>861</v>
      </c>
      <c r="AF624" s="76"/>
      <c r="AG624" s="189"/>
      <c r="AH624" s="76" t="s">
        <v>9920</v>
      </c>
      <c r="AI624" s="763"/>
      <c r="AJ624" s="763"/>
      <c r="AK624" s="763"/>
      <c r="AL624" s="763"/>
      <c r="AM624" s="763"/>
      <c r="AN624" s="763"/>
      <c r="AO624" s="763"/>
      <c r="AP624" s="763"/>
      <c r="AQ624" s="763"/>
      <c r="AR624" s="763"/>
      <c r="AS624" s="763"/>
      <c r="AT624" s="763"/>
    </row>
    <row r="625">
      <c r="A625" s="86"/>
      <c r="B625" s="302" t="s">
        <v>145</v>
      </c>
      <c r="C625" s="302"/>
      <c r="D625" s="76"/>
      <c r="E625" s="574">
        <v>46102.0</v>
      </c>
      <c r="F625" s="762"/>
      <c r="G625" s="762"/>
      <c r="H625" s="762"/>
      <c r="I625" s="762"/>
      <c r="J625" s="85" t="s">
        <v>114</v>
      </c>
      <c r="K625" s="76"/>
      <c r="L625" s="964"/>
      <c r="M625" s="85" t="s">
        <v>60</v>
      </c>
      <c r="N625" s="306" t="s">
        <v>9935</v>
      </c>
      <c r="O625" s="76" t="s">
        <v>9936</v>
      </c>
      <c r="P625" s="153">
        <v>36322.0</v>
      </c>
      <c r="Q625" s="315">
        <f t="shared" si="66"/>
        <v>36322</v>
      </c>
      <c r="R625" s="86">
        <f t="shared" si="65"/>
        <v>27</v>
      </c>
      <c r="S625" s="76">
        <v>3.632106939E9</v>
      </c>
      <c r="T625" s="76" t="s">
        <v>1479</v>
      </c>
      <c r="U625" s="76" t="s">
        <v>379</v>
      </c>
      <c r="V625" s="76"/>
      <c r="W625" s="76"/>
      <c r="X625" s="76" t="s">
        <v>145</v>
      </c>
      <c r="Y625" s="276" t="s">
        <v>1836</v>
      </c>
      <c r="Z625" s="97"/>
      <c r="AA625" s="76" t="s">
        <v>114</v>
      </c>
      <c r="AB625" s="97"/>
      <c r="AC625" s="76"/>
      <c r="AD625" s="76"/>
      <c r="AE625" s="76"/>
      <c r="AF625" s="76"/>
      <c r="AG625" s="189"/>
      <c r="AH625" s="76" t="s">
        <v>9876</v>
      </c>
      <c r="AI625" s="763"/>
      <c r="AJ625" s="763"/>
      <c r="AK625" s="763"/>
      <c r="AL625" s="763"/>
      <c r="AM625" s="763"/>
      <c r="AN625" s="763"/>
      <c r="AO625" s="763"/>
      <c r="AP625" s="763"/>
      <c r="AQ625" s="763"/>
      <c r="AR625" s="763"/>
      <c r="AS625" s="763"/>
      <c r="AT625" s="763"/>
    </row>
    <row r="626">
      <c r="A626" s="86"/>
      <c r="B626" s="302" t="s">
        <v>145</v>
      </c>
      <c r="C626" s="302"/>
      <c r="D626" s="76"/>
      <c r="E626" s="574">
        <v>46110.0</v>
      </c>
      <c r="F626" s="762"/>
      <c r="G626" s="762"/>
      <c r="H626" s="762"/>
      <c r="I626" s="762"/>
      <c r="J626" s="76" t="s">
        <v>114</v>
      </c>
      <c r="K626" s="124" t="s">
        <v>9940</v>
      </c>
      <c r="L626" s="964"/>
      <c r="M626" s="85" t="s">
        <v>60</v>
      </c>
      <c r="N626" s="306" t="s">
        <v>9941</v>
      </c>
      <c r="O626" s="76" t="s">
        <v>6086</v>
      </c>
      <c r="P626" s="153">
        <v>29993.0</v>
      </c>
      <c r="Q626" s="315">
        <f t="shared" si="66"/>
        <v>29993</v>
      </c>
      <c r="R626" s="86">
        <f t="shared" si="65"/>
        <v>44</v>
      </c>
      <c r="S626" s="76">
        <v>2.999207112E9</v>
      </c>
      <c r="T626" s="315"/>
      <c r="U626" s="76" t="s">
        <v>379</v>
      </c>
      <c r="V626" s="76"/>
      <c r="W626" s="76"/>
      <c r="X626" s="76" t="s">
        <v>182</v>
      </c>
      <c r="Y626" s="97"/>
      <c r="Z626" s="85" t="s">
        <v>1815</v>
      </c>
      <c r="AA626" s="76" t="s">
        <v>114</v>
      </c>
      <c r="AB626" s="97"/>
      <c r="AC626" s="76"/>
      <c r="AD626" s="76"/>
      <c r="AE626" s="76" t="s">
        <v>861</v>
      </c>
      <c r="AF626" s="76"/>
      <c r="AG626" s="189"/>
      <c r="AH626" s="76" t="s">
        <v>9920</v>
      </c>
      <c r="AI626" s="763"/>
      <c r="AJ626" s="763"/>
      <c r="AK626" s="763"/>
      <c r="AL626" s="763"/>
      <c r="AM626" s="763"/>
      <c r="AN626" s="763"/>
      <c r="AO626" s="763"/>
      <c r="AP626" s="763"/>
      <c r="AQ626" s="763"/>
      <c r="AR626" s="763"/>
      <c r="AS626" s="763"/>
      <c r="AT626" s="763"/>
    </row>
    <row r="627">
      <c r="A627" s="86"/>
      <c r="B627" s="302" t="s">
        <v>145</v>
      </c>
      <c r="C627" s="302"/>
      <c r="D627" s="76"/>
      <c r="E627" s="574">
        <v>46110.0</v>
      </c>
      <c r="F627" s="762"/>
      <c r="G627" s="762"/>
      <c r="H627" s="762"/>
      <c r="I627" s="762"/>
      <c r="J627" s="76" t="s">
        <v>114</v>
      </c>
      <c r="K627" s="76"/>
      <c r="L627" s="964"/>
      <c r="M627" s="85" t="s">
        <v>60</v>
      </c>
      <c r="N627" s="306" t="s">
        <v>9949</v>
      </c>
      <c r="O627" s="76" t="s">
        <v>9951</v>
      </c>
      <c r="P627" s="153">
        <v>29713.0</v>
      </c>
      <c r="Q627" s="315">
        <f t="shared" si="66"/>
        <v>29713</v>
      </c>
      <c r="R627" s="86">
        <f t="shared" si="65"/>
        <v>45</v>
      </c>
      <c r="S627" s="76">
        <v>2.971224633E9</v>
      </c>
      <c r="T627" s="315"/>
      <c r="U627" s="76" t="s">
        <v>379</v>
      </c>
      <c r="V627" s="76"/>
      <c r="W627" s="76"/>
      <c r="X627" s="76" t="s">
        <v>182</v>
      </c>
      <c r="Y627" s="97"/>
      <c r="Z627" s="85" t="s">
        <v>1815</v>
      </c>
      <c r="AA627" s="76" t="s">
        <v>185</v>
      </c>
      <c r="AB627" s="97"/>
      <c r="AC627" s="76"/>
      <c r="AD627" s="76"/>
      <c r="AE627" s="76" t="s">
        <v>861</v>
      </c>
      <c r="AF627" s="76"/>
      <c r="AG627" s="76"/>
      <c r="AH627" s="76" t="s">
        <v>9954</v>
      </c>
      <c r="AI627" s="763"/>
      <c r="AJ627" s="763"/>
      <c r="AK627" s="763"/>
      <c r="AL627" s="763"/>
      <c r="AM627" s="763"/>
      <c r="AN627" s="763"/>
      <c r="AO627" s="763"/>
      <c r="AP627" s="763"/>
      <c r="AQ627" s="763"/>
      <c r="AR627" s="763"/>
      <c r="AS627" s="763"/>
      <c r="AT627" s="763"/>
    </row>
    <row r="628">
      <c r="A628" s="86"/>
      <c r="B628" s="302" t="s">
        <v>4145</v>
      </c>
      <c r="C628" s="966" t="s">
        <v>5668</v>
      </c>
      <c r="D628" s="76"/>
      <c r="E628" s="574">
        <v>46110.0</v>
      </c>
      <c r="F628" s="762"/>
      <c r="G628" s="762"/>
      <c r="H628" s="762"/>
      <c r="I628" s="762"/>
      <c r="J628" s="76" t="s">
        <v>114</v>
      </c>
      <c r="K628" s="124" t="s">
        <v>9956</v>
      </c>
      <c r="L628" s="964"/>
      <c r="M628" s="85" t="s">
        <v>60</v>
      </c>
      <c r="N628" s="306" t="s">
        <v>9957</v>
      </c>
      <c r="O628" s="76" t="s">
        <v>1391</v>
      </c>
      <c r="P628" s="153">
        <v>34883.0</v>
      </c>
      <c r="Q628" s="315">
        <f t="shared" si="66"/>
        <v>34883</v>
      </c>
      <c r="R628" s="86">
        <f t="shared" si="65"/>
        <v>31</v>
      </c>
      <c r="S628" s="76">
        <v>3.488213452E9</v>
      </c>
      <c r="T628" s="315"/>
      <c r="U628" s="76" t="s">
        <v>379</v>
      </c>
      <c r="V628" s="76"/>
      <c r="W628" s="76"/>
      <c r="X628" s="76"/>
      <c r="Y628" s="276" t="s">
        <v>1836</v>
      </c>
      <c r="Z628" s="76"/>
      <c r="AA628" s="76" t="s">
        <v>1178</v>
      </c>
      <c r="AB628" s="97"/>
      <c r="AC628" s="76"/>
      <c r="AD628" s="76"/>
      <c r="AE628" s="76" t="s">
        <v>861</v>
      </c>
      <c r="AF628" s="76"/>
      <c r="AG628" s="76"/>
      <c r="AH628" s="76" t="s">
        <v>9954</v>
      </c>
      <c r="AI628" s="763"/>
      <c r="AJ628" s="763"/>
      <c r="AK628" s="763"/>
      <c r="AL628" s="763"/>
      <c r="AM628" s="763"/>
      <c r="AN628" s="763"/>
      <c r="AO628" s="763"/>
      <c r="AP628" s="763"/>
      <c r="AQ628" s="763"/>
      <c r="AR628" s="763"/>
      <c r="AS628" s="763"/>
      <c r="AT628" s="763"/>
    </row>
    <row r="629">
      <c r="A629" s="86"/>
      <c r="B629" s="302" t="s">
        <v>4145</v>
      </c>
      <c r="C629" s="966" t="s">
        <v>5668</v>
      </c>
      <c r="D629" s="76"/>
      <c r="E629" s="574">
        <v>46110.0</v>
      </c>
      <c r="F629" s="762"/>
      <c r="G629" s="762"/>
      <c r="H629" s="762"/>
      <c r="I629" s="762"/>
      <c r="J629" s="76" t="s">
        <v>114</v>
      </c>
      <c r="K629" s="76"/>
      <c r="L629" s="964"/>
      <c r="M629" s="85" t="s">
        <v>60</v>
      </c>
      <c r="N629" s="306" t="s">
        <v>9962</v>
      </c>
      <c r="O629" s="76" t="s">
        <v>3965</v>
      </c>
      <c r="P629" s="153">
        <v>30102.0</v>
      </c>
      <c r="Q629" s="315">
        <f t="shared" si="66"/>
        <v>1</v>
      </c>
      <c r="R629" s="86">
        <f t="shared" si="65"/>
        <v>44</v>
      </c>
      <c r="S629" s="76"/>
      <c r="T629" s="76" t="s">
        <v>1479</v>
      </c>
      <c r="U629" s="76" t="s">
        <v>379</v>
      </c>
      <c r="V629" s="76"/>
      <c r="W629" s="76"/>
      <c r="X629" s="76"/>
      <c r="Y629" s="276" t="s">
        <v>1836</v>
      </c>
      <c r="Z629" s="97"/>
      <c r="AA629" s="76" t="s">
        <v>1178</v>
      </c>
      <c r="AB629" s="97"/>
      <c r="AC629" s="76"/>
      <c r="AD629" s="76"/>
      <c r="AE629" s="76" t="s">
        <v>861</v>
      </c>
      <c r="AF629" s="76"/>
      <c r="AG629" s="76"/>
      <c r="AH629" s="76" t="s">
        <v>9954</v>
      </c>
      <c r="AI629" s="763"/>
      <c r="AJ629" s="763"/>
      <c r="AK629" s="763"/>
      <c r="AL629" s="763"/>
      <c r="AM629" s="763"/>
      <c r="AN629" s="763"/>
      <c r="AO629" s="763"/>
      <c r="AP629" s="763"/>
      <c r="AQ629" s="763"/>
      <c r="AR629" s="763"/>
      <c r="AS629" s="763"/>
      <c r="AT629" s="763"/>
    </row>
    <row r="630">
      <c r="A630" s="86"/>
      <c r="B630" s="302" t="s">
        <v>4145</v>
      </c>
      <c r="C630" s="341" t="s">
        <v>1313</v>
      </c>
      <c r="D630" s="86"/>
      <c r="E630" s="524" t="s">
        <v>8723</v>
      </c>
      <c r="F630" s="86"/>
      <c r="G630" s="86"/>
      <c r="H630" s="86"/>
      <c r="I630" s="86"/>
      <c r="J630" s="97" t="s">
        <v>114</v>
      </c>
      <c r="K630" s="85"/>
      <c r="L630" s="85"/>
      <c r="M630" s="85" t="s">
        <v>60</v>
      </c>
      <c r="N630" s="76" t="s">
        <v>8724</v>
      </c>
      <c r="O630" s="295" t="s">
        <v>1287</v>
      </c>
      <c r="P630" s="153">
        <v>32215.0</v>
      </c>
      <c r="Q630" s="315">
        <f t="shared" si="66"/>
        <v>1</v>
      </c>
      <c r="R630" s="97">
        <f t="shared" si="65"/>
        <v>38</v>
      </c>
      <c r="S630" s="315"/>
      <c r="T630" s="315"/>
      <c r="U630" s="310" t="s">
        <v>379</v>
      </c>
      <c r="V630" s="76" t="s">
        <v>490</v>
      </c>
      <c r="W630" s="76"/>
      <c r="X630" s="97"/>
      <c r="Y630" s="97"/>
      <c r="Z630" s="97"/>
      <c r="AA630" s="97"/>
      <c r="AB630" s="97"/>
      <c r="AC630" s="97"/>
      <c r="AD630" s="99"/>
      <c r="AE630" s="76" t="s">
        <v>259</v>
      </c>
      <c r="AF630" s="76" t="s">
        <v>4591</v>
      </c>
      <c r="AG630" s="291" t="s">
        <v>9970</v>
      </c>
      <c r="AH630" s="506" t="s">
        <v>9971</v>
      </c>
      <c r="AI630" s="67"/>
      <c r="AJ630" s="67"/>
      <c r="AK630" s="67"/>
      <c r="AL630" s="67"/>
      <c r="AM630" s="67"/>
      <c r="AN630" s="67"/>
      <c r="AO630" s="67"/>
      <c r="AP630" s="67"/>
      <c r="AQ630" s="67"/>
      <c r="AR630" s="67"/>
      <c r="AS630" s="67"/>
      <c r="AT630" s="67"/>
    </row>
    <row r="631">
      <c r="A631" s="76" t="s">
        <v>116</v>
      </c>
      <c r="B631" s="981" t="s">
        <v>3014</v>
      </c>
      <c r="C631" s="757" t="s">
        <v>121</v>
      </c>
      <c r="D631" s="757" t="s">
        <v>121</v>
      </c>
      <c r="E631" s="758" t="s">
        <v>1466</v>
      </c>
      <c r="F631" s="759" t="s">
        <v>3949</v>
      </c>
      <c r="G631" s="760" t="s">
        <v>1721</v>
      </c>
      <c r="H631" s="760" t="s">
        <v>326</v>
      </c>
      <c r="I631" s="87" t="s">
        <v>1221</v>
      </c>
      <c r="J631" s="76" t="s">
        <v>114</v>
      </c>
      <c r="K631" s="124" t="s">
        <v>9974</v>
      </c>
      <c r="L631" s="85"/>
      <c r="M631" s="85" t="s">
        <v>60</v>
      </c>
      <c r="N631" s="97" t="s">
        <v>9976</v>
      </c>
      <c r="O631" s="756" t="s">
        <v>9977</v>
      </c>
      <c r="P631" s="262">
        <v>36629.0</v>
      </c>
      <c r="Q631" s="315">
        <f t="shared" si="66"/>
        <v>1</v>
      </c>
      <c r="R631" s="97">
        <f t="shared" si="65"/>
        <v>26</v>
      </c>
      <c r="S631" s="315"/>
      <c r="T631" s="315"/>
      <c r="U631" s="76" t="s">
        <v>379</v>
      </c>
      <c r="V631" s="76"/>
      <c r="W631" s="97"/>
      <c r="X631" s="76"/>
      <c r="Y631" s="97"/>
      <c r="Z631" s="278" t="s">
        <v>1613</v>
      </c>
      <c r="AA631" s="76"/>
      <c r="AB631" s="97"/>
      <c r="AC631" s="76" t="s">
        <v>632</v>
      </c>
      <c r="AD631" s="99"/>
      <c r="AE631" s="76" t="s">
        <v>632</v>
      </c>
      <c r="AF631" s="76" t="s">
        <v>3378</v>
      </c>
      <c r="AG631" s="76"/>
      <c r="AH631" s="76" t="s">
        <v>9981</v>
      </c>
      <c r="AI631" s="203"/>
      <c r="AJ631" s="203"/>
      <c r="AK631" s="203"/>
      <c r="AL631" s="203"/>
      <c r="AM631" s="203"/>
      <c r="AN631" s="203"/>
      <c r="AO631" s="203"/>
      <c r="AP631" s="203"/>
      <c r="AQ631" s="203"/>
      <c r="AR631" s="203"/>
      <c r="AS631" s="203"/>
      <c r="AT631" s="203"/>
    </row>
    <row r="632">
      <c r="A632" s="76" t="s">
        <v>116</v>
      </c>
      <c r="B632" s="757" t="s">
        <v>432</v>
      </c>
      <c r="C632" s="757" t="s">
        <v>760</v>
      </c>
      <c r="D632" s="757" t="s">
        <v>121</v>
      </c>
      <c r="E632" s="758" t="s">
        <v>570</v>
      </c>
      <c r="F632" s="759" t="s">
        <v>779</v>
      </c>
      <c r="G632" s="760" t="s">
        <v>782</v>
      </c>
      <c r="H632" s="760" t="s">
        <v>504</v>
      </c>
      <c r="I632" s="146" t="s">
        <v>408</v>
      </c>
      <c r="J632" s="76" t="s">
        <v>114</v>
      </c>
      <c r="K632" s="176" t="s">
        <v>9982</v>
      </c>
      <c r="L632" s="85"/>
      <c r="M632" s="989" t="s">
        <v>102</v>
      </c>
      <c r="N632" s="287" t="s">
        <v>9985</v>
      </c>
      <c r="O632" s="76" t="s">
        <v>9986</v>
      </c>
      <c r="P632" s="153">
        <v>35205.0</v>
      </c>
      <c r="Q632" s="315">
        <f t="shared" si="66"/>
        <v>35205</v>
      </c>
      <c r="R632" s="97">
        <f t="shared" si="65"/>
        <v>30</v>
      </c>
      <c r="S632" s="76">
        <v>3.520405558E9</v>
      </c>
      <c r="T632" s="86"/>
      <c r="U632" s="76" t="s">
        <v>136</v>
      </c>
      <c r="V632" s="76"/>
      <c r="W632" s="97"/>
      <c r="X632" s="76" t="s">
        <v>186</v>
      </c>
      <c r="Y632" s="211" t="s">
        <v>2155</v>
      </c>
      <c r="Z632" s="990" t="s">
        <v>418</v>
      </c>
      <c r="AA632" s="168"/>
      <c r="AB632" s="97"/>
      <c r="AC632" s="168"/>
      <c r="AD632" s="168"/>
      <c r="AE632" s="76"/>
      <c r="AF632" s="76" t="s">
        <v>9988</v>
      </c>
      <c r="AG632" s="76"/>
      <c r="AH632" s="85" t="s">
        <v>9989</v>
      </c>
      <c r="AI632" s="67"/>
      <c r="AJ632" s="67"/>
      <c r="AK632" s="67" t="s">
        <v>793</v>
      </c>
      <c r="AL632" s="748"/>
      <c r="AM632" s="810"/>
      <c r="AN632" s="76" t="s">
        <v>795</v>
      </c>
      <c r="AO632" s="748"/>
      <c r="AP632" s="748"/>
      <c r="AQ632" s="67"/>
      <c r="AR632" s="67"/>
      <c r="AS632" s="67"/>
      <c r="AT632" s="67"/>
    </row>
    <row r="633">
      <c r="A633" s="76" t="s">
        <v>116</v>
      </c>
      <c r="B633" s="757" t="s">
        <v>1039</v>
      </c>
      <c r="C633" s="757" t="s">
        <v>1269</v>
      </c>
      <c r="D633" s="757" t="s">
        <v>1368</v>
      </c>
      <c r="E633" s="758" t="s">
        <v>460</v>
      </c>
      <c r="F633" s="759" t="s">
        <v>1435</v>
      </c>
      <c r="G633" s="760" t="s">
        <v>1436</v>
      </c>
      <c r="H633" s="760" t="s">
        <v>326</v>
      </c>
      <c r="I633" s="87" t="s">
        <v>1221</v>
      </c>
      <c r="J633" s="109"/>
      <c r="K633" s="109"/>
      <c r="L633" s="87"/>
      <c r="M633" s="197" t="s">
        <v>60</v>
      </c>
      <c r="N633" s="127" t="s">
        <v>9994</v>
      </c>
      <c r="O633" s="991">
        <v>0.0</v>
      </c>
      <c r="P633" s="750"/>
      <c r="Q633" s="315"/>
      <c r="R633" s="86"/>
      <c r="S633" s="86"/>
      <c r="T633" s="315"/>
      <c r="U633" s="291" t="s">
        <v>136</v>
      </c>
      <c r="V633" s="86"/>
      <c r="W633" s="86"/>
      <c r="X633" s="97"/>
      <c r="Y633" s="97"/>
      <c r="Z633" s="97"/>
      <c r="AA633" s="97"/>
      <c r="AB633" s="97"/>
      <c r="AC633" s="160" t="s">
        <v>630</v>
      </c>
      <c r="AD633" s="76" t="s">
        <v>632</v>
      </c>
      <c r="AE633" s="76"/>
      <c r="AF633" s="160" t="s">
        <v>630</v>
      </c>
      <c r="AG633" s="112"/>
      <c r="AH633" s="85" t="s">
        <v>9989</v>
      </c>
      <c r="AI633" s="67"/>
      <c r="AJ633" s="67"/>
      <c r="AK633" s="980" t="s">
        <v>1479</v>
      </c>
      <c r="AL633" s="748"/>
      <c r="AM633" s="810"/>
      <c r="AN633" s="810"/>
      <c r="AO633" s="748"/>
      <c r="AP633" s="748"/>
      <c r="AQ633" s="67"/>
      <c r="AR633" s="67"/>
      <c r="AS633" s="67"/>
      <c r="AT633" s="67"/>
    </row>
    <row r="634">
      <c r="A634" s="76" t="s">
        <v>116</v>
      </c>
      <c r="B634" s="757" t="s">
        <v>1039</v>
      </c>
      <c r="C634" s="757" t="s">
        <v>1517</v>
      </c>
      <c r="D634" s="757" t="s">
        <v>1368</v>
      </c>
      <c r="E634" s="758" t="s">
        <v>213</v>
      </c>
      <c r="F634" s="759" t="s">
        <v>1523</v>
      </c>
      <c r="G634" s="760" t="s">
        <v>488</v>
      </c>
      <c r="H634" s="760" t="s">
        <v>60</v>
      </c>
      <c r="I634" s="87" t="s">
        <v>1221</v>
      </c>
      <c r="J634" s="76" t="s">
        <v>114</v>
      </c>
      <c r="K634" s="176" t="s">
        <v>9999</v>
      </c>
      <c r="L634" s="85"/>
      <c r="AI634" s="67"/>
      <c r="AJ634" s="67"/>
      <c r="AK634" s="748"/>
      <c r="AL634" s="748"/>
      <c r="AM634" s="810"/>
      <c r="AN634" s="810"/>
      <c r="AO634" s="748"/>
      <c r="AP634" s="748"/>
      <c r="AQ634" s="67"/>
      <c r="AR634" s="67"/>
      <c r="AS634" s="67"/>
      <c r="AT634" s="67"/>
    </row>
    <row r="635">
      <c r="A635" s="76" t="s">
        <v>116</v>
      </c>
      <c r="B635" s="757" t="s">
        <v>1039</v>
      </c>
      <c r="C635" s="757" t="s">
        <v>1611</v>
      </c>
      <c r="D635" s="757" t="s">
        <v>1368</v>
      </c>
      <c r="E635" s="758" t="s">
        <v>212</v>
      </c>
      <c r="F635" s="759" t="s">
        <v>2203</v>
      </c>
      <c r="G635" s="760" t="s">
        <v>214</v>
      </c>
      <c r="H635" s="760" t="s">
        <v>326</v>
      </c>
      <c r="I635" s="87" t="s">
        <v>1221</v>
      </c>
      <c r="J635" s="76"/>
      <c r="K635" s="87"/>
      <c r="L635" s="76"/>
      <c r="M635" s="76" t="s">
        <v>60</v>
      </c>
      <c r="N635" s="287" t="s">
        <v>10001</v>
      </c>
      <c r="O635" s="76" t="s">
        <v>10002</v>
      </c>
      <c r="P635" s="86"/>
      <c r="Q635" s="315" t="str">
        <f>VALUE(LEFT(TEXT(S635,0),5))+1</f>
        <v>#VALUE!</v>
      </c>
      <c r="R635" s="97">
        <f>DATEDIF($P635,TODAY(),"Y")</f>
        <v>126</v>
      </c>
      <c r="S635" s="76" t="s">
        <v>3642</v>
      </c>
      <c r="T635" s="315"/>
      <c r="U635" s="76" t="s">
        <v>136</v>
      </c>
      <c r="V635" s="76"/>
      <c r="W635" s="76"/>
      <c r="X635" s="97" t="s">
        <v>186</v>
      </c>
      <c r="Y635" s="211" t="s">
        <v>2482</v>
      </c>
      <c r="Z635" s="501" t="s">
        <v>418</v>
      </c>
      <c r="AA635" s="97"/>
      <c r="AB635" s="97"/>
      <c r="AC635" s="76" t="s">
        <v>2451</v>
      </c>
      <c r="AD635" s="99"/>
      <c r="AE635" s="76"/>
      <c r="AF635" s="76" t="s">
        <v>4767</v>
      </c>
      <c r="AG635" s="160" t="s">
        <v>10009</v>
      </c>
      <c r="AH635" s="85" t="s">
        <v>9989</v>
      </c>
      <c r="AI635" s="67"/>
      <c r="AJ635" s="67"/>
      <c r="AK635" s="748"/>
      <c r="AL635" s="748"/>
      <c r="AM635" s="810"/>
      <c r="AN635" s="810"/>
      <c r="AO635" s="748"/>
      <c r="AP635" s="748"/>
      <c r="AQ635" s="67"/>
      <c r="AR635" s="67"/>
      <c r="AS635" s="67"/>
      <c r="AT635" s="67"/>
    </row>
    <row r="636">
      <c r="A636" s="76" t="s">
        <v>116</v>
      </c>
      <c r="B636" s="757" t="s">
        <v>1039</v>
      </c>
      <c r="C636" s="757" t="s">
        <v>1611</v>
      </c>
      <c r="D636" s="757" t="s">
        <v>1368</v>
      </c>
      <c r="E636" s="758" t="s">
        <v>321</v>
      </c>
      <c r="F636" s="759" t="s">
        <v>1552</v>
      </c>
      <c r="G636" s="760" t="s">
        <v>2726</v>
      </c>
      <c r="H636" s="760" t="s">
        <v>60</v>
      </c>
      <c r="I636" s="87" t="s">
        <v>1221</v>
      </c>
      <c r="J636" s="76"/>
      <c r="K636" s="85"/>
      <c r="L636" s="85"/>
      <c r="M636" s="211" t="s">
        <v>60</v>
      </c>
      <c r="N636" s="992" t="s">
        <v>10011</v>
      </c>
      <c r="O636" s="109"/>
      <c r="P636" s="712"/>
      <c r="Q636" s="315"/>
      <c r="R636" s="86"/>
      <c r="S636" s="315"/>
      <c r="T636" s="315"/>
      <c r="U636" s="224" t="s">
        <v>379</v>
      </c>
      <c r="V636" s="86"/>
      <c r="W636" s="86"/>
      <c r="X636" s="97"/>
      <c r="Y636" s="97"/>
      <c r="Z636" s="97"/>
      <c r="AA636" s="97"/>
      <c r="AB636" s="97"/>
      <c r="AC636" s="160" t="s">
        <v>630</v>
      </c>
      <c r="AD636" s="76" t="s">
        <v>632</v>
      </c>
      <c r="AE636" s="76" t="s">
        <v>632</v>
      </c>
      <c r="AF636" s="160" t="s">
        <v>630</v>
      </c>
      <c r="AG636" s="112"/>
      <c r="AH636" s="85" t="s">
        <v>9989</v>
      </c>
      <c r="AI636" s="67"/>
      <c r="AJ636" s="67"/>
      <c r="AK636" s="748"/>
      <c r="AL636" s="748"/>
      <c r="AM636" s="810"/>
      <c r="AN636" s="810"/>
      <c r="AO636" s="748"/>
      <c r="AP636" s="748"/>
      <c r="AQ636" s="67"/>
      <c r="AR636" s="67"/>
      <c r="AS636" s="67"/>
      <c r="AT636" s="67"/>
    </row>
    <row r="637">
      <c r="A637" s="76" t="s">
        <v>116</v>
      </c>
      <c r="B637" s="757" t="s">
        <v>1039</v>
      </c>
      <c r="C637" s="757" t="s">
        <v>1611</v>
      </c>
      <c r="D637" s="757" t="s">
        <v>1494</v>
      </c>
      <c r="E637" s="758" t="s">
        <v>58</v>
      </c>
      <c r="F637" s="759" t="s">
        <v>1496</v>
      </c>
      <c r="G637" s="760" t="s">
        <v>2994</v>
      </c>
      <c r="H637" s="760" t="s">
        <v>60</v>
      </c>
      <c r="I637" s="87" t="s">
        <v>1221</v>
      </c>
      <c r="J637" s="85" t="s">
        <v>114</v>
      </c>
      <c r="K637" s="124" t="s">
        <v>1440</v>
      </c>
      <c r="L637" s="76"/>
      <c r="M637" s="85" t="s">
        <v>60</v>
      </c>
      <c r="N637" s="287" t="s">
        <v>1445</v>
      </c>
      <c r="O637" s="76" t="s">
        <v>943</v>
      </c>
      <c r="P637" s="153">
        <v>35465.0</v>
      </c>
      <c r="Q637" s="315">
        <f t="shared" ref="Q637:Q640" si="67">VALUE(LEFT(TEXT(S637,0),5))+1</f>
        <v>35465</v>
      </c>
      <c r="R637" s="86">
        <f t="shared" ref="R637:R640" si="68">DATEDIF($P637,TODAY(),"Y")</f>
        <v>29</v>
      </c>
      <c r="S637" s="76">
        <v>3.546406033E9</v>
      </c>
      <c r="T637" s="86"/>
      <c r="U637" s="76" t="s">
        <v>136</v>
      </c>
      <c r="V637" s="76"/>
      <c r="W637" s="76"/>
      <c r="X637" s="97"/>
      <c r="Y637" s="167"/>
      <c r="Z637" s="176" t="s">
        <v>1460</v>
      </c>
      <c r="AA637" s="168"/>
      <c r="AB637" s="97"/>
      <c r="AC637" s="168"/>
      <c r="AD637" s="168"/>
      <c r="AE637" s="76"/>
      <c r="AF637" s="153">
        <v>46134.0</v>
      </c>
      <c r="AG637" s="76" t="s">
        <v>10022</v>
      </c>
      <c r="AH637" s="85" t="s">
        <v>9989</v>
      </c>
      <c r="AI637" s="67"/>
      <c r="AJ637" s="67"/>
      <c r="AK637" s="748"/>
      <c r="AL637" s="748"/>
      <c r="AM637" s="810"/>
      <c r="AN637" s="810"/>
      <c r="AO637" s="748"/>
      <c r="AP637" s="748"/>
      <c r="AQ637" s="67"/>
      <c r="AR637" s="67"/>
      <c r="AS637" s="67"/>
      <c r="AT637" s="67"/>
    </row>
    <row r="638">
      <c r="A638" s="76" t="s">
        <v>116</v>
      </c>
      <c r="B638" s="757" t="s">
        <v>1039</v>
      </c>
      <c r="C638" s="757" t="s">
        <v>1728</v>
      </c>
      <c r="D638" s="757" t="s">
        <v>121</v>
      </c>
      <c r="E638" s="758" t="s">
        <v>1345</v>
      </c>
      <c r="F638" s="759" t="s">
        <v>3239</v>
      </c>
      <c r="G638" s="760" t="s">
        <v>3240</v>
      </c>
      <c r="H638" s="760" t="s">
        <v>504</v>
      </c>
      <c r="I638" s="146" t="s">
        <v>408</v>
      </c>
      <c r="J638" s="109" t="s">
        <v>114</v>
      </c>
      <c r="K638" s="124" t="s">
        <v>10026</v>
      </c>
      <c r="L638" s="617" t="s">
        <v>9611</v>
      </c>
      <c r="M638" s="995" t="s">
        <v>60</v>
      </c>
      <c r="N638" s="978" t="s">
        <v>3660</v>
      </c>
      <c r="O638" s="848" t="s">
        <v>2639</v>
      </c>
      <c r="P638" s="712">
        <v>36650.0</v>
      </c>
      <c r="Q638" s="315">
        <f t="shared" si="67"/>
        <v>36650</v>
      </c>
      <c r="R638" s="86">
        <f t="shared" si="68"/>
        <v>26</v>
      </c>
      <c r="S638" s="315">
        <v>3.664901739E9</v>
      </c>
      <c r="T638" s="315"/>
      <c r="U638" s="124" t="s">
        <v>136</v>
      </c>
      <c r="V638" s="76"/>
      <c r="W638" s="76"/>
      <c r="X638" s="97"/>
      <c r="Y638" s="97"/>
      <c r="Z638" s="97"/>
      <c r="AA638" s="97"/>
      <c r="AB638" s="97"/>
      <c r="AC638" s="76" t="s">
        <v>2915</v>
      </c>
      <c r="AD638" s="76"/>
      <c r="AE638" s="76"/>
      <c r="AF638" s="76" t="s">
        <v>10032</v>
      </c>
      <c r="AG638" s="153">
        <v>46131.0</v>
      </c>
      <c r="AH638" s="85" t="s">
        <v>9989</v>
      </c>
      <c r="AI638" s="67"/>
      <c r="AJ638" s="67"/>
      <c r="AK638" s="748"/>
      <c r="AL638" s="748"/>
      <c r="AM638" s="810"/>
      <c r="AN638" s="810"/>
      <c r="AO638" s="748"/>
      <c r="AP638" s="748"/>
      <c r="AQ638" s="67"/>
      <c r="AR638" s="67"/>
      <c r="AS638" s="67"/>
      <c r="AT638" s="67"/>
    </row>
    <row r="639">
      <c r="A639" s="76" t="s">
        <v>116</v>
      </c>
      <c r="B639" s="757" t="s">
        <v>1039</v>
      </c>
      <c r="C639" s="757" t="s">
        <v>1728</v>
      </c>
      <c r="D639" s="757" t="s">
        <v>121</v>
      </c>
      <c r="E639" s="758" t="s">
        <v>201</v>
      </c>
      <c r="F639" s="759" t="s">
        <v>1849</v>
      </c>
      <c r="G639" s="760" t="s">
        <v>722</v>
      </c>
      <c r="H639" s="760" t="s">
        <v>60</v>
      </c>
      <c r="I639" s="87" t="s">
        <v>1221</v>
      </c>
      <c r="J639" s="97" t="s">
        <v>114</v>
      </c>
      <c r="K639" s="726" t="s">
        <v>10036</v>
      </c>
      <c r="L639" s="86"/>
      <c r="M639" s="86" t="s">
        <v>60</v>
      </c>
      <c r="N639" s="978" t="s">
        <v>10040</v>
      </c>
      <c r="O639" s="87" t="s">
        <v>10043</v>
      </c>
      <c r="P639" s="856">
        <v>34325.0</v>
      </c>
      <c r="Q639" s="315">
        <f t="shared" si="67"/>
        <v>34325</v>
      </c>
      <c r="R639" s="86">
        <f t="shared" si="68"/>
        <v>32</v>
      </c>
      <c r="S639" s="315">
        <v>3.432409131E9</v>
      </c>
      <c r="T639" s="315"/>
      <c r="U639" s="224" t="s">
        <v>136</v>
      </c>
      <c r="V639" s="86"/>
      <c r="W639" s="86"/>
      <c r="X639" s="97"/>
      <c r="Y639" s="97"/>
      <c r="Z639" s="97"/>
      <c r="AA639" s="97"/>
      <c r="AB639" s="97"/>
      <c r="AC639" s="97" t="s">
        <v>2451</v>
      </c>
      <c r="AD639" s="99"/>
      <c r="AE639" s="76"/>
      <c r="AF639" s="85" t="s">
        <v>10045</v>
      </c>
      <c r="AG639" s="76" t="s">
        <v>697</v>
      </c>
      <c r="AH639" s="85" t="s">
        <v>9989</v>
      </c>
      <c r="AI639" s="67"/>
      <c r="AJ639" s="67"/>
      <c r="AK639" s="748"/>
      <c r="AL639" s="748"/>
      <c r="AM639" s="810"/>
      <c r="AN639" s="810"/>
      <c r="AO639" s="748"/>
      <c r="AP639" s="748"/>
      <c r="AQ639" s="67"/>
      <c r="AR639" s="67"/>
      <c r="AS639" s="67"/>
      <c r="AT639" s="67"/>
    </row>
    <row r="640">
      <c r="A640" s="76" t="s">
        <v>116</v>
      </c>
      <c r="B640" s="757" t="s">
        <v>1645</v>
      </c>
      <c r="C640" s="757" t="s">
        <v>1269</v>
      </c>
      <c r="D640" s="757" t="s">
        <v>121</v>
      </c>
      <c r="E640" s="758" t="s">
        <v>119</v>
      </c>
      <c r="F640" s="759" t="s">
        <v>1295</v>
      </c>
      <c r="G640" s="760" t="s">
        <v>141</v>
      </c>
      <c r="H640" s="760" t="s">
        <v>504</v>
      </c>
      <c r="I640" s="146" t="s">
        <v>408</v>
      </c>
      <c r="J640" s="76" t="s">
        <v>114</v>
      </c>
      <c r="K640" s="85" t="s">
        <v>10048</v>
      </c>
      <c r="L640" s="85"/>
      <c r="M640" s="87" t="s">
        <v>60</v>
      </c>
      <c r="N640" s="287" t="s">
        <v>10049</v>
      </c>
      <c r="O640" s="34" t="s">
        <v>10050</v>
      </c>
      <c r="P640" s="523">
        <v>28427.0</v>
      </c>
      <c r="Q640" s="315">
        <f t="shared" si="67"/>
        <v>28427</v>
      </c>
      <c r="R640" s="86">
        <f t="shared" si="68"/>
        <v>48</v>
      </c>
      <c r="S640" s="76">
        <v>2.842600717E9</v>
      </c>
      <c r="T640" s="315"/>
      <c r="U640" s="76" t="s">
        <v>136</v>
      </c>
      <c r="V640" s="76"/>
      <c r="W640" s="76"/>
      <c r="X640" s="76"/>
      <c r="Y640" s="97" t="s">
        <v>1174</v>
      </c>
      <c r="Z640" s="278" t="s">
        <v>2090</v>
      </c>
      <c r="AA640" s="76"/>
      <c r="AB640" s="97"/>
      <c r="AC640" s="76" t="s">
        <v>2915</v>
      </c>
      <c r="AD640" s="99"/>
      <c r="AE640" s="76"/>
      <c r="AF640" s="76" t="s">
        <v>10054</v>
      </c>
      <c r="AG640" s="153">
        <v>46132.0</v>
      </c>
      <c r="AH640" s="85" t="s">
        <v>9989</v>
      </c>
      <c r="AI640" s="67"/>
      <c r="AJ640" s="67"/>
      <c r="AK640" s="748"/>
      <c r="AL640" s="748"/>
      <c r="AM640" s="810"/>
      <c r="AN640" s="810"/>
      <c r="AO640" s="748"/>
      <c r="AP640" s="748"/>
      <c r="AQ640" s="67"/>
      <c r="AR640" s="67"/>
      <c r="AS640" s="67"/>
      <c r="AT640" s="67"/>
    </row>
    <row r="641">
      <c r="A641" s="76" t="s">
        <v>116</v>
      </c>
      <c r="B641" s="757" t="s">
        <v>1645</v>
      </c>
      <c r="C641" s="757" t="s">
        <v>1269</v>
      </c>
      <c r="D641" s="757" t="s">
        <v>1368</v>
      </c>
      <c r="E641" s="758" t="s">
        <v>187</v>
      </c>
      <c r="F641" s="759" t="s">
        <v>1469</v>
      </c>
      <c r="G641" s="760" t="s">
        <v>811</v>
      </c>
      <c r="H641" s="760" t="s">
        <v>60</v>
      </c>
      <c r="I641" s="87" t="s">
        <v>1221</v>
      </c>
      <c r="K641" s="97"/>
      <c r="M641" s="211" t="s">
        <v>60</v>
      </c>
      <c r="N641" s="996" t="s">
        <v>10059</v>
      </c>
      <c r="Q641" s="490"/>
      <c r="U641" s="76" t="s">
        <v>379</v>
      </c>
      <c r="V641" s="86"/>
      <c r="W641" s="97"/>
      <c r="X641" s="97"/>
      <c r="Y641" s="97"/>
      <c r="Z641" s="97"/>
      <c r="AA641" s="97"/>
      <c r="AB641" s="97"/>
      <c r="AC641" s="160" t="s">
        <v>630</v>
      </c>
      <c r="AD641" s="76" t="s">
        <v>632</v>
      </c>
      <c r="AE641" s="76" t="s">
        <v>632</v>
      </c>
      <c r="AF641" s="160" t="s">
        <v>630</v>
      </c>
      <c r="AH641" s="85" t="s">
        <v>9989</v>
      </c>
      <c r="AI641" s="67"/>
      <c r="AJ641" s="67"/>
      <c r="AK641" s="748"/>
      <c r="AL641" s="748"/>
      <c r="AM641" s="810"/>
      <c r="AN641" s="810"/>
      <c r="AO641" s="748"/>
      <c r="AP641" s="748"/>
      <c r="AQ641" s="67"/>
      <c r="AR641" s="67"/>
      <c r="AS641" s="67"/>
      <c r="AT641" s="67"/>
    </row>
    <row r="642">
      <c r="A642" s="76" t="s">
        <v>116</v>
      </c>
      <c r="B642" s="757" t="s">
        <v>1645</v>
      </c>
      <c r="C642" s="757" t="s">
        <v>1269</v>
      </c>
      <c r="D642" s="757" t="s">
        <v>1494</v>
      </c>
      <c r="E642" s="758" t="s">
        <v>58</v>
      </c>
      <c r="F642" s="759" t="s">
        <v>1496</v>
      </c>
      <c r="G642" s="760" t="s">
        <v>3806</v>
      </c>
      <c r="H642" s="760" t="s">
        <v>60</v>
      </c>
      <c r="I642" s="87" t="s">
        <v>1221</v>
      </c>
      <c r="J642" s="85" t="s">
        <v>114</v>
      </c>
      <c r="K642" s="124" t="s">
        <v>10064</v>
      </c>
      <c r="L642" s="76"/>
      <c r="M642" s="85" t="s">
        <v>60</v>
      </c>
      <c r="N642" s="287" t="s">
        <v>10065</v>
      </c>
      <c r="O642" s="76" t="s">
        <v>10066</v>
      </c>
      <c r="P642" s="153">
        <v>33623.0</v>
      </c>
      <c r="Q642" s="315">
        <f>VALUE(LEFT(TEXT(S642,0),5))+1</f>
        <v>33623</v>
      </c>
      <c r="R642" s="86">
        <f>DATEDIF($P642,TODAY(),"Y")</f>
        <v>34</v>
      </c>
      <c r="S642" s="76">
        <v>3.362207516E9</v>
      </c>
      <c r="T642" s="86"/>
      <c r="U642" s="76" t="s">
        <v>136</v>
      </c>
      <c r="V642" s="76"/>
      <c r="W642" s="76"/>
      <c r="X642" s="97"/>
      <c r="Y642" s="167"/>
      <c r="Z642" s="176" t="s">
        <v>1460</v>
      </c>
      <c r="AA642" s="168"/>
      <c r="AB642" s="97"/>
      <c r="AC642" s="168"/>
      <c r="AD642" s="168"/>
      <c r="AE642" s="76"/>
      <c r="AF642" s="76" t="s">
        <v>4767</v>
      </c>
      <c r="AG642" s="153">
        <v>46109.0</v>
      </c>
      <c r="AH642" s="85" t="s">
        <v>9989</v>
      </c>
      <c r="AI642" s="67"/>
      <c r="AJ642" s="67"/>
      <c r="AK642" s="748"/>
      <c r="AL642" s="748"/>
      <c r="AM642" s="810"/>
      <c r="AN642" s="810"/>
      <c r="AO642" s="748"/>
      <c r="AP642" s="748"/>
      <c r="AQ642" s="67"/>
      <c r="AR642" s="67"/>
      <c r="AS642" s="67"/>
      <c r="AT642" s="67"/>
    </row>
    <row r="643">
      <c r="A643" s="76" t="s">
        <v>116</v>
      </c>
      <c r="B643" s="757" t="s">
        <v>1645</v>
      </c>
      <c r="C643" s="757" t="s">
        <v>1517</v>
      </c>
      <c r="D643" s="757" t="s">
        <v>1494</v>
      </c>
      <c r="E643" s="758" t="s">
        <v>213</v>
      </c>
      <c r="F643" s="759" t="s">
        <v>1523</v>
      </c>
      <c r="G643" s="760" t="s">
        <v>935</v>
      </c>
      <c r="H643" s="760" t="s">
        <v>60</v>
      </c>
      <c r="I643" s="87" t="s">
        <v>1221</v>
      </c>
      <c r="J643" s="109"/>
      <c r="K643" s="85"/>
      <c r="L643" s="87"/>
      <c r="M643" s="998" t="s">
        <v>60</v>
      </c>
      <c r="N643" s="996" t="s">
        <v>10075</v>
      </c>
      <c r="O643" s="87"/>
      <c r="P643" s="750"/>
      <c r="Q643" s="315"/>
      <c r="R643" s="86"/>
      <c r="S643" s="315"/>
      <c r="T643" s="315"/>
      <c r="U643" s="76" t="s">
        <v>379</v>
      </c>
      <c r="V643" s="86"/>
      <c r="W643" s="97"/>
      <c r="X643" s="97"/>
      <c r="Y643" s="97"/>
      <c r="Z643" s="97"/>
      <c r="AA643" s="97"/>
      <c r="AB643" s="97"/>
      <c r="AC643" s="160" t="s">
        <v>630</v>
      </c>
      <c r="AD643" s="76" t="s">
        <v>632</v>
      </c>
      <c r="AE643" s="76"/>
      <c r="AF643" s="160" t="s">
        <v>630</v>
      </c>
      <c r="AG643" s="112"/>
      <c r="AH643" s="85" t="s">
        <v>9989</v>
      </c>
      <c r="AI643" s="67"/>
      <c r="AJ643" s="67"/>
      <c r="AK643" s="748"/>
      <c r="AL643" s="748"/>
      <c r="AM643" s="810"/>
      <c r="AN643" s="810"/>
      <c r="AO643" s="748"/>
      <c r="AP643" s="748"/>
      <c r="AQ643" s="67"/>
      <c r="AR643" s="67"/>
      <c r="AS643" s="67"/>
      <c r="AT643" s="67"/>
    </row>
    <row r="644">
      <c r="A644" s="76" t="s">
        <v>116</v>
      </c>
      <c r="B644" s="757" t="s">
        <v>1645</v>
      </c>
      <c r="C644" s="757" t="s">
        <v>1517</v>
      </c>
      <c r="D644" s="757" t="s">
        <v>1519</v>
      </c>
      <c r="E644" s="758" t="s">
        <v>201</v>
      </c>
      <c r="F644" s="759" t="s">
        <v>1849</v>
      </c>
      <c r="G644" s="760" t="s">
        <v>4504</v>
      </c>
      <c r="H644" s="760" t="s">
        <v>60</v>
      </c>
      <c r="I644" s="87" t="s">
        <v>1221</v>
      </c>
      <c r="J644" s="76" t="s">
        <v>114</v>
      </c>
      <c r="K644" s="85" t="s">
        <v>10083</v>
      </c>
      <c r="L644" s="85"/>
      <c r="M644" s="85" t="s">
        <v>60</v>
      </c>
      <c r="N644" s="287" t="s">
        <v>9310</v>
      </c>
      <c r="O644" s="76" t="s">
        <v>1391</v>
      </c>
      <c r="P644" s="153">
        <v>34066.0</v>
      </c>
      <c r="Q644" s="315">
        <f>VALUE(LEFT(TEXT(S644,0),5))+1</f>
        <v>34066</v>
      </c>
      <c r="R644" s="86">
        <f>DATEDIF($P644,TODAY(),"Y")</f>
        <v>33</v>
      </c>
      <c r="S644" s="315">
        <v>3.406517312E9</v>
      </c>
      <c r="T644" s="315"/>
      <c r="U644" s="76" t="s">
        <v>136</v>
      </c>
      <c r="V644" s="76"/>
      <c r="W644" s="76"/>
      <c r="X644" s="76" t="s">
        <v>186</v>
      </c>
      <c r="Y644" s="211" t="s">
        <v>2090</v>
      </c>
      <c r="Z644" s="501" t="s">
        <v>418</v>
      </c>
      <c r="AA644" s="97"/>
      <c r="AB644" s="97"/>
      <c r="AC644" s="97"/>
      <c r="AD644" s="99"/>
      <c r="AE644" s="76"/>
      <c r="AF644" s="76" t="s">
        <v>155</v>
      </c>
      <c r="AG644" s="153">
        <v>46059.0</v>
      </c>
      <c r="AH644" s="85" t="s">
        <v>9989</v>
      </c>
      <c r="AI644" s="67"/>
      <c r="AJ644" s="67"/>
      <c r="AK644" s="748"/>
      <c r="AL644" s="748"/>
      <c r="AM644" s="810"/>
      <c r="AN644" s="810"/>
      <c r="AO644" s="748"/>
      <c r="AP644" s="748"/>
      <c r="AQ644" s="67"/>
      <c r="AR644" s="67"/>
      <c r="AS644" s="67"/>
      <c r="AT644" s="67"/>
    </row>
    <row r="645">
      <c r="A645" s="76" t="s">
        <v>116</v>
      </c>
      <c r="B645" s="757" t="s">
        <v>1645</v>
      </c>
      <c r="C645" s="757" t="s">
        <v>1611</v>
      </c>
      <c r="D645" s="757" t="s">
        <v>121</v>
      </c>
      <c r="E645" s="758" t="s">
        <v>295</v>
      </c>
      <c r="F645" s="759" t="s">
        <v>1241</v>
      </c>
      <c r="G645" s="760" t="s">
        <v>4581</v>
      </c>
      <c r="H645" s="760" t="s">
        <v>60</v>
      </c>
      <c r="I645" s="87" t="s">
        <v>1221</v>
      </c>
      <c r="K645" s="85"/>
      <c r="M645" s="468" t="s">
        <v>60</v>
      </c>
      <c r="N645" s="992" t="s">
        <v>10091</v>
      </c>
      <c r="U645" s="76" t="s">
        <v>379</v>
      </c>
      <c r="V645" s="86"/>
      <c r="W645" s="86"/>
      <c r="X645" s="97"/>
      <c r="Y645" s="97"/>
      <c r="Z645" s="97"/>
      <c r="AA645" s="97"/>
      <c r="AB645" s="97"/>
      <c r="AC645" s="160" t="s">
        <v>630</v>
      </c>
      <c r="AD645" s="76" t="s">
        <v>632</v>
      </c>
      <c r="AE645" s="76" t="s">
        <v>632</v>
      </c>
      <c r="AF645" s="160" t="s">
        <v>630</v>
      </c>
      <c r="AG645" s="112"/>
      <c r="AH645" s="85" t="s">
        <v>9989</v>
      </c>
      <c r="AI645" s="67"/>
      <c r="AJ645" s="67"/>
      <c r="AK645" s="748"/>
      <c r="AL645" s="748"/>
      <c r="AM645" s="810"/>
      <c r="AN645" s="810"/>
      <c r="AO645" s="748"/>
      <c r="AP645" s="748"/>
      <c r="AQ645" s="67"/>
      <c r="AR645" s="67"/>
      <c r="AS645" s="67"/>
      <c r="AT645" s="67"/>
    </row>
    <row r="646">
      <c r="A646" s="76" t="s">
        <v>116</v>
      </c>
      <c r="B646" s="757" t="s">
        <v>1645</v>
      </c>
      <c r="C646" s="757" t="s">
        <v>1611</v>
      </c>
      <c r="D646" s="757" t="s">
        <v>1368</v>
      </c>
      <c r="E646" s="758" t="s">
        <v>321</v>
      </c>
      <c r="F646" s="759" t="s">
        <v>1552</v>
      </c>
      <c r="G646" s="760" t="s">
        <v>4704</v>
      </c>
      <c r="H646" s="760" t="s">
        <v>60</v>
      </c>
      <c r="I646" s="87" t="s">
        <v>1221</v>
      </c>
      <c r="J646" s="97"/>
      <c r="K646" s="85"/>
      <c r="L646" s="109"/>
      <c r="M646" s="468" t="s">
        <v>60</v>
      </c>
      <c r="N646" s="996" t="s">
        <v>10098</v>
      </c>
      <c r="O646" s="87"/>
      <c r="P646" s="712"/>
      <c r="Q646" s="315"/>
      <c r="R646" s="86"/>
      <c r="S646" s="315"/>
      <c r="T646" s="315"/>
      <c r="U646" s="76" t="s">
        <v>379</v>
      </c>
      <c r="V646" s="86"/>
      <c r="W646" s="86"/>
      <c r="X646" s="97"/>
      <c r="Y646" s="97"/>
      <c r="Z646" s="97"/>
      <c r="AA646" s="97"/>
      <c r="AB646" s="97"/>
      <c r="AC646" s="160" t="s">
        <v>630</v>
      </c>
      <c r="AD646" s="76" t="s">
        <v>632</v>
      </c>
      <c r="AE646" s="76" t="s">
        <v>632</v>
      </c>
      <c r="AF646" s="160" t="s">
        <v>630</v>
      </c>
      <c r="AG646" s="189"/>
      <c r="AH646" s="85" t="s">
        <v>9989</v>
      </c>
      <c r="AI646" s="67"/>
      <c r="AJ646" s="67"/>
      <c r="AK646" s="748"/>
      <c r="AL646" s="748"/>
      <c r="AM646" s="810"/>
      <c r="AN646" s="810"/>
      <c r="AO646" s="748"/>
      <c r="AP646" s="748"/>
      <c r="AQ646" s="67"/>
      <c r="AR646" s="67"/>
      <c r="AS646" s="67"/>
      <c r="AT646" s="67"/>
    </row>
    <row r="647">
      <c r="A647" s="76" t="s">
        <v>116</v>
      </c>
      <c r="B647" s="757" t="s">
        <v>1645</v>
      </c>
      <c r="C647" s="757" t="s">
        <v>1611</v>
      </c>
      <c r="D647" s="757" t="s">
        <v>1519</v>
      </c>
      <c r="E647" s="758" t="s">
        <v>321</v>
      </c>
      <c r="F647" s="759" t="s">
        <v>1552</v>
      </c>
      <c r="G647" s="760" t="s">
        <v>1050</v>
      </c>
      <c r="H647" s="760" t="s">
        <v>60</v>
      </c>
      <c r="I647" s="87" t="s">
        <v>1221</v>
      </c>
      <c r="J647" s="76" t="s">
        <v>114</v>
      </c>
      <c r="K647" s="176" t="s">
        <v>10107</v>
      </c>
      <c r="L647" s="85"/>
      <c r="M647" s="85" t="s">
        <v>60</v>
      </c>
      <c r="N647" s="785" t="s">
        <v>9203</v>
      </c>
      <c r="O647" s="756" t="s">
        <v>9204</v>
      </c>
      <c r="P647" s="262">
        <v>28760.0</v>
      </c>
      <c r="Q647" s="315">
        <f t="shared" ref="Q647:Q650" si="69">VALUE(LEFT(TEXT(S647,0),5))+1</f>
        <v>28760</v>
      </c>
      <c r="R647" s="97">
        <f t="shared" ref="R647:R650" si="70">DATEDIF($P647,TODAY(),"Y")</f>
        <v>47</v>
      </c>
      <c r="S647" s="76">
        <v>2.875905459E9</v>
      </c>
      <c r="T647" s="76" t="s">
        <v>1511</v>
      </c>
      <c r="U647" s="76" t="s">
        <v>368</v>
      </c>
      <c r="V647" s="76"/>
      <c r="W647" s="76"/>
      <c r="X647" s="76"/>
      <c r="Y647" s="76" t="s">
        <v>371</v>
      </c>
      <c r="Z647" s="85"/>
      <c r="AA647" s="76"/>
      <c r="AB647" s="97"/>
      <c r="AC647" s="76"/>
      <c r="AD647" s="99"/>
      <c r="AE647" s="76"/>
      <c r="AF647" s="153">
        <v>46110.0</v>
      </c>
      <c r="AG647" s="153" t="s">
        <v>375</v>
      </c>
      <c r="AH647" s="85" t="s">
        <v>9989</v>
      </c>
      <c r="AI647" s="67"/>
      <c r="AJ647" s="67"/>
      <c r="AK647" s="748"/>
      <c r="AL647" s="748"/>
      <c r="AM647" s="810"/>
      <c r="AN647" s="810"/>
      <c r="AO647" s="748"/>
      <c r="AP647" s="748"/>
      <c r="AQ647" s="67"/>
      <c r="AR647" s="67"/>
      <c r="AS647" s="67"/>
      <c r="AT647" s="67"/>
    </row>
    <row r="648">
      <c r="A648" s="76" t="s">
        <v>116</v>
      </c>
      <c r="B648" s="757" t="s">
        <v>1645</v>
      </c>
      <c r="C648" s="757" t="s">
        <v>1611</v>
      </c>
      <c r="D648" s="757" t="s">
        <v>1519</v>
      </c>
      <c r="E648" s="758" t="s">
        <v>213</v>
      </c>
      <c r="F648" s="759" t="s">
        <v>1523</v>
      </c>
      <c r="G648" s="760" t="s">
        <v>1056</v>
      </c>
      <c r="H648" s="760" t="s">
        <v>60</v>
      </c>
      <c r="I648" s="87" t="s">
        <v>1221</v>
      </c>
      <c r="J648" s="76" t="s">
        <v>114</v>
      </c>
      <c r="K648" s="176" t="s">
        <v>10114</v>
      </c>
      <c r="L648" s="85"/>
      <c r="M648" s="85" t="s">
        <v>60</v>
      </c>
      <c r="N648" s="287" t="s">
        <v>10116</v>
      </c>
      <c r="O648" s="341" t="s">
        <v>10117</v>
      </c>
      <c r="P648" s="262">
        <v>33620.0</v>
      </c>
      <c r="Q648" s="315">
        <f t="shared" si="69"/>
        <v>33620</v>
      </c>
      <c r="R648" s="97">
        <f t="shared" si="70"/>
        <v>34</v>
      </c>
      <c r="S648" s="76">
        <v>3.361906759E9</v>
      </c>
      <c r="T648" s="168"/>
      <c r="U648" s="76" t="s">
        <v>136</v>
      </c>
      <c r="V648" s="76"/>
      <c r="W648" s="97"/>
      <c r="X648" s="76" t="s">
        <v>186</v>
      </c>
      <c r="Y648" s="211" t="s">
        <v>1460</v>
      </c>
      <c r="Z648" s="211" t="s">
        <v>418</v>
      </c>
      <c r="AA648" s="168"/>
      <c r="AB648" s="97"/>
      <c r="AC648" s="167"/>
      <c r="AD648" s="168"/>
      <c r="AE648" s="76"/>
      <c r="AF648" s="153">
        <v>46094.0</v>
      </c>
      <c r="AG648" s="153" t="s">
        <v>10123</v>
      </c>
      <c r="AH648" s="85" t="s">
        <v>9989</v>
      </c>
      <c r="AI648" s="67"/>
      <c r="AJ648" s="67"/>
      <c r="AK648" s="748"/>
      <c r="AL648" s="748"/>
      <c r="AM648" s="810"/>
      <c r="AN648" s="810"/>
      <c r="AO648" s="748"/>
      <c r="AP648" s="748"/>
      <c r="AQ648" s="67"/>
      <c r="AR648" s="67"/>
      <c r="AS648" s="67"/>
      <c r="AT648" s="67"/>
    </row>
    <row r="649">
      <c r="A649" s="76" t="s">
        <v>116</v>
      </c>
      <c r="B649" s="757" t="s">
        <v>1645</v>
      </c>
      <c r="C649" s="757" t="s">
        <v>1611</v>
      </c>
      <c r="D649" s="757" t="s">
        <v>1519</v>
      </c>
      <c r="E649" s="758" t="s">
        <v>213</v>
      </c>
      <c r="F649" s="759" t="s">
        <v>1523</v>
      </c>
      <c r="G649" s="760" t="s">
        <v>1056</v>
      </c>
      <c r="H649" s="760" t="s">
        <v>60</v>
      </c>
      <c r="I649" s="87" t="s">
        <v>1221</v>
      </c>
      <c r="J649" s="76" t="s">
        <v>114</v>
      </c>
      <c r="K649" s="176" t="s">
        <v>10124</v>
      </c>
      <c r="L649" s="85"/>
      <c r="M649" s="85" t="s">
        <v>60</v>
      </c>
      <c r="N649" s="785" t="s">
        <v>9106</v>
      </c>
      <c r="O649" s="756" t="s">
        <v>3110</v>
      </c>
      <c r="P649" s="262">
        <v>32545.0</v>
      </c>
      <c r="Q649" s="315">
        <f t="shared" si="69"/>
        <v>32545</v>
      </c>
      <c r="R649" s="97">
        <f t="shared" si="70"/>
        <v>37</v>
      </c>
      <c r="S649" s="76">
        <v>3.254419933E9</v>
      </c>
      <c r="T649" s="315"/>
      <c r="U649" s="76" t="s">
        <v>368</v>
      </c>
      <c r="V649" s="76"/>
      <c r="W649" s="76"/>
      <c r="X649" s="76"/>
      <c r="Y649" s="76" t="s">
        <v>371</v>
      </c>
      <c r="Z649" s="85"/>
      <c r="AA649" s="76"/>
      <c r="AB649" s="97"/>
      <c r="AC649" s="76"/>
      <c r="AD649" s="99"/>
      <c r="AE649" s="76"/>
      <c r="AF649" s="76"/>
      <c r="AG649" s="153">
        <v>46107.0</v>
      </c>
      <c r="AH649" s="85" t="s">
        <v>9989</v>
      </c>
      <c r="AI649" s="67"/>
      <c r="AJ649" s="67"/>
      <c r="AK649" s="748"/>
      <c r="AL649" s="748"/>
      <c r="AM649" s="810"/>
      <c r="AN649" s="810"/>
      <c r="AO649" s="748"/>
      <c r="AP649" s="748"/>
      <c r="AQ649" s="67"/>
      <c r="AR649" s="67"/>
      <c r="AS649" s="67"/>
      <c r="AT649" s="67"/>
    </row>
    <row r="650">
      <c r="A650" s="76" t="s">
        <v>116</v>
      </c>
      <c r="B650" s="757" t="s">
        <v>1645</v>
      </c>
      <c r="C650" s="757" t="s">
        <v>1728</v>
      </c>
      <c r="D650" s="757" t="s">
        <v>121</v>
      </c>
      <c r="E650" s="758" t="s">
        <v>287</v>
      </c>
      <c r="F650" s="759" t="s">
        <v>2853</v>
      </c>
      <c r="G650" s="760" t="s">
        <v>1077</v>
      </c>
      <c r="H650" s="760" t="s">
        <v>60</v>
      </c>
      <c r="I650" s="87" t="s">
        <v>1221</v>
      </c>
      <c r="J650" s="76" t="s">
        <v>114</v>
      </c>
      <c r="K650" s="87"/>
      <c r="L650" s="85"/>
      <c r="M650" s="85" t="s">
        <v>60</v>
      </c>
      <c r="N650" s="287" t="s">
        <v>10132</v>
      </c>
      <c r="O650" s="756" t="s">
        <v>9939</v>
      </c>
      <c r="P650" s="262">
        <v>35309.0</v>
      </c>
      <c r="Q650" s="315">
        <f t="shared" si="69"/>
        <v>35309</v>
      </c>
      <c r="R650" s="97">
        <f t="shared" si="70"/>
        <v>30</v>
      </c>
      <c r="S650" s="76">
        <v>3.530804011E9</v>
      </c>
      <c r="T650" s="315"/>
      <c r="U650" s="76" t="s">
        <v>136</v>
      </c>
      <c r="V650" s="76"/>
      <c r="W650" s="76"/>
      <c r="X650" s="97"/>
      <c r="Y650" s="97"/>
      <c r="Z650" s="176" t="s">
        <v>1460</v>
      </c>
      <c r="AA650" s="76" t="s">
        <v>1178</v>
      </c>
      <c r="AB650" s="97"/>
      <c r="AC650" s="99"/>
      <c r="AD650" s="99"/>
      <c r="AE650" s="76"/>
      <c r="AF650" s="76"/>
      <c r="AG650" s="153">
        <v>46130.0</v>
      </c>
      <c r="AH650" s="85" t="s">
        <v>9989</v>
      </c>
      <c r="AI650" s="67"/>
      <c r="AJ650" s="67"/>
      <c r="AK650" s="748"/>
      <c r="AL650" s="748"/>
      <c r="AM650" s="810"/>
      <c r="AN650" s="810"/>
      <c r="AO650" s="748"/>
      <c r="AP650" s="748"/>
      <c r="AQ650" s="67"/>
      <c r="AR650" s="67"/>
      <c r="AS650" s="67"/>
      <c r="AT650" s="67"/>
    </row>
    <row r="651">
      <c r="A651" s="76" t="s">
        <v>116</v>
      </c>
      <c r="B651" s="757" t="s">
        <v>1709</v>
      </c>
      <c r="C651" s="757" t="s">
        <v>1269</v>
      </c>
      <c r="D651" s="757" t="s">
        <v>1368</v>
      </c>
      <c r="E651" s="758" t="s">
        <v>139</v>
      </c>
      <c r="F651" s="759" t="s">
        <v>1520</v>
      </c>
      <c r="G651" s="760" t="s">
        <v>5520</v>
      </c>
      <c r="H651" s="760" t="s">
        <v>60</v>
      </c>
      <c r="I651" s="87" t="s">
        <v>1221</v>
      </c>
      <c r="J651" s="76"/>
      <c r="K651" s="85"/>
      <c r="L651" s="85"/>
      <c r="M651" s="197" t="s">
        <v>60</v>
      </c>
      <c r="N651" s="127" t="s">
        <v>7622</v>
      </c>
      <c r="O651" s="85"/>
      <c r="P651" s="153"/>
      <c r="Q651" s="315"/>
      <c r="R651" s="86"/>
      <c r="S651" s="315"/>
      <c r="T651" s="315"/>
      <c r="U651" s="224" t="s">
        <v>136</v>
      </c>
      <c r="V651" s="86"/>
      <c r="W651" s="86"/>
      <c r="X651" s="97"/>
      <c r="Y651" s="97"/>
      <c r="Z651" s="97"/>
      <c r="AA651" s="97"/>
      <c r="AB651" s="97"/>
      <c r="AC651" s="160" t="s">
        <v>630</v>
      </c>
      <c r="AD651" s="76" t="s">
        <v>632</v>
      </c>
      <c r="AE651" s="76" t="s">
        <v>632</v>
      </c>
      <c r="AF651" s="160" t="s">
        <v>630</v>
      </c>
      <c r="AG651" s="76"/>
      <c r="AH651" s="85" t="s">
        <v>9989</v>
      </c>
      <c r="AI651" s="67"/>
      <c r="AJ651" s="67"/>
      <c r="AK651" s="748"/>
      <c r="AL651" s="748"/>
      <c r="AM651" s="810"/>
      <c r="AN651" s="810"/>
      <c r="AO651" s="748"/>
      <c r="AP651" s="748"/>
      <c r="AQ651" s="67"/>
      <c r="AR651" s="67"/>
      <c r="AS651" s="67"/>
      <c r="AT651" s="67"/>
    </row>
    <row r="652">
      <c r="A652" s="76" t="s">
        <v>116</v>
      </c>
      <c r="B652" s="757" t="s">
        <v>1709</v>
      </c>
      <c r="C652" s="757" t="s">
        <v>1269</v>
      </c>
      <c r="D652" s="757" t="s">
        <v>1494</v>
      </c>
      <c r="E652" s="758" t="s">
        <v>201</v>
      </c>
      <c r="F652" s="759" t="s">
        <v>1849</v>
      </c>
      <c r="G652" s="760" t="s">
        <v>5711</v>
      </c>
      <c r="H652" s="760" t="s">
        <v>60</v>
      </c>
      <c r="I652" s="87" t="s">
        <v>1221</v>
      </c>
      <c r="J652" s="76" t="s">
        <v>114</v>
      </c>
      <c r="K652" s="85"/>
      <c r="L652" s="85"/>
      <c r="M652" s="85" t="s">
        <v>656</v>
      </c>
      <c r="N652" s="913" t="s">
        <v>10141</v>
      </c>
      <c r="O652" s="85" t="s">
        <v>10143</v>
      </c>
      <c r="P652" s="153">
        <v>29992.0</v>
      </c>
      <c r="Q652" s="315">
        <f t="shared" ref="Q652:Q654" si="71">VALUE(LEFT(TEXT(S652,0),5))+1</f>
        <v>29992</v>
      </c>
      <c r="R652" s="86">
        <f t="shared" ref="R652:R654" si="72">DATEDIF($P652,TODAY(),"Y")</f>
        <v>44</v>
      </c>
      <c r="S652" s="76">
        <v>2.999102639E9</v>
      </c>
      <c r="T652" s="315"/>
      <c r="U652" s="76" t="s">
        <v>136</v>
      </c>
      <c r="V652" s="86"/>
      <c r="W652" s="76"/>
      <c r="X652" s="76" t="s">
        <v>186</v>
      </c>
      <c r="Y652" s="97" t="s">
        <v>183</v>
      </c>
      <c r="Z652" s="85" t="s">
        <v>2482</v>
      </c>
      <c r="AA652" s="97"/>
      <c r="AB652" s="97"/>
      <c r="AC652" s="76" t="s">
        <v>3127</v>
      </c>
      <c r="AD652" s="99"/>
      <c r="AE652" s="76"/>
      <c r="AF652" s="330">
        <v>45980.0</v>
      </c>
      <c r="AG652" s="153">
        <v>46137.0</v>
      </c>
      <c r="AH652" s="85" t="s">
        <v>9989</v>
      </c>
      <c r="AI652" s="67"/>
      <c r="AJ652" s="67"/>
      <c r="AK652" s="748"/>
      <c r="AL652" s="748"/>
      <c r="AM652" s="810"/>
      <c r="AN652" s="810"/>
      <c r="AO652" s="748"/>
      <c r="AP652" s="748"/>
      <c r="AQ652" s="67"/>
      <c r="AR652" s="67"/>
      <c r="AS652" s="67"/>
      <c r="AT652" s="67"/>
    </row>
    <row r="653">
      <c r="A653" s="76" t="s">
        <v>116</v>
      </c>
      <c r="B653" s="757" t="s">
        <v>1709</v>
      </c>
      <c r="C653" s="757" t="s">
        <v>1517</v>
      </c>
      <c r="D653" s="757" t="s">
        <v>1519</v>
      </c>
      <c r="E653" s="758" t="s">
        <v>139</v>
      </c>
      <c r="F653" s="759" t="s">
        <v>1520</v>
      </c>
      <c r="G653" s="760" t="s">
        <v>6148</v>
      </c>
      <c r="H653" s="760" t="s">
        <v>60</v>
      </c>
      <c r="I653" s="87" t="s">
        <v>1221</v>
      </c>
      <c r="J653" s="109" t="s">
        <v>114</v>
      </c>
      <c r="K653" s="176" t="s">
        <v>10151</v>
      </c>
      <c r="L653" s="1003"/>
      <c r="M653" s="1003" t="s">
        <v>326</v>
      </c>
      <c r="N653" s="978" t="s">
        <v>5925</v>
      </c>
      <c r="O653" s="87" t="s">
        <v>1538</v>
      </c>
      <c r="P653" s="712">
        <v>32169.0</v>
      </c>
      <c r="Q653" s="315">
        <f t="shared" si="71"/>
        <v>32169</v>
      </c>
      <c r="R653" s="86">
        <f t="shared" si="72"/>
        <v>38</v>
      </c>
      <c r="S653" s="315">
        <v>3.216810434E9</v>
      </c>
      <c r="T653" s="315"/>
      <c r="U653" s="291" t="s">
        <v>136</v>
      </c>
      <c r="V653" s="76"/>
      <c r="W653" s="76"/>
      <c r="X653" s="97"/>
      <c r="Y653" s="97"/>
      <c r="Z653" s="97"/>
      <c r="AA653" s="97"/>
      <c r="AB653" s="97"/>
      <c r="AC653" s="97"/>
      <c r="AD653" s="99"/>
      <c r="AE653" s="76"/>
      <c r="AF653" s="85" t="s">
        <v>10155</v>
      </c>
      <c r="AG653" s="76" t="s">
        <v>375</v>
      </c>
      <c r="AH653" s="85" t="s">
        <v>9989</v>
      </c>
      <c r="AI653" s="67"/>
      <c r="AJ653" s="67"/>
      <c r="AK653" s="748"/>
      <c r="AL653" s="748"/>
      <c r="AM653" s="810"/>
      <c r="AN653" s="810"/>
      <c r="AO653" s="748"/>
      <c r="AP653" s="748"/>
      <c r="AQ653" s="67"/>
      <c r="AR653" s="67"/>
      <c r="AS653" s="67"/>
      <c r="AT653" s="67"/>
    </row>
    <row r="654">
      <c r="A654" s="76" t="s">
        <v>116</v>
      </c>
      <c r="B654" s="757" t="s">
        <v>1709</v>
      </c>
      <c r="C654" s="757" t="s">
        <v>1517</v>
      </c>
      <c r="D654" s="757" t="s">
        <v>1519</v>
      </c>
      <c r="E654" s="758" t="s">
        <v>213</v>
      </c>
      <c r="F654" s="759" t="s">
        <v>1523</v>
      </c>
      <c r="G654" s="760" t="s">
        <v>2636</v>
      </c>
      <c r="H654" s="760" t="s">
        <v>60</v>
      </c>
      <c r="I654" s="87" t="s">
        <v>1221</v>
      </c>
      <c r="J654" s="109" t="s">
        <v>114</v>
      </c>
      <c r="K654" s="300" t="s">
        <v>3564</v>
      </c>
      <c r="L654" s="109"/>
      <c r="M654" s="197" t="s">
        <v>60</v>
      </c>
      <c r="N654" s="127" t="s">
        <v>10158</v>
      </c>
      <c r="O654" s="300" t="s">
        <v>3564</v>
      </c>
      <c r="P654" s="850">
        <v>33594.0</v>
      </c>
      <c r="Q654" s="315">
        <f t="shared" si="71"/>
        <v>33594</v>
      </c>
      <c r="R654" s="86">
        <f t="shared" si="72"/>
        <v>34</v>
      </c>
      <c r="S654" s="76">
        <v>3.359312416E9</v>
      </c>
      <c r="T654" s="315"/>
      <c r="U654" s="76" t="s">
        <v>136</v>
      </c>
      <c r="V654" s="86"/>
      <c r="W654" s="86"/>
      <c r="X654" s="97"/>
      <c r="Y654" s="97"/>
      <c r="Z654" s="97"/>
      <c r="AA654" s="97"/>
      <c r="AB654" s="97"/>
      <c r="AC654" s="160" t="s">
        <v>630</v>
      </c>
      <c r="AD654" s="76" t="s">
        <v>632</v>
      </c>
      <c r="AE654" s="76" t="s">
        <v>10161</v>
      </c>
      <c r="AF654" s="160" t="s">
        <v>4767</v>
      </c>
      <c r="AG654" s="160" t="s">
        <v>630</v>
      </c>
      <c r="AH654" s="85" t="s">
        <v>9989</v>
      </c>
      <c r="AI654" s="67"/>
      <c r="AJ654" s="67"/>
      <c r="AK654" s="748"/>
      <c r="AL654" s="748"/>
      <c r="AM654" s="810"/>
      <c r="AN654" s="810"/>
      <c r="AO654" s="748"/>
      <c r="AP654" s="748"/>
      <c r="AQ654" s="67"/>
      <c r="AR654" s="67"/>
      <c r="AS654" s="67"/>
      <c r="AT654" s="67"/>
    </row>
    <row r="655">
      <c r="A655" s="76" t="s">
        <v>116</v>
      </c>
      <c r="B655" s="757" t="s">
        <v>1709</v>
      </c>
      <c r="C655" s="757" t="s">
        <v>1517</v>
      </c>
      <c r="D655" s="757" t="s">
        <v>1519</v>
      </c>
      <c r="E655" s="758" t="s">
        <v>201</v>
      </c>
      <c r="F655" s="759" t="s">
        <v>1849</v>
      </c>
      <c r="G655" s="760" t="s">
        <v>6225</v>
      </c>
      <c r="H655" s="760" t="s">
        <v>60</v>
      </c>
      <c r="I655" s="87" t="s">
        <v>1221</v>
      </c>
      <c r="J655" s="243"/>
      <c r="K655" s="85"/>
      <c r="L655" s="243"/>
      <c r="M655" s="468" t="s">
        <v>60</v>
      </c>
      <c r="N655" s="159" t="s">
        <v>10162</v>
      </c>
      <c r="O655" s="243"/>
      <c r="P655" s="243"/>
      <c r="Q655" s="243"/>
      <c r="R655" s="243"/>
      <c r="S655" s="243"/>
      <c r="T655" s="243"/>
      <c r="U655" s="224" t="s">
        <v>379</v>
      </c>
      <c r="V655" s="86"/>
      <c r="W655" s="86"/>
      <c r="X655" s="97"/>
      <c r="Y655" s="97"/>
      <c r="Z655" s="97"/>
      <c r="AA655" s="97"/>
      <c r="AB655" s="97"/>
      <c r="AC655" s="160" t="s">
        <v>630</v>
      </c>
      <c r="AD655" s="76" t="s">
        <v>632</v>
      </c>
      <c r="AE655" s="76" t="s">
        <v>632</v>
      </c>
      <c r="AF655" s="160" t="s">
        <v>630</v>
      </c>
      <c r="AG655" s="76"/>
      <c r="AH655" s="85" t="s">
        <v>9989</v>
      </c>
      <c r="AI655" s="67"/>
      <c r="AJ655" s="67"/>
      <c r="AK655" s="748"/>
      <c r="AL655" s="748"/>
      <c r="AM655" s="810"/>
      <c r="AN655" s="810"/>
      <c r="AO655" s="748"/>
      <c r="AP655" s="748"/>
      <c r="AQ655" s="67"/>
      <c r="AR655" s="67"/>
      <c r="AS655" s="67"/>
      <c r="AT655" s="67"/>
    </row>
    <row r="656" ht="45.75" customHeight="1">
      <c r="A656" s="76" t="s">
        <v>116</v>
      </c>
      <c r="B656" s="757" t="s">
        <v>1709</v>
      </c>
      <c r="C656" s="757" t="s">
        <v>1611</v>
      </c>
      <c r="D656" s="757" t="s">
        <v>1368</v>
      </c>
      <c r="E656" s="758" t="s">
        <v>187</v>
      </c>
      <c r="F656" s="759" t="s">
        <v>1469</v>
      </c>
      <c r="G656" s="760" t="s">
        <v>6327</v>
      </c>
      <c r="H656" s="760" t="s">
        <v>60</v>
      </c>
      <c r="I656" s="87" t="s">
        <v>1221</v>
      </c>
      <c r="J656" s="109" t="s">
        <v>114</v>
      </c>
      <c r="K656" s="118" t="s">
        <v>10166</v>
      </c>
      <c r="L656" s="87"/>
      <c r="M656" s="87" t="s">
        <v>60</v>
      </c>
      <c r="N656" s="287" t="s">
        <v>3471</v>
      </c>
      <c r="O656" s="87" t="s">
        <v>10167</v>
      </c>
      <c r="P656" s="750">
        <v>30374.0</v>
      </c>
      <c r="Q656" s="315">
        <f t="shared" ref="Q656:Q665" si="73">VALUE(LEFT(TEXT(S656,0),5))+1</f>
        <v>30374</v>
      </c>
      <c r="R656" s="86">
        <f t="shared" ref="R656:R665" si="74">DATEDIF($P656,TODAY(),"Y")</f>
        <v>43</v>
      </c>
      <c r="S656" s="315">
        <v>3.037317419E9</v>
      </c>
      <c r="T656" s="315"/>
      <c r="U656" s="224" t="s">
        <v>136</v>
      </c>
      <c r="V656" s="86"/>
      <c r="W656" s="86"/>
      <c r="X656" s="97"/>
      <c r="Y656" s="97"/>
      <c r="Z656" s="97"/>
      <c r="AA656" s="97"/>
      <c r="AB656" s="97"/>
      <c r="AC656" s="97"/>
      <c r="AD656" s="99"/>
      <c r="AE656" s="76"/>
      <c r="AF656" s="85" t="s">
        <v>10174</v>
      </c>
      <c r="AG656" s="76" t="s">
        <v>2967</v>
      </c>
      <c r="AH656" s="85" t="s">
        <v>9989</v>
      </c>
      <c r="AI656" s="67"/>
      <c r="AJ656" s="67"/>
      <c r="AK656" s="160" t="s">
        <v>6343</v>
      </c>
      <c r="AL656" s="748"/>
      <c r="AM656" s="810"/>
      <c r="AN656" s="810"/>
      <c r="AO656" s="748"/>
      <c r="AP656" s="748"/>
      <c r="AQ656" s="67"/>
      <c r="AR656" s="67"/>
      <c r="AS656" s="67"/>
      <c r="AT656" s="67"/>
    </row>
    <row r="657">
      <c r="A657" s="76" t="s">
        <v>116</v>
      </c>
      <c r="B657" s="757" t="s">
        <v>1039</v>
      </c>
      <c r="C657" s="757" t="s">
        <v>1728</v>
      </c>
      <c r="D657" s="757" t="s">
        <v>121</v>
      </c>
      <c r="E657" s="758" t="s">
        <v>201</v>
      </c>
      <c r="F657" s="759" t="s">
        <v>1849</v>
      </c>
      <c r="G657" s="760" t="s">
        <v>722</v>
      </c>
      <c r="H657" s="760" t="s">
        <v>60</v>
      </c>
      <c r="I657" s="87" t="s">
        <v>1221</v>
      </c>
      <c r="J657" s="87" t="s">
        <v>114</v>
      </c>
      <c r="K657" s="176" t="s">
        <v>10177</v>
      </c>
      <c r="L657" s="87"/>
      <c r="M657" s="87" t="s">
        <v>60</v>
      </c>
      <c r="N657" s="86" t="s">
        <v>2809</v>
      </c>
      <c r="O657" s="87" t="s">
        <v>2810</v>
      </c>
      <c r="P657" s="750">
        <v>27658.0</v>
      </c>
      <c r="Q657" s="315">
        <f t="shared" si="73"/>
        <v>27658</v>
      </c>
      <c r="R657" s="86">
        <f t="shared" si="74"/>
        <v>50</v>
      </c>
      <c r="S657" s="315">
        <v>2.765701852E9</v>
      </c>
      <c r="T657" s="315" t="s">
        <v>1317</v>
      </c>
      <c r="U657" s="961" t="s">
        <v>393</v>
      </c>
      <c r="V657" s="86"/>
      <c r="W657" s="86"/>
      <c r="X657" s="97"/>
      <c r="Y657" s="97"/>
      <c r="Z657" s="97"/>
      <c r="AA657" s="97"/>
      <c r="AB657" s="97"/>
      <c r="AC657" s="97"/>
      <c r="AD657" s="99"/>
      <c r="AE657" s="76" t="s">
        <v>672</v>
      </c>
      <c r="AF657" s="76" t="s">
        <v>10180</v>
      </c>
      <c r="AG657" s="76" t="s">
        <v>697</v>
      </c>
      <c r="AH657" s="85" t="s">
        <v>9989</v>
      </c>
      <c r="AI657" s="67"/>
      <c r="AJ657" s="67"/>
      <c r="AK657" s="748"/>
      <c r="AL657" s="748"/>
      <c r="AM657" s="810"/>
      <c r="AN657" s="810"/>
      <c r="AO657" s="748"/>
      <c r="AP657" s="748"/>
      <c r="AQ657" s="67"/>
      <c r="AR657" s="67"/>
      <c r="AS657" s="67"/>
      <c r="AT657" s="67"/>
    </row>
    <row r="658">
      <c r="A658" s="76" t="s">
        <v>116</v>
      </c>
      <c r="B658" s="757" t="s">
        <v>1039</v>
      </c>
      <c r="C658" s="757" t="s">
        <v>1728</v>
      </c>
      <c r="D658" s="757" t="s">
        <v>121</v>
      </c>
      <c r="E658" s="758" t="s">
        <v>287</v>
      </c>
      <c r="F658" s="759" t="s">
        <v>2853</v>
      </c>
      <c r="G658" s="760" t="s">
        <v>739</v>
      </c>
      <c r="H658" s="760" t="s">
        <v>60</v>
      </c>
      <c r="I658" s="87" t="s">
        <v>1221</v>
      </c>
      <c r="J658" s="85" t="s">
        <v>114</v>
      </c>
      <c r="K658" s="124" t="s">
        <v>10183</v>
      </c>
      <c r="L658" s="76"/>
      <c r="M658" s="85" t="s">
        <v>60</v>
      </c>
      <c r="N658" s="76" t="s">
        <v>10184</v>
      </c>
      <c r="O658" s="76" t="s">
        <v>3518</v>
      </c>
      <c r="P658" s="153">
        <v>33028.0</v>
      </c>
      <c r="Q658" s="315">
        <f t="shared" si="73"/>
        <v>33028</v>
      </c>
      <c r="R658" s="86">
        <f t="shared" si="74"/>
        <v>36</v>
      </c>
      <c r="S658" s="76">
        <v>3.302706537E9</v>
      </c>
      <c r="T658" s="86"/>
      <c r="U658" s="76" t="s">
        <v>393</v>
      </c>
      <c r="V658" s="76"/>
      <c r="W658" s="76"/>
      <c r="X658" s="76"/>
      <c r="Y658" s="167"/>
      <c r="Z658" s="278" t="s">
        <v>1613</v>
      </c>
      <c r="AA658" s="168"/>
      <c r="AB658" s="97"/>
      <c r="AC658" s="168"/>
      <c r="AD658" s="168"/>
      <c r="AE658" s="76" t="s">
        <v>154</v>
      </c>
      <c r="AF658" s="99" t="s">
        <v>155</v>
      </c>
      <c r="AG658" s="153">
        <v>46105.0</v>
      </c>
      <c r="AH658" s="85" t="s">
        <v>9989</v>
      </c>
      <c r="AI658" s="67"/>
      <c r="AJ658" s="67"/>
      <c r="AK658" s="748"/>
      <c r="AL658" s="748"/>
      <c r="AM658" s="810"/>
      <c r="AN658" s="810"/>
      <c r="AO658" s="748"/>
      <c r="AP658" s="748"/>
      <c r="AQ658" s="67"/>
      <c r="AR658" s="67"/>
      <c r="AS658" s="67"/>
      <c r="AT658" s="67"/>
    </row>
    <row r="659">
      <c r="A659" s="76" t="s">
        <v>116</v>
      </c>
      <c r="B659" s="981" t="s">
        <v>3014</v>
      </c>
      <c r="C659" s="757" t="s">
        <v>121</v>
      </c>
      <c r="D659" s="757" t="s">
        <v>121</v>
      </c>
      <c r="E659" s="758" t="s">
        <v>331</v>
      </c>
      <c r="F659" s="759" t="s">
        <v>3016</v>
      </c>
      <c r="G659" s="760" t="s">
        <v>1777</v>
      </c>
      <c r="H659" s="760" t="s">
        <v>60</v>
      </c>
      <c r="I659" s="87" t="s">
        <v>1221</v>
      </c>
      <c r="J659" s="85" t="s">
        <v>114</v>
      </c>
      <c r="K659" s="176" t="s">
        <v>10192</v>
      </c>
      <c r="L659" s="85"/>
      <c r="M659" s="85" t="s">
        <v>60</v>
      </c>
      <c r="N659" s="287" t="s">
        <v>10193</v>
      </c>
      <c r="O659" s="76" t="s">
        <v>1391</v>
      </c>
      <c r="P659" s="153">
        <v>33658.0</v>
      </c>
      <c r="Q659" s="315">
        <f t="shared" si="73"/>
        <v>1</v>
      </c>
      <c r="R659" s="97">
        <f t="shared" si="74"/>
        <v>34</v>
      </c>
      <c r="S659" s="315"/>
      <c r="T659" s="315"/>
      <c r="U659" s="76" t="s">
        <v>136</v>
      </c>
      <c r="V659" s="76"/>
      <c r="W659" s="76"/>
      <c r="X659" s="76"/>
      <c r="Y659" s="97" t="s">
        <v>1174</v>
      </c>
      <c r="Z659" s="278" t="s">
        <v>2090</v>
      </c>
      <c r="AA659" s="76"/>
      <c r="AB659" s="76"/>
      <c r="AC659" s="76"/>
      <c r="AD659" s="99"/>
      <c r="AE659" s="76"/>
      <c r="AF659" s="76"/>
      <c r="AG659" s="76" t="s">
        <v>10199</v>
      </c>
      <c r="AH659" s="85" t="s">
        <v>9989</v>
      </c>
      <c r="AI659" s="203"/>
      <c r="AJ659" s="203"/>
      <c r="AK659" s="203"/>
      <c r="AL659" s="203"/>
      <c r="AM659" s="203"/>
      <c r="AN659" s="203"/>
      <c r="AO659" s="203"/>
      <c r="AP659" s="203"/>
      <c r="AQ659" s="203"/>
      <c r="AR659" s="203"/>
      <c r="AS659" s="203"/>
      <c r="AT659" s="203"/>
    </row>
    <row r="660">
      <c r="A660" s="76" t="s">
        <v>116</v>
      </c>
      <c r="B660" s="757" t="s">
        <v>1728</v>
      </c>
      <c r="C660" s="757" t="s">
        <v>121</v>
      </c>
      <c r="D660" s="757" t="s">
        <v>121</v>
      </c>
      <c r="E660" s="758" t="s">
        <v>212</v>
      </c>
      <c r="F660" s="759" t="s">
        <v>2203</v>
      </c>
      <c r="G660" s="760" t="s">
        <v>8172</v>
      </c>
      <c r="H660" s="760" t="s">
        <v>326</v>
      </c>
      <c r="I660" s="87" t="s">
        <v>1221</v>
      </c>
      <c r="J660" s="76" t="s">
        <v>114</v>
      </c>
      <c r="K660" s="300" t="s">
        <v>3564</v>
      </c>
      <c r="L660" s="85"/>
      <c r="M660" s="197" t="s">
        <v>60</v>
      </c>
      <c r="N660" s="127" t="s">
        <v>10201</v>
      </c>
      <c r="O660" s="300" t="s">
        <v>3564</v>
      </c>
      <c r="P660" s="262">
        <v>32725.0</v>
      </c>
      <c r="Q660" s="315">
        <f t="shared" si="73"/>
        <v>32725</v>
      </c>
      <c r="R660" s="86">
        <f t="shared" si="74"/>
        <v>37</v>
      </c>
      <c r="S660" s="76">
        <v>3.272422275E9</v>
      </c>
      <c r="T660" s="315"/>
      <c r="U660" s="76" t="s">
        <v>136</v>
      </c>
      <c r="V660" s="86"/>
      <c r="W660" s="86"/>
      <c r="X660" s="97"/>
      <c r="Y660" s="86"/>
      <c r="Z660" s="86"/>
      <c r="AA660" s="86"/>
      <c r="AB660" s="97"/>
      <c r="AC660" s="160" t="s">
        <v>630</v>
      </c>
      <c r="AD660" s="85" t="s">
        <v>632</v>
      </c>
      <c r="AE660" s="76"/>
      <c r="AF660" s="160" t="s">
        <v>4767</v>
      </c>
      <c r="AG660" s="160" t="s">
        <v>630</v>
      </c>
      <c r="AH660" s="85" t="s">
        <v>9989</v>
      </c>
      <c r="AI660" s="203"/>
      <c r="AJ660" s="203"/>
      <c r="AK660" s="203"/>
      <c r="AL660" s="203"/>
      <c r="AM660" s="203"/>
      <c r="AN660" s="203"/>
      <c r="AO660" s="203"/>
      <c r="AP660" s="203"/>
      <c r="AQ660" s="203"/>
      <c r="AR660" s="203"/>
      <c r="AS660" s="203"/>
      <c r="AT660" s="203"/>
    </row>
    <row r="661">
      <c r="A661" s="76" t="s">
        <v>116</v>
      </c>
      <c r="B661" s="757" t="s">
        <v>1728</v>
      </c>
      <c r="C661" s="757" t="s">
        <v>121</v>
      </c>
      <c r="D661" s="757" t="s">
        <v>121</v>
      </c>
      <c r="E661" s="758" t="s">
        <v>331</v>
      </c>
      <c r="F661" s="759" t="s">
        <v>1731</v>
      </c>
      <c r="G661" s="760" t="s">
        <v>577</v>
      </c>
      <c r="H661" s="760" t="s">
        <v>60</v>
      </c>
      <c r="I661" s="87" t="s">
        <v>1221</v>
      </c>
      <c r="J661" s="76" t="s">
        <v>114</v>
      </c>
      <c r="K661" s="124" t="s">
        <v>10207</v>
      </c>
      <c r="L661" s="76"/>
      <c r="M661" s="76" t="s">
        <v>60</v>
      </c>
      <c r="N661" s="287" t="s">
        <v>10208</v>
      </c>
      <c r="O661" s="76" t="s">
        <v>10209</v>
      </c>
      <c r="P661" s="740">
        <v>32491.0</v>
      </c>
      <c r="Q661" s="315">
        <f t="shared" si="73"/>
        <v>32491</v>
      </c>
      <c r="R661" s="97">
        <f t="shared" si="74"/>
        <v>37</v>
      </c>
      <c r="S661" s="315">
        <v>3.249013272E9</v>
      </c>
      <c r="T661" s="315"/>
      <c r="U661" s="76" t="s">
        <v>136</v>
      </c>
      <c r="V661" s="76"/>
      <c r="W661" s="76"/>
      <c r="X661" s="97"/>
      <c r="Y661" s="276" t="s">
        <v>7864</v>
      </c>
      <c r="Z661" s="728" t="s">
        <v>2482</v>
      </c>
      <c r="AA661" s="97"/>
      <c r="AB661" s="97"/>
      <c r="AC661" s="97"/>
      <c r="AD661" s="99"/>
      <c r="AE661" s="76"/>
      <c r="AF661" s="85" t="s">
        <v>10215</v>
      </c>
      <c r="AG661" s="76" t="s">
        <v>10217</v>
      </c>
      <c r="AH661" s="85" t="s">
        <v>9989</v>
      </c>
      <c r="AI661" s="203"/>
      <c r="AJ661" s="203"/>
      <c r="AK661" s="203"/>
      <c r="AL661" s="203"/>
      <c r="AM661" s="203"/>
      <c r="AN661" s="203"/>
      <c r="AO661" s="203"/>
      <c r="AP661" s="203"/>
      <c r="AQ661" s="203"/>
      <c r="AR661" s="203"/>
      <c r="AS661" s="203"/>
      <c r="AT661" s="203"/>
    </row>
    <row r="662">
      <c r="A662" s="76" t="s">
        <v>116</v>
      </c>
      <c r="B662" s="757" t="s">
        <v>1709</v>
      </c>
      <c r="C662" s="757" t="s">
        <v>1269</v>
      </c>
      <c r="D662" s="757" t="s">
        <v>1368</v>
      </c>
      <c r="E662" s="758" t="s">
        <v>213</v>
      </c>
      <c r="F662" s="759" t="s">
        <v>1523</v>
      </c>
      <c r="G662" s="760" t="s">
        <v>1150</v>
      </c>
      <c r="H662" s="760" t="s">
        <v>60</v>
      </c>
      <c r="I662" s="87" t="s">
        <v>1221</v>
      </c>
      <c r="J662" s="85" t="s">
        <v>114</v>
      </c>
      <c r="K662" s="124" t="s">
        <v>10220</v>
      </c>
      <c r="L662" s="76"/>
      <c r="M662" s="85" t="s">
        <v>60</v>
      </c>
      <c r="N662" s="76" t="s">
        <v>9880</v>
      </c>
      <c r="O662" s="76" t="s">
        <v>9158</v>
      </c>
      <c r="P662" s="153">
        <v>31422.0</v>
      </c>
      <c r="Q662" s="315">
        <f t="shared" si="73"/>
        <v>31422</v>
      </c>
      <c r="R662" s="86">
        <f t="shared" si="74"/>
        <v>40</v>
      </c>
      <c r="S662" s="76">
        <v>3.142122434E9</v>
      </c>
      <c r="T662" s="86"/>
      <c r="U662" s="76" t="s">
        <v>219</v>
      </c>
      <c r="V662" s="76"/>
      <c r="W662" s="76"/>
      <c r="X662" s="97"/>
      <c r="Y662" s="167"/>
      <c r="Z662" s="176" t="s">
        <v>1460</v>
      </c>
      <c r="AA662" s="168"/>
      <c r="AB662" s="97"/>
      <c r="AC662" s="168"/>
      <c r="AD662" s="168"/>
      <c r="AE662" s="76"/>
      <c r="AF662" s="153">
        <v>46112.0</v>
      </c>
      <c r="AG662" s="76" t="s">
        <v>1187</v>
      </c>
      <c r="AH662" s="85" t="s">
        <v>9989</v>
      </c>
      <c r="AI662" s="67"/>
      <c r="AJ662" s="67"/>
      <c r="AK662" s="748"/>
      <c r="AL662" s="748"/>
      <c r="AM662" s="810"/>
      <c r="AN662" s="810"/>
      <c r="AO662" s="748"/>
      <c r="AP662" s="748"/>
      <c r="AQ662" s="67"/>
      <c r="AR662" s="67"/>
      <c r="AS662" s="67"/>
      <c r="AT662" s="67"/>
    </row>
    <row r="663">
      <c r="A663" s="76" t="s">
        <v>116</v>
      </c>
      <c r="B663" s="757" t="s">
        <v>1709</v>
      </c>
      <c r="C663" s="757" t="s">
        <v>1611</v>
      </c>
      <c r="D663" s="757" t="s">
        <v>1494</v>
      </c>
      <c r="E663" s="758" t="s">
        <v>213</v>
      </c>
      <c r="F663" s="759" t="s">
        <v>1523</v>
      </c>
      <c r="G663" s="760" t="s">
        <v>1309</v>
      </c>
      <c r="H663" s="760" t="s">
        <v>60</v>
      </c>
      <c r="I663" s="87" t="s">
        <v>1221</v>
      </c>
      <c r="J663" s="109" t="s">
        <v>114</v>
      </c>
      <c r="K663" s="118" t="s">
        <v>10228</v>
      </c>
      <c r="L663" s="87"/>
      <c r="M663" s="87" t="s">
        <v>60</v>
      </c>
      <c r="N663" s="86" t="s">
        <v>10229</v>
      </c>
      <c r="O663" s="86" t="s">
        <v>3068</v>
      </c>
      <c r="P663" s="856">
        <v>31376.0</v>
      </c>
      <c r="Q663" s="315">
        <f t="shared" si="73"/>
        <v>31376</v>
      </c>
      <c r="R663" s="86">
        <f t="shared" si="74"/>
        <v>40</v>
      </c>
      <c r="S663" s="315">
        <v>3.137505616E9</v>
      </c>
      <c r="T663" s="76" t="s">
        <v>1511</v>
      </c>
      <c r="U663" s="961" t="s">
        <v>393</v>
      </c>
      <c r="V663" s="86"/>
      <c r="W663" s="86"/>
      <c r="X663" s="97"/>
      <c r="Y663" s="97"/>
      <c r="Z663" s="97"/>
      <c r="AA663" s="97"/>
      <c r="AB663" s="97"/>
      <c r="AC663" s="97"/>
      <c r="AD663" s="99"/>
      <c r="AE663" s="76" t="s">
        <v>1136</v>
      </c>
      <c r="AF663" s="76" t="s">
        <v>10234</v>
      </c>
      <c r="AG663" s="76" t="s">
        <v>2967</v>
      </c>
      <c r="AH663" s="85" t="s">
        <v>9989</v>
      </c>
      <c r="AI663" s="67"/>
      <c r="AJ663" s="67"/>
      <c r="AK663" s="748"/>
      <c r="AL663" s="748"/>
      <c r="AM663" s="810"/>
      <c r="AN663" s="810"/>
      <c r="AO663" s="748"/>
      <c r="AP663" s="748"/>
      <c r="AQ663" s="67"/>
      <c r="AR663" s="67"/>
      <c r="AS663" s="67"/>
      <c r="AT663" s="67"/>
    </row>
    <row r="664">
      <c r="A664" s="76" t="s">
        <v>116</v>
      </c>
      <c r="B664" s="757" t="s">
        <v>1709</v>
      </c>
      <c r="C664" s="757" t="s">
        <v>1611</v>
      </c>
      <c r="D664" s="757" t="s">
        <v>1519</v>
      </c>
      <c r="E664" s="758" t="s">
        <v>201</v>
      </c>
      <c r="F664" s="759" t="s">
        <v>1849</v>
      </c>
      <c r="G664" s="760" t="s">
        <v>6646</v>
      </c>
      <c r="H664" s="760" t="s">
        <v>60</v>
      </c>
      <c r="I664" s="87" t="s">
        <v>1221</v>
      </c>
      <c r="J664" s="85" t="s">
        <v>114</v>
      </c>
      <c r="K664" s="176" t="s">
        <v>10241</v>
      </c>
      <c r="L664" s="76"/>
      <c r="M664" s="85" t="s">
        <v>60</v>
      </c>
      <c r="N664" s="76" t="s">
        <v>8411</v>
      </c>
      <c r="O664" s="76" t="s">
        <v>129</v>
      </c>
      <c r="P664" s="330">
        <v>33235.0</v>
      </c>
      <c r="Q664" s="315">
        <f t="shared" si="73"/>
        <v>33235</v>
      </c>
      <c r="R664" s="97">
        <f t="shared" si="74"/>
        <v>35</v>
      </c>
      <c r="S664" s="76">
        <v>3.32342035E9</v>
      </c>
      <c r="T664" s="86"/>
      <c r="U664" s="76" t="s">
        <v>379</v>
      </c>
      <c r="V664" s="76" t="s">
        <v>350</v>
      </c>
      <c r="W664" s="76" t="s">
        <v>227</v>
      </c>
      <c r="X664" s="76"/>
      <c r="Y664" s="168"/>
      <c r="Z664" s="216" t="s">
        <v>2155</v>
      </c>
      <c r="AA664" s="168"/>
      <c r="AB664" s="76" t="s">
        <v>226</v>
      </c>
      <c r="AC664" s="168"/>
      <c r="AD664" s="168"/>
      <c r="AE664" s="76"/>
      <c r="AF664" s="76" t="s">
        <v>10244</v>
      </c>
      <c r="AG664" s="76"/>
      <c r="AH664" s="85" t="s">
        <v>9989</v>
      </c>
      <c r="AI664" s="67"/>
      <c r="AJ664" s="67"/>
      <c r="AK664" s="748"/>
      <c r="AL664" s="748"/>
      <c r="AM664" s="810"/>
      <c r="AN664" s="810"/>
      <c r="AO664" s="748"/>
      <c r="AP664" s="748"/>
      <c r="AQ664" s="67"/>
      <c r="AR664" s="67"/>
      <c r="AS664" s="67"/>
      <c r="AT664" s="67"/>
    </row>
    <row r="665">
      <c r="A665" s="76" t="s">
        <v>116</v>
      </c>
      <c r="B665" s="757" t="s">
        <v>1709</v>
      </c>
      <c r="C665" s="757" t="s">
        <v>1728</v>
      </c>
      <c r="D665" s="757" t="s">
        <v>121</v>
      </c>
      <c r="E665" s="758" t="s">
        <v>287</v>
      </c>
      <c r="F665" s="759" t="s">
        <v>2853</v>
      </c>
      <c r="G665" s="760" t="s">
        <v>1367</v>
      </c>
      <c r="H665" s="760" t="s">
        <v>60</v>
      </c>
      <c r="I665" s="87" t="s">
        <v>1221</v>
      </c>
      <c r="J665" s="76" t="s">
        <v>114</v>
      </c>
      <c r="K665" s="176" t="s">
        <v>10248</v>
      </c>
      <c r="L665" s="76"/>
      <c r="M665" s="85" t="s">
        <v>60</v>
      </c>
      <c r="N665" s="287" t="s">
        <v>10249</v>
      </c>
      <c r="O665" s="76" t="s">
        <v>10250</v>
      </c>
      <c r="P665" s="153">
        <v>36250.0</v>
      </c>
      <c r="Q665" s="315">
        <f t="shared" si="73"/>
        <v>36250</v>
      </c>
      <c r="R665" s="86">
        <f t="shared" si="74"/>
        <v>27</v>
      </c>
      <c r="S665" s="76">
        <v>3.624901697E9</v>
      </c>
      <c r="T665" s="86"/>
      <c r="U665" s="76" t="s">
        <v>136</v>
      </c>
      <c r="V665" s="76"/>
      <c r="W665" s="76"/>
      <c r="X665" s="76" t="s">
        <v>186</v>
      </c>
      <c r="Y665" s="211" t="s">
        <v>1351</v>
      </c>
      <c r="Z665" s="211" t="s">
        <v>418</v>
      </c>
      <c r="AA665" s="168"/>
      <c r="AB665" s="97"/>
      <c r="AC665" s="76"/>
      <c r="AD665" s="76"/>
      <c r="AE665" s="76"/>
      <c r="AF665" s="153">
        <v>46107.0</v>
      </c>
      <c r="AG665" s="76" t="s">
        <v>10257</v>
      </c>
      <c r="AH665" s="85" t="s">
        <v>9989</v>
      </c>
      <c r="AI665" s="67"/>
      <c r="AJ665" s="67"/>
      <c r="AK665" s="748"/>
      <c r="AL665" s="748"/>
      <c r="AM665" s="810"/>
      <c r="AN665" s="810"/>
      <c r="AO665" s="748"/>
      <c r="AP665" s="748"/>
      <c r="AQ665" s="67"/>
      <c r="AR665" s="67"/>
      <c r="AS665" s="67"/>
      <c r="AT665" s="67"/>
    </row>
    <row r="666">
      <c r="A666" s="76" t="s">
        <v>116</v>
      </c>
      <c r="B666" s="757" t="s">
        <v>3722</v>
      </c>
      <c r="C666" s="757" t="s">
        <v>121</v>
      </c>
      <c r="D666" s="757" t="s">
        <v>121</v>
      </c>
      <c r="E666" s="758" t="s">
        <v>1431</v>
      </c>
      <c r="F666" s="759" t="s">
        <v>1437</v>
      </c>
      <c r="G666" s="760" t="s">
        <v>6968</v>
      </c>
      <c r="H666" s="760" t="s">
        <v>60</v>
      </c>
      <c r="I666" s="87" t="s">
        <v>1221</v>
      </c>
      <c r="J666" s="109"/>
      <c r="K666" s="85"/>
      <c r="L666" s="87"/>
      <c r="M666" s="998" t="s">
        <v>60</v>
      </c>
      <c r="N666" s="996" t="s">
        <v>10259</v>
      </c>
      <c r="O666" s="87"/>
      <c r="P666" s="262"/>
      <c r="Q666" s="315"/>
      <c r="R666" s="86"/>
      <c r="S666" s="315"/>
      <c r="T666" s="315"/>
      <c r="U666" s="224" t="s">
        <v>379</v>
      </c>
      <c r="V666" s="86"/>
      <c r="W666" s="86"/>
      <c r="X666" s="97"/>
      <c r="Y666" s="97"/>
      <c r="Z666" s="97"/>
      <c r="AA666" s="97"/>
      <c r="AB666" s="97"/>
      <c r="AC666" s="160" t="s">
        <v>630</v>
      </c>
      <c r="AD666" s="76" t="s">
        <v>632</v>
      </c>
      <c r="AE666" s="76" t="s">
        <v>632</v>
      </c>
      <c r="AF666" s="160" t="s">
        <v>630</v>
      </c>
      <c r="AG666" s="76"/>
      <c r="AH666" s="85" t="s">
        <v>9989</v>
      </c>
      <c r="AI666" s="67"/>
      <c r="AJ666" s="67"/>
      <c r="AK666" s="748"/>
      <c r="AL666" s="748"/>
      <c r="AM666" s="810"/>
      <c r="AN666" s="810"/>
      <c r="AO666" s="748"/>
      <c r="AP666" s="748"/>
      <c r="AQ666" s="67"/>
      <c r="AR666" s="67"/>
      <c r="AS666" s="67"/>
      <c r="AT666" s="67"/>
    </row>
    <row r="667">
      <c r="A667" s="76" t="s">
        <v>116</v>
      </c>
      <c r="B667" s="757" t="s">
        <v>3722</v>
      </c>
      <c r="C667" s="757" t="s">
        <v>7267</v>
      </c>
      <c r="D667" s="757" t="s">
        <v>7134</v>
      </c>
      <c r="E667" s="758" t="s">
        <v>786</v>
      </c>
      <c r="F667" s="759" t="s">
        <v>1216</v>
      </c>
      <c r="G667" s="760" t="s">
        <v>1486</v>
      </c>
      <c r="H667" s="760" t="s">
        <v>60</v>
      </c>
      <c r="I667" s="87" t="s">
        <v>1221</v>
      </c>
      <c r="J667" s="76"/>
      <c r="K667" s="85"/>
      <c r="L667" s="85"/>
      <c r="M667" s="998" t="s">
        <v>60</v>
      </c>
      <c r="N667" s="992" t="s">
        <v>10267</v>
      </c>
      <c r="O667" s="756"/>
      <c r="P667" s="262"/>
      <c r="Q667" s="315"/>
      <c r="R667" s="97"/>
      <c r="S667" s="76"/>
      <c r="T667" s="315"/>
      <c r="U667" s="76" t="s">
        <v>379</v>
      </c>
      <c r="V667" s="86"/>
      <c r="W667" s="86"/>
      <c r="X667" s="97"/>
      <c r="Y667" s="97"/>
      <c r="Z667" s="97"/>
      <c r="AA667" s="97"/>
      <c r="AB667" s="97"/>
      <c r="AC667" s="160" t="s">
        <v>630</v>
      </c>
      <c r="AD667" s="76" t="s">
        <v>632</v>
      </c>
      <c r="AE667" s="76" t="s">
        <v>632</v>
      </c>
      <c r="AF667" s="160" t="s">
        <v>630</v>
      </c>
      <c r="AG667" s="954"/>
      <c r="AH667" s="85" t="s">
        <v>9989</v>
      </c>
      <c r="AI667" s="67"/>
      <c r="AJ667" s="67"/>
      <c r="AK667" s="748"/>
      <c r="AL667" s="748"/>
      <c r="AM667" s="810"/>
      <c r="AN667" s="810"/>
      <c r="AO667" s="748"/>
      <c r="AP667" s="748"/>
      <c r="AQ667" s="67"/>
      <c r="AR667" s="67"/>
      <c r="AS667" s="67"/>
      <c r="AT667" s="67"/>
    </row>
    <row r="668">
      <c r="A668" s="76" t="s">
        <v>116</v>
      </c>
      <c r="B668" s="757" t="s">
        <v>3722</v>
      </c>
      <c r="C668" s="757" t="s">
        <v>3724</v>
      </c>
      <c r="D668" s="757" t="s">
        <v>6147</v>
      </c>
      <c r="E668" s="758" t="s">
        <v>2972</v>
      </c>
      <c r="F668" s="759" t="s">
        <v>7799</v>
      </c>
      <c r="G668" s="760" t="s">
        <v>7802</v>
      </c>
      <c r="H668" s="760" t="s">
        <v>60</v>
      </c>
      <c r="I668" s="87" t="s">
        <v>1221</v>
      </c>
      <c r="J668" s="85" t="s">
        <v>114</v>
      </c>
      <c r="K668" s="85" t="s">
        <v>10275</v>
      </c>
      <c r="L668" s="85"/>
      <c r="M668" s="85" t="s">
        <v>60</v>
      </c>
      <c r="N668" s="978" t="s">
        <v>9370</v>
      </c>
      <c r="O668" s="76" t="s">
        <v>9371</v>
      </c>
      <c r="P668" s="153">
        <v>28719.0</v>
      </c>
      <c r="Q668" s="315">
        <f t="shared" ref="Q668:Q669" si="75">VALUE(LEFT(TEXT(S668,0),5))+1</f>
        <v>28719</v>
      </c>
      <c r="R668" s="97">
        <f t="shared" ref="R668:R669" si="76">DATEDIF($P668,TODAY(),"Y")</f>
        <v>48</v>
      </c>
      <c r="S668" s="76">
        <v>2.871822152E9</v>
      </c>
      <c r="T668" s="315"/>
      <c r="U668" s="76" t="s">
        <v>136</v>
      </c>
      <c r="V668" s="76"/>
      <c r="W668" s="76"/>
      <c r="X668" s="76" t="s">
        <v>186</v>
      </c>
      <c r="Y668" s="211" t="s">
        <v>2090</v>
      </c>
      <c r="Z668" s="501" t="s">
        <v>418</v>
      </c>
      <c r="AA668" s="76"/>
      <c r="AB668" s="76"/>
      <c r="AC668" s="97"/>
      <c r="AD668" s="99"/>
      <c r="AE668" s="76"/>
      <c r="AF668" s="76" t="s">
        <v>155</v>
      </c>
      <c r="AG668" s="153">
        <v>46167.0</v>
      </c>
      <c r="AH668" s="85" t="s">
        <v>9989</v>
      </c>
      <c r="AI668" s="67"/>
      <c r="AJ668" s="67"/>
      <c r="AK668" s="748"/>
      <c r="AL668" s="748"/>
      <c r="AM668" s="810"/>
      <c r="AN668" s="810"/>
      <c r="AO668" s="748"/>
      <c r="AP668" s="748"/>
      <c r="AQ668" s="67"/>
      <c r="AR668" s="67"/>
      <c r="AS668" s="67"/>
      <c r="AT668" s="67"/>
    </row>
    <row r="669">
      <c r="A669" s="76" t="s">
        <v>116</v>
      </c>
      <c r="B669" s="757" t="s">
        <v>3722</v>
      </c>
      <c r="C669" s="757" t="s">
        <v>3724</v>
      </c>
      <c r="D669" s="757" t="s">
        <v>7823</v>
      </c>
      <c r="E669" s="758" t="s">
        <v>786</v>
      </c>
      <c r="F669" s="759" t="s">
        <v>1216</v>
      </c>
      <c r="G669" s="760" t="s">
        <v>1565</v>
      </c>
      <c r="H669" s="760" t="s">
        <v>60</v>
      </c>
      <c r="I669" s="87" t="s">
        <v>1221</v>
      </c>
      <c r="J669" s="97" t="s">
        <v>114</v>
      </c>
      <c r="K669" s="176" t="s">
        <v>10288</v>
      </c>
      <c r="L669" s="954"/>
      <c r="M669" s="85" t="s">
        <v>60</v>
      </c>
      <c r="N669" s="76" t="s">
        <v>8463</v>
      </c>
      <c r="O669" s="76" t="s">
        <v>10291</v>
      </c>
      <c r="P669" s="153">
        <v>31378.0</v>
      </c>
      <c r="Q669" s="315">
        <f t="shared" si="75"/>
        <v>31378</v>
      </c>
      <c r="R669" s="97">
        <f t="shared" si="76"/>
        <v>40</v>
      </c>
      <c r="S669" s="76">
        <v>3.137708212E9</v>
      </c>
      <c r="T669" s="86"/>
      <c r="U669" s="76" t="s">
        <v>379</v>
      </c>
      <c r="V669" s="76" t="s">
        <v>425</v>
      </c>
      <c r="W669" s="97"/>
      <c r="X669" s="76"/>
      <c r="Y669" s="168"/>
      <c r="Z669" s="216" t="s">
        <v>2155</v>
      </c>
      <c r="AA669" s="168"/>
      <c r="AB669" s="97"/>
      <c r="AC669" s="168"/>
      <c r="AD669" s="168"/>
      <c r="AE669" s="76"/>
      <c r="AF669" s="76"/>
      <c r="AG669" s="76" t="s">
        <v>10297</v>
      </c>
      <c r="AH669" s="85" t="s">
        <v>9989</v>
      </c>
      <c r="AI669" s="67"/>
      <c r="AJ669" s="67"/>
      <c r="AK669" s="748"/>
      <c r="AL669" s="748"/>
      <c r="AM669" s="810"/>
      <c r="AN669" s="810"/>
      <c r="AO669" s="748"/>
      <c r="AP669" s="748"/>
      <c r="AQ669" s="67"/>
      <c r="AR669" s="67"/>
      <c r="AS669" s="67"/>
      <c r="AT669" s="67"/>
    </row>
    <row r="670">
      <c r="A670" s="76" t="s">
        <v>116</v>
      </c>
      <c r="B670" s="757" t="s">
        <v>3722</v>
      </c>
      <c r="C670" s="757" t="s">
        <v>3724</v>
      </c>
      <c r="D670" s="757" t="s">
        <v>7870</v>
      </c>
      <c r="E670" s="758" t="s">
        <v>786</v>
      </c>
      <c r="F670" s="759" t="s">
        <v>1216</v>
      </c>
      <c r="G670" s="760" t="s">
        <v>7892</v>
      </c>
      <c r="H670" s="760" t="s">
        <v>60</v>
      </c>
      <c r="I670" s="87" t="s">
        <v>1221</v>
      </c>
      <c r="J670" s="109"/>
      <c r="K670" s="85"/>
      <c r="L670" s="87"/>
      <c r="M670" s="197" t="s">
        <v>60</v>
      </c>
      <c r="N670" s="127" t="s">
        <v>10300</v>
      </c>
      <c r="O670" s="991">
        <v>0.0</v>
      </c>
      <c r="P670" s="750"/>
      <c r="Q670" s="315"/>
      <c r="R670" s="86"/>
      <c r="S670" s="86"/>
      <c r="T670" s="315"/>
      <c r="U670" s="76" t="s">
        <v>136</v>
      </c>
      <c r="V670" s="86"/>
      <c r="W670" s="86"/>
      <c r="X670" s="97"/>
      <c r="Y670" s="97"/>
      <c r="Z670" s="97"/>
      <c r="AA670" s="97"/>
      <c r="AB670" s="97"/>
      <c r="AC670" s="160" t="s">
        <v>630</v>
      </c>
      <c r="AD670" s="76" t="s">
        <v>632</v>
      </c>
      <c r="AE670" s="76" t="s">
        <v>632</v>
      </c>
      <c r="AF670" s="160" t="s">
        <v>630</v>
      </c>
      <c r="AG670" s="112"/>
      <c r="AH670" s="85" t="s">
        <v>9989</v>
      </c>
      <c r="AI670" s="67"/>
      <c r="AJ670" s="67"/>
      <c r="AK670" s="748"/>
      <c r="AL670" s="748"/>
      <c r="AM670" s="810"/>
      <c r="AN670" s="810"/>
      <c r="AO670" s="748"/>
      <c r="AP670" s="748"/>
      <c r="AQ670" s="67"/>
      <c r="AR670" s="67"/>
      <c r="AS670" s="67"/>
      <c r="AT670" s="67"/>
    </row>
    <row r="671">
      <c r="A671" s="76" t="s">
        <v>116</v>
      </c>
      <c r="B671" s="981" t="s">
        <v>3014</v>
      </c>
      <c r="C671" s="757" t="s">
        <v>121</v>
      </c>
      <c r="D671" s="757" t="s">
        <v>121</v>
      </c>
      <c r="E671" s="758" t="s">
        <v>1924</v>
      </c>
      <c r="F671" s="759" t="s">
        <v>8677</v>
      </c>
      <c r="G671" s="760" t="s">
        <v>2413</v>
      </c>
      <c r="H671" s="760" t="s">
        <v>102</v>
      </c>
      <c r="I671" s="146" t="s">
        <v>408</v>
      </c>
      <c r="J671" s="76" t="s">
        <v>114</v>
      </c>
      <c r="K671" s="176" t="s">
        <v>10305</v>
      </c>
      <c r="L671" s="85"/>
      <c r="M671" s="85" t="s">
        <v>60</v>
      </c>
      <c r="N671" s="287" t="s">
        <v>9126</v>
      </c>
      <c r="O671" s="756" t="s">
        <v>9127</v>
      </c>
      <c r="P671" s="262">
        <v>29844.0</v>
      </c>
      <c r="Q671" s="315">
        <f t="shared" ref="Q671:Q694" si="77">VALUE(LEFT(TEXT(S671,0),5))+1</f>
        <v>1</v>
      </c>
      <c r="R671" s="97">
        <f t="shared" ref="R671:R694" si="78">DATEDIF($P671,TODAY(),"Y")</f>
        <v>44</v>
      </c>
      <c r="S671" s="315"/>
      <c r="T671" s="315"/>
      <c r="U671" s="76" t="s">
        <v>136</v>
      </c>
      <c r="V671" s="76"/>
      <c r="W671" s="76"/>
      <c r="X671" s="76"/>
      <c r="Y671" s="76" t="s">
        <v>371</v>
      </c>
      <c r="Z671" s="85"/>
      <c r="AA671" s="76"/>
      <c r="AB671" s="97"/>
      <c r="AC671" s="76"/>
      <c r="AD671" s="99"/>
      <c r="AE671" s="76"/>
      <c r="AF671" s="76" t="s">
        <v>10311</v>
      </c>
      <c r="AG671" s="76" t="s">
        <v>1187</v>
      </c>
      <c r="AH671" s="85" t="s">
        <v>9989</v>
      </c>
      <c r="AI671" s="153">
        <v>46137.0</v>
      </c>
      <c r="AJ671" s="67"/>
      <c r="AK671" s="748"/>
      <c r="AL671" s="748"/>
      <c r="AM671" s="810"/>
      <c r="AN671" s="810"/>
      <c r="AO671" s="748"/>
      <c r="AP671" s="748"/>
      <c r="AQ671" s="67"/>
      <c r="AR671" s="67"/>
      <c r="AS671" s="67"/>
      <c r="AT671" s="67"/>
    </row>
    <row r="672">
      <c r="A672" s="76" t="s">
        <v>116</v>
      </c>
      <c r="B672" s="981" t="s">
        <v>3014</v>
      </c>
      <c r="C672" s="757" t="s">
        <v>121</v>
      </c>
      <c r="D672" s="757" t="s">
        <v>121</v>
      </c>
      <c r="E672" s="758" t="s">
        <v>201</v>
      </c>
      <c r="F672" s="759" t="s">
        <v>1849</v>
      </c>
      <c r="G672" s="760" t="s">
        <v>1741</v>
      </c>
      <c r="H672" s="760" t="s">
        <v>60</v>
      </c>
      <c r="I672" s="87" t="s">
        <v>1221</v>
      </c>
      <c r="J672" s="76" t="s">
        <v>114</v>
      </c>
      <c r="K672" s="124" t="s">
        <v>10314</v>
      </c>
      <c r="L672" s="85"/>
      <c r="M672" s="85" t="s">
        <v>60</v>
      </c>
      <c r="N672" s="785" t="s">
        <v>2582</v>
      </c>
      <c r="O672" s="756" t="s">
        <v>2583</v>
      </c>
      <c r="P672" s="262">
        <v>28430.0</v>
      </c>
      <c r="Q672" s="315">
        <f t="shared" si="77"/>
        <v>28430</v>
      </c>
      <c r="R672" s="97">
        <f t="shared" si="78"/>
        <v>48</v>
      </c>
      <c r="S672" s="76">
        <v>2.84291659E9</v>
      </c>
      <c r="T672" s="315"/>
      <c r="U672" s="76" t="s">
        <v>368</v>
      </c>
      <c r="V672" s="76"/>
      <c r="W672" s="76"/>
      <c r="X672" s="76"/>
      <c r="Y672" s="97"/>
      <c r="Z672" s="278" t="s">
        <v>1613</v>
      </c>
      <c r="AA672" s="76"/>
      <c r="AB672" s="97"/>
      <c r="AC672" s="76"/>
      <c r="AD672" s="99"/>
      <c r="AE672" s="76"/>
      <c r="AF672" s="153">
        <v>46137.0</v>
      </c>
      <c r="AG672" s="76" t="s">
        <v>1187</v>
      </c>
      <c r="AH672" s="85" t="s">
        <v>9989</v>
      </c>
      <c r="AJ672" s="67"/>
      <c r="AK672" s="748"/>
      <c r="AL672" s="748"/>
      <c r="AM672" s="810"/>
      <c r="AN672" s="810"/>
      <c r="AO672" s="748"/>
      <c r="AP672" s="748"/>
      <c r="AQ672" s="67"/>
      <c r="AR672" s="67"/>
      <c r="AS672" s="67"/>
      <c r="AT672" s="67"/>
    </row>
    <row r="673">
      <c r="A673" s="76" t="s">
        <v>116</v>
      </c>
      <c r="B673" s="757" t="s">
        <v>3297</v>
      </c>
      <c r="C673" s="757" t="s">
        <v>3298</v>
      </c>
      <c r="D673" s="757" t="s">
        <v>121</v>
      </c>
      <c r="E673" s="758" t="s">
        <v>1536</v>
      </c>
      <c r="F673" s="759" t="s">
        <v>3299</v>
      </c>
      <c r="G673" s="760" t="s">
        <v>1913</v>
      </c>
      <c r="H673" s="760" t="s">
        <v>60</v>
      </c>
      <c r="I673" s="87" t="s">
        <v>1221</v>
      </c>
      <c r="J673" s="85" t="s">
        <v>114</v>
      </c>
      <c r="K673" s="85" t="s">
        <v>10322</v>
      </c>
      <c r="L673" s="85"/>
      <c r="M673" s="85" t="s">
        <v>60</v>
      </c>
      <c r="N673" s="287" t="s">
        <v>9488</v>
      </c>
      <c r="O673" s="76" t="s">
        <v>9489</v>
      </c>
      <c r="P673" s="153">
        <v>28686.0</v>
      </c>
      <c r="Q673" s="315">
        <f t="shared" si="77"/>
        <v>28686</v>
      </c>
      <c r="R673" s="97">
        <f t="shared" si="78"/>
        <v>48</v>
      </c>
      <c r="S673" s="76">
        <v>2.868500796E9</v>
      </c>
      <c r="T673" s="315"/>
      <c r="U673" s="76" t="s">
        <v>136</v>
      </c>
      <c r="V673" s="76"/>
      <c r="W673" s="76"/>
      <c r="X673" s="76"/>
      <c r="Y673" s="97" t="s">
        <v>1174</v>
      </c>
      <c r="Z673" s="278" t="s">
        <v>2090</v>
      </c>
      <c r="AA673" s="76"/>
      <c r="AB673" s="76"/>
      <c r="AC673" s="97"/>
      <c r="AD673" s="99"/>
      <c r="AE673" s="76"/>
      <c r="AF673" s="76" t="s">
        <v>10329</v>
      </c>
      <c r="AG673" s="76" t="s">
        <v>1187</v>
      </c>
      <c r="AH673" s="85" t="s">
        <v>9989</v>
      </c>
      <c r="AI673" s="67"/>
      <c r="AJ673" s="67"/>
      <c r="AK673" s="748"/>
      <c r="AL673" s="748"/>
      <c r="AM673" s="810"/>
      <c r="AN673" s="810"/>
      <c r="AO673" s="748"/>
      <c r="AP673" s="748"/>
      <c r="AQ673" s="67"/>
      <c r="AR673" s="67"/>
      <c r="AS673" s="67"/>
      <c r="AT673" s="67"/>
    </row>
    <row r="674">
      <c r="A674" s="76" t="s">
        <v>116</v>
      </c>
      <c r="B674" s="757" t="s">
        <v>3297</v>
      </c>
      <c r="C674" s="757" t="s">
        <v>3298</v>
      </c>
      <c r="D674" s="757" t="s">
        <v>121</v>
      </c>
      <c r="E674" s="758" t="s">
        <v>1536</v>
      </c>
      <c r="F674" s="759" t="s">
        <v>3299</v>
      </c>
      <c r="G674" s="760" t="s">
        <v>1913</v>
      </c>
      <c r="H674" s="760" t="s">
        <v>60</v>
      </c>
      <c r="I674" s="87" t="s">
        <v>1221</v>
      </c>
      <c r="J674" s="87" t="s">
        <v>114</v>
      </c>
      <c r="K674" s="124" t="s">
        <v>10331</v>
      </c>
      <c r="L674" s="97"/>
      <c r="M674" s="97" t="s">
        <v>60</v>
      </c>
      <c r="N674" s="332" t="s">
        <v>5804</v>
      </c>
      <c r="O674" s="87" t="s">
        <v>10333</v>
      </c>
      <c r="P674" s="153">
        <v>35970.0</v>
      </c>
      <c r="Q674" s="315">
        <f t="shared" si="77"/>
        <v>35970</v>
      </c>
      <c r="R674" s="86">
        <f t="shared" si="78"/>
        <v>28</v>
      </c>
      <c r="S674" s="315">
        <v>3.596914615E9</v>
      </c>
      <c r="T674" s="315"/>
      <c r="U674" s="76" t="s">
        <v>136</v>
      </c>
      <c r="V674" s="86"/>
      <c r="W674" s="86"/>
      <c r="X674" s="97"/>
      <c r="Y674" s="97"/>
      <c r="Z674" s="97"/>
      <c r="AA674" s="97"/>
      <c r="AB674" s="97"/>
      <c r="AC674" s="76" t="s">
        <v>1456</v>
      </c>
      <c r="AD674" s="76"/>
      <c r="AE674" s="76"/>
      <c r="AF674" s="85" t="s">
        <v>1457</v>
      </c>
      <c r="AG674" s="112"/>
      <c r="AH674" s="85" t="s">
        <v>9989</v>
      </c>
      <c r="AI674" s="67"/>
      <c r="AJ674" s="67"/>
      <c r="AK674" s="748"/>
      <c r="AL674" s="748"/>
      <c r="AM674" s="810"/>
      <c r="AN674" s="810"/>
      <c r="AO674" s="748"/>
      <c r="AP674" s="748"/>
      <c r="AQ674" s="67"/>
      <c r="AR674" s="67"/>
      <c r="AS674" s="67"/>
      <c r="AT674" s="67"/>
    </row>
    <row r="675">
      <c r="A675" s="76" t="s">
        <v>116</v>
      </c>
      <c r="B675" s="757" t="s">
        <v>3898</v>
      </c>
      <c r="C675" s="757" t="s">
        <v>8583</v>
      </c>
      <c r="D675" s="757" t="s">
        <v>121</v>
      </c>
      <c r="E675" s="758" t="s">
        <v>1536</v>
      </c>
      <c r="F675" s="759" t="s">
        <v>3915</v>
      </c>
      <c r="G675" s="760" t="s">
        <v>8883</v>
      </c>
      <c r="H675" s="760" t="s">
        <v>60</v>
      </c>
      <c r="I675" s="87" t="s">
        <v>1221</v>
      </c>
      <c r="J675" s="85"/>
      <c r="K675" s="85"/>
      <c r="L675" s="85"/>
      <c r="M675" s="197" t="s">
        <v>326</v>
      </c>
      <c r="N675" s="127" t="s">
        <v>10342</v>
      </c>
      <c r="O675" s="76"/>
      <c r="P675" s="153">
        <v>31250.0</v>
      </c>
      <c r="Q675" s="315">
        <f t="shared" si="77"/>
        <v>1</v>
      </c>
      <c r="R675" s="97">
        <f t="shared" si="78"/>
        <v>41</v>
      </c>
      <c r="S675" s="315"/>
      <c r="T675" s="315"/>
      <c r="U675" s="76" t="s">
        <v>136</v>
      </c>
      <c r="V675" s="86"/>
      <c r="W675" s="76"/>
      <c r="X675" s="76"/>
      <c r="Y675" s="97"/>
      <c r="Z675" s="85"/>
      <c r="AA675" s="97"/>
      <c r="AB675" s="97"/>
      <c r="AC675" s="160" t="s">
        <v>630</v>
      </c>
      <c r="AD675" s="76" t="s">
        <v>632</v>
      </c>
      <c r="AE675" s="76"/>
      <c r="AF675" s="160" t="s">
        <v>630</v>
      </c>
      <c r="AG675" s="76"/>
      <c r="AH675" s="85" t="s">
        <v>9989</v>
      </c>
      <c r="AI675" s="67"/>
      <c r="AJ675" s="67"/>
      <c r="AK675" s="748"/>
      <c r="AL675" s="748"/>
      <c r="AM675" s="810"/>
      <c r="AN675" s="810"/>
      <c r="AO675" s="748"/>
      <c r="AP675" s="748"/>
      <c r="AQ675" s="67"/>
      <c r="AR675" s="67"/>
      <c r="AS675" s="67"/>
      <c r="AT675" s="67"/>
    </row>
    <row r="676">
      <c r="A676" s="76" t="s">
        <v>116</v>
      </c>
      <c r="B676" s="757" t="s">
        <v>3423</v>
      </c>
      <c r="C676" s="757" t="s">
        <v>8690</v>
      </c>
      <c r="D676" s="757" t="s">
        <v>121</v>
      </c>
      <c r="E676" s="758" t="s">
        <v>152</v>
      </c>
      <c r="F676" s="759" t="s">
        <v>7116</v>
      </c>
      <c r="G676" s="760" t="s">
        <v>153</v>
      </c>
      <c r="H676" s="760" t="s">
        <v>60</v>
      </c>
      <c r="I676" s="87" t="s">
        <v>1221</v>
      </c>
      <c r="J676" s="76" t="s">
        <v>114</v>
      </c>
      <c r="K676" s="176" t="s">
        <v>10352</v>
      </c>
      <c r="L676" s="85"/>
      <c r="M676" s="85" t="s">
        <v>60</v>
      </c>
      <c r="N676" s="287" t="s">
        <v>10355</v>
      </c>
      <c r="O676" s="76" t="s">
        <v>10356</v>
      </c>
      <c r="P676" s="153">
        <v>30715.0</v>
      </c>
      <c r="Q676" s="315">
        <f t="shared" si="77"/>
        <v>30715</v>
      </c>
      <c r="R676" s="86">
        <f t="shared" si="78"/>
        <v>42</v>
      </c>
      <c r="S676" s="315">
        <v>3.071403616E9</v>
      </c>
      <c r="T676" s="315" t="s">
        <v>378</v>
      </c>
      <c r="U676" s="76" t="s">
        <v>136</v>
      </c>
      <c r="V676" s="76"/>
      <c r="W676" s="76"/>
      <c r="X676" s="76"/>
      <c r="Y676" s="97" t="s">
        <v>1174</v>
      </c>
      <c r="Z676" s="278" t="s">
        <v>2090</v>
      </c>
      <c r="AA676" s="76"/>
      <c r="AB676" s="97"/>
      <c r="AC676" s="76"/>
      <c r="AD676" s="99"/>
      <c r="AE676" s="76"/>
      <c r="AF676" s="153">
        <v>46133.0</v>
      </c>
      <c r="AG676" s="76" t="s">
        <v>10366</v>
      </c>
      <c r="AH676" s="85" t="s">
        <v>9989</v>
      </c>
      <c r="AI676" s="67"/>
      <c r="AJ676" s="67"/>
      <c r="AK676" s="748"/>
      <c r="AL676" s="748"/>
      <c r="AM676" s="810"/>
      <c r="AN676" s="810"/>
      <c r="AO676" s="748"/>
      <c r="AP676" s="748"/>
      <c r="AQ676" s="67"/>
      <c r="AR676" s="67"/>
      <c r="AS676" s="67"/>
      <c r="AT676" s="67"/>
    </row>
    <row r="677">
      <c r="A677" s="76" t="s">
        <v>116</v>
      </c>
      <c r="B677" s="757" t="s">
        <v>3875</v>
      </c>
      <c r="C677" s="757" t="s">
        <v>121</v>
      </c>
      <c r="D677" s="757" t="s">
        <v>121</v>
      </c>
      <c r="E677" s="758" t="s">
        <v>178</v>
      </c>
      <c r="F677" s="759" t="s">
        <v>9763</v>
      </c>
      <c r="G677" s="760" t="s">
        <v>206</v>
      </c>
      <c r="H677" s="760" t="s">
        <v>102</v>
      </c>
      <c r="I677" s="146" t="s">
        <v>408</v>
      </c>
      <c r="J677" s="85" t="s">
        <v>114</v>
      </c>
      <c r="K677" s="124" t="s">
        <v>10368</v>
      </c>
      <c r="L677" s="76"/>
      <c r="M677" s="76" t="s">
        <v>60</v>
      </c>
      <c r="N677" s="76" t="s">
        <v>3647</v>
      </c>
      <c r="O677" s="76" t="s">
        <v>8923</v>
      </c>
      <c r="P677" s="712">
        <v>28370.0</v>
      </c>
      <c r="Q677" s="315">
        <f t="shared" si="77"/>
        <v>28370</v>
      </c>
      <c r="R677" s="86">
        <f t="shared" si="78"/>
        <v>49</v>
      </c>
      <c r="S677" s="76">
        <v>2.836921316E9</v>
      </c>
      <c r="T677" s="315"/>
      <c r="U677" s="76" t="s">
        <v>219</v>
      </c>
      <c r="V677" s="76"/>
      <c r="W677" s="76"/>
      <c r="X677" s="97"/>
      <c r="Y677" s="97"/>
      <c r="Z677" s="728" t="s">
        <v>2482</v>
      </c>
      <c r="AA677" s="97"/>
      <c r="AB677" s="97"/>
      <c r="AC677" s="97"/>
      <c r="AD677" s="99"/>
      <c r="AE677" s="76"/>
      <c r="AF677" s="76" t="s">
        <v>10373</v>
      </c>
      <c r="AG677" s="76" t="s">
        <v>375</v>
      </c>
      <c r="AH677" s="85" t="s">
        <v>9989</v>
      </c>
      <c r="AI677" s="67"/>
      <c r="AJ677" s="67"/>
      <c r="AK677" s="748"/>
      <c r="AL677" s="748"/>
      <c r="AM677" s="810"/>
      <c r="AN677" s="810"/>
      <c r="AO677" s="748"/>
      <c r="AP677" s="748"/>
      <c r="AQ677" s="67"/>
      <c r="AR677" s="67"/>
      <c r="AS677" s="67"/>
      <c r="AT677" s="67"/>
    </row>
    <row r="678">
      <c r="A678" s="86"/>
      <c r="B678" s="302" t="s">
        <v>145</v>
      </c>
      <c r="C678" s="330">
        <v>45988.0</v>
      </c>
      <c r="D678" s="86"/>
      <c r="E678" s="777" t="s">
        <v>8468</v>
      </c>
      <c r="F678" s="86"/>
      <c r="G678" s="86"/>
      <c r="H678" s="86"/>
      <c r="I678" s="86"/>
      <c r="J678" s="76" t="s">
        <v>114</v>
      </c>
      <c r="K678" s="124" t="s">
        <v>10376</v>
      </c>
      <c r="L678" s="76"/>
      <c r="M678" s="76" t="s">
        <v>60</v>
      </c>
      <c r="N678" s="474" t="s">
        <v>8470</v>
      </c>
      <c r="O678" s="76" t="s">
        <v>8471</v>
      </c>
      <c r="P678" s="153">
        <v>27994.0</v>
      </c>
      <c r="Q678" s="315">
        <f t="shared" si="77"/>
        <v>27994</v>
      </c>
      <c r="R678" s="97">
        <f t="shared" si="78"/>
        <v>50</v>
      </c>
      <c r="S678" s="315">
        <v>2.799310318E9</v>
      </c>
      <c r="T678" s="315"/>
      <c r="U678" s="76" t="s">
        <v>379</v>
      </c>
      <c r="V678" s="76"/>
      <c r="W678" s="76"/>
      <c r="X678" s="76" t="s">
        <v>145</v>
      </c>
      <c r="Y678" s="97" t="s">
        <v>371</v>
      </c>
      <c r="Z678" s="85"/>
      <c r="AA678" s="97" t="s">
        <v>185</v>
      </c>
      <c r="AB678" s="76" t="s">
        <v>269</v>
      </c>
      <c r="AC678" s="97"/>
      <c r="AD678" s="99"/>
      <c r="AE678" s="76" t="s">
        <v>861</v>
      </c>
      <c r="AF678" s="310" t="s">
        <v>10382</v>
      </c>
      <c r="AG678" s="76"/>
      <c r="AH678" s="76" t="s">
        <v>9920</v>
      </c>
      <c r="AI678" s="67"/>
      <c r="AJ678" s="67"/>
      <c r="AK678" s="67"/>
      <c r="AL678" s="67"/>
      <c r="AM678" s="67"/>
      <c r="AN678" s="67"/>
      <c r="AO678" s="67"/>
      <c r="AP678" s="67"/>
      <c r="AQ678" s="67"/>
      <c r="AR678" s="67"/>
      <c r="AS678" s="67"/>
      <c r="AT678" s="67"/>
    </row>
    <row r="679">
      <c r="A679" s="86"/>
      <c r="B679" s="302" t="s">
        <v>145</v>
      </c>
      <c r="C679" s="302"/>
      <c r="D679" s="76"/>
      <c r="E679" s="574">
        <v>46096.0</v>
      </c>
      <c r="F679" s="762"/>
      <c r="G679" s="762"/>
      <c r="H679" s="762"/>
      <c r="I679" s="762"/>
      <c r="J679" s="85" t="s">
        <v>114</v>
      </c>
      <c r="K679" s="76"/>
      <c r="L679" s="964"/>
      <c r="M679" s="85" t="s">
        <v>60</v>
      </c>
      <c r="N679" s="306" t="s">
        <v>10386</v>
      </c>
      <c r="O679" s="76" t="s">
        <v>10387</v>
      </c>
      <c r="P679" s="153">
        <v>31841.0</v>
      </c>
      <c r="Q679" s="315">
        <f t="shared" si="77"/>
        <v>31841</v>
      </c>
      <c r="R679" s="86">
        <f t="shared" si="78"/>
        <v>39</v>
      </c>
      <c r="S679" s="76">
        <v>3.18401311E9</v>
      </c>
      <c r="T679" s="315"/>
      <c r="U679" s="76" t="s">
        <v>379</v>
      </c>
      <c r="V679" s="76"/>
      <c r="W679" s="76"/>
      <c r="X679" s="76" t="s">
        <v>182</v>
      </c>
      <c r="Y679" s="97"/>
      <c r="Z679" s="85" t="s">
        <v>1173</v>
      </c>
      <c r="AA679" s="76" t="s">
        <v>185</v>
      </c>
      <c r="AB679" s="76" t="s">
        <v>269</v>
      </c>
      <c r="AC679" s="76"/>
      <c r="AD679" s="76"/>
      <c r="AE679" s="76" t="s">
        <v>861</v>
      </c>
      <c r="AF679" s="310" t="s">
        <v>10382</v>
      </c>
      <c r="AG679" s="189"/>
      <c r="AH679" s="76" t="s">
        <v>9920</v>
      </c>
      <c r="AI679" s="763"/>
      <c r="AJ679" s="763"/>
      <c r="AK679" s="763"/>
      <c r="AL679" s="763"/>
      <c r="AM679" s="763"/>
      <c r="AN679" s="763"/>
      <c r="AO679" s="763"/>
      <c r="AP679" s="763"/>
      <c r="AQ679" s="763"/>
      <c r="AR679" s="763"/>
      <c r="AS679" s="763"/>
      <c r="AT679" s="763"/>
    </row>
    <row r="680">
      <c r="A680" s="86"/>
      <c r="B680" s="966" t="s">
        <v>4145</v>
      </c>
      <c r="C680" s="291" t="s">
        <v>5668</v>
      </c>
      <c r="D680" s="76"/>
      <c r="E680" s="574">
        <v>46096.0</v>
      </c>
      <c r="F680" s="762"/>
      <c r="G680" s="762"/>
      <c r="H680" s="762"/>
      <c r="I680" s="762"/>
      <c r="J680" s="85" t="s">
        <v>114</v>
      </c>
      <c r="K680" s="124" t="s">
        <v>10393</v>
      </c>
      <c r="L680" s="964"/>
      <c r="M680" s="85" t="s">
        <v>656</v>
      </c>
      <c r="N680" s="306" t="s">
        <v>10394</v>
      </c>
      <c r="O680" s="76" t="s">
        <v>10395</v>
      </c>
      <c r="P680" s="153">
        <v>29246.0</v>
      </c>
      <c r="Q680" s="315">
        <f t="shared" si="77"/>
        <v>29246</v>
      </c>
      <c r="R680" s="86">
        <f t="shared" si="78"/>
        <v>46</v>
      </c>
      <c r="S680" s="76">
        <v>2.924520372E9</v>
      </c>
      <c r="T680" s="315"/>
      <c r="U680" s="76" t="s">
        <v>379</v>
      </c>
      <c r="V680" s="76"/>
      <c r="W680" s="76"/>
      <c r="X680" s="76" t="s">
        <v>186</v>
      </c>
      <c r="Y680" s="97"/>
      <c r="Z680" s="85" t="s">
        <v>1173</v>
      </c>
      <c r="AA680" s="76" t="s">
        <v>1178</v>
      </c>
      <c r="AB680" s="97"/>
      <c r="AC680" s="76"/>
      <c r="AD680" s="76"/>
      <c r="AE680" s="76" t="s">
        <v>861</v>
      </c>
      <c r="AF680" s="310" t="s">
        <v>10401</v>
      </c>
      <c r="AG680" s="189"/>
      <c r="AH680" s="76" t="s">
        <v>9920</v>
      </c>
      <c r="AI680" s="763"/>
      <c r="AJ680" s="763"/>
      <c r="AK680" s="763"/>
      <c r="AL680" s="763"/>
      <c r="AM680" s="763"/>
      <c r="AN680" s="763"/>
      <c r="AO680" s="763"/>
      <c r="AP680" s="763"/>
      <c r="AQ680" s="763"/>
      <c r="AR680" s="763"/>
      <c r="AS680" s="763"/>
      <c r="AT680" s="763"/>
    </row>
    <row r="681">
      <c r="A681" s="86"/>
      <c r="B681" s="302" t="s">
        <v>4145</v>
      </c>
      <c r="C681" s="966" t="s">
        <v>5668</v>
      </c>
      <c r="D681" s="76"/>
      <c r="E681" s="574">
        <v>46096.0</v>
      </c>
      <c r="F681" s="762"/>
      <c r="G681" s="762"/>
      <c r="H681" s="762"/>
      <c r="I681" s="762"/>
      <c r="J681" s="85" t="s">
        <v>114</v>
      </c>
      <c r="K681" s="76"/>
      <c r="L681" s="964"/>
      <c r="M681" s="85" t="s">
        <v>60</v>
      </c>
      <c r="N681" s="306" t="s">
        <v>10405</v>
      </c>
      <c r="O681" s="76" t="s">
        <v>2379</v>
      </c>
      <c r="P681" s="153">
        <v>28649.0</v>
      </c>
      <c r="Q681" s="315">
        <f t="shared" si="77"/>
        <v>1</v>
      </c>
      <c r="R681" s="86">
        <f t="shared" si="78"/>
        <v>48</v>
      </c>
      <c r="S681" s="76"/>
      <c r="T681" s="76" t="s">
        <v>1317</v>
      </c>
      <c r="U681" s="76" t="s">
        <v>379</v>
      </c>
      <c r="V681" s="76"/>
      <c r="W681" s="76"/>
      <c r="X681" s="76" t="s">
        <v>186</v>
      </c>
      <c r="Y681" s="97"/>
      <c r="Z681" s="85" t="s">
        <v>1173</v>
      </c>
      <c r="AA681" s="76" t="s">
        <v>1178</v>
      </c>
      <c r="AB681" s="97"/>
      <c r="AC681" s="76"/>
      <c r="AD681" s="76"/>
      <c r="AE681" s="76" t="s">
        <v>861</v>
      </c>
      <c r="AF681" s="310" t="s">
        <v>10401</v>
      </c>
      <c r="AG681" s="189"/>
      <c r="AH681" s="76" t="s">
        <v>9920</v>
      </c>
      <c r="AI681" s="763"/>
      <c r="AJ681" s="763"/>
      <c r="AK681" s="763"/>
      <c r="AL681" s="763"/>
      <c r="AM681" s="763"/>
      <c r="AN681" s="763"/>
      <c r="AO681" s="763"/>
      <c r="AP681" s="763"/>
      <c r="AQ681" s="763"/>
      <c r="AR681" s="763"/>
      <c r="AS681" s="763"/>
      <c r="AT681" s="763"/>
    </row>
    <row r="682">
      <c r="A682" s="86"/>
      <c r="B682" s="302" t="s">
        <v>4145</v>
      </c>
      <c r="C682" s="966" t="s">
        <v>5668</v>
      </c>
      <c r="D682" s="76"/>
      <c r="E682" s="574">
        <v>46096.0</v>
      </c>
      <c r="F682" s="762"/>
      <c r="G682" s="762"/>
      <c r="H682" s="762"/>
      <c r="I682" s="762"/>
      <c r="J682" s="85" t="s">
        <v>114</v>
      </c>
      <c r="K682" s="124" t="s">
        <v>10411</v>
      </c>
      <c r="L682" s="964"/>
      <c r="M682" s="85" t="s">
        <v>656</v>
      </c>
      <c r="N682" s="306" t="s">
        <v>10413</v>
      </c>
      <c r="O682" s="76" t="s">
        <v>10414</v>
      </c>
      <c r="P682" s="153">
        <v>30791.0</v>
      </c>
      <c r="Q682" s="315">
        <f t="shared" si="77"/>
        <v>30791</v>
      </c>
      <c r="R682" s="86">
        <f t="shared" si="78"/>
        <v>42</v>
      </c>
      <c r="S682" s="76">
        <v>3.079013073E9</v>
      </c>
      <c r="T682" s="76" t="s">
        <v>378</v>
      </c>
      <c r="U682" s="76" t="s">
        <v>379</v>
      </c>
      <c r="V682" s="76"/>
      <c r="W682" s="76"/>
      <c r="X682" s="76" t="s">
        <v>186</v>
      </c>
      <c r="Y682" s="97"/>
      <c r="Z682" s="85" t="s">
        <v>1173</v>
      </c>
      <c r="AA682" s="76" t="s">
        <v>1178</v>
      </c>
      <c r="AB682" s="97"/>
      <c r="AC682" s="76"/>
      <c r="AD682" s="76"/>
      <c r="AE682" s="76" t="s">
        <v>861</v>
      </c>
      <c r="AF682" s="310" t="s">
        <v>10382</v>
      </c>
      <c r="AG682" s="189"/>
      <c r="AH682" s="76" t="s">
        <v>9920</v>
      </c>
      <c r="AI682" s="763"/>
      <c r="AJ682" s="763"/>
      <c r="AK682" s="763"/>
      <c r="AL682" s="763"/>
      <c r="AM682" s="763"/>
      <c r="AN682" s="763"/>
      <c r="AO682" s="763"/>
      <c r="AP682" s="763"/>
      <c r="AQ682" s="763"/>
      <c r="AR682" s="763"/>
      <c r="AS682" s="763"/>
      <c r="AT682" s="763"/>
    </row>
    <row r="683">
      <c r="A683" s="86"/>
      <c r="B683" s="302" t="s">
        <v>145</v>
      </c>
      <c r="C683" s="302"/>
      <c r="D683" s="76"/>
      <c r="E683" s="574">
        <v>46096.0</v>
      </c>
      <c r="F683" s="762"/>
      <c r="G683" s="762"/>
      <c r="H683" s="762"/>
      <c r="I683" s="762"/>
      <c r="J683" s="76"/>
      <c r="K683" s="76"/>
      <c r="L683" s="964"/>
      <c r="M683" s="85" t="s">
        <v>60</v>
      </c>
      <c r="N683" s="306" t="s">
        <v>10421</v>
      </c>
      <c r="O683" s="76" t="s">
        <v>1203</v>
      </c>
      <c r="P683" s="153"/>
      <c r="Q683" s="315">
        <f t="shared" si="77"/>
        <v>1</v>
      </c>
      <c r="R683" s="86">
        <f t="shared" si="78"/>
        <v>126</v>
      </c>
      <c r="S683" s="76"/>
      <c r="T683" s="315"/>
      <c r="U683" s="76" t="s">
        <v>379</v>
      </c>
      <c r="V683" s="76"/>
      <c r="W683" s="76"/>
      <c r="X683" s="76" t="s">
        <v>182</v>
      </c>
      <c r="Y683" s="97"/>
      <c r="Z683" s="85" t="s">
        <v>1173</v>
      </c>
      <c r="AA683" s="76" t="s">
        <v>185</v>
      </c>
      <c r="AB683" s="76" t="s">
        <v>269</v>
      </c>
      <c r="AC683" s="76"/>
      <c r="AD683" s="76"/>
      <c r="AE683" s="76" t="s">
        <v>861</v>
      </c>
      <c r="AF683" s="310" t="s">
        <v>10382</v>
      </c>
      <c r="AG683" s="189"/>
      <c r="AH683" s="76" t="s">
        <v>9920</v>
      </c>
      <c r="AI683" s="763"/>
      <c r="AJ683" s="763"/>
      <c r="AK683" s="763"/>
      <c r="AL683" s="763"/>
      <c r="AM683" s="763"/>
      <c r="AN683" s="763"/>
      <c r="AO683" s="763"/>
      <c r="AP683" s="763"/>
      <c r="AQ683" s="763"/>
      <c r="AR683" s="763"/>
      <c r="AS683" s="763"/>
      <c r="AT683" s="763"/>
    </row>
    <row r="684">
      <c r="A684" s="86"/>
      <c r="B684" s="302" t="s">
        <v>4145</v>
      </c>
      <c r="C684" s="523"/>
      <c r="D684" s="86"/>
      <c r="E684" s="574">
        <v>46088.0</v>
      </c>
      <c r="F684" s="86"/>
      <c r="G684" s="86"/>
      <c r="H684" s="86"/>
      <c r="I684" s="86"/>
      <c r="J684" s="85" t="s">
        <v>114</v>
      </c>
      <c r="K684" s="124" t="s">
        <v>10430</v>
      </c>
      <c r="L684" s="76"/>
      <c r="M684" s="85" t="s">
        <v>60</v>
      </c>
      <c r="N684" s="76" t="s">
        <v>10432</v>
      </c>
      <c r="O684" s="76" t="s">
        <v>10433</v>
      </c>
      <c r="P684" s="153">
        <v>35206.0</v>
      </c>
      <c r="Q684" s="315">
        <f t="shared" si="77"/>
        <v>35206</v>
      </c>
      <c r="R684" s="86">
        <f t="shared" si="78"/>
        <v>30</v>
      </c>
      <c r="S684" s="76">
        <v>3.520508056E9</v>
      </c>
      <c r="T684" s="86"/>
      <c r="U684" s="76" t="s">
        <v>379</v>
      </c>
      <c r="V684" s="76"/>
      <c r="W684" s="76"/>
      <c r="X684" s="76"/>
      <c r="Y684" s="167"/>
      <c r="Z684" s="176" t="s">
        <v>1460</v>
      </c>
      <c r="AA684" s="168"/>
      <c r="AB684" s="97"/>
      <c r="AC684" s="76" t="s">
        <v>9626</v>
      </c>
      <c r="AD684" s="168"/>
      <c r="AE684" s="76"/>
      <c r="AF684" s="76"/>
      <c r="AG684" s="76"/>
      <c r="AH684" s="153">
        <v>46100.0</v>
      </c>
      <c r="AI684" s="203"/>
      <c r="AJ684" s="203"/>
      <c r="AK684" s="203"/>
      <c r="AL684" s="203"/>
      <c r="AM684" s="203"/>
      <c r="AN684" s="203"/>
      <c r="AO684" s="203"/>
      <c r="AP684" s="203"/>
      <c r="AQ684" s="203"/>
      <c r="AR684" s="203"/>
      <c r="AS684" s="203"/>
      <c r="AT684" s="203"/>
    </row>
    <row r="685">
      <c r="A685" s="86"/>
      <c r="B685" s="302" t="s">
        <v>4145</v>
      </c>
      <c r="C685" s="523"/>
      <c r="D685" s="86"/>
      <c r="E685" s="574">
        <v>46088.0</v>
      </c>
      <c r="F685" s="86"/>
      <c r="G685" s="86"/>
      <c r="H685" s="86"/>
      <c r="I685" s="86"/>
      <c r="J685" s="85" t="s">
        <v>114</v>
      </c>
      <c r="K685" s="124" t="s">
        <v>10439</v>
      </c>
      <c r="L685" s="76"/>
      <c r="M685" s="85" t="s">
        <v>60</v>
      </c>
      <c r="N685" s="76" t="s">
        <v>10442</v>
      </c>
      <c r="O685" s="76" t="s">
        <v>10443</v>
      </c>
      <c r="P685" s="153">
        <v>33591.0</v>
      </c>
      <c r="Q685" s="315">
        <f t="shared" si="77"/>
        <v>33591</v>
      </c>
      <c r="R685" s="86">
        <f t="shared" si="78"/>
        <v>34</v>
      </c>
      <c r="S685" s="76">
        <v>3.359012976E9</v>
      </c>
      <c r="T685" s="86"/>
      <c r="U685" s="76" t="s">
        <v>379</v>
      </c>
      <c r="V685" s="76"/>
      <c r="W685" s="76"/>
      <c r="X685" s="76"/>
      <c r="Y685" s="167"/>
      <c r="Z685" s="176" t="s">
        <v>1460</v>
      </c>
      <c r="AA685" s="168"/>
      <c r="AB685" s="97"/>
      <c r="AC685" s="76" t="s">
        <v>9626</v>
      </c>
      <c r="AD685" s="168"/>
      <c r="AE685" s="76"/>
      <c r="AF685" s="76"/>
      <c r="AG685" s="76"/>
      <c r="AH685" s="153">
        <v>46100.0</v>
      </c>
      <c r="AI685" s="203"/>
      <c r="AJ685" s="203"/>
      <c r="AK685" s="203"/>
      <c r="AL685" s="203"/>
      <c r="AM685" s="203"/>
      <c r="AN685" s="203"/>
      <c r="AO685" s="203"/>
      <c r="AP685" s="203"/>
      <c r="AQ685" s="203"/>
      <c r="AR685" s="203"/>
      <c r="AS685" s="203"/>
      <c r="AT685" s="203"/>
    </row>
    <row r="686">
      <c r="A686" s="86"/>
      <c r="B686" s="302" t="s">
        <v>4145</v>
      </c>
      <c r="C686" s="523"/>
      <c r="D686" s="86"/>
      <c r="E686" s="574">
        <v>46088.0</v>
      </c>
      <c r="F686" s="86"/>
      <c r="G686" s="86"/>
      <c r="H686" s="86"/>
      <c r="I686" s="86"/>
      <c r="J686" s="85" t="s">
        <v>114</v>
      </c>
      <c r="K686" s="124" t="s">
        <v>10451</v>
      </c>
      <c r="L686" s="76"/>
      <c r="M686" s="85" t="s">
        <v>60</v>
      </c>
      <c r="N686" s="76" t="s">
        <v>10453</v>
      </c>
      <c r="O686" s="76" t="s">
        <v>10454</v>
      </c>
      <c r="P686" s="153">
        <v>31631.0</v>
      </c>
      <c r="Q686" s="315">
        <f t="shared" si="77"/>
        <v>31631</v>
      </c>
      <c r="R686" s="86">
        <f t="shared" si="78"/>
        <v>40</v>
      </c>
      <c r="S686" s="76">
        <v>3.163005379E9</v>
      </c>
      <c r="T686" s="86"/>
      <c r="U686" s="76" t="s">
        <v>379</v>
      </c>
      <c r="V686" s="76"/>
      <c r="W686" s="76"/>
      <c r="X686" s="76"/>
      <c r="Y686" s="167"/>
      <c r="Z686" s="176" t="s">
        <v>1460</v>
      </c>
      <c r="AA686" s="168"/>
      <c r="AB686" s="97"/>
      <c r="AC686" s="76" t="s">
        <v>9626</v>
      </c>
      <c r="AD686" s="168"/>
      <c r="AE686" s="76"/>
      <c r="AF686" s="76"/>
      <c r="AG686" s="76"/>
      <c r="AH686" s="153">
        <v>46100.0</v>
      </c>
      <c r="AI686" s="203"/>
      <c r="AJ686" s="203"/>
      <c r="AK686" s="203"/>
      <c r="AL686" s="203"/>
      <c r="AM686" s="203"/>
      <c r="AN686" s="203"/>
      <c r="AO686" s="203"/>
      <c r="AP686" s="203"/>
      <c r="AQ686" s="203"/>
      <c r="AR686" s="203"/>
      <c r="AS686" s="203"/>
      <c r="AT686" s="203"/>
    </row>
    <row r="687">
      <c r="A687" s="86"/>
      <c r="B687" s="302" t="s">
        <v>4145</v>
      </c>
      <c r="C687" s="523"/>
      <c r="D687" s="86"/>
      <c r="E687" s="574">
        <v>46088.0</v>
      </c>
      <c r="F687" s="86"/>
      <c r="G687" s="86"/>
      <c r="H687" s="86"/>
      <c r="I687" s="86"/>
      <c r="J687" s="85" t="s">
        <v>114</v>
      </c>
      <c r="K687" s="124" t="s">
        <v>10461</v>
      </c>
      <c r="L687" s="76"/>
      <c r="M687" s="85" t="s">
        <v>60</v>
      </c>
      <c r="N687" s="76" t="s">
        <v>10462</v>
      </c>
      <c r="O687" s="76" t="s">
        <v>10464</v>
      </c>
      <c r="P687" s="153">
        <v>31964.0</v>
      </c>
      <c r="Q687" s="315">
        <f t="shared" si="77"/>
        <v>31964</v>
      </c>
      <c r="R687" s="86">
        <f t="shared" si="78"/>
        <v>39</v>
      </c>
      <c r="S687" s="76">
        <v>3.196323095E9</v>
      </c>
      <c r="T687" s="86"/>
      <c r="U687" s="76" t="s">
        <v>379</v>
      </c>
      <c r="V687" s="76"/>
      <c r="W687" s="76"/>
      <c r="X687" s="76"/>
      <c r="Y687" s="167"/>
      <c r="Z687" s="176" t="s">
        <v>1460</v>
      </c>
      <c r="AA687" s="168"/>
      <c r="AB687" s="97"/>
      <c r="AC687" s="76" t="s">
        <v>9626</v>
      </c>
      <c r="AD687" s="168"/>
      <c r="AE687" s="76"/>
      <c r="AF687" s="76"/>
      <c r="AG687" s="76"/>
      <c r="AH687" s="153">
        <v>46100.0</v>
      </c>
      <c r="AI687" s="203"/>
      <c r="AJ687" s="203"/>
      <c r="AK687" s="203"/>
      <c r="AL687" s="203"/>
      <c r="AM687" s="203"/>
      <c r="AN687" s="203"/>
      <c r="AO687" s="203"/>
      <c r="AP687" s="203"/>
      <c r="AQ687" s="203"/>
      <c r="AR687" s="203"/>
      <c r="AS687" s="203"/>
      <c r="AT687" s="203"/>
    </row>
    <row r="688">
      <c r="A688" s="76" t="s">
        <v>116</v>
      </c>
      <c r="B688" s="757" t="s">
        <v>3297</v>
      </c>
      <c r="C688" s="757" t="s">
        <v>3298</v>
      </c>
      <c r="D688" s="757" t="s">
        <v>121</v>
      </c>
      <c r="E688" s="758" t="s">
        <v>1536</v>
      </c>
      <c r="F688" s="759" t="s">
        <v>3299</v>
      </c>
      <c r="G688" s="760" t="s">
        <v>1913</v>
      </c>
      <c r="H688" s="760" t="s">
        <v>60</v>
      </c>
      <c r="I688" s="87" t="s">
        <v>1221</v>
      </c>
      <c r="J688" s="87" t="s">
        <v>114</v>
      </c>
      <c r="K688" s="124" t="s">
        <v>10331</v>
      </c>
      <c r="L688" s="97"/>
      <c r="M688" s="97" t="s">
        <v>60</v>
      </c>
      <c r="N688" s="332" t="s">
        <v>5804</v>
      </c>
      <c r="O688" s="87" t="s">
        <v>10333</v>
      </c>
      <c r="P688" s="153">
        <v>35970.0</v>
      </c>
      <c r="Q688" s="315">
        <f t="shared" si="77"/>
        <v>35970</v>
      </c>
      <c r="R688" s="86">
        <f t="shared" si="78"/>
        <v>28</v>
      </c>
      <c r="S688" s="315">
        <v>3.596914615E9</v>
      </c>
      <c r="T688" s="315"/>
      <c r="U688" s="76" t="s">
        <v>136</v>
      </c>
      <c r="V688" s="86"/>
      <c r="W688" s="86"/>
      <c r="X688" s="97"/>
      <c r="Y688" s="97"/>
      <c r="Z688" s="97"/>
      <c r="AA688" s="97"/>
      <c r="AB688" s="97"/>
      <c r="AC688" s="76" t="s">
        <v>1456</v>
      </c>
      <c r="AD688" s="76"/>
      <c r="AE688" s="76"/>
      <c r="AF688" s="85" t="s">
        <v>1457</v>
      </c>
      <c r="AG688" s="112"/>
      <c r="AH688" s="85" t="s">
        <v>10474</v>
      </c>
      <c r="AI688" s="67"/>
      <c r="AJ688" s="67"/>
      <c r="AK688" s="748"/>
      <c r="AL688" s="748"/>
      <c r="AM688" s="810"/>
      <c r="AN688" s="810"/>
      <c r="AO688" s="748"/>
      <c r="AP688" s="748"/>
      <c r="AQ688" s="67"/>
      <c r="AR688" s="67"/>
      <c r="AS688" s="67"/>
      <c r="AT688" s="67"/>
    </row>
    <row r="689">
      <c r="A689" s="76" t="s">
        <v>116</v>
      </c>
      <c r="B689" s="757" t="s">
        <v>6229</v>
      </c>
      <c r="C689" s="757" t="s">
        <v>121</v>
      </c>
      <c r="D689" s="757" t="s">
        <v>121</v>
      </c>
      <c r="E689" s="758" t="s">
        <v>1536</v>
      </c>
      <c r="F689" s="759" t="s">
        <v>6230</v>
      </c>
      <c r="G689" s="760" t="s">
        <v>2158</v>
      </c>
      <c r="H689" s="760" t="s">
        <v>60</v>
      </c>
      <c r="I689" s="87" t="s">
        <v>1221</v>
      </c>
      <c r="J689" s="76" t="s">
        <v>114</v>
      </c>
      <c r="K689" s="176" t="s">
        <v>10481</v>
      </c>
      <c r="L689" s="87"/>
      <c r="M689" s="85" t="s">
        <v>60</v>
      </c>
      <c r="N689" s="76" t="s">
        <v>10484</v>
      </c>
      <c r="O689" s="76" t="s">
        <v>10485</v>
      </c>
      <c r="P689" s="153">
        <v>31553.0</v>
      </c>
      <c r="Q689" s="315">
        <f t="shared" si="77"/>
        <v>31553</v>
      </c>
      <c r="R689" s="97">
        <f t="shared" si="78"/>
        <v>40</v>
      </c>
      <c r="S689" s="76">
        <v>3.155215734E9</v>
      </c>
      <c r="T689" s="76" t="s">
        <v>1362</v>
      </c>
      <c r="U689" s="76" t="s">
        <v>379</v>
      </c>
      <c r="V689" s="76"/>
      <c r="W689" s="97"/>
      <c r="X689" s="76"/>
      <c r="Y689" s="168"/>
      <c r="Z689" s="216" t="s">
        <v>2155</v>
      </c>
      <c r="AA689" s="168"/>
      <c r="AB689" s="97"/>
      <c r="AC689" s="76" t="s">
        <v>10488</v>
      </c>
      <c r="AD689" s="168"/>
      <c r="AE689" s="76"/>
      <c r="AF689" s="76" t="s">
        <v>10490</v>
      </c>
      <c r="AG689" s="76"/>
      <c r="AH689" s="85" t="s">
        <v>10474</v>
      </c>
      <c r="AI689" s="67"/>
      <c r="AJ689" s="67"/>
      <c r="AK689" s="748"/>
      <c r="AL689" s="748"/>
      <c r="AM689" s="810"/>
      <c r="AN689" s="810"/>
      <c r="AO689" s="748"/>
      <c r="AP689" s="748"/>
      <c r="AQ689" s="67"/>
      <c r="AR689" s="67"/>
      <c r="AS689" s="67"/>
      <c r="AT689" s="67"/>
    </row>
    <row r="690">
      <c r="A690" s="76" t="s">
        <v>116</v>
      </c>
      <c r="B690" s="757" t="s">
        <v>1039</v>
      </c>
      <c r="C690" s="757" t="s">
        <v>1611</v>
      </c>
      <c r="D690" s="757" t="s">
        <v>1368</v>
      </c>
      <c r="E690" s="758" t="s">
        <v>213</v>
      </c>
      <c r="F690" s="759" t="s">
        <v>1523</v>
      </c>
      <c r="G690" s="760" t="s">
        <v>2746</v>
      </c>
      <c r="H690" s="760" t="s">
        <v>60</v>
      </c>
      <c r="I690" s="87" t="s">
        <v>1221</v>
      </c>
      <c r="J690" s="76" t="s">
        <v>114</v>
      </c>
      <c r="K690" s="76" t="s">
        <v>10494</v>
      </c>
      <c r="L690" s="964"/>
      <c r="M690" s="85" t="s">
        <v>60</v>
      </c>
      <c r="N690" s="306" t="s">
        <v>10495</v>
      </c>
      <c r="O690" s="76" t="s">
        <v>2253</v>
      </c>
      <c r="P690" s="153">
        <v>29059.0</v>
      </c>
      <c r="Q690" s="315">
        <f t="shared" si="77"/>
        <v>1</v>
      </c>
      <c r="R690" s="86">
        <f t="shared" si="78"/>
        <v>47</v>
      </c>
      <c r="S690" s="76"/>
      <c r="T690" s="315"/>
      <c r="U690" s="76" t="s">
        <v>379</v>
      </c>
      <c r="V690" s="76"/>
      <c r="W690" s="76"/>
      <c r="X690" s="76"/>
      <c r="Y690" s="97"/>
      <c r="Z690" s="216" t="s">
        <v>2521</v>
      </c>
      <c r="AA690" s="76"/>
      <c r="AB690" s="97"/>
      <c r="AC690" s="76" t="s">
        <v>4264</v>
      </c>
      <c r="AD690" s="76"/>
      <c r="AE690" s="76" t="s">
        <v>861</v>
      </c>
      <c r="AF690" s="76"/>
      <c r="AG690" s="76" t="s">
        <v>9963</v>
      </c>
      <c r="AH690" s="76" t="s">
        <v>9954</v>
      </c>
      <c r="AI690" s="203"/>
      <c r="AJ690" s="203"/>
      <c r="AK690" s="203"/>
      <c r="AL690" s="203"/>
      <c r="AM690" s="203"/>
      <c r="AN690" s="203"/>
      <c r="AO690" s="203"/>
      <c r="AP690" s="203"/>
      <c r="AQ690" s="203"/>
      <c r="AR690" s="203"/>
      <c r="AS690" s="203"/>
      <c r="AT690" s="203"/>
    </row>
    <row r="691">
      <c r="A691" s="76" t="s">
        <v>116</v>
      </c>
      <c r="B691" s="757" t="s">
        <v>1709</v>
      </c>
      <c r="C691" s="757" t="s">
        <v>121</v>
      </c>
      <c r="D691" s="757" t="s">
        <v>121</v>
      </c>
      <c r="E691" s="758" t="s">
        <v>786</v>
      </c>
      <c r="F691" s="759" t="s">
        <v>1216</v>
      </c>
      <c r="G691" s="760" t="s">
        <v>5395</v>
      </c>
      <c r="H691" s="760" t="s">
        <v>60</v>
      </c>
      <c r="I691" s="87" t="s">
        <v>1221</v>
      </c>
      <c r="J691" s="76" t="s">
        <v>114</v>
      </c>
      <c r="K691" s="124" t="s">
        <v>10502</v>
      </c>
      <c r="L691" s="964"/>
      <c r="M691" s="85" t="s">
        <v>326</v>
      </c>
      <c r="N691" s="306" t="s">
        <v>8317</v>
      </c>
      <c r="O691" s="76" t="s">
        <v>10505</v>
      </c>
      <c r="P691" s="153">
        <v>31033.0</v>
      </c>
      <c r="Q691" s="315">
        <f t="shared" si="77"/>
        <v>31033</v>
      </c>
      <c r="R691" s="86">
        <f t="shared" si="78"/>
        <v>41</v>
      </c>
      <c r="S691" s="76">
        <v>3.10320083E9</v>
      </c>
      <c r="T691" s="315"/>
      <c r="U691" s="76" t="s">
        <v>165</v>
      </c>
      <c r="V691" s="76" t="s">
        <v>350</v>
      </c>
      <c r="W691" s="76"/>
      <c r="X691" s="76" t="s">
        <v>186</v>
      </c>
      <c r="Y691" s="341" t="s">
        <v>1174</v>
      </c>
      <c r="Z691" s="85" t="s">
        <v>1815</v>
      </c>
      <c r="AA691" s="76"/>
      <c r="AB691" s="97"/>
      <c r="AC691" s="76"/>
      <c r="AD691" s="76"/>
      <c r="AE691" s="76" t="s">
        <v>861</v>
      </c>
      <c r="AF691" s="76"/>
      <c r="AG691" s="189"/>
      <c r="AH691" s="76" t="s">
        <v>10510</v>
      </c>
      <c r="AI691" s="203"/>
      <c r="AJ691" s="203"/>
      <c r="AK691" s="203"/>
      <c r="AL691" s="203"/>
      <c r="AM691" s="203"/>
      <c r="AN691" s="203"/>
      <c r="AO691" s="203"/>
      <c r="AP691" s="203"/>
      <c r="AQ691" s="203"/>
      <c r="AR691" s="203"/>
      <c r="AS691" s="203"/>
      <c r="AT691" s="203"/>
    </row>
    <row r="692">
      <c r="A692" s="76" t="s">
        <v>116</v>
      </c>
      <c r="B692" s="757" t="s">
        <v>1709</v>
      </c>
      <c r="C692" s="757" t="s">
        <v>1269</v>
      </c>
      <c r="D692" s="757" t="s">
        <v>1494</v>
      </c>
      <c r="E692" s="758" t="s">
        <v>187</v>
      </c>
      <c r="F692" s="759" t="s">
        <v>1469</v>
      </c>
      <c r="G692" s="760" t="s">
        <v>5628</v>
      </c>
      <c r="H692" s="760" t="s">
        <v>60</v>
      </c>
      <c r="I692" s="87" t="s">
        <v>1221</v>
      </c>
      <c r="J692" s="76" t="s">
        <v>114</v>
      </c>
      <c r="K692" s="76"/>
      <c r="L692" s="964"/>
      <c r="M692" s="85" t="s">
        <v>656</v>
      </c>
      <c r="N692" s="306" t="s">
        <v>8336</v>
      </c>
      <c r="O692" s="76" t="s">
        <v>10515</v>
      </c>
      <c r="P692" s="153">
        <v>28891.0</v>
      </c>
      <c r="Q692" s="315">
        <f t="shared" si="77"/>
        <v>1</v>
      </c>
      <c r="R692" s="86">
        <f t="shared" si="78"/>
        <v>47</v>
      </c>
      <c r="S692" s="76"/>
      <c r="T692" s="76"/>
      <c r="U692" s="76" t="s">
        <v>165</v>
      </c>
      <c r="V692" s="76" t="s">
        <v>350</v>
      </c>
      <c r="W692" s="76"/>
      <c r="X692" s="76" t="s">
        <v>186</v>
      </c>
      <c r="Y692" s="97"/>
      <c r="Z692" s="85" t="s">
        <v>1815</v>
      </c>
      <c r="AA692" s="76"/>
      <c r="AB692" s="97"/>
      <c r="AC692" s="76" t="s">
        <v>1032</v>
      </c>
      <c r="AD692" s="76"/>
      <c r="AE692" s="76" t="s">
        <v>861</v>
      </c>
      <c r="AF692" s="76"/>
      <c r="AG692" s="189"/>
      <c r="AH692" s="76" t="s">
        <v>10510</v>
      </c>
      <c r="AI692" s="203"/>
      <c r="AJ692" s="203"/>
      <c r="AK692" s="203"/>
      <c r="AL692" s="203"/>
      <c r="AM692" s="203"/>
      <c r="AN692" s="203"/>
      <c r="AO692" s="203"/>
      <c r="AP692" s="203"/>
      <c r="AQ692" s="203"/>
      <c r="AR692" s="203"/>
      <c r="AS692" s="203"/>
      <c r="AT692" s="203"/>
    </row>
    <row r="693">
      <c r="A693" s="76" t="s">
        <v>116</v>
      </c>
      <c r="B693" s="757" t="s">
        <v>1709</v>
      </c>
      <c r="C693" s="757" t="s">
        <v>1517</v>
      </c>
      <c r="D693" s="757" t="s">
        <v>1368</v>
      </c>
      <c r="E693" s="758" t="s">
        <v>187</v>
      </c>
      <c r="F693" s="759" t="s">
        <v>1469</v>
      </c>
      <c r="G693" s="760" t="s">
        <v>5919</v>
      </c>
      <c r="H693" s="760" t="s">
        <v>60</v>
      </c>
      <c r="I693" s="87" t="s">
        <v>1221</v>
      </c>
      <c r="J693" s="85" t="s">
        <v>114</v>
      </c>
      <c r="K693" s="124" t="s">
        <v>10527</v>
      </c>
      <c r="L693" s="76"/>
      <c r="M693" s="85" t="s">
        <v>656</v>
      </c>
      <c r="N693" s="76" t="s">
        <v>9905</v>
      </c>
      <c r="O693" s="76" t="s">
        <v>9906</v>
      </c>
      <c r="P693" s="153">
        <v>30680.0</v>
      </c>
      <c r="Q693" s="315">
        <f t="shared" si="77"/>
        <v>30680</v>
      </c>
      <c r="R693" s="86">
        <f t="shared" si="78"/>
        <v>42</v>
      </c>
      <c r="S693" s="76">
        <v>3.067911719E9</v>
      </c>
      <c r="T693" s="86"/>
      <c r="U693" s="76" t="s">
        <v>344</v>
      </c>
      <c r="V693" s="76"/>
      <c r="W693" s="76"/>
      <c r="X693" s="76"/>
      <c r="Y693" s="167"/>
      <c r="Z693" s="216" t="s">
        <v>2155</v>
      </c>
      <c r="AA693" s="168"/>
      <c r="AB693" s="97"/>
      <c r="AC693" s="168"/>
      <c r="AD693" s="168"/>
      <c r="AE693" s="76"/>
      <c r="AF693" s="76"/>
      <c r="AG693" s="341" t="s">
        <v>1187</v>
      </c>
      <c r="AH693" s="153">
        <v>46127.0</v>
      </c>
      <c r="AI693" s="203"/>
      <c r="AJ693" s="203"/>
      <c r="AK693" s="203"/>
      <c r="AL693" s="203"/>
      <c r="AM693" s="203"/>
      <c r="AN693" s="203"/>
      <c r="AO693" s="203"/>
      <c r="AP693" s="203"/>
      <c r="AQ693" s="203"/>
      <c r="AR693" s="203"/>
      <c r="AS693" s="203"/>
      <c r="AT693" s="203"/>
    </row>
    <row r="694">
      <c r="A694" s="76" t="s">
        <v>116</v>
      </c>
      <c r="B694" s="757" t="s">
        <v>1728</v>
      </c>
      <c r="C694" s="757" t="s">
        <v>121</v>
      </c>
      <c r="D694" s="757" t="s">
        <v>121</v>
      </c>
      <c r="E694" s="758" t="s">
        <v>201</v>
      </c>
      <c r="F694" s="759" t="s">
        <v>1849</v>
      </c>
      <c r="G694" s="760" t="s">
        <v>1850</v>
      </c>
      <c r="H694" s="760" t="s">
        <v>60</v>
      </c>
      <c r="I694" s="87" t="s">
        <v>1221</v>
      </c>
      <c r="J694" s="76" t="s">
        <v>114</v>
      </c>
      <c r="K694" s="76"/>
      <c r="L694" s="964"/>
      <c r="M694" s="85" t="s">
        <v>60</v>
      </c>
      <c r="N694" s="306" t="s">
        <v>10537</v>
      </c>
      <c r="O694" s="76" t="s">
        <v>1571</v>
      </c>
      <c r="P694" s="153">
        <v>33125.0</v>
      </c>
      <c r="Q694" s="315">
        <f t="shared" si="77"/>
        <v>33125</v>
      </c>
      <c r="R694" s="86">
        <f t="shared" si="78"/>
        <v>35</v>
      </c>
      <c r="S694" s="76">
        <v>3.312414496E9</v>
      </c>
      <c r="T694" s="315"/>
      <c r="U694" s="76" t="s">
        <v>393</v>
      </c>
      <c r="V694" s="76"/>
      <c r="W694" s="76"/>
      <c r="X694" s="76" t="s">
        <v>186</v>
      </c>
      <c r="Y694" s="97"/>
      <c r="Z694" s="85" t="s">
        <v>1815</v>
      </c>
      <c r="AA694" s="76"/>
      <c r="AB694" s="97"/>
      <c r="AC694" s="76"/>
      <c r="AD694" s="76"/>
      <c r="AE694" s="76" t="s">
        <v>1136</v>
      </c>
      <c r="AF694" s="85" t="s">
        <v>4767</v>
      </c>
      <c r="AG694" s="189"/>
      <c r="AH694" s="153">
        <v>46129.0</v>
      </c>
      <c r="AI694" s="203"/>
      <c r="AJ694" s="203"/>
      <c r="AK694" s="203"/>
      <c r="AL694" s="203"/>
      <c r="AM694" s="203"/>
      <c r="AN694" s="203"/>
      <c r="AO694" s="203"/>
      <c r="AP694" s="203"/>
      <c r="AQ694" s="203"/>
      <c r="AR694" s="203"/>
      <c r="AS694" s="203"/>
      <c r="AT694" s="203"/>
    </row>
    <row r="695">
      <c r="A695" s="86"/>
      <c r="B695" s="302" t="s">
        <v>4145</v>
      </c>
      <c r="C695" s="291" t="s">
        <v>5668</v>
      </c>
      <c r="D695" s="76"/>
      <c r="E695" s="524"/>
      <c r="F695" s="762"/>
      <c r="G695" s="762"/>
      <c r="H695" s="762"/>
      <c r="I695" s="762"/>
      <c r="J695" s="76"/>
      <c r="K695" s="76"/>
      <c r="L695" s="964"/>
      <c r="M695" s="85" t="s">
        <v>60</v>
      </c>
      <c r="N695" s="306" t="s">
        <v>3191</v>
      </c>
      <c r="O695" s="76" t="s">
        <v>2538</v>
      </c>
      <c r="P695" s="153"/>
      <c r="Q695" s="315"/>
      <c r="R695" s="86"/>
      <c r="S695" s="76"/>
      <c r="T695" s="315"/>
      <c r="U695" s="76" t="s">
        <v>165</v>
      </c>
      <c r="V695" s="76" t="s">
        <v>566</v>
      </c>
      <c r="W695" s="86"/>
      <c r="X695" s="97"/>
      <c r="Y695" s="97"/>
      <c r="Z695" s="344" t="s">
        <v>2090</v>
      </c>
      <c r="AA695" s="76" t="s">
        <v>1178</v>
      </c>
      <c r="AB695" s="97"/>
      <c r="AC695" s="76" t="s">
        <v>1566</v>
      </c>
      <c r="AD695" s="76"/>
      <c r="AE695" s="76" t="s">
        <v>822</v>
      </c>
      <c r="AF695" s="76" t="s">
        <v>10553</v>
      </c>
      <c r="AG695" s="189"/>
      <c r="AH695" s="287" t="s">
        <v>10554</v>
      </c>
      <c r="AI695" s="763"/>
      <c r="AJ695" s="763"/>
      <c r="AK695" s="763"/>
      <c r="AL695" s="763"/>
      <c r="AM695" s="763"/>
      <c r="AN695" s="763"/>
      <c r="AO695" s="763"/>
      <c r="AP695" s="763"/>
      <c r="AQ695" s="763"/>
      <c r="AR695" s="763"/>
      <c r="AS695" s="763"/>
      <c r="AT695" s="763"/>
    </row>
    <row r="696">
      <c r="A696" s="86"/>
      <c r="B696" s="302" t="s">
        <v>4145</v>
      </c>
      <c r="C696" s="291" t="s">
        <v>5668</v>
      </c>
      <c r="D696" s="86"/>
      <c r="E696" s="574">
        <v>46071.0</v>
      </c>
      <c r="F696" s="86"/>
      <c r="G696" s="86"/>
      <c r="H696" s="86"/>
      <c r="I696" s="86"/>
      <c r="J696" s="85" t="s">
        <v>114</v>
      </c>
      <c r="K696" s="85"/>
      <c r="L696" s="76"/>
      <c r="M696" s="85" t="s">
        <v>60</v>
      </c>
      <c r="N696" s="76" t="s">
        <v>10556</v>
      </c>
      <c r="O696" s="76" t="s">
        <v>10557</v>
      </c>
      <c r="P696" s="153">
        <v>29773.0</v>
      </c>
      <c r="Q696" s="315">
        <f t="shared" ref="Q696:Q714" si="79">VALUE(LEFT(TEXT(S696,0),5))+1</f>
        <v>29773</v>
      </c>
      <c r="R696" s="86">
        <f t="shared" ref="R696:R714" si="80">DATEDIF($P696,TODAY(),"Y")</f>
        <v>45</v>
      </c>
      <c r="S696" s="76">
        <v>2.977222879E9</v>
      </c>
      <c r="T696" s="86"/>
      <c r="U696" s="76" t="s">
        <v>379</v>
      </c>
      <c r="V696" s="76"/>
      <c r="W696" s="76"/>
      <c r="X696" s="76"/>
      <c r="Y696" s="167"/>
      <c r="Z696" s="234" t="s">
        <v>1351</v>
      </c>
      <c r="AA696" s="76" t="s">
        <v>1178</v>
      </c>
      <c r="AB696" s="97"/>
      <c r="AC696" s="679">
        <v>155.0</v>
      </c>
      <c r="AD696" s="168"/>
      <c r="AE696" s="76"/>
      <c r="AF696" s="76"/>
      <c r="AG696" s="76"/>
      <c r="AH696" s="310" t="s">
        <v>10569</v>
      </c>
      <c r="AI696" s="67"/>
      <c r="AJ696" s="67"/>
      <c r="AK696" s="67"/>
      <c r="AL696" s="67"/>
      <c r="AM696" s="67"/>
      <c r="AN696" s="67"/>
      <c r="AO696" s="67"/>
      <c r="AP696" s="67"/>
      <c r="AQ696" s="67"/>
      <c r="AR696" s="67"/>
      <c r="AS696" s="67"/>
      <c r="AT696" s="67"/>
    </row>
    <row r="697">
      <c r="A697" s="76" t="s">
        <v>116</v>
      </c>
      <c r="B697" s="757" t="s">
        <v>1039</v>
      </c>
      <c r="C697" s="757" t="s">
        <v>121</v>
      </c>
      <c r="D697" s="757" t="s">
        <v>121</v>
      </c>
      <c r="E697" s="758" t="s">
        <v>295</v>
      </c>
      <c r="F697" s="759" t="s">
        <v>1241</v>
      </c>
      <c r="G697" s="760" t="s">
        <v>1243</v>
      </c>
      <c r="H697" s="760" t="s">
        <v>60</v>
      </c>
      <c r="I697" s="87" t="s">
        <v>1221</v>
      </c>
      <c r="J697" s="85" t="s">
        <v>114</v>
      </c>
      <c r="K697" s="85" t="s">
        <v>10571</v>
      </c>
      <c r="L697" s="85"/>
      <c r="M697" s="85" t="s">
        <v>60</v>
      </c>
      <c r="N697" s="76" t="s">
        <v>9351</v>
      </c>
      <c r="O697" s="76" t="s">
        <v>6000</v>
      </c>
      <c r="P697" s="153">
        <v>32419.0</v>
      </c>
      <c r="Q697" s="315">
        <f t="shared" si="79"/>
        <v>32419</v>
      </c>
      <c r="R697" s="97">
        <f t="shared" si="80"/>
        <v>37</v>
      </c>
      <c r="S697" s="76">
        <v>3.241816191E9</v>
      </c>
      <c r="T697" s="315"/>
      <c r="U697" s="310" t="s">
        <v>136</v>
      </c>
      <c r="V697" s="76"/>
      <c r="W697" s="76"/>
      <c r="X697" s="76" t="s">
        <v>186</v>
      </c>
      <c r="Y697" s="211" t="s">
        <v>2090</v>
      </c>
      <c r="Z697" s="501" t="s">
        <v>418</v>
      </c>
      <c r="AA697" s="76"/>
      <c r="AB697" s="76"/>
      <c r="AC697" s="97"/>
      <c r="AD697" s="99"/>
      <c r="AE697" s="76" t="s">
        <v>672</v>
      </c>
      <c r="AF697" s="76" t="s">
        <v>155</v>
      </c>
      <c r="AG697" s="76" t="s">
        <v>1187</v>
      </c>
      <c r="AH697" s="76" t="s">
        <v>10579</v>
      </c>
      <c r="AI697" s="203"/>
      <c r="AJ697" s="203"/>
      <c r="AK697" s="203"/>
      <c r="AL697" s="203"/>
      <c r="AM697" s="203"/>
      <c r="AN697" s="203"/>
      <c r="AO697" s="203"/>
      <c r="AP697" s="203"/>
      <c r="AQ697" s="203"/>
      <c r="AR697" s="203"/>
      <c r="AS697" s="203"/>
      <c r="AT697" s="203"/>
    </row>
    <row r="698">
      <c r="A698" s="76" t="s">
        <v>116</v>
      </c>
      <c r="B698" s="757" t="s">
        <v>1039</v>
      </c>
      <c r="C698" s="757" t="s">
        <v>1269</v>
      </c>
      <c r="D698" s="757" t="s">
        <v>1368</v>
      </c>
      <c r="E698" s="758" t="s">
        <v>139</v>
      </c>
      <c r="F698" s="759" t="s">
        <v>1520</v>
      </c>
      <c r="G698" s="760" t="s">
        <v>1521</v>
      </c>
      <c r="H698" s="760" t="s">
        <v>60</v>
      </c>
      <c r="I698" s="87" t="s">
        <v>1221</v>
      </c>
      <c r="J698" s="76" t="s">
        <v>114</v>
      </c>
      <c r="K698" s="85" t="s">
        <v>10584</v>
      </c>
      <c r="L698" s="85"/>
      <c r="M698" s="85" t="s">
        <v>656</v>
      </c>
      <c r="N698" s="287" t="s">
        <v>9227</v>
      </c>
      <c r="O698" s="34" t="s">
        <v>6145</v>
      </c>
      <c r="P698" s="153">
        <v>29014.0</v>
      </c>
      <c r="Q698" s="315">
        <f t="shared" si="79"/>
        <v>29014</v>
      </c>
      <c r="R698" s="86">
        <f t="shared" si="80"/>
        <v>47</v>
      </c>
      <c r="S698" s="76">
        <v>2.901311336E9</v>
      </c>
      <c r="T698" s="315" t="s">
        <v>1317</v>
      </c>
      <c r="U698" s="76" t="s">
        <v>136</v>
      </c>
      <c r="V698" s="76"/>
      <c r="W698" s="76"/>
      <c r="X698" s="76" t="s">
        <v>186</v>
      </c>
      <c r="Y698" s="211" t="s">
        <v>2090</v>
      </c>
      <c r="Z698" s="501" t="s">
        <v>418</v>
      </c>
      <c r="AA698" s="76"/>
      <c r="AB698" s="97"/>
      <c r="AC698" s="76"/>
      <c r="AD698" s="99"/>
      <c r="AE698" s="76"/>
      <c r="AF698" s="76" t="s">
        <v>155</v>
      </c>
      <c r="AG698" s="76"/>
      <c r="AH698" s="153">
        <v>46063.0</v>
      </c>
      <c r="AI698" s="203"/>
      <c r="AJ698" s="203"/>
      <c r="AK698" s="203"/>
      <c r="AL698" s="203"/>
      <c r="AM698" s="203"/>
      <c r="AN698" s="203"/>
      <c r="AO698" s="203"/>
      <c r="AP698" s="203"/>
      <c r="AQ698" s="203"/>
      <c r="AR698" s="203"/>
      <c r="AS698" s="203"/>
      <c r="AT698" s="203"/>
    </row>
    <row r="699">
      <c r="A699" s="76" t="s">
        <v>116</v>
      </c>
      <c r="B699" s="757" t="s">
        <v>1039</v>
      </c>
      <c r="C699" s="757" t="s">
        <v>1269</v>
      </c>
      <c r="D699" s="757" t="s">
        <v>1494</v>
      </c>
      <c r="E699" s="758" t="s">
        <v>302</v>
      </c>
      <c r="F699" s="759" t="s">
        <v>1404</v>
      </c>
      <c r="G699" s="760" t="s">
        <v>1685</v>
      </c>
      <c r="H699" s="760" t="s">
        <v>326</v>
      </c>
      <c r="I699" s="87" t="s">
        <v>1221</v>
      </c>
      <c r="J699" s="85" t="s">
        <v>114</v>
      </c>
      <c r="K699" s="85" t="s">
        <v>10594</v>
      </c>
      <c r="L699" s="85"/>
      <c r="M699" s="85" t="s">
        <v>60</v>
      </c>
      <c r="N699" s="76" t="s">
        <v>10595</v>
      </c>
      <c r="O699" s="76" t="s">
        <v>10596</v>
      </c>
      <c r="P699" s="153">
        <v>31511.0</v>
      </c>
      <c r="Q699" s="315">
        <f t="shared" si="79"/>
        <v>31511</v>
      </c>
      <c r="R699" s="97">
        <f t="shared" si="80"/>
        <v>40</v>
      </c>
      <c r="S699" s="76">
        <v>3.151013034E9</v>
      </c>
      <c r="T699" s="315"/>
      <c r="U699" s="310" t="s">
        <v>136</v>
      </c>
      <c r="V699" s="76"/>
      <c r="W699" s="76"/>
      <c r="X699" s="76"/>
      <c r="Y699" s="97" t="s">
        <v>1174</v>
      </c>
      <c r="Z699" s="278" t="s">
        <v>1613</v>
      </c>
      <c r="AA699" s="76"/>
      <c r="AB699" s="76" t="s">
        <v>226</v>
      </c>
      <c r="AC699" s="97"/>
      <c r="AD699" s="99"/>
      <c r="AE699" s="76" t="s">
        <v>154</v>
      </c>
      <c r="AF699" s="315" t="s">
        <v>4767</v>
      </c>
      <c r="AG699" s="76"/>
      <c r="AH699" s="76" t="s">
        <v>10599</v>
      </c>
      <c r="AI699" s="203"/>
      <c r="AJ699" s="203"/>
      <c r="AK699" s="203"/>
      <c r="AL699" s="203"/>
      <c r="AM699" s="203"/>
      <c r="AN699" s="203"/>
      <c r="AO699" s="203"/>
      <c r="AP699" s="203"/>
      <c r="AQ699" s="203"/>
      <c r="AR699" s="203"/>
      <c r="AS699" s="203"/>
      <c r="AT699" s="203"/>
    </row>
    <row r="700">
      <c r="A700" s="76" t="s">
        <v>116</v>
      </c>
      <c r="B700" s="757" t="s">
        <v>1039</v>
      </c>
      <c r="C700" s="757" t="s">
        <v>1517</v>
      </c>
      <c r="D700" s="757" t="s">
        <v>1519</v>
      </c>
      <c r="E700" s="758" t="s">
        <v>213</v>
      </c>
      <c r="F700" s="759" t="s">
        <v>1523</v>
      </c>
      <c r="G700" s="760" t="s">
        <v>549</v>
      </c>
      <c r="H700" s="760" t="s">
        <v>60</v>
      </c>
      <c r="I700" s="87" t="s">
        <v>1221</v>
      </c>
      <c r="J700" s="85" t="s">
        <v>114</v>
      </c>
      <c r="K700" s="176" t="s">
        <v>10602</v>
      </c>
      <c r="L700" s="76"/>
      <c r="M700" s="85" t="s">
        <v>656</v>
      </c>
      <c r="N700" s="76" t="s">
        <v>10604</v>
      </c>
      <c r="O700" s="76" t="s">
        <v>10605</v>
      </c>
      <c r="P700" s="153">
        <v>30701.0</v>
      </c>
      <c r="Q700" s="315">
        <f t="shared" si="79"/>
        <v>30701</v>
      </c>
      <c r="R700" s="86">
        <f t="shared" si="80"/>
        <v>42</v>
      </c>
      <c r="S700" s="76">
        <v>3.070010739E9</v>
      </c>
      <c r="T700" s="86"/>
      <c r="U700" s="310" t="s">
        <v>136</v>
      </c>
      <c r="V700" s="76"/>
      <c r="W700" s="76"/>
      <c r="X700" s="76"/>
      <c r="Y700" s="167"/>
      <c r="Z700" s="234" t="s">
        <v>1351</v>
      </c>
      <c r="AA700" s="76" t="s">
        <v>1178</v>
      </c>
      <c r="AB700" s="97"/>
      <c r="AC700" s="168"/>
      <c r="AD700" s="168"/>
      <c r="AE700" s="76" t="s">
        <v>154</v>
      </c>
      <c r="AF700" s="315" t="s">
        <v>4767</v>
      </c>
      <c r="AG700" s="76"/>
      <c r="AH700" s="153">
        <v>46129.0</v>
      </c>
      <c r="AI700" s="203"/>
      <c r="AJ700" s="203"/>
      <c r="AK700" s="203"/>
      <c r="AL700" s="203"/>
      <c r="AM700" s="203"/>
      <c r="AN700" s="203"/>
      <c r="AO700" s="203"/>
      <c r="AP700" s="203"/>
      <c r="AQ700" s="203"/>
      <c r="AR700" s="203"/>
      <c r="AS700" s="203"/>
      <c r="AT700" s="203"/>
    </row>
    <row r="701">
      <c r="A701" s="76" t="s">
        <v>116</v>
      </c>
      <c r="B701" s="757" t="s">
        <v>8106</v>
      </c>
      <c r="C701" s="757" t="s">
        <v>121</v>
      </c>
      <c r="D701" s="757" t="s">
        <v>121</v>
      </c>
      <c r="E701" s="758" t="s">
        <v>2331</v>
      </c>
      <c r="F701" s="759" t="s">
        <v>10363</v>
      </c>
      <c r="G701" s="760" t="s">
        <v>2332</v>
      </c>
      <c r="H701" s="760" t="s">
        <v>60</v>
      </c>
      <c r="I701" s="87" t="s">
        <v>1221</v>
      </c>
      <c r="J701" s="85" t="s">
        <v>114</v>
      </c>
      <c r="K701" s="124" t="s">
        <v>10615</v>
      </c>
      <c r="L701" s="76"/>
      <c r="M701" s="85" t="s">
        <v>60</v>
      </c>
      <c r="N701" s="256" t="s">
        <v>2553</v>
      </c>
      <c r="O701" s="76" t="s">
        <v>2554</v>
      </c>
      <c r="P701" s="153">
        <v>30176.0</v>
      </c>
      <c r="Q701" s="315">
        <f t="shared" si="79"/>
        <v>1</v>
      </c>
      <c r="R701" s="86">
        <f t="shared" si="80"/>
        <v>44</v>
      </c>
      <c r="S701" s="76"/>
      <c r="T701" s="86"/>
      <c r="U701" s="76" t="s">
        <v>368</v>
      </c>
      <c r="V701" s="76"/>
      <c r="W701" s="76"/>
      <c r="X701" s="76"/>
      <c r="Y701" s="97" t="s">
        <v>183</v>
      </c>
      <c r="Z701" s="289" t="s">
        <v>1725</v>
      </c>
      <c r="AA701" s="168"/>
      <c r="AB701" s="97"/>
      <c r="AC701" s="168"/>
      <c r="AD701" s="168"/>
      <c r="AE701" s="76"/>
      <c r="AF701" s="167"/>
      <c r="AG701" s="76" t="s">
        <v>1187</v>
      </c>
      <c r="AH701" s="153">
        <v>46138.0</v>
      </c>
      <c r="AI701" s="67"/>
      <c r="AJ701" s="67"/>
      <c r="AK701" s="748"/>
      <c r="AL701" s="748"/>
      <c r="AM701" s="810"/>
      <c r="AN701" s="810"/>
      <c r="AO701" s="748"/>
      <c r="AP701" s="748"/>
      <c r="AQ701" s="67"/>
      <c r="AR701" s="67"/>
      <c r="AS701" s="67"/>
      <c r="AT701" s="67"/>
    </row>
    <row r="702">
      <c r="A702" s="76" t="s">
        <v>116</v>
      </c>
      <c r="B702" s="757" t="s">
        <v>1039</v>
      </c>
      <c r="C702" s="757" t="s">
        <v>1611</v>
      </c>
      <c r="D702" s="757" t="s">
        <v>1368</v>
      </c>
      <c r="E702" s="758" t="s">
        <v>178</v>
      </c>
      <c r="F702" s="759" t="s">
        <v>1369</v>
      </c>
      <c r="G702" s="760" t="s">
        <v>2656</v>
      </c>
      <c r="H702" s="760" t="s">
        <v>102</v>
      </c>
      <c r="I702" s="146" t="s">
        <v>408</v>
      </c>
      <c r="J702" s="76" t="s">
        <v>114</v>
      </c>
      <c r="K702" s="176" t="s">
        <v>10627</v>
      </c>
      <c r="L702" s="109"/>
      <c r="M702" s="109" t="s">
        <v>60</v>
      </c>
      <c r="N702" s="785" t="s">
        <v>8811</v>
      </c>
      <c r="O702" s="76" t="s">
        <v>8812</v>
      </c>
      <c r="P702" s="153">
        <v>31669.0</v>
      </c>
      <c r="Q702" s="315">
        <f t="shared" si="79"/>
        <v>31669</v>
      </c>
      <c r="R702" s="86">
        <f t="shared" si="80"/>
        <v>39</v>
      </c>
      <c r="S702" s="315">
        <v>3.166815378E9</v>
      </c>
      <c r="T702" s="315" t="s">
        <v>1479</v>
      </c>
      <c r="U702" s="76" t="s">
        <v>368</v>
      </c>
      <c r="V702" s="97"/>
      <c r="W702" s="76"/>
      <c r="X702" s="76"/>
      <c r="Y702" s="76" t="s">
        <v>7676</v>
      </c>
      <c r="Z702" s="289" t="s">
        <v>1725</v>
      </c>
      <c r="AA702" s="76" t="s">
        <v>1178</v>
      </c>
      <c r="AB702" s="97"/>
      <c r="AC702" s="97"/>
      <c r="AD702" s="99"/>
      <c r="AE702" s="76"/>
      <c r="AF702" s="76"/>
      <c r="AG702" s="76" t="s">
        <v>10634</v>
      </c>
      <c r="AH702" s="153">
        <v>46111.0</v>
      </c>
      <c r="AI702" s="203"/>
      <c r="AJ702" s="203"/>
      <c r="AK702" s="203"/>
      <c r="AL702" s="203"/>
      <c r="AM702" s="203"/>
      <c r="AN702" s="203"/>
      <c r="AO702" s="203"/>
      <c r="AP702" s="203"/>
      <c r="AQ702" s="203"/>
      <c r="AR702" s="203"/>
      <c r="AS702" s="203"/>
      <c r="AT702" s="203"/>
    </row>
    <row r="703">
      <c r="A703" s="76" t="s">
        <v>116</v>
      </c>
      <c r="B703" s="757" t="s">
        <v>1645</v>
      </c>
      <c r="C703" s="757" t="s">
        <v>1269</v>
      </c>
      <c r="D703" s="757" t="s">
        <v>1368</v>
      </c>
      <c r="E703" s="758" t="s">
        <v>139</v>
      </c>
      <c r="F703" s="759" t="s">
        <v>1520</v>
      </c>
      <c r="G703" s="760" t="s">
        <v>2480</v>
      </c>
      <c r="H703" s="760" t="s">
        <v>60</v>
      </c>
      <c r="I703" s="87" t="s">
        <v>1221</v>
      </c>
      <c r="J703" s="76" t="s">
        <v>114</v>
      </c>
      <c r="K703" s="124" t="s">
        <v>10639</v>
      </c>
      <c r="L703" s="76"/>
      <c r="M703" s="85" t="s">
        <v>60</v>
      </c>
      <c r="N703" s="256" t="s">
        <v>2477</v>
      </c>
      <c r="O703" s="76" t="s">
        <v>2478</v>
      </c>
      <c r="P703" s="153">
        <v>32611.0</v>
      </c>
      <c r="Q703" s="315">
        <f t="shared" si="79"/>
        <v>32611</v>
      </c>
      <c r="R703" s="86">
        <f t="shared" si="80"/>
        <v>37</v>
      </c>
      <c r="S703" s="76">
        <v>3.261013035E9</v>
      </c>
      <c r="T703" s="86"/>
      <c r="U703" s="76" t="s">
        <v>368</v>
      </c>
      <c r="V703" s="76"/>
      <c r="W703" s="76"/>
      <c r="X703" s="97"/>
      <c r="Y703" s="167"/>
      <c r="Z703" s="176" t="s">
        <v>1460</v>
      </c>
      <c r="AA703" s="168"/>
      <c r="AB703" s="97"/>
      <c r="AC703" s="168"/>
      <c r="AD703" s="168"/>
      <c r="AE703" s="76"/>
      <c r="AF703" s="153" t="s">
        <v>5258</v>
      </c>
      <c r="AG703" s="76" t="s">
        <v>1187</v>
      </c>
      <c r="AH703" s="153">
        <v>46138.0</v>
      </c>
      <c r="AI703" s="203"/>
      <c r="AJ703" s="203"/>
      <c r="AK703" s="203"/>
      <c r="AL703" s="203"/>
      <c r="AM703" s="203"/>
      <c r="AN703" s="203"/>
      <c r="AO703" s="203"/>
      <c r="AP703" s="203"/>
      <c r="AQ703" s="203"/>
      <c r="AR703" s="203"/>
      <c r="AS703" s="203"/>
      <c r="AT703" s="203"/>
    </row>
    <row r="704">
      <c r="A704" s="76" t="s">
        <v>116</v>
      </c>
      <c r="B704" s="757" t="s">
        <v>1645</v>
      </c>
      <c r="C704" s="757" t="s">
        <v>1269</v>
      </c>
      <c r="D704" s="757" t="s">
        <v>1519</v>
      </c>
      <c r="E704" s="758" t="s">
        <v>213</v>
      </c>
      <c r="F704" s="759" t="s">
        <v>1523</v>
      </c>
      <c r="G704" s="760" t="s">
        <v>885</v>
      </c>
      <c r="H704" s="760" t="s">
        <v>60</v>
      </c>
      <c r="I704" s="87" t="s">
        <v>1221</v>
      </c>
      <c r="J704" s="76" t="s">
        <v>114</v>
      </c>
      <c r="K704" s="176" t="s">
        <v>10645</v>
      </c>
      <c r="L704" s="85"/>
      <c r="M704" s="85" t="s">
        <v>60</v>
      </c>
      <c r="N704" s="76" t="s">
        <v>10648</v>
      </c>
      <c r="O704" s="76" t="s">
        <v>10649</v>
      </c>
      <c r="P704" s="153">
        <v>31900.0</v>
      </c>
      <c r="Q704" s="315">
        <f t="shared" si="79"/>
        <v>31900</v>
      </c>
      <c r="R704" s="86">
        <f t="shared" si="80"/>
        <v>39</v>
      </c>
      <c r="S704" s="315">
        <v>3.189902552E9</v>
      </c>
      <c r="T704" s="315"/>
      <c r="U704" s="76" t="s">
        <v>393</v>
      </c>
      <c r="V704" s="76"/>
      <c r="W704" s="76"/>
      <c r="X704" s="76"/>
      <c r="Y704" s="97" t="s">
        <v>1174</v>
      </c>
      <c r="Z704" s="278" t="s">
        <v>2090</v>
      </c>
      <c r="AA704" s="76"/>
      <c r="AB704" s="97"/>
      <c r="AC704" s="97" t="s">
        <v>1566</v>
      </c>
      <c r="AD704" s="99"/>
      <c r="AE704" s="76" t="s">
        <v>154</v>
      </c>
      <c r="AF704" s="76" t="s">
        <v>155</v>
      </c>
      <c r="AG704" s="76" t="s">
        <v>10553</v>
      </c>
      <c r="AH704" s="153">
        <v>46079.0</v>
      </c>
      <c r="AI704" s="203"/>
      <c r="AJ704" s="203"/>
      <c r="AK704" s="203"/>
      <c r="AL704" s="203"/>
      <c r="AM704" s="203"/>
      <c r="AN704" s="203"/>
      <c r="AO704" s="203"/>
      <c r="AP704" s="203"/>
      <c r="AQ704" s="203"/>
      <c r="AR704" s="203"/>
      <c r="AS704" s="203"/>
      <c r="AT704" s="203"/>
    </row>
    <row r="705">
      <c r="A705" s="76" t="s">
        <v>116</v>
      </c>
      <c r="B705" s="757" t="s">
        <v>1645</v>
      </c>
      <c r="C705" s="757" t="s">
        <v>1517</v>
      </c>
      <c r="D705" s="757" t="s">
        <v>1519</v>
      </c>
      <c r="E705" s="758" t="s">
        <v>213</v>
      </c>
      <c r="F705" s="759" t="s">
        <v>1523</v>
      </c>
      <c r="G705" s="760" t="s">
        <v>957</v>
      </c>
      <c r="H705" s="760" t="s">
        <v>60</v>
      </c>
      <c r="I705" s="87" t="s">
        <v>1221</v>
      </c>
      <c r="J705" s="109" t="s">
        <v>114</v>
      </c>
      <c r="K705" s="87"/>
      <c r="L705" s="87"/>
      <c r="M705" s="87" t="s">
        <v>60</v>
      </c>
      <c r="N705" s="86" t="s">
        <v>10658</v>
      </c>
      <c r="O705" s="86" t="s">
        <v>10660</v>
      </c>
      <c r="P705" s="712">
        <v>32877.0</v>
      </c>
      <c r="Q705" s="315">
        <f t="shared" si="79"/>
        <v>32877</v>
      </c>
      <c r="R705" s="86">
        <f t="shared" si="80"/>
        <v>36</v>
      </c>
      <c r="S705" s="315">
        <v>3.28760335E9</v>
      </c>
      <c r="T705" s="315"/>
      <c r="U705" s="224" t="s">
        <v>393</v>
      </c>
      <c r="V705" s="97"/>
      <c r="W705" s="97"/>
      <c r="X705" s="76" t="s">
        <v>186</v>
      </c>
      <c r="Y705" s="967" t="s">
        <v>184</v>
      </c>
      <c r="Z705" s="501" t="s">
        <v>418</v>
      </c>
      <c r="AA705" s="97"/>
      <c r="AB705" s="97"/>
      <c r="AC705" s="97"/>
      <c r="AD705" s="97"/>
      <c r="AE705" s="76" t="s">
        <v>1136</v>
      </c>
      <c r="AF705" s="76" t="s">
        <v>4767</v>
      </c>
      <c r="AG705" s="97"/>
      <c r="AH705" s="76" t="s">
        <v>10665</v>
      </c>
      <c r="AI705" s="203"/>
      <c r="AJ705" s="203"/>
      <c r="AK705" s="203"/>
      <c r="AL705" s="203"/>
      <c r="AM705" s="203"/>
      <c r="AN705" s="203"/>
      <c r="AO705" s="203"/>
      <c r="AP705" s="203"/>
      <c r="AQ705" s="203"/>
      <c r="AR705" s="203"/>
      <c r="AS705" s="203"/>
      <c r="AT705" s="203"/>
    </row>
    <row r="706">
      <c r="A706" s="76" t="s">
        <v>116</v>
      </c>
      <c r="B706" s="757" t="s">
        <v>1645</v>
      </c>
      <c r="C706" s="757" t="s">
        <v>1611</v>
      </c>
      <c r="D706" s="757" t="s">
        <v>1368</v>
      </c>
      <c r="E706" s="758" t="s">
        <v>302</v>
      </c>
      <c r="F706" s="759" t="s">
        <v>1404</v>
      </c>
      <c r="G706" s="760" t="s">
        <v>4619</v>
      </c>
      <c r="H706" s="760" t="s">
        <v>326</v>
      </c>
      <c r="I706" s="87" t="s">
        <v>1221</v>
      </c>
      <c r="J706" s="109" t="s">
        <v>114</v>
      </c>
      <c r="K706" s="118" t="s">
        <v>10670</v>
      </c>
      <c r="L706" s="109"/>
      <c r="M706" s="109" t="s">
        <v>60</v>
      </c>
      <c r="N706" s="97" t="s">
        <v>6655</v>
      </c>
      <c r="O706" s="109" t="s">
        <v>6657</v>
      </c>
      <c r="P706" s="712">
        <v>29423.0</v>
      </c>
      <c r="Q706" s="315">
        <f t="shared" si="79"/>
        <v>29423</v>
      </c>
      <c r="R706" s="86">
        <f t="shared" si="80"/>
        <v>46</v>
      </c>
      <c r="S706" s="315">
        <v>2.942212674E9</v>
      </c>
      <c r="T706" s="315"/>
      <c r="U706" s="124" t="s">
        <v>393</v>
      </c>
      <c r="V706" s="86"/>
      <c r="W706" s="86"/>
      <c r="X706" s="97"/>
      <c r="Y706" s="97"/>
      <c r="Z706" s="97"/>
      <c r="AA706" s="97"/>
      <c r="AB706" s="76" t="s">
        <v>192</v>
      </c>
      <c r="AC706" s="97"/>
      <c r="AD706" s="99"/>
      <c r="AE706" s="76" t="s">
        <v>1136</v>
      </c>
      <c r="AF706" s="76" t="s">
        <v>155</v>
      </c>
      <c r="AG706" s="76" t="s">
        <v>375</v>
      </c>
      <c r="AH706" s="76" t="s">
        <v>10679</v>
      </c>
      <c r="AI706" s="203"/>
      <c r="AJ706" s="203"/>
      <c r="AK706" s="203"/>
      <c r="AL706" s="203"/>
      <c r="AM706" s="203"/>
      <c r="AN706" s="203"/>
      <c r="AO706" s="203"/>
      <c r="AP706" s="203"/>
      <c r="AQ706" s="203"/>
      <c r="AR706" s="203"/>
      <c r="AS706" s="203"/>
      <c r="AT706" s="203"/>
    </row>
    <row r="707">
      <c r="A707" s="76" t="s">
        <v>116</v>
      </c>
      <c r="B707" s="757" t="s">
        <v>3297</v>
      </c>
      <c r="C707" s="757" t="s">
        <v>3298</v>
      </c>
      <c r="D707" s="757" t="s">
        <v>121</v>
      </c>
      <c r="E707" s="758" t="s">
        <v>1932</v>
      </c>
      <c r="F707" s="759" t="s">
        <v>3486</v>
      </c>
      <c r="G707" s="760" t="s">
        <v>9192</v>
      </c>
      <c r="H707" s="760" t="s">
        <v>326</v>
      </c>
      <c r="I707" s="87" t="s">
        <v>1221</v>
      </c>
      <c r="J707" s="87" t="s">
        <v>114</v>
      </c>
      <c r="K707" s="124" t="s">
        <v>10683</v>
      </c>
      <c r="L707" s="109"/>
      <c r="M707" s="85" t="s">
        <v>60</v>
      </c>
      <c r="N707" s="287" t="s">
        <v>10685</v>
      </c>
      <c r="O707" s="76" t="s">
        <v>10686</v>
      </c>
      <c r="P707" s="153">
        <v>30959.0</v>
      </c>
      <c r="Q707" s="315">
        <f t="shared" si="79"/>
        <v>30959</v>
      </c>
      <c r="R707" s="97">
        <f t="shared" si="80"/>
        <v>41</v>
      </c>
      <c r="S707" s="76">
        <v>3.095813739E9</v>
      </c>
      <c r="T707" s="315" t="s">
        <v>1317</v>
      </c>
      <c r="U707" s="76" t="s">
        <v>136</v>
      </c>
      <c r="V707" s="76"/>
      <c r="W707" s="76"/>
      <c r="X707" s="76"/>
      <c r="Y707" s="97" t="s">
        <v>1174</v>
      </c>
      <c r="Z707" s="216" t="s">
        <v>2155</v>
      </c>
      <c r="AA707" s="168"/>
      <c r="AB707" s="97"/>
      <c r="AC707" s="76"/>
      <c r="AD707" s="76" t="s">
        <v>632</v>
      </c>
      <c r="AE707" s="76"/>
      <c r="AF707" s="76"/>
      <c r="AG707" s="76"/>
      <c r="AH707" s="153">
        <v>46122.0</v>
      </c>
      <c r="AI707" s="67"/>
      <c r="AJ707" s="67"/>
      <c r="AK707" s="748"/>
      <c r="AL707" s="748"/>
      <c r="AM707" s="810"/>
      <c r="AN707" s="810"/>
      <c r="AO707" s="748"/>
      <c r="AP707" s="748"/>
      <c r="AQ707" s="67"/>
      <c r="AR707" s="67"/>
      <c r="AS707" s="67"/>
      <c r="AT707" s="67"/>
    </row>
    <row r="708">
      <c r="A708" s="76" t="s">
        <v>116</v>
      </c>
      <c r="B708" s="757" t="s">
        <v>1709</v>
      </c>
      <c r="C708" s="757" t="s">
        <v>1269</v>
      </c>
      <c r="D708" s="757" t="s">
        <v>1494</v>
      </c>
      <c r="E708" s="758" t="s">
        <v>139</v>
      </c>
      <c r="F708" s="759" t="s">
        <v>1520</v>
      </c>
      <c r="G708" s="760" t="s">
        <v>2493</v>
      </c>
      <c r="H708" s="760" t="s">
        <v>60</v>
      </c>
      <c r="I708" s="87" t="s">
        <v>1221</v>
      </c>
      <c r="J708" s="85" t="s">
        <v>114</v>
      </c>
      <c r="K708" s="124" t="s">
        <v>10693</v>
      </c>
      <c r="L708" s="76"/>
      <c r="M708" s="85" t="s">
        <v>60</v>
      </c>
      <c r="N708" s="256" t="s">
        <v>2491</v>
      </c>
      <c r="O708" s="76" t="s">
        <v>654</v>
      </c>
      <c r="P708" s="153">
        <v>32408.0</v>
      </c>
      <c r="Q708" s="315">
        <f t="shared" si="79"/>
        <v>32408</v>
      </c>
      <c r="R708" s="86">
        <f t="shared" si="80"/>
        <v>37</v>
      </c>
      <c r="S708" s="76">
        <v>3.240714812E9</v>
      </c>
      <c r="T708" s="86"/>
      <c r="U708" s="76" t="s">
        <v>368</v>
      </c>
      <c r="V708" s="76"/>
      <c r="W708" s="76"/>
      <c r="X708" s="97"/>
      <c r="Y708" s="167"/>
      <c r="Z708" s="176" t="s">
        <v>1460</v>
      </c>
      <c r="AA708" s="168"/>
      <c r="AB708" s="97"/>
      <c r="AC708" s="168"/>
      <c r="AD708" s="168"/>
      <c r="AE708" s="76"/>
      <c r="AF708" s="76"/>
      <c r="AG708" s="76" t="s">
        <v>375</v>
      </c>
      <c r="AH708" s="311">
        <v>46137.0</v>
      </c>
      <c r="AI708" s="203"/>
      <c r="AJ708" s="203"/>
      <c r="AK708" s="203"/>
      <c r="AL708" s="203"/>
      <c r="AM708" s="203"/>
      <c r="AN708" s="203"/>
      <c r="AO708" s="203"/>
      <c r="AP708" s="203"/>
      <c r="AQ708" s="203"/>
      <c r="AR708" s="203"/>
      <c r="AS708" s="203"/>
      <c r="AT708" s="203"/>
    </row>
    <row r="709">
      <c r="A709" s="76" t="s">
        <v>116</v>
      </c>
      <c r="B709" s="757" t="s">
        <v>1709</v>
      </c>
      <c r="C709" s="757" t="s">
        <v>1517</v>
      </c>
      <c r="D709" s="757" t="s">
        <v>1519</v>
      </c>
      <c r="E709" s="758" t="s">
        <v>178</v>
      </c>
      <c r="F709" s="759" t="s">
        <v>1369</v>
      </c>
      <c r="G709" s="760" t="s">
        <v>6114</v>
      </c>
      <c r="H709" s="760" t="s">
        <v>102</v>
      </c>
      <c r="I709" s="146" t="s">
        <v>408</v>
      </c>
      <c r="J709" s="85" t="s">
        <v>114</v>
      </c>
      <c r="K709" s="85" t="s">
        <v>10700</v>
      </c>
      <c r="L709" s="85"/>
      <c r="M709" s="85" t="s">
        <v>60</v>
      </c>
      <c r="N709" s="256" t="s">
        <v>9353</v>
      </c>
      <c r="O709" s="76" t="s">
        <v>9355</v>
      </c>
      <c r="P709" s="153">
        <v>28914.0</v>
      </c>
      <c r="Q709" s="315">
        <f t="shared" si="79"/>
        <v>1</v>
      </c>
      <c r="R709" s="97">
        <f t="shared" si="80"/>
        <v>47</v>
      </c>
      <c r="S709" s="315"/>
      <c r="T709" s="315"/>
      <c r="U709" s="76" t="s">
        <v>368</v>
      </c>
      <c r="V709" s="76"/>
      <c r="W709" s="76"/>
      <c r="X709" s="76"/>
      <c r="Y709" s="97" t="s">
        <v>1174</v>
      </c>
      <c r="Z709" s="278" t="s">
        <v>2090</v>
      </c>
      <c r="AA709" s="76"/>
      <c r="AB709" s="76"/>
      <c r="AC709" s="97"/>
      <c r="AD709" s="99"/>
      <c r="AE709" s="76"/>
      <c r="AF709" s="76"/>
      <c r="AG709" s="76" t="s">
        <v>1187</v>
      </c>
      <c r="AH709" s="153">
        <v>46111.0</v>
      </c>
      <c r="AI709" s="203"/>
      <c r="AJ709" s="203"/>
      <c r="AK709" s="203"/>
      <c r="AL709" s="203"/>
      <c r="AM709" s="203"/>
      <c r="AN709" s="203"/>
      <c r="AO709" s="203"/>
      <c r="AP709" s="203"/>
      <c r="AQ709" s="203"/>
      <c r="AR709" s="203"/>
      <c r="AS709" s="203"/>
      <c r="AT709" s="203"/>
    </row>
    <row r="710">
      <c r="A710" s="76" t="s">
        <v>116</v>
      </c>
      <c r="B710" s="757" t="s">
        <v>1709</v>
      </c>
      <c r="C710" s="757" t="s">
        <v>1611</v>
      </c>
      <c r="D710" s="757" t="s">
        <v>121</v>
      </c>
      <c r="E710" s="758" t="s">
        <v>295</v>
      </c>
      <c r="F710" s="759" t="s">
        <v>1241</v>
      </c>
      <c r="G710" s="760" t="s">
        <v>6273</v>
      </c>
      <c r="H710" s="760" t="s">
        <v>60</v>
      </c>
      <c r="I710" s="87" t="s">
        <v>1221</v>
      </c>
      <c r="J710" s="85" t="s">
        <v>114</v>
      </c>
      <c r="K710" s="85" t="s">
        <v>10710</v>
      </c>
      <c r="L710" s="85"/>
      <c r="M710" s="85" t="s">
        <v>60</v>
      </c>
      <c r="N710" s="913" t="s">
        <v>9515</v>
      </c>
      <c r="O710" s="76" t="s">
        <v>8917</v>
      </c>
      <c r="P710" s="330">
        <v>29574.0</v>
      </c>
      <c r="Q710" s="315">
        <f t="shared" si="79"/>
        <v>29574</v>
      </c>
      <c r="R710" s="97">
        <f t="shared" si="80"/>
        <v>45</v>
      </c>
      <c r="S710" s="76">
        <v>2.957320379E9</v>
      </c>
      <c r="T710" s="315"/>
      <c r="U710" s="76" t="s">
        <v>393</v>
      </c>
      <c r="V710" s="76"/>
      <c r="W710" s="76"/>
      <c r="X710" s="76"/>
      <c r="Y710" s="97" t="s">
        <v>1174</v>
      </c>
      <c r="Z710" s="278" t="s">
        <v>2090</v>
      </c>
      <c r="AA710" s="76"/>
      <c r="AB710" s="76"/>
      <c r="AC710" s="97"/>
      <c r="AD710" s="99"/>
      <c r="AE710" s="76" t="s">
        <v>154</v>
      </c>
      <c r="AF710" s="76" t="s">
        <v>4767</v>
      </c>
      <c r="AG710" s="76"/>
      <c r="AH710" s="153">
        <v>46079.0</v>
      </c>
      <c r="AI710" s="203"/>
      <c r="AJ710" s="203"/>
      <c r="AK710" s="203"/>
      <c r="AL710" s="203"/>
      <c r="AM710" s="203"/>
      <c r="AN710" s="203"/>
      <c r="AO710" s="203"/>
      <c r="AP710" s="203"/>
      <c r="AQ710" s="203"/>
      <c r="AR710" s="203"/>
      <c r="AS710" s="203"/>
      <c r="AT710" s="203"/>
    </row>
    <row r="711">
      <c r="A711" s="76" t="s">
        <v>116</v>
      </c>
      <c r="B711" s="757" t="s">
        <v>1728</v>
      </c>
      <c r="C711" s="757" t="s">
        <v>121</v>
      </c>
      <c r="D711" s="757" t="s">
        <v>121</v>
      </c>
      <c r="E711" s="758" t="s">
        <v>287</v>
      </c>
      <c r="F711" s="759" t="s">
        <v>2853</v>
      </c>
      <c r="G711" s="760" t="s">
        <v>288</v>
      </c>
      <c r="H711" s="760" t="s">
        <v>60</v>
      </c>
      <c r="I711" s="87" t="s">
        <v>1221</v>
      </c>
      <c r="J711" s="76" t="s">
        <v>114</v>
      </c>
      <c r="K711" s="124" t="s">
        <v>10718</v>
      </c>
      <c r="L711" s="85"/>
      <c r="M711" s="85" t="s">
        <v>60</v>
      </c>
      <c r="N711" s="256" t="s">
        <v>2527</v>
      </c>
      <c r="O711" s="756" t="s">
        <v>2528</v>
      </c>
      <c r="P711" s="262">
        <v>31058.0</v>
      </c>
      <c r="Q711" s="315">
        <f t="shared" si="79"/>
        <v>31058</v>
      </c>
      <c r="R711" s="97">
        <f t="shared" si="80"/>
        <v>41</v>
      </c>
      <c r="S711" s="76">
        <v>3.105711313E9</v>
      </c>
      <c r="T711" s="315"/>
      <c r="U711" s="76" t="s">
        <v>368</v>
      </c>
      <c r="V711" s="76"/>
      <c r="W711" s="97"/>
      <c r="X711" s="76"/>
      <c r="Y711" s="97"/>
      <c r="Z711" s="278" t="s">
        <v>1613</v>
      </c>
      <c r="AA711" s="76"/>
      <c r="AB711" s="97"/>
      <c r="AC711" s="76"/>
      <c r="AD711" s="99"/>
      <c r="AE711" s="76"/>
      <c r="AF711" s="76"/>
      <c r="AG711" s="76" t="s">
        <v>375</v>
      </c>
      <c r="AH711" s="153">
        <v>46130.0</v>
      </c>
      <c r="AI711" s="67"/>
      <c r="AJ711" s="67"/>
      <c r="AK711" s="748"/>
      <c r="AL711" s="748"/>
      <c r="AM711" s="810"/>
      <c r="AN711" s="810"/>
      <c r="AO711" s="748"/>
      <c r="AP711" s="748"/>
      <c r="AQ711" s="67"/>
      <c r="AR711" s="67"/>
      <c r="AS711" s="67"/>
      <c r="AT711" s="67"/>
    </row>
    <row r="712">
      <c r="A712" s="76" t="s">
        <v>116</v>
      </c>
      <c r="B712" s="757" t="s">
        <v>1728</v>
      </c>
      <c r="C712" s="757" t="s">
        <v>121</v>
      </c>
      <c r="D712" s="757" t="s">
        <v>121</v>
      </c>
      <c r="E712" s="758" t="s">
        <v>213</v>
      </c>
      <c r="F712" s="759" t="s">
        <v>1523</v>
      </c>
      <c r="G712" s="760" t="s">
        <v>1826</v>
      </c>
      <c r="H712" s="760" t="s">
        <v>60</v>
      </c>
      <c r="I712" s="87" t="s">
        <v>1221</v>
      </c>
      <c r="J712" s="76" t="s">
        <v>114</v>
      </c>
      <c r="K712" s="176" t="s">
        <v>10729</v>
      </c>
      <c r="L712" s="85"/>
      <c r="M712" s="85" t="s">
        <v>60</v>
      </c>
      <c r="N712" s="785" t="s">
        <v>2519</v>
      </c>
      <c r="O712" s="756" t="s">
        <v>1180</v>
      </c>
      <c r="P712" s="262">
        <v>30260.0</v>
      </c>
      <c r="Q712" s="315">
        <f t="shared" si="79"/>
        <v>1</v>
      </c>
      <c r="R712" s="97">
        <f t="shared" si="80"/>
        <v>43</v>
      </c>
      <c r="S712" s="315"/>
      <c r="T712" s="315" t="s">
        <v>378</v>
      </c>
      <c r="U712" s="124" t="s">
        <v>368</v>
      </c>
      <c r="V712" s="76"/>
      <c r="W712" s="76"/>
      <c r="X712" s="76"/>
      <c r="Y712" s="97"/>
      <c r="Z712" s="278" t="s">
        <v>1613</v>
      </c>
      <c r="AA712" s="76"/>
      <c r="AB712" s="97"/>
      <c r="AC712" s="76"/>
      <c r="AD712" s="99"/>
      <c r="AE712" s="76"/>
      <c r="AF712" s="153">
        <v>46091.0</v>
      </c>
      <c r="AG712" s="76" t="s">
        <v>1187</v>
      </c>
      <c r="AH712" s="153">
        <v>46139.0</v>
      </c>
      <c r="AI712" s="67"/>
      <c r="AJ712" s="67"/>
      <c r="AK712" s="748"/>
      <c r="AL712" s="748"/>
      <c r="AM712" s="810"/>
      <c r="AN712" s="810"/>
      <c r="AO712" s="748"/>
      <c r="AP712" s="748"/>
      <c r="AQ712" s="67"/>
      <c r="AR712" s="67"/>
      <c r="AS712" s="67"/>
      <c r="AT712" s="67"/>
    </row>
    <row r="713">
      <c r="A713" s="76" t="s">
        <v>116</v>
      </c>
      <c r="B713" s="757" t="s">
        <v>1709</v>
      </c>
      <c r="C713" s="757" t="s">
        <v>1611</v>
      </c>
      <c r="D713" s="757" t="s">
        <v>1368</v>
      </c>
      <c r="E713" s="758" t="s">
        <v>302</v>
      </c>
      <c r="F713" s="759" t="s">
        <v>1404</v>
      </c>
      <c r="G713" s="760" t="s">
        <v>2501</v>
      </c>
      <c r="H713" s="760" t="s">
        <v>326</v>
      </c>
      <c r="I713" s="87" t="s">
        <v>1221</v>
      </c>
      <c r="J713" s="86" t="s">
        <v>114</v>
      </c>
      <c r="K713" s="176" t="s">
        <v>3244</v>
      </c>
      <c r="L713" s="87"/>
      <c r="M713" s="87" t="s">
        <v>60</v>
      </c>
      <c r="N713" s="647" t="s">
        <v>2498</v>
      </c>
      <c r="O713" s="86" t="s">
        <v>1180</v>
      </c>
      <c r="P713" s="1034">
        <v>30111.0</v>
      </c>
      <c r="Q713" s="315">
        <f t="shared" si="79"/>
        <v>30111</v>
      </c>
      <c r="R713" s="97">
        <f t="shared" si="80"/>
        <v>44</v>
      </c>
      <c r="S713" s="315">
        <v>3.011008572E9</v>
      </c>
      <c r="T713" s="1035"/>
      <c r="U713" s="291" t="s">
        <v>368</v>
      </c>
      <c r="V713" s="76"/>
      <c r="W713" s="76"/>
      <c r="X713" s="97"/>
      <c r="Y713" s="86" t="s">
        <v>1174</v>
      </c>
      <c r="Z713" s="289" t="s">
        <v>1725</v>
      </c>
      <c r="AA713" s="183"/>
      <c r="AB713" s="184"/>
      <c r="AC713" s="76"/>
      <c r="AD713" s="185"/>
      <c r="AE713" s="76"/>
      <c r="AF713" s="85"/>
      <c r="AG713" s="76" t="s">
        <v>375</v>
      </c>
      <c r="AH713" s="523">
        <v>46129.0</v>
      </c>
      <c r="AI713" s="203"/>
      <c r="AJ713" s="203"/>
      <c r="AK713" s="203"/>
      <c r="AL713" s="203"/>
      <c r="AM713" s="203"/>
      <c r="AN713" s="203"/>
      <c r="AO713" s="203"/>
      <c r="AP713" s="203"/>
      <c r="AQ713" s="203"/>
      <c r="AR713" s="203"/>
      <c r="AS713" s="203"/>
      <c r="AT713" s="203"/>
    </row>
    <row r="714">
      <c r="A714" s="76" t="s">
        <v>116</v>
      </c>
      <c r="B714" s="757" t="s">
        <v>1709</v>
      </c>
      <c r="C714" s="757" t="s">
        <v>1611</v>
      </c>
      <c r="D714" s="757" t="s">
        <v>1494</v>
      </c>
      <c r="E714" s="758" t="s">
        <v>321</v>
      </c>
      <c r="F714" s="759" t="s">
        <v>1552</v>
      </c>
      <c r="G714" s="760" t="s">
        <v>6496</v>
      </c>
      <c r="H714" s="760" t="s">
        <v>60</v>
      </c>
      <c r="I714" s="87" t="s">
        <v>1221</v>
      </c>
      <c r="J714" s="109" t="s">
        <v>114</v>
      </c>
      <c r="K714" s="176" t="s">
        <v>10754</v>
      </c>
      <c r="L714" s="109"/>
      <c r="M714" s="109" t="s">
        <v>60</v>
      </c>
      <c r="N714" s="97" t="s">
        <v>10756</v>
      </c>
      <c r="O714" s="97" t="s">
        <v>3538</v>
      </c>
      <c r="P714" s="209">
        <v>29237.0</v>
      </c>
      <c r="Q714" s="315">
        <f t="shared" si="79"/>
        <v>29237</v>
      </c>
      <c r="R714" s="86">
        <f t="shared" si="80"/>
        <v>46</v>
      </c>
      <c r="S714" s="315">
        <v>2.923607031E9</v>
      </c>
      <c r="T714" s="315"/>
      <c r="U714" s="310" t="s">
        <v>379</v>
      </c>
      <c r="V714" s="76"/>
      <c r="W714" s="76"/>
      <c r="X714" s="76"/>
      <c r="Y714" s="308" t="s">
        <v>2344</v>
      </c>
      <c r="Z714" s="168"/>
      <c r="AA714" s="168"/>
      <c r="AB714" s="97"/>
      <c r="AC714" s="310" t="s">
        <v>632</v>
      </c>
      <c r="AD714" s="99"/>
      <c r="AE714" s="76"/>
      <c r="AF714" s="76" t="s">
        <v>4767</v>
      </c>
      <c r="AG714" s="189"/>
      <c r="AH714" s="310" t="s">
        <v>10761</v>
      </c>
      <c r="AI714" s="203"/>
      <c r="AJ714" s="203"/>
      <c r="AK714" s="203"/>
      <c r="AL714" s="203"/>
      <c r="AM714" s="203"/>
      <c r="AN714" s="203"/>
      <c r="AO714" s="203"/>
      <c r="AP714" s="203"/>
      <c r="AQ714" s="203"/>
      <c r="AR714" s="203"/>
      <c r="AS714" s="203"/>
      <c r="AT714" s="203"/>
    </row>
    <row r="715">
      <c r="A715" s="76" t="s">
        <v>116</v>
      </c>
      <c r="B715" s="757" t="s">
        <v>1433</v>
      </c>
      <c r="C715" s="757" t="s">
        <v>121</v>
      </c>
      <c r="D715" s="757" t="s">
        <v>121</v>
      </c>
      <c r="E715" s="758" t="s">
        <v>331</v>
      </c>
      <c r="F715" s="759" t="s">
        <v>7124</v>
      </c>
      <c r="G715" s="760" t="s">
        <v>1684</v>
      </c>
      <c r="H715" s="760" t="s">
        <v>60</v>
      </c>
      <c r="I715" s="87" t="s">
        <v>1221</v>
      </c>
      <c r="AI715" s="67"/>
      <c r="AJ715" s="67"/>
      <c r="AK715" s="748"/>
      <c r="AL715" s="748"/>
      <c r="AM715" s="810"/>
      <c r="AN715" s="810"/>
      <c r="AO715" s="748"/>
      <c r="AP715" s="748"/>
      <c r="AQ715" s="67"/>
      <c r="AR715" s="67"/>
      <c r="AS715" s="67"/>
      <c r="AT715" s="67"/>
    </row>
    <row r="716">
      <c r="A716" s="76" t="s">
        <v>116</v>
      </c>
      <c r="B716" s="757" t="s">
        <v>1433</v>
      </c>
      <c r="C716" s="757" t="s">
        <v>121</v>
      </c>
      <c r="D716" s="757" t="s">
        <v>121</v>
      </c>
      <c r="E716" s="758" t="s">
        <v>1466</v>
      </c>
      <c r="F716" s="759" t="s">
        <v>8333</v>
      </c>
      <c r="G716" s="760" t="s">
        <v>1672</v>
      </c>
      <c r="H716" s="760" t="s">
        <v>326</v>
      </c>
      <c r="I716" s="87" t="s">
        <v>1221</v>
      </c>
      <c r="J716" s="76" t="s">
        <v>114</v>
      </c>
      <c r="K716" s="124" t="s">
        <v>10768</v>
      </c>
      <c r="L716" s="85"/>
      <c r="M716" s="85" t="s">
        <v>102</v>
      </c>
      <c r="N716" s="785" t="s">
        <v>2512</v>
      </c>
      <c r="O716" s="756" t="s">
        <v>2513</v>
      </c>
      <c r="P716" s="262">
        <v>27716.0</v>
      </c>
      <c r="Q716" s="315">
        <f>VALUE(LEFT(TEXT(S716,0),5))+1</f>
        <v>1</v>
      </c>
      <c r="R716" s="97">
        <f>DATEDIF($P716,TODAY(),"Y")</f>
        <v>50</v>
      </c>
      <c r="S716" s="315"/>
      <c r="T716" s="76" t="s">
        <v>378</v>
      </c>
      <c r="U716" s="76" t="s">
        <v>368</v>
      </c>
      <c r="V716" s="76"/>
      <c r="W716" s="76"/>
      <c r="X716" s="76"/>
      <c r="Y716" s="97"/>
      <c r="Z716" s="278" t="s">
        <v>1613</v>
      </c>
      <c r="AA716" s="76"/>
      <c r="AB716" s="97"/>
      <c r="AC716" s="76"/>
      <c r="AD716" s="99"/>
      <c r="AE716" s="76"/>
      <c r="AF716" s="153">
        <v>46091.0</v>
      </c>
      <c r="AG716" s="76" t="s">
        <v>1187</v>
      </c>
      <c r="AH716" s="153">
        <v>46139.0</v>
      </c>
      <c r="AI716" s="67"/>
      <c r="AJ716" s="67"/>
      <c r="AK716" s="748"/>
      <c r="AL716" s="748"/>
      <c r="AM716" s="810"/>
      <c r="AN716" s="810"/>
      <c r="AO716" s="748"/>
      <c r="AP716" s="748"/>
      <c r="AQ716" s="67"/>
      <c r="AR716" s="67"/>
      <c r="AS716" s="67"/>
      <c r="AT716" s="67"/>
    </row>
    <row r="717">
      <c r="A717" s="76" t="s">
        <v>116</v>
      </c>
      <c r="B717" s="757"/>
      <c r="C717" s="757"/>
      <c r="D717" s="757"/>
      <c r="E717" s="758"/>
      <c r="F717" s="15" t="s">
        <v>10363</v>
      </c>
      <c r="G717" s="760"/>
      <c r="H717" s="823" t="s">
        <v>2331</v>
      </c>
      <c r="I717" s="87" t="s">
        <v>1221</v>
      </c>
      <c r="J717" s="76" t="s">
        <v>114</v>
      </c>
      <c r="K717" s="124" t="s">
        <v>10615</v>
      </c>
      <c r="L717" s="85"/>
      <c r="M717" s="85" t="s">
        <v>60</v>
      </c>
      <c r="N717" s="1037" t="s">
        <v>2553</v>
      </c>
      <c r="O717" s="1038" t="s">
        <v>2554</v>
      </c>
      <c r="P717" s="262">
        <v>30176.0</v>
      </c>
      <c r="Q717" s="315"/>
      <c r="R717" s="76">
        <v>44.0</v>
      </c>
      <c r="S717" s="315"/>
      <c r="T717" s="76"/>
      <c r="U717" s="76" t="s">
        <v>368</v>
      </c>
      <c r="V717" s="76"/>
      <c r="W717" s="76"/>
      <c r="X717" s="76"/>
      <c r="Y717" s="97"/>
      <c r="Z717" s="278"/>
      <c r="AA717" s="76"/>
      <c r="AB717" s="97"/>
      <c r="AC717" s="76"/>
      <c r="AD717" s="99"/>
      <c r="AE717" s="76"/>
      <c r="AF717" s="153"/>
      <c r="AG717" s="76"/>
      <c r="AH717" s="153"/>
      <c r="AI717" s="203"/>
      <c r="AJ717" s="203"/>
      <c r="AK717" s="203"/>
      <c r="AL717" s="203"/>
      <c r="AM717" s="203"/>
      <c r="AN717" s="203"/>
      <c r="AO717" s="203"/>
      <c r="AP717" s="203"/>
      <c r="AQ717" s="203"/>
      <c r="AR717" s="203"/>
      <c r="AS717" s="203"/>
      <c r="AT717" s="203"/>
    </row>
    <row r="718">
      <c r="A718" s="76"/>
      <c r="B718" s="757"/>
      <c r="C718" s="757"/>
      <c r="D718" s="757"/>
      <c r="E718" s="758"/>
      <c r="F718" s="759"/>
      <c r="G718" s="760"/>
      <c r="H718" s="760"/>
      <c r="I718" s="87"/>
      <c r="J718" s="76"/>
      <c r="K718" s="124"/>
      <c r="L718" s="85"/>
      <c r="M718" s="85" t="s">
        <v>60</v>
      </c>
      <c r="N718" s="785" t="s">
        <v>10796</v>
      </c>
      <c r="O718" s="756"/>
      <c r="P718" s="262"/>
      <c r="Q718" s="315"/>
      <c r="R718" s="97"/>
      <c r="S718" s="315"/>
      <c r="T718" s="76"/>
      <c r="U718" s="76" t="s">
        <v>368</v>
      </c>
      <c r="V718" s="76"/>
      <c r="W718" s="76"/>
      <c r="X718" s="76"/>
      <c r="Y718" s="97"/>
      <c r="Z718" s="278"/>
      <c r="AA718" s="76"/>
      <c r="AB718" s="97"/>
      <c r="AC718" s="76" t="s">
        <v>10799</v>
      </c>
      <c r="AD718" s="99"/>
      <c r="AE718" s="76"/>
      <c r="AF718" s="153"/>
      <c r="AG718" s="76"/>
      <c r="AH718" s="153"/>
      <c r="AI718" s="67"/>
      <c r="AJ718" s="67"/>
      <c r="AK718" s="748"/>
      <c r="AL718" s="748"/>
      <c r="AM718" s="810"/>
      <c r="AN718" s="810"/>
      <c r="AO718" s="748"/>
      <c r="AP718" s="748"/>
      <c r="AQ718" s="67"/>
      <c r="AR718" s="67"/>
      <c r="AS718" s="67"/>
      <c r="AT718" s="67"/>
    </row>
    <row r="719">
      <c r="A719" s="76" t="s">
        <v>116</v>
      </c>
      <c r="B719" s="757" t="s">
        <v>3307</v>
      </c>
      <c r="C719" s="757" t="s">
        <v>121</v>
      </c>
      <c r="D719" s="757" t="s">
        <v>121</v>
      </c>
      <c r="E719" s="758" t="s">
        <v>139</v>
      </c>
      <c r="F719" s="759" t="s">
        <v>1520</v>
      </c>
      <c r="G719" s="760" t="s">
        <v>2096</v>
      </c>
      <c r="H719" s="760" t="s">
        <v>60</v>
      </c>
      <c r="I719" s="87" t="s">
        <v>1221</v>
      </c>
      <c r="J719" s="85"/>
      <c r="K719" s="76"/>
      <c r="L719" s="76"/>
      <c r="M719" s="76" t="s">
        <v>60</v>
      </c>
      <c r="N719" s="287" t="s">
        <v>10804</v>
      </c>
      <c r="O719" s="76" t="s">
        <v>3275</v>
      </c>
      <c r="P719" s="712"/>
      <c r="Q719" s="315"/>
      <c r="R719" s="97"/>
      <c r="S719" s="315">
        <v>3.622307413E9</v>
      </c>
      <c r="T719" s="315"/>
      <c r="U719" s="310" t="s">
        <v>136</v>
      </c>
      <c r="V719" s="76"/>
      <c r="W719" s="76"/>
      <c r="X719" s="97" t="s">
        <v>186</v>
      </c>
      <c r="Y719" s="211" t="s">
        <v>1351</v>
      </c>
      <c r="Z719" s="501" t="s">
        <v>418</v>
      </c>
      <c r="AA719" s="97" t="s">
        <v>1178</v>
      </c>
      <c r="AB719" s="97"/>
      <c r="AC719" s="97"/>
      <c r="AD719" s="99"/>
      <c r="AE719" s="76"/>
      <c r="AF719" s="76" t="s">
        <v>10810</v>
      </c>
      <c r="AG719" s="76"/>
      <c r="AH719" s="330" t="s">
        <v>9138</v>
      </c>
      <c r="AI719" s="67"/>
      <c r="AJ719" s="67"/>
      <c r="AK719" s="748"/>
      <c r="AL719" s="748"/>
      <c r="AM719" s="810"/>
      <c r="AN719" s="810"/>
      <c r="AO719" s="748"/>
      <c r="AP719" s="748"/>
      <c r="AQ719" s="67"/>
      <c r="AR719" s="67"/>
      <c r="AS719" s="67"/>
      <c r="AT719" s="67"/>
    </row>
    <row r="720">
      <c r="A720" s="76" t="s">
        <v>116</v>
      </c>
      <c r="B720" s="757" t="s">
        <v>3332</v>
      </c>
      <c r="C720" s="757" t="s">
        <v>3829</v>
      </c>
      <c r="D720" s="757" t="s">
        <v>121</v>
      </c>
      <c r="E720" s="758" t="s">
        <v>2242</v>
      </c>
      <c r="F720" s="759" t="s">
        <v>3830</v>
      </c>
      <c r="G720" s="760" t="s">
        <v>2244</v>
      </c>
      <c r="H720" s="760" t="s">
        <v>60</v>
      </c>
      <c r="I720" s="87" t="s">
        <v>1221</v>
      </c>
      <c r="J720" s="203"/>
      <c r="K720" s="203"/>
      <c r="L720" s="203"/>
      <c r="M720" s="76" t="s">
        <v>60</v>
      </c>
      <c r="N720" s="1039" t="s">
        <v>10813</v>
      </c>
      <c r="O720" s="1040" t="s">
        <v>10815</v>
      </c>
      <c r="P720" s="203"/>
      <c r="Q720" s="203"/>
      <c r="R720" s="203"/>
      <c r="S720" s="203"/>
      <c r="T720" s="203"/>
      <c r="U720" s="310" t="s">
        <v>136</v>
      </c>
      <c r="V720" s="203"/>
      <c r="W720" s="203"/>
      <c r="X720" s="203"/>
      <c r="Y720" s="203"/>
      <c r="Z720" s="1040" t="s">
        <v>1351</v>
      </c>
      <c r="AA720" s="203"/>
      <c r="AB720" s="1043"/>
      <c r="AC720" s="1040" t="s">
        <v>630</v>
      </c>
      <c r="AD720" s="203"/>
      <c r="AE720" s="203"/>
      <c r="AF720" s="203"/>
      <c r="AG720" s="203"/>
      <c r="AH720" s="203"/>
      <c r="AI720" s="203"/>
      <c r="AJ720" s="203"/>
      <c r="AK720" s="203"/>
      <c r="AL720" s="203"/>
      <c r="AM720" s="203"/>
      <c r="AN720" s="203"/>
      <c r="AO720" s="203"/>
      <c r="AP720" s="203"/>
      <c r="AQ720" s="203"/>
      <c r="AR720" s="203"/>
      <c r="AS720" s="203"/>
      <c r="AT720" s="203"/>
    </row>
    <row r="721">
      <c r="A721" s="127"/>
      <c r="B721" s="302" t="s">
        <v>4145</v>
      </c>
      <c r="C721" s="523"/>
      <c r="D721" s="86"/>
      <c r="E721" s="574">
        <v>46071.0</v>
      </c>
      <c r="F721" s="86"/>
      <c r="G721" s="86"/>
      <c r="H721" s="86"/>
      <c r="I721" s="86"/>
      <c r="J721" s="85" t="s">
        <v>114</v>
      </c>
      <c r="K721" s="176" t="s">
        <v>10820</v>
      </c>
      <c r="L721" s="76"/>
      <c r="M721" s="85" t="s">
        <v>60</v>
      </c>
      <c r="N721" s="287" t="s">
        <v>10822</v>
      </c>
      <c r="O721" s="76" t="s">
        <v>6301</v>
      </c>
      <c r="P721" s="153">
        <v>31709.0</v>
      </c>
      <c r="Q721" s="315">
        <f t="shared" ref="Q721:Q726" si="81">VALUE(LEFT(TEXT(S721,0),5))+1</f>
        <v>31709</v>
      </c>
      <c r="R721" s="86">
        <f t="shared" ref="R721:R726" si="82">DATEDIF($P721,TODAY(),"Y")</f>
        <v>39</v>
      </c>
      <c r="S721" s="76">
        <v>3.170816596E9</v>
      </c>
      <c r="T721" s="76" t="s">
        <v>1317</v>
      </c>
      <c r="U721" s="310" t="s">
        <v>136</v>
      </c>
      <c r="V721" s="76"/>
      <c r="W721" s="76"/>
      <c r="X721" s="76" t="s">
        <v>186</v>
      </c>
      <c r="Y721" s="211" t="s">
        <v>1351</v>
      </c>
      <c r="Z721" s="211" t="s">
        <v>418</v>
      </c>
      <c r="AA721" s="168"/>
      <c r="AB721" s="97"/>
      <c r="AC721" s="168"/>
      <c r="AD721" s="168"/>
      <c r="AE721" s="76" t="s">
        <v>1136</v>
      </c>
      <c r="AF721" s="76"/>
      <c r="AG721" s="76"/>
      <c r="AH721" s="153">
        <v>46106.0</v>
      </c>
      <c r="AI721" s="203"/>
      <c r="AJ721" s="203"/>
      <c r="AK721" s="203"/>
      <c r="AL721" s="203"/>
      <c r="AM721" s="203"/>
      <c r="AN721" s="203"/>
      <c r="AO721" s="203"/>
      <c r="AP721" s="203"/>
      <c r="AQ721" s="203"/>
      <c r="AR721" s="203"/>
      <c r="AS721" s="203"/>
      <c r="AT721" s="203"/>
    </row>
    <row r="722">
      <c r="A722" s="127"/>
      <c r="B722" s="302" t="s">
        <v>4145</v>
      </c>
      <c r="C722" s="523"/>
      <c r="D722" s="86"/>
      <c r="E722" s="574">
        <v>46080.0</v>
      </c>
      <c r="F722" s="86"/>
      <c r="G722" s="86"/>
      <c r="H722" s="86"/>
      <c r="I722" s="86"/>
      <c r="J722" s="85" t="s">
        <v>114</v>
      </c>
      <c r="K722" s="176" t="s">
        <v>10830</v>
      </c>
      <c r="L722" s="76"/>
      <c r="M722" s="85" t="s">
        <v>60</v>
      </c>
      <c r="N722" s="76" t="s">
        <v>10832</v>
      </c>
      <c r="O722" s="76" t="s">
        <v>10833</v>
      </c>
      <c r="P722" s="153">
        <v>31975.0</v>
      </c>
      <c r="Q722" s="315">
        <f t="shared" si="81"/>
        <v>31975</v>
      </c>
      <c r="R722" s="86">
        <f t="shared" si="82"/>
        <v>39</v>
      </c>
      <c r="S722" s="76">
        <v>3.197422098E9</v>
      </c>
      <c r="T722" s="86"/>
      <c r="U722" s="310" t="s">
        <v>136</v>
      </c>
      <c r="V722" s="76"/>
      <c r="W722" s="76"/>
      <c r="X722" s="76" t="s">
        <v>186</v>
      </c>
      <c r="Y722" s="211" t="s">
        <v>1351</v>
      </c>
      <c r="Z722" s="211" t="s">
        <v>418</v>
      </c>
      <c r="AA722" s="168"/>
      <c r="AB722" s="97"/>
      <c r="AC722" s="168"/>
      <c r="AD722" s="168"/>
      <c r="AE722" s="76"/>
      <c r="AF722" s="76"/>
      <c r="AG722" s="76"/>
      <c r="AH722" s="153">
        <v>46091.0</v>
      </c>
      <c r="AI722" s="203"/>
      <c r="AJ722" s="203"/>
      <c r="AK722" s="203"/>
      <c r="AL722" s="203"/>
      <c r="AM722" s="203"/>
      <c r="AN722" s="203"/>
      <c r="AO722" s="203"/>
      <c r="AP722" s="203"/>
      <c r="AQ722" s="203"/>
      <c r="AR722" s="203"/>
      <c r="AS722" s="203"/>
      <c r="AT722" s="203"/>
    </row>
    <row r="723">
      <c r="A723" s="86"/>
      <c r="B723" s="302" t="s">
        <v>4145</v>
      </c>
      <c r="C723" s="523"/>
      <c r="D723" s="86"/>
      <c r="E723" s="574">
        <v>46071.0</v>
      </c>
      <c r="F723" s="86"/>
      <c r="G723" s="86"/>
      <c r="H723" s="86"/>
      <c r="I723" s="86"/>
      <c r="J723" s="85" t="s">
        <v>114</v>
      </c>
      <c r="K723" s="176" t="s">
        <v>10841</v>
      </c>
      <c r="L723" s="76"/>
      <c r="M723" s="85" t="s">
        <v>60</v>
      </c>
      <c r="N723" s="76" t="s">
        <v>10844</v>
      </c>
      <c r="O723" s="76" t="s">
        <v>3238</v>
      </c>
      <c r="P723" s="153">
        <v>30947.0</v>
      </c>
      <c r="Q723" s="315">
        <f t="shared" si="81"/>
        <v>30947</v>
      </c>
      <c r="R723" s="86">
        <f t="shared" si="82"/>
        <v>41</v>
      </c>
      <c r="S723" s="76">
        <v>3.094622717E9</v>
      </c>
      <c r="T723" s="76" t="s">
        <v>378</v>
      </c>
      <c r="U723" s="310" t="s">
        <v>136</v>
      </c>
      <c r="V723" s="76"/>
      <c r="W723" s="76"/>
      <c r="X723" s="76" t="s">
        <v>186</v>
      </c>
      <c r="Y723" s="211" t="s">
        <v>1351</v>
      </c>
      <c r="Z723" s="211" t="s">
        <v>418</v>
      </c>
      <c r="AA723" s="168"/>
      <c r="AB723" s="97"/>
      <c r="AC723" s="168"/>
      <c r="AD723" s="168"/>
      <c r="AE723" s="76"/>
      <c r="AF723" s="76"/>
      <c r="AG723" s="153">
        <v>46087.0</v>
      </c>
      <c r="AH723" s="310" t="s">
        <v>10845</v>
      </c>
      <c r="AI723" s="67"/>
      <c r="AJ723" s="67"/>
      <c r="AK723" s="67"/>
      <c r="AL723" s="67"/>
      <c r="AM723" s="67"/>
      <c r="AN723" s="67"/>
      <c r="AO723" s="67"/>
      <c r="AP723" s="67"/>
      <c r="AQ723" s="67"/>
      <c r="AR723" s="67"/>
      <c r="AS723" s="67"/>
      <c r="AT723" s="67"/>
    </row>
    <row r="724">
      <c r="A724" s="76" t="s">
        <v>116</v>
      </c>
      <c r="B724" s="757" t="s">
        <v>1645</v>
      </c>
      <c r="C724" s="757" t="s">
        <v>1517</v>
      </c>
      <c r="D724" s="757" t="s">
        <v>1368</v>
      </c>
      <c r="E724" s="758" t="s">
        <v>187</v>
      </c>
      <c r="F724" s="759" t="s">
        <v>1469</v>
      </c>
      <c r="G724" s="760" t="s">
        <v>4116</v>
      </c>
      <c r="H724" s="760" t="s">
        <v>60</v>
      </c>
      <c r="I724" s="87" t="s">
        <v>1221</v>
      </c>
      <c r="J724" s="109" t="s">
        <v>114</v>
      </c>
      <c r="K724" s="85" t="s">
        <v>10849</v>
      </c>
      <c r="L724" s="87"/>
      <c r="M724" s="87" t="s">
        <v>60</v>
      </c>
      <c r="N724" s="978" t="s">
        <v>10850</v>
      </c>
      <c r="O724" s="86" t="s">
        <v>10851</v>
      </c>
      <c r="P724" s="750">
        <v>28329.0</v>
      </c>
      <c r="Q724" s="315">
        <f t="shared" si="81"/>
        <v>28329</v>
      </c>
      <c r="R724" s="86">
        <f t="shared" si="82"/>
        <v>49</v>
      </c>
      <c r="S724" s="315">
        <v>2.832810034E9</v>
      </c>
      <c r="T724" s="315" t="s">
        <v>1479</v>
      </c>
      <c r="U724" s="224" t="s">
        <v>344</v>
      </c>
      <c r="V724" s="86"/>
      <c r="W724" s="97"/>
      <c r="X724" s="97"/>
      <c r="Y724" s="97"/>
      <c r="Z724" s="97"/>
      <c r="AA724" s="97"/>
      <c r="AB724" s="97"/>
      <c r="AC724" s="97" t="s">
        <v>150</v>
      </c>
      <c r="AD724" s="99"/>
      <c r="AE724" s="76"/>
      <c r="AF724" s="85" t="s">
        <v>10860</v>
      </c>
      <c r="AG724" s="189"/>
      <c r="AH724" s="153">
        <v>46137.0</v>
      </c>
      <c r="AI724" s="203"/>
      <c r="AJ724" s="203"/>
      <c r="AK724" s="203"/>
      <c r="AL724" s="203"/>
      <c r="AM724" s="203"/>
      <c r="AN724" s="203"/>
      <c r="AO724" s="203"/>
      <c r="AP724" s="203"/>
      <c r="AQ724" s="203"/>
      <c r="AR724" s="203"/>
      <c r="AS724" s="203"/>
      <c r="AT724" s="203"/>
    </row>
    <row r="725">
      <c r="A725" s="76" t="s">
        <v>116</v>
      </c>
      <c r="B725" s="757" t="s">
        <v>1645</v>
      </c>
      <c r="C725" s="757" t="s">
        <v>1517</v>
      </c>
      <c r="D725" s="757" t="s">
        <v>1368</v>
      </c>
      <c r="E725" s="758" t="s">
        <v>321</v>
      </c>
      <c r="F725" s="759" t="s">
        <v>1552</v>
      </c>
      <c r="G725" s="760" t="s">
        <v>4147</v>
      </c>
      <c r="H725" s="760" t="s">
        <v>60</v>
      </c>
      <c r="I725" s="87" t="s">
        <v>1221</v>
      </c>
      <c r="J725" s="85" t="s">
        <v>114</v>
      </c>
      <c r="K725" s="76" t="s">
        <v>1</v>
      </c>
      <c r="L725" s="76"/>
      <c r="M725" s="85" t="s">
        <v>60</v>
      </c>
      <c r="N725" s="294" t="s">
        <v>10865</v>
      </c>
      <c r="O725" s="76" t="s">
        <v>10866</v>
      </c>
      <c r="P725" s="153">
        <v>34504.0</v>
      </c>
      <c r="Q725" s="315">
        <f t="shared" si="81"/>
        <v>34504</v>
      </c>
      <c r="R725" s="86">
        <f t="shared" si="82"/>
        <v>32</v>
      </c>
      <c r="S725" s="76">
        <v>3.450305196E9</v>
      </c>
      <c r="T725" s="86"/>
      <c r="U725" s="76" t="s">
        <v>344</v>
      </c>
      <c r="V725" s="76"/>
      <c r="W725" s="76"/>
      <c r="X725" s="76"/>
      <c r="Y725" s="167"/>
      <c r="Z725" s="278" t="s">
        <v>1613</v>
      </c>
      <c r="AA725" s="168"/>
      <c r="AB725" s="97"/>
      <c r="AC725" s="168"/>
      <c r="AD725" s="168"/>
      <c r="AE725" s="76"/>
      <c r="AF725" s="76"/>
      <c r="AG725" s="76"/>
      <c r="AH725" s="153">
        <v>46119.0</v>
      </c>
      <c r="AI725" s="203"/>
      <c r="AJ725" s="203"/>
      <c r="AK725" s="203"/>
      <c r="AL725" s="203"/>
      <c r="AM725" s="203"/>
      <c r="AN725" s="203"/>
      <c r="AO725" s="203"/>
      <c r="AP725" s="203"/>
      <c r="AQ725" s="203"/>
      <c r="AR725" s="203"/>
      <c r="AS725" s="203"/>
      <c r="AT725" s="203"/>
    </row>
    <row r="726">
      <c r="A726" s="76" t="s">
        <v>116</v>
      </c>
      <c r="B726" s="757" t="s">
        <v>3898</v>
      </c>
      <c r="C726" s="757" t="s">
        <v>8583</v>
      </c>
      <c r="D726" s="757" t="s">
        <v>121</v>
      </c>
      <c r="E726" s="758" t="s">
        <v>178</v>
      </c>
      <c r="F726" s="759" t="s">
        <v>9312</v>
      </c>
      <c r="G726" s="760" t="s">
        <v>243</v>
      </c>
      <c r="H726" s="760" t="s">
        <v>102</v>
      </c>
      <c r="I726" s="146" t="s">
        <v>408</v>
      </c>
      <c r="J726" s="76" t="s">
        <v>114</v>
      </c>
      <c r="K726" s="85"/>
      <c r="L726" s="109"/>
      <c r="M726" s="728" t="s">
        <v>102</v>
      </c>
      <c r="N726" s="85" t="s">
        <v>240</v>
      </c>
      <c r="O726" s="76" t="s">
        <v>241</v>
      </c>
      <c r="P726" s="330">
        <v>27712.0</v>
      </c>
      <c r="Q726" s="315">
        <f t="shared" si="81"/>
        <v>27712</v>
      </c>
      <c r="R726" s="86">
        <f t="shared" si="82"/>
        <v>50</v>
      </c>
      <c r="S726" s="76">
        <v>2.771120739E9</v>
      </c>
      <c r="T726" s="315"/>
      <c r="U726" s="443" t="s">
        <v>165</v>
      </c>
      <c r="V726" s="76" t="s">
        <v>636</v>
      </c>
      <c r="W726" s="76"/>
      <c r="X726" s="97"/>
      <c r="Y726" s="97"/>
      <c r="Z726" s="97"/>
      <c r="AA726" s="97"/>
      <c r="AB726" s="97"/>
      <c r="AC726" s="97"/>
      <c r="AD726" s="99"/>
      <c r="AE726" s="76" t="s">
        <v>259</v>
      </c>
      <c r="AF726" s="85" t="s">
        <v>10883</v>
      </c>
      <c r="AG726" s="315"/>
      <c r="AH726" s="97"/>
      <c r="AI726" s="67"/>
      <c r="AJ726" s="67"/>
      <c r="AK726" s="748"/>
      <c r="AL726" s="748"/>
      <c r="AM726" s="810"/>
      <c r="AN726" s="810"/>
      <c r="AO726" s="748"/>
      <c r="AP726" s="748"/>
      <c r="AQ726" s="67"/>
      <c r="AR726" s="67"/>
      <c r="AS726" s="67"/>
      <c r="AT726" s="67"/>
    </row>
    <row r="727">
      <c r="A727" s="310" t="s">
        <v>10884</v>
      </c>
      <c r="B727" s="529"/>
      <c r="C727" s="86"/>
      <c r="D727" s="86"/>
      <c r="E727" s="762" t="s">
        <v>10886</v>
      </c>
      <c r="F727" s="86"/>
      <c r="G727" s="86"/>
      <c r="H727" s="86"/>
      <c r="I727" s="86"/>
      <c r="J727" s="97"/>
      <c r="K727" s="109"/>
      <c r="L727" s="109"/>
      <c r="M727" s="109" t="s">
        <v>60</v>
      </c>
      <c r="N727" s="85" t="s">
        <v>4084</v>
      </c>
      <c r="O727" s="86"/>
      <c r="P727" s="86"/>
      <c r="Q727" s="86"/>
      <c r="R727" s="86"/>
      <c r="S727" s="315"/>
      <c r="T727" s="315"/>
      <c r="U727" s="86"/>
      <c r="V727" s="86"/>
      <c r="W727" s="86"/>
      <c r="X727" s="97"/>
      <c r="Y727" s="97"/>
      <c r="Z727" s="97"/>
      <c r="AA727" s="97"/>
      <c r="AB727" s="97"/>
      <c r="AC727" s="97" t="s">
        <v>3780</v>
      </c>
      <c r="AD727" s="99"/>
      <c r="AE727" s="97"/>
      <c r="AF727" s="315"/>
      <c r="AG727" s="112" t="s">
        <v>697</v>
      </c>
      <c r="AH727" s="315">
        <v>45866.0</v>
      </c>
      <c r="AI727" s="763"/>
      <c r="AJ727" s="763"/>
      <c r="AK727" s="763"/>
      <c r="AL727" s="763"/>
      <c r="AM727" s="763"/>
      <c r="AN727" s="763"/>
      <c r="AO727" s="763"/>
      <c r="AP727" s="763"/>
      <c r="AQ727" s="763"/>
      <c r="AR727" s="763"/>
      <c r="AS727" s="763"/>
      <c r="AT727" s="763"/>
    </row>
    <row r="728">
      <c r="A728" s="310" t="s">
        <v>10884</v>
      </c>
      <c r="B728" s="529"/>
      <c r="C728" s="86"/>
      <c r="D728" s="86"/>
      <c r="E728" s="762" t="s">
        <v>8928</v>
      </c>
      <c r="F728" s="86"/>
      <c r="G728" s="86"/>
      <c r="H728" s="86"/>
      <c r="I728" s="86"/>
      <c r="J728" s="97"/>
      <c r="K728" s="109"/>
      <c r="L728" s="109"/>
      <c r="M728" s="109" t="s">
        <v>60</v>
      </c>
      <c r="N728" s="85" t="s">
        <v>10894</v>
      </c>
      <c r="O728" s="86"/>
      <c r="P728" s="86"/>
      <c r="Q728" s="86"/>
      <c r="R728" s="86"/>
      <c r="S728" s="315"/>
      <c r="T728" s="315"/>
      <c r="U728" s="86"/>
      <c r="V728" s="86"/>
      <c r="W728" s="86"/>
      <c r="X728" s="97"/>
      <c r="Y728" s="97"/>
      <c r="Z728" s="97"/>
      <c r="AA728" s="97"/>
      <c r="AB728" s="97"/>
      <c r="AC728" s="97" t="s">
        <v>10901</v>
      </c>
      <c r="AD728" s="99"/>
      <c r="AE728" s="97"/>
      <c r="AF728" s="315"/>
      <c r="AG728" s="97"/>
      <c r="AH728" s="315"/>
      <c r="AI728" s="763"/>
      <c r="AJ728" s="763"/>
      <c r="AK728" s="763"/>
      <c r="AL728" s="763"/>
      <c r="AM728" s="763"/>
      <c r="AN728" s="763"/>
      <c r="AO728" s="763"/>
      <c r="AP728" s="763"/>
      <c r="AQ728" s="763"/>
      <c r="AR728" s="763"/>
      <c r="AS728" s="763"/>
      <c r="AT728" s="763"/>
    </row>
    <row r="729">
      <c r="A729" s="310" t="s">
        <v>10884</v>
      </c>
      <c r="B729" s="529"/>
      <c r="C729" s="86"/>
      <c r="D729" s="86"/>
      <c r="E729" s="762" t="s">
        <v>8928</v>
      </c>
      <c r="F729" s="86"/>
      <c r="G729" s="86"/>
      <c r="H729" s="86"/>
      <c r="I729" s="86"/>
      <c r="J729" s="97"/>
      <c r="K729" s="109"/>
      <c r="L729" s="109"/>
      <c r="M729" s="109" t="s">
        <v>60</v>
      </c>
      <c r="N729" s="97" t="s">
        <v>10902</v>
      </c>
      <c r="O729" s="86"/>
      <c r="P729" s="86"/>
      <c r="Q729" s="86"/>
      <c r="R729" s="86"/>
      <c r="S729" s="315"/>
      <c r="T729" s="315"/>
      <c r="U729" s="86"/>
      <c r="V729" s="86"/>
      <c r="W729" s="86"/>
      <c r="X729" s="97"/>
      <c r="Y729" s="97"/>
      <c r="Z729" s="97"/>
      <c r="AA729" s="97"/>
      <c r="AB729" s="97"/>
      <c r="AC729" s="97" t="s">
        <v>10901</v>
      </c>
      <c r="AD729" s="99"/>
      <c r="AE729" s="97"/>
      <c r="AF729" s="315"/>
      <c r="AG729" s="76" t="s">
        <v>661</v>
      </c>
      <c r="AH729" s="315">
        <v>45847.0</v>
      </c>
      <c r="AI729" s="763"/>
      <c r="AJ729" s="763"/>
      <c r="AK729" s="763"/>
      <c r="AL729" s="763"/>
      <c r="AM729" s="763"/>
      <c r="AN729" s="763"/>
      <c r="AO729" s="763"/>
      <c r="AP729" s="763"/>
      <c r="AQ729" s="763"/>
      <c r="AR729" s="763"/>
      <c r="AS729" s="763"/>
      <c r="AT729" s="763"/>
    </row>
    <row r="730">
      <c r="A730" s="310" t="s">
        <v>10884</v>
      </c>
      <c r="B730" s="529"/>
      <c r="C730" s="86"/>
      <c r="D730" s="86"/>
      <c r="E730" s="762" t="s">
        <v>10908</v>
      </c>
      <c r="F730" s="86"/>
      <c r="G730" s="86"/>
      <c r="H730" s="86"/>
      <c r="I730" s="86"/>
      <c r="J730" s="97"/>
      <c r="K730" s="109"/>
      <c r="L730" s="109"/>
      <c r="M730" s="109" t="s">
        <v>60</v>
      </c>
      <c r="N730" s="97" t="s">
        <v>10909</v>
      </c>
      <c r="O730" s="86"/>
      <c r="P730" s="86"/>
      <c r="Q730" s="86"/>
      <c r="R730" s="86"/>
      <c r="S730" s="315"/>
      <c r="T730" s="315"/>
      <c r="U730" s="86"/>
      <c r="V730" s="86"/>
      <c r="W730" s="86"/>
      <c r="X730" s="97"/>
      <c r="Y730" s="97"/>
      <c r="Z730" s="97"/>
      <c r="AA730" s="97"/>
      <c r="AB730" s="97"/>
      <c r="AC730" s="97" t="s">
        <v>10901</v>
      </c>
      <c r="AD730" s="99"/>
      <c r="AE730" s="97"/>
      <c r="AF730" s="315"/>
      <c r="AG730" s="189"/>
      <c r="AH730" s="97"/>
      <c r="AI730" s="763"/>
      <c r="AJ730" s="763"/>
      <c r="AK730" s="763"/>
      <c r="AL730" s="763"/>
      <c r="AM730" s="763"/>
      <c r="AN730" s="763"/>
      <c r="AO730" s="763"/>
      <c r="AP730" s="763"/>
      <c r="AQ730" s="763"/>
      <c r="AR730" s="763"/>
      <c r="AS730" s="763"/>
      <c r="AT730" s="763"/>
    </row>
    <row r="731">
      <c r="A731" s="310" t="s">
        <v>10884</v>
      </c>
      <c r="B731" s="529"/>
      <c r="C731" s="86"/>
      <c r="D731" s="86"/>
      <c r="E731" s="762" t="s">
        <v>8928</v>
      </c>
      <c r="F731" s="86"/>
      <c r="G731" s="86"/>
      <c r="H731" s="86"/>
      <c r="I731" s="86"/>
      <c r="J731" s="97"/>
      <c r="K731" s="109"/>
      <c r="L731" s="109"/>
      <c r="M731" s="109" t="s">
        <v>60</v>
      </c>
      <c r="N731" s="97" t="s">
        <v>10912</v>
      </c>
      <c r="O731" s="86"/>
      <c r="P731" s="86"/>
      <c r="Q731" s="86"/>
      <c r="R731" s="86"/>
      <c r="S731" s="315"/>
      <c r="T731" s="315"/>
      <c r="U731" s="86"/>
      <c r="V731" s="86"/>
      <c r="W731" s="86"/>
      <c r="X731" s="97"/>
      <c r="Y731" s="97"/>
      <c r="Z731" s="97"/>
      <c r="AA731" s="97"/>
      <c r="AB731" s="97"/>
      <c r="AC731" s="97" t="s">
        <v>10901</v>
      </c>
      <c r="AD731" s="99"/>
      <c r="AE731" s="97"/>
      <c r="AF731" s="315"/>
      <c r="AG731" s="76" t="s">
        <v>2967</v>
      </c>
      <c r="AH731" s="97" t="s">
        <v>10918</v>
      </c>
      <c r="AI731" s="763"/>
      <c r="AJ731" s="763"/>
      <c r="AK731" s="763"/>
      <c r="AL731" s="763"/>
      <c r="AM731" s="763"/>
      <c r="AN731" s="763"/>
      <c r="AO731" s="763"/>
      <c r="AP731" s="763"/>
      <c r="AQ731" s="763"/>
      <c r="AR731" s="763"/>
      <c r="AS731" s="763"/>
      <c r="AT731" s="763"/>
    </row>
    <row r="732">
      <c r="A732" s="310" t="s">
        <v>10884</v>
      </c>
      <c r="B732" s="529"/>
      <c r="C732" s="86"/>
      <c r="D732" s="86"/>
      <c r="E732" s="762" t="s">
        <v>8928</v>
      </c>
      <c r="F732" s="86"/>
      <c r="G732" s="86"/>
      <c r="H732" s="86"/>
      <c r="I732" s="86"/>
      <c r="J732" s="97"/>
      <c r="K732" s="109"/>
      <c r="L732" s="109"/>
      <c r="M732" s="109" t="s">
        <v>60</v>
      </c>
      <c r="N732" s="97" t="s">
        <v>10921</v>
      </c>
      <c r="O732" s="86"/>
      <c r="P732" s="86"/>
      <c r="Q732" s="86"/>
      <c r="R732" s="86"/>
      <c r="S732" s="315"/>
      <c r="T732" s="315"/>
      <c r="U732" s="86"/>
      <c r="V732" s="86"/>
      <c r="W732" s="86"/>
      <c r="X732" s="97"/>
      <c r="Y732" s="97"/>
      <c r="Z732" s="97"/>
      <c r="AA732" s="97"/>
      <c r="AB732" s="97"/>
      <c r="AC732" s="97" t="s">
        <v>10901</v>
      </c>
      <c r="AD732" s="99"/>
      <c r="AE732" s="97"/>
      <c r="AF732" s="315"/>
      <c r="AG732" s="76" t="s">
        <v>661</v>
      </c>
      <c r="AH732" s="97" t="s">
        <v>10926</v>
      </c>
      <c r="AI732" s="763"/>
      <c r="AJ732" s="763"/>
      <c r="AK732" s="763"/>
      <c r="AL732" s="763"/>
      <c r="AM732" s="763"/>
      <c r="AN732" s="763"/>
      <c r="AO732" s="763"/>
      <c r="AP732" s="763"/>
      <c r="AQ732" s="763"/>
      <c r="AR732" s="763"/>
      <c r="AS732" s="763"/>
      <c r="AT732" s="763"/>
    </row>
    <row r="733">
      <c r="A733" s="310" t="s">
        <v>10884</v>
      </c>
      <c r="B733" s="529"/>
      <c r="C733" s="86"/>
      <c r="D733" s="86"/>
      <c r="E733" s="762" t="s">
        <v>8928</v>
      </c>
      <c r="F733" s="86"/>
      <c r="G733" s="86"/>
      <c r="H733" s="86"/>
      <c r="I733" s="86"/>
      <c r="J733" s="97"/>
      <c r="K733" s="109"/>
      <c r="L733" s="109"/>
      <c r="M733" s="109" t="s">
        <v>60</v>
      </c>
      <c r="N733" s="97" t="s">
        <v>10931</v>
      </c>
      <c r="O733" s="86"/>
      <c r="P733" s="86"/>
      <c r="Q733" s="86"/>
      <c r="R733" s="86"/>
      <c r="S733" s="315"/>
      <c r="T733" s="315"/>
      <c r="U733" s="86"/>
      <c r="V733" s="86"/>
      <c r="W733" s="86"/>
      <c r="X733" s="97"/>
      <c r="Y733" s="97"/>
      <c r="Z733" s="97"/>
      <c r="AA733" s="97"/>
      <c r="AB733" s="97"/>
      <c r="AC733" s="97" t="s">
        <v>10901</v>
      </c>
      <c r="AD733" s="99"/>
      <c r="AE733" s="97"/>
      <c r="AF733" s="315"/>
      <c r="AG733" s="112"/>
      <c r="AH733" s="112"/>
      <c r="AI733" s="763"/>
      <c r="AJ733" s="763"/>
      <c r="AK733" s="763"/>
      <c r="AL733" s="763"/>
      <c r="AM733" s="763"/>
      <c r="AN733" s="763"/>
      <c r="AO733" s="763"/>
      <c r="AP733" s="763"/>
      <c r="AQ733" s="763"/>
      <c r="AR733" s="763"/>
      <c r="AS733" s="763"/>
      <c r="AT733" s="763"/>
    </row>
    <row r="734">
      <c r="A734" s="310" t="s">
        <v>10884</v>
      </c>
      <c r="B734" s="529"/>
      <c r="C734" s="86"/>
      <c r="D734" s="86"/>
      <c r="E734" s="762" t="s">
        <v>10937</v>
      </c>
      <c r="F734" s="86"/>
      <c r="G734" s="86"/>
      <c r="H734" s="86"/>
      <c r="I734" s="86"/>
      <c r="J734" s="97"/>
      <c r="K734" s="109"/>
      <c r="L734" s="109"/>
      <c r="M734" s="109" t="s">
        <v>60</v>
      </c>
      <c r="N734" s="97" t="s">
        <v>10940</v>
      </c>
      <c r="O734" s="86"/>
      <c r="P734" s="86"/>
      <c r="Q734" s="86"/>
      <c r="R734" s="86"/>
      <c r="S734" s="315"/>
      <c r="T734" s="315"/>
      <c r="U734" s="86"/>
      <c r="V734" s="86"/>
      <c r="W734" s="86"/>
      <c r="X734" s="97"/>
      <c r="Y734" s="97"/>
      <c r="Z734" s="97"/>
      <c r="AA734" s="97"/>
      <c r="AB734" s="97"/>
      <c r="AC734" s="97" t="s">
        <v>10901</v>
      </c>
      <c r="AD734" s="99"/>
      <c r="AE734" s="97"/>
      <c r="AF734" s="315"/>
      <c r="AG734" s="97"/>
      <c r="AH734" s="97"/>
      <c r="AI734" s="763"/>
      <c r="AJ734" s="763"/>
      <c r="AK734" s="763"/>
      <c r="AL734" s="763"/>
      <c r="AM734" s="763"/>
      <c r="AN734" s="763"/>
      <c r="AO734" s="763"/>
      <c r="AP734" s="763"/>
      <c r="AQ734" s="763"/>
      <c r="AR734" s="763"/>
      <c r="AS734" s="763"/>
      <c r="AT734" s="763"/>
    </row>
    <row r="735">
      <c r="A735" s="310" t="s">
        <v>10884</v>
      </c>
      <c r="B735" s="529"/>
      <c r="C735" s="86"/>
      <c r="D735" s="86"/>
      <c r="E735" s="762" t="s">
        <v>10942</v>
      </c>
      <c r="F735" s="86"/>
      <c r="G735" s="86"/>
      <c r="H735" s="86"/>
      <c r="I735" s="86"/>
      <c r="J735" s="97"/>
      <c r="K735" s="109"/>
      <c r="L735" s="109"/>
      <c r="M735" s="109" t="s">
        <v>60</v>
      </c>
      <c r="N735" s="97" t="s">
        <v>10943</v>
      </c>
      <c r="O735" s="86"/>
      <c r="P735" s="86"/>
      <c r="Q735" s="86"/>
      <c r="R735" s="86"/>
      <c r="S735" s="315"/>
      <c r="T735" s="315"/>
      <c r="U735" s="86"/>
      <c r="V735" s="86"/>
      <c r="W735" s="86"/>
      <c r="X735" s="97"/>
      <c r="Y735" s="97"/>
      <c r="Z735" s="97"/>
      <c r="AA735" s="97"/>
      <c r="AB735" s="97"/>
      <c r="AC735" s="97" t="s">
        <v>10901</v>
      </c>
      <c r="AD735" s="99"/>
      <c r="AE735" s="97"/>
      <c r="AF735" s="315"/>
      <c r="AG735" s="189"/>
      <c r="AH735" s="99" t="s">
        <v>10025</v>
      </c>
      <c r="AI735" s="763"/>
      <c r="AJ735" s="763"/>
      <c r="AK735" s="763"/>
      <c r="AL735" s="763"/>
      <c r="AM735" s="763"/>
      <c r="AN735" s="763"/>
      <c r="AO735" s="763"/>
      <c r="AP735" s="763"/>
      <c r="AQ735" s="763"/>
      <c r="AR735" s="763"/>
      <c r="AS735" s="763"/>
      <c r="AT735" s="763"/>
    </row>
    <row r="736">
      <c r="A736" s="310" t="s">
        <v>10884</v>
      </c>
      <c r="B736" s="529"/>
      <c r="C736" s="86"/>
      <c r="D736" s="86"/>
      <c r="E736" s="762" t="s">
        <v>10950</v>
      </c>
      <c r="F736" s="86"/>
      <c r="G736" s="86"/>
      <c r="H736" s="86"/>
      <c r="I736" s="86"/>
      <c r="J736" s="97"/>
      <c r="K736" s="109"/>
      <c r="L736" s="109"/>
      <c r="M736" s="109" t="s">
        <v>504</v>
      </c>
      <c r="N736" s="97" t="s">
        <v>10951</v>
      </c>
      <c r="O736" s="86"/>
      <c r="P736" s="86"/>
      <c r="Q736" s="86"/>
      <c r="R736" s="86"/>
      <c r="S736" s="315"/>
      <c r="T736" s="315"/>
      <c r="U736" s="86"/>
      <c r="V736" s="86"/>
      <c r="W736" s="86"/>
      <c r="X736" s="97"/>
      <c r="Y736" s="97"/>
      <c r="Z736" s="97"/>
      <c r="AA736" s="97"/>
      <c r="AB736" s="97"/>
      <c r="AC736" s="97" t="s">
        <v>10956</v>
      </c>
      <c r="AD736" s="99"/>
      <c r="AE736" s="97"/>
      <c r="AF736" s="315"/>
      <c r="AG736" s="76" t="s">
        <v>375</v>
      </c>
      <c r="AH736" s="523">
        <v>45974.0</v>
      </c>
      <c r="AI736" s="763"/>
      <c r="AJ736" s="763"/>
      <c r="AK736" s="763"/>
      <c r="AL736" s="763"/>
      <c r="AM736" s="763"/>
      <c r="AN736" s="763"/>
      <c r="AO736" s="763"/>
      <c r="AP736" s="763"/>
      <c r="AQ736" s="763"/>
      <c r="AR736" s="763"/>
      <c r="AS736" s="763"/>
      <c r="AT736" s="763"/>
    </row>
    <row r="737">
      <c r="A737" s="310" t="s">
        <v>10884</v>
      </c>
      <c r="B737" s="529"/>
      <c r="C737" s="86"/>
      <c r="D737" s="86"/>
      <c r="E737" s="762" t="s">
        <v>10960</v>
      </c>
      <c r="F737" s="86"/>
      <c r="G737" s="86"/>
      <c r="H737" s="86"/>
      <c r="I737" s="86"/>
      <c r="J737" s="97"/>
      <c r="K737" s="109"/>
      <c r="L737" s="109"/>
      <c r="M737" s="109" t="s">
        <v>60</v>
      </c>
      <c r="N737" s="97" t="s">
        <v>10961</v>
      </c>
      <c r="O737" s="86"/>
      <c r="P737" s="86"/>
      <c r="Q737" s="86"/>
      <c r="R737" s="86"/>
      <c r="S737" s="315"/>
      <c r="T737" s="315"/>
      <c r="U737" s="86"/>
      <c r="V737" s="86"/>
      <c r="W737" s="86"/>
      <c r="X737" s="97"/>
      <c r="Y737" s="97"/>
      <c r="Z737" s="97"/>
      <c r="AA737" s="97"/>
      <c r="AB737" s="97"/>
      <c r="AC737" s="97" t="s">
        <v>10956</v>
      </c>
      <c r="AD737" s="99"/>
      <c r="AE737" s="97"/>
      <c r="AF737" s="315"/>
      <c r="AG737" s="97"/>
      <c r="AH737" s="97"/>
      <c r="AI737" s="763"/>
      <c r="AJ737" s="763"/>
      <c r="AK737" s="763"/>
      <c r="AL737" s="763"/>
      <c r="AM737" s="763"/>
      <c r="AN737" s="763"/>
      <c r="AO737" s="763"/>
      <c r="AP737" s="763"/>
      <c r="AQ737" s="763"/>
      <c r="AR737" s="763"/>
      <c r="AS737" s="763"/>
      <c r="AT737" s="763"/>
    </row>
    <row r="738">
      <c r="A738" s="310" t="s">
        <v>10884</v>
      </c>
      <c r="B738" s="529"/>
      <c r="C738" s="86"/>
      <c r="D738" s="86"/>
      <c r="E738" s="762" t="s">
        <v>10967</v>
      </c>
      <c r="F738" s="86"/>
      <c r="G738" s="86"/>
      <c r="H738" s="86"/>
      <c r="I738" s="86"/>
      <c r="J738" s="97"/>
      <c r="K738" s="109"/>
      <c r="L738" s="109"/>
      <c r="M738" s="109" t="s">
        <v>60</v>
      </c>
      <c r="N738" s="97" t="s">
        <v>10968</v>
      </c>
      <c r="O738" s="86"/>
      <c r="P738" s="86"/>
      <c r="Q738" s="86"/>
      <c r="R738" s="86"/>
      <c r="S738" s="315"/>
      <c r="T738" s="315"/>
      <c r="U738" s="86"/>
      <c r="V738" s="86"/>
      <c r="W738" s="86"/>
      <c r="X738" s="97"/>
      <c r="Y738" s="97"/>
      <c r="Z738" s="97"/>
      <c r="AA738" s="97"/>
      <c r="AB738" s="97"/>
      <c r="AC738" s="97" t="s">
        <v>10956</v>
      </c>
      <c r="AD738" s="99"/>
      <c r="AE738" s="97"/>
      <c r="AF738" s="315"/>
      <c r="AG738" s="97"/>
      <c r="AH738" s="97"/>
      <c r="AI738" s="763"/>
      <c r="AJ738" s="763"/>
      <c r="AK738" s="763"/>
      <c r="AL738" s="763"/>
      <c r="AM738" s="763"/>
      <c r="AN738" s="763"/>
      <c r="AO738" s="763"/>
      <c r="AP738" s="763"/>
      <c r="AQ738" s="763"/>
      <c r="AR738" s="763"/>
      <c r="AS738" s="763"/>
      <c r="AT738" s="763"/>
    </row>
    <row r="739">
      <c r="A739" s="310" t="s">
        <v>10884</v>
      </c>
      <c r="B739" s="529"/>
      <c r="C739" s="86"/>
      <c r="D739" s="86"/>
      <c r="E739" s="762" t="s">
        <v>10972</v>
      </c>
      <c r="F739" s="86"/>
      <c r="G739" s="86"/>
      <c r="H739" s="86"/>
      <c r="I739" s="86"/>
      <c r="J739" s="97"/>
      <c r="K739" s="109"/>
      <c r="L739" s="109"/>
      <c r="M739" s="109" t="s">
        <v>60</v>
      </c>
      <c r="N739" s="97" t="s">
        <v>10974</v>
      </c>
      <c r="O739" s="86"/>
      <c r="P739" s="86"/>
      <c r="Q739" s="86"/>
      <c r="R739" s="86"/>
      <c r="S739" s="315"/>
      <c r="T739" s="315"/>
      <c r="U739" s="86"/>
      <c r="V739" s="86"/>
      <c r="W739" s="86"/>
      <c r="X739" s="97"/>
      <c r="Y739" s="97"/>
      <c r="Z739" s="97"/>
      <c r="AA739" s="97"/>
      <c r="AB739" s="97"/>
      <c r="AC739" s="97" t="s">
        <v>10956</v>
      </c>
      <c r="AD739" s="99"/>
      <c r="AE739" s="97"/>
      <c r="AF739" s="315"/>
      <c r="AG739" s="76" t="s">
        <v>375</v>
      </c>
      <c r="AH739" s="330">
        <v>45978.0</v>
      </c>
      <c r="AI739" s="763"/>
      <c r="AJ739" s="763"/>
      <c r="AK739" s="763"/>
      <c r="AL739" s="763"/>
      <c r="AM739" s="763"/>
      <c r="AN739" s="763"/>
      <c r="AO739" s="763"/>
      <c r="AP739" s="763"/>
      <c r="AQ739" s="763"/>
      <c r="AR739" s="763"/>
      <c r="AS739" s="763"/>
      <c r="AT739" s="763"/>
    </row>
    <row r="740">
      <c r="A740" s="310" t="s">
        <v>10884</v>
      </c>
      <c r="B740" s="529"/>
      <c r="C740" s="86"/>
      <c r="D740" s="86"/>
      <c r="E740" s="762" t="s">
        <v>10972</v>
      </c>
      <c r="F740" s="86"/>
      <c r="G740" s="86"/>
      <c r="H740" s="86"/>
      <c r="I740" s="86"/>
      <c r="J740" s="97"/>
      <c r="K740" s="109"/>
      <c r="L740" s="109"/>
      <c r="M740" s="109" t="s">
        <v>60</v>
      </c>
      <c r="N740" s="97" t="s">
        <v>10977</v>
      </c>
      <c r="O740" s="86"/>
      <c r="P740" s="86"/>
      <c r="Q740" s="86"/>
      <c r="R740" s="86"/>
      <c r="S740" s="315"/>
      <c r="T740" s="315"/>
      <c r="U740" s="86"/>
      <c r="V740" s="86"/>
      <c r="W740" s="86"/>
      <c r="X740" s="97"/>
      <c r="Y740" s="97"/>
      <c r="Z740" s="97"/>
      <c r="AA740" s="97"/>
      <c r="AB740" s="97"/>
      <c r="AC740" s="97" t="s">
        <v>10956</v>
      </c>
      <c r="AD740" s="99"/>
      <c r="AE740" s="97"/>
      <c r="AF740" s="315"/>
      <c r="AG740" s="76" t="s">
        <v>2692</v>
      </c>
      <c r="AH740" s="330"/>
      <c r="AI740" s="763"/>
      <c r="AJ740" s="763"/>
      <c r="AK740" s="763"/>
      <c r="AL740" s="763"/>
      <c r="AM740" s="763"/>
      <c r="AN740" s="763"/>
      <c r="AO740" s="763"/>
      <c r="AP740" s="763"/>
      <c r="AQ740" s="763"/>
      <c r="AR740" s="763"/>
      <c r="AS740" s="763"/>
      <c r="AT740" s="763"/>
    </row>
    <row r="741">
      <c r="A741" s="310" t="s">
        <v>10884</v>
      </c>
      <c r="B741" s="529"/>
      <c r="C741" s="86"/>
      <c r="D741" s="86"/>
      <c r="E741" s="762" t="s">
        <v>10980</v>
      </c>
      <c r="F741" s="86"/>
      <c r="G741" s="86"/>
      <c r="H741" s="86"/>
      <c r="I741" s="86"/>
      <c r="J741" s="97"/>
      <c r="K741" s="109"/>
      <c r="L741" s="109"/>
      <c r="M741" s="109" t="s">
        <v>60</v>
      </c>
      <c r="N741" s="97" t="s">
        <v>10981</v>
      </c>
      <c r="O741" s="86"/>
      <c r="P741" s="86"/>
      <c r="Q741" s="86"/>
      <c r="R741" s="86"/>
      <c r="S741" s="315"/>
      <c r="T741" s="315"/>
      <c r="U741" s="86"/>
      <c r="V741" s="86"/>
      <c r="W741" s="86"/>
      <c r="X741" s="97"/>
      <c r="Y741" s="97"/>
      <c r="Z741" s="97"/>
      <c r="AA741" s="97"/>
      <c r="AB741" s="97"/>
      <c r="AC741" s="97" t="s">
        <v>10956</v>
      </c>
      <c r="AD741" s="99"/>
      <c r="AE741" s="97"/>
      <c r="AF741" s="315"/>
      <c r="AG741" s="189"/>
      <c r="AH741" s="330"/>
      <c r="AI741" s="763"/>
      <c r="AJ741" s="763"/>
      <c r="AK741" s="763"/>
      <c r="AL741" s="763"/>
      <c r="AM741" s="763"/>
      <c r="AN741" s="763"/>
      <c r="AO741" s="763"/>
      <c r="AP741" s="763"/>
      <c r="AQ741" s="763"/>
      <c r="AR741" s="763"/>
      <c r="AS741" s="763"/>
      <c r="AT741" s="763"/>
    </row>
    <row r="742">
      <c r="A742" s="310" t="s">
        <v>10884</v>
      </c>
      <c r="B742" s="529"/>
      <c r="C742" s="86"/>
      <c r="D742" s="86"/>
      <c r="E742" s="503" t="s">
        <v>10980</v>
      </c>
      <c r="F742" s="1070"/>
      <c r="G742" s="97"/>
      <c r="H742" s="86"/>
      <c r="I742" s="86"/>
      <c r="J742" s="97"/>
      <c r="K742" s="109"/>
      <c r="L742" s="109"/>
      <c r="M742" s="109" t="s">
        <v>60</v>
      </c>
      <c r="N742" s="97" t="s">
        <v>10984</v>
      </c>
      <c r="O742" s="86"/>
      <c r="P742" s="209"/>
      <c r="Q742" s="86"/>
      <c r="R742" s="86"/>
      <c r="S742" s="315"/>
      <c r="T742" s="315"/>
      <c r="U742" s="86"/>
      <c r="V742" s="97"/>
      <c r="W742" s="86"/>
      <c r="X742" s="97"/>
      <c r="Y742" s="97"/>
      <c r="Z742" s="97"/>
      <c r="AA742" s="97"/>
      <c r="AB742" s="97"/>
      <c r="AC742" s="97" t="s">
        <v>10956</v>
      </c>
      <c r="AD742" s="99"/>
      <c r="AE742" s="97"/>
      <c r="AF742" s="315"/>
      <c r="AG742" s="189"/>
      <c r="AH742" s="112"/>
      <c r="AI742" s="763"/>
      <c r="AJ742" s="763"/>
      <c r="AK742" s="763"/>
      <c r="AL742" s="763"/>
      <c r="AM742" s="763"/>
      <c r="AN742" s="763"/>
      <c r="AO742" s="763"/>
      <c r="AP742" s="763"/>
      <c r="AQ742" s="763"/>
      <c r="AR742" s="763"/>
      <c r="AS742" s="763"/>
      <c r="AT742" s="763"/>
    </row>
    <row r="743">
      <c r="A743" s="310" t="s">
        <v>10884</v>
      </c>
      <c r="B743" s="529"/>
      <c r="C743" s="86"/>
      <c r="D743" s="86"/>
      <c r="E743" s="503" t="s">
        <v>10986</v>
      </c>
      <c r="F743" s="1070"/>
      <c r="G743" s="97"/>
      <c r="H743" s="86"/>
      <c r="I743" s="86"/>
      <c r="J743" s="97"/>
      <c r="K743" s="87"/>
      <c r="L743" s="87"/>
      <c r="M743" s="87" t="s">
        <v>60</v>
      </c>
      <c r="N743" s="86" t="s">
        <v>10988</v>
      </c>
      <c r="O743" s="86"/>
      <c r="P743" s="209"/>
      <c r="Q743" s="86"/>
      <c r="R743" s="86"/>
      <c r="S743" s="315"/>
      <c r="T743" s="315"/>
      <c r="U743" s="961" t="s">
        <v>393</v>
      </c>
      <c r="V743" s="86"/>
      <c r="W743" s="86"/>
      <c r="X743" s="97"/>
      <c r="Y743" s="97"/>
      <c r="Z743" s="97"/>
      <c r="AA743" s="97"/>
      <c r="AB743" s="97"/>
      <c r="AC743" s="97" t="s">
        <v>10956</v>
      </c>
      <c r="AD743" s="99"/>
      <c r="AE743" s="97"/>
      <c r="AF743" s="315"/>
      <c r="AG743" s="189"/>
      <c r="AH743" s="112"/>
      <c r="AI743" s="763"/>
      <c r="AJ743" s="763"/>
      <c r="AK743" s="763"/>
      <c r="AL743" s="763"/>
      <c r="AM743" s="763"/>
      <c r="AN743" s="763"/>
      <c r="AO743" s="763"/>
      <c r="AP743" s="763"/>
      <c r="AQ743" s="763"/>
      <c r="AR743" s="763"/>
      <c r="AS743" s="763"/>
      <c r="AT743" s="763"/>
    </row>
    <row r="744">
      <c r="A744" s="310" t="s">
        <v>10884</v>
      </c>
      <c r="B744" s="529"/>
      <c r="C744" s="86"/>
      <c r="D744" s="86"/>
      <c r="E744" s="522" t="s">
        <v>10991</v>
      </c>
      <c r="F744" s="1070"/>
      <c r="G744" s="97"/>
      <c r="H744" s="86"/>
      <c r="I744" s="86"/>
      <c r="J744" s="97"/>
      <c r="K744" s="87"/>
      <c r="L744" s="87"/>
      <c r="M744" s="87" t="s">
        <v>60</v>
      </c>
      <c r="N744" s="86" t="s">
        <v>10992</v>
      </c>
      <c r="O744" s="86"/>
      <c r="P744" s="209"/>
      <c r="Q744" s="86"/>
      <c r="R744" s="86"/>
      <c r="S744" s="315"/>
      <c r="T744" s="315"/>
      <c r="U744" s="86"/>
      <c r="V744" s="86"/>
      <c r="W744" s="86"/>
      <c r="X744" s="97"/>
      <c r="Y744" s="97"/>
      <c r="Z744" s="97"/>
      <c r="AA744" s="97"/>
      <c r="AB744" s="97"/>
      <c r="AC744" s="97" t="s">
        <v>10956</v>
      </c>
      <c r="AD744" s="99"/>
      <c r="AE744" s="97"/>
      <c r="AF744" s="315"/>
      <c r="AG744" s="97"/>
      <c r="AH744" s="315"/>
      <c r="AI744" s="763"/>
      <c r="AJ744" s="763"/>
      <c r="AK744" s="763"/>
      <c r="AL744" s="763"/>
      <c r="AM744" s="763"/>
      <c r="AN744" s="763"/>
      <c r="AO744" s="763"/>
      <c r="AP744" s="763"/>
      <c r="AQ744" s="763"/>
      <c r="AR744" s="763"/>
      <c r="AS744" s="763"/>
      <c r="AT744" s="763"/>
    </row>
    <row r="745">
      <c r="A745" s="310" t="s">
        <v>10884</v>
      </c>
      <c r="B745" s="529"/>
      <c r="C745" s="86"/>
      <c r="D745" s="86"/>
      <c r="E745" s="503" t="s">
        <v>10999</v>
      </c>
      <c r="F745" s="1070"/>
      <c r="G745" s="97"/>
      <c r="H745" s="86"/>
      <c r="I745" s="86"/>
      <c r="J745" s="97"/>
      <c r="K745" s="87"/>
      <c r="L745" s="87"/>
      <c r="M745" s="87" t="s">
        <v>60</v>
      </c>
      <c r="N745" s="86" t="s">
        <v>11003</v>
      </c>
      <c r="O745" s="86"/>
      <c r="P745" s="209"/>
      <c r="Q745" s="86"/>
      <c r="R745" s="86"/>
      <c r="S745" s="315"/>
      <c r="T745" s="315"/>
      <c r="U745" s="97"/>
      <c r="V745" s="97"/>
      <c r="W745" s="97"/>
      <c r="X745" s="97"/>
      <c r="Y745" s="97"/>
      <c r="Z745" s="97"/>
      <c r="AA745" s="97"/>
      <c r="AB745" s="97"/>
      <c r="AC745" s="97" t="s">
        <v>10956</v>
      </c>
      <c r="AD745" s="99"/>
      <c r="AE745" s="97"/>
      <c r="AF745" s="315"/>
      <c r="AG745" s="97"/>
      <c r="AH745" s="112"/>
      <c r="AI745" s="763"/>
      <c r="AJ745" s="763"/>
      <c r="AK745" s="763"/>
      <c r="AL745" s="763"/>
      <c r="AM745" s="763"/>
      <c r="AN745" s="763"/>
      <c r="AO745" s="763"/>
      <c r="AP745" s="763"/>
      <c r="AQ745" s="763"/>
      <c r="AR745" s="763"/>
      <c r="AS745" s="763"/>
      <c r="AT745" s="763"/>
    </row>
    <row r="746">
      <c r="A746" s="310" t="s">
        <v>10884</v>
      </c>
      <c r="B746" s="529"/>
      <c r="C746" s="86"/>
      <c r="D746" s="86"/>
      <c r="E746" s="503" t="s">
        <v>11008</v>
      </c>
      <c r="F746" s="1070"/>
      <c r="G746" s="97"/>
      <c r="H746" s="86"/>
      <c r="I746" s="86"/>
      <c r="J746" s="97"/>
      <c r="K746" s="87"/>
      <c r="L746" s="87"/>
      <c r="M746" s="87" t="s">
        <v>60</v>
      </c>
      <c r="N746" s="86" t="s">
        <v>11009</v>
      </c>
      <c r="O746" s="86"/>
      <c r="P746" s="209"/>
      <c r="Q746" s="86"/>
      <c r="R746" s="86"/>
      <c r="S746" s="315"/>
      <c r="T746" s="315"/>
      <c r="U746" s="97"/>
      <c r="V746" s="97"/>
      <c r="W746" s="97"/>
      <c r="X746" s="97"/>
      <c r="Y746" s="97"/>
      <c r="Z746" s="97"/>
      <c r="AA746" s="97"/>
      <c r="AB746" s="97"/>
      <c r="AC746" s="97" t="s">
        <v>10956</v>
      </c>
      <c r="AD746" s="99"/>
      <c r="AE746" s="97"/>
      <c r="AF746" s="315"/>
      <c r="AG746" s="112"/>
      <c r="AH746" s="315"/>
      <c r="AI746" s="763"/>
      <c r="AJ746" s="763"/>
      <c r="AK746" s="763"/>
      <c r="AL746" s="763"/>
      <c r="AM746" s="763"/>
      <c r="AN746" s="763"/>
      <c r="AO746" s="763"/>
      <c r="AP746" s="763"/>
      <c r="AQ746" s="763"/>
      <c r="AR746" s="763"/>
      <c r="AS746" s="763"/>
      <c r="AT746" s="763"/>
    </row>
    <row r="747">
      <c r="A747" s="310" t="s">
        <v>10884</v>
      </c>
      <c r="B747" s="529"/>
      <c r="C747" s="86"/>
      <c r="D747" s="86"/>
      <c r="E747" s="522" t="s">
        <v>11014</v>
      </c>
      <c r="F747" s="1070"/>
      <c r="G747" s="97"/>
      <c r="H747" s="86"/>
      <c r="I747" s="86"/>
      <c r="J747" s="97"/>
      <c r="K747" s="87"/>
      <c r="L747" s="87"/>
      <c r="M747" s="87" t="s">
        <v>363</v>
      </c>
      <c r="N747" s="86" t="s">
        <v>7868</v>
      </c>
      <c r="O747" s="86"/>
      <c r="P747" s="209"/>
      <c r="Q747" s="86"/>
      <c r="R747" s="86"/>
      <c r="S747" s="315"/>
      <c r="T747" s="315"/>
      <c r="U747" s="97"/>
      <c r="V747" s="97"/>
      <c r="W747" s="97"/>
      <c r="X747" s="97"/>
      <c r="Y747" s="97"/>
      <c r="Z747" s="97"/>
      <c r="AA747" s="97"/>
      <c r="AB747" s="97"/>
      <c r="AC747" s="97" t="s">
        <v>10956</v>
      </c>
      <c r="AD747" s="99"/>
      <c r="AE747" s="97"/>
      <c r="AF747" s="315"/>
      <c r="AG747" s="76" t="s">
        <v>423</v>
      </c>
      <c r="AH747" s="76" t="s">
        <v>4165</v>
      </c>
      <c r="AI747" s="763"/>
      <c r="AJ747" s="763"/>
      <c r="AK747" s="763"/>
      <c r="AL747" s="763"/>
      <c r="AM747" s="763"/>
      <c r="AN747" s="763"/>
      <c r="AO747" s="763"/>
      <c r="AP747" s="763"/>
      <c r="AQ747" s="763"/>
      <c r="AR747" s="763"/>
      <c r="AS747" s="763"/>
      <c r="AT747" s="763"/>
    </row>
    <row r="748">
      <c r="A748" s="310" t="s">
        <v>10884</v>
      </c>
      <c r="B748" s="529"/>
      <c r="C748" s="86"/>
      <c r="D748" s="86"/>
      <c r="E748" s="522" t="s">
        <v>11018</v>
      </c>
      <c r="F748" s="1070"/>
      <c r="G748" s="97"/>
      <c r="H748" s="86"/>
      <c r="I748" s="86"/>
      <c r="J748" s="97"/>
      <c r="K748" s="109"/>
      <c r="L748" s="109"/>
      <c r="M748" s="109" t="s">
        <v>96</v>
      </c>
      <c r="N748" s="97" t="s">
        <v>11020</v>
      </c>
      <c r="O748" s="97"/>
      <c r="P748" s="209"/>
      <c r="Q748" s="86"/>
      <c r="R748" s="86"/>
      <c r="S748" s="315"/>
      <c r="T748" s="315"/>
      <c r="U748" s="97"/>
      <c r="V748" s="97"/>
      <c r="W748" s="97"/>
      <c r="X748" s="97"/>
      <c r="Y748" s="97"/>
      <c r="Z748" s="97"/>
      <c r="AA748" s="97"/>
      <c r="AB748" s="97"/>
      <c r="AC748" s="97" t="s">
        <v>10956</v>
      </c>
      <c r="AD748" s="99"/>
      <c r="AE748" s="97"/>
      <c r="AF748" s="315"/>
      <c r="AG748" s="76" t="s">
        <v>2967</v>
      </c>
      <c r="AH748" s="1076">
        <v>45982.0</v>
      </c>
      <c r="AI748" s="763"/>
      <c r="AJ748" s="763"/>
      <c r="AK748" s="763"/>
      <c r="AL748" s="763"/>
      <c r="AM748" s="763"/>
      <c r="AN748" s="763"/>
      <c r="AO748" s="763"/>
      <c r="AP748" s="763"/>
      <c r="AQ748" s="763"/>
      <c r="AR748" s="763"/>
      <c r="AS748" s="763"/>
      <c r="AT748" s="763"/>
    </row>
    <row r="749">
      <c r="A749" s="310" t="s">
        <v>10884</v>
      </c>
      <c r="B749" s="529"/>
      <c r="C749" s="86"/>
      <c r="D749" s="86"/>
      <c r="E749" s="522" t="s">
        <v>11024</v>
      </c>
      <c r="F749" s="1070"/>
      <c r="G749" s="97"/>
      <c r="H749" s="86"/>
      <c r="I749" s="86"/>
      <c r="J749" s="97"/>
      <c r="K749" s="87"/>
      <c r="L749" s="87"/>
      <c r="M749" s="87" t="s">
        <v>102</v>
      </c>
      <c r="N749" s="86" t="s">
        <v>11028</v>
      </c>
      <c r="O749" s="86"/>
      <c r="P749" s="209"/>
      <c r="Q749" s="86"/>
      <c r="R749" s="86"/>
      <c r="S749" s="315"/>
      <c r="T749" s="315"/>
      <c r="U749" s="97"/>
      <c r="V749" s="97"/>
      <c r="W749" s="97"/>
      <c r="X749" s="97"/>
      <c r="Y749" s="97"/>
      <c r="Z749" s="97"/>
      <c r="AA749" s="97"/>
      <c r="AB749" s="97"/>
      <c r="AC749" s="97" t="s">
        <v>10956</v>
      </c>
      <c r="AD749" s="99"/>
      <c r="AE749" s="97"/>
      <c r="AF749" s="315"/>
      <c r="AG749" s="189"/>
      <c r="AH749" s="209"/>
      <c r="AI749" s="763"/>
      <c r="AJ749" s="763"/>
      <c r="AK749" s="763"/>
      <c r="AL749" s="763"/>
      <c r="AM749" s="763"/>
      <c r="AN749" s="763"/>
      <c r="AO749" s="763"/>
      <c r="AP749" s="763"/>
      <c r="AQ749" s="763"/>
      <c r="AR749" s="763"/>
      <c r="AS749" s="763"/>
      <c r="AT749" s="763"/>
    </row>
    <row r="750">
      <c r="A750" s="310" t="s">
        <v>10884</v>
      </c>
      <c r="B750" s="529"/>
      <c r="C750" s="86"/>
      <c r="D750" s="86"/>
      <c r="E750" s="522" t="s">
        <v>11032</v>
      </c>
      <c r="F750" s="1070"/>
      <c r="G750" s="97"/>
      <c r="H750" s="86"/>
      <c r="I750" s="86"/>
      <c r="J750" s="97"/>
      <c r="K750" s="109"/>
      <c r="L750" s="109"/>
      <c r="M750" s="109" t="s">
        <v>60</v>
      </c>
      <c r="N750" s="97" t="s">
        <v>11033</v>
      </c>
      <c r="O750" s="97"/>
      <c r="P750" s="209"/>
      <c r="Q750" s="86"/>
      <c r="R750" s="86"/>
      <c r="S750" s="315"/>
      <c r="T750" s="315"/>
      <c r="U750" s="97"/>
      <c r="V750" s="97"/>
      <c r="W750" s="97"/>
      <c r="X750" s="97"/>
      <c r="Y750" s="97"/>
      <c r="Z750" s="97"/>
      <c r="AA750" s="97"/>
      <c r="AB750" s="97"/>
      <c r="AC750" s="97" t="s">
        <v>10956</v>
      </c>
      <c r="AD750" s="99"/>
      <c r="AE750" s="97"/>
      <c r="AF750" s="315"/>
      <c r="AG750" s="189"/>
      <c r="AH750" s="109"/>
      <c r="AI750" s="763"/>
      <c r="AJ750" s="763"/>
      <c r="AK750" s="763"/>
      <c r="AL750" s="763"/>
      <c r="AM750" s="763"/>
      <c r="AN750" s="763"/>
      <c r="AO750" s="763"/>
      <c r="AP750" s="763"/>
      <c r="AQ750" s="763"/>
      <c r="AR750" s="763"/>
      <c r="AS750" s="763"/>
      <c r="AT750" s="763"/>
    </row>
    <row r="751">
      <c r="A751" s="310" t="s">
        <v>10884</v>
      </c>
      <c r="B751" s="529"/>
      <c r="C751" s="86"/>
      <c r="D751" s="86"/>
      <c r="E751" s="522" t="s">
        <v>11040</v>
      </c>
      <c r="F751" s="1070"/>
      <c r="G751" s="97"/>
      <c r="H751" s="86"/>
      <c r="I751" s="86"/>
      <c r="J751" s="97"/>
      <c r="K751" s="109"/>
      <c r="L751" s="109"/>
      <c r="M751" s="109" t="s">
        <v>60</v>
      </c>
      <c r="N751" s="97" t="s">
        <v>11041</v>
      </c>
      <c r="O751" s="97"/>
      <c r="P751" s="209"/>
      <c r="Q751" s="86"/>
      <c r="R751" s="86"/>
      <c r="S751" s="315"/>
      <c r="T751" s="315"/>
      <c r="U751" s="97"/>
      <c r="V751" s="97"/>
      <c r="W751" s="97"/>
      <c r="X751" s="97"/>
      <c r="Y751" s="97"/>
      <c r="Z751" s="97"/>
      <c r="AA751" s="97"/>
      <c r="AB751" s="97"/>
      <c r="AC751" s="97" t="s">
        <v>10956</v>
      </c>
      <c r="AD751" s="99"/>
      <c r="AE751" s="97"/>
      <c r="AF751" s="315"/>
      <c r="AG751" s="112" t="s">
        <v>2967</v>
      </c>
      <c r="AH751" s="315">
        <v>45888.0</v>
      </c>
      <c r="AI751" s="763"/>
      <c r="AJ751" s="763"/>
      <c r="AK751" s="763"/>
      <c r="AL751" s="763"/>
      <c r="AM751" s="763"/>
      <c r="AN751" s="763"/>
      <c r="AO751" s="763"/>
      <c r="AP751" s="763"/>
      <c r="AQ751" s="763"/>
      <c r="AR751" s="763"/>
      <c r="AS751" s="763"/>
      <c r="AT751" s="763"/>
    </row>
    <row r="752">
      <c r="A752" s="310" t="s">
        <v>10884</v>
      </c>
      <c r="B752" s="529"/>
      <c r="C752" s="86"/>
      <c r="D752" s="86"/>
      <c r="E752" s="522" t="s">
        <v>11032</v>
      </c>
      <c r="F752" s="1070"/>
      <c r="G752" s="97"/>
      <c r="H752" s="86"/>
      <c r="I752" s="86"/>
      <c r="J752" s="97"/>
      <c r="K752" s="87"/>
      <c r="L752" s="87"/>
      <c r="M752" s="87" t="s">
        <v>60</v>
      </c>
      <c r="N752" s="97" t="s">
        <v>11045</v>
      </c>
      <c r="O752" s="97"/>
      <c r="P752" s="539"/>
      <c r="Q752" s="86"/>
      <c r="R752" s="86"/>
      <c r="S752" s="315"/>
      <c r="T752" s="315"/>
      <c r="U752" s="97"/>
      <c r="V752" s="97"/>
      <c r="W752" s="97"/>
      <c r="X752" s="97"/>
      <c r="Y752" s="97"/>
      <c r="Z752" s="97"/>
      <c r="AA752" s="97"/>
      <c r="AB752" s="97"/>
      <c r="AC752" s="97" t="s">
        <v>10956</v>
      </c>
      <c r="AD752" s="99"/>
      <c r="AE752" s="97"/>
      <c r="AF752" s="315"/>
      <c r="AG752" s="189"/>
      <c r="AH752" s="112"/>
      <c r="AI752" s="763"/>
      <c r="AJ752" s="763"/>
      <c r="AK752" s="763"/>
      <c r="AL752" s="763"/>
      <c r="AM752" s="763"/>
      <c r="AN752" s="763"/>
      <c r="AO752" s="763"/>
      <c r="AP752" s="763"/>
      <c r="AQ752" s="763"/>
      <c r="AR752" s="763"/>
      <c r="AS752" s="763"/>
      <c r="AT752" s="763"/>
    </row>
    <row r="753">
      <c r="A753" s="310" t="s">
        <v>10884</v>
      </c>
      <c r="B753" s="529"/>
      <c r="C753" s="86"/>
      <c r="D753" s="86"/>
      <c r="E753" s="503" t="s">
        <v>11032</v>
      </c>
      <c r="F753" s="1070"/>
      <c r="G753" s="97"/>
      <c r="H753" s="86"/>
      <c r="I753" s="86"/>
      <c r="J753" s="97"/>
      <c r="K753" s="87"/>
      <c r="L753" s="87"/>
      <c r="M753" s="87" t="s">
        <v>60</v>
      </c>
      <c r="N753" s="86" t="s">
        <v>11048</v>
      </c>
      <c r="O753" s="86"/>
      <c r="P753" s="209"/>
      <c r="Q753" s="86"/>
      <c r="R753" s="86"/>
      <c r="S753" s="315"/>
      <c r="T753" s="315"/>
      <c r="U753" s="97"/>
      <c r="V753" s="97"/>
      <c r="W753" s="86"/>
      <c r="X753" s="97"/>
      <c r="Y753" s="97"/>
      <c r="Z753" s="97"/>
      <c r="AA753" s="97"/>
      <c r="AB753" s="97"/>
      <c r="AC753" s="97" t="s">
        <v>10956</v>
      </c>
      <c r="AD753" s="99"/>
      <c r="AE753" s="97"/>
      <c r="AF753" s="315"/>
      <c r="AG753" s="189"/>
      <c r="AH753" s="209">
        <v>45914.0</v>
      </c>
      <c r="AI753" s="763"/>
      <c r="AJ753" s="763"/>
      <c r="AK753" s="763"/>
      <c r="AL753" s="763"/>
      <c r="AM753" s="763"/>
      <c r="AN753" s="763"/>
      <c r="AO753" s="763"/>
      <c r="AP753" s="763"/>
      <c r="AQ753" s="763"/>
      <c r="AR753" s="763"/>
      <c r="AS753" s="763"/>
      <c r="AT753" s="763"/>
    </row>
    <row r="754">
      <c r="A754" s="310" t="s">
        <v>10884</v>
      </c>
      <c r="B754" s="529"/>
      <c r="C754" s="86"/>
      <c r="D754" s="86"/>
      <c r="E754" s="522" t="s">
        <v>11057</v>
      </c>
      <c r="F754" s="1070"/>
      <c r="G754" s="97"/>
      <c r="H754" s="86"/>
      <c r="I754" s="86"/>
      <c r="J754" s="97"/>
      <c r="K754" s="87"/>
      <c r="L754" s="87"/>
      <c r="M754" s="87" t="s">
        <v>60</v>
      </c>
      <c r="N754" s="86" t="s">
        <v>11058</v>
      </c>
      <c r="O754" s="86"/>
      <c r="P754" s="209"/>
      <c r="Q754" s="86"/>
      <c r="R754" s="86"/>
      <c r="S754" s="315"/>
      <c r="T754" s="315"/>
      <c r="U754" s="97"/>
      <c r="V754" s="97"/>
      <c r="W754" s="97"/>
      <c r="X754" s="97"/>
      <c r="Y754" s="97"/>
      <c r="Z754" s="97"/>
      <c r="AA754" s="97"/>
      <c r="AB754" s="97"/>
      <c r="AC754" s="97" t="s">
        <v>6465</v>
      </c>
      <c r="AD754" s="99"/>
      <c r="AE754" s="97"/>
      <c r="AF754" s="315"/>
      <c r="AG754" s="189"/>
      <c r="AH754" s="112"/>
      <c r="AI754" s="763"/>
      <c r="AJ754" s="763"/>
      <c r="AK754" s="763"/>
      <c r="AL754" s="763"/>
      <c r="AM754" s="763"/>
      <c r="AN754" s="763"/>
      <c r="AO754" s="763"/>
      <c r="AP754" s="763"/>
      <c r="AQ754" s="763"/>
      <c r="AR754" s="763"/>
      <c r="AS754" s="763"/>
      <c r="AT754" s="763"/>
    </row>
    <row r="755">
      <c r="A755" s="310" t="s">
        <v>10884</v>
      </c>
      <c r="B755" s="529"/>
      <c r="C755" s="86"/>
      <c r="D755" s="86"/>
      <c r="E755" s="522" t="s">
        <v>11066</v>
      </c>
      <c r="F755" s="1070"/>
      <c r="G755" s="97"/>
      <c r="H755" s="86"/>
      <c r="I755" s="86"/>
      <c r="J755" s="97"/>
      <c r="K755" s="109"/>
      <c r="L755" s="109"/>
      <c r="M755" s="109" t="s">
        <v>60</v>
      </c>
      <c r="N755" s="97" t="s">
        <v>6219</v>
      </c>
      <c r="O755" s="97"/>
      <c r="P755" s="209"/>
      <c r="Q755" s="86"/>
      <c r="R755" s="86"/>
      <c r="S755" s="315"/>
      <c r="T755" s="315"/>
      <c r="U755" s="97"/>
      <c r="V755" s="97"/>
      <c r="W755" s="97"/>
      <c r="X755" s="97"/>
      <c r="Y755" s="97"/>
      <c r="Z755" s="97"/>
      <c r="AA755" s="97"/>
      <c r="AB755" s="97"/>
      <c r="AC755" s="97" t="s">
        <v>6465</v>
      </c>
      <c r="AD755" s="99"/>
      <c r="AE755" s="97"/>
      <c r="AF755" s="315"/>
      <c r="AG755" s="189"/>
      <c r="AH755" s="97"/>
      <c r="AI755" s="763"/>
      <c r="AJ755" s="763"/>
      <c r="AK755" s="763"/>
      <c r="AL755" s="763"/>
      <c r="AM755" s="763"/>
      <c r="AN755" s="763"/>
      <c r="AO755" s="763"/>
      <c r="AP755" s="763"/>
      <c r="AQ755" s="763"/>
      <c r="AR755" s="763"/>
      <c r="AS755" s="763"/>
      <c r="AT755" s="763"/>
    </row>
    <row r="756">
      <c r="A756" s="310" t="s">
        <v>10884</v>
      </c>
      <c r="B756" s="529"/>
      <c r="C756" s="86"/>
      <c r="D756" s="86"/>
      <c r="E756" s="503" t="s">
        <v>11070</v>
      </c>
      <c r="F756" s="1070"/>
      <c r="G756" s="97"/>
      <c r="H756" s="86"/>
      <c r="I756" s="86"/>
      <c r="J756" s="97"/>
      <c r="K756" s="109"/>
      <c r="L756" s="109"/>
      <c r="M756" s="109" t="s">
        <v>60</v>
      </c>
      <c r="N756" s="97" t="s">
        <v>6038</v>
      </c>
      <c r="O756" s="97"/>
      <c r="P756" s="97"/>
      <c r="Q756" s="86"/>
      <c r="R756" s="86"/>
      <c r="S756" s="315"/>
      <c r="T756" s="315"/>
      <c r="U756" s="97"/>
      <c r="V756" s="97"/>
      <c r="W756" s="97"/>
      <c r="X756" s="97"/>
      <c r="Y756" s="97"/>
      <c r="Z756" s="97"/>
      <c r="AA756" s="97"/>
      <c r="AB756" s="97"/>
      <c r="AC756" s="97" t="s">
        <v>6465</v>
      </c>
      <c r="AD756" s="99"/>
      <c r="AE756" s="97"/>
      <c r="AF756" s="315"/>
      <c r="AG756" s="97"/>
      <c r="AH756" s="97"/>
      <c r="AI756" s="763"/>
      <c r="AJ756" s="763"/>
      <c r="AK756" s="763"/>
      <c r="AL756" s="763"/>
      <c r="AM756" s="763"/>
      <c r="AN756" s="763"/>
      <c r="AO756" s="763"/>
      <c r="AP756" s="763"/>
      <c r="AQ756" s="763"/>
      <c r="AR756" s="763"/>
      <c r="AS756" s="763"/>
      <c r="AT756" s="763"/>
    </row>
    <row r="757">
      <c r="A757" s="310" t="s">
        <v>10884</v>
      </c>
      <c r="B757" s="529"/>
      <c r="C757" s="86"/>
      <c r="D757" s="86"/>
      <c r="E757" s="503" t="s">
        <v>11057</v>
      </c>
      <c r="F757" s="1070"/>
      <c r="G757" s="97"/>
      <c r="H757" s="86"/>
      <c r="I757" s="86"/>
      <c r="J757" s="97"/>
      <c r="K757" s="87"/>
      <c r="L757" s="87"/>
      <c r="M757" s="87" t="s">
        <v>60</v>
      </c>
      <c r="N757" s="97" t="s">
        <v>6253</v>
      </c>
      <c r="O757" s="97"/>
      <c r="P757" s="209"/>
      <c r="Q757" s="86"/>
      <c r="R757" s="86"/>
      <c r="S757" s="315"/>
      <c r="T757" s="315"/>
      <c r="U757" s="97"/>
      <c r="V757" s="97"/>
      <c r="W757" s="97"/>
      <c r="X757" s="97"/>
      <c r="Y757" s="97"/>
      <c r="Z757" s="97"/>
      <c r="AA757" s="97"/>
      <c r="AB757" s="97"/>
      <c r="AC757" s="97" t="s">
        <v>6465</v>
      </c>
      <c r="AD757" s="99"/>
      <c r="AE757" s="97"/>
      <c r="AF757" s="315"/>
      <c r="AG757" s="97"/>
      <c r="AH757" s="97"/>
      <c r="AI757" s="763"/>
      <c r="AJ757" s="763"/>
      <c r="AK757" s="763"/>
      <c r="AL757" s="763"/>
      <c r="AM757" s="763"/>
      <c r="AN757" s="763"/>
      <c r="AO757" s="763"/>
      <c r="AP757" s="763"/>
      <c r="AQ757" s="763"/>
      <c r="AR757" s="763"/>
      <c r="AS757" s="763"/>
      <c r="AT757" s="763"/>
    </row>
    <row r="758">
      <c r="A758" s="310" t="s">
        <v>10884</v>
      </c>
      <c r="B758" s="529"/>
      <c r="C758" s="86"/>
      <c r="D758" s="86"/>
      <c r="E758" s="522" t="s">
        <v>11082</v>
      </c>
      <c r="F758" s="1070"/>
      <c r="G758" s="97"/>
      <c r="H758" s="86"/>
      <c r="I758" s="97"/>
      <c r="J758" s="97"/>
      <c r="K758" s="109"/>
      <c r="L758" s="109"/>
      <c r="M758" s="109" t="s">
        <v>60</v>
      </c>
      <c r="N758" s="97" t="s">
        <v>6173</v>
      </c>
      <c r="O758" s="97"/>
      <c r="P758" s="86"/>
      <c r="Q758" s="86"/>
      <c r="R758" s="86"/>
      <c r="S758" s="315"/>
      <c r="T758" s="315"/>
      <c r="U758" s="97"/>
      <c r="V758" s="86"/>
      <c r="W758" s="97"/>
      <c r="X758" s="97"/>
      <c r="Y758" s="97"/>
      <c r="Z758" s="97"/>
      <c r="AA758" s="97"/>
      <c r="AB758" s="97"/>
      <c r="AC758" s="97" t="s">
        <v>6465</v>
      </c>
      <c r="AD758" s="99"/>
      <c r="AE758" s="97"/>
      <c r="AF758" s="315"/>
      <c r="AG758" s="189"/>
      <c r="AH758" s="76" t="s">
        <v>11086</v>
      </c>
      <c r="AI758" s="763"/>
      <c r="AJ758" s="763"/>
      <c r="AK758" s="763"/>
      <c r="AL758" s="763"/>
      <c r="AM758" s="763"/>
      <c r="AN758" s="763"/>
      <c r="AO758" s="763"/>
      <c r="AP758" s="763"/>
      <c r="AQ758" s="763"/>
      <c r="AR758" s="763"/>
      <c r="AS758" s="763"/>
      <c r="AT758" s="763"/>
    </row>
    <row r="759">
      <c r="A759" s="310" t="s">
        <v>10884</v>
      </c>
      <c r="B759" s="529"/>
      <c r="C759" s="86"/>
      <c r="D759" s="86"/>
      <c r="E759" s="522" t="s">
        <v>11087</v>
      </c>
      <c r="F759" s="1070"/>
      <c r="G759" s="97"/>
      <c r="H759" s="86"/>
      <c r="I759" s="86"/>
      <c r="J759" s="97"/>
      <c r="K759" s="109"/>
      <c r="L759" s="109"/>
      <c r="M759" s="109" t="s">
        <v>102</v>
      </c>
      <c r="N759" s="97" t="s">
        <v>6164</v>
      </c>
      <c r="O759" s="97"/>
      <c r="P759" s="86"/>
      <c r="Q759" s="86"/>
      <c r="R759" s="86"/>
      <c r="S759" s="315"/>
      <c r="T759" s="315"/>
      <c r="U759" s="97"/>
      <c r="V759" s="86"/>
      <c r="W759" s="97"/>
      <c r="X759" s="97"/>
      <c r="Y759" s="97"/>
      <c r="Z759" s="97"/>
      <c r="AA759" s="97"/>
      <c r="AB759" s="97"/>
      <c r="AC759" s="97" t="s">
        <v>6465</v>
      </c>
      <c r="AD759" s="99"/>
      <c r="AE759" s="97"/>
      <c r="AF759" s="315"/>
      <c r="AG759" s="76" t="s">
        <v>2967</v>
      </c>
      <c r="AH759" s="85" t="s">
        <v>11090</v>
      </c>
      <c r="AI759" s="763"/>
      <c r="AJ759" s="763"/>
      <c r="AK759" s="763"/>
      <c r="AL759" s="763"/>
      <c r="AM759" s="763"/>
      <c r="AN759" s="763"/>
      <c r="AO759" s="763"/>
      <c r="AP759" s="763"/>
      <c r="AQ759" s="763"/>
      <c r="AR759" s="763"/>
      <c r="AS759" s="763"/>
      <c r="AT759" s="763"/>
    </row>
    <row r="760">
      <c r="A760" s="310" t="s">
        <v>10884</v>
      </c>
      <c r="B760" s="529"/>
      <c r="C760" s="86"/>
      <c r="D760" s="86"/>
      <c r="E760" s="522" t="s">
        <v>11066</v>
      </c>
      <c r="F760" s="1070"/>
      <c r="G760" s="97"/>
      <c r="H760" s="86"/>
      <c r="I760" s="86"/>
      <c r="J760" s="97"/>
      <c r="K760" s="87"/>
      <c r="L760" s="87"/>
      <c r="M760" s="87" t="s">
        <v>60</v>
      </c>
      <c r="N760" s="86" t="s">
        <v>6123</v>
      </c>
      <c r="O760" s="86"/>
      <c r="P760" s="209"/>
      <c r="Q760" s="86"/>
      <c r="R760" s="86"/>
      <c r="S760" s="315"/>
      <c r="T760" s="315"/>
      <c r="U760" s="97"/>
      <c r="V760" s="97"/>
      <c r="W760" s="97"/>
      <c r="X760" s="97"/>
      <c r="Y760" s="97"/>
      <c r="Z760" s="97"/>
      <c r="AA760" s="97"/>
      <c r="AB760" s="97"/>
      <c r="AC760" s="97" t="s">
        <v>6465</v>
      </c>
      <c r="AD760" s="99"/>
      <c r="AE760" s="97"/>
      <c r="AF760" s="315"/>
      <c r="AG760" s="76" t="s">
        <v>2967</v>
      </c>
      <c r="AH760" s="539">
        <v>45946.0</v>
      </c>
      <c r="AI760" s="763"/>
      <c r="AJ760" s="763"/>
      <c r="AK760" s="763"/>
      <c r="AL760" s="763"/>
      <c r="AM760" s="763"/>
      <c r="AN760" s="763"/>
      <c r="AO760" s="763"/>
      <c r="AP760" s="763"/>
      <c r="AQ760" s="763"/>
      <c r="AR760" s="763"/>
      <c r="AS760" s="763"/>
      <c r="AT760" s="763"/>
    </row>
    <row r="761">
      <c r="A761" s="310" t="s">
        <v>10884</v>
      </c>
      <c r="B761" s="529"/>
      <c r="C761" s="86"/>
      <c r="D761" s="86"/>
      <c r="E761" s="522" t="s">
        <v>11057</v>
      </c>
      <c r="F761" s="1070"/>
      <c r="G761" s="97"/>
      <c r="H761" s="86"/>
      <c r="I761" s="86"/>
      <c r="J761" s="97"/>
      <c r="K761" s="87"/>
      <c r="L761" s="87"/>
      <c r="M761" s="87" t="s">
        <v>60</v>
      </c>
      <c r="N761" s="86" t="s">
        <v>6136</v>
      </c>
      <c r="O761" s="86"/>
      <c r="P761" s="209"/>
      <c r="Q761" s="86"/>
      <c r="R761" s="86"/>
      <c r="S761" s="315"/>
      <c r="T761" s="315"/>
      <c r="U761" s="97"/>
      <c r="V761" s="97"/>
      <c r="W761" s="97"/>
      <c r="X761" s="97"/>
      <c r="Y761" s="97"/>
      <c r="Z761" s="97"/>
      <c r="AA761" s="97"/>
      <c r="AB761" s="97"/>
      <c r="AC761" s="97" t="s">
        <v>6465</v>
      </c>
      <c r="AD761" s="99"/>
      <c r="AE761" s="97"/>
      <c r="AF761" s="315"/>
      <c r="AG761" s="76" t="s">
        <v>697</v>
      </c>
      <c r="AH761" s="315">
        <v>45919.0</v>
      </c>
      <c r="AI761" s="763"/>
      <c r="AJ761" s="763"/>
      <c r="AK761" s="763"/>
      <c r="AL761" s="763"/>
      <c r="AM761" s="763"/>
      <c r="AN761" s="763"/>
      <c r="AO761" s="763"/>
      <c r="AP761" s="763"/>
      <c r="AQ761" s="763"/>
      <c r="AR761" s="763"/>
      <c r="AS761" s="763"/>
      <c r="AT761" s="763"/>
    </row>
    <row r="762">
      <c r="A762" s="310" t="s">
        <v>10884</v>
      </c>
      <c r="B762" s="529"/>
      <c r="C762" s="86"/>
      <c r="D762" s="86"/>
      <c r="E762" s="522" t="s">
        <v>11101</v>
      </c>
      <c r="F762" s="1070"/>
      <c r="G762" s="97"/>
      <c r="H762" s="86"/>
      <c r="I762" s="86"/>
      <c r="J762" s="97"/>
      <c r="K762" s="87"/>
      <c r="L762" s="87"/>
      <c r="M762" s="87" t="s">
        <v>102</v>
      </c>
      <c r="N762" s="86" t="s">
        <v>6075</v>
      </c>
      <c r="O762" s="86"/>
      <c r="P762" s="209"/>
      <c r="Q762" s="86"/>
      <c r="R762" s="86"/>
      <c r="S762" s="315"/>
      <c r="T762" s="315"/>
      <c r="U762" s="86"/>
      <c r="V762" s="97"/>
      <c r="W762" s="86"/>
      <c r="X762" s="97"/>
      <c r="Y762" s="97"/>
      <c r="Z762" s="97"/>
      <c r="AA762" s="97"/>
      <c r="AB762" s="97"/>
      <c r="AC762" s="97" t="s">
        <v>6465</v>
      </c>
      <c r="AD762" s="99"/>
      <c r="AE762" s="97"/>
      <c r="AF762" s="315"/>
      <c r="AG762" s="315" t="s">
        <v>375</v>
      </c>
      <c r="AH762" s="523">
        <v>45973.0</v>
      </c>
      <c r="AI762" s="763"/>
      <c r="AJ762" s="763"/>
      <c r="AK762" s="763"/>
      <c r="AL762" s="763"/>
      <c r="AM762" s="763"/>
      <c r="AN762" s="763"/>
      <c r="AO762" s="763"/>
      <c r="AP762" s="763"/>
      <c r="AQ762" s="763"/>
      <c r="AR762" s="763"/>
      <c r="AS762" s="763"/>
      <c r="AT762" s="763"/>
    </row>
    <row r="763">
      <c r="A763" s="310" t="s">
        <v>10884</v>
      </c>
      <c r="B763" s="529"/>
      <c r="C763" s="86"/>
      <c r="D763" s="86"/>
      <c r="E763" s="522" t="s">
        <v>11108</v>
      </c>
      <c r="F763" s="1070"/>
      <c r="G763" s="97"/>
      <c r="H763" s="86"/>
      <c r="I763" s="86"/>
      <c r="J763" s="97"/>
      <c r="K763" s="87"/>
      <c r="L763" s="87"/>
      <c r="M763" s="87" t="s">
        <v>102</v>
      </c>
      <c r="N763" s="97" t="s">
        <v>6251</v>
      </c>
      <c r="O763" s="86"/>
      <c r="P763" s="209"/>
      <c r="Q763" s="86"/>
      <c r="R763" s="86"/>
      <c r="S763" s="315"/>
      <c r="T763" s="315"/>
      <c r="U763" s="86"/>
      <c r="V763" s="86"/>
      <c r="W763" s="86"/>
      <c r="X763" s="97"/>
      <c r="Y763" s="97"/>
      <c r="Z763" s="97"/>
      <c r="AA763" s="97"/>
      <c r="AB763" s="97"/>
      <c r="AC763" s="97" t="s">
        <v>6465</v>
      </c>
      <c r="AD763" s="99"/>
      <c r="AE763" s="97"/>
      <c r="AF763" s="315"/>
      <c r="AG763" s="97"/>
      <c r="AH763" s="112"/>
      <c r="AI763" s="763"/>
      <c r="AJ763" s="763"/>
      <c r="AK763" s="763"/>
      <c r="AL763" s="763"/>
      <c r="AM763" s="763"/>
      <c r="AN763" s="763"/>
      <c r="AO763" s="763"/>
      <c r="AP763" s="763"/>
      <c r="AQ763" s="763"/>
      <c r="AR763" s="763"/>
      <c r="AS763" s="763"/>
      <c r="AT763" s="763"/>
    </row>
    <row r="764">
      <c r="A764" s="310" t="s">
        <v>10884</v>
      </c>
      <c r="B764" s="529"/>
      <c r="C764" s="97"/>
      <c r="D764" s="86"/>
      <c r="E764" s="762" t="s">
        <v>11111</v>
      </c>
      <c r="F764" s="86"/>
      <c r="G764" s="86"/>
      <c r="H764" s="86"/>
      <c r="I764" s="86"/>
      <c r="J764" s="97"/>
      <c r="K764" s="109"/>
      <c r="L764" s="109"/>
      <c r="M764" s="109" t="s">
        <v>143</v>
      </c>
      <c r="N764" s="97" t="s">
        <v>5666</v>
      </c>
      <c r="O764" s="97"/>
      <c r="P764" s="209"/>
      <c r="Q764" s="86"/>
      <c r="R764" s="86"/>
      <c r="S764" s="315"/>
      <c r="T764" s="315"/>
      <c r="U764" s="97"/>
      <c r="V764" s="86"/>
      <c r="W764" s="97"/>
      <c r="X764" s="97"/>
      <c r="Y764" s="97"/>
      <c r="Z764" s="97"/>
      <c r="AA764" s="97"/>
      <c r="AB764" s="97"/>
      <c r="AC764" s="97" t="s">
        <v>9343</v>
      </c>
      <c r="AD764" s="99"/>
      <c r="AE764" s="97"/>
      <c r="AF764" s="315"/>
      <c r="AG764" s="315"/>
      <c r="AH764" s="315"/>
      <c r="AI764" s="763"/>
      <c r="AJ764" s="763"/>
      <c r="AK764" s="763"/>
      <c r="AL764" s="763"/>
      <c r="AM764" s="763"/>
      <c r="AN764" s="763"/>
      <c r="AO764" s="763"/>
      <c r="AP764" s="763"/>
      <c r="AQ764" s="763"/>
      <c r="AR764" s="763"/>
      <c r="AS764" s="763"/>
      <c r="AT764" s="763"/>
    </row>
    <row r="765">
      <c r="A765" s="310" t="s">
        <v>10884</v>
      </c>
      <c r="B765" s="811"/>
      <c r="C765" s="97"/>
      <c r="D765" s="86"/>
      <c r="E765" s="522" t="s">
        <v>11117</v>
      </c>
      <c r="F765" s="86"/>
      <c r="G765" s="86"/>
      <c r="H765" s="86"/>
      <c r="I765" s="86"/>
      <c r="J765" s="97"/>
      <c r="K765" s="109"/>
      <c r="L765" s="109"/>
      <c r="M765" s="109" t="s">
        <v>36</v>
      </c>
      <c r="N765" s="97" t="s">
        <v>11119</v>
      </c>
      <c r="O765" s="97"/>
      <c r="P765" s="97"/>
      <c r="Q765" s="86"/>
      <c r="R765" s="86"/>
      <c r="S765" s="315"/>
      <c r="T765" s="315"/>
      <c r="U765" s="97"/>
      <c r="V765" s="86"/>
      <c r="W765" s="97"/>
      <c r="X765" s="97"/>
      <c r="Y765" s="97"/>
      <c r="Z765" s="97"/>
      <c r="AA765" s="97"/>
      <c r="AB765" s="97"/>
      <c r="AC765" s="97" t="s">
        <v>9343</v>
      </c>
      <c r="AD765" s="99"/>
      <c r="AE765" s="97"/>
      <c r="AF765" s="315"/>
      <c r="AG765" s="112"/>
      <c r="AH765" s="86"/>
      <c r="AI765" s="763"/>
      <c r="AJ765" s="763"/>
      <c r="AK765" s="763"/>
      <c r="AL765" s="763"/>
      <c r="AM765" s="763"/>
      <c r="AN765" s="763"/>
      <c r="AO765" s="763"/>
      <c r="AP765" s="763"/>
      <c r="AQ765" s="763"/>
      <c r="AR765" s="763"/>
      <c r="AS765" s="763"/>
      <c r="AT765" s="763"/>
    </row>
    <row r="766">
      <c r="A766" s="310" t="s">
        <v>10884</v>
      </c>
      <c r="B766" s="811"/>
      <c r="C766" s="97"/>
      <c r="D766" s="86"/>
      <c r="E766" s="762" t="s">
        <v>11122</v>
      </c>
      <c r="F766" s="86"/>
      <c r="G766" s="86"/>
      <c r="H766" s="86"/>
      <c r="I766" s="86"/>
      <c r="J766" s="97"/>
      <c r="K766" s="109"/>
      <c r="L766" s="109"/>
      <c r="M766" s="109" t="s">
        <v>1144</v>
      </c>
      <c r="N766" s="97" t="s">
        <v>5669</v>
      </c>
      <c r="O766" s="97"/>
      <c r="P766" s="209"/>
      <c r="Q766" s="86"/>
      <c r="R766" s="86"/>
      <c r="S766" s="315"/>
      <c r="T766" s="315"/>
      <c r="U766" s="97"/>
      <c r="V766" s="86"/>
      <c r="W766" s="97"/>
      <c r="X766" s="97"/>
      <c r="Y766" s="97"/>
      <c r="Z766" s="97"/>
      <c r="AA766" s="97"/>
      <c r="AB766" s="97"/>
      <c r="AC766" s="97" t="s">
        <v>9343</v>
      </c>
      <c r="AD766" s="99"/>
      <c r="AE766" s="97"/>
      <c r="AF766" s="315"/>
      <c r="AG766" s="112" t="s">
        <v>2967</v>
      </c>
      <c r="AH766" s="315">
        <v>45875.0</v>
      </c>
      <c r="AI766" s="763"/>
      <c r="AJ766" s="763"/>
      <c r="AK766" s="763"/>
      <c r="AL766" s="763"/>
      <c r="AM766" s="763"/>
      <c r="AN766" s="763"/>
      <c r="AO766" s="763"/>
      <c r="AP766" s="763"/>
      <c r="AQ766" s="763"/>
      <c r="AR766" s="763"/>
      <c r="AS766" s="763"/>
      <c r="AT766" s="763"/>
    </row>
    <row r="767">
      <c r="A767" s="310" t="s">
        <v>10884</v>
      </c>
      <c r="B767" s="811"/>
      <c r="C767" s="97"/>
      <c r="D767" s="86"/>
      <c r="E767" s="762" t="s">
        <v>11128</v>
      </c>
      <c r="F767" s="86"/>
      <c r="G767" s="86"/>
      <c r="H767" s="86"/>
      <c r="I767" s="86"/>
      <c r="J767" s="97"/>
      <c r="K767" s="109"/>
      <c r="L767" s="109"/>
      <c r="M767" s="109" t="s">
        <v>504</v>
      </c>
      <c r="N767" s="97" t="s">
        <v>11129</v>
      </c>
      <c r="O767" s="97"/>
      <c r="P767" s="97"/>
      <c r="Q767" s="86"/>
      <c r="R767" s="86"/>
      <c r="S767" s="315"/>
      <c r="T767" s="315"/>
      <c r="U767" s="97"/>
      <c r="V767" s="86"/>
      <c r="W767" s="97"/>
      <c r="X767" s="97"/>
      <c r="Y767" s="97"/>
      <c r="Z767" s="97"/>
      <c r="AA767" s="97"/>
      <c r="AB767" s="97"/>
      <c r="AC767" s="97" t="s">
        <v>9343</v>
      </c>
      <c r="AD767" s="99"/>
      <c r="AE767" s="97"/>
      <c r="AF767" s="315"/>
      <c r="AG767" s="76" t="s">
        <v>11131</v>
      </c>
      <c r="AH767" s="160" t="s">
        <v>11132</v>
      </c>
      <c r="AI767" s="763"/>
      <c r="AJ767" s="763"/>
      <c r="AK767" s="763"/>
      <c r="AL767" s="763"/>
      <c r="AM767" s="763"/>
      <c r="AN767" s="763"/>
      <c r="AO767" s="763"/>
      <c r="AP767" s="763"/>
      <c r="AQ767" s="763"/>
      <c r="AR767" s="763"/>
      <c r="AS767" s="763"/>
      <c r="AT767" s="763"/>
    </row>
    <row r="768">
      <c r="A768" s="310" t="s">
        <v>10884</v>
      </c>
      <c r="B768" s="811"/>
      <c r="C768" s="97"/>
      <c r="D768" s="86"/>
      <c r="E768" s="762" t="s">
        <v>11134</v>
      </c>
      <c r="F768" s="86"/>
      <c r="G768" s="86"/>
      <c r="H768" s="86"/>
      <c r="I768" s="86"/>
      <c r="J768" s="97"/>
      <c r="K768" s="109"/>
      <c r="L768" s="109"/>
      <c r="M768" s="109" t="s">
        <v>360</v>
      </c>
      <c r="N768" s="97" t="s">
        <v>5730</v>
      </c>
      <c r="O768" s="97"/>
      <c r="P768" s="209"/>
      <c r="Q768" s="86"/>
      <c r="R768" s="86"/>
      <c r="S768" s="315"/>
      <c r="T768" s="315"/>
      <c r="U768" s="97"/>
      <c r="V768" s="86"/>
      <c r="W768" s="97"/>
      <c r="X768" s="97"/>
      <c r="Y768" s="97"/>
      <c r="Z768" s="97"/>
      <c r="AA768" s="97"/>
      <c r="AB768" s="97"/>
      <c r="AC768" s="97" t="s">
        <v>9343</v>
      </c>
      <c r="AD768" s="99"/>
      <c r="AE768" s="97"/>
      <c r="AF768" s="315"/>
      <c r="AG768" s="112"/>
      <c r="AH768" s="86"/>
      <c r="AI768" s="763"/>
      <c r="AJ768" s="763"/>
      <c r="AK768" s="763"/>
      <c r="AL768" s="763"/>
      <c r="AM768" s="763"/>
      <c r="AN768" s="763"/>
      <c r="AO768" s="763"/>
      <c r="AP768" s="763"/>
      <c r="AQ768" s="763"/>
      <c r="AR768" s="763"/>
      <c r="AS768" s="763"/>
      <c r="AT768" s="763"/>
    </row>
    <row r="769">
      <c r="A769" s="310" t="s">
        <v>10884</v>
      </c>
      <c r="B769" s="811"/>
      <c r="C769" s="97"/>
      <c r="D769" s="86"/>
      <c r="E769" s="762" t="s">
        <v>11137</v>
      </c>
      <c r="F769" s="86"/>
      <c r="G769" s="86"/>
      <c r="H769" s="86"/>
      <c r="I769" s="86"/>
      <c r="J769" s="97"/>
      <c r="K769" s="109"/>
      <c r="L769" s="109"/>
      <c r="M769" s="109" t="s">
        <v>360</v>
      </c>
      <c r="N769" s="97" t="s">
        <v>11139</v>
      </c>
      <c r="O769" s="97"/>
      <c r="P769" s="209"/>
      <c r="Q769" s="86"/>
      <c r="R769" s="86"/>
      <c r="S769" s="315"/>
      <c r="T769" s="315"/>
      <c r="U769" s="97"/>
      <c r="V769" s="86"/>
      <c r="W769" s="97"/>
      <c r="X769" s="97"/>
      <c r="Y769" s="97"/>
      <c r="Z769" s="97"/>
      <c r="AA769" s="97"/>
      <c r="AB769" s="97"/>
      <c r="AC769" s="97" t="s">
        <v>9343</v>
      </c>
      <c r="AD769" s="99"/>
      <c r="AE769" s="97"/>
      <c r="AF769" s="315"/>
      <c r="AG769" s="76" t="s">
        <v>2967</v>
      </c>
      <c r="AH769" s="160" t="s">
        <v>11141</v>
      </c>
      <c r="AI769" s="763"/>
      <c r="AJ769" s="763"/>
      <c r="AK769" s="763"/>
      <c r="AL769" s="763"/>
      <c r="AM769" s="763"/>
      <c r="AN769" s="763"/>
      <c r="AO769" s="763"/>
      <c r="AP769" s="763"/>
      <c r="AQ769" s="763"/>
      <c r="AR769" s="763"/>
      <c r="AS769" s="763"/>
      <c r="AT769" s="763"/>
    </row>
    <row r="770">
      <c r="A770" s="310" t="s">
        <v>10884</v>
      </c>
      <c r="B770" s="811"/>
      <c r="C770" s="97"/>
      <c r="D770" s="86"/>
      <c r="E770" s="762" t="s">
        <v>11142</v>
      </c>
      <c r="F770" s="86"/>
      <c r="G770" s="86"/>
      <c r="H770" s="86"/>
      <c r="I770" s="86"/>
      <c r="J770" s="97"/>
      <c r="K770" s="109"/>
      <c r="L770" s="109"/>
      <c r="M770" s="109" t="s">
        <v>60</v>
      </c>
      <c r="N770" s="97" t="s">
        <v>11143</v>
      </c>
      <c r="O770" s="97"/>
      <c r="P770" s="209"/>
      <c r="Q770" s="86"/>
      <c r="R770" s="86"/>
      <c r="S770" s="315"/>
      <c r="T770" s="315"/>
      <c r="U770" s="97"/>
      <c r="V770" s="97"/>
      <c r="W770" s="97"/>
      <c r="X770" s="97"/>
      <c r="Y770" s="97"/>
      <c r="Z770" s="97"/>
      <c r="AA770" s="97"/>
      <c r="AB770" s="97"/>
      <c r="AC770" s="97" t="s">
        <v>9343</v>
      </c>
      <c r="AD770" s="99"/>
      <c r="AE770" s="97"/>
      <c r="AF770" s="315"/>
      <c r="AG770" s="112"/>
      <c r="AH770" s="209">
        <v>45922.0</v>
      </c>
      <c r="AI770" s="763"/>
      <c r="AJ770" s="763"/>
      <c r="AK770" s="763"/>
      <c r="AL770" s="763"/>
      <c r="AM770" s="763"/>
      <c r="AN770" s="763"/>
      <c r="AO770" s="763"/>
      <c r="AP770" s="763"/>
      <c r="AQ770" s="763"/>
      <c r="AR770" s="763"/>
      <c r="AS770" s="763"/>
      <c r="AT770" s="763"/>
    </row>
    <row r="771">
      <c r="A771" s="310" t="s">
        <v>10884</v>
      </c>
      <c r="B771" s="811"/>
      <c r="C771" s="97"/>
      <c r="D771" s="86"/>
      <c r="E771" s="762" t="s">
        <v>11147</v>
      </c>
      <c r="F771" s="86"/>
      <c r="G771" s="86"/>
      <c r="H771" s="86"/>
      <c r="I771" s="86"/>
      <c r="J771" s="97"/>
      <c r="K771" s="109"/>
      <c r="L771" s="109"/>
      <c r="M771" s="109" t="s">
        <v>102</v>
      </c>
      <c r="N771" s="97" t="s">
        <v>11148</v>
      </c>
      <c r="O771" s="97"/>
      <c r="P771" s="209"/>
      <c r="Q771" s="86"/>
      <c r="R771" s="86"/>
      <c r="S771" s="315"/>
      <c r="T771" s="315"/>
      <c r="U771" s="97"/>
      <c r="V771" s="97"/>
      <c r="W771" s="97"/>
      <c r="X771" s="97"/>
      <c r="Y771" s="97"/>
      <c r="Z771" s="97"/>
      <c r="AA771" s="97"/>
      <c r="AB771" s="97"/>
      <c r="AC771" s="97" t="s">
        <v>9343</v>
      </c>
      <c r="AD771" s="99"/>
      <c r="AE771" s="97"/>
      <c r="AF771" s="315"/>
      <c r="AG771" s="76" t="s">
        <v>2967</v>
      </c>
      <c r="AH771" s="85" t="s">
        <v>11150</v>
      </c>
      <c r="AI771" s="763"/>
      <c r="AJ771" s="763"/>
      <c r="AK771" s="763"/>
      <c r="AL771" s="763"/>
      <c r="AM771" s="763"/>
      <c r="AN771" s="763"/>
      <c r="AO771" s="763"/>
      <c r="AP771" s="763"/>
      <c r="AQ771" s="763"/>
      <c r="AR771" s="763"/>
      <c r="AS771" s="763"/>
      <c r="AT771" s="763"/>
    </row>
    <row r="772">
      <c r="A772" s="310" t="s">
        <v>10884</v>
      </c>
      <c r="B772" s="529"/>
      <c r="C772" s="86"/>
      <c r="D772" s="86"/>
      <c r="E772" s="762" t="s">
        <v>11152</v>
      </c>
      <c r="F772" s="86"/>
      <c r="G772" s="86"/>
      <c r="H772" s="86"/>
      <c r="I772" s="86"/>
      <c r="J772" s="97"/>
      <c r="K772" s="87"/>
      <c r="L772" s="87"/>
      <c r="M772" s="87" t="s">
        <v>102</v>
      </c>
      <c r="N772" s="86" t="s">
        <v>11153</v>
      </c>
      <c r="O772" s="86"/>
      <c r="P772" s="86"/>
      <c r="Q772" s="86"/>
      <c r="R772" s="86"/>
      <c r="S772" s="315"/>
      <c r="T772" s="315"/>
      <c r="U772" s="86"/>
      <c r="V772" s="86"/>
      <c r="W772" s="86"/>
      <c r="X772" s="86"/>
      <c r="Y772" s="86"/>
      <c r="Z772" s="86"/>
      <c r="AA772" s="86"/>
      <c r="AB772" s="86"/>
      <c r="AC772" s="86" t="s">
        <v>9343</v>
      </c>
      <c r="AD772" s="99"/>
      <c r="AE772" s="97"/>
      <c r="AF772" s="315"/>
      <c r="AG772" s="112"/>
      <c r="AH772" s="112"/>
      <c r="AI772" s="763"/>
      <c r="AJ772" s="763"/>
      <c r="AK772" s="763"/>
      <c r="AL772" s="763"/>
      <c r="AM772" s="763"/>
      <c r="AN772" s="763"/>
      <c r="AO772" s="763"/>
      <c r="AP772" s="763"/>
      <c r="AQ772" s="763"/>
      <c r="AR772" s="763"/>
      <c r="AS772" s="763"/>
      <c r="AT772" s="763"/>
    </row>
    <row r="773">
      <c r="A773" s="310" t="s">
        <v>10884</v>
      </c>
      <c r="B773" s="529"/>
      <c r="C773" s="86"/>
      <c r="D773" s="86"/>
      <c r="E773" s="522" t="s">
        <v>11156</v>
      </c>
      <c r="F773" s="86"/>
      <c r="G773" s="86"/>
      <c r="H773" s="86"/>
      <c r="I773" s="86"/>
      <c r="J773" s="97"/>
      <c r="K773" s="87"/>
      <c r="L773" s="87"/>
      <c r="M773" s="87" t="s">
        <v>102</v>
      </c>
      <c r="N773" s="86" t="s">
        <v>11157</v>
      </c>
      <c r="O773" s="86"/>
      <c r="P773" s="86"/>
      <c r="Q773" s="86"/>
      <c r="R773" s="86"/>
      <c r="S773" s="315"/>
      <c r="T773" s="315"/>
      <c r="U773" s="86"/>
      <c r="V773" s="86"/>
      <c r="W773" s="86"/>
      <c r="X773" s="86"/>
      <c r="Y773" s="86"/>
      <c r="Z773" s="86"/>
      <c r="AA773" s="86"/>
      <c r="AB773" s="86"/>
      <c r="AC773" s="86" t="s">
        <v>9343</v>
      </c>
      <c r="AD773" s="99"/>
      <c r="AE773" s="97"/>
      <c r="AF773" s="315"/>
      <c r="AG773" s="315"/>
      <c r="AH773" s="112"/>
      <c r="AI773" s="763"/>
      <c r="AJ773" s="763"/>
      <c r="AK773" s="763"/>
      <c r="AL773" s="763"/>
      <c r="AM773" s="763"/>
      <c r="AN773" s="763"/>
      <c r="AO773" s="763"/>
      <c r="AP773" s="763"/>
      <c r="AQ773" s="763"/>
      <c r="AR773" s="763"/>
      <c r="AS773" s="763"/>
      <c r="AT773" s="763"/>
    </row>
    <row r="774">
      <c r="A774" s="310" t="s">
        <v>10884</v>
      </c>
      <c r="B774" s="529"/>
      <c r="C774" s="86"/>
      <c r="D774" s="86"/>
      <c r="E774" s="522" t="s">
        <v>11162</v>
      </c>
      <c r="F774" s="86"/>
      <c r="G774" s="86"/>
      <c r="H774" s="86"/>
      <c r="I774" s="86"/>
      <c r="J774" s="97"/>
      <c r="K774" s="87"/>
      <c r="L774" s="87"/>
      <c r="M774" s="87" t="s">
        <v>60</v>
      </c>
      <c r="N774" s="86" t="s">
        <v>5724</v>
      </c>
      <c r="O774" s="86"/>
      <c r="P774" s="86"/>
      <c r="Q774" s="86"/>
      <c r="R774" s="86"/>
      <c r="S774" s="315"/>
      <c r="T774" s="315"/>
      <c r="U774" s="86"/>
      <c r="V774" s="86"/>
      <c r="W774" s="86"/>
      <c r="X774" s="86"/>
      <c r="Y774" s="86"/>
      <c r="Z774" s="86"/>
      <c r="AA774" s="86"/>
      <c r="AB774" s="86"/>
      <c r="AC774" s="86" t="s">
        <v>9343</v>
      </c>
      <c r="AD774" s="99"/>
      <c r="AE774" s="97"/>
      <c r="AF774" s="315"/>
      <c r="AG774" s="112"/>
      <c r="AH774" s="112"/>
      <c r="AI774" s="763"/>
      <c r="AJ774" s="763"/>
      <c r="AK774" s="763"/>
      <c r="AL774" s="763"/>
      <c r="AM774" s="763"/>
      <c r="AN774" s="763"/>
      <c r="AO774" s="763"/>
      <c r="AP774" s="763"/>
      <c r="AQ774" s="763"/>
      <c r="AR774" s="763"/>
      <c r="AS774" s="763"/>
      <c r="AT774" s="763"/>
    </row>
    <row r="775">
      <c r="A775" s="310" t="s">
        <v>10884</v>
      </c>
      <c r="B775" s="529"/>
      <c r="C775" s="86"/>
      <c r="D775" s="86"/>
      <c r="E775" s="522" t="s">
        <v>8412</v>
      </c>
      <c r="F775" s="1070"/>
      <c r="G775" s="97"/>
      <c r="H775" s="86"/>
      <c r="I775" s="86"/>
      <c r="J775" s="97"/>
      <c r="K775" s="87"/>
      <c r="L775" s="87"/>
      <c r="M775" s="87" t="s">
        <v>60</v>
      </c>
      <c r="N775" s="97" t="s">
        <v>5708</v>
      </c>
      <c r="O775" s="97"/>
      <c r="P775" s="539"/>
      <c r="Q775" s="86"/>
      <c r="R775" s="86"/>
      <c r="S775" s="315"/>
      <c r="T775" s="315"/>
      <c r="U775" s="97"/>
      <c r="V775" s="97"/>
      <c r="W775" s="97"/>
      <c r="X775" s="97"/>
      <c r="Y775" s="97"/>
      <c r="Z775" s="97"/>
      <c r="AA775" s="97"/>
      <c r="AB775" s="97"/>
      <c r="AC775" s="97" t="s">
        <v>9343</v>
      </c>
      <c r="AD775" s="99"/>
      <c r="AE775" s="97"/>
      <c r="AF775" s="315"/>
      <c r="AG775" s="112"/>
      <c r="AH775" s="112"/>
      <c r="AI775" s="763"/>
      <c r="AJ775" s="763"/>
      <c r="AK775" s="763"/>
      <c r="AL775" s="763"/>
      <c r="AM775" s="763"/>
      <c r="AN775" s="763"/>
      <c r="AO775" s="763"/>
      <c r="AP775" s="763"/>
      <c r="AQ775" s="763"/>
      <c r="AR775" s="763"/>
      <c r="AS775" s="763"/>
      <c r="AT775" s="763"/>
    </row>
    <row r="776">
      <c r="A776" s="310" t="s">
        <v>10884</v>
      </c>
      <c r="B776" s="529"/>
      <c r="C776" s="86"/>
      <c r="D776" s="86"/>
      <c r="E776" s="503" t="s">
        <v>11178</v>
      </c>
      <c r="F776" s="1070"/>
      <c r="G776" s="97"/>
      <c r="H776" s="86"/>
      <c r="I776" s="86"/>
      <c r="J776" s="97"/>
      <c r="K776" s="87"/>
      <c r="L776" s="87"/>
      <c r="M776" s="87" t="s">
        <v>60</v>
      </c>
      <c r="N776" s="86" t="s">
        <v>5684</v>
      </c>
      <c r="O776" s="97"/>
      <c r="P776" s="86"/>
      <c r="Q776" s="86"/>
      <c r="R776" s="86"/>
      <c r="S776" s="315"/>
      <c r="T776" s="315"/>
      <c r="U776" s="97"/>
      <c r="V776" s="97"/>
      <c r="W776" s="97"/>
      <c r="X776" s="97"/>
      <c r="Y776" s="97"/>
      <c r="Z776" s="97"/>
      <c r="AA776" s="97"/>
      <c r="AB776" s="97"/>
      <c r="AC776" s="97" t="s">
        <v>9343</v>
      </c>
      <c r="AD776" s="99"/>
      <c r="AE776" s="97"/>
      <c r="AF776" s="315"/>
      <c r="AG776" s="76" t="s">
        <v>3443</v>
      </c>
      <c r="AH776" s="85" t="s">
        <v>11181</v>
      </c>
      <c r="AI776" s="763"/>
      <c r="AJ776" s="763"/>
      <c r="AK776" s="763"/>
      <c r="AL776" s="763"/>
      <c r="AM776" s="763"/>
      <c r="AN776" s="763"/>
      <c r="AO776" s="763"/>
      <c r="AP776" s="763"/>
      <c r="AQ776" s="763"/>
      <c r="AR776" s="763"/>
      <c r="AS776" s="763"/>
      <c r="AT776" s="763"/>
    </row>
    <row r="777">
      <c r="A777" s="310" t="s">
        <v>10884</v>
      </c>
      <c r="B777" s="529"/>
      <c r="C777" s="86"/>
      <c r="D777" s="86"/>
      <c r="E777" s="503" t="s">
        <v>8412</v>
      </c>
      <c r="F777" s="1070"/>
      <c r="G777" s="97"/>
      <c r="H777" s="86"/>
      <c r="I777" s="86"/>
      <c r="J777" s="97"/>
      <c r="K777" s="109"/>
      <c r="L777" s="109"/>
      <c r="M777" s="109" t="s">
        <v>60</v>
      </c>
      <c r="N777" s="97" t="s">
        <v>5737</v>
      </c>
      <c r="O777" s="97"/>
      <c r="P777" s="97"/>
      <c r="Q777" s="86"/>
      <c r="R777" s="86"/>
      <c r="S777" s="315"/>
      <c r="T777" s="315"/>
      <c r="U777" s="97"/>
      <c r="V777" s="97"/>
      <c r="W777" s="97"/>
      <c r="X777" s="97"/>
      <c r="Y777" s="97"/>
      <c r="Z777" s="97"/>
      <c r="AA777" s="97"/>
      <c r="AB777" s="97"/>
      <c r="AC777" s="97" t="s">
        <v>9343</v>
      </c>
      <c r="AD777" s="99"/>
      <c r="AE777" s="97"/>
      <c r="AF777" s="315"/>
      <c r="AG777" s="112"/>
      <c r="AH777" s="262">
        <v>45967.0</v>
      </c>
      <c r="AI777" s="763"/>
      <c r="AJ777" s="763"/>
      <c r="AK777" s="763"/>
      <c r="AL777" s="763"/>
      <c r="AM777" s="763"/>
      <c r="AN777" s="763"/>
      <c r="AO777" s="763"/>
      <c r="AP777" s="763"/>
      <c r="AQ777" s="763"/>
      <c r="AR777" s="763"/>
      <c r="AS777" s="763"/>
      <c r="AT777" s="763"/>
    </row>
    <row r="778">
      <c r="A778" s="310" t="s">
        <v>10884</v>
      </c>
      <c r="B778" s="529"/>
      <c r="C778" s="86"/>
      <c r="D778" s="86"/>
      <c r="E778" s="503" t="s">
        <v>11186</v>
      </c>
      <c r="F778" s="1070"/>
      <c r="G778" s="97"/>
      <c r="H778" s="86"/>
      <c r="I778" s="86"/>
      <c r="J778" s="97"/>
      <c r="K778" s="109"/>
      <c r="L778" s="109"/>
      <c r="M778" s="109" t="s">
        <v>60</v>
      </c>
      <c r="N778" s="97" t="s">
        <v>11189</v>
      </c>
      <c r="O778" s="97"/>
      <c r="P778" s="209"/>
      <c r="Q778" s="86"/>
      <c r="R778" s="86"/>
      <c r="S778" s="315"/>
      <c r="T778" s="315"/>
      <c r="U778" s="97"/>
      <c r="V778" s="86"/>
      <c r="W778" s="86"/>
      <c r="X778" s="97"/>
      <c r="Y778" s="97"/>
      <c r="Z778" s="97"/>
      <c r="AA778" s="97"/>
      <c r="AB778" s="97"/>
      <c r="AC778" s="97" t="s">
        <v>9343</v>
      </c>
      <c r="AD778" s="99"/>
      <c r="AE778" s="97"/>
      <c r="AF778" s="315"/>
      <c r="AG778" s="112"/>
      <c r="AH778" s="86"/>
      <c r="AI778" s="763"/>
      <c r="AJ778" s="763"/>
      <c r="AK778" s="763"/>
      <c r="AL778" s="763"/>
      <c r="AM778" s="763"/>
      <c r="AN778" s="763"/>
      <c r="AO778" s="763"/>
      <c r="AP778" s="763"/>
      <c r="AQ778" s="763"/>
      <c r="AR778" s="763"/>
      <c r="AS778" s="763"/>
      <c r="AT778" s="763"/>
    </row>
    <row r="779">
      <c r="A779" s="310" t="s">
        <v>10884</v>
      </c>
      <c r="B779" s="529"/>
      <c r="C779" s="86"/>
      <c r="D779" s="86"/>
      <c r="E779" s="522" t="s">
        <v>11134</v>
      </c>
      <c r="F779" s="1070"/>
      <c r="G779" s="97"/>
      <c r="H779" s="86"/>
      <c r="I779" s="86"/>
      <c r="J779" s="97"/>
      <c r="K779" s="109"/>
      <c r="L779" s="109"/>
      <c r="M779" s="109" t="s">
        <v>60</v>
      </c>
      <c r="N779" s="97" t="s">
        <v>5741</v>
      </c>
      <c r="O779" s="97"/>
      <c r="P779" s="86"/>
      <c r="Q779" s="86"/>
      <c r="R779" s="86"/>
      <c r="S779" s="315"/>
      <c r="T779" s="315"/>
      <c r="U779" s="97"/>
      <c r="V779" s="86"/>
      <c r="W779" s="97"/>
      <c r="X779" s="97"/>
      <c r="Y779" s="97"/>
      <c r="Z779" s="97"/>
      <c r="AA779" s="97"/>
      <c r="AB779" s="97"/>
      <c r="AC779" s="97" t="s">
        <v>9343</v>
      </c>
      <c r="AD779" s="99"/>
      <c r="AE779" s="97"/>
      <c r="AF779" s="315"/>
      <c r="AG779" s="97"/>
      <c r="AH779" s="330">
        <v>45972.0</v>
      </c>
      <c r="AI779" s="763"/>
      <c r="AJ779" s="763"/>
      <c r="AK779" s="763"/>
      <c r="AL779" s="763"/>
      <c r="AM779" s="763"/>
      <c r="AN779" s="763"/>
      <c r="AO779" s="763"/>
      <c r="AP779" s="763"/>
      <c r="AQ779" s="763"/>
      <c r="AR779" s="763"/>
      <c r="AS779" s="763"/>
      <c r="AT779" s="763"/>
    </row>
    <row r="780">
      <c r="A780" s="310" t="s">
        <v>10884</v>
      </c>
      <c r="B780" s="529"/>
      <c r="C780" s="86"/>
      <c r="D780" s="86"/>
      <c r="E780" s="522" t="s">
        <v>11137</v>
      </c>
      <c r="F780" s="1070"/>
      <c r="G780" s="97"/>
      <c r="H780" s="86"/>
      <c r="I780" s="86"/>
      <c r="J780" s="97"/>
      <c r="K780" s="87"/>
      <c r="L780" s="87"/>
      <c r="M780" s="87" t="s">
        <v>60</v>
      </c>
      <c r="N780" s="97" t="s">
        <v>11198</v>
      </c>
      <c r="O780" s="97"/>
      <c r="P780" s="539"/>
      <c r="Q780" s="86"/>
      <c r="R780" s="86"/>
      <c r="S780" s="315"/>
      <c r="T780" s="315"/>
      <c r="U780" s="86"/>
      <c r="V780" s="86"/>
      <c r="W780" s="86"/>
      <c r="X780" s="97"/>
      <c r="Y780" s="97"/>
      <c r="Z780" s="97"/>
      <c r="AA780" s="97"/>
      <c r="AB780" s="97"/>
      <c r="AC780" s="97" t="s">
        <v>9343</v>
      </c>
      <c r="AD780" s="99"/>
      <c r="AE780" s="97"/>
      <c r="AF780" s="315"/>
      <c r="AG780" s="76" t="s">
        <v>375</v>
      </c>
      <c r="AH780" s="330">
        <v>45978.0</v>
      </c>
      <c r="AI780" s="763"/>
      <c r="AJ780" s="763"/>
      <c r="AK780" s="763"/>
      <c r="AL780" s="763"/>
      <c r="AM780" s="763"/>
      <c r="AN780" s="763"/>
      <c r="AO780" s="763"/>
      <c r="AP780" s="763"/>
      <c r="AQ780" s="763"/>
      <c r="AR780" s="763"/>
      <c r="AS780" s="763"/>
      <c r="AT780" s="763"/>
    </row>
    <row r="781">
      <c r="A781" s="310" t="s">
        <v>10884</v>
      </c>
      <c r="B781" s="529"/>
      <c r="C781" s="86"/>
      <c r="D781" s="86"/>
      <c r="E781" s="503" t="s">
        <v>11203</v>
      </c>
      <c r="F781" s="1070"/>
      <c r="G781" s="97"/>
      <c r="H781" s="86"/>
      <c r="I781" s="86"/>
      <c r="J781" s="97"/>
      <c r="K781" s="87"/>
      <c r="L781" s="87"/>
      <c r="M781" s="87" t="s">
        <v>60</v>
      </c>
      <c r="N781" s="97" t="s">
        <v>11206</v>
      </c>
      <c r="O781" s="97"/>
      <c r="P781" s="209"/>
      <c r="Q781" s="86"/>
      <c r="R781" s="86"/>
      <c r="S781" s="315"/>
      <c r="T781" s="315"/>
      <c r="U781" s="86"/>
      <c r="V781" s="86"/>
      <c r="W781" s="86"/>
      <c r="X781" s="97"/>
      <c r="Y781" s="97"/>
      <c r="Z781" s="97"/>
      <c r="AA781" s="97"/>
      <c r="AB781" s="97"/>
      <c r="AC781" s="97" t="s">
        <v>9343</v>
      </c>
      <c r="AD781" s="99"/>
      <c r="AE781" s="97"/>
      <c r="AF781" s="315"/>
      <c r="AG781" s="76" t="s">
        <v>661</v>
      </c>
      <c r="AH781" s="315">
        <v>45824.0</v>
      </c>
      <c r="AI781" s="763"/>
      <c r="AJ781" s="763"/>
      <c r="AK781" s="763"/>
      <c r="AL781" s="763"/>
      <c r="AM781" s="763"/>
      <c r="AN781" s="763"/>
      <c r="AO781" s="763"/>
      <c r="AP781" s="763"/>
      <c r="AQ781" s="763"/>
      <c r="AR781" s="763"/>
      <c r="AS781" s="763"/>
      <c r="AT781" s="763"/>
    </row>
    <row r="782">
      <c r="A782" s="310" t="s">
        <v>10884</v>
      </c>
      <c r="B782" s="529"/>
      <c r="C782" s="86"/>
      <c r="D782" s="86"/>
      <c r="E782" s="522" t="s">
        <v>11213</v>
      </c>
      <c r="F782" s="1070"/>
      <c r="G782" s="97"/>
      <c r="H782" s="86"/>
      <c r="I782" s="86"/>
      <c r="J782" s="97"/>
      <c r="K782" s="87"/>
      <c r="L782" s="87"/>
      <c r="M782" s="87" t="s">
        <v>36</v>
      </c>
      <c r="N782" s="97" t="s">
        <v>5354</v>
      </c>
      <c r="O782" s="97"/>
      <c r="P782" s="209"/>
      <c r="Q782" s="86"/>
      <c r="R782" s="86"/>
      <c r="S782" s="315"/>
      <c r="T782" s="315"/>
      <c r="U782" s="97"/>
      <c r="V782" s="86"/>
      <c r="W782" s="86"/>
      <c r="X782" s="97"/>
      <c r="Y782" s="97"/>
      <c r="Z782" s="97"/>
      <c r="AA782" s="97"/>
      <c r="AB782" s="97"/>
      <c r="AC782" s="97" t="s">
        <v>11216</v>
      </c>
      <c r="AD782" s="99"/>
      <c r="AE782" s="97"/>
      <c r="AF782" s="315"/>
      <c r="AG782" s="97"/>
      <c r="AH782" s="97"/>
      <c r="AI782" s="763"/>
      <c r="AJ782" s="763"/>
      <c r="AK782" s="763"/>
      <c r="AL782" s="763"/>
      <c r="AM782" s="763"/>
      <c r="AN782" s="763"/>
      <c r="AO782" s="763"/>
      <c r="AP782" s="763"/>
      <c r="AQ782" s="763"/>
      <c r="AR782" s="763"/>
      <c r="AS782" s="763"/>
      <c r="AT782" s="763"/>
    </row>
    <row r="783">
      <c r="A783" s="310" t="s">
        <v>10884</v>
      </c>
      <c r="B783" s="529"/>
      <c r="C783" s="86"/>
      <c r="D783" s="86"/>
      <c r="E783" s="522" t="s">
        <v>11218</v>
      </c>
      <c r="F783" s="1070"/>
      <c r="G783" s="97"/>
      <c r="H783" s="86"/>
      <c r="I783" s="86"/>
      <c r="J783" s="97"/>
      <c r="K783" s="87"/>
      <c r="L783" s="87"/>
      <c r="M783" s="87" t="s">
        <v>102</v>
      </c>
      <c r="N783" s="97" t="s">
        <v>5355</v>
      </c>
      <c r="O783" s="97"/>
      <c r="P783" s="209"/>
      <c r="Q783" s="86"/>
      <c r="R783" s="86"/>
      <c r="S783" s="315"/>
      <c r="T783" s="315"/>
      <c r="U783" s="97"/>
      <c r="V783" s="86"/>
      <c r="W783" s="86"/>
      <c r="X783" s="97"/>
      <c r="Y783" s="97"/>
      <c r="Z783" s="97"/>
      <c r="AA783" s="97"/>
      <c r="AB783" s="97"/>
      <c r="AC783" s="97" t="s">
        <v>11216</v>
      </c>
      <c r="AD783" s="99"/>
      <c r="AE783" s="97"/>
      <c r="AF783" s="315"/>
      <c r="AG783" s="315"/>
      <c r="AH783" s="315"/>
      <c r="AI783" s="763"/>
      <c r="AJ783" s="763"/>
      <c r="AK783" s="763"/>
      <c r="AL783" s="763"/>
      <c r="AM783" s="763"/>
      <c r="AN783" s="763"/>
      <c r="AO783" s="763"/>
      <c r="AP783" s="763"/>
      <c r="AQ783" s="763"/>
      <c r="AR783" s="763"/>
      <c r="AS783" s="763"/>
      <c r="AT783" s="763"/>
    </row>
    <row r="784">
      <c r="A784" s="310" t="s">
        <v>10884</v>
      </c>
      <c r="B784" s="529"/>
      <c r="C784" s="86"/>
      <c r="D784" s="86"/>
      <c r="E784" s="503" t="s">
        <v>11226</v>
      </c>
      <c r="F784" s="1070"/>
      <c r="G784" s="97"/>
      <c r="H784" s="86"/>
      <c r="I784" s="86"/>
      <c r="J784" s="97"/>
      <c r="K784" s="87"/>
      <c r="L784" s="87"/>
      <c r="M784" s="87" t="s">
        <v>60</v>
      </c>
      <c r="N784" s="97" t="s">
        <v>11228</v>
      </c>
      <c r="O784" s="97"/>
      <c r="P784" s="539"/>
      <c r="Q784" s="86"/>
      <c r="R784" s="86"/>
      <c r="S784" s="315"/>
      <c r="T784" s="315"/>
      <c r="U784" s="97"/>
      <c r="V784" s="86"/>
      <c r="W784" s="86"/>
      <c r="X784" s="97"/>
      <c r="Y784" s="97"/>
      <c r="Z784" s="97"/>
      <c r="AA784" s="97"/>
      <c r="AB784" s="97"/>
      <c r="AC784" s="97" t="s">
        <v>11216</v>
      </c>
      <c r="AD784" s="99"/>
      <c r="AE784" s="97"/>
      <c r="AF784" s="315"/>
      <c r="AG784" s="76" t="s">
        <v>375</v>
      </c>
      <c r="AH784" s="153">
        <v>45966.0</v>
      </c>
      <c r="AI784" s="763"/>
      <c r="AJ784" s="763"/>
      <c r="AK784" s="763"/>
      <c r="AL784" s="763"/>
      <c r="AM784" s="763"/>
      <c r="AN784" s="763"/>
      <c r="AO784" s="763"/>
      <c r="AP784" s="763"/>
      <c r="AQ784" s="763"/>
      <c r="AR784" s="763"/>
      <c r="AS784" s="763"/>
      <c r="AT784" s="763"/>
    </row>
    <row r="785">
      <c r="A785" s="310" t="s">
        <v>10884</v>
      </c>
      <c r="B785" s="529"/>
      <c r="C785" s="86"/>
      <c r="D785" s="86"/>
      <c r="E785" s="522" t="s">
        <v>11234</v>
      </c>
      <c r="F785" s="1070"/>
      <c r="G785" s="97"/>
      <c r="H785" s="86"/>
      <c r="I785" s="86"/>
      <c r="J785" s="97"/>
      <c r="K785" s="109"/>
      <c r="L785" s="109"/>
      <c r="M785" s="109" t="s">
        <v>60</v>
      </c>
      <c r="N785" s="97" t="s">
        <v>11235</v>
      </c>
      <c r="O785" s="97"/>
      <c r="P785" s="209"/>
      <c r="Q785" s="86"/>
      <c r="R785" s="86"/>
      <c r="S785" s="315"/>
      <c r="T785" s="315"/>
      <c r="U785" s="97"/>
      <c r="V785" s="86"/>
      <c r="W785" s="86"/>
      <c r="X785" s="97"/>
      <c r="Y785" s="97"/>
      <c r="Z785" s="97"/>
      <c r="AA785" s="97"/>
      <c r="AB785" s="97"/>
      <c r="AC785" s="97" t="s">
        <v>11216</v>
      </c>
      <c r="AD785" s="99"/>
      <c r="AE785" s="97"/>
      <c r="AF785" s="315"/>
      <c r="AG785" s="76" t="s">
        <v>423</v>
      </c>
      <c r="AH785" s="330">
        <v>45954.0</v>
      </c>
      <c r="AI785" s="763"/>
      <c r="AJ785" s="763"/>
      <c r="AK785" s="763"/>
      <c r="AL785" s="763"/>
      <c r="AM785" s="763"/>
      <c r="AN785" s="763"/>
      <c r="AO785" s="763"/>
      <c r="AP785" s="763"/>
      <c r="AQ785" s="763"/>
      <c r="AR785" s="763"/>
      <c r="AS785" s="763"/>
      <c r="AT785" s="763"/>
    </row>
    <row r="786">
      <c r="A786" s="310" t="s">
        <v>10884</v>
      </c>
      <c r="B786" s="529"/>
      <c r="C786" s="86"/>
      <c r="D786" s="86"/>
      <c r="E786" s="503" t="s">
        <v>11239</v>
      </c>
      <c r="F786" s="1070"/>
      <c r="G786" s="97"/>
      <c r="H786" s="86"/>
      <c r="I786" s="86"/>
      <c r="J786" s="97"/>
      <c r="K786" s="109"/>
      <c r="L786" s="109"/>
      <c r="M786" s="109" t="s">
        <v>60</v>
      </c>
      <c r="N786" s="97" t="s">
        <v>11240</v>
      </c>
      <c r="O786" s="97"/>
      <c r="P786" s="209"/>
      <c r="Q786" s="86"/>
      <c r="R786" s="86"/>
      <c r="S786" s="315"/>
      <c r="T786" s="315"/>
      <c r="U786" s="97"/>
      <c r="V786" s="86"/>
      <c r="W786" s="86"/>
      <c r="X786" s="97"/>
      <c r="Y786" s="97"/>
      <c r="Z786" s="97"/>
      <c r="AA786" s="97"/>
      <c r="AB786" s="97"/>
      <c r="AC786" s="97" t="s">
        <v>11216</v>
      </c>
      <c r="AD786" s="99"/>
      <c r="AE786" s="97"/>
      <c r="AF786" s="315"/>
      <c r="AG786" s="112"/>
      <c r="AH786" s="97"/>
      <c r="AI786" s="763"/>
      <c r="AJ786" s="763"/>
      <c r="AK786" s="763"/>
      <c r="AL786" s="763"/>
      <c r="AM786" s="763"/>
      <c r="AN786" s="763"/>
      <c r="AO786" s="763"/>
      <c r="AP786" s="763"/>
      <c r="AQ786" s="763"/>
      <c r="AR786" s="763"/>
      <c r="AS786" s="763"/>
      <c r="AT786" s="763"/>
    </row>
    <row r="787">
      <c r="A787" s="310" t="s">
        <v>10884</v>
      </c>
      <c r="B787" s="529"/>
      <c r="C787" s="86"/>
      <c r="D787" s="86"/>
      <c r="E787" s="522" t="s">
        <v>11242</v>
      </c>
      <c r="F787" s="1070"/>
      <c r="G787" s="97"/>
      <c r="H787" s="86"/>
      <c r="I787" s="97"/>
      <c r="J787" s="97"/>
      <c r="K787" s="87"/>
      <c r="L787" s="87"/>
      <c r="M787" s="87" t="s">
        <v>504</v>
      </c>
      <c r="N787" s="97" t="s">
        <v>11243</v>
      </c>
      <c r="O787" s="86" t="s">
        <v>2157</v>
      </c>
      <c r="P787" s="209"/>
      <c r="Q787" s="86"/>
      <c r="R787" s="86"/>
      <c r="S787" s="315"/>
      <c r="T787" s="315"/>
      <c r="U787" s="470" t="s">
        <v>393</v>
      </c>
      <c r="V787" s="97"/>
      <c r="W787" s="97"/>
      <c r="X787" s="97"/>
      <c r="Y787" s="97"/>
      <c r="Z787" s="97"/>
      <c r="AA787" s="97"/>
      <c r="AB787" s="97"/>
      <c r="AC787" s="97" t="s">
        <v>11216</v>
      </c>
      <c r="AD787" s="99"/>
      <c r="AE787" s="97" t="s">
        <v>154</v>
      </c>
      <c r="AF787" s="1089" t="s">
        <v>155</v>
      </c>
      <c r="AG787" s="112"/>
      <c r="AH787" s="97"/>
      <c r="AI787" s="763"/>
      <c r="AJ787" s="763"/>
      <c r="AK787" s="763"/>
      <c r="AL787" s="763"/>
      <c r="AM787" s="763"/>
      <c r="AN787" s="763"/>
      <c r="AO787" s="763"/>
      <c r="AP787" s="763"/>
      <c r="AQ787" s="763"/>
      <c r="AR787" s="763"/>
      <c r="AS787" s="763"/>
      <c r="AT787" s="763"/>
    </row>
    <row r="788">
      <c r="A788" s="310" t="s">
        <v>10884</v>
      </c>
      <c r="B788" s="529"/>
      <c r="C788" s="86"/>
      <c r="D788" s="86"/>
      <c r="E788" s="503" t="s">
        <v>11250</v>
      </c>
      <c r="F788" s="1070"/>
      <c r="G788" s="97"/>
      <c r="H788" s="86"/>
      <c r="I788" s="86"/>
      <c r="J788" s="97"/>
      <c r="K788" s="87"/>
      <c r="L788" s="87"/>
      <c r="M788" s="87" t="s">
        <v>102</v>
      </c>
      <c r="N788" s="86" t="s">
        <v>5374</v>
      </c>
      <c r="O788" s="86"/>
      <c r="P788" s="539"/>
      <c r="Q788" s="86"/>
      <c r="R788" s="86"/>
      <c r="S788" s="315"/>
      <c r="T788" s="315"/>
      <c r="U788" s="97"/>
      <c r="V788" s="86"/>
      <c r="W788" s="86"/>
      <c r="X788" s="97"/>
      <c r="Y788" s="97"/>
      <c r="Z788" s="97"/>
      <c r="AA788" s="97"/>
      <c r="AB788" s="97"/>
      <c r="AC788" s="97" t="s">
        <v>11216</v>
      </c>
      <c r="AD788" s="99"/>
      <c r="AE788" s="97"/>
      <c r="AF788" s="315"/>
      <c r="AG788" s="112"/>
      <c r="AH788" s="86"/>
      <c r="AI788" s="763"/>
      <c r="AJ788" s="763"/>
      <c r="AK788" s="763"/>
      <c r="AL788" s="763"/>
      <c r="AM788" s="763"/>
      <c r="AN788" s="763"/>
      <c r="AO788" s="763"/>
      <c r="AP788" s="763"/>
      <c r="AQ788" s="763"/>
      <c r="AR788" s="763"/>
      <c r="AS788" s="763"/>
      <c r="AT788" s="763"/>
    </row>
    <row r="789">
      <c r="A789" s="310" t="s">
        <v>10884</v>
      </c>
      <c r="B789" s="529"/>
      <c r="C789" s="86"/>
      <c r="D789" s="86"/>
      <c r="E789" s="522" t="s">
        <v>11259</v>
      </c>
      <c r="F789" s="1070"/>
      <c r="G789" s="97"/>
      <c r="H789" s="86"/>
      <c r="I789" s="86"/>
      <c r="J789" s="97"/>
      <c r="K789" s="109"/>
      <c r="L789" s="109"/>
      <c r="M789" s="109" t="s">
        <v>102</v>
      </c>
      <c r="N789" s="97" t="s">
        <v>5501</v>
      </c>
      <c r="O789" s="97"/>
      <c r="P789" s="209"/>
      <c r="Q789" s="86"/>
      <c r="R789" s="86"/>
      <c r="S789" s="315"/>
      <c r="T789" s="315"/>
      <c r="U789" s="97"/>
      <c r="V789" s="86"/>
      <c r="W789" s="97"/>
      <c r="X789" s="97"/>
      <c r="Y789" s="97"/>
      <c r="Z789" s="97"/>
      <c r="AA789" s="97"/>
      <c r="AB789" s="97"/>
      <c r="AC789" s="97" t="s">
        <v>11216</v>
      </c>
      <c r="AD789" s="99"/>
      <c r="AE789" s="97"/>
      <c r="AF789" s="315"/>
      <c r="AG789" s="112"/>
      <c r="AH789" s="97"/>
      <c r="AI789" s="763"/>
      <c r="AJ789" s="763"/>
      <c r="AK789" s="763"/>
      <c r="AL789" s="763"/>
      <c r="AM789" s="763"/>
      <c r="AN789" s="763"/>
      <c r="AO789" s="763"/>
      <c r="AP789" s="763"/>
      <c r="AQ789" s="763"/>
      <c r="AR789" s="763"/>
      <c r="AS789" s="763"/>
      <c r="AT789" s="763"/>
    </row>
    <row r="790">
      <c r="A790" s="310" t="s">
        <v>10884</v>
      </c>
      <c r="B790" s="529"/>
      <c r="C790" s="86"/>
      <c r="D790" s="86"/>
      <c r="E790" s="522" t="s">
        <v>11263</v>
      </c>
      <c r="F790" s="1070"/>
      <c r="G790" s="97"/>
      <c r="H790" s="86"/>
      <c r="I790" s="97"/>
      <c r="J790" s="97"/>
      <c r="K790" s="109"/>
      <c r="L790" s="109"/>
      <c r="M790" s="109" t="s">
        <v>102</v>
      </c>
      <c r="N790" s="97" t="s">
        <v>4620</v>
      </c>
      <c r="O790" s="97"/>
      <c r="P790" s="539"/>
      <c r="Q790" s="86"/>
      <c r="R790" s="86"/>
      <c r="S790" s="315"/>
      <c r="T790" s="315"/>
      <c r="U790" s="97"/>
      <c r="V790" s="86"/>
      <c r="W790" s="97"/>
      <c r="X790" s="97"/>
      <c r="Y790" s="97"/>
      <c r="Z790" s="97"/>
      <c r="AA790" s="97"/>
      <c r="AB790" s="97"/>
      <c r="AC790" s="97" t="s">
        <v>11268</v>
      </c>
      <c r="AD790" s="99"/>
      <c r="AE790" s="97"/>
      <c r="AF790" s="315"/>
      <c r="AG790" s="112"/>
      <c r="AH790" s="97"/>
      <c r="AI790" s="763"/>
      <c r="AJ790" s="763"/>
      <c r="AK790" s="763"/>
      <c r="AL790" s="763"/>
      <c r="AM790" s="763"/>
      <c r="AN790" s="763"/>
      <c r="AO790" s="763"/>
      <c r="AP790" s="763"/>
      <c r="AQ790" s="763"/>
      <c r="AR790" s="763"/>
      <c r="AS790" s="763"/>
      <c r="AT790" s="763"/>
    </row>
    <row r="791">
      <c r="A791" s="310" t="s">
        <v>10884</v>
      </c>
      <c r="B791" s="529"/>
      <c r="C791" s="86"/>
      <c r="D791" s="86"/>
      <c r="E791" s="522" t="s">
        <v>11270</v>
      </c>
      <c r="F791" s="1070"/>
      <c r="G791" s="97"/>
      <c r="H791" s="86"/>
      <c r="I791" s="86"/>
      <c r="J791" s="97"/>
      <c r="K791" s="87"/>
      <c r="L791" s="87"/>
      <c r="M791" s="87" t="s">
        <v>60</v>
      </c>
      <c r="N791" s="86" t="s">
        <v>5888</v>
      </c>
      <c r="O791" s="86"/>
      <c r="P791" s="209"/>
      <c r="Q791" s="86"/>
      <c r="R791" s="86"/>
      <c r="S791" s="315"/>
      <c r="T791" s="315"/>
      <c r="U791" s="97"/>
      <c r="V791" s="86"/>
      <c r="W791" s="86"/>
      <c r="X791" s="97"/>
      <c r="Y791" s="97"/>
      <c r="Z791" s="97"/>
      <c r="AA791" s="97"/>
      <c r="AB791" s="97"/>
      <c r="AC791" s="97" t="s">
        <v>11268</v>
      </c>
      <c r="AD791" s="99"/>
      <c r="AE791" s="97"/>
      <c r="AF791" s="315"/>
      <c r="AG791" s="112"/>
      <c r="AH791" s="86"/>
      <c r="AI791" s="763"/>
      <c r="AJ791" s="763"/>
      <c r="AK791" s="763"/>
      <c r="AL791" s="763"/>
      <c r="AM791" s="763"/>
      <c r="AN791" s="763"/>
      <c r="AO791" s="763"/>
      <c r="AP791" s="763"/>
      <c r="AQ791" s="763"/>
      <c r="AR791" s="763"/>
      <c r="AS791" s="763"/>
      <c r="AT791" s="763"/>
    </row>
    <row r="792">
      <c r="A792" s="310" t="s">
        <v>10884</v>
      </c>
      <c r="B792" s="529"/>
      <c r="C792" s="86"/>
      <c r="D792" s="86"/>
      <c r="E792" s="522" t="s">
        <v>11276</v>
      </c>
      <c r="F792" s="1070"/>
      <c r="G792" s="97"/>
      <c r="H792" s="86"/>
      <c r="I792" s="86"/>
      <c r="J792" s="97"/>
      <c r="K792" s="109"/>
      <c r="L792" s="109"/>
      <c r="M792" s="109" t="s">
        <v>360</v>
      </c>
      <c r="N792" s="97" t="s">
        <v>4405</v>
      </c>
      <c r="O792" s="97"/>
      <c r="P792" s="209"/>
      <c r="Q792" s="86"/>
      <c r="R792" s="86"/>
      <c r="S792" s="315"/>
      <c r="T792" s="315"/>
      <c r="U792" s="97"/>
      <c r="V792" s="86"/>
      <c r="W792" s="86"/>
      <c r="X792" s="97"/>
      <c r="Y792" s="97"/>
      <c r="Z792" s="97"/>
      <c r="AA792" s="97"/>
      <c r="AB792" s="97"/>
      <c r="AC792" s="97" t="s">
        <v>11268</v>
      </c>
      <c r="AD792" s="99"/>
      <c r="AE792" s="97"/>
      <c r="AF792" s="315"/>
      <c r="AG792" s="701"/>
      <c r="AH792" s="86"/>
      <c r="AI792" s="763"/>
      <c r="AJ792" s="763"/>
      <c r="AK792" s="763"/>
      <c r="AL792" s="763"/>
      <c r="AM792" s="763"/>
      <c r="AN792" s="763"/>
      <c r="AO792" s="763"/>
      <c r="AP792" s="763"/>
      <c r="AQ792" s="763"/>
      <c r="AR792" s="763"/>
      <c r="AS792" s="763"/>
      <c r="AT792" s="763"/>
    </row>
    <row r="793">
      <c r="A793" s="310" t="s">
        <v>10884</v>
      </c>
      <c r="B793" s="529"/>
      <c r="C793" s="86"/>
      <c r="D793" s="86"/>
      <c r="E793" s="522" t="s">
        <v>11279</v>
      </c>
      <c r="F793" s="1070"/>
      <c r="G793" s="97"/>
      <c r="H793" s="86"/>
      <c r="I793" s="86"/>
      <c r="J793" s="97"/>
      <c r="K793" s="109"/>
      <c r="L793" s="109"/>
      <c r="M793" s="109" t="s">
        <v>60</v>
      </c>
      <c r="N793" s="97" t="s">
        <v>4546</v>
      </c>
      <c r="O793" s="97"/>
      <c r="P793" s="539"/>
      <c r="Q793" s="86"/>
      <c r="R793" s="86"/>
      <c r="S793" s="315"/>
      <c r="T793" s="315"/>
      <c r="U793" s="86"/>
      <c r="V793" s="86"/>
      <c r="W793" s="86"/>
      <c r="X793" s="97"/>
      <c r="Y793" s="97"/>
      <c r="Z793" s="97"/>
      <c r="AA793" s="97"/>
      <c r="AB793" s="97"/>
      <c r="AC793" s="97" t="s">
        <v>11268</v>
      </c>
      <c r="AD793" s="99"/>
      <c r="AE793" s="97"/>
      <c r="AF793" s="315"/>
      <c r="AG793" s="112"/>
      <c r="AH793" s="86"/>
      <c r="AI793" s="763"/>
      <c r="AJ793" s="763"/>
      <c r="AK793" s="763"/>
      <c r="AL793" s="763"/>
      <c r="AM793" s="763"/>
      <c r="AN793" s="763"/>
      <c r="AO793" s="763"/>
      <c r="AP793" s="763"/>
      <c r="AQ793" s="763"/>
      <c r="AR793" s="763"/>
      <c r="AS793" s="763"/>
      <c r="AT793" s="763"/>
    </row>
    <row r="794">
      <c r="A794" s="310" t="s">
        <v>10884</v>
      </c>
      <c r="B794" s="529"/>
      <c r="C794" s="86"/>
      <c r="D794" s="86"/>
      <c r="E794" s="522" t="s">
        <v>11280</v>
      </c>
      <c r="F794" s="1070"/>
      <c r="G794" s="97"/>
      <c r="H794" s="86"/>
      <c r="I794" s="86"/>
      <c r="J794" s="97"/>
      <c r="K794" s="109"/>
      <c r="L794" s="109"/>
      <c r="M794" s="109" t="s">
        <v>60</v>
      </c>
      <c r="N794" s="97" t="s">
        <v>4411</v>
      </c>
      <c r="O794" s="97"/>
      <c r="P794" s="209"/>
      <c r="Q794" s="86"/>
      <c r="R794" s="86"/>
      <c r="S794" s="315"/>
      <c r="T794" s="315"/>
      <c r="U794" s="97"/>
      <c r="V794" s="86"/>
      <c r="W794" s="86"/>
      <c r="X794" s="97"/>
      <c r="Y794" s="97"/>
      <c r="Z794" s="97"/>
      <c r="AA794" s="97"/>
      <c r="AB794" s="97"/>
      <c r="AC794" s="97" t="s">
        <v>11268</v>
      </c>
      <c r="AD794" s="99"/>
      <c r="AE794" s="97"/>
      <c r="AF794" s="315"/>
      <c r="AG794" s="76" t="s">
        <v>351</v>
      </c>
      <c r="AH794" s="76" t="s">
        <v>11285</v>
      </c>
      <c r="AI794" s="763"/>
      <c r="AJ794" s="763"/>
      <c r="AK794" s="763"/>
      <c r="AL794" s="763"/>
      <c r="AM794" s="763"/>
      <c r="AN794" s="763"/>
      <c r="AO794" s="763"/>
      <c r="AP794" s="763"/>
      <c r="AQ794" s="763"/>
      <c r="AR794" s="763"/>
      <c r="AS794" s="763"/>
      <c r="AT794" s="763"/>
    </row>
    <row r="795">
      <c r="A795" s="310" t="s">
        <v>10884</v>
      </c>
      <c r="B795" s="529"/>
      <c r="C795" s="86"/>
      <c r="D795" s="86"/>
      <c r="E795" s="522" t="s">
        <v>11287</v>
      </c>
      <c r="F795" s="1070"/>
      <c r="G795" s="97"/>
      <c r="H795" s="86"/>
      <c r="I795" s="86"/>
      <c r="J795" s="97"/>
      <c r="K795" s="109"/>
      <c r="L795" s="109"/>
      <c r="M795" s="109" t="s">
        <v>60</v>
      </c>
      <c r="N795" s="97" t="s">
        <v>4595</v>
      </c>
      <c r="O795" s="97"/>
      <c r="P795" s="209"/>
      <c r="Q795" s="86"/>
      <c r="R795" s="86"/>
      <c r="S795" s="315"/>
      <c r="T795" s="315"/>
      <c r="U795" s="97"/>
      <c r="V795" s="86"/>
      <c r="W795" s="86"/>
      <c r="X795" s="97"/>
      <c r="Y795" s="97"/>
      <c r="Z795" s="97"/>
      <c r="AA795" s="97"/>
      <c r="AB795" s="97"/>
      <c r="AC795" s="97" t="s">
        <v>11268</v>
      </c>
      <c r="AD795" s="99"/>
      <c r="AE795" s="97"/>
      <c r="AF795" s="315"/>
      <c r="AG795" s="112"/>
      <c r="AH795" s="97" t="s">
        <v>5147</v>
      </c>
      <c r="AI795" s="763"/>
      <c r="AJ795" s="763"/>
      <c r="AK795" s="763"/>
      <c r="AL795" s="763"/>
      <c r="AM795" s="763"/>
      <c r="AN795" s="763"/>
      <c r="AO795" s="763"/>
      <c r="AP795" s="763"/>
      <c r="AQ795" s="763"/>
      <c r="AR795" s="763"/>
      <c r="AS795" s="763"/>
      <c r="AT795" s="763"/>
    </row>
    <row r="796">
      <c r="A796" s="310" t="s">
        <v>10884</v>
      </c>
      <c r="B796" s="529"/>
      <c r="C796" s="86"/>
      <c r="D796" s="86"/>
      <c r="E796" s="522" t="s">
        <v>11280</v>
      </c>
      <c r="F796" s="1070"/>
      <c r="G796" s="97"/>
      <c r="H796" s="86"/>
      <c r="I796" s="86"/>
      <c r="J796" s="97"/>
      <c r="K796" s="109"/>
      <c r="L796" s="109"/>
      <c r="M796" s="109" t="s">
        <v>360</v>
      </c>
      <c r="N796" s="97" t="s">
        <v>11294</v>
      </c>
      <c r="O796" s="97"/>
      <c r="P796" s="209"/>
      <c r="Q796" s="86"/>
      <c r="R796" s="86"/>
      <c r="S796" s="315"/>
      <c r="T796" s="315"/>
      <c r="U796" s="97"/>
      <c r="V796" s="86"/>
      <c r="W796" s="86"/>
      <c r="X796" s="97"/>
      <c r="Y796" s="97"/>
      <c r="Z796" s="97"/>
      <c r="AA796" s="97"/>
      <c r="AB796" s="97"/>
      <c r="AC796" s="97" t="s">
        <v>11268</v>
      </c>
      <c r="AD796" s="99"/>
      <c r="AE796" s="97"/>
      <c r="AF796" s="315"/>
      <c r="AG796" s="112"/>
      <c r="AH796" s="86"/>
      <c r="AI796" s="763"/>
      <c r="AJ796" s="763"/>
      <c r="AK796" s="763"/>
      <c r="AL796" s="763"/>
      <c r="AM796" s="763"/>
      <c r="AN796" s="763"/>
      <c r="AO796" s="763"/>
      <c r="AP796" s="763"/>
      <c r="AQ796" s="763"/>
      <c r="AR796" s="763"/>
      <c r="AS796" s="763"/>
      <c r="AT796" s="763"/>
    </row>
    <row r="797">
      <c r="A797" s="310" t="s">
        <v>10884</v>
      </c>
      <c r="B797" s="529"/>
      <c r="C797" s="86"/>
      <c r="D797" s="86"/>
      <c r="E797" s="522" t="s">
        <v>11299</v>
      </c>
      <c r="F797" s="1070"/>
      <c r="G797" s="97"/>
      <c r="H797" s="86"/>
      <c r="I797" s="86"/>
      <c r="J797" s="97"/>
      <c r="K797" s="109"/>
      <c r="L797" s="109"/>
      <c r="M797" s="109" t="s">
        <v>60</v>
      </c>
      <c r="N797" s="97" t="s">
        <v>4350</v>
      </c>
      <c r="O797" s="97"/>
      <c r="P797" s="209"/>
      <c r="Q797" s="86"/>
      <c r="R797" s="86"/>
      <c r="S797" s="315"/>
      <c r="T797" s="315"/>
      <c r="U797" s="97"/>
      <c r="V797" s="86"/>
      <c r="W797" s="86"/>
      <c r="X797" s="97"/>
      <c r="Y797" s="97"/>
      <c r="Z797" s="97"/>
      <c r="AA797" s="97"/>
      <c r="AB797" s="97"/>
      <c r="AC797" s="97" t="s">
        <v>11268</v>
      </c>
      <c r="AD797" s="99"/>
      <c r="AE797" s="97"/>
      <c r="AF797" s="315"/>
      <c r="AG797" s="112"/>
      <c r="AH797" s="97"/>
      <c r="AI797" s="763"/>
      <c r="AJ797" s="763"/>
      <c r="AK797" s="763"/>
      <c r="AL797" s="763"/>
      <c r="AM797" s="763"/>
      <c r="AN797" s="763"/>
      <c r="AO797" s="763"/>
      <c r="AP797" s="763"/>
      <c r="AQ797" s="763"/>
      <c r="AR797" s="763"/>
      <c r="AS797" s="763"/>
      <c r="AT797" s="763"/>
    </row>
    <row r="798">
      <c r="A798" s="310" t="s">
        <v>10884</v>
      </c>
      <c r="B798" s="529"/>
      <c r="C798" s="86"/>
      <c r="D798" s="86"/>
      <c r="E798" s="522" t="s">
        <v>8389</v>
      </c>
      <c r="F798" s="1070"/>
      <c r="G798" s="97"/>
      <c r="H798" s="86"/>
      <c r="I798" s="86"/>
      <c r="J798" s="97"/>
      <c r="K798" s="87"/>
      <c r="L798" s="87"/>
      <c r="M798" s="87" t="s">
        <v>60</v>
      </c>
      <c r="N798" s="86" t="s">
        <v>4429</v>
      </c>
      <c r="O798" s="86"/>
      <c r="P798" s="209"/>
      <c r="Q798" s="86"/>
      <c r="R798" s="86"/>
      <c r="S798" s="315"/>
      <c r="T798" s="315"/>
      <c r="U798" s="97"/>
      <c r="V798" s="86"/>
      <c r="W798" s="86"/>
      <c r="X798" s="97"/>
      <c r="Y798" s="97"/>
      <c r="Z798" s="97"/>
      <c r="AA798" s="97"/>
      <c r="AB798" s="97"/>
      <c r="AC798" s="97" t="s">
        <v>11268</v>
      </c>
      <c r="AD798" s="99"/>
      <c r="AE798" s="97"/>
      <c r="AF798" s="315"/>
      <c r="AG798" s="112"/>
      <c r="AH798" s="86"/>
      <c r="AI798" s="763"/>
      <c r="AJ798" s="763"/>
      <c r="AK798" s="763"/>
      <c r="AL798" s="763"/>
      <c r="AM798" s="763"/>
      <c r="AN798" s="763"/>
      <c r="AO798" s="763"/>
      <c r="AP798" s="763"/>
      <c r="AQ798" s="763"/>
      <c r="AR798" s="763"/>
      <c r="AS798" s="763"/>
      <c r="AT798" s="763"/>
    </row>
    <row r="799">
      <c r="A799" s="310" t="s">
        <v>10884</v>
      </c>
      <c r="B799" s="529"/>
      <c r="C799" s="86"/>
      <c r="D799" s="86"/>
      <c r="E799" s="522" t="s">
        <v>11310</v>
      </c>
      <c r="F799" s="1070"/>
      <c r="G799" s="97"/>
      <c r="H799" s="86"/>
      <c r="I799" s="86"/>
      <c r="J799" s="97"/>
      <c r="K799" s="87"/>
      <c r="L799" s="87"/>
      <c r="M799" s="87" t="s">
        <v>60</v>
      </c>
      <c r="N799" s="97" t="s">
        <v>4386</v>
      </c>
      <c r="O799" s="97"/>
      <c r="P799" s="209"/>
      <c r="Q799" s="86"/>
      <c r="R799" s="86"/>
      <c r="S799" s="315"/>
      <c r="T799" s="315"/>
      <c r="U799" s="97"/>
      <c r="V799" s="97"/>
      <c r="W799" s="97"/>
      <c r="X799" s="97"/>
      <c r="Y799" s="97"/>
      <c r="Z799" s="97"/>
      <c r="AA799" s="97"/>
      <c r="AB799" s="97"/>
      <c r="AC799" s="97" t="s">
        <v>11268</v>
      </c>
      <c r="AD799" s="99"/>
      <c r="AE799" s="97"/>
      <c r="AF799" s="315"/>
      <c r="AG799" s="112"/>
      <c r="AH799" s="97"/>
      <c r="AI799" s="763"/>
      <c r="AJ799" s="763"/>
      <c r="AK799" s="763"/>
      <c r="AL799" s="763"/>
      <c r="AM799" s="763"/>
      <c r="AN799" s="763"/>
      <c r="AO799" s="763"/>
      <c r="AP799" s="763"/>
      <c r="AQ799" s="763"/>
      <c r="AR799" s="763"/>
      <c r="AS799" s="763"/>
      <c r="AT799" s="763"/>
    </row>
    <row r="800">
      <c r="A800" s="310" t="s">
        <v>10884</v>
      </c>
      <c r="B800" s="529"/>
      <c r="C800" s="86"/>
      <c r="D800" s="86"/>
      <c r="E800" s="522" t="s">
        <v>11313</v>
      </c>
      <c r="F800" s="1070"/>
      <c r="G800" s="97"/>
      <c r="H800" s="86"/>
      <c r="I800" s="86"/>
      <c r="J800" s="97"/>
      <c r="K800" s="109"/>
      <c r="L800" s="109"/>
      <c r="M800" s="109" t="s">
        <v>60</v>
      </c>
      <c r="N800" s="86" t="s">
        <v>4565</v>
      </c>
      <c r="O800" s="86"/>
      <c r="P800" s="209"/>
      <c r="Q800" s="86"/>
      <c r="R800" s="86"/>
      <c r="S800" s="315"/>
      <c r="T800" s="315"/>
      <c r="U800" s="97"/>
      <c r="V800" s="86"/>
      <c r="W800" s="86"/>
      <c r="X800" s="97"/>
      <c r="Y800" s="97"/>
      <c r="Z800" s="97"/>
      <c r="AA800" s="97"/>
      <c r="AB800" s="97"/>
      <c r="AC800" s="97" t="s">
        <v>11268</v>
      </c>
      <c r="AD800" s="99"/>
      <c r="AE800" s="97"/>
      <c r="AF800" s="315"/>
      <c r="AG800" s="112"/>
      <c r="AH800" s="97"/>
      <c r="AI800" s="763"/>
      <c r="AJ800" s="763"/>
      <c r="AK800" s="763"/>
      <c r="AL800" s="763"/>
      <c r="AM800" s="763"/>
      <c r="AN800" s="763"/>
      <c r="AO800" s="763"/>
      <c r="AP800" s="763"/>
      <c r="AQ800" s="763"/>
      <c r="AR800" s="763"/>
      <c r="AS800" s="763"/>
      <c r="AT800" s="763"/>
    </row>
    <row r="801">
      <c r="A801" s="310" t="s">
        <v>10884</v>
      </c>
      <c r="B801" s="811"/>
      <c r="C801" s="97"/>
      <c r="D801" s="86"/>
      <c r="E801" s="762" t="s">
        <v>11318</v>
      </c>
      <c r="F801" s="86"/>
      <c r="G801" s="86"/>
      <c r="H801" s="86"/>
      <c r="I801" s="86"/>
      <c r="J801" s="97"/>
      <c r="K801" s="109"/>
      <c r="L801" s="109"/>
      <c r="M801" s="109" t="s">
        <v>60</v>
      </c>
      <c r="N801" s="97" t="s">
        <v>4537</v>
      </c>
      <c r="O801" s="97"/>
      <c r="P801" s="209"/>
      <c r="Q801" s="86"/>
      <c r="R801" s="86"/>
      <c r="S801" s="315"/>
      <c r="T801" s="315"/>
      <c r="U801" s="97"/>
      <c r="V801" s="86"/>
      <c r="W801" s="97"/>
      <c r="X801" s="97"/>
      <c r="Y801" s="97"/>
      <c r="Z801" s="97"/>
      <c r="AA801" s="97"/>
      <c r="AB801" s="97"/>
      <c r="AC801" s="97" t="s">
        <v>11268</v>
      </c>
      <c r="AD801" s="99"/>
      <c r="AE801" s="97"/>
      <c r="AF801" s="315"/>
      <c r="AG801" s="76"/>
      <c r="AH801" s="97"/>
      <c r="AI801" s="763"/>
      <c r="AJ801" s="763"/>
      <c r="AK801" s="763"/>
      <c r="AL801" s="763"/>
      <c r="AM801" s="763"/>
      <c r="AN801" s="763"/>
      <c r="AO801" s="763"/>
      <c r="AP801" s="763"/>
      <c r="AQ801" s="763"/>
      <c r="AR801" s="763"/>
      <c r="AS801" s="763"/>
      <c r="AT801" s="763"/>
    </row>
    <row r="802">
      <c r="A802" s="310" t="s">
        <v>10884</v>
      </c>
      <c r="B802" s="811"/>
      <c r="C802" s="97"/>
      <c r="D802" s="86"/>
      <c r="E802" s="762" t="s">
        <v>11322</v>
      </c>
      <c r="F802" s="86"/>
      <c r="G802" s="86"/>
      <c r="H802" s="86"/>
      <c r="I802" s="86"/>
      <c r="J802" s="97"/>
      <c r="K802" s="87"/>
      <c r="L802" s="87"/>
      <c r="M802" s="87" t="s">
        <v>60</v>
      </c>
      <c r="N802" s="97" t="s">
        <v>11323</v>
      </c>
      <c r="O802" s="86"/>
      <c r="P802" s="209"/>
      <c r="Q802" s="86"/>
      <c r="R802" s="86"/>
      <c r="S802" s="315"/>
      <c r="T802" s="315"/>
      <c r="U802" s="97"/>
      <c r="V802" s="86"/>
      <c r="W802" s="97"/>
      <c r="X802" s="97"/>
      <c r="Y802" s="97"/>
      <c r="Z802" s="97"/>
      <c r="AA802" s="97"/>
      <c r="AB802" s="97"/>
      <c r="AC802" s="97" t="s">
        <v>11268</v>
      </c>
      <c r="AD802" s="99"/>
      <c r="AE802" s="97"/>
      <c r="AF802" s="315"/>
      <c r="AG802" s="76" t="s">
        <v>375</v>
      </c>
      <c r="AH802" s="86"/>
      <c r="AI802" s="763"/>
      <c r="AJ802" s="763"/>
      <c r="AK802" s="763"/>
      <c r="AL802" s="763"/>
      <c r="AM802" s="763"/>
      <c r="AN802" s="763"/>
      <c r="AO802" s="763"/>
      <c r="AP802" s="763"/>
      <c r="AQ802" s="763"/>
      <c r="AR802" s="763"/>
      <c r="AS802" s="763"/>
      <c r="AT802" s="763"/>
    </row>
    <row r="803">
      <c r="A803" s="310" t="s">
        <v>10884</v>
      </c>
      <c r="B803" s="811"/>
      <c r="C803" s="97"/>
      <c r="D803" s="86"/>
      <c r="E803" s="762" t="s">
        <v>11326</v>
      </c>
      <c r="F803" s="86"/>
      <c r="G803" s="86"/>
      <c r="H803" s="86"/>
      <c r="I803" s="86"/>
      <c r="J803" s="97"/>
      <c r="K803" s="109"/>
      <c r="L803" s="109"/>
      <c r="M803" s="109" t="s">
        <v>60</v>
      </c>
      <c r="N803" s="97" t="s">
        <v>4423</v>
      </c>
      <c r="O803" s="97"/>
      <c r="P803" s="209"/>
      <c r="Q803" s="86"/>
      <c r="R803" s="86"/>
      <c r="S803" s="315"/>
      <c r="T803" s="315"/>
      <c r="U803" s="97"/>
      <c r="V803" s="86"/>
      <c r="W803" s="97"/>
      <c r="X803" s="97"/>
      <c r="Y803" s="97"/>
      <c r="Z803" s="97"/>
      <c r="AA803" s="97"/>
      <c r="AB803" s="97"/>
      <c r="AC803" s="97" t="s">
        <v>11268</v>
      </c>
      <c r="AD803" s="99"/>
      <c r="AE803" s="97"/>
      <c r="AF803" s="315"/>
      <c r="AG803" s="76" t="s">
        <v>375</v>
      </c>
      <c r="AH803" s="86"/>
      <c r="AI803" s="763"/>
      <c r="AJ803" s="763"/>
      <c r="AK803" s="763"/>
      <c r="AL803" s="763"/>
      <c r="AM803" s="763"/>
      <c r="AN803" s="763"/>
      <c r="AO803" s="763"/>
      <c r="AP803" s="763"/>
      <c r="AQ803" s="763"/>
      <c r="AR803" s="763"/>
      <c r="AS803" s="763"/>
      <c r="AT803" s="763"/>
    </row>
    <row r="804">
      <c r="A804" s="310" t="s">
        <v>10884</v>
      </c>
      <c r="B804" s="811"/>
      <c r="C804" s="97"/>
      <c r="D804" s="86"/>
      <c r="E804" s="762" t="s">
        <v>11333</v>
      </c>
      <c r="F804" s="86"/>
      <c r="G804" s="86"/>
      <c r="H804" s="86"/>
      <c r="I804" s="86"/>
      <c r="J804" s="97"/>
      <c r="K804" s="109"/>
      <c r="L804" s="109"/>
      <c r="M804" s="109" t="s">
        <v>102</v>
      </c>
      <c r="N804" s="97" t="s">
        <v>4457</v>
      </c>
      <c r="O804" s="97"/>
      <c r="P804" s="209"/>
      <c r="Q804" s="86"/>
      <c r="R804" s="86"/>
      <c r="S804" s="315"/>
      <c r="T804" s="315"/>
      <c r="U804" s="97"/>
      <c r="V804" s="86"/>
      <c r="W804" s="97"/>
      <c r="X804" s="97"/>
      <c r="Y804" s="97"/>
      <c r="Z804" s="97"/>
      <c r="AA804" s="97"/>
      <c r="AB804" s="97"/>
      <c r="AC804" s="97" t="s">
        <v>11268</v>
      </c>
      <c r="AD804" s="99"/>
      <c r="AE804" s="97"/>
      <c r="AF804" s="315"/>
      <c r="AG804" s="76" t="s">
        <v>375</v>
      </c>
      <c r="AH804" s="97"/>
      <c r="AI804" s="763"/>
      <c r="AJ804" s="763"/>
      <c r="AK804" s="763"/>
      <c r="AL804" s="763"/>
      <c r="AM804" s="763"/>
      <c r="AN804" s="763"/>
      <c r="AO804" s="763"/>
      <c r="AP804" s="763"/>
      <c r="AQ804" s="763"/>
      <c r="AR804" s="763"/>
      <c r="AS804" s="763"/>
      <c r="AT804" s="763"/>
    </row>
    <row r="805">
      <c r="A805" s="310" t="s">
        <v>10884</v>
      </c>
      <c r="B805" s="811"/>
      <c r="C805" s="97"/>
      <c r="D805" s="86"/>
      <c r="E805" s="762" t="s">
        <v>11336</v>
      </c>
      <c r="F805" s="86"/>
      <c r="G805" s="86"/>
      <c r="H805" s="86"/>
      <c r="I805" s="86"/>
      <c r="J805" s="97"/>
      <c r="K805" s="87"/>
      <c r="L805" s="87"/>
      <c r="M805" s="87" t="s">
        <v>326</v>
      </c>
      <c r="N805" s="97" t="s">
        <v>4616</v>
      </c>
      <c r="O805" s="97"/>
      <c r="P805" s="209"/>
      <c r="Q805" s="86"/>
      <c r="R805" s="86"/>
      <c r="S805" s="315"/>
      <c r="T805" s="315"/>
      <c r="U805" s="97"/>
      <c r="V805" s="86"/>
      <c r="W805" s="97"/>
      <c r="X805" s="97"/>
      <c r="Y805" s="97"/>
      <c r="Z805" s="97"/>
      <c r="AA805" s="97"/>
      <c r="AB805" s="97"/>
      <c r="AC805" s="97" t="s">
        <v>11268</v>
      </c>
      <c r="AD805" s="99"/>
      <c r="AE805" s="97"/>
      <c r="AF805" s="315"/>
      <c r="AG805" s="76" t="s">
        <v>375</v>
      </c>
      <c r="AH805" s="86"/>
      <c r="AI805" s="763"/>
      <c r="AJ805" s="763"/>
      <c r="AK805" s="763"/>
      <c r="AL805" s="763"/>
      <c r="AM805" s="763"/>
      <c r="AN805" s="763"/>
      <c r="AO805" s="763"/>
      <c r="AP805" s="763"/>
      <c r="AQ805" s="763"/>
      <c r="AR805" s="763"/>
      <c r="AS805" s="763"/>
      <c r="AT805" s="763"/>
    </row>
    <row r="806">
      <c r="A806" s="310" t="s">
        <v>10884</v>
      </c>
      <c r="B806" s="811"/>
      <c r="C806" s="97"/>
      <c r="D806" s="86"/>
      <c r="E806" s="762" t="s">
        <v>11338</v>
      </c>
      <c r="F806" s="86"/>
      <c r="G806" s="86"/>
      <c r="H806" s="86"/>
      <c r="I806" s="86"/>
      <c r="J806" s="97"/>
      <c r="K806" s="109"/>
      <c r="L806" s="109"/>
      <c r="M806" s="109" t="s">
        <v>36</v>
      </c>
      <c r="N806" s="97" t="s">
        <v>4402</v>
      </c>
      <c r="O806" s="97"/>
      <c r="P806" s="209"/>
      <c r="Q806" s="86"/>
      <c r="R806" s="86"/>
      <c r="S806" s="315"/>
      <c r="T806" s="315"/>
      <c r="U806" s="97"/>
      <c r="V806" s="86"/>
      <c r="W806" s="97"/>
      <c r="X806" s="97"/>
      <c r="Y806" s="97"/>
      <c r="Z806" s="97"/>
      <c r="AA806" s="97"/>
      <c r="AB806" s="97"/>
      <c r="AC806" s="97" t="s">
        <v>11268</v>
      </c>
      <c r="AD806" s="99"/>
      <c r="AE806" s="97"/>
      <c r="AF806" s="315"/>
      <c r="AG806" s="76" t="s">
        <v>375</v>
      </c>
      <c r="AH806" s="86"/>
      <c r="AI806" s="763"/>
      <c r="AJ806" s="763"/>
      <c r="AK806" s="763"/>
      <c r="AL806" s="763"/>
      <c r="AM806" s="763"/>
      <c r="AN806" s="763"/>
      <c r="AO806" s="763"/>
      <c r="AP806" s="763"/>
      <c r="AQ806" s="763"/>
      <c r="AR806" s="763"/>
      <c r="AS806" s="763"/>
      <c r="AT806" s="763"/>
    </row>
    <row r="807">
      <c r="A807" s="310" t="s">
        <v>10884</v>
      </c>
      <c r="B807" s="811"/>
      <c r="C807" s="97"/>
      <c r="D807" s="86"/>
      <c r="E807" s="762" t="s">
        <v>11341</v>
      </c>
      <c r="F807" s="86"/>
      <c r="G807" s="86"/>
      <c r="H807" s="86"/>
      <c r="I807" s="86"/>
      <c r="J807" s="97"/>
      <c r="K807" s="109"/>
      <c r="L807" s="109"/>
      <c r="M807" s="109" t="s">
        <v>326</v>
      </c>
      <c r="N807" s="97" t="s">
        <v>11345</v>
      </c>
      <c r="O807" s="97"/>
      <c r="P807" s="209"/>
      <c r="Q807" s="86"/>
      <c r="R807" s="86"/>
      <c r="S807" s="315"/>
      <c r="T807" s="315"/>
      <c r="U807" s="97"/>
      <c r="V807" s="86"/>
      <c r="W807" s="97"/>
      <c r="X807" s="97"/>
      <c r="Y807" s="97"/>
      <c r="Z807" s="97"/>
      <c r="AA807" s="97"/>
      <c r="AB807" s="97"/>
      <c r="AC807" s="97" t="s">
        <v>11268</v>
      </c>
      <c r="AD807" s="99"/>
      <c r="AE807" s="97"/>
      <c r="AF807" s="315"/>
      <c r="AG807" s="112"/>
      <c r="AH807" s="86"/>
      <c r="AI807" s="763"/>
      <c r="AJ807" s="763"/>
      <c r="AK807" s="763"/>
      <c r="AL807" s="763"/>
      <c r="AM807" s="763"/>
      <c r="AN807" s="763"/>
      <c r="AO807" s="763"/>
      <c r="AP807" s="763"/>
      <c r="AQ807" s="763"/>
      <c r="AR807" s="763"/>
      <c r="AS807" s="763"/>
      <c r="AT807" s="763"/>
    </row>
    <row r="808">
      <c r="A808" s="310" t="s">
        <v>10884</v>
      </c>
      <c r="B808" s="811"/>
      <c r="C808" s="97"/>
      <c r="D808" s="86"/>
      <c r="E808" s="762" t="s">
        <v>11347</v>
      </c>
      <c r="F808" s="86"/>
      <c r="G808" s="86"/>
      <c r="H808" s="86"/>
      <c r="I808" s="86"/>
      <c r="J808" s="97"/>
      <c r="K808" s="109"/>
      <c r="L808" s="109"/>
      <c r="M808" s="109" t="s">
        <v>60</v>
      </c>
      <c r="N808" s="97" t="s">
        <v>11351</v>
      </c>
      <c r="O808" s="97"/>
      <c r="P808" s="209"/>
      <c r="Q808" s="86"/>
      <c r="R808" s="86"/>
      <c r="S808" s="315"/>
      <c r="T808" s="315"/>
      <c r="U808" s="97"/>
      <c r="V808" s="86"/>
      <c r="W808" s="97"/>
      <c r="X808" s="97"/>
      <c r="Y808" s="97"/>
      <c r="Z808" s="97"/>
      <c r="AA808" s="97"/>
      <c r="AB808" s="97"/>
      <c r="AC808" s="97" t="s">
        <v>11268</v>
      </c>
      <c r="AD808" s="99"/>
      <c r="AE808" s="97"/>
      <c r="AF808" s="315"/>
      <c r="AG808" s="315"/>
      <c r="AH808" s="97"/>
      <c r="AI808" s="763"/>
      <c r="AJ808" s="763"/>
      <c r="AK808" s="763"/>
      <c r="AL808" s="763"/>
      <c r="AM808" s="763"/>
      <c r="AN808" s="763"/>
      <c r="AO808" s="763"/>
      <c r="AP808" s="763"/>
      <c r="AQ808" s="763"/>
      <c r="AR808" s="763"/>
      <c r="AS808" s="763"/>
      <c r="AT808" s="763"/>
    </row>
    <row r="809">
      <c r="A809" s="310" t="s">
        <v>10884</v>
      </c>
      <c r="B809" s="811"/>
      <c r="C809" s="97"/>
      <c r="D809" s="86"/>
      <c r="E809" s="762" t="s">
        <v>2776</v>
      </c>
      <c r="F809" s="86"/>
      <c r="G809" s="86"/>
      <c r="H809" s="86"/>
      <c r="I809" s="86"/>
      <c r="J809" s="97"/>
      <c r="K809" s="109"/>
      <c r="L809" s="109"/>
      <c r="M809" s="109" t="s">
        <v>102</v>
      </c>
      <c r="N809" s="97" t="s">
        <v>4419</v>
      </c>
      <c r="O809" s="97"/>
      <c r="P809" s="209"/>
      <c r="Q809" s="86"/>
      <c r="R809" s="86"/>
      <c r="S809" s="315"/>
      <c r="T809" s="315"/>
      <c r="U809" s="97"/>
      <c r="V809" s="86"/>
      <c r="W809" s="97"/>
      <c r="X809" s="97"/>
      <c r="Y809" s="97"/>
      <c r="Z809" s="97"/>
      <c r="AA809" s="97"/>
      <c r="AB809" s="97"/>
      <c r="AC809" s="97" t="s">
        <v>11268</v>
      </c>
      <c r="AD809" s="99"/>
      <c r="AE809" s="97"/>
      <c r="AF809" s="315"/>
      <c r="AG809" s="76" t="s">
        <v>375</v>
      </c>
      <c r="AH809" s="97"/>
      <c r="AI809" s="763"/>
      <c r="AJ809" s="763"/>
      <c r="AK809" s="763"/>
      <c r="AL809" s="763"/>
      <c r="AM809" s="763"/>
      <c r="AN809" s="763"/>
      <c r="AO809" s="763"/>
      <c r="AP809" s="763"/>
      <c r="AQ809" s="763"/>
      <c r="AR809" s="763"/>
      <c r="AS809" s="763"/>
      <c r="AT809" s="763"/>
    </row>
    <row r="810">
      <c r="A810" s="310" t="s">
        <v>10884</v>
      </c>
      <c r="B810" s="811"/>
      <c r="C810" s="97"/>
      <c r="D810" s="97"/>
      <c r="E810" s="762" t="s">
        <v>8389</v>
      </c>
      <c r="F810" s="97"/>
      <c r="G810" s="97"/>
      <c r="H810" s="97"/>
      <c r="I810" s="97"/>
      <c r="J810" s="97"/>
      <c r="K810" s="109"/>
      <c r="L810" s="109"/>
      <c r="M810" s="109" t="s">
        <v>60</v>
      </c>
      <c r="N810" s="97" t="s">
        <v>1730</v>
      </c>
      <c r="O810" s="97"/>
      <c r="P810" s="97"/>
      <c r="Q810" s="97"/>
      <c r="R810" s="97"/>
      <c r="S810" s="315"/>
      <c r="T810" s="315"/>
      <c r="U810" s="97"/>
      <c r="V810" s="97"/>
      <c r="W810" s="97"/>
      <c r="X810" s="97"/>
      <c r="Y810" s="97"/>
      <c r="Z810" s="97"/>
      <c r="AA810" s="97"/>
      <c r="AB810" s="97"/>
      <c r="AC810" s="97" t="s">
        <v>11268</v>
      </c>
      <c r="AD810" s="99"/>
      <c r="AE810" s="97"/>
      <c r="AF810" s="315"/>
      <c r="AG810" s="112"/>
      <c r="AH810" s="86"/>
      <c r="AI810" s="763"/>
      <c r="AJ810" s="763"/>
      <c r="AK810" s="763"/>
      <c r="AL810" s="763"/>
      <c r="AM810" s="763"/>
      <c r="AN810" s="763"/>
      <c r="AO810" s="763"/>
      <c r="AP810" s="763"/>
      <c r="AQ810" s="763"/>
      <c r="AR810" s="763"/>
      <c r="AS810" s="763"/>
      <c r="AT810" s="763"/>
    </row>
    <row r="811">
      <c r="A811" s="310" t="s">
        <v>10884</v>
      </c>
      <c r="B811" s="811"/>
      <c r="C811" s="97"/>
      <c r="D811" s="97"/>
      <c r="E811" s="762" t="s">
        <v>11361</v>
      </c>
      <c r="F811" s="97"/>
      <c r="G811" s="97"/>
      <c r="H811" s="97"/>
      <c r="I811" s="97"/>
      <c r="J811" s="97"/>
      <c r="K811" s="109"/>
      <c r="L811" s="109"/>
      <c r="M811" s="109" t="s">
        <v>60</v>
      </c>
      <c r="N811" s="97" t="s">
        <v>11362</v>
      </c>
      <c r="O811" s="97"/>
      <c r="P811" s="97"/>
      <c r="Q811" s="97"/>
      <c r="R811" s="97"/>
      <c r="S811" s="315"/>
      <c r="T811" s="315"/>
      <c r="U811" s="97"/>
      <c r="V811" s="97"/>
      <c r="W811" s="97"/>
      <c r="X811" s="97"/>
      <c r="Y811" s="97"/>
      <c r="Z811" s="97"/>
      <c r="AA811" s="97"/>
      <c r="AB811" s="97"/>
      <c r="AC811" s="97" t="s">
        <v>9293</v>
      </c>
      <c r="AD811" s="99"/>
      <c r="AE811" s="97"/>
      <c r="AF811" s="315"/>
      <c r="AG811" s="76"/>
      <c r="AH811" s="97"/>
      <c r="AI811" s="763"/>
      <c r="AJ811" s="763"/>
      <c r="AK811" s="763"/>
      <c r="AL811" s="763"/>
      <c r="AM811" s="763"/>
      <c r="AN811" s="763"/>
      <c r="AO811" s="763"/>
      <c r="AP811" s="763"/>
      <c r="AQ811" s="763"/>
      <c r="AR811" s="763"/>
      <c r="AS811" s="763"/>
      <c r="AT811" s="763"/>
    </row>
    <row r="812">
      <c r="A812" s="310" t="s">
        <v>10884</v>
      </c>
      <c r="B812" s="811"/>
      <c r="C812" s="97"/>
      <c r="D812" s="97"/>
      <c r="E812" s="762" t="s">
        <v>11365</v>
      </c>
      <c r="F812" s="97"/>
      <c r="G812" s="97"/>
      <c r="H812" s="97"/>
      <c r="I812" s="97"/>
      <c r="J812" s="97"/>
      <c r="K812" s="109"/>
      <c r="L812" s="109"/>
      <c r="M812" s="109" t="s">
        <v>60</v>
      </c>
      <c r="N812" s="97" t="s">
        <v>11367</v>
      </c>
      <c r="O812" s="97"/>
      <c r="P812" s="97"/>
      <c r="Q812" s="97"/>
      <c r="R812" s="97"/>
      <c r="S812" s="315"/>
      <c r="T812" s="315"/>
      <c r="U812" s="97"/>
      <c r="V812" s="97"/>
      <c r="W812" s="97"/>
      <c r="X812" s="97"/>
      <c r="Y812" s="97"/>
      <c r="Z812" s="97"/>
      <c r="AA812" s="97"/>
      <c r="AB812" s="97"/>
      <c r="AC812" s="97" t="s">
        <v>9293</v>
      </c>
      <c r="AD812" s="99"/>
      <c r="AE812" s="97"/>
      <c r="AF812" s="315"/>
      <c r="AG812" s="112"/>
      <c r="AH812" s="97"/>
      <c r="AI812" s="763"/>
      <c r="AJ812" s="763"/>
      <c r="AK812" s="763"/>
      <c r="AL812" s="763"/>
      <c r="AM812" s="763"/>
      <c r="AN812" s="763"/>
      <c r="AO812" s="763"/>
      <c r="AP812" s="763"/>
      <c r="AQ812" s="763"/>
      <c r="AR812" s="763"/>
      <c r="AS812" s="763"/>
      <c r="AT812" s="763"/>
    </row>
    <row r="813">
      <c r="A813" s="86"/>
      <c r="B813" s="302" t="s">
        <v>4145</v>
      </c>
      <c r="C813" s="966" t="s">
        <v>5668</v>
      </c>
      <c r="D813" s="76"/>
      <c r="E813" s="574">
        <v>46096.0</v>
      </c>
      <c r="F813" s="762"/>
      <c r="G813" s="762"/>
      <c r="H813" s="762"/>
      <c r="I813" s="762"/>
      <c r="J813" s="85" t="s">
        <v>114</v>
      </c>
      <c r="K813" s="76"/>
      <c r="L813" s="964"/>
      <c r="M813" s="85" t="s">
        <v>60</v>
      </c>
      <c r="N813" s="306" t="s">
        <v>11374</v>
      </c>
      <c r="O813" s="76" t="s">
        <v>11375</v>
      </c>
      <c r="P813" s="153">
        <v>33436.0</v>
      </c>
      <c r="Q813" s="315">
        <f t="shared" ref="Q813:Q820" si="83">VALUE(LEFT(TEXT(S813,0),5))+1</f>
        <v>33436</v>
      </c>
      <c r="R813" s="86">
        <f t="shared" ref="R813:R820" si="84">DATEDIF($P813,TODAY(),"Y")</f>
        <v>35</v>
      </c>
      <c r="S813" s="76">
        <v>3.343515098E9</v>
      </c>
      <c r="T813" s="315"/>
      <c r="U813" s="76" t="s">
        <v>379</v>
      </c>
      <c r="V813" s="76"/>
      <c r="W813" s="76"/>
      <c r="X813" s="76" t="s">
        <v>186</v>
      </c>
      <c r="Y813" s="97"/>
      <c r="Z813" s="85" t="s">
        <v>1173</v>
      </c>
      <c r="AA813" s="76" t="s">
        <v>1178</v>
      </c>
      <c r="AB813" s="97"/>
      <c r="AC813" s="76"/>
      <c r="AD813" s="76"/>
      <c r="AE813" s="76" t="s">
        <v>861</v>
      </c>
      <c r="AF813" s="76"/>
      <c r="AG813" s="76" t="s">
        <v>9963</v>
      </c>
      <c r="AH813" s="76" t="s">
        <v>9954</v>
      </c>
      <c r="AI813" s="763"/>
      <c r="AJ813" s="763"/>
      <c r="AK813" s="763"/>
      <c r="AL813" s="763"/>
      <c r="AM813" s="763"/>
      <c r="AN813" s="763"/>
      <c r="AO813" s="763"/>
      <c r="AP813" s="763"/>
      <c r="AQ813" s="763"/>
      <c r="AR813" s="763"/>
      <c r="AS813" s="763"/>
      <c r="AT813" s="763"/>
    </row>
    <row r="814">
      <c r="A814" s="86"/>
      <c r="B814" s="302" t="s">
        <v>145</v>
      </c>
      <c r="C814" s="523"/>
      <c r="D814" s="86"/>
      <c r="E814" s="574">
        <v>46080.0</v>
      </c>
      <c r="F814" s="86"/>
      <c r="G814" s="86"/>
      <c r="H814" s="86"/>
      <c r="I814" s="86"/>
      <c r="J814" s="85" t="s">
        <v>114</v>
      </c>
      <c r="K814" s="85"/>
      <c r="L814" s="76"/>
      <c r="M814" s="85" t="s">
        <v>60</v>
      </c>
      <c r="N814" s="287" t="s">
        <v>11385</v>
      </c>
      <c r="O814" s="76" t="s">
        <v>6488</v>
      </c>
      <c r="P814" s="153">
        <v>32301.0</v>
      </c>
      <c r="Q814" s="315">
        <f t="shared" si="83"/>
        <v>32301</v>
      </c>
      <c r="R814" s="86">
        <f t="shared" si="84"/>
        <v>38</v>
      </c>
      <c r="S814" s="76">
        <v>3.23001675E9</v>
      </c>
      <c r="T814" s="86"/>
      <c r="U814" s="76" t="s">
        <v>136</v>
      </c>
      <c r="V814" s="76"/>
      <c r="W814" s="76"/>
      <c r="X814" s="76" t="s">
        <v>182</v>
      </c>
      <c r="Y814" s="211" t="s">
        <v>1351</v>
      </c>
      <c r="Z814" s="211" t="s">
        <v>418</v>
      </c>
      <c r="AA814" s="308" t="s">
        <v>114</v>
      </c>
      <c r="AB814" s="97"/>
      <c r="AC814" s="168"/>
      <c r="AD814" s="168"/>
      <c r="AE814" s="76"/>
      <c r="AF814" s="76"/>
      <c r="AG814" s="76"/>
      <c r="AH814" s="153">
        <v>46087.0</v>
      </c>
      <c r="AI814" s="67"/>
      <c r="AJ814" s="67"/>
      <c r="AK814" s="67"/>
      <c r="AL814" s="67"/>
      <c r="AM814" s="67"/>
      <c r="AN814" s="67"/>
      <c r="AO814" s="67"/>
      <c r="AP814" s="67"/>
      <c r="AQ814" s="67"/>
      <c r="AR814" s="67"/>
      <c r="AS814" s="67"/>
      <c r="AT814" s="67"/>
    </row>
    <row r="815">
      <c r="A815" s="86"/>
      <c r="B815" s="302" t="s">
        <v>4145</v>
      </c>
      <c r="C815" s="302"/>
      <c r="D815" s="76"/>
      <c r="E815" s="574">
        <v>46096.0</v>
      </c>
      <c r="F815" s="762"/>
      <c r="G815" s="762"/>
      <c r="H815" s="762"/>
      <c r="I815" s="762"/>
      <c r="J815" s="85" t="s">
        <v>114</v>
      </c>
      <c r="K815" s="76"/>
      <c r="L815" s="964"/>
      <c r="M815" s="85" t="s">
        <v>60</v>
      </c>
      <c r="N815" s="306" t="s">
        <v>8886</v>
      </c>
      <c r="O815" s="76" t="s">
        <v>2014</v>
      </c>
      <c r="P815" s="153">
        <v>32040.0</v>
      </c>
      <c r="Q815" s="315">
        <f t="shared" si="83"/>
        <v>1</v>
      </c>
      <c r="R815" s="86">
        <f t="shared" si="84"/>
        <v>38</v>
      </c>
      <c r="S815" s="76"/>
      <c r="T815" s="76" t="s">
        <v>1317</v>
      </c>
      <c r="U815" s="310" t="s">
        <v>136</v>
      </c>
      <c r="V815" s="76"/>
      <c r="W815" s="76"/>
      <c r="X815" s="76" t="s">
        <v>186</v>
      </c>
      <c r="Y815" s="97"/>
      <c r="Z815" s="501" t="s">
        <v>418</v>
      </c>
      <c r="AA815" s="97"/>
      <c r="AB815" s="97"/>
      <c r="AC815" s="76"/>
      <c r="AD815" s="76"/>
      <c r="AE815" s="76" t="s">
        <v>154</v>
      </c>
      <c r="AF815" s="76"/>
      <c r="AG815" s="189"/>
      <c r="AH815" s="153">
        <v>46109.0</v>
      </c>
      <c r="AI815" s="763"/>
      <c r="AJ815" s="763"/>
      <c r="AK815" s="763"/>
      <c r="AL815" s="763"/>
      <c r="AM815" s="763"/>
      <c r="AN815" s="763"/>
      <c r="AO815" s="763"/>
      <c r="AP815" s="763"/>
      <c r="AQ815" s="763"/>
      <c r="AR815" s="763"/>
      <c r="AS815" s="763"/>
      <c r="AT815" s="763"/>
    </row>
    <row r="816">
      <c r="A816" s="86"/>
      <c r="B816" s="302" t="s">
        <v>4145</v>
      </c>
      <c r="C816" s="523"/>
      <c r="D816" s="86"/>
      <c r="E816" s="574">
        <v>46071.0</v>
      </c>
      <c r="F816" s="86"/>
      <c r="G816" s="86"/>
      <c r="H816" s="86"/>
      <c r="I816" s="86"/>
      <c r="J816" s="85" t="s">
        <v>114</v>
      </c>
      <c r="K816" s="176" t="s">
        <v>11401</v>
      </c>
      <c r="L816" s="76"/>
      <c r="M816" s="85" t="s">
        <v>326</v>
      </c>
      <c r="N816" s="287" t="s">
        <v>11402</v>
      </c>
      <c r="O816" s="76" t="s">
        <v>1759</v>
      </c>
      <c r="P816" s="153">
        <v>35564.0</v>
      </c>
      <c r="Q816" s="315">
        <f t="shared" si="83"/>
        <v>35564</v>
      </c>
      <c r="R816" s="86">
        <f t="shared" si="84"/>
        <v>29</v>
      </c>
      <c r="S816" s="76">
        <v>3.556310095E9</v>
      </c>
      <c r="T816" s="76" t="s">
        <v>378</v>
      </c>
      <c r="U816" s="76" t="s">
        <v>393</v>
      </c>
      <c r="V816" s="76"/>
      <c r="W816" s="76"/>
      <c r="X816" s="76" t="s">
        <v>186</v>
      </c>
      <c r="Y816" s="211" t="s">
        <v>1351</v>
      </c>
      <c r="Z816" s="211" t="s">
        <v>418</v>
      </c>
      <c r="AA816" s="168"/>
      <c r="AB816" s="97"/>
      <c r="AC816" s="168"/>
      <c r="AD816" s="168"/>
      <c r="AE816" s="76" t="s">
        <v>154</v>
      </c>
      <c r="AF816" s="76"/>
      <c r="AG816" s="76"/>
      <c r="AH816" s="76" t="s">
        <v>11403</v>
      </c>
      <c r="AI816" s="67"/>
      <c r="AJ816" s="67"/>
      <c r="AK816" s="67"/>
      <c r="AL816" s="67"/>
      <c r="AM816" s="67"/>
      <c r="AN816" s="67"/>
      <c r="AO816" s="67"/>
      <c r="AP816" s="67"/>
      <c r="AQ816" s="67"/>
      <c r="AR816" s="67"/>
      <c r="AS816" s="67"/>
      <c r="AT816" s="67"/>
    </row>
    <row r="817">
      <c r="A817" s="86"/>
      <c r="B817" s="302" t="s">
        <v>4145</v>
      </c>
      <c r="C817" s="523"/>
      <c r="D817" s="86"/>
      <c r="E817" s="574">
        <v>46071.0</v>
      </c>
      <c r="F817" s="86"/>
      <c r="G817" s="86"/>
      <c r="H817" s="86"/>
      <c r="I817" s="86"/>
      <c r="J817" s="85" t="s">
        <v>114</v>
      </c>
      <c r="K817" s="176" t="s">
        <v>11407</v>
      </c>
      <c r="L817" s="76"/>
      <c r="M817" s="85" t="s">
        <v>60</v>
      </c>
      <c r="N817" s="287" t="s">
        <v>11408</v>
      </c>
      <c r="O817" s="76" t="s">
        <v>11409</v>
      </c>
      <c r="P817" s="153">
        <v>31089.0</v>
      </c>
      <c r="Q817" s="315">
        <f t="shared" si="83"/>
        <v>31089</v>
      </c>
      <c r="R817" s="86">
        <f t="shared" si="84"/>
        <v>41</v>
      </c>
      <c r="S817" s="76">
        <v>3.108824278E9</v>
      </c>
      <c r="T817" s="86"/>
      <c r="U817" s="76" t="s">
        <v>393</v>
      </c>
      <c r="V817" s="76"/>
      <c r="W817" s="76"/>
      <c r="X817" s="76" t="s">
        <v>186</v>
      </c>
      <c r="Y817" s="211" t="s">
        <v>2155</v>
      </c>
      <c r="Z817" s="501" t="s">
        <v>418</v>
      </c>
      <c r="AA817" s="168"/>
      <c r="AB817" s="97"/>
      <c r="AC817" s="168"/>
      <c r="AD817" s="168"/>
      <c r="AE817" s="76" t="s">
        <v>154</v>
      </c>
      <c r="AF817" s="76"/>
      <c r="AG817" s="76"/>
      <c r="AH817" s="76" t="s">
        <v>11413</v>
      </c>
      <c r="AI817" s="67"/>
      <c r="AJ817" s="67"/>
      <c r="AK817" s="67"/>
      <c r="AL817" s="67"/>
      <c r="AM817" s="67"/>
      <c r="AN817" s="67"/>
      <c r="AO817" s="67"/>
      <c r="AP817" s="67"/>
      <c r="AQ817" s="67"/>
      <c r="AR817" s="67"/>
      <c r="AS817" s="67"/>
      <c r="AT817" s="67"/>
    </row>
    <row r="818">
      <c r="A818" s="86"/>
      <c r="B818" s="302" t="s">
        <v>4145</v>
      </c>
      <c r="C818" s="97"/>
      <c r="D818" s="86"/>
      <c r="E818" s="781">
        <v>46047.0</v>
      </c>
      <c r="F818" s="86"/>
      <c r="G818" s="86"/>
      <c r="H818" s="86"/>
      <c r="I818" s="86"/>
      <c r="J818" s="76" t="s">
        <v>114</v>
      </c>
      <c r="K818" s="176" t="s">
        <v>11414</v>
      </c>
      <c r="L818" s="85"/>
      <c r="M818" s="85" t="s">
        <v>60</v>
      </c>
      <c r="N818" s="287" t="s">
        <v>11415</v>
      </c>
      <c r="O818" s="756" t="s">
        <v>11416</v>
      </c>
      <c r="P818" s="262">
        <v>34841.0</v>
      </c>
      <c r="Q818" s="315">
        <f t="shared" si="83"/>
        <v>34841</v>
      </c>
      <c r="R818" s="97">
        <f t="shared" si="84"/>
        <v>31</v>
      </c>
      <c r="S818" s="76">
        <v>3.484015477E9</v>
      </c>
      <c r="T818" s="315"/>
      <c r="U818" s="76" t="s">
        <v>393</v>
      </c>
      <c r="V818" s="76"/>
      <c r="W818" s="97"/>
      <c r="X818" s="76" t="s">
        <v>186</v>
      </c>
      <c r="Y818" s="211" t="s">
        <v>1460</v>
      </c>
      <c r="Z818" s="211" t="s">
        <v>418</v>
      </c>
      <c r="AA818" s="76"/>
      <c r="AB818" s="97"/>
      <c r="AC818" s="76"/>
      <c r="AD818" s="99"/>
      <c r="AE818" s="76" t="s">
        <v>154</v>
      </c>
      <c r="AF818" s="76"/>
      <c r="AG818" s="76"/>
      <c r="AH818" s="211" t="s">
        <v>11419</v>
      </c>
      <c r="AI818" s="67"/>
      <c r="AJ818" s="67"/>
      <c r="AK818" s="67"/>
      <c r="AL818" s="67"/>
      <c r="AM818" s="67"/>
      <c r="AN818" s="67"/>
      <c r="AO818" s="67"/>
      <c r="AP818" s="67"/>
      <c r="AQ818" s="67"/>
      <c r="AR818" s="67"/>
      <c r="AS818" s="67"/>
      <c r="AT818" s="67"/>
    </row>
    <row r="819">
      <c r="A819" s="86"/>
      <c r="B819" s="302" t="s">
        <v>4145</v>
      </c>
      <c r="C819" s="291" t="s">
        <v>5668</v>
      </c>
      <c r="D819" s="76"/>
      <c r="E819" s="574">
        <v>46129.0</v>
      </c>
      <c r="F819" s="762"/>
      <c r="G819" s="762"/>
      <c r="H819" s="762"/>
      <c r="I819" s="762"/>
      <c r="J819" s="76" t="s">
        <v>114</v>
      </c>
      <c r="K819" s="76"/>
      <c r="L819" s="964"/>
      <c r="M819" s="85" t="s">
        <v>60</v>
      </c>
      <c r="N819" s="1096" t="s">
        <v>11421</v>
      </c>
      <c r="O819" s="76" t="s">
        <v>11422</v>
      </c>
      <c r="P819" s="153">
        <v>33731.0</v>
      </c>
      <c r="Q819" s="315">
        <f t="shared" si="83"/>
        <v>33731</v>
      </c>
      <c r="R819" s="86">
        <f t="shared" si="84"/>
        <v>34</v>
      </c>
      <c r="S819" s="76">
        <v>3.373003611E9</v>
      </c>
      <c r="T819" s="315"/>
      <c r="U819" s="76" t="s">
        <v>379</v>
      </c>
      <c r="V819" s="76"/>
      <c r="W819" s="76"/>
      <c r="X819" s="76" t="s">
        <v>186</v>
      </c>
      <c r="Y819" s="97"/>
      <c r="Z819" s="85" t="s">
        <v>2506</v>
      </c>
      <c r="AA819" s="76" t="s">
        <v>1178</v>
      </c>
      <c r="AB819" s="97"/>
      <c r="AC819" s="76"/>
      <c r="AD819" s="76"/>
      <c r="AE819" s="76"/>
      <c r="AF819" s="76"/>
      <c r="AG819" s="189"/>
      <c r="AH819" s="76" t="s">
        <v>11423</v>
      </c>
      <c r="AI819" s="763"/>
      <c r="AJ819" s="763"/>
      <c r="AK819" s="763"/>
      <c r="AL819" s="763"/>
      <c r="AM819" s="763"/>
      <c r="AN819" s="763"/>
      <c r="AO819" s="763"/>
      <c r="AP819" s="763"/>
      <c r="AQ819" s="763"/>
      <c r="AR819" s="763"/>
      <c r="AS819" s="763"/>
      <c r="AT819" s="763"/>
    </row>
    <row r="820">
      <c r="A820" s="86"/>
      <c r="B820" s="302" t="s">
        <v>4145</v>
      </c>
      <c r="C820" s="291" t="s">
        <v>5668</v>
      </c>
      <c r="D820" s="76"/>
      <c r="E820" s="574">
        <v>46129.0</v>
      </c>
      <c r="F820" s="762"/>
      <c r="G820" s="762"/>
      <c r="H820" s="762"/>
      <c r="I820" s="762"/>
      <c r="J820" s="76" t="s">
        <v>114</v>
      </c>
      <c r="K820" s="76"/>
      <c r="L820" s="964"/>
      <c r="M820" s="85" t="s">
        <v>326</v>
      </c>
      <c r="N820" s="306" t="s">
        <v>11425</v>
      </c>
      <c r="O820" s="76" t="s">
        <v>3275</v>
      </c>
      <c r="P820" s="153">
        <v>35171.0</v>
      </c>
      <c r="Q820" s="315">
        <f t="shared" si="83"/>
        <v>35171</v>
      </c>
      <c r="R820" s="86">
        <f t="shared" si="84"/>
        <v>30</v>
      </c>
      <c r="S820" s="76">
        <v>3.517010799E9</v>
      </c>
      <c r="T820" s="315" t="s">
        <v>1479</v>
      </c>
      <c r="U820" s="76" t="s">
        <v>379</v>
      </c>
      <c r="V820" s="76" t="s">
        <v>350</v>
      </c>
      <c r="W820" s="76"/>
      <c r="X820" s="76"/>
      <c r="Y820" s="276" t="s">
        <v>1836</v>
      </c>
      <c r="Z820" s="97"/>
      <c r="AA820" s="76" t="s">
        <v>1178</v>
      </c>
      <c r="AB820" s="97"/>
      <c r="AC820" s="76" t="s">
        <v>7020</v>
      </c>
      <c r="AD820" s="76"/>
      <c r="AE820" s="76"/>
      <c r="AF820" s="76"/>
      <c r="AG820" s="189"/>
      <c r="AH820" s="153">
        <v>46149.0</v>
      </c>
      <c r="AI820" s="763"/>
      <c r="AJ820" s="763"/>
      <c r="AK820" s="763"/>
      <c r="AL820" s="763"/>
      <c r="AM820" s="763"/>
      <c r="AN820" s="763"/>
      <c r="AO820" s="763"/>
      <c r="AP820" s="763"/>
      <c r="AQ820" s="763"/>
      <c r="AR820" s="763"/>
      <c r="AS820" s="763"/>
      <c r="AT820" s="763"/>
    </row>
    <row r="821">
      <c r="A821" s="76"/>
      <c r="B821" s="302" t="s">
        <v>4145</v>
      </c>
      <c r="C821" s="757"/>
      <c r="D821" s="757"/>
      <c r="E821" s="86"/>
      <c r="F821" s="759"/>
      <c r="G821" s="760"/>
      <c r="H821" s="760"/>
      <c r="I821" s="87"/>
      <c r="J821" s="76" t="s">
        <v>114</v>
      </c>
      <c r="K821" s="1097"/>
      <c r="L821" s="76"/>
      <c r="M821" s="85" t="s">
        <v>60</v>
      </c>
      <c r="N821" s="306" t="s">
        <v>8475</v>
      </c>
      <c r="O821" s="310" t="s">
        <v>3394</v>
      </c>
      <c r="P821" s="153"/>
      <c r="Q821" s="315"/>
      <c r="R821" s="688"/>
      <c r="S821" s="76"/>
      <c r="T821" s="315"/>
      <c r="U821" s="76" t="s">
        <v>379</v>
      </c>
      <c r="V821" s="76" t="s">
        <v>350</v>
      </c>
      <c r="W821" s="76"/>
      <c r="X821" s="76"/>
      <c r="Y821" s="97"/>
      <c r="Z821" s="1097"/>
      <c r="AA821" s="97"/>
      <c r="AB821" s="76"/>
      <c r="AC821" s="76" t="s">
        <v>7020</v>
      </c>
      <c r="AD821" s="76"/>
      <c r="AE821" s="76"/>
      <c r="AF821" s="310" t="s">
        <v>11430</v>
      </c>
      <c r="AG821" s="189"/>
      <c r="AH821" s="153">
        <v>46149.0</v>
      </c>
      <c r="AI821" s="67"/>
      <c r="AJ821" s="67"/>
      <c r="AK821" s="748"/>
      <c r="AL821" s="748"/>
      <c r="AM821" s="810"/>
      <c r="AN821" s="810"/>
      <c r="AO821" s="748"/>
      <c r="AP821" s="748"/>
      <c r="AQ821" s="67"/>
      <c r="AR821" s="67"/>
      <c r="AS821" s="67"/>
      <c r="AT821" s="67"/>
    </row>
    <row r="822">
      <c r="A822" s="86"/>
      <c r="B822" s="302" t="s">
        <v>145</v>
      </c>
      <c r="C822" s="302"/>
      <c r="D822" s="76"/>
      <c r="E822" s="574">
        <v>46127.0</v>
      </c>
      <c r="F822" s="762"/>
      <c r="G822" s="762"/>
      <c r="H822" s="762"/>
      <c r="I822" s="762"/>
      <c r="J822" s="76" t="s">
        <v>114</v>
      </c>
      <c r="K822" s="76"/>
      <c r="L822" s="964"/>
      <c r="M822" s="85" t="s">
        <v>326</v>
      </c>
      <c r="N822" s="306" t="s">
        <v>11431</v>
      </c>
      <c r="O822" s="310" t="s">
        <v>11432</v>
      </c>
      <c r="P822" s="153">
        <v>34819.0</v>
      </c>
      <c r="Q822" s="315">
        <f t="shared" ref="Q822:Q830" si="85">VALUE(LEFT(TEXT(S822,0),5))+1</f>
        <v>34819</v>
      </c>
      <c r="R822" s="86">
        <f t="shared" ref="R822:R857" si="86">DATEDIF($P822,TODAY(),"Y")</f>
        <v>31</v>
      </c>
      <c r="S822" s="76">
        <v>3.481807716E9</v>
      </c>
      <c r="T822" s="76" t="s">
        <v>1317</v>
      </c>
      <c r="U822" s="76" t="s">
        <v>379</v>
      </c>
      <c r="V822" s="76" t="s">
        <v>350</v>
      </c>
      <c r="W822" s="76"/>
      <c r="X822" s="76" t="s">
        <v>182</v>
      </c>
      <c r="Y822" s="97"/>
      <c r="Z822" s="85" t="s">
        <v>1815</v>
      </c>
      <c r="AA822" s="76" t="s">
        <v>114</v>
      </c>
      <c r="AB822" s="97"/>
      <c r="AC822" s="76" t="s">
        <v>7020</v>
      </c>
      <c r="AD822" s="76"/>
      <c r="AE822" s="76"/>
      <c r="AF822" s="76"/>
      <c r="AG822" s="189"/>
      <c r="AH822" s="153">
        <v>46149.0</v>
      </c>
      <c r="AI822" s="763"/>
      <c r="AJ822" s="763"/>
      <c r="AK822" s="763"/>
      <c r="AL822" s="763"/>
      <c r="AM822" s="763"/>
      <c r="AN822" s="763"/>
      <c r="AO822" s="763"/>
      <c r="AP822" s="763"/>
      <c r="AQ822" s="763"/>
      <c r="AR822" s="763"/>
      <c r="AS822" s="763"/>
      <c r="AT822" s="763"/>
    </row>
    <row r="823">
      <c r="A823" s="86"/>
      <c r="B823" s="302" t="s">
        <v>4145</v>
      </c>
      <c r="C823" s="291" t="s">
        <v>5668</v>
      </c>
      <c r="D823" s="76"/>
      <c r="E823" s="574">
        <v>46129.0</v>
      </c>
      <c r="F823" s="762"/>
      <c r="G823" s="762"/>
      <c r="H823" s="762"/>
      <c r="I823" s="762"/>
      <c r="J823" s="76" t="s">
        <v>114</v>
      </c>
      <c r="K823" s="76"/>
      <c r="L823" s="964"/>
      <c r="M823" s="85" t="s">
        <v>60</v>
      </c>
      <c r="N823" s="306" t="s">
        <v>11437</v>
      </c>
      <c r="O823" s="310" t="s">
        <v>9951</v>
      </c>
      <c r="P823" s="153">
        <v>36929.0</v>
      </c>
      <c r="Q823" s="315">
        <f t="shared" si="85"/>
        <v>36929</v>
      </c>
      <c r="R823" s="86">
        <f t="shared" si="86"/>
        <v>25</v>
      </c>
      <c r="S823" s="76">
        <v>3.692800833E9</v>
      </c>
      <c r="T823" s="76" t="s">
        <v>378</v>
      </c>
      <c r="U823" s="76" t="s">
        <v>379</v>
      </c>
      <c r="V823" s="76" t="s">
        <v>350</v>
      </c>
      <c r="W823" s="310"/>
      <c r="X823" s="76"/>
      <c r="Y823" s="276" t="s">
        <v>1836</v>
      </c>
      <c r="Z823" s="97"/>
      <c r="AA823" s="76" t="s">
        <v>1178</v>
      </c>
      <c r="AB823" s="97"/>
      <c r="AC823" s="76" t="s">
        <v>7020</v>
      </c>
      <c r="AD823" s="76"/>
      <c r="AE823" s="76"/>
      <c r="AF823" s="76"/>
      <c r="AG823" s="189"/>
      <c r="AH823" s="153">
        <v>46149.0</v>
      </c>
      <c r="AI823" s="763"/>
      <c r="AJ823" s="763"/>
      <c r="AK823" s="763"/>
      <c r="AL823" s="763"/>
      <c r="AM823" s="763"/>
      <c r="AN823" s="763"/>
      <c r="AO823" s="763"/>
      <c r="AP823" s="763"/>
      <c r="AQ823" s="763"/>
      <c r="AR823" s="763"/>
      <c r="AS823" s="763"/>
      <c r="AT823" s="763"/>
    </row>
    <row r="824">
      <c r="A824" s="86"/>
      <c r="B824" s="302" t="s">
        <v>4145</v>
      </c>
      <c r="C824" s="302"/>
      <c r="D824" s="76"/>
      <c r="E824" s="574">
        <v>46129.0</v>
      </c>
      <c r="F824" s="762"/>
      <c r="G824" s="762"/>
      <c r="H824" s="762"/>
      <c r="I824" s="762"/>
      <c r="J824" s="76" t="s">
        <v>114</v>
      </c>
      <c r="K824" s="176" t="s">
        <v>1602</v>
      </c>
      <c r="L824" s="964"/>
      <c r="M824" s="85" t="s">
        <v>60</v>
      </c>
      <c r="N824" s="306" t="s">
        <v>11440</v>
      </c>
      <c r="O824" s="76" t="s">
        <v>11441</v>
      </c>
      <c r="P824" s="153">
        <v>30039.0</v>
      </c>
      <c r="Q824" s="315">
        <f t="shared" si="85"/>
        <v>30039</v>
      </c>
      <c r="R824" s="86">
        <f t="shared" si="86"/>
        <v>44</v>
      </c>
      <c r="S824" s="76">
        <v>3.00380835E9</v>
      </c>
      <c r="T824" s="76" t="s">
        <v>378</v>
      </c>
      <c r="U824" s="76" t="s">
        <v>379</v>
      </c>
      <c r="V824" s="76"/>
      <c r="W824" s="76"/>
      <c r="X824" s="76" t="s">
        <v>186</v>
      </c>
      <c r="Y824" s="97"/>
      <c r="Z824" s="85" t="s">
        <v>2506</v>
      </c>
      <c r="AA824" s="76"/>
      <c r="AB824" s="97"/>
      <c r="AC824" s="76"/>
      <c r="AD824" s="76"/>
      <c r="AE824" s="76"/>
      <c r="AF824" s="76"/>
      <c r="AG824" s="189"/>
      <c r="AH824" s="310" t="s">
        <v>11444</v>
      </c>
      <c r="AI824" s="763"/>
      <c r="AJ824" s="763"/>
      <c r="AK824" s="763"/>
      <c r="AL824" s="763"/>
      <c r="AM824" s="763"/>
      <c r="AN824" s="763"/>
      <c r="AO824" s="763"/>
      <c r="AP824" s="763"/>
      <c r="AQ824" s="763"/>
      <c r="AR824" s="763"/>
      <c r="AS824" s="763"/>
      <c r="AT824" s="763"/>
    </row>
    <row r="825">
      <c r="A825" s="86"/>
      <c r="B825" s="302" t="s">
        <v>4145</v>
      </c>
      <c r="C825" s="966" t="s">
        <v>5668</v>
      </c>
      <c r="D825" s="76"/>
      <c r="E825" s="574">
        <v>46110.0</v>
      </c>
      <c r="F825" s="762"/>
      <c r="G825" s="762"/>
      <c r="H825" s="762"/>
      <c r="I825" s="762"/>
      <c r="J825" s="76" t="s">
        <v>114</v>
      </c>
      <c r="K825" s="1098"/>
      <c r="L825" s="964"/>
      <c r="M825" s="85" t="s">
        <v>143</v>
      </c>
      <c r="N825" s="306" t="s">
        <v>3144</v>
      </c>
      <c r="O825" s="76" t="s">
        <v>3147</v>
      </c>
      <c r="P825" s="153">
        <v>29238.0</v>
      </c>
      <c r="Q825" s="315">
        <f t="shared" si="85"/>
        <v>29238</v>
      </c>
      <c r="R825" s="86">
        <f t="shared" si="86"/>
        <v>46</v>
      </c>
      <c r="S825" s="76">
        <v>2.923718157E9</v>
      </c>
      <c r="T825" s="315"/>
      <c r="U825" s="76" t="s">
        <v>379</v>
      </c>
      <c r="V825" s="76" t="s">
        <v>350</v>
      </c>
      <c r="W825" s="76" t="s">
        <v>227</v>
      </c>
      <c r="X825" s="76"/>
      <c r="Y825" s="276" t="s">
        <v>1836</v>
      </c>
      <c r="Z825" s="76"/>
      <c r="AA825" s="76" t="s">
        <v>1178</v>
      </c>
      <c r="AB825" s="97"/>
      <c r="AC825" s="76" t="s">
        <v>7885</v>
      </c>
      <c r="AD825" s="76"/>
      <c r="AE825" s="76"/>
      <c r="AF825" s="76"/>
      <c r="AG825" s="310" t="s">
        <v>11447</v>
      </c>
      <c r="AH825" s="1099" t="s">
        <v>11448</v>
      </c>
      <c r="AI825" s="763"/>
      <c r="AJ825" s="763"/>
      <c r="AK825" s="763"/>
      <c r="AL825" s="763"/>
      <c r="AM825" s="763"/>
      <c r="AN825" s="763"/>
      <c r="AO825" s="763"/>
      <c r="AP825" s="763"/>
      <c r="AQ825" s="763"/>
      <c r="AR825" s="763"/>
      <c r="AS825" s="763"/>
      <c r="AT825" s="763"/>
    </row>
    <row r="826">
      <c r="A826" s="86"/>
      <c r="B826" s="302" t="s">
        <v>145</v>
      </c>
      <c r="C826" s="302"/>
      <c r="D826" s="76"/>
      <c r="E826" s="574">
        <v>46096.0</v>
      </c>
      <c r="F826" s="762"/>
      <c r="G826" s="762"/>
      <c r="H826" s="762"/>
      <c r="I826" s="762"/>
      <c r="J826" s="85" t="s">
        <v>114</v>
      </c>
      <c r="K826" s="76"/>
      <c r="L826" s="964"/>
      <c r="M826" s="85" t="s">
        <v>60</v>
      </c>
      <c r="N826" s="306" t="s">
        <v>11449</v>
      </c>
      <c r="O826" s="76" t="s">
        <v>11450</v>
      </c>
      <c r="P826" s="153">
        <v>30086.0</v>
      </c>
      <c r="Q826" s="315">
        <f t="shared" si="85"/>
        <v>1</v>
      </c>
      <c r="R826" s="86">
        <f t="shared" si="86"/>
        <v>44</v>
      </c>
      <c r="S826" s="76"/>
      <c r="T826" s="315"/>
      <c r="U826" s="76" t="s">
        <v>379</v>
      </c>
      <c r="V826" s="76"/>
      <c r="W826" s="76"/>
      <c r="X826" s="76" t="s">
        <v>182</v>
      </c>
      <c r="Y826" s="97"/>
      <c r="Z826" s="85" t="s">
        <v>1173</v>
      </c>
      <c r="AA826" s="76" t="s">
        <v>185</v>
      </c>
      <c r="AB826" s="76" t="s">
        <v>269</v>
      </c>
      <c r="AC826" s="76"/>
      <c r="AD826" s="76"/>
      <c r="AE826" s="76"/>
      <c r="AF826" s="76"/>
      <c r="AG826" s="189"/>
      <c r="AH826" s="76" t="s">
        <v>11423</v>
      </c>
      <c r="AI826" s="763"/>
      <c r="AJ826" s="763"/>
      <c r="AK826" s="763"/>
      <c r="AL826" s="763"/>
      <c r="AM826" s="763"/>
      <c r="AN826" s="763"/>
      <c r="AO826" s="763"/>
      <c r="AP826" s="763"/>
      <c r="AQ826" s="763"/>
      <c r="AR826" s="763"/>
      <c r="AS826" s="763"/>
      <c r="AT826" s="763"/>
    </row>
    <row r="827">
      <c r="A827" s="86"/>
      <c r="B827" s="302" t="s">
        <v>4145</v>
      </c>
      <c r="C827" s="291" t="s">
        <v>5668</v>
      </c>
      <c r="D827" s="86"/>
      <c r="E827" s="574">
        <v>46088.0</v>
      </c>
      <c r="F827" s="86"/>
      <c r="G827" s="86"/>
      <c r="H827" s="86"/>
      <c r="I827" s="86"/>
      <c r="J827" s="85" t="s">
        <v>114</v>
      </c>
      <c r="K827" s="76" t="s">
        <v>1</v>
      </c>
      <c r="L827" s="76"/>
      <c r="M827" s="85" t="s">
        <v>60</v>
      </c>
      <c r="N827" s="76" t="s">
        <v>9680</v>
      </c>
      <c r="O827" s="76" t="s">
        <v>9681</v>
      </c>
      <c r="P827" s="153">
        <v>32158.0</v>
      </c>
      <c r="Q827" s="315">
        <f t="shared" si="85"/>
        <v>32158</v>
      </c>
      <c r="R827" s="86">
        <f t="shared" si="86"/>
        <v>38</v>
      </c>
      <c r="S827" s="76">
        <v>3.215708592E9</v>
      </c>
      <c r="T827" s="86"/>
      <c r="U827" s="76" t="s">
        <v>379</v>
      </c>
      <c r="V827" s="76"/>
      <c r="W827" s="76"/>
      <c r="X827" s="76"/>
      <c r="Y827" s="167"/>
      <c r="Z827" s="278" t="s">
        <v>1613</v>
      </c>
      <c r="AA827" s="168"/>
      <c r="AB827" s="97"/>
      <c r="AC827" s="168"/>
      <c r="AD827" s="168"/>
      <c r="AE827" s="76"/>
      <c r="AF827" s="167" t="s">
        <v>5258</v>
      </c>
      <c r="AG827" s="76" t="s">
        <v>1187</v>
      </c>
      <c r="AH827" s="167" t="s">
        <v>11456</v>
      </c>
      <c r="AI827" s="67"/>
      <c r="AJ827" s="67"/>
      <c r="AK827" s="67"/>
      <c r="AL827" s="67"/>
      <c r="AM827" s="67"/>
      <c r="AN827" s="67"/>
      <c r="AO827" s="67"/>
      <c r="AP827" s="67"/>
      <c r="AQ827" s="67"/>
      <c r="AR827" s="67"/>
      <c r="AS827" s="67"/>
      <c r="AT827" s="67"/>
    </row>
    <row r="828">
      <c r="A828" s="86"/>
      <c r="B828" s="302" t="s">
        <v>4145</v>
      </c>
      <c r="C828" s="291" t="s">
        <v>5668</v>
      </c>
      <c r="D828" s="86"/>
      <c r="E828" s="574">
        <v>46058.0</v>
      </c>
      <c r="F828" s="86"/>
      <c r="G828" s="86"/>
      <c r="H828" s="86"/>
      <c r="I828" s="86"/>
      <c r="J828" s="85" t="s">
        <v>114</v>
      </c>
      <c r="K828" s="76"/>
      <c r="L828" s="76"/>
      <c r="M828" s="76" t="s">
        <v>60</v>
      </c>
      <c r="N828" s="76" t="s">
        <v>11457</v>
      </c>
      <c r="O828" s="76" t="s">
        <v>11458</v>
      </c>
      <c r="P828" s="153">
        <v>30438.0</v>
      </c>
      <c r="Q828" s="315">
        <f t="shared" si="85"/>
        <v>30438</v>
      </c>
      <c r="R828" s="97">
        <f t="shared" si="86"/>
        <v>43</v>
      </c>
      <c r="S828" s="76">
        <v>3.043709958E9</v>
      </c>
      <c r="T828" s="76" t="s">
        <v>1511</v>
      </c>
      <c r="U828" s="76" t="s">
        <v>379</v>
      </c>
      <c r="V828" s="76"/>
      <c r="W828" s="97"/>
      <c r="X828" s="76"/>
      <c r="Y828" s="168"/>
      <c r="Z828" s="216" t="s">
        <v>2155</v>
      </c>
      <c r="AA828" s="76" t="s">
        <v>1178</v>
      </c>
      <c r="AB828" s="97"/>
      <c r="AC828" s="168"/>
      <c r="AD828" s="168"/>
      <c r="AE828" s="76"/>
      <c r="AF828" s="76"/>
      <c r="AG828" s="76"/>
      <c r="AH828" s="76" t="s">
        <v>11459</v>
      </c>
      <c r="AI828" s="67"/>
      <c r="AJ828" s="67"/>
      <c r="AK828" s="67"/>
      <c r="AL828" s="67"/>
      <c r="AM828" s="67"/>
      <c r="AN828" s="67"/>
      <c r="AO828" s="67"/>
      <c r="AP828" s="67"/>
      <c r="AQ828" s="67"/>
      <c r="AR828" s="67"/>
      <c r="AS828" s="67"/>
      <c r="AT828" s="67"/>
    </row>
    <row r="829">
      <c r="A829" s="86"/>
      <c r="B829" s="302" t="s">
        <v>4145</v>
      </c>
      <c r="C829" s="291" t="s">
        <v>5668</v>
      </c>
      <c r="D829" s="86"/>
      <c r="E829" s="781">
        <v>46047.0</v>
      </c>
      <c r="F829" s="86"/>
      <c r="G829" s="86"/>
      <c r="H829" s="86"/>
      <c r="I829" s="86"/>
      <c r="J829" s="76" t="s">
        <v>114</v>
      </c>
      <c r="K829" s="176" t="s">
        <v>11462</v>
      </c>
      <c r="L829" s="85"/>
      <c r="M829" s="85" t="s">
        <v>60</v>
      </c>
      <c r="N829" s="76" t="s">
        <v>11463</v>
      </c>
      <c r="O829" s="756" t="s">
        <v>1918</v>
      </c>
      <c r="P829" s="262">
        <v>29834.0</v>
      </c>
      <c r="Q829" s="315">
        <f t="shared" si="85"/>
        <v>29834</v>
      </c>
      <c r="R829" s="97">
        <f t="shared" si="86"/>
        <v>44</v>
      </c>
      <c r="S829" s="76">
        <v>2.983315094E9</v>
      </c>
      <c r="T829" s="76" t="s">
        <v>1511</v>
      </c>
      <c r="U829" s="76" t="s">
        <v>379</v>
      </c>
      <c r="V829" s="76"/>
      <c r="W829" s="97"/>
      <c r="X829" s="76" t="s">
        <v>186</v>
      </c>
      <c r="Y829" s="211" t="s">
        <v>1460</v>
      </c>
      <c r="Z829" s="520" t="s">
        <v>1982</v>
      </c>
      <c r="AA829" s="76"/>
      <c r="AB829" s="97"/>
      <c r="AC829" s="76"/>
      <c r="AD829" s="99"/>
      <c r="AE829" s="76"/>
      <c r="AF829" s="76"/>
      <c r="AG829" s="76"/>
      <c r="AH829" s="76" t="s">
        <v>11459</v>
      </c>
      <c r="AI829" s="67"/>
      <c r="AJ829" s="67"/>
      <c r="AK829" s="67"/>
      <c r="AL829" s="67"/>
      <c r="AM829" s="67"/>
      <c r="AN829" s="67"/>
      <c r="AO829" s="67"/>
      <c r="AP829" s="67"/>
      <c r="AQ829" s="67"/>
      <c r="AR829" s="67"/>
      <c r="AS829" s="67"/>
      <c r="AT829" s="67"/>
    </row>
    <row r="830">
      <c r="A830" s="86"/>
      <c r="B830" s="302" t="s">
        <v>145</v>
      </c>
      <c r="C830" s="302"/>
      <c r="D830" s="76"/>
      <c r="E830" s="574">
        <v>46110.0</v>
      </c>
      <c r="F830" s="762"/>
      <c r="G830" s="762"/>
      <c r="H830" s="762"/>
      <c r="I830" s="762"/>
      <c r="J830" s="76" t="s">
        <v>114</v>
      </c>
      <c r="K830" s="76"/>
      <c r="L830" s="964"/>
      <c r="M830" s="85" t="s">
        <v>326</v>
      </c>
      <c r="N830" s="1100" t="s">
        <v>11468</v>
      </c>
      <c r="O830" s="76" t="s">
        <v>5200</v>
      </c>
      <c r="P830" s="153">
        <v>32118.0</v>
      </c>
      <c r="Q830" s="315">
        <f t="shared" si="85"/>
        <v>32118</v>
      </c>
      <c r="R830" s="86">
        <f t="shared" si="86"/>
        <v>38</v>
      </c>
      <c r="S830" s="76">
        <v>3.211700972E9</v>
      </c>
      <c r="T830" s="315"/>
      <c r="U830" s="76" t="s">
        <v>136</v>
      </c>
      <c r="V830" s="76"/>
      <c r="W830" s="76"/>
      <c r="X830" s="76" t="s">
        <v>145</v>
      </c>
      <c r="Y830" s="276" t="s">
        <v>1836</v>
      </c>
      <c r="Z830" s="76"/>
      <c r="AA830" s="76" t="s">
        <v>185</v>
      </c>
      <c r="AB830" s="76" t="s">
        <v>269</v>
      </c>
      <c r="AC830" s="76"/>
      <c r="AD830" s="76"/>
      <c r="AE830" s="76"/>
      <c r="AF830" s="76"/>
      <c r="AG830" s="76" t="s">
        <v>11470</v>
      </c>
      <c r="AH830" s="153">
        <v>46114.0</v>
      </c>
      <c r="AI830" s="763"/>
      <c r="AJ830" s="763"/>
      <c r="AK830" s="763"/>
      <c r="AL830" s="763"/>
      <c r="AM830" s="763"/>
      <c r="AN830" s="763"/>
      <c r="AO830" s="763"/>
      <c r="AP830" s="763"/>
      <c r="AQ830" s="763"/>
      <c r="AR830" s="763"/>
      <c r="AS830" s="763"/>
      <c r="AT830" s="763"/>
    </row>
    <row r="831">
      <c r="A831" s="86"/>
      <c r="B831" s="302" t="s">
        <v>145</v>
      </c>
      <c r="C831" s="523"/>
      <c r="D831" s="86"/>
      <c r="E831" s="574">
        <v>46058.0</v>
      </c>
      <c r="F831" s="86"/>
      <c r="G831" s="86"/>
      <c r="H831" s="86"/>
      <c r="I831" s="86"/>
      <c r="J831" s="85" t="s">
        <v>114</v>
      </c>
      <c r="K831" s="76"/>
      <c r="L831" s="76"/>
      <c r="M831" s="76" t="s">
        <v>60</v>
      </c>
      <c r="N831" s="287" t="s">
        <v>11471</v>
      </c>
      <c r="O831" s="76" t="s">
        <v>1542</v>
      </c>
      <c r="P831" s="153">
        <v>32009.0</v>
      </c>
      <c r="Q831" s="86"/>
      <c r="R831" s="97">
        <f t="shared" si="86"/>
        <v>39</v>
      </c>
      <c r="S831" s="86"/>
      <c r="T831" s="86"/>
      <c r="U831" s="310" t="s">
        <v>136</v>
      </c>
      <c r="V831" s="76"/>
      <c r="W831" s="76"/>
      <c r="X831" s="76" t="s">
        <v>145</v>
      </c>
      <c r="Y831" s="168"/>
      <c r="Z831" s="216" t="s">
        <v>2155</v>
      </c>
      <c r="AA831" s="76" t="s">
        <v>185</v>
      </c>
      <c r="AB831" s="76" t="s">
        <v>269</v>
      </c>
      <c r="AC831" s="168"/>
      <c r="AD831" s="168"/>
      <c r="AE831" s="76" t="s">
        <v>672</v>
      </c>
      <c r="AF831" s="76"/>
      <c r="AG831" s="76"/>
      <c r="AH831" s="76" t="s">
        <v>11474</v>
      </c>
      <c r="AI831" s="67"/>
      <c r="AJ831" s="67"/>
      <c r="AK831" s="67"/>
      <c r="AL831" s="67"/>
      <c r="AM831" s="67"/>
      <c r="AN831" s="67"/>
      <c r="AO831" s="67"/>
      <c r="AP831" s="67"/>
      <c r="AQ831" s="67"/>
      <c r="AR831" s="67"/>
      <c r="AS831" s="67"/>
      <c r="AT831" s="67"/>
    </row>
    <row r="832">
      <c r="A832" s="86"/>
      <c r="B832" s="302" t="s">
        <v>145</v>
      </c>
      <c r="C832" s="523"/>
      <c r="D832" s="86"/>
      <c r="E832" s="574">
        <v>46058.0</v>
      </c>
      <c r="F832" s="86"/>
      <c r="G832" s="86"/>
      <c r="H832" s="86"/>
      <c r="I832" s="86"/>
      <c r="J832" s="76" t="s">
        <v>114</v>
      </c>
      <c r="K832" s="176" t="s">
        <v>11475</v>
      </c>
      <c r="L832" s="76"/>
      <c r="M832" s="76" t="s">
        <v>60</v>
      </c>
      <c r="N832" s="287" t="s">
        <v>11476</v>
      </c>
      <c r="O832" s="76" t="s">
        <v>11477</v>
      </c>
      <c r="P832" s="330">
        <v>31038.0</v>
      </c>
      <c r="Q832" s="315">
        <f t="shared" ref="Q832:Q857" si="87">VALUE(LEFT(TEXT(S832,0),5))+1</f>
        <v>31038</v>
      </c>
      <c r="R832" s="97">
        <f t="shared" si="86"/>
        <v>41</v>
      </c>
      <c r="S832" s="76">
        <v>3.103714594E9</v>
      </c>
      <c r="T832" s="86"/>
      <c r="U832" s="310" t="s">
        <v>136</v>
      </c>
      <c r="V832" s="76"/>
      <c r="W832" s="97"/>
      <c r="X832" s="76" t="s">
        <v>182</v>
      </c>
      <c r="Y832" s="211" t="s">
        <v>2155</v>
      </c>
      <c r="Z832" s="501" t="s">
        <v>418</v>
      </c>
      <c r="AA832" s="76" t="s">
        <v>185</v>
      </c>
      <c r="AB832" s="76" t="s">
        <v>269</v>
      </c>
      <c r="AC832" s="168"/>
      <c r="AD832" s="168"/>
      <c r="AE832" s="76" t="s">
        <v>154</v>
      </c>
      <c r="AF832" s="153">
        <v>46087.0</v>
      </c>
      <c r="AG832" s="76"/>
      <c r="AH832" s="76" t="s">
        <v>11479</v>
      </c>
      <c r="AI832" s="67"/>
      <c r="AJ832" s="67"/>
      <c r="AK832" s="67"/>
      <c r="AL832" s="67"/>
      <c r="AM832" s="67"/>
      <c r="AN832" s="67"/>
      <c r="AO832" s="67"/>
      <c r="AP832" s="67"/>
      <c r="AQ832" s="67"/>
      <c r="AR832" s="67"/>
      <c r="AS832" s="67"/>
      <c r="AT832" s="67"/>
    </row>
    <row r="833">
      <c r="A833" s="86"/>
      <c r="B833" s="302" t="s">
        <v>145</v>
      </c>
      <c r="C833" s="315">
        <v>46002.0</v>
      </c>
      <c r="D833" s="86"/>
      <c r="E833" s="764"/>
      <c r="F833" s="86"/>
      <c r="G833" s="86"/>
      <c r="H833" s="86"/>
      <c r="I833" s="86"/>
      <c r="J833" s="76" t="s">
        <v>114</v>
      </c>
      <c r="K833" s="85"/>
      <c r="L833" s="85"/>
      <c r="M833" s="85" t="s">
        <v>60</v>
      </c>
      <c r="N833" s="287" t="s">
        <v>11480</v>
      </c>
      <c r="O833" s="34" t="s">
        <v>9858</v>
      </c>
      <c r="P833" s="153">
        <v>29983.0</v>
      </c>
      <c r="Q833" s="315">
        <f t="shared" si="87"/>
        <v>29983</v>
      </c>
      <c r="R833" s="86">
        <f t="shared" si="86"/>
        <v>44</v>
      </c>
      <c r="S833" s="76">
        <v>2.998212418E9</v>
      </c>
      <c r="T833" s="315"/>
      <c r="U833" s="310" t="s">
        <v>136</v>
      </c>
      <c r="V833" s="76"/>
      <c r="W833" s="76"/>
      <c r="X833" s="76" t="s">
        <v>145</v>
      </c>
      <c r="Y833" s="97" t="s">
        <v>183</v>
      </c>
      <c r="Z833" s="278" t="s">
        <v>2090</v>
      </c>
      <c r="AA833" s="76" t="s">
        <v>185</v>
      </c>
      <c r="AB833" s="76" t="s">
        <v>269</v>
      </c>
      <c r="AC833" s="97"/>
      <c r="AD833" s="99"/>
      <c r="AE833" s="76" t="s">
        <v>672</v>
      </c>
      <c r="AF833" s="76" t="s">
        <v>4767</v>
      </c>
      <c r="AG833" s="341" t="s">
        <v>11484</v>
      </c>
      <c r="AH833" s="85" t="s">
        <v>11485</v>
      </c>
      <c r="AI833" s="67"/>
      <c r="AJ833" s="67"/>
      <c r="AK833" s="67"/>
      <c r="AL833" s="67"/>
      <c r="AM833" s="67"/>
      <c r="AN833" s="67"/>
      <c r="AO833" s="67"/>
      <c r="AP833" s="67"/>
      <c r="AQ833" s="67"/>
      <c r="AR833" s="67"/>
      <c r="AS833" s="67"/>
      <c r="AT833" s="67"/>
    </row>
    <row r="834">
      <c r="A834" s="76" t="s">
        <v>116</v>
      </c>
      <c r="B834" s="757" t="s">
        <v>1039</v>
      </c>
      <c r="C834" s="757" t="s">
        <v>1517</v>
      </c>
      <c r="D834" s="757" t="s">
        <v>1368</v>
      </c>
      <c r="E834" s="758" t="s">
        <v>178</v>
      </c>
      <c r="F834" s="759" t="s">
        <v>1369</v>
      </c>
      <c r="G834" s="760" t="s">
        <v>2165</v>
      </c>
      <c r="H834" s="760" t="s">
        <v>102</v>
      </c>
      <c r="I834" s="146" t="s">
        <v>408</v>
      </c>
      <c r="J834" s="85" t="s">
        <v>114</v>
      </c>
      <c r="K834" s="124" t="s">
        <v>11486</v>
      </c>
      <c r="L834" s="76"/>
      <c r="M834" s="85" t="s">
        <v>102</v>
      </c>
      <c r="N834" s="256" t="s">
        <v>2455</v>
      </c>
      <c r="O834" s="76" t="s">
        <v>2456</v>
      </c>
      <c r="P834" s="153">
        <v>31483.0</v>
      </c>
      <c r="Q834" s="315">
        <f t="shared" si="87"/>
        <v>31483</v>
      </c>
      <c r="R834" s="86">
        <f t="shared" si="86"/>
        <v>40</v>
      </c>
      <c r="S834" s="76">
        <v>3.148215696E9</v>
      </c>
      <c r="T834" s="86"/>
      <c r="U834" s="76" t="s">
        <v>368</v>
      </c>
      <c r="V834" s="76"/>
      <c r="W834" s="76"/>
      <c r="X834" s="97"/>
      <c r="Y834" s="167"/>
      <c r="Z834" s="176" t="s">
        <v>1460</v>
      </c>
      <c r="AA834" s="168"/>
      <c r="AB834" s="97"/>
      <c r="AC834" s="168"/>
      <c r="AD834" s="168"/>
      <c r="AE834" s="76"/>
      <c r="AF834" s="76"/>
      <c r="AG834" s="76" t="s">
        <v>1187</v>
      </c>
      <c r="AH834" s="153">
        <v>46125.0</v>
      </c>
      <c r="AI834" s="203"/>
      <c r="AJ834" s="203"/>
      <c r="AK834" s="203"/>
      <c r="AL834" s="203"/>
      <c r="AM834" s="203"/>
      <c r="AN834" s="203"/>
      <c r="AO834" s="203"/>
      <c r="AP834" s="203"/>
      <c r="AQ834" s="203"/>
      <c r="AR834" s="203"/>
      <c r="AS834" s="203"/>
      <c r="AT834" s="203"/>
    </row>
    <row r="835">
      <c r="A835" s="76" t="s">
        <v>116</v>
      </c>
      <c r="B835" s="757" t="s">
        <v>1039</v>
      </c>
      <c r="C835" s="757" t="s">
        <v>1611</v>
      </c>
      <c r="D835" s="757" t="s">
        <v>1519</v>
      </c>
      <c r="E835" s="758" t="s">
        <v>321</v>
      </c>
      <c r="F835" s="759" t="s">
        <v>1552</v>
      </c>
      <c r="G835" s="760" t="s">
        <v>2474</v>
      </c>
      <c r="H835" s="760" t="s">
        <v>60</v>
      </c>
      <c r="I835" s="87" t="s">
        <v>1221</v>
      </c>
      <c r="J835" s="85" t="s">
        <v>114</v>
      </c>
      <c r="K835" s="76" t="s">
        <v>1</v>
      </c>
      <c r="L835" s="76"/>
      <c r="M835" s="85" t="s">
        <v>60</v>
      </c>
      <c r="N835" s="256" t="s">
        <v>2471</v>
      </c>
      <c r="O835" s="76" t="s">
        <v>2472</v>
      </c>
      <c r="P835" s="153">
        <v>33213.0</v>
      </c>
      <c r="Q835" s="315">
        <f t="shared" si="87"/>
        <v>33213</v>
      </c>
      <c r="R835" s="86">
        <f t="shared" si="86"/>
        <v>35</v>
      </c>
      <c r="S835" s="76">
        <v>3.321207933E9</v>
      </c>
      <c r="T835" s="86"/>
      <c r="U835" s="76" t="s">
        <v>368</v>
      </c>
      <c r="V835" s="76"/>
      <c r="W835" s="76"/>
      <c r="X835" s="76"/>
      <c r="Y835" s="167"/>
      <c r="Z835" s="278" t="s">
        <v>1613</v>
      </c>
      <c r="AA835" s="168"/>
      <c r="AB835" s="97"/>
      <c r="AC835" s="168"/>
      <c r="AD835" s="168"/>
      <c r="AE835" s="76"/>
      <c r="AF835" s="167"/>
      <c r="AG835" s="76" t="s">
        <v>1187</v>
      </c>
      <c r="AH835" s="153">
        <v>46125.0</v>
      </c>
      <c r="AI835" s="203"/>
      <c r="AJ835" s="203"/>
      <c r="AK835" s="203"/>
      <c r="AL835" s="203"/>
      <c r="AM835" s="203"/>
      <c r="AN835" s="203"/>
      <c r="AO835" s="203"/>
      <c r="AP835" s="203"/>
      <c r="AQ835" s="203"/>
      <c r="AR835" s="203"/>
      <c r="AS835" s="203"/>
      <c r="AT835" s="203"/>
    </row>
    <row r="836">
      <c r="A836" s="76" t="s">
        <v>116</v>
      </c>
      <c r="B836" s="757" t="s">
        <v>1645</v>
      </c>
      <c r="C836" s="757" t="s">
        <v>1728</v>
      </c>
      <c r="D836" s="757" t="s">
        <v>121</v>
      </c>
      <c r="E836" s="758" t="s">
        <v>331</v>
      </c>
      <c r="F836" s="759" t="s">
        <v>1731</v>
      </c>
      <c r="G836" s="760" t="s">
        <v>1084</v>
      </c>
      <c r="H836" s="760" t="s">
        <v>60</v>
      </c>
      <c r="I836" s="87" t="s">
        <v>1221</v>
      </c>
      <c r="J836" s="76" t="s">
        <v>114</v>
      </c>
      <c r="K836" s="76"/>
      <c r="L836" s="964"/>
      <c r="M836" s="85" t="s">
        <v>60</v>
      </c>
      <c r="N836" s="306" t="s">
        <v>11490</v>
      </c>
      <c r="O836" s="76" t="s">
        <v>11491</v>
      </c>
      <c r="P836" s="153">
        <v>31600.0</v>
      </c>
      <c r="Q836" s="315">
        <f t="shared" si="87"/>
        <v>1</v>
      </c>
      <c r="R836" s="86">
        <f t="shared" si="86"/>
        <v>40</v>
      </c>
      <c r="S836" s="76"/>
      <c r="T836" s="315"/>
      <c r="U836" s="76" t="s">
        <v>393</v>
      </c>
      <c r="V836" s="76"/>
      <c r="W836" s="76"/>
      <c r="X836" s="76" t="s">
        <v>186</v>
      </c>
      <c r="Y836" s="97"/>
      <c r="Z836" s="85" t="s">
        <v>1815</v>
      </c>
      <c r="AA836" s="76"/>
      <c r="AB836" s="97"/>
      <c r="AC836" s="76"/>
      <c r="AD836" s="76"/>
      <c r="AE836" s="76" t="s">
        <v>154</v>
      </c>
      <c r="AF836" s="315" t="s">
        <v>4767</v>
      </c>
      <c r="AG836" s="189"/>
      <c r="AH836" s="310" t="s">
        <v>10569</v>
      </c>
      <c r="AI836" s="203"/>
      <c r="AJ836" s="203"/>
      <c r="AK836" s="203"/>
      <c r="AL836" s="203"/>
      <c r="AM836" s="203"/>
      <c r="AN836" s="203"/>
      <c r="AO836" s="203"/>
      <c r="AP836" s="203"/>
      <c r="AQ836" s="203"/>
      <c r="AR836" s="203"/>
      <c r="AS836" s="203"/>
      <c r="AT836" s="203"/>
    </row>
    <row r="837">
      <c r="A837" s="76" t="s">
        <v>116</v>
      </c>
      <c r="B837" s="757" t="s">
        <v>3722</v>
      </c>
      <c r="C837" s="757" t="s">
        <v>3724</v>
      </c>
      <c r="D837" s="757" t="s">
        <v>8128</v>
      </c>
      <c r="E837" s="758" t="s">
        <v>786</v>
      </c>
      <c r="F837" s="759" t="s">
        <v>1216</v>
      </c>
      <c r="G837" s="760" t="s">
        <v>1625</v>
      </c>
      <c r="H837" s="760" t="s">
        <v>60</v>
      </c>
      <c r="I837" s="87" t="s">
        <v>1221</v>
      </c>
      <c r="J837" s="76" t="s">
        <v>114</v>
      </c>
      <c r="K837" s="109"/>
      <c r="L837" s="341"/>
      <c r="M837" s="85" t="s">
        <v>60</v>
      </c>
      <c r="N837" s="785" t="s">
        <v>2507</v>
      </c>
      <c r="O837" s="756" t="s">
        <v>2508</v>
      </c>
      <c r="P837" s="262">
        <v>32239.0</v>
      </c>
      <c r="Q837" s="315">
        <f t="shared" si="87"/>
        <v>32239</v>
      </c>
      <c r="R837" s="97">
        <f t="shared" si="86"/>
        <v>38</v>
      </c>
      <c r="S837" s="76">
        <v>3.223800558E9</v>
      </c>
      <c r="T837" s="315"/>
      <c r="U837" s="76" t="s">
        <v>368</v>
      </c>
      <c r="V837" s="76"/>
      <c r="W837" s="97"/>
      <c r="X837" s="76"/>
      <c r="Y837" s="97"/>
      <c r="Z837" s="278" t="s">
        <v>1613</v>
      </c>
      <c r="AA837" s="76"/>
      <c r="AB837" s="97"/>
      <c r="AC837" s="76"/>
      <c r="AD837" s="99"/>
      <c r="AE837" s="76"/>
      <c r="AF837" s="76"/>
      <c r="AG837" s="76" t="s">
        <v>1187</v>
      </c>
      <c r="AH837" s="153">
        <v>46122.0</v>
      </c>
      <c r="AI837" s="203"/>
      <c r="AJ837" s="203"/>
      <c r="AK837" s="203"/>
      <c r="AL837" s="203"/>
      <c r="AM837" s="203"/>
      <c r="AN837" s="203"/>
      <c r="AO837" s="203"/>
      <c r="AP837" s="203"/>
      <c r="AQ837" s="203"/>
      <c r="AR837" s="203"/>
      <c r="AS837" s="203"/>
      <c r="AT837" s="203"/>
    </row>
    <row r="838">
      <c r="A838" s="76" t="s">
        <v>116</v>
      </c>
      <c r="B838" s="757" t="s">
        <v>1433</v>
      </c>
      <c r="C838" s="757" t="s">
        <v>121</v>
      </c>
      <c r="D838" s="757" t="s">
        <v>121</v>
      </c>
      <c r="E838" s="758" t="s">
        <v>331</v>
      </c>
      <c r="F838" s="759" t="s">
        <v>7124</v>
      </c>
      <c r="G838" s="760" t="s">
        <v>1684</v>
      </c>
      <c r="H838" s="760" t="s">
        <v>60</v>
      </c>
      <c r="I838" s="87" t="s">
        <v>1221</v>
      </c>
      <c r="J838" s="97" t="s">
        <v>114</v>
      </c>
      <c r="K838" s="124" t="s">
        <v>11492</v>
      </c>
      <c r="L838" s="86"/>
      <c r="M838" s="86" t="s">
        <v>60</v>
      </c>
      <c r="N838" s="978" t="s">
        <v>11493</v>
      </c>
      <c r="O838" s="87" t="s">
        <v>4178</v>
      </c>
      <c r="P838" s="750">
        <v>29835.0</v>
      </c>
      <c r="Q838" s="315">
        <f t="shared" si="87"/>
        <v>29835</v>
      </c>
      <c r="R838" s="86">
        <f t="shared" si="86"/>
        <v>44</v>
      </c>
      <c r="S838" s="315">
        <v>2.983421273E9</v>
      </c>
      <c r="T838" s="315"/>
      <c r="U838" s="224" t="s">
        <v>136</v>
      </c>
      <c r="V838" s="86"/>
      <c r="W838" s="86"/>
      <c r="X838" s="97"/>
      <c r="Y838" s="86"/>
      <c r="Z838" s="86"/>
      <c r="AA838" s="86"/>
      <c r="AB838" s="97"/>
      <c r="AC838" s="86"/>
      <c r="AD838" s="86" t="s">
        <v>1032</v>
      </c>
      <c r="AE838" s="86"/>
      <c r="AF838" s="99" t="s">
        <v>155</v>
      </c>
      <c r="AG838" s="76" t="s">
        <v>697</v>
      </c>
      <c r="AH838" s="153">
        <v>46031.0</v>
      </c>
      <c r="AI838" s="203"/>
      <c r="AJ838" s="203"/>
      <c r="AK838" s="203"/>
      <c r="AL838" s="203"/>
      <c r="AM838" s="203"/>
      <c r="AN838" s="203"/>
      <c r="AO838" s="203"/>
      <c r="AP838" s="203"/>
      <c r="AQ838" s="203"/>
      <c r="AR838" s="203"/>
      <c r="AS838" s="203"/>
      <c r="AT838" s="203"/>
    </row>
    <row r="839">
      <c r="A839" s="76" t="s">
        <v>116</v>
      </c>
      <c r="B839" s="757" t="s">
        <v>1728</v>
      </c>
      <c r="C839" s="757" t="s">
        <v>121</v>
      </c>
      <c r="D839" s="757" t="s">
        <v>121</v>
      </c>
      <c r="E839" s="758" t="s">
        <v>331</v>
      </c>
      <c r="F839" s="759" t="s">
        <v>1731</v>
      </c>
      <c r="G839" s="760" t="s">
        <v>577</v>
      </c>
      <c r="H839" s="760" t="s">
        <v>60</v>
      </c>
      <c r="I839" s="87" t="s">
        <v>1221</v>
      </c>
      <c r="J839" s="76" t="s">
        <v>114</v>
      </c>
      <c r="K839" s="124" t="s">
        <v>11494</v>
      </c>
      <c r="L839" s="85"/>
      <c r="M839" s="85" t="s">
        <v>60</v>
      </c>
      <c r="N839" s="256" t="s">
        <v>2532</v>
      </c>
      <c r="O839" s="756" t="s">
        <v>2533</v>
      </c>
      <c r="P839" s="262">
        <v>28768.0</v>
      </c>
      <c r="Q839" s="315">
        <f t="shared" si="87"/>
        <v>1</v>
      </c>
      <c r="R839" s="97">
        <f t="shared" si="86"/>
        <v>47</v>
      </c>
      <c r="S839" s="315"/>
      <c r="T839" s="315"/>
      <c r="U839" s="76" t="s">
        <v>368</v>
      </c>
      <c r="V839" s="76"/>
      <c r="W839" s="97"/>
      <c r="X839" s="76"/>
      <c r="Y839" s="97"/>
      <c r="Z839" s="278" t="s">
        <v>1613</v>
      </c>
      <c r="AA839" s="76"/>
      <c r="AB839" s="97"/>
      <c r="AC839" s="76"/>
      <c r="AD839" s="99"/>
      <c r="AE839" s="76"/>
      <c r="AF839" s="76"/>
      <c r="AG839" s="76" t="s">
        <v>1187</v>
      </c>
      <c r="AH839" s="153">
        <v>46127.0</v>
      </c>
      <c r="AI839" s="203"/>
      <c r="AJ839" s="203"/>
      <c r="AK839" s="203"/>
      <c r="AL839" s="203"/>
      <c r="AM839" s="203"/>
      <c r="AN839" s="203"/>
      <c r="AO839" s="203"/>
      <c r="AP839" s="203"/>
      <c r="AQ839" s="203"/>
      <c r="AR839" s="203"/>
      <c r="AS839" s="203"/>
      <c r="AT839" s="203"/>
    </row>
    <row r="840">
      <c r="A840" s="76" t="s">
        <v>116</v>
      </c>
      <c r="B840" s="757" t="s">
        <v>3898</v>
      </c>
      <c r="C840" s="757" t="s">
        <v>8616</v>
      </c>
      <c r="D840" s="757" t="s">
        <v>121</v>
      </c>
      <c r="E840" s="758" t="s">
        <v>178</v>
      </c>
      <c r="F840" s="759" t="s">
        <v>9312</v>
      </c>
      <c r="G840" s="760" t="s">
        <v>2540</v>
      </c>
      <c r="H840" s="760" t="s">
        <v>102</v>
      </c>
      <c r="I840" s="146" t="s">
        <v>408</v>
      </c>
      <c r="J840" s="109" t="s">
        <v>114</v>
      </c>
      <c r="K840" s="85" t="s">
        <v>11495</v>
      </c>
      <c r="L840" s="109"/>
      <c r="M840" s="109" t="s">
        <v>60</v>
      </c>
      <c r="N840" s="785" t="s">
        <v>2536</v>
      </c>
      <c r="O840" s="97" t="s">
        <v>2538</v>
      </c>
      <c r="P840" s="209">
        <v>30123.0</v>
      </c>
      <c r="Q840" s="315">
        <f t="shared" si="87"/>
        <v>30123</v>
      </c>
      <c r="R840" s="86">
        <f t="shared" si="86"/>
        <v>44</v>
      </c>
      <c r="S840" s="76">
        <v>3.012201013E9</v>
      </c>
      <c r="T840" s="315"/>
      <c r="U840" s="124" t="s">
        <v>368</v>
      </c>
      <c r="V840" s="86"/>
      <c r="W840" s="76"/>
      <c r="X840" s="97"/>
      <c r="Y840" s="76" t="s">
        <v>1174</v>
      </c>
      <c r="Z840" s="474" t="s">
        <v>184</v>
      </c>
      <c r="AA840" s="97"/>
      <c r="AB840" s="97"/>
      <c r="AC840" s="97"/>
      <c r="AD840" s="99"/>
      <c r="AE840" s="76"/>
      <c r="AF840" s="97"/>
      <c r="AG840" s="76" t="s">
        <v>375</v>
      </c>
      <c r="AH840" s="523">
        <v>46120.0</v>
      </c>
      <c r="AI840" s="203"/>
      <c r="AJ840" s="203"/>
      <c r="AK840" s="203"/>
      <c r="AL840" s="203"/>
      <c r="AM840" s="203"/>
      <c r="AN840" s="203"/>
      <c r="AO840" s="203"/>
      <c r="AP840" s="203"/>
      <c r="AQ840" s="203"/>
      <c r="AR840" s="203"/>
      <c r="AS840" s="203"/>
      <c r="AT840" s="203"/>
    </row>
    <row r="841">
      <c r="A841" s="76" t="s">
        <v>116</v>
      </c>
      <c r="B841" s="757" t="s">
        <v>3332</v>
      </c>
      <c r="C841" s="757" t="s">
        <v>6561</v>
      </c>
      <c r="D841" s="757" t="s">
        <v>121</v>
      </c>
      <c r="E841" s="758" t="s">
        <v>178</v>
      </c>
      <c r="F841" s="759" t="s">
        <v>3335</v>
      </c>
      <c r="G841" s="760" t="s">
        <v>2549</v>
      </c>
      <c r="H841" s="760" t="s">
        <v>102</v>
      </c>
      <c r="I841" s="146" t="s">
        <v>408</v>
      </c>
      <c r="J841" s="109" t="s">
        <v>114</v>
      </c>
      <c r="K841" s="176" t="s">
        <v>11496</v>
      </c>
      <c r="L841" s="87"/>
      <c r="M841" s="87" t="s">
        <v>60</v>
      </c>
      <c r="N841" s="1063" t="s">
        <v>2547</v>
      </c>
      <c r="O841" s="86" t="s">
        <v>1624</v>
      </c>
      <c r="P841" s="209">
        <v>29653.0</v>
      </c>
      <c r="Q841" s="315">
        <f t="shared" si="87"/>
        <v>29653</v>
      </c>
      <c r="R841" s="86">
        <f t="shared" si="86"/>
        <v>45</v>
      </c>
      <c r="S841" s="315">
        <v>2.965214833E9</v>
      </c>
      <c r="T841" s="315"/>
      <c r="U841" s="124" t="s">
        <v>368</v>
      </c>
      <c r="V841" s="86"/>
      <c r="W841" s="76"/>
      <c r="X841" s="97"/>
      <c r="Y841" s="76" t="s">
        <v>1174</v>
      </c>
      <c r="Z841" s="474" t="s">
        <v>184</v>
      </c>
      <c r="AA841" s="97"/>
      <c r="AB841" s="97"/>
      <c r="AC841" s="97"/>
      <c r="AD841" s="99"/>
      <c r="AE841" s="76"/>
      <c r="AF841" s="97"/>
      <c r="AG841" s="76" t="s">
        <v>375</v>
      </c>
      <c r="AH841" s="153">
        <v>46120.0</v>
      </c>
      <c r="AI841" s="203"/>
      <c r="AJ841" s="203"/>
      <c r="AK841" s="203"/>
      <c r="AL841" s="203"/>
      <c r="AM841" s="203"/>
      <c r="AN841" s="203"/>
      <c r="AO841" s="203"/>
      <c r="AP841" s="203"/>
      <c r="AQ841" s="203"/>
      <c r="AR841" s="203"/>
      <c r="AS841" s="203"/>
      <c r="AT841" s="203"/>
    </row>
    <row r="842">
      <c r="A842" s="76" t="s">
        <v>116</v>
      </c>
      <c r="B842" s="757" t="s">
        <v>1039</v>
      </c>
      <c r="C842" s="757" t="s">
        <v>1269</v>
      </c>
      <c r="D842" s="757" t="s">
        <v>1368</v>
      </c>
      <c r="E842" s="758" t="s">
        <v>213</v>
      </c>
      <c r="F842" s="759" t="s">
        <v>1523</v>
      </c>
      <c r="G842" s="760" t="s">
        <v>1574</v>
      </c>
      <c r="H842" s="760" t="s">
        <v>60</v>
      </c>
      <c r="I842" s="87" t="s">
        <v>1221</v>
      </c>
      <c r="J842" s="85" t="s">
        <v>114</v>
      </c>
      <c r="K842" s="124" t="s">
        <v>11497</v>
      </c>
      <c r="L842" s="76"/>
      <c r="M842" s="85" t="s">
        <v>656</v>
      </c>
      <c r="N842" s="256" t="s">
        <v>2448</v>
      </c>
      <c r="O842" s="76" t="s">
        <v>2449</v>
      </c>
      <c r="P842" s="153">
        <v>28420.0</v>
      </c>
      <c r="Q842" s="315">
        <f t="shared" si="87"/>
        <v>28420</v>
      </c>
      <c r="R842" s="86">
        <f t="shared" si="86"/>
        <v>48</v>
      </c>
      <c r="S842" s="76">
        <v>2.841918414E9</v>
      </c>
      <c r="T842" s="86"/>
      <c r="U842" s="76" t="s">
        <v>368</v>
      </c>
      <c r="V842" s="76"/>
      <c r="W842" s="76"/>
      <c r="X842" s="76"/>
      <c r="Y842" s="97" t="s">
        <v>1174</v>
      </c>
      <c r="Z842" s="278" t="s">
        <v>2090</v>
      </c>
      <c r="AA842" s="168"/>
      <c r="AC842" s="168"/>
      <c r="AD842" s="168"/>
      <c r="AE842" s="76"/>
      <c r="AF842" s="76"/>
      <c r="AG842" s="76" t="s">
        <v>1187</v>
      </c>
      <c r="AH842" s="153">
        <v>46143.0</v>
      </c>
      <c r="AI842" s="203"/>
      <c r="AJ842" s="203"/>
      <c r="AK842" s="203"/>
      <c r="AL842" s="203"/>
      <c r="AM842" s="203"/>
      <c r="AN842" s="203"/>
      <c r="AO842" s="203"/>
      <c r="AP842" s="203"/>
      <c r="AQ842" s="203"/>
      <c r="AR842" s="203"/>
      <c r="AS842" s="203"/>
      <c r="AT842" s="203"/>
    </row>
    <row r="843">
      <c r="A843" s="76" t="s">
        <v>116</v>
      </c>
      <c r="B843" s="757" t="s">
        <v>1039</v>
      </c>
      <c r="C843" s="757" t="s">
        <v>1517</v>
      </c>
      <c r="D843" s="757" t="s">
        <v>1519</v>
      </c>
      <c r="E843" s="758" t="s">
        <v>201</v>
      </c>
      <c r="F843" s="759" t="s">
        <v>1849</v>
      </c>
      <c r="G843" s="760" t="s">
        <v>2466</v>
      </c>
      <c r="H843" s="760" t="s">
        <v>60</v>
      </c>
      <c r="I843" s="87" t="s">
        <v>1221</v>
      </c>
      <c r="J843" s="76" t="s">
        <v>114</v>
      </c>
      <c r="K843" s="176" t="s">
        <v>11498</v>
      </c>
      <c r="L843" s="85"/>
      <c r="M843" s="85" t="s">
        <v>60</v>
      </c>
      <c r="N843" s="256" t="s">
        <v>2463</v>
      </c>
      <c r="O843" s="756" t="s">
        <v>11499</v>
      </c>
      <c r="P843" s="262">
        <v>28799.0</v>
      </c>
      <c r="Q843" s="315">
        <f t="shared" si="87"/>
        <v>28799</v>
      </c>
      <c r="R843" s="97">
        <f t="shared" si="86"/>
        <v>47</v>
      </c>
      <c r="S843" s="76">
        <v>2.879810376E9</v>
      </c>
      <c r="T843" s="315"/>
      <c r="U843" s="76" t="s">
        <v>368</v>
      </c>
      <c r="V843" s="76"/>
      <c r="W843" s="97"/>
      <c r="X843" s="97"/>
      <c r="Y843" s="97"/>
      <c r="Z843" s="176" t="s">
        <v>1460</v>
      </c>
      <c r="AA843" s="76"/>
      <c r="AB843" s="97"/>
      <c r="AC843" s="76"/>
      <c r="AD843" s="99"/>
      <c r="AE843" s="76"/>
      <c r="AF843" s="167"/>
      <c r="AG843" s="76" t="s">
        <v>1187</v>
      </c>
      <c r="AH843" s="153">
        <v>46141.0</v>
      </c>
      <c r="AI843" s="203"/>
      <c r="AJ843" s="203"/>
      <c r="AK843" s="203"/>
      <c r="AL843" s="203"/>
      <c r="AM843" s="203"/>
      <c r="AN843" s="203"/>
      <c r="AO843" s="203"/>
      <c r="AP843" s="203"/>
      <c r="AQ843" s="203"/>
      <c r="AR843" s="203"/>
      <c r="AS843" s="203"/>
      <c r="AT843" s="203"/>
    </row>
    <row r="844">
      <c r="A844" s="76" t="s">
        <v>116</v>
      </c>
      <c r="B844" s="757" t="s">
        <v>1709</v>
      </c>
      <c r="C844" s="757" t="s">
        <v>1517</v>
      </c>
      <c r="D844" s="757" t="s">
        <v>1368</v>
      </c>
      <c r="E844" s="758" t="s">
        <v>212</v>
      </c>
      <c r="F844" s="759" t="s">
        <v>2203</v>
      </c>
      <c r="G844" s="760" t="s">
        <v>5909</v>
      </c>
      <c r="H844" s="760" t="s">
        <v>326</v>
      </c>
      <c r="I844" s="87" t="s">
        <v>1221</v>
      </c>
      <c r="J844" s="76" t="s">
        <v>114</v>
      </c>
      <c r="K844" s="124" t="s">
        <v>1602</v>
      </c>
      <c r="L844" s="964"/>
      <c r="M844" s="85" t="s">
        <v>60</v>
      </c>
      <c r="N844" s="306" t="s">
        <v>8362</v>
      </c>
      <c r="O844" s="310" t="s">
        <v>2862</v>
      </c>
      <c r="P844" s="153">
        <v>36282.0</v>
      </c>
      <c r="Q844" s="315">
        <f t="shared" si="87"/>
        <v>1</v>
      </c>
      <c r="R844" s="86">
        <f t="shared" si="86"/>
        <v>27</v>
      </c>
      <c r="S844" s="76"/>
      <c r="T844" s="76" t="s">
        <v>378</v>
      </c>
      <c r="U844" s="76" t="s">
        <v>379</v>
      </c>
      <c r="V844" s="76"/>
      <c r="W844" s="76"/>
      <c r="X844" s="76" t="s">
        <v>186</v>
      </c>
      <c r="Y844" s="97"/>
      <c r="Z844" s="85" t="s">
        <v>1815</v>
      </c>
      <c r="AA844" s="76"/>
      <c r="AB844" s="97"/>
      <c r="AC844" s="76" t="s">
        <v>7020</v>
      </c>
      <c r="AD844" s="76"/>
      <c r="AE844" s="76"/>
      <c r="AF844" s="76"/>
      <c r="AG844" s="189"/>
      <c r="AH844" s="153">
        <v>46149.0</v>
      </c>
      <c r="AI844" s="203"/>
      <c r="AJ844" s="203"/>
      <c r="AK844" s="203"/>
      <c r="AL844" s="203"/>
      <c r="AM844" s="203"/>
      <c r="AN844" s="203"/>
      <c r="AO844" s="203"/>
      <c r="AP844" s="203"/>
      <c r="AQ844" s="203"/>
      <c r="AR844" s="203"/>
      <c r="AS844" s="203"/>
      <c r="AT844" s="203"/>
    </row>
    <row r="845">
      <c r="A845" s="76" t="s">
        <v>116</v>
      </c>
      <c r="B845" s="757" t="s">
        <v>1433</v>
      </c>
      <c r="C845" s="757" t="s">
        <v>121</v>
      </c>
      <c r="D845" s="757" t="s">
        <v>121</v>
      </c>
      <c r="E845" s="758" t="s">
        <v>212</v>
      </c>
      <c r="F845" s="759" t="s">
        <v>2203</v>
      </c>
      <c r="G845" s="760" t="s">
        <v>8392</v>
      </c>
      <c r="H845" s="760" t="s">
        <v>326</v>
      </c>
      <c r="I845" s="87" t="s">
        <v>1221</v>
      </c>
      <c r="J845" s="85" t="s">
        <v>114</v>
      </c>
      <c r="K845" s="176" t="s">
        <v>11500</v>
      </c>
      <c r="L845" s="85"/>
      <c r="M845" s="85" t="s">
        <v>60</v>
      </c>
      <c r="N845" s="287" t="s">
        <v>9139</v>
      </c>
      <c r="O845" s="76" t="s">
        <v>2487</v>
      </c>
      <c r="P845" s="750">
        <v>30123.0</v>
      </c>
      <c r="Q845" s="315">
        <f t="shared" si="87"/>
        <v>30123</v>
      </c>
      <c r="R845" s="86">
        <f t="shared" si="86"/>
        <v>44</v>
      </c>
      <c r="S845" s="315">
        <v>3.01220515E9</v>
      </c>
      <c r="T845" s="315" t="s">
        <v>1317</v>
      </c>
      <c r="U845" s="310" t="s">
        <v>136</v>
      </c>
      <c r="V845" s="76"/>
      <c r="W845" s="76"/>
      <c r="X845" s="97"/>
      <c r="Y845" s="76" t="s">
        <v>1174</v>
      </c>
      <c r="Z845" s="728" t="s">
        <v>2482</v>
      </c>
      <c r="AA845" s="76"/>
      <c r="AB845" s="97"/>
      <c r="AC845" s="97"/>
      <c r="AD845" s="99"/>
      <c r="AE845" s="76"/>
      <c r="AF845" s="76" t="s">
        <v>155</v>
      </c>
      <c r="AG845" s="76" t="s">
        <v>375</v>
      </c>
      <c r="AH845" s="76" t="s">
        <v>11501</v>
      </c>
      <c r="AI845" s="203"/>
      <c r="AJ845" s="203"/>
      <c r="AK845" s="203"/>
      <c r="AL845" s="203"/>
      <c r="AM845" s="203"/>
      <c r="AN845" s="203"/>
      <c r="AO845" s="203"/>
      <c r="AP845" s="203"/>
      <c r="AQ845" s="203"/>
      <c r="AR845" s="203"/>
      <c r="AS845" s="203"/>
      <c r="AT845" s="203"/>
    </row>
    <row r="846">
      <c r="A846" s="76" t="s">
        <v>116</v>
      </c>
      <c r="B846" s="757" t="s">
        <v>1728</v>
      </c>
      <c r="C846" s="757" t="s">
        <v>121</v>
      </c>
      <c r="D846" s="757" t="s">
        <v>121</v>
      </c>
      <c r="E846" s="758" t="s">
        <v>1466</v>
      </c>
      <c r="F846" s="759" t="s">
        <v>8998</v>
      </c>
      <c r="G846" s="760" t="s">
        <v>8716</v>
      </c>
      <c r="H846" s="760" t="s">
        <v>326</v>
      </c>
      <c r="I846" s="87" t="s">
        <v>1221</v>
      </c>
      <c r="J846" s="76" t="s">
        <v>114</v>
      </c>
      <c r="K846" s="176" t="s">
        <v>1602</v>
      </c>
      <c r="L846" s="964"/>
      <c r="M846" s="85" t="s">
        <v>60</v>
      </c>
      <c r="N846" s="1100" t="s">
        <v>8533</v>
      </c>
      <c r="O846" s="76" t="s">
        <v>11502</v>
      </c>
      <c r="P846" s="153">
        <v>28184.0</v>
      </c>
      <c r="Q846" s="315">
        <f t="shared" si="87"/>
        <v>28184</v>
      </c>
      <c r="R846" s="86">
        <f t="shared" si="86"/>
        <v>49</v>
      </c>
      <c r="S846" s="76">
        <v>2.818318596E9</v>
      </c>
      <c r="T846" s="315"/>
      <c r="U846" s="76" t="s">
        <v>136</v>
      </c>
      <c r="V846" s="76"/>
      <c r="W846" s="76"/>
      <c r="X846" s="76" t="s">
        <v>186</v>
      </c>
      <c r="Y846" s="97"/>
      <c r="Z846" s="85" t="s">
        <v>1815</v>
      </c>
      <c r="AA846" s="76"/>
      <c r="AB846" s="97"/>
      <c r="AC846" s="76"/>
      <c r="AD846" s="76" t="s">
        <v>632</v>
      </c>
      <c r="AE846" s="76"/>
      <c r="AF846" s="310" t="s">
        <v>11503</v>
      </c>
      <c r="AG846" s="76" t="s">
        <v>11504</v>
      </c>
      <c r="AH846" s="311">
        <v>46141.0</v>
      </c>
      <c r="AI846" s="203"/>
      <c r="AJ846" s="203"/>
      <c r="AK846" s="203"/>
      <c r="AL846" s="203"/>
      <c r="AM846" s="203"/>
      <c r="AN846" s="203"/>
      <c r="AO846" s="203"/>
      <c r="AP846" s="203"/>
      <c r="AQ846" s="203"/>
      <c r="AR846" s="203"/>
      <c r="AS846" s="203"/>
      <c r="AT846" s="203"/>
    </row>
    <row r="847">
      <c r="A847" s="76" t="s">
        <v>116</v>
      </c>
      <c r="B847" s="757" t="s">
        <v>1728</v>
      </c>
      <c r="C847" s="757" t="s">
        <v>121</v>
      </c>
      <c r="D847" s="757" t="s">
        <v>121</v>
      </c>
      <c r="E847" s="758" t="s">
        <v>201</v>
      </c>
      <c r="F847" s="759" t="s">
        <v>1849</v>
      </c>
      <c r="G847" s="760" t="s">
        <v>1850</v>
      </c>
      <c r="H847" s="760" t="s">
        <v>60</v>
      </c>
      <c r="I847" s="87" t="s">
        <v>1221</v>
      </c>
      <c r="J847" s="76" t="s">
        <v>114</v>
      </c>
      <c r="K847" s="176" t="s">
        <v>11505</v>
      </c>
      <c r="L847" s="85"/>
      <c r="M847" s="85" t="s">
        <v>60</v>
      </c>
      <c r="N847" s="256" t="s">
        <v>2523</v>
      </c>
      <c r="O847" s="756" t="s">
        <v>2524</v>
      </c>
      <c r="P847" s="262">
        <v>28323.0</v>
      </c>
      <c r="Q847" s="315">
        <f t="shared" si="87"/>
        <v>28323</v>
      </c>
      <c r="R847" s="97">
        <f t="shared" si="86"/>
        <v>49</v>
      </c>
      <c r="S847" s="76">
        <v>2.832200318E9</v>
      </c>
      <c r="T847" s="315" t="s">
        <v>1362</v>
      </c>
      <c r="U847" s="76" t="s">
        <v>368</v>
      </c>
      <c r="V847" s="76"/>
      <c r="W847" s="76"/>
      <c r="X847" s="76"/>
      <c r="Y847" s="97"/>
      <c r="Z847" s="278" t="s">
        <v>1613</v>
      </c>
      <c r="AA847" s="76"/>
      <c r="AB847" s="97"/>
      <c r="AC847" s="76"/>
      <c r="AD847" s="99"/>
      <c r="AE847" s="76"/>
      <c r="AF847" s="153">
        <v>46093.0</v>
      </c>
      <c r="AG847" s="76" t="s">
        <v>1187</v>
      </c>
      <c r="AH847" s="311">
        <v>46141.0</v>
      </c>
      <c r="AI847" s="203"/>
      <c r="AJ847" s="203"/>
      <c r="AK847" s="203"/>
      <c r="AL847" s="203"/>
      <c r="AM847" s="203"/>
      <c r="AN847" s="203"/>
      <c r="AO847" s="203"/>
      <c r="AP847" s="203"/>
      <c r="AQ847" s="203"/>
      <c r="AR847" s="203"/>
      <c r="AS847" s="203"/>
      <c r="AT847" s="203"/>
    </row>
    <row r="848">
      <c r="A848" s="76" t="s">
        <v>116</v>
      </c>
      <c r="B848" s="757" t="s">
        <v>3898</v>
      </c>
      <c r="C848" s="757" t="s">
        <v>8583</v>
      </c>
      <c r="D848" s="757" t="s">
        <v>121</v>
      </c>
      <c r="E848" s="758" t="s">
        <v>786</v>
      </c>
      <c r="F848" s="759" t="s">
        <v>1216</v>
      </c>
      <c r="G848" s="760" t="s">
        <v>8618</v>
      </c>
      <c r="H848" s="760" t="s">
        <v>60</v>
      </c>
      <c r="I848" s="87" t="s">
        <v>1221</v>
      </c>
      <c r="J848" s="85" t="s">
        <v>114</v>
      </c>
      <c r="K848" s="176" t="s">
        <v>11506</v>
      </c>
      <c r="L848" s="76"/>
      <c r="M848" s="85" t="s">
        <v>656</v>
      </c>
      <c r="N848" s="76" t="s">
        <v>11507</v>
      </c>
      <c r="O848" s="76" t="s">
        <v>9278</v>
      </c>
      <c r="P848" s="153">
        <v>28775.0</v>
      </c>
      <c r="Q848" s="315">
        <f t="shared" si="87"/>
        <v>28775</v>
      </c>
      <c r="R848" s="86">
        <f t="shared" si="86"/>
        <v>47</v>
      </c>
      <c r="S848" s="76">
        <v>2.877420253E9</v>
      </c>
      <c r="T848" s="86"/>
      <c r="U848" s="310" t="s">
        <v>136</v>
      </c>
      <c r="V848" s="76"/>
      <c r="W848" s="76"/>
      <c r="X848" s="76" t="s">
        <v>186</v>
      </c>
      <c r="Y848" s="211" t="s">
        <v>1351</v>
      </c>
      <c r="Z848" s="211" t="s">
        <v>418</v>
      </c>
      <c r="AA848" s="168"/>
      <c r="AB848" s="97"/>
      <c r="AC848" s="168"/>
      <c r="AD848" s="168"/>
      <c r="AE848" s="76" t="s">
        <v>154</v>
      </c>
      <c r="AF848" s="310" t="s">
        <v>4767</v>
      </c>
      <c r="AG848" s="76"/>
      <c r="AH848" s="76" t="s">
        <v>11508</v>
      </c>
      <c r="AI848" s="203"/>
      <c r="AJ848" s="203"/>
      <c r="AK848" s="203"/>
      <c r="AL848" s="203"/>
      <c r="AM848" s="203"/>
      <c r="AN848" s="203"/>
      <c r="AO848" s="203"/>
      <c r="AP848" s="203"/>
      <c r="AQ848" s="203"/>
      <c r="AR848" s="203"/>
      <c r="AS848" s="203"/>
      <c r="AT848" s="203"/>
    </row>
    <row r="849">
      <c r="A849" s="76" t="s">
        <v>116</v>
      </c>
      <c r="B849" s="757" t="s">
        <v>3898</v>
      </c>
      <c r="C849" s="757" t="s">
        <v>7243</v>
      </c>
      <c r="D849" s="757" t="s">
        <v>121</v>
      </c>
      <c r="E849" s="758" t="s">
        <v>1978</v>
      </c>
      <c r="F849" s="759" t="s">
        <v>7224</v>
      </c>
      <c r="G849" s="760" t="s">
        <v>2008</v>
      </c>
      <c r="H849" s="760" t="s">
        <v>60</v>
      </c>
      <c r="I849" s="87" t="s">
        <v>1221</v>
      </c>
      <c r="J849" s="85" t="s">
        <v>114</v>
      </c>
      <c r="K849" s="85"/>
      <c r="L849" s="85"/>
      <c r="M849" s="85" t="s">
        <v>60</v>
      </c>
      <c r="N849" s="287" t="s">
        <v>11509</v>
      </c>
      <c r="O849" s="76" t="s">
        <v>11510</v>
      </c>
      <c r="P849" s="153">
        <v>31580.0</v>
      </c>
      <c r="Q849" s="315">
        <f t="shared" si="87"/>
        <v>31580</v>
      </c>
      <c r="R849" s="86">
        <f t="shared" si="86"/>
        <v>40</v>
      </c>
      <c r="S849" s="76">
        <v>3.157900079E9</v>
      </c>
      <c r="T849" s="315"/>
      <c r="U849" s="310" t="s">
        <v>136</v>
      </c>
      <c r="V849" s="76"/>
      <c r="W849" s="76"/>
      <c r="X849" s="76"/>
      <c r="Y849" s="97" t="s">
        <v>183</v>
      </c>
      <c r="Z849" s="278" t="s">
        <v>2090</v>
      </c>
      <c r="AA849" s="76" t="s">
        <v>1178</v>
      </c>
      <c r="AB849" s="97"/>
      <c r="AC849" s="99"/>
      <c r="AD849" s="99"/>
      <c r="AE849" s="76"/>
      <c r="AF849" s="99"/>
      <c r="AG849" s="76" t="s">
        <v>11511</v>
      </c>
      <c r="AH849" s="311">
        <v>46142.0</v>
      </c>
      <c r="AI849" s="203"/>
      <c r="AJ849" s="203"/>
      <c r="AK849" s="203"/>
      <c r="AL849" s="203"/>
      <c r="AM849" s="203"/>
      <c r="AN849" s="203"/>
      <c r="AO849" s="203"/>
      <c r="AP849" s="203"/>
      <c r="AQ849" s="203"/>
      <c r="AR849" s="203"/>
      <c r="AS849" s="203"/>
      <c r="AT849" s="203"/>
    </row>
    <row r="850">
      <c r="A850" s="76" t="s">
        <v>116</v>
      </c>
      <c r="B850" s="757" t="s">
        <v>3454</v>
      </c>
      <c r="C850" s="757" t="s">
        <v>7302</v>
      </c>
      <c r="D850" s="757" t="s">
        <v>121</v>
      </c>
      <c r="E850" s="758" t="s">
        <v>201</v>
      </c>
      <c r="F850" s="759" t="s">
        <v>1849</v>
      </c>
      <c r="G850" s="760" t="s">
        <v>2261</v>
      </c>
      <c r="H850" s="760" t="s">
        <v>60</v>
      </c>
      <c r="I850" s="87" t="s">
        <v>1221</v>
      </c>
      <c r="J850" s="85" t="s">
        <v>114</v>
      </c>
      <c r="K850" s="85"/>
      <c r="L850" s="76"/>
      <c r="M850" s="85" t="s">
        <v>60</v>
      </c>
      <c r="N850" s="76" t="s">
        <v>2258</v>
      </c>
      <c r="O850" s="76" t="s">
        <v>2259</v>
      </c>
      <c r="P850" s="153">
        <v>31758.0</v>
      </c>
      <c r="Q850" s="315">
        <f t="shared" si="87"/>
        <v>31758</v>
      </c>
      <c r="R850" s="97">
        <f t="shared" si="86"/>
        <v>39</v>
      </c>
      <c r="S850" s="76">
        <v>3.175720898E9</v>
      </c>
      <c r="T850" s="315" t="s">
        <v>1317</v>
      </c>
      <c r="U850" s="310" t="s">
        <v>136</v>
      </c>
      <c r="V850" s="76"/>
      <c r="W850" s="97"/>
      <c r="X850" s="76"/>
      <c r="Y850" s="168"/>
      <c r="Z850" s="216" t="s">
        <v>2155</v>
      </c>
      <c r="AA850" s="341" t="s">
        <v>11512</v>
      </c>
      <c r="AB850" s="97"/>
      <c r="AC850" s="168"/>
      <c r="AD850" s="168"/>
      <c r="AE850" s="76"/>
      <c r="AF850" s="76"/>
      <c r="AG850" s="76"/>
      <c r="AH850" s="311">
        <v>46148.0</v>
      </c>
      <c r="AI850" s="203"/>
      <c r="AJ850" s="203"/>
      <c r="AK850" s="203"/>
      <c r="AL850" s="203"/>
      <c r="AM850" s="203"/>
      <c r="AN850" s="203"/>
      <c r="AO850" s="203"/>
      <c r="AP850" s="203"/>
      <c r="AQ850" s="203"/>
      <c r="AR850" s="203"/>
      <c r="AS850" s="203"/>
      <c r="AT850" s="203"/>
    </row>
    <row r="851">
      <c r="A851" s="76" t="s">
        <v>116</v>
      </c>
      <c r="B851" s="757" t="s">
        <v>1709</v>
      </c>
      <c r="C851" s="757" t="s">
        <v>1269</v>
      </c>
      <c r="D851" s="757" t="s">
        <v>1368</v>
      </c>
      <c r="E851" s="758" t="s">
        <v>321</v>
      </c>
      <c r="F851" s="759" t="s">
        <v>1552</v>
      </c>
      <c r="G851" s="760" t="s">
        <v>5533</v>
      </c>
      <c r="H851" s="760" t="s">
        <v>60</v>
      </c>
      <c r="I851" s="87" t="s">
        <v>1221</v>
      </c>
      <c r="J851" s="109" t="s">
        <v>114</v>
      </c>
      <c r="K851" s="87"/>
      <c r="L851" s="87"/>
      <c r="M851" s="87" t="s">
        <v>60</v>
      </c>
      <c r="N851" s="86" t="s">
        <v>6760</v>
      </c>
      <c r="O851" s="86" t="s">
        <v>4788</v>
      </c>
      <c r="P851" s="712">
        <v>32088.0</v>
      </c>
      <c r="Q851" s="315">
        <f t="shared" si="87"/>
        <v>32088</v>
      </c>
      <c r="R851" s="86">
        <f t="shared" si="86"/>
        <v>38</v>
      </c>
      <c r="S851" s="315">
        <v>3.208723316E9</v>
      </c>
      <c r="T851" s="315"/>
      <c r="U851" s="124" t="s">
        <v>393</v>
      </c>
      <c r="V851" s="76"/>
      <c r="W851" s="86"/>
      <c r="X851" s="97"/>
      <c r="Y851" s="97"/>
      <c r="Z851" s="97"/>
      <c r="AA851" s="97"/>
      <c r="AB851" s="97"/>
      <c r="AC851" s="97"/>
      <c r="AD851" s="99"/>
      <c r="AE851" s="76" t="s">
        <v>672</v>
      </c>
      <c r="AF851" s="76" t="s">
        <v>155</v>
      </c>
      <c r="AG851" s="76" t="s">
        <v>375</v>
      </c>
      <c r="AH851" s="85" t="s">
        <v>11513</v>
      </c>
      <c r="AI851" s="203"/>
      <c r="AJ851" s="203"/>
      <c r="AK851" s="203"/>
      <c r="AL851" s="203"/>
      <c r="AM851" s="203"/>
      <c r="AN851" s="203"/>
      <c r="AO851" s="203"/>
      <c r="AP851" s="203"/>
      <c r="AQ851" s="203"/>
      <c r="AR851" s="203"/>
      <c r="AS851" s="203"/>
      <c r="AT851" s="203"/>
    </row>
    <row r="852">
      <c r="A852" s="76" t="s">
        <v>116</v>
      </c>
      <c r="B852" s="757" t="s">
        <v>3722</v>
      </c>
      <c r="C852" s="757" t="s">
        <v>6996</v>
      </c>
      <c r="D852" s="757" t="s">
        <v>7050</v>
      </c>
      <c r="E852" s="758" t="s">
        <v>786</v>
      </c>
      <c r="F852" s="759" t="s">
        <v>7095</v>
      </c>
      <c r="G852" s="760" t="s">
        <v>7096</v>
      </c>
      <c r="H852" s="760" t="s">
        <v>60</v>
      </c>
      <c r="I852" s="87" t="s">
        <v>1221</v>
      </c>
      <c r="J852" s="109" t="s">
        <v>114</v>
      </c>
      <c r="K852" s="109"/>
      <c r="L852" s="109"/>
      <c r="M852" s="109" t="s">
        <v>60</v>
      </c>
      <c r="N852" s="332" t="s">
        <v>11514</v>
      </c>
      <c r="O852" s="109" t="s">
        <v>11515</v>
      </c>
      <c r="P852" s="750">
        <v>34604.0</v>
      </c>
      <c r="Q852" s="315">
        <f t="shared" si="87"/>
        <v>34604</v>
      </c>
      <c r="R852" s="86">
        <f t="shared" si="86"/>
        <v>31</v>
      </c>
      <c r="S852" s="315" t="s">
        <v>11516</v>
      </c>
      <c r="T852" s="315"/>
      <c r="U852" s="124" t="s">
        <v>136</v>
      </c>
      <c r="V852" s="76"/>
      <c r="W852" s="97"/>
      <c r="X852" s="97"/>
      <c r="Y852" s="97"/>
      <c r="Z852" s="97"/>
      <c r="AA852" s="97"/>
      <c r="AB852" s="97"/>
      <c r="AC852" s="97" t="s">
        <v>1566</v>
      </c>
      <c r="AD852" s="99"/>
      <c r="AE852" s="76"/>
      <c r="AF852" s="76" t="s">
        <v>155</v>
      </c>
      <c r="AG852" s="76" t="s">
        <v>375</v>
      </c>
      <c r="AH852" s="76" t="s">
        <v>11517</v>
      </c>
      <c r="AI852" s="203"/>
      <c r="AJ852" s="203"/>
      <c r="AK852" s="203"/>
      <c r="AL852" s="203"/>
      <c r="AM852" s="203"/>
      <c r="AN852" s="203"/>
      <c r="AO852" s="203"/>
      <c r="AP852" s="203"/>
      <c r="AQ852" s="203"/>
      <c r="AR852" s="203"/>
      <c r="AS852" s="203"/>
      <c r="AT852" s="203"/>
    </row>
    <row r="853">
      <c r="A853" s="76">
        <v>155.0</v>
      </c>
      <c r="B853" s="529" t="s">
        <v>3898</v>
      </c>
      <c r="C853" s="86" t="s">
        <v>7243</v>
      </c>
      <c r="D853" s="86" t="s">
        <v>121</v>
      </c>
      <c r="E853" s="746" t="s">
        <v>1978</v>
      </c>
      <c r="F853" s="747" t="s">
        <v>7224</v>
      </c>
      <c r="G853" s="97" t="s">
        <v>60</v>
      </c>
      <c r="H853" s="87" t="s">
        <v>1221</v>
      </c>
      <c r="I853" s="86" t="s">
        <v>1443</v>
      </c>
      <c r="J853" s="76" t="s">
        <v>114</v>
      </c>
      <c r="K853" s="176" t="s">
        <v>11518</v>
      </c>
      <c r="L853" s="85"/>
      <c r="M853" s="85" t="s">
        <v>102</v>
      </c>
      <c r="N853" s="913" t="s">
        <v>11519</v>
      </c>
      <c r="O853" s="756" t="s">
        <v>11520</v>
      </c>
      <c r="P853" s="262">
        <v>28352.0</v>
      </c>
      <c r="Q853" s="315">
        <f t="shared" si="87"/>
        <v>28352</v>
      </c>
      <c r="R853" s="97">
        <f t="shared" si="86"/>
        <v>49</v>
      </c>
      <c r="S853" s="76">
        <v>2.835105337E9</v>
      </c>
      <c r="T853" s="315" t="s">
        <v>1317</v>
      </c>
      <c r="U853" s="310" t="s">
        <v>136</v>
      </c>
      <c r="V853" s="76"/>
      <c r="W853" s="97"/>
      <c r="X853" s="76" t="s">
        <v>186</v>
      </c>
      <c r="Y853" s="211" t="s">
        <v>1460</v>
      </c>
      <c r="Z853" s="211" t="s">
        <v>418</v>
      </c>
      <c r="AA853" s="76"/>
      <c r="AB853" s="97"/>
      <c r="AC853" s="76"/>
      <c r="AD853" s="99"/>
      <c r="AE853" s="76"/>
      <c r="AF853" s="76"/>
      <c r="AG853" s="76"/>
      <c r="AH853" s="153">
        <v>46080.0</v>
      </c>
      <c r="AI853" s="67"/>
      <c r="AJ853" s="67"/>
      <c r="AK853" s="67"/>
      <c r="AL853" s="67"/>
      <c r="AM853" s="67"/>
      <c r="AN853" s="67"/>
      <c r="AO853" s="67"/>
      <c r="AP853" s="67"/>
      <c r="AQ853" s="67"/>
      <c r="AR853" s="67"/>
      <c r="AS853" s="67"/>
      <c r="AT853" s="67"/>
    </row>
    <row r="854">
      <c r="A854" s="86"/>
      <c r="B854" s="302" t="s">
        <v>4145</v>
      </c>
      <c r="C854" s="97"/>
      <c r="D854" s="86"/>
      <c r="E854" s="764"/>
      <c r="F854" s="86"/>
      <c r="G854" s="86"/>
      <c r="H854" s="86"/>
      <c r="I854" s="86"/>
      <c r="J854" s="76" t="s">
        <v>114</v>
      </c>
      <c r="K854" s="109"/>
      <c r="L854" s="109"/>
      <c r="M854" s="109" t="s">
        <v>60</v>
      </c>
      <c r="N854" s="1103" t="s">
        <v>11521</v>
      </c>
      <c r="O854" s="76" t="s">
        <v>11522</v>
      </c>
      <c r="P854" s="153">
        <v>28808.0</v>
      </c>
      <c r="Q854" s="315">
        <f t="shared" si="87"/>
        <v>28808</v>
      </c>
      <c r="R854" s="97">
        <f t="shared" si="86"/>
        <v>47</v>
      </c>
      <c r="S854" s="315">
        <v>2.880719916E9</v>
      </c>
      <c r="T854" s="315"/>
      <c r="U854" s="310" t="s">
        <v>136</v>
      </c>
      <c r="V854" s="86"/>
      <c r="W854" s="76"/>
      <c r="X854" s="76"/>
      <c r="Y854" s="97" t="s">
        <v>1174</v>
      </c>
      <c r="Z854" s="300" t="s">
        <v>991</v>
      </c>
      <c r="AA854" s="97"/>
      <c r="AB854" s="97"/>
      <c r="AC854" s="97"/>
      <c r="AD854" s="99"/>
      <c r="AE854" s="76"/>
      <c r="AF854" s="76" t="s">
        <v>4767</v>
      </c>
      <c r="AG854" s="189"/>
      <c r="AH854" s="330">
        <v>45979.0</v>
      </c>
      <c r="AI854" s="203"/>
      <c r="AJ854" s="203"/>
      <c r="AK854" s="203"/>
      <c r="AL854" s="203"/>
      <c r="AM854" s="203"/>
      <c r="AN854" s="203"/>
      <c r="AO854" s="203"/>
      <c r="AP854" s="203"/>
      <c r="AQ854" s="203"/>
      <c r="AR854" s="203"/>
      <c r="AS854" s="203"/>
      <c r="AT854" s="203"/>
    </row>
    <row r="855">
      <c r="A855" s="86"/>
      <c r="B855" s="302" t="s">
        <v>4145</v>
      </c>
      <c r="C855" s="291" t="s">
        <v>5668</v>
      </c>
      <c r="D855" s="86"/>
      <c r="F855" s="86"/>
      <c r="G855" s="86"/>
      <c r="H855" s="86"/>
      <c r="I855" s="86"/>
      <c r="J855" s="76" t="s">
        <v>114</v>
      </c>
      <c r="K855" s="76"/>
      <c r="L855" s="76"/>
      <c r="M855" s="76" t="s">
        <v>60</v>
      </c>
      <c r="N855" s="97" t="s">
        <v>11523</v>
      </c>
      <c r="O855" s="76" t="s">
        <v>11524</v>
      </c>
      <c r="P855" s="153">
        <v>31319.0</v>
      </c>
      <c r="Q855" s="315" t="str">
        <f t="shared" si="87"/>
        <v>#VALUE!</v>
      </c>
      <c r="R855" s="97">
        <f t="shared" si="86"/>
        <v>40</v>
      </c>
      <c r="S855" s="76" t="s">
        <v>3642</v>
      </c>
      <c r="T855" s="315"/>
      <c r="U855" s="310" t="s">
        <v>136</v>
      </c>
      <c r="V855" s="76"/>
      <c r="W855" s="76"/>
      <c r="X855" s="76" t="s">
        <v>186</v>
      </c>
      <c r="Y855" s="211" t="s">
        <v>2482</v>
      </c>
      <c r="Z855" s="501" t="s">
        <v>418</v>
      </c>
      <c r="AA855" s="76" t="s">
        <v>1178</v>
      </c>
      <c r="AB855" s="97"/>
      <c r="AC855" s="97"/>
      <c r="AD855" s="99"/>
      <c r="AE855" s="76"/>
      <c r="AF855" s="76"/>
      <c r="AG855" s="76"/>
      <c r="AH855" s="76" t="s">
        <v>11525</v>
      </c>
      <c r="AI855" s="203"/>
      <c r="AJ855" s="203"/>
      <c r="AK855" s="203"/>
      <c r="AL855" s="203"/>
      <c r="AM855" s="203"/>
      <c r="AN855" s="203"/>
      <c r="AO855" s="203"/>
      <c r="AP855" s="203"/>
      <c r="AQ855" s="203"/>
      <c r="AR855" s="203"/>
      <c r="AS855" s="203"/>
      <c r="AT855" s="203"/>
    </row>
    <row r="856">
      <c r="A856" s="86"/>
      <c r="B856" s="302" t="s">
        <v>4145</v>
      </c>
      <c r="C856" s="314" t="s">
        <v>5668</v>
      </c>
      <c r="D856" s="86"/>
      <c r="E856" s="1104" t="s">
        <v>8305</v>
      </c>
      <c r="F856" s="86"/>
      <c r="G856" s="86"/>
      <c r="H856" s="86"/>
      <c r="I856" s="86"/>
      <c r="J856" s="76" t="s">
        <v>114</v>
      </c>
      <c r="K856" s="124" t="s">
        <v>11526</v>
      </c>
      <c r="L856" s="76"/>
      <c r="M856" s="76" t="s">
        <v>60</v>
      </c>
      <c r="N856" s="76" t="s">
        <v>8306</v>
      </c>
      <c r="O856" s="76" t="s">
        <v>8307</v>
      </c>
      <c r="P856" s="153">
        <v>27671.0</v>
      </c>
      <c r="Q856" s="315">
        <f t="shared" si="87"/>
        <v>27671</v>
      </c>
      <c r="R856" s="97">
        <f t="shared" si="86"/>
        <v>50</v>
      </c>
      <c r="S856" s="315">
        <v>2.767021714E9</v>
      </c>
      <c r="T856" s="315"/>
      <c r="U856" s="310" t="s">
        <v>344</v>
      </c>
      <c r="V856" s="76"/>
      <c r="W856" s="76"/>
      <c r="X856" s="76"/>
      <c r="Y856" s="97" t="s">
        <v>371</v>
      </c>
      <c r="Z856" s="97"/>
      <c r="AA856" s="76" t="s">
        <v>1178</v>
      </c>
      <c r="AB856" s="97"/>
      <c r="AC856" s="97"/>
      <c r="AD856" s="99"/>
      <c r="AE856" s="76"/>
      <c r="AF856" s="109" t="s">
        <v>155</v>
      </c>
      <c r="AG856" s="76" t="s">
        <v>375</v>
      </c>
      <c r="AH856" s="76" t="s">
        <v>11527</v>
      </c>
      <c r="AI856" s="203"/>
      <c r="AJ856" s="203"/>
      <c r="AK856" s="203"/>
      <c r="AL856" s="203"/>
      <c r="AM856" s="203"/>
      <c r="AN856" s="203"/>
      <c r="AO856" s="203"/>
      <c r="AP856" s="203"/>
      <c r="AQ856" s="203"/>
      <c r="AR856" s="203"/>
      <c r="AS856" s="203"/>
      <c r="AT856" s="203"/>
    </row>
    <row r="857">
      <c r="A857" s="86"/>
      <c r="B857" s="302" t="s">
        <v>4145</v>
      </c>
      <c r="C857" s="314" t="s">
        <v>5668</v>
      </c>
      <c r="D857" s="86"/>
      <c r="E857" s="86"/>
      <c r="F857" s="86"/>
      <c r="G857" s="86"/>
      <c r="H857" s="86"/>
      <c r="I857" s="86"/>
      <c r="J857" s="76" t="s">
        <v>114</v>
      </c>
      <c r="K857" s="76"/>
      <c r="L857" s="76"/>
      <c r="M857" s="76" t="s">
        <v>60</v>
      </c>
      <c r="N857" s="97" t="s">
        <v>11528</v>
      </c>
      <c r="O857" s="76" t="s">
        <v>11529</v>
      </c>
      <c r="P857" s="153">
        <v>35536.0</v>
      </c>
      <c r="Q857" s="315">
        <f t="shared" si="87"/>
        <v>35536</v>
      </c>
      <c r="R857" s="97">
        <f t="shared" si="86"/>
        <v>29</v>
      </c>
      <c r="S857" s="76">
        <v>3.553503511E9</v>
      </c>
      <c r="T857" s="315"/>
      <c r="U857" s="310" t="s">
        <v>136</v>
      </c>
      <c r="V857" s="76"/>
      <c r="W857" s="76"/>
      <c r="X857" s="76"/>
      <c r="Y857" s="97"/>
      <c r="Z857" s="278" t="s">
        <v>2090</v>
      </c>
      <c r="AA857" s="76" t="s">
        <v>1178</v>
      </c>
      <c r="AB857" s="97"/>
      <c r="AC857" s="97"/>
      <c r="AD857" s="99"/>
      <c r="AE857" s="76"/>
      <c r="AF857" s="76" t="s">
        <v>4767</v>
      </c>
      <c r="AG857" s="76"/>
      <c r="AH857" s="76" t="s">
        <v>11530</v>
      </c>
      <c r="AI857" s="203"/>
      <c r="AJ857" s="203"/>
      <c r="AK857" s="203"/>
      <c r="AL857" s="203"/>
      <c r="AM857" s="203"/>
      <c r="AN857" s="203"/>
      <c r="AO857" s="203"/>
      <c r="AP857" s="203"/>
      <c r="AQ857" s="203"/>
      <c r="AR857" s="203"/>
      <c r="AS857" s="203"/>
      <c r="AT857" s="203"/>
    </row>
    <row r="858">
      <c r="A858" s="86"/>
      <c r="B858" s="302" t="s">
        <v>4145</v>
      </c>
      <c r="C858" s="314" t="s">
        <v>5668</v>
      </c>
      <c r="D858" s="86"/>
      <c r="E858" s="86"/>
      <c r="F858" s="86"/>
      <c r="G858" s="86"/>
      <c r="H858" s="86"/>
      <c r="I858" s="86"/>
      <c r="J858" s="76"/>
      <c r="K858" s="85"/>
      <c r="L858" s="85"/>
      <c r="M858" s="85" t="s">
        <v>102</v>
      </c>
      <c r="N858" s="97" t="s">
        <v>11531</v>
      </c>
      <c r="O858" s="76" t="s">
        <v>11532</v>
      </c>
      <c r="P858" s="86"/>
      <c r="Q858" s="97"/>
      <c r="R858" s="97"/>
      <c r="S858" s="315"/>
      <c r="T858" s="315"/>
      <c r="U858" s="310" t="s">
        <v>136</v>
      </c>
      <c r="V858" s="76"/>
      <c r="W858" s="76"/>
      <c r="X858" s="76"/>
      <c r="Y858" s="97"/>
      <c r="Z858" s="278" t="s">
        <v>2090</v>
      </c>
      <c r="AA858" s="76" t="s">
        <v>1178</v>
      </c>
      <c r="AB858" s="97"/>
      <c r="AC858" s="97"/>
      <c r="AD858" s="99"/>
      <c r="AE858" s="76"/>
      <c r="AF858" s="76"/>
      <c r="AG858" s="76"/>
      <c r="AH858" s="97"/>
      <c r="AI858" s="203"/>
      <c r="AJ858" s="203"/>
      <c r="AK858" s="203"/>
      <c r="AL858" s="203"/>
      <c r="AM858" s="203"/>
      <c r="AN858" s="203"/>
      <c r="AO858" s="203"/>
      <c r="AP858" s="203"/>
      <c r="AQ858" s="203"/>
      <c r="AR858" s="203"/>
      <c r="AS858" s="203"/>
      <c r="AT858" s="203"/>
    </row>
    <row r="859">
      <c r="A859" s="86"/>
      <c r="B859" s="302" t="s">
        <v>4145</v>
      </c>
      <c r="C859" s="291" t="s">
        <v>5668</v>
      </c>
      <c r="D859" s="86"/>
      <c r="E859" s="954"/>
      <c r="F859" s="86"/>
      <c r="G859" s="86"/>
      <c r="H859" s="86"/>
      <c r="I859" s="86"/>
      <c r="J859" s="76" t="s">
        <v>114</v>
      </c>
      <c r="K859" s="97"/>
      <c r="L859" s="76"/>
      <c r="M859" s="76" t="s">
        <v>60</v>
      </c>
      <c r="N859" s="97" t="s">
        <v>9032</v>
      </c>
      <c r="O859" s="76" t="s">
        <v>9033</v>
      </c>
      <c r="P859" s="153">
        <v>32236.0</v>
      </c>
      <c r="Q859" s="315">
        <f t="shared" ref="Q859:Q880" si="88">VALUE(LEFT(TEXT(S859,0),5))+1</f>
        <v>32236</v>
      </c>
      <c r="R859" s="86">
        <f t="shared" ref="R859:R880" si="89">DATEDIF($P859,TODAY(),"Y")</f>
        <v>38</v>
      </c>
      <c r="S859" s="76">
        <v>3.223522778E9</v>
      </c>
      <c r="T859" s="315" t="s">
        <v>1548</v>
      </c>
      <c r="U859" s="310" t="s">
        <v>136</v>
      </c>
      <c r="V859" s="76"/>
      <c r="W859" s="76"/>
      <c r="X859" s="76"/>
      <c r="Y859" s="97" t="s">
        <v>183</v>
      </c>
      <c r="Z859" s="728" t="s">
        <v>2482</v>
      </c>
      <c r="AA859" s="76" t="s">
        <v>1178</v>
      </c>
      <c r="AB859" s="97"/>
      <c r="AC859" s="97"/>
      <c r="AD859" s="99"/>
      <c r="AE859" s="76"/>
      <c r="AF859" s="76"/>
      <c r="AG859" s="76" t="s">
        <v>375</v>
      </c>
      <c r="AH859" s="76" t="s">
        <v>11533</v>
      </c>
      <c r="AI859" s="203"/>
      <c r="AJ859" s="203"/>
      <c r="AK859" s="203"/>
      <c r="AL859" s="203"/>
      <c r="AM859" s="203"/>
      <c r="AN859" s="203"/>
      <c r="AO859" s="203"/>
      <c r="AP859" s="203"/>
      <c r="AQ859" s="203"/>
      <c r="AR859" s="203"/>
      <c r="AS859" s="203"/>
      <c r="AT859" s="203"/>
    </row>
    <row r="860">
      <c r="A860" s="86"/>
      <c r="B860" s="302" t="s">
        <v>4145</v>
      </c>
      <c r="C860" s="97"/>
      <c r="D860" s="86"/>
      <c r="E860" s="781">
        <v>46043.0</v>
      </c>
      <c r="F860" s="86"/>
      <c r="G860" s="86"/>
      <c r="H860" s="86"/>
      <c r="I860" s="86"/>
      <c r="J860" s="76" t="s">
        <v>114</v>
      </c>
      <c r="K860" s="87"/>
      <c r="L860" s="85"/>
      <c r="M860" s="85" t="s">
        <v>60</v>
      </c>
      <c r="N860" s="97" t="s">
        <v>11534</v>
      </c>
      <c r="O860" s="756" t="s">
        <v>11535</v>
      </c>
      <c r="P860" s="262">
        <v>30592.0</v>
      </c>
      <c r="Q860" s="315">
        <f t="shared" si="88"/>
        <v>1</v>
      </c>
      <c r="R860" s="97">
        <f t="shared" si="89"/>
        <v>42</v>
      </c>
      <c r="S860" s="76"/>
      <c r="T860" s="76" t="s">
        <v>1362</v>
      </c>
      <c r="U860" s="310" t="s">
        <v>136</v>
      </c>
      <c r="V860" s="76"/>
      <c r="W860" s="97"/>
      <c r="X860" s="76" t="s">
        <v>186</v>
      </c>
      <c r="Y860" s="211" t="s">
        <v>1613</v>
      </c>
      <c r="Z860" s="501" t="s">
        <v>418</v>
      </c>
      <c r="AA860" s="76"/>
      <c r="AB860" s="97"/>
      <c r="AC860" s="76"/>
      <c r="AD860" s="99"/>
      <c r="AE860" s="76" t="s">
        <v>154</v>
      </c>
      <c r="AF860" s="76"/>
      <c r="AG860" s="76"/>
      <c r="AH860" s="85" t="s">
        <v>11536</v>
      </c>
      <c r="AI860" s="67"/>
      <c r="AJ860" s="67"/>
      <c r="AK860" s="67"/>
      <c r="AL860" s="67"/>
      <c r="AM860" s="67"/>
      <c r="AN860" s="67"/>
      <c r="AO860" s="67"/>
      <c r="AP860" s="67"/>
      <c r="AQ860" s="67"/>
      <c r="AR860" s="67"/>
      <c r="AS860" s="67"/>
      <c r="AT860" s="67"/>
    </row>
    <row r="861">
      <c r="A861" s="86"/>
      <c r="B861" s="302" t="s">
        <v>4145</v>
      </c>
      <c r="C861" s="97"/>
      <c r="D861" s="86"/>
      <c r="E861" s="781">
        <v>46043.0</v>
      </c>
      <c r="F861" s="86"/>
      <c r="G861" s="86"/>
      <c r="H861" s="86"/>
      <c r="I861" s="86"/>
      <c r="J861" s="76" t="s">
        <v>114</v>
      </c>
      <c r="K861" s="176" t="s">
        <v>11537</v>
      </c>
      <c r="L861" s="85"/>
      <c r="M861" s="85" t="s">
        <v>60</v>
      </c>
      <c r="N861" s="97" t="s">
        <v>11538</v>
      </c>
      <c r="O861" s="756" t="s">
        <v>7528</v>
      </c>
      <c r="P861" s="262">
        <v>31321.0</v>
      </c>
      <c r="Q861" s="315">
        <f t="shared" si="88"/>
        <v>31321</v>
      </c>
      <c r="R861" s="97">
        <f t="shared" si="89"/>
        <v>40</v>
      </c>
      <c r="S861" s="76">
        <v>3.132012158E9</v>
      </c>
      <c r="T861" s="315"/>
      <c r="U861" s="310" t="s">
        <v>136</v>
      </c>
      <c r="V861" s="76"/>
      <c r="W861" s="97"/>
      <c r="X861" s="76"/>
      <c r="Y861" s="97"/>
      <c r="Z861" s="278" t="s">
        <v>1613</v>
      </c>
      <c r="AA861" s="76"/>
      <c r="AB861" s="97"/>
      <c r="AC861" s="76"/>
      <c r="AD861" s="99"/>
      <c r="AE861" s="76" t="s">
        <v>1136</v>
      </c>
      <c r="AF861" s="76"/>
      <c r="AG861" s="76"/>
      <c r="AH861" s="76" t="s">
        <v>11539</v>
      </c>
      <c r="AI861" s="67"/>
      <c r="AJ861" s="67"/>
      <c r="AK861" s="67"/>
      <c r="AL861" s="67"/>
      <c r="AM861" s="67"/>
      <c r="AN861" s="67"/>
      <c r="AO861" s="67"/>
      <c r="AP861" s="67"/>
      <c r="AQ861" s="67"/>
      <c r="AR861" s="67"/>
      <c r="AS861" s="67"/>
      <c r="AT861" s="67"/>
    </row>
    <row r="862">
      <c r="A862" s="86"/>
      <c r="B862" s="302" t="s">
        <v>4145</v>
      </c>
      <c r="C862" s="97"/>
      <c r="D862" s="86"/>
      <c r="E862" s="781">
        <v>46043.0</v>
      </c>
      <c r="F862" s="86"/>
      <c r="G862" s="86"/>
      <c r="H862" s="86"/>
      <c r="I862" s="86"/>
      <c r="J862" s="76" t="s">
        <v>114</v>
      </c>
      <c r="K862" s="176" t="s">
        <v>11540</v>
      </c>
      <c r="L862" s="85"/>
      <c r="M862" s="85" t="s">
        <v>60</v>
      </c>
      <c r="N862" s="76" t="s">
        <v>11541</v>
      </c>
      <c r="O862" s="756" t="s">
        <v>11542</v>
      </c>
      <c r="P862" s="262">
        <v>28938.0</v>
      </c>
      <c r="Q862" s="315" t="str">
        <f t="shared" si="88"/>
        <v>#VALUE!</v>
      </c>
      <c r="R862" s="97">
        <f t="shared" si="89"/>
        <v>47</v>
      </c>
      <c r="S862" s="76" t="s">
        <v>3642</v>
      </c>
      <c r="T862" s="315"/>
      <c r="U862" s="310" t="s">
        <v>136</v>
      </c>
      <c r="V862" s="76"/>
      <c r="W862" s="97"/>
      <c r="X862" s="76" t="s">
        <v>186</v>
      </c>
      <c r="Y862" s="211" t="s">
        <v>1613</v>
      </c>
      <c r="Z862" s="501" t="s">
        <v>418</v>
      </c>
      <c r="AA862" s="76"/>
      <c r="AB862" s="97"/>
      <c r="AC862" s="76"/>
      <c r="AD862" s="99"/>
      <c r="AE862" s="76" t="s">
        <v>1136</v>
      </c>
      <c r="AF862" s="76" t="s">
        <v>4767</v>
      </c>
      <c r="AG862" s="76"/>
      <c r="AH862" s="76" t="s">
        <v>11543</v>
      </c>
      <c r="AI862" s="67"/>
      <c r="AJ862" s="67"/>
      <c r="AK862" s="67"/>
      <c r="AL862" s="67"/>
      <c r="AM862" s="67"/>
      <c r="AN862" s="67"/>
      <c r="AO862" s="67"/>
      <c r="AP862" s="67"/>
      <c r="AQ862" s="67"/>
      <c r="AR862" s="67"/>
      <c r="AS862" s="67"/>
      <c r="AT862" s="67"/>
    </row>
    <row r="863">
      <c r="A863" s="86"/>
      <c r="B863" s="302" t="s">
        <v>4145</v>
      </c>
      <c r="C863" s="97"/>
      <c r="D863" s="86"/>
      <c r="E863" s="781">
        <v>46043.0</v>
      </c>
      <c r="F863" s="86"/>
      <c r="G863" s="86"/>
      <c r="H863" s="86"/>
      <c r="I863" s="86"/>
      <c r="J863" s="76" t="s">
        <v>114</v>
      </c>
      <c r="K863" s="176" t="s">
        <v>11544</v>
      </c>
      <c r="L863" s="85"/>
      <c r="M863" s="85" t="s">
        <v>60</v>
      </c>
      <c r="N863" s="97" t="s">
        <v>11545</v>
      </c>
      <c r="O863" s="756" t="s">
        <v>11546</v>
      </c>
      <c r="P863" s="262">
        <v>33604.0</v>
      </c>
      <c r="Q863" s="315">
        <f t="shared" si="88"/>
        <v>1</v>
      </c>
      <c r="R863" s="97">
        <f t="shared" si="89"/>
        <v>34</v>
      </c>
      <c r="S863" s="315"/>
      <c r="T863" s="315"/>
      <c r="U863" s="310" t="s">
        <v>136</v>
      </c>
      <c r="V863" s="76"/>
      <c r="W863" s="97"/>
      <c r="X863" s="76"/>
      <c r="Y863" s="86" t="s">
        <v>1174</v>
      </c>
      <c r="Z863" s="278" t="s">
        <v>1613</v>
      </c>
      <c r="AA863" s="76"/>
      <c r="AB863" s="97"/>
      <c r="AC863" s="76"/>
      <c r="AD863" s="99"/>
      <c r="AE863" s="76" t="s">
        <v>672</v>
      </c>
      <c r="AF863" s="76" t="s">
        <v>4767</v>
      </c>
      <c r="AG863" s="76"/>
      <c r="AH863" s="76" t="s">
        <v>11547</v>
      </c>
      <c r="AI863" s="67"/>
      <c r="AJ863" s="67"/>
      <c r="AK863" s="67"/>
      <c r="AL863" s="67"/>
      <c r="AM863" s="67"/>
      <c r="AN863" s="67"/>
      <c r="AO863" s="67"/>
      <c r="AP863" s="67"/>
      <c r="AQ863" s="67"/>
      <c r="AR863" s="67"/>
      <c r="AS863" s="67"/>
      <c r="AT863" s="67"/>
    </row>
    <row r="864">
      <c r="A864" s="86"/>
      <c r="B864" s="302" t="s">
        <v>4145</v>
      </c>
      <c r="C864" s="97"/>
      <c r="D864" s="86"/>
      <c r="E864" s="781">
        <v>46047.0</v>
      </c>
      <c r="F864" s="86"/>
      <c r="G864" s="86"/>
      <c r="H864" s="86"/>
      <c r="I864" s="86"/>
      <c r="J864" s="76" t="s">
        <v>114</v>
      </c>
      <c r="K864" s="176" t="s">
        <v>11548</v>
      </c>
      <c r="L864" s="85"/>
      <c r="M864" s="85" t="s">
        <v>60</v>
      </c>
      <c r="N864" s="76" t="s">
        <v>11549</v>
      </c>
      <c r="O864" s="756" t="s">
        <v>11550</v>
      </c>
      <c r="P864" s="262">
        <v>29348.0</v>
      </c>
      <c r="Q864" s="315">
        <f t="shared" si="88"/>
        <v>29348</v>
      </c>
      <c r="R864" s="97">
        <f t="shared" si="89"/>
        <v>46</v>
      </c>
      <c r="S864" s="76">
        <v>2.934712496E9</v>
      </c>
      <c r="T864" s="315"/>
      <c r="U864" s="310" t="s">
        <v>136</v>
      </c>
      <c r="V864" s="76"/>
      <c r="W864" s="97"/>
      <c r="X864" s="76" t="s">
        <v>186</v>
      </c>
      <c r="Y864" s="211" t="s">
        <v>1460</v>
      </c>
      <c r="Z864" s="211" t="s">
        <v>418</v>
      </c>
      <c r="AA864" s="76"/>
      <c r="AB864" s="97"/>
      <c r="AC864" s="76"/>
      <c r="AD864" s="99"/>
      <c r="AE864" s="76" t="s">
        <v>1136</v>
      </c>
      <c r="AF864" s="76"/>
      <c r="AG864" s="76"/>
      <c r="AH864" s="76" t="s">
        <v>11551</v>
      </c>
      <c r="AI864" s="67"/>
      <c r="AJ864" s="67"/>
      <c r="AK864" s="67"/>
      <c r="AL864" s="67"/>
      <c r="AM864" s="67"/>
      <c r="AN864" s="67"/>
      <c r="AO864" s="67"/>
      <c r="AP864" s="67"/>
      <c r="AQ864" s="67"/>
      <c r="AR864" s="67"/>
      <c r="AS864" s="67"/>
      <c r="AT864" s="67"/>
    </row>
    <row r="865">
      <c r="A865" s="86"/>
      <c r="B865" s="302" t="s">
        <v>4145</v>
      </c>
      <c r="C865" s="168"/>
      <c r="D865" s="168"/>
      <c r="E865" s="574">
        <v>46054.0</v>
      </c>
      <c r="F865" s="168"/>
      <c r="G865" s="168"/>
      <c r="H865" s="168"/>
      <c r="I865" s="168"/>
      <c r="J865" s="76" t="s">
        <v>114</v>
      </c>
      <c r="K865" s="176" t="s">
        <v>11552</v>
      </c>
      <c r="L865" s="85"/>
      <c r="M865" s="85" t="s">
        <v>60</v>
      </c>
      <c r="N865" s="76" t="s">
        <v>11553</v>
      </c>
      <c r="O865" s="341" t="s">
        <v>11554</v>
      </c>
      <c r="P865" s="262">
        <v>30864.0</v>
      </c>
      <c r="Q865" s="315">
        <f t="shared" si="88"/>
        <v>30864</v>
      </c>
      <c r="R865" s="97">
        <f t="shared" si="89"/>
        <v>42</v>
      </c>
      <c r="S865" s="76">
        <v>3.086313416E9</v>
      </c>
      <c r="T865" s="168"/>
      <c r="U865" s="310" t="s">
        <v>136</v>
      </c>
      <c r="V865" s="76"/>
      <c r="W865" s="97"/>
      <c r="X865" s="76" t="s">
        <v>186</v>
      </c>
      <c r="Y865" s="211" t="s">
        <v>1460</v>
      </c>
      <c r="Z865" s="211" t="s">
        <v>418</v>
      </c>
      <c r="AA865" s="168"/>
      <c r="AB865" s="97"/>
      <c r="AC865" s="168"/>
      <c r="AD865" s="168"/>
      <c r="AE865" s="76" t="s">
        <v>154</v>
      </c>
      <c r="AF865" s="168"/>
      <c r="AG865" s="168"/>
      <c r="AH865" s="917">
        <v>46059.0</v>
      </c>
      <c r="AI865" s="67"/>
      <c r="AJ865" s="67"/>
      <c r="AK865" s="67"/>
      <c r="AL865" s="67"/>
      <c r="AM865" s="67"/>
      <c r="AN865" s="67"/>
      <c r="AO865" s="67"/>
      <c r="AP865" s="67"/>
      <c r="AQ865" s="67"/>
      <c r="AR865" s="67"/>
      <c r="AS865" s="67"/>
      <c r="AT865" s="67"/>
    </row>
    <row r="866">
      <c r="A866" s="86"/>
      <c r="B866" s="302" t="s">
        <v>4145</v>
      </c>
      <c r="C866" s="168"/>
      <c r="D866" s="168"/>
      <c r="E866" s="574">
        <v>46054.0</v>
      </c>
      <c r="F866" s="168"/>
      <c r="G866" s="168"/>
      <c r="H866" s="168"/>
      <c r="I866" s="168"/>
      <c r="J866" s="76" t="s">
        <v>114</v>
      </c>
      <c r="K866" s="176" t="s">
        <v>11555</v>
      </c>
      <c r="L866" s="85"/>
      <c r="M866" s="85" t="s">
        <v>60</v>
      </c>
      <c r="N866" s="76" t="s">
        <v>11556</v>
      </c>
      <c r="O866" s="341" t="s">
        <v>10324</v>
      </c>
      <c r="P866" s="262">
        <v>28962.0</v>
      </c>
      <c r="Q866" s="315">
        <f t="shared" si="88"/>
        <v>28962</v>
      </c>
      <c r="R866" s="97">
        <f t="shared" si="89"/>
        <v>47</v>
      </c>
      <c r="S866" s="76">
        <v>2.896121935E9</v>
      </c>
      <c r="T866" s="168"/>
      <c r="U866" s="310" t="s">
        <v>136</v>
      </c>
      <c r="V866" s="76"/>
      <c r="W866" s="97"/>
      <c r="X866" s="76" t="s">
        <v>186</v>
      </c>
      <c r="Y866" s="211" t="s">
        <v>1460</v>
      </c>
      <c r="Z866" s="211" t="s">
        <v>418</v>
      </c>
      <c r="AA866" s="168"/>
      <c r="AB866" s="97"/>
      <c r="AC866" s="168"/>
      <c r="AD866" s="168"/>
      <c r="AE866" s="76" t="s">
        <v>154</v>
      </c>
      <c r="AF866" s="168"/>
      <c r="AG866" s="168"/>
      <c r="AH866" s="1105" t="s">
        <v>11557</v>
      </c>
      <c r="AI866" s="67"/>
      <c r="AJ866" s="67"/>
      <c r="AK866" s="67"/>
      <c r="AL866" s="67"/>
      <c r="AM866" s="67"/>
      <c r="AN866" s="67"/>
      <c r="AO866" s="67"/>
      <c r="AP866" s="67"/>
      <c r="AQ866" s="67"/>
      <c r="AR866" s="67"/>
      <c r="AS866" s="67"/>
      <c r="AT866" s="67"/>
    </row>
    <row r="867">
      <c r="A867" s="86"/>
      <c r="B867" s="302" t="s">
        <v>4145</v>
      </c>
      <c r="C867" s="291" t="s">
        <v>5668</v>
      </c>
      <c r="D867" s="86"/>
      <c r="E867" s="574">
        <v>46058.0</v>
      </c>
      <c r="F867" s="86"/>
      <c r="G867" s="86"/>
      <c r="H867" s="86"/>
      <c r="I867" s="86"/>
      <c r="J867" s="85" t="s">
        <v>114</v>
      </c>
      <c r="K867" s="76"/>
      <c r="L867" s="76"/>
      <c r="M867" s="76" t="s">
        <v>60</v>
      </c>
      <c r="N867" s="76" t="s">
        <v>11558</v>
      </c>
      <c r="O867" s="76" t="s">
        <v>7459</v>
      </c>
      <c r="P867" s="153">
        <v>35110.0</v>
      </c>
      <c r="Q867" s="315">
        <f t="shared" si="88"/>
        <v>35110</v>
      </c>
      <c r="R867" s="97">
        <f t="shared" si="89"/>
        <v>30</v>
      </c>
      <c r="S867" s="76">
        <v>3.51090395E9</v>
      </c>
      <c r="T867" s="86"/>
      <c r="U867" s="310" t="s">
        <v>136</v>
      </c>
      <c r="V867" s="76"/>
      <c r="W867" s="97"/>
      <c r="X867" s="76" t="s">
        <v>186</v>
      </c>
      <c r="Y867" s="211" t="s">
        <v>2155</v>
      </c>
      <c r="Z867" s="501" t="s">
        <v>418</v>
      </c>
      <c r="AA867" s="76" t="s">
        <v>1178</v>
      </c>
      <c r="AB867" s="97"/>
      <c r="AC867" s="168"/>
      <c r="AD867" s="168"/>
      <c r="AE867" s="76" t="s">
        <v>154</v>
      </c>
      <c r="AF867" s="76"/>
      <c r="AG867" s="76"/>
      <c r="AH867" s="153">
        <v>46069.0</v>
      </c>
      <c r="AI867" s="67"/>
      <c r="AJ867" s="67"/>
      <c r="AK867" s="67"/>
      <c r="AL867" s="67"/>
      <c r="AM867" s="67"/>
      <c r="AN867" s="67"/>
      <c r="AO867" s="67"/>
      <c r="AP867" s="67"/>
      <c r="AQ867" s="67"/>
      <c r="AR867" s="67"/>
      <c r="AS867" s="67"/>
      <c r="AT867" s="67"/>
    </row>
    <row r="868">
      <c r="A868" s="86"/>
      <c r="B868" s="302" t="s">
        <v>4145</v>
      </c>
      <c r="C868" s="523"/>
      <c r="D868" s="86"/>
      <c r="E868" s="574">
        <v>46058.0</v>
      </c>
      <c r="F868" s="86"/>
      <c r="G868" s="86"/>
      <c r="H868" s="86"/>
      <c r="I868" s="86"/>
      <c r="J868" s="85" t="s">
        <v>114</v>
      </c>
      <c r="K868" s="176" t="s">
        <v>11559</v>
      </c>
      <c r="L868" s="76"/>
      <c r="M868" s="85" t="s">
        <v>60</v>
      </c>
      <c r="N868" s="76" t="s">
        <v>11560</v>
      </c>
      <c r="O868" s="76" t="s">
        <v>11561</v>
      </c>
      <c r="P868" s="330">
        <v>33201.0</v>
      </c>
      <c r="Q868" s="315">
        <f t="shared" si="88"/>
        <v>33201</v>
      </c>
      <c r="R868" s="97">
        <f t="shared" si="89"/>
        <v>35</v>
      </c>
      <c r="S868" s="76">
        <v>3.320013679E9</v>
      </c>
      <c r="T868" s="315" t="s">
        <v>1317</v>
      </c>
      <c r="U868" s="310" t="s">
        <v>136</v>
      </c>
      <c r="V868" s="76"/>
      <c r="W868" s="97"/>
      <c r="X868" s="76" t="s">
        <v>186</v>
      </c>
      <c r="Y868" s="211" t="s">
        <v>2155</v>
      </c>
      <c r="Z868" s="501" t="s">
        <v>418</v>
      </c>
      <c r="AA868" s="168"/>
      <c r="AB868" s="97"/>
      <c r="AC868" s="168"/>
      <c r="AD868" s="168"/>
      <c r="AE868" s="76" t="s">
        <v>154</v>
      </c>
      <c r="AF868" s="76"/>
      <c r="AG868" s="76"/>
      <c r="AH868" s="153">
        <v>46070.0</v>
      </c>
      <c r="AI868" s="67"/>
      <c r="AJ868" s="67"/>
      <c r="AK868" s="67"/>
      <c r="AL868" s="67"/>
      <c r="AM868" s="67"/>
      <c r="AN868" s="67"/>
      <c r="AO868" s="67"/>
      <c r="AP868" s="67"/>
      <c r="AQ868" s="67"/>
      <c r="AR868" s="67"/>
      <c r="AS868" s="67"/>
      <c r="AT868" s="67"/>
    </row>
    <row r="869">
      <c r="A869" s="86"/>
      <c r="B869" s="302" t="s">
        <v>4145</v>
      </c>
      <c r="C869" s="523"/>
      <c r="D869" s="86"/>
      <c r="E869" s="574">
        <v>46066.0</v>
      </c>
      <c r="F869" s="86"/>
      <c r="G869" s="86"/>
      <c r="H869" s="86"/>
      <c r="I869" s="86"/>
      <c r="J869" s="85" t="s">
        <v>114</v>
      </c>
      <c r="K869" s="176" t="s">
        <v>11562</v>
      </c>
      <c r="L869" s="76"/>
      <c r="M869" s="85" t="s">
        <v>60</v>
      </c>
      <c r="N869" s="76" t="s">
        <v>11563</v>
      </c>
      <c r="O869" s="76" t="s">
        <v>11564</v>
      </c>
      <c r="P869" s="153">
        <v>32009.0</v>
      </c>
      <c r="Q869" s="315">
        <f t="shared" si="88"/>
        <v>32009</v>
      </c>
      <c r="R869" s="97">
        <f t="shared" si="89"/>
        <v>39</v>
      </c>
      <c r="S869" s="76">
        <v>3.200815539E9</v>
      </c>
      <c r="T869" s="86"/>
      <c r="U869" s="310" t="s">
        <v>136</v>
      </c>
      <c r="V869" s="76"/>
      <c r="W869" s="97"/>
      <c r="X869" s="76" t="s">
        <v>186</v>
      </c>
      <c r="Y869" s="211" t="s">
        <v>2155</v>
      </c>
      <c r="Z869" s="501" t="s">
        <v>418</v>
      </c>
      <c r="AA869" s="168"/>
      <c r="AB869" s="97"/>
      <c r="AC869" s="168"/>
      <c r="AD869" s="168"/>
      <c r="AE869" s="76" t="s">
        <v>672</v>
      </c>
      <c r="AF869" s="76"/>
      <c r="AG869" s="76"/>
      <c r="AH869" s="76" t="s">
        <v>11565</v>
      </c>
      <c r="AI869" s="67"/>
      <c r="AJ869" s="67"/>
      <c r="AK869" s="67"/>
      <c r="AL869" s="67"/>
      <c r="AM869" s="67"/>
      <c r="AN869" s="67"/>
      <c r="AO869" s="67"/>
      <c r="AP869" s="67"/>
      <c r="AQ869" s="67"/>
      <c r="AR869" s="67"/>
      <c r="AS869" s="67"/>
      <c r="AT869" s="67"/>
    </row>
    <row r="870">
      <c r="A870" s="86"/>
      <c r="B870" s="302" t="s">
        <v>4145</v>
      </c>
      <c r="C870" s="523"/>
      <c r="D870" s="86"/>
      <c r="E870" s="574">
        <v>46077.0</v>
      </c>
      <c r="F870" s="86"/>
      <c r="G870" s="86"/>
      <c r="H870" s="86"/>
      <c r="I870" s="86"/>
      <c r="J870" s="85" t="s">
        <v>114</v>
      </c>
      <c r="K870" s="176" t="s">
        <v>1602</v>
      </c>
      <c r="L870" s="76"/>
      <c r="M870" s="85" t="s">
        <v>60</v>
      </c>
      <c r="N870" s="76" t="s">
        <v>11566</v>
      </c>
      <c r="O870" s="76" t="s">
        <v>946</v>
      </c>
      <c r="P870" s="153">
        <v>29168.0</v>
      </c>
      <c r="Q870" s="315">
        <f t="shared" si="88"/>
        <v>29168</v>
      </c>
      <c r="R870" s="86">
        <f t="shared" si="89"/>
        <v>46</v>
      </c>
      <c r="S870" s="76">
        <v>2.916702354E9</v>
      </c>
      <c r="T870" s="86"/>
      <c r="U870" s="310" t="s">
        <v>136</v>
      </c>
      <c r="V870" s="76"/>
      <c r="W870" s="76"/>
      <c r="X870" s="76" t="s">
        <v>186</v>
      </c>
      <c r="Y870" s="211" t="s">
        <v>1351</v>
      </c>
      <c r="Z870" s="211" t="s">
        <v>418</v>
      </c>
      <c r="AA870" s="168"/>
      <c r="AB870" s="97"/>
      <c r="AC870" s="168"/>
      <c r="AD870" s="168"/>
      <c r="AE870" s="76" t="s">
        <v>154</v>
      </c>
      <c r="AF870" s="76"/>
      <c r="AG870" s="76"/>
      <c r="AH870" s="153">
        <v>46090.0</v>
      </c>
      <c r="AI870" s="67"/>
      <c r="AJ870" s="67"/>
      <c r="AK870" s="67"/>
      <c r="AL870" s="67"/>
      <c r="AM870" s="67"/>
      <c r="AN870" s="67"/>
      <c r="AO870" s="67"/>
      <c r="AP870" s="67"/>
      <c r="AQ870" s="67"/>
      <c r="AR870" s="67"/>
      <c r="AS870" s="67"/>
      <c r="AT870" s="67"/>
    </row>
    <row r="871">
      <c r="A871" s="86"/>
      <c r="B871" s="302" t="s">
        <v>4145</v>
      </c>
      <c r="C871" s="523"/>
      <c r="D871" s="86"/>
      <c r="E871" s="574">
        <v>46077.0</v>
      </c>
      <c r="F871" s="86"/>
      <c r="G871" s="86"/>
      <c r="H871" s="86"/>
      <c r="I871" s="86"/>
      <c r="J871" s="85" t="s">
        <v>114</v>
      </c>
      <c r="K871" s="176" t="s">
        <v>11567</v>
      </c>
      <c r="L871" s="76"/>
      <c r="M871" s="85" t="s">
        <v>360</v>
      </c>
      <c r="N871" s="76" t="s">
        <v>11568</v>
      </c>
      <c r="O871" s="76" t="s">
        <v>11569</v>
      </c>
      <c r="P871" s="153">
        <v>29549.0</v>
      </c>
      <c r="Q871" s="315">
        <f t="shared" si="88"/>
        <v>29549</v>
      </c>
      <c r="R871" s="86">
        <f t="shared" si="89"/>
        <v>45</v>
      </c>
      <c r="S871" s="76">
        <v>2.95482115E9</v>
      </c>
      <c r="T871" s="86"/>
      <c r="U871" s="310" t="s">
        <v>136</v>
      </c>
      <c r="V871" s="76"/>
      <c r="W871" s="76"/>
      <c r="X871" s="76" t="s">
        <v>186</v>
      </c>
      <c r="Y871" s="211" t="s">
        <v>1351</v>
      </c>
      <c r="Z871" s="211" t="s">
        <v>418</v>
      </c>
      <c r="AA871" s="168"/>
      <c r="AB871" s="97"/>
      <c r="AC871" s="168"/>
      <c r="AD871" s="168"/>
      <c r="AE871" s="76" t="s">
        <v>154</v>
      </c>
      <c r="AF871" s="76"/>
      <c r="AG871" s="76"/>
      <c r="AH871" s="153">
        <v>46093.0</v>
      </c>
      <c r="AI871" s="67"/>
      <c r="AJ871" s="67"/>
      <c r="AK871" s="67"/>
      <c r="AL871" s="67"/>
      <c r="AM871" s="67"/>
      <c r="AN871" s="67"/>
      <c r="AO871" s="67"/>
      <c r="AP871" s="67"/>
      <c r="AQ871" s="67"/>
      <c r="AR871" s="67"/>
      <c r="AS871" s="67"/>
      <c r="AT871" s="67"/>
    </row>
    <row r="872">
      <c r="A872" s="86"/>
      <c r="B872" s="302" t="s">
        <v>4145</v>
      </c>
      <c r="C872" s="523"/>
      <c r="D872" s="86"/>
      <c r="E872" s="574">
        <v>46077.0</v>
      </c>
      <c r="F872" s="86"/>
      <c r="G872" s="86"/>
      <c r="H872" s="86"/>
      <c r="I872" s="86"/>
      <c r="J872" s="85"/>
      <c r="K872" s="176" t="s">
        <v>11570</v>
      </c>
      <c r="L872" s="76"/>
      <c r="M872" s="85" t="s">
        <v>60</v>
      </c>
      <c r="N872" s="76" t="s">
        <v>11571</v>
      </c>
      <c r="O872" s="76" t="s">
        <v>11572</v>
      </c>
      <c r="P872" s="153"/>
      <c r="Q872" s="315">
        <f t="shared" si="88"/>
        <v>1</v>
      </c>
      <c r="R872" s="86">
        <f t="shared" si="89"/>
        <v>126</v>
      </c>
      <c r="S872" s="76"/>
      <c r="T872" s="86"/>
      <c r="U872" s="310" t="s">
        <v>136</v>
      </c>
      <c r="V872" s="76"/>
      <c r="W872" s="76"/>
      <c r="X872" s="76" t="s">
        <v>186</v>
      </c>
      <c r="Y872" s="211" t="s">
        <v>1351</v>
      </c>
      <c r="Z872" s="211" t="s">
        <v>418</v>
      </c>
      <c r="AA872" s="168"/>
      <c r="AB872" s="97"/>
      <c r="AC872" s="168"/>
      <c r="AD872" s="168"/>
      <c r="AE872" s="76" t="s">
        <v>154</v>
      </c>
      <c r="AF872" s="76"/>
      <c r="AG872" s="76"/>
      <c r="AH872" s="153">
        <v>46091.0</v>
      </c>
      <c r="AI872" s="67"/>
      <c r="AJ872" s="67"/>
      <c r="AK872" s="67"/>
      <c r="AL872" s="67"/>
      <c r="AM872" s="67"/>
      <c r="AN872" s="67"/>
      <c r="AO872" s="67"/>
      <c r="AP872" s="67"/>
      <c r="AQ872" s="67"/>
      <c r="AR872" s="67"/>
      <c r="AS872" s="67"/>
      <c r="AT872" s="67"/>
    </row>
    <row r="873">
      <c r="A873" s="86"/>
      <c r="B873" s="302" t="s">
        <v>4145</v>
      </c>
      <c r="C873" s="523"/>
      <c r="D873" s="86"/>
      <c r="E873" s="574">
        <v>46080.0</v>
      </c>
      <c r="F873" s="86"/>
      <c r="G873" s="86"/>
      <c r="H873" s="86"/>
      <c r="I873" s="86"/>
      <c r="J873" s="85" t="s">
        <v>114</v>
      </c>
      <c r="K873" s="176" t="s">
        <v>11573</v>
      </c>
      <c r="L873" s="76"/>
      <c r="M873" s="85" t="s">
        <v>60</v>
      </c>
      <c r="N873" s="76" t="s">
        <v>11574</v>
      </c>
      <c r="O873" s="76" t="s">
        <v>11575</v>
      </c>
      <c r="P873" s="153">
        <v>34365.0</v>
      </c>
      <c r="Q873" s="315">
        <f t="shared" si="88"/>
        <v>34365</v>
      </c>
      <c r="R873" s="86">
        <f t="shared" si="89"/>
        <v>32</v>
      </c>
      <c r="S873" s="76">
        <v>3.436405911E9</v>
      </c>
      <c r="T873" s="86"/>
      <c r="U873" s="310" t="s">
        <v>136</v>
      </c>
      <c r="V873" s="76"/>
      <c r="W873" s="76"/>
      <c r="X873" s="76" t="s">
        <v>186</v>
      </c>
      <c r="Y873" s="211" t="s">
        <v>1351</v>
      </c>
      <c r="Z873" s="211" t="s">
        <v>418</v>
      </c>
      <c r="AA873" s="168"/>
      <c r="AB873" s="97"/>
      <c r="AC873" s="168"/>
      <c r="AD873" s="168"/>
      <c r="AE873" s="76" t="s">
        <v>154</v>
      </c>
      <c r="AF873" s="76"/>
      <c r="AG873" s="76"/>
      <c r="AH873" s="153">
        <v>46090.0</v>
      </c>
      <c r="AI873" s="67"/>
      <c r="AJ873" s="67"/>
      <c r="AK873" s="67"/>
      <c r="AL873" s="67"/>
      <c r="AM873" s="67"/>
      <c r="AN873" s="67"/>
      <c r="AO873" s="67"/>
      <c r="AP873" s="67"/>
      <c r="AQ873" s="67"/>
      <c r="AR873" s="67"/>
      <c r="AS873" s="67"/>
      <c r="AT873" s="67"/>
    </row>
    <row r="874">
      <c r="A874" s="86"/>
      <c r="B874" s="302" t="s">
        <v>4145</v>
      </c>
      <c r="C874" s="523"/>
      <c r="D874" s="86"/>
      <c r="E874" s="574">
        <v>46080.0</v>
      </c>
      <c r="F874" s="86"/>
      <c r="G874" s="86"/>
      <c r="H874" s="86"/>
      <c r="I874" s="86"/>
      <c r="J874" s="85"/>
      <c r="K874" s="176" t="s">
        <v>11576</v>
      </c>
      <c r="L874" s="76"/>
      <c r="M874" s="85" t="s">
        <v>60</v>
      </c>
      <c r="N874" s="76" t="s">
        <v>11577</v>
      </c>
      <c r="O874" s="76" t="s">
        <v>435</v>
      </c>
      <c r="P874" s="153">
        <v>29181.0</v>
      </c>
      <c r="Q874" s="315">
        <f t="shared" si="88"/>
        <v>29181</v>
      </c>
      <c r="R874" s="86">
        <f t="shared" si="89"/>
        <v>46</v>
      </c>
      <c r="S874" s="76">
        <v>2.918014216E9</v>
      </c>
      <c r="T874" s="86"/>
      <c r="U874" s="310" t="s">
        <v>136</v>
      </c>
      <c r="V874" s="76"/>
      <c r="W874" s="76"/>
      <c r="X874" s="76" t="s">
        <v>186</v>
      </c>
      <c r="Y874" s="211" t="s">
        <v>1351</v>
      </c>
      <c r="Z874" s="211" t="s">
        <v>418</v>
      </c>
      <c r="AA874" s="168"/>
      <c r="AB874" s="97"/>
      <c r="AC874" s="168"/>
      <c r="AD874" s="168"/>
      <c r="AE874" s="76" t="s">
        <v>154</v>
      </c>
      <c r="AF874" s="76"/>
      <c r="AG874" s="76"/>
      <c r="AH874" s="153">
        <v>46089.0</v>
      </c>
      <c r="AI874" s="67"/>
      <c r="AJ874" s="67"/>
      <c r="AK874" s="67"/>
      <c r="AL874" s="67"/>
      <c r="AM874" s="67"/>
      <c r="AN874" s="67"/>
      <c r="AO874" s="67"/>
      <c r="AP874" s="67"/>
      <c r="AQ874" s="67"/>
      <c r="AR874" s="67"/>
      <c r="AS874" s="67"/>
      <c r="AT874" s="67"/>
    </row>
    <row r="875">
      <c r="A875" s="86"/>
      <c r="B875" s="302" t="s">
        <v>4145</v>
      </c>
      <c r="C875" s="523"/>
      <c r="D875" s="86"/>
      <c r="E875" s="574">
        <v>46080.0</v>
      </c>
      <c r="F875" s="86"/>
      <c r="G875" s="86"/>
      <c r="H875" s="86"/>
      <c r="I875" s="86"/>
      <c r="J875" s="85" t="s">
        <v>114</v>
      </c>
      <c r="K875" s="176" t="s">
        <v>11578</v>
      </c>
      <c r="L875" s="76"/>
      <c r="M875" s="85" t="s">
        <v>60</v>
      </c>
      <c r="N875" s="76" t="s">
        <v>11579</v>
      </c>
      <c r="O875" s="76" t="s">
        <v>11580</v>
      </c>
      <c r="P875" s="153">
        <v>34829.0</v>
      </c>
      <c r="Q875" s="315">
        <f t="shared" si="88"/>
        <v>34829</v>
      </c>
      <c r="R875" s="86">
        <f t="shared" si="89"/>
        <v>31</v>
      </c>
      <c r="S875" s="76">
        <v>3.482805598E9</v>
      </c>
      <c r="T875" s="86"/>
      <c r="U875" s="310" t="s">
        <v>136</v>
      </c>
      <c r="V875" s="76"/>
      <c r="W875" s="76"/>
      <c r="X875" s="76" t="s">
        <v>186</v>
      </c>
      <c r="Y875" s="211" t="s">
        <v>1351</v>
      </c>
      <c r="Z875" s="211" t="s">
        <v>418</v>
      </c>
      <c r="AA875" s="168"/>
      <c r="AB875" s="97"/>
      <c r="AC875" s="168"/>
      <c r="AD875" s="168"/>
      <c r="AE875" s="76" t="s">
        <v>154</v>
      </c>
      <c r="AF875" s="76"/>
      <c r="AG875" s="76"/>
      <c r="AH875" s="153">
        <v>46089.0</v>
      </c>
      <c r="AI875" s="67"/>
      <c r="AJ875" s="67"/>
      <c r="AK875" s="67"/>
      <c r="AL875" s="67"/>
      <c r="AM875" s="67"/>
      <c r="AN875" s="67"/>
      <c r="AO875" s="67"/>
      <c r="AP875" s="67"/>
      <c r="AQ875" s="67"/>
      <c r="AR875" s="67"/>
      <c r="AS875" s="67"/>
      <c r="AT875" s="67"/>
    </row>
    <row r="876">
      <c r="A876" s="86"/>
      <c r="B876" s="302" t="s">
        <v>4145</v>
      </c>
      <c r="C876" s="523"/>
      <c r="D876" s="86"/>
      <c r="E876" s="574">
        <v>46080.0</v>
      </c>
      <c r="F876" s="86"/>
      <c r="G876" s="86"/>
      <c r="H876" s="86"/>
      <c r="I876" s="86"/>
      <c r="J876" s="85" t="s">
        <v>114</v>
      </c>
      <c r="K876" s="176" t="s">
        <v>11581</v>
      </c>
      <c r="L876" s="76"/>
      <c r="M876" s="85" t="s">
        <v>60</v>
      </c>
      <c r="N876" s="76" t="s">
        <v>11582</v>
      </c>
      <c r="O876" s="76" t="s">
        <v>1623</v>
      </c>
      <c r="P876" s="153">
        <v>30055.0</v>
      </c>
      <c r="Q876" s="315">
        <f t="shared" si="88"/>
        <v>30055</v>
      </c>
      <c r="R876" s="86">
        <f t="shared" si="89"/>
        <v>44</v>
      </c>
      <c r="S876" s="76">
        <v>3.005421757E9</v>
      </c>
      <c r="T876" s="86"/>
      <c r="U876" s="310" t="s">
        <v>136</v>
      </c>
      <c r="V876" s="76"/>
      <c r="W876" s="76"/>
      <c r="X876" s="76" t="s">
        <v>186</v>
      </c>
      <c r="Y876" s="211" t="s">
        <v>1351</v>
      </c>
      <c r="Z876" s="211" t="s">
        <v>418</v>
      </c>
      <c r="AA876" s="167"/>
      <c r="AB876" s="97"/>
      <c r="AC876" s="168"/>
      <c r="AD876" s="168"/>
      <c r="AE876" s="76" t="s">
        <v>154</v>
      </c>
      <c r="AF876" s="76"/>
      <c r="AG876" s="76"/>
      <c r="AH876" s="153">
        <v>46090.0</v>
      </c>
      <c r="AI876" s="67"/>
      <c r="AJ876" s="67"/>
      <c r="AK876" s="67"/>
      <c r="AL876" s="67"/>
      <c r="AM876" s="67"/>
      <c r="AN876" s="67"/>
      <c r="AO876" s="67"/>
      <c r="AP876" s="67"/>
      <c r="AQ876" s="67"/>
      <c r="AR876" s="67"/>
      <c r="AS876" s="67"/>
      <c r="AT876" s="67"/>
    </row>
    <row r="877">
      <c r="A877" s="86"/>
      <c r="B877" s="302" t="s">
        <v>4145</v>
      </c>
      <c r="C877" s="523"/>
      <c r="D877" s="86"/>
      <c r="E877" s="574">
        <v>46080.0</v>
      </c>
      <c r="F877" s="86"/>
      <c r="G877" s="86"/>
      <c r="H877" s="86"/>
      <c r="I877" s="86"/>
      <c r="J877" s="85" t="s">
        <v>114</v>
      </c>
      <c r="K877" s="176" t="s">
        <v>11583</v>
      </c>
      <c r="L877" s="76"/>
      <c r="M877" s="85" t="s">
        <v>60</v>
      </c>
      <c r="N877" s="76" t="s">
        <v>11584</v>
      </c>
      <c r="O877" s="76" t="s">
        <v>1547</v>
      </c>
      <c r="P877" s="153"/>
      <c r="Q877" s="315">
        <f t="shared" si="88"/>
        <v>1</v>
      </c>
      <c r="R877" s="86">
        <f t="shared" si="89"/>
        <v>126</v>
      </c>
      <c r="S877" s="76"/>
      <c r="T877" s="86"/>
      <c r="U877" s="310" t="s">
        <v>136</v>
      </c>
      <c r="V877" s="76"/>
      <c r="W877" s="76"/>
      <c r="X877" s="76" t="s">
        <v>186</v>
      </c>
      <c r="Y877" s="211" t="s">
        <v>1351</v>
      </c>
      <c r="Z877" s="211" t="s">
        <v>418</v>
      </c>
      <c r="AA877" s="168"/>
      <c r="AB877" s="97"/>
      <c r="AC877" s="168"/>
      <c r="AD877" s="168"/>
      <c r="AE877" s="76" t="s">
        <v>154</v>
      </c>
      <c r="AF877" s="76"/>
      <c r="AG877" s="76"/>
      <c r="AH877" s="153">
        <v>46092.0</v>
      </c>
      <c r="AI877" s="67"/>
      <c r="AJ877" s="67"/>
      <c r="AK877" s="67"/>
      <c r="AL877" s="67"/>
      <c r="AM877" s="67"/>
      <c r="AN877" s="67"/>
      <c r="AO877" s="67"/>
      <c r="AP877" s="67"/>
      <c r="AQ877" s="67"/>
      <c r="AR877" s="67"/>
      <c r="AS877" s="67"/>
      <c r="AT877" s="67"/>
    </row>
    <row r="878">
      <c r="A878" s="86"/>
      <c r="B878" s="302" t="s">
        <v>4145</v>
      </c>
      <c r="C878" s="523"/>
      <c r="D878" s="86"/>
      <c r="E878" s="574">
        <v>46088.0</v>
      </c>
      <c r="F878" s="86"/>
      <c r="G878" s="86"/>
      <c r="H878" s="86"/>
      <c r="I878" s="86"/>
      <c r="J878" s="85" t="s">
        <v>114</v>
      </c>
      <c r="K878" s="124" t="s">
        <v>11585</v>
      </c>
      <c r="L878" s="76"/>
      <c r="M878" s="85" t="s">
        <v>60</v>
      </c>
      <c r="N878" s="76" t="s">
        <v>11586</v>
      </c>
      <c r="O878" s="76" t="s">
        <v>4928</v>
      </c>
      <c r="P878" s="153">
        <v>30796.0</v>
      </c>
      <c r="Q878" s="315">
        <f t="shared" si="88"/>
        <v>30796</v>
      </c>
      <c r="R878" s="86">
        <f t="shared" si="89"/>
        <v>42</v>
      </c>
      <c r="S878" s="76">
        <v>3.079522816E9</v>
      </c>
      <c r="T878" s="86"/>
      <c r="U878" s="310" t="s">
        <v>136</v>
      </c>
      <c r="V878" s="76"/>
      <c r="W878" s="76"/>
      <c r="X878" s="76"/>
      <c r="Y878" s="167"/>
      <c r="Z878" s="176" t="s">
        <v>1460</v>
      </c>
      <c r="AA878" s="168"/>
      <c r="AB878" s="97"/>
      <c r="AC878" s="168"/>
      <c r="AD878" s="168"/>
      <c r="AE878" s="76" t="s">
        <v>1136</v>
      </c>
      <c r="AF878" s="153">
        <v>46116.0</v>
      </c>
      <c r="AG878" s="76"/>
      <c r="AH878" s="153" t="s">
        <v>11587</v>
      </c>
      <c r="AI878" s="67"/>
      <c r="AJ878" s="67"/>
      <c r="AK878" s="67"/>
      <c r="AL878" s="67"/>
      <c r="AM878" s="67"/>
      <c r="AN878" s="67"/>
      <c r="AO878" s="67"/>
      <c r="AP878" s="67"/>
      <c r="AQ878" s="67"/>
      <c r="AR878" s="67"/>
      <c r="AS878" s="67"/>
      <c r="AT878" s="67"/>
    </row>
    <row r="879">
      <c r="A879" s="86"/>
      <c r="B879" s="302" t="s">
        <v>4145</v>
      </c>
      <c r="C879" s="302"/>
      <c r="D879" s="76"/>
      <c r="E879" s="574">
        <v>46096.0</v>
      </c>
      <c r="F879" s="762"/>
      <c r="G879" s="762"/>
      <c r="H879" s="762"/>
      <c r="I879" s="762"/>
      <c r="J879" s="85" t="s">
        <v>114</v>
      </c>
      <c r="K879" s="124" t="s">
        <v>1602</v>
      </c>
      <c r="L879" s="964"/>
      <c r="M879" s="85" t="s">
        <v>60</v>
      </c>
      <c r="N879" s="306" t="s">
        <v>11588</v>
      </c>
      <c r="O879" s="76" t="s">
        <v>1527</v>
      </c>
      <c r="P879" s="153">
        <v>29833.0</v>
      </c>
      <c r="Q879" s="315">
        <f t="shared" si="88"/>
        <v>29833</v>
      </c>
      <c r="R879" s="86">
        <f t="shared" si="89"/>
        <v>44</v>
      </c>
      <c r="S879" s="76">
        <v>2.983217474E9</v>
      </c>
      <c r="T879" s="76" t="s">
        <v>1569</v>
      </c>
      <c r="U879" s="310" t="s">
        <v>136</v>
      </c>
      <c r="V879" s="76"/>
      <c r="W879" s="76"/>
      <c r="X879" s="76" t="s">
        <v>186</v>
      </c>
      <c r="Y879" s="97"/>
      <c r="Z879" s="501" t="s">
        <v>418</v>
      </c>
      <c r="AA879" s="97"/>
      <c r="AB879" s="97"/>
      <c r="AC879" s="76"/>
      <c r="AD879" s="76"/>
      <c r="AE879" s="76" t="s">
        <v>154</v>
      </c>
      <c r="AF879" s="76"/>
      <c r="AG879" s="189"/>
      <c r="AH879" s="153">
        <v>46109.0</v>
      </c>
      <c r="AI879" s="763"/>
      <c r="AJ879" s="763"/>
      <c r="AK879" s="763"/>
      <c r="AL879" s="763"/>
      <c r="AM879" s="763"/>
      <c r="AN879" s="763"/>
      <c r="AO879" s="763"/>
      <c r="AP879" s="763"/>
      <c r="AQ879" s="763"/>
      <c r="AR879" s="763"/>
      <c r="AS879" s="763"/>
      <c r="AT879" s="763"/>
    </row>
    <row r="880">
      <c r="A880" s="86"/>
      <c r="B880" s="302" t="s">
        <v>4145</v>
      </c>
      <c r="C880" s="302"/>
      <c r="D880" s="76"/>
      <c r="E880" s="574">
        <v>46096.0</v>
      </c>
      <c r="F880" s="762"/>
      <c r="G880" s="762"/>
      <c r="H880" s="762"/>
      <c r="I880" s="762"/>
      <c r="J880" s="76"/>
      <c r="K880" s="76"/>
      <c r="L880" s="964"/>
      <c r="M880" s="85" t="s">
        <v>60</v>
      </c>
      <c r="N880" s="306" t="s">
        <v>11589</v>
      </c>
      <c r="O880" s="76" t="s">
        <v>11590</v>
      </c>
      <c r="P880" s="153"/>
      <c r="Q880" s="315">
        <f t="shared" si="88"/>
        <v>1</v>
      </c>
      <c r="R880" s="86">
        <f t="shared" si="89"/>
        <v>126</v>
      </c>
      <c r="S880" s="76"/>
      <c r="T880" s="315"/>
      <c r="U880" s="310" t="s">
        <v>136</v>
      </c>
      <c r="V880" s="76"/>
      <c r="W880" s="76"/>
      <c r="X880" s="76" t="s">
        <v>186</v>
      </c>
      <c r="Y880" s="97"/>
      <c r="Z880" s="501" t="s">
        <v>418</v>
      </c>
      <c r="AA880" s="76" t="s">
        <v>114</v>
      </c>
      <c r="AB880" s="97"/>
      <c r="AC880" s="76"/>
      <c r="AD880" s="76"/>
      <c r="AE880" s="76" t="s">
        <v>154</v>
      </c>
      <c r="AF880" s="76" t="s">
        <v>4767</v>
      </c>
      <c r="AG880" s="189"/>
      <c r="AH880" s="153">
        <v>46106.0</v>
      </c>
      <c r="AI880" s="763"/>
      <c r="AJ880" s="763"/>
      <c r="AK880" s="763"/>
      <c r="AL880" s="763"/>
      <c r="AM880" s="763"/>
      <c r="AN880" s="763"/>
      <c r="AO880" s="763"/>
      <c r="AP880" s="763"/>
      <c r="AQ880" s="763"/>
      <c r="AR880" s="763"/>
      <c r="AS880" s="763"/>
      <c r="AT880" s="763"/>
    </row>
    <row r="881">
      <c r="A881" s="86"/>
      <c r="B881" s="302" t="s">
        <v>4145</v>
      </c>
      <c r="C881" s="302" t="s">
        <v>9293</v>
      </c>
      <c r="D881" s="76"/>
      <c r="E881" s="524" t="s">
        <v>11591</v>
      </c>
      <c r="F881" s="762"/>
      <c r="G881" s="762"/>
      <c r="H881" s="762"/>
      <c r="I881" s="762"/>
      <c r="J881" s="76"/>
      <c r="K881" s="76"/>
      <c r="L881" s="964"/>
      <c r="M881" s="85" t="s">
        <v>60</v>
      </c>
      <c r="N881" s="306" t="s">
        <v>5224</v>
      </c>
      <c r="O881" s="76" t="s">
        <v>4762</v>
      </c>
      <c r="P881" s="153"/>
      <c r="Q881" s="315"/>
      <c r="R881" s="86"/>
      <c r="S881" s="76"/>
      <c r="T881" s="315"/>
      <c r="U881" s="310" t="s">
        <v>136</v>
      </c>
      <c r="V881" s="76"/>
      <c r="W881" s="76"/>
      <c r="X881" s="97"/>
      <c r="Y881" s="97"/>
      <c r="Z881" s="97"/>
      <c r="AA881" s="97"/>
      <c r="AB881" s="97"/>
      <c r="AC881" s="76"/>
      <c r="AD881" s="76"/>
      <c r="AE881" s="76" t="s">
        <v>154</v>
      </c>
      <c r="AF881" s="76" t="s">
        <v>8847</v>
      </c>
      <c r="AG881" s="76" t="s">
        <v>11592</v>
      </c>
      <c r="AH881" s="153">
        <v>46052.0</v>
      </c>
      <c r="AI881" s="763"/>
      <c r="AJ881" s="763"/>
      <c r="AK881" s="763"/>
      <c r="AL881" s="763"/>
      <c r="AM881" s="763"/>
      <c r="AN881" s="763"/>
      <c r="AO881" s="763"/>
      <c r="AP881" s="763"/>
      <c r="AQ881" s="763"/>
      <c r="AR881" s="763"/>
      <c r="AS881" s="763"/>
      <c r="AT881" s="763"/>
    </row>
    <row r="882">
      <c r="A882" s="76">
        <v>425.0</v>
      </c>
      <c r="B882" s="302" t="s">
        <v>4145</v>
      </c>
      <c r="C882" s="76"/>
      <c r="D882" s="757" t="s">
        <v>1494</v>
      </c>
      <c r="E882" s="758" t="s">
        <v>201</v>
      </c>
      <c r="F882" s="759" t="s">
        <v>1849</v>
      </c>
      <c r="G882" s="760" t="s">
        <v>3782</v>
      </c>
      <c r="H882" s="760" t="s">
        <v>60</v>
      </c>
      <c r="I882" s="87" t="s">
        <v>1221</v>
      </c>
      <c r="J882" s="85" t="s">
        <v>114</v>
      </c>
      <c r="K882" s="124" t="s">
        <v>11593</v>
      </c>
      <c r="L882" s="76"/>
      <c r="M882" s="85" t="s">
        <v>60</v>
      </c>
      <c r="N882" s="287" t="s">
        <v>11594</v>
      </c>
      <c r="O882" s="76" t="s">
        <v>4442</v>
      </c>
      <c r="P882" s="153">
        <v>32898.0</v>
      </c>
      <c r="Q882" s="315">
        <f t="shared" ref="Q882:Q908" si="90">VALUE(LEFT(TEXT(S882,0),5))+1</f>
        <v>32898</v>
      </c>
      <c r="R882" s="86">
        <f t="shared" ref="R882:R908" si="91">DATEDIF($P882,TODAY(),"Y")</f>
        <v>36</v>
      </c>
      <c r="S882" s="76">
        <v>3.289718432E9</v>
      </c>
      <c r="T882" s="86"/>
      <c r="U882" s="76" t="s">
        <v>136</v>
      </c>
      <c r="V882" s="76"/>
      <c r="W882" s="76"/>
      <c r="X882" s="76"/>
      <c r="Y882" s="86" t="s">
        <v>1174</v>
      </c>
      <c r="Z882" s="234" t="s">
        <v>1351</v>
      </c>
      <c r="AA882" s="168"/>
      <c r="AB882" s="97"/>
      <c r="AC882" s="99"/>
      <c r="AD882" s="99"/>
      <c r="AE882" s="76"/>
      <c r="AF882" s="99"/>
      <c r="AG882" s="76" t="s">
        <v>11595</v>
      </c>
      <c r="AH882" s="153">
        <v>46129.0</v>
      </c>
      <c r="AI882" s="67"/>
      <c r="AJ882" s="67"/>
      <c r="AK882" s="67"/>
      <c r="AL882" s="67"/>
      <c r="AM882" s="67"/>
      <c r="AN882" s="67"/>
      <c r="AO882" s="67"/>
      <c r="AP882" s="67"/>
      <c r="AQ882" s="67"/>
      <c r="AR882" s="67"/>
      <c r="AS882" s="67"/>
      <c r="AT882" s="67"/>
    </row>
    <row r="883">
      <c r="A883" s="86"/>
      <c r="B883" s="302" t="s">
        <v>4145</v>
      </c>
      <c r="C883" s="291" t="s">
        <v>5668</v>
      </c>
      <c r="D883" s="86"/>
      <c r="E883" s="574">
        <v>46066.0</v>
      </c>
      <c r="F883" s="86"/>
      <c r="G883" s="86"/>
      <c r="H883" s="86"/>
      <c r="I883" s="86"/>
      <c r="J883" s="85" t="s">
        <v>114</v>
      </c>
      <c r="K883" s="176" t="s">
        <v>11596</v>
      </c>
      <c r="L883" s="76"/>
      <c r="M883" s="85" t="s">
        <v>326</v>
      </c>
      <c r="N883" s="287" t="s">
        <v>11597</v>
      </c>
      <c r="O883" s="76" t="s">
        <v>11598</v>
      </c>
      <c r="P883" s="153">
        <v>32262.0</v>
      </c>
      <c r="Q883" s="315">
        <f t="shared" si="90"/>
        <v>32262</v>
      </c>
      <c r="R883" s="97">
        <f t="shared" si="91"/>
        <v>38</v>
      </c>
      <c r="S883" s="76">
        <v>3.226102379E9</v>
      </c>
      <c r="T883" s="76" t="s">
        <v>11599</v>
      </c>
      <c r="U883" s="76" t="s">
        <v>136</v>
      </c>
      <c r="V883" s="76"/>
      <c r="W883" s="76"/>
      <c r="X883" s="76"/>
      <c r="Y883" s="167" t="s">
        <v>371</v>
      </c>
      <c r="Z883" s="168"/>
      <c r="AA883" s="76" t="s">
        <v>1178</v>
      </c>
      <c r="AB883" s="97"/>
      <c r="AC883" s="168"/>
      <c r="AD883" s="168"/>
      <c r="AE883" s="76"/>
      <c r="AF883" s="76"/>
      <c r="AG883" s="76" t="s">
        <v>11600</v>
      </c>
      <c r="AH883" s="153">
        <v>46128.0</v>
      </c>
      <c r="AI883" s="67"/>
      <c r="AJ883" s="67"/>
      <c r="AK883" s="67"/>
      <c r="AL883" s="67"/>
      <c r="AM883" s="67"/>
      <c r="AN883" s="67"/>
      <c r="AO883" s="67"/>
      <c r="AP883" s="67"/>
      <c r="AQ883" s="67"/>
      <c r="AR883" s="67"/>
      <c r="AS883" s="67"/>
      <c r="AT883" s="67"/>
    </row>
    <row r="884">
      <c r="A884" s="76"/>
      <c r="B884" s="966" t="s">
        <v>4145</v>
      </c>
      <c r="C884" s="291" t="s">
        <v>5668</v>
      </c>
      <c r="D884" s="86"/>
      <c r="E884" s="1081">
        <v>46071.0</v>
      </c>
      <c r="F884" s="86"/>
      <c r="G884" s="86"/>
      <c r="H884" s="86"/>
      <c r="I884" s="86"/>
      <c r="J884" s="85" t="s">
        <v>114</v>
      </c>
      <c r="K884" s="176" t="s">
        <v>11601</v>
      </c>
      <c r="L884" s="76"/>
      <c r="M884" s="85" t="s">
        <v>60</v>
      </c>
      <c r="N884" s="287" t="s">
        <v>11602</v>
      </c>
      <c r="O884" s="76" t="s">
        <v>11603</v>
      </c>
      <c r="P884" s="153">
        <v>33316.0</v>
      </c>
      <c r="Q884" s="315">
        <f t="shared" si="90"/>
        <v>33316</v>
      </c>
      <c r="R884" s="86">
        <f t="shared" si="91"/>
        <v>35</v>
      </c>
      <c r="S884" s="76">
        <v>3.331512356E9</v>
      </c>
      <c r="T884" s="86"/>
      <c r="U884" s="76" t="s">
        <v>379</v>
      </c>
      <c r="V884" s="76"/>
      <c r="W884" s="76"/>
      <c r="X884" s="76"/>
      <c r="Y884" s="167"/>
      <c r="Z884" s="234" t="s">
        <v>1351</v>
      </c>
      <c r="AA884" s="168"/>
      <c r="AB884" s="97"/>
      <c r="AC884" s="168"/>
      <c r="AD884" s="168"/>
      <c r="AE884" s="76"/>
      <c r="AF884" s="76"/>
      <c r="AG884" s="76"/>
      <c r="AH884" s="76"/>
      <c r="AI884" s="67"/>
      <c r="AJ884" s="67"/>
      <c r="AK884" s="67"/>
      <c r="AL884" s="67"/>
      <c r="AM884" s="67"/>
      <c r="AN884" s="67"/>
      <c r="AO884" s="67"/>
      <c r="AP884" s="67"/>
      <c r="AQ884" s="67"/>
      <c r="AR884" s="67"/>
      <c r="AS884" s="67"/>
      <c r="AT884" s="67"/>
    </row>
    <row r="885">
      <c r="A885" s="86"/>
      <c r="B885" s="302" t="s">
        <v>4145</v>
      </c>
      <c r="C885" s="302"/>
      <c r="D885" s="76"/>
      <c r="E885" s="574">
        <v>46114.0</v>
      </c>
      <c r="F885" s="762"/>
      <c r="G885" s="762"/>
      <c r="H885" s="762"/>
      <c r="I885" s="762"/>
      <c r="J885" s="76" t="s">
        <v>114</v>
      </c>
      <c r="K885" s="176" t="s">
        <v>1602</v>
      </c>
      <c r="L885" s="964"/>
      <c r="M885" s="85" t="s">
        <v>143</v>
      </c>
      <c r="N885" s="306" t="s">
        <v>3161</v>
      </c>
      <c r="O885" s="76"/>
      <c r="P885" s="153">
        <v>28750.0</v>
      </c>
      <c r="Q885" s="315">
        <f t="shared" si="90"/>
        <v>1</v>
      </c>
      <c r="R885" s="86">
        <f t="shared" si="91"/>
        <v>47</v>
      </c>
      <c r="S885" s="76"/>
      <c r="T885" s="315"/>
      <c r="U885" s="76" t="s">
        <v>379</v>
      </c>
      <c r="V885" s="76"/>
      <c r="W885" s="310" t="s">
        <v>227</v>
      </c>
      <c r="X885" s="76"/>
      <c r="Y885" s="97"/>
      <c r="Z885" s="85"/>
      <c r="AA885" s="76"/>
      <c r="AB885" s="97"/>
      <c r="AC885" s="76"/>
      <c r="AD885" s="76"/>
      <c r="AE885" s="76" t="s">
        <v>632</v>
      </c>
      <c r="AF885" s="76"/>
      <c r="AG885" s="189"/>
      <c r="AH885" s="76" t="s">
        <v>11604</v>
      </c>
      <c r="AI885" s="763"/>
      <c r="AJ885" s="763"/>
      <c r="AK885" s="763"/>
      <c r="AL885" s="763"/>
      <c r="AM885" s="763"/>
      <c r="AN885" s="763"/>
      <c r="AO885" s="763"/>
      <c r="AP885" s="763"/>
      <c r="AQ885" s="763"/>
      <c r="AR885" s="763"/>
      <c r="AS885" s="763"/>
      <c r="AT885" s="763"/>
    </row>
    <row r="886">
      <c r="A886" s="86"/>
      <c r="B886" s="302" t="s">
        <v>4145</v>
      </c>
      <c r="C886" s="314" t="s">
        <v>5668</v>
      </c>
      <c r="D886" s="97"/>
      <c r="E886" s="762"/>
      <c r="F886" s="97"/>
      <c r="G886" s="97"/>
      <c r="H886" s="97"/>
      <c r="I886" s="97"/>
      <c r="J886" s="97" t="s">
        <v>114</v>
      </c>
      <c r="K886" s="124" t="s">
        <v>11605</v>
      </c>
      <c r="L886" s="97"/>
      <c r="M886" s="97" t="s">
        <v>60</v>
      </c>
      <c r="N886" s="287" t="s">
        <v>6712</v>
      </c>
      <c r="O886" s="109" t="s">
        <v>230</v>
      </c>
      <c r="P886" s="153">
        <v>31173.0</v>
      </c>
      <c r="Q886" s="315">
        <f t="shared" si="90"/>
        <v>31173</v>
      </c>
      <c r="R886" s="97">
        <f t="shared" si="91"/>
        <v>41</v>
      </c>
      <c r="S886" s="315" t="s">
        <v>11606</v>
      </c>
      <c r="T886" s="315"/>
      <c r="U886" s="310" t="s">
        <v>136</v>
      </c>
      <c r="V886" s="86"/>
      <c r="W886" s="97"/>
      <c r="X886" s="76"/>
      <c r="Y886" s="97" t="s">
        <v>146</v>
      </c>
      <c r="Z886" s="97"/>
      <c r="AA886" s="76" t="s">
        <v>1178</v>
      </c>
      <c r="AB886" s="97"/>
      <c r="AC886" s="97" t="s">
        <v>2451</v>
      </c>
      <c r="AD886" s="97" t="s">
        <v>2451</v>
      </c>
      <c r="AE886" s="76"/>
      <c r="AF886" s="97" t="s">
        <v>155</v>
      </c>
      <c r="AG886" s="76" t="s">
        <v>3443</v>
      </c>
      <c r="AH886" s="85" t="s">
        <v>11607</v>
      </c>
      <c r="AI886" s="67"/>
      <c r="AJ886" s="67"/>
      <c r="AK886" s="67"/>
      <c r="AL886" s="67"/>
      <c r="AM886" s="67"/>
      <c r="AN886" s="67"/>
      <c r="AO886" s="67"/>
      <c r="AP886" s="67"/>
      <c r="AQ886" s="67"/>
      <c r="AR886" s="67"/>
      <c r="AS886" s="67"/>
      <c r="AT886" s="67"/>
    </row>
    <row r="887">
      <c r="A887" s="86"/>
      <c r="B887" s="302" t="s">
        <v>4145</v>
      </c>
      <c r="C887" s="523"/>
      <c r="D887" s="86"/>
      <c r="E887" s="574">
        <v>46071.0</v>
      </c>
      <c r="F887" s="86"/>
      <c r="G887" s="86"/>
      <c r="H887" s="86"/>
      <c r="I887" s="86"/>
      <c r="J887" s="85"/>
      <c r="K887" s="176" t="s">
        <v>11608</v>
      </c>
      <c r="L887" s="76"/>
      <c r="M887" s="85" t="s">
        <v>60</v>
      </c>
      <c r="N887" s="287" t="s">
        <v>11609</v>
      </c>
      <c r="O887" s="76" t="s">
        <v>1746</v>
      </c>
      <c r="P887" s="153">
        <v>28484.0</v>
      </c>
      <c r="Q887" s="315">
        <f t="shared" si="90"/>
        <v>28484</v>
      </c>
      <c r="R887" s="86">
        <f t="shared" si="91"/>
        <v>48</v>
      </c>
      <c r="S887" s="76">
        <v>2.848304418E9</v>
      </c>
      <c r="T887" s="86"/>
      <c r="U887" s="310" t="s">
        <v>136</v>
      </c>
      <c r="V887" s="76"/>
      <c r="W887" s="76"/>
      <c r="X887" s="76" t="s">
        <v>186</v>
      </c>
      <c r="Y887" s="211" t="s">
        <v>1351</v>
      </c>
      <c r="Z887" s="211" t="s">
        <v>418</v>
      </c>
      <c r="AA887" s="168"/>
      <c r="AB887" s="97"/>
      <c r="AC887" s="168"/>
      <c r="AD887" s="168"/>
      <c r="AE887" s="76" t="s">
        <v>154</v>
      </c>
      <c r="AF887" s="76"/>
      <c r="AG887" s="76"/>
      <c r="AH887" s="153">
        <v>46087.0</v>
      </c>
      <c r="AI887" s="67"/>
      <c r="AJ887" s="67"/>
      <c r="AK887" s="67"/>
      <c r="AL887" s="67"/>
      <c r="AM887" s="67"/>
      <c r="AN887" s="67"/>
      <c r="AO887" s="67"/>
      <c r="AP887" s="67"/>
      <c r="AQ887" s="67"/>
      <c r="AR887" s="67"/>
      <c r="AS887" s="67"/>
      <c r="AT887" s="67"/>
    </row>
    <row r="888">
      <c r="A888" s="76" t="s">
        <v>116</v>
      </c>
      <c r="B888" s="757" t="s">
        <v>1709</v>
      </c>
      <c r="C888" s="757" t="s">
        <v>1269</v>
      </c>
      <c r="D888" s="757" t="s">
        <v>121</v>
      </c>
      <c r="E888" s="758" t="s">
        <v>119</v>
      </c>
      <c r="F888" s="759" t="s">
        <v>1295</v>
      </c>
      <c r="G888" s="760" t="s">
        <v>1112</v>
      </c>
      <c r="H888" s="760" t="s">
        <v>504</v>
      </c>
      <c r="I888" s="146" t="s">
        <v>408</v>
      </c>
      <c r="J888" s="85" t="s">
        <v>114</v>
      </c>
      <c r="K888" s="124" t="s">
        <v>11610</v>
      </c>
      <c r="L888" s="76"/>
      <c r="M888" s="76" t="s">
        <v>60</v>
      </c>
      <c r="N888" s="287" t="s">
        <v>1109</v>
      </c>
      <c r="O888" s="76" t="s">
        <v>1111</v>
      </c>
      <c r="P888" s="740">
        <v>32123.0</v>
      </c>
      <c r="Q888" s="315">
        <f t="shared" si="90"/>
        <v>32123</v>
      </c>
      <c r="R888" s="86">
        <f t="shared" si="91"/>
        <v>38</v>
      </c>
      <c r="S888" s="76">
        <v>3.212218279E9</v>
      </c>
      <c r="T888" s="315" t="s">
        <v>1317</v>
      </c>
      <c r="U888" s="310" t="s">
        <v>136</v>
      </c>
      <c r="V888" s="310"/>
      <c r="W888" s="310"/>
      <c r="X888" s="97"/>
      <c r="Y888" s="97"/>
      <c r="Z888" s="728" t="s">
        <v>2482</v>
      </c>
      <c r="AA888" s="97"/>
      <c r="AB888" s="97"/>
      <c r="AC888" s="160" t="s">
        <v>630</v>
      </c>
      <c r="AD888" s="76" t="s">
        <v>632</v>
      </c>
      <c r="AE888" s="76"/>
      <c r="AF888" s="160" t="s">
        <v>630</v>
      </c>
      <c r="AG888" s="76" t="s">
        <v>375</v>
      </c>
      <c r="AH888" s="1106" t="s">
        <v>11611</v>
      </c>
      <c r="AI888" s="203"/>
      <c r="AJ888" s="203"/>
      <c r="AK888" s="203"/>
      <c r="AL888" s="203"/>
      <c r="AM888" s="203"/>
      <c r="AN888" s="203"/>
      <c r="AO888" s="203"/>
      <c r="AP888" s="203"/>
      <c r="AQ888" s="203"/>
      <c r="AR888" s="203"/>
      <c r="AS888" s="203"/>
      <c r="AT888" s="203"/>
    </row>
    <row r="889">
      <c r="A889" s="86"/>
      <c r="B889" s="302" t="s">
        <v>4145</v>
      </c>
      <c r="C889" s="966" t="s">
        <v>5668</v>
      </c>
      <c r="D889" s="76"/>
      <c r="E889" s="574">
        <v>46110.0</v>
      </c>
      <c r="F889" s="762"/>
      <c r="G889" s="762"/>
      <c r="H889" s="762"/>
      <c r="I889" s="762"/>
      <c r="J889" s="76" t="s">
        <v>114</v>
      </c>
      <c r="K889" s="76"/>
      <c r="L889" s="964"/>
      <c r="M889" s="85" t="s">
        <v>143</v>
      </c>
      <c r="N889" s="306" t="s">
        <v>3131</v>
      </c>
      <c r="O889" s="76" t="s">
        <v>3132</v>
      </c>
      <c r="P889" s="153">
        <v>28053.0</v>
      </c>
      <c r="Q889" s="315" t="str">
        <f t="shared" si="90"/>
        <v>#VALUE!</v>
      </c>
      <c r="R889" s="86">
        <f t="shared" si="91"/>
        <v>49</v>
      </c>
      <c r="S889" s="76" t="s">
        <v>11612</v>
      </c>
      <c r="T889" s="315"/>
      <c r="U889" s="310" t="s">
        <v>379</v>
      </c>
      <c r="V889" s="76"/>
      <c r="W889" s="76"/>
      <c r="X889" s="76"/>
      <c r="Y889" s="97"/>
      <c r="Z889" s="97"/>
      <c r="AA889" s="76" t="s">
        <v>1178</v>
      </c>
      <c r="AB889" s="97"/>
      <c r="AC889" s="76"/>
      <c r="AD889" s="76"/>
      <c r="AE889" s="310"/>
      <c r="AF889" s="76"/>
      <c r="AG889" s="189"/>
      <c r="AH889" s="310" t="s">
        <v>11613</v>
      </c>
      <c r="AI889" s="763"/>
      <c r="AJ889" s="763"/>
      <c r="AK889" s="763"/>
      <c r="AL889" s="763"/>
      <c r="AM889" s="763"/>
      <c r="AN889" s="763"/>
      <c r="AO889" s="763"/>
      <c r="AP889" s="763"/>
      <c r="AQ889" s="763"/>
      <c r="AR889" s="763"/>
      <c r="AS889" s="763"/>
      <c r="AT889" s="763"/>
    </row>
    <row r="890">
      <c r="A890" s="76" t="s">
        <v>116</v>
      </c>
      <c r="B890" s="981" t="s">
        <v>1039</v>
      </c>
      <c r="C890" s="981" t="s">
        <v>1269</v>
      </c>
      <c r="D890" s="981" t="s">
        <v>1494</v>
      </c>
      <c r="E890" s="1107" t="s">
        <v>139</v>
      </c>
      <c r="F890" s="1108" t="s">
        <v>1520</v>
      </c>
      <c r="G890" s="981" t="s">
        <v>337</v>
      </c>
      <c r="H890" s="981" t="s">
        <v>60</v>
      </c>
      <c r="I890" s="87" t="s">
        <v>1221</v>
      </c>
      <c r="J890" s="76" t="s">
        <v>114</v>
      </c>
      <c r="K890" s="76"/>
      <c r="L890" s="76"/>
      <c r="M890" s="76" t="s">
        <v>60</v>
      </c>
      <c r="N890" s="1109" t="s">
        <v>333</v>
      </c>
      <c r="O890" s="76" t="s">
        <v>335</v>
      </c>
      <c r="P890" s="153">
        <v>34047.0</v>
      </c>
      <c r="Q890" s="315">
        <f t="shared" si="90"/>
        <v>34047</v>
      </c>
      <c r="R890" s="97">
        <f t="shared" si="91"/>
        <v>33</v>
      </c>
      <c r="S890" s="76">
        <v>3.404613979E9</v>
      </c>
      <c r="T890" s="86"/>
      <c r="U890" s="76" t="s">
        <v>379</v>
      </c>
      <c r="V890" s="76"/>
      <c r="W890" s="76"/>
      <c r="X890" s="76"/>
      <c r="Y890" s="168"/>
      <c r="Z890" s="216" t="s">
        <v>2155</v>
      </c>
      <c r="AA890" s="76" t="s">
        <v>1178</v>
      </c>
      <c r="AB890" s="97"/>
      <c r="AC890" s="76">
        <v>155.0</v>
      </c>
      <c r="AD890" s="168"/>
      <c r="AE890" s="76"/>
      <c r="AF890" s="76" t="s">
        <v>9963</v>
      </c>
      <c r="AG890" s="76" t="s">
        <v>11614</v>
      </c>
      <c r="AH890" s="76" t="s">
        <v>11615</v>
      </c>
      <c r="AI890" s="203"/>
      <c r="AJ890" s="203"/>
      <c r="AK890" s="203"/>
      <c r="AL890" s="203"/>
      <c r="AM890" s="203"/>
      <c r="AN890" s="203"/>
      <c r="AO890" s="203"/>
      <c r="AP890" s="203"/>
      <c r="AQ890" s="203"/>
      <c r="AR890" s="203"/>
      <c r="AS890" s="203"/>
      <c r="AT890" s="203"/>
    </row>
    <row r="891">
      <c r="A891" s="76" t="s">
        <v>116</v>
      </c>
      <c r="B891" s="981" t="s">
        <v>1039</v>
      </c>
      <c r="C891" s="981" t="s">
        <v>1517</v>
      </c>
      <c r="D891" s="981" t="s">
        <v>1519</v>
      </c>
      <c r="E891" s="1107" t="s">
        <v>58</v>
      </c>
      <c r="F891" s="1108" t="s">
        <v>1496</v>
      </c>
      <c r="G891" s="981" t="s">
        <v>558</v>
      </c>
      <c r="H891" s="981" t="s">
        <v>60</v>
      </c>
      <c r="I891" s="87" t="s">
        <v>1221</v>
      </c>
      <c r="J891" s="76" t="s">
        <v>114</v>
      </c>
      <c r="K891" s="176" t="s">
        <v>11616</v>
      </c>
      <c r="L891" s="85"/>
      <c r="M891" s="85" t="s">
        <v>60</v>
      </c>
      <c r="N891" s="1109" t="s">
        <v>554</v>
      </c>
      <c r="O891" s="1110" t="s">
        <v>11617</v>
      </c>
      <c r="P891" s="262">
        <v>29142.0</v>
      </c>
      <c r="Q891" s="315">
        <f t="shared" si="90"/>
        <v>29142</v>
      </c>
      <c r="R891" s="97">
        <f t="shared" si="91"/>
        <v>46</v>
      </c>
      <c r="S891" s="76">
        <v>2.914106551E9</v>
      </c>
      <c r="T891" s="315"/>
      <c r="U891" s="76" t="s">
        <v>379</v>
      </c>
      <c r="V891" s="76"/>
      <c r="W891" s="76"/>
      <c r="X891" s="97"/>
      <c r="Y891" s="97"/>
      <c r="Z891" s="176" t="s">
        <v>1460</v>
      </c>
      <c r="AA891" s="76"/>
      <c r="AB891" s="97"/>
      <c r="AC891" s="76">
        <v>155.0</v>
      </c>
      <c r="AD891" s="99"/>
      <c r="AE891" s="76"/>
      <c r="AF891" s="153">
        <v>46136.0</v>
      </c>
      <c r="AG891" s="341" t="s">
        <v>1187</v>
      </c>
      <c r="AH891" s="76" t="s">
        <v>11615</v>
      </c>
      <c r="AI891" s="203"/>
      <c r="AJ891" s="203"/>
      <c r="AK891" s="203"/>
      <c r="AL891" s="203"/>
      <c r="AM891" s="203"/>
      <c r="AN891" s="203"/>
      <c r="AO891" s="203"/>
      <c r="AP891" s="203"/>
      <c r="AQ891" s="203"/>
      <c r="AR891" s="203"/>
      <c r="AS891" s="203"/>
      <c r="AT891" s="203"/>
    </row>
    <row r="892">
      <c r="A892" s="76" t="s">
        <v>116</v>
      </c>
      <c r="B892" s="981" t="s">
        <v>1039</v>
      </c>
      <c r="C892" s="981" t="s">
        <v>1611</v>
      </c>
      <c r="D892" s="981" t="s">
        <v>1368</v>
      </c>
      <c r="E892" s="1107" t="s">
        <v>213</v>
      </c>
      <c r="F892" s="1108" t="s">
        <v>1523</v>
      </c>
      <c r="G892" s="981" t="s">
        <v>2746</v>
      </c>
      <c r="H892" s="981" t="s">
        <v>60</v>
      </c>
      <c r="I892" s="87" t="s">
        <v>1221</v>
      </c>
      <c r="J892" s="76" t="s">
        <v>114</v>
      </c>
      <c r="K892" s="76"/>
      <c r="L892" s="964"/>
      <c r="M892" s="85" t="s">
        <v>60</v>
      </c>
      <c r="N892" s="306" t="s">
        <v>11618</v>
      </c>
      <c r="O892" s="76" t="s">
        <v>11619</v>
      </c>
      <c r="P892" s="153">
        <v>29592.0</v>
      </c>
      <c r="Q892" s="315">
        <f t="shared" si="90"/>
        <v>29592</v>
      </c>
      <c r="R892" s="86">
        <f t="shared" si="91"/>
        <v>45</v>
      </c>
      <c r="S892" s="76">
        <v>2.959123352E9</v>
      </c>
      <c r="T892" s="315"/>
      <c r="U892" s="76" t="s">
        <v>379</v>
      </c>
      <c r="V892" s="76"/>
      <c r="W892" s="76"/>
      <c r="X892" s="76" t="s">
        <v>186</v>
      </c>
      <c r="Y892" s="276"/>
      <c r="Z892" s="85" t="s">
        <v>2506</v>
      </c>
      <c r="AA892" s="76" t="s">
        <v>1178</v>
      </c>
      <c r="AB892" s="97"/>
      <c r="AC892" s="76">
        <v>155.0</v>
      </c>
      <c r="AD892" s="76"/>
      <c r="AE892" s="76"/>
      <c r="AF892" s="76"/>
      <c r="AG892" s="189"/>
      <c r="AH892" s="76" t="s">
        <v>11615</v>
      </c>
      <c r="AI892" s="203"/>
      <c r="AJ892" s="203"/>
      <c r="AK892" s="203"/>
      <c r="AL892" s="203"/>
      <c r="AM892" s="203"/>
      <c r="AN892" s="203"/>
      <c r="AO892" s="203"/>
      <c r="AP892" s="203"/>
      <c r="AQ892" s="203"/>
      <c r="AR892" s="203"/>
      <c r="AS892" s="203"/>
      <c r="AT892" s="203"/>
    </row>
    <row r="893">
      <c r="A893" s="76" t="s">
        <v>116</v>
      </c>
      <c r="B893" s="981" t="s">
        <v>1645</v>
      </c>
      <c r="C893" s="981" t="s">
        <v>1269</v>
      </c>
      <c r="D893" s="981" t="s">
        <v>1368</v>
      </c>
      <c r="E893" s="1107" t="s">
        <v>213</v>
      </c>
      <c r="F893" s="1108" t="s">
        <v>1523</v>
      </c>
      <c r="G893" s="981" t="s">
        <v>821</v>
      </c>
      <c r="H893" s="981" t="s">
        <v>60</v>
      </c>
      <c r="I893" s="87" t="s">
        <v>1221</v>
      </c>
      <c r="J893" s="85" t="s">
        <v>114</v>
      </c>
      <c r="K893" s="85"/>
      <c r="L893" s="76"/>
      <c r="M893" s="85" t="s">
        <v>60</v>
      </c>
      <c r="N893" s="1109" t="s">
        <v>819</v>
      </c>
      <c r="O893" s="76" t="s">
        <v>820</v>
      </c>
      <c r="P893" s="153">
        <v>28963.0</v>
      </c>
      <c r="Q893" s="315">
        <f t="shared" si="90"/>
        <v>28963</v>
      </c>
      <c r="R893" s="97">
        <f t="shared" si="91"/>
        <v>47</v>
      </c>
      <c r="S893" s="76">
        <v>2.896200752E9</v>
      </c>
      <c r="T893" s="315" t="s">
        <v>1317</v>
      </c>
      <c r="U893" s="76" t="s">
        <v>379</v>
      </c>
      <c r="V893" s="76"/>
      <c r="W893" s="76"/>
      <c r="X893" s="76"/>
      <c r="Y893" s="168"/>
      <c r="Z893" s="216" t="s">
        <v>2155</v>
      </c>
      <c r="AA893" s="341" t="s">
        <v>1178</v>
      </c>
      <c r="AB893" s="97"/>
      <c r="AC893" s="76">
        <v>155.0</v>
      </c>
      <c r="AD893" s="168"/>
      <c r="AE893" s="76"/>
      <c r="AF893" s="76" t="s">
        <v>9963</v>
      </c>
      <c r="AG893" s="76"/>
      <c r="AH893" s="76" t="s">
        <v>11615</v>
      </c>
      <c r="AI893" s="203"/>
      <c r="AJ893" s="203"/>
      <c r="AK893" s="203"/>
      <c r="AL893" s="203"/>
      <c r="AM893" s="203"/>
      <c r="AN893" s="203"/>
      <c r="AO893" s="203"/>
      <c r="AP893" s="203"/>
      <c r="AQ893" s="203"/>
      <c r="AR893" s="203"/>
      <c r="AS893" s="203"/>
      <c r="AT893" s="203"/>
    </row>
    <row r="894">
      <c r="A894" s="76" t="s">
        <v>116</v>
      </c>
      <c r="B894" s="981" t="s">
        <v>1645</v>
      </c>
      <c r="C894" s="981" t="s">
        <v>1728</v>
      </c>
      <c r="D894" s="981" t="s">
        <v>121</v>
      </c>
      <c r="E894" s="1107" t="s">
        <v>287</v>
      </c>
      <c r="F894" s="1108" t="s">
        <v>2853</v>
      </c>
      <c r="G894" s="981" t="s">
        <v>1077</v>
      </c>
      <c r="H894" s="981" t="s">
        <v>60</v>
      </c>
      <c r="I894" s="87" t="s">
        <v>1221</v>
      </c>
      <c r="J894" s="76" t="s">
        <v>114</v>
      </c>
      <c r="K894" s="87"/>
      <c r="L894" s="87"/>
      <c r="M894" s="87" t="s">
        <v>60</v>
      </c>
      <c r="N894" s="287" t="s">
        <v>11620</v>
      </c>
      <c r="O894" s="85" t="s">
        <v>3538</v>
      </c>
      <c r="P894" s="262">
        <v>31591.0</v>
      </c>
      <c r="Q894" s="315">
        <f t="shared" si="90"/>
        <v>31591</v>
      </c>
      <c r="R894" s="97">
        <f t="shared" si="91"/>
        <v>40</v>
      </c>
      <c r="S894" s="76">
        <v>3.159023994E9</v>
      </c>
      <c r="T894" s="315"/>
      <c r="U894" s="76" t="s">
        <v>136</v>
      </c>
      <c r="V894" s="76"/>
      <c r="W894" s="76"/>
      <c r="X894" s="76"/>
      <c r="Y894" s="97"/>
      <c r="Z894" s="85"/>
      <c r="AA894" s="76"/>
      <c r="AB894" s="97"/>
      <c r="AC894" s="76"/>
      <c r="AD894" s="99"/>
      <c r="AE894" s="76"/>
      <c r="AF894" s="291" t="s">
        <v>11621</v>
      </c>
      <c r="AG894" s="76"/>
      <c r="AH894" s="76"/>
      <c r="AI894" s="203"/>
      <c r="AJ894" s="203"/>
      <c r="AK894" s="203"/>
      <c r="AL894" s="203"/>
      <c r="AM894" s="203"/>
      <c r="AN894" s="203"/>
      <c r="AO894" s="203"/>
      <c r="AP894" s="203"/>
      <c r="AQ894" s="203"/>
      <c r="AR894" s="203"/>
      <c r="AS894" s="203"/>
      <c r="AT894" s="203"/>
    </row>
    <row r="895">
      <c r="A895" s="76" t="s">
        <v>116</v>
      </c>
      <c r="B895" s="981" t="s">
        <v>1709</v>
      </c>
      <c r="C895" s="981" t="s">
        <v>1517</v>
      </c>
      <c r="D895" s="981" t="s">
        <v>1368</v>
      </c>
      <c r="E895" s="1107" t="s">
        <v>302</v>
      </c>
      <c r="F895" s="1108" t="s">
        <v>1404</v>
      </c>
      <c r="G895" s="981" t="s">
        <v>5895</v>
      </c>
      <c r="H895" s="981" t="s">
        <v>326</v>
      </c>
      <c r="I895" s="87" t="s">
        <v>1221</v>
      </c>
      <c r="J895" s="76" t="s">
        <v>114</v>
      </c>
      <c r="K895" s="76"/>
      <c r="L895" s="964"/>
      <c r="M895" s="85" t="s">
        <v>60</v>
      </c>
      <c r="N895" s="306" t="s">
        <v>8361</v>
      </c>
      <c r="O895" s="76" t="s">
        <v>10789</v>
      </c>
      <c r="P895" s="153">
        <v>32124.0</v>
      </c>
      <c r="Q895" s="315">
        <f t="shared" si="90"/>
        <v>1</v>
      </c>
      <c r="R895" s="86">
        <f t="shared" si="91"/>
        <v>38</v>
      </c>
      <c r="S895" s="76"/>
      <c r="T895" s="315"/>
      <c r="U895" s="76" t="s">
        <v>379</v>
      </c>
      <c r="V895" s="76"/>
      <c r="W895" s="76"/>
      <c r="X895" s="76" t="s">
        <v>186</v>
      </c>
      <c r="Y895" s="97"/>
      <c r="Z895" s="85" t="s">
        <v>1815</v>
      </c>
      <c r="AA895" s="76"/>
      <c r="AB895" s="97"/>
      <c r="AC895" s="76">
        <v>155.0</v>
      </c>
      <c r="AD895" s="76"/>
      <c r="AE895" s="76"/>
      <c r="AF895" s="76"/>
      <c r="AG895" s="189"/>
      <c r="AH895" s="76" t="s">
        <v>11615</v>
      </c>
      <c r="AI895" s="203"/>
      <c r="AJ895" s="203"/>
      <c r="AK895" s="203"/>
      <c r="AL895" s="203"/>
      <c r="AM895" s="203"/>
      <c r="AN895" s="203"/>
      <c r="AO895" s="203"/>
      <c r="AP895" s="203"/>
      <c r="AQ895" s="203"/>
      <c r="AR895" s="203"/>
      <c r="AS895" s="203"/>
      <c r="AT895" s="203"/>
    </row>
    <row r="896">
      <c r="A896" s="76" t="s">
        <v>116</v>
      </c>
      <c r="B896" s="981" t="s">
        <v>1709</v>
      </c>
      <c r="C896" s="981" t="s">
        <v>1728</v>
      </c>
      <c r="D896" s="981" t="s">
        <v>121</v>
      </c>
      <c r="E896" s="1107" t="s">
        <v>201</v>
      </c>
      <c r="F896" s="1108" t="s">
        <v>1849</v>
      </c>
      <c r="G896" s="981" t="s">
        <v>6754</v>
      </c>
      <c r="H896" s="981" t="s">
        <v>60</v>
      </c>
      <c r="I896" s="87" t="s">
        <v>1221</v>
      </c>
      <c r="J896" s="76" t="s">
        <v>114</v>
      </c>
      <c r="K896" s="76"/>
      <c r="L896" s="964"/>
      <c r="M896" s="85" t="s">
        <v>60</v>
      </c>
      <c r="N896" s="1111" t="s">
        <v>8418</v>
      </c>
      <c r="O896" s="76" t="s">
        <v>11622</v>
      </c>
      <c r="P896" s="153"/>
      <c r="Q896" s="315">
        <f t="shared" si="90"/>
        <v>31930</v>
      </c>
      <c r="R896" s="86">
        <f t="shared" si="91"/>
        <v>126</v>
      </c>
      <c r="S896" s="76">
        <v>3.192927032E9</v>
      </c>
      <c r="T896" s="315"/>
      <c r="U896" s="76" t="s">
        <v>379</v>
      </c>
      <c r="V896" s="76"/>
      <c r="W896" s="76"/>
      <c r="X896" s="76" t="s">
        <v>186</v>
      </c>
      <c r="Y896" s="97"/>
      <c r="Z896" s="85" t="s">
        <v>2506</v>
      </c>
      <c r="AA896" s="76" t="s">
        <v>1178</v>
      </c>
      <c r="AB896" s="97"/>
      <c r="AC896" s="76">
        <v>155.0</v>
      </c>
      <c r="AD896" s="76"/>
      <c r="AE896" s="76"/>
      <c r="AF896" s="76" t="s">
        <v>11623</v>
      </c>
      <c r="AG896" s="189"/>
      <c r="AH896" s="76" t="s">
        <v>11615</v>
      </c>
      <c r="AI896" s="203"/>
      <c r="AJ896" s="203"/>
      <c r="AK896" s="203"/>
      <c r="AL896" s="203"/>
      <c r="AM896" s="203"/>
      <c r="AN896" s="203"/>
      <c r="AO896" s="203"/>
      <c r="AP896" s="203"/>
      <c r="AQ896" s="203"/>
      <c r="AR896" s="203"/>
      <c r="AS896" s="203"/>
      <c r="AT896" s="203"/>
    </row>
    <row r="897">
      <c r="A897" s="76" t="s">
        <v>116</v>
      </c>
      <c r="B897" s="981" t="s">
        <v>1433</v>
      </c>
      <c r="C897" s="981" t="s">
        <v>121</v>
      </c>
      <c r="D897" s="981" t="s">
        <v>121</v>
      </c>
      <c r="E897" s="1107" t="s">
        <v>331</v>
      </c>
      <c r="F897" s="1108" t="s">
        <v>7124</v>
      </c>
      <c r="G897" s="981" t="s">
        <v>1684</v>
      </c>
      <c r="H897" s="981" t="s">
        <v>60</v>
      </c>
      <c r="I897" s="87" t="s">
        <v>1221</v>
      </c>
      <c r="J897" s="85" t="s">
        <v>114</v>
      </c>
      <c r="K897" s="76"/>
      <c r="L897" s="76"/>
      <c r="M897" s="76" t="s">
        <v>60</v>
      </c>
      <c r="N897" s="1109" t="s">
        <v>1693</v>
      </c>
      <c r="O897" s="76" t="s">
        <v>1696</v>
      </c>
      <c r="P897" s="330">
        <v>31702.0</v>
      </c>
      <c r="Q897" s="315">
        <f t="shared" si="90"/>
        <v>31702</v>
      </c>
      <c r="R897" s="97">
        <f t="shared" si="91"/>
        <v>39</v>
      </c>
      <c r="S897" s="76">
        <v>3.170123553E9</v>
      </c>
      <c r="T897" s="86"/>
      <c r="U897" s="76" t="s">
        <v>379</v>
      </c>
      <c r="V897" s="76"/>
      <c r="W897" s="76"/>
      <c r="X897" s="76"/>
      <c r="Y897" s="168"/>
      <c r="Z897" s="216" t="s">
        <v>2155</v>
      </c>
      <c r="AA897" s="76" t="s">
        <v>1178</v>
      </c>
      <c r="AB897" s="97"/>
      <c r="AC897" s="76">
        <v>155.0</v>
      </c>
      <c r="AD897" s="168"/>
      <c r="AE897" s="76"/>
      <c r="AF897" s="76" t="s">
        <v>9963</v>
      </c>
      <c r="AG897" s="76"/>
      <c r="AH897" s="76" t="s">
        <v>11615</v>
      </c>
      <c r="AI897" s="203"/>
      <c r="AJ897" s="203"/>
      <c r="AK897" s="203"/>
      <c r="AL897" s="203"/>
      <c r="AM897" s="203"/>
      <c r="AN897" s="203"/>
      <c r="AO897" s="203"/>
      <c r="AP897" s="203"/>
      <c r="AQ897" s="203"/>
      <c r="AR897" s="203"/>
      <c r="AS897" s="203"/>
      <c r="AT897" s="203"/>
    </row>
    <row r="898">
      <c r="A898" s="76" t="s">
        <v>116</v>
      </c>
      <c r="B898" s="981" t="s">
        <v>1728</v>
      </c>
      <c r="C898" s="981" t="s">
        <v>121</v>
      </c>
      <c r="D898" s="981" t="s">
        <v>121</v>
      </c>
      <c r="E898" s="1107" t="s">
        <v>201</v>
      </c>
      <c r="F898" s="1108" t="s">
        <v>1849</v>
      </c>
      <c r="G898" s="981" t="s">
        <v>1850</v>
      </c>
      <c r="H898" s="981" t="s">
        <v>60</v>
      </c>
      <c r="I898" s="87" t="s">
        <v>1221</v>
      </c>
      <c r="J898" s="76" t="s">
        <v>114</v>
      </c>
      <c r="K898" s="176" t="s">
        <v>11624</v>
      </c>
      <c r="L898" s="85"/>
      <c r="M898" s="85" t="s">
        <v>60</v>
      </c>
      <c r="N898" s="1109" t="s">
        <v>1860</v>
      </c>
      <c r="O898" s="76" t="s">
        <v>1861</v>
      </c>
      <c r="P898" s="153">
        <v>31512.0</v>
      </c>
      <c r="Q898" s="315">
        <f t="shared" si="90"/>
        <v>31512</v>
      </c>
      <c r="R898" s="97">
        <f t="shared" si="91"/>
        <v>40</v>
      </c>
      <c r="S898" s="76">
        <v>3.151104896E9</v>
      </c>
      <c r="T898" s="86"/>
      <c r="U898" s="76" t="s">
        <v>379</v>
      </c>
      <c r="V898" s="76"/>
      <c r="W898" s="76"/>
      <c r="X898" s="76"/>
      <c r="Y898" s="168"/>
      <c r="Z898" s="216" t="s">
        <v>2155</v>
      </c>
      <c r="AA898" s="168"/>
      <c r="AB898" s="97"/>
      <c r="AC898" s="76">
        <v>155.0</v>
      </c>
      <c r="AD898" s="168"/>
      <c r="AE898" s="76"/>
      <c r="AF898" s="117" t="s">
        <v>1860</v>
      </c>
      <c r="AG898" s="76"/>
      <c r="AH898" s="76" t="s">
        <v>11615</v>
      </c>
      <c r="AI898" s="203"/>
      <c r="AJ898" s="203"/>
      <c r="AK898" s="203"/>
      <c r="AL898" s="203"/>
      <c r="AM898" s="203"/>
      <c r="AN898" s="203"/>
      <c r="AO898" s="203"/>
      <c r="AP898" s="203"/>
      <c r="AQ898" s="203"/>
      <c r="AR898" s="203"/>
      <c r="AS898" s="203"/>
      <c r="AT898" s="203"/>
    </row>
    <row r="899">
      <c r="A899" s="76" t="s">
        <v>116</v>
      </c>
      <c r="B899" s="981" t="s">
        <v>3423</v>
      </c>
      <c r="C899" s="981" t="s">
        <v>3424</v>
      </c>
      <c r="D899" s="981" t="s">
        <v>121</v>
      </c>
      <c r="E899" s="1107" t="s">
        <v>1536</v>
      </c>
      <c r="F899" s="1108" t="s">
        <v>9663</v>
      </c>
      <c r="G899" s="981" t="s">
        <v>8880</v>
      </c>
      <c r="H899" s="981" t="s">
        <v>326</v>
      </c>
      <c r="I899" s="87" t="s">
        <v>1221</v>
      </c>
      <c r="J899" s="76" t="s">
        <v>114</v>
      </c>
      <c r="K899" s="76"/>
      <c r="L899" s="964"/>
      <c r="M899" s="85" t="s">
        <v>60</v>
      </c>
      <c r="N899" s="306" t="s">
        <v>8645</v>
      </c>
      <c r="O899" s="76" t="s">
        <v>11625</v>
      </c>
      <c r="P899" s="153">
        <v>36132.0</v>
      </c>
      <c r="Q899" s="315">
        <f t="shared" si="90"/>
        <v>36132</v>
      </c>
      <c r="R899" s="86">
        <f t="shared" si="91"/>
        <v>27</v>
      </c>
      <c r="S899" s="76">
        <v>3.613105713E9</v>
      </c>
      <c r="T899" s="315"/>
      <c r="U899" s="76" t="s">
        <v>379</v>
      </c>
      <c r="V899" s="76"/>
      <c r="W899" s="76"/>
      <c r="X899" s="76" t="s">
        <v>186</v>
      </c>
      <c r="Y899" s="97"/>
      <c r="Z899" s="85" t="s">
        <v>1815</v>
      </c>
      <c r="AA899" s="76"/>
      <c r="AB899" s="97"/>
      <c r="AC899" s="76">
        <v>155.0</v>
      </c>
      <c r="AD899" s="76"/>
      <c r="AE899" s="76"/>
      <c r="AF899" s="76"/>
      <c r="AG899" s="189"/>
      <c r="AH899" s="76" t="s">
        <v>11615</v>
      </c>
      <c r="AI899" s="203"/>
      <c r="AJ899" s="203"/>
      <c r="AK899" s="203"/>
      <c r="AL899" s="203"/>
      <c r="AM899" s="203"/>
      <c r="AN899" s="203"/>
      <c r="AO899" s="203"/>
      <c r="AP899" s="203"/>
      <c r="AQ899" s="203"/>
      <c r="AR899" s="203"/>
      <c r="AS899" s="203"/>
      <c r="AT899" s="203"/>
    </row>
    <row r="900">
      <c r="A900" s="76" t="s">
        <v>116</v>
      </c>
      <c r="B900" s="981" t="s">
        <v>1039</v>
      </c>
      <c r="C900" s="981" t="s">
        <v>1269</v>
      </c>
      <c r="D900" s="981" t="s">
        <v>1368</v>
      </c>
      <c r="E900" s="1107" t="s">
        <v>460</v>
      </c>
      <c r="F900" s="1108" t="s">
        <v>1435</v>
      </c>
      <c r="G900" s="981" t="s">
        <v>1436</v>
      </c>
      <c r="H900" s="981" t="s">
        <v>326</v>
      </c>
      <c r="I900" s="87" t="s">
        <v>1221</v>
      </c>
      <c r="J900" s="76" t="s">
        <v>114</v>
      </c>
      <c r="K900" s="85" t="s">
        <v>11626</v>
      </c>
      <c r="L900" s="85"/>
      <c r="M900" s="85" t="s">
        <v>60</v>
      </c>
      <c r="N900" s="287" t="s">
        <v>8865</v>
      </c>
      <c r="O900" s="34" t="s">
        <v>8867</v>
      </c>
      <c r="P900" s="153">
        <v>32319.0</v>
      </c>
      <c r="Q900" s="315">
        <f t="shared" si="90"/>
        <v>32319</v>
      </c>
      <c r="R900" s="86">
        <f t="shared" si="91"/>
        <v>38</v>
      </c>
      <c r="S900" s="76">
        <v>3.23182083E9</v>
      </c>
      <c r="T900" s="315" t="s">
        <v>1317</v>
      </c>
      <c r="U900" s="76" t="s">
        <v>136</v>
      </c>
      <c r="V900" s="76"/>
      <c r="W900" s="76"/>
      <c r="X900" s="76"/>
      <c r="Y900" s="97" t="s">
        <v>146</v>
      </c>
      <c r="Z900" s="97"/>
      <c r="AA900" s="76" t="s">
        <v>1178</v>
      </c>
      <c r="AB900" s="97"/>
      <c r="AC900" s="97"/>
      <c r="AD900" s="99"/>
      <c r="AE900" s="76"/>
      <c r="AF900" s="76" t="s">
        <v>4767</v>
      </c>
      <c r="AG900" s="76" t="s">
        <v>375</v>
      </c>
      <c r="AH900" s="153">
        <v>46146.0</v>
      </c>
      <c r="AI900" s="203"/>
      <c r="AJ900" s="203"/>
      <c r="AK900" s="203"/>
      <c r="AL900" s="203"/>
      <c r="AM900" s="203"/>
      <c r="AN900" s="203"/>
      <c r="AO900" s="203"/>
      <c r="AP900" s="203"/>
      <c r="AQ900" s="203"/>
      <c r="AR900" s="203"/>
      <c r="AS900" s="203"/>
      <c r="AT900" s="203"/>
    </row>
    <row r="901">
      <c r="A901" s="76" t="s">
        <v>116</v>
      </c>
      <c r="B901" s="981" t="s">
        <v>3722</v>
      </c>
      <c r="C901" s="981" t="s">
        <v>3724</v>
      </c>
      <c r="D901" s="981" t="s">
        <v>8018</v>
      </c>
      <c r="E901" s="1107" t="s">
        <v>786</v>
      </c>
      <c r="F901" s="1108" t="s">
        <v>1216</v>
      </c>
      <c r="G901" s="981" t="s">
        <v>1610</v>
      </c>
      <c r="H901" s="981" t="s">
        <v>60</v>
      </c>
      <c r="I901" s="87" t="s">
        <v>1221</v>
      </c>
      <c r="J901" s="109" t="s">
        <v>114</v>
      </c>
      <c r="K901" s="118" t="s">
        <v>11627</v>
      </c>
      <c r="L901" s="87"/>
      <c r="M901" s="87" t="s">
        <v>60</v>
      </c>
      <c r="N901" s="86" t="s">
        <v>11628</v>
      </c>
      <c r="O901" s="87" t="s">
        <v>11629</v>
      </c>
      <c r="P901" s="750">
        <v>32612.0</v>
      </c>
      <c r="Q901" s="315">
        <f t="shared" si="90"/>
        <v>32612</v>
      </c>
      <c r="R901" s="86">
        <f t="shared" si="91"/>
        <v>37</v>
      </c>
      <c r="S901" s="315">
        <v>3.261106392E9</v>
      </c>
      <c r="T901" s="315" t="s">
        <v>1426</v>
      </c>
      <c r="U901" s="291" t="s">
        <v>393</v>
      </c>
      <c r="V901" s="76"/>
      <c r="W901" s="86"/>
      <c r="X901" s="97"/>
      <c r="Y901" s="86"/>
      <c r="Z901" s="86"/>
      <c r="AA901" s="86"/>
      <c r="AB901" s="97"/>
      <c r="AC901" s="86" t="s">
        <v>1566</v>
      </c>
      <c r="AD901" s="99"/>
      <c r="AE901" s="76" t="s">
        <v>154</v>
      </c>
      <c r="AF901" s="750" t="s">
        <v>155</v>
      </c>
      <c r="AG901" s="76"/>
      <c r="AH901" s="85" t="s">
        <v>11630</v>
      </c>
      <c r="AI901" s="203"/>
      <c r="AJ901" s="203"/>
      <c r="AK901" s="203"/>
      <c r="AL901" s="203"/>
      <c r="AM901" s="203"/>
      <c r="AN901" s="203"/>
      <c r="AO901" s="203"/>
      <c r="AP901" s="203"/>
      <c r="AQ901" s="203"/>
      <c r="AR901" s="203"/>
      <c r="AS901" s="203"/>
      <c r="AT901" s="203"/>
    </row>
    <row r="902">
      <c r="A902" s="76" t="s">
        <v>116</v>
      </c>
      <c r="B902" s="981" t="s">
        <v>1433</v>
      </c>
      <c r="C902" s="981" t="s">
        <v>121</v>
      </c>
      <c r="D902" s="981" t="s">
        <v>121</v>
      </c>
      <c r="E902" s="1107" t="s">
        <v>331</v>
      </c>
      <c r="F902" s="1108" t="s">
        <v>7124</v>
      </c>
      <c r="G902" s="981" t="s">
        <v>1684</v>
      </c>
      <c r="H902" s="981" t="s">
        <v>60</v>
      </c>
      <c r="I902" s="87" t="s">
        <v>1221</v>
      </c>
      <c r="J902" s="85" t="s">
        <v>114</v>
      </c>
      <c r="K902" s="124" t="s">
        <v>11631</v>
      </c>
      <c r="L902" s="964"/>
      <c r="M902" s="85" t="s">
        <v>60</v>
      </c>
      <c r="N902" s="306" t="s">
        <v>11632</v>
      </c>
      <c r="O902" s="76" t="s">
        <v>11633</v>
      </c>
      <c r="P902" s="153">
        <v>32087.0</v>
      </c>
      <c r="Q902" s="315">
        <f t="shared" si="90"/>
        <v>32087</v>
      </c>
      <c r="R902" s="86">
        <f t="shared" si="91"/>
        <v>38</v>
      </c>
      <c r="S902" s="76">
        <v>3.208615174E9</v>
      </c>
      <c r="T902" s="315"/>
      <c r="U902" s="76" t="s">
        <v>379</v>
      </c>
      <c r="V902" s="76"/>
      <c r="W902" s="76"/>
      <c r="X902" s="76" t="s">
        <v>186</v>
      </c>
      <c r="Y902" s="97"/>
      <c r="Z902" s="85" t="s">
        <v>1815</v>
      </c>
      <c r="AA902" s="97"/>
      <c r="AB902" s="97"/>
      <c r="AC902" s="76" t="s">
        <v>632</v>
      </c>
      <c r="AD902" s="76"/>
      <c r="AE902" s="76" t="s">
        <v>861</v>
      </c>
      <c r="AF902" s="76"/>
      <c r="AG902" s="76"/>
      <c r="AH902" s="76" t="s">
        <v>9954</v>
      </c>
      <c r="AI902" s="203"/>
      <c r="AJ902" s="203"/>
      <c r="AK902" s="203"/>
      <c r="AL902" s="203"/>
      <c r="AM902" s="203"/>
      <c r="AN902" s="203"/>
      <c r="AO902" s="203"/>
      <c r="AP902" s="203"/>
      <c r="AQ902" s="203"/>
      <c r="AR902" s="203"/>
      <c r="AS902" s="203"/>
      <c r="AT902" s="203"/>
    </row>
    <row r="903">
      <c r="A903" s="76" t="s">
        <v>116</v>
      </c>
      <c r="B903" s="981" t="s">
        <v>1728</v>
      </c>
      <c r="C903" s="981" t="s">
        <v>121</v>
      </c>
      <c r="D903" s="981" t="s">
        <v>121</v>
      </c>
      <c r="E903" s="1107" t="s">
        <v>331</v>
      </c>
      <c r="F903" s="1108" t="s">
        <v>1731</v>
      </c>
      <c r="G903" s="981" t="s">
        <v>577</v>
      </c>
      <c r="H903" s="981" t="s">
        <v>60</v>
      </c>
      <c r="I903" s="87" t="s">
        <v>1221</v>
      </c>
      <c r="J903" s="109" t="s">
        <v>114</v>
      </c>
      <c r="K903" s="176" t="s">
        <v>11634</v>
      </c>
      <c r="L903" s="86"/>
      <c r="M903" s="85" t="s">
        <v>60</v>
      </c>
      <c r="N903" s="287" t="s">
        <v>11635</v>
      </c>
      <c r="O903" s="76" t="s">
        <v>9361</v>
      </c>
      <c r="P903" s="153">
        <v>28216.0</v>
      </c>
      <c r="Q903" s="315">
        <f t="shared" si="90"/>
        <v>28216</v>
      </c>
      <c r="R903" s="97">
        <f t="shared" si="91"/>
        <v>49</v>
      </c>
      <c r="S903" s="76">
        <v>2.82150479E9</v>
      </c>
      <c r="T903" s="86"/>
      <c r="U903" s="76" t="s">
        <v>136</v>
      </c>
      <c r="V903" s="76"/>
      <c r="W903" s="97"/>
      <c r="X903" s="76" t="s">
        <v>186</v>
      </c>
      <c r="Y903" s="211" t="s">
        <v>2155</v>
      </c>
      <c r="Z903" s="501" t="s">
        <v>418</v>
      </c>
      <c r="AA903" s="168"/>
      <c r="AB903" s="97"/>
      <c r="AC903" s="168"/>
      <c r="AD903" s="168"/>
      <c r="AE903" s="76"/>
      <c r="AF903" s="85" t="s">
        <v>4767</v>
      </c>
      <c r="AG903" s="76"/>
      <c r="AH903" s="76" t="s">
        <v>11636</v>
      </c>
      <c r="AI903" s="203"/>
      <c r="AJ903" s="203"/>
      <c r="AK903" s="203"/>
      <c r="AL903" s="203"/>
      <c r="AM903" s="203"/>
      <c r="AN903" s="203"/>
      <c r="AO903" s="203"/>
      <c r="AP903" s="203"/>
      <c r="AQ903" s="203"/>
      <c r="AR903" s="203"/>
      <c r="AS903" s="203"/>
      <c r="AT903" s="203"/>
    </row>
    <row r="904">
      <c r="A904" s="76" t="s">
        <v>116</v>
      </c>
      <c r="B904" s="981" t="s">
        <v>3307</v>
      </c>
      <c r="C904" s="981" t="s">
        <v>121</v>
      </c>
      <c r="D904" s="981" t="s">
        <v>121</v>
      </c>
      <c r="E904" s="1107" t="s">
        <v>1536</v>
      </c>
      <c r="F904" s="1108" t="s">
        <v>9814</v>
      </c>
      <c r="G904" s="981" t="s">
        <v>9815</v>
      </c>
      <c r="H904" s="981" t="s">
        <v>60</v>
      </c>
      <c r="I904" s="87" t="s">
        <v>1221</v>
      </c>
      <c r="J904" s="109"/>
      <c r="K904" s="176" t="s">
        <v>1602</v>
      </c>
      <c r="L904" s="76"/>
      <c r="M904" s="85" t="s">
        <v>60</v>
      </c>
      <c r="N904" s="76" t="s">
        <v>11637</v>
      </c>
      <c r="O904" s="76" t="s">
        <v>11638</v>
      </c>
      <c r="P904" s="153">
        <v>33086.0</v>
      </c>
      <c r="Q904" s="315">
        <f t="shared" si="90"/>
        <v>33086</v>
      </c>
      <c r="R904" s="86">
        <f t="shared" si="91"/>
        <v>36</v>
      </c>
      <c r="S904" s="76">
        <v>3.308503335E9</v>
      </c>
      <c r="T904" s="86"/>
      <c r="U904" s="76" t="s">
        <v>379</v>
      </c>
      <c r="V904" s="76"/>
      <c r="W904" s="76"/>
      <c r="X904" s="76"/>
      <c r="Y904" s="167"/>
      <c r="Z904" s="234" t="s">
        <v>1351</v>
      </c>
      <c r="AA904" s="168"/>
      <c r="AB904" s="97"/>
      <c r="AC904" s="76" t="s">
        <v>632</v>
      </c>
      <c r="AD904" s="168"/>
      <c r="AE904" s="76"/>
      <c r="AF904" s="76"/>
      <c r="AG904" s="76" t="s">
        <v>11639</v>
      </c>
      <c r="AH904" s="76" t="s">
        <v>10837</v>
      </c>
      <c r="AI904" s="203"/>
      <c r="AJ904" s="203"/>
      <c r="AK904" s="203"/>
      <c r="AL904" s="203"/>
      <c r="AM904" s="203"/>
      <c r="AN904" s="203"/>
      <c r="AO904" s="203"/>
      <c r="AP904" s="203"/>
      <c r="AQ904" s="203"/>
      <c r="AR904" s="203"/>
      <c r="AS904" s="203"/>
      <c r="AT904" s="203"/>
    </row>
    <row r="905">
      <c r="A905" s="76" t="s">
        <v>116</v>
      </c>
      <c r="B905" s="981" t="s">
        <v>1039</v>
      </c>
      <c r="C905" s="981" t="s">
        <v>1517</v>
      </c>
      <c r="D905" s="981" t="s">
        <v>1519</v>
      </c>
      <c r="E905" s="1107" t="s">
        <v>178</v>
      </c>
      <c r="F905" s="1108" t="s">
        <v>1369</v>
      </c>
      <c r="G905" s="981" t="s">
        <v>2494</v>
      </c>
      <c r="H905" s="981" t="s">
        <v>102</v>
      </c>
      <c r="I905" s="146" t="s">
        <v>408</v>
      </c>
      <c r="J905" s="76" t="s">
        <v>114</v>
      </c>
      <c r="K905" s="109"/>
      <c r="L905" s="109"/>
      <c r="M905" s="85" t="s">
        <v>326</v>
      </c>
      <c r="N905" s="1112" t="s">
        <v>2602</v>
      </c>
      <c r="O905" s="97" t="s">
        <v>634</v>
      </c>
      <c r="P905" s="869">
        <v>32022.0</v>
      </c>
      <c r="Q905" s="315">
        <f t="shared" si="90"/>
        <v>32022</v>
      </c>
      <c r="R905" s="86">
        <f t="shared" si="91"/>
        <v>39</v>
      </c>
      <c r="S905" s="76">
        <v>3.202110299E9</v>
      </c>
      <c r="T905" s="315" t="s">
        <v>1548</v>
      </c>
      <c r="U905" s="76" t="s">
        <v>379</v>
      </c>
      <c r="V905" s="76"/>
      <c r="W905" s="76"/>
      <c r="X905" s="76"/>
      <c r="Y905" s="97" t="s">
        <v>183</v>
      </c>
      <c r="Z905" s="289" t="s">
        <v>1725</v>
      </c>
      <c r="AA905" s="76" t="s">
        <v>1178</v>
      </c>
      <c r="AB905" s="97"/>
      <c r="AC905" s="76">
        <v>155.0</v>
      </c>
      <c r="AD905" s="99"/>
      <c r="AE905" s="76"/>
      <c r="AF905" s="85" t="s">
        <v>155</v>
      </c>
      <c r="AG905" s="76" t="s">
        <v>375</v>
      </c>
      <c r="AH905" s="76" t="s">
        <v>11615</v>
      </c>
      <c r="AI905" s="203"/>
      <c r="AJ905" s="203"/>
      <c r="AK905" s="203"/>
      <c r="AL905" s="203"/>
      <c r="AM905" s="203"/>
      <c r="AN905" s="203"/>
      <c r="AO905" s="203"/>
      <c r="AP905" s="203"/>
      <c r="AQ905" s="203"/>
      <c r="AR905" s="203"/>
      <c r="AS905" s="203"/>
      <c r="AT905" s="203"/>
    </row>
    <row r="906">
      <c r="A906" s="76" t="s">
        <v>116</v>
      </c>
      <c r="B906" s="981" t="s">
        <v>3722</v>
      </c>
      <c r="C906" s="981" t="s">
        <v>121</v>
      </c>
      <c r="D906" s="981" t="s">
        <v>121</v>
      </c>
      <c r="E906" s="1107" t="s">
        <v>295</v>
      </c>
      <c r="F906" s="1108" t="s">
        <v>1241</v>
      </c>
      <c r="G906" s="981" t="s">
        <v>6980</v>
      </c>
      <c r="H906" s="981" t="s">
        <v>60</v>
      </c>
      <c r="I906" s="87" t="s">
        <v>1221</v>
      </c>
      <c r="J906" s="76" t="s">
        <v>114</v>
      </c>
      <c r="K906" s="76"/>
      <c r="L906" s="964"/>
      <c r="M906" s="85" t="s">
        <v>60</v>
      </c>
      <c r="N906" s="306" t="s">
        <v>11640</v>
      </c>
      <c r="O906" s="76" t="s">
        <v>11641</v>
      </c>
      <c r="P906" s="153">
        <v>27897.0</v>
      </c>
      <c r="Q906" s="315">
        <f t="shared" si="90"/>
        <v>27897</v>
      </c>
      <c r="R906" s="86">
        <f t="shared" si="91"/>
        <v>50</v>
      </c>
      <c r="S906" s="76">
        <v>2.789621539E9</v>
      </c>
      <c r="T906" s="76" t="s">
        <v>1479</v>
      </c>
      <c r="U906" s="76" t="s">
        <v>379</v>
      </c>
      <c r="V906" s="76"/>
      <c r="W906" s="76"/>
      <c r="X906" s="76" t="s">
        <v>186</v>
      </c>
      <c r="Y906" s="97"/>
      <c r="Z906" s="85" t="s">
        <v>3792</v>
      </c>
      <c r="AA906" s="97"/>
      <c r="AB906" s="97"/>
      <c r="AC906" s="76" t="s">
        <v>11642</v>
      </c>
      <c r="AD906" s="76"/>
      <c r="AE906" s="76"/>
      <c r="AF906" s="76" t="s">
        <v>11643</v>
      </c>
      <c r="AG906" s="189"/>
      <c r="AH906" s="76"/>
      <c r="AI906" s="203"/>
      <c r="AJ906" s="203"/>
      <c r="AK906" s="203"/>
      <c r="AL906" s="203"/>
      <c r="AM906" s="203"/>
      <c r="AN906" s="203"/>
      <c r="AO906" s="203"/>
      <c r="AP906" s="203"/>
      <c r="AQ906" s="203"/>
      <c r="AR906" s="203"/>
      <c r="AS906" s="203"/>
      <c r="AT906" s="203"/>
    </row>
    <row r="907">
      <c r="A907" s="76" t="s">
        <v>116</v>
      </c>
      <c r="B907" s="981" t="s">
        <v>3423</v>
      </c>
      <c r="C907" s="981" t="s">
        <v>9627</v>
      </c>
      <c r="D907" s="981" t="s">
        <v>121</v>
      </c>
      <c r="E907" s="1107" t="s">
        <v>2015</v>
      </c>
      <c r="F907" s="1108" t="s">
        <v>9628</v>
      </c>
      <c r="G907" s="981" t="s">
        <v>2023</v>
      </c>
      <c r="H907" s="981" t="s">
        <v>102</v>
      </c>
      <c r="I907" s="146" t="s">
        <v>408</v>
      </c>
      <c r="J907" s="85" t="s">
        <v>114</v>
      </c>
      <c r="K907" s="176" t="s">
        <v>11644</v>
      </c>
      <c r="L907" s="85"/>
      <c r="M907" s="85" t="s">
        <v>60</v>
      </c>
      <c r="N907" s="1109" t="s">
        <v>2020</v>
      </c>
      <c r="O907" s="320" t="s">
        <v>624</v>
      </c>
      <c r="P907" s="153">
        <v>30047.0</v>
      </c>
      <c r="Q907" s="315">
        <f t="shared" si="90"/>
        <v>30047</v>
      </c>
      <c r="R907" s="97">
        <f t="shared" si="91"/>
        <v>44</v>
      </c>
      <c r="S907" s="76">
        <v>3.004614477E9</v>
      </c>
      <c r="T907" s="315"/>
      <c r="U907" s="76" t="s">
        <v>379</v>
      </c>
      <c r="V907" s="76"/>
      <c r="W907" s="76"/>
      <c r="X907" s="76"/>
      <c r="Y907" s="97" t="s">
        <v>1174</v>
      </c>
      <c r="Z907" s="278" t="s">
        <v>1613</v>
      </c>
      <c r="AA907" s="76"/>
      <c r="AB907" s="76"/>
      <c r="AC907" s="76">
        <v>155.0</v>
      </c>
      <c r="AD907" s="99"/>
      <c r="AE907" s="76"/>
      <c r="AF907" s="76"/>
      <c r="AG907" s="76" t="s">
        <v>1187</v>
      </c>
      <c r="AH907" s="76" t="s">
        <v>11615</v>
      </c>
      <c r="AI907" s="203"/>
      <c r="AJ907" s="203"/>
      <c r="AK907" s="203"/>
      <c r="AL907" s="203"/>
      <c r="AM907" s="203"/>
      <c r="AN907" s="203"/>
      <c r="AO907" s="203"/>
      <c r="AP907" s="203"/>
      <c r="AQ907" s="203"/>
      <c r="AR907" s="203"/>
      <c r="AS907" s="203"/>
      <c r="AT907" s="203"/>
    </row>
    <row r="908">
      <c r="A908" s="76"/>
      <c r="B908" s="302" t="s">
        <v>4145</v>
      </c>
      <c r="C908" s="981"/>
      <c r="D908" s="981"/>
      <c r="E908" s="76" t="s">
        <v>11645</v>
      </c>
      <c r="F908" s="1108"/>
      <c r="G908" s="981"/>
      <c r="H908" s="981"/>
      <c r="I908" s="87"/>
      <c r="J908" s="76" t="s">
        <v>114</v>
      </c>
      <c r="K908" s="1097"/>
      <c r="L908" s="76"/>
      <c r="M908" s="85" t="s">
        <v>60</v>
      </c>
      <c r="N908" s="1113" t="s">
        <v>362</v>
      </c>
      <c r="O908" s="306" t="s">
        <v>364</v>
      </c>
      <c r="P908" s="153">
        <v>30746.0</v>
      </c>
      <c r="Q908" s="315">
        <f t="shared" si="90"/>
        <v>30746</v>
      </c>
      <c r="R908" s="86">
        <f t="shared" si="91"/>
        <v>42</v>
      </c>
      <c r="S908" s="76">
        <v>3.074509432E9</v>
      </c>
      <c r="T908" s="315"/>
      <c r="U908" s="76" t="s">
        <v>379</v>
      </c>
      <c r="V908" s="76"/>
      <c r="W908" s="76"/>
      <c r="X908" s="76"/>
      <c r="Y908" s="97"/>
      <c r="Z908" s="85"/>
      <c r="AA908" s="97"/>
      <c r="AB908" s="76"/>
      <c r="AC908" s="76"/>
      <c r="AD908" s="76"/>
      <c r="AE908" s="76"/>
      <c r="AF908" s="76"/>
      <c r="AG908" s="189"/>
      <c r="AH908" s="76" t="s">
        <v>11615</v>
      </c>
      <c r="AI908" s="67"/>
      <c r="AJ908" s="67"/>
      <c r="AK908" s="1114"/>
      <c r="AL908" s="1114"/>
      <c r="AM908" s="1115"/>
      <c r="AN908" s="1115"/>
      <c r="AO908" s="1114"/>
      <c r="AP908" s="1114"/>
      <c r="AQ908" s="67"/>
      <c r="AR908" s="67"/>
      <c r="AS908" s="67"/>
      <c r="AT908" s="67"/>
    </row>
    <row r="909">
      <c r="A909" s="76"/>
      <c r="B909" s="302" t="s">
        <v>4145</v>
      </c>
      <c r="C909" s="981"/>
      <c r="D909" s="981"/>
      <c r="E909" s="86"/>
      <c r="F909" s="1108"/>
      <c r="G909" s="981"/>
      <c r="H909" s="981"/>
      <c r="I909" s="87"/>
      <c r="J909" s="76" t="s">
        <v>114</v>
      </c>
      <c r="K909" s="1097"/>
      <c r="L909" s="76"/>
      <c r="M909" s="85" t="s">
        <v>60</v>
      </c>
      <c r="N909" s="306" t="s">
        <v>11646</v>
      </c>
      <c r="O909" s="76" t="s">
        <v>11647</v>
      </c>
      <c r="P909" s="153">
        <v>35279.0</v>
      </c>
      <c r="Q909" s="1116">
        <v>28680.0</v>
      </c>
      <c r="R909" s="525">
        <v>47.0</v>
      </c>
      <c r="S909" s="76"/>
      <c r="T909" s="315"/>
      <c r="U909" s="76" t="s">
        <v>379</v>
      </c>
      <c r="V909" s="76"/>
      <c r="W909" s="76"/>
      <c r="X909" s="76" t="s">
        <v>186</v>
      </c>
      <c r="Y909" s="97"/>
      <c r="Z909" s="85" t="s">
        <v>3792</v>
      </c>
      <c r="AA909" s="97"/>
      <c r="AB909" s="76"/>
      <c r="AC909" s="76"/>
      <c r="AD909" s="76"/>
      <c r="AE909" s="76"/>
      <c r="AF909" s="76" t="s">
        <v>11430</v>
      </c>
      <c r="AG909" s="189"/>
      <c r="AH909" s="76" t="s">
        <v>11615</v>
      </c>
      <c r="AI909" s="67"/>
      <c r="AJ909" s="67"/>
      <c r="AK909" s="1114"/>
      <c r="AL909" s="1114"/>
      <c r="AM909" s="1115"/>
      <c r="AN909" s="1115"/>
      <c r="AO909" s="1114"/>
      <c r="AP909" s="1114"/>
      <c r="AQ909" s="67"/>
      <c r="AR909" s="67"/>
      <c r="AS909" s="67"/>
      <c r="AT909" s="67"/>
    </row>
    <row r="910">
      <c r="A910" s="86"/>
      <c r="B910" s="302" t="s">
        <v>4145</v>
      </c>
      <c r="C910" s="966" t="s">
        <v>5668</v>
      </c>
      <c r="D910" s="76"/>
      <c r="E910" s="574">
        <v>46105.0</v>
      </c>
      <c r="F910" s="762"/>
      <c r="G910" s="762"/>
      <c r="H910" s="762"/>
      <c r="I910" s="762"/>
      <c r="J910" s="76" t="s">
        <v>114</v>
      </c>
      <c r="K910" s="124" t="s">
        <v>11648</v>
      </c>
      <c r="L910" s="964"/>
      <c r="M910" s="85" t="s">
        <v>60</v>
      </c>
      <c r="N910" s="1111" t="s">
        <v>11649</v>
      </c>
      <c r="O910" s="76" t="s">
        <v>11650</v>
      </c>
      <c r="P910" s="153">
        <v>33194.0</v>
      </c>
      <c r="Q910" s="315">
        <f t="shared" ref="Q910:Q917" si="92">VALUE(LEFT(TEXT(S910,0),5))+1</f>
        <v>33194</v>
      </c>
      <c r="R910" s="86">
        <f t="shared" ref="R910:R917" si="93">DATEDIF($P910,TODAY(),"Y")</f>
        <v>35</v>
      </c>
      <c r="S910" s="76">
        <v>3.319315476E9</v>
      </c>
      <c r="T910" s="315"/>
      <c r="U910" s="76" t="s">
        <v>379</v>
      </c>
      <c r="V910" s="76"/>
      <c r="W910" s="76"/>
      <c r="X910" s="76" t="s">
        <v>186</v>
      </c>
      <c r="Y910" s="97"/>
      <c r="Z910" s="85" t="s">
        <v>1815</v>
      </c>
      <c r="AA910" s="76" t="s">
        <v>1178</v>
      </c>
      <c r="AB910" s="97"/>
      <c r="AC910" s="76">
        <v>155.0</v>
      </c>
      <c r="AD910" s="76"/>
      <c r="AE910" s="76"/>
      <c r="AF910" s="1117"/>
      <c r="AG910" s="189"/>
      <c r="AH910" s="76" t="s">
        <v>11615</v>
      </c>
      <c r="AI910" s="763"/>
      <c r="AJ910" s="763"/>
      <c r="AK910" s="763"/>
      <c r="AL910" s="763"/>
      <c r="AM910" s="763"/>
      <c r="AN910" s="763"/>
      <c r="AO910" s="763"/>
      <c r="AP910" s="763"/>
      <c r="AQ910" s="763"/>
      <c r="AR910" s="763"/>
      <c r="AS910" s="763"/>
      <c r="AT910" s="763"/>
    </row>
    <row r="911">
      <c r="A911" s="86"/>
      <c r="B911" s="302" t="s">
        <v>4145</v>
      </c>
      <c r="C911" s="302"/>
      <c r="D911" s="76"/>
      <c r="E911" s="574">
        <v>46129.0</v>
      </c>
      <c r="F911" s="762"/>
      <c r="G911" s="762"/>
      <c r="H911" s="762"/>
      <c r="I911" s="762"/>
      <c r="J911" s="76" t="s">
        <v>114</v>
      </c>
      <c r="K911" s="176" t="s">
        <v>1602</v>
      </c>
      <c r="L911" s="964"/>
      <c r="M911" s="85" t="s">
        <v>60</v>
      </c>
      <c r="N911" s="306" t="s">
        <v>11651</v>
      </c>
      <c r="O911" s="76" t="s">
        <v>11652</v>
      </c>
      <c r="P911" s="153">
        <v>27997.0</v>
      </c>
      <c r="Q911" s="315">
        <f t="shared" si="92"/>
        <v>27997</v>
      </c>
      <c r="R911" s="86">
        <f t="shared" si="93"/>
        <v>50</v>
      </c>
      <c r="S911" s="76">
        <v>2.799612855E9</v>
      </c>
      <c r="T911" s="315"/>
      <c r="U911" s="76" t="s">
        <v>379</v>
      </c>
      <c r="V911" s="76"/>
      <c r="W911" s="76"/>
      <c r="X911" s="76" t="s">
        <v>186</v>
      </c>
      <c r="Y911" s="97"/>
      <c r="Z911" s="85" t="s">
        <v>2506</v>
      </c>
      <c r="AA911" s="76"/>
      <c r="AB911" s="97"/>
      <c r="AC911" s="76" t="s">
        <v>1032</v>
      </c>
      <c r="AD911" s="76"/>
      <c r="AE911" s="76"/>
      <c r="AF911" s="76"/>
      <c r="AG911" s="189"/>
      <c r="AH911" s="76" t="s">
        <v>11615</v>
      </c>
      <c r="AI911" s="763"/>
      <c r="AJ911" s="763"/>
      <c r="AK911" s="763"/>
      <c r="AL911" s="763"/>
      <c r="AM911" s="763"/>
      <c r="AN911" s="763"/>
      <c r="AO911" s="763"/>
      <c r="AP911" s="763"/>
      <c r="AQ911" s="763"/>
      <c r="AR911" s="763"/>
      <c r="AS911" s="763"/>
      <c r="AT911" s="763"/>
    </row>
    <row r="912">
      <c r="A912" s="86"/>
      <c r="B912" s="302" t="s">
        <v>4145</v>
      </c>
      <c r="C912" s="966" t="s">
        <v>5668</v>
      </c>
      <c r="D912" s="76"/>
      <c r="E912" s="574">
        <v>46138.0</v>
      </c>
      <c r="F912" s="762"/>
      <c r="G912" s="762"/>
      <c r="H912" s="762"/>
      <c r="I912" s="762"/>
      <c r="J912" s="76" t="s">
        <v>114</v>
      </c>
      <c r="K912" s="76"/>
      <c r="L912" s="964"/>
      <c r="M912" s="1118" t="s">
        <v>60</v>
      </c>
      <c r="N912" s="1118" t="s">
        <v>11653</v>
      </c>
      <c r="O912" s="1118" t="s">
        <v>11654</v>
      </c>
      <c r="P912" s="153">
        <v>27856.0</v>
      </c>
      <c r="Q912" s="315">
        <f t="shared" si="92"/>
        <v>1</v>
      </c>
      <c r="R912" s="86">
        <f t="shared" si="93"/>
        <v>50</v>
      </c>
      <c r="S912" s="76"/>
      <c r="T912" s="315"/>
      <c r="U912" s="76" t="s">
        <v>379</v>
      </c>
      <c r="V912" s="76"/>
      <c r="W912" s="76"/>
      <c r="X912" s="76"/>
      <c r="Y912" s="276"/>
      <c r="Z912" s="216" t="s">
        <v>1173</v>
      </c>
      <c r="AA912" s="76" t="s">
        <v>1178</v>
      </c>
      <c r="AB912" s="97"/>
      <c r="AC912" s="76"/>
      <c r="AD912" s="76"/>
      <c r="AE912" s="76"/>
      <c r="AF912" s="76" t="s">
        <v>11655</v>
      </c>
      <c r="AG912" s="1118" t="s">
        <v>11656</v>
      </c>
      <c r="AH912" s="76" t="s">
        <v>11615</v>
      </c>
      <c r="AI912" s="763"/>
      <c r="AJ912" s="763"/>
      <c r="AK912" s="763"/>
      <c r="AL912" s="763"/>
      <c r="AM912" s="763"/>
      <c r="AN912" s="763"/>
      <c r="AO912" s="763"/>
      <c r="AP912" s="763"/>
      <c r="AQ912" s="763"/>
      <c r="AR912" s="763"/>
      <c r="AS912" s="763"/>
      <c r="AT912" s="763"/>
    </row>
    <row r="913">
      <c r="A913" s="86"/>
      <c r="B913" s="302" t="s">
        <v>4145</v>
      </c>
      <c r="C913" s="291" t="s">
        <v>5668</v>
      </c>
      <c r="D913" s="76"/>
      <c r="E913" s="574">
        <v>46138.0</v>
      </c>
      <c r="F913" s="762"/>
      <c r="G913" s="762"/>
      <c r="H913" s="762"/>
      <c r="I913" s="762"/>
      <c r="J913" s="76" t="s">
        <v>114</v>
      </c>
      <c r="K913" s="76"/>
      <c r="L913" s="964"/>
      <c r="M913" s="85" t="s">
        <v>60</v>
      </c>
      <c r="N913" s="306" t="s">
        <v>11657</v>
      </c>
      <c r="O913" s="76" t="s">
        <v>2362</v>
      </c>
      <c r="P913" s="153">
        <v>28078.0</v>
      </c>
      <c r="Q913" s="315">
        <f t="shared" si="92"/>
        <v>1</v>
      </c>
      <c r="R913" s="86">
        <f t="shared" si="93"/>
        <v>49</v>
      </c>
      <c r="S913" s="76"/>
      <c r="T913" s="315"/>
      <c r="U913" s="76" t="s">
        <v>379</v>
      </c>
      <c r="V913" s="76"/>
      <c r="W913" s="76"/>
      <c r="X913" s="76" t="s">
        <v>186</v>
      </c>
      <c r="Y913" s="276"/>
      <c r="Z913" s="85" t="s">
        <v>1815</v>
      </c>
      <c r="AA913" s="76" t="s">
        <v>1178</v>
      </c>
      <c r="AB913" s="97"/>
      <c r="AC913" s="76"/>
      <c r="AD913" s="76"/>
      <c r="AE913" s="76"/>
      <c r="AF913" s="76"/>
      <c r="AG913" s="189"/>
      <c r="AH913" s="76" t="s">
        <v>11615</v>
      </c>
      <c r="AI913" s="763"/>
      <c r="AJ913" s="763"/>
      <c r="AK913" s="763"/>
      <c r="AL913" s="763"/>
      <c r="AM913" s="763"/>
      <c r="AN913" s="763"/>
      <c r="AO913" s="763"/>
      <c r="AP913" s="763"/>
      <c r="AQ913" s="763"/>
      <c r="AR913" s="763"/>
      <c r="AS913" s="763"/>
      <c r="AT913" s="763"/>
    </row>
    <row r="914">
      <c r="A914" s="86"/>
      <c r="B914" s="966" t="s">
        <v>4145</v>
      </c>
      <c r="C914" s="966" t="s">
        <v>5668</v>
      </c>
      <c r="D914" s="76"/>
      <c r="E914" s="574">
        <v>46138.0</v>
      </c>
      <c r="F914" s="762"/>
      <c r="G914" s="762"/>
      <c r="H914" s="762"/>
      <c r="I914" s="762"/>
      <c r="J914" s="76" t="s">
        <v>114</v>
      </c>
      <c r="K914" s="76"/>
      <c r="L914" s="964"/>
      <c r="M914" s="85" t="s">
        <v>60</v>
      </c>
      <c r="N914" s="1111" t="s">
        <v>11658</v>
      </c>
      <c r="O914" s="76" t="s">
        <v>2955</v>
      </c>
      <c r="P914" s="153">
        <v>32466.0</v>
      </c>
      <c r="Q914" s="315">
        <f t="shared" si="92"/>
        <v>32466</v>
      </c>
      <c r="R914" s="86">
        <f t="shared" si="93"/>
        <v>37</v>
      </c>
      <c r="S914" s="76">
        <v>3.246514954E9</v>
      </c>
      <c r="T914" s="315"/>
      <c r="U914" s="76" t="s">
        <v>379</v>
      </c>
      <c r="V914" s="76"/>
      <c r="W914" s="76"/>
      <c r="X914" s="76" t="s">
        <v>186</v>
      </c>
      <c r="Y914" s="276"/>
      <c r="Z914" s="85" t="s">
        <v>2506</v>
      </c>
      <c r="AA914" s="76" t="s">
        <v>1178</v>
      </c>
      <c r="AB914" s="97"/>
      <c r="AC914" s="76">
        <v>155.0</v>
      </c>
      <c r="AD914" s="76"/>
      <c r="AE914" s="76"/>
      <c r="AF914" s="76"/>
      <c r="AG914" s="189"/>
      <c r="AH914" s="76" t="s">
        <v>11615</v>
      </c>
      <c r="AI914" s="763"/>
      <c r="AJ914" s="763"/>
      <c r="AK914" s="763"/>
      <c r="AL914" s="763"/>
      <c r="AM914" s="763"/>
      <c r="AN914" s="763"/>
      <c r="AO914" s="763"/>
      <c r="AP914" s="763"/>
      <c r="AQ914" s="763"/>
      <c r="AR914" s="763"/>
      <c r="AS914" s="763"/>
      <c r="AT914" s="763"/>
    </row>
    <row r="915">
      <c r="A915" s="86"/>
      <c r="B915" s="302" t="s">
        <v>4145</v>
      </c>
      <c r="C915" s="302"/>
      <c r="D915" s="76" t="s">
        <v>10837</v>
      </c>
      <c r="E915" s="574">
        <v>46155.0</v>
      </c>
      <c r="F915" s="762"/>
      <c r="G915" s="762"/>
      <c r="H915" s="762"/>
      <c r="I915" s="762"/>
      <c r="J915" s="76" t="s">
        <v>114</v>
      </c>
      <c r="K915" s="76"/>
      <c r="L915" s="964"/>
      <c r="M915" s="85" t="s">
        <v>60</v>
      </c>
      <c r="N915" s="306" t="s">
        <v>11659</v>
      </c>
      <c r="O915" s="76" t="s">
        <v>11660</v>
      </c>
      <c r="P915" s="153">
        <v>30208.0</v>
      </c>
      <c r="Q915" s="315">
        <f t="shared" si="92"/>
        <v>30208</v>
      </c>
      <c r="R915" s="86">
        <f t="shared" si="93"/>
        <v>43</v>
      </c>
      <c r="S915" s="76">
        <v>3.020711239E9</v>
      </c>
      <c r="T915" s="315"/>
      <c r="U915" s="76" t="s">
        <v>379</v>
      </c>
      <c r="V915" s="76"/>
      <c r="W915" s="76"/>
      <c r="X915" s="76" t="s">
        <v>186</v>
      </c>
      <c r="Y915" s="97"/>
      <c r="Z915" s="85" t="s">
        <v>3792</v>
      </c>
      <c r="AA915" s="97"/>
      <c r="AB915" s="76" t="s">
        <v>192</v>
      </c>
      <c r="AC915" s="76"/>
      <c r="AD915" s="76"/>
      <c r="AE915" s="76"/>
      <c r="AF915" s="76"/>
      <c r="AG915" s="189"/>
      <c r="AH915" s="76" t="s">
        <v>11661</v>
      </c>
      <c r="AI915" s="763"/>
      <c r="AJ915" s="763"/>
      <c r="AK915" s="763"/>
      <c r="AL915" s="763"/>
      <c r="AM915" s="763"/>
      <c r="AN915" s="763"/>
      <c r="AO915" s="763"/>
      <c r="AP915" s="763"/>
      <c r="AQ915" s="763"/>
      <c r="AR915" s="763"/>
      <c r="AS915" s="763"/>
      <c r="AT915" s="763"/>
    </row>
    <row r="916">
      <c r="A916" s="86"/>
      <c r="B916" s="302" t="s">
        <v>4145</v>
      </c>
      <c r="C916" s="302"/>
      <c r="D916" s="76" t="s">
        <v>10837</v>
      </c>
      <c r="E916" s="574">
        <v>46155.0</v>
      </c>
      <c r="F916" s="762"/>
      <c r="G916" s="762"/>
      <c r="H916" s="762"/>
      <c r="I916" s="762"/>
      <c r="J916" s="76" t="s">
        <v>114</v>
      </c>
      <c r="K916" s="76"/>
      <c r="L916" s="964"/>
      <c r="M916" s="85" t="s">
        <v>60</v>
      </c>
      <c r="N916" s="306" t="s">
        <v>11662</v>
      </c>
      <c r="O916" s="76" t="s">
        <v>2041</v>
      </c>
      <c r="P916" s="153">
        <v>32113.0</v>
      </c>
      <c r="Q916" s="315">
        <f t="shared" si="92"/>
        <v>32113</v>
      </c>
      <c r="R916" s="86">
        <f t="shared" si="93"/>
        <v>38</v>
      </c>
      <c r="S916" s="76">
        <v>3.211207511E9</v>
      </c>
      <c r="T916" s="315"/>
      <c r="U916" s="76" t="s">
        <v>379</v>
      </c>
      <c r="V916" s="76"/>
      <c r="W916" s="76"/>
      <c r="X916" s="76" t="s">
        <v>186</v>
      </c>
      <c r="Y916" s="97"/>
      <c r="Z916" s="85" t="s">
        <v>3792</v>
      </c>
      <c r="AA916" s="97"/>
      <c r="AB916" s="97"/>
      <c r="AC916" s="76"/>
      <c r="AD916" s="76"/>
      <c r="AE916" s="76"/>
      <c r="AF916" s="76"/>
      <c r="AG916" s="189"/>
      <c r="AH916" s="76" t="s">
        <v>11661</v>
      </c>
      <c r="AI916" s="763"/>
      <c r="AJ916" s="763"/>
      <c r="AK916" s="763"/>
      <c r="AL916" s="763"/>
      <c r="AM916" s="763"/>
      <c r="AN916" s="763"/>
      <c r="AO916" s="763"/>
      <c r="AP916" s="763"/>
      <c r="AQ916" s="763"/>
      <c r="AR916" s="763"/>
      <c r="AS916" s="763"/>
      <c r="AT916" s="763"/>
    </row>
    <row r="917">
      <c r="A917" s="86"/>
      <c r="B917" s="302" t="s">
        <v>4145</v>
      </c>
      <c r="C917" s="302"/>
      <c r="D917" s="76" t="s">
        <v>11144</v>
      </c>
      <c r="E917" s="574">
        <v>46155.0</v>
      </c>
      <c r="F917" s="762"/>
      <c r="G917" s="762"/>
      <c r="H917" s="762"/>
      <c r="I917" s="762"/>
      <c r="J917" s="76" t="s">
        <v>114</v>
      </c>
      <c r="K917" s="76"/>
      <c r="L917" s="964"/>
      <c r="M917" s="85" t="s">
        <v>60</v>
      </c>
      <c r="N917" s="306" t="s">
        <v>11663</v>
      </c>
      <c r="O917" s="76" t="s">
        <v>11664</v>
      </c>
      <c r="P917" s="153">
        <v>30476.0</v>
      </c>
      <c r="Q917" s="315">
        <f t="shared" si="92"/>
        <v>30476</v>
      </c>
      <c r="R917" s="86">
        <f t="shared" si="93"/>
        <v>43</v>
      </c>
      <c r="S917" s="76">
        <v>3.047519877E9</v>
      </c>
      <c r="T917" s="315"/>
      <c r="U917" s="76" t="s">
        <v>379</v>
      </c>
      <c r="V917" s="76"/>
      <c r="W917" s="76"/>
      <c r="X917" s="76" t="s">
        <v>186</v>
      </c>
      <c r="Y917" s="276"/>
      <c r="Z917" s="501" t="s">
        <v>418</v>
      </c>
      <c r="AA917" s="97"/>
      <c r="AB917" s="97"/>
      <c r="AC917" s="76"/>
      <c r="AD917" s="76"/>
      <c r="AE917" s="76"/>
      <c r="AF917" s="76"/>
      <c r="AG917" s="189"/>
      <c r="AH917" s="76" t="s">
        <v>11661</v>
      </c>
      <c r="AI917" s="763"/>
      <c r="AJ917" s="763"/>
      <c r="AK917" s="763"/>
      <c r="AL917" s="763"/>
      <c r="AM917" s="763"/>
      <c r="AN917" s="763"/>
      <c r="AO917" s="763"/>
      <c r="AP917" s="763"/>
      <c r="AQ917" s="763"/>
      <c r="AR917" s="763"/>
      <c r="AS917" s="763"/>
      <c r="AT917" s="763"/>
    </row>
    <row r="918">
      <c r="A918" s="76"/>
      <c r="B918" s="302" t="s">
        <v>4145</v>
      </c>
      <c r="C918" s="981"/>
      <c r="D918" s="981"/>
      <c r="E918" s="76" t="s">
        <v>11645</v>
      </c>
      <c r="F918" s="1108"/>
      <c r="G918" s="981"/>
      <c r="H918" s="981"/>
      <c r="I918" s="87"/>
      <c r="J918" s="76"/>
      <c r="K918" s="1097"/>
      <c r="L918" s="76"/>
      <c r="M918" s="85" t="s">
        <v>60</v>
      </c>
      <c r="N918" s="306" t="s">
        <v>11665</v>
      </c>
      <c r="O918" s="306" t="s">
        <v>2836</v>
      </c>
      <c r="P918" s="153"/>
      <c r="Q918" s="315"/>
      <c r="R918" s="86"/>
      <c r="S918" s="76"/>
      <c r="T918" s="315"/>
      <c r="U918" s="76" t="s">
        <v>379</v>
      </c>
      <c r="V918" s="76"/>
      <c r="W918" s="76"/>
      <c r="X918" s="76" t="s">
        <v>186</v>
      </c>
      <c r="Y918" s="97"/>
      <c r="Z918" s="85" t="s">
        <v>3792</v>
      </c>
      <c r="AA918" s="97"/>
      <c r="AB918" s="76"/>
      <c r="AC918" s="76"/>
      <c r="AD918" s="76"/>
      <c r="AE918" s="76"/>
      <c r="AF918" s="76"/>
      <c r="AG918" s="189"/>
      <c r="AH918" s="76" t="s">
        <v>11661</v>
      </c>
      <c r="AI918" s="67"/>
      <c r="AJ918" s="67"/>
      <c r="AK918" s="1114"/>
      <c r="AL918" s="1114"/>
      <c r="AM918" s="1115"/>
      <c r="AN918" s="1115"/>
      <c r="AO918" s="1114"/>
      <c r="AP918" s="1114"/>
      <c r="AQ918" s="67"/>
      <c r="AR918" s="67"/>
      <c r="AS918" s="67"/>
      <c r="AT918" s="67"/>
    </row>
    <row r="919">
      <c r="A919" s="76">
        <v>155.0</v>
      </c>
      <c r="B919" s="529" t="s">
        <v>1709</v>
      </c>
      <c r="C919" s="86" t="s">
        <v>1611</v>
      </c>
      <c r="D919" s="86" t="s">
        <v>1519</v>
      </c>
      <c r="E919" s="749" t="s">
        <v>178</v>
      </c>
      <c r="F919" s="747" t="s">
        <v>1369</v>
      </c>
      <c r="G919" s="97" t="s">
        <v>102</v>
      </c>
      <c r="H919" s="817" t="s">
        <v>3336</v>
      </c>
      <c r="I919" s="86" t="s">
        <v>1443</v>
      </c>
      <c r="J919" s="109" t="s">
        <v>114</v>
      </c>
      <c r="K919" s="118" t="s">
        <v>11666</v>
      </c>
      <c r="L919" s="1119"/>
      <c r="M919" s="197" t="s">
        <v>60</v>
      </c>
      <c r="N919" s="127" t="s">
        <v>1732</v>
      </c>
      <c r="O919" s="87" t="s">
        <v>1476</v>
      </c>
      <c r="P919" s="750">
        <v>32293.0</v>
      </c>
      <c r="Q919" s="315">
        <f t="shared" ref="Q919:Q931" si="94">VALUE(LEFT(TEXT(S919,0),5))+1</f>
        <v>32293</v>
      </c>
      <c r="R919" s="86">
        <f t="shared" ref="R919:R931" si="95">DATEDIF($P919,TODAY(),"Y")</f>
        <v>38</v>
      </c>
      <c r="S919" s="315">
        <v>3.229226292E9</v>
      </c>
      <c r="T919" s="315"/>
      <c r="U919" s="124" t="s">
        <v>379</v>
      </c>
      <c r="V919" s="76"/>
      <c r="W919" s="109"/>
      <c r="X919" s="97"/>
      <c r="Y919" s="97"/>
      <c r="Z919" s="97"/>
      <c r="AA919" s="97"/>
      <c r="AB919" s="76" t="s">
        <v>192</v>
      </c>
      <c r="AC919" s="97"/>
      <c r="AD919" s="99"/>
      <c r="AE919" s="97"/>
      <c r="AF919" s="99"/>
      <c r="AG919" s="76" t="s">
        <v>11667</v>
      </c>
      <c r="AH919" s="76" t="s">
        <v>11661</v>
      </c>
      <c r="AI919" s="67"/>
      <c r="AJ919" s="67"/>
      <c r="AK919" s="1114"/>
      <c r="AL919" s="1114"/>
      <c r="AM919" s="1114"/>
      <c r="AN919" s="1114"/>
      <c r="AO919" s="1114"/>
      <c r="AP919" s="1114"/>
      <c r="AQ919" s="67"/>
      <c r="AR919" s="67"/>
      <c r="AS919" s="67"/>
      <c r="AT919" s="67"/>
    </row>
    <row r="920">
      <c r="A920" s="76">
        <v>425.0</v>
      </c>
      <c r="B920" s="529" t="s">
        <v>1709</v>
      </c>
      <c r="C920" s="87" t="s">
        <v>1517</v>
      </c>
      <c r="D920" s="87" t="s">
        <v>1519</v>
      </c>
      <c r="E920" s="746" t="s">
        <v>58</v>
      </c>
      <c r="F920" s="747" t="s">
        <v>1496</v>
      </c>
      <c r="G920" s="753" t="s">
        <v>60</v>
      </c>
      <c r="H920" s="87" t="s">
        <v>1221</v>
      </c>
      <c r="I920" s="86" t="s">
        <v>1443</v>
      </c>
      <c r="J920" s="85" t="s">
        <v>114</v>
      </c>
      <c r="K920" s="85" t="s">
        <v>11668</v>
      </c>
      <c r="L920" s="85"/>
      <c r="M920" s="85" t="s">
        <v>60</v>
      </c>
      <c r="N920" s="76" t="s">
        <v>9499</v>
      </c>
      <c r="O920" s="76" t="s">
        <v>9500</v>
      </c>
      <c r="P920" s="153">
        <v>29775.0</v>
      </c>
      <c r="Q920" s="315">
        <f t="shared" si="94"/>
        <v>29775</v>
      </c>
      <c r="R920" s="97">
        <f t="shared" si="95"/>
        <v>45</v>
      </c>
      <c r="S920" s="76">
        <v>2.977420656E9</v>
      </c>
      <c r="T920" s="315"/>
      <c r="U920" s="76" t="s">
        <v>344</v>
      </c>
      <c r="V920" s="76"/>
      <c r="W920" s="76"/>
      <c r="X920" s="76"/>
      <c r="Y920" s="97" t="s">
        <v>1174</v>
      </c>
      <c r="Z920" s="278" t="s">
        <v>2090</v>
      </c>
      <c r="AA920" s="76"/>
      <c r="AB920" s="76"/>
      <c r="AC920" s="97"/>
      <c r="AD920" s="99"/>
      <c r="AE920" s="76"/>
      <c r="AF920" s="153">
        <v>46103.0</v>
      </c>
      <c r="AG920" s="76" t="s">
        <v>1187</v>
      </c>
      <c r="AH920" s="76" t="s">
        <v>11669</v>
      </c>
      <c r="AI920" s="67"/>
      <c r="AJ920" s="67"/>
      <c r="AK920" s="1114"/>
      <c r="AL920" s="1114"/>
      <c r="AM920" s="1114"/>
      <c r="AN920" s="1114"/>
      <c r="AO920" s="1114"/>
      <c r="AP920" s="1114"/>
      <c r="AQ920" s="67"/>
      <c r="AR920" s="67"/>
      <c r="AS920" s="67"/>
      <c r="AT920" s="67"/>
    </row>
    <row r="921">
      <c r="A921" s="86"/>
      <c r="B921" s="302" t="s">
        <v>145</v>
      </c>
      <c r="C921" s="97"/>
      <c r="D921" s="777" t="s">
        <v>11670</v>
      </c>
      <c r="E921" s="86"/>
      <c r="F921" s="86"/>
      <c r="G921" s="86"/>
      <c r="H921" s="86"/>
      <c r="I921" s="86"/>
      <c r="J921" s="76" t="s">
        <v>114</v>
      </c>
      <c r="K921" s="85"/>
      <c r="L921" s="109"/>
      <c r="M921" s="300" t="s">
        <v>60</v>
      </c>
      <c r="N921" s="785" t="s">
        <v>7786</v>
      </c>
      <c r="O921" s="300" t="s">
        <v>4303</v>
      </c>
      <c r="P921" s="153">
        <v>29822.0</v>
      </c>
      <c r="Q921" s="315" t="str">
        <f t="shared" si="94"/>
        <v>#VALUE!</v>
      </c>
      <c r="R921" s="86">
        <f t="shared" si="95"/>
        <v>45</v>
      </c>
      <c r="S921" s="76" t="s">
        <v>3642</v>
      </c>
      <c r="T921" s="315"/>
      <c r="U921" s="76" t="s">
        <v>368</v>
      </c>
      <c r="V921" s="86"/>
      <c r="W921" s="76"/>
      <c r="X921" s="76" t="s">
        <v>145</v>
      </c>
      <c r="Y921" s="97" t="s">
        <v>183</v>
      </c>
      <c r="Z921" s="289" t="s">
        <v>1725</v>
      </c>
      <c r="AA921" s="76" t="s">
        <v>114</v>
      </c>
      <c r="AB921" s="97"/>
      <c r="AC921" s="97"/>
      <c r="AD921" s="99"/>
      <c r="AE921" s="76"/>
      <c r="AF921" s="97"/>
      <c r="AG921" s="76" t="s">
        <v>375</v>
      </c>
      <c r="AH921" s="330">
        <v>46162.0</v>
      </c>
      <c r="AI921" s="67"/>
      <c r="AJ921" s="67"/>
      <c r="AK921" s="67"/>
      <c r="AL921" s="67"/>
      <c r="AM921" s="67"/>
      <c r="AN921" s="67"/>
      <c r="AO921" s="67"/>
      <c r="AP921" s="67"/>
      <c r="AQ921" s="67"/>
      <c r="AR921" s="67"/>
      <c r="AS921" s="67"/>
      <c r="AT921" s="67"/>
    </row>
    <row r="922">
      <c r="A922" s="86"/>
      <c r="B922" s="302" t="s">
        <v>4145</v>
      </c>
      <c r="C922" s="966" t="s">
        <v>5668</v>
      </c>
      <c r="D922" s="86"/>
      <c r="E922" s="764"/>
      <c r="F922" s="86"/>
      <c r="G922" s="86"/>
      <c r="H922" s="86"/>
      <c r="I922" s="86"/>
      <c r="J922" s="85" t="s">
        <v>114</v>
      </c>
      <c r="K922" s="85" t="s">
        <v>11671</v>
      </c>
      <c r="L922" s="85"/>
      <c r="M922" s="85" t="s">
        <v>60</v>
      </c>
      <c r="N922" s="76" t="s">
        <v>11672</v>
      </c>
      <c r="O922" s="76" t="s">
        <v>11673</v>
      </c>
      <c r="P922" s="153">
        <v>29855.0</v>
      </c>
      <c r="Q922" s="315">
        <f t="shared" si="94"/>
        <v>29855</v>
      </c>
      <c r="R922" s="86">
        <f t="shared" si="95"/>
        <v>44</v>
      </c>
      <c r="S922" s="76">
        <v>2.985401853E9</v>
      </c>
      <c r="T922" s="315" t="s">
        <v>378</v>
      </c>
      <c r="U922" s="76" t="s">
        <v>543</v>
      </c>
      <c r="V922" s="76"/>
      <c r="W922" s="76"/>
      <c r="X922" s="76"/>
      <c r="Y922" s="97" t="s">
        <v>371</v>
      </c>
      <c r="Z922" s="97"/>
      <c r="AA922" s="76" t="s">
        <v>1178</v>
      </c>
      <c r="AB922" s="97"/>
      <c r="AC922" s="76" t="s">
        <v>5062</v>
      </c>
      <c r="AD922" s="99"/>
      <c r="AE922" s="76" t="s">
        <v>291</v>
      </c>
      <c r="AF922" s="76" t="s">
        <v>11674</v>
      </c>
      <c r="AG922" s="76"/>
      <c r="AH922" s="97"/>
      <c r="AI922" s="67"/>
      <c r="AJ922" s="67"/>
      <c r="AK922" s="67"/>
      <c r="AL922" s="67"/>
      <c r="AM922" s="67"/>
      <c r="AN922" s="67"/>
      <c r="AO922" s="67"/>
      <c r="AP922" s="67"/>
      <c r="AQ922" s="67"/>
      <c r="AR922" s="67"/>
      <c r="AS922" s="67"/>
      <c r="AT922" s="67"/>
    </row>
    <row r="923">
      <c r="A923" s="76" t="s">
        <v>116</v>
      </c>
      <c r="B923" s="981" t="s">
        <v>1709</v>
      </c>
      <c r="C923" s="981" t="s">
        <v>1269</v>
      </c>
      <c r="D923" s="981" t="s">
        <v>1519</v>
      </c>
      <c r="E923" s="1107" t="s">
        <v>213</v>
      </c>
      <c r="F923" s="1108" t="s">
        <v>1523</v>
      </c>
      <c r="G923" s="981" t="s">
        <v>1225</v>
      </c>
      <c r="H923" s="981" t="s">
        <v>60</v>
      </c>
      <c r="I923" s="87" t="s">
        <v>1221</v>
      </c>
      <c r="J923" s="85" t="s">
        <v>114</v>
      </c>
      <c r="K923" s="176" t="s">
        <v>11675</v>
      </c>
      <c r="L923" s="76"/>
      <c r="M923" s="85" t="s">
        <v>60</v>
      </c>
      <c r="N923" s="76" t="s">
        <v>1219</v>
      </c>
      <c r="O923" s="76" t="s">
        <v>1220</v>
      </c>
      <c r="P923" s="153">
        <v>33426.0</v>
      </c>
      <c r="Q923" s="315">
        <f t="shared" si="94"/>
        <v>33426</v>
      </c>
      <c r="R923" s="97">
        <f t="shared" si="95"/>
        <v>35</v>
      </c>
      <c r="S923" s="76">
        <v>3.342501391E9</v>
      </c>
      <c r="T923" s="86"/>
      <c r="U923" s="76" t="s">
        <v>344</v>
      </c>
      <c r="V923" s="76"/>
      <c r="W923" s="76"/>
      <c r="X923" s="76"/>
      <c r="Y923" s="168"/>
      <c r="Z923" s="216" t="s">
        <v>2155</v>
      </c>
      <c r="AA923" s="168"/>
      <c r="AB923" s="97"/>
      <c r="AC923" s="168"/>
      <c r="AD923" s="168"/>
      <c r="AE923" s="76"/>
      <c r="AF923" s="109" t="s">
        <v>155</v>
      </c>
      <c r="AG923" s="76" t="s">
        <v>1187</v>
      </c>
      <c r="AH923" s="153">
        <v>46145.0</v>
      </c>
      <c r="AI923" s="203"/>
      <c r="AJ923" s="203"/>
      <c r="AK923" s="203"/>
      <c r="AL923" s="203"/>
      <c r="AM923" s="203"/>
      <c r="AN923" s="203"/>
      <c r="AO923" s="203"/>
      <c r="AP923" s="203"/>
      <c r="AQ923" s="203"/>
      <c r="AR923" s="203"/>
      <c r="AS923" s="203"/>
      <c r="AT923" s="203"/>
    </row>
    <row r="924">
      <c r="A924" s="76"/>
      <c r="B924" s="302" t="s">
        <v>145</v>
      </c>
      <c r="C924" s="981"/>
      <c r="D924" s="981"/>
      <c r="E924" s="76" t="s">
        <v>11676</v>
      </c>
      <c r="F924" s="1108"/>
      <c r="G924" s="981"/>
      <c r="H924" s="981"/>
      <c r="I924" s="87"/>
      <c r="J924" s="76" t="s">
        <v>114</v>
      </c>
      <c r="K924" s="1097"/>
      <c r="L924" s="76"/>
      <c r="M924" s="85" t="s">
        <v>60</v>
      </c>
      <c r="N924" s="1100" t="s">
        <v>11677</v>
      </c>
      <c r="O924" s="306" t="s">
        <v>3498</v>
      </c>
      <c r="P924" s="153">
        <v>35886.0</v>
      </c>
      <c r="Q924" s="315">
        <f t="shared" si="94"/>
        <v>35886</v>
      </c>
      <c r="R924" s="86">
        <f t="shared" si="95"/>
        <v>28</v>
      </c>
      <c r="S924" s="76">
        <v>3.588506753E9</v>
      </c>
      <c r="T924" s="315"/>
      <c r="U924" s="310" t="s">
        <v>136</v>
      </c>
      <c r="V924" s="76"/>
      <c r="W924" s="76"/>
      <c r="X924" s="76" t="s">
        <v>182</v>
      </c>
      <c r="Y924" s="97"/>
      <c r="Z924" s="109" t="s">
        <v>1982</v>
      </c>
      <c r="AA924" s="76" t="s">
        <v>114</v>
      </c>
      <c r="AB924" s="76"/>
      <c r="AC924" s="76"/>
      <c r="AD924" s="76"/>
      <c r="AE924" s="76"/>
      <c r="AF924" s="76"/>
      <c r="AG924" s="189"/>
      <c r="AH924" s="310" t="s">
        <v>11678</v>
      </c>
      <c r="AI924" s="67"/>
      <c r="AJ924" s="67"/>
      <c r="AK924" s="1114"/>
      <c r="AL924" s="1114"/>
      <c r="AM924" s="1115"/>
      <c r="AN924" s="1115"/>
      <c r="AO924" s="1114"/>
      <c r="AP924" s="1114"/>
      <c r="AQ924" s="67"/>
      <c r="AR924" s="67"/>
      <c r="AS924" s="67"/>
      <c r="AT924" s="67"/>
    </row>
    <row r="925">
      <c r="A925" s="76" t="s">
        <v>116</v>
      </c>
      <c r="B925" s="981" t="s">
        <v>1039</v>
      </c>
      <c r="C925" s="981" t="s">
        <v>1269</v>
      </c>
      <c r="D925" s="981" t="s">
        <v>1368</v>
      </c>
      <c r="E925" s="1107" t="s">
        <v>58</v>
      </c>
      <c r="F925" s="1108" t="s">
        <v>1496</v>
      </c>
      <c r="G925" s="981" t="s">
        <v>330</v>
      </c>
      <c r="H925" s="981" t="s">
        <v>60</v>
      </c>
      <c r="I925" s="87" t="s">
        <v>1221</v>
      </c>
      <c r="J925" s="76" t="s">
        <v>114</v>
      </c>
      <c r="K925" s="176" t="s">
        <v>11679</v>
      </c>
      <c r="L925" s="85"/>
      <c r="M925" s="85" t="s">
        <v>326</v>
      </c>
      <c r="N925" s="256" t="s">
        <v>328</v>
      </c>
      <c r="O925" s="341" t="s">
        <v>329</v>
      </c>
      <c r="P925" s="262">
        <v>32108.0</v>
      </c>
      <c r="Q925" s="315">
        <f t="shared" si="94"/>
        <v>32108</v>
      </c>
      <c r="R925" s="97">
        <f t="shared" si="95"/>
        <v>38</v>
      </c>
      <c r="S925" s="76">
        <v>3.210720472E9</v>
      </c>
      <c r="T925" s="168"/>
      <c r="U925" s="76" t="s">
        <v>368</v>
      </c>
      <c r="V925" s="76"/>
      <c r="W925" s="76"/>
      <c r="X925" s="97"/>
      <c r="Y925" s="168"/>
      <c r="Z925" s="176" t="s">
        <v>1460</v>
      </c>
      <c r="AA925" s="168"/>
      <c r="AB925" s="97"/>
      <c r="AC925" s="168"/>
      <c r="AD925" s="168"/>
      <c r="AE925" s="76"/>
      <c r="AF925" s="168"/>
      <c r="AG925" s="76" t="s">
        <v>1187</v>
      </c>
      <c r="AH925" s="153">
        <v>46147.0</v>
      </c>
      <c r="AI925" s="203"/>
      <c r="AJ925" s="203"/>
      <c r="AK925" s="203"/>
      <c r="AL925" s="203"/>
      <c r="AM925" s="203"/>
      <c r="AN925" s="203"/>
      <c r="AO925" s="203"/>
      <c r="AP925" s="203"/>
      <c r="AQ925" s="203"/>
      <c r="AR925" s="203"/>
      <c r="AS925" s="203"/>
      <c r="AT925" s="203"/>
    </row>
    <row r="926">
      <c r="A926" s="76" t="s">
        <v>116</v>
      </c>
      <c r="B926" s="981" t="s">
        <v>1039</v>
      </c>
      <c r="C926" s="981" t="s">
        <v>1269</v>
      </c>
      <c r="D926" s="981" t="s">
        <v>1519</v>
      </c>
      <c r="E926" s="1107" t="s">
        <v>213</v>
      </c>
      <c r="F926" s="1108" t="s">
        <v>1523</v>
      </c>
      <c r="G926" s="981" t="s">
        <v>422</v>
      </c>
      <c r="H926" s="981" t="s">
        <v>60</v>
      </c>
      <c r="I926" s="87" t="s">
        <v>1221</v>
      </c>
      <c r="J926" s="85" t="s">
        <v>114</v>
      </c>
      <c r="K926" s="85" t="s">
        <v>11680</v>
      </c>
      <c r="L926" s="85"/>
      <c r="M926" s="85" t="s">
        <v>60</v>
      </c>
      <c r="N926" s="256" t="s">
        <v>419</v>
      </c>
      <c r="O926" s="76" t="s">
        <v>420</v>
      </c>
      <c r="P926" s="153">
        <v>30536.0</v>
      </c>
      <c r="Q926" s="315">
        <f t="shared" si="94"/>
        <v>1</v>
      </c>
      <c r="R926" s="97">
        <f t="shared" si="95"/>
        <v>43</v>
      </c>
      <c r="S926" s="315"/>
      <c r="T926" s="315"/>
      <c r="U926" s="76" t="s">
        <v>368</v>
      </c>
      <c r="V926" s="76"/>
      <c r="W926" s="76"/>
      <c r="X926" s="76"/>
      <c r="Y926" s="97" t="s">
        <v>1174</v>
      </c>
      <c r="Z926" s="278" t="s">
        <v>2090</v>
      </c>
      <c r="AA926" s="76"/>
      <c r="AB926" s="76"/>
      <c r="AC926" s="97"/>
      <c r="AD926" s="99"/>
      <c r="AE926" s="76"/>
      <c r="AF926" s="76" t="s">
        <v>4767</v>
      </c>
      <c r="AG926" s="76" t="s">
        <v>1187</v>
      </c>
      <c r="AH926" s="153">
        <v>46145.0</v>
      </c>
      <c r="AI926" s="203"/>
      <c r="AJ926" s="203"/>
      <c r="AK926" s="203"/>
      <c r="AL926" s="203"/>
      <c r="AM926" s="203"/>
      <c r="AN926" s="203"/>
      <c r="AO926" s="203"/>
      <c r="AP926" s="203"/>
      <c r="AQ926" s="203"/>
      <c r="AR926" s="203"/>
      <c r="AS926" s="203"/>
      <c r="AT926" s="203"/>
    </row>
    <row r="927">
      <c r="A927" s="76" t="s">
        <v>116</v>
      </c>
      <c r="B927" s="981" t="s">
        <v>1645</v>
      </c>
      <c r="C927" s="981" t="s">
        <v>121</v>
      </c>
      <c r="D927" s="981" t="s">
        <v>121</v>
      </c>
      <c r="E927" s="1107" t="s">
        <v>786</v>
      </c>
      <c r="F927" s="1108" t="s">
        <v>1216</v>
      </c>
      <c r="G927" s="981" t="s">
        <v>787</v>
      </c>
      <c r="H927" s="981" t="s">
        <v>60</v>
      </c>
      <c r="I927" s="87" t="s">
        <v>1221</v>
      </c>
      <c r="J927" s="85" t="s">
        <v>114</v>
      </c>
      <c r="K927" s="124" t="s">
        <v>11681</v>
      </c>
      <c r="L927" s="76"/>
      <c r="M927" s="85" t="s">
        <v>656</v>
      </c>
      <c r="N927" s="256" t="s">
        <v>784</v>
      </c>
      <c r="O927" s="76" t="s">
        <v>785</v>
      </c>
      <c r="P927" s="153">
        <v>30043.0</v>
      </c>
      <c r="Q927" s="315">
        <f t="shared" si="94"/>
        <v>30043</v>
      </c>
      <c r="R927" s="86">
        <f t="shared" si="95"/>
        <v>44</v>
      </c>
      <c r="S927" s="76">
        <v>3.004207252E9</v>
      </c>
      <c r="T927" s="86"/>
      <c r="U927" s="76" t="s">
        <v>368</v>
      </c>
      <c r="V927" s="76"/>
      <c r="W927" s="76"/>
      <c r="X927" s="76"/>
      <c r="Y927" s="167"/>
      <c r="Z927" s="278" t="s">
        <v>1613</v>
      </c>
      <c r="AA927" s="168"/>
      <c r="AB927" s="97"/>
      <c r="AC927" s="168"/>
      <c r="AD927" s="168"/>
      <c r="AE927" s="76"/>
      <c r="AF927" s="167"/>
      <c r="AG927" s="76" t="s">
        <v>1187</v>
      </c>
      <c r="AH927" s="153">
        <v>46148.0</v>
      </c>
      <c r="AI927" s="203"/>
      <c r="AJ927" s="203"/>
      <c r="AK927" s="203"/>
      <c r="AL927" s="203"/>
      <c r="AM927" s="203"/>
      <c r="AN927" s="203"/>
      <c r="AO927" s="203"/>
      <c r="AP927" s="203"/>
      <c r="AQ927" s="203"/>
      <c r="AR927" s="203"/>
      <c r="AS927" s="203"/>
      <c r="AT927" s="203"/>
    </row>
    <row r="928">
      <c r="A928" s="76" t="s">
        <v>116</v>
      </c>
      <c r="B928" s="981" t="s">
        <v>1645</v>
      </c>
      <c r="C928" s="981" t="s">
        <v>1517</v>
      </c>
      <c r="D928" s="981" t="s">
        <v>1368</v>
      </c>
      <c r="E928" s="1107" t="s">
        <v>213</v>
      </c>
      <c r="F928" s="1108" t="s">
        <v>1523</v>
      </c>
      <c r="G928" s="981" t="s">
        <v>2488</v>
      </c>
      <c r="H928" s="981" t="s">
        <v>60</v>
      </c>
      <c r="I928" s="87" t="s">
        <v>1221</v>
      </c>
      <c r="J928" s="85" t="s">
        <v>114</v>
      </c>
      <c r="K928" s="124" t="s">
        <v>11682</v>
      </c>
      <c r="L928" s="76"/>
      <c r="M928" s="85" t="s">
        <v>60</v>
      </c>
      <c r="N928" s="256" t="s">
        <v>2484</v>
      </c>
      <c r="O928" s="76" t="s">
        <v>2486</v>
      </c>
      <c r="P928" s="153">
        <v>30811.0</v>
      </c>
      <c r="Q928" s="315">
        <f t="shared" si="94"/>
        <v>30811</v>
      </c>
      <c r="R928" s="86">
        <f t="shared" si="95"/>
        <v>42</v>
      </c>
      <c r="S928" s="76">
        <v>3.081016375E9</v>
      </c>
      <c r="T928" s="86"/>
      <c r="U928" s="76" t="s">
        <v>368</v>
      </c>
      <c r="V928" s="76"/>
      <c r="W928" s="76"/>
      <c r="X928" s="76"/>
      <c r="Y928" s="167"/>
      <c r="Z928" s="278" t="s">
        <v>1613</v>
      </c>
      <c r="AA928" s="168"/>
      <c r="AB928" s="97"/>
      <c r="AC928" s="168"/>
      <c r="AD928" s="168"/>
      <c r="AE928" s="76"/>
      <c r="AF928" s="76"/>
      <c r="AG928" s="76" t="s">
        <v>1187</v>
      </c>
      <c r="AH928" s="153">
        <v>46143.0</v>
      </c>
      <c r="AI928" s="203"/>
      <c r="AJ928" s="203"/>
      <c r="AK928" s="203"/>
      <c r="AL928" s="203"/>
      <c r="AM928" s="203"/>
      <c r="AN928" s="203"/>
      <c r="AO928" s="203"/>
      <c r="AP928" s="203"/>
      <c r="AQ928" s="203"/>
      <c r="AR928" s="203"/>
      <c r="AS928" s="203"/>
      <c r="AT928" s="203"/>
    </row>
    <row r="929">
      <c r="A929" s="76" t="s">
        <v>116</v>
      </c>
      <c r="B929" s="981" t="s">
        <v>1645</v>
      </c>
      <c r="C929" s="981" t="s">
        <v>1517</v>
      </c>
      <c r="D929" s="981" t="s">
        <v>1494</v>
      </c>
      <c r="E929" s="1107" t="s">
        <v>213</v>
      </c>
      <c r="F929" s="1108" t="s">
        <v>1523</v>
      </c>
      <c r="G929" s="981" t="s">
        <v>935</v>
      </c>
      <c r="H929" s="981" t="s">
        <v>60</v>
      </c>
      <c r="I929" s="87" t="s">
        <v>1221</v>
      </c>
      <c r="J929" s="76" t="s">
        <v>114</v>
      </c>
      <c r="K929" s="176" t="s">
        <v>11683</v>
      </c>
      <c r="L929" s="964"/>
      <c r="M929" s="85" t="s">
        <v>60</v>
      </c>
      <c r="N929" s="1120" t="s">
        <v>10108</v>
      </c>
      <c r="O929" s="76" t="s">
        <v>1674</v>
      </c>
      <c r="P929" s="153">
        <v>29312.0</v>
      </c>
      <c r="Q929" s="315">
        <f t="shared" si="94"/>
        <v>29312</v>
      </c>
      <c r="R929" s="86">
        <f t="shared" si="95"/>
        <v>46</v>
      </c>
      <c r="S929" s="76">
        <v>2.931120298E9</v>
      </c>
      <c r="T929" s="315"/>
      <c r="U929" s="76" t="s">
        <v>344</v>
      </c>
      <c r="V929" s="76"/>
      <c r="W929" s="76"/>
      <c r="X929" s="76"/>
      <c r="Y929" s="97"/>
      <c r="Z929" s="234" t="s">
        <v>1351</v>
      </c>
      <c r="AA929" s="76"/>
      <c r="AB929" s="97"/>
      <c r="AC929" s="76"/>
      <c r="AD929" s="76"/>
      <c r="AE929" s="76"/>
      <c r="AF929" s="76"/>
      <c r="AG929" s="76" t="s">
        <v>1187</v>
      </c>
      <c r="AH929" s="153">
        <v>46141.0</v>
      </c>
      <c r="AI929" s="203"/>
      <c r="AJ929" s="203"/>
      <c r="AK929" s="203"/>
      <c r="AL929" s="203"/>
      <c r="AM929" s="203"/>
      <c r="AN929" s="203"/>
      <c r="AO929" s="203"/>
      <c r="AP929" s="203"/>
      <c r="AQ929" s="203"/>
      <c r="AR929" s="203"/>
      <c r="AS929" s="203"/>
      <c r="AT929" s="203"/>
    </row>
    <row r="930">
      <c r="A930" s="76" t="s">
        <v>116</v>
      </c>
      <c r="B930" s="981" t="s">
        <v>1709</v>
      </c>
      <c r="C930" s="981" t="s">
        <v>1517</v>
      </c>
      <c r="D930" s="981" t="s">
        <v>1368</v>
      </c>
      <c r="E930" s="1107" t="s">
        <v>178</v>
      </c>
      <c r="F930" s="1108" t="s">
        <v>1369</v>
      </c>
      <c r="G930" s="981" t="s">
        <v>1245</v>
      </c>
      <c r="H930" s="981" t="s">
        <v>102</v>
      </c>
      <c r="I930" s="146" t="s">
        <v>408</v>
      </c>
      <c r="J930" s="76" t="s">
        <v>114</v>
      </c>
      <c r="K930" s="176" t="s">
        <v>3154</v>
      </c>
      <c r="L930" s="87"/>
      <c r="M930" s="87" t="s">
        <v>60</v>
      </c>
      <c r="N930" s="1106" t="s">
        <v>1242</v>
      </c>
      <c r="O930" s="595" t="s">
        <v>1244</v>
      </c>
      <c r="P930" s="712">
        <v>33233.0</v>
      </c>
      <c r="Q930" s="315">
        <f t="shared" si="94"/>
        <v>33233</v>
      </c>
      <c r="R930" s="86">
        <f t="shared" si="95"/>
        <v>35</v>
      </c>
      <c r="S930" s="315">
        <v>3.323208834E9</v>
      </c>
      <c r="T930" s="315"/>
      <c r="U930" s="76" t="s">
        <v>136</v>
      </c>
      <c r="V930" s="76"/>
      <c r="W930" s="76"/>
      <c r="X930" s="76"/>
      <c r="Y930" s="97" t="s">
        <v>1174</v>
      </c>
      <c r="Z930" s="289" t="s">
        <v>1725</v>
      </c>
      <c r="AA930" s="97"/>
      <c r="AB930" s="97"/>
      <c r="AC930" s="76"/>
      <c r="AD930" s="99"/>
      <c r="AE930" s="76"/>
      <c r="AF930" s="76"/>
      <c r="AG930" s="76" t="s">
        <v>1187</v>
      </c>
      <c r="AH930" s="523">
        <v>46136.0</v>
      </c>
      <c r="AI930" s="203"/>
      <c r="AJ930" s="203"/>
      <c r="AK930" s="203"/>
      <c r="AL930" s="203"/>
      <c r="AM930" s="203"/>
      <c r="AN930" s="203"/>
      <c r="AO930" s="203"/>
      <c r="AP930" s="203"/>
      <c r="AQ930" s="203"/>
      <c r="AR930" s="203"/>
      <c r="AS930" s="203"/>
      <c r="AT930" s="203"/>
    </row>
    <row r="931">
      <c r="A931" s="76" t="s">
        <v>116</v>
      </c>
      <c r="B931" s="981" t="s">
        <v>1709</v>
      </c>
      <c r="C931" s="981" t="s">
        <v>1728</v>
      </c>
      <c r="D931" s="981" t="s">
        <v>121</v>
      </c>
      <c r="E931" s="1107" t="s">
        <v>331</v>
      </c>
      <c r="F931" s="1108" t="s">
        <v>1731</v>
      </c>
      <c r="G931" s="981" t="s">
        <v>6848</v>
      </c>
      <c r="H931" s="981" t="s">
        <v>60</v>
      </c>
      <c r="I931" s="87" t="s">
        <v>1221</v>
      </c>
      <c r="J931" s="87" t="s">
        <v>114</v>
      </c>
      <c r="K931" s="87"/>
      <c r="L931" s="87"/>
      <c r="M931" s="87" t="s">
        <v>60</v>
      </c>
      <c r="N931" s="332" t="s">
        <v>4072</v>
      </c>
      <c r="O931" s="109" t="s">
        <v>4073</v>
      </c>
      <c r="P931" s="262">
        <v>31281.0</v>
      </c>
      <c r="Q931" s="315">
        <f t="shared" si="94"/>
        <v>31281</v>
      </c>
      <c r="R931" s="86">
        <f t="shared" si="95"/>
        <v>41</v>
      </c>
      <c r="S931" s="315" t="s">
        <v>11684</v>
      </c>
      <c r="T931" s="315"/>
      <c r="U931" s="224" t="s">
        <v>136</v>
      </c>
      <c r="V931" s="86"/>
      <c r="W931" s="86"/>
      <c r="X931" s="97"/>
      <c r="Y931" s="97"/>
      <c r="Z931" s="97"/>
      <c r="AA931" s="97"/>
      <c r="AB931" s="97"/>
      <c r="AC931" s="97"/>
      <c r="AD931" s="99"/>
      <c r="AE931" s="97"/>
      <c r="AF931" s="76" t="s">
        <v>155</v>
      </c>
      <c r="AG931" s="76" t="s">
        <v>375</v>
      </c>
      <c r="AH931" s="153">
        <v>45966.0</v>
      </c>
      <c r="AI931" s="203"/>
      <c r="AJ931" s="203"/>
      <c r="AK931" s="203"/>
      <c r="AL931" s="203"/>
      <c r="AM931" s="203"/>
      <c r="AN931" s="203"/>
      <c r="AO931" s="203"/>
      <c r="AP931" s="203"/>
      <c r="AQ931" s="203"/>
      <c r="AR931" s="203"/>
      <c r="AS931" s="203"/>
      <c r="AT931" s="203"/>
    </row>
    <row r="932">
      <c r="A932" s="76" t="s">
        <v>116</v>
      </c>
      <c r="B932" s="981" t="s">
        <v>3722</v>
      </c>
      <c r="C932" s="981" t="s">
        <v>6996</v>
      </c>
      <c r="D932" s="981" t="s">
        <v>7134</v>
      </c>
      <c r="E932" s="1107" t="s">
        <v>152</v>
      </c>
      <c r="F932" s="1108" t="s">
        <v>7116</v>
      </c>
      <c r="G932" s="981" t="s">
        <v>7181</v>
      </c>
      <c r="H932" s="981" t="s">
        <v>60</v>
      </c>
      <c r="I932" s="87" t="s">
        <v>1221</v>
      </c>
      <c r="J932" s="109"/>
      <c r="K932" s="109"/>
      <c r="L932" s="87"/>
      <c r="M932" s="998" t="s">
        <v>60</v>
      </c>
      <c r="N932" s="309" t="s">
        <v>11685</v>
      </c>
      <c r="O932" s="1121">
        <v>0.0</v>
      </c>
      <c r="P932" s="750"/>
      <c r="Q932" s="315"/>
      <c r="R932" s="86"/>
      <c r="S932" s="86"/>
      <c r="T932" s="315"/>
      <c r="U932" s="224" t="s">
        <v>136</v>
      </c>
      <c r="V932" s="86"/>
      <c r="W932" s="86"/>
      <c r="X932" s="97"/>
      <c r="Y932" s="97"/>
      <c r="Z932" s="97"/>
      <c r="AA932" s="97"/>
      <c r="AB932" s="97"/>
      <c r="AC932" s="160" t="s">
        <v>630</v>
      </c>
      <c r="AD932" s="76" t="s">
        <v>632</v>
      </c>
      <c r="AE932" s="76"/>
      <c r="AF932" s="160" t="s">
        <v>630</v>
      </c>
      <c r="AG932" s="112"/>
      <c r="AH932" s="76"/>
      <c r="AI932" s="203"/>
      <c r="AJ932" s="203"/>
      <c r="AK932" s="203"/>
      <c r="AL932" s="203"/>
      <c r="AM932" s="203"/>
      <c r="AN932" s="203"/>
      <c r="AO932" s="203"/>
      <c r="AP932" s="203"/>
      <c r="AQ932" s="203"/>
      <c r="AR932" s="203"/>
      <c r="AS932" s="203"/>
      <c r="AT932" s="203"/>
    </row>
    <row r="933">
      <c r="A933" s="76" t="s">
        <v>116</v>
      </c>
      <c r="B933" s="981" t="s">
        <v>3423</v>
      </c>
      <c r="C933" s="981" t="s">
        <v>8690</v>
      </c>
      <c r="D933" s="981" t="s">
        <v>121</v>
      </c>
      <c r="E933" s="1107" t="s">
        <v>1431</v>
      </c>
      <c r="F933" s="1108" t="s">
        <v>1437</v>
      </c>
      <c r="G933" s="981" t="s">
        <v>9598</v>
      </c>
      <c r="H933" s="981" t="s">
        <v>60</v>
      </c>
      <c r="I933" s="87" t="s">
        <v>1221</v>
      </c>
      <c r="J933" s="76" t="s">
        <v>114</v>
      </c>
      <c r="K933" s="1097"/>
      <c r="L933" s="76"/>
      <c r="M933" s="85" t="s">
        <v>60</v>
      </c>
      <c r="N933" s="1113" t="s">
        <v>11686</v>
      </c>
      <c r="O933" s="306" t="s">
        <v>11687</v>
      </c>
      <c r="P933" s="153">
        <v>33516.0</v>
      </c>
      <c r="Q933" s="315">
        <f t="shared" ref="Q933:Q937" si="96">VALUE(LEFT(TEXT(S933,0),5))+1</f>
        <v>33516</v>
      </c>
      <c r="R933" s="86">
        <f t="shared" ref="R933:R937" si="97">DATEDIF($P933,TODAY(),"Y")</f>
        <v>34</v>
      </c>
      <c r="S933" s="76">
        <v>3.351510315E9</v>
      </c>
      <c r="T933" s="315" t="s">
        <v>378</v>
      </c>
      <c r="U933" s="76" t="s">
        <v>379</v>
      </c>
      <c r="V933" s="76"/>
      <c r="W933" s="76"/>
      <c r="X933" s="76"/>
      <c r="Y933" s="97"/>
      <c r="Z933" s="216" t="s">
        <v>2090</v>
      </c>
      <c r="AA933" s="76" t="s">
        <v>1178</v>
      </c>
      <c r="AB933" s="76"/>
      <c r="AC933" s="310">
        <v>155.0</v>
      </c>
      <c r="AD933" s="76"/>
      <c r="AE933" s="76"/>
      <c r="AF933" s="76"/>
      <c r="AG933" s="189"/>
      <c r="AH933" s="76" t="s">
        <v>11615</v>
      </c>
      <c r="AI933" s="203"/>
      <c r="AJ933" s="203"/>
      <c r="AK933" s="203"/>
      <c r="AL933" s="203"/>
      <c r="AM933" s="203"/>
      <c r="AN933" s="203"/>
      <c r="AO933" s="203"/>
      <c r="AP933" s="203"/>
      <c r="AQ933" s="203"/>
      <c r="AR933" s="203"/>
      <c r="AS933" s="203"/>
      <c r="AT933" s="203"/>
    </row>
    <row r="934">
      <c r="A934" s="86"/>
      <c r="B934" s="302" t="s">
        <v>145</v>
      </c>
      <c r="C934" s="302"/>
      <c r="D934" s="76"/>
      <c r="E934" s="574">
        <v>46096.0</v>
      </c>
      <c r="F934" s="762"/>
      <c r="G934" s="762"/>
      <c r="H934" s="762"/>
      <c r="I934" s="762"/>
      <c r="J934" s="85" t="s">
        <v>114</v>
      </c>
      <c r="K934" s="124" t="s">
        <v>11688</v>
      </c>
      <c r="L934" s="318"/>
      <c r="M934" s="85" t="s">
        <v>60</v>
      </c>
      <c r="N934" s="326" t="s">
        <v>11689</v>
      </c>
      <c r="O934" s="76" t="s">
        <v>3330</v>
      </c>
      <c r="P934" s="153">
        <v>31527.0</v>
      </c>
      <c r="Q934" s="315">
        <f t="shared" si="96"/>
        <v>31527</v>
      </c>
      <c r="R934" s="86">
        <f t="shared" si="97"/>
        <v>40</v>
      </c>
      <c r="S934" s="76">
        <v>3.152613818E9</v>
      </c>
      <c r="T934" s="76" t="s">
        <v>11599</v>
      </c>
      <c r="U934" s="76" t="s">
        <v>379</v>
      </c>
      <c r="V934" s="76"/>
      <c r="W934" s="76"/>
      <c r="X934" s="76" t="s">
        <v>145</v>
      </c>
      <c r="Y934" s="97"/>
      <c r="Z934" s="216" t="s">
        <v>1173</v>
      </c>
      <c r="AA934" s="76" t="s">
        <v>114</v>
      </c>
      <c r="AB934" s="97"/>
      <c r="AC934" s="76" t="s">
        <v>632</v>
      </c>
      <c r="AD934" s="76"/>
      <c r="AE934" s="76"/>
      <c r="AF934" s="76"/>
      <c r="AG934" s="189"/>
      <c r="AH934" s="76" t="s">
        <v>11690</v>
      </c>
      <c r="AI934" s="763"/>
      <c r="AJ934" s="763"/>
      <c r="AK934" s="763"/>
      <c r="AL934" s="763"/>
      <c r="AM934" s="763"/>
      <c r="AN934" s="763"/>
      <c r="AO934" s="763"/>
      <c r="AP934" s="763"/>
      <c r="AQ934" s="763"/>
      <c r="AR934" s="763"/>
      <c r="AS934" s="763"/>
      <c r="AT934" s="763"/>
    </row>
    <row r="935">
      <c r="A935" s="86"/>
      <c r="B935" s="302" t="s">
        <v>4145</v>
      </c>
      <c r="C935" s="523"/>
      <c r="D935" s="86"/>
      <c r="E935" s="574">
        <v>46080.0</v>
      </c>
      <c r="F935" s="86"/>
      <c r="G935" s="86"/>
      <c r="H935" s="86"/>
      <c r="I935" s="86"/>
      <c r="J935" s="85" t="s">
        <v>114</v>
      </c>
      <c r="K935" s="176" t="s">
        <v>11691</v>
      </c>
      <c r="L935" s="76"/>
      <c r="M935" s="85" t="s">
        <v>60</v>
      </c>
      <c r="N935" s="287" t="s">
        <v>11692</v>
      </c>
      <c r="O935" s="76" t="s">
        <v>11693</v>
      </c>
      <c r="P935" s="153">
        <v>29160.0</v>
      </c>
      <c r="Q935" s="315">
        <f t="shared" si="96"/>
        <v>29160</v>
      </c>
      <c r="R935" s="86">
        <f t="shared" si="97"/>
        <v>46</v>
      </c>
      <c r="S935" s="76">
        <v>2.915908358E9</v>
      </c>
      <c r="T935" s="86"/>
      <c r="U935" s="76" t="s">
        <v>136</v>
      </c>
      <c r="V935" s="76"/>
      <c r="W935" s="76"/>
      <c r="X935" s="76" t="s">
        <v>186</v>
      </c>
      <c r="Y935" s="211" t="s">
        <v>1351</v>
      </c>
      <c r="Z935" s="211" t="s">
        <v>418</v>
      </c>
      <c r="AA935" s="168"/>
      <c r="AB935" s="97"/>
      <c r="AC935" s="168"/>
      <c r="AD935" s="168"/>
      <c r="AE935" s="76"/>
      <c r="AF935" s="76"/>
      <c r="AG935" s="76"/>
      <c r="AH935" s="153">
        <v>46093.0</v>
      </c>
      <c r="AI935" s="67"/>
      <c r="AJ935" s="67"/>
      <c r="AK935" s="67"/>
      <c r="AL935" s="67"/>
      <c r="AM935" s="67"/>
      <c r="AN935" s="67"/>
      <c r="AO935" s="67"/>
      <c r="AP935" s="67"/>
      <c r="AQ935" s="67"/>
      <c r="AR935" s="67"/>
      <c r="AS935" s="67"/>
      <c r="AT935" s="67"/>
    </row>
    <row r="936">
      <c r="A936" s="86"/>
      <c r="B936" s="302" t="s">
        <v>4145</v>
      </c>
      <c r="C936" s="97"/>
      <c r="D936" s="86"/>
      <c r="E936" s="781">
        <v>46047.0</v>
      </c>
      <c r="F936" s="86"/>
      <c r="G936" s="86"/>
      <c r="H936" s="86"/>
      <c r="I936" s="86"/>
      <c r="J936" s="76" t="s">
        <v>114</v>
      </c>
      <c r="K936" s="176" t="s">
        <v>11694</v>
      </c>
      <c r="L936" s="85"/>
      <c r="M936" s="85" t="s">
        <v>60</v>
      </c>
      <c r="N936" s="287" t="s">
        <v>11695</v>
      </c>
      <c r="O936" s="27" t="s">
        <v>11696</v>
      </c>
      <c r="P936" s="262">
        <v>33387.0</v>
      </c>
      <c r="Q936" s="315">
        <f t="shared" si="96"/>
        <v>33387</v>
      </c>
      <c r="R936" s="97">
        <f t="shared" si="97"/>
        <v>35</v>
      </c>
      <c r="S936" s="76">
        <v>3.338602678E9</v>
      </c>
      <c r="T936" s="315"/>
      <c r="U936" s="76" t="s">
        <v>136</v>
      </c>
      <c r="V936" s="76"/>
      <c r="W936" s="97"/>
      <c r="X936" s="76" t="s">
        <v>186</v>
      </c>
      <c r="Y936" s="211" t="s">
        <v>1460</v>
      </c>
      <c r="Z936" s="211" t="s">
        <v>418</v>
      </c>
      <c r="AA936" s="76"/>
      <c r="AB936" s="97"/>
      <c r="AC936" s="76"/>
      <c r="AD936" s="99"/>
      <c r="AE936" s="76"/>
      <c r="AF936" s="76"/>
      <c r="AG936" s="76"/>
      <c r="AH936" s="76" t="s">
        <v>11697</v>
      </c>
      <c r="AI936" s="67"/>
      <c r="AJ936" s="67"/>
      <c r="AK936" s="67"/>
      <c r="AL936" s="67"/>
      <c r="AM936" s="67"/>
      <c r="AN936" s="67"/>
      <c r="AO936" s="67"/>
      <c r="AP936" s="67"/>
      <c r="AQ936" s="67"/>
      <c r="AR936" s="67"/>
      <c r="AS936" s="67"/>
      <c r="AT936" s="67"/>
    </row>
    <row r="937">
      <c r="A937" s="76" t="s">
        <v>116</v>
      </c>
      <c r="B937" s="77" t="s">
        <v>1039</v>
      </c>
      <c r="C937" s="77" t="s">
        <v>1269</v>
      </c>
      <c r="D937" s="77" t="s">
        <v>121</v>
      </c>
      <c r="E937" s="78" t="s">
        <v>295</v>
      </c>
      <c r="F937" s="80" t="s">
        <v>1241</v>
      </c>
      <c r="G937" s="77" t="s">
        <v>296</v>
      </c>
      <c r="H937" s="77" t="s">
        <v>60</v>
      </c>
      <c r="I937" s="87" t="s">
        <v>1221</v>
      </c>
      <c r="J937" s="85" t="s">
        <v>114</v>
      </c>
      <c r="K937" s="124" t="s">
        <v>11698</v>
      </c>
      <c r="L937" s="76"/>
      <c r="M937" s="85" t="s">
        <v>60</v>
      </c>
      <c r="N937" s="76" t="s">
        <v>293</v>
      </c>
      <c r="O937" s="76" t="s">
        <v>294</v>
      </c>
      <c r="P937" s="153">
        <v>30760.0</v>
      </c>
      <c r="Q937" s="315">
        <f t="shared" si="96"/>
        <v>30760</v>
      </c>
      <c r="R937" s="86">
        <f t="shared" si="97"/>
        <v>42</v>
      </c>
      <c r="S937" s="76">
        <v>3.075908073E9</v>
      </c>
      <c r="T937" s="86"/>
      <c r="U937" s="310" t="s">
        <v>379</v>
      </c>
      <c r="V937" s="76"/>
      <c r="W937" s="76"/>
      <c r="X937" s="76"/>
      <c r="Y937" s="167"/>
      <c r="Z937" s="278" t="s">
        <v>1613</v>
      </c>
      <c r="AA937" s="168"/>
      <c r="AB937" s="97"/>
      <c r="AC937" s="1122" t="s">
        <v>632</v>
      </c>
      <c r="AD937" s="168"/>
      <c r="AE937" s="76"/>
      <c r="AF937" s="76"/>
      <c r="AG937" s="76"/>
      <c r="AH937" s="310" t="s">
        <v>11699</v>
      </c>
      <c r="AI937" s="203"/>
      <c r="AJ937" s="203"/>
      <c r="AK937" s="203"/>
      <c r="AL937" s="203"/>
      <c r="AM937" s="203"/>
      <c r="AN937" s="203"/>
      <c r="AO937" s="203"/>
      <c r="AP937" s="203"/>
      <c r="AQ937" s="203"/>
      <c r="AR937" s="203"/>
      <c r="AS937" s="203"/>
      <c r="AT937" s="203"/>
    </row>
    <row r="938">
      <c r="A938" s="86"/>
      <c r="B938" s="302" t="s">
        <v>4145</v>
      </c>
      <c r="C938" s="302" t="s">
        <v>5318</v>
      </c>
      <c r="D938" s="76"/>
      <c r="E938" s="524"/>
      <c r="F938" s="762"/>
      <c r="G938" s="762"/>
      <c r="H938" s="762"/>
      <c r="I938" s="762"/>
      <c r="J938" s="76"/>
      <c r="K938" s="76"/>
      <c r="L938" s="318"/>
      <c r="M938" s="85" t="s">
        <v>60</v>
      </c>
      <c r="N938" s="286" t="s">
        <v>6918</v>
      </c>
      <c r="O938" s="76" t="s">
        <v>11700</v>
      </c>
      <c r="P938" s="153"/>
      <c r="Q938" s="315"/>
      <c r="R938" s="86"/>
      <c r="S938" s="76"/>
      <c r="T938" s="315"/>
      <c r="U938" s="76" t="s">
        <v>136</v>
      </c>
      <c r="V938" s="76"/>
      <c r="W938" s="76"/>
      <c r="X938" s="97"/>
      <c r="Y938" s="76" t="s">
        <v>8063</v>
      </c>
      <c r="Z938" s="97"/>
      <c r="AA938" s="97"/>
      <c r="AB938" s="97"/>
      <c r="AC938" s="76" t="s">
        <v>1566</v>
      </c>
      <c r="AD938" s="76"/>
      <c r="AE938" s="76"/>
      <c r="AF938" s="76" t="s">
        <v>11701</v>
      </c>
      <c r="AG938" s="76" t="s">
        <v>155</v>
      </c>
      <c r="AH938" s="654">
        <v>46077.0</v>
      </c>
      <c r="AI938" s="763"/>
      <c r="AJ938" s="763"/>
      <c r="AK938" s="763"/>
      <c r="AL938" s="763"/>
      <c r="AM938" s="763"/>
      <c r="AN938" s="763"/>
      <c r="AO938" s="763"/>
      <c r="AP938" s="763"/>
      <c r="AQ938" s="763"/>
      <c r="AR938" s="763"/>
      <c r="AS938" s="763"/>
      <c r="AT938" s="763"/>
    </row>
    <row r="939">
      <c r="A939" s="86"/>
      <c r="B939" s="302" t="s">
        <v>4145</v>
      </c>
      <c r="C939" s="302"/>
      <c r="D939" s="76"/>
      <c r="E939" s="574">
        <v>46114.0</v>
      </c>
      <c r="F939" s="762"/>
      <c r="G939" s="762"/>
      <c r="H939" s="762"/>
      <c r="I939" s="762"/>
      <c r="J939" s="76" t="s">
        <v>114</v>
      </c>
      <c r="K939" s="76"/>
      <c r="L939" s="318"/>
      <c r="M939" s="85" t="s">
        <v>36</v>
      </c>
      <c r="N939" s="157" t="s">
        <v>11702</v>
      </c>
      <c r="O939" s="76" t="s">
        <v>11703</v>
      </c>
      <c r="P939" s="153">
        <v>35440.0</v>
      </c>
      <c r="Q939" s="315">
        <f t="shared" ref="Q939:Q949" si="98">VALUE(LEFT(TEXT(S939,0),5))+1</f>
        <v>1</v>
      </c>
      <c r="R939" s="86">
        <f t="shared" ref="R939:R949" si="99">DATEDIF($P939,TODAY(),"Y")</f>
        <v>29</v>
      </c>
      <c r="S939" s="76"/>
      <c r="T939" s="315"/>
      <c r="U939" s="76" t="s">
        <v>379</v>
      </c>
      <c r="V939" s="76"/>
      <c r="W939" s="76"/>
      <c r="X939" s="76"/>
      <c r="Y939" s="97"/>
      <c r="Z939" s="76"/>
      <c r="AA939" s="76"/>
      <c r="AB939" s="97"/>
      <c r="AC939" s="76" t="s">
        <v>632</v>
      </c>
      <c r="AD939" s="76"/>
      <c r="AE939" s="76"/>
      <c r="AF939" s="76"/>
      <c r="AG939" s="189"/>
      <c r="AH939" s="76" t="s">
        <v>11704</v>
      </c>
      <c r="AI939" s="763"/>
      <c r="AJ939" s="763"/>
      <c r="AK939" s="763"/>
      <c r="AL939" s="763"/>
      <c r="AM939" s="763"/>
      <c r="AN939" s="763"/>
      <c r="AO939" s="763"/>
      <c r="AP939" s="763"/>
      <c r="AQ939" s="763"/>
      <c r="AR939" s="763"/>
      <c r="AS939" s="763"/>
      <c r="AT939" s="763"/>
    </row>
    <row r="940">
      <c r="A940" s="86"/>
      <c r="B940" s="302" t="s">
        <v>4145</v>
      </c>
      <c r="C940" s="523"/>
      <c r="D940" s="86"/>
      <c r="E940" s="574">
        <v>46071.0</v>
      </c>
      <c r="F940" s="86"/>
      <c r="G940" s="86"/>
      <c r="H940" s="86"/>
      <c r="I940" s="86"/>
      <c r="J940" s="85" t="s">
        <v>114</v>
      </c>
      <c r="K940" s="176" t="s">
        <v>11705</v>
      </c>
      <c r="L940" s="76"/>
      <c r="M940" s="85" t="s">
        <v>60</v>
      </c>
      <c r="N940" s="287" t="s">
        <v>11706</v>
      </c>
      <c r="O940" s="76" t="s">
        <v>11707</v>
      </c>
      <c r="P940" s="153">
        <v>32038.0</v>
      </c>
      <c r="Q940" s="315">
        <f t="shared" si="98"/>
        <v>32038</v>
      </c>
      <c r="R940" s="86">
        <f t="shared" si="99"/>
        <v>38</v>
      </c>
      <c r="S940" s="76">
        <v>3.203720575E9</v>
      </c>
      <c r="T940" s="86"/>
      <c r="U940" s="310" t="s">
        <v>136</v>
      </c>
      <c r="V940" s="76"/>
      <c r="W940" s="76"/>
      <c r="X940" s="76" t="s">
        <v>186</v>
      </c>
      <c r="Y940" s="211" t="s">
        <v>1351</v>
      </c>
      <c r="Z940" s="501" t="s">
        <v>418</v>
      </c>
      <c r="AA940" s="168"/>
      <c r="AB940" s="76" t="s">
        <v>192</v>
      </c>
      <c r="AC940" s="168"/>
      <c r="AD940" s="168"/>
      <c r="AE940" s="76"/>
      <c r="AF940" s="76" t="s">
        <v>4767</v>
      </c>
      <c r="AG940" s="153">
        <v>46106.0</v>
      </c>
      <c r="AH940" s="310" t="s">
        <v>11708</v>
      </c>
      <c r="AI940" s="67"/>
      <c r="AJ940" s="67"/>
      <c r="AK940" s="67"/>
      <c r="AL940" s="67"/>
      <c r="AM940" s="67"/>
      <c r="AN940" s="67"/>
      <c r="AO940" s="67"/>
      <c r="AP940" s="67"/>
      <c r="AQ940" s="67"/>
      <c r="AR940" s="67"/>
      <c r="AS940" s="67"/>
      <c r="AT940" s="67"/>
    </row>
    <row r="941">
      <c r="A941" s="86"/>
      <c r="B941" s="302" t="s">
        <v>4145</v>
      </c>
      <c r="C941" s="291" t="s">
        <v>5668</v>
      </c>
      <c r="D941" s="76"/>
      <c r="E941" s="574">
        <v>46129.0</v>
      </c>
      <c r="F941" s="762"/>
      <c r="G941" s="762"/>
      <c r="H941" s="762"/>
      <c r="I941" s="762"/>
      <c r="J941" s="76" t="s">
        <v>114</v>
      </c>
      <c r="K941" s="76"/>
      <c r="L941" s="318"/>
      <c r="M941" s="85" t="s">
        <v>60</v>
      </c>
      <c r="N941" s="1123" t="s">
        <v>11709</v>
      </c>
      <c r="O941" s="76" t="s">
        <v>4442</v>
      </c>
      <c r="P941" s="153">
        <v>36447.0</v>
      </c>
      <c r="Q941" s="315">
        <f t="shared" si="98"/>
        <v>1</v>
      </c>
      <c r="R941" s="86">
        <f t="shared" si="99"/>
        <v>26</v>
      </c>
      <c r="S941" s="76"/>
      <c r="T941" s="315"/>
      <c r="U941" s="310" t="s">
        <v>379</v>
      </c>
      <c r="V941" s="76"/>
      <c r="W941" s="76"/>
      <c r="X941" s="76" t="s">
        <v>186</v>
      </c>
      <c r="Y941" s="97"/>
      <c r="Z941" s="85" t="s">
        <v>2506</v>
      </c>
      <c r="AA941" s="76" t="s">
        <v>1178</v>
      </c>
      <c r="AB941" s="97"/>
      <c r="AC941" s="76"/>
      <c r="AD941" s="76"/>
      <c r="AE941" s="76"/>
      <c r="AF941" s="76"/>
      <c r="AG941" s="189"/>
      <c r="AH941" s="310" t="s">
        <v>11710</v>
      </c>
      <c r="AI941" s="203"/>
      <c r="AJ941" s="203"/>
      <c r="AK941" s="203"/>
      <c r="AL941" s="203"/>
      <c r="AM941" s="203"/>
      <c r="AN941" s="203"/>
      <c r="AO941" s="203"/>
      <c r="AP941" s="203"/>
      <c r="AQ941" s="203"/>
      <c r="AR941" s="203"/>
      <c r="AS941" s="203"/>
      <c r="AT941" s="203"/>
    </row>
    <row r="942">
      <c r="A942" s="86"/>
      <c r="B942" s="302" t="s">
        <v>4145</v>
      </c>
      <c r="C942" s="302"/>
      <c r="D942" s="76"/>
      <c r="E942" s="574">
        <v>46129.0</v>
      </c>
      <c r="F942" s="762"/>
      <c r="G942" s="762"/>
      <c r="H942" s="762"/>
      <c r="I942" s="762"/>
      <c r="J942" s="76" t="s">
        <v>114</v>
      </c>
      <c r="K942" s="176" t="s">
        <v>1602</v>
      </c>
      <c r="L942" s="318"/>
      <c r="M942" s="85" t="s">
        <v>60</v>
      </c>
      <c r="N942" s="157" t="s">
        <v>11711</v>
      </c>
      <c r="O942" s="76" t="s">
        <v>11712</v>
      </c>
      <c r="P942" s="153">
        <v>29931.0</v>
      </c>
      <c r="Q942" s="315">
        <f t="shared" si="98"/>
        <v>29931</v>
      </c>
      <c r="R942" s="86">
        <f t="shared" si="99"/>
        <v>44</v>
      </c>
      <c r="S942" s="76">
        <v>2.993020674E9</v>
      </c>
      <c r="T942" s="315"/>
      <c r="U942" s="310" t="s">
        <v>379</v>
      </c>
      <c r="V942" s="76"/>
      <c r="W942" s="76"/>
      <c r="X942" s="76" t="s">
        <v>186</v>
      </c>
      <c r="Y942" s="97"/>
      <c r="Z942" s="85" t="s">
        <v>2506</v>
      </c>
      <c r="AA942" s="76"/>
      <c r="AB942" s="76" t="s">
        <v>226</v>
      </c>
      <c r="AC942" s="76" t="s">
        <v>1032</v>
      </c>
      <c r="AD942" s="76"/>
      <c r="AE942" s="76" t="s">
        <v>259</v>
      </c>
      <c r="AF942" s="76" t="s">
        <v>11713</v>
      </c>
      <c r="AG942" s="76" t="s">
        <v>11714</v>
      </c>
      <c r="AH942" s="1099" t="s">
        <v>11715</v>
      </c>
      <c r="AI942" s="203"/>
      <c r="AJ942" s="203"/>
      <c r="AK942" s="203"/>
      <c r="AL942" s="203"/>
      <c r="AM942" s="203"/>
      <c r="AN942" s="203"/>
      <c r="AO942" s="203"/>
      <c r="AP942" s="203"/>
      <c r="AQ942" s="203"/>
      <c r="AR942" s="203"/>
      <c r="AS942" s="203"/>
      <c r="AT942" s="203"/>
    </row>
    <row r="943">
      <c r="A943" s="76" t="s">
        <v>116</v>
      </c>
      <c r="B943" s="77" t="s">
        <v>3332</v>
      </c>
      <c r="C943" s="77" t="s">
        <v>6561</v>
      </c>
      <c r="D943" s="77" t="s">
        <v>121</v>
      </c>
      <c r="E943" s="78" t="s">
        <v>1431</v>
      </c>
      <c r="F943" s="80" t="s">
        <v>1437</v>
      </c>
      <c r="G943" s="77" t="s">
        <v>10069</v>
      </c>
      <c r="H943" s="77" t="s">
        <v>60</v>
      </c>
      <c r="I943" s="87" t="s">
        <v>1221</v>
      </c>
      <c r="J943" s="76" t="s">
        <v>114</v>
      </c>
      <c r="K943" s="76"/>
      <c r="L943" s="318"/>
      <c r="M943" s="85" t="s">
        <v>60</v>
      </c>
      <c r="N943" s="157" t="s">
        <v>11716</v>
      </c>
      <c r="O943" s="76" t="s">
        <v>11717</v>
      </c>
      <c r="P943" s="153">
        <v>32027.0</v>
      </c>
      <c r="Q943" s="315">
        <f t="shared" si="98"/>
        <v>32027</v>
      </c>
      <c r="R943" s="86">
        <f t="shared" si="99"/>
        <v>38</v>
      </c>
      <c r="S943" s="76">
        <v>3.202623336E9</v>
      </c>
      <c r="T943" s="315"/>
      <c r="U943" s="76" t="s">
        <v>379</v>
      </c>
      <c r="V943" s="76"/>
      <c r="W943" s="76"/>
      <c r="X943" s="76"/>
      <c r="Y943" s="276"/>
      <c r="Z943" s="216" t="s">
        <v>1173</v>
      </c>
      <c r="AA943" s="76" t="s">
        <v>1178</v>
      </c>
      <c r="AB943" s="76" t="s">
        <v>226</v>
      </c>
      <c r="AC943" s="76"/>
      <c r="AD943" s="76"/>
      <c r="AE943" s="76"/>
      <c r="AF943" s="76" t="s">
        <v>3601</v>
      </c>
      <c r="AG943" s="76" t="s">
        <v>11718</v>
      </c>
      <c r="AH943" s="76" t="s">
        <v>11715</v>
      </c>
      <c r="AI943" s="203"/>
      <c r="AJ943" s="203"/>
      <c r="AK943" s="203"/>
      <c r="AL943" s="203"/>
      <c r="AM943" s="203"/>
      <c r="AN943" s="203"/>
      <c r="AO943" s="203"/>
      <c r="AP943" s="203"/>
      <c r="AQ943" s="203"/>
      <c r="AR943" s="203"/>
      <c r="AS943" s="203"/>
      <c r="AT943" s="203"/>
    </row>
    <row r="944">
      <c r="A944" s="76"/>
      <c r="B944" s="302" t="s">
        <v>4145</v>
      </c>
      <c r="C944" s="291" t="s">
        <v>5668</v>
      </c>
      <c r="D944" s="77" t="s">
        <v>121</v>
      </c>
      <c r="E944" s="78" t="s">
        <v>1466</v>
      </c>
      <c r="F944" s="80" t="s">
        <v>8333</v>
      </c>
      <c r="G944" s="77" t="s">
        <v>1672</v>
      </c>
      <c r="H944" s="77" t="s">
        <v>326</v>
      </c>
      <c r="I944" s="87" t="s">
        <v>1221</v>
      </c>
      <c r="J944" s="76" t="s">
        <v>114</v>
      </c>
      <c r="K944" s="176" t="s">
        <v>11719</v>
      </c>
      <c r="L944" s="85"/>
      <c r="M944" s="85" t="s">
        <v>60</v>
      </c>
      <c r="N944" s="1124" t="s">
        <v>11720</v>
      </c>
      <c r="O944" s="27" t="s">
        <v>230</v>
      </c>
      <c r="P944" s="262">
        <v>29168.0</v>
      </c>
      <c r="Q944" s="315">
        <f t="shared" si="98"/>
        <v>29168</v>
      </c>
      <c r="R944" s="97">
        <f t="shared" si="99"/>
        <v>46</v>
      </c>
      <c r="S944" s="76">
        <v>2.916703657E9</v>
      </c>
      <c r="T944" s="315" t="s">
        <v>1548</v>
      </c>
      <c r="U944" s="76" t="s">
        <v>379</v>
      </c>
      <c r="V944" s="76"/>
      <c r="W944" s="76"/>
      <c r="X944" s="76"/>
      <c r="Y944" s="97"/>
      <c r="Z944" s="278" t="s">
        <v>1613</v>
      </c>
      <c r="AA944" s="76"/>
      <c r="AB944" s="97"/>
      <c r="AC944" s="76"/>
      <c r="AD944" s="99"/>
      <c r="AE944" s="76"/>
      <c r="AF944" s="76"/>
      <c r="AG944" s="76"/>
      <c r="AH944" s="76" t="s">
        <v>11699</v>
      </c>
      <c r="AI944" s="203"/>
      <c r="AJ944" s="203"/>
      <c r="AK944" s="203"/>
      <c r="AL944" s="203"/>
      <c r="AM944" s="203"/>
      <c r="AN944" s="203"/>
      <c r="AO944" s="203"/>
      <c r="AP944" s="203"/>
      <c r="AQ944" s="203"/>
      <c r="AR944" s="203"/>
      <c r="AS944" s="203"/>
      <c r="AT944" s="203"/>
    </row>
    <row r="945">
      <c r="A945" s="76" t="s">
        <v>116</v>
      </c>
      <c r="B945" s="77" t="s">
        <v>1709</v>
      </c>
      <c r="C945" s="77" t="s">
        <v>1517</v>
      </c>
      <c r="D945" s="77" t="s">
        <v>1519</v>
      </c>
      <c r="E945" s="78" t="s">
        <v>187</v>
      </c>
      <c r="F945" s="80" t="s">
        <v>1469</v>
      </c>
      <c r="G945" s="77" t="s">
        <v>6134</v>
      </c>
      <c r="H945" s="77" t="s">
        <v>60</v>
      </c>
      <c r="I945" s="87" t="s">
        <v>1221</v>
      </c>
      <c r="J945" s="76" t="s">
        <v>114</v>
      </c>
      <c r="K945" s="124" t="s">
        <v>1602</v>
      </c>
      <c r="L945" s="318"/>
      <c r="M945" s="85" t="s">
        <v>60</v>
      </c>
      <c r="N945" s="157" t="s">
        <v>8384</v>
      </c>
      <c r="O945" s="76" t="s">
        <v>1070</v>
      </c>
      <c r="P945" s="153">
        <v>33252.0</v>
      </c>
      <c r="Q945" s="315">
        <f t="shared" si="98"/>
        <v>33252</v>
      </c>
      <c r="R945" s="86">
        <f t="shared" si="99"/>
        <v>35</v>
      </c>
      <c r="S945" s="76">
        <v>3.325111359E9</v>
      </c>
      <c r="T945" s="315"/>
      <c r="U945" s="76" t="s">
        <v>379</v>
      </c>
      <c r="V945" s="76"/>
      <c r="W945" s="76"/>
      <c r="X945" s="76" t="s">
        <v>186</v>
      </c>
      <c r="Y945" s="97"/>
      <c r="Z945" s="216" t="s">
        <v>1815</v>
      </c>
      <c r="AA945" s="76"/>
      <c r="AB945" s="97"/>
      <c r="AC945" s="76" t="s">
        <v>2915</v>
      </c>
      <c r="AD945" s="76"/>
      <c r="AE945" s="76"/>
      <c r="AF945" s="76"/>
      <c r="AG945" s="189"/>
      <c r="AH945" s="76" t="s">
        <v>11423</v>
      </c>
      <c r="AI945" s="203"/>
      <c r="AJ945" s="203"/>
      <c r="AK945" s="203"/>
      <c r="AL945" s="203"/>
      <c r="AM945" s="203"/>
      <c r="AN945" s="203"/>
      <c r="AO945" s="203"/>
      <c r="AP945" s="203"/>
      <c r="AQ945" s="203"/>
      <c r="AR945" s="203"/>
      <c r="AS945" s="203"/>
      <c r="AT945" s="203"/>
    </row>
    <row r="946">
      <c r="A946" s="76">
        <v>155.0</v>
      </c>
      <c r="B946" s="302" t="s">
        <v>4145</v>
      </c>
      <c r="C946" s="87" t="s">
        <v>1611</v>
      </c>
      <c r="D946" s="549" t="s">
        <v>1519</v>
      </c>
      <c r="E946" s="749" t="s">
        <v>178</v>
      </c>
      <c r="F946" s="747" t="s">
        <v>1369</v>
      </c>
      <c r="G946" s="97" t="s">
        <v>102</v>
      </c>
      <c r="H946" s="817" t="s">
        <v>3336</v>
      </c>
      <c r="I946" s="817" t="s">
        <v>3336</v>
      </c>
      <c r="J946" s="76" t="s">
        <v>114</v>
      </c>
      <c r="K946" s="118" t="s">
        <v>11721</v>
      </c>
      <c r="L946" s="109"/>
      <c r="M946" s="109" t="s">
        <v>360</v>
      </c>
      <c r="N946" s="97" t="s">
        <v>11722</v>
      </c>
      <c r="O946" s="97" t="s">
        <v>11723</v>
      </c>
      <c r="P946" s="1125">
        <v>31758.0</v>
      </c>
      <c r="Q946" s="315">
        <f t="shared" si="98"/>
        <v>31758</v>
      </c>
      <c r="R946" s="86">
        <f t="shared" si="99"/>
        <v>39</v>
      </c>
      <c r="S946" s="315">
        <v>3.175721792E9</v>
      </c>
      <c r="T946" s="315" t="s">
        <v>1317</v>
      </c>
      <c r="U946" s="76" t="s">
        <v>393</v>
      </c>
      <c r="V946" s="76"/>
      <c r="W946" s="76"/>
      <c r="X946" s="76"/>
      <c r="Y946" s="97" t="s">
        <v>1174</v>
      </c>
      <c r="Z946" s="289" t="s">
        <v>1725</v>
      </c>
      <c r="AA946" s="97"/>
      <c r="AB946" s="97"/>
      <c r="AC946" s="76"/>
      <c r="AD946" s="99"/>
      <c r="AE946" s="76" t="s">
        <v>154</v>
      </c>
      <c r="AF946" s="76" t="s">
        <v>11724</v>
      </c>
      <c r="AG946" s="315"/>
      <c r="AH946" s="153">
        <v>46105.0</v>
      </c>
      <c r="AI946" s="67"/>
      <c r="AJ946" s="67"/>
      <c r="AK946" s="70"/>
      <c r="AL946" s="70"/>
      <c r="AM946" s="70"/>
      <c r="AN946" s="70"/>
      <c r="AO946" s="70"/>
      <c r="AP946" s="70"/>
      <c r="AQ946" s="67"/>
      <c r="AR946" s="67"/>
      <c r="AS946" s="67"/>
      <c r="AT946" s="67"/>
    </row>
    <row r="947">
      <c r="A947" s="76">
        <v>425.0</v>
      </c>
      <c r="B947" s="302" t="s">
        <v>4145</v>
      </c>
      <c r="C947" s="523"/>
      <c r="D947" s="77" t="s">
        <v>121</v>
      </c>
      <c r="E947" s="78" t="s">
        <v>331</v>
      </c>
      <c r="F947" s="80" t="s">
        <v>7124</v>
      </c>
      <c r="G947" s="77" t="s">
        <v>1684</v>
      </c>
      <c r="H947" s="77" t="s">
        <v>60</v>
      </c>
      <c r="I947" s="87" t="s">
        <v>1221</v>
      </c>
      <c r="J947" s="85" t="s">
        <v>114</v>
      </c>
      <c r="K947" s="176" t="s">
        <v>11725</v>
      </c>
      <c r="L947" s="76"/>
      <c r="M947" s="85" t="s">
        <v>60</v>
      </c>
      <c r="N947" s="76" t="s">
        <v>3027</v>
      </c>
      <c r="O947" s="76" t="s">
        <v>3028</v>
      </c>
      <c r="P947" s="153">
        <v>30798.0</v>
      </c>
      <c r="Q947" s="315">
        <f t="shared" si="98"/>
        <v>1</v>
      </c>
      <c r="R947" s="86">
        <f t="shared" si="99"/>
        <v>42</v>
      </c>
      <c r="S947" s="76"/>
      <c r="T947" s="86"/>
      <c r="U947" s="76" t="s">
        <v>393</v>
      </c>
      <c r="V947" s="76"/>
      <c r="W947" s="76"/>
      <c r="X947" s="76"/>
      <c r="Y947" s="167"/>
      <c r="Z947" s="234" t="s">
        <v>1351</v>
      </c>
      <c r="AA947" s="168"/>
      <c r="AB947" s="97"/>
      <c r="AC947" s="167" t="s">
        <v>7398</v>
      </c>
      <c r="AD947" s="168"/>
      <c r="AE947" s="76" t="s">
        <v>1136</v>
      </c>
      <c r="AF947" s="76" t="s">
        <v>9155</v>
      </c>
      <c r="AG947" s="76" t="s">
        <v>1187</v>
      </c>
      <c r="AH947" s="153">
        <v>46147.0</v>
      </c>
      <c r="AI947" s="67"/>
      <c r="AJ947" s="67"/>
      <c r="AK947" s="67"/>
      <c r="AL947" s="67"/>
      <c r="AM947" s="67"/>
      <c r="AN947" s="67"/>
      <c r="AO947" s="67"/>
      <c r="AP947" s="67"/>
      <c r="AQ947" s="67"/>
      <c r="AR947" s="67"/>
      <c r="AS947" s="67"/>
      <c r="AT947" s="67"/>
    </row>
    <row r="948">
      <c r="A948" s="86"/>
      <c r="B948" s="302" t="s">
        <v>145</v>
      </c>
      <c r="C948" s="302"/>
      <c r="D948" s="86"/>
      <c r="E948" s="777" t="s">
        <v>9452</v>
      </c>
      <c r="F948" s="86"/>
      <c r="G948" s="86"/>
      <c r="H948" s="86"/>
      <c r="I948" s="86"/>
      <c r="J948" s="76" t="s">
        <v>114</v>
      </c>
      <c r="K948" s="109"/>
      <c r="L948" s="109"/>
      <c r="M948" s="109" t="s">
        <v>60</v>
      </c>
      <c r="N948" s="474" t="s">
        <v>11726</v>
      </c>
      <c r="O948" s="779" t="s">
        <v>1628</v>
      </c>
      <c r="P948" s="153">
        <v>28296.0</v>
      </c>
      <c r="Q948" s="315">
        <f t="shared" si="98"/>
        <v>28296</v>
      </c>
      <c r="R948" s="97">
        <f t="shared" si="99"/>
        <v>49</v>
      </c>
      <c r="S948" s="315">
        <v>2.829506571E9</v>
      </c>
      <c r="T948" s="315"/>
      <c r="U948" s="726" t="s">
        <v>393</v>
      </c>
      <c r="V948" s="76"/>
      <c r="W948" s="97"/>
      <c r="X948" s="76" t="s">
        <v>145</v>
      </c>
      <c r="Y948" s="97" t="s">
        <v>371</v>
      </c>
      <c r="Z948" s="97"/>
      <c r="AA948" s="76" t="s">
        <v>114</v>
      </c>
      <c r="AB948" s="97"/>
      <c r="AC948" s="76" t="s">
        <v>150</v>
      </c>
      <c r="AD948" s="76" t="s">
        <v>150</v>
      </c>
      <c r="AE948" s="76" t="s">
        <v>672</v>
      </c>
      <c r="AF948" s="76" t="s">
        <v>155</v>
      </c>
      <c r="AG948" s="97"/>
      <c r="AH948" s="76" t="s">
        <v>11727</v>
      </c>
      <c r="AI948" s="203"/>
      <c r="AJ948" s="203"/>
      <c r="AK948" s="203"/>
      <c r="AL948" s="203"/>
      <c r="AM948" s="203"/>
      <c r="AN948" s="203"/>
      <c r="AO948" s="203"/>
      <c r="AP948" s="203"/>
      <c r="AQ948" s="203"/>
      <c r="AR948" s="203"/>
      <c r="AS948" s="203"/>
      <c r="AT948" s="203"/>
    </row>
    <row r="949">
      <c r="A949" s="86"/>
      <c r="B949" s="302" t="s">
        <v>4145</v>
      </c>
      <c r="C949" s="291" t="s">
        <v>5668</v>
      </c>
      <c r="D949" s="86"/>
      <c r="E949" s="86"/>
      <c r="F949" s="86"/>
      <c r="G949" s="86"/>
      <c r="H949" s="86"/>
      <c r="I949" s="86"/>
      <c r="J949" s="76" t="s">
        <v>114</v>
      </c>
      <c r="K949" s="76"/>
      <c r="L949" s="76"/>
      <c r="M949" s="76" t="s">
        <v>60</v>
      </c>
      <c r="N949" s="97" t="s">
        <v>11728</v>
      </c>
      <c r="O949" s="76" t="s">
        <v>10783</v>
      </c>
      <c r="P949" s="153">
        <v>30038.0</v>
      </c>
      <c r="Q949" s="315">
        <f t="shared" si="98"/>
        <v>30038</v>
      </c>
      <c r="R949" s="97">
        <f t="shared" si="99"/>
        <v>44</v>
      </c>
      <c r="S949" s="76">
        <v>3.003718678E9</v>
      </c>
      <c r="T949" s="315"/>
      <c r="U949" s="76" t="s">
        <v>393</v>
      </c>
      <c r="V949" s="76"/>
      <c r="W949" s="76"/>
      <c r="X949" s="76"/>
      <c r="Y949" s="97"/>
      <c r="Z949" s="728" t="s">
        <v>2482</v>
      </c>
      <c r="AA949" s="76" t="s">
        <v>1178</v>
      </c>
      <c r="AB949" s="97"/>
      <c r="AC949" s="76" t="s">
        <v>7398</v>
      </c>
      <c r="AD949" s="99"/>
      <c r="AE949" s="76" t="s">
        <v>154</v>
      </c>
      <c r="AF949" s="76"/>
      <c r="AG949" s="76"/>
      <c r="AH949" s="97"/>
      <c r="AI949" s="203"/>
      <c r="AJ949" s="203"/>
      <c r="AK949" s="203"/>
      <c r="AL949" s="203"/>
      <c r="AM949" s="203"/>
      <c r="AN949" s="203"/>
      <c r="AO949" s="203"/>
      <c r="AP949" s="203"/>
      <c r="AQ949" s="203"/>
      <c r="AR949" s="203"/>
      <c r="AS949" s="203"/>
      <c r="AT949" s="203"/>
    </row>
    <row r="950">
      <c r="A950" s="86"/>
      <c r="B950" s="302" t="s">
        <v>4145</v>
      </c>
      <c r="C950" s="291" t="s">
        <v>5668</v>
      </c>
      <c r="D950" s="86"/>
      <c r="E950" s="86"/>
      <c r="F950" s="86"/>
      <c r="G950" s="86"/>
      <c r="H950" s="86"/>
      <c r="I950" s="86"/>
      <c r="J950" s="76"/>
      <c r="K950" s="76"/>
      <c r="L950" s="76"/>
      <c r="M950" s="76" t="s">
        <v>60</v>
      </c>
      <c r="N950" s="97" t="s">
        <v>11729</v>
      </c>
      <c r="O950" s="76" t="s">
        <v>11730</v>
      </c>
      <c r="P950" s="86"/>
      <c r="Q950" s="97"/>
      <c r="R950" s="97"/>
      <c r="S950" s="315"/>
      <c r="T950" s="315"/>
      <c r="U950" s="76" t="s">
        <v>393</v>
      </c>
      <c r="V950" s="76"/>
      <c r="W950" s="76"/>
      <c r="X950" s="76"/>
      <c r="Y950" s="97"/>
      <c r="Z950" s="278" t="s">
        <v>2090</v>
      </c>
      <c r="AA950" s="76" t="s">
        <v>1178</v>
      </c>
      <c r="AB950" s="97"/>
      <c r="AC950" s="97"/>
      <c r="AD950" s="99"/>
      <c r="AE950" s="76" t="s">
        <v>154</v>
      </c>
      <c r="AF950" s="76" t="s">
        <v>4767</v>
      </c>
      <c r="AG950" s="76"/>
      <c r="AH950" s="153">
        <v>45997.0</v>
      </c>
      <c r="AI950" s="67"/>
      <c r="AJ950" s="67"/>
      <c r="AK950" s="67"/>
      <c r="AL950" s="67"/>
      <c r="AM950" s="67"/>
      <c r="AN950" s="67"/>
      <c r="AO950" s="67"/>
      <c r="AP950" s="67"/>
      <c r="AQ950" s="67"/>
      <c r="AR950" s="67"/>
      <c r="AS950" s="67"/>
      <c r="AT950" s="67"/>
    </row>
    <row r="951">
      <c r="A951" s="86"/>
      <c r="B951" s="302" t="s">
        <v>4145</v>
      </c>
      <c r="C951" s="315">
        <v>46004.0</v>
      </c>
      <c r="D951" s="86"/>
      <c r="E951" s="764"/>
      <c r="F951" s="86"/>
      <c r="G951" s="86"/>
      <c r="H951" s="86"/>
      <c r="I951" s="86"/>
      <c r="J951" s="76" t="s">
        <v>114</v>
      </c>
      <c r="K951" s="85" t="s">
        <v>11731</v>
      </c>
      <c r="L951" s="85"/>
      <c r="M951" s="85" t="s">
        <v>60</v>
      </c>
      <c r="N951" s="76" t="s">
        <v>11732</v>
      </c>
      <c r="O951" s="76" t="s">
        <v>1476</v>
      </c>
      <c r="P951" s="330">
        <v>29145.0</v>
      </c>
      <c r="Q951" s="315">
        <f t="shared" ref="Q951:Q961" si="100">VALUE(LEFT(TEXT(S951,0),5))+1</f>
        <v>29145</v>
      </c>
      <c r="R951" s="86">
        <f t="shared" ref="R951:R961" si="101">DATEDIF($P951,TODAY(),"Y")</f>
        <v>46</v>
      </c>
      <c r="S951" s="315">
        <v>2.914420758E9</v>
      </c>
      <c r="T951" s="315"/>
      <c r="U951" s="76" t="s">
        <v>393</v>
      </c>
      <c r="V951" s="76"/>
      <c r="W951" s="76"/>
      <c r="X951" s="76"/>
      <c r="Y951" s="97" t="s">
        <v>1174</v>
      </c>
      <c r="Z951" s="278" t="s">
        <v>2090</v>
      </c>
      <c r="AA951" s="76"/>
      <c r="AB951" s="97"/>
      <c r="AC951" s="97"/>
      <c r="AD951" s="99"/>
      <c r="AE951" s="76" t="s">
        <v>1136</v>
      </c>
      <c r="AF951" s="76" t="s">
        <v>11733</v>
      </c>
      <c r="AG951" s="76"/>
      <c r="AH951" s="76" t="s">
        <v>11734</v>
      </c>
      <c r="AI951" s="203"/>
      <c r="AJ951" s="203"/>
      <c r="AK951" s="203"/>
      <c r="AL951" s="203"/>
      <c r="AM951" s="203"/>
      <c r="AN951" s="203"/>
      <c r="AO951" s="203"/>
      <c r="AP951" s="203"/>
      <c r="AQ951" s="203"/>
      <c r="AR951" s="203"/>
      <c r="AS951" s="203"/>
      <c r="AT951" s="203"/>
    </row>
    <row r="952">
      <c r="A952" s="76" t="s">
        <v>116</v>
      </c>
      <c r="B952" s="77" t="s">
        <v>1039</v>
      </c>
      <c r="C952" s="77" t="s">
        <v>1269</v>
      </c>
      <c r="D952" s="77" t="s">
        <v>1494</v>
      </c>
      <c r="E952" s="78" t="s">
        <v>213</v>
      </c>
      <c r="F952" s="80" t="s">
        <v>1523</v>
      </c>
      <c r="G952" s="77" t="s">
        <v>1801</v>
      </c>
      <c r="H952" s="77" t="s">
        <v>60</v>
      </c>
      <c r="I952" s="87" t="s">
        <v>1221</v>
      </c>
      <c r="J952" s="76" t="s">
        <v>114</v>
      </c>
      <c r="K952" s="176" t="s">
        <v>11735</v>
      </c>
      <c r="L952" s="85"/>
      <c r="M952" s="85" t="s">
        <v>60</v>
      </c>
      <c r="N952" s="287" t="s">
        <v>11005</v>
      </c>
      <c r="O952" s="27" t="s">
        <v>11006</v>
      </c>
      <c r="P952" s="262">
        <v>34659.0</v>
      </c>
      <c r="Q952" s="315">
        <f t="shared" si="100"/>
        <v>34659</v>
      </c>
      <c r="R952" s="97">
        <f t="shared" si="101"/>
        <v>31</v>
      </c>
      <c r="S952" s="76">
        <v>3.465807797E9</v>
      </c>
      <c r="T952" s="315"/>
      <c r="U952" s="76" t="s">
        <v>136</v>
      </c>
      <c r="V952" s="76"/>
      <c r="W952" s="76"/>
      <c r="X952" s="76"/>
      <c r="Y952" s="86" t="s">
        <v>1174</v>
      </c>
      <c r="Z952" s="278" t="s">
        <v>1613</v>
      </c>
      <c r="AA952" s="76"/>
      <c r="AB952" s="97"/>
      <c r="AC952" s="76"/>
      <c r="AD952" s="99"/>
      <c r="AE952" s="76"/>
      <c r="AF952" s="76" t="s">
        <v>155</v>
      </c>
      <c r="AG952" s="76"/>
      <c r="AH952" s="153">
        <v>46113.0</v>
      </c>
      <c r="AI952" s="203"/>
      <c r="AJ952" s="203"/>
      <c r="AK952" s="203"/>
      <c r="AL952" s="203"/>
      <c r="AM952" s="203"/>
      <c r="AN952" s="203"/>
      <c r="AO952" s="203"/>
      <c r="AP952" s="203"/>
      <c r="AQ952" s="203"/>
      <c r="AR952" s="203"/>
      <c r="AS952" s="203"/>
      <c r="AT952" s="203"/>
    </row>
    <row r="953">
      <c r="A953" s="76" t="s">
        <v>116</v>
      </c>
      <c r="B953" s="77" t="s">
        <v>1039</v>
      </c>
      <c r="C953" s="77" t="s">
        <v>1517</v>
      </c>
      <c r="D953" s="77" t="s">
        <v>1368</v>
      </c>
      <c r="E953" s="78" t="s">
        <v>187</v>
      </c>
      <c r="F953" s="80" t="s">
        <v>1469</v>
      </c>
      <c r="G953" s="77" t="s">
        <v>2220</v>
      </c>
      <c r="H953" s="77" t="s">
        <v>60</v>
      </c>
      <c r="I953" s="87" t="s">
        <v>1221</v>
      </c>
      <c r="J953" s="109" t="s">
        <v>114</v>
      </c>
      <c r="K953" s="176" t="s">
        <v>11736</v>
      </c>
      <c r="L953" s="109"/>
      <c r="M953" s="109" t="s">
        <v>60</v>
      </c>
      <c r="N953" s="332" t="s">
        <v>484</v>
      </c>
      <c r="O953" s="109" t="s">
        <v>485</v>
      </c>
      <c r="P953" s="750">
        <v>27817.0</v>
      </c>
      <c r="Q953" s="315">
        <f t="shared" si="100"/>
        <v>27817</v>
      </c>
      <c r="R953" s="86">
        <f t="shared" si="101"/>
        <v>50</v>
      </c>
      <c r="S953" s="315">
        <v>2.781619214E9</v>
      </c>
      <c r="T953" s="315"/>
      <c r="U953" s="224" t="s">
        <v>136</v>
      </c>
      <c r="V953" s="86"/>
      <c r="W953" s="86"/>
      <c r="X953" s="97"/>
      <c r="Y953" s="76" t="s">
        <v>371</v>
      </c>
      <c r="Z953" s="97"/>
      <c r="AA953" s="97"/>
      <c r="AB953" s="97"/>
      <c r="AC953" s="97" t="s">
        <v>2451</v>
      </c>
      <c r="AD953" s="99"/>
      <c r="AE953" s="97"/>
      <c r="AF953" s="315" t="s">
        <v>4767</v>
      </c>
      <c r="AG953" s="189"/>
      <c r="AH953" s="160" t="s">
        <v>11737</v>
      </c>
      <c r="AI953" s="203"/>
      <c r="AJ953" s="203"/>
      <c r="AK953" s="203"/>
      <c r="AL953" s="203"/>
      <c r="AM953" s="203"/>
      <c r="AN953" s="203"/>
      <c r="AO953" s="203"/>
      <c r="AP953" s="203"/>
      <c r="AQ953" s="203"/>
      <c r="AR953" s="203"/>
      <c r="AS953" s="203"/>
      <c r="AT953" s="203"/>
    </row>
    <row r="954">
      <c r="A954" s="76" t="s">
        <v>116</v>
      </c>
      <c r="B954" s="77" t="s">
        <v>1039</v>
      </c>
      <c r="C954" s="77" t="s">
        <v>1611</v>
      </c>
      <c r="D954" s="77" t="s">
        <v>121</v>
      </c>
      <c r="E954" s="78" t="s">
        <v>295</v>
      </c>
      <c r="F954" s="80" t="s">
        <v>1241</v>
      </c>
      <c r="G954" s="77" t="s">
        <v>2646</v>
      </c>
      <c r="H954" s="77" t="s">
        <v>60</v>
      </c>
      <c r="I954" s="87" t="s">
        <v>1221</v>
      </c>
      <c r="J954" s="76" t="s">
        <v>114</v>
      </c>
      <c r="K954" s="76"/>
      <c r="L954" s="318"/>
      <c r="M954" s="85" t="s">
        <v>60</v>
      </c>
      <c r="N954" s="286" t="s">
        <v>8576</v>
      </c>
      <c r="O954" s="76" t="s">
        <v>11738</v>
      </c>
      <c r="P954" s="153">
        <v>31868.0</v>
      </c>
      <c r="Q954" s="315">
        <f t="shared" si="100"/>
        <v>1</v>
      </c>
      <c r="R954" s="86">
        <f t="shared" si="101"/>
        <v>39</v>
      </c>
      <c r="S954" s="76"/>
      <c r="T954" s="315"/>
      <c r="U954" s="76" t="s">
        <v>136</v>
      </c>
      <c r="V954" s="76"/>
      <c r="W954" s="76"/>
      <c r="X954" s="76" t="s">
        <v>186</v>
      </c>
      <c r="Y954" s="211" t="s">
        <v>1815</v>
      </c>
      <c r="Z954" s="85"/>
      <c r="AA954" s="76"/>
      <c r="AB954" s="97"/>
      <c r="AC954" s="76"/>
      <c r="AD954" s="76"/>
      <c r="AE954" s="76"/>
      <c r="AF954" s="76"/>
      <c r="AG954" s="76" t="s">
        <v>11739</v>
      </c>
      <c r="AH954" s="153">
        <v>46160.0</v>
      </c>
      <c r="AI954" s="203"/>
      <c r="AJ954" s="203"/>
      <c r="AK954" s="203"/>
      <c r="AL954" s="203"/>
      <c r="AM954" s="203"/>
      <c r="AN954" s="203"/>
      <c r="AO954" s="203"/>
      <c r="AP954" s="203"/>
      <c r="AQ954" s="203"/>
      <c r="AR954" s="203"/>
      <c r="AS954" s="203"/>
      <c r="AT954" s="203"/>
    </row>
    <row r="955">
      <c r="A955" s="76" t="s">
        <v>116</v>
      </c>
      <c r="B955" s="77" t="s">
        <v>1039</v>
      </c>
      <c r="C955" s="77" t="s">
        <v>1611</v>
      </c>
      <c r="D955" s="77" t="s">
        <v>1494</v>
      </c>
      <c r="E955" s="78" t="s">
        <v>302</v>
      </c>
      <c r="F955" s="80" t="s">
        <v>1404</v>
      </c>
      <c r="G955" s="77" t="s">
        <v>622</v>
      </c>
      <c r="H955" s="77" t="s">
        <v>326</v>
      </c>
      <c r="I955" s="87" t="s">
        <v>1221</v>
      </c>
      <c r="J955" s="76" t="s">
        <v>114</v>
      </c>
      <c r="K955" s="260"/>
      <c r="L955" s="85"/>
      <c r="M955" s="85" t="s">
        <v>60</v>
      </c>
      <c r="N955" s="256" t="s">
        <v>619</v>
      </c>
      <c r="O955" s="341" t="s">
        <v>620</v>
      </c>
      <c r="P955" s="262">
        <v>34754.0</v>
      </c>
      <c r="Q955" s="315">
        <f t="shared" si="100"/>
        <v>1</v>
      </c>
      <c r="R955" s="97">
        <f t="shared" si="101"/>
        <v>31</v>
      </c>
      <c r="S955" s="76"/>
      <c r="T955" s="168"/>
      <c r="U955" s="76" t="s">
        <v>368</v>
      </c>
      <c r="V955" s="76"/>
      <c r="W955" s="76"/>
      <c r="X955" s="97"/>
      <c r="Y955" s="168"/>
      <c r="Z955" s="176" t="s">
        <v>1460</v>
      </c>
      <c r="AA955" s="76" t="s">
        <v>1178</v>
      </c>
      <c r="AB955" s="97"/>
      <c r="AC955" s="168"/>
      <c r="AD955" s="168"/>
      <c r="AE955" s="76"/>
      <c r="AF955" s="168"/>
      <c r="AG955" s="76" t="s">
        <v>1187</v>
      </c>
      <c r="AH955" s="153">
        <v>46150.0</v>
      </c>
      <c r="AI955" s="203"/>
      <c r="AJ955" s="203"/>
      <c r="AK955" s="203"/>
      <c r="AL955" s="203"/>
      <c r="AM955" s="203"/>
      <c r="AN955" s="203"/>
      <c r="AO955" s="203"/>
      <c r="AP955" s="203"/>
      <c r="AQ955" s="203"/>
      <c r="AR955" s="203"/>
      <c r="AS955" s="203"/>
      <c r="AT955" s="203"/>
    </row>
    <row r="956">
      <c r="A956" s="76" t="s">
        <v>116</v>
      </c>
      <c r="B956" s="77" t="s">
        <v>1039</v>
      </c>
      <c r="C956" s="77" t="s">
        <v>1611</v>
      </c>
      <c r="D956" s="77" t="s">
        <v>1494</v>
      </c>
      <c r="E956" s="78" t="s">
        <v>213</v>
      </c>
      <c r="F956" s="80" t="s">
        <v>1523</v>
      </c>
      <c r="G956" s="77" t="s">
        <v>2939</v>
      </c>
      <c r="H956" s="77" t="s">
        <v>60</v>
      </c>
      <c r="I956" s="87" t="s">
        <v>1221</v>
      </c>
      <c r="J956" s="85" t="s">
        <v>114</v>
      </c>
      <c r="K956" s="124" t="s">
        <v>11740</v>
      </c>
      <c r="L956" s="76"/>
      <c r="M956" s="85" t="s">
        <v>60</v>
      </c>
      <c r="N956" s="287" t="s">
        <v>9838</v>
      </c>
      <c r="O956" s="76" t="s">
        <v>9840</v>
      </c>
      <c r="P956" s="153">
        <v>32816.0</v>
      </c>
      <c r="Q956" s="315">
        <f t="shared" si="100"/>
        <v>32816</v>
      </c>
      <c r="R956" s="86">
        <f t="shared" si="101"/>
        <v>36</v>
      </c>
      <c r="S956" s="76">
        <v>3.281502815E9</v>
      </c>
      <c r="T956" s="76" t="s">
        <v>378</v>
      </c>
      <c r="U956" s="76" t="s">
        <v>136</v>
      </c>
      <c r="V956" s="76"/>
      <c r="W956" s="76"/>
      <c r="X956" s="97"/>
      <c r="Y956" s="167"/>
      <c r="Z956" s="176" t="s">
        <v>1460</v>
      </c>
      <c r="AA956" s="168"/>
      <c r="AB956" s="97"/>
      <c r="AC956" s="168"/>
      <c r="AD956" s="168"/>
      <c r="AE956" s="76"/>
      <c r="AF956" s="76" t="s">
        <v>155</v>
      </c>
      <c r="AG956" s="341" t="s">
        <v>1187</v>
      </c>
      <c r="AH956" s="153">
        <v>46111.0</v>
      </c>
      <c r="AI956" s="203"/>
      <c r="AJ956" s="203"/>
      <c r="AK956" s="203"/>
      <c r="AL956" s="203"/>
      <c r="AM956" s="203"/>
      <c r="AN956" s="203"/>
      <c r="AO956" s="203"/>
      <c r="AP956" s="203"/>
      <c r="AQ956" s="203"/>
      <c r="AR956" s="203"/>
      <c r="AS956" s="203"/>
      <c r="AT956" s="203"/>
    </row>
    <row r="957">
      <c r="A957" s="76" t="s">
        <v>116</v>
      </c>
      <c r="B957" s="77" t="s">
        <v>1039</v>
      </c>
      <c r="C957" s="77" t="s">
        <v>1611</v>
      </c>
      <c r="D957" s="77" t="s">
        <v>1519</v>
      </c>
      <c r="E957" s="78" t="s">
        <v>302</v>
      </c>
      <c r="F957" s="80" t="s">
        <v>1404</v>
      </c>
      <c r="G957" s="77" t="s">
        <v>673</v>
      </c>
      <c r="H957" s="77" t="s">
        <v>326</v>
      </c>
      <c r="I957" s="87" t="s">
        <v>1221</v>
      </c>
      <c r="J957" s="85" t="s">
        <v>114</v>
      </c>
      <c r="K957" s="176" t="s">
        <v>11741</v>
      </c>
      <c r="L957" s="76"/>
      <c r="M957" s="85" t="s">
        <v>60</v>
      </c>
      <c r="N957" s="256" t="s">
        <v>668</v>
      </c>
      <c r="O957" s="76" t="s">
        <v>669</v>
      </c>
      <c r="P957" s="153">
        <v>32782.0</v>
      </c>
      <c r="Q957" s="315">
        <f t="shared" si="100"/>
        <v>32782</v>
      </c>
      <c r="R957" s="86">
        <f t="shared" si="101"/>
        <v>36</v>
      </c>
      <c r="S957" s="76">
        <v>3.278110351E9</v>
      </c>
      <c r="T957" s="86"/>
      <c r="U957" s="76" t="s">
        <v>368</v>
      </c>
      <c r="V957" s="76"/>
      <c r="W957" s="76"/>
      <c r="X957" s="97"/>
      <c r="Y957" s="167"/>
      <c r="Z957" s="176" t="s">
        <v>1460</v>
      </c>
      <c r="AA957" s="168"/>
      <c r="AB957" s="97"/>
      <c r="AC957" s="168"/>
      <c r="AD957" s="168"/>
      <c r="AE957" s="76"/>
      <c r="AF957" s="76"/>
      <c r="AG957" s="76" t="s">
        <v>1187</v>
      </c>
      <c r="AH957" s="153">
        <v>46150.0</v>
      </c>
      <c r="AI957" s="203"/>
      <c r="AJ957" s="203"/>
      <c r="AK957" s="203"/>
      <c r="AL957" s="203"/>
      <c r="AM957" s="203"/>
      <c r="AN957" s="203"/>
      <c r="AO957" s="203"/>
      <c r="AP957" s="203"/>
      <c r="AQ957" s="203"/>
      <c r="AR957" s="203"/>
      <c r="AS957" s="203"/>
      <c r="AT957" s="203"/>
    </row>
    <row r="958">
      <c r="A958" s="76" t="s">
        <v>116</v>
      </c>
      <c r="B958" s="77" t="s">
        <v>1039</v>
      </c>
      <c r="C958" s="77" t="s">
        <v>1611</v>
      </c>
      <c r="D958" s="77" t="s">
        <v>1519</v>
      </c>
      <c r="E958" s="78" t="s">
        <v>187</v>
      </c>
      <c r="F958" s="80" t="s">
        <v>1469</v>
      </c>
      <c r="G958" s="77" t="s">
        <v>3043</v>
      </c>
      <c r="H958" s="77" t="s">
        <v>60</v>
      </c>
      <c r="I958" s="87" t="s">
        <v>1221</v>
      </c>
      <c r="J958" s="76" t="s">
        <v>114</v>
      </c>
      <c r="K958" s="97"/>
      <c r="L958" s="85"/>
      <c r="M958" s="85" t="s">
        <v>60</v>
      </c>
      <c r="N958" s="332" t="s">
        <v>8826</v>
      </c>
      <c r="O958" s="85" t="s">
        <v>8827</v>
      </c>
      <c r="P958" s="153">
        <v>27746.0</v>
      </c>
      <c r="Q958" s="315">
        <f t="shared" si="100"/>
        <v>27746</v>
      </c>
      <c r="R958" s="86">
        <f t="shared" si="101"/>
        <v>50</v>
      </c>
      <c r="S958" s="315">
        <v>2.774518957E9</v>
      </c>
      <c r="T958" s="315"/>
      <c r="U958" s="76" t="s">
        <v>136</v>
      </c>
      <c r="V958" s="86"/>
      <c r="W958" s="76"/>
      <c r="X958" s="76"/>
      <c r="Y958" s="97" t="s">
        <v>183</v>
      </c>
      <c r="Z958" s="289" t="s">
        <v>1725</v>
      </c>
      <c r="AA958" s="76" t="s">
        <v>1178</v>
      </c>
      <c r="AB958" s="97"/>
      <c r="AC958" s="97"/>
      <c r="AD958" s="99"/>
      <c r="AE958" s="76"/>
      <c r="AF958" s="76" t="s">
        <v>155</v>
      </c>
      <c r="AG958" s="76" t="s">
        <v>375</v>
      </c>
      <c r="AH958" s="85" t="s">
        <v>11742</v>
      </c>
      <c r="AI958" s="203"/>
      <c r="AJ958" s="203"/>
      <c r="AK958" s="203"/>
      <c r="AL958" s="203"/>
      <c r="AM958" s="203"/>
      <c r="AN958" s="203"/>
      <c r="AO958" s="203"/>
      <c r="AP958" s="203"/>
      <c r="AQ958" s="203"/>
      <c r="AR958" s="203"/>
      <c r="AS958" s="203"/>
      <c r="AT958" s="203"/>
    </row>
    <row r="959">
      <c r="A959" s="76" t="s">
        <v>116</v>
      </c>
      <c r="B959" s="77" t="s">
        <v>1645</v>
      </c>
      <c r="C959" s="77" t="s">
        <v>1269</v>
      </c>
      <c r="D959" s="77" t="s">
        <v>1494</v>
      </c>
      <c r="E959" s="78" t="s">
        <v>139</v>
      </c>
      <c r="F959" s="80" t="s">
        <v>1520</v>
      </c>
      <c r="G959" s="77" t="s">
        <v>845</v>
      </c>
      <c r="H959" s="77" t="s">
        <v>60</v>
      </c>
      <c r="I959" s="87" t="s">
        <v>1221</v>
      </c>
      <c r="J959" s="85" t="s">
        <v>114</v>
      </c>
      <c r="K959" s="124" t="s">
        <v>11743</v>
      </c>
      <c r="L959" s="76"/>
      <c r="M959" s="85" t="s">
        <v>60</v>
      </c>
      <c r="N959" s="256" t="s">
        <v>843</v>
      </c>
      <c r="O959" s="76" t="s">
        <v>844</v>
      </c>
      <c r="P959" s="153">
        <v>29756.0</v>
      </c>
      <c r="Q959" s="315">
        <f t="shared" si="100"/>
        <v>29756</v>
      </c>
      <c r="R959" s="86">
        <f t="shared" si="101"/>
        <v>45</v>
      </c>
      <c r="S959" s="76">
        <v>2.975521933E9</v>
      </c>
      <c r="T959" s="86"/>
      <c r="U959" s="76" t="s">
        <v>368</v>
      </c>
      <c r="V959" s="76"/>
      <c r="W959" s="76"/>
      <c r="X959" s="97"/>
      <c r="Y959" s="167"/>
      <c r="Z959" s="176" t="s">
        <v>1460</v>
      </c>
      <c r="AA959" s="168"/>
      <c r="AB959" s="97"/>
      <c r="AC959" s="168"/>
      <c r="AD959" s="168"/>
      <c r="AE959" s="76"/>
      <c r="AF959" s="76"/>
      <c r="AG959" s="76" t="s">
        <v>1187</v>
      </c>
      <c r="AH959" s="153">
        <v>46156.0</v>
      </c>
      <c r="AI959" s="203"/>
      <c r="AJ959" s="203"/>
      <c r="AK959" s="203"/>
      <c r="AL959" s="203"/>
      <c r="AM959" s="203"/>
      <c r="AN959" s="203"/>
      <c r="AO959" s="203"/>
      <c r="AP959" s="203"/>
      <c r="AQ959" s="203"/>
      <c r="AR959" s="203"/>
      <c r="AS959" s="203"/>
      <c r="AT959" s="203"/>
    </row>
    <row r="960">
      <c r="A960" s="76" t="s">
        <v>116</v>
      </c>
      <c r="B960" s="77" t="s">
        <v>1645</v>
      </c>
      <c r="C960" s="77" t="s">
        <v>1517</v>
      </c>
      <c r="D960" s="77" t="s">
        <v>1368</v>
      </c>
      <c r="E960" s="78" t="s">
        <v>302</v>
      </c>
      <c r="F960" s="80" t="s">
        <v>1404</v>
      </c>
      <c r="G960" s="77" t="s">
        <v>4070</v>
      </c>
      <c r="H960" s="77" t="s">
        <v>326</v>
      </c>
      <c r="I960" s="87" t="s">
        <v>1221</v>
      </c>
      <c r="J960" s="109" t="s">
        <v>114</v>
      </c>
      <c r="K960" s="87"/>
      <c r="L960" s="87"/>
      <c r="M960" s="87" t="s">
        <v>60</v>
      </c>
      <c r="N960" s="332" t="s">
        <v>2276</v>
      </c>
      <c r="O960" s="109" t="s">
        <v>2279</v>
      </c>
      <c r="P960" s="750">
        <v>31108.0</v>
      </c>
      <c r="Q960" s="315">
        <f t="shared" si="100"/>
        <v>31108</v>
      </c>
      <c r="R960" s="86">
        <f t="shared" si="101"/>
        <v>41</v>
      </c>
      <c r="S960" s="315">
        <v>3.110708539E9</v>
      </c>
      <c r="T960" s="315"/>
      <c r="U960" s="224" t="s">
        <v>136</v>
      </c>
      <c r="V960" s="86"/>
      <c r="W960" s="86"/>
      <c r="X960" s="97"/>
      <c r="Y960" s="97"/>
      <c r="Z960" s="97"/>
      <c r="AA960" s="97"/>
      <c r="AB960" s="97"/>
      <c r="AC960" s="97" t="s">
        <v>150</v>
      </c>
      <c r="AD960" s="99"/>
      <c r="AE960" s="76"/>
      <c r="AF960" s="109" t="s">
        <v>155</v>
      </c>
      <c r="AG960" s="76" t="s">
        <v>697</v>
      </c>
      <c r="AH960" s="76" t="s">
        <v>11744</v>
      </c>
      <c r="AI960" s="203"/>
      <c r="AJ960" s="203"/>
      <c r="AK960" s="203"/>
      <c r="AL960" s="203"/>
      <c r="AM960" s="203"/>
      <c r="AN960" s="203"/>
      <c r="AO960" s="203"/>
      <c r="AP960" s="203"/>
      <c r="AQ960" s="203"/>
      <c r="AR960" s="203"/>
      <c r="AS960" s="203"/>
      <c r="AT960" s="203"/>
    </row>
    <row r="961">
      <c r="A961" s="76" t="s">
        <v>116</v>
      </c>
      <c r="B961" s="77" t="s">
        <v>1645</v>
      </c>
      <c r="C961" s="77" t="s">
        <v>1728</v>
      </c>
      <c r="D961" s="77" t="s">
        <v>121</v>
      </c>
      <c r="E961" s="78" t="s">
        <v>1345</v>
      </c>
      <c r="F961" s="80" t="s">
        <v>3239</v>
      </c>
      <c r="G961" s="77" t="s">
        <v>2348</v>
      </c>
      <c r="H961" s="77" t="s">
        <v>504</v>
      </c>
      <c r="I961" s="146" t="s">
        <v>408</v>
      </c>
      <c r="J961" s="85" t="s">
        <v>114</v>
      </c>
      <c r="K961" s="124" t="s">
        <v>11745</v>
      </c>
      <c r="L961" s="76"/>
      <c r="M961" s="76" t="s">
        <v>60</v>
      </c>
      <c r="N961" s="287" t="s">
        <v>2347</v>
      </c>
      <c r="O961" s="295" t="s">
        <v>193</v>
      </c>
      <c r="P961" s="1125">
        <v>32416.0</v>
      </c>
      <c r="Q961" s="315" t="str">
        <f t="shared" si="100"/>
        <v>#VALUE!</v>
      </c>
      <c r="R961" s="86">
        <f t="shared" si="101"/>
        <v>37</v>
      </c>
      <c r="S961" s="76" t="s">
        <v>3642</v>
      </c>
      <c r="T961" s="315"/>
      <c r="U961" s="76" t="s">
        <v>136</v>
      </c>
      <c r="V961" s="76"/>
      <c r="W961" s="76"/>
      <c r="X961" s="97"/>
      <c r="Y961" s="97"/>
      <c r="Z961" s="728" t="s">
        <v>2482</v>
      </c>
      <c r="AA961" s="97"/>
      <c r="AB961" s="97"/>
      <c r="AC961" s="76"/>
      <c r="AD961" s="76"/>
      <c r="AE961" s="76"/>
      <c r="AF961" s="76"/>
      <c r="AG961" s="76"/>
      <c r="AH961" s="153">
        <v>46164.0</v>
      </c>
      <c r="AI961" s="203"/>
      <c r="AJ961" s="203"/>
      <c r="AK961" s="203"/>
      <c r="AL961" s="203"/>
      <c r="AM961" s="203"/>
      <c r="AN961" s="203"/>
      <c r="AO961" s="203"/>
      <c r="AP961" s="203"/>
      <c r="AQ961" s="203"/>
      <c r="AR961" s="203"/>
      <c r="AS961" s="203"/>
      <c r="AT961" s="203"/>
    </row>
    <row r="962">
      <c r="A962" s="76" t="s">
        <v>116</v>
      </c>
      <c r="B962" s="77" t="s">
        <v>1709</v>
      </c>
      <c r="C962" s="77" t="s">
        <v>1269</v>
      </c>
      <c r="D962" s="77" t="s">
        <v>1519</v>
      </c>
      <c r="E962" s="78" t="s">
        <v>302</v>
      </c>
      <c r="F962" s="80" t="s">
        <v>1404</v>
      </c>
      <c r="G962" s="77" t="s">
        <v>5745</v>
      </c>
      <c r="H962" s="77" t="s">
        <v>326</v>
      </c>
      <c r="I962" s="87" t="s">
        <v>1221</v>
      </c>
      <c r="J962" s="109"/>
      <c r="K962" s="86"/>
      <c r="L962" s="87"/>
      <c r="M962" s="999" t="s">
        <v>60</v>
      </c>
      <c r="N962" s="782" t="s">
        <v>10508</v>
      </c>
      <c r="O962" s="584">
        <v>0.0</v>
      </c>
      <c r="P962" s="750"/>
      <c r="Q962" s="315"/>
      <c r="R962" s="86"/>
      <c r="S962" s="86"/>
      <c r="T962" s="315"/>
      <c r="U962" s="224" t="s">
        <v>136</v>
      </c>
      <c r="V962" s="86"/>
      <c r="W962" s="86"/>
      <c r="X962" s="97"/>
      <c r="Y962" s="97"/>
      <c r="Z962" s="97"/>
      <c r="AA962" s="97"/>
      <c r="AB962" s="97"/>
      <c r="AC962" s="160" t="s">
        <v>630</v>
      </c>
      <c r="AD962" s="76" t="s">
        <v>632</v>
      </c>
      <c r="AE962" s="76"/>
      <c r="AF962" s="160" t="s">
        <v>630</v>
      </c>
      <c r="AG962" s="112"/>
      <c r="AH962" s="76" t="s">
        <v>11565</v>
      </c>
      <c r="AI962" s="203"/>
      <c r="AJ962" s="203"/>
      <c r="AK962" s="203"/>
      <c r="AL962" s="203"/>
      <c r="AM962" s="203"/>
      <c r="AN962" s="203"/>
      <c r="AO962" s="203"/>
      <c r="AP962" s="203"/>
      <c r="AQ962" s="203"/>
      <c r="AR962" s="203"/>
      <c r="AS962" s="203"/>
      <c r="AT962" s="203"/>
    </row>
    <row r="963">
      <c r="A963" s="76" t="s">
        <v>116</v>
      </c>
      <c r="B963" s="77" t="s">
        <v>1709</v>
      </c>
      <c r="C963" s="77" t="s">
        <v>1611</v>
      </c>
      <c r="D963" s="77" t="s">
        <v>1368</v>
      </c>
      <c r="E963" s="78" t="s">
        <v>213</v>
      </c>
      <c r="F963" s="80" t="s">
        <v>1523</v>
      </c>
      <c r="G963" s="77" t="s">
        <v>6395</v>
      </c>
      <c r="H963" s="77" t="s">
        <v>60</v>
      </c>
      <c r="I963" s="87" t="s">
        <v>1221</v>
      </c>
      <c r="J963" s="85" t="s">
        <v>114</v>
      </c>
      <c r="K963" s="76" t="s">
        <v>1</v>
      </c>
      <c r="L963" s="76"/>
      <c r="M963" s="85" t="s">
        <v>60</v>
      </c>
      <c r="N963" s="287" t="s">
        <v>11746</v>
      </c>
      <c r="O963" s="76" t="s">
        <v>11747</v>
      </c>
      <c r="P963" s="153">
        <v>34663.0</v>
      </c>
      <c r="Q963" s="315">
        <f t="shared" ref="Q963:Q964" si="102">VALUE(LEFT(TEXT(S963,0),5))+1</f>
        <v>34663</v>
      </c>
      <c r="R963" s="86">
        <f t="shared" ref="R963:R964" si="103">DATEDIF($P963,TODAY(),"Y")</f>
        <v>31</v>
      </c>
      <c r="S963" s="76">
        <v>3.46620447E9</v>
      </c>
      <c r="T963" s="86"/>
      <c r="U963" s="76" t="s">
        <v>136</v>
      </c>
      <c r="V963" s="76"/>
      <c r="W963" s="76"/>
      <c r="X963" s="76"/>
      <c r="Y963" s="97" t="s">
        <v>183</v>
      </c>
      <c r="Z963" s="728" t="s">
        <v>2482</v>
      </c>
      <c r="AA963" s="168"/>
      <c r="AB963" s="97"/>
      <c r="AC963" s="168"/>
      <c r="AD963" s="168"/>
      <c r="AE963" s="76"/>
      <c r="AF963" s="76" t="s">
        <v>4767</v>
      </c>
      <c r="AG963" s="76"/>
      <c r="AH963" s="153">
        <v>46111.0</v>
      </c>
      <c r="AI963" s="203"/>
      <c r="AJ963" s="203"/>
      <c r="AK963" s="203"/>
      <c r="AL963" s="203"/>
      <c r="AM963" s="203"/>
      <c r="AN963" s="203"/>
      <c r="AO963" s="203"/>
      <c r="AP963" s="203"/>
      <c r="AQ963" s="203"/>
      <c r="AR963" s="203"/>
      <c r="AS963" s="203"/>
      <c r="AT963" s="203"/>
    </row>
    <row r="964">
      <c r="A964" s="76" t="s">
        <v>116</v>
      </c>
      <c r="B964" s="77" t="s">
        <v>1709</v>
      </c>
      <c r="C964" s="77" t="s">
        <v>1728</v>
      </c>
      <c r="D964" s="77" t="s">
        <v>121</v>
      </c>
      <c r="E964" s="78" t="s">
        <v>178</v>
      </c>
      <c r="F964" s="80" t="s">
        <v>3247</v>
      </c>
      <c r="G964" s="77" t="s">
        <v>1352</v>
      </c>
      <c r="H964" s="77" t="s">
        <v>102</v>
      </c>
      <c r="I964" s="146" t="s">
        <v>408</v>
      </c>
      <c r="J964" s="76" t="s">
        <v>114</v>
      </c>
      <c r="K964" s="176" t="s">
        <v>11748</v>
      </c>
      <c r="L964" s="85"/>
      <c r="M964" s="85" t="s">
        <v>60</v>
      </c>
      <c r="N964" s="785" t="s">
        <v>1348</v>
      </c>
      <c r="O964" s="27" t="s">
        <v>1350</v>
      </c>
      <c r="P964" s="262">
        <v>32193.0</v>
      </c>
      <c r="Q964" s="315">
        <f t="shared" si="102"/>
        <v>32193</v>
      </c>
      <c r="R964" s="97">
        <f t="shared" si="103"/>
        <v>38</v>
      </c>
      <c r="S964" s="76">
        <v>3.219209936E9</v>
      </c>
      <c r="T964" s="315"/>
      <c r="U964" s="76" t="s">
        <v>368</v>
      </c>
      <c r="V964" s="76"/>
      <c r="W964" s="76"/>
      <c r="X964" s="76"/>
      <c r="Y964" s="76" t="s">
        <v>371</v>
      </c>
      <c r="Z964" s="85"/>
      <c r="AA964" s="76"/>
      <c r="AB964" s="97"/>
      <c r="AC964" s="76"/>
      <c r="AD964" s="99"/>
      <c r="AE964" s="76"/>
      <c r="AF964" s="76"/>
      <c r="AG964" s="76" t="s">
        <v>1187</v>
      </c>
      <c r="AH964" s="153">
        <v>46152.0</v>
      </c>
      <c r="AI964" s="203"/>
      <c r="AJ964" s="203"/>
      <c r="AK964" s="203"/>
      <c r="AL964" s="203"/>
      <c r="AM964" s="203"/>
      <c r="AN964" s="203"/>
      <c r="AO964" s="203"/>
      <c r="AP964" s="203"/>
      <c r="AQ964" s="203"/>
      <c r="AR964" s="203"/>
      <c r="AS964" s="203"/>
      <c r="AT964" s="203"/>
    </row>
    <row r="965">
      <c r="A965" s="76" t="s">
        <v>116</v>
      </c>
      <c r="B965" s="77" t="s">
        <v>3722</v>
      </c>
      <c r="C965" s="77" t="s">
        <v>6996</v>
      </c>
      <c r="D965" s="77" t="s">
        <v>7134</v>
      </c>
      <c r="E965" s="78" t="s">
        <v>1431</v>
      </c>
      <c r="F965" s="80" t="s">
        <v>1437</v>
      </c>
      <c r="G965" s="77" t="s">
        <v>7153</v>
      </c>
      <c r="H965" s="77" t="s">
        <v>60</v>
      </c>
      <c r="I965" s="87" t="s">
        <v>1221</v>
      </c>
      <c r="J965" s="109"/>
      <c r="K965" s="109"/>
      <c r="L965" s="87"/>
      <c r="M965" s="197" t="s">
        <v>60</v>
      </c>
      <c r="N965" s="127" t="s">
        <v>11749</v>
      </c>
      <c r="O965" s="584">
        <v>0.0</v>
      </c>
      <c r="P965" s="750"/>
      <c r="Q965" s="315"/>
      <c r="R965" s="86"/>
      <c r="S965" s="86"/>
      <c r="T965" s="315"/>
      <c r="U965" s="224" t="s">
        <v>136</v>
      </c>
      <c r="V965" s="86"/>
      <c r="W965" s="86"/>
      <c r="X965" s="97"/>
      <c r="Y965" s="97"/>
      <c r="Z965" s="97"/>
      <c r="AA965" s="97"/>
      <c r="AB965" s="97"/>
      <c r="AC965" s="160" t="s">
        <v>630</v>
      </c>
      <c r="AD965" s="76" t="s">
        <v>632</v>
      </c>
      <c r="AE965" s="76"/>
      <c r="AF965" s="160" t="s">
        <v>630</v>
      </c>
      <c r="AG965" s="112"/>
      <c r="AH965" s="153">
        <v>46137.0</v>
      </c>
      <c r="AI965" s="203"/>
      <c r="AJ965" s="203"/>
      <c r="AK965" s="203"/>
      <c r="AL965" s="203"/>
      <c r="AM965" s="203"/>
      <c r="AN965" s="203"/>
      <c r="AO965" s="203"/>
      <c r="AP965" s="203"/>
      <c r="AQ965" s="203"/>
      <c r="AR965" s="203"/>
      <c r="AS965" s="203"/>
      <c r="AT965" s="203"/>
    </row>
    <row r="966">
      <c r="A966" s="76" t="s">
        <v>116</v>
      </c>
      <c r="B966" s="77" t="s">
        <v>3014</v>
      </c>
      <c r="C966" s="77" t="s">
        <v>121</v>
      </c>
      <c r="D966" s="77" t="s">
        <v>121</v>
      </c>
      <c r="E966" s="78" t="s">
        <v>212</v>
      </c>
      <c r="F966" s="80" t="s">
        <v>2203</v>
      </c>
      <c r="G966" s="77" t="s">
        <v>8773</v>
      </c>
      <c r="H966" s="77" t="s">
        <v>326</v>
      </c>
      <c r="I966" s="87" t="s">
        <v>1221</v>
      </c>
      <c r="J966" s="85" t="s">
        <v>114</v>
      </c>
      <c r="K966" s="124" t="s">
        <v>1602</v>
      </c>
      <c r="L966" s="318"/>
      <c r="M966" s="85" t="s">
        <v>60</v>
      </c>
      <c r="N966" s="286" t="s">
        <v>8517</v>
      </c>
      <c r="O966" s="320" t="s">
        <v>10286</v>
      </c>
      <c r="P966" s="153">
        <v>31564.0</v>
      </c>
      <c r="Q966" s="315">
        <f t="shared" ref="Q966:Q968" si="104">VALUE(LEFT(TEXT(S966,0),5))+1</f>
        <v>31564</v>
      </c>
      <c r="R966" s="86">
        <f t="shared" ref="R966:R968" si="105">DATEDIF($P966,TODAY(),"Y")</f>
        <v>40</v>
      </c>
      <c r="S966" s="76">
        <v>3.156311798E9</v>
      </c>
      <c r="T966" s="76" t="s">
        <v>378</v>
      </c>
      <c r="U966" s="76" t="s">
        <v>136</v>
      </c>
      <c r="V966" s="76"/>
      <c r="W966" s="76"/>
      <c r="X966" s="76"/>
      <c r="Y966" s="97"/>
      <c r="Z966" s="216" t="s">
        <v>1173</v>
      </c>
      <c r="AA966" s="97"/>
      <c r="AB966" s="97"/>
      <c r="AC966" s="76" t="s">
        <v>1032</v>
      </c>
      <c r="AD966" s="76"/>
      <c r="AE966" s="76"/>
      <c r="AF966" s="76" t="s">
        <v>155</v>
      </c>
      <c r="AG966" s="76" t="s">
        <v>1187</v>
      </c>
      <c r="AH966" s="153">
        <v>46156.0</v>
      </c>
      <c r="AI966" s="203"/>
      <c r="AJ966" s="203"/>
      <c r="AK966" s="203"/>
      <c r="AL966" s="203"/>
      <c r="AM966" s="203"/>
      <c r="AN966" s="203"/>
      <c r="AO966" s="203"/>
      <c r="AP966" s="203"/>
      <c r="AQ966" s="203"/>
      <c r="AR966" s="203"/>
      <c r="AS966" s="203"/>
      <c r="AT966" s="203"/>
    </row>
    <row r="967">
      <c r="A967" s="76" t="s">
        <v>116</v>
      </c>
      <c r="B967" s="77" t="s">
        <v>3014</v>
      </c>
      <c r="C967" s="77" t="s">
        <v>121</v>
      </c>
      <c r="D967" s="77" t="s">
        <v>121</v>
      </c>
      <c r="E967" s="78" t="s">
        <v>201</v>
      </c>
      <c r="F967" s="80" t="s">
        <v>1849</v>
      </c>
      <c r="G967" s="77" t="s">
        <v>1741</v>
      </c>
      <c r="H967" s="77" t="s">
        <v>60</v>
      </c>
      <c r="I967" s="87" t="s">
        <v>1221</v>
      </c>
      <c r="J967" s="76" t="s">
        <v>114</v>
      </c>
      <c r="K967" s="76" t="s">
        <v>11750</v>
      </c>
      <c r="L967" s="318"/>
      <c r="M967" s="85" t="s">
        <v>60</v>
      </c>
      <c r="N967" s="678" t="s">
        <v>8548</v>
      </c>
      <c r="O967" s="76" t="s">
        <v>10258</v>
      </c>
      <c r="P967" s="153">
        <v>31611.0</v>
      </c>
      <c r="Q967" s="315">
        <f t="shared" si="104"/>
        <v>31611</v>
      </c>
      <c r="R967" s="86">
        <f t="shared" si="105"/>
        <v>40</v>
      </c>
      <c r="S967" s="76">
        <v>3.161017598E9</v>
      </c>
      <c r="T967" s="315"/>
      <c r="U967" s="76" t="s">
        <v>368</v>
      </c>
      <c r="V967" s="76"/>
      <c r="W967" s="76"/>
      <c r="X967" s="76"/>
      <c r="Y967" s="97"/>
      <c r="Z967" s="216" t="s">
        <v>2521</v>
      </c>
      <c r="AA967" s="76"/>
      <c r="AB967" s="97"/>
      <c r="AC967" s="76"/>
      <c r="AD967" s="76"/>
      <c r="AE967" s="76"/>
      <c r="AF967" s="76"/>
      <c r="AG967" s="27" t="s">
        <v>1187</v>
      </c>
      <c r="AH967" s="153">
        <v>46154.0</v>
      </c>
      <c r="AI967" s="203"/>
      <c r="AJ967" s="203"/>
      <c r="AK967" s="203"/>
      <c r="AL967" s="203"/>
      <c r="AM967" s="203"/>
      <c r="AN967" s="203"/>
      <c r="AO967" s="203"/>
      <c r="AP967" s="203"/>
      <c r="AQ967" s="203"/>
      <c r="AR967" s="203"/>
      <c r="AS967" s="203"/>
      <c r="AT967" s="203"/>
    </row>
    <row r="968">
      <c r="A968" s="76" t="s">
        <v>116</v>
      </c>
      <c r="B968" s="77" t="s">
        <v>1728</v>
      </c>
      <c r="C968" s="77" t="s">
        <v>121</v>
      </c>
      <c r="D968" s="77" t="s">
        <v>121</v>
      </c>
      <c r="E968" s="78" t="s">
        <v>287</v>
      </c>
      <c r="F968" s="80" t="s">
        <v>2853</v>
      </c>
      <c r="G968" s="77" t="s">
        <v>288</v>
      </c>
      <c r="H968" s="77" t="s">
        <v>60</v>
      </c>
      <c r="I968" s="87" t="s">
        <v>1221</v>
      </c>
      <c r="J968" s="76" t="s">
        <v>114</v>
      </c>
      <c r="K968" s="85"/>
      <c r="L968" s="85"/>
      <c r="M968" s="85" t="s">
        <v>60</v>
      </c>
      <c r="N968" s="256" t="s">
        <v>285</v>
      </c>
      <c r="O968" s="34" t="s">
        <v>286</v>
      </c>
      <c r="P968" s="153">
        <v>30699.0</v>
      </c>
      <c r="Q968" s="315">
        <f t="shared" si="104"/>
        <v>30699</v>
      </c>
      <c r="R968" s="86">
        <f t="shared" si="105"/>
        <v>42</v>
      </c>
      <c r="S968" s="315">
        <v>3.069818738E9</v>
      </c>
      <c r="T968" s="315"/>
      <c r="U968" s="76" t="s">
        <v>368</v>
      </c>
      <c r="V968" s="76"/>
      <c r="W968" s="76"/>
      <c r="X968" s="76"/>
      <c r="Y968" s="276" t="s">
        <v>11751</v>
      </c>
      <c r="Z968" s="76"/>
      <c r="AA968" s="76" t="s">
        <v>1178</v>
      </c>
      <c r="AB968" s="97"/>
      <c r="AC968" s="97"/>
      <c r="AD968" s="99"/>
      <c r="AE968" s="76"/>
      <c r="AF968" s="76"/>
      <c r="AG968" s="76" t="s">
        <v>1187</v>
      </c>
      <c r="AH968" s="153">
        <v>46150.0</v>
      </c>
      <c r="AI968" s="203"/>
      <c r="AJ968" s="203"/>
      <c r="AK968" s="203"/>
      <c r="AL968" s="203"/>
      <c r="AM968" s="203"/>
      <c r="AN968" s="203"/>
      <c r="AO968" s="203"/>
      <c r="AP968" s="203"/>
      <c r="AQ968" s="203"/>
      <c r="AR968" s="203"/>
      <c r="AS968" s="203"/>
      <c r="AT968" s="203"/>
    </row>
    <row r="969">
      <c r="A969" s="76" t="s">
        <v>116</v>
      </c>
      <c r="B969" s="77" t="s">
        <v>3454</v>
      </c>
      <c r="C969" s="77" t="s">
        <v>7302</v>
      </c>
      <c r="D969" s="77" t="s">
        <v>121</v>
      </c>
      <c r="E969" s="78" t="s">
        <v>5569</v>
      </c>
      <c r="F969" s="80" t="s">
        <v>10170</v>
      </c>
      <c r="G969" s="77" t="s">
        <v>10171</v>
      </c>
      <c r="H969" s="77" t="s">
        <v>326</v>
      </c>
      <c r="I969" s="87" t="s">
        <v>1221</v>
      </c>
      <c r="J969" s="109" t="s">
        <v>114</v>
      </c>
      <c r="K969" s="109"/>
      <c r="L969" s="87"/>
      <c r="M969" s="197" t="s">
        <v>60</v>
      </c>
      <c r="N969" s="159" t="s">
        <v>11752</v>
      </c>
      <c r="O969" s="87"/>
      <c r="P969" s="750"/>
      <c r="Q969" s="86"/>
      <c r="R969" s="86"/>
      <c r="S969" s="315"/>
      <c r="T969" s="315"/>
      <c r="U969" s="291" t="s">
        <v>136</v>
      </c>
      <c r="V969" s="86"/>
      <c r="W969" s="97"/>
      <c r="X969" s="97"/>
      <c r="Y969" s="97"/>
      <c r="Z969" s="97"/>
      <c r="AA969" s="97"/>
      <c r="AB969" s="97"/>
      <c r="AC969" s="160" t="s">
        <v>630</v>
      </c>
      <c r="AD969" s="97" t="s">
        <v>632</v>
      </c>
      <c r="AE969" s="76"/>
      <c r="AF969" s="160" t="s">
        <v>155</v>
      </c>
      <c r="AG969" s="160" t="s">
        <v>630</v>
      </c>
      <c r="AH969" s="539"/>
      <c r="AI969" s="203"/>
      <c r="AJ969" s="203"/>
      <c r="AK969" s="203"/>
      <c r="AL969" s="203"/>
      <c r="AM969" s="203"/>
      <c r="AN969" s="203"/>
      <c r="AO969" s="203"/>
      <c r="AP969" s="203"/>
      <c r="AQ969" s="203"/>
      <c r="AR969" s="203"/>
      <c r="AS969" s="203"/>
      <c r="AT969" s="203"/>
    </row>
    <row r="970">
      <c r="A970" s="76" t="s">
        <v>116</v>
      </c>
      <c r="B970" s="77" t="s">
        <v>3454</v>
      </c>
      <c r="C970" s="77" t="s">
        <v>10262</v>
      </c>
      <c r="D970" s="77" t="s">
        <v>121</v>
      </c>
      <c r="E970" s="78" t="s">
        <v>2281</v>
      </c>
      <c r="F970" s="80" t="s">
        <v>3457</v>
      </c>
      <c r="G970" s="77" t="s">
        <v>2282</v>
      </c>
      <c r="H970" s="77" t="s">
        <v>326</v>
      </c>
      <c r="I970" s="87" t="s">
        <v>1221</v>
      </c>
      <c r="J970" s="85" t="s">
        <v>114</v>
      </c>
      <c r="K970" s="176" t="s">
        <v>11753</v>
      </c>
      <c r="L970" s="76"/>
      <c r="M970" s="76" t="s">
        <v>60</v>
      </c>
      <c r="N970" s="785" t="s">
        <v>2278</v>
      </c>
      <c r="O970" s="27" t="s">
        <v>11754</v>
      </c>
      <c r="P970" s="262">
        <v>29745.0</v>
      </c>
      <c r="Q970" s="315">
        <f>VALUE(LEFT(TEXT(S970,0),5))+1</f>
        <v>29745</v>
      </c>
      <c r="R970" s="86">
        <f>DATEDIF($P970,TODAY(),"Y")</f>
        <v>45</v>
      </c>
      <c r="S970" s="76">
        <v>2.974425412E9</v>
      </c>
      <c r="T970" s="315"/>
      <c r="U970" s="76" t="s">
        <v>368</v>
      </c>
      <c r="V970" s="76"/>
      <c r="W970" s="97"/>
      <c r="X970" s="97"/>
      <c r="Y970" s="97"/>
      <c r="Z970" s="176" t="s">
        <v>1460</v>
      </c>
      <c r="AA970" s="76"/>
      <c r="AB970" s="97"/>
      <c r="AC970" s="76"/>
      <c r="AD970" s="99"/>
      <c r="AE970" s="76"/>
      <c r="AF970" s="167" t="s">
        <v>5258</v>
      </c>
      <c r="AG970" s="76" t="s">
        <v>1187</v>
      </c>
      <c r="AH970" s="917">
        <v>46152.0</v>
      </c>
      <c r="AI970" s="203"/>
      <c r="AJ970" s="203"/>
      <c r="AK970" s="203"/>
      <c r="AL970" s="203"/>
      <c r="AM970" s="203"/>
      <c r="AN970" s="203"/>
      <c r="AO970" s="203"/>
      <c r="AP970" s="203"/>
      <c r="AQ970" s="203"/>
      <c r="AR970" s="203"/>
      <c r="AS970" s="203"/>
      <c r="AT970" s="203"/>
    </row>
    <row r="971">
      <c r="A971" s="76" t="s">
        <v>116</v>
      </c>
      <c r="B971" s="77" t="s">
        <v>3454</v>
      </c>
      <c r="C971" s="77" t="s">
        <v>3813</v>
      </c>
      <c r="D971" s="77" t="s">
        <v>121</v>
      </c>
      <c r="E971" s="78" t="s">
        <v>1431</v>
      </c>
      <c r="F971" s="80" t="s">
        <v>1437</v>
      </c>
      <c r="G971" s="77" t="s">
        <v>10308</v>
      </c>
      <c r="H971" s="77" t="s">
        <v>60</v>
      </c>
      <c r="I971" s="87" t="s">
        <v>1221</v>
      </c>
      <c r="J971" s="76"/>
      <c r="K971" s="260"/>
      <c r="L971" s="85"/>
      <c r="M971" s="211" t="s">
        <v>60</v>
      </c>
      <c r="N971" s="160" t="s">
        <v>11755</v>
      </c>
      <c r="O971" s="341"/>
      <c r="P971" s="262"/>
      <c r="Q971" s="315"/>
      <c r="R971" s="97"/>
      <c r="S971" s="76"/>
      <c r="T971" s="168"/>
      <c r="U971" s="291" t="s">
        <v>136</v>
      </c>
      <c r="V971" s="226"/>
      <c r="W971" s="226"/>
      <c r="X971" s="226"/>
      <c r="Y971" s="226"/>
      <c r="Z971" s="226"/>
      <c r="AA971" s="226"/>
      <c r="AB971" s="226"/>
      <c r="AC971" s="160" t="s">
        <v>630</v>
      </c>
      <c r="AD971" s="76" t="s">
        <v>632</v>
      </c>
      <c r="AE971" s="76"/>
      <c r="AF971" s="160" t="s">
        <v>630</v>
      </c>
      <c r="AG971" s="168"/>
      <c r="AH971" s="168"/>
      <c r="AI971" s="203"/>
      <c r="AJ971" s="203"/>
      <c r="AK971" s="203"/>
      <c r="AL971" s="203"/>
      <c r="AM971" s="203"/>
      <c r="AN971" s="203"/>
      <c r="AO971" s="203"/>
      <c r="AP971" s="203"/>
      <c r="AQ971" s="203"/>
      <c r="AR971" s="203"/>
      <c r="AS971" s="203"/>
      <c r="AT971" s="203"/>
    </row>
    <row r="972">
      <c r="A972" s="76" t="s">
        <v>116</v>
      </c>
      <c r="B972" s="77" t="s">
        <v>1039</v>
      </c>
      <c r="C972" s="77" t="s">
        <v>1517</v>
      </c>
      <c r="D972" s="77" t="s">
        <v>1368</v>
      </c>
      <c r="E972" s="78" t="s">
        <v>58</v>
      </c>
      <c r="F972" s="80" t="s">
        <v>1496</v>
      </c>
      <c r="G972" s="77" t="s">
        <v>2336</v>
      </c>
      <c r="H972" s="77" t="s">
        <v>60</v>
      </c>
      <c r="I972" s="87" t="s">
        <v>1221</v>
      </c>
      <c r="J972" s="109" t="s">
        <v>114</v>
      </c>
      <c r="K972" s="176" t="s">
        <v>11756</v>
      </c>
      <c r="L972" s="87"/>
      <c r="M972" s="87" t="s">
        <v>60</v>
      </c>
      <c r="N972" s="86" t="s">
        <v>6357</v>
      </c>
      <c r="O972" s="87" t="s">
        <v>11757</v>
      </c>
      <c r="P972" s="1125">
        <v>30887.0</v>
      </c>
      <c r="Q972" s="315">
        <f t="shared" ref="Q972:Q973" si="106">VALUE(LEFT(TEXT(S972,0),5))+1</f>
        <v>30887</v>
      </c>
      <c r="R972" s="86">
        <f t="shared" ref="R972:R973" si="107">DATEDIF($P972,TODAY(),"Y")</f>
        <v>42</v>
      </c>
      <c r="S972" s="315">
        <v>3.088613471E9</v>
      </c>
      <c r="T972" s="315"/>
      <c r="U972" s="76" t="s">
        <v>393</v>
      </c>
      <c r="V972" s="86"/>
      <c r="W972" s="86"/>
      <c r="X972" s="97"/>
      <c r="Y972" s="76" t="s">
        <v>371</v>
      </c>
      <c r="Z972" s="97"/>
      <c r="AA972" s="97"/>
      <c r="AB972" s="97"/>
      <c r="AC972" s="76" t="s">
        <v>5318</v>
      </c>
      <c r="AD972" s="99"/>
      <c r="AE972" s="76" t="s">
        <v>154</v>
      </c>
      <c r="AF972" s="85" t="s">
        <v>155</v>
      </c>
      <c r="AG972" s="76" t="s">
        <v>3443</v>
      </c>
      <c r="AH972" s="85" t="s">
        <v>11758</v>
      </c>
      <c r="AI972" s="203"/>
      <c r="AJ972" s="203"/>
      <c r="AK972" s="203"/>
      <c r="AL972" s="203"/>
      <c r="AM972" s="203"/>
      <c r="AN972" s="203"/>
      <c r="AO972" s="203"/>
      <c r="AP972" s="203"/>
      <c r="AQ972" s="203"/>
      <c r="AR972" s="203"/>
      <c r="AS972" s="203"/>
      <c r="AT972" s="203"/>
    </row>
    <row r="973">
      <c r="A973" s="76" t="s">
        <v>116</v>
      </c>
      <c r="B973" s="77" t="s">
        <v>1039</v>
      </c>
      <c r="C973" s="77" t="s">
        <v>1517</v>
      </c>
      <c r="D973" s="77" t="s">
        <v>1519</v>
      </c>
      <c r="E973" s="78" t="s">
        <v>139</v>
      </c>
      <c r="F973" s="80" t="s">
        <v>1520</v>
      </c>
      <c r="G973" s="77" t="s">
        <v>2539</v>
      </c>
      <c r="H973" s="77" t="s">
        <v>60</v>
      </c>
      <c r="I973" s="87" t="s">
        <v>1221</v>
      </c>
      <c r="J973" s="85" t="s">
        <v>114</v>
      </c>
      <c r="K973" s="85"/>
      <c r="L973" s="76"/>
      <c r="M973" s="85" t="s">
        <v>60</v>
      </c>
      <c r="N973" s="76" t="s">
        <v>2608</v>
      </c>
      <c r="O973" s="76" t="s">
        <v>400</v>
      </c>
      <c r="P973" s="153">
        <v>35621.0</v>
      </c>
      <c r="Q973" s="315">
        <f t="shared" si="106"/>
        <v>35621</v>
      </c>
      <c r="R973" s="86">
        <f t="shared" si="107"/>
        <v>29</v>
      </c>
      <c r="S973" s="76">
        <v>3.562013435E9</v>
      </c>
      <c r="T973" s="86"/>
      <c r="U973" s="76" t="s">
        <v>393</v>
      </c>
      <c r="V973" s="76"/>
      <c r="W973" s="76"/>
      <c r="X973" s="76"/>
      <c r="Y973" s="167"/>
      <c r="Z973" s="234" t="s">
        <v>1351</v>
      </c>
      <c r="AA973" s="76" t="s">
        <v>1178</v>
      </c>
      <c r="AB973" s="97"/>
      <c r="AC973" s="168"/>
      <c r="AD973" s="168"/>
      <c r="AE973" s="76" t="s">
        <v>672</v>
      </c>
      <c r="AF973" s="85" t="s">
        <v>155</v>
      </c>
      <c r="AG973" s="76" t="s">
        <v>1187</v>
      </c>
      <c r="AH973" s="76" t="s">
        <v>11759</v>
      </c>
      <c r="AI973" s="203"/>
      <c r="AJ973" s="203"/>
      <c r="AK973" s="203"/>
      <c r="AL973" s="203"/>
      <c r="AM973" s="203"/>
      <c r="AN973" s="203"/>
      <c r="AO973" s="203"/>
      <c r="AP973" s="203"/>
      <c r="AQ973" s="203"/>
      <c r="AR973" s="203"/>
      <c r="AS973" s="203"/>
      <c r="AT973" s="203"/>
    </row>
    <row r="974">
      <c r="A974" s="76" t="s">
        <v>116</v>
      </c>
      <c r="B974" s="77" t="s">
        <v>1039</v>
      </c>
      <c r="C974" s="77" t="s">
        <v>1517</v>
      </c>
      <c r="D974" s="77" t="s">
        <v>1519</v>
      </c>
      <c r="E974" s="78" t="s">
        <v>321</v>
      </c>
      <c r="F974" s="80" t="s">
        <v>1552</v>
      </c>
      <c r="G974" s="77" t="s">
        <v>2558</v>
      </c>
      <c r="H974" s="77" t="s">
        <v>60</v>
      </c>
      <c r="I974" s="87" t="s">
        <v>1221</v>
      </c>
      <c r="J974" s="770"/>
      <c r="K974" s="85"/>
      <c r="L974" s="770"/>
      <c r="M974" s="211" t="s">
        <v>60</v>
      </c>
      <c r="N974" s="1126" t="s">
        <v>11760</v>
      </c>
      <c r="O974" s="770"/>
      <c r="P974" s="770"/>
      <c r="Q974" s="770"/>
      <c r="R974" s="770"/>
      <c r="S974" s="770"/>
      <c r="T974" s="770"/>
      <c r="U974" s="224" t="s">
        <v>136</v>
      </c>
      <c r="V974" s="86"/>
      <c r="W974" s="86"/>
      <c r="X974" s="97"/>
      <c r="Y974" s="97"/>
      <c r="Z974" s="97"/>
      <c r="AA974" s="97"/>
      <c r="AB974" s="97"/>
      <c r="AC974" s="160" t="s">
        <v>630</v>
      </c>
      <c r="AD974" s="76" t="s">
        <v>632</v>
      </c>
      <c r="AE974" s="76"/>
      <c r="AF974" s="160" t="s">
        <v>630</v>
      </c>
      <c r="AG974" s="770"/>
      <c r="AH974" s="770"/>
      <c r="AI974" s="203"/>
      <c r="AJ974" s="203"/>
      <c r="AK974" s="203"/>
      <c r="AL974" s="203"/>
      <c r="AM974" s="203"/>
      <c r="AN974" s="203"/>
      <c r="AO974" s="203"/>
      <c r="AP974" s="203"/>
      <c r="AQ974" s="203"/>
      <c r="AR974" s="203"/>
      <c r="AS974" s="203"/>
      <c r="AT974" s="203"/>
    </row>
    <row r="975">
      <c r="A975" s="76" t="s">
        <v>116</v>
      </c>
      <c r="B975" s="77" t="s">
        <v>1039</v>
      </c>
      <c r="C975" s="77" t="s">
        <v>1611</v>
      </c>
      <c r="D975" s="77" t="s">
        <v>1494</v>
      </c>
      <c r="E975" s="78" t="s">
        <v>536</v>
      </c>
      <c r="F975" s="80" t="s">
        <v>2458</v>
      </c>
      <c r="G975" s="77" t="s">
        <v>659</v>
      </c>
      <c r="H975" s="77" t="s">
        <v>60</v>
      </c>
      <c r="I975" s="87" t="s">
        <v>1221</v>
      </c>
      <c r="J975" s="85" t="s">
        <v>114</v>
      </c>
      <c r="K975" s="124" t="s">
        <v>11761</v>
      </c>
      <c r="L975" s="76"/>
      <c r="M975" s="85" t="s">
        <v>656</v>
      </c>
      <c r="N975" s="76" t="s">
        <v>657</v>
      </c>
      <c r="O975" s="76" t="s">
        <v>658</v>
      </c>
      <c r="P975" s="153">
        <v>30818.0</v>
      </c>
      <c r="Q975" s="315">
        <f t="shared" ref="Q975:Q982" si="108">VALUE(LEFT(TEXT(S975,0),5))+1</f>
        <v>30818</v>
      </c>
      <c r="R975" s="86">
        <f t="shared" ref="R975:R981" si="109">DATEDIF($P975,TODAY(),"Y")</f>
        <v>42</v>
      </c>
      <c r="S975" s="76">
        <v>3.081714477E9</v>
      </c>
      <c r="T975" s="86"/>
      <c r="U975" s="76" t="s">
        <v>219</v>
      </c>
      <c r="V975" s="76"/>
      <c r="W975" s="76"/>
      <c r="X975" s="97"/>
      <c r="Y975" s="167"/>
      <c r="Z975" s="176" t="s">
        <v>1460</v>
      </c>
      <c r="AA975" s="168"/>
      <c r="AB975" s="97"/>
      <c r="AC975" s="168"/>
      <c r="AD975" s="168"/>
      <c r="AE975" s="76"/>
      <c r="AF975" s="76"/>
      <c r="AG975" s="76" t="s">
        <v>1187</v>
      </c>
      <c r="AH975" s="153">
        <v>46101.0</v>
      </c>
      <c r="AI975" s="203"/>
      <c r="AJ975" s="203"/>
      <c r="AK975" s="203"/>
      <c r="AL975" s="203"/>
      <c r="AM975" s="203"/>
      <c r="AN975" s="203"/>
      <c r="AO975" s="203"/>
      <c r="AP975" s="203"/>
      <c r="AQ975" s="203"/>
      <c r="AR975" s="203"/>
      <c r="AS975" s="203"/>
      <c r="AT975" s="203"/>
    </row>
    <row r="976">
      <c r="A976" s="76" t="s">
        <v>116</v>
      </c>
      <c r="B976" s="77" t="s">
        <v>1039</v>
      </c>
      <c r="C976" s="77" t="s">
        <v>1611</v>
      </c>
      <c r="D976" s="77" t="s">
        <v>1494</v>
      </c>
      <c r="E976" s="78" t="s">
        <v>58</v>
      </c>
      <c r="F976" s="80" t="s">
        <v>1496</v>
      </c>
      <c r="G976" s="77" t="s">
        <v>2994</v>
      </c>
      <c r="H976" s="77" t="s">
        <v>60</v>
      </c>
      <c r="I976" s="87" t="s">
        <v>1221</v>
      </c>
      <c r="J976" s="76" t="s">
        <v>114</v>
      </c>
      <c r="K976" s="124" t="s">
        <v>11762</v>
      </c>
      <c r="L976" s="318"/>
      <c r="M976" s="85" t="s">
        <v>60</v>
      </c>
      <c r="N976" s="157" t="s">
        <v>10336</v>
      </c>
      <c r="O976" s="76" t="s">
        <v>10337</v>
      </c>
      <c r="P976" s="153">
        <v>26094.0</v>
      </c>
      <c r="Q976" s="315">
        <f t="shared" si="108"/>
        <v>26094</v>
      </c>
      <c r="R976" s="86">
        <f t="shared" si="109"/>
        <v>55</v>
      </c>
      <c r="S976" s="76">
        <v>2.609303318E9</v>
      </c>
      <c r="T976" s="315"/>
      <c r="U976" s="76" t="s">
        <v>219</v>
      </c>
      <c r="V976" s="76"/>
      <c r="W976" s="76"/>
      <c r="X976" s="76"/>
      <c r="Y976" s="276"/>
      <c r="Z976" s="216" t="s">
        <v>2521</v>
      </c>
      <c r="AA976" s="76"/>
      <c r="AB976" s="97"/>
      <c r="AC976" s="76"/>
      <c r="AD976" s="76"/>
      <c r="AE976" s="76"/>
      <c r="AF976" s="76" t="s">
        <v>3601</v>
      </c>
      <c r="AG976" s="27" t="s">
        <v>2194</v>
      </c>
      <c r="AH976" s="153">
        <v>46152.0</v>
      </c>
      <c r="AI976" s="203"/>
      <c r="AJ976" s="203"/>
      <c r="AK976" s="203"/>
      <c r="AL976" s="203"/>
      <c r="AM976" s="203"/>
      <c r="AN976" s="203"/>
      <c r="AO976" s="203"/>
      <c r="AP976" s="203"/>
      <c r="AQ976" s="203"/>
      <c r="AR976" s="203"/>
      <c r="AS976" s="203"/>
      <c r="AT976" s="203"/>
    </row>
    <row r="977">
      <c r="A977" s="76" t="s">
        <v>116</v>
      </c>
      <c r="B977" s="77" t="s">
        <v>3014</v>
      </c>
      <c r="C977" s="77" t="s">
        <v>121</v>
      </c>
      <c r="D977" s="77" t="s">
        <v>121</v>
      </c>
      <c r="E977" s="78" t="s">
        <v>8665</v>
      </c>
      <c r="F977" s="80" t="s">
        <v>8666</v>
      </c>
      <c r="G977" s="77" t="s">
        <v>8669</v>
      </c>
      <c r="H977" s="77" t="s">
        <v>504</v>
      </c>
      <c r="I977" s="146" t="s">
        <v>408</v>
      </c>
      <c r="J977" s="76" t="s">
        <v>114</v>
      </c>
      <c r="K977" s="109"/>
      <c r="L977" s="109"/>
      <c r="M977" s="109" t="s">
        <v>60</v>
      </c>
      <c r="N977" s="332" t="s">
        <v>3603</v>
      </c>
      <c r="O977" s="76" t="s">
        <v>11763</v>
      </c>
      <c r="P977" s="1125">
        <v>31000.0</v>
      </c>
      <c r="Q977" s="315">
        <f t="shared" si="108"/>
        <v>31000</v>
      </c>
      <c r="R977" s="86">
        <f t="shared" si="109"/>
        <v>41</v>
      </c>
      <c r="S977" s="315">
        <v>3.099904037E9</v>
      </c>
      <c r="T977" s="315"/>
      <c r="U977" s="76" t="s">
        <v>136</v>
      </c>
      <c r="V977" s="86"/>
      <c r="W977" s="76"/>
      <c r="X977" s="76"/>
      <c r="Y977" s="97"/>
      <c r="Z977" s="97"/>
      <c r="AA977" s="97"/>
      <c r="AB977" s="97"/>
      <c r="AC977" s="76"/>
      <c r="AD977" s="99"/>
      <c r="AE977" s="76"/>
      <c r="AF977" s="76" t="s">
        <v>155</v>
      </c>
      <c r="AG977" s="76" t="s">
        <v>375</v>
      </c>
      <c r="AH977" s="153">
        <v>46113.0</v>
      </c>
      <c r="AI977" s="203"/>
      <c r="AJ977" s="203"/>
      <c r="AK977" s="203"/>
      <c r="AL977" s="203"/>
      <c r="AM977" s="203"/>
      <c r="AN977" s="203"/>
      <c r="AO977" s="203"/>
      <c r="AP977" s="203"/>
      <c r="AQ977" s="203"/>
      <c r="AR977" s="203"/>
      <c r="AS977" s="203"/>
      <c r="AT977" s="203"/>
    </row>
    <row r="978">
      <c r="A978" s="76" t="s">
        <v>116</v>
      </c>
      <c r="B978" s="77" t="s">
        <v>3297</v>
      </c>
      <c r="C978" s="77" t="s">
        <v>8546</v>
      </c>
      <c r="D978" s="77" t="s">
        <v>121</v>
      </c>
      <c r="E978" s="78" t="s">
        <v>1536</v>
      </c>
      <c r="F978" s="80" t="s">
        <v>3299</v>
      </c>
      <c r="G978" s="77" t="s">
        <v>1948</v>
      </c>
      <c r="H978" s="77" t="s">
        <v>60</v>
      </c>
      <c r="I978" s="87" t="s">
        <v>1221</v>
      </c>
      <c r="J978" s="76" t="s">
        <v>114</v>
      </c>
      <c r="K978" s="76"/>
      <c r="L978" s="318"/>
      <c r="M978" s="85" t="s">
        <v>60</v>
      </c>
      <c r="N978" s="157" t="s">
        <v>8599</v>
      </c>
      <c r="O978" s="76" t="s">
        <v>11764</v>
      </c>
      <c r="P978" s="153">
        <v>33061.0</v>
      </c>
      <c r="Q978" s="315">
        <f t="shared" si="108"/>
        <v>33061</v>
      </c>
      <c r="R978" s="86">
        <f t="shared" si="109"/>
        <v>36</v>
      </c>
      <c r="S978" s="76">
        <v>3.306003973E9</v>
      </c>
      <c r="T978" s="76" t="s">
        <v>1317</v>
      </c>
      <c r="U978" s="76" t="s">
        <v>379</v>
      </c>
      <c r="V978" s="76"/>
      <c r="W978" s="76"/>
      <c r="X978" s="76"/>
      <c r="Y978" s="97"/>
      <c r="Z978" s="216" t="s">
        <v>1815</v>
      </c>
      <c r="AA978" s="76"/>
      <c r="AB978" s="97"/>
      <c r="AC978" s="310" t="s">
        <v>632</v>
      </c>
      <c r="AD978" s="76"/>
      <c r="AE978" s="76"/>
      <c r="AF978" s="76"/>
      <c r="AG978" s="189"/>
      <c r="AH978" s="85" t="s">
        <v>11765</v>
      </c>
      <c r="AI978" s="203"/>
      <c r="AJ978" s="203"/>
      <c r="AK978" s="203"/>
      <c r="AL978" s="203"/>
      <c r="AM978" s="203"/>
      <c r="AN978" s="203"/>
      <c r="AO978" s="203"/>
      <c r="AP978" s="203"/>
      <c r="AQ978" s="203"/>
      <c r="AR978" s="203"/>
      <c r="AS978" s="203"/>
      <c r="AT978" s="203"/>
    </row>
    <row r="979">
      <c r="A979" s="240">
        <v>425.0</v>
      </c>
      <c r="B979" s="77" t="s">
        <v>636</v>
      </c>
      <c r="C979" s="77"/>
      <c r="D979" s="77"/>
      <c r="E979" s="78" t="s">
        <v>11766</v>
      </c>
      <c r="F979" s="80"/>
      <c r="G979" s="77"/>
      <c r="H979" s="77"/>
      <c r="I979" s="146"/>
      <c r="J979" s="85" t="s">
        <v>114</v>
      </c>
      <c r="K979" s="85"/>
      <c r="L979" s="85"/>
      <c r="M979" s="85" t="s">
        <v>610</v>
      </c>
      <c r="N979" s="1109" t="s">
        <v>791</v>
      </c>
      <c r="O979" s="76" t="s">
        <v>792</v>
      </c>
      <c r="P979" s="153">
        <v>35405.0</v>
      </c>
      <c r="Q979" s="315">
        <f t="shared" si="108"/>
        <v>35405</v>
      </c>
      <c r="R979" s="86">
        <f t="shared" si="109"/>
        <v>29</v>
      </c>
      <c r="S979" s="76">
        <v>3.54041249E9</v>
      </c>
      <c r="T979" s="315" t="s">
        <v>1548</v>
      </c>
      <c r="U979" s="76" t="s">
        <v>379</v>
      </c>
      <c r="V979" s="76"/>
      <c r="W979" s="76"/>
      <c r="X979" s="76"/>
      <c r="Y979" s="97" t="s">
        <v>183</v>
      </c>
      <c r="Z979" s="278" t="s">
        <v>2090</v>
      </c>
      <c r="AA979" s="76" t="s">
        <v>1178</v>
      </c>
      <c r="AB979" s="97"/>
      <c r="AC979" s="97"/>
      <c r="AD979" s="99"/>
      <c r="AE979" s="76"/>
      <c r="AF979" s="76" t="s">
        <v>4767</v>
      </c>
      <c r="AG979" s="76"/>
      <c r="AH979" s="76" t="s">
        <v>11615</v>
      </c>
      <c r="AI979" s="67"/>
      <c r="AJ979" s="67"/>
      <c r="AK979" s="70"/>
      <c r="AL979" s="70"/>
      <c r="AM979" s="70"/>
      <c r="AN979" s="70"/>
      <c r="AO979" s="70"/>
      <c r="AP979" s="70"/>
      <c r="AQ979" s="67"/>
      <c r="AR979" s="67"/>
      <c r="AS979" s="67"/>
      <c r="AT979" s="67"/>
    </row>
    <row r="980">
      <c r="A980" s="240">
        <v>425.0</v>
      </c>
      <c r="B980" s="77" t="s">
        <v>636</v>
      </c>
      <c r="C980" s="77"/>
      <c r="D980" s="77"/>
      <c r="E980" s="78" t="s">
        <v>11767</v>
      </c>
      <c r="F980" s="80"/>
      <c r="G980" s="77"/>
      <c r="H980" s="77"/>
      <c r="I980" s="146"/>
      <c r="J980" s="85" t="s">
        <v>114</v>
      </c>
      <c r="K980" s="85"/>
      <c r="L980" s="85"/>
      <c r="M980" s="85" t="s">
        <v>102</v>
      </c>
      <c r="N980" s="97" t="s">
        <v>11768</v>
      </c>
      <c r="O980" s="76" t="s">
        <v>11769</v>
      </c>
      <c r="P980" s="153">
        <v>30168.0</v>
      </c>
      <c r="Q980" s="315">
        <f t="shared" si="108"/>
        <v>30168</v>
      </c>
      <c r="R980" s="86">
        <f t="shared" si="109"/>
        <v>44</v>
      </c>
      <c r="S980" s="76">
        <v>3.016712733E9</v>
      </c>
      <c r="T980" s="315"/>
      <c r="U980" s="76" t="s">
        <v>379</v>
      </c>
      <c r="V980" s="76"/>
      <c r="W980" s="76"/>
      <c r="X980" s="76"/>
      <c r="Y980" s="97"/>
      <c r="Z980" s="76"/>
      <c r="AA980" s="76"/>
      <c r="AB980" s="97"/>
      <c r="AC980" s="97"/>
      <c r="AD980" s="99"/>
      <c r="AE980" s="76"/>
      <c r="AF980" s="76"/>
      <c r="AG980" s="76"/>
      <c r="AH980" s="76"/>
      <c r="AI980" s="67"/>
      <c r="AJ980" s="67"/>
      <c r="AK980" s="70"/>
      <c r="AL980" s="70"/>
      <c r="AM980" s="70"/>
      <c r="AN980" s="70"/>
      <c r="AO980" s="70"/>
      <c r="AP980" s="70"/>
      <c r="AQ980" s="67"/>
      <c r="AR980" s="67"/>
      <c r="AS980" s="67"/>
      <c r="AT980" s="67"/>
    </row>
    <row r="981">
      <c r="A981" s="76">
        <v>425.0</v>
      </c>
      <c r="B981" s="302" t="s">
        <v>4145</v>
      </c>
      <c r="C981" s="86" t="s">
        <v>1728</v>
      </c>
      <c r="D981" s="549" t="s">
        <v>121</v>
      </c>
      <c r="E981" s="749" t="s">
        <v>1345</v>
      </c>
      <c r="F981" s="747" t="s">
        <v>3239</v>
      </c>
      <c r="G981" s="97" t="s">
        <v>504</v>
      </c>
      <c r="H981" s="817" t="s">
        <v>3336</v>
      </c>
      <c r="I981" s="97" t="s">
        <v>1443</v>
      </c>
      <c r="J981" s="109" t="s">
        <v>114</v>
      </c>
      <c r="K981" s="118" t="s">
        <v>11770</v>
      </c>
      <c r="L981" s="109"/>
      <c r="M981" s="109" t="s">
        <v>60</v>
      </c>
      <c r="N981" s="97" t="s">
        <v>1028</v>
      </c>
      <c r="O981" s="109" t="s">
        <v>2717</v>
      </c>
      <c r="P981" s="856">
        <v>31004.0</v>
      </c>
      <c r="Q981" s="315">
        <f t="shared" si="108"/>
        <v>31004</v>
      </c>
      <c r="R981" s="86">
        <f t="shared" si="109"/>
        <v>41</v>
      </c>
      <c r="S981" s="315">
        <v>3.100300359E9</v>
      </c>
      <c r="T981" s="315"/>
      <c r="U981" s="124" t="s">
        <v>379</v>
      </c>
      <c r="V981" s="76"/>
      <c r="W981" s="97"/>
      <c r="X981" s="97"/>
      <c r="Y981" s="97"/>
      <c r="Z981" s="97"/>
      <c r="AA981" s="97"/>
      <c r="AB981" s="97"/>
      <c r="AC981" s="76" t="s">
        <v>632</v>
      </c>
      <c r="AD981" s="99"/>
      <c r="AE981" s="76" t="s">
        <v>861</v>
      </c>
      <c r="AF981" s="315"/>
      <c r="AG981" s="112"/>
      <c r="AH981" s="76" t="s">
        <v>1153</v>
      </c>
      <c r="AI981" s="67"/>
      <c r="AJ981" s="67"/>
      <c r="AK981" s="70"/>
      <c r="AL981" s="70"/>
      <c r="AM981" s="70"/>
      <c r="AN981" s="70"/>
      <c r="AO981" s="70"/>
      <c r="AP981" s="70"/>
      <c r="AQ981" s="67"/>
      <c r="AR981" s="67"/>
      <c r="AS981" s="67"/>
      <c r="AT981" s="67"/>
    </row>
    <row r="982">
      <c r="A982" s="76">
        <v>425.0</v>
      </c>
      <c r="B982" s="302" t="s">
        <v>4145</v>
      </c>
      <c r="C982" s="77" t="s">
        <v>1269</v>
      </c>
      <c r="D982" s="77" t="s">
        <v>1519</v>
      </c>
      <c r="E982" s="78" t="s">
        <v>139</v>
      </c>
      <c r="F982" s="80" t="s">
        <v>1520</v>
      </c>
      <c r="G982" s="77" t="s">
        <v>5766</v>
      </c>
      <c r="H982" s="77" t="s">
        <v>60</v>
      </c>
      <c r="I982" s="87" t="s">
        <v>1221</v>
      </c>
      <c r="J982" s="97"/>
      <c r="K982" s="109"/>
      <c r="L982" s="109"/>
      <c r="M982" s="109" t="s">
        <v>60</v>
      </c>
      <c r="N982" s="97" t="s">
        <v>1326</v>
      </c>
      <c r="O982" s="109" t="s">
        <v>11771</v>
      </c>
      <c r="P982" s="1127"/>
      <c r="Q982" s="315" t="str">
        <f t="shared" si="108"/>
        <v>#VALUE!</v>
      </c>
      <c r="R982" s="97"/>
      <c r="S982" s="76" t="s">
        <v>3642</v>
      </c>
      <c r="T982" s="315"/>
      <c r="U982" s="224" t="s">
        <v>379</v>
      </c>
      <c r="V982" s="97"/>
      <c r="W982" s="97"/>
      <c r="X982" s="97"/>
      <c r="Y982" s="97"/>
      <c r="Z982" s="97"/>
      <c r="AA982" s="97"/>
      <c r="AB982" s="97"/>
      <c r="AC982" s="76" t="s">
        <v>5318</v>
      </c>
      <c r="AD982" s="99"/>
      <c r="AE982" s="76"/>
      <c r="AF982" s="109" t="s">
        <v>155</v>
      </c>
      <c r="AG982" s="76" t="s">
        <v>661</v>
      </c>
      <c r="AH982" s="85" t="s">
        <v>11772</v>
      </c>
      <c r="AI982" s="67"/>
      <c r="AJ982" s="67"/>
      <c r="AK982" s="70"/>
      <c r="AL982" s="70"/>
      <c r="AM982" s="135"/>
      <c r="AN982" s="135"/>
      <c r="AO982" s="70"/>
      <c r="AP982" s="70"/>
      <c r="AQ982" s="67"/>
      <c r="AR982" s="67"/>
      <c r="AS982" s="67"/>
      <c r="AT982" s="67"/>
    </row>
    <row r="983">
      <c r="A983" s="76" t="s">
        <v>116</v>
      </c>
      <c r="B983" s="77" t="s">
        <v>3423</v>
      </c>
      <c r="C983" s="77" t="s">
        <v>9696</v>
      </c>
      <c r="D983" s="77" t="s">
        <v>121</v>
      </c>
      <c r="E983" s="78" t="s">
        <v>178</v>
      </c>
      <c r="F983" s="80" t="s">
        <v>6599</v>
      </c>
      <c r="G983" s="77" t="s">
        <v>2035</v>
      </c>
      <c r="H983" s="77" t="s">
        <v>102</v>
      </c>
      <c r="I983" s="146" t="s">
        <v>408</v>
      </c>
      <c r="J983" s="76" t="s">
        <v>114</v>
      </c>
      <c r="K983" s="87"/>
      <c r="L983" s="85"/>
      <c r="M983" s="85" t="s">
        <v>60</v>
      </c>
      <c r="N983" s="76" t="s">
        <v>2032</v>
      </c>
      <c r="O983" s="27" t="s">
        <v>2033</v>
      </c>
      <c r="P983" s="750"/>
      <c r="Q983" s="97"/>
      <c r="R983" s="97">
        <f t="shared" ref="R983:R993" si="110">DATEDIF($P983,TODAY(),"Y")</f>
        <v>126</v>
      </c>
      <c r="S983" s="315"/>
      <c r="T983" s="315" t="s">
        <v>1548</v>
      </c>
      <c r="U983" s="124" t="s">
        <v>379</v>
      </c>
      <c r="V983" s="76"/>
      <c r="W983" s="97"/>
      <c r="X983" s="97"/>
      <c r="Y983" s="97"/>
      <c r="Z983" s="176" t="s">
        <v>1460</v>
      </c>
      <c r="AA983" s="76" t="s">
        <v>1178</v>
      </c>
      <c r="AB983" s="97"/>
      <c r="AC983" s="76" t="s">
        <v>11773</v>
      </c>
      <c r="AD983" s="99"/>
      <c r="AE983" s="76"/>
      <c r="AF983" s="76" t="s">
        <v>3378</v>
      </c>
      <c r="AG983" s="76"/>
      <c r="AH983" s="153"/>
      <c r="AI983" s="203"/>
      <c r="AJ983" s="203"/>
      <c r="AK983" s="203"/>
      <c r="AL983" s="203"/>
      <c r="AM983" s="203"/>
      <c r="AN983" s="203"/>
      <c r="AO983" s="203"/>
      <c r="AP983" s="203"/>
      <c r="AQ983" s="203"/>
      <c r="AR983" s="203"/>
      <c r="AS983" s="203"/>
      <c r="AT983" s="203"/>
    </row>
    <row r="984">
      <c r="A984" s="86"/>
      <c r="B984" s="302" t="s">
        <v>145</v>
      </c>
      <c r="C984" s="302"/>
      <c r="D984" s="76"/>
      <c r="E984" s="574">
        <v>46105.0</v>
      </c>
      <c r="F984" s="762"/>
      <c r="G984" s="762"/>
      <c r="H984" s="762"/>
      <c r="I984" s="762"/>
      <c r="J984" s="85" t="s">
        <v>114</v>
      </c>
      <c r="K984" s="1128"/>
      <c r="L984" s="318"/>
      <c r="M984" s="85" t="s">
        <v>60</v>
      </c>
      <c r="N984" s="286" t="s">
        <v>11774</v>
      </c>
      <c r="O984" s="76" t="s">
        <v>11775</v>
      </c>
      <c r="P984" s="153">
        <v>35984.0</v>
      </c>
      <c r="Q984" s="315">
        <f t="shared" ref="Q984:Q993" si="111">VALUE(LEFT(TEXT(S984,0),5))+1</f>
        <v>35984</v>
      </c>
      <c r="R984" s="86">
        <f t="shared" si="110"/>
        <v>28</v>
      </c>
      <c r="S984" s="76">
        <v>3.598306752E9</v>
      </c>
      <c r="T984" s="315"/>
      <c r="U984" s="310" t="s">
        <v>136</v>
      </c>
      <c r="V984" s="76"/>
      <c r="W984" s="76"/>
      <c r="X984" s="310" t="s">
        <v>182</v>
      </c>
      <c r="Y984" s="97"/>
      <c r="Z984" s="501" t="s">
        <v>418</v>
      </c>
      <c r="AA984" s="76" t="s">
        <v>114</v>
      </c>
      <c r="AB984" s="97"/>
      <c r="AC984" s="76"/>
      <c r="AD984" s="76"/>
      <c r="AE984" s="310" t="s">
        <v>154</v>
      </c>
      <c r="AF984" s="153">
        <v>46117.0</v>
      </c>
      <c r="AG984" s="153">
        <v>46156.0</v>
      </c>
      <c r="AH984" s="1099" t="s">
        <v>11776</v>
      </c>
      <c r="AI984" s="203"/>
      <c r="AJ984" s="203"/>
      <c r="AK984" s="203"/>
      <c r="AL984" s="203"/>
      <c r="AM984" s="203"/>
      <c r="AN984" s="203"/>
      <c r="AO984" s="203"/>
      <c r="AP984" s="203"/>
      <c r="AQ984" s="203"/>
      <c r="AR984" s="203"/>
      <c r="AS984" s="203"/>
      <c r="AT984" s="203"/>
    </row>
    <row r="985">
      <c r="A985" s="86"/>
      <c r="B985" s="302" t="s">
        <v>145</v>
      </c>
      <c r="C985" s="302"/>
      <c r="D985" s="76"/>
      <c r="E985" s="574">
        <v>46129.0</v>
      </c>
      <c r="F985" s="762"/>
      <c r="G985" s="762"/>
      <c r="H985" s="762"/>
      <c r="I985" s="762"/>
      <c r="J985" s="76" t="s">
        <v>114</v>
      </c>
      <c r="K985" s="124" t="s">
        <v>11777</v>
      </c>
      <c r="L985" s="318"/>
      <c r="M985" s="85" t="s">
        <v>60</v>
      </c>
      <c r="N985" s="286" t="s">
        <v>10576</v>
      </c>
      <c r="O985" s="76" t="s">
        <v>10577</v>
      </c>
      <c r="P985" s="153">
        <v>35985.0</v>
      </c>
      <c r="Q985" s="315">
        <f t="shared" si="111"/>
        <v>35985</v>
      </c>
      <c r="R985" s="86">
        <f t="shared" si="110"/>
        <v>28</v>
      </c>
      <c r="S985" s="76">
        <v>3.598406978E9</v>
      </c>
      <c r="T985" s="315"/>
      <c r="U985" s="76" t="s">
        <v>136</v>
      </c>
      <c r="V985" s="76"/>
      <c r="W985" s="76"/>
      <c r="X985" s="76" t="s">
        <v>145</v>
      </c>
      <c r="Y985" s="97"/>
      <c r="Z985" s="216" t="s">
        <v>1815</v>
      </c>
      <c r="AA985" s="76" t="s">
        <v>185</v>
      </c>
      <c r="AB985" s="97"/>
      <c r="AC985" s="76" t="s">
        <v>1032</v>
      </c>
      <c r="AD985" s="76"/>
      <c r="AE985" s="76" t="s">
        <v>1136</v>
      </c>
      <c r="AF985" s="291" t="s">
        <v>11778</v>
      </c>
      <c r="AG985" s="76" t="s">
        <v>1187</v>
      </c>
      <c r="AH985" s="76" t="s">
        <v>11779</v>
      </c>
      <c r="AI985" s="763"/>
      <c r="AJ985" s="763"/>
      <c r="AK985" s="763"/>
      <c r="AL985" s="763"/>
      <c r="AM985" s="763"/>
      <c r="AN985" s="763"/>
      <c r="AO985" s="763"/>
      <c r="AP985" s="763"/>
      <c r="AQ985" s="763"/>
      <c r="AR985" s="763"/>
      <c r="AS985" s="763"/>
      <c r="AT985" s="763"/>
    </row>
    <row r="986">
      <c r="A986" s="86"/>
      <c r="B986" s="302" t="s">
        <v>145</v>
      </c>
      <c r="C986" s="302"/>
      <c r="D986" s="76"/>
      <c r="E986" s="574">
        <v>46114.0</v>
      </c>
      <c r="F986" s="762"/>
      <c r="G986" s="762"/>
      <c r="H986" s="762"/>
      <c r="I986" s="762"/>
      <c r="J986" s="76" t="s">
        <v>114</v>
      </c>
      <c r="K986" s="76"/>
      <c r="L986" s="318"/>
      <c r="M986" s="85" t="s">
        <v>60</v>
      </c>
      <c r="N986" s="286" t="s">
        <v>11780</v>
      </c>
      <c r="O986" s="295" t="s">
        <v>11781</v>
      </c>
      <c r="P986" s="153">
        <v>32768.0</v>
      </c>
      <c r="Q986" s="315">
        <f t="shared" si="111"/>
        <v>32768</v>
      </c>
      <c r="R986" s="86">
        <f t="shared" si="110"/>
        <v>36</v>
      </c>
      <c r="S986" s="76">
        <v>3.276702817E9</v>
      </c>
      <c r="T986" s="315"/>
      <c r="U986" s="76" t="s">
        <v>136</v>
      </c>
      <c r="V986" s="76"/>
      <c r="W986" s="76"/>
      <c r="X986" s="76" t="s">
        <v>145</v>
      </c>
      <c r="Y986" s="97"/>
      <c r="Z986" s="216" t="s">
        <v>1815</v>
      </c>
      <c r="AA986" s="76"/>
      <c r="AB986" s="76" t="s">
        <v>269</v>
      </c>
      <c r="AC986" s="76"/>
      <c r="AD986" s="76"/>
      <c r="AE986" s="76"/>
      <c r="AF986" s="76"/>
      <c r="AG986" s="76" t="s">
        <v>11782</v>
      </c>
      <c r="AH986" s="153">
        <v>46182.0</v>
      </c>
      <c r="AI986" s="763"/>
      <c r="AJ986" s="763"/>
      <c r="AK986" s="763"/>
      <c r="AL986" s="763"/>
      <c r="AM986" s="763"/>
      <c r="AN986" s="763"/>
      <c r="AO986" s="763"/>
      <c r="AP986" s="763"/>
      <c r="AQ986" s="763"/>
      <c r="AR986" s="763"/>
      <c r="AS986" s="763"/>
      <c r="AT986" s="763"/>
    </row>
    <row r="987">
      <c r="A987" s="76" t="s">
        <v>116</v>
      </c>
      <c r="B987" s="77" t="s">
        <v>1039</v>
      </c>
      <c r="C987" s="77" t="s">
        <v>1517</v>
      </c>
      <c r="D987" s="77" t="s">
        <v>1519</v>
      </c>
      <c r="E987" s="78" t="s">
        <v>187</v>
      </c>
      <c r="F987" s="80" t="s">
        <v>1469</v>
      </c>
      <c r="G987" s="77" t="s">
        <v>2525</v>
      </c>
      <c r="H987" s="77" t="s">
        <v>60</v>
      </c>
      <c r="I987" s="87" t="s">
        <v>1221</v>
      </c>
      <c r="J987" s="85" t="s">
        <v>114</v>
      </c>
      <c r="K987" s="176" t="s">
        <v>11783</v>
      </c>
      <c r="L987" s="85"/>
      <c r="M987" s="85" t="s">
        <v>656</v>
      </c>
      <c r="N987" s="1060" t="s">
        <v>9398</v>
      </c>
      <c r="O987" s="76" t="s">
        <v>9399</v>
      </c>
      <c r="P987" s="523">
        <v>28995.0</v>
      </c>
      <c r="Q987" s="315">
        <f t="shared" si="111"/>
        <v>1</v>
      </c>
      <c r="R987" s="97">
        <f t="shared" si="110"/>
        <v>47</v>
      </c>
      <c r="S987" s="315"/>
      <c r="T987" s="315"/>
      <c r="U987" s="291" t="s">
        <v>136</v>
      </c>
      <c r="V987" s="76"/>
      <c r="W987" s="76"/>
      <c r="X987" s="76"/>
      <c r="Y987" s="97" t="s">
        <v>1174</v>
      </c>
      <c r="Z987" s="278" t="s">
        <v>2090</v>
      </c>
      <c r="AA987" s="76"/>
      <c r="AB987" s="76"/>
      <c r="AC987" s="76"/>
      <c r="AD987" s="99"/>
      <c r="AE987" s="76"/>
      <c r="AF987" s="76" t="s">
        <v>8926</v>
      </c>
      <c r="AG987" s="76" t="s">
        <v>1187</v>
      </c>
      <c r="AH987" s="153">
        <v>46130.0</v>
      </c>
      <c r="AI987" s="203"/>
      <c r="AJ987" s="203"/>
      <c r="AK987" s="203"/>
      <c r="AL987" s="203"/>
      <c r="AM987" s="203"/>
      <c r="AN987" s="203"/>
      <c r="AO987" s="203"/>
      <c r="AP987" s="203"/>
      <c r="AQ987" s="203"/>
      <c r="AR987" s="203"/>
      <c r="AS987" s="203"/>
      <c r="AT987" s="203"/>
    </row>
    <row r="988">
      <c r="A988" s="76" t="s">
        <v>116</v>
      </c>
      <c r="B988" s="77" t="s">
        <v>1039</v>
      </c>
      <c r="C988" s="77" t="s">
        <v>1611</v>
      </c>
      <c r="D988" s="77" t="s">
        <v>1519</v>
      </c>
      <c r="E988" s="78" t="s">
        <v>201</v>
      </c>
      <c r="F988" s="80" t="s">
        <v>1849</v>
      </c>
      <c r="G988" s="77" t="s">
        <v>696</v>
      </c>
      <c r="H988" s="77" t="s">
        <v>60</v>
      </c>
      <c r="I988" s="87" t="s">
        <v>1221</v>
      </c>
      <c r="J988" s="76" t="s">
        <v>114</v>
      </c>
      <c r="K988" s="85"/>
      <c r="L988" s="76"/>
      <c r="M988" s="85" t="s">
        <v>60</v>
      </c>
      <c r="N988" s="515" t="s">
        <v>693</v>
      </c>
      <c r="O988" s="291" t="s">
        <v>694</v>
      </c>
      <c r="P988" s="523">
        <v>28233.0</v>
      </c>
      <c r="Q988" s="315">
        <f t="shared" si="111"/>
        <v>28233</v>
      </c>
      <c r="R988" s="97">
        <f t="shared" si="110"/>
        <v>49</v>
      </c>
      <c r="S988" s="76">
        <v>2.823222471E9</v>
      </c>
      <c r="T988" s="315"/>
      <c r="U988" s="291" t="s">
        <v>136</v>
      </c>
      <c r="V988" s="76"/>
      <c r="W988" s="76"/>
      <c r="X988" s="97"/>
      <c r="Y988" s="76" t="s">
        <v>8348</v>
      </c>
      <c r="Z988" s="278" t="s">
        <v>2155</v>
      </c>
      <c r="AA988" s="97"/>
      <c r="AB988" s="76"/>
      <c r="AC988" s="76"/>
      <c r="AD988" s="76"/>
      <c r="AE988" s="76"/>
      <c r="AF988" s="76" t="s">
        <v>11784</v>
      </c>
      <c r="AG988" s="76" t="s">
        <v>1187</v>
      </c>
      <c r="AH988" s="153">
        <v>46136.0</v>
      </c>
      <c r="AI988" s="203"/>
      <c r="AJ988" s="203"/>
      <c r="AK988" s="203"/>
      <c r="AL988" s="203"/>
      <c r="AM988" s="203"/>
      <c r="AN988" s="203"/>
      <c r="AO988" s="203"/>
      <c r="AP988" s="203"/>
      <c r="AQ988" s="203"/>
      <c r="AR988" s="203"/>
      <c r="AS988" s="203"/>
      <c r="AT988" s="203"/>
    </row>
    <row r="989">
      <c r="A989" s="76" t="s">
        <v>116</v>
      </c>
      <c r="B989" s="77" t="s">
        <v>1039</v>
      </c>
      <c r="C989" s="77" t="s">
        <v>1728</v>
      </c>
      <c r="D989" s="77" t="s">
        <v>121</v>
      </c>
      <c r="E989" s="78" t="s">
        <v>331</v>
      </c>
      <c r="F989" s="80" t="s">
        <v>1731</v>
      </c>
      <c r="G989" s="77" t="s">
        <v>767</v>
      </c>
      <c r="H989" s="77" t="s">
        <v>60</v>
      </c>
      <c r="I989" s="87" t="s">
        <v>1221</v>
      </c>
      <c r="J989" s="85" t="s">
        <v>114</v>
      </c>
      <c r="K989" s="124" t="s">
        <v>11785</v>
      </c>
      <c r="L989" s="76"/>
      <c r="M989" s="85" t="s">
        <v>60</v>
      </c>
      <c r="N989" s="256" t="s">
        <v>772</v>
      </c>
      <c r="O989" s="76" t="s">
        <v>773</v>
      </c>
      <c r="P989" s="523">
        <v>30750.0</v>
      </c>
      <c r="Q989" s="315">
        <f t="shared" si="111"/>
        <v>30750</v>
      </c>
      <c r="R989" s="86">
        <f t="shared" si="110"/>
        <v>42</v>
      </c>
      <c r="S989" s="76">
        <v>3.074900716E9</v>
      </c>
      <c r="T989" s="86"/>
      <c r="U989" s="76" t="s">
        <v>368</v>
      </c>
      <c r="V989" s="76"/>
      <c r="W989" s="76"/>
      <c r="X989" s="76"/>
      <c r="Y989" s="167"/>
      <c r="Z989" s="278" t="s">
        <v>1613</v>
      </c>
      <c r="AA989" s="168"/>
      <c r="AB989" s="97"/>
      <c r="AC989" s="168"/>
      <c r="AD989" s="168"/>
      <c r="AE989" s="76"/>
      <c r="AF989" s="167"/>
      <c r="AG989" s="76" t="s">
        <v>1187</v>
      </c>
      <c r="AH989" s="153">
        <v>46161.0</v>
      </c>
      <c r="AI989" s="203"/>
      <c r="AJ989" s="203"/>
      <c r="AK989" s="203"/>
      <c r="AL989" s="203"/>
      <c r="AM989" s="203"/>
      <c r="AN989" s="203"/>
      <c r="AO989" s="203"/>
      <c r="AP989" s="203"/>
      <c r="AQ989" s="203"/>
      <c r="AR989" s="203"/>
      <c r="AS989" s="203"/>
      <c r="AT989" s="203"/>
    </row>
    <row r="990">
      <c r="A990" s="76" t="s">
        <v>116</v>
      </c>
      <c r="B990" s="77" t="s">
        <v>1645</v>
      </c>
      <c r="C990" s="77" t="s">
        <v>1269</v>
      </c>
      <c r="D990" s="77" t="s">
        <v>1368</v>
      </c>
      <c r="E990" s="78" t="s">
        <v>187</v>
      </c>
      <c r="F990" s="80" t="s">
        <v>1469</v>
      </c>
      <c r="G990" s="77" t="s">
        <v>811</v>
      </c>
      <c r="H990" s="77" t="s">
        <v>60</v>
      </c>
      <c r="I990" s="87" t="s">
        <v>1221</v>
      </c>
      <c r="J990" s="76" t="s">
        <v>114</v>
      </c>
      <c r="K990" s="97"/>
      <c r="L990" s="85"/>
      <c r="M990" s="76" t="s">
        <v>60</v>
      </c>
      <c r="N990" s="785" t="s">
        <v>807</v>
      </c>
      <c r="O990" s="76" t="s">
        <v>809</v>
      </c>
      <c r="P990" s="523">
        <v>34830.0</v>
      </c>
      <c r="Q990" s="315">
        <f t="shared" si="111"/>
        <v>34830</v>
      </c>
      <c r="R990" s="86">
        <f t="shared" si="110"/>
        <v>31</v>
      </c>
      <c r="S990" s="76">
        <v>3.482901876E9</v>
      </c>
      <c r="T990" s="315"/>
      <c r="U990" s="76" t="s">
        <v>368</v>
      </c>
      <c r="V990" s="76"/>
      <c r="W990" s="76"/>
      <c r="X990" s="76"/>
      <c r="Y990" s="97" t="s">
        <v>183</v>
      </c>
      <c r="Z990" s="728" t="s">
        <v>2482</v>
      </c>
      <c r="AA990" s="76" t="s">
        <v>1178</v>
      </c>
      <c r="AB990" s="97"/>
      <c r="AC990" s="97"/>
      <c r="AD990" s="99"/>
      <c r="AE990" s="76"/>
      <c r="AF990" s="76"/>
      <c r="AG990" s="76" t="s">
        <v>375</v>
      </c>
      <c r="AH990" s="153">
        <v>46164.0</v>
      </c>
      <c r="AI990" s="203"/>
      <c r="AJ990" s="203"/>
      <c r="AK990" s="203"/>
      <c r="AL990" s="203"/>
      <c r="AM990" s="203"/>
      <c r="AN990" s="203"/>
      <c r="AO990" s="203"/>
      <c r="AP990" s="203"/>
      <c r="AQ990" s="203"/>
      <c r="AR990" s="203"/>
      <c r="AS990" s="203"/>
      <c r="AT990" s="203"/>
    </row>
    <row r="991">
      <c r="A991" s="76" t="s">
        <v>116</v>
      </c>
      <c r="B991" s="77" t="s">
        <v>1645</v>
      </c>
      <c r="C991" s="77" t="s">
        <v>1517</v>
      </c>
      <c r="D991" s="77" t="s">
        <v>1494</v>
      </c>
      <c r="E991" s="78" t="s">
        <v>321</v>
      </c>
      <c r="F991" s="80" t="s">
        <v>1552</v>
      </c>
      <c r="G991" s="77" t="s">
        <v>931</v>
      </c>
      <c r="H991" s="77" t="s">
        <v>60</v>
      </c>
      <c r="I991" s="87" t="s">
        <v>1221</v>
      </c>
      <c r="J991" s="85" t="s">
        <v>114</v>
      </c>
      <c r="K991" s="124" t="s">
        <v>11786</v>
      </c>
      <c r="L991" s="76"/>
      <c r="M991" s="85" t="s">
        <v>60</v>
      </c>
      <c r="N991" s="256" t="s">
        <v>929</v>
      </c>
      <c r="O991" s="76" t="s">
        <v>930</v>
      </c>
      <c r="P991" s="523">
        <v>29794.0</v>
      </c>
      <c r="Q991" s="315">
        <f t="shared" si="111"/>
        <v>29794</v>
      </c>
      <c r="R991" s="86">
        <f t="shared" si="110"/>
        <v>45</v>
      </c>
      <c r="S991" s="76">
        <v>2.979323258E9</v>
      </c>
      <c r="T991" s="86"/>
      <c r="U991" s="76" t="s">
        <v>368</v>
      </c>
      <c r="V991" s="76"/>
      <c r="W991" s="76"/>
      <c r="X991" s="76"/>
      <c r="Y991" s="167"/>
      <c r="Z991" s="176" t="s">
        <v>1460</v>
      </c>
      <c r="AA991" s="168"/>
      <c r="AB991" s="97"/>
      <c r="AC991" s="168"/>
      <c r="AD991" s="168"/>
      <c r="AE991" s="76"/>
      <c r="AF991" s="76"/>
      <c r="AG991" s="76" t="s">
        <v>1187</v>
      </c>
      <c r="AH991" s="153">
        <v>46164.0</v>
      </c>
      <c r="AI991" s="203"/>
      <c r="AJ991" s="203"/>
      <c r="AK991" s="203"/>
      <c r="AL991" s="203"/>
      <c r="AM991" s="203"/>
      <c r="AN991" s="203"/>
      <c r="AO991" s="203"/>
      <c r="AP991" s="203"/>
      <c r="AQ991" s="203"/>
      <c r="AR991" s="203"/>
      <c r="AS991" s="203"/>
      <c r="AT991" s="203"/>
    </row>
    <row r="992">
      <c r="A992" s="76" t="s">
        <v>116</v>
      </c>
      <c r="B992" s="77" t="s">
        <v>1645</v>
      </c>
      <c r="C992" s="77" t="s">
        <v>1728</v>
      </c>
      <c r="D992" s="77" t="s">
        <v>121</v>
      </c>
      <c r="E992" s="78" t="s">
        <v>331</v>
      </c>
      <c r="F992" s="80" t="s">
        <v>1731</v>
      </c>
      <c r="G992" s="77" t="s">
        <v>1084</v>
      </c>
      <c r="H992" s="77" t="s">
        <v>60</v>
      </c>
      <c r="I992" s="87" t="s">
        <v>1221</v>
      </c>
      <c r="J992" s="76" t="s">
        <v>114</v>
      </c>
      <c r="K992" s="97"/>
      <c r="L992" s="109"/>
      <c r="M992" s="85" t="s">
        <v>60</v>
      </c>
      <c r="N992" s="785" t="s">
        <v>7773</v>
      </c>
      <c r="O992" s="85" t="s">
        <v>1261</v>
      </c>
      <c r="P992" s="523">
        <v>26935.0</v>
      </c>
      <c r="Q992" s="315">
        <f t="shared" si="111"/>
        <v>26935</v>
      </c>
      <c r="R992" s="86">
        <f t="shared" si="110"/>
        <v>52</v>
      </c>
      <c r="S992" s="315">
        <v>2.693412234E9</v>
      </c>
      <c r="T992" s="315"/>
      <c r="U992" s="76" t="s">
        <v>368</v>
      </c>
      <c r="V992" s="86"/>
      <c r="W992" s="76"/>
      <c r="X992" s="76"/>
      <c r="Y992" s="97" t="s">
        <v>183</v>
      </c>
      <c r="Z992" s="289" t="s">
        <v>1725</v>
      </c>
      <c r="AA992" s="76" t="s">
        <v>1178</v>
      </c>
      <c r="AB992" s="97"/>
      <c r="AC992" s="97"/>
      <c r="AD992" s="99"/>
      <c r="AE992" s="76"/>
      <c r="AF992" s="97"/>
      <c r="AG992" s="76" t="s">
        <v>375</v>
      </c>
      <c r="AH992" s="330">
        <v>46162.0</v>
      </c>
      <c r="AI992" s="203"/>
      <c r="AJ992" s="203"/>
      <c r="AK992" s="203"/>
      <c r="AL992" s="203"/>
      <c r="AM992" s="203"/>
      <c r="AN992" s="203"/>
      <c r="AO992" s="203"/>
      <c r="AP992" s="203"/>
      <c r="AQ992" s="203"/>
      <c r="AR992" s="203"/>
      <c r="AS992" s="203"/>
      <c r="AT992" s="203"/>
    </row>
    <row r="993">
      <c r="A993" s="76" t="s">
        <v>116</v>
      </c>
      <c r="B993" s="77" t="s">
        <v>1709</v>
      </c>
      <c r="C993" s="77" t="s">
        <v>1517</v>
      </c>
      <c r="D993" s="77" t="s">
        <v>1494</v>
      </c>
      <c r="E993" s="78" t="s">
        <v>302</v>
      </c>
      <c r="F993" s="80" t="s">
        <v>1404</v>
      </c>
      <c r="G993" s="77" t="s">
        <v>6019</v>
      </c>
      <c r="H993" s="77" t="s">
        <v>326</v>
      </c>
      <c r="I993" s="87" t="s">
        <v>1221</v>
      </c>
      <c r="J993" s="86" t="s">
        <v>114</v>
      </c>
      <c r="K993" s="176" t="s">
        <v>11787</v>
      </c>
      <c r="L993" s="87"/>
      <c r="M993" s="87" t="s">
        <v>60</v>
      </c>
      <c r="N993" s="332" t="s">
        <v>11788</v>
      </c>
      <c r="O993" s="87" t="s">
        <v>11789</v>
      </c>
      <c r="P993" s="523">
        <v>28115.0</v>
      </c>
      <c r="Q993" s="315">
        <f t="shared" si="111"/>
        <v>28115</v>
      </c>
      <c r="R993" s="86">
        <f t="shared" si="110"/>
        <v>49</v>
      </c>
      <c r="S993" s="76">
        <v>2.811414374E9</v>
      </c>
      <c r="T993" s="315"/>
      <c r="U993" s="76" t="s">
        <v>136</v>
      </c>
      <c r="V993" s="86"/>
      <c r="W993" s="76"/>
      <c r="X993" s="76" t="s">
        <v>186</v>
      </c>
      <c r="Y993" s="97" t="s">
        <v>183</v>
      </c>
      <c r="Z993" s="85" t="s">
        <v>2482</v>
      </c>
      <c r="AA993" s="97"/>
      <c r="AB993" s="97"/>
      <c r="AC993" s="76" t="s">
        <v>3127</v>
      </c>
      <c r="AD993" s="99"/>
      <c r="AE993" s="76"/>
      <c r="AF993" s="76" t="s">
        <v>4767</v>
      </c>
      <c r="AG993" s="187"/>
      <c r="AH993" s="447" t="s">
        <v>11790</v>
      </c>
      <c r="AI993" s="203"/>
      <c r="AJ993" s="203"/>
      <c r="AK993" s="203"/>
      <c r="AL993" s="203"/>
      <c r="AM993" s="203"/>
      <c r="AN993" s="203"/>
      <c r="AO993" s="203"/>
      <c r="AP993" s="203"/>
      <c r="AQ993" s="203"/>
      <c r="AR993" s="203"/>
      <c r="AS993" s="203"/>
      <c r="AT993" s="203"/>
    </row>
    <row r="994">
      <c r="A994" s="76" t="s">
        <v>116</v>
      </c>
      <c r="B994" s="77" t="s">
        <v>1709</v>
      </c>
      <c r="C994" s="77" t="s">
        <v>1517</v>
      </c>
      <c r="D994" s="77" t="s">
        <v>1519</v>
      </c>
      <c r="E994" s="78" t="s">
        <v>58</v>
      </c>
      <c r="F994" s="80" t="s">
        <v>1496</v>
      </c>
      <c r="G994" s="77" t="s">
        <v>6240</v>
      </c>
      <c r="H994" s="77" t="s">
        <v>60</v>
      </c>
      <c r="I994" s="87" t="s">
        <v>1221</v>
      </c>
      <c r="J994" s="1129"/>
      <c r="K994" s="1129"/>
      <c r="L994" s="1129"/>
      <c r="M994" s="468" t="s">
        <v>60</v>
      </c>
      <c r="N994" s="845" t="s">
        <v>11791</v>
      </c>
      <c r="O994" s="1129"/>
      <c r="P994" s="1130"/>
      <c r="Q994" s="1129"/>
      <c r="R994" s="1129"/>
      <c r="S994" s="1129"/>
      <c r="T994" s="1129"/>
      <c r="U994" s="224" t="s">
        <v>136</v>
      </c>
      <c r="V994" s="86"/>
      <c r="W994" s="86"/>
      <c r="X994" s="97"/>
      <c r="Y994" s="97"/>
      <c r="Z994" s="97"/>
      <c r="AA994" s="97"/>
      <c r="AB994" s="97"/>
      <c r="AC994" s="160" t="s">
        <v>630</v>
      </c>
      <c r="AD994" s="76" t="s">
        <v>632</v>
      </c>
      <c r="AE994" s="76"/>
      <c r="AF994" s="160" t="s">
        <v>630</v>
      </c>
      <c r="AG994" s="1129"/>
      <c r="AH994" s="1129"/>
      <c r="AI994" s="203"/>
      <c r="AJ994" s="203"/>
      <c r="AK994" s="203"/>
      <c r="AL994" s="203"/>
      <c r="AM994" s="203"/>
      <c r="AN994" s="203"/>
      <c r="AO994" s="203"/>
      <c r="AP994" s="203"/>
      <c r="AQ994" s="203"/>
      <c r="AR994" s="203"/>
      <c r="AS994" s="203"/>
      <c r="AT994" s="203"/>
    </row>
    <row r="995">
      <c r="A995" s="76" t="s">
        <v>116</v>
      </c>
      <c r="B995" s="77" t="s">
        <v>3722</v>
      </c>
      <c r="C995" s="77" t="s">
        <v>6996</v>
      </c>
      <c r="D995" s="77" t="s">
        <v>121</v>
      </c>
      <c r="E995" s="78" t="s">
        <v>2289</v>
      </c>
      <c r="F995" s="80" t="s">
        <v>7038</v>
      </c>
      <c r="G995" s="77" t="s">
        <v>7039</v>
      </c>
      <c r="H995" s="77" t="s">
        <v>60</v>
      </c>
      <c r="I995" s="87" t="s">
        <v>1221</v>
      </c>
      <c r="J995" s="770"/>
      <c r="K995" s="87"/>
      <c r="L995" s="770"/>
      <c r="M995" s="999" t="s">
        <v>60</v>
      </c>
      <c r="N995" s="1126" t="s">
        <v>11792</v>
      </c>
      <c r="O995" s="770"/>
      <c r="P995" s="1131"/>
      <c r="Q995" s="770"/>
      <c r="R995" s="770"/>
      <c r="S995" s="770"/>
      <c r="T995" s="770"/>
      <c r="U995" s="224" t="s">
        <v>136</v>
      </c>
      <c r="V995" s="86"/>
      <c r="W995" s="86"/>
      <c r="X995" s="97"/>
      <c r="Y995" s="97"/>
      <c r="Z995" s="97"/>
      <c r="AA995" s="97"/>
      <c r="AB995" s="97"/>
      <c r="AC995" s="160" t="s">
        <v>630</v>
      </c>
      <c r="AD995" s="76" t="s">
        <v>632</v>
      </c>
      <c r="AE995" s="76"/>
      <c r="AF995" s="160" t="s">
        <v>630</v>
      </c>
      <c r="AG995" s="770"/>
      <c r="AH995" s="770"/>
      <c r="AI995" s="203"/>
      <c r="AJ995" s="203"/>
      <c r="AK995" s="203"/>
      <c r="AL995" s="203"/>
      <c r="AM995" s="203"/>
      <c r="AN995" s="203"/>
      <c r="AO995" s="203"/>
      <c r="AP995" s="203"/>
      <c r="AQ995" s="203"/>
      <c r="AR995" s="203"/>
      <c r="AS995" s="203"/>
      <c r="AT995" s="203"/>
    </row>
    <row r="996">
      <c r="A996" s="76" t="s">
        <v>116</v>
      </c>
      <c r="B996" s="77" t="s">
        <v>1728</v>
      </c>
      <c r="C996" s="77" t="s">
        <v>121</v>
      </c>
      <c r="D996" s="77" t="s">
        <v>121</v>
      </c>
      <c r="E996" s="78" t="s">
        <v>1488</v>
      </c>
      <c r="F996" s="80" t="s">
        <v>3985</v>
      </c>
      <c r="G996" s="77" t="s">
        <v>1807</v>
      </c>
      <c r="H996" s="77" t="s">
        <v>326</v>
      </c>
      <c r="I996" s="87" t="s">
        <v>1221</v>
      </c>
      <c r="J996" s="76" t="s">
        <v>114</v>
      </c>
      <c r="K996" s="176" t="s">
        <v>11793</v>
      </c>
      <c r="L996" s="85"/>
      <c r="M996" s="85" t="s">
        <v>60</v>
      </c>
      <c r="N996" s="256" t="s">
        <v>1812</v>
      </c>
      <c r="O996" s="27" t="s">
        <v>11794</v>
      </c>
      <c r="P996" s="825">
        <v>31608.0</v>
      </c>
      <c r="Q996" s="315">
        <f>VALUE(LEFT(TEXT(S996,0),5))+1</f>
        <v>31608</v>
      </c>
      <c r="R996" s="97">
        <f>DATEDIF($P996,TODAY(),"Y")</f>
        <v>40</v>
      </c>
      <c r="S996" s="76">
        <v>3.160723712E9</v>
      </c>
      <c r="T996" s="315"/>
      <c r="U996" s="76" t="s">
        <v>368</v>
      </c>
      <c r="V996" s="76"/>
      <c r="W996" s="76"/>
      <c r="X996" s="97"/>
      <c r="Y996" s="97"/>
      <c r="Z996" s="176" t="s">
        <v>1460</v>
      </c>
      <c r="AA996" s="76"/>
      <c r="AB996" s="97"/>
      <c r="AC996" s="76"/>
      <c r="AD996" s="99"/>
      <c r="AE996" s="76"/>
      <c r="AF996" s="168"/>
      <c r="AG996" s="76" t="s">
        <v>1187</v>
      </c>
      <c r="AH996" s="153">
        <v>46161.0</v>
      </c>
      <c r="AI996" s="203"/>
      <c r="AJ996" s="203"/>
      <c r="AK996" s="203"/>
      <c r="AL996" s="203"/>
      <c r="AM996" s="203"/>
      <c r="AN996" s="203"/>
      <c r="AO996" s="203"/>
      <c r="AP996" s="203"/>
      <c r="AQ996" s="203"/>
      <c r="AR996" s="203"/>
      <c r="AS996" s="203"/>
      <c r="AT996" s="203"/>
    </row>
    <row r="997">
      <c r="A997" s="76" t="s">
        <v>116</v>
      </c>
      <c r="B997" s="77" t="s">
        <v>3332</v>
      </c>
      <c r="C997" s="77" t="s">
        <v>3333</v>
      </c>
      <c r="D997" s="77" t="s">
        <v>121</v>
      </c>
      <c r="E997" s="78" t="s">
        <v>295</v>
      </c>
      <c r="F997" s="80" t="s">
        <v>1241</v>
      </c>
      <c r="G997" s="77" t="s">
        <v>10109</v>
      </c>
      <c r="H997" s="77" t="s">
        <v>60</v>
      </c>
      <c r="I997" s="87" t="s">
        <v>1221</v>
      </c>
      <c r="J997" s="770"/>
      <c r="K997" s="109"/>
      <c r="L997" s="770"/>
      <c r="M997" s="999" t="s">
        <v>60</v>
      </c>
      <c r="N997" s="782" t="s">
        <v>11795</v>
      </c>
      <c r="O997" s="770"/>
      <c r="P997" s="1131"/>
      <c r="Q997" s="770"/>
      <c r="R997" s="770"/>
      <c r="S997" s="770"/>
      <c r="T997" s="770"/>
      <c r="U997" s="291" t="s">
        <v>344</v>
      </c>
      <c r="V997" s="226"/>
      <c r="W997" s="226"/>
      <c r="X997" s="226"/>
      <c r="Y997" s="226"/>
      <c r="Z997" s="226"/>
      <c r="AA997" s="226"/>
      <c r="AB997" s="226"/>
      <c r="AC997" s="160" t="s">
        <v>630</v>
      </c>
      <c r="AD997" s="76" t="s">
        <v>632</v>
      </c>
      <c r="AE997" s="76"/>
      <c r="AF997" s="160" t="s">
        <v>630</v>
      </c>
      <c r="AG997" s="112"/>
      <c r="AH997" s="1132">
        <v>46156.0</v>
      </c>
      <c r="AI997" s="203"/>
      <c r="AJ997" s="203"/>
      <c r="AK997" s="203"/>
      <c r="AL997" s="203"/>
      <c r="AM997" s="203"/>
      <c r="AN997" s="203"/>
      <c r="AO997" s="203"/>
      <c r="AP997" s="203"/>
      <c r="AQ997" s="203"/>
      <c r="AR997" s="203"/>
      <c r="AS997" s="203"/>
      <c r="AT997" s="203"/>
    </row>
    <row r="998">
      <c r="A998" s="76" t="s">
        <v>116</v>
      </c>
      <c r="B998" s="77" t="s">
        <v>3332</v>
      </c>
      <c r="C998" s="77" t="s">
        <v>3829</v>
      </c>
      <c r="D998" s="77" t="s">
        <v>121</v>
      </c>
      <c r="E998" s="78" t="s">
        <v>2242</v>
      </c>
      <c r="F998" s="80" t="s">
        <v>3830</v>
      </c>
      <c r="G998" s="77" t="s">
        <v>2244</v>
      </c>
      <c r="H998" s="77" t="s">
        <v>60</v>
      </c>
      <c r="I998" s="87" t="s">
        <v>1221</v>
      </c>
      <c r="J998" s="76" t="s">
        <v>114</v>
      </c>
      <c r="K998" s="176" t="s">
        <v>11796</v>
      </c>
      <c r="L998" s="85"/>
      <c r="M998" s="85" t="s">
        <v>60</v>
      </c>
      <c r="N998" s="287" t="s">
        <v>2241</v>
      </c>
      <c r="O998" s="27" t="s">
        <v>652</v>
      </c>
      <c r="P998" s="825">
        <v>32771.0</v>
      </c>
      <c r="Q998" s="315">
        <f t="shared" ref="Q998:Q999" si="112">VALUE(LEFT(TEXT(S998,0),5))+1</f>
        <v>32771</v>
      </c>
      <c r="R998" s="97">
        <f t="shared" ref="R998:R999" si="113">DATEDIF($P998,TODAY(),"Y")</f>
        <v>36</v>
      </c>
      <c r="S998" s="76">
        <v>3.277008931E9</v>
      </c>
      <c r="T998" s="315"/>
      <c r="U998" s="76" t="s">
        <v>136</v>
      </c>
      <c r="V998" s="76"/>
      <c r="W998" s="76"/>
      <c r="X998" s="76"/>
      <c r="Y998" s="76" t="s">
        <v>371</v>
      </c>
      <c r="Z998" s="85"/>
      <c r="AA998" s="76" t="s">
        <v>1178</v>
      </c>
      <c r="AB998" s="97"/>
      <c r="AC998" s="97"/>
      <c r="AD998" s="97"/>
      <c r="AE998" s="76"/>
      <c r="AF998" s="97"/>
      <c r="AG998" s="76" t="s">
        <v>11797</v>
      </c>
      <c r="AH998" s="153">
        <v>46170.0</v>
      </c>
      <c r="AI998" s="203"/>
      <c r="AJ998" s="203"/>
      <c r="AK998" s="203"/>
      <c r="AL998" s="203"/>
      <c r="AM998" s="203"/>
      <c r="AN998" s="203"/>
      <c r="AO998" s="203"/>
      <c r="AP998" s="203"/>
      <c r="AQ998" s="203"/>
      <c r="AR998" s="203"/>
      <c r="AS998" s="203"/>
      <c r="AT998" s="203"/>
    </row>
    <row r="999">
      <c r="A999" s="76" t="s">
        <v>116</v>
      </c>
      <c r="B999" s="77" t="s">
        <v>3454</v>
      </c>
      <c r="C999" s="77" t="s">
        <v>7302</v>
      </c>
      <c r="D999" s="77" t="s">
        <v>121</v>
      </c>
      <c r="E999" s="78" t="s">
        <v>457</v>
      </c>
      <c r="F999" s="80" t="s">
        <v>10197</v>
      </c>
      <c r="G999" s="77" t="s">
        <v>10198</v>
      </c>
      <c r="H999" s="77" t="s">
        <v>60</v>
      </c>
      <c r="I999" s="87" t="s">
        <v>1221</v>
      </c>
      <c r="J999" s="76" t="s">
        <v>114</v>
      </c>
      <c r="K999" s="85" t="s">
        <v>11798</v>
      </c>
      <c r="L999" s="85"/>
      <c r="M999" s="85" t="s">
        <v>60</v>
      </c>
      <c r="N999" s="287" t="s">
        <v>11799</v>
      </c>
      <c r="O999" s="76" t="s">
        <v>11800</v>
      </c>
      <c r="P999" s="523">
        <v>31456.0</v>
      </c>
      <c r="Q999" s="315">
        <f t="shared" si="112"/>
        <v>31456</v>
      </c>
      <c r="R999" s="86">
        <f t="shared" si="113"/>
        <v>40</v>
      </c>
      <c r="S999" s="315">
        <v>3.145516036E9</v>
      </c>
      <c r="T999" s="315" t="s">
        <v>378</v>
      </c>
      <c r="U999" s="76" t="s">
        <v>136</v>
      </c>
      <c r="V999" s="76"/>
      <c r="W999" s="76"/>
      <c r="X999" s="76"/>
      <c r="Y999" s="97" t="s">
        <v>1174</v>
      </c>
      <c r="Z999" s="278" t="s">
        <v>2090</v>
      </c>
      <c r="AA999" s="76"/>
      <c r="AB999" s="97"/>
      <c r="AC999" s="160" t="s">
        <v>630</v>
      </c>
      <c r="AD999" s="99"/>
      <c r="AE999" s="76"/>
      <c r="AF999" s="160" t="s">
        <v>630</v>
      </c>
      <c r="AG999" s="76"/>
      <c r="AH999" s="76" t="s">
        <v>9743</v>
      </c>
      <c r="AI999" s="203"/>
      <c r="AJ999" s="203"/>
      <c r="AK999" s="203"/>
      <c r="AL999" s="203"/>
      <c r="AM999" s="203"/>
      <c r="AN999" s="203"/>
      <c r="AO999" s="203"/>
      <c r="AP999" s="203"/>
      <c r="AQ999" s="203"/>
      <c r="AR999" s="203"/>
      <c r="AS999" s="203"/>
      <c r="AT999" s="203"/>
    </row>
    <row r="1000">
      <c r="A1000" s="76" t="s">
        <v>116</v>
      </c>
      <c r="B1000" s="77" t="s">
        <v>3454</v>
      </c>
      <c r="C1000" s="77" t="s">
        <v>7302</v>
      </c>
      <c r="D1000" s="77" t="s">
        <v>121</v>
      </c>
      <c r="E1000" s="78" t="s">
        <v>457</v>
      </c>
      <c r="F1000" s="80" t="s">
        <v>10197</v>
      </c>
      <c r="G1000" s="77" t="s">
        <v>10198</v>
      </c>
      <c r="H1000" s="77" t="s">
        <v>60</v>
      </c>
      <c r="I1000" s="87" t="s">
        <v>1221</v>
      </c>
      <c r="J1000" s="109"/>
      <c r="K1000" s="109"/>
      <c r="L1000" s="1071"/>
      <c r="M1000" s="197" t="s">
        <v>60</v>
      </c>
      <c r="N1000" s="992" t="s">
        <v>11665</v>
      </c>
      <c r="O1000" s="1071"/>
      <c r="P1000" s="1133"/>
      <c r="Q1000" s="1071"/>
      <c r="R1000" s="1071"/>
      <c r="S1000" s="1071"/>
      <c r="T1000" s="1071"/>
      <c r="U1000" s="291" t="s">
        <v>379</v>
      </c>
      <c r="V1000" s="86"/>
      <c r="W1000" s="97"/>
      <c r="X1000" s="97"/>
      <c r="Y1000" s="226"/>
      <c r="Z1000" s="226"/>
      <c r="AA1000" s="226"/>
      <c r="AB1000" s="97"/>
      <c r="AC1000" s="160" t="s">
        <v>630</v>
      </c>
      <c r="AD1000" s="76" t="s">
        <v>632</v>
      </c>
      <c r="AE1000" s="76"/>
      <c r="AF1000" s="160" t="s">
        <v>630</v>
      </c>
      <c r="AG1000" s="1071"/>
      <c r="AH1000" s="1071"/>
      <c r="AI1000" s="203"/>
      <c r="AJ1000" s="203"/>
      <c r="AK1000" s="203"/>
      <c r="AL1000" s="203"/>
      <c r="AM1000" s="203"/>
      <c r="AN1000" s="203"/>
      <c r="AO1000" s="203"/>
      <c r="AP1000" s="203"/>
      <c r="AQ1000" s="203"/>
      <c r="AR1000" s="203"/>
      <c r="AS1000" s="203"/>
      <c r="AT1000" s="203"/>
    </row>
    <row r="1001">
      <c r="A1001" s="76" t="s">
        <v>116</v>
      </c>
      <c r="B1001" s="77" t="s">
        <v>3454</v>
      </c>
      <c r="C1001" s="77" t="s">
        <v>7302</v>
      </c>
      <c r="D1001" s="77" t="s">
        <v>121</v>
      </c>
      <c r="E1001" s="78" t="s">
        <v>457</v>
      </c>
      <c r="F1001" s="80" t="s">
        <v>10197</v>
      </c>
      <c r="G1001" s="77" t="s">
        <v>10198</v>
      </c>
      <c r="H1001" s="77" t="s">
        <v>60</v>
      </c>
      <c r="I1001" s="87" t="s">
        <v>1221</v>
      </c>
      <c r="J1001" s="109"/>
      <c r="K1001" s="85"/>
      <c r="L1001" s="87"/>
      <c r="M1001" s="197" t="s">
        <v>60</v>
      </c>
      <c r="N1001" s="992" t="s">
        <v>11801</v>
      </c>
      <c r="O1001" s="109"/>
      <c r="P1001" s="1089"/>
      <c r="Q1001" s="315"/>
      <c r="R1001" s="86"/>
      <c r="S1001" s="315"/>
      <c r="T1001" s="315"/>
      <c r="U1001" s="291" t="s">
        <v>379</v>
      </c>
      <c r="V1001" s="86"/>
      <c r="W1001" s="97"/>
      <c r="X1001" s="97"/>
      <c r="Y1001" s="226"/>
      <c r="Z1001" s="226"/>
      <c r="AA1001" s="226"/>
      <c r="AB1001" s="97"/>
      <c r="AC1001" s="160" t="s">
        <v>630</v>
      </c>
      <c r="AD1001" s="76" t="s">
        <v>632</v>
      </c>
      <c r="AE1001" s="76" t="s">
        <v>632</v>
      </c>
      <c r="AF1001" s="160" t="s">
        <v>630</v>
      </c>
      <c r="AG1001" s="315"/>
      <c r="AH1001" s="97"/>
      <c r="AI1001" s="203"/>
      <c r="AJ1001" s="203"/>
      <c r="AK1001" s="203"/>
      <c r="AL1001" s="203"/>
      <c r="AM1001" s="203"/>
      <c r="AN1001" s="203"/>
      <c r="AO1001" s="203"/>
      <c r="AP1001" s="203"/>
      <c r="AQ1001" s="203"/>
      <c r="AR1001" s="203"/>
      <c r="AS1001" s="203"/>
      <c r="AT1001" s="203"/>
    </row>
    <row r="1002">
      <c r="A1002" s="76" t="s">
        <v>116</v>
      </c>
      <c r="B1002" s="77" t="s">
        <v>3454</v>
      </c>
      <c r="C1002" s="77" t="s">
        <v>7302</v>
      </c>
      <c r="D1002" s="77" t="s">
        <v>121</v>
      </c>
      <c r="E1002" s="78" t="s">
        <v>457</v>
      </c>
      <c r="F1002" s="80" t="s">
        <v>10197</v>
      </c>
      <c r="G1002" s="77" t="s">
        <v>10198</v>
      </c>
      <c r="H1002" s="77" t="s">
        <v>60</v>
      </c>
      <c r="I1002" s="87" t="s">
        <v>1221</v>
      </c>
      <c r="J1002" s="76" t="s">
        <v>114</v>
      </c>
      <c r="K1002" s="176" t="s">
        <v>1602</v>
      </c>
      <c r="L1002" s="318"/>
      <c r="M1002" s="85" t="s">
        <v>60</v>
      </c>
      <c r="N1002" s="286" t="s">
        <v>11802</v>
      </c>
      <c r="O1002" s="76" t="s">
        <v>1759</v>
      </c>
      <c r="P1002" s="523">
        <v>33350.0</v>
      </c>
      <c r="Q1002" s="315">
        <f t="shared" ref="Q1002:Q1005" si="114">VALUE(LEFT(TEXT(S1002,0),5))+1</f>
        <v>33350</v>
      </c>
      <c r="R1002" s="86">
        <f t="shared" ref="R1002:R1005" si="115">DATEDIF($P1002,TODAY(),"Y")</f>
        <v>35</v>
      </c>
      <c r="S1002" s="76">
        <v>3.334909493E9</v>
      </c>
      <c r="T1002" s="315"/>
      <c r="U1002" s="76" t="s">
        <v>136</v>
      </c>
      <c r="V1002" s="76"/>
      <c r="W1002" s="76"/>
      <c r="X1002" s="76" t="s">
        <v>186</v>
      </c>
      <c r="Y1002" s="97"/>
      <c r="Z1002" s="501" t="s">
        <v>418</v>
      </c>
      <c r="AA1002" s="97"/>
      <c r="AB1002" s="76"/>
      <c r="AC1002" s="76"/>
      <c r="AD1002" s="76"/>
      <c r="AE1002" s="76"/>
      <c r="AF1002" s="76" t="s">
        <v>11803</v>
      </c>
      <c r="AG1002" s="189"/>
      <c r="AH1002" s="76" t="s">
        <v>11804</v>
      </c>
      <c r="AI1002" s="203"/>
      <c r="AJ1002" s="203"/>
      <c r="AK1002" s="203"/>
      <c r="AL1002" s="203"/>
      <c r="AM1002" s="203"/>
      <c r="AN1002" s="203"/>
      <c r="AO1002" s="203"/>
      <c r="AP1002" s="203"/>
      <c r="AQ1002" s="203"/>
      <c r="AR1002" s="203"/>
      <c r="AS1002" s="203"/>
      <c r="AT1002" s="203"/>
    </row>
    <row r="1003">
      <c r="A1003" s="76" t="s">
        <v>9695</v>
      </c>
      <c r="B1003" s="77" t="s">
        <v>3722</v>
      </c>
      <c r="C1003" s="77" t="s">
        <v>7267</v>
      </c>
      <c r="D1003" s="77" t="s">
        <v>7134</v>
      </c>
      <c r="E1003" s="78" t="s">
        <v>2562</v>
      </c>
      <c r="F1003" s="80" t="s">
        <v>7341</v>
      </c>
      <c r="G1003" s="77" t="s">
        <v>7415</v>
      </c>
      <c r="H1003" s="77" t="s">
        <v>102</v>
      </c>
      <c r="I1003" s="146" t="s">
        <v>408</v>
      </c>
      <c r="J1003" s="109" t="s">
        <v>114</v>
      </c>
      <c r="K1003" s="176" t="s">
        <v>11805</v>
      </c>
      <c r="L1003" s="87"/>
      <c r="M1003" s="87" t="s">
        <v>60</v>
      </c>
      <c r="N1003" s="978" t="s">
        <v>5044</v>
      </c>
      <c r="O1003" s="86" t="s">
        <v>912</v>
      </c>
      <c r="P1003" s="315">
        <v>32483.0</v>
      </c>
      <c r="Q1003" s="315">
        <f t="shared" si="114"/>
        <v>32483</v>
      </c>
      <c r="R1003" s="86">
        <f t="shared" si="115"/>
        <v>37</v>
      </c>
      <c r="S1003" s="315">
        <v>3.248216151E9</v>
      </c>
      <c r="T1003" s="315" t="s">
        <v>1479</v>
      </c>
      <c r="U1003" s="224" t="s">
        <v>136</v>
      </c>
      <c r="V1003" s="76"/>
      <c r="W1003" s="86"/>
      <c r="X1003" s="97"/>
      <c r="Y1003" s="97"/>
      <c r="Z1003" s="97"/>
      <c r="AA1003" s="97"/>
      <c r="AB1003" s="97"/>
      <c r="AC1003" s="76" t="s">
        <v>632</v>
      </c>
      <c r="AD1003" s="99"/>
      <c r="AE1003" s="76"/>
      <c r="AF1003" s="660" t="s">
        <v>155</v>
      </c>
      <c r="AG1003" s="76"/>
      <c r="AH1003" s="160" t="s">
        <v>11806</v>
      </c>
      <c r="AI1003" s="203"/>
      <c r="AJ1003" s="203"/>
      <c r="AK1003" s="203"/>
      <c r="AL1003" s="203"/>
      <c r="AM1003" s="203"/>
      <c r="AN1003" s="203"/>
      <c r="AO1003" s="203"/>
      <c r="AP1003" s="203"/>
      <c r="AQ1003" s="203"/>
      <c r="AR1003" s="203"/>
      <c r="AS1003" s="203"/>
      <c r="AT1003" s="203"/>
    </row>
    <row r="1004">
      <c r="A1004" s="86"/>
      <c r="B1004" s="302" t="s">
        <v>4145</v>
      </c>
      <c r="C1004" s="341" t="s">
        <v>1774</v>
      </c>
      <c r="D1004" s="86"/>
      <c r="E1004" s="764"/>
      <c r="F1004" s="86"/>
      <c r="G1004" s="86"/>
      <c r="H1004" s="86"/>
      <c r="I1004" s="86"/>
      <c r="J1004" s="109" t="s">
        <v>114</v>
      </c>
      <c r="K1004" s="87"/>
      <c r="L1004" s="87"/>
      <c r="M1004" s="87" t="s">
        <v>360</v>
      </c>
      <c r="N1004" s="86" t="s">
        <v>6978</v>
      </c>
      <c r="O1004" s="76" t="s">
        <v>6979</v>
      </c>
      <c r="P1004" s="825">
        <v>31579.0</v>
      </c>
      <c r="Q1004" s="315">
        <f t="shared" si="114"/>
        <v>31579</v>
      </c>
      <c r="R1004" s="86">
        <f t="shared" si="115"/>
        <v>40</v>
      </c>
      <c r="S1004" s="76">
        <v>3.157810737E9</v>
      </c>
      <c r="T1004" s="315"/>
      <c r="U1004" s="443" t="s">
        <v>165</v>
      </c>
      <c r="V1004" s="76" t="s">
        <v>636</v>
      </c>
      <c r="W1004" s="76"/>
      <c r="X1004" s="97"/>
      <c r="Y1004" s="97"/>
      <c r="Z1004" s="97"/>
      <c r="AA1004" s="97"/>
      <c r="AB1004" s="97"/>
      <c r="AC1004" s="97"/>
      <c r="AD1004" s="99"/>
      <c r="AE1004" s="76" t="s">
        <v>259</v>
      </c>
      <c r="AF1004" s="76" t="s">
        <v>1795</v>
      </c>
      <c r="AG1004" s="76"/>
      <c r="AH1004" s="76" t="s">
        <v>11807</v>
      </c>
      <c r="AI1004" s="67"/>
      <c r="AJ1004" s="67"/>
      <c r="AK1004" s="67"/>
      <c r="AL1004" s="67"/>
      <c r="AM1004" s="67"/>
      <c r="AN1004" s="67"/>
      <c r="AO1004" s="67"/>
      <c r="AP1004" s="67"/>
      <c r="AQ1004" s="67"/>
      <c r="AR1004" s="67"/>
      <c r="AS1004" s="67"/>
      <c r="AT1004" s="67"/>
    </row>
    <row r="1005">
      <c r="A1005" s="86"/>
      <c r="B1005" s="302" t="s">
        <v>4145</v>
      </c>
      <c r="C1005" s="341" t="s">
        <v>1774</v>
      </c>
      <c r="D1005" s="86"/>
      <c r="E1005" s="764"/>
      <c r="F1005" s="86"/>
      <c r="G1005" s="86"/>
      <c r="H1005" s="86"/>
      <c r="I1005" s="86"/>
      <c r="J1005" s="109" t="s">
        <v>114</v>
      </c>
      <c r="K1005" s="87"/>
      <c r="L1005" s="87"/>
      <c r="M1005" s="87" t="s">
        <v>102</v>
      </c>
      <c r="N1005" s="86" t="s">
        <v>6989</v>
      </c>
      <c r="O1005" s="76" t="s">
        <v>6990</v>
      </c>
      <c r="P1005" s="825">
        <v>28529.0</v>
      </c>
      <c r="Q1005" s="315">
        <f t="shared" si="114"/>
        <v>28529</v>
      </c>
      <c r="R1005" s="86">
        <f t="shared" si="115"/>
        <v>48</v>
      </c>
      <c r="S1005" s="76">
        <v>2.852820558E9</v>
      </c>
      <c r="T1005" s="315" t="s">
        <v>378</v>
      </c>
      <c r="U1005" s="443" t="s">
        <v>165</v>
      </c>
      <c r="V1005" s="76" t="s">
        <v>636</v>
      </c>
      <c r="W1005" s="76"/>
      <c r="X1005" s="97"/>
      <c r="Y1005" s="97"/>
      <c r="Z1005" s="97"/>
      <c r="AA1005" s="97"/>
      <c r="AB1005" s="97"/>
      <c r="AC1005" s="97"/>
      <c r="AD1005" s="99"/>
      <c r="AE1005" s="76" t="s">
        <v>259</v>
      </c>
      <c r="AF1005" s="76" t="s">
        <v>1795</v>
      </c>
      <c r="AG1005" s="76"/>
      <c r="AH1005" s="76" t="s">
        <v>11807</v>
      </c>
      <c r="AI1005" s="67"/>
      <c r="AJ1005" s="67"/>
      <c r="AK1005" s="67"/>
      <c r="AL1005" s="67"/>
      <c r="AM1005" s="67"/>
      <c r="AN1005" s="67"/>
      <c r="AO1005" s="67"/>
      <c r="AP1005" s="67"/>
      <c r="AQ1005" s="67"/>
      <c r="AR1005" s="67"/>
      <c r="AS1005" s="67"/>
      <c r="AT1005" s="67"/>
    </row>
    <row r="1006">
      <c r="A1006" s="86"/>
      <c r="B1006" s="302" t="s">
        <v>4145</v>
      </c>
      <c r="C1006" s="341" t="s">
        <v>1774</v>
      </c>
      <c r="D1006" s="86"/>
      <c r="E1006" s="764"/>
      <c r="F1006" s="86"/>
      <c r="G1006" s="86"/>
      <c r="H1006" s="86"/>
      <c r="I1006" s="86"/>
      <c r="J1006" s="86"/>
      <c r="K1006" s="87"/>
      <c r="L1006" s="87"/>
      <c r="M1006" s="87" t="s">
        <v>102</v>
      </c>
      <c r="N1006" s="86" t="s">
        <v>6998</v>
      </c>
      <c r="O1006" s="76" t="s">
        <v>3367</v>
      </c>
      <c r="P1006" s="1089"/>
      <c r="Q1006" s="86"/>
      <c r="R1006" s="86"/>
      <c r="S1006" s="315"/>
      <c r="T1006" s="315"/>
      <c r="U1006" s="443" t="s">
        <v>165</v>
      </c>
      <c r="V1006" s="76" t="s">
        <v>636</v>
      </c>
      <c r="W1006" s="76"/>
      <c r="X1006" s="97"/>
      <c r="Y1006" s="97"/>
      <c r="Z1006" s="97"/>
      <c r="AA1006" s="97"/>
      <c r="AB1006" s="97"/>
      <c r="AC1006" s="97"/>
      <c r="AD1006" s="99"/>
      <c r="AE1006" s="76" t="s">
        <v>259</v>
      </c>
      <c r="AF1006" s="76" t="s">
        <v>1795</v>
      </c>
      <c r="AG1006" s="76"/>
      <c r="AH1006" s="76" t="s">
        <v>11807</v>
      </c>
      <c r="AI1006" s="67"/>
      <c r="AJ1006" s="67"/>
      <c r="AK1006" s="67"/>
      <c r="AL1006" s="67"/>
      <c r="AM1006" s="67"/>
      <c r="AN1006" s="67"/>
      <c r="AO1006" s="67"/>
      <c r="AP1006" s="67"/>
      <c r="AQ1006" s="67"/>
      <c r="AR1006" s="67"/>
      <c r="AS1006" s="67"/>
      <c r="AT1006" s="67"/>
    </row>
    <row r="1007">
      <c r="A1007" s="76">
        <v>210.0</v>
      </c>
      <c r="B1007" s="77" t="s">
        <v>1728</v>
      </c>
      <c r="C1007" s="77" t="s">
        <v>121</v>
      </c>
      <c r="D1007" s="77" t="s">
        <v>121</v>
      </c>
      <c r="E1007" s="78" t="s">
        <v>331</v>
      </c>
      <c r="F1007" s="80" t="s">
        <v>1731</v>
      </c>
      <c r="G1007" s="77" t="s">
        <v>577</v>
      </c>
      <c r="H1007" s="77" t="s">
        <v>60</v>
      </c>
      <c r="I1007" s="87" t="s">
        <v>1221</v>
      </c>
      <c r="J1007" s="76" t="s">
        <v>114</v>
      </c>
      <c r="K1007" s="76"/>
      <c r="L1007" s="318"/>
      <c r="M1007" s="85" t="s">
        <v>60</v>
      </c>
      <c r="N1007" s="157" t="s">
        <v>11808</v>
      </c>
      <c r="O1007" s="76" t="s">
        <v>11809</v>
      </c>
      <c r="P1007" s="523">
        <v>31021.0</v>
      </c>
      <c r="Q1007" s="315">
        <f>VALUE(LEFT(TEXT(S1007,0),5))+1</f>
        <v>31021</v>
      </c>
      <c r="R1007" s="86">
        <f>DATEDIF($P1007,TODAY(),"Y")</f>
        <v>41</v>
      </c>
      <c r="S1007" s="76">
        <v>3.102015715E9</v>
      </c>
      <c r="T1007" s="315"/>
      <c r="U1007" s="310" t="s">
        <v>379</v>
      </c>
      <c r="V1007" s="76"/>
      <c r="W1007" s="76"/>
      <c r="X1007" s="76"/>
      <c r="Y1007" s="97"/>
      <c r="Z1007" s="344" t="s">
        <v>2506</v>
      </c>
      <c r="AA1007" s="76" t="s">
        <v>1178</v>
      </c>
      <c r="AB1007" s="97"/>
      <c r="AC1007" s="310" t="s">
        <v>3912</v>
      </c>
      <c r="AD1007" s="76"/>
      <c r="AE1007" s="76"/>
      <c r="AF1007" s="76" t="s">
        <v>5238</v>
      </c>
      <c r="AG1007" s="189"/>
      <c r="AH1007" s="76"/>
      <c r="AI1007" s="67"/>
      <c r="AJ1007" s="67"/>
      <c r="AK1007" s="70"/>
      <c r="AL1007" s="70"/>
      <c r="AM1007" s="70"/>
      <c r="AN1007" s="70"/>
      <c r="AO1007" s="70"/>
      <c r="AP1007" s="70"/>
      <c r="AQ1007" s="67"/>
      <c r="AR1007" s="67"/>
      <c r="AS1007" s="67"/>
      <c r="AT1007" s="67"/>
    </row>
    <row r="1008">
      <c r="A1008" s="76" t="s">
        <v>116</v>
      </c>
      <c r="B1008" s="77" t="s">
        <v>432</v>
      </c>
      <c r="C1008" s="77" t="s">
        <v>588</v>
      </c>
      <c r="D1008" s="77" t="s">
        <v>121</v>
      </c>
      <c r="E1008" s="78" t="s">
        <v>81</v>
      </c>
      <c r="F1008" s="80" t="s">
        <v>676</v>
      </c>
      <c r="G1008" s="77" t="s">
        <v>113</v>
      </c>
      <c r="H1008" s="77" t="s">
        <v>143</v>
      </c>
      <c r="I1008" s="82" t="s">
        <v>135</v>
      </c>
      <c r="J1008" s="109"/>
      <c r="K1008" s="109"/>
      <c r="L1008" s="87"/>
      <c r="M1008" s="158" t="s">
        <v>36</v>
      </c>
      <c r="N1008" s="159" t="s">
        <v>11810</v>
      </c>
      <c r="O1008" s="132"/>
      <c r="P1008" s="1089"/>
      <c r="Q1008" s="315"/>
      <c r="R1008" s="86"/>
      <c r="S1008" s="86"/>
      <c r="T1008" s="315"/>
      <c r="U1008" s="124" t="s">
        <v>379</v>
      </c>
      <c r="V1008" s="86"/>
      <c r="W1008" s="86"/>
      <c r="X1008" s="97"/>
      <c r="Y1008" s="97"/>
      <c r="Z1008" s="97"/>
      <c r="AA1008" s="97"/>
      <c r="AB1008" s="97"/>
      <c r="AC1008" s="160" t="s">
        <v>630</v>
      </c>
      <c r="AD1008" s="76" t="s">
        <v>632</v>
      </c>
      <c r="AE1008" s="76" t="s">
        <v>632</v>
      </c>
      <c r="AF1008" s="160" t="s">
        <v>630</v>
      </c>
      <c r="AG1008" s="112"/>
      <c r="AH1008" s="76"/>
      <c r="AI1008" s="203"/>
      <c r="AJ1008" s="203"/>
      <c r="AK1008" s="203"/>
      <c r="AL1008" s="203"/>
      <c r="AM1008" s="203"/>
      <c r="AN1008" s="203"/>
      <c r="AO1008" s="203"/>
      <c r="AP1008" s="203"/>
      <c r="AQ1008" s="203"/>
      <c r="AR1008" s="203"/>
      <c r="AS1008" s="203"/>
      <c r="AT1008" s="203"/>
    </row>
    <row r="1009">
      <c r="A1009" s="76" t="s">
        <v>116</v>
      </c>
      <c r="B1009" s="77" t="s">
        <v>1039</v>
      </c>
      <c r="C1009" s="77" t="s">
        <v>1269</v>
      </c>
      <c r="D1009" s="77" t="s">
        <v>1519</v>
      </c>
      <c r="E1009" s="78" t="s">
        <v>321</v>
      </c>
      <c r="F1009" s="80" t="s">
        <v>1552</v>
      </c>
      <c r="G1009" s="77" t="s">
        <v>2003</v>
      </c>
      <c r="H1009" s="77" t="s">
        <v>60</v>
      </c>
      <c r="I1009" s="87" t="s">
        <v>1221</v>
      </c>
      <c r="J1009" s="109" t="s">
        <v>114</v>
      </c>
      <c r="K1009" s="97"/>
      <c r="L1009" s="87"/>
      <c r="M1009" s="87" t="s">
        <v>60</v>
      </c>
      <c r="N1009" s="97" t="s">
        <v>5979</v>
      </c>
      <c r="O1009" s="970" t="s">
        <v>748</v>
      </c>
      <c r="P1009" s="1089">
        <v>36942.0</v>
      </c>
      <c r="Q1009" s="315">
        <f>VALUE(LEFT(TEXT(S1009,0),5))+1</f>
        <v>36942</v>
      </c>
      <c r="R1009" s="86">
        <f>DATEDIF($P1009,TODAY(),"Y")</f>
        <v>25</v>
      </c>
      <c r="S1009" s="315">
        <v>3.694108755E9</v>
      </c>
      <c r="T1009" s="315" t="s">
        <v>1548</v>
      </c>
      <c r="U1009" s="76" t="s">
        <v>344</v>
      </c>
      <c r="V1009" s="76"/>
      <c r="W1009" s="76"/>
      <c r="X1009" s="76"/>
      <c r="Y1009" s="76" t="s">
        <v>2311</v>
      </c>
      <c r="Z1009" s="474" t="s">
        <v>184</v>
      </c>
      <c r="AA1009" s="76" t="s">
        <v>1178</v>
      </c>
      <c r="AB1009" s="97"/>
      <c r="AC1009" s="97"/>
      <c r="AD1009" s="97"/>
      <c r="AE1009" s="76"/>
      <c r="AF1009" s="76"/>
      <c r="AG1009" s="76" t="s">
        <v>1187</v>
      </c>
      <c r="AH1009" s="153">
        <v>46139.0</v>
      </c>
      <c r="AI1009" s="203"/>
      <c r="AJ1009" s="203"/>
      <c r="AK1009" s="203"/>
      <c r="AL1009" s="203"/>
      <c r="AM1009" s="203"/>
      <c r="AN1009" s="203"/>
      <c r="AO1009" s="203"/>
      <c r="AP1009" s="203"/>
      <c r="AQ1009" s="203"/>
      <c r="AR1009" s="203"/>
      <c r="AS1009" s="203"/>
      <c r="AT1009" s="203"/>
    </row>
    <row r="1010">
      <c r="A1010" s="76" t="s">
        <v>116</v>
      </c>
      <c r="B1010" s="77" t="s">
        <v>1709</v>
      </c>
      <c r="C1010" s="77" t="s">
        <v>1269</v>
      </c>
      <c r="D1010" s="77" t="s">
        <v>121</v>
      </c>
      <c r="E1010" s="78" t="s">
        <v>170</v>
      </c>
      <c r="F1010" s="80" t="s">
        <v>126</v>
      </c>
      <c r="G1010" s="77" t="s">
        <v>5422</v>
      </c>
      <c r="H1010" s="77" t="s">
        <v>143</v>
      </c>
      <c r="I1010" s="82" t="s">
        <v>135</v>
      </c>
      <c r="J1010" s="109"/>
      <c r="K1010" s="86"/>
      <c r="L1010" s="87"/>
      <c r="M1010" s="211" t="s">
        <v>143</v>
      </c>
      <c r="N1010" s="160" t="s">
        <v>11811</v>
      </c>
      <c r="O1010" s="1134" t="s">
        <v>11812</v>
      </c>
      <c r="P1010" s="1089"/>
      <c r="Q1010" s="315"/>
      <c r="R1010" s="86"/>
      <c r="S1010" s="86"/>
      <c r="T1010" s="315"/>
      <c r="U1010" s="76" t="s">
        <v>379</v>
      </c>
      <c r="V1010" s="86"/>
      <c r="W1010" s="86"/>
      <c r="X1010" s="97"/>
      <c r="Y1010" s="97"/>
      <c r="Z1010" s="97"/>
      <c r="AA1010" s="97"/>
      <c r="AB1010" s="97"/>
      <c r="AC1010" s="160" t="s">
        <v>630</v>
      </c>
      <c r="AD1010" s="76" t="s">
        <v>632</v>
      </c>
      <c r="AE1010" s="76"/>
      <c r="AF1010" s="160" t="s">
        <v>630</v>
      </c>
      <c r="AG1010" s="112"/>
      <c r="AH1010" s="76"/>
      <c r="AI1010" s="203"/>
      <c r="AJ1010" s="203"/>
      <c r="AK1010" s="203"/>
      <c r="AL1010" s="203"/>
      <c r="AM1010" s="203"/>
      <c r="AN1010" s="203"/>
      <c r="AO1010" s="203"/>
      <c r="AP1010" s="203"/>
      <c r="AQ1010" s="203"/>
      <c r="AR1010" s="203"/>
      <c r="AS1010" s="203"/>
      <c r="AT1010" s="203"/>
    </row>
    <row r="1011">
      <c r="A1011" s="76" t="s">
        <v>116</v>
      </c>
      <c r="B1011" s="77" t="s">
        <v>1728</v>
      </c>
      <c r="C1011" s="77" t="s">
        <v>121</v>
      </c>
      <c r="D1011" s="77" t="s">
        <v>121</v>
      </c>
      <c r="E1011" s="78" t="s">
        <v>213</v>
      </c>
      <c r="F1011" s="80" t="s">
        <v>1523</v>
      </c>
      <c r="G1011" s="77" t="s">
        <v>1826</v>
      </c>
      <c r="H1011" s="77" t="s">
        <v>60</v>
      </c>
      <c r="I1011" s="87" t="s">
        <v>1221</v>
      </c>
      <c r="J1011" s="76" t="s">
        <v>114</v>
      </c>
      <c r="K1011" s="176" t="s">
        <v>11813</v>
      </c>
      <c r="L1011" s="318"/>
      <c r="M1011" s="970" t="s">
        <v>60</v>
      </c>
      <c r="N1011" s="157" t="s">
        <v>11814</v>
      </c>
      <c r="O1011" s="76" t="s">
        <v>2359</v>
      </c>
      <c r="P1011" s="523">
        <v>27642.0</v>
      </c>
      <c r="Q1011" s="315">
        <f t="shared" ref="Q1011:Q1027" si="116">VALUE(LEFT(TEXT(S1011,0),5))+1</f>
        <v>27642</v>
      </c>
      <c r="R1011" s="86">
        <f t="shared" ref="R1011:R1027" si="117">DATEDIF($P1011,TODAY(),"Y")</f>
        <v>50</v>
      </c>
      <c r="S1011" s="76">
        <v>2.764117337E9</v>
      </c>
      <c r="T1011" s="315"/>
      <c r="U1011" s="76" t="s">
        <v>379</v>
      </c>
      <c r="V1011" s="76"/>
      <c r="W1011" s="76"/>
      <c r="X1011" s="76"/>
      <c r="Y1011" s="97"/>
      <c r="Z1011" s="216" t="s">
        <v>1815</v>
      </c>
      <c r="AA1011" s="76"/>
      <c r="AB1011" s="97"/>
      <c r="AC1011" s="76" t="s">
        <v>2915</v>
      </c>
      <c r="AD1011" s="76"/>
      <c r="AE1011" s="76"/>
      <c r="AF1011" s="76" t="s">
        <v>11815</v>
      </c>
      <c r="AG1011" s="76" t="s">
        <v>11816</v>
      </c>
      <c r="AH1011" s="153">
        <v>46129.0</v>
      </c>
      <c r="AI1011" s="203"/>
      <c r="AJ1011" s="203"/>
      <c r="AK1011" s="203"/>
      <c r="AL1011" s="203"/>
      <c r="AM1011" s="203"/>
      <c r="AN1011" s="203"/>
      <c r="AO1011" s="203"/>
      <c r="AP1011" s="203"/>
      <c r="AQ1011" s="203"/>
      <c r="AR1011" s="203"/>
      <c r="AS1011" s="203"/>
      <c r="AT1011" s="203"/>
    </row>
    <row r="1012">
      <c r="A1012" s="76"/>
      <c r="B1012" s="302" t="s">
        <v>4145</v>
      </c>
      <c r="C1012" s="77"/>
      <c r="D1012" s="77"/>
      <c r="E1012" s="76" t="s">
        <v>7335</v>
      </c>
      <c r="F1012" s="80"/>
      <c r="G1012" s="77"/>
      <c r="H1012" s="77"/>
      <c r="I1012" s="1058"/>
      <c r="J1012" s="76" t="s">
        <v>114</v>
      </c>
      <c r="K1012" s="76"/>
      <c r="L1012" s="170"/>
      <c r="M1012" s="76" t="s">
        <v>60</v>
      </c>
      <c r="N1012" s="76" t="s">
        <v>11817</v>
      </c>
      <c r="O1012" s="76" t="s">
        <v>11818</v>
      </c>
      <c r="P1012" s="493">
        <v>30991.0</v>
      </c>
      <c r="Q1012" s="315">
        <f t="shared" si="116"/>
        <v>1</v>
      </c>
      <c r="R1012" s="97">
        <f t="shared" si="117"/>
        <v>41</v>
      </c>
      <c r="S1012" s="240"/>
      <c r="T1012" s="81"/>
      <c r="U1012" s="76" t="s">
        <v>379</v>
      </c>
      <c r="V1012" s="76"/>
      <c r="W1012" s="76"/>
      <c r="X1012" s="76" t="s">
        <v>186</v>
      </c>
      <c r="Y1012" s="276"/>
      <c r="Z1012" s="85" t="s">
        <v>1755</v>
      </c>
      <c r="AA1012" s="76"/>
      <c r="AB1012" s="68"/>
      <c r="AC1012" s="76" t="s">
        <v>7398</v>
      </c>
      <c r="AD1012" s="169"/>
      <c r="AE1012" s="76"/>
      <c r="AF1012" s="83"/>
      <c r="AG1012" s="83"/>
      <c r="AH1012" s="76" t="s">
        <v>11819</v>
      </c>
      <c r="AI1012" s="67"/>
      <c r="AJ1012" s="67"/>
      <c r="AK1012" s="70"/>
      <c r="AL1012" s="70"/>
      <c r="AM1012" s="135"/>
      <c r="AN1012" s="135"/>
      <c r="AO1012" s="70"/>
      <c r="AP1012" s="70"/>
      <c r="AQ1012" s="67"/>
      <c r="AR1012" s="67"/>
      <c r="AS1012" s="67"/>
      <c r="AT1012" s="67"/>
    </row>
    <row r="1013">
      <c r="A1013" s="86"/>
      <c r="B1013" s="302" t="s">
        <v>145</v>
      </c>
      <c r="C1013" s="302"/>
      <c r="D1013" s="76" t="s">
        <v>11174</v>
      </c>
      <c r="E1013" s="574">
        <v>46157.0</v>
      </c>
      <c r="F1013" s="762"/>
      <c r="G1013" s="762"/>
      <c r="H1013" s="762"/>
      <c r="I1013" s="762"/>
      <c r="J1013" s="76" t="s">
        <v>114</v>
      </c>
      <c r="K1013" s="76"/>
      <c r="L1013" s="318"/>
      <c r="M1013" s="85" t="s">
        <v>60</v>
      </c>
      <c r="N1013" s="157" t="s">
        <v>11820</v>
      </c>
      <c r="O1013" s="76" t="s">
        <v>11821</v>
      </c>
      <c r="P1013" s="523">
        <v>32681.0</v>
      </c>
      <c r="Q1013" s="315">
        <f t="shared" si="116"/>
        <v>32681</v>
      </c>
      <c r="R1013" s="86">
        <f t="shared" si="117"/>
        <v>37</v>
      </c>
      <c r="S1013" s="76">
        <v>3.268020931E9</v>
      </c>
      <c r="T1013" s="315"/>
      <c r="U1013" s="76" t="s">
        <v>379</v>
      </c>
      <c r="V1013" s="76"/>
      <c r="W1013" s="76"/>
      <c r="X1013" s="76" t="s">
        <v>182</v>
      </c>
      <c r="Y1013" s="97"/>
      <c r="Z1013" s="85" t="s">
        <v>1755</v>
      </c>
      <c r="AA1013" s="76" t="s">
        <v>114</v>
      </c>
      <c r="AB1013" s="76"/>
      <c r="AC1013" s="76" t="s">
        <v>7398</v>
      </c>
      <c r="AD1013" s="76"/>
      <c r="AE1013" s="76"/>
      <c r="AF1013" s="76"/>
      <c r="AG1013" s="189"/>
      <c r="AH1013" s="76" t="s">
        <v>11819</v>
      </c>
      <c r="AI1013" s="203"/>
      <c r="AJ1013" s="203"/>
      <c r="AK1013" s="203"/>
      <c r="AL1013" s="203"/>
      <c r="AM1013" s="203"/>
      <c r="AN1013" s="203"/>
      <c r="AO1013" s="203"/>
      <c r="AP1013" s="203"/>
      <c r="AQ1013" s="203"/>
      <c r="AR1013" s="203"/>
      <c r="AS1013" s="203"/>
      <c r="AT1013" s="203"/>
    </row>
    <row r="1014">
      <c r="A1014" s="86"/>
      <c r="B1014" s="302" t="s">
        <v>4145</v>
      </c>
      <c r="C1014" s="302"/>
      <c r="D1014" s="76" t="s">
        <v>11174</v>
      </c>
      <c r="E1014" s="574">
        <v>46157.0</v>
      </c>
      <c r="F1014" s="762"/>
      <c r="G1014" s="762"/>
      <c r="H1014" s="762"/>
      <c r="I1014" s="762"/>
      <c r="J1014" s="76" t="s">
        <v>114</v>
      </c>
      <c r="K1014" s="176" t="s">
        <v>1602</v>
      </c>
      <c r="L1014" s="318"/>
      <c r="M1014" s="85" t="s">
        <v>60</v>
      </c>
      <c r="N1014" s="157" t="s">
        <v>11822</v>
      </c>
      <c r="O1014" s="76" t="s">
        <v>11823</v>
      </c>
      <c r="P1014" s="523">
        <v>33903.0</v>
      </c>
      <c r="Q1014" s="315">
        <f t="shared" si="116"/>
        <v>1</v>
      </c>
      <c r="R1014" s="86">
        <f t="shared" si="117"/>
        <v>33</v>
      </c>
      <c r="S1014" s="76"/>
      <c r="T1014" s="315"/>
      <c r="U1014" s="76" t="s">
        <v>379</v>
      </c>
      <c r="V1014" s="76"/>
      <c r="W1014" s="76"/>
      <c r="X1014" s="76" t="s">
        <v>186</v>
      </c>
      <c r="Y1014" s="97"/>
      <c r="Z1014" s="85" t="s">
        <v>1755</v>
      </c>
      <c r="AA1014" s="97"/>
      <c r="AB1014" s="76"/>
      <c r="AC1014" s="76" t="s">
        <v>7398</v>
      </c>
      <c r="AD1014" s="76"/>
      <c r="AE1014" s="76"/>
      <c r="AF1014" s="76"/>
      <c r="AG1014" s="189"/>
      <c r="AH1014" s="76" t="s">
        <v>11819</v>
      </c>
      <c r="AI1014" s="763"/>
      <c r="AJ1014" s="763"/>
      <c r="AK1014" s="763"/>
      <c r="AL1014" s="763"/>
      <c r="AM1014" s="763"/>
      <c r="AN1014" s="763"/>
      <c r="AO1014" s="763"/>
      <c r="AP1014" s="763"/>
      <c r="AQ1014" s="763"/>
      <c r="AR1014" s="763"/>
      <c r="AS1014" s="763"/>
      <c r="AT1014" s="763"/>
    </row>
    <row r="1015">
      <c r="A1015" s="86"/>
      <c r="B1015" s="302" t="s">
        <v>4145</v>
      </c>
      <c r="C1015" s="302"/>
      <c r="D1015" s="76" t="s">
        <v>11174</v>
      </c>
      <c r="E1015" s="574">
        <v>46157.0</v>
      </c>
      <c r="F1015" s="762"/>
      <c r="G1015" s="762"/>
      <c r="H1015" s="762"/>
      <c r="I1015" s="762"/>
      <c r="J1015" s="76" t="s">
        <v>114</v>
      </c>
      <c r="K1015" s="76"/>
      <c r="L1015" s="318"/>
      <c r="M1015" s="85" t="s">
        <v>60</v>
      </c>
      <c r="N1015" s="157" t="s">
        <v>11824</v>
      </c>
      <c r="O1015" s="76" t="s">
        <v>11825</v>
      </c>
      <c r="P1015" s="523">
        <v>30268.0</v>
      </c>
      <c r="Q1015" s="315">
        <f t="shared" si="116"/>
        <v>30268</v>
      </c>
      <c r="R1015" s="86">
        <f t="shared" si="117"/>
        <v>43</v>
      </c>
      <c r="S1015" s="76">
        <v>3.026710415E9</v>
      </c>
      <c r="T1015" s="315"/>
      <c r="U1015" s="76" t="s">
        <v>379</v>
      </c>
      <c r="V1015" s="76"/>
      <c r="W1015" s="76"/>
      <c r="X1015" s="76" t="s">
        <v>186</v>
      </c>
      <c r="Y1015" s="97"/>
      <c r="Z1015" s="85" t="s">
        <v>1755</v>
      </c>
      <c r="AA1015" s="76" t="s">
        <v>1178</v>
      </c>
      <c r="AB1015" s="76"/>
      <c r="AC1015" s="76" t="s">
        <v>7398</v>
      </c>
      <c r="AD1015" s="76"/>
      <c r="AE1015" s="76"/>
      <c r="AF1015" s="76"/>
      <c r="AG1015" s="189"/>
      <c r="AH1015" s="76" t="s">
        <v>11819</v>
      </c>
      <c r="AI1015" s="763"/>
      <c r="AJ1015" s="763"/>
      <c r="AK1015" s="763"/>
      <c r="AL1015" s="763"/>
      <c r="AM1015" s="763"/>
      <c r="AN1015" s="763"/>
      <c r="AO1015" s="763"/>
      <c r="AP1015" s="763"/>
      <c r="AQ1015" s="763"/>
      <c r="AR1015" s="763"/>
      <c r="AS1015" s="763"/>
      <c r="AT1015" s="763"/>
    </row>
    <row r="1016">
      <c r="A1016" s="86"/>
      <c r="B1016" s="302" t="s">
        <v>4145</v>
      </c>
      <c r="C1016" s="302"/>
      <c r="D1016" s="76" t="s">
        <v>4264</v>
      </c>
      <c r="E1016" s="574">
        <v>46187.0</v>
      </c>
      <c r="F1016" s="762"/>
      <c r="G1016" s="762"/>
      <c r="H1016" s="762"/>
      <c r="I1016" s="762"/>
      <c r="J1016" s="76" t="s">
        <v>114</v>
      </c>
      <c r="K1016" s="76"/>
      <c r="L1016" s="318"/>
      <c r="M1016" s="85" t="s">
        <v>60</v>
      </c>
      <c r="N1016" s="157" t="s">
        <v>11826</v>
      </c>
      <c r="O1016" s="76" t="s">
        <v>11827</v>
      </c>
      <c r="P1016" s="523">
        <v>30493.0</v>
      </c>
      <c r="Q1016" s="315">
        <f t="shared" si="116"/>
        <v>30493</v>
      </c>
      <c r="R1016" s="86">
        <f t="shared" si="117"/>
        <v>43</v>
      </c>
      <c r="S1016" s="76">
        <v>3.049205332E9</v>
      </c>
      <c r="T1016" s="76"/>
      <c r="U1016" s="310" t="s">
        <v>379</v>
      </c>
      <c r="V1016" s="76"/>
      <c r="W1016" s="76"/>
      <c r="X1016" s="76" t="s">
        <v>186</v>
      </c>
      <c r="Y1016" s="97"/>
      <c r="Z1016" s="85" t="s">
        <v>4335</v>
      </c>
      <c r="AA1016" s="76"/>
      <c r="AB1016" s="76"/>
      <c r="AC1016" s="76"/>
      <c r="AD1016" s="76"/>
      <c r="AE1016" s="76"/>
      <c r="AF1016" s="76"/>
      <c r="AG1016" s="189"/>
      <c r="AH1016" s="310" t="s">
        <v>11828</v>
      </c>
      <c r="AI1016" s="203"/>
      <c r="AJ1016" s="203"/>
      <c r="AK1016" s="203"/>
      <c r="AL1016" s="203"/>
      <c r="AM1016" s="203"/>
      <c r="AN1016" s="203"/>
      <c r="AO1016" s="203"/>
      <c r="AP1016" s="203"/>
      <c r="AQ1016" s="203"/>
      <c r="AR1016" s="203"/>
      <c r="AS1016" s="203"/>
      <c r="AT1016" s="203"/>
    </row>
    <row r="1017">
      <c r="A1017" s="76" t="s">
        <v>116</v>
      </c>
      <c r="B1017" s="77" t="s">
        <v>1039</v>
      </c>
      <c r="C1017" s="77" t="s">
        <v>1269</v>
      </c>
      <c r="D1017" s="77" t="s">
        <v>1368</v>
      </c>
      <c r="E1017" s="78" t="s">
        <v>178</v>
      </c>
      <c r="F1017" s="80" t="s">
        <v>1369</v>
      </c>
      <c r="G1017" s="77" t="s">
        <v>1371</v>
      </c>
      <c r="H1017" s="77" t="s">
        <v>102</v>
      </c>
      <c r="I1017" s="146" t="s">
        <v>408</v>
      </c>
      <c r="J1017" s="109" t="s">
        <v>114</v>
      </c>
      <c r="K1017" s="85" t="s">
        <v>7801</v>
      </c>
      <c r="L1017" s="87"/>
      <c r="M1017" s="87" t="s">
        <v>60</v>
      </c>
      <c r="N1017" s="86" t="s">
        <v>7696</v>
      </c>
      <c r="O1017" s="86" t="s">
        <v>7697</v>
      </c>
      <c r="P1017" s="523">
        <v>35568.0</v>
      </c>
      <c r="Q1017" s="315">
        <f t="shared" si="116"/>
        <v>35568</v>
      </c>
      <c r="R1017" s="86">
        <f t="shared" si="117"/>
        <v>29</v>
      </c>
      <c r="S1017" s="315">
        <v>3.556712836E9</v>
      </c>
      <c r="T1017" s="315"/>
      <c r="U1017" s="124" t="s">
        <v>393</v>
      </c>
      <c r="V1017" s="86"/>
      <c r="W1017" s="76"/>
      <c r="X1017" s="76"/>
      <c r="Y1017" s="76" t="s">
        <v>2754</v>
      </c>
      <c r="Z1017" s="474" t="s">
        <v>184</v>
      </c>
      <c r="AA1017" s="97"/>
      <c r="AB1017" s="97"/>
      <c r="AC1017" s="97" t="s">
        <v>2451</v>
      </c>
      <c r="AD1017" s="99"/>
      <c r="AE1017" s="76" t="s">
        <v>672</v>
      </c>
      <c r="AF1017" s="76" t="s">
        <v>155</v>
      </c>
      <c r="AG1017" s="76" t="s">
        <v>375</v>
      </c>
      <c r="AH1017" s="76" t="s">
        <v>11829</v>
      </c>
      <c r="AI1017" s="203"/>
      <c r="AJ1017" s="203"/>
      <c r="AK1017" s="203"/>
      <c r="AL1017" s="203"/>
      <c r="AM1017" s="203"/>
      <c r="AN1017" s="203"/>
      <c r="AO1017" s="203"/>
      <c r="AP1017" s="203"/>
      <c r="AQ1017" s="203"/>
      <c r="AR1017" s="203"/>
      <c r="AS1017" s="203"/>
      <c r="AT1017" s="203"/>
    </row>
    <row r="1018">
      <c r="A1018" s="76" t="s">
        <v>116</v>
      </c>
      <c r="B1018" s="77" t="s">
        <v>1039</v>
      </c>
      <c r="C1018" s="77" t="s">
        <v>1269</v>
      </c>
      <c r="D1018" s="77" t="s">
        <v>1494</v>
      </c>
      <c r="E1018" s="78" t="s">
        <v>213</v>
      </c>
      <c r="F1018" s="80" t="s">
        <v>1523</v>
      </c>
      <c r="G1018" s="77" t="s">
        <v>1801</v>
      </c>
      <c r="H1018" s="77" t="s">
        <v>60</v>
      </c>
      <c r="I1018" s="87" t="s">
        <v>1221</v>
      </c>
      <c r="J1018" s="76" t="s">
        <v>114</v>
      </c>
      <c r="K1018" s="85"/>
      <c r="L1018" s="85"/>
      <c r="M1018" s="85" t="s">
        <v>60</v>
      </c>
      <c r="N1018" s="785" t="s">
        <v>7719</v>
      </c>
      <c r="O1018" s="85" t="s">
        <v>2814</v>
      </c>
      <c r="P1018" s="523">
        <v>35223.0</v>
      </c>
      <c r="Q1018" s="315">
        <f t="shared" si="116"/>
        <v>35223</v>
      </c>
      <c r="R1018" s="86">
        <f t="shared" si="117"/>
        <v>30</v>
      </c>
      <c r="S1018" s="315">
        <v>3.522216176E9</v>
      </c>
      <c r="T1018" s="315"/>
      <c r="U1018" s="76" t="s">
        <v>368</v>
      </c>
      <c r="V1018" s="86"/>
      <c r="W1018" s="76"/>
      <c r="X1018" s="76"/>
      <c r="Y1018" s="97" t="s">
        <v>183</v>
      </c>
      <c r="Z1018" s="289" t="s">
        <v>1725</v>
      </c>
      <c r="AA1018" s="76" t="s">
        <v>1178</v>
      </c>
      <c r="AB1018" s="97"/>
      <c r="AC1018" s="76" t="s">
        <v>2451</v>
      </c>
      <c r="AD1018" s="99"/>
      <c r="AE1018" s="76"/>
      <c r="AF1018" s="97"/>
      <c r="AG1018" s="76" t="s">
        <v>375</v>
      </c>
      <c r="AH1018" s="330">
        <v>46048.0</v>
      </c>
      <c r="AI1018" s="203"/>
      <c r="AJ1018" s="203"/>
      <c r="AK1018" s="203"/>
      <c r="AL1018" s="203"/>
      <c r="AM1018" s="203"/>
      <c r="AN1018" s="203"/>
      <c r="AO1018" s="203"/>
      <c r="AP1018" s="203"/>
      <c r="AQ1018" s="203"/>
      <c r="AR1018" s="203"/>
      <c r="AS1018" s="203"/>
      <c r="AT1018" s="203"/>
    </row>
    <row r="1019">
      <c r="A1019" s="76" t="s">
        <v>116</v>
      </c>
      <c r="B1019" s="77" t="s">
        <v>1039</v>
      </c>
      <c r="C1019" s="77" t="s">
        <v>1517</v>
      </c>
      <c r="D1019" s="77" t="s">
        <v>1494</v>
      </c>
      <c r="E1019" s="78" t="s">
        <v>536</v>
      </c>
      <c r="F1019" s="80" t="s">
        <v>2458</v>
      </c>
      <c r="G1019" s="77" t="s">
        <v>537</v>
      </c>
      <c r="H1019" s="77" t="s">
        <v>60</v>
      </c>
      <c r="I1019" s="87" t="s">
        <v>1221</v>
      </c>
      <c r="J1019" s="76" t="s">
        <v>114</v>
      </c>
      <c r="K1019" s="260"/>
      <c r="L1019" s="85"/>
      <c r="M1019" s="85" t="s">
        <v>60</v>
      </c>
      <c r="N1019" s="287" t="s">
        <v>534</v>
      </c>
      <c r="O1019" s="341" t="s">
        <v>535</v>
      </c>
      <c r="P1019" s="825">
        <v>34347.0</v>
      </c>
      <c r="Q1019" s="315">
        <f t="shared" si="116"/>
        <v>34347</v>
      </c>
      <c r="R1019" s="97">
        <f t="shared" si="117"/>
        <v>32</v>
      </c>
      <c r="S1019" s="76">
        <v>3.434608113E9</v>
      </c>
      <c r="T1019" s="168"/>
      <c r="U1019" s="76" t="s">
        <v>136</v>
      </c>
      <c r="V1019" s="76"/>
      <c r="W1019" s="76"/>
      <c r="X1019" s="97"/>
      <c r="Y1019" s="168"/>
      <c r="Z1019" s="176" t="s">
        <v>1460</v>
      </c>
      <c r="AA1019" s="168"/>
      <c r="AB1019" s="97"/>
      <c r="AC1019" s="168"/>
      <c r="AD1019" s="76"/>
      <c r="AE1019" s="76"/>
      <c r="AF1019" s="76"/>
      <c r="AG1019" s="341" t="s">
        <v>1187</v>
      </c>
      <c r="AH1019" s="76" t="s">
        <v>11830</v>
      </c>
      <c r="AI1019" s="203"/>
      <c r="AJ1019" s="203"/>
      <c r="AK1019" s="203"/>
      <c r="AL1019" s="203"/>
      <c r="AM1019" s="203"/>
      <c r="AN1019" s="203"/>
      <c r="AO1019" s="203"/>
      <c r="AP1019" s="203"/>
      <c r="AQ1019" s="203"/>
      <c r="AR1019" s="203"/>
      <c r="AS1019" s="203"/>
      <c r="AT1019" s="203"/>
    </row>
    <row r="1020">
      <c r="A1020" s="76" t="s">
        <v>116</v>
      </c>
      <c r="B1020" s="77" t="s">
        <v>1039</v>
      </c>
      <c r="C1020" s="77" t="s">
        <v>1611</v>
      </c>
      <c r="D1020" s="77" t="s">
        <v>1368</v>
      </c>
      <c r="E1020" s="78" t="s">
        <v>302</v>
      </c>
      <c r="F1020" s="80" t="s">
        <v>1404</v>
      </c>
      <c r="G1020" s="77" t="s">
        <v>585</v>
      </c>
      <c r="H1020" s="77" t="s">
        <v>326</v>
      </c>
      <c r="I1020" s="87" t="s">
        <v>1221</v>
      </c>
      <c r="J1020" s="76" t="s">
        <v>114</v>
      </c>
      <c r="K1020" s="109"/>
      <c r="L1020" s="109"/>
      <c r="M1020" s="109" t="s">
        <v>60</v>
      </c>
      <c r="N1020" s="785" t="s">
        <v>580</v>
      </c>
      <c r="O1020" s="76" t="s">
        <v>581</v>
      </c>
      <c r="P1020" s="523">
        <v>32299.0</v>
      </c>
      <c r="Q1020" s="315" t="str">
        <f t="shared" si="116"/>
        <v>#VALUE!</v>
      </c>
      <c r="R1020" s="86">
        <f t="shared" si="117"/>
        <v>38</v>
      </c>
      <c r="S1020" s="76" t="s">
        <v>3642</v>
      </c>
      <c r="T1020" s="315"/>
      <c r="U1020" s="76" t="s">
        <v>368</v>
      </c>
      <c r="V1020" s="97"/>
      <c r="W1020" s="76"/>
      <c r="X1020" s="76"/>
      <c r="Y1020" s="97" t="s">
        <v>183</v>
      </c>
      <c r="Z1020" s="300" t="s">
        <v>991</v>
      </c>
      <c r="AA1020" s="76" t="s">
        <v>1178</v>
      </c>
      <c r="AB1020" s="97"/>
      <c r="AC1020" s="97"/>
      <c r="AD1020" s="99"/>
      <c r="AE1020" s="76"/>
      <c r="AF1020" s="76"/>
      <c r="AG1020" s="76" t="s">
        <v>1187</v>
      </c>
      <c r="AH1020" s="153">
        <v>46167.0</v>
      </c>
      <c r="AI1020" s="203"/>
      <c r="AJ1020" s="203"/>
      <c r="AK1020" s="203"/>
      <c r="AL1020" s="203"/>
      <c r="AM1020" s="203"/>
      <c r="AN1020" s="203"/>
      <c r="AO1020" s="203"/>
      <c r="AP1020" s="203"/>
      <c r="AQ1020" s="203"/>
      <c r="AR1020" s="203"/>
      <c r="AS1020" s="203"/>
      <c r="AT1020" s="203"/>
    </row>
    <row r="1021">
      <c r="A1021" s="76" t="s">
        <v>116</v>
      </c>
      <c r="B1021" s="77" t="s">
        <v>1039</v>
      </c>
      <c r="C1021" s="77" t="s">
        <v>1728</v>
      </c>
      <c r="D1021" s="77" t="s">
        <v>121</v>
      </c>
      <c r="E1021" s="78" t="s">
        <v>178</v>
      </c>
      <c r="F1021" s="80" t="s">
        <v>3247</v>
      </c>
      <c r="G1021" s="77" t="s">
        <v>712</v>
      </c>
      <c r="H1021" s="77" t="s">
        <v>102</v>
      </c>
      <c r="I1021" s="146" t="s">
        <v>408</v>
      </c>
      <c r="J1021" s="85" t="s">
        <v>114</v>
      </c>
      <c r="K1021" s="85"/>
      <c r="L1021" s="85"/>
      <c r="M1021" s="85" t="s">
        <v>60</v>
      </c>
      <c r="N1021" s="256" t="s">
        <v>9482</v>
      </c>
      <c r="O1021" s="76" t="s">
        <v>9483</v>
      </c>
      <c r="P1021" s="523">
        <v>28456.0</v>
      </c>
      <c r="Q1021" s="315">
        <f t="shared" si="116"/>
        <v>28456</v>
      </c>
      <c r="R1021" s="97">
        <f t="shared" si="117"/>
        <v>48</v>
      </c>
      <c r="S1021" s="76">
        <v>2.845510713E9</v>
      </c>
      <c r="T1021" s="315"/>
      <c r="U1021" s="76" t="s">
        <v>368</v>
      </c>
      <c r="V1021" s="76"/>
      <c r="W1021" s="76"/>
      <c r="X1021" s="76"/>
      <c r="Y1021" s="97" t="s">
        <v>183</v>
      </c>
      <c r="Z1021" s="278" t="s">
        <v>2090</v>
      </c>
      <c r="AA1021" s="76" t="s">
        <v>1178</v>
      </c>
      <c r="AB1021" s="76"/>
      <c r="AC1021" s="97"/>
      <c r="AD1021" s="99"/>
      <c r="AE1021" s="76"/>
      <c r="AF1021" s="76"/>
      <c r="AG1021" s="76" t="s">
        <v>1187</v>
      </c>
      <c r="AH1021" s="153">
        <v>46096.0</v>
      </c>
      <c r="AI1021" s="203"/>
      <c r="AJ1021" s="203"/>
      <c r="AK1021" s="203"/>
      <c r="AL1021" s="203"/>
      <c r="AM1021" s="203"/>
      <c r="AN1021" s="203"/>
      <c r="AO1021" s="203"/>
      <c r="AP1021" s="203"/>
      <c r="AQ1021" s="203"/>
      <c r="AR1021" s="203"/>
      <c r="AS1021" s="203"/>
      <c r="AT1021" s="203"/>
    </row>
    <row r="1022">
      <c r="A1022" s="76" t="s">
        <v>116</v>
      </c>
      <c r="B1022" s="77" t="s">
        <v>1039</v>
      </c>
      <c r="C1022" s="77" t="s">
        <v>1728</v>
      </c>
      <c r="D1022" s="77" t="s">
        <v>121</v>
      </c>
      <c r="E1022" s="78" t="s">
        <v>287</v>
      </c>
      <c r="F1022" s="80" t="s">
        <v>2853</v>
      </c>
      <c r="G1022" s="77" t="s">
        <v>739</v>
      </c>
      <c r="H1022" s="77" t="s">
        <v>60</v>
      </c>
      <c r="I1022" s="87" t="s">
        <v>1221</v>
      </c>
      <c r="J1022" s="85" t="s">
        <v>114</v>
      </c>
      <c r="K1022" s="176" t="s">
        <v>11831</v>
      </c>
      <c r="L1022" s="76"/>
      <c r="M1022" s="76" t="s">
        <v>60</v>
      </c>
      <c r="N1022" s="256" t="s">
        <v>735</v>
      </c>
      <c r="O1022" s="291" t="s">
        <v>737</v>
      </c>
      <c r="P1022" s="523">
        <v>28458.0</v>
      </c>
      <c r="Q1022" s="315">
        <f t="shared" si="116"/>
        <v>28458</v>
      </c>
      <c r="R1022" s="97">
        <f t="shared" si="117"/>
        <v>48</v>
      </c>
      <c r="S1022" s="355">
        <v>2.845714635E9</v>
      </c>
      <c r="T1022" s="86"/>
      <c r="U1022" s="76" t="s">
        <v>368</v>
      </c>
      <c r="V1022" s="76"/>
      <c r="W1022" s="76"/>
      <c r="X1022" s="76"/>
      <c r="Y1022" s="97" t="s">
        <v>1174</v>
      </c>
      <c r="Z1022" s="216" t="s">
        <v>2155</v>
      </c>
      <c r="AA1022" s="76" t="s">
        <v>1178</v>
      </c>
      <c r="AB1022" s="97"/>
      <c r="AC1022" s="168"/>
      <c r="AD1022" s="168"/>
      <c r="AE1022" s="76"/>
      <c r="AF1022" s="76"/>
      <c r="AG1022" s="76"/>
      <c r="AH1022" s="153">
        <v>46169.0</v>
      </c>
      <c r="AI1022" s="203"/>
      <c r="AJ1022" s="203"/>
      <c r="AK1022" s="203"/>
      <c r="AL1022" s="203"/>
      <c r="AM1022" s="203"/>
      <c r="AN1022" s="203"/>
      <c r="AO1022" s="203"/>
      <c r="AP1022" s="203"/>
      <c r="AQ1022" s="203"/>
      <c r="AR1022" s="203"/>
      <c r="AS1022" s="203"/>
      <c r="AT1022" s="203"/>
    </row>
    <row r="1023">
      <c r="A1023" s="76" t="s">
        <v>116</v>
      </c>
      <c r="B1023" s="77" t="s">
        <v>1709</v>
      </c>
      <c r="C1023" s="77" t="s">
        <v>1269</v>
      </c>
      <c r="D1023" s="77" t="s">
        <v>1519</v>
      </c>
      <c r="E1023" s="78" t="s">
        <v>213</v>
      </c>
      <c r="F1023" s="80" t="s">
        <v>1523</v>
      </c>
      <c r="G1023" s="77" t="s">
        <v>1225</v>
      </c>
      <c r="H1023" s="77" t="s">
        <v>60</v>
      </c>
      <c r="I1023" s="87" t="s">
        <v>1221</v>
      </c>
      <c r="J1023" s="76" t="s">
        <v>114</v>
      </c>
      <c r="K1023" s="76"/>
      <c r="L1023" s="318"/>
      <c r="M1023" s="85" t="s">
        <v>60</v>
      </c>
      <c r="N1023" s="157" t="s">
        <v>11832</v>
      </c>
      <c r="O1023" s="76" t="s">
        <v>11833</v>
      </c>
      <c r="P1023" s="523">
        <v>33330.0</v>
      </c>
      <c r="Q1023" s="315">
        <f t="shared" si="116"/>
        <v>33330</v>
      </c>
      <c r="R1023" s="86">
        <f t="shared" si="117"/>
        <v>35</v>
      </c>
      <c r="S1023" s="76">
        <v>3.332921378E9</v>
      </c>
      <c r="T1023" s="315"/>
      <c r="U1023" s="76" t="s">
        <v>379</v>
      </c>
      <c r="V1023" s="76"/>
      <c r="W1023" s="76"/>
      <c r="X1023" s="76" t="s">
        <v>186</v>
      </c>
      <c r="Y1023" s="276"/>
      <c r="Z1023" s="85" t="s">
        <v>1755</v>
      </c>
      <c r="AA1023" s="97"/>
      <c r="AB1023" s="97"/>
      <c r="AC1023" s="76" t="s">
        <v>7398</v>
      </c>
      <c r="AD1023" s="76"/>
      <c r="AE1023" s="76"/>
      <c r="AF1023" s="76" t="s">
        <v>11643</v>
      </c>
      <c r="AG1023" s="189"/>
      <c r="AH1023" s="76" t="s">
        <v>11819</v>
      </c>
      <c r="AI1023" s="203"/>
      <c r="AJ1023" s="203"/>
      <c r="AK1023" s="203"/>
      <c r="AL1023" s="203"/>
      <c r="AM1023" s="203"/>
      <c r="AN1023" s="203"/>
      <c r="AO1023" s="203"/>
      <c r="AP1023" s="203"/>
      <c r="AQ1023" s="203"/>
      <c r="AR1023" s="203"/>
      <c r="AS1023" s="203"/>
      <c r="AT1023" s="203"/>
    </row>
    <row r="1024">
      <c r="A1024" s="76" t="s">
        <v>116</v>
      </c>
      <c r="B1024" s="77" t="s">
        <v>1709</v>
      </c>
      <c r="C1024" s="77" t="s">
        <v>1517</v>
      </c>
      <c r="D1024" s="77" t="s">
        <v>1368</v>
      </c>
      <c r="E1024" s="78" t="s">
        <v>213</v>
      </c>
      <c r="F1024" s="80" t="s">
        <v>1523</v>
      </c>
      <c r="G1024" s="77" t="s">
        <v>5961</v>
      </c>
      <c r="H1024" s="77" t="s">
        <v>60</v>
      </c>
      <c r="I1024" s="87" t="s">
        <v>1221</v>
      </c>
      <c r="J1024" s="85" t="s">
        <v>114</v>
      </c>
      <c r="K1024" s="124" t="s">
        <v>11834</v>
      </c>
      <c r="L1024" s="76"/>
      <c r="M1024" s="85" t="s">
        <v>60</v>
      </c>
      <c r="N1024" s="287" t="s">
        <v>9902</v>
      </c>
      <c r="O1024" s="76" t="s">
        <v>9903</v>
      </c>
      <c r="P1024" s="523">
        <v>32809.0</v>
      </c>
      <c r="Q1024" s="315">
        <f t="shared" si="116"/>
        <v>32809</v>
      </c>
      <c r="R1024" s="86">
        <f t="shared" si="117"/>
        <v>36</v>
      </c>
      <c r="S1024" s="76">
        <v>3.28080335E9</v>
      </c>
      <c r="T1024" s="86"/>
      <c r="U1024" s="76" t="s">
        <v>136</v>
      </c>
      <c r="V1024" s="76"/>
      <c r="W1024" s="76"/>
      <c r="X1024" s="76"/>
      <c r="Y1024" s="211" t="s">
        <v>2155</v>
      </c>
      <c r="Z1024" s="501" t="s">
        <v>418</v>
      </c>
      <c r="AA1024" s="168"/>
      <c r="AB1024" s="97"/>
      <c r="AC1024" s="168"/>
      <c r="AD1024" s="168"/>
      <c r="AE1024" s="76"/>
      <c r="AF1024" s="1089" t="s">
        <v>155</v>
      </c>
      <c r="AG1024" s="341" t="s">
        <v>1187</v>
      </c>
      <c r="AH1024" s="76" t="s">
        <v>6482</v>
      </c>
      <c r="AI1024" s="203"/>
      <c r="AJ1024" s="203"/>
      <c r="AK1024" s="203"/>
      <c r="AL1024" s="203"/>
      <c r="AM1024" s="203"/>
      <c r="AN1024" s="203"/>
      <c r="AO1024" s="203"/>
      <c r="AP1024" s="203"/>
      <c r="AQ1024" s="203"/>
      <c r="AR1024" s="203"/>
      <c r="AS1024" s="203"/>
      <c r="AT1024" s="203"/>
    </row>
    <row r="1025">
      <c r="A1025" s="76" t="s">
        <v>116</v>
      </c>
      <c r="B1025" s="77" t="s">
        <v>1709</v>
      </c>
      <c r="C1025" s="77" t="s">
        <v>1728</v>
      </c>
      <c r="D1025" s="77" t="s">
        <v>121</v>
      </c>
      <c r="E1025" s="78" t="s">
        <v>331</v>
      </c>
      <c r="F1025" s="80" t="s">
        <v>1731</v>
      </c>
      <c r="G1025" s="77" t="s">
        <v>6848</v>
      </c>
      <c r="H1025" s="77" t="s">
        <v>60</v>
      </c>
      <c r="I1025" s="87" t="s">
        <v>1221</v>
      </c>
      <c r="J1025" s="76" t="s">
        <v>114</v>
      </c>
      <c r="K1025" s="85"/>
      <c r="L1025" s="85"/>
      <c r="M1025" s="85" t="s">
        <v>60</v>
      </c>
      <c r="N1025" s="76" t="s">
        <v>9495</v>
      </c>
      <c r="O1025" s="76" t="s">
        <v>9496</v>
      </c>
      <c r="P1025" s="523">
        <v>31090.0</v>
      </c>
      <c r="Q1025" s="315">
        <f t="shared" si="116"/>
        <v>31090</v>
      </c>
      <c r="R1025" s="86">
        <f t="shared" si="117"/>
        <v>41</v>
      </c>
      <c r="S1025" s="76">
        <v>3.108921719E9</v>
      </c>
      <c r="T1025" s="76" t="s">
        <v>11599</v>
      </c>
      <c r="U1025" s="76" t="s">
        <v>393</v>
      </c>
      <c r="V1025" s="76"/>
      <c r="W1025" s="76"/>
      <c r="X1025" s="76"/>
      <c r="Y1025" s="97" t="s">
        <v>1174</v>
      </c>
      <c r="Z1025" s="278" t="s">
        <v>2090</v>
      </c>
      <c r="AA1025" s="76"/>
      <c r="AB1025" s="97"/>
      <c r="AC1025" s="97"/>
      <c r="AD1025" s="99"/>
      <c r="AE1025" s="76" t="s">
        <v>154</v>
      </c>
      <c r="AF1025" s="76" t="s">
        <v>4767</v>
      </c>
      <c r="AG1025" s="76"/>
      <c r="AH1025" s="76" t="s">
        <v>11835</v>
      </c>
      <c r="AI1025" s="203"/>
      <c r="AJ1025" s="203"/>
      <c r="AK1025" s="203"/>
      <c r="AL1025" s="203"/>
      <c r="AM1025" s="203"/>
      <c r="AN1025" s="203"/>
      <c r="AO1025" s="203"/>
      <c r="AP1025" s="203"/>
      <c r="AQ1025" s="203"/>
      <c r="AR1025" s="203"/>
      <c r="AS1025" s="203"/>
      <c r="AT1025" s="203"/>
    </row>
    <row r="1026">
      <c r="A1026" s="76" t="s">
        <v>116</v>
      </c>
      <c r="B1026" s="77" t="s">
        <v>3722</v>
      </c>
      <c r="C1026" s="77" t="s">
        <v>6996</v>
      </c>
      <c r="D1026" s="77" t="s">
        <v>7199</v>
      </c>
      <c r="E1026" s="78" t="s">
        <v>786</v>
      </c>
      <c r="F1026" s="80" t="s">
        <v>7095</v>
      </c>
      <c r="G1026" s="77" t="s">
        <v>7236</v>
      </c>
      <c r="H1026" s="77" t="s">
        <v>60</v>
      </c>
      <c r="I1026" s="87" t="s">
        <v>1221</v>
      </c>
      <c r="J1026" s="76" t="s">
        <v>114</v>
      </c>
      <c r="K1026" s="76"/>
      <c r="L1026" s="318"/>
      <c r="M1026" s="595" t="s">
        <v>60</v>
      </c>
      <c r="N1026" s="1123" t="s">
        <v>11836</v>
      </c>
      <c r="O1026" s="76" t="s">
        <v>11837</v>
      </c>
      <c r="P1026" s="523">
        <v>32311.0</v>
      </c>
      <c r="Q1026" s="315">
        <f t="shared" si="116"/>
        <v>1</v>
      </c>
      <c r="R1026" s="86">
        <f t="shared" si="117"/>
        <v>38</v>
      </c>
      <c r="S1026" s="76"/>
      <c r="T1026" s="315"/>
      <c r="U1026" s="76" t="s">
        <v>379</v>
      </c>
      <c r="V1026" s="76" t="s">
        <v>583</v>
      </c>
      <c r="W1026" s="76"/>
      <c r="X1026" s="76"/>
      <c r="Y1026" s="97"/>
      <c r="Z1026" s="216" t="s">
        <v>1815</v>
      </c>
      <c r="AA1026" s="76" t="s">
        <v>1178</v>
      </c>
      <c r="AB1026" s="97"/>
      <c r="AC1026" s="76" t="s">
        <v>5062</v>
      </c>
      <c r="AD1026" s="76"/>
      <c r="AE1026" s="76"/>
      <c r="AF1026" s="76" t="s">
        <v>1819</v>
      </c>
      <c r="AG1026" s="189"/>
      <c r="AH1026" s="76" t="s">
        <v>11838</v>
      </c>
      <c r="AI1026" s="203"/>
      <c r="AJ1026" s="203"/>
      <c r="AK1026" s="203"/>
      <c r="AL1026" s="203"/>
      <c r="AM1026" s="203"/>
      <c r="AN1026" s="203"/>
      <c r="AO1026" s="203"/>
      <c r="AP1026" s="203"/>
      <c r="AQ1026" s="203"/>
      <c r="AR1026" s="203"/>
      <c r="AS1026" s="203"/>
      <c r="AT1026" s="203"/>
    </row>
    <row r="1027">
      <c r="A1027" s="76" t="s">
        <v>116</v>
      </c>
      <c r="B1027" s="77" t="s">
        <v>3722</v>
      </c>
      <c r="C1027" s="77" t="s">
        <v>7267</v>
      </c>
      <c r="D1027" s="77" t="s">
        <v>7134</v>
      </c>
      <c r="E1027" s="78" t="s">
        <v>786</v>
      </c>
      <c r="F1027" s="80" t="s">
        <v>1216</v>
      </c>
      <c r="G1027" s="77" t="s">
        <v>1486</v>
      </c>
      <c r="H1027" s="77" t="s">
        <v>60</v>
      </c>
      <c r="I1027" s="87" t="s">
        <v>1221</v>
      </c>
      <c r="J1027" s="85" t="s">
        <v>114</v>
      </c>
      <c r="K1027" s="85" t="s">
        <v>11839</v>
      </c>
      <c r="L1027" s="85"/>
      <c r="M1027" s="85" t="s">
        <v>60</v>
      </c>
      <c r="N1027" s="287" t="s">
        <v>2892</v>
      </c>
      <c r="O1027" s="76" t="s">
        <v>2248</v>
      </c>
      <c r="P1027" s="523">
        <v>33705.0</v>
      </c>
      <c r="Q1027" s="315">
        <f t="shared" si="116"/>
        <v>33705</v>
      </c>
      <c r="R1027" s="97">
        <f t="shared" si="117"/>
        <v>34</v>
      </c>
      <c r="S1027" s="76">
        <v>3.370404633E9</v>
      </c>
      <c r="T1027" s="315"/>
      <c r="U1027" s="76" t="s">
        <v>136</v>
      </c>
      <c r="V1027" s="76"/>
      <c r="W1027" s="76"/>
      <c r="X1027" s="76"/>
      <c r="Y1027" s="97" t="s">
        <v>1174</v>
      </c>
      <c r="Z1027" s="278" t="s">
        <v>2090</v>
      </c>
      <c r="AA1027" s="76"/>
      <c r="AB1027" s="76"/>
      <c r="AC1027" s="76"/>
      <c r="AD1027" s="76"/>
      <c r="AE1027" s="76"/>
      <c r="AF1027" s="76"/>
      <c r="AG1027" s="153">
        <v>46152.0</v>
      </c>
      <c r="AH1027" s="153">
        <v>46174.0</v>
      </c>
      <c r="AI1027" s="203"/>
      <c r="AJ1027" s="203"/>
      <c r="AK1027" s="203"/>
      <c r="AL1027" s="203"/>
      <c r="AM1027" s="203"/>
      <c r="AN1027" s="203"/>
      <c r="AO1027" s="203"/>
      <c r="AP1027" s="203"/>
      <c r="AQ1027" s="203"/>
      <c r="AR1027" s="203"/>
      <c r="AS1027" s="203"/>
      <c r="AT1027" s="203"/>
    </row>
    <row r="1028">
      <c r="A1028" s="76" t="s">
        <v>116</v>
      </c>
      <c r="B1028" s="77" t="s">
        <v>1433</v>
      </c>
      <c r="C1028" s="77" t="s">
        <v>121</v>
      </c>
      <c r="D1028" s="77" t="s">
        <v>121</v>
      </c>
      <c r="E1028" s="78" t="s">
        <v>170</v>
      </c>
      <c r="F1028" s="80" t="s">
        <v>126</v>
      </c>
      <c r="G1028" s="77" t="s">
        <v>8259</v>
      </c>
      <c r="H1028" s="77" t="s">
        <v>143</v>
      </c>
      <c r="I1028" s="82" t="s">
        <v>135</v>
      </c>
      <c r="J1028" s="86"/>
      <c r="K1028" s="86"/>
      <c r="L1028" s="86"/>
      <c r="M1028" s="211" t="s">
        <v>36</v>
      </c>
      <c r="N1028" s="159" t="s">
        <v>11840</v>
      </c>
      <c r="O1028" s="86"/>
      <c r="P1028" s="315"/>
      <c r="Q1028" s="86"/>
      <c r="R1028" s="86"/>
      <c r="S1028" s="315"/>
      <c r="T1028" s="315"/>
      <c r="U1028" s="76" t="s">
        <v>379</v>
      </c>
      <c r="V1028" s="76"/>
      <c r="W1028" s="86"/>
      <c r="X1028" s="97"/>
      <c r="Y1028" s="86"/>
      <c r="Z1028" s="86"/>
      <c r="AA1028" s="86"/>
      <c r="AB1028" s="97"/>
      <c r="AC1028" s="160" t="s">
        <v>630</v>
      </c>
      <c r="AD1028" s="76" t="s">
        <v>632</v>
      </c>
      <c r="AE1028" s="76" t="s">
        <v>632</v>
      </c>
      <c r="AF1028" s="160" t="s">
        <v>630</v>
      </c>
      <c r="AG1028" s="112"/>
      <c r="AH1028" s="76" t="s">
        <v>1</v>
      </c>
      <c r="AI1028" s="203"/>
      <c r="AJ1028" s="203"/>
      <c r="AK1028" s="203"/>
      <c r="AL1028" s="203"/>
      <c r="AM1028" s="203"/>
      <c r="AN1028" s="203"/>
      <c r="AO1028" s="203"/>
      <c r="AP1028" s="203"/>
      <c r="AQ1028" s="203"/>
      <c r="AR1028" s="203"/>
      <c r="AS1028" s="203"/>
      <c r="AT1028" s="203"/>
    </row>
    <row r="1029">
      <c r="A1029" s="76" t="s">
        <v>116</v>
      </c>
      <c r="B1029" s="77" t="s">
        <v>1728</v>
      </c>
      <c r="C1029" s="77" t="s">
        <v>121</v>
      </c>
      <c r="D1029" s="77" t="s">
        <v>121</v>
      </c>
      <c r="E1029" s="78" t="s">
        <v>178</v>
      </c>
      <c r="F1029" s="80" t="s">
        <v>3247</v>
      </c>
      <c r="G1029" s="77" t="s">
        <v>1799</v>
      </c>
      <c r="H1029" s="77" t="s">
        <v>102</v>
      </c>
      <c r="I1029" s="146" t="s">
        <v>408</v>
      </c>
      <c r="J1029" s="85" t="s">
        <v>114</v>
      </c>
      <c r="K1029" s="176" t="s">
        <v>11841</v>
      </c>
      <c r="L1029" s="85"/>
      <c r="M1029" s="85" t="s">
        <v>60</v>
      </c>
      <c r="N1029" s="679" t="s">
        <v>1797</v>
      </c>
      <c r="O1029" s="34" t="s">
        <v>1275</v>
      </c>
      <c r="P1029" s="1135">
        <v>29587.0</v>
      </c>
      <c r="Q1029" s="315">
        <f t="shared" ref="Q1029:Q1030" si="118">VALUE(LEFT(TEXT(S1029,0),5))+1</f>
        <v>29587</v>
      </c>
      <c r="R1029" s="86">
        <f t="shared" ref="R1029:R1030" si="119">DATEDIF($P1029,TODAY(),"Y")</f>
        <v>45</v>
      </c>
      <c r="S1029" s="76">
        <v>2.958617774E9</v>
      </c>
      <c r="T1029" s="315"/>
      <c r="U1029" s="76" t="s">
        <v>379</v>
      </c>
      <c r="V1029" s="76"/>
      <c r="W1029" s="76"/>
      <c r="X1029" s="97"/>
      <c r="Y1029" s="97" t="s">
        <v>1174</v>
      </c>
      <c r="Z1029" s="728" t="s">
        <v>2482</v>
      </c>
      <c r="AA1029" s="76"/>
      <c r="AB1029" s="76" t="s">
        <v>226</v>
      </c>
      <c r="AC1029" s="76">
        <v>155.0</v>
      </c>
      <c r="AD1029" s="99"/>
      <c r="AE1029" s="76"/>
      <c r="AF1029" s="76" t="s">
        <v>11842</v>
      </c>
      <c r="AG1029" s="76"/>
      <c r="AH1029" s="76" t="s">
        <v>11661</v>
      </c>
      <c r="AI1029" s="203"/>
      <c r="AJ1029" s="203"/>
      <c r="AK1029" s="203"/>
      <c r="AL1029" s="203"/>
      <c r="AM1029" s="203"/>
      <c r="AN1029" s="203"/>
      <c r="AO1029" s="203"/>
      <c r="AP1029" s="203"/>
      <c r="AQ1029" s="203"/>
      <c r="AR1029" s="203"/>
      <c r="AS1029" s="203"/>
      <c r="AT1029" s="203"/>
    </row>
    <row r="1030">
      <c r="A1030" s="76" t="s">
        <v>116</v>
      </c>
      <c r="B1030" s="77" t="s">
        <v>3898</v>
      </c>
      <c r="C1030" s="77" t="s">
        <v>7243</v>
      </c>
      <c r="D1030" s="77" t="s">
        <v>121</v>
      </c>
      <c r="E1030" s="78" t="s">
        <v>1978</v>
      </c>
      <c r="F1030" s="80" t="s">
        <v>7224</v>
      </c>
      <c r="G1030" s="77" t="s">
        <v>2008</v>
      </c>
      <c r="H1030" s="77" t="s">
        <v>60</v>
      </c>
      <c r="I1030" s="87" t="s">
        <v>1221</v>
      </c>
      <c r="J1030" s="85" t="s">
        <v>114</v>
      </c>
      <c r="K1030" s="85"/>
      <c r="L1030" s="85"/>
      <c r="M1030" s="85" t="s">
        <v>60</v>
      </c>
      <c r="N1030" s="256" t="s">
        <v>2005</v>
      </c>
      <c r="O1030" s="295" t="s">
        <v>2006</v>
      </c>
      <c r="P1030" s="523">
        <v>34281.0</v>
      </c>
      <c r="Q1030" s="315">
        <f t="shared" si="118"/>
        <v>34281</v>
      </c>
      <c r="R1030" s="97">
        <f t="shared" si="119"/>
        <v>32</v>
      </c>
      <c r="S1030" s="76">
        <v>3.428008317E9</v>
      </c>
      <c r="T1030" s="315"/>
      <c r="U1030" s="76" t="s">
        <v>368</v>
      </c>
      <c r="V1030" s="76"/>
      <c r="W1030" s="76"/>
      <c r="X1030" s="76"/>
      <c r="Y1030" s="97" t="s">
        <v>183</v>
      </c>
      <c r="Z1030" s="278" t="s">
        <v>2090</v>
      </c>
      <c r="AA1030" s="76" t="s">
        <v>1178</v>
      </c>
      <c r="AB1030" s="76"/>
      <c r="AC1030" s="97"/>
      <c r="AD1030" s="99"/>
      <c r="AE1030" s="76"/>
      <c r="AF1030" s="76" t="s">
        <v>11843</v>
      </c>
      <c r="AG1030" s="76" t="s">
        <v>1187</v>
      </c>
      <c r="AH1030" s="153">
        <v>46173.0</v>
      </c>
      <c r="AI1030" s="203"/>
      <c r="AJ1030" s="203"/>
      <c r="AK1030" s="203"/>
      <c r="AL1030" s="203"/>
      <c r="AM1030" s="203"/>
      <c r="AN1030" s="203"/>
      <c r="AO1030" s="203"/>
      <c r="AP1030" s="203"/>
      <c r="AQ1030" s="203"/>
      <c r="AR1030" s="203"/>
      <c r="AS1030" s="203"/>
      <c r="AT1030" s="203"/>
    </row>
    <row r="1031">
      <c r="A1031" s="76" t="s">
        <v>116</v>
      </c>
      <c r="B1031" s="77" t="s">
        <v>1728</v>
      </c>
      <c r="C1031" s="77" t="s">
        <v>121</v>
      </c>
      <c r="D1031" s="77" t="s">
        <v>121</v>
      </c>
      <c r="E1031" s="78" t="s">
        <v>287</v>
      </c>
      <c r="F1031" s="80" t="s">
        <v>2853</v>
      </c>
      <c r="G1031" s="77" t="s">
        <v>288</v>
      </c>
      <c r="H1031" s="77" t="s">
        <v>60</v>
      </c>
      <c r="I1031" s="87" t="s">
        <v>1221</v>
      </c>
      <c r="J1031" s="76" t="s">
        <v>114</v>
      </c>
      <c r="K1031" s="76"/>
      <c r="L1031" s="318"/>
      <c r="M1031" s="85" t="s">
        <v>60</v>
      </c>
      <c r="N1031" s="157" t="s">
        <v>11844</v>
      </c>
      <c r="O1031" s="76" t="s">
        <v>11845</v>
      </c>
      <c r="P1031" s="523">
        <v>32227.0</v>
      </c>
      <c r="Q1031" s="315"/>
      <c r="R1031" s="86"/>
      <c r="S1031" s="76"/>
      <c r="T1031" s="315"/>
      <c r="U1031" s="76" t="s">
        <v>379</v>
      </c>
      <c r="V1031" s="76"/>
      <c r="W1031" s="76"/>
      <c r="X1031" s="76" t="s">
        <v>186</v>
      </c>
      <c r="Y1031" s="97"/>
      <c r="Z1031" s="85" t="s">
        <v>1755</v>
      </c>
      <c r="AA1031" s="76" t="s">
        <v>1178</v>
      </c>
      <c r="AB1031" s="76"/>
      <c r="AC1031" s="76" t="s">
        <v>7398</v>
      </c>
      <c r="AD1031" s="76"/>
      <c r="AE1031" s="76"/>
      <c r="AF1031" s="76" t="s">
        <v>11846</v>
      </c>
      <c r="AG1031" s="189"/>
      <c r="AH1031" s="76" t="s">
        <v>11819</v>
      </c>
      <c r="AI1031" s="203"/>
      <c r="AJ1031" s="203"/>
      <c r="AK1031" s="203"/>
      <c r="AL1031" s="203"/>
      <c r="AM1031" s="203"/>
      <c r="AN1031" s="203"/>
      <c r="AO1031" s="203"/>
      <c r="AP1031" s="203"/>
      <c r="AQ1031" s="203"/>
      <c r="AR1031" s="203"/>
      <c r="AS1031" s="203"/>
      <c r="AT1031" s="203"/>
    </row>
    <row r="1032">
      <c r="A1032" s="76" t="s">
        <v>116</v>
      </c>
      <c r="B1032" s="77" t="s">
        <v>3297</v>
      </c>
      <c r="C1032" s="77" t="s">
        <v>3298</v>
      </c>
      <c r="D1032" s="77" t="s">
        <v>121</v>
      </c>
      <c r="E1032" s="78" t="s">
        <v>201</v>
      </c>
      <c r="F1032" s="80" t="s">
        <v>1849</v>
      </c>
      <c r="G1032" s="77" t="s">
        <v>8136</v>
      </c>
      <c r="H1032" s="77" t="s">
        <v>60</v>
      </c>
      <c r="I1032" s="87" t="s">
        <v>1221</v>
      </c>
      <c r="AI1032" s="203"/>
      <c r="AJ1032" s="203"/>
      <c r="AK1032" s="203"/>
      <c r="AL1032" s="203"/>
      <c r="AM1032" s="203"/>
      <c r="AN1032" s="203"/>
      <c r="AO1032" s="203"/>
      <c r="AP1032" s="203"/>
      <c r="AQ1032" s="203"/>
      <c r="AR1032" s="203"/>
      <c r="AS1032" s="203"/>
      <c r="AT1032" s="203"/>
    </row>
    <row r="1033">
      <c r="A1033" s="76" t="s">
        <v>116</v>
      </c>
      <c r="B1033" s="77" t="s">
        <v>3454</v>
      </c>
      <c r="C1033" s="77" t="s">
        <v>10262</v>
      </c>
      <c r="D1033" s="77" t="s">
        <v>121</v>
      </c>
      <c r="E1033" s="78" t="s">
        <v>5482</v>
      </c>
      <c r="F1033" s="80" t="s">
        <v>8766</v>
      </c>
      <c r="G1033" s="77" t="s">
        <v>10276</v>
      </c>
      <c r="H1033" s="77" t="s">
        <v>60</v>
      </c>
      <c r="I1033" s="87" t="s">
        <v>1221</v>
      </c>
      <c r="J1033" s="109"/>
      <c r="K1033" s="109"/>
      <c r="L1033" s="87"/>
      <c r="M1033" s="197" t="s">
        <v>60</v>
      </c>
      <c r="N1033" s="1136" t="s">
        <v>11847</v>
      </c>
      <c r="O1033" s="584"/>
      <c r="P1033" s="1089"/>
      <c r="Q1033" s="315"/>
      <c r="R1033" s="86"/>
      <c r="S1033" s="86"/>
      <c r="T1033" s="315"/>
      <c r="U1033" s="291" t="s">
        <v>136</v>
      </c>
      <c r="V1033" s="86"/>
      <c r="W1033" s="97"/>
      <c r="X1033" s="97"/>
      <c r="Y1033" s="226"/>
      <c r="Z1033" s="226"/>
      <c r="AA1033" s="226"/>
      <c r="AB1033" s="97"/>
      <c r="AC1033" s="160" t="s">
        <v>630</v>
      </c>
      <c r="AD1033" s="76" t="s">
        <v>632</v>
      </c>
      <c r="AE1033" s="76"/>
      <c r="AF1033" s="160" t="s">
        <v>630</v>
      </c>
      <c r="AG1033" s="76"/>
      <c r="AH1033" s="76" t="s">
        <v>11848</v>
      </c>
      <c r="AI1033" s="203"/>
      <c r="AJ1033" s="203"/>
      <c r="AK1033" s="203"/>
      <c r="AL1033" s="203"/>
      <c r="AM1033" s="203"/>
      <c r="AN1033" s="203"/>
      <c r="AO1033" s="203"/>
      <c r="AP1033" s="203"/>
      <c r="AQ1033" s="203"/>
      <c r="AR1033" s="203"/>
      <c r="AS1033" s="203"/>
      <c r="AT1033" s="203"/>
    </row>
    <row r="1034">
      <c r="A1034" s="76" t="s">
        <v>116</v>
      </c>
      <c r="B1034" s="77" t="s">
        <v>3454</v>
      </c>
      <c r="C1034" s="77" t="s">
        <v>3813</v>
      </c>
      <c r="D1034" s="77" t="s">
        <v>121</v>
      </c>
      <c r="E1034" s="78" t="s">
        <v>1536</v>
      </c>
      <c r="F1034" s="80" t="s">
        <v>3815</v>
      </c>
      <c r="G1034" s="77" t="s">
        <v>2317</v>
      </c>
      <c r="H1034" s="77" t="s">
        <v>60</v>
      </c>
      <c r="I1034" s="87" t="s">
        <v>1221</v>
      </c>
      <c r="J1034" s="76" t="s">
        <v>114</v>
      </c>
      <c r="K1034" s="176" t="s">
        <v>11849</v>
      </c>
      <c r="L1034" s="85"/>
      <c r="M1034" s="85" t="s">
        <v>60</v>
      </c>
      <c r="N1034" s="287" t="s">
        <v>2313</v>
      </c>
      <c r="O1034" s="341" t="s">
        <v>2315</v>
      </c>
      <c r="P1034" s="825">
        <v>34573.0</v>
      </c>
      <c r="Q1034" s="315">
        <f t="shared" ref="Q1034:Q1038" si="120">VALUE(LEFT(TEXT(S1034,0),5))+1</f>
        <v>34573</v>
      </c>
      <c r="R1034" s="97">
        <f t="shared" ref="R1034:R1038" si="121">DATEDIF($P1034,TODAY(),"Y")</f>
        <v>32</v>
      </c>
      <c r="S1034" s="76">
        <v>3.457214091E9</v>
      </c>
      <c r="T1034" s="168"/>
      <c r="U1034" s="76" t="s">
        <v>136</v>
      </c>
      <c r="V1034" s="76"/>
      <c r="W1034" s="76"/>
      <c r="X1034" s="97"/>
      <c r="Y1034" s="168"/>
      <c r="Z1034" s="176" t="s">
        <v>1460</v>
      </c>
      <c r="AA1034" s="168"/>
      <c r="AB1034" s="97"/>
      <c r="AC1034" s="76" t="s">
        <v>1566</v>
      </c>
      <c r="AD1034" s="168"/>
      <c r="AE1034" s="76"/>
      <c r="AF1034" s="76" t="s">
        <v>3477</v>
      </c>
      <c r="AG1034" s="168"/>
      <c r="AH1034" s="167" t="s">
        <v>11848</v>
      </c>
      <c r="AI1034" s="203"/>
      <c r="AJ1034" s="203"/>
      <c r="AK1034" s="203"/>
      <c r="AL1034" s="203"/>
      <c r="AM1034" s="203"/>
      <c r="AN1034" s="203"/>
      <c r="AO1034" s="203"/>
      <c r="AP1034" s="203"/>
      <c r="AQ1034" s="203"/>
      <c r="AR1034" s="203"/>
      <c r="AS1034" s="203"/>
      <c r="AT1034" s="203"/>
    </row>
    <row r="1035">
      <c r="A1035" s="76" t="s">
        <v>116</v>
      </c>
      <c r="B1035" s="77" t="s">
        <v>8106</v>
      </c>
      <c r="C1035" s="77" t="s">
        <v>121</v>
      </c>
      <c r="D1035" s="77" t="s">
        <v>121</v>
      </c>
      <c r="E1035" s="78" t="s">
        <v>2339</v>
      </c>
      <c r="F1035" s="80" t="s">
        <v>10379</v>
      </c>
      <c r="G1035" s="77" t="s">
        <v>2340</v>
      </c>
      <c r="H1035" s="77" t="s">
        <v>60</v>
      </c>
      <c r="I1035" s="87" t="s">
        <v>1221</v>
      </c>
      <c r="J1035" s="76" t="s">
        <v>114</v>
      </c>
      <c r="K1035" s="176" t="s">
        <v>11850</v>
      </c>
      <c r="L1035" s="85"/>
      <c r="M1035" s="85" t="s">
        <v>60</v>
      </c>
      <c r="N1035" s="303" t="s">
        <v>2643</v>
      </c>
      <c r="O1035" s="341" t="s">
        <v>2644</v>
      </c>
      <c r="P1035" s="825">
        <v>34486.0</v>
      </c>
      <c r="Q1035" s="315">
        <f t="shared" si="120"/>
        <v>34486</v>
      </c>
      <c r="R1035" s="97">
        <f t="shared" si="121"/>
        <v>32</v>
      </c>
      <c r="S1035" s="76">
        <v>3.448505496E9</v>
      </c>
      <c r="T1035" s="168"/>
      <c r="U1035" s="76" t="s">
        <v>393</v>
      </c>
      <c r="V1035" s="76"/>
      <c r="W1035" s="76"/>
      <c r="X1035" s="97"/>
      <c r="Y1035" s="168"/>
      <c r="Z1035" s="176" t="s">
        <v>1460</v>
      </c>
      <c r="AA1035" s="168"/>
      <c r="AB1035" s="97"/>
      <c r="AC1035" s="168"/>
      <c r="AD1035" s="168"/>
      <c r="AE1035" s="76" t="s">
        <v>154</v>
      </c>
      <c r="AF1035" s="76" t="s">
        <v>155</v>
      </c>
      <c r="AG1035" s="76" t="s">
        <v>1187</v>
      </c>
      <c r="AH1035" s="85" t="s">
        <v>11851</v>
      </c>
      <c r="AI1035" s="203"/>
      <c r="AJ1035" s="203"/>
      <c r="AK1035" s="203"/>
      <c r="AL1035" s="203"/>
      <c r="AM1035" s="203"/>
      <c r="AN1035" s="203"/>
      <c r="AO1035" s="203"/>
      <c r="AP1035" s="203"/>
      <c r="AQ1035" s="203"/>
      <c r="AR1035" s="203"/>
      <c r="AS1035" s="203"/>
      <c r="AT1035" s="203"/>
    </row>
    <row r="1036">
      <c r="A1036" s="76" t="s">
        <v>116</v>
      </c>
      <c r="B1036" s="77" t="s">
        <v>1645</v>
      </c>
      <c r="C1036" s="77" t="s">
        <v>1728</v>
      </c>
      <c r="D1036" s="77" t="s">
        <v>121</v>
      </c>
      <c r="E1036" s="78" t="s">
        <v>287</v>
      </c>
      <c r="F1036" s="80" t="s">
        <v>2853</v>
      </c>
      <c r="G1036" s="77" t="s">
        <v>1077</v>
      </c>
      <c r="H1036" s="77" t="s">
        <v>60</v>
      </c>
      <c r="I1036" s="87" t="s">
        <v>1221</v>
      </c>
      <c r="J1036" s="85" t="s">
        <v>114</v>
      </c>
      <c r="K1036" s="176" t="s">
        <v>11852</v>
      </c>
      <c r="L1036" s="76"/>
      <c r="M1036" s="85" t="s">
        <v>60</v>
      </c>
      <c r="N1036" s="76" t="s">
        <v>3094</v>
      </c>
      <c r="O1036" s="76" t="s">
        <v>3095</v>
      </c>
      <c r="P1036" s="523">
        <v>30181.0</v>
      </c>
      <c r="Q1036" s="315">
        <f t="shared" si="120"/>
        <v>30181</v>
      </c>
      <c r="R1036" s="86">
        <f t="shared" si="121"/>
        <v>44</v>
      </c>
      <c r="S1036" s="76">
        <v>3.018005912E9</v>
      </c>
      <c r="T1036" s="86"/>
      <c r="U1036" s="76" t="s">
        <v>379</v>
      </c>
      <c r="V1036" s="76" t="s">
        <v>350</v>
      </c>
      <c r="W1036" s="76" t="s">
        <v>227</v>
      </c>
      <c r="X1036" s="76"/>
      <c r="Y1036" s="167"/>
      <c r="Z1036" s="234" t="s">
        <v>1351</v>
      </c>
      <c r="AA1036" s="168"/>
      <c r="AB1036" s="97"/>
      <c r="AC1036" s="168"/>
      <c r="AD1036" s="235">
        <v>46187.0</v>
      </c>
      <c r="AE1036" s="76" t="s">
        <v>259</v>
      </c>
      <c r="AF1036" s="76"/>
      <c r="AG1036" s="76" t="s">
        <v>1187</v>
      </c>
      <c r="AH1036" s="76" t="s">
        <v>11853</v>
      </c>
      <c r="AI1036" s="203"/>
      <c r="AJ1036" s="203"/>
      <c r="AK1036" s="203"/>
      <c r="AL1036" s="203"/>
      <c r="AM1036" s="203"/>
      <c r="AN1036" s="203"/>
      <c r="AO1036" s="203"/>
      <c r="AP1036" s="203"/>
      <c r="AQ1036" s="203"/>
      <c r="AR1036" s="203"/>
      <c r="AS1036" s="203"/>
      <c r="AT1036" s="203"/>
    </row>
    <row r="1037">
      <c r="A1037" s="76" t="s">
        <v>116</v>
      </c>
      <c r="B1037" s="77" t="s">
        <v>1039</v>
      </c>
      <c r="C1037" s="77" t="s">
        <v>1269</v>
      </c>
      <c r="D1037" s="77" t="s">
        <v>1519</v>
      </c>
      <c r="E1037" s="78" t="s">
        <v>58</v>
      </c>
      <c r="F1037" s="80" t="s">
        <v>1496</v>
      </c>
      <c r="G1037" s="77" t="s">
        <v>438</v>
      </c>
      <c r="H1037" s="77" t="s">
        <v>60</v>
      </c>
      <c r="I1037" s="87" t="s">
        <v>1221</v>
      </c>
      <c r="J1037" s="76" t="s">
        <v>114</v>
      </c>
      <c r="K1037" s="124" t="s">
        <v>11854</v>
      </c>
      <c r="L1037" s="76"/>
      <c r="M1037" s="76" t="s">
        <v>60</v>
      </c>
      <c r="N1037" s="76" t="s">
        <v>436</v>
      </c>
      <c r="O1037" s="76" t="s">
        <v>437</v>
      </c>
      <c r="P1037" s="523">
        <v>31232.0</v>
      </c>
      <c r="Q1037" s="315">
        <f t="shared" si="120"/>
        <v>31232</v>
      </c>
      <c r="R1037" s="97">
        <f t="shared" si="121"/>
        <v>41</v>
      </c>
      <c r="S1037" s="76">
        <v>3.123124859E9</v>
      </c>
      <c r="T1037" s="86"/>
      <c r="U1037" s="76" t="s">
        <v>379</v>
      </c>
      <c r="V1037" s="76" t="s">
        <v>350</v>
      </c>
      <c r="W1037" s="76" t="s">
        <v>227</v>
      </c>
      <c r="X1037" s="76"/>
      <c r="Y1037" s="168"/>
      <c r="Z1037" s="216" t="s">
        <v>2155</v>
      </c>
      <c r="AA1037" s="76" t="s">
        <v>1178</v>
      </c>
      <c r="AB1037" s="97"/>
      <c r="AC1037" s="168"/>
      <c r="AD1037" s="235">
        <v>46187.0</v>
      </c>
      <c r="AE1037" s="76" t="s">
        <v>259</v>
      </c>
      <c r="AF1037" s="76"/>
      <c r="AG1037" s="76" t="s">
        <v>1187</v>
      </c>
      <c r="AH1037" s="76" t="s">
        <v>11853</v>
      </c>
      <c r="AI1037" s="203"/>
      <c r="AJ1037" s="203"/>
      <c r="AK1037" s="203"/>
      <c r="AL1037" s="203"/>
      <c r="AM1037" s="203"/>
      <c r="AN1037" s="203"/>
      <c r="AO1037" s="203"/>
      <c r="AP1037" s="203"/>
      <c r="AQ1037" s="203"/>
      <c r="AR1037" s="203"/>
      <c r="AS1037" s="203"/>
      <c r="AT1037" s="203"/>
    </row>
    <row r="1038">
      <c r="A1038" s="76" t="s">
        <v>116</v>
      </c>
      <c r="B1038" s="77" t="s">
        <v>1433</v>
      </c>
      <c r="C1038" s="77" t="s">
        <v>121</v>
      </c>
      <c r="D1038" s="77" t="s">
        <v>121</v>
      </c>
      <c r="E1038" s="78" t="s">
        <v>178</v>
      </c>
      <c r="F1038" s="80" t="s">
        <v>8284</v>
      </c>
      <c r="G1038" s="77" t="s">
        <v>1657</v>
      </c>
      <c r="H1038" s="77" t="s">
        <v>102</v>
      </c>
      <c r="I1038" s="146" t="s">
        <v>408</v>
      </c>
      <c r="J1038" s="109" t="s">
        <v>114</v>
      </c>
      <c r="K1038" s="176" t="s">
        <v>11855</v>
      </c>
      <c r="L1038" s="1137"/>
      <c r="M1038" s="87" t="s">
        <v>60</v>
      </c>
      <c r="N1038" s="76" t="s">
        <v>1781</v>
      </c>
      <c r="O1038" s="76" t="s">
        <v>1782</v>
      </c>
      <c r="P1038" s="523">
        <v>29404.0</v>
      </c>
      <c r="Q1038" s="315">
        <f t="shared" si="120"/>
        <v>29404</v>
      </c>
      <c r="R1038" s="97">
        <f t="shared" si="121"/>
        <v>46</v>
      </c>
      <c r="S1038" s="76">
        <v>2.940313857E9</v>
      </c>
      <c r="T1038" s="76" t="s">
        <v>378</v>
      </c>
      <c r="U1038" s="76" t="s">
        <v>379</v>
      </c>
      <c r="V1038" s="76" t="s">
        <v>350</v>
      </c>
      <c r="W1038" s="76" t="s">
        <v>227</v>
      </c>
      <c r="X1038" s="76"/>
      <c r="Y1038" s="168"/>
      <c r="Z1038" s="216" t="s">
        <v>2155</v>
      </c>
      <c r="AA1038" s="168"/>
      <c r="AB1038" s="97"/>
      <c r="AC1038" s="168"/>
      <c r="AD1038" s="1138">
        <v>46187.0</v>
      </c>
      <c r="AE1038" s="76" t="s">
        <v>259</v>
      </c>
      <c r="AF1038" s="76"/>
      <c r="AG1038" s="76" t="s">
        <v>1187</v>
      </c>
      <c r="AH1038" s="76" t="s">
        <v>11853</v>
      </c>
      <c r="AI1038" s="203"/>
      <c r="AJ1038" s="203"/>
      <c r="AK1038" s="203"/>
      <c r="AL1038" s="203"/>
      <c r="AM1038" s="203"/>
      <c r="AN1038" s="203"/>
      <c r="AO1038" s="203"/>
      <c r="AP1038" s="203"/>
      <c r="AQ1038" s="203"/>
      <c r="AR1038" s="203"/>
      <c r="AS1038" s="203"/>
      <c r="AT1038" s="203"/>
    </row>
    <row r="1039">
      <c r="A1039" s="341" t="s">
        <v>1313</v>
      </c>
      <c r="B1039" s="302" t="s">
        <v>4145</v>
      </c>
      <c r="C1039" s="341" t="s">
        <v>1313</v>
      </c>
      <c r="D1039" s="86"/>
      <c r="E1039" s="524" t="s">
        <v>7478</v>
      </c>
      <c r="F1039" s="86"/>
      <c r="G1039" s="86"/>
      <c r="H1039" s="86"/>
      <c r="I1039" s="86"/>
      <c r="J1039" s="97"/>
      <c r="K1039" s="85"/>
      <c r="L1039" s="85"/>
      <c r="M1039" s="85" t="s">
        <v>4800</v>
      </c>
      <c r="N1039" s="86" t="s">
        <v>7481</v>
      </c>
      <c r="O1039" s="87" t="s">
        <v>7483</v>
      </c>
      <c r="P1039" s="1089"/>
      <c r="Q1039" s="86"/>
      <c r="R1039" s="86"/>
      <c r="S1039" s="315"/>
      <c r="T1039" s="315"/>
      <c r="U1039" s="76" t="s">
        <v>165</v>
      </c>
      <c r="V1039" s="76" t="s">
        <v>521</v>
      </c>
      <c r="W1039" s="76"/>
      <c r="X1039" s="97"/>
      <c r="Y1039" s="97"/>
      <c r="Z1039" s="97"/>
      <c r="AA1039" s="97"/>
      <c r="AB1039" s="97"/>
      <c r="AC1039" s="97"/>
      <c r="AD1039" s="99"/>
      <c r="AE1039" s="76" t="s">
        <v>567</v>
      </c>
      <c r="AF1039" s="76" t="s">
        <v>11856</v>
      </c>
      <c r="AG1039" s="76"/>
      <c r="AH1039" s="97"/>
      <c r="AI1039" s="203"/>
      <c r="AJ1039" s="203"/>
      <c r="AK1039" s="203"/>
      <c r="AL1039" s="203"/>
      <c r="AM1039" s="203"/>
      <c r="AN1039" s="203"/>
      <c r="AO1039" s="203"/>
      <c r="AP1039" s="203"/>
      <c r="AQ1039" s="203"/>
      <c r="AR1039" s="203"/>
      <c r="AS1039" s="203"/>
      <c r="AT1039" s="203"/>
    </row>
    <row r="1040">
      <c r="A1040" s="341" t="s">
        <v>1774</v>
      </c>
      <c r="B1040" s="302" t="s">
        <v>4145</v>
      </c>
      <c r="C1040" s="341" t="s">
        <v>1774</v>
      </c>
      <c r="D1040" s="86"/>
      <c r="E1040" s="764"/>
      <c r="F1040" s="86"/>
      <c r="G1040" s="86"/>
      <c r="H1040" s="86"/>
      <c r="I1040" s="86"/>
      <c r="J1040" s="97"/>
      <c r="K1040" s="87"/>
      <c r="L1040" s="87"/>
      <c r="M1040" s="87" t="s">
        <v>60</v>
      </c>
      <c r="N1040" s="76" t="s">
        <v>11857</v>
      </c>
      <c r="O1040" s="85" t="s">
        <v>9568</v>
      </c>
      <c r="P1040" s="1089"/>
      <c r="Q1040" s="86"/>
      <c r="R1040" s="86"/>
      <c r="S1040" s="315"/>
      <c r="T1040" s="315"/>
      <c r="U1040" s="443" t="s">
        <v>165</v>
      </c>
      <c r="V1040" s="76" t="s">
        <v>521</v>
      </c>
      <c r="W1040" s="76"/>
      <c r="X1040" s="97"/>
      <c r="Y1040" s="97"/>
      <c r="Z1040" s="97"/>
      <c r="AA1040" s="97"/>
      <c r="AB1040" s="97"/>
      <c r="AC1040" s="97"/>
      <c r="AD1040" s="99"/>
      <c r="AE1040" s="76" t="s">
        <v>567</v>
      </c>
      <c r="AF1040" s="294" t="s">
        <v>11858</v>
      </c>
      <c r="AG1040" s="76"/>
      <c r="AH1040" s="76"/>
      <c r="AI1040" s="203"/>
      <c r="AJ1040" s="203"/>
      <c r="AK1040" s="203"/>
      <c r="AL1040" s="203"/>
      <c r="AM1040" s="203"/>
      <c r="AN1040" s="203"/>
      <c r="AO1040" s="203"/>
      <c r="AP1040" s="203"/>
      <c r="AQ1040" s="203"/>
      <c r="AR1040" s="203"/>
      <c r="AS1040" s="203"/>
      <c r="AT1040" s="203"/>
    </row>
    <row r="1041">
      <c r="A1041" s="76" t="s">
        <v>116</v>
      </c>
      <c r="B1041" s="77" t="s">
        <v>1039</v>
      </c>
      <c r="C1041" s="77" t="s">
        <v>1517</v>
      </c>
      <c r="D1041" s="77" t="s">
        <v>1368</v>
      </c>
      <c r="E1041" s="78" t="s">
        <v>58</v>
      </c>
      <c r="F1041" s="80" t="s">
        <v>1496</v>
      </c>
      <c r="G1041" s="77" t="s">
        <v>2336</v>
      </c>
      <c r="H1041" s="77" t="s">
        <v>60</v>
      </c>
      <c r="I1041" s="87" t="s">
        <v>1221</v>
      </c>
      <c r="J1041" s="76" t="s">
        <v>114</v>
      </c>
      <c r="K1041" s="76"/>
      <c r="L1041" s="318"/>
      <c r="M1041" s="85" t="s">
        <v>102</v>
      </c>
      <c r="N1041" s="286" t="s">
        <v>11859</v>
      </c>
      <c r="O1041" s="76" t="s">
        <v>1920</v>
      </c>
      <c r="P1041" s="523">
        <v>36378.0</v>
      </c>
      <c r="Q1041" s="315">
        <f t="shared" ref="Q1041:Q1048" si="122">VALUE(LEFT(TEXT(S1041,0),5))+1</f>
        <v>36378</v>
      </c>
      <c r="R1041" s="86">
        <f t="shared" ref="R1041:R1048" si="123">DATEDIF($P1041,TODAY(),"Y")</f>
        <v>27</v>
      </c>
      <c r="S1041" s="76">
        <v>3.637704418E9</v>
      </c>
      <c r="T1041" s="76" t="s">
        <v>1317</v>
      </c>
      <c r="U1041" s="76" t="s">
        <v>136</v>
      </c>
      <c r="V1041" s="76"/>
      <c r="W1041" s="76"/>
      <c r="X1041" s="76"/>
      <c r="Y1041" s="97"/>
      <c r="Z1041" s="216" t="s">
        <v>1815</v>
      </c>
      <c r="AA1041" s="76" t="s">
        <v>1178</v>
      </c>
      <c r="AB1041" s="97"/>
      <c r="AC1041" s="76"/>
      <c r="AD1041" s="99"/>
      <c r="AE1041" s="76"/>
      <c r="AF1041" s="76"/>
      <c r="AG1041" s="76" t="s">
        <v>11860</v>
      </c>
      <c r="AH1041" s="153">
        <v>46180.0</v>
      </c>
      <c r="AI1041" s="203"/>
      <c r="AJ1041" s="203"/>
      <c r="AK1041" s="203"/>
      <c r="AL1041" s="203"/>
      <c r="AM1041" s="203"/>
      <c r="AN1041" s="203"/>
      <c r="AO1041" s="203"/>
      <c r="AP1041" s="203"/>
      <c r="AQ1041" s="203"/>
      <c r="AR1041" s="203"/>
      <c r="AS1041" s="203"/>
      <c r="AT1041" s="203"/>
    </row>
    <row r="1042">
      <c r="A1042" s="76" t="s">
        <v>116</v>
      </c>
      <c r="B1042" s="77" t="s">
        <v>1645</v>
      </c>
      <c r="C1042" s="77" t="s">
        <v>1269</v>
      </c>
      <c r="D1042" s="77" t="s">
        <v>1368</v>
      </c>
      <c r="E1042" s="78" t="s">
        <v>213</v>
      </c>
      <c r="F1042" s="80" t="s">
        <v>1523</v>
      </c>
      <c r="G1042" s="77" t="s">
        <v>821</v>
      </c>
      <c r="H1042" s="77" t="s">
        <v>60</v>
      </c>
      <c r="I1042" s="87" t="s">
        <v>1221</v>
      </c>
      <c r="J1042" s="85" t="s">
        <v>114</v>
      </c>
      <c r="K1042" s="124" t="s">
        <v>11861</v>
      </c>
      <c r="L1042" s="76"/>
      <c r="M1042" s="85" t="s">
        <v>60</v>
      </c>
      <c r="N1042" s="287" t="s">
        <v>9915</v>
      </c>
      <c r="O1042" s="76" t="s">
        <v>9858</v>
      </c>
      <c r="P1042" s="523">
        <v>32296.0</v>
      </c>
      <c r="Q1042" s="315">
        <f t="shared" si="122"/>
        <v>32296</v>
      </c>
      <c r="R1042" s="86">
        <f t="shared" si="123"/>
        <v>38</v>
      </c>
      <c r="S1042" s="76">
        <v>3.229505574E9</v>
      </c>
      <c r="T1042" s="86"/>
      <c r="U1042" s="76" t="s">
        <v>136</v>
      </c>
      <c r="V1042" s="76"/>
      <c r="W1042" s="76"/>
      <c r="X1042" s="97"/>
      <c r="Y1042" s="167"/>
      <c r="Z1042" s="176" t="s">
        <v>1460</v>
      </c>
      <c r="AA1042" s="168"/>
      <c r="AB1042" s="97"/>
      <c r="AC1042" s="168"/>
      <c r="AD1042" s="168"/>
      <c r="AE1042" s="76"/>
      <c r="AF1042" s="76" t="s">
        <v>155</v>
      </c>
      <c r="AG1042" s="76"/>
      <c r="AH1042" s="76" t="s">
        <v>11862</v>
      </c>
      <c r="AI1042" s="203"/>
      <c r="AJ1042" s="203"/>
      <c r="AK1042" s="203"/>
      <c r="AL1042" s="203"/>
      <c r="AM1042" s="203"/>
      <c r="AN1042" s="203"/>
      <c r="AO1042" s="203"/>
      <c r="AP1042" s="203"/>
      <c r="AQ1042" s="203"/>
      <c r="AR1042" s="203"/>
      <c r="AS1042" s="203"/>
      <c r="AT1042" s="203"/>
    </row>
    <row r="1043">
      <c r="A1043" s="76" t="s">
        <v>116</v>
      </c>
      <c r="B1043" s="77" t="s">
        <v>1709</v>
      </c>
      <c r="C1043" s="77" t="s">
        <v>1611</v>
      </c>
      <c r="D1043" s="77" t="s">
        <v>1519</v>
      </c>
      <c r="E1043" s="78" t="s">
        <v>321</v>
      </c>
      <c r="F1043" s="80" t="s">
        <v>1552</v>
      </c>
      <c r="G1043" s="77" t="s">
        <v>6613</v>
      </c>
      <c r="H1043" s="77" t="s">
        <v>60</v>
      </c>
      <c r="I1043" s="87" t="s">
        <v>1221</v>
      </c>
      <c r="J1043" s="109" t="s">
        <v>114</v>
      </c>
      <c r="K1043" s="87"/>
      <c r="L1043" s="87"/>
      <c r="M1043" s="87" t="s">
        <v>60</v>
      </c>
      <c r="N1043" s="978" t="s">
        <v>1001</v>
      </c>
      <c r="O1043" s="87" t="s">
        <v>1003</v>
      </c>
      <c r="P1043" s="1089">
        <v>35698.0</v>
      </c>
      <c r="Q1043" s="315">
        <f t="shared" si="122"/>
        <v>35698</v>
      </c>
      <c r="R1043" s="86">
        <f t="shared" si="123"/>
        <v>28</v>
      </c>
      <c r="S1043" s="315">
        <v>3.569711335E9</v>
      </c>
      <c r="T1043" s="315"/>
      <c r="U1043" s="224" t="s">
        <v>136</v>
      </c>
      <c r="V1043" s="86"/>
      <c r="W1043" s="86"/>
      <c r="X1043" s="97"/>
      <c r="Y1043" s="97"/>
      <c r="Z1043" s="97"/>
      <c r="AA1043" s="97"/>
      <c r="AB1043" s="97"/>
      <c r="AC1043" s="97"/>
      <c r="AD1043" s="99"/>
      <c r="AE1043" s="97"/>
      <c r="AF1043" s="99" t="s">
        <v>155</v>
      </c>
      <c r="AG1043" s="76" t="s">
        <v>11131</v>
      </c>
      <c r="AH1043" s="76" t="s">
        <v>11863</v>
      </c>
      <c r="AI1043" s="203"/>
      <c r="AJ1043" s="203"/>
      <c r="AK1043" s="203"/>
      <c r="AL1043" s="203"/>
      <c r="AM1043" s="203"/>
      <c r="AN1043" s="203"/>
      <c r="AO1043" s="203"/>
      <c r="AP1043" s="203"/>
      <c r="AQ1043" s="203"/>
      <c r="AR1043" s="203"/>
      <c r="AS1043" s="203"/>
      <c r="AT1043" s="203"/>
    </row>
    <row r="1044">
      <c r="A1044" s="76" t="s">
        <v>116</v>
      </c>
      <c r="B1044" s="77" t="s">
        <v>3722</v>
      </c>
      <c r="C1044" s="77" t="s">
        <v>3724</v>
      </c>
      <c r="D1044" s="77" t="s">
        <v>7966</v>
      </c>
      <c r="E1044" s="78" t="s">
        <v>2562</v>
      </c>
      <c r="F1044" s="80" t="s">
        <v>7825</v>
      </c>
      <c r="G1044" s="77" t="s">
        <v>7968</v>
      </c>
      <c r="H1044" s="77" t="s">
        <v>102</v>
      </c>
      <c r="I1044" s="146" t="s">
        <v>408</v>
      </c>
      <c r="J1044" s="76" t="s">
        <v>114</v>
      </c>
      <c r="K1044" s="124" t="s">
        <v>11864</v>
      </c>
      <c r="L1044" s="85"/>
      <c r="M1044" s="85" t="s">
        <v>60</v>
      </c>
      <c r="N1044" s="287" t="s">
        <v>445</v>
      </c>
      <c r="O1044" s="76" t="s">
        <v>446</v>
      </c>
      <c r="P1044" s="523">
        <v>34919.0</v>
      </c>
      <c r="Q1044" s="315">
        <f t="shared" si="122"/>
        <v>34919</v>
      </c>
      <c r="R1044" s="86">
        <f t="shared" si="123"/>
        <v>31</v>
      </c>
      <c r="S1044" s="76">
        <v>3.491801332E9</v>
      </c>
      <c r="T1044" s="315" t="s">
        <v>378</v>
      </c>
      <c r="U1044" s="76" t="s">
        <v>136</v>
      </c>
      <c r="V1044" s="76"/>
      <c r="W1044" s="76"/>
      <c r="X1044" s="76"/>
      <c r="Y1044" s="97" t="s">
        <v>183</v>
      </c>
      <c r="Z1044" s="278" t="s">
        <v>2090</v>
      </c>
      <c r="AA1044" s="76"/>
      <c r="AB1044" s="97"/>
      <c r="AC1044" s="76"/>
      <c r="AD1044" s="76"/>
      <c r="AE1044" s="76"/>
      <c r="AF1044" s="76"/>
      <c r="AG1044" s="76" t="s">
        <v>11865</v>
      </c>
      <c r="AH1044" s="153">
        <v>46181.0</v>
      </c>
      <c r="AI1044" s="203"/>
      <c r="AJ1044" s="203"/>
      <c r="AK1044" s="203"/>
      <c r="AL1044" s="203"/>
      <c r="AM1044" s="203"/>
      <c r="AN1044" s="203"/>
      <c r="AO1044" s="203"/>
      <c r="AP1044" s="203"/>
      <c r="AQ1044" s="203"/>
      <c r="AR1044" s="203"/>
      <c r="AS1044" s="203"/>
      <c r="AT1044" s="203"/>
    </row>
    <row r="1045">
      <c r="A1045" s="76" t="s">
        <v>116</v>
      </c>
      <c r="B1045" s="77" t="s">
        <v>3722</v>
      </c>
      <c r="C1045" s="77" t="s">
        <v>3724</v>
      </c>
      <c r="D1045" s="77" t="s">
        <v>8018</v>
      </c>
      <c r="E1045" s="78" t="s">
        <v>786</v>
      </c>
      <c r="F1045" s="80" t="s">
        <v>1216</v>
      </c>
      <c r="G1045" s="77" t="s">
        <v>1610</v>
      </c>
      <c r="H1045" s="77" t="s">
        <v>60</v>
      </c>
      <c r="I1045" s="87" t="s">
        <v>1221</v>
      </c>
      <c r="J1045" s="76" t="s">
        <v>114</v>
      </c>
      <c r="K1045" s="176" t="s">
        <v>11866</v>
      </c>
      <c r="L1045" s="318"/>
      <c r="M1045" s="85" t="s">
        <v>60</v>
      </c>
      <c r="N1045" s="286" t="s">
        <v>11867</v>
      </c>
      <c r="O1045" s="76" t="s">
        <v>11868</v>
      </c>
      <c r="P1045" s="523">
        <v>35315.0</v>
      </c>
      <c r="Q1045" s="315">
        <f t="shared" si="122"/>
        <v>35315</v>
      </c>
      <c r="R1045" s="86">
        <f t="shared" si="123"/>
        <v>29</v>
      </c>
      <c r="S1045" s="76">
        <v>3.531406597E9</v>
      </c>
      <c r="T1045" s="315"/>
      <c r="U1045" s="76" t="s">
        <v>136</v>
      </c>
      <c r="V1045" s="76"/>
      <c r="W1045" s="76"/>
      <c r="X1045" s="76" t="s">
        <v>186</v>
      </c>
      <c r="Y1045" s="276"/>
      <c r="Z1045" s="85" t="s">
        <v>1755</v>
      </c>
      <c r="AA1045" s="76" t="s">
        <v>1178</v>
      </c>
      <c r="AB1045" s="97"/>
      <c r="AC1045" s="76"/>
      <c r="AD1045" s="76"/>
      <c r="AE1045" s="76"/>
      <c r="AF1045" s="76" t="s">
        <v>11643</v>
      </c>
      <c r="AG1045" s="76" t="s">
        <v>11869</v>
      </c>
      <c r="AH1045" s="153">
        <v>46185.0</v>
      </c>
      <c r="AI1045" s="203"/>
      <c r="AJ1045" s="203"/>
      <c r="AK1045" s="203"/>
      <c r="AL1045" s="203"/>
      <c r="AM1045" s="203"/>
      <c r="AN1045" s="203"/>
      <c r="AO1045" s="203"/>
      <c r="AP1045" s="203"/>
      <c r="AQ1045" s="203"/>
      <c r="AR1045" s="203"/>
      <c r="AS1045" s="203"/>
      <c r="AT1045" s="203"/>
    </row>
    <row r="1046">
      <c r="A1046" s="76" t="s">
        <v>116</v>
      </c>
      <c r="B1046" s="77" t="s">
        <v>1433</v>
      </c>
      <c r="C1046" s="77" t="s">
        <v>121</v>
      </c>
      <c r="D1046" s="77" t="s">
        <v>121</v>
      </c>
      <c r="E1046" s="78" t="s">
        <v>331</v>
      </c>
      <c r="F1046" s="80" t="s">
        <v>7124</v>
      </c>
      <c r="G1046" s="77" t="s">
        <v>1684</v>
      </c>
      <c r="H1046" s="77" t="s">
        <v>60</v>
      </c>
      <c r="I1046" s="87" t="s">
        <v>1221</v>
      </c>
      <c r="J1046" s="85" t="s">
        <v>114</v>
      </c>
      <c r="K1046" s="76"/>
      <c r="L1046" s="318"/>
      <c r="M1046" s="85" t="s">
        <v>60</v>
      </c>
      <c r="N1046" s="286" t="s">
        <v>10701</v>
      </c>
      <c r="O1046" s="76" t="s">
        <v>10702</v>
      </c>
      <c r="P1046" s="523">
        <v>34855.0</v>
      </c>
      <c r="Q1046" s="315">
        <f t="shared" si="122"/>
        <v>34855</v>
      </c>
      <c r="R1046" s="86">
        <f t="shared" si="123"/>
        <v>31</v>
      </c>
      <c r="S1046" s="76">
        <v>3.485412491E9</v>
      </c>
      <c r="T1046" s="315"/>
      <c r="U1046" s="76" t="s">
        <v>136</v>
      </c>
      <c r="V1046" s="76"/>
      <c r="W1046" s="76"/>
      <c r="X1046" s="76"/>
      <c r="Y1046" s="97"/>
      <c r="Z1046" s="216" t="s">
        <v>1815</v>
      </c>
      <c r="AA1046" s="76" t="s">
        <v>1178</v>
      </c>
      <c r="AB1046" s="97"/>
      <c r="AC1046" s="76"/>
      <c r="AD1046" s="76"/>
      <c r="AE1046" s="76"/>
      <c r="AF1046" s="76" t="s">
        <v>8404</v>
      </c>
      <c r="AG1046" s="76" t="s">
        <v>1187</v>
      </c>
      <c r="AH1046" s="76" t="s">
        <v>11779</v>
      </c>
      <c r="AI1046" s="203"/>
      <c r="AJ1046" s="203"/>
      <c r="AK1046" s="203"/>
      <c r="AL1046" s="203"/>
      <c r="AM1046" s="203"/>
      <c r="AN1046" s="203"/>
      <c r="AO1046" s="203"/>
      <c r="AP1046" s="203"/>
      <c r="AQ1046" s="203"/>
      <c r="AR1046" s="203"/>
      <c r="AS1046" s="203"/>
      <c r="AT1046" s="203"/>
    </row>
    <row r="1047">
      <c r="A1047" s="76" t="s">
        <v>116</v>
      </c>
      <c r="B1047" s="77" t="s">
        <v>3454</v>
      </c>
      <c r="C1047" s="77" t="s">
        <v>7302</v>
      </c>
      <c r="D1047" s="77" t="s">
        <v>121</v>
      </c>
      <c r="E1047" s="78" t="s">
        <v>457</v>
      </c>
      <c r="F1047" s="80" t="s">
        <v>10197</v>
      </c>
      <c r="G1047" s="77" t="s">
        <v>10198</v>
      </c>
      <c r="H1047" s="77" t="s">
        <v>60</v>
      </c>
      <c r="I1047" s="87" t="s">
        <v>1221</v>
      </c>
      <c r="J1047" s="76" t="s">
        <v>114</v>
      </c>
      <c r="K1047" s="176" t="s">
        <v>1602</v>
      </c>
      <c r="L1047" s="318"/>
      <c r="M1047" s="85" t="s">
        <v>60</v>
      </c>
      <c r="N1047" s="286" t="s">
        <v>11870</v>
      </c>
      <c r="O1047" s="76" t="s">
        <v>11871</v>
      </c>
      <c r="P1047" s="523">
        <v>31628.0</v>
      </c>
      <c r="Q1047" s="315">
        <f t="shared" si="122"/>
        <v>31628</v>
      </c>
      <c r="R1047" s="86">
        <f t="shared" si="123"/>
        <v>40</v>
      </c>
      <c r="S1047" s="76">
        <v>3.162714255E9</v>
      </c>
      <c r="T1047" s="315"/>
      <c r="U1047" s="76" t="s">
        <v>136</v>
      </c>
      <c r="V1047" s="76"/>
      <c r="W1047" s="76"/>
      <c r="X1047" s="76" t="s">
        <v>186</v>
      </c>
      <c r="Y1047" s="97"/>
      <c r="Z1047" s="85" t="s">
        <v>1755</v>
      </c>
      <c r="AA1047" s="97"/>
      <c r="AB1047" s="76"/>
      <c r="AC1047" s="76"/>
      <c r="AD1047" s="76"/>
      <c r="AE1047" s="76"/>
      <c r="AF1047" s="76" t="s">
        <v>3341</v>
      </c>
      <c r="AG1047" s="76" t="s">
        <v>11872</v>
      </c>
      <c r="AH1047" s="153">
        <v>46183.0</v>
      </c>
      <c r="AI1047" s="203"/>
      <c r="AJ1047" s="203"/>
      <c r="AK1047" s="203"/>
      <c r="AL1047" s="203"/>
      <c r="AM1047" s="203"/>
      <c r="AN1047" s="203"/>
      <c r="AO1047" s="203"/>
      <c r="AP1047" s="203"/>
      <c r="AQ1047" s="203"/>
      <c r="AR1047" s="203"/>
      <c r="AS1047" s="203"/>
      <c r="AT1047" s="203"/>
    </row>
    <row r="1048">
      <c r="A1048" s="76" t="s">
        <v>116</v>
      </c>
      <c r="B1048" s="77" t="s">
        <v>1645</v>
      </c>
      <c r="C1048" s="77" t="s">
        <v>121</v>
      </c>
      <c r="D1048" s="77" t="s">
        <v>121</v>
      </c>
      <c r="E1048" s="78" t="s">
        <v>295</v>
      </c>
      <c r="F1048" s="80" t="s">
        <v>1241</v>
      </c>
      <c r="G1048" s="77" t="s">
        <v>3484</v>
      </c>
      <c r="H1048" s="77" t="s">
        <v>60</v>
      </c>
      <c r="I1048" s="87" t="s">
        <v>1221</v>
      </c>
      <c r="J1048" s="85" t="s">
        <v>114</v>
      </c>
      <c r="K1048" s="85" t="s">
        <v>11873</v>
      </c>
      <c r="L1048" s="85"/>
      <c r="M1048" s="85" t="s">
        <v>60</v>
      </c>
      <c r="N1048" s="76" t="s">
        <v>11874</v>
      </c>
      <c r="O1048" s="76" t="s">
        <v>11875</v>
      </c>
      <c r="P1048" s="523">
        <v>29275.0</v>
      </c>
      <c r="Q1048" s="315">
        <f t="shared" si="122"/>
        <v>1</v>
      </c>
      <c r="R1048" s="97">
        <f t="shared" si="123"/>
        <v>46</v>
      </c>
      <c r="S1048" s="315"/>
      <c r="T1048" s="315"/>
      <c r="U1048" s="76" t="s">
        <v>393</v>
      </c>
      <c r="V1048" s="76"/>
      <c r="W1048" s="76"/>
      <c r="X1048" s="76" t="s">
        <v>186</v>
      </c>
      <c r="Y1048" s="211" t="s">
        <v>2090</v>
      </c>
      <c r="Z1048" s="501" t="s">
        <v>418</v>
      </c>
      <c r="AA1048" s="97"/>
      <c r="AB1048" s="76"/>
      <c r="AC1048" s="97"/>
      <c r="AD1048" s="99"/>
      <c r="AE1048" s="76" t="s">
        <v>154</v>
      </c>
      <c r="AF1048" s="76" t="s">
        <v>4767</v>
      </c>
      <c r="AG1048" s="76"/>
      <c r="AH1048" s="85" t="s">
        <v>11876</v>
      </c>
      <c r="AI1048" s="203"/>
      <c r="AJ1048" s="203"/>
      <c r="AK1048" s="203"/>
      <c r="AL1048" s="203"/>
      <c r="AM1048" s="203"/>
      <c r="AN1048" s="203"/>
      <c r="AO1048" s="203"/>
      <c r="AP1048" s="203"/>
      <c r="AQ1048" s="203"/>
      <c r="AR1048" s="203"/>
      <c r="AS1048" s="203"/>
      <c r="AT1048" s="203"/>
    </row>
    <row r="1049">
      <c r="A1049" s="76" t="s">
        <v>116</v>
      </c>
      <c r="B1049" s="77" t="s">
        <v>1645</v>
      </c>
      <c r="C1049" s="77" t="s">
        <v>1269</v>
      </c>
      <c r="D1049" s="77" t="s">
        <v>1368</v>
      </c>
      <c r="E1049" s="78" t="s">
        <v>213</v>
      </c>
      <c r="F1049" s="80" t="s">
        <v>1523</v>
      </c>
      <c r="G1049" s="77" t="s">
        <v>821</v>
      </c>
      <c r="H1049" s="77" t="s">
        <v>60</v>
      </c>
      <c r="I1049" s="87" t="s">
        <v>1221</v>
      </c>
      <c r="J1049" s="85"/>
      <c r="K1049" s="76"/>
      <c r="L1049" s="76"/>
      <c r="M1049" s="468" t="s">
        <v>60</v>
      </c>
      <c r="N1049" s="996" t="s">
        <v>11877</v>
      </c>
      <c r="O1049" s="76"/>
      <c r="P1049" s="523"/>
      <c r="Q1049" s="315"/>
      <c r="R1049" s="86"/>
      <c r="S1049" s="76"/>
      <c r="T1049" s="86"/>
      <c r="U1049" s="76" t="s">
        <v>379</v>
      </c>
      <c r="V1049" s="86"/>
      <c r="W1049" s="97"/>
      <c r="X1049" s="97"/>
      <c r="Y1049" s="97"/>
      <c r="Z1049" s="97"/>
      <c r="AA1049" s="97"/>
      <c r="AB1049" s="97"/>
      <c r="AC1049" s="160" t="s">
        <v>630</v>
      </c>
      <c r="AD1049" s="76" t="s">
        <v>632</v>
      </c>
      <c r="AE1049" s="76" t="s">
        <v>632</v>
      </c>
      <c r="AF1049" s="160" t="s">
        <v>630</v>
      </c>
      <c r="AG1049" s="76"/>
      <c r="AH1049" s="76"/>
      <c r="AI1049" s="203"/>
      <c r="AJ1049" s="203"/>
      <c r="AK1049" s="203"/>
      <c r="AL1049" s="203"/>
      <c r="AM1049" s="203"/>
      <c r="AN1049" s="203"/>
      <c r="AO1049" s="203"/>
      <c r="AP1049" s="203"/>
      <c r="AQ1049" s="203"/>
      <c r="AR1049" s="203"/>
      <c r="AS1049" s="203"/>
      <c r="AT1049" s="203"/>
    </row>
    <row r="1050">
      <c r="A1050" s="76" t="s">
        <v>116</v>
      </c>
      <c r="B1050" s="77" t="s">
        <v>1728</v>
      </c>
      <c r="C1050" s="77" t="s">
        <v>121</v>
      </c>
      <c r="D1050" s="77" t="s">
        <v>121</v>
      </c>
      <c r="E1050" s="78" t="s">
        <v>1488</v>
      </c>
      <c r="F1050" s="80" t="s">
        <v>3985</v>
      </c>
      <c r="G1050" s="77" t="s">
        <v>1807</v>
      </c>
      <c r="H1050" s="77" t="s">
        <v>326</v>
      </c>
      <c r="I1050" s="87" t="s">
        <v>1221</v>
      </c>
      <c r="J1050" s="85" t="s">
        <v>114</v>
      </c>
      <c r="K1050" s="124" t="s">
        <v>11878</v>
      </c>
      <c r="L1050" s="76"/>
      <c r="M1050" s="85" t="s">
        <v>60</v>
      </c>
      <c r="N1050" s="303" t="s">
        <v>1803</v>
      </c>
      <c r="O1050" s="76" t="s">
        <v>1805</v>
      </c>
      <c r="P1050" s="523">
        <v>30837.0</v>
      </c>
      <c r="Q1050" s="315">
        <f t="shared" ref="Q1050:Q1065" si="124">VALUE(LEFT(TEXT(S1050,0),5))+1</f>
        <v>30837</v>
      </c>
      <c r="R1050" s="86">
        <f t="shared" ref="R1050:R1065" si="125">DATEDIF($P1050,TODAY(),"Y")</f>
        <v>42</v>
      </c>
      <c r="S1050" s="76">
        <v>3.083604814E9</v>
      </c>
      <c r="T1050" s="86"/>
      <c r="U1050" s="76" t="s">
        <v>344</v>
      </c>
      <c r="V1050" s="76"/>
      <c r="W1050" s="76"/>
      <c r="X1050" s="97"/>
      <c r="Y1050" s="167"/>
      <c r="Z1050" s="176" t="s">
        <v>1460</v>
      </c>
      <c r="AA1050" s="168"/>
      <c r="AB1050" s="97"/>
      <c r="AC1050" s="168"/>
      <c r="AD1050" s="168"/>
      <c r="AE1050" s="76"/>
      <c r="AF1050" s="76"/>
      <c r="AG1050" s="76" t="s">
        <v>1187</v>
      </c>
      <c r="AH1050" s="153">
        <v>46145.0</v>
      </c>
      <c r="AI1050" s="203"/>
      <c r="AJ1050" s="203"/>
      <c r="AK1050" s="203"/>
      <c r="AL1050" s="203"/>
      <c r="AM1050" s="203"/>
      <c r="AN1050" s="203"/>
      <c r="AO1050" s="203"/>
      <c r="AP1050" s="203"/>
      <c r="AQ1050" s="203"/>
      <c r="AR1050" s="203"/>
      <c r="AS1050" s="203"/>
      <c r="AT1050" s="203"/>
    </row>
    <row r="1051">
      <c r="A1051" s="76" t="s">
        <v>116</v>
      </c>
      <c r="B1051" s="77" t="s">
        <v>3898</v>
      </c>
      <c r="C1051" s="77" t="s">
        <v>8616</v>
      </c>
      <c r="D1051" s="77" t="s">
        <v>121</v>
      </c>
      <c r="E1051" s="78" t="s">
        <v>1978</v>
      </c>
      <c r="F1051" s="80" t="s">
        <v>7224</v>
      </c>
      <c r="G1051" s="77" t="s">
        <v>9384</v>
      </c>
      <c r="H1051" s="77" t="s">
        <v>60</v>
      </c>
      <c r="I1051" s="87" t="s">
        <v>1221</v>
      </c>
      <c r="J1051" s="109" t="s">
        <v>114</v>
      </c>
      <c r="K1051" s="109"/>
      <c r="L1051" s="109"/>
      <c r="M1051" s="109" t="s">
        <v>60</v>
      </c>
      <c r="N1051" s="97" t="s">
        <v>347</v>
      </c>
      <c r="O1051" s="109" t="s">
        <v>349</v>
      </c>
      <c r="P1051" s="1089">
        <v>30230.0</v>
      </c>
      <c r="Q1051" s="315">
        <f t="shared" si="124"/>
        <v>30230</v>
      </c>
      <c r="R1051" s="86">
        <f t="shared" si="125"/>
        <v>43</v>
      </c>
      <c r="S1051" s="315">
        <v>3.022910034E9</v>
      </c>
      <c r="T1051" s="315"/>
      <c r="U1051" s="470" t="s">
        <v>393</v>
      </c>
      <c r="V1051" s="97"/>
      <c r="W1051" s="97"/>
      <c r="X1051" s="97"/>
      <c r="Y1051" s="97"/>
      <c r="Z1051" s="97"/>
      <c r="AA1051" s="97"/>
      <c r="AB1051" s="97"/>
      <c r="AC1051" s="97"/>
      <c r="AD1051" s="97"/>
      <c r="AE1051" s="76" t="s">
        <v>672</v>
      </c>
      <c r="AF1051" s="109" t="s">
        <v>155</v>
      </c>
      <c r="AG1051" s="76" t="s">
        <v>9406</v>
      </c>
      <c r="AH1051" s="85" t="s">
        <v>11879</v>
      </c>
      <c r="AI1051" s="203"/>
      <c r="AJ1051" s="203"/>
      <c r="AK1051" s="203"/>
      <c r="AL1051" s="203"/>
      <c r="AM1051" s="203"/>
      <c r="AN1051" s="203"/>
      <c r="AO1051" s="203"/>
      <c r="AP1051" s="203"/>
      <c r="AQ1051" s="203"/>
      <c r="AR1051" s="203"/>
      <c r="AS1051" s="203"/>
      <c r="AT1051" s="203"/>
    </row>
    <row r="1052">
      <c r="A1052" s="86"/>
      <c r="B1052" s="302" t="s">
        <v>4145</v>
      </c>
      <c r="C1052" s="291" t="s">
        <v>5668</v>
      </c>
      <c r="D1052" s="76"/>
      <c r="E1052" s="574">
        <v>46129.0</v>
      </c>
      <c r="F1052" s="762"/>
      <c r="G1052" s="762"/>
      <c r="H1052" s="762"/>
      <c r="I1052" s="762"/>
      <c r="J1052" s="76" t="s">
        <v>114</v>
      </c>
      <c r="K1052" s="124" t="s">
        <v>11880</v>
      </c>
      <c r="L1052" s="318"/>
      <c r="M1052" s="85" t="s">
        <v>60</v>
      </c>
      <c r="N1052" s="286" t="s">
        <v>11881</v>
      </c>
      <c r="O1052" s="76" t="s">
        <v>11882</v>
      </c>
      <c r="P1052" s="523">
        <v>30426.0</v>
      </c>
      <c r="Q1052" s="315">
        <f t="shared" si="124"/>
        <v>30426</v>
      </c>
      <c r="R1052" s="86">
        <f t="shared" si="125"/>
        <v>43</v>
      </c>
      <c r="S1052" s="76">
        <v>3.042516611E9</v>
      </c>
      <c r="T1052" s="315"/>
      <c r="U1052" s="76" t="s">
        <v>136</v>
      </c>
      <c r="V1052" s="76"/>
      <c r="W1052" s="76"/>
      <c r="X1052" s="76" t="s">
        <v>186</v>
      </c>
      <c r="Y1052" s="211" t="s">
        <v>2506</v>
      </c>
      <c r="Z1052" s="85" t="s">
        <v>418</v>
      </c>
      <c r="AA1052" s="76" t="s">
        <v>1178</v>
      </c>
      <c r="AB1052" s="97"/>
      <c r="AC1052" s="76" t="s">
        <v>1032</v>
      </c>
      <c r="AD1052" s="76"/>
      <c r="AE1052" s="76"/>
      <c r="AF1052" s="76"/>
      <c r="AG1052" s="76" t="s">
        <v>11883</v>
      </c>
      <c r="AH1052" s="76" t="s">
        <v>11884</v>
      </c>
      <c r="AI1052" s="763"/>
      <c r="AJ1052" s="763"/>
      <c r="AK1052" s="763"/>
      <c r="AL1052" s="763"/>
      <c r="AM1052" s="763"/>
      <c r="AN1052" s="763"/>
      <c r="AO1052" s="763"/>
      <c r="AP1052" s="763"/>
      <c r="AQ1052" s="763"/>
      <c r="AR1052" s="763"/>
      <c r="AS1052" s="763"/>
      <c r="AT1052" s="763"/>
    </row>
    <row r="1053">
      <c r="A1053" s="76" t="s">
        <v>116</v>
      </c>
      <c r="B1053" s="77" t="s">
        <v>1039</v>
      </c>
      <c r="C1053" s="77" t="s">
        <v>1517</v>
      </c>
      <c r="D1053" s="77" t="s">
        <v>1368</v>
      </c>
      <c r="E1053" s="78" t="s">
        <v>302</v>
      </c>
      <c r="F1053" s="80" t="s">
        <v>1404</v>
      </c>
      <c r="G1053" s="77" t="s">
        <v>455</v>
      </c>
      <c r="H1053" s="77" t="s">
        <v>326</v>
      </c>
      <c r="I1053" s="87" t="s">
        <v>1221</v>
      </c>
      <c r="J1053" s="85" t="s">
        <v>114</v>
      </c>
      <c r="K1053" s="124" t="s">
        <v>11885</v>
      </c>
      <c r="L1053" s="76"/>
      <c r="M1053" s="85" t="s">
        <v>60</v>
      </c>
      <c r="N1053" s="256" t="s">
        <v>453</v>
      </c>
      <c r="O1053" s="76" t="s">
        <v>454</v>
      </c>
      <c r="P1053" s="523">
        <v>31757.0</v>
      </c>
      <c r="Q1053" s="315">
        <f t="shared" si="124"/>
        <v>31757</v>
      </c>
      <c r="R1053" s="86">
        <f t="shared" si="125"/>
        <v>39</v>
      </c>
      <c r="S1053" s="76">
        <v>3.175611992E9</v>
      </c>
      <c r="T1053" s="86"/>
      <c r="U1053" s="76" t="s">
        <v>368</v>
      </c>
      <c r="V1053" s="76"/>
      <c r="W1053" s="76"/>
      <c r="X1053" s="76"/>
      <c r="Y1053" s="167"/>
      <c r="Z1053" s="278" t="s">
        <v>1613</v>
      </c>
      <c r="AA1053" s="168"/>
      <c r="AB1053" s="97"/>
      <c r="AC1053" s="168"/>
      <c r="AD1053" s="168"/>
      <c r="AE1053" s="76"/>
      <c r="AF1053" s="76"/>
      <c r="AG1053" s="76" t="s">
        <v>1187</v>
      </c>
      <c r="AH1053" s="153">
        <v>46167.0</v>
      </c>
      <c r="AI1053" s="203"/>
      <c r="AJ1053" s="203"/>
      <c r="AK1053" s="203"/>
      <c r="AL1053" s="203"/>
      <c r="AM1053" s="203"/>
      <c r="AN1053" s="203"/>
      <c r="AO1053" s="203"/>
      <c r="AP1053" s="203"/>
      <c r="AQ1053" s="203"/>
      <c r="AR1053" s="203"/>
      <c r="AS1053" s="203"/>
      <c r="AT1053" s="203"/>
    </row>
    <row r="1054">
      <c r="A1054" s="76" t="s">
        <v>116</v>
      </c>
      <c r="B1054" s="77" t="s">
        <v>1645</v>
      </c>
      <c r="C1054" s="77" t="s">
        <v>1611</v>
      </c>
      <c r="D1054" s="77" t="s">
        <v>1368</v>
      </c>
      <c r="E1054" s="78" t="s">
        <v>213</v>
      </c>
      <c r="F1054" s="80" t="s">
        <v>1523</v>
      </c>
      <c r="G1054" s="77" t="s">
        <v>982</v>
      </c>
      <c r="H1054" s="77" t="s">
        <v>60</v>
      </c>
      <c r="I1054" s="87" t="s">
        <v>1221</v>
      </c>
      <c r="J1054" s="85" t="s">
        <v>114</v>
      </c>
      <c r="K1054" s="176" t="s">
        <v>11886</v>
      </c>
      <c r="L1054" s="76"/>
      <c r="M1054" s="85" t="s">
        <v>60</v>
      </c>
      <c r="N1054" s="256" t="s">
        <v>979</v>
      </c>
      <c r="O1054" s="76" t="s">
        <v>980</v>
      </c>
      <c r="P1054" s="523">
        <v>31964.0</v>
      </c>
      <c r="Q1054" s="315">
        <f t="shared" si="124"/>
        <v>31964</v>
      </c>
      <c r="R1054" s="86">
        <f t="shared" si="125"/>
        <v>39</v>
      </c>
      <c r="S1054" s="76">
        <v>3.196326174E9</v>
      </c>
      <c r="T1054" s="86"/>
      <c r="U1054" s="76" t="s">
        <v>368</v>
      </c>
      <c r="V1054" s="76"/>
      <c r="W1054" s="76"/>
      <c r="X1054" s="76"/>
      <c r="Y1054" s="167"/>
      <c r="Z1054" s="234" t="s">
        <v>1351</v>
      </c>
      <c r="AA1054" s="168"/>
      <c r="AB1054" s="97"/>
      <c r="AC1054" s="168"/>
      <c r="AD1054" s="168"/>
      <c r="AE1054" s="76"/>
      <c r="AF1054" s="76"/>
      <c r="AG1054" s="76" t="s">
        <v>1187</v>
      </c>
      <c r="AH1054" s="153">
        <v>46166.0</v>
      </c>
      <c r="AI1054" s="203"/>
      <c r="AJ1054" s="203"/>
      <c r="AK1054" s="203"/>
      <c r="AL1054" s="203"/>
      <c r="AM1054" s="203"/>
      <c r="AN1054" s="203"/>
      <c r="AO1054" s="203"/>
      <c r="AP1054" s="203"/>
      <c r="AQ1054" s="203"/>
      <c r="AR1054" s="203"/>
      <c r="AS1054" s="203"/>
      <c r="AT1054" s="203"/>
    </row>
    <row r="1055">
      <c r="A1055" s="76" t="s">
        <v>116</v>
      </c>
      <c r="B1055" s="77" t="s">
        <v>1709</v>
      </c>
      <c r="C1055" s="77" t="s">
        <v>1517</v>
      </c>
      <c r="D1055" s="77" t="s">
        <v>1494</v>
      </c>
      <c r="E1055" s="78" t="s">
        <v>187</v>
      </c>
      <c r="F1055" s="80" t="s">
        <v>1469</v>
      </c>
      <c r="G1055" s="77" t="s">
        <v>1263</v>
      </c>
      <c r="H1055" s="77" t="s">
        <v>60</v>
      </c>
      <c r="I1055" s="87" t="s">
        <v>1221</v>
      </c>
      <c r="J1055" s="85" t="s">
        <v>114</v>
      </c>
      <c r="K1055" s="124" t="s">
        <v>1325</v>
      </c>
      <c r="L1055" s="76"/>
      <c r="M1055" s="85" t="s">
        <v>60</v>
      </c>
      <c r="N1055" s="256" t="s">
        <v>1260</v>
      </c>
      <c r="O1055" s="76" t="s">
        <v>1262</v>
      </c>
      <c r="P1055" s="523">
        <v>31312.0</v>
      </c>
      <c r="Q1055" s="315">
        <f t="shared" si="124"/>
        <v>31312</v>
      </c>
      <c r="R1055" s="86">
        <f t="shared" si="125"/>
        <v>40</v>
      </c>
      <c r="S1055" s="76">
        <v>3.13112101E9</v>
      </c>
      <c r="T1055" s="86"/>
      <c r="U1055" s="76" t="s">
        <v>368</v>
      </c>
      <c r="V1055" s="76"/>
      <c r="W1055" s="76"/>
      <c r="X1055" s="76"/>
      <c r="Y1055" s="76" t="s">
        <v>8063</v>
      </c>
      <c r="Z1055" s="85"/>
      <c r="AA1055" s="168"/>
      <c r="AB1055" s="97"/>
      <c r="AC1055" s="168"/>
      <c r="AD1055" s="168"/>
      <c r="AE1055" s="76"/>
      <c r="AF1055" s="167" t="s">
        <v>5258</v>
      </c>
      <c r="AG1055" s="76" t="s">
        <v>1187</v>
      </c>
      <c r="AH1055" s="153">
        <v>46169.0</v>
      </c>
      <c r="AI1055" s="203"/>
      <c r="AJ1055" s="203"/>
      <c r="AK1055" s="203"/>
      <c r="AL1055" s="203"/>
      <c r="AM1055" s="203"/>
      <c r="AN1055" s="203"/>
      <c r="AO1055" s="203"/>
      <c r="AP1055" s="203"/>
      <c r="AQ1055" s="203"/>
      <c r="AR1055" s="203"/>
      <c r="AS1055" s="203"/>
      <c r="AT1055" s="203"/>
    </row>
    <row r="1056">
      <c r="A1056" s="76" t="s">
        <v>116</v>
      </c>
      <c r="B1056" s="77" t="s">
        <v>1709</v>
      </c>
      <c r="C1056" s="77" t="s">
        <v>1517</v>
      </c>
      <c r="D1056" s="77" t="s">
        <v>1519</v>
      </c>
      <c r="E1056" s="78" t="s">
        <v>302</v>
      </c>
      <c r="F1056" s="80" t="s">
        <v>1404</v>
      </c>
      <c r="G1056" s="77" t="s">
        <v>6124</v>
      </c>
      <c r="H1056" s="77" t="s">
        <v>326</v>
      </c>
      <c r="I1056" s="87" t="s">
        <v>1221</v>
      </c>
      <c r="J1056" s="76" t="s">
        <v>114</v>
      </c>
      <c r="K1056" s="124" t="s">
        <v>1602</v>
      </c>
      <c r="L1056" s="318"/>
      <c r="M1056" s="85" t="s">
        <v>60</v>
      </c>
      <c r="N1056" s="286" t="s">
        <v>8383</v>
      </c>
      <c r="O1056" s="76" t="s">
        <v>11887</v>
      </c>
      <c r="P1056" s="523">
        <v>32701.0</v>
      </c>
      <c r="Q1056" s="315">
        <f t="shared" si="124"/>
        <v>1</v>
      </c>
      <c r="R1056" s="86">
        <f t="shared" si="125"/>
        <v>37</v>
      </c>
      <c r="S1056" s="76"/>
      <c r="T1056" s="315"/>
      <c r="U1056" s="76" t="s">
        <v>136</v>
      </c>
      <c r="V1056" s="76"/>
      <c r="W1056" s="76"/>
      <c r="X1056" s="76" t="s">
        <v>186</v>
      </c>
      <c r="Y1056" s="211" t="s">
        <v>1815</v>
      </c>
      <c r="Z1056" s="501" t="s">
        <v>418</v>
      </c>
      <c r="AA1056" s="76"/>
      <c r="AB1056" s="97"/>
      <c r="AC1056" s="76" t="s">
        <v>1032</v>
      </c>
      <c r="AD1056" s="76"/>
      <c r="AE1056" s="76"/>
      <c r="AF1056" s="76" t="s">
        <v>4767</v>
      </c>
      <c r="AG1056" s="153">
        <v>46147.0</v>
      </c>
      <c r="AH1056" s="76" t="s">
        <v>11888</v>
      </c>
      <c r="AI1056" s="203"/>
      <c r="AJ1056" s="203"/>
      <c r="AK1056" s="203"/>
      <c r="AL1056" s="203"/>
      <c r="AM1056" s="203"/>
      <c r="AN1056" s="203"/>
      <c r="AO1056" s="203"/>
      <c r="AP1056" s="203"/>
      <c r="AQ1056" s="203"/>
      <c r="AR1056" s="203"/>
      <c r="AS1056" s="203"/>
      <c r="AT1056" s="203"/>
    </row>
    <row r="1057">
      <c r="A1057" s="76" t="s">
        <v>116</v>
      </c>
      <c r="B1057" s="77" t="s">
        <v>1728</v>
      </c>
      <c r="C1057" s="77" t="s">
        <v>121</v>
      </c>
      <c r="D1057" s="77" t="s">
        <v>121</v>
      </c>
      <c r="E1057" s="78" t="s">
        <v>331</v>
      </c>
      <c r="F1057" s="80" t="s">
        <v>1731</v>
      </c>
      <c r="G1057" s="77" t="s">
        <v>577</v>
      </c>
      <c r="H1057" s="77" t="s">
        <v>60</v>
      </c>
      <c r="I1057" s="87" t="s">
        <v>1221</v>
      </c>
      <c r="J1057" s="76" t="s">
        <v>114</v>
      </c>
      <c r="K1057" s="76"/>
      <c r="L1057" s="318"/>
      <c r="M1057" s="85" t="s">
        <v>60</v>
      </c>
      <c r="N1057" s="286" t="s">
        <v>11889</v>
      </c>
      <c r="O1057" s="76" t="s">
        <v>11890</v>
      </c>
      <c r="P1057" s="523">
        <v>36659.0</v>
      </c>
      <c r="Q1057" s="315">
        <f t="shared" si="124"/>
        <v>36659</v>
      </c>
      <c r="R1057" s="86">
        <f t="shared" si="125"/>
        <v>26</v>
      </c>
      <c r="S1057" s="76">
        <v>3.665805494E9</v>
      </c>
      <c r="T1057" s="76" t="s">
        <v>1317</v>
      </c>
      <c r="U1057" s="76" t="s">
        <v>136</v>
      </c>
      <c r="V1057" s="76"/>
      <c r="W1057" s="76"/>
      <c r="X1057" s="76" t="s">
        <v>186</v>
      </c>
      <c r="Y1057" s="276"/>
      <c r="Z1057" s="85" t="s">
        <v>1755</v>
      </c>
      <c r="AA1057" s="76" t="s">
        <v>1178</v>
      </c>
      <c r="AB1057" s="97"/>
      <c r="AC1057" s="76" t="s">
        <v>632</v>
      </c>
      <c r="AD1057" s="76"/>
      <c r="AE1057" s="76"/>
      <c r="AF1057" s="76" t="s">
        <v>11891</v>
      </c>
      <c r="AG1057" s="76" t="s">
        <v>11869</v>
      </c>
      <c r="AH1057" s="153">
        <v>46188.0</v>
      </c>
      <c r="AI1057" s="203"/>
      <c r="AJ1057" s="203"/>
      <c r="AK1057" s="203"/>
      <c r="AL1057" s="203"/>
      <c r="AM1057" s="203"/>
      <c r="AN1057" s="203"/>
      <c r="AO1057" s="203"/>
      <c r="AP1057" s="203"/>
      <c r="AQ1057" s="203"/>
      <c r="AR1057" s="203"/>
      <c r="AS1057" s="203"/>
      <c r="AT1057" s="203"/>
    </row>
    <row r="1058">
      <c r="A1058" s="76" t="s">
        <v>116</v>
      </c>
      <c r="B1058" s="77" t="s">
        <v>1645</v>
      </c>
      <c r="C1058" s="77" t="s">
        <v>1517</v>
      </c>
      <c r="D1058" s="77" t="s">
        <v>1368</v>
      </c>
      <c r="E1058" s="78" t="s">
        <v>213</v>
      </c>
      <c r="F1058" s="80" t="s">
        <v>1523</v>
      </c>
      <c r="G1058" s="77" t="s">
        <v>2488</v>
      </c>
      <c r="H1058" s="77" t="s">
        <v>60</v>
      </c>
      <c r="I1058" s="87" t="s">
        <v>1221</v>
      </c>
      <c r="J1058" s="76" t="s">
        <v>114</v>
      </c>
      <c r="K1058" s="176" t="s">
        <v>11892</v>
      </c>
      <c r="L1058" s="318"/>
      <c r="M1058" s="85" t="s">
        <v>60</v>
      </c>
      <c r="N1058" s="157" t="s">
        <v>10732</v>
      </c>
      <c r="O1058" s="76" t="s">
        <v>10733</v>
      </c>
      <c r="P1058" s="523">
        <v>33859.0</v>
      </c>
      <c r="Q1058" s="315">
        <f t="shared" si="124"/>
        <v>33859</v>
      </c>
      <c r="R1058" s="86">
        <f t="shared" si="125"/>
        <v>33</v>
      </c>
      <c r="S1058" s="76">
        <v>3.385804436E9</v>
      </c>
      <c r="T1058" s="315"/>
      <c r="U1058" s="76" t="s">
        <v>344</v>
      </c>
      <c r="V1058" s="76"/>
      <c r="W1058" s="76"/>
      <c r="X1058" s="76"/>
      <c r="Y1058" s="276" t="s">
        <v>1836</v>
      </c>
      <c r="Z1058" s="344" t="s">
        <v>3170</v>
      </c>
      <c r="AA1058" s="97"/>
      <c r="AB1058" s="97"/>
      <c r="AC1058" s="76"/>
      <c r="AD1058" s="76"/>
      <c r="AE1058" s="76"/>
      <c r="AF1058" s="76" t="s">
        <v>1843</v>
      </c>
      <c r="AG1058" s="76" t="s">
        <v>1187</v>
      </c>
      <c r="AH1058" s="153">
        <v>46174.0</v>
      </c>
      <c r="AI1058" s="203"/>
      <c r="AJ1058" s="203"/>
      <c r="AK1058" s="203"/>
      <c r="AL1058" s="203"/>
      <c r="AM1058" s="203"/>
      <c r="AN1058" s="203"/>
      <c r="AO1058" s="203"/>
      <c r="AP1058" s="203"/>
      <c r="AQ1058" s="203"/>
      <c r="AR1058" s="203"/>
      <c r="AS1058" s="203"/>
      <c r="AT1058" s="203"/>
    </row>
    <row r="1059">
      <c r="A1059" s="76" t="s">
        <v>116</v>
      </c>
      <c r="B1059" s="77" t="s">
        <v>1728</v>
      </c>
      <c r="C1059" s="77" t="s">
        <v>121</v>
      </c>
      <c r="D1059" s="77" t="s">
        <v>121</v>
      </c>
      <c r="E1059" s="78" t="s">
        <v>331</v>
      </c>
      <c r="F1059" s="80" t="s">
        <v>1731</v>
      </c>
      <c r="G1059" s="77" t="s">
        <v>577</v>
      </c>
      <c r="H1059" s="77" t="s">
        <v>60</v>
      </c>
      <c r="I1059" s="87" t="s">
        <v>1221</v>
      </c>
      <c r="J1059" s="76" t="s">
        <v>114</v>
      </c>
      <c r="K1059" s="124" t="s">
        <v>11893</v>
      </c>
      <c r="L1059" s="76"/>
      <c r="M1059" s="76" t="s">
        <v>60</v>
      </c>
      <c r="N1059" s="76" t="s">
        <v>11894</v>
      </c>
      <c r="O1059" s="76" t="s">
        <v>11622</v>
      </c>
      <c r="P1059" s="1135">
        <v>31694.0</v>
      </c>
      <c r="Q1059" s="315" t="str">
        <f t="shared" si="124"/>
        <v>#VALUE!</v>
      </c>
      <c r="R1059" s="97">
        <f t="shared" si="125"/>
        <v>39</v>
      </c>
      <c r="S1059" s="76" t="s">
        <v>3642</v>
      </c>
      <c r="T1059" s="315"/>
      <c r="U1059" s="310" t="s">
        <v>379</v>
      </c>
      <c r="V1059" s="76"/>
      <c r="W1059" s="76"/>
      <c r="X1059" s="97"/>
      <c r="Y1059" s="276" t="s">
        <v>7864</v>
      </c>
      <c r="Z1059" s="728" t="s">
        <v>2482</v>
      </c>
      <c r="AA1059" s="97"/>
      <c r="AB1059" s="97"/>
      <c r="AC1059" s="310" t="s">
        <v>2915</v>
      </c>
      <c r="AD1059" s="370"/>
      <c r="AE1059" s="76"/>
      <c r="AF1059" s="315" t="s">
        <v>4767</v>
      </c>
      <c r="AG1059" s="76" t="s">
        <v>11895</v>
      </c>
      <c r="AH1059" s="310" t="s">
        <v>11896</v>
      </c>
      <c r="AI1059" s="203"/>
      <c r="AJ1059" s="203"/>
      <c r="AK1059" s="203"/>
      <c r="AL1059" s="203"/>
      <c r="AM1059" s="203"/>
      <c r="AN1059" s="203"/>
      <c r="AO1059" s="203"/>
      <c r="AP1059" s="203"/>
      <c r="AQ1059" s="203"/>
      <c r="AR1059" s="203"/>
      <c r="AS1059" s="203"/>
      <c r="AT1059" s="203"/>
    </row>
    <row r="1060">
      <c r="A1060" s="76" t="s">
        <v>116</v>
      </c>
      <c r="B1060" s="77" t="s">
        <v>1645</v>
      </c>
      <c r="C1060" s="77" t="s">
        <v>1269</v>
      </c>
      <c r="D1060" s="77" t="s">
        <v>1519</v>
      </c>
      <c r="E1060" s="78" t="s">
        <v>187</v>
      </c>
      <c r="F1060" s="80" t="s">
        <v>1469</v>
      </c>
      <c r="G1060" s="77" t="s">
        <v>873</v>
      </c>
      <c r="H1060" s="77" t="s">
        <v>60</v>
      </c>
      <c r="I1060" s="87" t="s">
        <v>1221</v>
      </c>
      <c r="J1060" s="85" t="s">
        <v>114</v>
      </c>
      <c r="K1060" s="124" t="s">
        <v>11897</v>
      </c>
      <c r="L1060" s="76"/>
      <c r="M1060" s="85" t="s">
        <v>60</v>
      </c>
      <c r="N1060" s="256" t="s">
        <v>869</v>
      </c>
      <c r="O1060" s="76" t="s">
        <v>871</v>
      </c>
      <c r="P1060" s="523">
        <v>35108.0</v>
      </c>
      <c r="Q1060" s="315">
        <f t="shared" si="124"/>
        <v>35108</v>
      </c>
      <c r="R1060" s="86">
        <f t="shared" si="125"/>
        <v>30</v>
      </c>
      <c r="S1060" s="76">
        <v>3.510710376E9</v>
      </c>
      <c r="T1060" s="86"/>
      <c r="U1060" s="76" t="s">
        <v>368</v>
      </c>
      <c r="V1060" s="76"/>
      <c r="W1060" s="76"/>
      <c r="X1060" s="97"/>
      <c r="Y1060" s="167"/>
      <c r="Z1060" s="176" t="s">
        <v>1460</v>
      </c>
      <c r="AA1060" s="168"/>
      <c r="AB1060" s="97"/>
      <c r="AC1060" s="168"/>
      <c r="AD1060" s="168"/>
      <c r="AE1060" s="76"/>
      <c r="AF1060" s="76"/>
      <c r="AG1060" s="76"/>
      <c r="AH1060" s="153">
        <v>46178.0</v>
      </c>
      <c r="AI1060" s="203"/>
      <c r="AJ1060" s="203"/>
      <c r="AK1060" s="203"/>
      <c r="AL1060" s="203"/>
      <c r="AM1060" s="203"/>
      <c r="AN1060" s="203"/>
      <c r="AO1060" s="203"/>
      <c r="AP1060" s="203"/>
      <c r="AQ1060" s="203"/>
      <c r="AR1060" s="203"/>
      <c r="AS1060" s="203"/>
      <c r="AT1060" s="203"/>
    </row>
    <row r="1061">
      <c r="A1061" s="76" t="s">
        <v>116</v>
      </c>
      <c r="B1061" s="77" t="s">
        <v>1645</v>
      </c>
      <c r="C1061" s="77" t="s">
        <v>1517</v>
      </c>
      <c r="D1061" s="77" t="s">
        <v>1368</v>
      </c>
      <c r="E1061" s="78" t="s">
        <v>212</v>
      </c>
      <c r="F1061" s="80" t="s">
        <v>2203</v>
      </c>
      <c r="G1061" s="77" t="s">
        <v>2616</v>
      </c>
      <c r="H1061" s="77" t="s">
        <v>326</v>
      </c>
      <c r="I1061" s="87" t="s">
        <v>1221</v>
      </c>
      <c r="J1061" s="85" t="s">
        <v>114</v>
      </c>
      <c r="K1061" s="124" t="s">
        <v>11898</v>
      </c>
      <c r="L1061" s="76"/>
      <c r="M1061" s="85" t="s">
        <v>60</v>
      </c>
      <c r="N1061" s="76" t="s">
        <v>2612</v>
      </c>
      <c r="O1061" s="295" t="s">
        <v>2613</v>
      </c>
      <c r="P1061" s="523">
        <v>34310.0</v>
      </c>
      <c r="Q1061" s="315">
        <f t="shared" si="124"/>
        <v>34310</v>
      </c>
      <c r="R1061" s="86">
        <f t="shared" si="125"/>
        <v>32</v>
      </c>
      <c r="S1061" s="76">
        <v>3.430912474E9</v>
      </c>
      <c r="T1061" s="86"/>
      <c r="U1061" s="76" t="s">
        <v>165</v>
      </c>
      <c r="V1061" s="76" t="s">
        <v>490</v>
      </c>
      <c r="W1061" s="76"/>
      <c r="X1061" s="76"/>
      <c r="Y1061" s="167"/>
      <c r="Z1061" s="278" t="s">
        <v>1613</v>
      </c>
      <c r="AA1061" s="168"/>
      <c r="AB1061" s="76" t="s">
        <v>192</v>
      </c>
      <c r="AC1061" s="168"/>
      <c r="AD1061" s="168"/>
      <c r="AE1061" s="76" t="s">
        <v>259</v>
      </c>
      <c r="AF1061" s="109" t="s">
        <v>155</v>
      </c>
      <c r="AG1061" s="76" t="s">
        <v>1187</v>
      </c>
      <c r="AH1061" s="1139" t="s">
        <v>11899</v>
      </c>
      <c r="AI1061" s="1140" t="s">
        <v>11900</v>
      </c>
      <c r="AJ1061" s="203"/>
      <c r="AK1061" s="203"/>
      <c r="AL1061" s="203"/>
      <c r="AM1061" s="203"/>
      <c r="AN1061" s="203"/>
      <c r="AO1061" s="203"/>
      <c r="AP1061" s="203"/>
      <c r="AQ1061" s="203"/>
      <c r="AR1061" s="203"/>
      <c r="AS1061" s="203"/>
      <c r="AT1061" s="203"/>
    </row>
    <row r="1062">
      <c r="A1062" s="76" t="s">
        <v>116</v>
      </c>
      <c r="B1062" s="77" t="s">
        <v>1709</v>
      </c>
      <c r="C1062" s="77" t="s">
        <v>1611</v>
      </c>
      <c r="D1062" s="77" t="s">
        <v>1494</v>
      </c>
      <c r="E1062" s="78" t="s">
        <v>302</v>
      </c>
      <c r="F1062" s="80" t="s">
        <v>1404</v>
      </c>
      <c r="G1062" s="77" t="s">
        <v>1305</v>
      </c>
      <c r="H1062" s="77" t="s">
        <v>326</v>
      </c>
      <c r="I1062" s="87" t="s">
        <v>1221</v>
      </c>
      <c r="J1062" s="85" t="s">
        <v>114</v>
      </c>
      <c r="K1062" s="124" t="s">
        <v>11901</v>
      </c>
      <c r="L1062" s="76"/>
      <c r="M1062" s="85" t="s">
        <v>60</v>
      </c>
      <c r="N1062" s="256" t="s">
        <v>1302</v>
      </c>
      <c r="O1062" s="76" t="s">
        <v>1303</v>
      </c>
      <c r="P1062" s="523">
        <v>29772.0</v>
      </c>
      <c r="Q1062" s="315">
        <f t="shared" si="124"/>
        <v>29772</v>
      </c>
      <c r="R1062" s="86">
        <f t="shared" si="125"/>
        <v>45</v>
      </c>
      <c r="S1062" s="76">
        <v>2.977125673E9</v>
      </c>
      <c r="T1062" s="86"/>
      <c r="U1062" s="76" t="s">
        <v>368</v>
      </c>
      <c r="V1062" s="76"/>
      <c r="W1062" s="76"/>
      <c r="X1062" s="76"/>
      <c r="Y1062" s="167"/>
      <c r="Z1062" s="176" t="s">
        <v>1460</v>
      </c>
      <c r="AA1062" s="168"/>
      <c r="AB1062" s="97"/>
      <c r="AC1062" s="168"/>
      <c r="AD1062" s="168"/>
      <c r="AE1062" s="76"/>
      <c r="AF1062" s="76"/>
      <c r="AG1062" s="76"/>
      <c r="AH1062" s="153">
        <v>46181.0</v>
      </c>
      <c r="AI1062" s="203"/>
      <c r="AJ1062" s="203"/>
      <c r="AK1062" s="203"/>
      <c r="AL1062" s="203"/>
      <c r="AM1062" s="203"/>
      <c r="AN1062" s="203"/>
      <c r="AO1062" s="203"/>
      <c r="AP1062" s="203"/>
      <c r="AQ1062" s="203"/>
      <c r="AR1062" s="203"/>
      <c r="AS1062" s="203"/>
      <c r="AT1062" s="203"/>
    </row>
    <row r="1063">
      <c r="A1063" s="76" t="s">
        <v>116</v>
      </c>
      <c r="B1063" s="77" t="s">
        <v>3722</v>
      </c>
      <c r="C1063" s="77" t="s">
        <v>6996</v>
      </c>
      <c r="D1063" s="77" t="s">
        <v>7134</v>
      </c>
      <c r="E1063" s="78" t="s">
        <v>152</v>
      </c>
      <c r="F1063" s="80" t="s">
        <v>7116</v>
      </c>
      <c r="G1063" s="77" t="s">
        <v>7181</v>
      </c>
      <c r="H1063" s="77" t="s">
        <v>60</v>
      </c>
      <c r="I1063" s="87" t="s">
        <v>1221</v>
      </c>
      <c r="J1063" s="109" t="s">
        <v>114</v>
      </c>
      <c r="K1063" s="118" t="s">
        <v>11902</v>
      </c>
      <c r="L1063" s="85"/>
      <c r="M1063" s="87" t="s">
        <v>60</v>
      </c>
      <c r="N1063" s="86" t="s">
        <v>2843</v>
      </c>
      <c r="O1063" s="87" t="s">
        <v>2844</v>
      </c>
      <c r="P1063" s="1089">
        <v>34016.0</v>
      </c>
      <c r="Q1063" s="315">
        <f t="shared" si="124"/>
        <v>34016</v>
      </c>
      <c r="R1063" s="86">
        <f t="shared" si="125"/>
        <v>33</v>
      </c>
      <c r="S1063" s="315">
        <v>3.401512714E9</v>
      </c>
      <c r="T1063" s="315" t="s">
        <v>1548</v>
      </c>
      <c r="U1063" s="603" t="s">
        <v>379</v>
      </c>
      <c r="V1063" s="76"/>
      <c r="W1063" s="86"/>
      <c r="X1063" s="97"/>
      <c r="Y1063" s="86"/>
      <c r="Z1063" s="86"/>
      <c r="AA1063" s="86"/>
      <c r="AB1063" s="76" t="s">
        <v>192</v>
      </c>
      <c r="AC1063" s="310" t="s">
        <v>2915</v>
      </c>
      <c r="AD1063" s="99"/>
      <c r="AE1063" s="76"/>
      <c r="AF1063" s="209"/>
      <c r="AG1063" s="97"/>
      <c r="AH1063" s="310" t="s">
        <v>11903</v>
      </c>
      <c r="AI1063" s="203"/>
      <c r="AJ1063" s="203"/>
      <c r="AK1063" s="203"/>
      <c r="AL1063" s="203"/>
      <c r="AM1063" s="203"/>
      <c r="AN1063" s="203"/>
      <c r="AO1063" s="203"/>
      <c r="AP1063" s="203"/>
      <c r="AQ1063" s="203"/>
      <c r="AR1063" s="203"/>
      <c r="AS1063" s="203"/>
      <c r="AT1063" s="203"/>
    </row>
    <row r="1064">
      <c r="A1064" s="76" t="s">
        <v>116</v>
      </c>
      <c r="B1064" s="77" t="s">
        <v>3297</v>
      </c>
      <c r="C1064" s="77" t="s">
        <v>8546</v>
      </c>
      <c r="D1064" s="77" t="s">
        <v>121</v>
      </c>
      <c r="E1064" s="78" t="s">
        <v>1932</v>
      </c>
      <c r="F1064" s="80" t="s">
        <v>3486</v>
      </c>
      <c r="G1064" s="77" t="s">
        <v>1934</v>
      </c>
      <c r="H1064" s="77" t="s">
        <v>326</v>
      </c>
      <c r="I1064" s="87" t="s">
        <v>1221</v>
      </c>
      <c r="J1064" s="109" t="s">
        <v>114</v>
      </c>
      <c r="K1064" s="124" t="s">
        <v>11904</v>
      </c>
      <c r="L1064" s="86"/>
      <c r="M1064" s="85" t="s">
        <v>60</v>
      </c>
      <c r="N1064" s="76" t="s">
        <v>1930</v>
      </c>
      <c r="O1064" s="76" t="s">
        <v>1931</v>
      </c>
      <c r="P1064" s="523">
        <v>29140.0</v>
      </c>
      <c r="Q1064" s="315">
        <f t="shared" si="124"/>
        <v>29140</v>
      </c>
      <c r="R1064" s="86">
        <f t="shared" si="125"/>
        <v>46</v>
      </c>
      <c r="S1064" s="76">
        <v>2.913908093E9</v>
      </c>
      <c r="T1064" s="86"/>
      <c r="U1064" s="76" t="s">
        <v>165</v>
      </c>
      <c r="V1064" s="76" t="s">
        <v>425</v>
      </c>
      <c r="W1064" s="97"/>
      <c r="X1064" s="76"/>
      <c r="Y1064" s="97" t="s">
        <v>1174</v>
      </c>
      <c r="Z1064" s="216" t="s">
        <v>2155</v>
      </c>
      <c r="AA1064" s="168"/>
      <c r="AB1064" s="97"/>
      <c r="AC1064" s="168"/>
      <c r="AD1064" s="168"/>
      <c r="AE1064" s="76" t="s">
        <v>259</v>
      </c>
      <c r="AF1064" s="76"/>
      <c r="AG1064" s="76"/>
      <c r="AH1064" s="97"/>
      <c r="AI1064" s="203"/>
      <c r="AJ1064" s="203"/>
      <c r="AK1064" s="203"/>
      <c r="AL1064" s="203"/>
      <c r="AM1064" s="203"/>
      <c r="AN1064" s="203"/>
      <c r="AO1064" s="203"/>
      <c r="AP1064" s="203"/>
      <c r="AQ1064" s="203"/>
      <c r="AR1064" s="203"/>
      <c r="AS1064" s="203"/>
      <c r="AT1064" s="203"/>
    </row>
    <row r="1065">
      <c r="A1065" s="302" t="s">
        <v>9293</v>
      </c>
      <c r="B1065" s="302" t="s">
        <v>4145</v>
      </c>
      <c r="C1065" s="302" t="s">
        <v>9293</v>
      </c>
      <c r="D1065" s="76"/>
      <c r="E1065" s="762" t="s">
        <v>9294</v>
      </c>
      <c r="F1065" s="762"/>
      <c r="G1065" s="762"/>
      <c r="H1065" s="762"/>
      <c r="I1065" s="762"/>
      <c r="J1065" s="76" t="s">
        <v>114</v>
      </c>
      <c r="K1065" s="762"/>
      <c r="L1065" s="762"/>
      <c r="M1065" s="85" t="s">
        <v>60</v>
      </c>
      <c r="N1065" s="647" t="s">
        <v>3198</v>
      </c>
      <c r="O1065" s="76" t="s">
        <v>3200</v>
      </c>
      <c r="P1065" s="523">
        <v>32832.0</v>
      </c>
      <c r="Q1065" s="315">
        <f t="shared" si="124"/>
        <v>32832</v>
      </c>
      <c r="R1065" s="86">
        <f t="shared" si="125"/>
        <v>36</v>
      </c>
      <c r="S1065" s="76">
        <v>3.283110732E9</v>
      </c>
      <c r="T1065" s="315"/>
      <c r="U1065" s="603" t="s">
        <v>368</v>
      </c>
      <c r="V1065" s="76"/>
      <c r="W1065" s="76"/>
      <c r="X1065" s="97"/>
      <c r="Y1065" s="76" t="s">
        <v>10565</v>
      </c>
      <c r="Z1065" s="97"/>
      <c r="AA1065" s="97"/>
      <c r="AB1065" s="97"/>
      <c r="AC1065" s="97"/>
      <c r="AD1065" s="99"/>
      <c r="AE1065" s="76"/>
      <c r="AF1065" s="76" t="s">
        <v>7497</v>
      </c>
      <c r="AG1065" s="76" t="s">
        <v>2194</v>
      </c>
      <c r="AH1065" s="311">
        <v>46201.0</v>
      </c>
      <c r="AI1065" s="203"/>
      <c r="AJ1065" s="203"/>
      <c r="AK1065" s="203"/>
      <c r="AL1065" s="203"/>
      <c r="AM1065" s="203"/>
      <c r="AN1065" s="203"/>
      <c r="AO1065" s="203"/>
      <c r="AP1065" s="203"/>
      <c r="AQ1065" s="203"/>
      <c r="AR1065" s="203"/>
      <c r="AS1065" s="203"/>
      <c r="AT1065" s="203"/>
    </row>
    <row r="1066">
      <c r="A1066" s="86"/>
      <c r="B1066" s="302" t="s">
        <v>145</v>
      </c>
      <c r="C1066" s="302"/>
      <c r="D1066" s="76" t="s">
        <v>11174</v>
      </c>
      <c r="E1066" s="574">
        <v>46157.0</v>
      </c>
      <c r="F1066" s="762"/>
      <c r="G1066" s="762"/>
      <c r="H1066" s="762"/>
      <c r="I1066" s="762"/>
      <c r="J1066" s="76" t="s">
        <v>114</v>
      </c>
      <c r="K1066" s="76"/>
      <c r="L1066" s="318"/>
      <c r="M1066" s="85" t="s">
        <v>60</v>
      </c>
      <c r="N1066" s="157" t="s">
        <v>11905</v>
      </c>
      <c r="O1066" s="76" t="s">
        <v>11906</v>
      </c>
      <c r="P1066" s="523">
        <v>31894.0</v>
      </c>
      <c r="Q1066" s="315"/>
      <c r="R1066" s="86"/>
      <c r="S1066" s="76"/>
      <c r="T1066" s="315"/>
      <c r="U1066" s="76" t="s">
        <v>379</v>
      </c>
      <c r="V1066" s="76"/>
      <c r="W1066" s="76"/>
      <c r="X1066" s="76" t="s">
        <v>182</v>
      </c>
      <c r="Y1066" s="97"/>
      <c r="Z1066" s="85" t="s">
        <v>1755</v>
      </c>
      <c r="AA1066" s="76" t="s">
        <v>185</v>
      </c>
      <c r="AB1066" s="76"/>
      <c r="AC1066" s="76"/>
      <c r="AD1066" s="76"/>
      <c r="AE1066" s="76"/>
      <c r="AF1066" s="76"/>
      <c r="AG1066" s="76" t="s">
        <v>11907</v>
      </c>
      <c r="AH1066" s="76" t="s">
        <v>10877</v>
      </c>
      <c r="AI1066" s="763"/>
      <c r="AJ1066" s="763"/>
      <c r="AK1066" s="763"/>
      <c r="AL1066" s="763"/>
      <c r="AM1066" s="763"/>
      <c r="AN1066" s="763"/>
      <c r="AO1066" s="763"/>
      <c r="AP1066" s="763"/>
      <c r="AQ1066" s="763"/>
      <c r="AR1066" s="763"/>
      <c r="AS1066" s="763"/>
      <c r="AT1066" s="763"/>
    </row>
    <row r="1067">
      <c r="A1067" s="86"/>
      <c r="B1067" s="302" t="s">
        <v>145</v>
      </c>
      <c r="C1067" s="302"/>
      <c r="D1067" s="76" t="s">
        <v>11174</v>
      </c>
      <c r="E1067" s="574">
        <v>46157.0</v>
      </c>
      <c r="F1067" s="762"/>
      <c r="G1067" s="762"/>
      <c r="H1067" s="762"/>
      <c r="I1067" s="762"/>
      <c r="J1067" s="76" t="s">
        <v>114</v>
      </c>
      <c r="K1067" s="124" t="s">
        <v>11908</v>
      </c>
      <c r="L1067" s="318"/>
      <c r="M1067" s="85" t="s">
        <v>610</v>
      </c>
      <c r="N1067" s="157" t="s">
        <v>11909</v>
      </c>
      <c r="O1067" s="76" t="s">
        <v>11910</v>
      </c>
      <c r="P1067" s="523">
        <v>32169.0</v>
      </c>
      <c r="Q1067" s="315">
        <f t="shared" ref="Q1067:Q1078" si="126">VALUE(LEFT(TEXT(S1067,0),5))+1</f>
        <v>32169</v>
      </c>
      <c r="R1067" s="86">
        <f t="shared" ref="R1067:R1078" si="127">DATEDIF($P1067,TODAY(),"Y")</f>
        <v>38</v>
      </c>
      <c r="S1067" s="76">
        <v>3.216814555E9</v>
      </c>
      <c r="T1067" s="315"/>
      <c r="U1067" s="76" t="s">
        <v>379</v>
      </c>
      <c r="V1067" s="76"/>
      <c r="W1067" s="76"/>
      <c r="X1067" s="76" t="s">
        <v>145</v>
      </c>
      <c r="Y1067" s="76" t="s">
        <v>371</v>
      </c>
      <c r="Z1067" s="97"/>
      <c r="AA1067" s="76" t="s">
        <v>185</v>
      </c>
      <c r="AB1067" s="76" t="s">
        <v>269</v>
      </c>
      <c r="AC1067" s="76"/>
      <c r="AD1067" s="76"/>
      <c r="AE1067" s="76"/>
      <c r="AF1067" s="76"/>
      <c r="AG1067" s="76" t="s">
        <v>11907</v>
      </c>
      <c r="AH1067" s="76" t="s">
        <v>10877</v>
      </c>
      <c r="AI1067" s="763"/>
      <c r="AJ1067" s="763"/>
      <c r="AK1067" s="763"/>
      <c r="AL1067" s="763"/>
      <c r="AM1067" s="763"/>
      <c r="AN1067" s="763"/>
      <c r="AO1067" s="763"/>
      <c r="AP1067" s="763"/>
      <c r="AQ1067" s="763"/>
      <c r="AR1067" s="763"/>
      <c r="AS1067" s="763"/>
      <c r="AT1067" s="763"/>
    </row>
    <row r="1068">
      <c r="A1068" s="86"/>
      <c r="B1068" s="302" t="s">
        <v>145</v>
      </c>
      <c r="C1068" s="302"/>
      <c r="D1068" s="76" t="s">
        <v>11174</v>
      </c>
      <c r="E1068" s="574">
        <v>46157.0</v>
      </c>
      <c r="F1068" s="762"/>
      <c r="G1068" s="762"/>
      <c r="H1068" s="762"/>
      <c r="I1068" s="762"/>
      <c r="J1068" s="76" t="s">
        <v>114</v>
      </c>
      <c r="K1068" s="76"/>
      <c r="L1068" s="318"/>
      <c r="M1068" s="85" t="s">
        <v>60</v>
      </c>
      <c r="N1068" s="157" t="s">
        <v>11911</v>
      </c>
      <c r="O1068" s="76" t="s">
        <v>2454</v>
      </c>
      <c r="P1068" s="523">
        <v>31958.0</v>
      </c>
      <c r="Q1068" s="315">
        <f t="shared" si="126"/>
        <v>31958</v>
      </c>
      <c r="R1068" s="86">
        <f t="shared" si="127"/>
        <v>39</v>
      </c>
      <c r="S1068" s="76">
        <v>3.195715293E9</v>
      </c>
      <c r="T1068" s="76" t="s">
        <v>378</v>
      </c>
      <c r="U1068" s="76" t="s">
        <v>379</v>
      </c>
      <c r="V1068" s="76"/>
      <c r="W1068" s="76"/>
      <c r="X1068" s="76" t="s">
        <v>182</v>
      </c>
      <c r="Y1068" s="97"/>
      <c r="Z1068" s="85" t="s">
        <v>1755</v>
      </c>
      <c r="AA1068" s="76" t="s">
        <v>185</v>
      </c>
      <c r="AB1068" s="76"/>
      <c r="AC1068" s="76"/>
      <c r="AD1068" s="76"/>
      <c r="AE1068" s="76"/>
      <c r="AF1068" s="76"/>
      <c r="AG1068" s="76" t="s">
        <v>11912</v>
      </c>
      <c r="AH1068" s="76" t="s">
        <v>10877</v>
      </c>
      <c r="AI1068" s="763"/>
      <c r="AJ1068" s="763"/>
      <c r="AK1068" s="763"/>
      <c r="AL1068" s="763"/>
      <c r="AM1068" s="763"/>
      <c r="AN1068" s="763"/>
      <c r="AO1068" s="763"/>
      <c r="AP1068" s="763"/>
      <c r="AQ1068" s="763"/>
      <c r="AR1068" s="763"/>
      <c r="AS1068" s="763"/>
      <c r="AT1068" s="763"/>
    </row>
    <row r="1069">
      <c r="A1069" s="310">
        <v>155.0</v>
      </c>
      <c r="B1069" s="302" t="s">
        <v>4145</v>
      </c>
      <c r="C1069" s="523"/>
      <c r="D1069" s="86"/>
      <c r="E1069" s="574"/>
      <c r="F1069" s="86"/>
      <c r="G1069" s="86"/>
      <c r="H1069" s="86"/>
      <c r="I1069" s="86"/>
      <c r="J1069" s="85" t="s">
        <v>114</v>
      </c>
      <c r="K1069" s="176" t="s">
        <v>11913</v>
      </c>
      <c r="L1069" s="76"/>
      <c r="M1069" s="85" t="s">
        <v>60</v>
      </c>
      <c r="N1069" s="303" t="s">
        <v>10076</v>
      </c>
      <c r="O1069" s="76" t="s">
        <v>10077</v>
      </c>
      <c r="P1069" s="523">
        <v>34785.0</v>
      </c>
      <c r="Q1069" s="315">
        <f t="shared" si="126"/>
        <v>34785</v>
      </c>
      <c r="R1069" s="86">
        <f t="shared" si="127"/>
        <v>31</v>
      </c>
      <c r="S1069" s="76">
        <v>3.478408032E9</v>
      </c>
      <c r="T1069" s="76" t="s">
        <v>1317</v>
      </c>
      <c r="U1069" s="76" t="s">
        <v>393</v>
      </c>
      <c r="V1069" s="76"/>
      <c r="W1069" s="76"/>
      <c r="X1069" s="76"/>
      <c r="Y1069" s="167"/>
      <c r="Z1069" s="234" t="s">
        <v>1351</v>
      </c>
      <c r="AA1069" s="168"/>
      <c r="AB1069" s="97"/>
      <c r="AC1069" s="168"/>
      <c r="AD1069" s="168"/>
      <c r="AE1069" s="76" t="s">
        <v>154</v>
      </c>
      <c r="AF1069" s="76" t="s">
        <v>155</v>
      </c>
      <c r="AG1069" s="76" t="s">
        <v>1187</v>
      </c>
      <c r="AH1069" s="310" t="s">
        <v>11914</v>
      </c>
      <c r="AI1069" s="67"/>
      <c r="AJ1069" s="67"/>
      <c r="AK1069" s="67"/>
      <c r="AL1069" s="67"/>
      <c r="AM1069" s="67"/>
      <c r="AN1069" s="67"/>
      <c r="AO1069" s="67"/>
      <c r="AP1069" s="67"/>
      <c r="AQ1069" s="67"/>
      <c r="AR1069" s="67"/>
      <c r="AS1069" s="67"/>
      <c r="AT1069" s="67"/>
    </row>
    <row r="1070">
      <c r="A1070" s="86"/>
      <c r="B1070" s="302" t="s">
        <v>145</v>
      </c>
      <c r="C1070" s="302"/>
      <c r="D1070" s="76" t="s">
        <v>11174</v>
      </c>
      <c r="E1070" s="574">
        <v>46157.0</v>
      </c>
      <c r="F1070" s="762"/>
      <c r="G1070" s="762"/>
      <c r="H1070" s="762"/>
      <c r="I1070" s="762"/>
      <c r="J1070" s="76" t="s">
        <v>114</v>
      </c>
      <c r="K1070" s="176" t="s">
        <v>11915</v>
      </c>
      <c r="L1070" s="318"/>
      <c r="M1070" s="85" t="s">
        <v>60</v>
      </c>
      <c r="N1070" s="157" t="s">
        <v>11916</v>
      </c>
      <c r="O1070" s="76" t="s">
        <v>11917</v>
      </c>
      <c r="P1070" s="523">
        <v>31292.0</v>
      </c>
      <c r="Q1070" s="315">
        <f t="shared" si="126"/>
        <v>31292</v>
      </c>
      <c r="R1070" s="86">
        <f t="shared" si="127"/>
        <v>41</v>
      </c>
      <c r="S1070" s="76">
        <v>3.129112035E9</v>
      </c>
      <c r="T1070" s="315"/>
      <c r="U1070" s="76" t="s">
        <v>379</v>
      </c>
      <c r="V1070" s="76"/>
      <c r="W1070" s="76"/>
      <c r="X1070" s="76" t="s">
        <v>182</v>
      </c>
      <c r="Y1070" s="97"/>
      <c r="Z1070" s="85" t="s">
        <v>1755</v>
      </c>
      <c r="AA1070" s="76" t="s">
        <v>185</v>
      </c>
      <c r="AB1070" s="76" t="s">
        <v>269</v>
      </c>
      <c r="AC1070" s="76"/>
      <c r="AD1070" s="76"/>
      <c r="AE1070" s="76"/>
      <c r="AF1070" s="76"/>
      <c r="AG1070" s="76" t="s">
        <v>11918</v>
      </c>
      <c r="AH1070" s="76" t="s">
        <v>10877</v>
      </c>
      <c r="AI1070" s="763"/>
      <c r="AJ1070" s="763"/>
      <c r="AK1070" s="763"/>
      <c r="AL1070" s="763"/>
      <c r="AM1070" s="763"/>
      <c r="AN1070" s="763"/>
      <c r="AO1070" s="763"/>
      <c r="AP1070" s="763"/>
      <c r="AQ1070" s="763"/>
      <c r="AR1070" s="763"/>
      <c r="AS1070" s="763"/>
      <c r="AT1070" s="763"/>
    </row>
    <row r="1071">
      <c r="A1071" s="86"/>
      <c r="B1071" s="302" t="s">
        <v>4145</v>
      </c>
      <c r="C1071" s="302"/>
      <c r="D1071" s="76" t="s">
        <v>11174</v>
      </c>
      <c r="E1071" s="574">
        <v>46157.0</v>
      </c>
      <c r="F1071" s="762"/>
      <c r="G1071" s="762"/>
      <c r="H1071" s="762"/>
      <c r="I1071" s="762"/>
      <c r="J1071" s="76" t="s">
        <v>114</v>
      </c>
      <c r="K1071" s="76"/>
      <c r="L1071" s="318"/>
      <c r="M1071" s="85" t="s">
        <v>60</v>
      </c>
      <c r="N1071" s="157" t="s">
        <v>11919</v>
      </c>
      <c r="O1071" s="76" t="s">
        <v>11920</v>
      </c>
      <c r="P1071" s="523">
        <v>34565.0</v>
      </c>
      <c r="Q1071" s="315">
        <f t="shared" si="126"/>
        <v>34565</v>
      </c>
      <c r="R1071" s="86">
        <f t="shared" si="127"/>
        <v>32</v>
      </c>
      <c r="S1071" s="76">
        <v>3.45641751E9</v>
      </c>
      <c r="T1071" s="315"/>
      <c r="U1071" s="76" t="s">
        <v>379</v>
      </c>
      <c r="V1071" s="76"/>
      <c r="W1071" s="76"/>
      <c r="X1071" s="76" t="s">
        <v>186</v>
      </c>
      <c r="Y1071" s="97"/>
      <c r="Z1071" s="85" t="s">
        <v>1755</v>
      </c>
      <c r="AA1071" s="76" t="s">
        <v>1178</v>
      </c>
      <c r="AB1071" s="76"/>
      <c r="AC1071" s="76"/>
      <c r="AD1071" s="76"/>
      <c r="AE1071" s="76"/>
      <c r="AF1071" s="76"/>
      <c r="AG1071" s="76" t="s">
        <v>10876</v>
      </c>
      <c r="AH1071" s="76" t="s">
        <v>10877</v>
      </c>
      <c r="AI1071" s="763"/>
      <c r="AJ1071" s="763"/>
      <c r="AK1071" s="763"/>
      <c r="AL1071" s="763"/>
      <c r="AM1071" s="763"/>
      <c r="AN1071" s="763"/>
      <c r="AO1071" s="763"/>
      <c r="AP1071" s="763"/>
      <c r="AQ1071" s="763"/>
      <c r="AR1071" s="763"/>
      <c r="AS1071" s="763"/>
      <c r="AT1071" s="763"/>
    </row>
    <row r="1072">
      <c r="A1072" s="86"/>
      <c r="B1072" s="302" t="s">
        <v>145</v>
      </c>
      <c r="C1072" s="302"/>
      <c r="D1072" s="76" t="s">
        <v>11144</v>
      </c>
      <c r="E1072" s="574">
        <v>46155.0</v>
      </c>
      <c r="F1072" s="762"/>
      <c r="G1072" s="762"/>
      <c r="H1072" s="762"/>
      <c r="I1072" s="762"/>
      <c r="J1072" s="76" t="s">
        <v>114</v>
      </c>
      <c r="K1072" s="76"/>
      <c r="L1072" s="318"/>
      <c r="M1072" s="85" t="s">
        <v>360</v>
      </c>
      <c r="N1072" s="157" t="s">
        <v>11921</v>
      </c>
      <c r="O1072" s="76" t="s">
        <v>11922</v>
      </c>
      <c r="P1072" s="523">
        <v>31022.0</v>
      </c>
      <c r="Q1072" s="315">
        <f t="shared" si="126"/>
        <v>31022</v>
      </c>
      <c r="R1072" s="86">
        <f t="shared" si="127"/>
        <v>41</v>
      </c>
      <c r="S1072" s="76">
        <v>3.102119858E9</v>
      </c>
      <c r="T1072" s="315"/>
      <c r="U1072" s="76" t="s">
        <v>379</v>
      </c>
      <c r="V1072" s="76"/>
      <c r="W1072" s="76"/>
      <c r="X1072" s="76" t="s">
        <v>182</v>
      </c>
      <c r="Y1072" s="276"/>
      <c r="Z1072" s="85" t="s">
        <v>1755</v>
      </c>
      <c r="AA1072" s="76" t="s">
        <v>185</v>
      </c>
      <c r="AB1072" s="76" t="s">
        <v>269</v>
      </c>
      <c r="AC1072" s="76"/>
      <c r="AD1072" s="76"/>
      <c r="AE1072" s="76"/>
      <c r="AF1072" s="76"/>
      <c r="AG1072" s="76" t="s">
        <v>11918</v>
      </c>
      <c r="AH1072" s="76" t="s">
        <v>10877</v>
      </c>
      <c r="AI1072" s="763"/>
      <c r="AJ1072" s="763"/>
      <c r="AK1072" s="763"/>
      <c r="AL1072" s="763"/>
      <c r="AM1072" s="763"/>
      <c r="AN1072" s="763"/>
      <c r="AO1072" s="763"/>
      <c r="AP1072" s="763"/>
      <c r="AQ1072" s="763"/>
      <c r="AR1072" s="763"/>
      <c r="AS1072" s="763"/>
      <c r="AT1072" s="763"/>
    </row>
    <row r="1073">
      <c r="A1073" s="86"/>
      <c r="B1073" s="302" t="s">
        <v>4145</v>
      </c>
      <c r="C1073" s="302"/>
      <c r="D1073" s="76" t="s">
        <v>11144</v>
      </c>
      <c r="E1073" s="574">
        <v>46155.0</v>
      </c>
      <c r="F1073" s="762"/>
      <c r="G1073" s="762"/>
      <c r="H1073" s="762"/>
      <c r="I1073" s="762"/>
      <c r="J1073" s="76" t="s">
        <v>114</v>
      </c>
      <c r="K1073" s="76"/>
      <c r="L1073" s="318"/>
      <c r="M1073" s="85" t="s">
        <v>60</v>
      </c>
      <c r="N1073" s="157" t="s">
        <v>11923</v>
      </c>
      <c r="O1073" s="76" t="s">
        <v>11924</v>
      </c>
      <c r="P1073" s="523">
        <v>34761.0</v>
      </c>
      <c r="Q1073" s="315">
        <f t="shared" si="126"/>
        <v>34761</v>
      </c>
      <c r="R1073" s="86">
        <f t="shared" si="127"/>
        <v>31</v>
      </c>
      <c r="S1073" s="76">
        <v>3.476005478E9</v>
      </c>
      <c r="T1073" s="315"/>
      <c r="U1073" s="76" t="s">
        <v>379</v>
      </c>
      <c r="V1073" s="76"/>
      <c r="W1073" s="76"/>
      <c r="X1073" s="76" t="s">
        <v>186</v>
      </c>
      <c r="Y1073" s="276"/>
      <c r="Z1073" s="85" t="s">
        <v>1755</v>
      </c>
      <c r="AA1073" s="76" t="s">
        <v>1178</v>
      </c>
      <c r="AB1073" s="76"/>
      <c r="AC1073" s="76"/>
      <c r="AD1073" s="76"/>
      <c r="AE1073" s="76"/>
      <c r="AF1073" s="76" t="s">
        <v>3479</v>
      </c>
      <c r="AG1073" s="76" t="s">
        <v>11925</v>
      </c>
      <c r="AH1073" s="76" t="s">
        <v>10877</v>
      </c>
      <c r="AI1073" s="763"/>
      <c r="AJ1073" s="763"/>
      <c r="AK1073" s="763"/>
      <c r="AL1073" s="763"/>
      <c r="AM1073" s="763"/>
      <c r="AN1073" s="763"/>
      <c r="AO1073" s="763"/>
      <c r="AP1073" s="763"/>
      <c r="AQ1073" s="763"/>
      <c r="AR1073" s="763"/>
      <c r="AS1073" s="763"/>
      <c r="AT1073" s="763"/>
    </row>
    <row r="1074">
      <c r="A1074" s="86"/>
      <c r="B1074" s="302" t="s">
        <v>145</v>
      </c>
      <c r="C1074" s="302"/>
      <c r="D1074" s="76"/>
      <c r="E1074" s="574">
        <v>46138.0</v>
      </c>
      <c r="F1074" s="762"/>
      <c r="G1074" s="762"/>
      <c r="H1074" s="762"/>
      <c r="I1074" s="762"/>
      <c r="J1074" s="76" t="s">
        <v>114</v>
      </c>
      <c r="K1074" s="76"/>
      <c r="L1074" s="318"/>
      <c r="M1074" s="85" t="s">
        <v>60</v>
      </c>
      <c r="N1074" s="157" t="s">
        <v>11926</v>
      </c>
      <c r="O1074" s="76" t="s">
        <v>11927</v>
      </c>
      <c r="P1074" s="523">
        <v>31669.0</v>
      </c>
      <c r="Q1074" s="315">
        <f t="shared" si="126"/>
        <v>31669</v>
      </c>
      <c r="R1074" s="86">
        <f t="shared" si="127"/>
        <v>39</v>
      </c>
      <c r="S1074" s="76">
        <v>3.166812592E9</v>
      </c>
      <c r="T1074" s="315"/>
      <c r="U1074" s="76" t="s">
        <v>379</v>
      </c>
      <c r="V1074" s="76"/>
      <c r="W1074" s="76"/>
      <c r="X1074" s="76" t="s">
        <v>145</v>
      </c>
      <c r="Y1074" s="276"/>
      <c r="Z1074" s="216" t="s">
        <v>1815</v>
      </c>
      <c r="AA1074" s="76" t="s">
        <v>185</v>
      </c>
      <c r="AB1074" s="76" t="s">
        <v>269</v>
      </c>
      <c r="AC1074" s="76"/>
      <c r="AD1074" s="76"/>
      <c r="AE1074" s="76"/>
      <c r="AF1074" s="76"/>
      <c r="AG1074" s="76" t="s">
        <v>11918</v>
      </c>
      <c r="AH1074" s="76" t="s">
        <v>10877</v>
      </c>
      <c r="AI1074" s="763"/>
      <c r="AJ1074" s="763"/>
      <c r="AK1074" s="763"/>
      <c r="AL1074" s="763"/>
      <c r="AM1074" s="763"/>
      <c r="AN1074" s="763"/>
      <c r="AO1074" s="763"/>
      <c r="AP1074" s="763"/>
      <c r="AQ1074" s="763"/>
      <c r="AR1074" s="763"/>
      <c r="AS1074" s="763"/>
      <c r="AT1074" s="763"/>
    </row>
    <row r="1075">
      <c r="A1075" s="86"/>
      <c r="B1075" s="302" t="s">
        <v>145</v>
      </c>
      <c r="C1075" s="302"/>
      <c r="D1075" s="76"/>
      <c r="E1075" s="574">
        <v>46127.0</v>
      </c>
      <c r="F1075" s="762"/>
      <c r="G1075" s="762"/>
      <c r="H1075" s="762"/>
      <c r="I1075" s="762"/>
      <c r="J1075" s="76" t="s">
        <v>114</v>
      </c>
      <c r="K1075" s="76"/>
      <c r="L1075" s="318"/>
      <c r="M1075" s="85" t="s">
        <v>360</v>
      </c>
      <c r="N1075" s="157" t="s">
        <v>11928</v>
      </c>
      <c r="O1075" s="76" t="s">
        <v>11929</v>
      </c>
      <c r="P1075" s="523">
        <v>29997.0</v>
      </c>
      <c r="Q1075" s="315">
        <f t="shared" si="126"/>
        <v>29997</v>
      </c>
      <c r="R1075" s="86">
        <f t="shared" si="127"/>
        <v>44</v>
      </c>
      <c r="S1075" s="76">
        <v>2.999605412E9</v>
      </c>
      <c r="T1075" s="76" t="s">
        <v>378</v>
      </c>
      <c r="U1075" s="76" t="s">
        <v>379</v>
      </c>
      <c r="V1075" s="76"/>
      <c r="W1075" s="76"/>
      <c r="X1075" s="76" t="s">
        <v>145</v>
      </c>
      <c r="Y1075" s="97"/>
      <c r="Z1075" s="216" t="s">
        <v>1815</v>
      </c>
      <c r="AA1075" s="76" t="s">
        <v>185</v>
      </c>
      <c r="AB1075" s="76" t="s">
        <v>269</v>
      </c>
      <c r="AC1075" s="76" t="s">
        <v>1032</v>
      </c>
      <c r="AD1075" s="76"/>
      <c r="AE1075" s="76"/>
      <c r="AF1075" s="76" t="s">
        <v>11930</v>
      </c>
      <c r="AG1075" s="76" t="s">
        <v>10876</v>
      </c>
      <c r="AH1075" s="76" t="s">
        <v>10877</v>
      </c>
      <c r="AI1075" s="763"/>
      <c r="AJ1075" s="763"/>
      <c r="AK1075" s="763"/>
      <c r="AL1075" s="763"/>
      <c r="AM1075" s="763"/>
      <c r="AN1075" s="763"/>
      <c r="AO1075" s="763"/>
      <c r="AP1075" s="763"/>
      <c r="AQ1075" s="763"/>
      <c r="AR1075" s="763"/>
      <c r="AS1075" s="763"/>
      <c r="AT1075" s="763"/>
    </row>
    <row r="1076">
      <c r="A1076" s="86"/>
      <c r="B1076" s="302" t="s">
        <v>4145</v>
      </c>
      <c r="C1076" s="302"/>
      <c r="D1076" s="76"/>
      <c r="E1076" s="574">
        <v>46127.0</v>
      </c>
      <c r="F1076" s="762"/>
      <c r="G1076" s="762"/>
      <c r="H1076" s="762"/>
      <c r="I1076" s="762"/>
      <c r="J1076" s="76" t="s">
        <v>114</v>
      </c>
      <c r="K1076" s="76"/>
      <c r="L1076" s="318"/>
      <c r="M1076" s="85" t="s">
        <v>60</v>
      </c>
      <c r="N1076" s="157" t="s">
        <v>11931</v>
      </c>
      <c r="O1076" s="76" t="s">
        <v>11932</v>
      </c>
      <c r="P1076" s="523">
        <v>29990.0</v>
      </c>
      <c r="Q1076" s="315">
        <f t="shared" si="126"/>
        <v>29990</v>
      </c>
      <c r="R1076" s="86">
        <f t="shared" si="127"/>
        <v>44</v>
      </c>
      <c r="S1076" s="76">
        <v>2.998917875E9</v>
      </c>
      <c r="T1076" s="76" t="s">
        <v>378</v>
      </c>
      <c r="U1076" s="76" t="s">
        <v>379</v>
      </c>
      <c r="V1076" s="76"/>
      <c r="W1076" s="76"/>
      <c r="X1076" s="76"/>
      <c r="Y1076" s="97"/>
      <c r="Z1076" s="216" t="s">
        <v>1815</v>
      </c>
      <c r="AA1076" s="76" t="s">
        <v>1178</v>
      </c>
      <c r="AB1076" s="76"/>
      <c r="AC1076" s="76" t="s">
        <v>1032</v>
      </c>
      <c r="AD1076" s="76"/>
      <c r="AE1076" s="76"/>
      <c r="AF1076" s="76" t="s">
        <v>3479</v>
      </c>
      <c r="AG1076" s="76" t="s">
        <v>11933</v>
      </c>
      <c r="AH1076" s="76" t="s">
        <v>10877</v>
      </c>
      <c r="AI1076" s="763"/>
      <c r="AJ1076" s="763"/>
      <c r="AK1076" s="763"/>
      <c r="AL1076" s="763"/>
      <c r="AM1076" s="763"/>
      <c r="AN1076" s="763"/>
      <c r="AO1076" s="763"/>
      <c r="AP1076" s="763"/>
      <c r="AQ1076" s="763"/>
      <c r="AR1076" s="763"/>
      <c r="AS1076" s="763"/>
      <c r="AT1076" s="763"/>
    </row>
    <row r="1077">
      <c r="A1077" s="86"/>
      <c r="B1077" s="302" t="s">
        <v>145</v>
      </c>
      <c r="C1077" s="97"/>
      <c r="D1077" s="86"/>
      <c r="E1077" s="781">
        <v>46047.0</v>
      </c>
      <c r="F1077" s="86"/>
      <c r="G1077" s="86"/>
      <c r="H1077" s="86"/>
      <c r="I1077" s="86"/>
      <c r="J1077" s="76" t="s">
        <v>114</v>
      </c>
      <c r="K1077" s="87"/>
      <c r="L1077" s="85"/>
      <c r="M1077" s="85" t="s">
        <v>60</v>
      </c>
      <c r="N1077" s="160" t="s">
        <v>11934</v>
      </c>
      <c r="O1077" s="27" t="s">
        <v>11935</v>
      </c>
      <c r="P1077" s="825">
        <v>31040.0</v>
      </c>
      <c r="Q1077" s="315" t="str">
        <f t="shared" si="126"/>
        <v>#VALUE!</v>
      </c>
      <c r="R1077" s="97">
        <f t="shared" si="127"/>
        <v>41</v>
      </c>
      <c r="S1077" s="76" t="s">
        <v>3642</v>
      </c>
      <c r="T1077" s="315" t="s">
        <v>1317</v>
      </c>
      <c r="U1077" s="76" t="s">
        <v>379</v>
      </c>
      <c r="V1077" s="76"/>
      <c r="W1077" s="76"/>
      <c r="X1077" s="76" t="s">
        <v>145</v>
      </c>
      <c r="Y1077" s="97"/>
      <c r="Z1077" s="176" t="s">
        <v>1460</v>
      </c>
      <c r="AA1077" s="76" t="s">
        <v>185</v>
      </c>
      <c r="AB1077" s="76" t="s">
        <v>269</v>
      </c>
      <c r="AC1077" s="76"/>
      <c r="AD1077" s="99"/>
      <c r="AE1077" s="76"/>
      <c r="AF1077" s="76"/>
      <c r="AG1077" s="76" t="s">
        <v>11918</v>
      </c>
      <c r="AH1077" s="76" t="s">
        <v>10877</v>
      </c>
      <c r="AI1077" s="67"/>
      <c r="AJ1077" s="67"/>
      <c r="AK1077" s="67"/>
      <c r="AL1077" s="67"/>
      <c r="AM1077" s="67"/>
      <c r="AN1077" s="67"/>
      <c r="AO1077" s="67"/>
      <c r="AP1077" s="67"/>
      <c r="AQ1077" s="67"/>
      <c r="AR1077" s="67"/>
      <c r="AS1077" s="67"/>
      <c r="AT1077" s="67"/>
    </row>
    <row r="1078">
      <c r="A1078" s="86"/>
      <c r="B1078" s="302" t="s">
        <v>145</v>
      </c>
      <c r="C1078" s="97"/>
      <c r="D1078" s="86"/>
      <c r="E1078" s="781">
        <v>46043.0</v>
      </c>
      <c r="F1078" s="86"/>
      <c r="G1078" s="86"/>
      <c r="H1078" s="86"/>
      <c r="I1078" s="86"/>
      <c r="J1078" s="76" t="s">
        <v>114</v>
      </c>
      <c r="K1078" s="85"/>
      <c r="L1078" s="85"/>
      <c r="M1078" s="85" t="s">
        <v>60</v>
      </c>
      <c r="N1078" s="76" t="s">
        <v>11936</v>
      </c>
      <c r="O1078" s="27" t="s">
        <v>5094</v>
      </c>
      <c r="P1078" s="825">
        <v>30379.0</v>
      </c>
      <c r="Q1078" s="315">
        <f t="shared" si="126"/>
        <v>1</v>
      </c>
      <c r="R1078" s="97">
        <f t="shared" si="127"/>
        <v>43</v>
      </c>
      <c r="S1078" s="315"/>
      <c r="T1078" s="315" t="s">
        <v>378</v>
      </c>
      <c r="U1078" s="76" t="s">
        <v>379</v>
      </c>
      <c r="V1078" s="76"/>
      <c r="W1078" s="76"/>
      <c r="X1078" s="76" t="s">
        <v>145</v>
      </c>
      <c r="Y1078" s="211" t="s">
        <v>1613</v>
      </c>
      <c r="Z1078" s="211" t="s">
        <v>1173</v>
      </c>
      <c r="AA1078" s="97" t="s">
        <v>185</v>
      </c>
      <c r="AB1078" s="76" t="s">
        <v>269</v>
      </c>
      <c r="AC1078" s="76"/>
      <c r="AD1078" s="99"/>
      <c r="AE1078" s="76"/>
      <c r="AF1078" s="76" t="s">
        <v>11937</v>
      </c>
      <c r="AG1078" s="76" t="s">
        <v>11925</v>
      </c>
      <c r="AH1078" s="76" t="s">
        <v>10877</v>
      </c>
      <c r="AI1078" s="67"/>
      <c r="AJ1078" s="67"/>
      <c r="AK1078" s="67"/>
      <c r="AL1078" s="67"/>
      <c r="AM1078" s="67"/>
      <c r="AN1078" s="67"/>
      <c r="AO1078" s="67"/>
      <c r="AP1078" s="67"/>
      <c r="AQ1078" s="67"/>
      <c r="AR1078" s="67"/>
      <c r="AS1078" s="67"/>
      <c r="AT1078" s="67"/>
    </row>
    <row r="1079">
      <c r="A1079" s="86"/>
      <c r="B1079" s="1141" t="s">
        <v>4145</v>
      </c>
      <c r="C1079" s="523"/>
      <c r="D1079" s="86"/>
      <c r="E1079" s="251"/>
      <c r="F1079" s="86"/>
      <c r="G1079" s="86"/>
      <c r="H1079" s="86"/>
      <c r="I1079" s="86"/>
      <c r="J1079" s="76" t="s">
        <v>114</v>
      </c>
      <c r="K1079" s="87"/>
      <c r="L1079" s="87"/>
      <c r="M1079" s="87" t="s">
        <v>60</v>
      </c>
      <c r="N1079" s="379" t="s">
        <v>975</v>
      </c>
      <c r="O1079" s="85" t="s">
        <v>984</v>
      </c>
      <c r="P1079" s="825">
        <v>30106.0</v>
      </c>
      <c r="Q1079" s="315"/>
      <c r="R1079" s="97"/>
      <c r="S1079" s="315"/>
      <c r="T1079" s="315"/>
      <c r="U1079" s="76" t="s">
        <v>379</v>
      </c>
      <c r="V1079" s="76"/>
      <c r="W1079" s="76"/>
      <c r="X1079" s="76"/>
      <c r="Y1079" s="276" t="s">
        <v>1836</v>
      </c>
      <c r="Z1079" s="85"/>
      <c r="AA1079" s="310" t="s">
        <v>1178</v>
      </c>
      <c r="AB1079" s="97"/>
      <c r="AC1079" s="76"/>
      <c r="AD1079" s="99"/>
      <c r="AE1079" s="76"/>
      <c r="AF1079" s="76"/>
      <c r="AG1079" s="76" t="s">
        <v>11938</v>
      </c>
      <c r="AH1079" s="76" t="s">
        <v>10877</v>
      </c>
      <c r="AI1079" s="67"/>
      <c r="AJ1079" s="67"/>
      <c r="AK1079" s="67"/>
      <c r="AL1079" s="67"/>
      <c r="AM1079" s="67"/>
      <c r="AN1079" s="67"/>
      <c r="AO1079" s="67"/>
      <c r="AP1079" s="67"/>
      <c r="AQ1079" s="67"/>
      <c r="AR1079" s="67"/>
      <c r="AS1079" s="67"/>
      <c r="AT1079" s="67"/>
    </row>
    <row r="1080">
      <c r="A1080" s="86"/>
      <c r="B1080" s="302" t="s">
        <v>145</v>
      </c>
      <c r="C1080" s="523">
        <v>46020.0</v>
      </c>
      <c r="D1080" s="86"/>
      <c r="E1080" s="777" t="s">
        <v>4951</v>
      </c>
      <c r="F1080" s="86"/>
      <c r="G1080" s="86"/>
      <c r="H1080" s="86"/>
      <c r="I1080" s="86"/>
      <c r="J1080" s="85" t="s">
        <v>114</v>
      </c>
      <c r="K1080" s="124" t="s">
        <v>11939</v>
      </c>
      <c r="L1080" s="85"/>
      <c r="M1080" s="85" t="s">
        <v>60</v>
      </c>
      <c r="N1080" s="913" t="s">
        <v>8532</v>
      </c>
      <c r="O1080" s="76" t="s">
        <v>2398</v>
      </c>
      <c r="P1080" s="523">
        <v>31963.0</v>
      </c>
      <c r="Q1080" s="315">
        <f t="shared" ref="Q1080:Q1088" si="128">VALUE(LEFT(TEXT(S1080,0),5))+1</f>
        <v>31963</v>
      </c>
      <c r="R1080" s="86">
        <f t="shared" ref="R1080:R1092" si="129">DATEDIF($P1080,TODAY(),"Y")</f>
        <v>39</v>
      </c>
      <c r="S1080" s="76">
        <v>3.19620967E9</v>
      </c>
      <c r="T1080" s="315"/>
      <c r="U1080" s="76" t="s">
        <v>379</v>
      </c>
      <c r="V1080" s="76"/>
      <c r="W1080" s="76"/>
      <c r="X1080" s="76" t="s">
        <v>145</v>
      </c>
      <c r="Y1080" s="846" t="s">
        <v>371</v>
      </c>
      <c r="Z1080" s="278" t="s">
        <v>2090</v>
      </c>
      <c r="AA1080" s="76" t="s">
        <v>185</v>
      </c>
      <c r="AB1080" s="76" t="s">
        <v>269</v>
      </c>
      <c r="AC1080" s="97"/>
      <c r="AD1080" s="99"/>
      <c r="AE1080" s="76"/>
      <c r="AF1080" s="76"/>
      <c r="AG1080" s="76" t="s">
        <v>10876</v>
      </c>
      <c r="AH1080" s="76" t="s">
        <v>10877</v>
      </c>
      <c r="AI1080" s="67"/>
      <c r="AJ1080" s="67"/>
      <c r="AK1080" s="67"/>
      <c r="AL1080" s="67"/>
      <c r="AM1080" s="67"/>
      <c r="AN1080" s="67"/>
      <c r="AO1080" s="67"/>
      <c r="AP1080" s="67"/>
      <c r="AQ1080" s="67"/>
      <c r="AR1080" s="67"/>
      <c r="AS1080" s="67"/>
      <c r="AT1080" s="67"/>
    </row>
    <row r="1081">
      <c r="A1081" s="86"/>
      <c r="B1081" s="302" t="s">
        <v>145</v>
      </c>
      <c r="C1081" s="330">
        <v>45974.0</v>
      </c>
      <c r="D1081" s="86"/>
      <c r="E1081" s="777" t="s">
        <v>11940</v>
      </c>
      <c r="F1081" s="86"/>
      <c r="G1081" s="86"/>
      <c r="H1081" s="86"/>
      <c r="I1081" s="86"/>
      <c r="J1081" s="76" t="s">
        <v>114</v>
      </c>
      <c r="K1081" s="97"/>
      <c r="L1081" s="76"/>
      <c r="M1081" s="76" t="s">
        <v>60</v>
      </c>
      <c r="N1081" s="1142" t="s">
        <v>11941</v>
      </c>
      <c r="O1081" s="34" t="s">
        <v>5154</v>
      </c>
      <c r="P1081" s="523">
        <v>33749.0</v>
      </c>
      <c r="Q1081" s="315" t="str">
        <f t="shared" si="128"/>
        <v>#VALUE!</v>
      </c>
      <c r="R1081" s="86">
        <f t="shared" si="129"/>
        <v>34</v>
      </c>
      <c r="S1081" s="76" t="s">
        <v>3642</v>
      </c>
      <c r="T1081" s="315" t="s">
        <v>9639</v>
      </c>
      <c r="U1081" s="76" t="s">
        <v>379</v>
      </c>
      <c r="V1081" s="76"/>
      <c r="W1081" s="76"/>
      <c r="X1081" s="76" t="s">
        <v>182</v>
      </c>
      <c r="Y1081" s="97" t="s">
        <v>183</v>
      </c>
      <c r="Z1081" s="85" t="s">
        <v>3792</v>
      </c>
      <c r="AA1081" s="76" t="s">
        <v>185</v>
      </c>
      <c r="AB1081" s="76" t="s">
        <v>269</v>
      </c>
      <c r="AC1081" s="97"/>
      <c r="AD1081" s="99"/>
      <c r="AE1081" s="76"/>
      <c r="AF1081" s="76"/>
      <c r="AG1081" s="76" t="s">
        <v>10876</v>
      </c>
      <c r="AH1081" s="76" t="s">
        <v>10877</v>
      </c>
      <c r="AI1081" s="67"/>
      <c r="AJ1081" s="67"/>
      <c r="AK1081" s="67"/>
      <c r="AL1081" s="67"/>
      <c r="AM1081" s="67"/>
      <c r="AN1081" s="67"/>
      <c r="AO1081" s="67"/>
      <c r="AP1081" s="67"/>
      <c r="AQ1081" s="67"/>
      <c r="AR1081" s="67"/>
      <c r="AS1081" s="67"/>
      <c r="AT1081" s="67"/>
    </row>
    <row r="1082">
      <c r="A1082" s="86"/>
      <c r="B1082" s="302" t="s">
        <v>4145</v>
      </c>
      <c r="C1082" s="302"/>
      <c r="D1082" s="76" t="s">
        <v>11174</v>
      </c>
      <c r="E1082" s="574">
        <v>46157.0</v>
      </c>
      <c r="F1082" s="762"/>
      <c r="G1082" s="762"/>
      <c r="H1082" s="762"/>
      <c r="I1082" s="762"/>
      <c r="J1082" s="76" t="s">
        <v>114</v>
      </c>
      <c r="K1082" s="176" t="s">
        <v>1602</v>
      </c>
      <c r="L1082" s="318"/>
      <c r="M1082" s="85" t="s">
        <v>60</v>
      </c>
      <c r="N1082" s="1123" t="s">
        <v>11942</v>
      </c>
      <c r="O1082" s="76" t="s">
        <v>4928</v>
      </c>
      <c r="P1082" s="523">
        <v>36750.0</v>
      </c>
      <c r="Q1082" s="315">
        <f t="shared" si="128"/>
        <v>36750</v>
      </c>
      <c r="R1082" s="86">
        <f t="shared" si="129"/>
        <v>26</v>
      </c>
      <c r="S1082" s="76">
        <v>3.674900233E9</v>
      </c>
      <c r="T1082" s="315"/>
      <c r="U1082" s="76" t="s">
        <v>379</v>
      </c>
      <c r="V1082" s="76"/>
      <c r="W1082" s="76"/>
      <c r="X1082" s="76" t="s">
        <v>186</v>
      </c>
      <c r="Y1082" s="97"/>
      <c r="Z1082" s="85" t="s">
        <v>1755</v>
      </c>
      <c r="AA1082" s="97"/>
      <c r="AB1082" s="76"/>
      <c r="AC1082" s="76"/>
      <c r="AD1082" s="76"/>
      <c r="AE1082" s="76"/>
      <c r="AF1082" s="76"/>
      <c r="AG1082" s="189"/>
      <c r="AH1082" s="76" t="s">
        <v>11838</v>
      </c>
      <c r="AI1082" s="763"/>
      <c r="AJ1082" s="763"/>
      <c r="AK1082" s="763"/>
      <c r="AL1082" s="763"/>
      <c r="AM1082" s="763"/>
      <c r="AN1082" s="763"/>
      <c r="AO1082" s="763"/>
      <c r="AP1082" s="763"/>
      <c r="AQ1082" s="763"/>
      <c r="AR1082" s="763"/>
      <c r="AS1082" s="763"/>
      <c r="AT1082" s="763"/>
    </row>
    <row r="1083">
      <c r="A1083" s="86"/>
      <c r="B1083" s="302" t="s">
        <v>145</v>
      </c>
      <c r="C1083" s="302"/>
      <c r="D1083" s="76" t="s">
        <v>11174</v>
      </c>
      <c r="E1083" s="574">
        <v>46157.0</v>
      </c>
      <c r="F1083" s="762"/>
      <c r="G1083" s="762"/>
      <c r="H1083" s="762"/>
      <c r="I1083" s="762"/>
      <c r="J1083" s="76" t="s">
        <v>114</v>
      </c>
      <c r="K1083" s="76"/>
      <c r="L1083" s="318"/>
      <c r="M1083" s="85" t="s">
        <v>60</v>
      </c>
      <c r="N1083" s="876" t="s">
        <v>11943</v>
      </c>
      <c r="O1083" s="76" t="s">
        <v>11944</v>
      </c>
      <c r="P1083" s="523">
        <v>30898.0</v>
      </c>
      <c r="Q1083" s="315">
        <f t="shared" si="128"/>
        <v>30898</v>
      </c>
      <c r="R1083" s="86">
        <f t="shared" si="129"/>
        <v>42</v>
      </c>
      <c r="S1083" s="76">
        <v>3.089728954E9</v>
      </c>
      <c r="T1083" s="315"/>
      <c r="U1083" s="310" t="s">
        <v>136</v>
      </c>
      <c r="V1083" s="76"/>
      <c r="W1083" s="76"/>
      <c r="X1083" s="76" t="s">
        <v>182</v>
      </c>
      <c r="Y1083" s="97"/>
      <c r="Z1083" s="85" t="s">
        <v>1755</v>
      </c>
      <c r="AA1083" s="76" t="s">
        <v>114</v>
      </c>
      <c r="AB1083" s="76"/>
      <c r="AC1083" s="76"/>
      <c r="AD1083" s="76"/>
      <c r="AE1083" s="76"/>
      <c r="AF1083" s="76"/>
      <c r="AG1083" s="189"/>
      <c r="AH1083" s="1143">
        <v>46200.0</v>
      </c>
      <c r="AI1083" s="763"/>
      <c r="AJ1083" s="763"/>
      <c r="AK1083" s="763"/>
      <c r="AL1083" s="763"/>
      <c r="AM1083" s="763"/>
      <c r="AN1083" s="763"/>
      <c r="AO1083" s="763"/>
      <c r="AP1083" s="763"/>
      <c r="AQ1083" s="763"/>
      <c r="AR1083" s="763"/>
      <c r="AS1083" s="763"/>
      <c r="AT1083" s="763"/>
    </row>
    <row r="1084">
      <c r="A1084" s="76"/>
      <c r="B1084" s="302" t="s">
        <v>4145</v>
      </c>
      <c r="C1084" s="77"/>
      <c r="D1084" s="77"/>
      <c r="E1084" s="76"/>
      <c r="F1084" s="80"/>
      <c r="G1084" s="77"/>
      <c r="H1084" s="77"/>
      <c r="I1084" s="87"/>
      <c r="J1084" s="85" t="s">
        <v>114</v>
      </c>
      <c r="K1084" s="176" t="s">
        <v>11945</v>
      </c>
      <c r="L1084" s="76"/>
      <c r="M1084" s="76" t="s">
        <v>60</v>
      </c>
      <c r="N1084" s="1033" t="s">
        <v>11946</v>
      </c>
      <c r="O1084" s="76" t="s">
        <v>11947</v>
      </c>
      <c r="P1084" s="523">
        <v>33147.0</v>
      </c>
      <c r="Q1084" s="315">
        <f t="shared" si="128"/>
        <v>1</v>
      </c>
      <c r="R1084" s="86">
        <f t="shared" si="129"/>
        <v>35</v>
      </c>
      <c r="S1084" s="76"/>
      <c r="T1084" s="81"/>
      <c r="U1084" s="76" t="s">
        <v>379</v>
      </c>
      <c r="V1084" s="76"/>
      <c r="W1084" s="76"/>
      <c r="X1084" s="76"/>
      <c r="Y1084" s="68"/>
      <c r="Z1084" s="216" t="s">
        <v>1815</v>
      </c>
      <c r="AA1084" s="68"/>
      <c r="AB1084" s="68"/>
      <c r="AC1084" s="86" t="s">
        <v>1566</v>
      </c>
      <c r="AD1084" s="169"/>
      <c r="AE1084" s="76"/>
      <c r="AF1084" s="73"/>
      <c r="AG1084" s="83"/>
      <c r="AH1084" s="76" t="s">
        <v>11838</v>
      </c>
      <c r="AI1084" s="67"/>
      <c r="AJ1084" s="67"/>
      <c r="AK1084" s="70"/>
      <c r="AL1084" s="70"/>
      <c r="AM1084" s="135"/>
      <c r="AN1084" s="135"/>
      <c r="AO1084" s="70"/>
      <c r="AP1084" s="70"/>
      <c r="AQ1084" s="67"/>
      <c r="AR1084" s="67"/>
      <c r="AS1084" s="67"/>
      <c r="AT1084" s="67"/>
    </row>
    <row r="1085">
      <c r="A1085" s="86"/>
      <c r="B1085" s="302" t="s">
        <v>4145</v>
      </c>
      <c r="C1085" s="291" t="s">
        <v>5668</v>
      </c>
      <c r="D1085" s="76"/>
      <c r="E1085" s="574">
        <v>46127.0</v>
      </c>
      <c r="F1085" s="762"/>
      <c r="G1085" s="762"/>
      <c r="H1085" s="762"/>
      <c r="I1085" s="762"/>
      <c r="J1085" s="76" t="s">
        <v>114</v>
      </c>
      <c r="K1085" s="76"/>
      <c r="L1085" s="1144" t="s">
        <v>11948</v>
      </c>
      <c r="M1085" s="85" t="s">
        <v>60</v>
      </c>
      <c r="N1085" s="157" t="s">
        <v>11949</v>
      </c>
      <c r="O1085" s="76" t="s">
        <v>11950</v>
      </c>
      <c r="P1085" s="523">
        <v>26459.0</v>
      </c>
      <c r="Q1085" s="315">
        <f t="shared" si="128"/>
        <v>26459</v>
      </c>
      <c r="R1085" s="86">
        <f t="shared" si="129"/>
        <v>54</v>
      </c>
      <c r="S1085" s="76">
        <v>2.645817297E9</v>
      </c>
      <c r="T1085" s="315"/>
      <c r="U1085" s="76" t="s">
        <v>379</v>
      </c>
      <c r="V1085" s="76"/>
      <c r="W1085" s="76"/>
      <c r="X1085" s="76"/>
      <c r="Y1085" s="97"/>
      <c r="Z1085" s="216" t="s">
        <v>1815</v>
      </c>
      <c r="AA1085" s="76" t="s">
        <v>1178</v>
      </c>
      <c r="AB1085" s="97"/>
      <c r="AC1085" s="76" t="s">
        <v>1032</v>
      </c>
      <c r="AD1085" s="76"/>
      <c r="AE1085" s="76"/>
      <c r="AF1085" s="76" t="s">
        <v>11951</v>
      </c>
      <c r="AG1085" s="189"/>
      <c r="AH1085" s="76" t="s">
        <v>11952</v>
      </c>
      <c r="AI1085" s="763"/>
      <c r="AJ1085" s="763"/>
      <c r="AK1085" s="763"/>
      <c r="AL1085" s="763"/>
      <c r="AM1085" s="763"/>
      <c r="AN1085" s="763"/>
      <c r="AO1085" s="763"/>
      <c r="AP1085" s="763"/>
      <c r="AQ1085" s="763"/>
      <c r="AR1085" s="763"/>
      <c r="AS1085" s="763"/>
      <c r="AT1085" s="763"/>
    </row>
    <row r="1086">
      <c r="A1086" s="86"/>
      <c r="B1086" s="302" t="s">
        <v>145</v>
      </c>
      <c r="C1086" s="302"/>
      <c r="D1086" s="76"/>
      <c r="E1086" s="574">
        <v>46127.0</v>
      </c>
      <c r="F1086" s="762"/>
      <c r="G1086" s="762"/>
      <c r="H1086" s="762"/>
      <c r="I1086" s="762"/>
      <c r="J1086" s="76" t="s">
        <v>114</v>
      </c>
      <c r="K1086" s="76"/>
      <c r="L1086" s="318"/>
      <c r="M1086" s="85" t="s">
        <v>60</v>
      </c>
      <c r="N1086" s="157" t="s">
        <v>11953</v>
      </c>
      <c r="O1086" s="76" t="s">
        <v>11954</v>
      </c>
      <c r="P1086" s="523">
        <v>34648.0</v>
      </c>
      <c r="Q1086" s="315">
        <f t="shared" si="128"/>
        <v>34648</v>
      </c>
      <c r="R1086" s="86">
        <f t="shared" si="129"/>
        <v>31</v>
      </c>
      <c r="S1086" s="76">
        <v>3.464711937E9</v>
      </c>
      <c r="T1086" s="76" t="s">
        <v>378</v>
      </c>
      <c r="U1086" s="76" t="s">
        <v>379</v>
      </c>
      <c r="V1086" s="76"/>
      <c r="W1086" s="76"/>
      <c r="X1086" s="76" t="s">
        <v>145</v>
      </c>
      <c r="Y1086" s="97"/>
      <c r="Z1086" s="216" t="s">
        <v>1815</v>
      </c>
      <c r="AA1086" s="76" t="s">
        <v>114</v>
      </c>
      <c r="AB1086" s="97"/>
      <c r="AC1086" s="76" t="s">
        <v>11955</v>
      </c>
      <c r="AD1086" s="76"/>
      <c r="AE1086" s="76"/>
      <c r="AF1086" s="76"/>
      <c r="AG1086" s="189"/>
      <c r="AH1086" s="153">
        <v>46159.0</v>
      </c>
      <c r="AI1086" s="763"/>
      <c r="AJ1086" s="763"/>
      <c r="AK1086" s="763"/>
      <c r="AL1086" s="763"/>
      <c r="AM1086" s="763"/>
      <c r="AN1086" s="763"/>
      <c r="AO1086" s="763"/>
      <c r="AP1086" s="763"/>
      <c r="AQ1086" s="763"/>
      <c r="AR1086" s="763"/>
      <c r="AS1086" s="763"/>
      <c r="AT1086" s="763"/>
    </row>
    <row r="1087">
      <c r="A1087" s="86"/>
      <c r="B1087" s="302" t="s">
        <v>4145</v>
      </c>
      <c r="C1087" s="302"/>
      <c r="D1087" s="76" t="s">
        <v>4264</v>
      </c>
      <c r="E1087" s="574">
        <v>46187.0</v>
      </c>
      <c r="F1087" s="762"/>
      <c r="G1087" s="762"/>
      <c r="H1087" s="762"/>
      <c r="I1087" s="762"/>
      <c r="J1087" s="76" t="s">
        <v>114</v>
      </c>
      <c r="K1087" s="76"/>
      <c r="L1087" s="318"/>
      <c r="M1087" s="85" t="s">
        <v>60</v>
      </c>
      <c r="N1087" s="286" t="s">
        <v>11956</v>
      </c>
      <c r="O1087" s="76" t="s">
        <v>11957</v>
      </c>
      <c r="P1087" s="523">
        <v>31312.0</v>
      </c>
      <c r="Q1087" s="315">
        <f t="shared" si="128"/>
        <v>31312</v>
      </c>
      <c r="R1087" s="86">
        <f t="shared" si="129"/>
        <v>40</v>
      </c>
      <c r="S1087" s="76">
        <v>3.131107317E9</v>
      </c>
      <c r="T1087" s="76"/>
      <c r="U1087" s="310" t="s">
        <v>136</v>
      </c>
      <c r="V1087" s="76"/>
      <c r="W1087" s="76"/>
      <c r="X1087" s="76" t="s">
        <v>186</v>
      </c>
      <c r="Y1087" s="97"/>
      <c r="Z1087" s="85" t="s">
        <v>4335</v>
      </c>
      <c r="AA1087" s="76"/>
      <c r="AB1087" s="76"/>
      <c r="AC1087" s="76"/>
      <c r="AD1087" s="76"/>
      <c r="AE1087" s="76"/>
      <c r="AF1087" s="76"/>
      <c r="AG1087" s="189"/>
      <c r="AH1087" s="310" t="s">
        <v>11958</v>
      </c>
      <c r="AI1087" s="763"/>
      <c r="AJ1087" s="763"/>
      <c r="AK1087" s="763"/>
      <c r="AL1087" s="763"/>
      <c r="AM1087" s="763"/>
      <c r="AN1087" s="763"/>
      <c r="AO1087" s="763"/>
      <c r="AP1087" s="763"/>
      <c r="AQ1087" s="763"/>
      <c r="AR1087" s="763"/>
      <c r="AS1087" s="763"/>
      <c r="AT1087" s="763"/>
    </row>
    <row r="1088">
      <c r="A1088" s="86"/>
      <c r="B1088" s="302" t="s">
        <v>4145</v>
      </c>
      <c r="C1088" s="1145" t="s">
        <v>11959</v>
      </c>
      <c r="D1088" s="76" t="s">
        <v>4264</v>
      </c>
      <c r="E1088" s="574">
        <v>46187.0</v>
      </c>
      <c r="F1088" s="762"/>
      <c r="G1088" s="762"/>
      <c r="H1088" s="762"/>
      <c r="I1088" s="762"/>
      <c r="J1088" s="76" t="s">
        <v>114</v>
      </c>
      <c r="K1088" s="176" t="s">
        <v>1602</v>
      </c>
      <c r="L1088" s="318"/>
      <c r="M1088" s="85" t="s">
        <v>60</v>
      </c>
      <c r="N1088" s="157" t="s">
        <v>11960</v>
      </c>
      <c r="O1088" s="76" t="s">
        <v>11961</v>
      </c>
      <c r="P1088" s="523">
        <v>26629.0</v>
      </c>
      <c r="Q1088" s="315">
        <f t="shared" si="128"/>
        <v>26629</v>
      </c>
      <c r="R1088" s="86">
        <f t="shared" si="129"/>
        <v>53</v>
      </c>
      <c r="S1088" s="76">
        <v>2.662816296E9</v>
      </c>
      <c r="T1088" s="76" t="s">
        <v>1426</v>
      </c>
      <c r="U1088" s="76" t="s">
        <v>344</v>
      </c>
      <c r="V1088" s="76"/>
      <c r="W1088" s="76"/>
      <c r="X1088" s="76" t="s">
        <v>186</v>
      </c>
      <c r="Y1088" s="97"/>
      <c r="Z1088" s="85" t="s">
        <v>4335</v>
      </c>
      <c r="AA1088" s="76"/>
      <c r="AB1088" s="76"/>
      <c r="AC1088" s="76"/>
      <c r="AD1088" s="76"/>
      <c r="AE1088" s="76"/>
      <c r="AF1088" s="76"/>
      <c r="AG1088" s="189"/>
      <c r="AH1088" s="76"/>
      <c r="AI1088" s="763"/>
      <c r="AJ1088" s="763"/>
      <c r="AK1088" s="763"/>
      <c r="AL1088" s="763"/>
      <c r="AM1088" s="763"/>
      <c r="AN1088" s="763"/>
      <c r="AO1088" s="763"/>
      <c r="AP1088" s="763"/>
      <c r="AQ1088" s="763"/>
      <c r="AR1088" s="763"/>
      <c r="AS1088" s="763"/>
      <c r="AT1088" s="763"/>
    </row>
    <row r="1089">
      <c r="A1089" s="86"/>
      <c r="B1089" s="302" t="s">
        <v>4145</v>
      </c>
      <c r="C1089" s="302"/>
      <c r="D1089" s="76" t="s">
        <v>4264</v>
      </c>
      <c r="E1089" s="574">
        <v>46187.0</v>
      </c>
      <c r="F1089" s="762"/>
      <c r="G1089" s="762"/>
      <c r="H1089" s="762"/>
      <c r="I1089" s="762"/>
      <c r="J1089" s="76" t="s">
        <v>114</v>
      </c>
      <c r="K1089" s="76"/>
      <c r="L1089" s="318"/>
      <c r="M1089" s="85" t="s">
        <v>60</v>
      </c>
      <c r="N1089" s="286" t="s">
        <v>11962</v>
      </c>
      <c r="O1089" s="76" t="s">
        <v>11963</v>
      </c>
      <c r="P1089" s="523">
        <v>31849.0</v>
      </c>
      <c r="Q1089" s="315"/>
      <c r="R1089" s="86">
        <f t="shared" si="129"/>
        <v>39</v>
      </c>
      <c r="S1089" s="76"/>
      <c r="T1089" s="76" t="s">
        <v>378</v>
      </c>
      <c r="U1089" s="76" t="s">
        <v>136</v>
      </c>
      <c r="V1089" s="76"/>
      <c r="W1089" s="76"/>
      <c r="X1089" s="76" t="s">
        <v>186</v>
      </c>
      <c r="Y1089" s="97"/>
      <c r="Z1089" s="501" t="s">
        <v>418</v>
      </c>
      <c r="AA1089" s="76"/>
      <c r="AB1089" s="76"/>
      <c r="AC1089" s="76"/>
      <c r="AD1089" s="76"/>
      <c r="AE1089" s="76"/>
      <c r="AF1089" s="76"/>
      <c r="AG1089" s="189"/>
      <c r="AH1089" s="76" t="s">
        <v>11884</v>
      </c>
      <c r="AI1089" s="763"/>
      <c r="AJ1089" s="763"/>
      <c r="AK1089" s="763"/>
      <c r="AL1089" s="763"/>
      <c r="AM1089" s="763"/>
      <c r="AN1089" s="763"/>
      <c r="AO1089" s="763"/>
      <c r="AP1089" s="763"/>
      <c r="AQ1089" s="763"/>
      <c r="AR1089" s="763"/>
      <c r="AS1089" s="763"/>
      <c r="AT1089" s="763"/>
    </row>
    <row r="1090">
      <c r="A1090" s="86"/>
      <c r="B1090" s="302" t="s">
        <v>145</v>
      </c>
      <c r="C1090" s="523"/>
      <c r="D1090" s="86"/>
      <c r="E1090" s="574">
        <v>46077.0</v>
      </c>
      <c r="F1090" s="86"/>
      <c r="G1090" s="86"/>
      <c r="H1090" s="86"/>
      <c r="I1090" s="86"/>
      <c r="J1090" s="85" t="s">
        <v>114</v>
      </c>
      <c r="K1090" s="85"/>
      <c r="L1090" s="76"/>
      <c r="M1090" s="85" t="s">
        <v>60</v>
      </c>
      <c r="N1090" s="287" t="s">
        <v>11964</v>
      </c>
      <c r="O1090" s="76" t="s">
        <v>11965</v>
      </c>
      <c r="P1090" s="523"/>
      <c r="Q1090" s="315">
        <f t="shared" ref="Q1090:Q1092" si="130">VALUE(LEFT(TEXT(S1090,0),5))+1</f>
        <v>1</v>
      </c>
      <c r="R1090" s="86">
        <f t="shared" si="129"/>
        <v>126</v>
      </c>
      <c r="S1090" s="76"/>
      <c r="T1090" s="86"/>
      <c r="U1090" s="310" t="s">
        <v>136</v>
      </c>
      <c r="V1090" s="76"/>
      <c r="W1090" s="76"/>
      <c r="X1090" s="76" t="s">
        <v>145</v>
      </c>
      <c r="Y1090" s="167"/>
      <c r="Z1090" s="234" t="s">
        <v>1351</v>
      </c>
      <c r="AA1090" s="76" t="s">
        <v>185</v>
      </c>
      <c r="AB1090" s="76" t="s">
        <v>269</v>
      </c>
      <c r="AC1090" s="168"/>
      <c r="AD1090" s="168"/>
      <c r="AE1090" s="76"/>
      <c r="AF1090" s="76" t="s">
        <v>11966</v>
      </c>
      <c r="AG1090" s="153">
        <v>46149.0</v>
      </c>
      <c r="AH1090" s="310" t="s">
        <v>11967</v>
      </c>
      <c r="AI1090" s="67"/>
      <c r="AJ1090" s="67"/>
      <c r="AK1090" s="67"/>
      <c r="AL1090" s="67"/>
      <c r="AM1090" s="67"/>
      <c r="AN1090" s="67"/>
      <c r="AO1090" s="67"/>
      <c r="AP1090" s="67"/>
      <c r="AQ1090" s="67"/>
      <c r="AR1090" s="67"/>
      <c r="AS1090" s="67"/>
      <c r="AT1090" s="67"/>
    </row>
    <row r="1091">
      <c r="A1091" s="76"/>
      <c r="B1091" s="302" t="s">
        <v>4145</v>
      </c>
      <c r="C1091" s="77"/>
      <c r="D1091" s="77"/>
      <c r="E1091" s="76" t="s">
        <v>4363</v>
      </c>
      <c r="F1091" s="80"/>
      <c r="G1091" s="77"/>
      <c r="H1091" s="77"/>
      <c r="I1091" s="1058"/>
      <c r="J1091" s="76" t="s">
        <v>114</v>
      </c>
      <c r="K1091" s="76"/>
      <c r="L1091" s="170"/>
      <c r="M1091" s="76" t="s">
        <v>60</v>
      </c>
      <c r="N1091" s="76" t="s">
        <v>11968</v>
      </c>
      <c r="O1091" s="76" t="s">
        <v>11969</v>
      </c>
      <c r="P1091" s="523">
        <v>28538.0</v>
      </c>
      <c r="Q1091" s="315">
        <f t="shared" si="130"/>
        <v>1</v>
      </c>
      <c r="R1091" s="97">
        <f t="shared" si="129"/>
        <v>48</v>
      </c>
      <c r="S1091" s="240"/>
      <c r="T1091" s="81"/>
      <c r="U1091" s="76" t="s">
        <v>393</v>
      </c>
      <c r="V1091" s="76"/>
      <c r="W1091" s="76"/>
      <c r="X1091" s="76"/>
      <c r="Y1091" s="276"/>
      <c r="Z1091" s="216" t="s">
        <v>1613</v>
      </c>
      <c r="AA1091" s="76"/>
      <c r="AB1091" s="68"/>
      <c r="AC1091" s="83"/>
      <c r="AD1091" s="169"/>
      <c r="AE1091" s="76" t="s">
        <v>1136</v>
      </c>
      <c r="AF1091" s="83"/>
      <c r="AG1091" s="83"/>
      <c r="AH1091" s="385"/>
      <c r="AI1091" s="763"/>
      <c r="AJ1091" s="763"/>
      <c r="AK1091" s="763"/>
      <c r="AL1091" s="763"/>
      <c r="AM1091" s="763"/>
      <c r="AN1091" s="763"/>
      <c r="AO1091" s="763"/>
      <c r="AP1091" s="763"/>
      <c r="AQ1091" s="763"/>
      <c r="AR1091" s="763"/>
      <c r="AS1091" s="763"/>
      <c r="AT1091" s="763"/>
    </row>
    <row r="1092">
      <c r="A1092" s="86"/>
      <c r="B1092" s="302" t="s">
        <v>4145</v>
      </c>
      <c r="C1092" s="523"/>
      <c r="D1092" s="86"/>
      <c r="E1092" s="574">
        <v>46088.0</v>
      </c>
      <c r="F1092" s="86"/>
      <c r="G1092" s="86"/>
      <c r="H1092" s="86"/>
      <c r="I1092" s="86"/>
      <c r="J1092" s="85" t="s">
        <v>114</v>
      </c>
      <c r="K1092" s="124" t="s">
        <v>11970</v>
      </c>
      <c r="L1092" s="76"/>
      <c r="M1092" s="85" t="s">
        <v>60</v>
      </c>
      <c r="N1092" s="679" t="s">
        <v>11971</v>
      </c>
      <c r="O1092" s="76" t="s">
        <v>620</v>
      </c>
      <c r="P1092" s="523">
        <v>28485.0</v>
      </c>
      <c r="Q1092" s="315">
        <f t="shared" si="130"/>
        <v>28485</v>
      </c>
      <c r="R1092" s="86">
        <f t="shared" si="129"/>
        <v>48</v>
      </c>
      <c r="S1092" s="76">
        <v>2.848419915E9</v>
      </c>
      <c r="T1092" s="86"/>
      <c r="U1092" s="76" t="s">
        <v>393</v>
      </c>
      <c r="V1092" s="76"/>
      <c r="W1092" s="76"/>
      <c r="X1092" s="76"/>
      <c r="Y1092" s="167"/>
      <c r="Z1092" s="176" t="s">
        <v>1460</v>
      </c>
      <c r="AA1092" s="168"/>
      <c r="AB1092" s="97"/>
      <c r="AC1092" s="168"/>
      <c r="AD1092" s="168"/>
      <c r="AE1092" s="76" t="s">
        <v>1136</v>
      </c>
      <c r="AF1092" s="76" t="s">
        <v>4767</v>
      </c>
      <c r="AG1092" s="76"/>
      <c r="AH1092" s="153">
        <v>46111.0</v>
      </c>
      <c r="AI1092" s="763"/>
      <c r="AJ1092" s="763"/>
      <c r="AK1092" s="763"/>
      <c r="AL1092" s="763"/>
      <c r="AM1092" s="763"/>
      <c r="AN1092" s="763"/>
      <c r="AO1092" s="763"/>
      <c r="AP1092" s="763"/>
      <c r="AQ1092" s="763"/>
      <c r="AR1092" s="763"/>
      <c r="AS1092" s="763"/>
      <c r="AT1092" s="763"/>
    </row>
    <row r="1093">
      <c r="A1093" s="67"/>
      <c r="B1093" s="1146"/>
      <c r="C1093" s="1146"/>
      <c r="D1093" s="355"/>
      <c r="E1093" s="1147"/>
      <c r="F1093" s="1148"/>
      <c r="G1093" s="1148"/>
      <c r="H1093" s="1148"/>
      <c r="I1093" s="1148"/>
      <c r="J1093" s="355"/>
      <c r="K1093" s="355"/>
      <c r="L1093" s="1149"/>
      <c r="M1093" s="1150"/>
      <c r="N1093" s="1151"/>
      <c r="O1093" s="355"/>
      <c r="P1093" s="1152"/>
      <c r="Q1093" s="1153"/>
      <c r="R1093" s="67"/>
      <c r="S1093" s="355"/>
      <c r="T1093" s="355"/>
      <c r="U1093" s="355"/>
      <c r="V1093" s="355"/>
      <c r="W1093" s="355"/>
      <c r="X1093" s="355"/>
      <c r="Y1093" s="1154"/>
      <c r="Z1093" s="1155"/>
      <c r="AA1093" s="355"/>
      <c r="AB1093" s="1154"/>
      <c r="AC1093" s="355"/>
      <c r="AD1093" s="355"/>
      <c r="AE1093" s="355"/>
      <c r="AF1093" s="355"/>
      <c r="AG1093" s="763"/>
      <c r="AH1093" s="1156"/>
      <c r="AI1093" s="763"/>
      <c r="AJ1093" s="763"/>
      <c r="AK1093" s="763"/>
      <c r="AL1093" s="763"/>
      <c r="AM1093" s="763"/>
      <c r="AN1093" s="763"/>
      <c r="AO1093" s="763"/>
      <c r="AP1093" s="763"/>
      <c r="AQ1093" s="763"/>
      <c r="AR1093" s="763"/>
      <c r="AS1093" s="763"/>
      <c r="AT1093" s="763"/>
    </row>
    <row r="1094">
      <c r="A1094" s="76" t="s">
        <v>116</v>
      </c>
      <c r="B1094" s="77" t="s">
        <v>432</v>
      </c>
      <c r="C1094" s="77" t="s">
        <v>464</v>
      </c>
      <c r="D1094" s="77" t="s">
        <v>121</v>
      </c>
      <c r="E1094" s="78" t="s">
        <v>499</v>
      </c>
      <c r="F1094" s="80" t="s">
        <v>500</v>
      </c>
      <c r="G1094" s="77" t="s">
        <v>503</v>
      </c>
      <c r="H1094" s="77" t="s">
        <v>504</v>
      </c>
      <c r="I1094" s="146" t="s">
        <v>408</v>
      </c>
      <c r="J1094" s="109" t="s">
        <v>114</v>
      </c>
      <c r="K1094" s="118" t="s">
        <v>11972</v>
      </c>
      <c r="L1094" s="109"/>
      <c r="M1094" s="109" t="s">
        <v>102</v>
      </c>
      <c r="N1094" s="86" t="s">
        <v>3673</v>
      </c>
      <c r="O1094" s="85" t="s">
        <v>4195</v>
      </c>
      <c r="P1094" s="1089">
        <v>36364.0</v>
      </c>
      <c r="Q1094" s="315">
        <f>VALUE(LEFT(TEXT(S1094,0),5))+1</f>
        <v>36364</v>
      </c>
      <c r="R1094" s="86">
        <f>DATEDIF($P1094,TODAY(),"Y")</f>
        <v>27</v>
      </c>
      <c r="S1094" s="315">
        <v>3.636308118E9</v>
      </c>
      <c r="T1094" s="315" t="s">
        <v>1479</v>
      </c>
      <c r="U1094" s="124" t="s">
        <v>393</v>
      </c>
      <c r="V1094" s="97"/>
      <c r="W1094" s="86"/>
      <c r="X1094" s="97"/>
      <c r="Y1094" s="97"/>
      <c r="Z1094" s="97"/>
      <c r="AA1094" s="97"/>
      <c r="AB1094" s="97"/>
      <c r="AC1094" s="97" t="s">
        <v>9862</v>
      </c>
      <c r="AD1094" s="99"/>
      <c r="AE1094" s="76" t="s">
        <v>672</v>
      </c>
      <c r="AF1094" s="76" t="s">
        <v>4767</v>
      </c>
      <c r="AG1094" s="153">
        <v>46057.0</v>
      </c>
      <c r="AH1094" s="76" t="s">
        <v>11973</v>
      </c>
      <c r="AI1094" s="763"/>
      <c r="AJ1094" s="763"/>
      <c r="AK1094" s="763"/>
      <c r="AL1094" s="763"/>
      <c r="AM1094" s="763"/>
      <c r="AN1094" s="763"/>
      <c r="AO1094" s="763"/>
      <c r="AP1094" s="763"/>
      <c r="AQ1094" s="763"/>
      <c r="AR1094" s="763"/>
      <c r="AS1094" s="763"/>
      <c r="AT1094" s="763"/>
    </row>
    <row r="1095">
      <c r="A1095" s="67"/>
      <c r="B1095" s="1146"/>
      <c r="C1095" s="1146"/>
      <c r="D1095" s="355"/>
      <c r="E1095" s="1147"/>
      <c r="F1095" s="1148"/>
      <c r="G1095" s="1148"/>
      <c r="H1095" s="1148"/>
      <c r="I1095" s="1148"/>
      <c r="J1095" s="355"/>
      <c r="K1095" s="355"/>
      <c r="L1095" s="1149"/>
      <c r="M1095" s="1150"/>
      <c r="N1095" s="1151"/>
      <c r="O1095" s="355"/>
      <c r="P1095" s="1152"/>
      <c r="Q1095" s="1153"/>
      <c r="R1095" s="67"/>
      <c r="S1095" s="355"/>
      <c r="T1095" s="355"/>
      <c r="U1095" s="355"/>
      <c r="V1095" s="355"/>
      <c r="W1095" s="355"/>
      <c r="X1095" s="355"/>
      <c r="Y1095" s="1154"/>
      <c r="Z1095" s="1155"/>
      <c r="AA1095" s="355"/>
      <c r="AB1095" s="1154"/>
      <c r="AC1095" s="355"/>
      <c r="AD1095" s="355"/>
      <c r="AE1095" s="355"/>
      <c r="AF1095" s="355"/>
      <c r="AG1095" s="763"/>
      <c r="AH1095" s="1156"/>
      <c r="AI1095" s="763"/>
      <c r="AJ1095" s="763"/>
      <c r="AK1095" s="763"/>
      <c r="AL1095" s="763"/>
      <c r="AM1095" s="763"/>
      <c r="AN1095" s="763"/>
      <c r="AO1095" s="763"/>
      <c r="AP1095" s="763"/>
      <c r="AQ1095" s="763"/>
      <c r="AR1095" s="763"/>
      <c r="AS1095" s="763"/>
      <c r="AT1095" s="763"/>
    </row>
    <row r="1096">
      <c r="A1096" s="76" t="s">
        <v>116</v>
      </c>
      <c r="B1096" s="77" t="s">
        <v>1039</v>
      </c>
      <c r="C1096" s="77" t="s">
        <v>1269</v>
      </c>
      <c r="D1096" s="77" t="s">
        <v>1519</v>
      </c>
      <c r="E1096" s="78" t="s">
        <v>178</v>
      </c>
      <c r="F1096" s="80" t="s">
        <v>1369</v>
      </c>
      <c r="G1096" s="77" t="s">
        <v>376</v>
      </c>
      <c r="H1096" s="77" t="s">
        <v>102</v>
      </c>
      <c r="I1096" s="146" t="s">
        <v>408</v>
      </c>
      <c r="J1096" s="85" t="s">
        <v>114</v>
      </c>
      <c r="K1096" s="124" t="s">
        <v>11974</v>
      </c>
      <c r="L1096" s="318"/>
      <c r="M1096" s="85" t="s">
        <v>102</v>
      </c>
      <c r="N1096" s="286" t="s">
        <v>10290</v>
      </c>
      <c r="O1096" s="320" t="s">
        <v>3009</v>
      </c>
      <c r="P1096" s="523">
        <v>28611.0</v>
      </c>
      <c r="Q1096" s="315">
        <f t="shared" ref="Q1096:Q1106" si="131">VALUE(LEFT(TEXT(S1096,0),5))+1</f>
        <v>28611</v>
      </c>
      <c r="R1096" s="86">
        <f t="shared" ref="R1096:R1106" si="132">DATEDIF($P1096,TODAY(),"Y")</f>
        <v>48</v>
      </c>
      <c r="S1096" s="76">
        <v>2.861018799E9</v>
      </c>
      <c r="T1096" s="315"/>
      <c r="U1096" s="76" t="s">
        <v>136</v>
      </c>
      <c r="V1096" s="76"/>
      <c r="W1096" s="76"/>
      <c r="X1096" s="76"/>
      <c r="Y1096" s="97"/>
      <c r="Z1096" s="216" t="s">
        <v>1173</v>
      </c>
      <c r="AA1096" s="76" t="s">
        <v>1178</v>
      </c>
      <c r="AB1096" s="97"/>
      <c r="AC1096" s="76"/>
      <c r="AD1096" s="76"/>
      <c r="AE1096" s="76"/>
      <c r="AF1096" s="76" t="s">
        <v>11975</v>
      </c>
      <c r="AG1096" s="76" t="s">
        <v>1187</v>
      </c>
      <c r="AH1096" s="76" t="s">
        <v>11976</v>
      </c>
      <c r="AI1096" s="763"/>
      <c r="AJ1096" s="763"/>
      <c r="AK1096" s="763"/>
      <c r="AL1096" s="763"/>
      <c r="AM1096" s="763"/>
      <c r="AN1096" s="763"/>
      <c r="AO1096" s="763"/>
      <c r="AP1096" s="763"/>
      <c r="AQ1096" s="763"/>
      <c r="AR1096" s="763"/>
      <c r="AS1096" s="763"/>
      <c r="AT1096" s="763"/>
    </row>
    <row r="1097">
      <c r="A1097" s="76" t="s">
        <v>116</v>
      </c>
      <c r="B1097" s="77" t="s">
        <v>1039</v>
      </c>
      <c r="C1097" s="77" t="s">
        <v>1517</v>
      </c>
      <c r="D1097" s="77" t="s">
        <v>1494</v>
      </c>
      <c r="E1097" s="78" t="s">
        <v>187</v>
      </c>
      <c r="F1097" s="80" t="s">
        <v>1469</v>
      </c>
      <c r="G1097" s="77" t="s">
        <v>514</v>
      </c>
      <c r="H1097" s="77" t="s">
        <v>60</v>
      </c>
      <c r="I1097" s="87" t="s">
        <v>1221</v>
      </c>
      <c r="J1097" s="76" t="s">
        <v>114</v>
      </c>
      <c r="K1097" s="176" t="s">
        <v>11977</v>
      </c>
      <c r="L1097" s="85"/>
      <c r="M1097" s="85" t="s">
        <v>60</v>
      </c>
      <c r="N1097" s="287" t="s">
        <v>512</v>
      </c>
      <c r="O1097" s="1157" t="s">
        <v>513</v>
      </c>
      <c r="P1097" s="825">
        <v>36732.0</v>
      </c>
      <c r="Q1097" s="315">
        <f t="shared" si="131"/>
        <v>36732</v>
      </c>
      <c r="R1097" s="97">
        <f t="shared" si="132"/>
        <v>26</v>
      </c>
      <c r="S1097" s="76">
        <v>3.673100398E9</v>
      </c>
      <c r="T1097" s="168"/>
      <c r="U1097" s="76" t="s">
        <v>136</v>
      </c>
      <c r="V1097" s="76"/>
      <c r="W1097" s="76"/>
      <c r="X1097" s="97"/>
      <c r="Y1097" s="168"/>
      <c r="Z1097" s="176" t="s">
        <v>1460</v>
      </c>
      <c r="AA1097" s="168"/>
      <c r="AB1097" s="97"/>
      <c r="AC1097" s="168"/>
      <c r="AD1097" s="168"/>
      <c r="AE1097" s="76"/>
      <c r="AF1097" s="167" t="s">
        <v>155</v>
      </c>
      <c r="AG1097" s="76" t="s">
        <v>1187</v>
      </c>
      <c r="AH1097" s="76" t="s">
        <v>11976</v>
      </c>
      <c r="AI1097" s="763"/>
      <c r="AJ1097" s="763"/>
      <c r="AK1097" s="763"/>
      <c r="AL1097" s="763"/>
      <c r="AM1097" s="763"/>
      <c r="AN1097" s="763"/>
      <c r="AO1097" s="763"/>
      <c r="AP1097" s="763"/>
      <c r="AQ1097" s="763"/>
      <c r="AR1097" s="763"/>
      <c r="AS1097" s="763"/>
      <c r="AT1097" s="763"/>
    </row>
    <row r="1098">
      <c r="A1098" s="76" t="s">
        <v>116</v>
      </c>
      <c r="B1098" s="77" t="s">
        <v>1039</v>
      </c>
      <c r="C1098" s="77" t="s">
        <v>1728</v>
      </c>
      <c r="D1098" s="77" t="s">
        <v>121</v>
      </c>
      <c r="E1098" s="78" t="s">
        <v>178</v>
      </c>
      <c r="F1098" s="80" t="s">
        <v>3247</v>
      </c>
      <c r="G1098" s="77" t="s">
        <v>712</v>
      </c>
      <c r="H1098" s="77" t="s">
        <v>102</v>
      </c>
      <c r="I1098" s="146" t="s">
        <v>408</v>
      </c>
      <c r="J1098" s="85" t="s">
        <v>114</v>
      </c>
      <c r="K1098" s="124" t="s">
        <v>11978</v>
      </c>
      <c r="L1098" s="76"/>
      <c r="M1098" s="85" t="s">
        <v>60</v>
      </c>
      <c r="N1098" s="287" t="s">
        <v>708</v>
      </c>
      <c r="O1098" s="76" t="s">
        <v>710</v>
      </c>
      <c r="P1098" s="523">
        <v>35771.0</v>
      </c>
      <c r="Q1098" s="315">
        <f t="shared" si="131"/>
        <v>35771</v>
      </c>
      <c r="R1098" s="86">
        <f t="shared" si="132"/>
        <v>28</v>
      </c>
      <c r="S1098" s="76">
        <v>3.577002894E9</v>
      </c>
      <c r="T1098" s="86"/>
      <c r="U1098" s="76" t="s">
        <v>136</v>
      </c>
      <c r="V1098" s="76"/>
      <c r="W1098" s="76"/>
      <c r="X1098" s="97"/>
      <c r="Y1098" s="167"/>
      <c r="Z1098" s="176" t="s">
        <v>1460</v>
      </c>
      <c r="AA1098" s="168"/>
      <c r="AB1098" s="97"/>
      <c r="AC1098" s="168"/>
      <c r="AD1098" s="168"/>
      <c r="AE1098" s="76"/>
      <c r="AF1098" s="76" t="s">
        <v>155</v>
      </c>
      <c r="AG1098" s="341" t="s">
        <v>1187</v>
      </c>
      <c r="AH1098" s="76" t="s">
        <v>11976</v>
      </c>
      <c r="AI1098" s="763"/>
      <c r="AJ1098" s="763"/>
      <c r="AK1098" s="763"/>
      <c r="AL1098" s="763"/>
      <c r="AM1098" s="763"/>
      <c r="AN1098" s="763"/>
      <c r="AO1098" s="763"/>
      <c r="AP1098" s="763"/>
      <c r="AQ1098" s="763"/>
      <c r="AR1098" s="763"/>
      <c r="AS1098" s="763"/>
      <c r="AT1098" s="763"/>
    </row>
    <row r="1099">
      <c r="A1099" s="76" t="s">
        <v>116</v>
      </c>
      <c r="B1099" s="77" t="s">
        <v>1709</v>
      </c>
      <c r="C1099" s="77" t="s">
        <v>1269</v>
      </c>
      <c r="D1099" s="77" t="s">
        <v>1368</v>
      </c>
      <c r="E1099" s="78" t="s">
        <v>139</v>
      </c>
      <c r="F1099" s="80" t="s">
        <v>1520</v>
      </c>
      <c r="G1099" s="77" t="s">
        <v>5520</v>
      </c>
      <c r="H1099" s="77" t="s">
        <v>60</v>
      </c>
      <c r="I1099" s="87" t="s">
        <v>1221</v>
      </c>
      <c r="J1099" s="85" t="s">
        <v>114</v>
      </c>
      <c r="K1099" s="176" t="s">
        <v>11979</v>
      </c>
      <c r="L1099" s="76"/>
      <c r="M1099" s="85" t="s">
        <v>60</v>
      </c>
      <c r="N1099" s="76" t="s">
        <v>11980</v>
      </c>
      <c r="O1099" s="291" t="s">
        <v>11981</v>
      </c>
      <c r="P1099" s="523">
        <v>28365.0</v>
      </c>
      <c r="Q1099" s="315">
        <f t="shared" si="131"/>
        <v>28365</v>
      </c>
      <c r="R1099" s="86">
        <f t="shared" si="132"/>
        <v>49</v>
      </c>
      <c r="S1099" s="76">
        <v>2.836404712E9</v>
      </c>
      <c r="T1099" s="86"/>
      <c r="U1099" s="76" t="s">
        <v>393</v>
      </c>
      <c r="V1099" s="76"/>
      <c r="W1099" s="76"/>
      <c r="X1099" s="76"/>
      <c r="Y1099" s="167"/>
      <c r="Z1099" s="234" t="s">
        <v>1351</v>
      </c>
      <c r="AA1099" s="168"/>
      <c r="AB1099" s="97"/>
      <c r="AC1099" s="168"/>
      <c r="AD1099" s="168"/>
      <c r="AE1099" s="76" t="s">
        <v>154</v>
      </c>
      <c r="AF1099" s="76" t="s">
        <v>155</v>
      </c>
      <c r="AG1099" s="76"/>
      <c r="AH1099" s="153">
        <v>46153.0</v>
      </c>
      <c r="AI1099" s="763"/>
      <c r="AJ1099" s="763"/>
      <c r="AK1099" s="763"/>
      <c r="AL1099" s="763"/>
      <c r="AM1099" s="763"/>
      <c r="AN1099" s="763"/>
      <c r="AO1099" s="763"/>
      <c r="AP1099" s="763"/>
      <c r="AQ1099" s="763"/>
      <c r="AR1099" s="763"/>
      <c r="AS1099" s="763"/>
      <c r="AT1099" s="763"/>
    </row>
    <row r="1100">
      <c r="A1100" s="76" t="s">
        <v>116</v>
      </c>
      <c r="B1100" s="77" t="s">
        <v>1709</v>
      </c>
      <c r="C1100" s="77" t="s">
        <v>1269</v>
      </c>
      <c r="D1100" s="77" t="s">
        <v>1519</v>
      </c>
      <c r="E1100" s="78" t="s">
        <v>58</v>
      </c>
      <c r="F1100" s="80" t="s">
        <v>1496</v>
      </c>
      <c r="G1100" s="77" t="s">
        <v>5821</v>
      </c>
      <c r="H1100" s="77" t="s">
        <v>60</v>
      </c>
      <c r="I1100" s="87" t="s">
        <v>1221</v>
      </c>
      <c r="J1100" s="109" t="s">
        <v>114</v>
      </c>
      <c r="K1100" s="87"/>
      <c r="L1100" s="87"/>
      <c r="M1100" s="87" t="s">
        <v>60</v>
      </c>
      <c r="N1100" s="86" t="s">
        <v>1282</v>
      </c>
      <c r="O1100" s="87" t="s">
        <v>1283</v>
      </c>
      <c r="P1100" s="1089">
        <v>33998.0</v>
      </c>
      <c r="Q1100" s="315">
        <f t="shared" si="131"/>
        <v>33998</v>
      </c>
      <c r="R1100" s="86">
        <f t="shared" si="132"/>
        <v>33</v>
      </c>
      <c r="S1100" s="315">
        <v>3.399708391E9</v>
      </c>
      <c r="T1100" s="315"/>
      <c r="U1100" s="961" t="s">
        <v>393</v>
      </c>
      <c r="V1100" s="86"/>
      <c r="W1100" s="86"/>
      <c r="X1100" s="97"/>
      <c r="Y1100" s="97"/>
      <c r="Z1100" s="97"/>
      <c r="AA1100" s="97"/>
      <c r="AB1100" s="76" t="s">
        <v>192</v>
      </c>
      <c r="AC1100" s="97"/>
      <c r="AD1100" s="99"/>
      <c r="AE1100" s="76" t="s">
        <v>672</v>
      </c>
      <c r="AF1100" s="1089" t="s">
        <v>155</v>
      </c>
      <c r="AG1100" s="76" t="s">
        <v>661</v>
      </c>
      <c r="AH1100" s="85" t="s">
        <v>11982</v>
      </c>
      <c r="AI1100" s="763"/>
      <c r="AJ1100" s="763"/>
      <c r="AK1100" s="763"/>
      <c r="AL1100" s="763"/>
      <c r="AM1100" s="763"/>
      <c r="AN1100" s="763"/>
      <c r="AO1100" s="763"/>
      <c r="AP1100" s="763"/>
      <c r="AQ1100" s="763"/>
      <c r="AR1100" s="763"/>
      <c r="AS1100" s="763"/>
      <c r="AT1100" s="763"/>
    </row>
    <row r="1101">
      <c r="A1101" s="76" t="s">
        <v>116</v>
      </c>
      <c r="B1101" s="77" t="s">
        <v>1709</v>
      </c>
      <c r="C1101" s="77" t="s">
        <v>1517</v>
      </c>
      <c r="D1101" s="77" t="s">
        <v>1494</v>
      </c>
      <c r="E1101" s="78" t="s">
        <v>58</v>
      </c>
      <c r="F1101" s="80" t="s">
        <v>1496</v>
      </c>
      <c r="G1101" s="77" t="s">
        <v>1281</v>
      </c>
      <c r="H1101" s="77" t="s">
        <v>60</v>
      </c>
      <c r="I1101" s="87" t="s">
        <v>1221</v>
      </c>
      <c r="J1101" s="85" t="s">
        <v>114</v>
      </c>
      <c r="K1101" s="176" t="s">
        <v>11983</v>
      </c>
      <c r="L1101" s="76"/>
      <c r="M1101" s="85" t="s">
        <v>60</v>
      </c>
      <c r="N1101" s="256" t="s">
        <v>1279</v>
      </c>
      <c r="O1101" s="76" t="s">
        <v>1280</v>
      </c>
      <c r="P1101" s="523">
        <v>29014.0</v>
      </c>
      <c r="Q1101" s="315">
        <f t="shared" si="131"/>
        <v>29014</v>
      </c>
      <c r="R1101" s="86">
        <f t="shared" si="132"/>
        <v>47</v>
      </c>
      <c r="S1101" s="76">
        <v>2.901324456E9</v>
      </c>
      <c r="T1101" s="86"/>
      <c r="U1101" s="76" t="s">
        <v>368</v>
      </c>
      <c r="V1101" s="76"/>
      <c r="W1101" s="76"/>
      <c r="X1101" s="76"/>
      <c r="Y1101" s="167"/>
      <c r="Z1101" s="216" t="s">
        <v>2155</v>
      </c>
      <c r="AA1101" s="168"/>
      <c r="AB1101" s="97"/>
      <c r="AC1101" s="168"/>
      <c r="AD1101" s="168"/>
      <c r="AE1101" s="76"/>
      <c r="AF1101" s="85" t="s">
        <v>11984</v>
      </c>
      <c r="AG1101" s="76" t="s">
        <v>1187</v>
      </c>
      <c r="AH1101" s="153">
        <v>46181.0</v>
      </c>
      <c r="AI1101" s="763"/>
      <c r="AJ1101" s="763"/>
      <c r="AK1101" s="763"/>
      <c r="AL1101" s="763"/>
      <c r="AM1101" s="763"/>
      <c r="AN1101" s="763"/>
      <c r="AO1101" s="763"/>
      <c r="AP1101" s="763"/>
      <c r="AQ1101" s="763"/>
      <c r="AR1101" s="763"/>
      <c r="AS1101" s="763"/>
      <c r="AT1101" s="763"/>
    </row>
    <row r="1102">
      <c r="A1102" s="76" t="s">
        <v>116</v>
      </c>
      <c r="B1102" s="77" t="s">
        <v>3722</v>
      </c>
      <c r="C1102" s="77" t="s">
        <v>3724</v>
      </c>
      <c r="D1102" s="77" t="s">
        <v>8222</v>
      </c>
      <c r="E1102" s="78" t="s">
        <v>786</v>
      </c>
      <c r="F1102" s="80" t="s">
        <v>1216</v>
      </c>
      <c r="G1102" s="77" t="s">
        <v>1642</v>
      </c>
      <c r="H1102" s="77" t="s">
        <v>60</v>
      </c>
      <c r="I1102" s="87" t="s">
        <v>1221</v>
      </c>
      <c r="J1102" s="109" t="s">
        <v>114</v>
      </c>
      <c r="K1102" s="118" t="s">
        <v>11985</v>
      </c>
      <c r="L1102" s="87"/>
      <c r="M1102" s="87" t="s">
        <v>60</v>
      </c>
      <c r="N1102" s="341" t="s">
        <v>11986</v>
      </c>
      <c r="O1102" s="109" t="s">
        <v>2184</v>
      </c>
      <c r="P1102" s="1089">
        <v>30607.0</v>
      </c>
      <c r="Q1102" s="315">
        <f t="shared" si="131"/>
        <v>30607</v>
      </c>
      <c r="R1102" s="86">
        <f t="shared" si="132"/>
        <v>42</v>
      </c>
      <c r="S1102" s="315">
        <v>3.060617094E9</v>
      </c>
      <c r="T1102" s="315" t="s">
        <v>1317</v>
      </c>
      <c r="U1102" s="470" t="s">
        <v>393</v>
      </c>
      <c r="V1102" s="86"/>
      <c r="W1102" s="97"/>
      <c r="X1102" s="97"/>
      <c r="Y1102" s="97"/>
      <c r="Z1102" s="97"/>
      <c r="AA1102" s="97"/>
      <c r="AB1102" s="97"/>
      <c r="AC1102" s="97" t="s">
        <v>1566</v>
      </c>
      <c r="AD1102" s="99"/>
      <c r="AE1102" s="76" t="s">
        <v>672</v>
      </c>
      <c r="AF1102" s="750" t="s">
        <v>155</v>
      </c>
      <c r="AG1102" s="76" t="s">
        <v>5851</v>
      </c>
      <c r="AH1102" s="85" t="s">
        <v>11987</v>
      </c>
      <c r="AI1102" s="763"/>
      <c r="AJ1102" s="763"/>
      <c r="AK1102" s="763"/>
      <c r="AL1102" s="763"/>
      <c r="AM1102" s="763"/>
      <c r="AN1102" s="763"/>
      <c r="AO1102" s="763"/>
      <c r="AP1102" s="763"/>
      <c r="AQ1102" s="763"/>
      <c r="AR1102" s="763"/>
      <c r="AS1102" s="763"/>
      <c r="AT1102" s="763"/>
    </row>
    <row r="1103">
      <c r="A1103" s="76" t="s">
        <v>10476</v>
      </c>
      <c r="B1103" s="77" t="s">
        <v>1728</v>
      </c>
      <c r="C1103" s="77" t="s">
        <v>121</v>
      </c>
      <c r="D1103" s="77" t="s">
        <v>121</v>
      </c>
      <c r="E1103" s="78" t="s">
        <v>331</v>
      </c>
      <c r="F1103" s="80" t="s">
        <v>1731</v>
      </c>
      <c r="G1103" s="77" t="s">
        <v>577</v>
      </c>
      <c r="H1103" s="77" t="s">
        <v>60</v>
      </c>
      <c r="I1103" s="87" t="s">
        <v>1221</v>
      </c>
      <c r="J1103" s="76" t="s">
        <v>114</v>
      </c>
      <c r="K1103" s="76"/>
      <c r="L1103" s="318"/>
      <c r="M1103" s="85" t="s">
        <v>60</v>
      </c>
      <c r="N1103" s="678" t="s">
        <v>10650</v>
      </c>
      <c r="O1103" s="76" t="s">
        <v>10651</v>
      </c>
      <c r="P1103" s="523">
        <v>28681.0</v>
      </c>
      <c r="Q1103" s="315">
        <f t="shared" si="131"/>
        <v>28681</v>
      </c>
      <c r="R1103" s="86">
        <f t="shared" si="132"/>
        <v>48</v>
      </c>
      <c r="S1103" s="76">
        <v>2.868014379E9</v>
      </c>
      <c r="T1103" s="315"/>
      <c r="U1103" s="76" t="s">
        <v>368</v>
      </c>
      <c r="V1103" s="76"/>
      <c r="W1103" s="76"/>
      <c r="X1103" s="76"/>
      <c r="Y1103" s="97"/>
      <c r="Z1103" s="344" t="s">
        <v>2506</v>
      </c>
      <c r="AA1103" s="76" t="s">
        <v>1178</v>
      </c>
      <c r="AB1103" s="97"/>
      <c r="AC1103" s="76" t="s">
        <v>1032</v>
      </c>
      <c r="AD1103" s="76"/>
      <c r="AE1103" s="76"/>
      <c r="AF1103" s="76" t="s">
        <v>5238</v>
      </c>
      <c r="AG1103" s="76" t="s">
        <v>2194</v>
      </c>
      <c r="AH1103" s="153">
        <v>46171.0</v>
      </c>
      <c r="AI1103" s="763"/>
      <c r="AJ1103" s="763"/>
      <c r="AK1103" s="763"/>
      <c r="AL1103" s="763"/>
      <c r="AM1103" s="763"/>
      <c r="AN1103" s="763"/>
      <c r="AO1103" s="763"/>
      <c r="AP1103" s="763"/>
      <c r="AQ1103" s="763"/>
      <c r="AR1103" s="763"/>
      <c r="AS1103" s="763"/>
      <c r="AT1103" s="763"/>
    </row>
    <row r="1104">
      <c r="A1104" s="86"/>
      <c r="B1104" s="302" t="s">
        <v>145</v>
      </c>
      <c r="C1104" s="302"/>
      <c r="D1104" s="76" t="s">
        <v>11174</v>
      </c>
      <c r="E1104" s="574">
        <v>46157.0</v>
      </c>
      <c r="F1104" s="762"/>
      <c r="G1104" s="762"/>
      <c r="H1104" s="762"/>
      <c r="I1104" s="762"/>
      <c r="J1104" s="76" t="s">
        <v>114</v>
      </c>
      <c r="K1104" s="176" t="s">
        <v>11988</v>
      </c>
      <c r="L1104" s="318"/>
      <c r="M1104" s="85" t="s">
        <v>326</v>
      </c>
      <c r="N1104" s="286" t="s">
        <v>11989</v>
      </c>
      <c r="O1104" s="76" t="s">
        <v>11990</v>
      </c>
      <c r="P1104" s="523">
        <v>31348.0</v>
      </c>
      <c r="Q1104" s="315">
        <f t="shared" si="131"/>
        <v>31348</v>
      </c>
      <c r="R1104" s="86">
        <f t="shared" si="132"/>
        <v>40</v>
      </c>
      <c r="S1104" s="76">
        <v>3.134722132E9</v>
      </c>
      <c r="T1104" s="76" t="s">
        <v>378</v>
      </c>
      <c r="U1104" s="310" t="s">
        <v>136</v>
      </c>
      <c r="V1104" s="76"/>
      <c r="W1104" s="76"/>
      <c r="X1104" s="76" t="s">
        <v>182</v>
      </c>
      <c r="Y1104" s="97"/>
      <c r="Z1104" s="85" t="s">
        <v>1755</v>
      </c>
      <c r="AA1104" s="76" t="s">
        <v>114</v>
      </c>
      <c r="AB1104" s="76"/>
      <c r="AC1104" s="76"/>
      <c r="AD1104" s="76"/>
      <c r="AE1104" s="76" t="s">
        <v>1136</v>
      </c>
      <c r="AF1104" s="153">
        <v>46172.0</v>
      </c>
      <c r="AG1104" s="189"/>
      <c r="AH1104" s="310" t="s">
        <v>11991</v>
      </c>
      <c r="AI1104" s="763"/>
      <c r="AJ1104" s="763"/>
      <c r="AK1104" s="763"/>
      <c r="AL1104" s="763"/>
      <c r="AM1104" s="763"/>
      <c r="AN1104" s="763"/>
      <c r="AO1104" s="763"/>
      <c r="AP1104" s="763"/>
      <c r="AQ1104" s="763"/>
      <c r="AR1104" s="763"/>
      <c r="AS1104" s="763"/>
      <c r="AT1104" s="763"/>
    </row>
    <row r="1105">
      <c r="A1105" s="76"/>
      <c r="B1105" s="302" t="s">
        <v>4145</v>
      </c>
      <c r="C1105" s="77"/>
      <c r="D1105" s="77"/>
      <c r="E1105" s="76"/>
      <c r="F1105" s="80"/>
      <c r="G1105" s="77"/>
      <c r="H1105" s="77"/>
      <c r="I1105" s="76"/>
      <c r="J1105" s="76" t="s">
        <v>114</v>
      </c>
      <c r="K1105" s="76"/>
      <c r="L1105" s="86"/>
      <c r="M1105" s="86" t="s">
        <v>60</v>
      </c>
      <c r="N1105" s="287" t="s">
        <v>11992</v>
      </c>
      <c r="O1105" s="85" t="s">
        <v>11993</v>
      </c>
      <c r="P1105" s="262">
        <v>34959.0</v>
      </c>
      <c r="Q1105" s="315">
        <f t="shared" si="131"/>
        <v>34959</v>
      </c>
      <c r="R1105" s="97">
        <f t="shared" si="132"/>
        <v>30</v>
      </c>
      <c r="S1105" s="76">
        <v>3.495803356E9</v>
      </c>
      <c r="T1105" s="315"/>
      <c r="U1105" s="76" t="s">
        <v>136</v>
      </c>
      <c r="V1105" s="76"/>
      <c r="W1105" s="76"/>
      <c r="X1105" s="76"/>
      <c r="Y1105" s="97"/>
      <c r="Z1105" s="97"/>
      <c r="AA1105" s="97"/>
      <c r="AB1105" s="76"/>
      <c r="AC1105" s="97"/>
      <c r="AD1105" s="370"/>
      <c r="AE1105" s="76"/>
      <c r="AF1105" s="85"/>
      <c r="AG1105" s="76"/>
      <c r="AH1105" s="85"/>
      <c r="AI1105" s="763"/>
      <c r="AJ1105" s="763"/>
      <c r="AK1105" s="763"/>
      <c r="AL1105" s="763"/>
      <c r="AM1105" s="763"/>
      <c r="AN1105" s="763"/>
      <c r="AO1105" s="763"/>
      <c r="AP1105" s="763"/>
      <c r="AQ1105" s="763"/>
      <c r="AR1105" s="763"/>
      <c r="AS1105" s="763"/>
      <c r="AT1105" s="763"/>
    </row>
    <row r="1106">
      <c r="A1106" s="76"/>
      <c r="B1106" s="302" t="s">
        <v>4145</v>
      </c>
      <c r="C1106" s="1158" t="s">
        <v>11994</v>
      </c>
      <c r="D1106" s="77"/>
      <c r="E1106" s="76" t="s">
        <v>7335</v>
      </c>
      <c r="F1106" s="80"/>
      <c r="G1106" s="77"/>
      <c r="H1106" s="77"/>
      <c r="I1106" s="1058"/>
      <c r="J1106" s="76" t="s">
        <v>114</v>
      </c>
      <c r="K1106" s="76"/>
      <c r="L1106" s="170"/>
      <c r="M1106" s="76" t="s">
        <v>60</v>
      </c>
      <c r="N1106" s="287" t="s">
        <v>11995</v>
      </c>
      <c r="O1106" s="76" t="s">
        <v>8923</v>
      </c>
      <c r="P1106" s="493">
        <v>32006.0</v>
      </c>
      <c r="Q1106" s="315">
        <f t="shared" si="131"/>
        <v>32006</v>
      </c>
      <c r="R1106" s="97">
        <f t="shared" si="132"/>
        <v>39</v>
      </c>
      <c r="S1106" s="76">
        <v>3.200505171E9</v>
      </c>
      <c r="T1106" s="81"/>
      <c r="U1106" s="76" t="s">
        <v>136</v>
      </c>
      <c r="V1106" s="76"/>
      <c r="W1106" s="76"/>
      <c r="X1106" s="76" t="s">
        <v>186</v>
      </c>
      <c r="Y1106" s="276"/>
      <c r="Z1106" s="85" t="s">
        <v>1755</v>
      </c>
      <c r="AA1106" s="76"/>
      <c r="AB1106" s="68"/>
      <c r="AC1106" s="83"/>
      <c r="AD1106" s="169"/>
      <c r="AE1106" s="76"/>
      <c r="AF1106" s="83"/>
      <c r="AG1106" s="379" t="s">
        <v>11996</v>
      </c>
      <c r="AH1106" s="385">
        <v>46200.0</v>
      </c>
      <c r="AI1106" s="67"/>
      <c r="AJ1106" s="67"/>
      <c r="AK1106" s="70"/>
      <c r="AL1106" s="70"/>
      <c r="AM1106" s="135"/>
      <c r="AN1106" s="135"/>
      <c r="AO1106" s="70"/>
      <c r="AP1106" s="70"/>
      <c r="AQ1106" s="67"/>
      <c r="AR1106" s="67"/>
      <c r="AS1106" s="67"/>
      <c r="AT1106" s="67"/>
    </row>
    <row r="1107">
      <c r="AI1107" s="763"/>
      <c r="AJ1107" s="763"/>
      <c r="AK1107" s="763"/>
      <c r="AL1107" s="763"/>
      <c r="AM1107" s="763"/>
      <c r="AN1107" s="763"/>
      <c r="AO1107" s="763"/>
      <c r="AP1107" s="763"/>
      <c r="AQ1107" s="763"/>
      <c r="AR1107" s="763"/>
      <c r="AS1107" s="763"/>
      <c r="AT1107" s="763"/>
    </row>
    <row r="1108">
      <c r="A1108" s="86"/>
      <c r="B1108" s="302" t="s">
        <v>145</v>
      </c>
      <c r="C1108" s="302"/>
      <c r="D1108" s="76" t="s">
        <v>10837</v>
      </c>
      <c r="E1108" s="574">
        <v>46155.0</v>
      </c>
      <c r="F1108" s="762"/>
      <c r="G1108" s="762"/>
      <c r="H1108" s="762"/>
      <c r="I1108" s="762"/>
      <c r="J1108" s="76" t="s">
        <v>114</v>
      </c>
      <c r="K1108" s="76"/>
      <c r="L1108" s="318"/>
      <c r="M1108" s="85" t="s">
        <v>60</v>
      </c>
      <c r="N1108" s="286" t="s">
        <v>10839</v>
      </c>
      <c r="O1108" s="76" t="s">
        <v>10840</v>
      </c>
      <c r="P1108" s="523">
        <v>36605.0</v>
      </c>
      <c r="Q1108" s="315">
        <f t="shared" ref="Q1108:Q1113" si="133">VALUE(LEFT(TEXT(S1108,0),5))+1</f>
        <v>36605</v>
      </c>
      <c r="R1108" s="86">
        <f t="shared" ref="R1108:R1113" si="134">DATEDIF($P1108,TODAY(),"Y")</f>
        <v>26</v>
      </c>
      <c r="S1108" s="76">
        <v>3.66041015E9</v>
      </c>
      <c r="T1108" s="315"/>
      <c r="U1108" s="76" t="s">
        <v>136</v>
      </c>
      <c r="V1108" s="76"/>
      <c r="W1108" s="76"/>
      <c r="X1108" s="76" t="s">
        <v>145</v>
      </c>
      <c r="Y1108" s="97"/>
      <c r="Z1108" s="216" t="s">
        <v>3792</v>
      </c>
      <c r="AA1108" s="76" t="s">
        <v>185</v>
      </c>
      <c r="AB1108" s="76" t="s">
        <v>269</v>
      </c>
      <c r="AC1108" s="76"/>
      <c r="AD1108" s="76"/>
      <c r="AE1108" s="76"/>
      <c r="AF1108" s="76"/>
      <c r="AG1108" s="189"/>
      <c r="AH1108" s="295" t="s">
        <v>1153</v>
      </c>
      <c r="AI1108" s="763"/>
      <c r="AJ1108" s="763"/>
      <c r="AK1108" s="763"/>
      <c r="AL1108" s="763"/>
      <c r="AM1108" s="763"/>
      <c r="AN1108" s="763"/>
      <c r="AO1108" s="763"/>
      <c r="AP1108" s="763"/>
      <c r="AQ1108" s="763"/>
      <c r="AR1108" s="763"/>
      <c r="AS1108" s="763"/>
      <c r="AT1108" s="763"/>
    </row>
    <row r="1109">
      <c r="A1109" s="86"/>
      <c r="B1109" s="302" t="s">
        <v>4145</v>
      </c>
      <c r="C1109" s="1158" t="s">
        <v>11997</v>
      </c>
      <c r="D1109" s="76" t="s">
        <v>4264</v>
      </c>
      <c r="E1109" s="574">
        <v>46187.0</v>
      </c>
      <c r="F1109" s="762"/>
      <c r="G1109" s="762"/>
      <c r="H1109" s="762"/>
      <c r="I1109" s="762"/>
      <c r="J1109" s="76" t="s">
        <v>114</v>
      </c>
      <c r="K1109" s="76"/>
      <c r="L1109" s="318"/>
      <c r="M1109" s="85" t="s">
        <v>60</v>
      </c>
      <c r="N1109" s="286" t="s">
        <v>11998</v>
      </c>
      <c r="O1109" s="76" t="s">
        <v>11999</v>
      </c>
      <c r="P1109" s="523">
        <v>30799.0</v>
      </c>
      <c r="Q1109" s="315">
        <f t="shared" si="133"/>
        <v>30799</v>
      </c>
      <c r="R1109" s="86">
        <f t="shared" si="134"/>
        <v>42</v>
      </c>
      <c r="S1109" s="76">
        <v>3.079808797E9</v>
      </c>
      <c r="T1109" s="76" t="s">
        <v>1479</v>
      </c>
      <c r="U1109" s="76" t="s">
        <v>136</v>
      </c>
      <c r="V1109" s="76"/>
      <c r="W1109" s="76"/>
      <c r="X1109" s="76" t="s">
        <v>186</v>
      </c>
      <c r="Y1109" s="97"/>
      <c r="Z1109" s="85" t="s">
        <v>4335</v>
      </c>
      <c r="AA1109" s="76"/>
      <c r="AB1109" s="76"/>
      <c r="AC1109" s="76"/>
      <c r="AD1109" s="76"/>
      <c r="AE1109" s="76"/>
      <c r="AF1109" s="76"/>
      <c r="AG1109" s="153">
        <v>46202.0</v>
      </c>
      <c r="AH1109" s="76" t="s">
        <v>12000</v>
      </c>
      <c r="AI1109" s="763"/>
      <c r="AJ1109" s="763"/>
      <c r="AK1109" s="763"/>
      <c r="AL1109" s="763"/>
      <c r="AM1109" s="763"/>
      <c r="AN1109" s="763"/>
      <c r="AO1109" s="763"/>
      <c r="AP1109" s="763"/>
      <c r="AQ1109" s="763"/>
      <c r="AR1109" s="763"/>
      <c r="AS1109" s="763"/>
      <c r="AT1109" s="763"/>
    </row>
    <row r="1110">
      <c r="A1110" s="86"/>
      <c r="B1110" s="302" t="s">
        <v>4145</v>
      </c>
      <c r="C1110" s="1158" t="s">
        <v>12001</v>
      </c>
      <c r="D1110" s="76" t="s">
        <v>4264</v>
      </c>
      <c r="E1110" s="574">
        <v>46187.0</v>
      </c>
      <c r="F1110" s="762"/>
      <c r="G1110" s="762"/>
      <c r="H1110" s="762"/>
      <c r="I1110" s="762"/>
      <c r="J1110" s="76" t="s">
        <v>114</v>
      </c>
      <c r="K1110" s="76"/>
      <c r="L1110" s="318"/>
      <c r="M1110" s="85" t="s">
        <v>60</v>
      </c>
      <c r="N1110" s="286" t="s">
        <v>12002</v>
      </c>
      <c r="O1110" s="76" t="s">
        <v>12003</v>
      </c>
      <c r="P1110" s="523">
        <v>35224.0</v>
      </c>
      <c r="Q1110" s="315">
        <f t="shared" si="133"/>
        <v>35224</v>
      </c>
      <c r="R1110" s="86">
        <f t="shared" si="134"/>
        <v>30</v>
      </c>
      <c r="S1110" s="76">
        <v>3.522313675E9</v>
      </c>
      <c r="T1110" s="76"/>
      <c r="U1110" s="76" t="s">
        <v>136</v>
      </c>
      <c r="V1110" s="76"/>
      <c r="W1110" s="76"/>
      <c r="X1110" s="76" t="s">
        <v>186</v>
      </c>
      <c r="Y1110" s="97"/>
      <c r="Z1110" s="85" t="s">
        <v>1254</v>
      </c>
      <c r="AA1110" s="76"/>
      <c r="AB1110" s="76"/>
      <c r="AC1110" s="76"/>
      <c r="AD1110" s="76"/>
      <c r="AE1110" s="76"/>
      <c r="AF1110" s="76"/>
      <c r="AG1110" s="153">
        <v>46200.0</v>
      </c>
      <c r="AH1110" s="76" t="s">
        <v>12004</v>
      </c>
      <c r="AI1110" s="763"/>
      <c r="AJ1110" s="763"/>
      <c r="AK1110" s="763"/>
      <c r="AL1110" s="763"/>
      <c r="AM1110" s="763"/>
      <c r="AN1110" s="763"/>
      <c r="AO1110" s="763"/>
      <c r="AP1110" s="763"/>
      <c r="AQ1110" s="763"/>
      <c r="AR1110" s="763"/>
      <c r="AS1110" s="763"/>
      <c r="AT1110" s="763"/>
    </row>
    <row r="1111">
      <c r="A1111" s="86"/>
      <c r="B1111" s="302" t="s">
        <v>4145</v>
      </c>
      <c r="C1111" s="1158" t="s">
        <v>12005</v>
      </c>
      <c r="D1111" s="76" t="s">
        <v>4264</v>
      </c>
      <c r="E1111" s="574">
        <v>46193.0</v>
      </c>
      <c r="F1111" s="762"/>
      <c r="G1111" s="762"/>
      <c r="H1111" s="762"/>
      <c r="I1111" s="762"/>
      <c r="J1111" s="76" t="s">
        <v>114</v>
      </c>
      <c r="K1111" s="76"/>
      <c r="L1111" s="318"/>
      <c r="M1111" s="85" t="s">
        <v>60</v>
      </c>
      <c r="N1111" s="286" t="s">
        <v>12006</v>
      </c>
      <c r="O1111" s="76" t="s">
        <v>12007</v>
      </c>
      <c r="P1111" s="523">
        <v>29118.0</v>
      </c>
      <c r="Q1111" s="315">
        <f t="shared" si="133"/>
        <v>29118</v>
      </c>
      <c r="R1111" s="86">
        <f t="shared" si="134"/>
        <v>46</v>
      </c>
      <c r="S1111" s="76">
        <v>2.911712219E9</v>
      </c>
      <c r="T1111" s="76" t="s">
        <v>378</v>
      </c>
      <c r="U1111" s="76" t="s">
        <v>136</v>
      </c>
      <c r="V1111" s="76"/>
      <c r="W1111" s="76"/>
      <c r="X1111" s="76" t="s">
        <v>186</v>
      </c>
      <c r="Y1111" s="97"/>
      <c r="Z1111" s="85" t="s">
        <v>1254</v>
      </c>
      <c r="AA1111" s="76"/>
      <c r="AB1111" s="76"/>
      <c r="AC1111" s="76"/>
      <c r="AD1111" s="76"/>
      <c r="AE1111" s="76" t="s">
        <v>154</v>
      </c>
      <c r="AF1111" s="76"/>
      <c r="AG1111" s="153">
        <v>46202.0</v>
      </c>
      <c r="AH1111" s="76" t="s">
        <v>12008</v>
      </c>
      <c r="AI1111" s="763"/>
      <c r="AJ1111" s="763"/>
      <c r="AK1111" s="763"/>
      <c r="AL1111" s="763"/>
      <c r="AM1111" s="763"/>
      <c r="AN1111" s="763"/>
      <c r="AO1111" s="763"/>
      <c r="AP1111" s="763"/>
      <c r="AQ1111" s="763"/>
      <c r="AR1111" s="763"/>
      <c r="AS1111" s="763"/>
      <c r="AT1111" s="763"/>
    </row>
    <row r="1112">
      <c r="A1112" s="86"/>
      <c r="B1112" s="302" t="s">
        <v>4145</v>
      </c>
      <c r="C1112" s="302"/>
      <c r="D1112" s="76" t="s">
        <v>4264</v>
      </c>
      <c r="E1112" s="574">
        <v>46193.0</v>
      </c>
      <c r="F1112" s="762"/>
      <c r="G1112" s="762"/>
      <c r="H1112" s="762"/>
      <c r="I1112" s="762"/>
      <c r="J1112" s="76" t="s">
        <v>114</v>
      </c>
      <c r="K1112" s="76"/>
      <c r="L1112" s="318"/>
      <c r="M1112" s="85" t="s">
        <v>60</v>
      </c>
      <c r="N1112" s="286" t="s">
        <v>12009</v>
      </c>
      <c r="O1112" s="76" t="s">
        <v>8537</v>
      </c>
      <c r="P1112" s="523">
        <v>33099.0</v>
      </c>
      <c r="Q1112" s="315">
        <f t="shared" si="133"/>
        <v>33099</v>
      </c>
      <c r="R1112" s="86">
        <f t="shared" si="134"/>
        <v>36</v>
      </c>
      <c r="S1112" s="76">
        <v>3.309823791E9</v>
      </c>
      <c r="T1112" s="76"/>
      <c r="U1112" s="76" t="s">
        <v>136</v>
      </c>
      <c r="V1112" s="76"/>
      <c r="W1112" s="76"/>
      <c r="X1112" s="76" t="s">
        <v>186</v>
      </c>
      <c r="Y1112" s="97"/>
      <c r="Z1112" s="85" t="s">
        <v>1892</v>
      </c>
      <c r="AA1112" s="76"/>
      <c r="AB1112" s="76"/>
      <c r="AC1112" s="76"/>
      <c r="AD1112" s="76"/>
      <c r="AE1112" s="76"/>
      <c r="AF1112" s="76"/>
      <c r="AG1112" s="189"/>
      <c r="AH1112" s="76" t="s">
        <v>12010</v>
      </c>
      <c r="AI1112" s="763"/>
      <c r="AJ1112" s="763"/>
      <c r="AK1112" s="763"/>
      <c r="AL1112" s="763"/>
      <c r="AM1112" s="763"/>
      <c r="AN1112" s="763"/>
      <c r="AO1112" s="763"/>
      <c r="AP1112" s="763"/>
      <c r="AQ1112" s="763"/>
      <c r="AR1112" s="763"/>
      <c r="AS1112" s="763"/>
      <c r="AT1112" s="763"/>
    </row>
    <row r="1113">
      <c r="A1113" s="76" t="s">
        <v>116</v>
      </c>
      <c r="B1113" s="77" t="s">
        <v>1039</v>
      </c>
      <c r="C1113" s="77" t="s">
        <v>1517</v>
      </c>
      <c r="D1113" s="77" t="s">
        <v>121</v>
      </c>
      <c r="E1113" s="78" t="s">
        <v>170</v>
      </c>
      <c r="F1113" s="80" t="s">
        <v>126</v>
      </c>
      <c r="G1113" s="77" t="s">
        <v>2107</v>
      </c>
      <c r="H1113" s="77" t="s">
        <v>143</v>
      </c>
      <c r="I1113" s="82" t="s">
        <v>135</v>
      </c>
      <c r="J1113" s="109" t="s">
        <v>114</v>
      </c>
      <c r="K1113" s="109"/>
      <c r="L1113" s="85"/>
      <c r="M1113" s="85" t="s">
        <v>36</v>
      </c>
      <c r="N1113" s="97" t="s">
        <v>2377</v>
      </c>
      <c r="O1113" s="109" t="s">
        <v>746</v>
      </c>
      <c r="P1113" s="1089">
        <v>33840.0</v>
      </c>
      <c r="Q1113" s="315" t="str">
        <f t="shared" si="133"/>
        <v>#VALUE!</v>
      </c>
      <c r="R1113" s="86">
        <f t="shared" si="134"/>
        <v>34</v>
      </c>
      <c r="S1113" s="76" t="s">
        <v>3642</v>
      </c>
      <c r="T1113" s="315"/>
      <c r="U1113" s="76" t="s">
        <v>379</v>
      </c>
      <c r="V1113" s="97"/>
      <c r="W1113" s="97"/>
      <c r="X1113" s="97"/>
      <c r="Y1113" s="97"/>
      <c r="Z1113" s="97"/>
      <c r="AA1113" s="97"/>
      <c r="AB1113" s="97"/>
      <c r="AC1113" s="76" t="s">
        <v>3127</v>
      </c>
      <c r="AD1113" s="76"/>
      <c r="AE1113" s="76" t="s">
        <v>291</v>
      </c>
      <c r="AF1113" s="99"/>
      <c r="AG1113" s="189"/>
      <c r="AH1113" s="153">
        <v>46141.0</v>
      </c>
      <c r="AI1113" s="763"/>
      <c r="AJ1113" s="763"/>
      <c r="AK1113" s="763"/>
      <c r="AL1113" s="763"/>
      <c r="AM1113" s="763"/>
      <c r="AN1113" s="763"/>
      <c r="AO1113" s="763"/>
      <c r="AP1113" s="763"/>
      <c r="AQ1113" s="763"/>
      <c r="AR1113" s="763"/>
      <c r="AS1113" s="763"/>
      <c r="AT1113" s="763"/>
    </row>
    <row r="1114">
      <c r="A1114" s="76" t="s">
        <v>116</v>
      </c>
      <c r="B1114" s="77" t="s">
        <v>1645</v>
      </c>
      <c r="C1114" s="77" t="s">
        <v>1269</v>
      </c>
      <c r="D1114" s="77" t="s">
        <v>121</v>
      </c>
      <c r="E1114" s="78" t="s">
        <v>170</v>
      </c>
      <c r="F1114" s="80" t="s">
        <v>126</v>
      </c>
      <c r="G1114" s="77" t="s">
        <v>3507</v>
      </c>
      <c r="H1114" s="77" t="s">
        <v>143</v>
      </c>
      <c r="I1114" s="82" t="s">
        <v>135</v>
      </c>
      <c r="J1114" s="97"/>
      <c r="K1114" s="97"/>
      <c r="L1114" s="87"/>
      <c r="M1114" s="199" t="s">
        <v>96</v>
      </c>
      <c r="N1114" s="199" t="s">
        <v>12011</v>
      </c>
      <c r="O1114" s="97"/>
      <c r="P1114" s="315"/>
      <c r="Q1114" s="86"/>
      <c r="R1114" s="86"/>
      <c r="S1114" s="315"/>
      <c r="T1114" s="315"/>
      <c r="U1114" s="76" t="s">
        <v>379</v>
      </c>
      <c r="V1114" s="86"/>
      <c r="W1114" s="97"/>
      <c r="X1114" s="97"/>
      <c r="Y1114" s="97"/>
      <c r="Z1114" s="97"/>
      <c r="AA1114" s="97"/>
      <c r="AB1114" s="97"/>
      <c r="AC1114" s="160" t="s">
        <v>630</v>
      </c>
      <c r="AD1114" s="76" t="s">
        <v>632</v>
      </c>
      <c r="AE1114" s="76" t="s">
        <v>632</v>
      </c>
      <c r="AF1114" s="160" t="s">
        <v>630</v>
      </c>
      <c r="AG1114" s="112"/>
      <c r="AH1114" s="112"/>
      <c r="AI1114" s="763"/>
      <c r="AJ1114" s="763"/>
      <c r="AK1114" s="763"/>
      <c r="AL1114" s="763"/>
      <c r="AM1114" s="763"/>
      <c r="AN1114" s="763"/>
      <c r="AO1114" s="763"/>
      <c r="AP1114" s="763"/>
      <c r="AQ1114" s="763"/>
      <c r="AR1114" s="763"/>
      <c r="AS1114" s="763"/>
      <c r="AT1114" s="763"/>
    </row>
    <row r="1115">
      <c r="A1115" s="76" t="s">
        <v>116</v>
      </c>
      <c r="B1115" s="77" t="s">
        <v>1645</v>
      </c>
      <c r="C1115" s="77" t="s">
        <v>1517</v>
      </c>
      <c r="D1115" s="77" t="s">
        <v>121</v>
      </c>
      <c r="E1115" s="78" t="s">
        <v>170</v>
      </c>
      <c r="F1115" s="80" t="s">
        <v>126</v>
      </c>
      <c r="G1115" s="77" t="s">
        <v>3994</v>
      </c>
      <c r="H1115" s="77" t="s">
        <v>143</v>
      </c>
      <c r="I1115" s="82" t="s">
        <v>135</v>
      </c>
      <c r="J1115" s="97"/>
      <c r="K1115" s="86"/>
      <c r="L1115" s="87"/>
      <c r="M1115" s="211" t="s">
        <v>36</v>
      </c>
      <c r="N1115" s="159" t="s">
        <v>12012</v>
      </c>
      <c r="O1115" s="86"/>
      <c r="P1115" s="1159"/>
      <c r="Q1115" s="315"/>
      <c r="R1115" s="157"/>
      <c r="S1115" s="315"/>
      <c r="T1115" s="315"/>
      <c r="U1115" s="76" t="s">
        <v>379</v>
      </c>
      <c r="V1115" s="97"/>
      <c r="W1115" s="86"/>
      <c r="X1115" s="97"/>
      <c r="Y1115" s="97"/>
      <c r="Z1115" s="97"/>
      <c r="AA1115" s="97"/>
      <c r="AB1115" s="97"/>
      <c r="AC1115" s="160" t="s">
        <v>630</v>
      </c>
      <c r="AD1115" s="76" t="s">
        <v>632</v>
      </c>
      <c r="AE1115" s="76"/>
      <c r="AF1115" s="160" t="s">
        <v>630</v>
      </c>
      <c r="AG1115" s="189"/>
      <c r="AH1115" s="112"/>
      <c r="AI1115" s="763"/>
      <c r="AJ1115" s="763"/>
      <c r="AK1115" s="763"/>
      <c r="AL1115" s="763"/>
      <c r="AM1115" s="763"/>
      <c r="AN1115" s="763"/>
      <c r="AO1115" s="763"/>
      <c r="AP1115" s="763"/>
      <c r="AQ1115" s="763"/>
      <c r="AR1115" s="763"/>
      <c r="AS1115" s="763"/>
      <c r="AT1115" s="763"/>
    </row>
    <row r="1116">
      <c r="A1116" s="86"/>
      <c r="B1116" s="302" t="s">
        <v>4145</v>
      </c>
      <c r="C1116" s="1036" t="s">
        <v>12013</v>
      </c>
      <c r="D1116" s="76"/>
      <c r="E1116" s="76" t="s">
        <v>9875</v>
      </c>
      <c r="F1116" s="762"/>
      <c r="G1116" s="762"/>
      <c r="H1116" s="762"/>
      <c r="I1116" s="762"/>
      <c r="J1116" s="76" t="s">
        <v>114</v>
      </c>
      <c r="K1116" s="76"/>
      <c r="L1116" s="1160" t="s">
        <v>12014</v>
      </c>
      <c r="M1116" s="85" t="s">
        <v>102</v>
      </c>
      <c r="N1116" s="157" t="s">
        <v>12015</v>
      </c>
      <c r="O1116" s="76" t="s">
        <v>6358</v>
      </c>
      <c r="P1116" s="523">
        <v>25791.0</v>
      </c>
      <c r="Q1116" s="315">
        <f t="shared" ref="Q1116:Q1120" si="135">VALUE(LEFT(TEXT(S1116,0),5))+1</f>
        <v>25791</v>
      </c>
      <c r="R1116" s="86">
        <f t="shared" ref="R1116:R1120" si="136">DATEDIF($P1116,TODAY(),"Y")</f>
        <v>56</v>
      </c>
      <c r="S1116" s="76">
        <v>2.579002634E9</v>
      </c>
      <c r="T1116" s="315"/>
      <c r="U1116" s="76" t="s">
        <v>261</v>
      </c>
      <c r="V1116" s="76" t="s">
        <v>350</v>
      </c>
      <c r="W1116" s="76" t="s">
        <v>227</v>
      </c>
      <c r="X1116" s="76" t="s">
        <v>186</v>
      </c>
      <c r="Y1116" s="97"/>
      <c r="Z1116" s="501" t="s">
        <v>418</v>
      </c>
      <c r="AA1116" s="76"/>
      <c r="AB1116" s="76"/>
      <c r="AC1116" s="76"/>
      <c r="AD1116" s="76"/>
      <c r="AE1116" s="76" t="s">
        <v>259</v>
      </c>
      <c r="AF1116" s="76"/>
      <c r="AG1116" s="76"/>
      <c r="AH1116" s="76"/>
      <c r="AI1116" s="763"/>
      <c r="AJ1116" s="763"/>
      <c r="AK1116" s="763"/>
      <c r="AL1116" s="763"/>
      <c r="AM1116" s="763"/>
      <c r="AN1116" s="763"/>
      <c r="AO1116" s="763"/>
      <c r="AP1116" s="763"/>
      <c r="AQ1116" s="763"/>
      <c r="AR1116" s="763"/>
      <c r="AS1116" s="763"/>
      <c r="AT1116" s="763"/>
    </row>
    <row r="1117">
      <c r="A1117" s="86"/>
      <c r="B1117" s="302" t="s">
        <v>4145</v>
      </c>
      <c r="C1117" s="1036" t="s">
        <v>8251</v>
      </c>
      <c r="D1117" s="76"/>
      <c r="E1117" s="76" t="s">
        <v>9875</v>
      </c>
      <c r="F1117" s="762"/>
      <c r="G1117" s="762"/>
      <c r="H1117" s="762"/>
      <c r="I1117" s="762"/>
      <c r="J1117" s="76" t="s">
        <v>114</v>
      </c>
      <c r="K1117" s="76"/>
      <c r="L1117" s="1160" t="s">
        <v>12014</v>
      </c>
      <c r="M1117" s="109" t="s">
        <v>60</v>
      </c>
      <c r="N1117" s="157" t="s">
        <v>12016</v>
      </c>
      <c r="O1117" s="76" t="s">
        <v>12017</v>
      </c>
      <c r="P1117" s="523">
        <v>31511.0</v>
      </c>
      <c r="Q1117" s="315">
        <f t="shared" si="135"/>
        <v>31511</v>
      </c>
      <c r="R1117" s="86">
        <f t="shared" si="136"/>
        <v>40</v>
      </c>
      <c r="S1117" s="76">
        <v>3.151011375E9</v>
      </c>
      <c r="T1117" s="315"/>
      <c r="U1117" s="76" t="s">
        <v>261</v>
      </c>
      <c r="V1117" s="76" t="s">
        <v>350</v>
      </c>
      <c r="W1117" s="76" t="s">
        <v>227</v>
      </c>
      <c r="X1117" s="76" t="s">
        <v>186</v>
      </c>
      <c r="Y1117" s="97"/>
      <c r="Z1117" s="501" t="s">
        <v>418</v>
      </c>
      <c r="AA1117" s="76"/>
      <c r="AB1117" s="76"/>
      <c r="AC1117" s="76"/>
      <c r="AD1117" s="76"/>
      <c r="AE1117" s="76" t="s">
        <v>259</v>
      </c>
      <c r="AF1117" s="76"/>
      <c r="AG1117" s="76"/>
      <c r="AH1117" s="76"/>
      <c r="AI1117" s="763"/>
      <c r="AJ1117" s="763"/>
      <c r="AK1117" s="763"/>
      <c r="AL1117" s="763"/>
      <c r="AM1117" s="763"/>
      <c r="AN1117" s="763"/>
      <c r="AO1117" s="763"/>
      <c r="AP1117" s="763"/>
      <c r="AQ1117" s="763"/>
      <c r="AR1117" s="763"/>
      <c r="AS1117" s="763"/>
      <c r="AT1117" s="763"/>
    </row>
    <row r="1118">
      <c r="A1118" s="86"/>
      <c r="B1118" s="302" t="s">
        <v>4145</v>
      </c>
      <c r="C1118" s="1036" t="s">
        <v>12018</v>
      </c>
      <c r="D1118" s="76"/>
      <c r="E1118" s="76" t="s">
        <v>9875</v>
      </c>
      <c r="F1118" s="762"/>
      <c r="G1118" s="762"/>
      <c r="H1118" s="762"/>
      <c r="I1118" s="762"/>
      <c r="J1118" s="76" t="s">
        <v>114</v>
      </c>
      <c r="K1118" s="76"/>
      <c r="L1118" s="1160" t="s">
        <v>12014</v>
      </c>
      <c r="M1118" s="109" t="s">
        <v>60</v>
      </c>
      <c r="N1118" s="157" t="s">
        <v>12019</v>
      </c>
      <c r="O1118" s="76" t="s">
        <v>416</v>
      </c>
      <c r="P1118" s="523">
        <v>28930.0</v>
      </c>
      <c r="Q1118" s="315">
        <f t="shared" si="135"/>
        <v>28930</v>
      </c>
      <c r="R1118" s="86">
        <f t="shared" si="136"/>
        <v>47</v>
      </c>
      <c r="S1118" s="76">
        <v>2.892909874E9</v>
      </c>
      <c r="T1118" s="315"/>
      <c r="U1118" s="76" t="s">
        <v>261</v>
      </c>
      <c r="V1118" s="76" t="s">
        <v>350</v>
      </c>
      <c r="W1118" s="76" t="s">
        <v>227</v>
      </c>
      <c r="X1118" s="76" t="s">
        <v>186</v>
      </c>
      <c r="Y1118" s="97"/>
      <c r="Z1118" s="501" t="s">
        <v>418</v>
      </c>
      <c r="AA1118" s="76"/>
      <c r="AB1118" s="76"/>
      <c r="AC1118" s="76"/>
      <c r="AD1118" s="76"/>
      <c r="AE1118" s="76" t="s">
        <v>259</v>
      </c>
      <c r="AF1118" s="76"/>
      <c r="AG1118" s="76"/>
      <c r="AH1118" s="76"/>
      <c r="AI1118" s="763"/>
      <c r="AJ1118" s="763"/>
      <c r="AK1118" s="763"/>
      <c r="AL1118" s="763"/>
      <c r="AM1118" s="763"/>
      <c r="AN1118" s="763"/>
      <c r="AO1118" s="763"/>
      <c r="AP1118" s="763"/>
      <c r="AQ1118" s="763"/>
      <c r="AR1118" s="763"/>
      <c r="AS1118" s="763"/>
      <c r="AT1118" s="763"/>
    </row>
    <row r="1119">
      <c r="A1119" s="76" t="s">
        <v>116</v>
      </c>
      <c r="B1119" s="77" t="s">
        <v>1039</v>
      </c>
      <c r="C1119" s="77" t="s">
        <v>1269</v>
      </c>
      <c r="D1119" s="77" t="s">
        <v>1368</v>
      </c>
      <c r="E1119" s="78" t="s">
        <v>460</v>
      </c>
      <c r="F1119" s="80" t="s">
        <v>1435</v>
      </c>
      <c r="G1119" s="77" t="s">
        <v>1436</v>
      </c>
      <c r="H1119" s="77" t="s">
        <v>326</v>
      </c>
      <c r="I1119" s="87" t="s">
        <v>1221</v>
      </c>
      <c r="J1119" s="76" t="s">
        <v>114</v>
      </c>
      <c r="K1119" s="76"/>
      <c r="L1119" s="318"/>
      <c r="M1119" s="85" t="s">
        <v>60</v>
      </c>
      <c r="N1119" s="286" t="s">
        <v>12020</v>
      </c>
      <c r="O1119" s="76" t="s">
        <v>6883</v>
      </c>
      <c r="P1119" s="523">
        <v>29967.0</v>
      </c>
      <c r="Q1119" s="315">
        <f t="shared" si="135"/>
        <v>1</v>
      </c>
      <c r="R1119" s="86">
        <f t="shared" si="136"/>
        <v>44</v>
      </c>
      <c r="S1119" s="76"/>
      <c r="T1119" s="315"/>
      <c r="U1119" s="76" t="s">
        <v>136</v>
      </c>
      <c r="V1119" s="76"/>
      <c r="W1119" s="76"/>
      <c r="X1119" s="76" t="s">
        <v>186</v>
      </c>
      <c r="Y1119" s="97"/>
      <c r="Z1119" s="85" t="s">
        <v>1755</v>
      </c>
      <c r="AA1119" s="76" t="s">
        <v>1178</v>
      </c>
      <c r="AB1119" s="76"/>
      <c r="AC1119" s="76"/>
      <c r="AD1119" s="76"/>
      <c r="AE1119" s="76"/>
      <c r="AF1119" s="76" t="s">
        <v>12021</v>
      </c>
      <c r="AG1119" s="189"/>
      <c r="AH1119" s="76" t="s">
        <v>11884</v>
      </c>
      <c r="AI1119" s="763"/>
      <c r="AJ1119" s="763"/>
      <c r="AK1119" s="763"/>
      <c r="AL1119" s="763"/>
      <c r="AM1119" s="763"/>
      <c r="AN1119" s="763"/>
      <c r="AO1119" s="763"/>
      <c r="AP1119" s="763"/>
      <c r="AQ1119" s="763"/>
      <c r="AR1119" s="763"/>
      <c r="AS1119" s="763"/>
      <c r="AT1119" s="763"/>
    </row>
    <row r="1120">
      <c r="A1120" s="76" t="s">
        <v>116</v>
      </c>
      <c r="B1120" s="77" t="s">
        <v>1645</v>
      </c>
      <c r="C1120" s="77" t="s">
        <v>1517</v>
      </c>
      <c r="D1120" s="77" t="s">
        <v>1519</v>
      </c>
      <c r="E1120" s="78" t="s">
        <v>302</v>
      </c>
      <c r="F1120" s="80" t="s">
        <v>1404</v>
      </c>
      <c r="G1120" s="77" t="s">
        <v>4403</v>
      </c>
      <c r="H1120" s="77" t="s">
        <v>326</v>
      </c>
      <c r="I1120" s="87" t="s">
        <v>1221</v>
      </c>
      <c r="J1120" s="109" t="s">
        <v>114</v>
      </c>
      <c r="K1120" s="87"/>
      <c r="L1120" s="87"/>
      <c r="M1120" s="87" t="s">
        <v>60</v>
      </c>
      <c r="N1120" s="332" t="s">
        <v>2308</v>
      </c>
      <c r="O1120" s="109" t="s">
        <v>2309</v>
      </c>
      <c r="P1120" s="1089">
        <v>30942.0</v>
      </c>
      <c r="Q1120" s="315">
        <f t="shared" si="135"/>
        <v>30942</v>
      </c>
      <c r="R1120" s="86">
        <f t="shared" si="136"/>
        <v>41</v>
      </c>
      <c r="S1120" s="76">
        <v>3.094116615E9</v>
      </c>
      <c r="T1120" s="315"/>
      <c r="U1120" s="224" t="s">
        <v>136</v>
      </c>
      <c r="V1120" s="86"/>
      <c r="W1120" s="97"/>
      <c r="X1120" s="97"/>
      <c r="Y1120" s="97"/>
      <c r="Z1120" s="97"/>
      <c r="AA1120" s="97"/>
      <c r="AB1120" s="97"/>
      <c r="AC1120" s="97"/>
      <c r="AD1120" s="99"/>
      <c r="AE1120" s="97"/>
      <c r="AF1120" s="99" t="s">
        <v>155</v>
      </c>
      <c r="AG1120" s="76" t="s">
        <v>697</v>
      </c>
      <c r="AH1120" s="76" t="s">
        <v>12022</v>
      </c>
      <c r="AI1120" s="763"/>
      <c r="AJ1120" s="763"/>
      <c r="AK1120" s="763"/>
      <c r="AL1120" s="763"/>
      <c r="AM1120" s="763"/>
      <c r="AN1120" s="763"/>
      <c r="AO1120" s="763"/>
      <c r="AP1120" s="763"/>
      <c r="AQ1120" s="763"/>
      <c r="AR1120" s="763"/>
      <c r="AS1120" s="763"/>
      <c r="AT1120" s="763"/>
    </row>
    <row r="1121">
      <c r="A1121" s="76" t="s">
        <v>116</v>
      </c>
      <c r="B1121" s="77" t="s">
        <v>1709</v>
      </c>
      <c r="C1121" s="77" t="s">
        <v>1269</v>
      </c>
      <c r="D1121" s="77" t="s">
        <v>1368</v>
      </c>
      <c r="E1121" s="78" t="s">
        <v>187</v>
      </c>
      <c r="F1121" s="80" t="s">
        <v>1469</v>
      </c>
      <c r="G1121" s="77" t="s">
        <v>1139</v>
      </c>
      <c r="H1121" s="77" t="s">
        <v>60</v>
      </c>
      <c r="I1121" s="87" t="s">
        <v>1221</v>
      </c>
      <c r="AI1121" s="763"/>
      <c r="AJ1121" s="763"/>
      <c r="AK1121" s="763"/>
      <c r="AL1121" s="763"/>
      <c r="AM1121" s="763"/>
      <c r="AN1121" s="763"/>
      <c r="AO1121" s="763"/>
      <c r="AP1121" s="763"/>
      <c r="AQ1121" s="763"/>
      <c r="AR1121" s="763"/>
      <c r="AS1121" s="763"/>
      <c r="AT1121" s="763"/>
    </row>
    <row r="1122">
      <c r="A1122" s="76" t="s">
        <v>116</v>
      </c>
      <c r="B1122" s="77" t="s">
        <v>3307</v>
      </c>
      <c r="C1122" s="77" t="s">
        <v>121</v>
      </c>
      <c r="D1122" s="77" t="s">
        <v>121</v>
      </c>
      <c r="E1122" s="78" t="s">
        <v>295</v>
      </c>
      <c r="F1122" s="80" t="s">
        <v>1241</v>
      </c>
      <c r="G1122" s="77" t="s">
        <v>9867</v>
      </c>
      <c r="H1122" s="77" t="s">
        <v>60</v>
      </c>
      <c r="I1122" s="87" t="s">
        <v>1221</v>
      </c>
      <c r="J1122" s="76" t="s">
        <v>114</v>
      </c>
      <c r="K1122" s="176" t="s">
        <v>12023</v>
      </c>
      <c r="L1122" s="318"/>
      <c r="M1122" s="85" t="s">
        <v>60</v>
      </c>
      <c r="N1122" s="678" t="s">
        <v>8663</v>
      </c>
      <c r="O1122" s="76" t="s">
        <v>10580</v>
      </c>
      <c r="P1122" s="523">
        <v>29178.0</v>
      </c>
      <c r="Q1122" s="315">
        <f t="shared" ref="Q1122:Q1130" si="137">VALUE(LEFT(TEXT(S1122,0),5))+1</f>
        <v>29178</v>
      </c>
      <c r="R1122" s="86">
        <f t="shared" ref="R1122:R1130" si="138">DATEDIF($P1122,TODAY(),"Y")</f>
        <v>46</v>
      </c>
      <c r="S1122" s="76">
        <v>2.917720554E9</v>
      </c>
      <c r="T1122" s="315"/>
      <c r="U1122" s="76" t="s">
        <v>136</v>
      </c>
      <c r="V1122" s="76"/>
      <c r="W1122" s="76"/>
      <c r="X1122" s="76"/>
      <c r="Y1122" s="97"/>
      <c r="Z1122" s="216" t="s">
        <v>1815</v>
      </c>
      <c r="AA1122" s="76"/>
      <c r="AB1122" s="97"/>
      <c r="AC1122" s="76"/>
      <c r="AD1122" s="76"/>
      <c r="AE1122" s="76"/>
      <c r="AF1122" s="76"/>
      <c r="AG1122" s="76" t="s">
        <v>1187</v>
      </c>
      <c r="AH1122" s="76" t="s">
        <v>12024</v>
      </c>
      <c r="AI1122" s="67"/>
      <c r="AJ1122" s="67"/>
      <c r="AK1122" s="70"/>
      <c r="AL1122" s="70"/>
      <c r="AM1122" s="135"/>
      <c r="AN1122" s="135"/>
      <c r="AO1122" s="70"/>
      <c r="AP1122" s="70"/>
      <c r="AQ1122" s="67"/>
      <c r="AR1122" s="67"/>
      <c r="AS1122" s="67"/>
      <c r="AT1122" s="67"/>
    </row>
    <row r="1123">
      <c r="A1123" s="76" t="s">
        <v>116</v>
      </c>
      <c r="B1123" s="77" t="s">
        <v>3423</v>
      </c>
      <c r="C1123" s="77" t="s">
        <v>3424</v>
      </c>
      <c r="D1123" s="77" t="s">
        <v>121</v>
      </c>
      <c r="E1123" s="78" t="s">
        <v>1536</v>
      </c>
      <c r="F1123" s="80" t="s">
        <v>9663</v>
      </c>
      <c r="G1123" s="77" t="s">
        <v>8880</v>
      </c>
      <c r="H1123" s="77" t="s">
        <v>326</v>
      </c>
      <c r="I1123" s="87" t="s">
        <v>1221</v>
      </c>
      <c r="J1123" s="85" t="s">
        <v>114</v>
      </c>
      <c r="K1123" s="288"/>
      <c r="L1123" s="76"/>
      <c r="M1123" s="85" t="s">
        <v>60</v>
      </c>
      <c r="N1123" s="286" t="s">
        <v>10585</v>
      </c>
      <c r="O1123" s="157" t="s">
        <v>3269</v>
      </c>
      <c r="P1123" s="523">
        <v>33021.0</v>
      </c>
      <c r="Q1123" s="315">
        <f t="shared" si="137"/>
        <v>33021</v>
      </c>
      <c r="R1123" s="86">
        <f t="shared" si="138"/>
        <v>36</v>
      </c>
      <c r="S1123" s="76">
        <v>3.302015951E9</v>
      </c>
      <c r="T1123" s="315"/>
      <c r="U1123" s="76" t="s">
        <v>136</v>
      </c>
      <c r="V1123" s="76"/>
      <c r="W1123" s="76"/>
      <c r="X1123" s="76"/>
      <c r="Y1123" s="97"/>
      <c r="Z1123" s="176" t="s">
        <v>1460</v>
      </c>
      <c r="AA1123" s="97"/>
      <c r="AB1123" s="76"/>
      <c r="AC1123" s="76"/>
      <c r="AD1123" s="76"/>
      <c r="AE1123" s="76"/>
      <c r="AF1123" s="76" t="s">
        <v>12025</v>
      </c>
      <c r="AG1123" s="76" t="s">
        <v>1187</v>
      </c>
      <c r="AH1123" s="76" t="s">
        <v>12026</v>
      </c>
      <c r="AI1123" s="67"/>
      <c r="AJ1123" s="67"/>
      <c r="AK1123" s="70"/>
      <c r="AL1123" s="70"/>
      <c r="AM1123" s="135"/>
      <c r="AN1123" s="135"/>
      <c r="AO1123" s="70"/>
      <c r="AP1123" s="70"/>
      <c r="AQ1123" s="67"/>
      <c r="AR1123" s="67"/>
      <c r="AS1123" s="67"/>
      <c r="AT1123" s="67"/>
    </row>
    <row r="1124">
      <c r="A1124" s="76" t="s">
        <v>116</v>
      </c>
      <c r="B1124" s="77" t="s">
        <v>3297</v>
      </c>
      <c r="C1124" s="77" t="s">
        <v>8546</v>
      </c>
      <c r="D1124" s="77" t="s">
        <v>121</v>
      </c>
      <c r="E1124" s="78" t="s">
        <v>1536</v>
      </c>
      <c r="F1124" s="80" t="s">
        <v>3299</v>
      </c>
      <c r="G1124" s="77" t="s">
        <v>1948</v>
      </c>
      <c r="H1124" s="77" t="s">
        <v>60</v>
      </c>
      <c r="I1124" s="87" t="s">
        <v>1221</v>
      </c>
      <c r="J1124" s="76" t="s">
        <v>114</v>
      </c>
      <c r="K1124" s="176" t="s">
        <v>12027</v>
      </c>
      <c r="L1124" s="318"/>
      <c r="M1124" s="85" t="s">
        <v>60</v>
      </c>
      <c r="N1124" s="678" t="s">
        <v>8604</v>
      </c>
      <c r="O1124" s="76" t="s">
        <v>9428</v>
      </c>
      <c r="P1124" s="523">
        <v>29692.0</v>
      </c>
      <c r="Q1124" s="315">
        <f t="shared" si="137"/>
        <v>29692</v>
      </c>
      <c r="R1124" s="86">
        <f t="shared" si="138"/>
        <v>45</v>
      </c>
      <c r="S1124" s="76">
        <v>2.969115971E9</v>
      </c>
      <c r="T1124" s="315"/>
      <c r="U1124" s="76" t="s">
        <v>136</v>
      </c>
      <c r="V1124" s="76"/>
      <c r="W1124" s="76"/>
      <c r="X1124" s="76"/>
      <c r="Y1124" s="97"/>
      <c r="Z1124" s="216" t="s">
        <v>2521</v>
      </c>
      <c r="AA1124" s="76"/>
      <c r="AB1124" s="97"/>
      <c r="AC1124" s="76"/>
      <c r="AD1124" s="76"/>
      <c r="AE1124" s="76"/>
      <c r="AF1124" s="76"/>
      <c r="AG1124" s="76" t="s">
        <v>5572</v>
      </c>
      <c r="AH1124" s="153">
        <v>46195.0</v>
      </c>
      <c r="AI1124" s="67"/>
      <c r="AJ1124" s="67"/>
      <c r="AK1124" s="70"/>
      <c r="AL1124" s="70"/>
      <c r="AM1124" s="135"/>
      <c r="AN1124" s="135"/>
      <c r="AO1124" s="70"/>
      <c r="AP1124" s="70"/>
      <c r="AQ1124" s="67"/>
      <c r="AR1124" s="67"/>
      <c r="AS1124" s="67"/>
      <c r="AT1124" s="67"/>
    </row>
    <row r="1125">
      <c r="A1125" s="76" t="s">
        <v>116</v>
      </c>
      <c r="B1125" s="77" t="s">
        <v>3722</v>
      </c>
      <c r="C1125" s="77" t="s">
        <v>7267</v>
      </c>
      <c r="D1125" s="77" t="s">
        <v>7134</v>
      </c>
      <c r="E1125" s="78" t="s">
        <v>1431</v>
      </c>
      <c r="F1125" s="80" t="s">
        <v>1437</v>
      </c>
      <c r="G1125" s="77" t="s">
        <v>7423</v>
      </c>
      <c r="H1125" s="77" t="s">
        <v>60</v>
      </c>
      <c r="I1125" s="87" t="s">
        <v>1221</v>
      </c>
      <c r="J1125" s="76" t="s">
        <v>114</v>
      </c>
      <c r="K1125" s="176" t="s">
        <v>12028</v>
      </c>
      <c r="L1125" s="85"/>
      <c r="M1125" s="85" t="s">
        <v>60</v>
      </c>
      <c r="N1125" s="332" t="s">
        <v>9636</v>
      </c>
      <c r="O1125" s="27" t="s">
        <v>9638</v>
      </c>
      <c r="P1125" s="825">
        <v>28815.0</v>
      </c>
      <c r="Q1125" s="315">
        <f t="shared" si="137"/>
        <v>28815</v>
      </c>
      <c r="R1125" s="97">
        <f t="shared" si="138"/>
        <v>47</v>
      </c>
      <c r="S1125" s="76">
        <v>2.88141479E9</v>
      </c>
      <c r="T1125" s="315" t="s">
        <v>378</v>
      </c>
      <c r="U1125" s="76" t="s">
        <v>136</v>
      </c>
      <c r="V1125" s="76"/>
      <c r="W1125" s="97"/>
      <c r="X1125" s="76"/>
      <c r="Y1125" s="97"/>
      <c r="Z1125" s="278" t="s">
        <v>1613</v>
      </c>
      <c r="AA1125" s="76"/>
      <c r="AB1125" s="97"/>
      <c r="AC1125" s="76"/>
      <c r="AD1125" s="99"/>
      <c r="AE1125" s="76"/>
      <c r="AF1125" s="76" t="s">
        <v>155</v>
      </c>
      <c r="AG1125" s="76" t="s">
        <v>1187</v>
      </c>
      <c r="AH1125" s="76" t="s">
        <v>12029</v>
      </c>
      <c r="AI1125" s="763"/>
      <c r="AJ1125" s="763"/>
      <c r="AK1125" s="763"/>
      <c r="AL1125" s="763"/>
      <c r="AM1125" s="763"/>
      <c r="AN1125" s="763"/>
      <c r="AO1125" s="763"/>
      <c r="AP1125" s="763"/>
      <c r="AQ1125" s="763"/>
      <c r="AR1125" s="763"/>
      <c r="AS1125" s="763"/>
      <c r="AT1125" s="763"/>
    </row>
    <row r="1126">
      <c r="A1126" s="76" t="s">
        <v>116</v>
      </c>
      <c r="B1126" s="77" t="s">
        <v>1039</v>
      </c>
      <c r="C1126" s="77" t="s">
        <v>1269</v>
      </c>
      <c r="D1126" s="77" t="s">
        <v>1368</v>
      </c>
      <c r="E1126" s="78" t="s">
        <v>58</v>
      </c>
      <c r="F1126" s="80" t="s">
        <v>1496</v>
      </c>
      <c r="G1126" s="77" t="s">
        <v>330</v>
      </c>
      <c r="H1126" s="77" t="s">
        <v>60</v>
      </c>
      <c r="I1126" s="87" t="s">
        <v>1221</v>
      </c>
      <c r="J1126" s="85" t="s">
        <v>114</v>
      </c>
      <c r="K1126" s="176" t="s">
        <v>12030</v>
      </c>
      <c r="L1126" s="76"/>
      <c r="M1126" s="85" t="s">
        <v>60</v>
      </c>
      <c r="N1126" s="76" t="s">
        <v>12031</v>
      </c>
      <c r="O1126" s="76" t="s">
        <v>12032</v>
      </c>
      <c r="P1126" s="523">
        <v>32564.0</v>
      </c>
      <c r="Q1126" s="315">
        <f t="shared" si="137"/>
        <v>32564</v>
      </c>
      <c r="R1126" s="86">
        <f t="shared" si="138"/>
        <v>37</v>
      </c>
      <c r="S1126" s="76">
        <v>3.256312417E9</v>
      </c>
      <c r="T1126" s="86"/>
      <c r="U1126" s="76" t="s">
        <v>379</v>
      </c>
      <c r="V1126" s="76"/>
      <c r="W1126" s="76"/>
      <c r="X1126" s="76"/>
      <c r="Y1126" s="167"/>
      <c r="Z1126" s="234" t="s">
        <v>1351</v>
      </c>
      <c r="AA1126" s="168"/>
      <c r="AB1126" s="97"/>
      <c r="AC1126" s="76" t="s">
        <v>12033</v>
      </c>
      <c r="AD1126" s="168"/>
      <c r="AE1126" s="76"/>
      <c r="AF1126" s="76"/>
      <c r="AG1126" s="76"/>
      <c r="AH1126" s="76" t="s">
        <v>12034</v>
      </c>
      <c r="AI1126" s="67"/>
      <c r="AJ1126" s="67"/>
      <c r="AK1126" s="70"/>
      <c r="AL1126" s="70"/>
      <c r="AM1126" s="135"/>
      <c r="AN1126" s="135"/>
      <c r="AO1126" s="70"/>
      <c r="AP1126" s="70"/>
      <c r="AQ1126" s="67"/>
      <c r="AR1126" s="67"/>
      <c r="AS1126" s="67"/>
      <c r="AT1126" s="67"/>
    </row>
    <row r="1127">
      <c r="A1127" s="76" t="s">
        <v>116</v>
      </c>
      <c r="B1127" s="77" t="s">
        <v>1645</v>
      </c>
      <c r="C1127" s="77" t="s">
        <v>1269</v>
      </c>
      <c r="D1127" s="77" t="s">
        <v>1519</v>
      </c>
      <c r="E1127" s="78" t="s">
        <v>213</v>
      </c>
      <c r="F1127" s="80" t="s">
        <v>1523</v>
      </c>
      <c r="G1127" s="77" t="s">
        <v>885</v>
      </c>
      <c r="H1127" s="77" t="s">
        <v>60</v>
      </c>
      <c r="I1127" s="87" t="s">
        <v>1221</v>
      </c>
      <c r="J1127" s="85" t="s">
        <v>114</v>
      </c>
      <c r="K1127" s="85"/>
      <c r="L1127" s="85"/>
      <c r="M1127" s="85" t="s">
        <v>60</v>
      </c>
      <c r="N1127" s="287" t="s">
        <v>883</v>
      </c>
      <c r="O1127" s="76" t="s">
        <v>884</v>
      </c>
      <c r="P1127" s="523">
        <v>31018.0</v>
      </c>
      <c r="Q1127" s="315">
        <f t="shared" si="137"/>
        <v>31018</v>
      </c>
      <c r="R1127" s="97">
        <f t="shared" si="138"/>
        <v>41</v>
      </c>
      <c r="S1127" s="76">
        <v>3.10172095E9</v>
      </c>
      <c r="T1127" s="315"/>
      <c r="U1127" s="76" t="s">
        <v>136</v>
      </c>
      <c r="V1127" s="76"/>
      <c r="W1127" s="76"/>
      <c r="X1127" s="76"/>
      <c r="Y1127" s="97" t="s">
        <v>183</v>
      </c>
      <c r="Z1127" s="278" t="s">
        <v>1613</v>
      </c>
      <c r="AA1127" s="76" t="s">
        <v>1178</v>
      </c>
      <c r="AB1127" s="76"/>
      <c r="AC1127" s="76"/>
      <c r="AD1127" s="99"/>
      <c r="AE1127" s="76"/>
      <c r="AF1127" s="76"/>
      <c r="AG1127" s="76"/>
      <c r="AH1127" s="153">
        <v>46203.0</v>
      </c>
      <c r="AI1127" s="67"/>
      <c r="AJ1127" s="67"/>
      <c r="AK1127" s="70"/>
      <c r="AL1127" s="70"/>
      <c r="AM1127" s="135"/>
      <c r="AN1127" s="135"/>
      <c r="AO1127" s="70"/>
      <c r="AP1127" s="70"/>
      <c r="AQ1127" s="67"/>
      <c r="AR1127" s="67"/>
      <c r="AS1127" s="67"/>
      <c r="AT1127" s="67"/>
    </row>
    <row r="1128">
      <c r="A1128" s="76" t="s">
        <v>116</v>
      </c>
      <c r="B1128" s="77" t="s">
        <v>1645</v>
      </c>
      <c r="C1128" s="77" t="s">
        <v>1611</v>
      </c>
      <c r="D1128" s="77" t="s">
        <v>1519</v>
      </c>
      <c r="E1128" s="78" t="s">
        <v>139</v>
      </c>
      <c r="F1128" s="80" t="s">
        <v>1520</v>
      </c>
      <c r="G1128" s="77" t="s">
        <v>5000</v>
      </c>
      <c r="H1128" s="77" t="s">
        <v>60</v>
      </c>
      <c r="I1128" s="87" t="s">
        <v>1221</v>
      </c>
      <c r="J1128" s="76" t="s">
        <v>114</v>
      </c>
      <c r="K1128" s="76"/>
      <c r="L1128" s="47"/>
      <c r="M1128" s="85" t="s">
        <v>60</v>
      </c>
      <c r="N1128" s="286" t="s">
        <v>10202</v>
      </c>
      <c r="O1128" s="320" t="s">
        <v>10203</v>
      </c>
      <c r="P1128" s="523">
        <v>32506.0</v>
      </c>
      <c r="Q1128" s="315">
        <f t="shared" si="137"/>
        <v>1</v>
      </c>
      <c r="R1128" s="86">
        <f t="shared" si="138"/>
        <v>37</v>
      </c>
      <c r="S1128" s="76"/>
      <c r="T1128" s="315"/>
      <c r="U1128" s="76" t="s">
        <v>136</v>
      </c>
      <c r="V1128" s="76"/>
      <c r="W1128" s="76"/>
      <c r="X1128" s="76"/>
      <c r="Y1128" s="276" t="s">
        <v>2344</v>
      </c>
      <c r="Z1128" s="85"/>
      <c r="AA1128" s="76" t="s">
        <v>1178</v>
      </c>
      <c r="AB1128" s="97"/>
      <c r="AC1128" s="76" t="s">
        <v>1032</v>
      </c>
      <c r="AD1128" s="76"/>
      <c r="AE1128" s="76"/>
      <c r="AF1128" s="76" t="s">
        <v>1819</v>
      </c>
      <c r="AG1128" s="76" t="s">
        <v>12035</v>
      </c>
      <c r="AH1128" s="76" t="s">
        <v>12036</v>
      </c>
      <c r="AI1128" s="67"/>
      <c r="AJ1128" s="67"/>
      <c r="AK1128" s="70"/>
      <c r="AL1128" s="70"/>
      <c r="AM1128" s="135"/>
      <c r="AN1128" s="135"/>
      <c r="AO1128" s="70"/>
      <c r="AP1128" s="70"/>
      <c r="AQ1128" s="67"/>
      <c r="AR1128" s="67"/>
      <c r="AS1128" s="67"/>
      <c r="AT1128" s="67"/>
    </row>
    <row r="1129">
      <c r="A1129" s="76" t="s">
        <v>116</v>
      </c>
      <c r="B1129" s="77" t="s">
        <v>3454</v>
      </c>
      <c r="C1129" s="77" t="s">
        <v>10223</v>
      </c>
      <c r="D1129" s="77" t="s">
        <v>121</v>
      </c>
      <c r="E1129" s="78" t="s">
        <v>201</v>
      </c>
      <c r="F1129" s="80" t="s">
        <v>1849</v>
      </c>
      <c r="G1129" s="77" t="s">
        <v>10246</v>
      </c>
      <c r="H1129" s="77" t="s">
        <v>60</v>
      </c>
      <c r="I1129" s="87" t="s">
        <v>1221</v>
      </c>
      <c r="J1129" s="109" t="s">
        <v>114</v>
      </c>
      <c r="K1129" s="87"/>
      <c r="L1129" s="87"/>
      <c r="M1129" s="87" t="s">
        <v>60</v>
      </c>
      <c r="N1129" s="76" t="s">
        <v>12037</v>
      </c>
      <c r="O1129" s="109" t="s">
        <v>12038</v>
      </c>
      <c r="P1129" s="1089">
        <v>33584.0</v>
      </c>
      <c r="Q1129" s="315">
        <f t="shared" si="137"/>
        <v>33584</v>
      </c>
      <c r="R1129" s="86">
        <f t="shared" si="138"/>
        <v>34</v>
      </c>
      <c r="S1129" s="315">
        <v>3.358314416E9</v>
      </c>
      <c r="T1129" s="315"/>
      <c r="U1129" s="291" t="s">
        <v>379</v>
      </c>
      <c r="V1129" s="86"/>
      <c r="W1129" s="97"/>
      <c r="X1129" s="97"/>
      <c r="Y1129" s="97"/>
      <c r="Z1129" s="97"/>
      <c r="AA1129" s="97"/>
      <c r="AB1129" s="97"/>
      <c r="AC1129" s="99" t="s">
        <v>9293</v>
      </c>
      <c r="AD1129" s="76" t="s">
        <v>2876</v>
      </c>
      <c r="AE1129" s="97" t="s">
        <v>291</v>
      </c>
      <c r="AF1129" s="99"/>
      <c r="AG1129" s="112"/>
      <c r="AH1129" s="97"/>
      <c r="AI1129" s="67"/>
      <c r="AJ1129" s="67"/>
      <c r="AK1129" s="70"/>
      <c r="AL1129" s="70"/>
      <c r="AM1129" s="135"/>
      <c r="AN1129" s="135"/>
      <c r="AO1129" s="70"/>
      <c r="AP1129" s="70"/>
      <c r="AQ1129" s="67"/>
      <c r="AR1129" s="67"/>
      <c r="AS1129" s="67"/>
      <c r="AT1129" s="67"/>
    </row>
    <row r="1130">
      <c r="A1130" s="86"/>
      <c r="B1130" s="302" t="s">
        <v>145</v>
      </c>
      <c r="C1130" s="523">
        <v>46019.0</v>
      </c>
      <c r="D1130" s="86"/>
      <c r="E1130" s="1161"/>
      <c r="F1130" s="86"/>
      <c r="G1130" s="86"/>
      <c r="H1130" s="86"/>
      <c r="I1130" s="86"/>
      <c r="J1130" s="76"/>
      <c r="K1130" s="85"/>
      <c r="L1130" s="85"/>
      <c r="M1130" s="211" t="s">
        <v>60</v>
      </c>
      <c r="N1130" s="160" t="s">
        <v>12039</v>
      </c>
      <c r="O1130" s="514" t="s">
        <v>3275</v>
      </c>
      <c r="P1130" s="1162"/>
      <c r="Q1130" s="315">
        <f t="shared" si="137"/>
        <v>1</v>
      </c>
      <c r="R1130" s="97">
        <f t="shared" si="138"/>
        <v>126</v>
      </c>
      <c r="S1130" s="315"/>
      <c r="T1130" s="315"/>
      <c r="U1130" s="291" t="s">
        <v>379</v>
      </c>
      <c r="V1130" s="76"/>
      <c r="W1130" s="76"/>
      <c r="X1130" s="76" t="s">
        <v>145</v>
      </c>
      <c r="Y1130" s="97" t="s">
        <v>1174</v>
      </c>
      <c r="Z1130" s="728" t="s">
        <v>2482</v>
      </c>
      <c r="AA1130" s="97" t="s">
        <v>185</v>
      </c>
      <c r="AB1130" s="97"/>
      <c r="AC1130" s="160" t="s">
        <v>630</v>
      </c>
      <c r="AD1130" s="99"/>
      <c r="AE1130" s="76"/>
      <c r="AF1130" s="160" t="s">
        <v>630</v>
      </c>
      <c r="AG1130" s="76"/>
      <c r="AH1130" s="1163" t="s">
        <v>12040</v>
      </c>
      <c r="AI1130" s="67"/>
      <c r="AJ1130" s="67"/>
      <c r="AK1130" s="67"/>
      <c r="AL1130" s="67"/>
      <c r="AM1130" s="67"/>
      <c r="AN1130" s="67"/>
      <c r="AO1130" s="67"/>
      <c r="AP1130" s="67"/>
      <c r="AQ1130" s="67"/>
      <c r="AR1130" s="67"/>
      <c r="AS1130" s="67"/>
      <c r="AT1130" s="67"/>
    </row>
    <row r="1131">
      <c r="A1131" s="86"/>
      <c r="B1131" s="302" t="s">
        <v>4145</v>
      </c>
      <c r="C1131" s="1036" t="s">
        <v>12041</v>
      </c>
      <c r="D1131" s="76"/>
      <c r="E1131" s="76" t="s">
        <v>9875</v>
      </c>
      <c r="F1131" s="762"/>
      <c r="G1131" s="762"/>
      <c r="H1131" s="762"/>
      <c r="I1131" s="762"/>
      <c r="J1131" s="76" t="s">
        <v>114</v>
      </c>
      <c r="K1131" s="76"/>
      <c r="L1131" s="47" t="s">
        <v>3780</v>
      </c>
      <c r="M1131" s="109" t="s">
        <v>60</v>
      </c>
      <c r="N1131" s="157" t="s">
        <v>7196</v>
      </c>
      <c r="O1131" s="76" t="s">
        <v>12042</v>
      </c>
      <c r="P1131" s="523">
        <v>31386.0</v>
      </c>
      <c r="Q1131" s="315"/>
      <c r="R1131" s="86"/>
      <c r="S1131" s="76"/>
      <c r="T1131" s="315"/>
      <c r="U1131" s="76" t="s">
        <v>379</v>
      </c>
      <c r="V1131" s="76" t="s">
        <v>350</v>
      </c>
      <c r="W1131" s="76"/>
      <c r="X1131" s="76"/>
      <c r="Y1131" s="97"/>
      <c r="Z1131" s="289" t="s">
        <v>2482</v>
      </c>
      <c r="AA1131" s="76"/>
      <c r="AB1131" s="76"/>
      <c r="AC1131" s="76" t="s">
        <v>3780</v>
      </c>
      <c r="AD1131" s="76"/>
      <c r="AE1131" s="76"/>
      <c r="AF1131" s="76"/>
      <c r="AG1131" s="76"/>
      <c r="AH1131" s="76"/>
      <c r="AI1131" s="763"/>
      <c r="AJ1131" s="763"/>
      <c r="AK1131" s="763"/>
      <c r="AL1131" s="763"/>
      <c r="AM1131" s="763"/>
      <c r="AN1131" s="763"/>
      <c r="AO1131" s="763"/>
      <c r="AP1131" s="763"/>
      <c r="AQ1131" s="763"/>
      <c r="AR1131" s="763"/>
      <c r="AS1131" s="763"/>
      <c r="AT1131" s="763"/>
    </row>
    <row r="1132">
      <c r="A1132" s="86"/>
      <c r="B1132" s="302" t="s">
        <v>4145</v>
      </c>
      <c r="C1132" s="1036" t="s">
        <v>12043</v>
      </c>
      <c r="D1132" s="76"/>
      <c r="E1132" s="76" t="s">
        <v>9875</v>
      </c>
      <c r="F1132" s="762"/>
      <c r="G1132" s="762"/>
      <c r="H1132" s="762"/>
      <c r="I1132" s="762"/>
      <c r="J1132" s="76" t="s">
        <v>114</v>
      </c>
      <c r="K1132" s="76"/>
      <c r="L1132" s="47" t="s">
        <v>3780</v>
      </c>
      <c r="M1132" s="109" t="s">
        <v>60</v>
      </c>
      <c r="N1132" s="157" t="s">
        <v>12044</v>
      </c>
      <c r="O1132" s="76" t="s">
        <v>12045</v>
      </c>
      <c r="P1132" s="523">
        <v>27928.0</v>
      </c>
      <c r="Q1132" s="315">
        <f t="shared" ref="Q1132:Q1136" si="139">VALUE(LEFT(TEXT(S1132,0),5))+1</f>
        <v>27928</v>
      </c>
      <c r="R1132" s="86">
        <f t="shared" ref="R1132:R1136" si="140">DATEDIF($P1132,TODAY(),"Y")</f>
        <v>50</v>
      </c>
      <c r="S1132" s="76">
        <v>2.792708651E9</v>
      </c>
      <c r="T1132" s="76" t="s">
        <v>1317</v>
      </c>
      <c r="U1132" s="76" t="s">
        <v>379</v>
      </c>
      <c r="V1132" s="76" t="s">
        <v>350</v>
      </c>
      <c r="W1132" s="76"/>
      <c r="X1132" s="76"/>
      <c r="Y1132" s="97"/>
      <c r="Z1132" s="216" t="s">
        <v>2155</v>
      </c>
      <c r="AA1132" s="76"/>
      <c r="AB1132" s="76"/>
      <c r="AC1132" s="76" t="s">
        <v>3780</v>
      </c>
      <c r="AD1132" s="76"/>
      <c r="AE1132" s="76"/>
      <c r="AF1132" s="76"/>
      <c r="AG1132" s="76"/>
      <c r="AH1132" s="76"/>
      <c r="AI1132" s="763"/>
      <c r="AJ1132" s="763"/>
      <c r="AK1132" s="763"/>
      <c r="AL1132" s="763"/>
      <c r="AM1132" s="763"/>
      <c r="AN1132" s="763"/>
      <c r="AO1132" s="763"/>
      <c r="AP1132" s="763"/>
      <c r="AQ1132" s="763"/>
      <c r="AR1132" s="763"/>
      <c r="AS1132" s="763"/>
      <c r="AT1132" s="763"/>
    </row>
    <row r="1133">
      <c r="A1133" s="86"/>
      <c r="B1133" s="966" t="s">
        <v>4145</v>
      </c>
      <c r="C1133" s="97"/>
      <c r="D1133" s="86"/>
      <c r="E1133" s="1164">
        <v>46047.0</v>
      </c>
      <c r="F1133" s="86"/>
      <c r="G1133" s="86"/>
      <c r="H1133" s="86"/>
      <c r="I1133" s="1165"/>
      <c r="J1133" s="76" t="s">
        <v>114</v>
      </c>
      <c r="K1133" s="176" t="s">
        <v>12046</v>
      </c>
      <c r="L1133" s="1166"/>
      <c r="M1133" s="211" t="s">
        <v>60</v>
      </c>
      <c r="N1133" s="160" t="s">
        <v>12047</v>
      </c>
      <c r="O1133" s="27" t="s">
        <v>12048</v>
      </c>
      <c r="P1133" s="825">
        <v>31831.0</v>
      </c>
      <c r="Q1133" s="315">
        <f t="shared" si="139"/>
        <v>31831</v>
      </c>
      <c r="R1133" s="97">
        <f t="shared" si="140"/>
        <v>39</v>
      </c>
      <c r="S1133" s="76">
        <v>3.183019151E9</v>
      </c>
      <c r="T1133" s="315"/>
      <c r="U1133" s="76" t="s">
        <v>379</v>
      </c>
      <c r="V1133" s="76"/>
      <c r="W1133" s="97"/>
      <c r="X1133" s="76"/>
      <c r="Y1133" s="97"/>
      <c r="Z1133" s="176" t="s">
        <v>1460</v>
      </c>
      <c r="AA1133" s="76"/>
      <c r="AB1133" s="97"/>
      <c r="AC1133" s="160" t="s">
        <v>630</v>
      </c>
      <c r="AD1133" s="99"/>
      <c r="AE1133" s="76"/>
      <c r="AF1133" s="160" t="s">
        <v>630</v>
      </c>
      <c r="AG1133" s="76" t="s">
        <v>10199</v>
      </c>
      <c r="AH1133" s="76" t="s">
        <v>12049</v>
      </c>
      <c r="AI1133" s="763"/>
      <c r="AJ1133" s="763"/>
      <c r="AK1133" s="763"/>
      <c r="AL1133" s="763"/>
      <c r="AM1133" s="763"/>
      <c r="AN1133" s="763"/>
      <c r="AO1133" s="763"/>
      <c r="AP1133" s="763"/>
      <c r="AQ1133" s="763"/>
      <c r="AR1133" s="763"/>
      <c r="AS1133" s="763"/>
      <c r="AT1133" s="763"/>
    </row>
    <row r="1134">
      <c r="A1134" s="76">
        <v>425.0</v>
      </c>
      <c r="B1134" s="302" t="s">
        <v>4145</v>
      </c>
      <c r="C1134" s="86"/>
      <c r="D1134" s="86"/>
      <c r="E1134" s="746"/>
      <c r="F1134" s="747" t="s">
        <v>9312</v>
      </c>
      <c r="G1134" s="97" t="s">
        <v>102</v>
      </c>
      <c r="H1134" s="817" t="s">
        <v>3336</v>
      </c>
      <c r="I1134" s="97" t="s">
        <v>1443</v>
      </c>
      <c r="J1134" s="109" t="s">
        <v>114</v>
      </c>
      <c r="K1134" s="109"/>
      <c r="L1134" s="109"/>
      <c r="M1134" s="109" t="s">
        <v>60</v>
      </c>
      <c r="N1134" s="97" t="s">
        <v>2881</v>
      </c>
      <c r="O1134" s="109" t="s">
        <v>2882</v>
      </c>
      <c r="P1134" s="1089">
        <v>28388.0</v>
      </c>
      <c r="Q1134" s="315">
        <f t="shared" si="139"/>
        <v>28388</v>
      </c>
      <c r="R1134" s="86">
        <f t="shared" si="140"/>
        <v>48</v>
      </c>
      <c r="S1134" s="315">
        <v>2.838701057E9</v>
      </c>
      <c r="T1134" s="315" t="s">
        <v>9639</v>
      </c>
      <c r="U1134" s="124" t="s">
        <v>565</v>
      </c>
      <c r="V1134" s="76"/>
      <c r="W1134" s="86"/>
      <c r="X1134" s="97"/>
      <c r="Y1134" s="97"/>
      <c r="Z1134" s="97"/>
      <c r="AA1134" s="97"/>
      <c r="AB1134" s="97"/>
      <c r="AC1134" s="97" t="s">
        <v>2876</v>
      </c>
      <c r="AD1134" s="97"/>
      <c r="AE1134" s="76"/>
      <c r="AF1134" s="97"/>
      <c r="AG1134" s="315"/>
      <c r="AH1134" s="76" t="s">
        <v>1153</v>
      </c>
      <c r="AI1134" s="67"/>
      <c r="AJ1134" s="67"/>
      <c r="AK1134" s="67"/>
      <c r="AL1134" s="67"/>
      <c r="AM1134" s="67"/>
      <c r="AN1134" s="67"/>
      <c r="AO1134" s="67"/>
      <c r="AP1134" s="67"/>
      <c r="AQ1134" s="67"/>
      <c r="AR1134" s="67"/>
      <c r="AS1134" s="67"/>
      <c r="AT1134" s="67"/>
    </row>
    <row r="1135">
      <c r="A1135" s="86"/>
      <c r="B1135" s="302" t="s">
        <v>4145</v>
      </c>
      <c r="C1135" s="523"/>
      <c r="D1135" s="86"/>
      <c r="E1135" s="574">
        <v>46077.0</v>
      </c>
      <c r="F1135" s="86"/>
      <c r="G1135" s="86"/>
      <c r="H1135" s="86"/>
      <c r="I1135" s="86"/>
      <c r="J1135" s="85" t="s">
        <v>114</v>
      </c>
      <c r="K1135" s="176" t="s">
        <v>12050</v>
      </c>
      <c r="L1135" s="76"/>
      <c r="M1135" s="85" t="s">
        <v>60</v>
      </c>
      <c r="N1135" s="76" t="s">
        <v>12051</v>
      </c>
      <c r="O1135" s="76" t="s">
        <v>12052</v>
      </c>
      <c r="P1135" s="523">
        <v>31984.0</v>
      </c>
      <c r="Q1135" s="315">
        <f t="shared" si="139"/>
        <v>31984</v>
      </c>
      <c r="R1135" s="86">
        <f t="shared" si="140"/>
        <v>39</v>
      </c>
      <c r="S1135" s="76">
        <v>3.19832269E9</v>
      </c>
      <c r="T1135" s="315" t="s">
        <v>1548</v>
      </c>
      <c r="U1135" s="76" t="s">
        <v>345</v>
      </c>
      <c r="V1135" s="76"/>
      <c r="W1135" s="76"/>
      <c r="X1135" s="76"/>
      <c r="Y1135" s="167"/>
      <c r="Z1135" s="234" t="s">
        <v>1351</v>
      </c>
      <c r="AA1135" s="168"/>
      <c r="AB1135" s="97"/>
      <c r="AC1135" s="168"/>
      <c r="AD1135" s="168"/>
      <c r="AE1135" s="76"/>
      <c r="AF1135" s="76"/>
      <c r="AG1135" s="76"/>
      <c r="AH1135" s="76"/>
      <c r="AI1135" s="67"/>
      <c r="AJ1135" s="67"/>
      <c r="AK1135" s="67"/>
      <c r="AL1135" s="67"/>
      <c r="AM1135" s="67"/>
      <c r="AN1135" s="67"/>
      <c r="AO1135" s="67"/>
      <c r="AP1135" s="67"/>
      <c r="AQ1135" s="67"/>
      <c r="AR1135" s="67"/>
      <c r="AS1135" s="67"/>
      <c r="AT1135" s="67"/>
    </row>
    <row r="1136">
      <c r="A1136" s="76" t="s">
        <v>116</v>
      </c>
      <c r="B1136" s="77" t="s">
        <v>1039</v>
      </c>
      <c r="C1136" s="77" t="s">
        <v>1728</v>
      </c>
      <c r="D1136" s="77" t="s">
        <v>121</v>
      </c>
      <c r="E1136" s="78" t="s">
        <v>331</v>
      </c>
      <c r="F1136" s="80" t="s">
        <v>1731</v>
      </c>
      <c r="G1136" s="77" t="s">
        <v>767</v>
      </c>
      <c r="H1136" s="77" t="s">
        <v>60</v>
      </c>
      <c r="I1136" s="87" t="s">
        <v>1221</v>
      </c>
      <c r="J1136" s="76" t="s">
        <v>114</v>
      </c>
      <c r="K1136" s="85"/>
      <c r="L1136" s="76"/>
      <c r="M1136" s="76" t="s">
        <v>60</v>
      </c>
      <c r="N1136" s="256" t="s">
        <v>10855</v>
      </c>
      <c r="O1136" s="76" t="s">
        <v>1391</v>
      </c>
      <c r="P1136" s="825">
        <v>29951.0</v>
      </c>
      <c r="Q1136" s="315">
        <f t="shared" si="139"/>
        <v>1</v>
      </c>
      <c r="R1136" s="97">
        <f t="shared" si="140"/>
        <v>44</v>
      </c>
      <c r="S1136" s="76"/>
      <c r="T1136" s="1167"/>
      <c r="U1136" s="76" t="s">
        <v>368</v>
      </c>
      <c r="V1136" s="76"/>
      <c r="W1136" s="76"/>
      <c r="X1136" s="368"/>
      <c r="Y1136" s="368"/>
      <c r="Z1136" s="216" t="s">
        <v>10546</v>
      </c>
      <c r="AA1136" s="368"/>
      <c r="AB1136" s="368"/>
      <c r="AC1136" s="368"/>
      <c r="AD1136" s="492"/>
      <c r="AE1136" s="76"/>
      <c r="AF1136" s="76" t="s">
        <v>12053</v>
      </c>
      <c r="AG1136" s="76" t="s">
        <v>1187</v>
      </c>
      <c r="AH1136" s="153">
        <v>46191.0</v>
      </c>
      <c r="AI1136" s="67"/>
      <c r="AJ1136" s="67"/>
      <c r="AK1136" s="70"/>
      <c r="AL1136" s="70"/>
      <c r="AM1136" s="135"/>
      <c r="AN1136" s="135"/>
      <c r="AO1136" s="70"/>
      <c r="AP1136" s="70"/>
      <c r="AQ1136" s="67"/>
      <c r="AR1136" s="67"/>
      <c r="AS1136" s="67"/>
      <c r="AT1136" s="67"/>
    </row>
    <row r="1137">
      <c r="A1137" s="76" t="s">
        <v>116</v>
      </c>
      <c r="B1137" s="77" t="s">
        <v>1645</v>
      </c>
      <c r="C1137" s="77" t="s">
        <v>1611</v>
      </c>
      <c r="D1137" s="77" t="s">
        <v>1368</v>
      </c>
      <c r="E1137" s="78" t="s">
        <v>212</v>
      </c>
      <c r="F1137" s="80" t="s">
        <v>2203</v>
      </c>
      <c r="G1137" s="77" t="s">
        <v>4638</v>
      </c>
      <c r="H1137" s="77" t="s">
        <v>326</v>
      </c>
      <c r="I1137" s="87" t="s">
        <v>1221</v>
      </c>
      <c r="J1137" s="76" t="s">
        <v>114</v>
      </c>
      <c r="K1137" s="288"/>
      <c r="L1137" s="76"/>
      <c r="M1137" s="85" t="s">
        <v>60</v>
      </c>
      <c r="N1137" s="286" t="s">
        <v>10497</v>
      </c>
      <c r="O1137" s="157" t="s">
        <v>652</v>
      </c>
      <c r="P1137" s="523"/>
      <c r="Q1137" s="315"/>
      <c r="R1137" s="86"/>
      <c r="S1137" s="76"/>
      <c r="T1137" s="315"/>
      <c r="U1137" s="76" t="s">
        <v>136</v>
      </c>
      <c r="V1137" s="76"/>
      <c r="W1137" s="76"/>
      <c r="X1137" s="76"/>
      <c r="Y1137" s="97"/>
      <c r="Z1137" s="278" t="s">
        <v>2090</v>
      </c>
      <c r="AA1137" s="97"/>
      <c r="AB1137" s="76"/>
      <c r="AC1137" s="76"/>
      <c r="AD1137" s="217">
        <v>46183.0</v>
      </c>
      <c r="AE1137" s="76"/>
      <c r="AF1137" s="76" t="s">
        <v>12054</v>
      </c>
      <c r="AG1137" s="76" t="s">
        <v>1187</v>
      </c>
      <c r="AH1137" s="76" t="s">
        <v>2572</v>
      </c>
      <c r="AI1137" s="67"/>
      <c r="AJ1137" s="67"/>
      <c r="AK1137" s="70"/>
      <c r="AL1137" s="70"/>
      <c r="AM1137" s="135"/>
      <c r="AN1137" s="135"/>
      <c r="AO1137" s="70"/>
      <c r="AP1137" s="70"/>
      <c r="AQ1137" s="67"/>
      <c r="AR1137" s="67"/>
      <c r="AS1137" s="67"/>
      <c r="AT1137" s="67"/>
    </row>
    <row r="1138">
      <c r="A1138" s="76" t="s">
        <v>116</v>
      </c>
      <c r="B1138" s="77" t="s">
        <v>1709</v>
      </c>
      <c r="C1138" s="77" t="s">
        <v>1269</v>
      </c>
      <c r="D1138" s="77" t="s">
        <v>1519</v>
      </c>
      <c r="E1138" s="78" t="s">
        <v>213</v>
      </c>
      <c r="F1138" s="80" t="s">
        <v>1523</v>
      </c>
      <c r="G1138" s="77" t="s">
        <v>1225</v>
      </c>
      <c r="H1138" s="77" t="s">
        <v>60</v>
      </c>
      <c r="I1138" s="87" t="s">
        <v>1221</v>
      </c>
      <c r="J1138" s="85" t="s">
        <v>114</v>
      </c>
      <c r="K1138" s="124" t="s">
        <v>12055</v>
      </c>
      <c r="L1138" s="310" t="s">
        <v>1330</v>
      </c>
      <c r="M1138" s="85" t="s">
        <v>60</v>
      </c>
      <c r="N1138" s="1060" t="s">
        <v>2625</v>
      </c>
      <c r="O1138" s="76" t="s">
        <v>2626</v>
      </c>
      <c r="P1138" s="523">
        <v>29221.0</v>
      </c>
      <c r="Q1138" s="315">
        <f>VALUE(LEFT(TEXT(S1138,0),5))+1</f>
        <v>29221</v>
      </c>
      <c r="R1138" s="86">
        <f>DATEDIF($P1138,TODAY(),"Y")</f>
        <v>46</v>
      </c>
      <c r="S1138" s="76">
        <v>2.922010056E9</v>
      </c>
      <c r="T1138" s="86"/>
      <c r="U1138" s="76" t="s">
        <v>379</v>
      </c>
      <c r="V1138" s="76"/>
      <c r="W1138" s="76"/>
      <c r="X1138" s="97"/>
      <c r="Y1138" s="167"/>
      <c r="Z1138" s="176" t="s">
        <v>1460</v>
      </c>
      <c r="AA1138" s="168"/>
      <c r="AB1138" s="97"/>
      <c r="AC1138" s="76" t="s">
        <v>10837</v>
      </c>
      <c r="AD1138" s="235">
        <v>46203.0</v>
      </c>
      <c r="AE1138" s="76"/>
      <c r="AF1138" s="76" t="s">
        <v>6570</v>
      </c>
      <c r="AG1138" s="76" t="s">
        <v>1187</v>
      </c>
      <c r="AH1138" s="153">
        <v>46217.0</v>
      </c>
      <c r="AI1138" s="67"/>
      <c r="AJ1138" s="67"/>
      <c r="AK1138" s="70"/>
      <c r="AL1138" s="70"/>
      <c r="AM1138" s="135"/>
      <c r="AN1138" s="135"/>
      <c r="AO1138" s="70"/>
      <c r="AP1138" s="70"/>
      <c r="AQ1138" s="67"/>
      <c r="AR1138" s="67"/>
      <c r="AS1138" s="67"/>
      <c r="AT1138" s="67"/>
    </row>
    <row r="1139">
      <c r="A1139" s="76" t="s">
        <v>116</v>
      </c>
      <c r="B1139" s="77" t="s">
        <v>3332</v>
      </c>
      <c r="C1139" s="77" t="s">
        <v>6561</v>
      </c>
      <c r="D1139" s="77" t="s">
        <v>121</v>
      </c>
      <c r="E1139" s="78" t="s">
        <v>295</v>
      </c>
      <c r="F1139" s="80" t="s">
        <v>1241</v>
      </c>
      <c r="G1139" s="77" t="s">
        <v>2206</v>
      </c>
      <c r="H1139" s="77" t="s">
        <v>60</v>
      </c>
      <c r="I1139" s="87" t="s">
        <v>1221</v>
      </c>
      <c r="J1139" s="109" t="s">
        <v>114</v>
      </c>
      <c r="K1139" s="176" t="s">
        <v>12056</v>
      </c>
      <c r="L1139" s="76"/>
      <c r="M1139" s="85" t="s">
        <v>60</v>
      </c>
      <c r="N1139" s="76" t="s">
        <v>2204</v>
      </c>
      <c r="O1139" s="76" t="s">
        <v>2205</v>
      </c>
      <c r="P1139" s="523">
        <v>28370.0</v>
      </c>
      <c r="Q1139" s="315"/>
      <c r="R1139" s="97"/>
      <c r="S1139" s="76"/>
      <c r="T1139" s="76" t="s">
        <v>11599</v>
      </c>
      <c r="U1139" s="291" t="s">
        <v>379</v>
      </c>
      <c r="V1139" s="76"/>
      <c r="W1139" s="97"/>
      <c r="X1139" s="76"/>
      <c r="Y1139" s="168"/>
      <c r="Z1139" s="216" t="s">
        <v>2155</v>
      </c>
      <c r="AA1139" s="168"/>
      <c r="AB1139" s="97"/>
      <c r="AC1139" s="76" t="s">
        <v>2915</v>
      </c>
      <c r="AD1139" s="168"/>
      <c r="AE1139" s="76" t="s">
        <v>861</v>
      </c>
      <c r="AF1139" s="76" t="s">
        <v>12057</v>
      </c>
      <c r="AG1139" s="76"/>
      <c r="AH1139" s="76" t="s">
        <v>12058</v>
      </c>
      <c r="AI1139" s="67"/>
      <c r="AJ1139" s="67"/>
      <c r="AK1139" s="70"/>
      <c r="AL1139" s="70"/>
      <c r="AM1139" s="135"/>
      <c r="AN1139" s="135"/>
      <c r="AO1139" s="70"/>
      <c r="AP1139" s="70"/>
      <c r="AQ1139" s="67"/>
      <c r="AR1139" s="67"/>
      <c r="AS1139" s="67"/>
      <c r="AT1139" s="67"/>
    </row>
    <row r="1140">
      <c r="A1140" s="86"/>
      <c r="B1140" s="302" t="s">
        <v>145</v>
      </c>
      <c r="C1140" s="302"/>
      <c r="D1140" s="76" t="s">
        <v>11815</v>
      </c>
      <c r="E1140" s="574">
        <v>46180.0</v>
      </c>
      <c r="F1140" s="762"/>
      <c r="G1140" s="762"/>
      <c r="H1140" s="762"/>
      <c r="I1140" s="762"/>
      <c r="J1140" s="76" t="s">
        <v>114</v>
      </c>
      <c r="K1140" s="76"/>
      <c r="L1140" s="47"/>
      <c r="M1140" s="85" t="s">
        <v>60</v>
      </c>
      <c r="N1140" s="286" t="s">
        <v>12059</v>
      </c>
      <c r="O1140" s="76" t="s">
        <v>2246</v>
      </c>
      <c r="P1140" s="523">
        <v>31313.0</v>
      </c>
      <c r="Q1140" s="315">
        <f t="shared" ref="Q1140:Q1152" si="141">VALUE(LEFT(TEXT(S1140,0),5))+1</f>
        <v>31313</v>
      </c>
      <c r="R1140" s="86">
        <f t="shared" ref="R1140:R1152" si="142">DATEDIF($P1140,TODAY(),"Y")</f>
        <v>40</v>
      </c>
      <c r="S1140" s="76">
        <v>3.131224091E9</v>
      </c>
      <c r="T1140" s="76"/>
      <c r="U1140" s="76" t="s">
        <v>136</v>
      </c>
      <c r="V1140" s="76"/>
      <c r="W1140" s="76"/>
      <c r="X1140" s="76" t="s">
        <v>182</v>
      </c>
      <c r="Y1140" s="97"/>
      <c r="Z1140" s="85" t="s">
        <v>1755</v>
      </c>
      <c r="AA1140" s="76"/>
      <c r="AB1140" s="76" t="s">
        <v>269</v>
      </c>
      <c r="AC1140" s="76"/>
      <c r="AD1140" s="76"/>
      <c r="AE1140" s="76"/>
      <c r="AF1140" s="574">
        <v>46180.0</v>
      </c>
      <c r="AG1140" s="189"/>
      <c r="AH1140" s="76"/>
      <c r="AI1140" s="763"/>
      <c r="AJ1140" s="763"/>
      <c r="AK1140" s="763"/>
      <c r="AL1140" s="763"/>
      <c r="AM1140" s="763"/>
      <c r="AN1140" s="763"/>
      <c r="AO1140" s="763"/>
      <c r="AP1140" s="763"/>
      <c r="AQ1140" s="763"/>
      <c r="AR1140" s="763"/>
      <c r="AS1140" s="763"/>
      <c r="AT1140" s="763"/>
    </row>
    <row r="1141">
      <c r="A1141" s="76" t="s">
        <v>116</v>
      </c>
      <c r="B1141" s="77" t="s">
        <v>1039</v>
      </c>
      <c r="C1141" s="77" t="s">
        <v>1269</v>
      </c>
      <c r="D1141" s="77" t="s">
        <v>1494</v>
      </c>
      <c r="E1141" s="78" t="s">
        <v>139</v>
      </c>
      <c r="F1141" s="80" t="s">
        <v>1520</v>
      </c>
      <c r="G1141" s="77" t="s">
        <v>337</v>
      </c>
      <c r="H1141" s="77" t="s">
        <v>60</v>
      </c>
      <c r="I1141" s="87" t="s">
        <v>1221</v>
      </c>
      <c r="J1141" s="76" t="s">
        <v>114</v>
      </c>
      <c r="K1141" s="288"/>
      <c r="L1141" s="76"/>
      <c r="M1141" s="85" t="s">
        <v>60</v>
      </c>
      <c r="N1141" s="678" t="s">
        <v>10475</v>
      </c>
      <c r="O1141" s="157" t="s">
        <v>10477</v>
      </c>
      <c r="P1141" s="523">
        <v>32714.0</v>
      </c>
      <c r="Q1141" s="315">
        <f t="shared" si="141"/>
        <v>30888</v>
      </c>
      <c r="R1141" s="86">
        <f t="shared" si="142"/>
        <v>37</v>
      </c>
      <c r="S1141" s="76">
        <v>3.088706793E9</v>
      </c>
      <c r="T1141" s="315"/>
      <c r="U1141" s="76" t="s">
        <v>368</v>
      </c>
      <c r="V1141" s="76"/>
      <c r="W1141" s="76"/>
      <c r="X1141" s="76"/>
      <c r="Y1141" s="97"/>
      <c r="Z1141" s="216" t="s">
        <v>2521</v>
      </c>
      <c r="AA1141" s="97"/>
      <c r="AB1141" s="76"/>
      <c r="AC1141" s="76"/>
      <c r="AD1141" s="76"/>
      <c r="AE1141" s="76"/>
      <c r="AF1141" s="76" t="s">
        <v>12060</v>
      </c>
      <c r="AG1141" s="76" t="s">
        <v>2194</v>
      </c>
      <c r="AH1141" s="153">
        <v>46209.0</v>
      </c>
      <c r="AI1141" s="67"/>
      <c r="AJ1141" s="67"/>
      <c r="AK1141" s="70"/>
      <c r="AL1141" s="70"/>
      <c r="AM1141" s="135"/>
      <c r="AN1141" s="135"/>
      <c r="AO1141" s="70"/>
      <c r="AP1141" s="70"/>
      <c r="AQ1141" s="67"/>
      <c r="AR1141" s="67"/>
      <c r="AS1141" s="67"/>
      <c r="AT1141" s="67"/>
    </row>
    <row r="1142">
      <c r="A1142" s="76" t="s">
        <v>116</v>
      </c>
      <c r="B1142" s="77" t="s">
        <v>1039</v>
      </c>
      <c r="C1142" s="77" t="s">
        <v>1269</v>
      </c>
      <c r="D1142" s="77" t="s">
        <v>1494</v>
      </c>
      <c r="E1142" s="78" t="s">
        <v>58</v>
      </c>
      <c r="F1142" s="80" t="s">
        <v>1496</v>
      </c>
      <c r="G1142" s="77" t="s">
        <v>369</v>
      </c>
      <c r="H1142" s="77" t="s">
        <v>60</v>
      </c>
      <c r="I1142" s="87" t="s">
        <v>1221</v>
      </c>
      <c r="J1142" s="189" t="s">
        <v>114</v>
      </c>
      <c r="K1142" s="194"/>
      <c r="L1142" s="189"/>
      <c r="M1142" s="195" t="s">
        <v>60</v>
      </c>
      <c r="N1142" s="665" t="s">
        <v>10819</v>
      </c>
      <c r="O1142" s="189" t="s">
        <v>10821</v>
      </c>
      <c r="P1142" s="1089">
        <v>31777.0</v>
      </c>
      <c r="Q1142" s="852">
        <f t="shared" si="141"/>
        <v>31777</v>
      </c>
      <c r="R1142" s="189">
        <f t="shared" si="142"/>
        <v>39</v>
      </c>
      <c r="S1142" s="189">
        <v>3.177615492E9</v>
      </c>
      <c r="T1142" s="1168"/>
      <c r="U1142" s="76" t="s">
        <v>368</v>
      </c>
      <c r="V1142" s="189"/>
      <c r="W1142" s="194"/>
      <c r="X1142" s="194"/>
      <c r="Y1142" s="1169" t="s">
        <v>12061</v>
      </c>
      <c r="Z1142" s="216" t="s">
        <v>2090</v>
      </c>
      <c r="AA1142" s="194"/>
      <c r="AB1142" s="194"/>
      <c r="AC1142" s="194"/>
      <c r="AD1142" s="189" t="s">
        <v>7335</v>
      </c>
      <c r="AE1142" s="189"/>
      <c r="AF1142" s="189" t="s">
        <v>3223</v>
      </c>
      <c r="AG1142" s="189" t="s">
        <v>1187</v>
      </c>
      <c r="AH1142" s="153">
        <v>46197.0</v>
      </c>
      <c r="AI1142" s="67"/>
      <c r="AJ1142" s="67"/>
      <c r="AK1142" s="70"/>
      <c r="AL1142" s="70"/>
      <c r="AM1142" s="135"/>
      <c r="AN1142" s="135"/>
      <c r="AO1142" s="70"/>
      <c r="AP1142" s="70"/>
      <c r="AQ1142" s="67"/>
      <c r="AR1142" s="67"/>
      <c r="AS1142" s="67"/>
      <c r="AT1142" s="67"/>
    </row>
    <row r="1143">
      <c r="A1143" s="76" t="s">
        <v>116</v>
      </c>
      <c r="B1143" s="77" t="s">
        <v>1039</v>
      </c>
      <c r="C1143" s="77" t="s">
        <v>1517</v>
      </c>
      <c r="D1143" s="77" t="s">
        <v>1519</v>
      </c>
      <c r="E1143" s="78" t="s">
        <v>213</v>
      </c>
      <c r="F1143" s="80" t="s">
        <v>1523</v>
      </c>
      <c r="G1143" s="77" t="s">
        <v>549</v>
      </c>
      <c r="H1143" s="77" t="s">
        <v>60</v>
      </c>
      <c r="I1143" s="87" t="s">
        <v>1221</v>
      </c>
      <c r="J1143" s="76" t="s">
        <v>114</v>
      </c>
      <c r="K1143" s="762"/>
      <c r="L1143" s="764"/>
      <c r="M1143" s="85" t="s">
        <v>60</v>
      </c>
      <c r="N1143" s="281" t="s">
        <v>3203</v>
      </c>
      <c r="O1143" s="592" t="s">
        <v>3204</v>
      </c>
      <c r="P1143" s="523">
        <v>36159.0</v>
      </c>
      <c r="Q1143" s="315">
        <f t="shared" si="141"/>
        <v>1</v>
      </c>
      <c r="R1143" s="97">
        <f t="shared" si="142"/>
        <v>27</v>
      </c>
      <c r="S1143" s="315"/>
      <c r="T1143" s="315"/>
      <c r="U1143" s="124" t="s">
        <v>368</v>
      </c>
      <c r="V1143" s="76"/>
      <c r="W1143" s="76"/>
      <c r="X1143" s="97"/>
      <c r="Y1143" s="76" t="s">
        <v>10565</v>
      </c>
      <c r="Z1143" s="97"/>
      <c r="AA1143" s="76" t="s">
        <v>1178</v>
      </c>
      <c r="AB1143" s="97"/>
      <c r="AC1143" s="97"/>
      <c r="AD1143" s="99"/>
      <c r="AE1143" s="76"/>
      <c r="AF1143" s="76" t="s">
        <v>7497</v>
      </c>
      <c r="AG1143" s="76" t="s">
        <v>2194</v>
      </c>
      <c r="AH1143" s="153">
        <v>46209.0</v>
      </c>
      <c r="AI1143" s="67"/>
      <c r="AJ1143" s="67"/>
      <c r="AK1143" s="70"/>
      <c r="AL1143" s="70"/>
      <c r="AM1143" s="135"/>
      <c r="AN1143" s="135"/>
      <c r="AO1143" s="70"/>
      <c r="AP1143" s="70"/>
      <c r="AQ1143" s="67"/>
      <c r="AR1143" s="67"/>
      <c r="AS1143" s="67"/>
      <c r="AT1143" s="67"/>
    </row>
    <row r="1144">
      <c r="A1144" s="76" t="s">
        <v>116</v>
      </c>
      <c r="B1144" s="77" t="s">
        <v>1039</v>
      </c>
      <c r="C1144" s="77" t="s">
        <v>1517</v>
      </c>
      <c r="D1144" s="77" t="s">
        <v>1519</v>
      </c>
      <c r="E1144" s="78" t="s">
        <v>213</v>
      </c>
      <c r="F1144" s="80" t="s">
        <v>1523</v>
      </c>
      <c r="G1144" s="77" t="s">
        <v>549</v>
      </c>
      <c r="H1144" s="77" t="s">
        <v>60</v>
      </c>
      <c r="I1144" s="87" t="s">
        <v>1221</v>
      </c>
      <c r="J1144" s="76" t="s">
        <v>114</v>
      </c>
      <c r="K1144" s="176" t="s">
        <v>12062</v>
      </c>
      <c r="L1144" s="47"/>
      <c r="M1144" s="47" t="s">
        <v>326</v>
      </c>
      <c r="N1144" s="256" t="s">
        <v>544</v>
      </c>
      <c r="O1144" s="341" t="s">
        <v>545</v>
      </c>
      <c r="P1144" s="825">
        <v>35260.0</v>
      </c>
      <c r="Q1144" s="315">
        <f t="shared" si="141"/>
        <v>33799</v>
      </c>
      <c r="R1144" s="97">
        <f t="shared" si="142"/>
        <v>30</v>
      </c>
      <c r="S1144" s="76">
        <v>3.379803098E9</v>
      </c>
      <c r="T1144" s="168"/>
      <c r="U1144" s="76" t="s">
        <v>368</v>
      </c>
      <c r="V1144" s="76"/>
      <c r="W1144" s="76"/>
      <c r="X1144" s="97"/>
      <c r="Y1144" s="168"/>
      <c r="Z1144" s="176" t="s">
        <v>1460</v>
      </c>
      <c r="AA1144" s="168"/>
      <c r="AB1144" s="97"/>
      <c r="AC1144" s="168"/>
      <c r="AD1144" s="168"/>
      <c r="AE1144" s="76"/>
      <c r="AF1144" s="168"/>
      <c r="AG1144" s="341" t="s">
        <v>1187</v>
      </c>
      <c r="AH1144" s="153">
        <v>46107.0</v>
      </c>
      <c r="AI1144" s="67"/>
      <c r="AJ1144" s="67"/>
      <c r="AK1144" s="70"/>
      <c r="AL1144" s="70"/>
      <c r="AM1144" s="135"/>
      <c r="AN1144" s="135"/>
      <c r="AO1144" s="70"/>
      <c r="AP1144" s="70"/>
      <c r="AQ1144" s="67"/>
      <c r="AR1144" s="67"/>
      <c r="AS1144" s="67"/>
      <c r="AT1144" s="67"/>
    </row>
    <row r="1145">
      <c r="A1145" s="76" t="s">
        <v>116</v>
      </c>
      <c r="B1145" s="77" t="s">
        <v>1039</v>
      </c>
      <c r="C1145" s="77" t="s">
        <v>1611</v>
      </c>
      <c r="D1145" s="77" t="s">
        <v>1368</v>
      </c>
      <c r="E1145" s="78" t="s">
        <v>321</v>
      </c>
      <c r="F1145" s="80" t="s">
        <v>1552</v>
      </c>
      <c r="G1145" s="77" t="s">
        <v>2726</v>
      </c>
      <c r="H1145" s="77" t="s">
        <v>60</v>
      </c>
      <c r="I1145" s="87" t="s">
        <v>1221</v>
      </c>
      <c r="J1145" s="76" t="s">
        <v>114</v>
      </c>
      <c r="K1145" s="76"/>
      <c r="L1145" s="47"/>
      <c r="M1145" s="85" t="s">
        <v>60</v>
      </c>
      <c r="N1145" s="678" t="s">
        <v>10398</v>
      </c>
      <c r="O1145" s="76" t="s">
        <v>10399</v>
      </c>
      <c r="P1145" s="523">
        <v>30691.0</v>
      </c>
      <c r="Q1145" s="315">
        <f t="shared" si="141"/>
        <v>1</v>
      </c>
      <c r="R1145" s="86">
        <f t="shared" si="142"/>
        <v>42</v>
      </c>
      <c r="S1145" s="76"/>
      <c r="T1145" s="315"/>
      <c r="U1145" s="76" t="s">
        <v>368</v>
      </c>
      <c r="V1145" s="76"/>
      <c r="W1145" s="76"/>
      <c r="X1145" s="76"/>
      <c r="Y1145" s="276"/>
      <c r="Z1145" s="216" t="s">
        <v>1173</v>
      </c>
      <c r="AA1145" s="76"/>
      <c r="AB1145" s="97"/>
      <c r="AC1145" s="76"/>
      <c r="AD1145" s="76"/>
      <c r="AE1145" s="76"/>
      <c r="AF1145" s="76" t="s">
        <v>3601</v>
      </c>
      <c r="AG1145" s="76" t="s">
        <v>2194</v>
      </c>
      <c r="AH1145" s="153">
        <v>46209.0</v>
      </c>
      <c r="AI1145" s="67"/>
      <c r="AJ1145" s="67"/>
      <c r="AK1145" s="70"/>
      <c r="AL1145" s="70"/>
      <c r="AM1145" s="135"/>
      <c r="AN1145" s="135"/>
      <c r="AO1145" s="70"/>
      <c r="AP1145" s="70"/>
      <c r="AQ1145" s="67"/>
      <c r="AR1145" s="67"/>
      <c r="AS1145" s="67"/>
      <c r="AT1145" s="67"/>
    </row>
    <row r="1146">
      <c r="A1146" s="76" t="s">
        <v>116</v>
      </c>
      <c r="B1146" s="77" t="s">
        <v>1039</v>
      </c>
      <c r="C1146" s="77" t="s">
        <v>1611</v>
      </c>
      <c r="D1146" s="77" t="s">
        <v>1519</v>
      </c>
      <c r="E1146" s="78" t="s">
        <v>187</v>
      </c>
      <c r="F1146" s="80" t="s">
        <v>1469</v>
      </c>
      <c r="G1146" s="77" t="s">
        <v>3043</v>
      </c>
      <c r="H1146" s="77" t="s">
        <v>60</v>
      </c>
      <c r="I1146" s="87" t="s">
        <v>1221</v>
      </c>
      <c r="J1146" s="85" t="s">
        <v>114</v>
      </c>
      <c r="K1146" s="76"/>
      <c r="L1146" s="47"/>
      <c r="M1146" s="85" t="s">
        <v>60</v>
      </c>
      <c r="N1146" s="286" t="s">
        <v>10948</v>
      </c>
      <c r="O1146" s="76" t="s">
        <v>10949</v>
      </c>
      <c r="P1146" s="523">
        <v>37256.0</v>
      </c>
      <c r="Q1146" s="315">
        <f t="shared" si="141"/>
        <v>1</v>
      </c>
      <c r="R1146" s="86">
        <f t="shared" si="142"/>
        <v>24</v>
      </c>
      <c r="S1146" s="76"/>
      <c r="T1146" s="315"/>
      <c r="U1146" s="76" t="s">
        <v>136</v>
      </c>
      <c r="V1146" s="76"/>
      <c r="W1146" s="76"/>
      <c r="X1146" s="76"/>
      <c r="Y1146" s="97"/>
      <c r="Z1146" s="216" t="s">
        <v>1173</v>
      </c>
      <c r="AA1146" s="76" t="s">
        <v>1178</v>
      </c>
      <c r="AB1146" s="76"/>
      <c r="AC1146" s="76"/>
      <c r="AD1146" s="76"/>
      <c r="AE1146" s="76"/>
      <c r="AF1146" s="76" t="s">
        <v>3479</v>
      </c>
      <c r="AG1146" s="76" t="s">
        <v>12063</v>
      </c>
      <c r="AH1146" s="1170">
        <v>46188.0</v>
      </c>
      <c r="AI1146" s="67"/>
      <c r="AJ1146" s="67"/>
      <c r="AK1146" s="70"/>
      <c r="AL1146" s="70"/>
      <c r="AM1146" s="135"/>
      <c r="AN1146" s="135"/>
      <c r="AO1146" s="70"/>
      <c r="AP1146" s="70"/>
      <c r="AQ1146" s="67"/>
      <c r="AR1146" s="67"/>
      <c r="AS1146" s="67"/>
      <c r="AT1146" s="67"/>
    </row>
    <row r="1147">
      <c r="A1147" s="76" t="s">
        <v>116</v>
      </c>
      <c r="B1147" s="77" t="s">
        <v>1039</v>
      </c>
      <c r="C1147" s="77" t="s">
        <v>1728</v>
      </c>
      <c r="D1147" s="77" t="s">
        <v>121</v>
      </c>
      <c r="E1147" s="78" t="s">
        <v>201</v>
      </c>
      <c r="F1147" s="80" t="s">
        <v>1849</v>
      </c>
      <c r="G1147" s="77" t="s">
        <v>722</v>
      </c>
      <c r="H1147" s="77" t="s">
        <v>60</v>
      </c>
      <c r="I1147" s="87" t="s">
        <v>1221</v>
      </c>
      <c r="J1147" s="85" t="s">
        <v>114</v>
      </c>
      <c r="K1147" s="176" t="s">
        <v>12064</v>
      </c>
      <c r="L1147" s="76"/>
      <c r="M1147" s="85" t="s">
        <v>60</v>
      </c>
      <c r="N1147" s="256" t="s">
        <v>3018</v>
      </c>
      <c r="O1147" s="76" t="s">
        <v>3019</v>
      </c>
      <c r="P1147" s="523">
        <v>31933.0</v>
      </c>
      <c r="Q1147" s="315">
        <f t="shared" si="141"/>
        <v>1</v>
      </c>
      <c r="R1147" s="86">
        <f t="shared" si="142"/>
        <v>39</v>
      </c>
      <c r="S1147" s="76"/>
      <c r="T1147" s="86"/>
      <c r="U1147" s="76" t="s">
        <v>368</v>
      </c>
      <c r="V1147" s="76"/>
      <c r="W1147" s="76"/>
      <c r="X1147" s="76"/>
      <c r="Y1147" s="167"/>
      <c r="Z1147" s="234" t="s">
        <v>1351</v>
      </c>
      <c r="AA1147" s="168"/>
      <c r="AB1147" s="97"/>
      <c r="AC1147" s="168"/>
      <c r="AD1147" s="168"/>
      <c r="AE1147" s="76"/>
      <c r="AF1147" s="76"/>
      <c r="AG1147" s="76" t="s">
        <v>1187</v>
      </c>
      <c r="AH1147" s="153">
        <v>46209.0</v>
      </c>
      <c r="AI1147" s="67"/>
      <c r="AJ1147" s="67"/>
      <c r="AK1147" s="70"/>
      <c r="AL1147" s="70"/>
      <c r="AM1147" s="135"/>
      <c r="AN1147" s="135"/>
      <c r="AO1147" s="70"/>
      <c r="AP1147" s="70"/>
      <c r="AQ1147" s="67"/>
      <c r="AR1147" s="67"/>
      <c r="AS1147" s="67"/>
      <c r="AT1147" s="67"/>
    </row>
    <row r="1148">
      <c r="A1148" s="76" t="s">
        <v>116</v>
      </c>
      <c r="B1148" s="77" t="s">
        <v>1645</v>
      </c>
      <c r="C1148" s="77" t="s">
        <v>1269</v>
      </c>
      <c r="D1148" s="77" t="s">
        <v>1519</v>
      </c>
      <c r="E1148" s="78" t="s">
        <v>321</v>
      </c>
      <c r="F1148" s="80" t="s">
        <v>1552</v>
      </c>
      <c r="G1148" s="77" t="s">
        <v>879</v>
      </c>
      <c r="H1148" s="77" t="s">
        <v>60</v>
      </c>
      <c r="I1148" s="87" t="s">
        <v>1221</v>
      </c>
      <c r="J1148" s="85" t="s">
        <v>114</v>
      </c>
      <c r="K1148" s="124" t="s">
        <v>12065</v>
      </c>
      <c r="L1148" s="76"/>
      <c r="M1148" s="85" t="s">
        <v>60</v>
      </c>
      <c r="N1148" s="256" t="s">
        <v>877</v>
      </c>
      <c r="O1148" s="76" t="s">
        <v>878</v>
      </c>
      <c r="P1148" s="1171">
        <v>31431.0</v>
      </c>
      <c r="Q1148" s="315">
        <f t="shared" si="141"/>
        <v>33196</v>
      </c>
      <c r="R1148" s="86">
        <f t="shared" si="142"/>
        <v>40</v>
      </c>
      <c r="S1148" s="291">
        <v>3.319504152E9</v>
      </c>
      <c r="T1148" s="86"/>
      <c r="U1148" s="76" t="s">
        <v>368</v>
      </c>
      <c r="V1148" s="76"/>
      <c r="W1148" s="76"/>
      <c r="X1148" s="97"/>
      <c r="Y1148" s="167"/>
      <c r="Z1148" s="176" t="s">
        <v>1460</v>
      </c>
      <c r="AA1148" s="168"/>
      <c r="AB1148" s="97"/>
      <c r="AC1148" s="168"/>
      <c r="AD1148" s="168"/>
      <c r="AE1148" s="76"/>
      <c r="AF1148" s="76"/>
      <c r="AG1148" s="76" t="s">
        <v>1187</v>
      </c>
      <c r="AH1148" s="153">
        <v>46112.0</v>
      </c>
      <c r="AI1148" s="67"/>
      <c r="AJ1148" s="67"/>
      <c r="AK1148" s="70"/>
      <c r="AL1148" s="70"/>
      <c r="AM1148" s="135"/>
      <c r="AN1148" s="135"/>
      <c r="AO1148" s="70"/>
      <c r="AP1148" s="70"/>
      <c r="AQ1148" s="67"/>
      <c r="AR1148" s="67"/>
      <c r="AS1148" s="67"/>
      <c r="AT1148" s="67"/>
    </row>
    <row r="1149">
      <c r="A1149" s="76" t="s">
        <v>116</v>
      </c>
      <c r="B1149" s="77" t="s">
        <v>1645</v>
      </c>
      <c r="C1149" s="77" t="s">
        <v>1517</v>
      </c>
      <c r="D1149" s="77" t="s">
        <v>121</v>
      </c>
      <c r="E1149" s="78" t="s">
        <v>295</v>
      </c>
      <c r="F1149" s="80" t="s">
        <v>1241</v>
      </c>
      <c r="G1149" s="77" t="s">
        <v>899</v>
      </c>
      <c r="H1149" s="77" t="s">
        <v>60</v>
      </c>
      <c r="I1149" s="87" t="s">
        <v>1221</v>
      </c>
      <c r="J1149" s="195" t="s">
        <v>114</v>
      </c>
      <c r="K1149" s="194"/>
      <c r="L1149" s="76"/>
      <c r="M1149" s="195" t="s">
        <v>60</v>
      </c>
      <c r="N1149" s="665" t="s">
        <v>1724</v>
      </c>
      <c r="O1149" s="189" t="s">
        <v>1123</v>
      </c>
      <c r="P1149" s="315">
        <v>34828.0</v>
      </c>
      <c r="Q1149" s="852">
        <f t="shared" si="141"/>
        <v>34828</v>
      </c>
      <c r="R1149" s="189">
        <f t="shared" si="142"/>
        <v>31</v>
      </c>
      <c r="S1149" s="189">
        <v>3.482702539E9</v>
      </c>
      <c r="T1149" s="189" t="s">
        <v>1511</v>
      </c>
      <c r="U1149" s="124" t="s">
        <v>368</v>
      </c>
      <c r="V1149" s="189"/>
      <c r="W1149" s="194"/>
      <c r="X1149" s="194"/>
      <c r="Y1149" s="194"/>
      <c r="Z1149" s="435" t="s">
        <v>2155</v>
      </c>
      <c r="AA1149" s="1172" t="s">
        <v>1178</v>
      </c>
      <c r="AB1149" s="194"/>
      <c r="AC1149" s="194"/>
      <c r="AD1149" s="194"/>
      <c r="AE1149" s="189"/>
      <c r="AF1149" s="194"/>
      <c r="AG1149" s="189" t="s">
        <v>1187</v>
      </c>
      <c r="AH1149" s="153">
        <v>46199.0</v>
      </c>
      <c r="AI1149" s="67"/>
      <c r="AJ1149" s="67"/>
      <c r="AK1149" s="70"/>
      <c r="AL1149" s="70"/>
      <c r="AM1149" s="135"/>
      <c r="AN1149" s="135"/>
      <c r="AO1149" s="70"/>
      <c r="AP1149" s="70"/>
      <c r="AQ1149" s="67"/>
      <c r="AR1149" s="67"/>
      <c r="AS1149" s="67"/>
      <c r="AT1149" s="67"/>
    </row>
    <row r="1150">
      <c r="A1150" s="76" t="s">
        <v>116</v>
      </c>
      <c r="B1150" s="77" t="s">
        <v>1645</v>
      </c>
      <c r="C1150" s="77" t="s">
        <v>1517</v>
      </c>
      <c r="D1150" s="77" t="s">
        <v>1519</v>
      </c>
      <c r="E1150" s="78" t="s">
        <v>58</v>
      </c>
      <c r="F1150" s="80" t="s">
        <v>1496</v>
      </c>
      <c r="G1150" s="77" t="s">
        <v>963</v>
      </c>
      <c r="H1150" s="77" t="s">
        <v>60</v>
      </c>
      <c r="I1150" s="87" t="s">
        <v>1221</v>
      </c>
      <c r="J1150" s="85" t="s">
        <v>114</v>
      </c>
      <c r="K1150" s="85"/>
      <c r="L1150" s="76"/>
      <c r="M1150" s="85" t="s">
        <v>60</v>
      </c>
      <c r="N1150" s="256" t="s">
        <v>960</v>
      </c>
      <c r="O1150" s="76" t="s">
        <v>961</v>
      </c>
      <c r="P1150" s="523">
        <v>30996.0</v>
      </c>
      <c r="Q1150" s="315">
        <f t="shared" si="141"/>
        <v>30996</v>
      </c>
      <c r="R1150" s="97">
        <f t="shared" si="142"/>
        <v>41</v>
      </c>
      <c r="S1150" s="76">
        <v>3.099517035E9</v>
      </c>
      <c r="T1150" s="86"/>
      <c r="U1150" s="76" t="s">
        <v>368</v>
      </c>
      <c r="V1150" s="76"/>
      <c r="W1150" s="97"/>
      <c r="X1150" s="76"/>
      <c r="Y1150" s="168"/>
      <c r="Z1150" s="216" t="s">
        <v>2155</v>
      </c>
      <c r="AA1150" s="341" t="s">
        <v>1178</v>
      </c>
      <c r="AB1150" s="97"/>
      <c r="AC1150" s="168"/>
      <c r="AD1150" s="168"/>
      <c r="AE1150" s="76"/>
      <c r="AF1150" s="76"/>
      <c r="AG1150" s="76" t="s">
        <v>1187</v>
      </c>
      <c r="AH1150" s="153">
        <v>46196.0</v>
      </c>
      <c r="AI1150" s="67"/>
      <c r="AJ1150" s="67"/>
      <c r="AK1150" s="70"/>
      <c r="AL1150" s="70"/>
      <c r="AM1150" s="135"/>
      <c r="AN1150" s="135"/>
      <c r="AO1150" s="70"/>
      <c r="AP1150" s="70"/>
      <c r="AQ1150" s="67"/>
      <c r="AR1150" s="67"/>
      <c r="AS1150" s="67"/>
      <c r="AT1150" s="67"/>
    </row>
    <row r="1151">
      <c r="A1151" s="76" t="s">
        <v>116</v>
      </c>
      <c r="B1151" s="77" t="s">
        <v>1645</v>
      </c>
      <c r="C1151" s="77" t="s">
        <v>1611</v>
      </c>
      <c r="D1151" s="77" t="s">
        <v>1368</v>
      </c>
      <c r="E1151" s="78" t="s">
        <v>321</v>
      </c>
      <c r="F1151" s="80" t="s">
        <v>1552</v>
      </c>
      <c r="G1151" s="77" t="s">
        <v>4704</v>
      </c>
      <c r="H1151" s="77" t="s">
        <v>60</v>
      </c>
      <c r="I1151" s="87" t="s">
        <v>1221</v>
      </c>
      <c r="J1151" s="85" t="s">
        <v>114</v>
      </c>
      <c r="K1151" s="176" t="s">
        <v>12066</v>
      </c>
      <c r="L1151" s="76"/>
      <c r="M1151" s="85" t="s">
        <v>60</v>
      </c>
      <c r="N1151" s="256" t="s">
        <v>8959</v>
      </c>
      <c r="O1151" s="76" t="s">
        <v>10021</v>
      </c>
      <c r="P1151" s="523">
        <v>30763.0</v>
      </c>
      <c r="Q1151" s="315">
        <f t="shared" si="141"/>
        <v>1</v>
      </c>
      <c r="R1151" s="86">
        <f t="shared" si="142"/>
        <v>42</v>
      </c>
      <c r="S1151" s="76"/>
      <c r="T1151" s="76" t="s">
        <v>1317</v>
      </c>
      <c r="U1151" s="76" t="s">
        <v>368</v>
      </c>
      <c r="V1151" s="76"/>
      <c r="W1151" s="76"/>
      <c r="X1151" s="76"/>
      <c r="Y1151" s="167"/>
      <c r="Z1151" s="234" t="s">
        <v>1351</v>
      </c>
      <c r="AA1151" s="168"/>
      <c r="AB1151" s="97"/>
      <c r="AC1151" s="168"/>
      <c r="AD1151" s="168"/>
      <c r="AE1151" s="76"/>
      <c r="AF1151" s="76"/>
      <c r="AG1151" s="76" t="s">
        <v>1187</v>
      </c>
      <c r="AH1151" s="153">
        <v>46209.0</v>
      </c>
      <c r="AI1151" s="67"/>
      <c r="AJ1151" s="67"/>
      <c r="AK1151" s="70"/>
      <c r="AL1151" s="70"/>
      <c r="AM1151" s="135"/>
      <c r="AN1151" s="135"/>
      <c r="AO1151" s="70"/>
      <c r="AP1151" s="70"/>
      <c r="AQ1151" s="67"/>
      <c r="AR1151" s="67"/>
      <c r="AS1151" s="67"/>
      <c r="AT1151" s="67"/>
    </row>
    <row r="1152">
      <c r="A1152" s="76" t="s">
        <v>116</v>
      </c>
      <c r="B1152" s="77" t="s">
        <v>1645</v>
      </c>
      <c r="C1152" s="77" t="s">
        <v>1611</v>
      </c>
      <c r="D1152" s="77" t="s">
        <v>1494</v>
      </c>
      <c r="E1152" s="78" t="s">
        <v>302</v>
      </c>
      <c r="F1152" s="80" t="s">
        <v>1404</v>
      </c>
      <c r="G1152" s="77" t="s">
        <v>997</v>
      </c>
      <c r="H1152" s="77" t="s">
        <v>326</v>
      </c>
      <c r="I1152" s="87" t="s">
        <v>1221</v>
      </c>
      <c r="J1152" s="85" t="s">
        <v>114</v>
      </c>
      <c r="K1152" s="124" t="s">
        <v>12067</v>
      </c>
      <c r="L1152" s="76"/>
      <c r="M1152" s="85" t="s">
        <v>994</v>
      </c>
      <c r="N1152" s="256" t="s">
        <v>12068</v>
      </c>
      <c r="O1152" s="76" t="s">
        <v>996</v>
      </c>
      <c r="P1152" s="523">
        <v>31086.0</v>
      </c>
      <c r="Q1152" s="315">
        <f t="shared" si="141"/>
        <v>31086</v>
      </c>
      <c r="R1152" s="86">
        <f t="shared" si="142"/>
        <v>41</v>
      </c>
      <c r="S1152" s="76">
        <v>3.10852401E9</v>
      </c>
      <c r="T1152" s="86"/>
      <c r="U1152" s="76" t="s">
        <v>368</v>
      </c>
      <c r="V1152" s="76"/>
      <c r="W1152" s="76"/>
      <c r="X1152" s="76"/>
      <c r="Y1152" s="97" t="s">
        <v>1174</v>
      </c>
      <c r="Z1152" s="278" t="s">
        <v>2090</v>
      </c>
      <c r="AA1152" s="168"/>
      <c r="AB1152" s="97"/>
      <c r="AC1152" s="168"/>
      <c r="AD1152" s="168"/>
      <c r="AE1152" s="76"/>
      <c r="AF1152" s="167"/>
      <c r="AG1152" s="76" t="s">
        <v>1187</v>
      </c>
      <c r="AH1152" s="153">
        <v>46201.0</v>
      </c>
      <c r="AI1152" s="67"/>
      <c r="AJ1152" s="67"/>
      <c r="AK1152" s="70"/>
      <c r="AL1152" s="70"/>
      <c r="AM1152" s="135"/>
      <c r="AN1152" s="135"/>
      <c r="AO1152" s="70"/>
      <c r="AP1152" s="70"/>
      <c r="AQ1152" s="67"/>
      <c r="AR1152" s="67"/>
      <c r="AS1152" s="67"/>
      <c r="AT1152" s="67"/>
    </row>
    <row r="1153">
      <c r="A1153" s="76" t="s">
        <v>116</v>
      </c>
      <c r="B1153" s="77" t="s">
        <v>1728</v>
      </c>
      <c r="C1153" s="77" t="s">
        <v>121</v>
      </c>
      <c r="D1153" s="77" t="s">
        <v>121</v>
      </c>
      <c r="E1153" s="78" t="s">
        <v>287</v>
      </c>
      <c r="F1153" s="80" t="s">
        <v>2853</v>
      </c>
      <c r="G1153" s="77" t="s">
        <v>288</v>
      </c>
      <c r="H1153" s="77" t="s">
        <v>60</v>
      </c>
      <c r="I1153" s="87" t="s">
        <v>1221</v>
      </c>
      <c r="J1153" s="85"/>
      <c r="K1153" s="85"/>
      <c r="L1153" s="76"/>
      <c r="M1153" s="211" t="s">
        <v>60</v>
      </c>
      <c r="N1153" s="1173" t="s">
        <v>12069</v>
      </c>
      <c r="O1153" s="76"/>
      <c r="P1153" s="523"/>
      <c r="Q1153" s="315"/>
      <c r="R1153" s="97"/>
      <c r="S1153" s="76"/>
      <c r="T1153" s="315"/>
      <c r="U1153" s="76" t="s">
        <v>136</v>
      </c>
      <c r="V1153" s="86"/>
      <c r="W1153" s="76"/>
      <c r="X1153" s="76"/>
      <c r="Y1153" s="97"/>
      <c r="Z1153" s="85"/>
      <c r="AA1153" s="97"/>
      <c r="AB1153" s="97"/>
      <c r="AC1153" s="160" t="s">
        <v>630</v>
      </c>
      <c r="AD1153" s="76" t="s">
        <v>632</v>
      </c>
      <c r="AE1153" s="76" t="s">
        <v>632</v>
      </c>
      <c r="AF1153" s="160" t="s">
        <v>630</v>
      </c>
      <c r="AG1153" s="76"/>
      <c r="AH1153" s="76"/>
      <c r="AI1153" s="67"/>
      <c r="AJ1153" s="67"/>
      <c r="AK1153" s="70"/>
      <c r="AL1153" s="70"/>
      <c r="AM1153" s="135"/>
      <c r="AN1153" s="135"/>
      <c r="AO1153" s="70"/>
      <c r="AP1153" s="70"/>
      <c r="AQ1153" s="67"/>
      <c r="AR1153" s="67"/>
      <c r="AS1153" s="67"/>
      <c r="AT1153" s="67"/>
    </row>
    <row r="1154">
      <c r="A1154" s="76" t="s">
        <v>116</v>
      </c>
      <c r="B1154" s="77" t="s">
        <v>1645</v>
      </c>
      <c r="C1154" s="77" t="s">
        <v>1611</v>
      </c>
      <c r="D1154" s="77" t="s">
        <v>1494</v>
      </c>
      <c r="E1154" s="78" t="s">
        <v>321</v>
      </c>
      <c r="F1154" s="80" t="s">
        <v>1552</v>
      </c>
      <c r="G1154" s="77" t="s">
        <v>4854</v>
      </c>
      <c r="H1154" s="77" t="s">
        <v>60</v>
      </c>
      <c r="I1154" s="87" t="s">
        <v>1221</v>
      </c>
      <c r="J1154" s="85" t="s">
        <v>114</v>
      </c>
      <c r="K1154" s="176" t="s">
        <v>12070</v>
      </c>
      <c r="L1154" s="76"/>
      <c r="M1154" s="85" t="s">
        <v>326</v>
      </c>
      <c r="N1154" s="256" t="s">
        <v>2977</v>
      </c>
      <c r="O1154" s="76" t="s">
        <v>2978</v>
      </c>
      <c r="P1154" s="523">
        <v>28961.0</v>
      </c>
      <c r="Q1154" s="315">
        <f t="shared" ref="Q1154:Q1156" si="143">VALUE(LEFT(TEXT(S1154,0),5))+1</f>
        <v>1</v>
      </c>
      <c r="R1154" s="86">
        <f t="shared" ref="R1154:R1156" si="144">DATEDIF($P1154,TODAY(),"Y")</f>
        <v>47</v>
      </c>
      <c r="S1154" s="76"/>
      <c r="T1154" s="86"/>
      <c r="U1154" s="76" t="s">
        <v>368</v>
      </c>
      <c r="V1154" s="76"/>
      <c r="W1154" s="76"/>
      <c r="X1154" s="76"/>
      <c r="Y1154" s="97" t="s">
        <v>1174</v>
      </c>
      <c r="Z1154" s="234" t="s">
        <v>1351</v>
      </c>
      <c r="AA1154" s="168"/>
      <c r="AB1154" s="97"/>
      <c r="AC1154" s="168"/>
      <c r="AD1154" s="168"/>
      <c r="AE1154" s="76"/>
      <c r="AF1154" s="76" t="s">
        <v>9155</v>
      </c>
      <c r="AG1154" s="76" t="s">
        <v>1187</v>
      </c>
      <c r="AH1154" s="153">
        <v>46204.0</v>
      </c>
      <c r="AI1154" s="67"/>
      <c r="AJ1154" s="67"/>
      <c r="AK1154" s="70"/>
      <c r="AL1154" s="70"/>
      <c r="AM1154" s="135"/>
      <c r="AN1154" s="135"/>
      <c r="AO1154" s="70"/>
      <c r="AP1154" s="70"/>
      <c r="AQ1154" s="67"/>
      <c r="AR1154" s="67"/>
      <c r="AS1154" s="67"/>
      <c r="AT1154" s="67"/>
    </row>
    <row r="1155">
      <c r="A1155" s="76" t="s">
        <v>116</v>
      </c>
      <c r="B1155" s="77" t="s">
        <v>1433</v>
      </c>
      <c r="C1155" s="77" t="s">
        <v>121</v>
      </c>
      <c r="D1155" s="77" t="s">
        <v>121</v>
      </c>
      <c r="E1155" s="78" t="s">
        <v>266</v>
      </c>
      <c r="F1155" s="80" t="s">
        <v>8274</v>
      </c>
      <c r="G1155" s="77" t="s">
        <v>1648</v>
      </c>
      <c r="H1155" s="77" t="s">
        <v>504</v>
      </c>
      <c r="I1155" s="146" t="s">
        <v>408</v>
      </c>
      <c r="J1155" s="76" t="s">
        <v>114</v>
      </c>
      <c r="K1155" s="109"/>
      <c r="L1155" s="76"/>
      <c r="M1155" s="76" t="s">
        <v>60</v>
      </c>
      <c r="N1155" s="256" t="s">
        <v>1646</v>
      </c>
      <c r="O1155" s="76" t="s">
        <v>1647</v>
      </c>
      <c r="P1155" s="523">
        <v>28396.0</v>
      </c>
      <c r="Q1155" s="315" t="str">
        <f t="shared" si="143"/>
        <v>#VALUE!</v>
      </c>
      <c r="R1155" s="86">
        <f t="shared" si="144"/>
        <v>48</v>
      </c>
      <c r="S1155" s="76" t="s">
        <v>3642</v>
      </c>
      <c r="T1155" s="315" t="s">
        <v>1511</v>
      </c>
      <c r="U1155" s="124" t="s">
        <v>368</v>
      </c>
      <c r="V1155" s="76"/>
      <c r="W1155" s="76"/>
      <c r="X1155" s="76"/>
      <c r="Y1155" s="97"/>
      <c r="Z1155" s="728" t="s">
        <v>2482</v>
      </c>
      <c r="AA1155" s="76" t="s">
        <v>1178</v>
      </c>
      <c r="AB1155" s="97"/>
      <c r="AC1155" s="97"/>
      <c r="AD1155" s="99"/>
      <c r="AE1155" s="76"/>
      <c r="AF1155" s="76"/>
      <c r="AG1155" s="76" t="s">
        <v>1187</v>
      </c>
      <c r="AH1155" s="153">
        <v>46193.0</v>
      </c>
      <c r="AI1155" s="67"/>
      <c r="AJ1155" s="67"/>
      <c r="AK1155" s="70"/>
      <c r="AL1155" s="70"/>
      <c r="AM1155" s="135"/>
      <c r="AN1155" s="135"/>
      <c r="AO1155" s="70"/>
      <c r="AP1155" s="70"/>
      <c r="AQ1155" s="67"/>
      <c r="AR1155" s="67"/>
      <c r="AS1155" s="67"/>
      <c r="AT1155" s="67"/>
    </row>
    <row r="1156">
      <c r="A1156" s="76" t="s">
        <v>116</v>
      </c>
      <c r="B1156" s="77" t="s">
        <v>1645</v>
      </c>
      <c r="C1156" s="77" t="s">
        <v>1611</v>
      </c>
      <c r="D1156" s="77" t="s">
        <v>1519</v>
      </c>
      <c r="E1156" s="78" t="s">
        <v>187</v>
      </c>
      <c r="F1156" s="80" t="s">
        <v>1469</v>
      </c>
      <c r="G1156" s="77" t="s">
        <v>1043</v>
      </c>
      <c r="H1156" s="77" t="s">
        <v>60</v>
      </c>
      <c r="I1156" s="87" t="s">
        <v>1221</v>
      </c>
      <c r="J1156" s="76" t="s">
        <v>114</v>
      </c>
      <c r="K1156" s="288"/>
      <c r="L1156" s="76"/>
      <c r="M1156" s="85" t="s">
        <v>60</v>
      </c>
      <c r="N1156" s="678" t="s">
        <v>10472</v>
      </c>
      <c r="O1156" s="157" t="s">
        <v>6568</v>
      </c>
      <c r="P1156" s="523">
        <v>33699.0</v>
      </c>
      <c r="Q1156" s="315">
        <f t="shared" si="143"/>
        <v>33699</v>
      </c>
      <c r="R1156" s="86">
        <f t="shared" si="144"/>
        <v>34</v>
      </c>
      <c r="S1156" s="76">
        <v>3.369811832E9</v>
      </c>
      <c r="T1156" s="315"/>
      <c r="U1156" s="76" t="s">
        <v>368</v>
      </c>
      <c r="V1156" s="76"/>
      <c r="W1156" s="76"/>
      <c r="X1156" s="76"/>
      <c r="Y1156" s="76" t="s">
        <v>10565</v>
      </c>
      <c r="Z1156" s="216" t="s">
        <v>2521</v>
      </c>
      <c r="AA1156" s="97"/>
      <c r="AB1156" s="76"/>
      <c r="AC1156" s="76"/>
      <c r="AD1156" s="76"/>
      <c r="AE1156" s="76"/>
      <c r="AF1156" s="76" t="s">
        <v>12060</v>
      </c>
      <c r="AG1156" s="76" t="s">
        <v>2194</v>
      </c>
      <c r="AH1156" s="153">
        <v>46203.0</v>
      </c>
      <c r="AI1156" s="67"/>
      <c r="AJ1156" s="67"/>
      <c r="AK1156" s="70"/>
      <c r="AL1156" s="70"/>
      <c r="AM1156" s="135"/>
      <c r="AN1156" s="135"/>
      <c r="AO1156" s="70"/>
      <c r="AP1156" s="70"/>
      <c r="AQ1156" s="67"/>
      <c r="AR1156" s="67"/>
      <c r="AS1156" s="67"/>
      <c r="AT1156" s="67"/>
    </row>
    <row r="1157">
      <c r="A1157" s="76" t="s">
        <v>116</v>
      </c>
      <c r="B1157" s="77" t="s">
        <v>1645</v>
      </c>
      <c r="C1157" s="77" t="s">
        <v>1611</v>
      </c>
      <c r="D1157" s="77" t="s">
        <v>1519</v>
      </c>
      <c r="E1157" s="78" t="s">
        <v>139</v>
      </c>
      <c r="F1157" s="80" t="s">
        <v>1520</v>
      </c>
      <c r="G1157" s="77" t="s">
        <v>5000</v>
      </c>
      <c r="H1157" s="77" t="s">
        <v>60</v>
      </c>
      <c r="I1157" s="87" t="s">
        <v>1221</v>
      </c>
      <c r="J1157" s="76"/>
      <c r="K1157" s="76"/>
      <c r="L1157" s="650"/>
      <c r="M1157" s="159" t="s">
        <v>60</v>
      </c>
      <c r="N1157" s="159" t="s">
        <v>12071</v>
      </c>
      <c r="O1157" s="76"/>
      <c r="P1157" s="523"/>
      <c r="Q1157" s="315"/>
      <c r="R1157" s="86"/>
      <c r="S1157" s="76"/>
      <c r="T1157" s="315"/>
      <c r="U1157" s="224" t="s">
        <v>379</v>
      </c>
      <c r="V1157" s="86"/>
      <c r="W1157" s="86"/>
      <c r="X1157" s="97"/>
      <c r="Y1157" s="97"/>
      <c r="Z1157" s="97"/>
      <c r="AA1157" s="97"/>
      <c r="AB1157" s="97"/>
      <c r="AC1157" s="160" t="s">
        <v>630</v>
      </c>
      <c r="AD1157" s="76" t="s">
        <v>632</v>
      </c>
      <c r="AE1157" s="76"/>
      <c r="AF1157" s="160" t="s">
        <v>630</v>
      </c>
      <c r="AG1157" s="112"/>
      <c r="AH1157" s="76"/>
      <c r="AI1157" s="67"/>
      <c r="AJ1157" s="67"/>
      <c r="AK1157" s="70"/>
      <c r="AL1157" s="70"/>
      <c r="AM1157" s="135"/>
      <c r="AN1157" s="135"/>
      <c r="AO1157" s="70"/>
      <c r="AP1157" s="70"/>
      <c r="AQ1157" s="67"/>
      <c r="AR1157" s="67"/>
      <c r="AS1157" s="67"/>
      <c r="AT1157" s="67"/>
    </row>
    <row r="1158">
      <c r="A1158" s="76" t="s">
        <v>116</v>
      </c>
      <c r="B1158" s="77" t="s">
        <v>3722</v>
      </c>
      <c r="C1158" s="77" t="s">
        <v>3724</v>
      </c>
      <c r="D1158" s="77" t="s">
        <v>6147</v>
      </c>
      <c r="E1158" s="78" t="s">
        <v>1431</v>
      </c>
      <c r="F1158" s="80" t="s">
        <v>1437</v>
      </c>
      <c r="G1158" s="77" t="s">
        <v>7753</v>
      </c>
      <c r="H1158" s="77" t="s">
        <v>60</v>
      </c>
      <c r="I1158" s="87" t="s">
        <v>1221</v>
      </c>
      <c r="J1158" s="76" t="s">
        <v>114</v>
      </c>
      <c r="K1158" s="76"/>
      <c r="L1158" s="47"/>
      <c r="M1158" s="85" t="s">
        <v>60</v>
      </c>
      <c r="N1158" s="678" t="s">
        <v>10788</v>
      </c>
      <c r="O1158" s="76" t="s">
        <v>10789</v>
      </c>
      <c r="P1158" s="523">
        <v>30679.0</v>
      </c>
      <c r="Q1158" s="315">
        <f t="shared" ref="Q1158:Q1163" si="145">VALUE(LEFT(TEXT(S1158,0),5))+1</f>
        <v>30679</v>
      </c>
      <c r="R1158" s="86">
        <f t="shared" ref="R1158:R1163" si="146">DATEDIF($P1158,TODAY(),"Y")</f>
        <v>42</v>
      </c>
      <c r="S1158" s="76">
        <v>3.06780203E9</v>
      </c>
      <c r="T1158" s="76" t="s">
        <v>378</v>
      </c>
      <c r="U1158" s="76" t="s">
        <v>368</v>
      </c>
      <c r="V1158" s="76"/>
      <c r="W1158" s="76"/>
      <c r="X1158" s="76"/>
      <c r="Y1158" s="97"/>
      <c r="Z1158" s="344" t="s">
        <v>2506</v>
      </c>
      <c r="AA1158" s="76" t="s">
        <v>1178</v>
      </c>
      <c r="AB1158" s="97"/>
      <c r="AC1158" s="76" t="s">
        <v>1032</v>
      </c>
      <c r="AD1158" s="76"/>
      <c r="AE1158" s="76"/>
      <c r="AF1158" s="76" t="s">
        <v>12072</v>
      </c>
      <c r="AG1158" s="76" t="s">
        <v>1187</v>
      </c>
      <c r="AH1158" s="153">
        <v>46206.0</v>
      </c>
      <c r="AI1158" s="67"/>
      <c r="AJ1158" s="67"/>
      <c r="AK1158" s="70"/>
      <c r="AL1158" s="70"/>
      <c r="AM1158" s="135"/>
      <c r="AN1158" s="135"/>
      <c r="AO1158" s="70"/>
      <c r="AP1158" s="70"/>
      <c r="AQ1158" s="67"/>
      <c r="AR1158" s="67"/>
      <c r="AS1158" s="67"/>
      <c r="AT1158" s="67"/>
    </row>
    <row r="1159">
      <c r="A1159" s="76" t="s">
        <v>116</v>
      </c>
      <c r="B1159" s="77" t="s">
        <v>3722</v>
      </c>
      <c r="C1159" s="77" t="s">
        <v>7267</v>
      </c>
      <c r="D1159" s="77" t="s">
        <v>121</v>
      </c>
      <c r="E1159" s="78" t="s">
        <v>119</v>
      </c>
      <c r="F1159" s="80" t="s">
        <v>7010</v>
      </c>
      <c r="G1159" s="77" t="s">
        <v>1442</v>
      </c>
      <c r="H1159" s="77" t="s">
        <v>504</v>
      </c>
      <c r="I1159" s="146" t="s">
        <v>408</v>
      </c>
      <c r="J1159" s="76" t="s">
        <v>114</v>
      </c>
      <c r="K1159" s="124" t="s">
        <v>12073</v>
      </c>
      <c r="L1159" s="76"/>
      <c r="M1159" s="76" t="s">
        <v>60</v>
      </c>
      <c r="N1159" s="256" t="s">
        <v>1438</v>
      </c>
      <c r="O1159" s="913" t="s">
        <v>1439</v>
      </c>
      <c r="P1159" s="523">
        <v>27740.0</v>
      </c>
      <c r="Q1159" s="315">
        <f t="shared" si="145"/>
        <v>27740</v>
      </c>
      <c r="R1159" s="86">
        <f t="shared" si="146"/>
        <v>50</v>
      </c>
      <c r="S1159" s="76">
        <v>2.773902098E9</v>
      </c>
      <c r="T1159" s="315" t="s">
        <v>378</v>
      </c>
      <c r="U1159" s="76" t="s">
        <v>368</v>
      </c>
      <c r="V1159" s="76"/>
      <c r="W1159" s="76"/>
      <c r="X1159" s="76"/>
      <c r="Y1159" s="97" t="s">
        <v>371</v>
      </c>
      <c r="Z1159" s="97"/>
      <c r="AA1159" s="76" t="s">
        <v>1178</v>
      </c>
      <c r="AB1159" s="97"/>
      <c r="AC1159" s="97"/>
      <c r="AD1159" s="99"/>
      <c r="AE1159" s="76"/>
      <c r="AF1159" s="76"/>
      <c r="AG1159" s="76" t="s">
        <v>375</v>
      </c>
      <c r="AH1159" s="153">
        <v>46193.0</v>
      </c>
      <c r="AI1159" s="67"/>
      <c r="AJ1159" s="67"/>
      <c r="AK1159" s="70"/>
      <c r="AL1159" s="70"/>
      <c r="AM1159" s="135"/>
      <c r="AN1159" s="135"/>
      <c r="AO1159" s="70"/>
      <c r="AP1159" s="70"/>
      <c r="AQ1159" s="67"/>
      <c r="AR1159" s="67"/>
      <c r="AS1159" s="67"/>
      <c r="AT1159" s="67"/>
    </row>
    <row r="1160">
      <c r="A1160" s="76" t="s">
        <v>116</v>
      </c>
      <c r="B1160" s="77" t="s">
        <v>1645</v>
      </c>
      <c r="C1160" s="77" t="s">
        <v>1728</v>
      </c>
      <c r="D1160" s="77" t="s">
        <v>121</v>
      </c>
      <c r="E1160" s="78" t="s">
        <v>178</v>
      </c>
      <c r="F1160" s="80" t="s">
        <v>3247</v>
      </c>
      <c r="G1160" s="77" t="s">
        <v>1065</v>
      </c>
      <c r="H1160" s="77" t="s">
        <v>102</v>
      </c>
      <c r="I1160" s="146" t="s">
        <v>408</v>
      </c>
      <c r="J1160" s="76" t="s">
        <v>114</v>
      </c>
      <c r="K1160" s="176" t="s">
        <v>12074</v>
      </c>
      <c r="L1160" s="76"/>
      <c r="M1160" s="85" t="s">
        <v>102</v>
      </c>
      <c r="N1160" s="256" t="s">
        <v>1061</v>
      </c>
      <c r="O1160" s="76" t="s">
        <v>1062</v>
      </c>
      <c r="P1160" s="523">
        <v>28325.0</v>
      </c>
      <c r="Q1160" s="315">
        <f t="shared" si="145"/>
        <v>28325</v>
      </c>
      <c r="R1160" s="86">
        <f t="shared" si="146"/>
        <v>49</v>
      </c>
      <c r="S1160" s="76">
        <v>2.832408634E9</v>
      </c>
      <c r="T1160" s="86"/>
      <c r="U1160" s="76" t="s">
        <v>368</v>
      </c>
      <c r="V1160" s="76"/>
      <c r="W1160" s="76"/>
      <c r="X1160" s="76"/>
      <c r="Y1160" s="167"/>
      <c r="Z1160" s="234" t="s">
        <v>1351</v>
      </c>
      <c r="AA1160" s="168"/>
      <c r="AB1160" s="97"/>
      <c r="AC1160" s="168"/>
      <c r="AD1160" s="168"/>
      <c r="AE1160" s="76"/>
      <c r="AF1160" s="76"/>
      <c r="AG1160" s="76" t="s">
        <v>1187</v>
      </c>
      <c r="AH1160" s="153">
        <v>46205.0</v>
      </c>
      <c r="AI1160" s="67"/>
      <c r="AJ1160" s="67"/>
      <c r="AK1160" s="70"/>
      <c r="AL1160" s="70"/>
      <c r="AM1160" s="135"/>
      <c r="AN1160" s="135"/>
      <c r="AO1160" s="70"/>
      <c r="AP1160" s="70"/>
      <c r="AQ1160" s="67"/>
      <c r="AR1160" s="67"/>
      <c r="AS1160" s="67"/>
      <c r="AT1160" s="67"/>
    </row>
    <row r="1161">
      <c r="A1161" s="76" t="s">
        <v>116</v>
      </c>
      <c r="B1161" s="77" t="s">
        <v>1709</v>
      </c>
      <c r="C1161" s="77" t="s">
        <v>1269</v>
      </c>
      <c r="D1161" s="77" t="s">
        <v>1494</v>
      </c>
      <c r="E1161" s="78" t="s">
        <v>321</v>
      </c>
      <c r="F1161" s="80" t="s">
        <v>1552</v>
      </c>
      <c r="G1161" s="77" t="s">
        <v>1182</v>
      </c>
      <c r="H1161" s="77" t="s">
        <v>60</v>
      </c>
      <c r="I1161" s="87" t="s">
        <v>1221</v>
      </c>
      <c r="J1161" s="85" t="s">
        <v>114</v>
      </c>
      <c r="K1161" s="124" t="s">
        <v>12075</v>
      </c>
      <c r="L1161" s="76"/>
      <c r="M1161" s="85" t="s">
        <v>60</v>
      </c>
      <c r="N1161" s="256" t="s">
        <v>1179</v>
      </c>
      <c r="O1161" s="76" t="s">
        <v>1180</v>
      </c>
      <c r="P1161" s="523">
        <v>30281.0</v>
      </c>
      <c r="Q1161" s="315">
        <f t="shared" si="145"/>
        <v>30281</v>
      </c>
      <c r="R1161" s="86">
        <f t="shared" si="146"/>
        <v>43</v>
      </c>
      <c r="S1161" s="76">
        <v>3.028011555E9</v>
      </c>
      <c r="T1161" s="86"/>
      <c r="U1161" s="76" t="s">
        <v>368</v>
      </c>
      <c r="V1161" s="76"/>
      <c r="W1161" s="76"/>
      <c r="X1161" s="97"/>
      <c r="Y1161" s="167"/>
      <c r="Z1161" s="176" t="s">
        <v>1460</v>
      </c>
      <c r="AA1161" s="168"/>
      <c r="AB1161" s="97"/>
      <c r="AC1161" s="168"/>
      <c r="AD1161" s="168"/>
      <c r="AE1161" s="76"/>
      <c r="AF1161" s="76"/>
      <c r="AG1161" s="76" t="s">
        <v>1187</v>
      </c>
      <c r="AH1161" s="153">
        <v>46195.0</v>
      </c>
      <c r="AI1161" s="67"/>
      <c r="AJ1161" s="67"/>
      <c r="AK1161" s="70"/>
      <c r="AL1161" s="70"/>
      <c r="AM1161" s="135"/>
      <c r="AN1161" s="135"/>
      <c r="AO1161" s="70"/>
      <c r="AP1161" s="70"/>
      <c r="AQ1161" s="67"/>
      <c r="AR1161" s="67"/>
      <c r="AS1161" s="67"/>
      <c r="AT1161" s="67"/>
    </row>
    <row r="1162">
      <c r="A1162" s="76" t="s">
        <v>116</v>
      </c>
      <c r="B1162" s="77" t="s">
        <v>3722</v>
      </c>
      <c r="C1162" s="77" t="s">
        <v>6996</v>
      </c>
      <c r="D1162" s="77" t="s">
        <v>7134</v>
      </c>
      <c r="E1162" s="78" t="s">
        <v>1431</v>
      </c>
      <c r="F1162" s="80" t="s">
        <v>1437</v>
      </c>
      <c r="G1162" s="77" t="s">
        <v>7153</v>
      </c>
      <c r="H1162" s="77" t="s">
        <v>60</v>
      </c>
      <c r="I1162" s="87" t="s">
        <v>1221</v>
      </c>
      <c r="J1162" s="85" t="s">
        <v>114</v>
      </c>
      <c r="K1162" s="76"/>
      <c r="L1162" s="47"/>
      <c r="M1162" s="85" t="s">
        <v>60</v>
      </c>
      <c r="N1162" s="678" t="s">
        <v>8634</v>
      </c>
      <c r="O1162" s="76" t="s">
        <v>1277</v>
      </c>
      <c r="P1162" s="523">
        <v>32101.0</v>
      </c>
      <c r="Q1162" s="315">
        <f t="shared" si="145"/>
        <v>32101</v>
      </c>
      <c r="R1162" s="86">
        <f t="shared" si="146"/>
        <v>38</v>
      </c>
      <c r="S1162" s="76">
        <v>3.21000379E9</v>
      </c>
      <c r="T1162" s="76" t="s">
        <v>1317</v>
      </c>
      <c r="U1162" s="76" t="s">
        <v>368</v>
      </c>
      <c r="V1162" s="76"/>
      <c r="W1162" s="76"/>
      <c r="X1162" s="76"/>
      <c r="Y1162" s="97"/>
      <c r="Z1162" s="216" t="s">
        <v>1173</v>
      </c>
      <c r="AA1162" s="76" t="s">
        <v>1178</v>
      </c>
      <c r="AB1162" s="97"/>
      <c r="AC1162" s="76"/>
      <c r="AD1162" s="76"/>
      <c r="AE1162" s="76"/>
      <c r="AF1162" s="76"/>
      <c r="AG1162" s="76" t="s">
        <v>2194</v>
      </c>
      <c r="AH1162" s="153">
        <v>46209.0</v>
      </c>
      <c r="AI1162" s="67"/>
      <c r="AJ1162" s="67"/>
      <c r="AK1162" s="70"/>
      <c r="AL1162" s="70"/>
      <c r="AM1162" s="135"/>
      <c r="AN1162" s="135"/>
      <c r="AO1162" s="70"/>
      <c r="AP1162" s="70"/>
      <c r="AQ1162" s="67"/>
      <c r="AR1162" s="67"/>
      <c r="AS1162" s="67"/>
      <c r="AT1162" s="67"/>
    </row>
    <row r="1163">
      <c r="A1163" s="76" t="s">
        <v>116</v>
      </c>
      <c r="B1163" s="77" t="s">
        <v>1709</v>
      </c>
      <c r="C1163" s="77" t="s">
        <v>1269</v>
      </c>
      <c r="D1163" s="77" t="s">
        <v>1519</v>
      </c>
      <c r="E1163" s="78" t="s">
        <v>187</v>
      </c>
      <c r="F1163" s="80" t="s">
        <v>1469</v>
      </c>
      <c r="G1163" s="77" t="s">
        <v>5755</v>
      </c>
      <c r="H1163" s="77" t="s">
        <v>60</v>
      </c>
      <c r="I1163" s="87" t="s">
        <v>1221</v>
      </c>
      <c r="J1163" s="109" t="s">
        <v>114</v>
      </c>
      <c r="K1163" s="85" t="s">
        <v>12076</v>
      </c>
      <c r="L1163" s="109"/>
      <c r="M1163" s="109" t="s">
        <v>60</v>
      </c>
      <c r="N1163" s="978" t="s">
        <v>1316</v>
      </c>
      <c r="O1163" s="87" t="s">
        <v>223</v>
      </c>
      <c r="P1163" s="1089">
        <v>29221.0</v>
      </c>
      <c r="Q1163" s="315">
        <f t="shared" si="145"/>
        <v>29221</v>
      </c>
      <c r="R1163" s="86">
        <f t="shared" si="146"/>
        <v>46</v>
      </c>
      <c r="S1163" s="315" t="s">
        <v>12077</v>
      </c>
      <c r="T1163" s="315"/>
      <c r="U1163" s="224" t="s">
        <v>136</v>
      </c>
      <c r="V1163" s="97"/>
      <c r="W1163" s="97"/>
      <c r="X1163" s="97"/>
      <c r="Y1163" s="97"/>
      <c r="Z1163" s="97"/>
      <c r="AA1163" s="97"/>
      <c r="AB1163" s="97"/>
      <c r="AC1163" s="97"/>
      <c r="AD1163" s="99"/>
      <c r="AE1163" s="97"/>
      <c r="AF1163" s="97" t="s">
        <v>155</v>
      </c>
      <c r="AG1163" s="76" t="s">
        <v>11131</v>
      </c>
      <c r="AH1163" s="76" t="s">
        <v>12000</v>
      </c>
      <c r="AI1163" s="67"/>
      <c r="AJ1163" s="67"/>
      <c r="AK1163" s="70"/>
      <c r="AL1163" s="70"/>
      <c r="AM1163" s="135"/>
      <c r="AN1163" s="135"/>
      <c r="AO1163" s="70"/>
      <c r="AP1163" s="70"/>
      <c r="AQ1163" s="67"/>
      <c r="AR1163" s="67"/>
      <c r="AS1163" s="67"/>
      <c r="AT1163" s="67"/>
    </row>
    <row r="1164">
      <c r="A1164" s="76" t="s">
        <v>116</v>
      </c>
      <c r="B1164" s="77" t="s">
        <v>3722</v>
      </c>
      <c r="C1164" s="77" t="s">
        <v>6996</v>
      </c>
      <c r="D1164" s="77" t="s">
        <v>7050</v>
      </c>
      <c r="E1164" s="78" t="s">
        <v>152</v>
      </c>
      <c r="F1164" s="80" t="s">
        <v>7116</v>
      </c>
      <c r="G1164" s="77" t="s">
        <v>1411</v>
      </c>
      <c r="H1164" s="77" t="s">
        <v>60</v>
      </c>
      <c r="I1164" s="87" t="s">
        <v>1221</v>
      </c>
      <c r="J1164" s="85" t="s">
        <v>114</v>
      </c>
      <c r="K1164" s="85"/>
      <c r="L1164" s="76"/>
      <c r="M1164" s="85" t="s">
        <v>60</v>
      </c>
      <c r="N1164" s="256" t="s">
        <v>1408</v>
      </c>
      <c r="O1164" s="76" t="s">
        <v>1409</v>
      </c>
      <c r="P1164" s="523">
        <v>31751.0</v>
      </c>
      <c r="Q1164" s="315"/>
      <c r="R1164" s="97"/>
      <c r="S1164" s="76"/>
      <c r="T1164" s="76" t="s">
        <v>9978</v>
      </c>
      <c r="U1164" s="76" t="s">
        <v>368</v>
      </c>
      <c r="V1164" s="76"/>
      <c r="W1164" s="97"/>
      <c r="X1164" s="76"/>
      <c r="Y1164" s="168"/>
      <c r="Z1164" s="216" t="s">
        <v>2155</v>
      </c>
      <c r="AA1164" s="341" t="s">
        <v>1178</v>
      </c>
      <c r="AB1164" s="97"/>
      <c r="AC1164" s="168"/>
      <c r="AD1164" s="168"/>
      <c r="AE1164" s="76"/>
      <c r="AF1164" s="76"/>
      <c r="AG1164" s="76"/>
      <c r="AH1164" s="153">
        <v>46203.0</v>
      </c>
      <c r="AI1164" s="67"/>
      <c r="AJ1164" s="67"/>
      <c r="AK1164" s="70"/>
      <c r="AL1164" s="70"/>
      <c r="AM1164" s="135"/>
      <c r="AN1164" s="135"/>
      <c r="AO1164" s="70"/>
      <c r="AP1164" s="70"/>
      <c r="AQ1164" s="67"/>
      <c r="AR1164" s="67"/>
      <c r="AS1164" s="67"/>
      <c r="AT1164" s="67"/>
    </row>
    <row r="1165">
      <c r="A1165" s="76" t="s">
        <v>116</v>
      </c>
      <c r="B1165" s="77" t="s">
        <v>1709</v>
      </c>
      <c r="C1165" s="77" t="s">
        <v>1269</v>
      </c>
      <c r="D1165" s="77" t="s">
        <v>1519</v>
      </c>
      <c r="E1165" s="78" t="s">
        <v>213</v>
      </c>
      <c r="F1165" s="80" t="s">
        <v>1523</v>
      </c>
      <c r="G1165" s="77" t="s">
        <v>1225</v>
      </c>
      <c r="H1165" s="77" t="s">
        <v>60</v>
      </c>
      <c r="I1165" s="87" t="s">
        <v>1221</v>
      </c>
      <c r="J1165" s="85"/>
      <c r="K1165" s="76"/>
      <c r="L1165" s="1174"/>
      <c r="M1165" s="468" t="s">
        <v>60</v>
      </c>
      <c r="N1165" s="468" t="s">
        <v>12078</v>
      </c>
      <c r="O1165" s="76"/>
      <c r="P1165" s="523"/>
      <c r="Q1165" s="315"/>
      <c r="R1165" s="86"/>
      <c r="S1165" s="76"/>
      <c r="T1165" s="86"/>
      <c r="U1165" s="224" t="s">
        <v>379</v>
      </c>
      <c r="V1165" s="86"/>
      <c r="W1165" s="76"/>
      <c r="X1165" s="76"/>
      <c r="Y1165" s="97"/>
      <c r="Z1165" s="85"/>
      <c r="AA1165" s="97"/>
      <c r="AB1165" s="97"/>
      <c r="AC1165" s="160" t="s">
        <v>630</v>
      </c>
      <c r="AD1165" s="76" t="s">
        <v>632</v>
      </c>
      <c r="AE1165" s="76"/>
      <c r="AF1165" s="160" t="s">
        <v>630</v>
      </c>
      <c r="AG1165" s="226"/>
      <c r="AH1165" s="226"/>
      <c r="AI1165" s="67"/>
      <c r="AJ1165" s="67"/>
      <c r="AK1165" s="70"/>
      <c r="AL1165" s="70"/>
      <c r="AM1165" s="135"/>
      <c r="AN1165" s="135"/>
      <c r="AO1165" s="70"/>
      <c r="AP1165" s="70"/>
      <c r="AQ1165" s="67"/>
      <c r="AR1165" s="67"/>
      <c r="AS1165" s="67"/>
      <c r="AT1165" s="67"/>
    </row>
    <row r="1166">
      <c r="A1166" s="76" t="s">
        <v>116</v>
      </c>
      <c r="B1166" s="77" t="s">
        <v>1709</v>
      </c>
      <c r="C1166" s="77" t="s">
        <v>1517</v>
      </c>
      <c r="D1166" s="77" t="s">
        <v>1519</v>
      </c>
      <c r="E1166" s="78" t="s">
        <v>321</v>
      </c>
      <c r="F1166" s="80" t="s">
        <v>1552</v>
      </c>
      <c r="G1166" s="77" t="s">
        <v>6166</v>
      </c>
      <c r="H1166" s="77" t="s">
        <v>60</v>
      </c>
      <c r="I1166" s="87" t="s">
        <v>1221</v>
      </c>
      <c r="J1166" s="76" t="s">
        <v>114</v>
      </c>
      <c r="K1166" s="124" t="s">
        <v>1602</v>
      </c>
      <c r="L1166" s="47"/>
      <c r="M1166" s="85" t="s">
        <v>60</v>
      </c>
      <c r="N1166" s="678" t="s">
        <v>8386</v>
      </c>
      <c r="O1166" s="76" t="s">
        <v>943</v>
      </c>
      <c r="P1166" s="523">
        <v>32172.0</v>
      </c>
      <c r="Q1166" s="315">
        <f t="shared" ref="Q1166:Q1168" si="147">VALUE(LEFT(TEXT(S1166,0),5))+1</f>
        <v>32172</v>
      </c>
      <c r="R1166" s="86">
        <f t="shared" ref="R1166:R1168" si="148">DATEDIF($P1166,TODAY(),"Y")</f>
        <v>38</v>
      </c>
      <c r="S1166" s="76">
        <v>3.217110671E9</v>
      </c>
      <c r="T1166" s="315"/>
      <c r="U1166" s="76" t="s">
        <v>368</v>
      </c>
      <c r="V1166" s="76"/>
      <c r="W1166" s="76"/>
      <c r="X1166" s="76"/>
      <c r="Y1166" s="97"/>
      <c r="Z1166" s="216" t="s">
        <v>1815</v>
      </c>
      <c r="AA1166" s="76"/>
      <c r="AB1166" s="97"/>
      <c r="AC1166" s="76" t="s">
        <v>1032</v>
      </c>
      <c r="AD1166" s="76"/>
      <c r="AE1166" s="76"/>
      <c r="AF1166" s="76"/>
      <c r="AG1166" s="76" t="s">
        <v>1187</v>
      </c>
      <c r="AH1166" s="153">
        <v>46200.0</v>
      </c>
      <c r="AI1166" s="67"/>
      <c r="AJ1166" s="67"/>
      <c r="AK1166" s="70"/>
      <c r="AL1166" s="70"/>
      <c r="AM1166" s="135"/>
      <c r="AN1166" s="135"/>
      <c r="AO1166" s="70"/>
      <c r="AP1166" s="70"/>
      <c r="AQ1166" s="67"/>
      <c r="AR1166" s="67"/>
      <c r="AS1166" s="67"/>
      <c r="AT1166" s="67"/>
    </row>
    <row r="1167">
      <c r="A1167" s="76" t="s">
        <v>116</v>
      </c>
      <c r="B1167" s="77" t="s">
        <v>1709</v>
      </c>
      <c r="C1167" s="77" t="s">
        <v>1728</v>
      </c>
      <c r="D1167" s="77" t="s">
        <v>121</v>
      </c>
      <c r="E1167" s="78" t="s">
        <v>201</v>
      </c>
      <c r="F1167" s="80" t="s">
        <v>1849</v>
      </c>
      <c r="G1167" s="77" t="s">
        <v>6754</v>
      </c>
      <c r="H1167" s="77" t="s">
        <v>60</v>
      </c>
      <c r="I1167" s="87" t="s">
        <v>1221</v>
      </c>
      <c r="J1167" s="85" t="s">
        <v>114</v>
      </c>
      <c r="K1167" s="124" t="s">
        <v>1602</v>
      </c>
      <c r="L1167" s="76"/>
      <c r="M1167" s="85" t="s">
        <v>60</v>
      </c>
      <c r="N1167" s="678" t="s">
        <v>8423</v>
      </c>
      <c r="O1167" s="320" t="s">
        <v>10372</v>
      </c>
      <c r="P1167" s="523">
        <v>29034.0</v>
      </c>
      <c r="Q1167" s="315">
        <f t="shared" si="147"/>
        <v>29034</v>
      </c>
      <c r="R1167" s="86">
        <f t="shared" si="148"/>
        <v>47</v>
      </c>
      <c r="S1167" s="76">
        <v>2.903311215E9</v>
      </c>
      <c r="T1167" s="315" t="s">
        <v>1426</v>
      </c>
      <c r="U1167" s="76" t="s">
        <v>368</v>
      </c>
      <c r="V1167" s="76"/>
      <c r="W1167" s="76"/>
      <c r="X1167" s="76"/>
      <c r="Y1167" s="97"/>
      <c r="Z1167" s="216" t="s">
        <v>1173</v>
      </c>
      <c r="AA1167" s="97"/>
      <c r="AB1167" s="97"/>
      <c r="AC1167" s="76"/>
      <c r="AD1167" s="76"/>
      <c r="AE1167" s="76"/>
      <c r="AF1167" s="76" t="s">
        <v>12079</v>
      </c>
      <c r="AG1167" s="76" t="s">
        <v>1187</v>
      </c>
      <c r="AH1167" s="153">
        <v>46209.0</v>
      </c>
      <c r="AI1167" s="67"/>
      <c r="AJ1167" s="67"/>
      <c r="AK1167" s="70"/>
      <c r="AL1167" s="70"/>
      <c r="AM1167" s="135"/>
      <c r="AN1167" s="135"/>
      <c r="AO1167" s="70"/>
      <c r="AP1167" s="70"/>
      <c r="AQ1167" s="67"/>
      <c r="AR1167" s="67"/>
      <c r="AS1167" s="67"/>
      <c r="AT1167" s="67"/>
    </row>
    <row r="1168">
      <c r="A1168" s="76" t="s">
        <v>116</v>
      </c>
      <c r="B1168" s="77" t="s">
        <v>1709</v>
      </c>
      <c r="C1168" s="77" t="s">
        <v>1611</v>
      </c>
      <c r="D1168" s="77" t="s">
        <v>1519</v>
      </c>
      <c r="E1168" s="78" t="s">
        <v>213</v>
      </c>
      <c r="F1168" s="80" t="s">
        <v>1523</v>
      </c>
      <c r="G1168" s="77" t="s">
        <v>1336</v>
      </c>
      <c r="H1168" s="77" t="s">
        <v>60</v>
      </c>
      <c r="I1168" s="87" t="s">
        <v>1221</v>
      </c>
      <c r="J1168" s="109" t="s">
        <v>114</v>
      </c>
      <c r="K1168" s="124" t="s">
        <v>12080</v>
      </c>
      <c r="L1168" s="47"/>
      <c r="M1168" s="85" t="s">
        <v>60</v>
      </c>
      <c r="N1168" s="678" t="s">
        <v>8409</v>
      </c>
      <c r="O1168" s="320" t="s">
        <v>4428</v>
      </c>
      <c r="P1168" s="523">
        <v>28216.0</v>
      </c>
      <c r="Q1168" s="315">
        <f t="shared" si="147"/>
        <v>28216</v>
      </c>
      <c r="R1168" s="86">
        <f t="shared" si="148"/>
        <v>49</v>
      </c>
      <c r="S1168" s="76">
        <v>2.821509795E9</v>
      </c>
      <c r="T1168" s="76" t="s">
        <v>1548</v>
      </c>
      <c r="U1168" s="76" t="s">
        <v>368</v>
      </c>
      <c r="V1168" s="76"/>
      <c r="W1168" s="76"/>
      <c r="X1168" s="76"/>
      <c r="Y1168" s="97"/>
      <c r="Z1168" s="216" t="s">
        <v>1173</v>
      </c>
      <c r="AA1168" s="97"/>
      <c r="AB1168" s="97"/>
      <c r="AC1168" s="76"/>
      <c r="AD1168" s="76"/>
      <c r="AE1168" s="76"/>
      <c r="AF1168" s="76"/>
      <c r="AG1168" s="76" t="s">
        <v>1187</v>
      </c>
      <c r="AH1168" s="153">
        <v>46209.0</v>
      </c>
      <c r="AI1168" s="67"/>
      <c r="AJ1168" s="67"/>
      <c r="AK1168" s="70"/>
      <c r="AL1168" s="70"/>
      <c r="AM1168" s="135"/>
      <c r="AN1168" s="135"/>
      <c r="AO1168" s="70"/>
      <c r="AP1168" s="70"/>
      <c r="AQ1168" s="67"/>
      <c r="AR1168" s="67"/>
      <c r="AS1168" s="67"/>
      <c r="AT1168" s="67"/>
    </row>
    <row r="1169">
      <c r="A1169" s="76" t="s">
        <v>116</v>
      </c>
      <c r="B1169" s="77" t="s">
        <v>1709</v>
      </c>
      <c r="C1169" s="77" t="s">
        <v>1611</v>
      </c>
      <c r="D1169" s="77" t="s">
        <v>1494</v>
      </c>
      <c r="E1169" s="78" t="s">
        <v>321</v>
      </c>
      <c r="F1169" s="80" t="s">
        <v>1552</v>
      </c>
      <c r="G1169" s="77" t="s">
        <v>6496</v>
      </c>
      <c r="H1169" s="77" t="s">
        <v>60</v>
      </c>
      <c r="I1169" s="87" t="s">
        <v>1221</v>
      </c>
      <c r="J1169" s="85" t="s">
        <v>114</v>
      </c>
      <c r="K1169" s="176" t="s">
        <v>12081</v>
      </c>
      <c r="L1169" s="76"/>
      <c r="M1169" s="85" t="s">
        <v>60</v>
      </c>
      <c r="N1169" s="256" t="s">
        <v>3086</v>
      </c>
      <c r="O1169" s="76" t="s">
        <v>3087</v>
      </c>
      <c r="P1169" s="523">
        <v>29209.0</v>
      </c>
      <c r="Q1169" s="315"/>
      <c r="R1169" s="97"/>
      <c r="S1169" s="76"/>
      <c r="T1169" s="76" t="s">
        <v>1426</v>
      </c>
      <c r="U1169" s="76" t="s">
        <v>368</v>
      </c>
      <c r="V1169" s="76"/>
      <c r="W1169" s="76"/>
      <c r="X1169" s="76"/>
      <c r="Y1169" s="86" t="s">
        <v>1174</v>
      </c>
      <c r="Z1169" s="216" t="s">
        <v>2155</v>
      </c>
      <c r="AA1169" s="76" t="s">
        <v>1178</v>
      </c>
      <c r="AB1169" s="97"/>
      <c r="AC1169" s="168"/>
      <c r="AD1169" s="168"/>
      <c r="AE1169" s="76"/>
      <c r="AF1169" s="76" t="s">
        <v>12082</v>
      </c>
      <c r="AG1169" s="76" t="s">
        <v>1187</v>
      </c>
      <c r="AH1169" s="153">
        <v>46203.0</v>
      </c>
      <c r="AI1169" s="67"/>
      <c r="AJ1169" s="67"/>
      <c r="AK1169" s="70"/>
      <c r="AL1169" s="70"/>
      <c r="AM1169" s="135"/>
      <c r="AN1169" s="135"/>
      <c r="AO1169" s="70"/>
      <c r="AP1169" s="70"/>
      <c r="AQ1169" s="67"/>
      <c r="AR1169" s="67"/>
      <c r="AS1169" s="67"/>
      <c r="AT1169" s="67"/>
    </row>
    <row r="1170">
      <c r="A1170" s="76" t="s">
        <v>116</v>
      </c>
      <c r="B1170" s="77" t="s">
        <v>3332</v>
      </c>
      <c r="C1170" s="77" t="s">
        <v>3333</v>
      </c>
      <c r="D1170" s="77" t="s">
        <v>121</v>
      </c>
      <c r="E1170" s="78" t="s">
        <v>1431</v>
      </c>
      <c r="F1170" s="80" t="s">
        <v>1437</v>
      </c>
      <c r="G1170" s="77" t="s">
        <v>10101</v>
      </c>
      <c r="H1170" s="77" t="s">
        <v>60</v>
      </c>
      <c r="I1170" s="87" t="s">
        <v>1221</v>
      </c>
      <c r="J1170" s="76" t="s">
        <v>114</v>
      </c>
      <c r="K1170" s="76"/>
      <c r="L1170" s="47">
        <v>10.0</v>
      </c>
      <c r="M1170" s="85" t="s">
        <v>60</v>
      </c>
      <c r="N1170" s="286" t="s">
        <v>12083</v>
      </c>
      <c r="O1170" s="76" t="s">
        <v>12084</v>
      </c>
      <c r="P1170" s="523">
        <v>28905.0</v>
      </c>
      <c r="Q1170" s="315">
        <f t="shared" ref="Q1170:Q1171" si="149">VALUE(LEFT(TEXT(S1170,0),5))+1</f>
        <v>28905</v>
      </c>
      <c r="R1170" s="86">
        <f t="shared" ref="R1170:R1171" si="150">DATEDIF($P1170,TODAY(),"Y")</f>
        <v>47</v>
      </c>
      <c r="S1170" s="76">
        <v>2.890400995E9</v>
      </c>
      <c r="T1170" s="76" t="s">
        <v>378</v>
      </c>
      <c r="U1170" s="76" t="s">
        <v>136</v>
      </c>
      <c r="V1170" s="76"/>
      <c r="W1170" s="76"/>
      <c r="X1170" s="76"/>
      <c r="Y1170" s="276"/>
      <c r="Z1170" s="216" t="s">
        <v>1982</v>
      </c>
      <c r="AA1170" s="76" t="s">
        <v>1178</v>
      </c>
      <c r="AB1170" s="97"/>
      <c r="AC1170" s="76"/>
      <c r="AD1170" s="276"/>
      <c r="AE1170" s="76"/>
      <c r="AF1170" s="76" t="s">
        <v>1988</v>
      </c>
      <c r="AG1170" s="189"/>
      <c r="AH1170" s="76" t="s">
        <v>12085</v>
      </c>
      <c r="AI1170" s="67"/>
      <c r="AJ1170" s="67"/>
      <c r="AK1170" s="70"/>
      <c r="AL1170" s="70"/>
      <c r="AM1170" s="135"/>
      <c r="AN1170" s="135"/>
      <c r="AO1170" s="70"/>
      <c r="AP1170" s="70"/>
      <c r="AQ1170" s="67"/>
      <c r="AR1170" s="67"/>
      <c r="AS1170" s="67"/>
      <c r="AT1170" s="67"/>
    </row>
    <row r="1171">
      <c r="A1171" s="76" t="s">
        <v>116</v>
      </c>
      <c r="B1171" s="77" t="s">
        <v>6229</v>
      </c>
      <c r="C1171" s="77" t="s">
        <v>121</v>
      </c>
      <c r="D1171" s="77" t="s">
        <v>121</v>
      </c>
      <c r="E1171" s="78" t="s">
        <v>1536</v>
      </c>
      <c r="F1171" s="80" t="s">
        <v>6230</v>
      </c>
      <c r="G1171" s="77" t="s">
        <v>2158</v>
      </c>
      <c r="H1171" s="77" t="s">
        <v>60</v>
      </c>
      <c r="I1171" s="87" t="s">
        <v>1221</v>
      </c>
      <c r="J1171" s="85" t="s">
        <v>114</v>
      </c>
      <c r="K1171" s="157"/>
      <c r="L1171" s="47"/>
      <c r="M1171" s="85" t="s">
        <v>60</v>
      </c>
      <c r="N1171" s="286" t="s">
        <v>12086</v>
      </c>
      <c r="O1171" s="76" t="s">
        <v>12087</v>
      </c>
      <c r="P1171" s="523">
        <v>31825.0</v>
      </c>
      <c r="Q1171" s="315">
        <f t="shared" si="149"/>
        <v>31825</v>
      </c>
      <c r="R1171" s="86">
        <f t="shared" si="150"/>
        <v>39</v>
      </c>
      <c r="S1171" s="76">
        <v>3.182421431E9</v>
      </c>
      <c r="T1171" s="315"/>
      <c r="U1171" s="76" t="s">
        <v>136</v>
      </c>
      <c r="V1171" s="76"/>
      <c r="W1171" s="76"/>
      <c r="X1171" s="76"/>
      <c r="Y1171" s="97"/>
      <c r="Z1171" s="216" t="s">
        <v>1173</v>
      </c>
      <c r="AA1171" s="76" t="s">
        <v>1178</v>
      </c>
      <c r="AB1171" s="97"/>
      <c r="AC1171" s="76"/>
      <c r="AD1171" s="76"/>
      <c r="AE1171" s="76"/>
      <c r="AF1171" s="76" t="s">
        <v>8404</v>
      </c>
      <c r="AG1171" s="76" t="s">
        <v>12088</v>
      </c>
      <c r="AH1171" s="1175">
        <v>46211.0</v>
      </c>
      <c r="AI1171" s="67"/>
      <c r="AJ1171" s="67"/>
      <c r="AK1171" s="70"/>
      <c r="AL1171" s="70"/>
      <c r="AM1171" s="135"/>
      <c r="AN1171" s="135"/>
      <c r="AO1171" s="70"/>
      <c r="AP1171" s="70"/>
      <c r="AQ1171" s="67"/>
      <c r="AR1171" s="67"/>
      <c r="AS1171" s="67"/>
      <c r="AT1171" s="67"/>
    </row>
    <row r="1172">
      <c r="A1172" s="76" t="s">
        <v>116</v>
      </c>
      <c r="B1172" s="77" t="s">
        <v>1039</v>
      </c>
      <c r="C1172" s="77" t="s">
        <v>1517</v>
      </c>
      <c r="D1172" s="77" t="s">
        <v>1519</v>
      </c>
      <c r="E1172" s="78" t="s">
        <v>213</v>
      </c>
      <c r="F1172" s="80" t="s">
        <v>1523</v>
      </c>
      <c r="G1172" s="77" t="s">
        <v>549</v>
      </c>
      <c r="H1172" s="77" t="s">
        <v>60</v>
      </c>
      <c r="I1172" s="87" t="s">
        <v>1221</v>
      </c>
      <c r="J1172" s="76"/>
      <c r="K1172" s="762"/>
      <c r="L1172" s="764"/>
      <c r="M1172" s="127" t="s">
        <v>60</v>
      </c>
      <c r="N1172" s="996" t="s">
        <v>12089</v>
      </c>
      <c r="O1172" s="47"/>
      <c r="P1172" s="523"/>
      <c r="Q1172" s="315"/>
      <c r="R1172" s="97"/>
      <c r="S1172" s="315"/>
      <c r="T1172" s="315"/>
      <c r="U1172" s="291" t="s">
        <v>379</v>
      </c>
      <c r="V1172" s="86"/>
      <c r="W1172" s="97"/>
      <c r="X1172" s="97"/>
      <c r="Y1172" s="226"/>
      <c r="Z1172" s="226"/>
      <c r="AA1172" s="226"/>
      <c r="AB1172" s="97"/>
      <c r="AC1172" s="160" t="s">
        <v>630</v>
      </c>
      <c r="AD1172" s="76" t="s">
        <v>632</v>
      </c>
      <c r="AE1172" s="76"/>
      <c r="AF1172" s="160" t="s">
        <v>630</v>
      </c>
      <c r="AG1172" s="76"/>
      <c r="AH1172" s="153"/>
      <c r="AI1172" s="67"/>
      <c r="AJ1172" s="67"/>
      <c r="AK1172" s="70"/>
      <c r="AL1172" s="70"/>
      <c r="AM1172" s="135"/>
      <c r="AN1172" s="135"/>
      <c r="AO1172" s="70"/>
      <c r="AP1172" s="70"/>
      <c r="AQ1172" s="67"/>
      <c r="AR1172" s="67"/>
      <c r="AS1172" s="67"/>
      <c r="AT1172" s="67"/>
    </row>
    <row r="1173">
      <c r="A1173" s="76" t="s">
        <v>116</v>
      </c>
      <c r="B1173" s="77" t="s">
        <v>1039</v>
      </c>
      <c r="C1173" s="77" t="s">
        <v>1517</v>
      </c>
      <c r="D1173" s="77" t="s">
        <v>1519</v>
      </c>
      <c r="E1173" s="78" t="s">
        <v>213</v>
      </c>
      <c r="F1173" s="80" t="s">
        <v>1523</v>
      </c>
      <c r="G1173" s="77" t="s">
        <v>549</v>
      </c>
      <c r="H1173" s="77" t="s">
        <v>60</v>
      </c>
      <c r="I1173" s="87" t="s">
        <v>1221</v>
      </c>
      <c r="J1173" s="76"/>
      <c r="K1173" s="85"/>
      <c r="L1173" s="47"/>
      <c r="M1173" s="127" t="s">
        <v>60</v>
      </c>
      <c r="N1173" s="1176" t="s">
        <v>12090</v>
      </c>
      <c r="O1173" s="341"/>
      <c r="P1173" s="825"/>
      <c r="Q1173" s="315"/>
      <c r="R1173" s="97"/>
      <c r="S1173" s="76"/>
      <c r="T1173" s="168"/>
      <c r="U1173" s="291" t="s">
        <v>379</v>
      </c>
      <c r="V1173" s="86"/>
      <c r="W1173" s="97"/>
      <c r="X1173" s="97"/>
      <c r="Y1173" s="226"/>
      <c r="Z1173" s="226"/>
      <c r="AA1173" s="226"/>
      <c r="AB1173" s="97"/>
      <c r="AC1173" s="160" t="s">
        <v>630</v>
      </c>
      <c r="AD1173" s="76" t="s">
        <v>632</v>
      </c>
      <c r="AE1173" s="76"/>
      <c r="AF1173" s="160" t="s">
        <v>630</v>
      </c>
      <c r="AG1173" s="341"/>
      <c r="AH1173" s="153"/>
      <c r="AI1173" s="67"/>
      <c r="AJ1173" s="67"/>
      <c r="AK1173" s="70"/>
      <c r="AL1173" s="70"/>
      <c r="AM1173" s="135"/>
      <c r="AN1173" s="135"/>
      <c r="AO1173" s="70"/>
      <c r="AP1173" s="70"/>
      <c r="AQ1173" s="67"/>
      <c r="AR1173" s="67"/>
      <c r="AS1173" s="67"/>
      <c r="AT1173" s="67"/>
    </row>
    <row r="1174">
      <c r="A1174" s="76" t="s">
        <v>116</v>
      </c>
      <c r="B1174" s="77" t="s">
        <v>1039</v>
      </c>
      <c r="C1174" s="77" t="s">
        <v>1517</v>
      </c>
      <c r="D1174" s="77" t="s">
        <v>1519</v>
      </c>
      <c r="E1174" s="78" t="s">
        <v>201</v>
      </c>
      <c r="F1174" s="80" t="s">
        <v>1849</v>
      </c>
      <c r="G1174" s="77" t="s">
        <v>2466</v>
      </c>
      <c r="H1174" s="77" t="s">
        <v>60</v>
      </c>
      <c r="I1174" s="87" t="s">
        <v>1221</v>
      </c>
      <c r="J1174" s="76" t="s">
        <v>114</v>
      </c>
      <c r="K1174" s="76"/>
      <c r="L1174" s="47"/>
      <c r="M1174" s="85" t="s">
        <v>60</v>
      </c>
      <c r="N1174" s="678" t="s">
        <v>10626</v>
      </c>
      <c r="O1174" s="76" t="s">
        <v>989</v>
      </c>
      <c r="P1174" s="523">
        <v>31688.0</v>
      </c>
      <c r="Q1174" s="315">
        <f t="shared" ref="Q1174:Q1189" si="151">VALUE(LEFT(TEXT(S1174,0),5))+1</f>
        <v>31688</v>
      </c>
      <c r="R1174" s="86">
        <f t="shared" ref="R1174:R1249" si="152">DATEDIF($P1174,TODAY(),"Y")</f>
        <v>39</v>
      </c>
      <c r="S1174" s="76">
        <v>3.168708957E9</v>
      </c>
      <c r="T1174" s="76" t="s">
        <v>1548</v>
      </c>
      <c r="U1174" s="76" t="s">
        <v>136</v>
      </c>
      <c r="V1174" s="76"/>
      <c r="W1174" s="76"/>
      <c r="X1174" s="76"/>
      <c r="Y1174" s="97"/>
      <c r="Z1174" s="216" t="s">
        <v>1815</v>
      </c>
      <c r="AA1174" s="76" t="s">
        <v>1178</v>
      </c>
      <c r="AB1174" s="97"/>
      <c r="AC1174" s="76" t="s">
        <v>1032</v>
      </c>
      <c r="AD1174" s="76"/>
      <c r="AE1174" s="76"/>
      <c r="AF1174" s="76" t="s">
        <v>1819</v>
      </c>
      <c r="AG1174" s="76" t="s">
        <v>1187</v>
      </c>
      <c r="AH1174" s="76" t="s">
        <v>12091</v>
      </c>
      <c r="AI1174" s="67"/>
      <c r="AJ1174" s="67"/>
      <c r="AK1174" s="70"/>
      <c r="AL1174" s="70"/>
      <c r="AM1174" s="135"/>
      <c r="AN1174" s="135"/>
      <c r="AO1174" s="70"/>
      <c r="AP1174" s="70"/>
      <c r="AQ1174" s="67"/>
      <c r="AR1174" s="67"/>
      <c r="AS1174" s="67"/>
      <c r="AT1174" s="67"/>
    </row>
    <row r="1175">
      <c r="A1175" s="76" t="s">
        <v>116</v>
      </c>
      <c r="B1175" s="77" t="s">
        <v>1728</v>
      </c>
      <c r="C1175" s="77" t="s">
        <v>121</v>
      </c>
      <c r="D1175" s="77" t="s">
        <v>121</v>
      </c>
      <c r="E1175" s="78" t="s">
        <v>213</v>
      </c>
      <c r="F1175" s="80" t="s">
        <v>1523</v>
      </c>
      <c r="G1175" s="77" t="s">
        <v>1826</v>
      </c>
      <c r="H1175" s="77" t="s">
        <v>60</v>
      </c>
      <c r="I1175" s="87" t="s">
        <v>1221</v>
      </c>
      <c r="J1175" s="76" t="s">
        <v>114</v>
      </c>
      <c r="K1175" s="124" t="s">
        <v>12092</v>
      </c>
      <c r="L1175" s="85"/>
      <c r="M1175" s="85" t="s">
        <v>60</v>
      </c>
      <c r="N1175" s="287" t="s">
        <v>745</v>
      </c>
      <c r="O1175" s="295" t="s">
        <v>746</v>
      </c>
      <c r="P1175" s="825">
        <v>36102.0</v>
      </c>
      <c r="Q1175" s="315">
        <f t="shared" si="151"/>
        <v>36102</v>
      </c>
      <c r="R1175" s="97">
        <f t="shared" si="152"/>
        <v>27</v>
      </c>
      <c r="S1175" s="76">
        <v>3.610102172E9</v>
      </c>
      <c r="T1175" s="315" t="s">
        <v>378</v>
      </c>
      <c r="U1175" s="76" t="s">
        <v>136</v>
      </c>
      <c r="V1175" s="76"/>
      <c r="W1175" s="76"/>
      <c r="X1175" s="76"/>
      <c r="Y1175" s="97" t="s">
        <v>1174</v>
      </c>
      <c r="Z1175" s="176" t="s">
        <v>1460</v>
      </c>
      <c r="AA1175" s="76" t="s">
        <v>1178</v>
      </c>
      <c r="AB1175" s="76"/>
      <c r="AC1175" s="76"/>
      <c r="AD1175" s="99"/>
      <c r="AE1175" s="76"/>
      <c r="AF1175" s="76" t="s">
        <v>155</v>
      </c>
      <c r="AG1175" s="27" t="s">
        <v>1187</v>
      </c>
      <c r="AH1175" s="153">
        <v>46210.0</v>
      </c>
      <c r="AI1175" s="67"/>
      <c r="AJ1175" s="67"/>
      <c r="AK1175" s="70"/>
      <c r="AL1175" s="70"/>
      <c r="AM1175" s="135"/>
      <c r="AN1175" s="135"/>
      <c r="AO1175" s="70"/>
      <c r="AP1175" s="70"/>
      <c r="AQ1175" s="67"/>
      <c r="AR1175" s="67"/>
      <c r="AS1175" s="67"/>
      <c r="AT1175" s="67"/>
    </row>
    <row r="1176">
      <c r="A1176" s="76" t="s">
        <v>116</v>
      </c>
      <c r="B1176" s="77" t="s">
        <v>1645</v>
      </c>
      <c r="C1176" s="77" t="s">
        <v>1517</v>
      </c>
      <c r="D1176" s="77" t="s">
        <v>1519</v>
      </c>
      <c r="E1176" s="78" t="s">
        <v>213</v>
      </c>
      <c r="F1176" s="80" t="s">
        <v>1523</v>
      </c>
      <c r="G1176" s="77" t="s">
        <v>957</v>
      </c>
      <c r="H1176" s="77" t="s">
        <v>60</v>
      </c>
      <c r="I1176" s="87" t="s">
        <v>1221</v>
      </c>
      <c r="J1176" s="76" t="s">
        <v>114</v>
      </c>
      <c r="K1176" s="176" t="s">
        <v>12093</v>
      </c>
      <c r="L1176" s="47"/>
      <c r="M1176" s="85" t="s">
        <v>60</v>
      </c>
      <c r="N1176" s="286" t="s">
        <v>10353</v>
      </c>
      <c r="O1176" s="76" t="s">
        <v>10354</v>
      </c>
      <c r="P1176" s="523">
        <v>33448.0</v>
      </c>
      <c r="Q1176" s="315">
        <f t="shared" si="151"/>
        <v>1</v>
      </c>
      <c r="R1176" s="86">
        <f t="shared" si="152"/>
        <v>35</v>
      </c>
      <c r="S1176" s="76"/>
      <c r="T1176" s="315"/>
      <c r="U1176" s="76" t="s">
        <v>136</v>
      </c>
      <c r="V1176" s="76"/>
      <c r="W1176" s="76"/>
      <c r="X1176" s="76"/>
      <c r="Y1176" s="276"/>
      <c r="Z1176" s="216" t="s">
        <v>1173</v>
      </c>
      <c r="AA1176" s="76"/>
      <c r="AB1176" s="97"/>
      <c r="AC1176" s="76"/>
      <c r="AD1176" s="76"/>
      <c r="AE1176" s="76"/>
      <c r="AF1176" s="76" t="s">
        <v>3601</v>
      </c>
      <c r="AG1176" s="27" t="s">
        <v>2194</v>
      </c>
      <c r="AH1176" s="76" t="s">
        <v>12094</v>
      </c>
      <c r="AI1176" s="67"/>
      <c r="AJ1176" s="67"/>
      <c r="AK1176" s="70"/>
      <c r="AL1176" s="70"/>
      <c r="AM1176" s="135"/>
      <c r="AN1176" s="135"/>
      <c r="AO1176" s="70"/>
      <c r="AP1176" s="70"/>
      <c r="AQ1176" s="67"/>
      <c r="AR1176" s="67"/>
      <c r="AS1176" s="67"/>
      <c r="AT1176" s="67"/>
    </row>
    <row r="1177">
      <c r="A1177" s="76" t="s">
        <v>116</v>
      </c>
      <c r="B1177" s="77" t="s">
        <v>3722</v>
      </c>
      <c r="C1177" s="77" t="s">
        <v>7267</v>
      </c>
      <c r="D1177" s="77" t="s">
        <v>7134</v>
      </c>
      <c r="E1177" s="78" t="s">
        <v>786</v>
      </c>
      <c r="F1177" s="80" t="s">
        <v>7372</v>
      </c>
      <c r="G1177" s="77" t="s">
        <v>1486</v>
      </c>
      <c r="H1177" s="77" t="s">
        <v>60</v>
      </c>
      <c r="I1177" s="87" t="s">
        <v>1221</v>
      </c>
      <c r="J1177" s="27" t="s">
        <v>114</v>
      </c>
      <c r="K1177" s="176" t="s">
        <v>12095</v>
      </c>
      <c r="L1177" s="87"/>
      <c r="M1177" s="87" t="s">
        <v>60</v>
      </c>
      <c r="N1177" s="287" t="s">
        <v>1481</v>
      </c>
      <c r="O1177" s="76" t="s">
        <v>1482</v>
      </c>
      <c r="P1177" s="825">
        <v>32103.0</v>
      </c>
      <c r="Q1177" s="315">
        <f t="shared" si="151"/>
        <v>32103</v>
      </c>
      <c r="R1177" s="86">
        <f t="shared" si="152"/>
        <v>38</v>
      </c>
      <c r="S1177" s="76">
        <v>3.210204937E9</v>
      </c>
      <c r="T1177" s="315"/>
      <c r="U1177" s="76" t="s">
        <v>136</v>
      </c>
      <c r="V1177" s="76"/>
      <c r="W1177" s="97"/>
      <c r="X1177" s="97"/>
      <c r="Y1177" s="97"/>
      <c r="Z1177" s="176" t="s">
        <v>1460</v>
      </c>
      <c r="AA1177" s="76"/>
      <c r="AB1177" s="97"/>
      <c r="AC1177" s="76" t="s">
        <v>1566</v>
      </c>
      <c r="AD1177" s="99"/>
      <c r="AE1177" s="76"/>
      <c r="AF1177" s="76" t="s">
        <v>7323</v>
      </c>
      <c r="AG1177" s="76"/>
      <c r="AH1177" s="153">
        <v>46211.0</v>
      </c>
      <c r="AI1177" s="67"/>
      <c r="AJ1177" s="67"/>
      <c r="AK1177" s="70"/>
      <c r="AL1177" s="70"/>
      <c r="AM1177" s="135"/>
      <c r="AN1177" s="135"/>
      <c r="AO1177" s="70"/>
      <c r="AP1177" s="70"/>
      <c r="AQ1177" s="67"/>
      <c r="AR1177" s="67"/>
      <c r="AS1177" s="67"/>
      <c r="AT1177" s="67"/>
    </row>
    <row r="1178">
      <c r="A1178" s="97" t="s">
        <v>860</v>
      </c>
      <c r="B1178" s="302" t="s">
        <v>4145</v>
      </c>
      <c r="C1178" s="97" t="s">
        <v>860</v>
      </c>
      <c r="D1178" s="86"/>
      <c r="E1178" s="762"/>
      <c r="F1178" s="86"/>
      <c r="G1178" s="86"/>
      <c r="H1178" s="86"/>
      <c r="I1178" s="86"/>
      <c r="J1178" s="109" t="s">
        <v>114</v>
      </c>
      <c r="K1178" s="109"/>
      <c r="L1178" s="109"/>
      <c r="M1178" s="109" t="s">
        <v>60</v>
      </c>
      <c r="N1178" s="85" t="s">
        <v>12096</v>
      </c>
      <c r="O1178" s="87" t="s">
        <v>12097</v>
      </c>
      <c r="P1178" s="523">
        <v>28474.0</v>
      </c>
      <c r="Q1178" s="315">
        <f t="shared" si="151"/>
        <v>28474</v>
      </c>
      <c r="R1178" s="97">
        <f t="shared" si="152"/>
        <v>48</v>
      </c>
      <c r="S1178" s="315">
        <v>2.847315215E9</v>
      </c>
      <c r="T1178" s="315" t="s">
        <v>1317</v>
      </c>
      <c r="U1178" s="124" t="s">
        <v>379</v>
      </c>
      <c r="V1178" s="76"/>
      <c r="W1178" s="86"/>
      <c r="X1178" s="97"/>
      <c r="Y1178" s="97"/>
      <c r="Z1178" s="97"/>
      <c r="AA1178" s="97"/>
      <c r="AB1178" s="97"/>
      <c r="AC1178" s="97" t="s">
        <v>860</v>
      </c>
      <c r="AD1178" s="99"/>
      <c r="AE1178" s="76"/>
      <c r="AF1178" s="1089" t="s">
        <v>12098</v>
      </c>
      <c r="AG1178" s="97"/>
      <c r="AH1178" s="76" t="s">
        <v>12099</v>
      </c>
      <c r="AI1178" s="763"/>
      <c r="AJ1178" s="763"/>
      <c r="AK1178" s="763"/>
      <c r="AL1178" s="763"/>
      <c r="AM1178" s="763"/>
      <c r="AN1178" s="763"/>
      <c r="AO1178" s="763"/>
      <c r="AP1178" s="763"/>
      <c r="AQ1178" s="763"/>
      <c r="AR1178" s="763"/>
      <c r="AS1178" s="763"/>
      <c r="AT1178" s="763"/>
    </row>
    <row r="1179">
      <c r="A1179" s="97" t="s">
        <v>860</v>
      </c>
      <c r="B1179" s="302" t="s">
        <v>4145</v>
      </c>
      <c r="C1179" s="97" t="s">
        <v>860</v>
      </c>
      <c r="D1179" s="86"/>
      <c r="E1179" s="762"/>
      <c r="F1179" s="86"/>
      <c r="G1179" s="86"/>
      <c r="H1179" s="86"/>
      <c r="I1179" s="86"/>
      <c r="J1179" s="109" t="s">
        <v>114</v>
      </c>
      <c r="K1179" s="176" t="s">
        <v>12100</v>
      </c>
      <c r="L1179" s="109"/>
      <c r="M1179" s="109" t="s">
        <v>60</v>
      </c>
      <c r="N1179" s="85" t="s">
        <v>12101</v>
      </c>
      <c r="O1179" s="87" t="s">
        <v>7459</v>
      </c>
      <c r="P1179" s="523">
        <v>31328.0</v>
      </c>
      <c r="Q1179" s="315">
        <f t="shared" si="151"/>
        <v>31328</v>
      </c>
      <c r="R1179" s="97">
        <f t="shared" si="152"/>
        <v>40</v>
      </c>
      <c r="S1179" s="315">
        <v>3.132711797E9</v>
      </c>
      <c r="T1179" s="315" t="s">
        <v>1426</v>
      </c>
      <c r="U1179" s="124" t="s">
        <v>379</v>
      </c>
      <c r="V1179" s="76"/>
      <c r="W1179" s="86"/>
      <c r="X1179" s="97"/>
      <c r="Y1179" s="76" t="s">
        <v>371</v>
      </c>
      <c r="Z1179" s="97"/>
      <c r="AA1179" s="97"/>
      <c r="AB1179" s="97"/>
      <c r="AC1179" s="97" t="s">
        <v>860</v>
      </c>
      <c r="AD1179" s="99"/>
      <c r="AE1179" s="76"/>
      <c r="AF1179" s="1089" t="s">
        <v>12098</v>
      </c>
      <c r="AG1179" s="76"/>
      <c r="AH1179" s="76" t="s">
        <v>12099</v>
      </c>
      <c r="AI1179" s="763"/>
      <c r="AJ1179" s="763"/>
      <c r="AK1179" s="763"/>
      <c r="AL1179" s="763"/>
      <c r="AM1179" s="763"/>
      <c r="AN1179" s="763"/>
      <c r="AO1179" s="763"/>
      <c r="AP1179" s="763"/>
      <c r="AQ1179" s="763"/>
      <c r="AR1179" s="763"/>
      <c r="AS1179" s="763"/>
      <c r="AT1179" s="763"/>
    </row>
    <row r="1180">
      <c r="A1180" s="97" t="s">
        <v>860</v>
      </c>
      <c r="B1180" s="302" t="s">
        <v>4145</v>
      </c>
      <c r="C1180" s="97" t="s">
        <v>860</v>
      </c>
      <c r="D1180" s="86"/>
      <c r="E1180" s="762"/>
      <c r="F1180" s="86"/>
      <c r="G1180" s="86"/>
      <c r="H1180" s="86"/>
      <c r="I1180" s="86"/>
      <c r="J1180" s="109" t="s">
        <v>114</v>
      </c>
      <c r="K1180" s="109"/>
      <c r="L1180" s="109"/>
      <c r="M1180" s="109" t="s">
        <v>360</v>
      </c>
      <c r="N1180" s="85" t="s">
        <v>12102</v>
      </c>
      <c r="O1180" s="86" t="s">
        <v>663</v>
      </c>
      <c r="P1180" s="523">
        <v>26852.0</v>
      </c>
      <c r="Q1180" s="315">
        <f t="shared" si="151"/>
        <v>26852</v>
      </c>
      <c r="R1180" s="97">
        <f t="shared" si="152"/>
        <v>53</v>
      </c>
      <c r="S1180" s="315">
        <v>2.685103612E9</v>
      </c>
      <c r="T1180" s="315" t="s">
        <v>1479</v>
      </c>
      <c r="U1180" s="124" t="s">
        <v>379</v>
      </c>
      <c r="V1180" s="76"/>
      <c r="W1180" s="86"/>
      <c r="X1180" s="97"/>
      <c r="Y1180" s="97"/>
      <c r="Z1180" s="97"/>
      <c r="AA1180" s="97"/>
      <c r="AB1180" s="97"/>
      <c r="AC1180" s="97" t="s">
        <v>860</v>
      </c>
      <c r="AD1180" s="99"/>
      <c r="AE1180" s="97"/>
      <c r="AF1180" s="1089" t="s">
        <v>12098</v>
      </c>
      <c r="AG1180" s="97"/>
      <c r="AH1180" s="76" t="s">
        <v>12099</v>
      </c>
      <c r="AI1180" s="763"/>
      <c r="AJ1180" s="763"/>
      <c r="AK1180" s="763"/>
      <c r="AL1180" s="763"/>
      <c r="AM1180" s="763"/>
      <c r="AN1180" s="763"/>
      <c r="AO1180" s="763"/>
      <c r="AP1180" s="763"/>
      <c r="AQ1180" s="763"/>
      <c r="AR1180" s="763"/>
      <c r="AS1180" s="763"/>
      <c r="AT1180" s="763"/>
    </row>
    <row r="1181">
      <c r="A1181" s="97" t="s">
        <v>860</v>
      </c>
      <c r="B1181" s="302" t="s">
        <v>4145</v>
      </c>
      <c r="C1181" s="97" t="s">
        <v>860</v>
      </c>
      <c r="D1181" s="86"/>
      <c r="E1181" s="762"/>
      <c r="F1181" s="86"/>
      <c r="G1181" s="86"/>
      <c r="H1181" s="86"/>
      <c r="I1181" s="86"/>
      <c r="J1181" s="109" t="s">
        <v>114</v>
      </c>
      <c r="K1181" s="109"/>
      <c r="L1181" s="109"/>
      <c r="M1181" s="109" t="s">
        <v>60</v>
      </c>
      <c r="N1181" s="1177" t="s">
        <v>12103</v>
      </c>
      <c r="O1181" s="85" t="s">
        <v>2478</v>
      </c>
      <c r="P1181" s="523">
        <v>32030.0</v>
      </c>
      <c r="Q1181" s="315">
        <f t="shared" si="151"/>
        <v>1</v>
      </c>
      <c r="R1181" s="97">
        <f t="shared" si="152"/>
        <v>38</v>
      </c>
      <c r="S1181" s="76"/>
      <c r="T1181" s="315" t="s">
        <v>1548</v>
      </c>
      <c r="U1181" s="603" t="s">
        <v>136</v>
      </c>
      <c r="V1181" s="76"/>
      <c r="W1181" s="86"/>
      <c r="X1181" s="97"/>
      <c r="Y1181" s="97"/>
      <c r="Z1181" s="97"/>
      <c r="AA1181" s="97"/>
      <c r="AB1181" s="97"/>
      <c r="AC1181" s="97" t="s">
        <v>860</v>
      </c>
      <c r="AD1181" s="99"/>
      <c r="AE1181" s="76"/>
      <c r="AF1181" s="1089" t="s">
        <v>12098</v>
      </c>
      <c r="AG1181" s="76"/>
      <c r="AH1181" s="76" t="s">
        <v>6964</v>
      </c>
      <c r="AI1181" s="763"/>
      <c r="AJ1181" s="763"/>
      <c r="AK1181" s="763"/>
      <c r="AL1181" s="763"/>
      <c r="AM1181" s="763"/>
      <c r="AN1181" s="763"/>
      <c r="AO1181" s="763"/>
      <c r="AP1181" s="763"/>
      <c r="AQ1181" s="763"/>
      <c r="AR1181" s="763"/>
      <c r="AS1181" s="763"/>
      <c r="AT1181" s="763"/>
    </row>
    <row r="1182">
      <c r="A1182" s="97" t="s">
        <v>860</v>
      </c>
      <c r="B1182" s="302" t="s">
        <v>4145</v>
      </c>
      <c r="C1182" s="97" t="s">
        <v>860</v>
      </c>
      <c r="D1182" s="86"/>
      <c r="E1182" s="762"/>
      <c r="F1182" s="86"/>
      <c r="G1182" s="86"/>
      <c r="H1182" s="86"/>
      <c r="I1182" s="86"/>
      <c r="J1182" s="109" t="s">
        <v>114</v>
      </c>
      <c r="K1182" s="109"/>
      <c r="L1182" s="109"/>
      <c r="M1182" s="109" t="s">
        <v>60</v>
      </c>
      <c r="N1182" s="85" t="s">
        <v>12104</v>
      </c>
      <c r="O1182" s="86" t="s">
        <v>12105</v>
      </c>
      <c r="P1182" s="523">
        <v>32128.0</v>
      </c>
      <c r="Q1182" s="315">
        <f t="shared" si="151"/>
        <v>32128</v>
      </c>
      <c r="R1182" s="97">
        <f t="shared" si="152"/>
        <v>38</v>
      </c>
      <c r="S1182" s="76">
        <v>3.212706812E9</v>
      </c>
      <c r="T1182" s="315" t="s">
        <v>1362</v>
      </c>
      <c r="U1182" s="124" t="s">
        <v>379</v>
      </c>
      <c r="V1182" s="76"/>
      <c r="W1182" s="86"/>
      <c r="X1182" s="97"/>
      <c r="Y1182" s="97"/>
      <c r="Z1182" s="97"/>
      <c r="AA1182" s="97"/>
      <c r="AB1182" s="97"/>
      <c r="AC1182" s="97" t="s">
        <v>860</v>
      </c>
      <c r="AD1182" s="99"/>
      <c r="AE1182" s="97"/>
      <c r="AF1182" s="1089" t="s">
        <v>12098</v>
      </c>
      <c r="AG1182" s="189"/>
      <c r="AH1182" s="76" t="s">
        <v>12099</v>
      </c>
      <c r="AI1182" s="763"/>
      <c r="AJ1182" s="763"/>
      <c r="AK1182" s="763"/>
      <c r="AL1182" s="763"/>
      <c r="AM1182" s="763"/>
      <c r="AN1182" s="763"/>
      <c r="AO1182" s="763"/>
      <c r="AP1182" s="763"/>
      <c r="AQ1182" s="763"/>
      <c r="AR1182" s="763"/>
      <c r="AS1182" s="763"/>
      <c r="AT1182" s="763"/>
    </row>
    <row r="1183">
      <c r="A1183" s="97" t="s">
        <v>860</v>
      </c>
      <c r="B1183" s="302" t="s">
        <v>4145</v>
      </c>
      <c r="C1183" s="97" t="s">
        <v>860</v>
      </c>
      <c r="D1183" s="86"/>
      <c r="E1183" s="762"/>
      <c r="F1183" s="86"/>
      <c r="G1183" s="86"/>
      <c r="H1183" s="86"/>
      <c r="I1183" s="86"/>
      <c r="J1183" s="109" t="s">
        <v>114</v>
      </c>
      <c r="K1183" s="109"/>
      <c r="L1183" s="109"/>
      <c r="M1183" s="109" t="s">
        <v>326</v>
      </c>
      <c r="N1183" s="85" t="s">
        <v>12106</v>
      </c>
      <c r="O1183" s="87" t="s">
        <v>1375</v>
      </c>
      <c r="P1183" s="523">
        <v>25410.0</v>
      </c>
      <c r="Q1183" s="315">
        <f t="shared" si="151"/>
        <v>25410</v>
      </c>
      <c r="R1183" s="97">
        <f t="shared" si="152"/>
        <v>57</v>
      </c>
      <c r="S1183" s="315">
        <v>2.540906653E9</v>
      </c>
      <c r="T1183" s="315" t="s">
        <v>1362</v>
      </c>
      <c r="U1183" s="124" t="s">
        <v>379</v>
      </c>
      <c r="V1183" s="76"/>
      <c r="W1183" s="86"/>
      <c r="X1183" s="97"/>
      <c r="Y1183" s="97"/>
      <c r="Z1183" s="97"/>
      <c r="AA1183" s="97"/>
      <c r="AB1183" s="97"/>
      <c r="AC1183" s="97" t="s">
        <v>860</v>
      </c>
      <c r="AD1183" s="99"/>
      <c r="AE1183" s="97"/>
      <c r="AF1183" s="1089" t="s">
        <v>12098</v>
      </c>
      <c r="AG1183" s="112"/>
      <c r="AH1183" s="76" t="s">
        <v>12099</v>
      </c>
      <c r="AI1183" s="763"/>
      <c r="AJ1183" s="763"/>
      <c r="AK1183" s="763"/>
      <c r="AL1183" s="763"/>
      <c r="AM1183" s="763"/>
      <c r="AN1183" s="763"/>
      <c r="AO1183" s="763"/>
      <c r="AP1183" s="763"/>
      <c r="AQ1183" s="763"/>
      <c r="AR1183" s="763"/>
      <c r="AS1183" s="763"/>
      <c r="AT1183" s="763"/>
    </row>
    <row r="1184">
      <c r="A1184" s="76" t="s">
        <v>116</v>
      </c>
      <c r="B1184" s="77" t="s">
        <v>3454</v>
      </c>
      <c r="C1184" s="77" t="s">
        <v>121</v>
      </c>
      <c r="D1184" s="77" t="s">
        <v>121</v>
      </c>
      <c r="E1184" s="78" t="s">
        <v>119</v>
      </c>
      <c r="F1184" s="80" t="s">
        <v>8740</v>
      </c>
      <c r="G1184" s="77" t="s">
        <v>2257</v>
      </c>
      <c r="H1184" s="77" t="s">
        <v>504</v>
      </c>
      <c r="I1184" s="146" t="s">
        <v>408</v>
      </c>
      <c r="J1184" s="76" t="s">
        <v>114</v>
      </c>
      <c r="K1184" s="124" t="s">
        <v>1602</v>
      </c>
      <c r="L1184" s="85">
        <v>24.0</v>
      </c>
      <c r="M1184" s="85" t="s">
        <v>60</v>
      </c>
      <c r="N1184" s="286" t="s">
        <v>8308</v>
      </c>
      <c r="O1184" s="76" t="s">
        <v>12107</v>
      </c>
      <c r="P1184" s="523">
        <v>36661.0</v>
      </c>
      <c r="Q1184" s="315">
        <f t="shared" si="151"/>
        <v>36661</v>
      </c>
      <c r="R1184" s="86">
        <f t="shared" si="152"/>
        <v>26</v>
      </c>
      <c r="S1184" s="76">
        <v>3.666004436E9</v>
      </c>
      <c r="T1184" s="315"/>
      <c r="U1184" s="76" t="s">
        <v>136</v>
      </c>
      <c r="V1184" s="76"/>
      <c r="W1184" s="76"/>
      <c r="X1184" s="76"/>
      <c r="Y1184" s="97"/>
      <c r="Z1184" s="216" t="s">
        <v>1173</v>
      </c>
      <c r="AA1184" s="97"/>
      <c r="AB1184" s="97"/>
      <c r="AC1184" s="76" t="s">
        <v>632</v>
      </c>
      <c r="AD1184" s="76"/>
      <c r="AE1184" s="76"/>
      <c r="AF1184" s="76"/>
      <c r="AG1184" s="189"/>
      <c r="AH1184" s="153">
        <v>46212.0</v>
      </c>
      <c r="AI1184" s="67"/>
      <c r="AJ1184" s="67"/>
      <c r="AK1184" s="70"/>
      <c r="AL1184" s="70"/>
      <c r="AM1184" s="135"/>
      <c r="AN1184" s="135"/>
      <c r="AO1184" s="70"/>
      <c r="AP1184" s="70"/>
      <c r="AQ1184" s="67"/>
      <c r="AR1184" s="67"/>
      <c r="AS1184" s="67"/>
      <c r="AT1184" s="67"/>
    </row>
    <row r="1185">
      <c r="A1185" s="76" t="s">
        <v>116</v>
      </c>
      <c r="B1185" s="77" t="s">
        <v>3423</v>
      </c>
      <c r="C1185" s="77" t="s">
        <v>9627</v>
      </c>
      <c r="D1185" s="77" t="s">
        <v>121</v>
      </c>
      <c r="E1185" s="78" t="s">
        <v>786</v>
      </c>
      <c r="F1185" s="80" t="s">
        <v>7372</v>
      </c>
      <c r="G1185" s="77" t="s">
        <v>8435</v>
      </c>
      <c r="H1185" s="77" t="s">
        <v>60</v>
      </c>
      <c r="I1185" s="87" t="s">
        <v>1221</v>
      </c>
      <c r="J1185" s="85" t="s">
        <v>114</v>
      </c>
      <c r="K1185" s="76"/>
      <c r="L1185" s="47"/>
      <c r="M1185" s="85" t="s">
        <v>60</v>
      </c>
      <c r="N1185" s="286" t="s">
        <v>12108</v>
      </c>
      <c r="O1185" s="76" t="s">
        <v>12109</v>
      </c>
      <c r="P1185" s="523">
        <v>33644.0</v>
      </c>
      <c r="Q1185" s="315">
        <f t="shared" si="151"/>
        <v>33644</v>
      </c>
      <c r="R1185" s="86">
        <f t="shared" si="152"/>
        <v>34</v>
      </c>
      <c r="S1185" s="76">
        <v>3.364313198E9</v>
      </c>
      <c r="T1185" s="76" t="s">
        <v>1317</v>
      </c>
      <c r="U1185" s="76" t="s">
        <v>136</v>
      </c>
      <c r="V1185" s="76"/>
      <c r="W1185" s="76"/>
      <c r="X1185" s="76"/>
      <c r="Y1185" s="97"/>
      <c r="Z1185" s="216" t="s">
        <v>1173</v>
      </c>
      <c r="AA1185" s="76" t="s">
        <v>1178</v>
      </c>
      <c r="AB1185" s="97"/>
      <c r="AC1185" s="76" t="s">
        <v>1566</v>
      </c>
      <c r="AD1185" s="76"/>
      <c r="AE1185" s="76"/>
      <c r="AF1185" s="76" t="s">
        <v>4104</v>
      </c>
      <c r="AG1185" s="76" t="s">
        <v>3478</v>
      </c>
      <c r="AH1185" s="153">
        <v>46212.0</v>
      </c>
      <c r="AI1185" s="67"/>
      <c r="AJ1185" s="67"/>
      <c r="AK1185" s="70"/>
      <c r="AL1185" s="70"/>
      <c r="AM1185" s="135"/>
      <c r="AN1185" s="135"/>
      <c r="AO1185" s="70"/>
      <c r="AP1185" s="70"/>
      <c r="AQ1185" s="67"/>
      <c r="AR1185" s="67"/>
      <c r="AS1185" s="67"/>
      <c r="AT1185" s="67"/>
    </row>
    <row r="1186">
      <c r="A1186" s="76" t="s">
        <v>116</v>
      </c>
      <c r="B1186" s="77" t="s">
        <v>3297</v>
      </c>
      <c r="C1186" s="77" t="s">
        <v>8546</v>
      </c>
      <c r="D1186" s="77" t="s">
        <v>121</v>
      </c>
      <c r="E1186" s="78" t="s">
        <v>1536</v>
      </c>
      <c r="F1186" s="80" t="s">
        <v>3299</v>
      </c>
      <c r="G1186" s="77" t="s">
        <v>1948</v>
      </c>
      <c r="H1186" s="77" t="s">
        <v>60</v>
      </c>
      <c r="I1186" s="87" t="s">
        <v>1221</v>
      </c>
      <c r="J1186" s="109" t="s">
        <v>114</v>
      </c>
      <c r="K1186" s="726" t="s">
        <v>12110</v>
      </c>
      <c r="L1186" s="97"/>
      <c r="M1186" s="97" t="s">
        <v>60</v>
      </c>
      <c r="N1186" s="97" t="s">
        <v>12111</v>
      </c>
      <c r="O1186" s="109" t="s">
        <v>12112</v>
      </c>
      <c r="P1186" s="740">
        <v>34664.0</v>
      </c>
      <c r="Q1186" s="315">
        <f t="shared" si="151"/>
        <v>34664</v>
      </c>
      <c r="R1186" s="86">
        <f t="shared" si="152"/>
        <v>31</v>
      </c>
      <c r="S1186" s="315">
        <v>3.466301675E9</v>
      </c>
      <c r="T1186" s="315" t="s">
        <v>1479</v>
      </c>
      <c r="U1186" s="76" t="s">
        <v>379</v>
      </c>
      <c r="V1186" s="76"/>
      <c r="W1186" s="97"/>
      <c r="X1186" s="97"/>
      <c r="Y1186" s="97"/>
      <c r="Z1186" s="97"/>
      <c r="AA1186" s="97"/>
      <c r="AB1186" s="76" t="s">
        <v>192</v>
      </c>
      <c r="AC1186" s="76" t="s">
        <v>2915</v>
      </c>
      <c r="AD1186" s="97"/>
      <c r="AE1186" s="76"/>
      <c r="AF1186" s="76" t="s">
        <v>155</v>
      </c>
      <c r="AG1186" s="76" t="s">
        <v>375</v>
      </c>
      <c r="AH1186" s="76" t="s">
        <v>10836</v>
      </c>
      <c r="AI1186" s="67"/>
      <c r="AJ1186" s="67"/>
      <c r="AK1186" s="70"/>
      <c r="AL1186" s="70"/>
      <c r="AM1186" s="135"/>
      <c r="AN1186" s="135"/>
      <c r="AO1186" s="70"/>
      <c r="AP1186" s="70"/>
      <c r="AQ1186" s="67"/>
      <c r="AR1186" s="67"/>
      <c r="AS1186" s="67"/>
      <c r="AT1186" s="67"/>
    </row>
    <row r="1187">
      <c r="A1187" s="76" t="s">
        <v>116</v>
      </c>
      <c r="B1187" s="77" t="s">
        <v>3014</v>
      </c>
      <c r="C1187" s="77" t="s">
        <v>121</v>
      </c>
      <c r="D1187" s="77" t="s">
        <v>121</v>
      </c>
      <c r="E1187" s="78" t="s">
        <v>212</v>
      </c>
      <c r="F1187" s="80" t="s">
        <v>2203</v>
      </c>
      <c r="G1187" s="77" t="s">
        <v>8773</v>
      </c>
      <c r="H1187" s="77" t="s">
        <v>326</v>
      </c>
      <c r="I1187" s="87" t="s">
        <v>1221</v>
      </c>
      <c r="J1187" s="85" t="s">
        <v>114</v>
      </c>
      <c r="K1187" s="176" t="s">
        <v>12113</v>
      </c>
      <c r="L1187" s="76">
        <v>10.0</v>
      </c>
      <c r="M1187" s="85" t="s">
        <v>60</v>
      </c>
      <c r="N1187" s="836" t="s">
        <v>8961</v>
      </c>
      <c r="O1187" s="836" t="s">
        <v>10100</v>
      </c>
      <c r="P1187" s="1178">
        <v>32956.0</v>
      </c>
      <c r="Q1187" s="1179">
        <f t="shared" si="151"/>
        <v>32956</v>
      </c>
      <c r="R1187" s="1180">
        <f t="shared" si="152"/>
        <v>36</v>
      </c>
      <c r="S1187" s="836">
        <v>3.295510775E9</v>
      </c>
      <c r="T1187" s="1180"/>
      <c r="U1187" s="836" t="s">
        <v>379</v>
      </c>
      <c r="V1187" s="836" t="s">
        <v>490</v>
      </c>
      <c r="W1187" s="836"/>
      <c r="X1187" s="836"/>
      <c r="Y1187" s="1181"/>
      <c r="Z1187" s="841" t="s">
        <v>1351</v>
      </c>
      <c r="AA1187" s="1182"/>
      <c r="AB1187" s="836" t="s">
        <v>226</v>
      </c>
      <c r="AC1187" s="1183">
        <v>155.0</v>
      </c>
      <c r="AD1187" s="1182"/>
      <c r="AE1187" s="836"/>
      <c r="AF1187" s="836" t="s">
        <v>12114</v>
      </c>
      <c r="AG1187" s="836" t="s">
        <v>12115</v>
      </c>
      <c r="AH1187" s="1184" t="s">
        <v>12116</v>
      </c>
      <c r="AI1187" s="67"/>
      <c r="AJ1187" s="67"/>
      <c r="AK1187" s="70"/>
      <c r="AL1187" s="70"/>
      <c r="AM1187" s="135"/>
      <c r="AN1187" s="135"/>
      <c r="AO1187" s="70"/>
      <c r="AP1187" s="70"/>
      <c r="AQ1187" s="67"/>
      <c r="AR1187" s="67"/>
      <c r="AS1187" s="67"/>
      <c r="AT1187" s="67"/>
    </row>
    <row r="1188">
      <c r="A1188" s="76" t="s">
        <v>116</v>
      </c>
      <c r="B1188" s="77" t="s">
        <v>1709</v>
      </c>
      <c r="C1188" s="77" t="s">
        <v>1517</v>
      </c>
      <c r="D1188" s="77" t="s">
        <v>1494</v>
      </c>
      <c r="E1188" s="78" t="s">
        <v>58</v>
      </c>
      <c r="F1188" s="80" t="s">
        <v>1496</v>
      </c>
      <c r="G1188" s="77" t="s">
        <v>1281</v>
      </c>
      <c r="H1188" s="77" t="s">
        <v>60</v>
      </c>
      <c r="I1188" s="87" t="s">
        <v>1221</v>
      </c>
      <c r="J1188" s="76" t="s">
        <v>114</v>
      </c>
      <c r="K1188" s="176" t="s">
        <v>1602</v>
      </c>
      <c r="L1188" s="650">
        <v>24.0</v>
      </c>
      <c r="M1188" s="85" t="s">
        <v>60</v>
      </c>
      <c r="N1188" s="157" t="s">
        <v>12117</v>
      </c>
      <c r="O1188" s="76" t="s">
        <v>12118</v>
      </c>
      <c r="P1188" s="523">
        <v>28073.0</v>
      </c>
      <c r="Q1188" s="315">
        <f t="shared" si="151"/>
        <v>28073</v>
      </c>
      <c r="R1188" s="86">
        <f t="shared" si="152"/>
        <v>49</v>
      </c>
      <c r="S1188" s="76">
        <v>2.807210818E9</v>
      </c>
      <c r="T1188" s="315"/>
      <c r="U1188" s="76" t="s">
        <v>379</v>
      </c>
      <c r="V1188" s="76"/>
      <c r="W1188" s="76"/>
      <c r="X1188" s="76" t="s">
        <v>186</v>
      </c>
      <c r="Y1188" s="97"/>
      <c r="Z1188" s="595" t="s">
        <v>1755</v>
      </c>
      <c r="AA1188" s="97"/>
      <c r="AB1188" s="76"/>
      <c r="AC1188" s="76" t="s">
        <v>2915</v>
      </c>
      <c r="AD1188" s="76"/>
      <c r="AE1188" s="76"/>
      <c r="AF1188" s="76"/>
      <c r="AG1188" s="189"/>
      <c r="AH1188" s="76" t="s">
        <v>12119</v>
      </c>
      <c r="AI1188" s="67"/>
      <c r="AJ1188" s="67"/>
      <c r="AK1188" s="70"/>
      <c r="AL1188" s="70"/>
      <c r="AM1188" s="135"/>
      <c r="AN1188" s="135"/>
      <c r="AO1188" s="70"/>
      <c r="AP1188" s="70"/>
      <c r="AQ1188" s="67"/>
      <c r="AR1188" s="67"/>
      <c r="AS1188" s="67"/>
      <c r="AT1188" s="67"/>
    </row>
    <row r="1189">
      <c r="A1189" s="76" t="s">
        <v>116</v>
      </c>
      <c r="B1189" s="77" t="s">
        <v>1709</v>
      </c>
      <c r="C1189" s="77" t="s">
        <v>1269</v>
      </c>
      <c r="D1189" s="77" t="s">
        <v>1519</v>
      </c>
      <c r="E1189" s="78" t="s">
        <v>213</v>
      </c>
      <c r="F1189" s="80" t="s">
        <v>1523</v>
      </c>
      <c r="G1189" s="77" t="s">
        <v>1225</v>
      </c>
      <c r="H1189" s="77" t="s">
        <v>60</v>
      </c>
      <c r="I1189" s="87" t="s">
        <v>1221</v>
      </c>
      <c r="J1189" s="76" t="s">
        <v>114</v>
      </c>
      <c r="K1189" s="76"/>
      <c r="L1189" s="85"/>
      <c r="M1189" s="76" t="s">
        <v>60</v>
      </c>
      <c r="N1189" s="76" t="s">
        <v>12120</v>
      </c>
      <c r="O1189" s="76" t="s">
        <v>12121</v>
      </c>
      <c r="P1189" s="523">
        <v>32158.0</v>
      </c>
      <c r="Q1189" s="315">
        <f t="shared" si="151"/>
        <v>32158</v>
      </c>
      <c r="R1189" s="97">
        <f t="shared" si="152"/>
        <v>38</v>
      </c>
      <c r="S1189" s="76">
        <v>3.215702095E9</v>
      </c>
      <c r="T1189" s="1167"/>
      <c r="U1189" s="76" t="s">
        <v>379</v>
      </c>
      <c r="V1189" s="76"/>
      <c r="W1189" s="76"/>
      <c r="X1189" s="76"/>
      <c r="Y1189" s="276"/>
      <c r="Z1189" s="216" t="s">
        <v>1815</v>
      </c>
      <c r="AA1189" s="76"/>
      <c r="AB1189" s="76" t="s">
        <v>192</v>
      </c>
      <c r="AC1189" s="76" t="s">
        <v>2915</v>
      </c>
      <c r="AD1189" s="492"/>
      <c r="AE1189" s="76"/>
      <c r="AF1189" s="76" t="s">
        <v>12122</v>
      </c>
      <c r="AG1189" s="369"/>
      <c r="AH1189" s="76" t="s">
        <v>12119</v>
      </c>
      <c r="AI1189" s="67"/>
      <c r="AJ1189" s="67"/>
      <c r="AK1189" s="70"/>
      <c r="AL1189" s="70"/>
      <c r="AM1189" s="135"/>
      <c r="AN1189" s="135"/>
      <c r="AO1189" s="70"/>
      <c r="AP1189" s="70"/>
      <c r="AQ1189" s="67"/>
      <c r="AR1189" s="67"/>
      <c r="AS1189" s="67"/>
      <c r="AT1189" s="67"/>
    </row>
    <row r="1190">
      <c r="A1190" s="76" t="s">
        <v>116</v>
      </c>
      <c r="B1190" s="77" t="s">
        <v>1039</v>
      </c>
      <c r="C1190" s="77" t="s">
        <v>1611</v>
      </c>
      <c r="D1190" s="77" t="s">
        <v>1519</v>
      </c>
      <c r="E1190" s="78" t="s">
        <v>213</v>
      </c>
      <c r="F1190" s="80" t="s">
        <v>1523</v>
      </c>
      <c r="G1190" s="77" t="s">
        <v>689</v>
      </c>
      <c r="H1190" s="77" t="s">
        <v>60</v>
      </c>
      <c r="I1190" s="87" t="s">
        <v>1221</v>
      </c>
      <c r="J1190" s="76" t="s">
        <v>114</v>
      </c>
      <c r="K1190" s="76"/>
      <c r="L1190" s="47"/>
      <c r="M1190" s="85" t="s">
        <v>60</v>
      </c>
      <c r="N1190" s="157" t="s">
        <v>12123</v>
      </c>
      <c r="O1190" s="76" t="s">
        <v>12124</v>
      </c>
      <c r="P1190" s="523">
        <v>28158.0</v>
      </c>
      <c r="Q1190" s="315"/>
      <c r="R1190" s="86">
        <f t="shared" si="152"/>
        <v>49</v>
      </c>
      <c r="S1190" s="76"/>
      <c r="T1190" s="76"/>
      <c r="U1190" s="76" t="s">
        <v>379</v>
      </c>
      <c r="V1190" s="76"/>
      <c r="W1190" s="76"/>
      <c r="X1190" s="76" t="s">
        <v>186</v>
      </c>
      <c r="Y1190" s="97"/>
      <c r="Z1190" s="290" t="s">
        <v>1755</v>
      </c>
      <c r="AA1190" s="76" t="s">
        <v>1178</v>
      </c>
      <c r="AB1190" s="76"/>
      <c r="AC1190" s="76" t="s">
        <v>2915</v>
      </c>
      <c r="AD1190" s="76"/>
      <c r="AE1190" s="76"/>
      <c r="AF1190" s="76" t="s">
        <v>12125</v>
      </c>
      <c r="AG1190" s="189"/>
      <c r="AH1190" s="76" t="s">
        <v>12119</v>
      </c>
      <c r="AI1190" s="67"/>
      <c r="AJ1190" s="67"/>
      <c r="AK1190" s="70"/>
      <c r="AL1190" s="70"/>
      <c r="AM1190" s="135"/>
      <c r="AN1190" s="135"/>
      <c r="AO1190" s="70"/>
      <c r="AP1190" s="70"/>
      <c r="AQ1190" s="67"/>
      <c r="AR1190" s="67"/>
      <c r="AS1190" s="67"/>
      <c r="AT1190" s="67"/>
    </row>
    <row r="1191">
      <c r="A1191" s="76" t="s">
        <v>116</v>
      </c>
      <c r="B1191" s="77" t="s">
        <v>1039</v>
      </c>
      <c r="C1191" s="77" t="s">
        <v>1517</v>
      </c>
      <c r="D1191" s="77" t="s">
        <v>1368</v>
      </c>
      <c r="E1191" s="78" t="s">
        <v>187</v>
      </c>
      <c r="F1191" s="80" t="s">
        <v>1469</v>
      </c>
      <c r="G1191" s="77" t="s">
        <v>2220</v>
      </c>
      <c r="H1191" s="77" t="s">
        <v>60</v>
      </c>
      <c r="I1191" s="87" t="s">
        <v>1221</v>
      </c>
      <c r="J1191" s="76" t="s">
        <v>114</v>
      </c>
      <c r="K1191" s="76"/>
      <c r="L1191" s="47"/>
      <c r="M1191" s="85" t="s">
        <v>60</v>
      </c>
      <c r="N1191" s="157" t="s">
        <v>12126</v>
      </c>
      <c r="O1191" s="76" t="s">
        <v>6459</v>
      </c>
      <c r="P1191" s="523">
        <v>30352.0</v>
      </c>
      <c r="Q1191" s="315">
        <f t="shared" ref="Q1191:Q1260" si="153">VALUE(LEFT(TEXT(S1191,0),5))+1</f>
        <v>30352</v>
      </c>
      <c r="R1191" s="86">
        <f t="shared" si="152"/>
        <v>43</v>
      </c>
      <c r="S1191" s="76">
        <v>3.0351103056E10</v>
      </c>
      <c r="T1191" s="315"/>
      <c r="U1191" s="76" t="s">
        <v>379</v>
      </c>
      <c r="V1191" s="76"/>
      <c r="W1191" s="76"/>
      <c r="X1191" s="76" t="s">
        <v>186</v>
      </c>
      <c r="Y1191" s="97"/>
      <c r="Z1191" s="290" t="s">
        <v>1755</v>
      </c>
      <c r="AA1191" s="76" t="s">
        <v>1178</v>
      </c>
      <c r="AB1191" s="76"/>
      <c r="AC1191" s="76" t="s">
        <v>2915</v>
      </c>
      <c r="AD1191" s="76"/>
      <c r="AE1191" s="76"/>
      <c r="AF1191" s="76" t="s">
        <v>12021</v>
      </c>
      <c r="AG1191" s="76" t="s">
        <v>11925</v>
      </c>
      <c r="AH1191" s="76" t="s">
        <v>10877</v>
      </c>
      <c r="AI1191" s="67"/>
      <c r="AJ1191" s="67"/>
      <c r="AK1191" s="70"/>
      <c r="AL1191" s="70"/>
      <c r="AM1191" s="135"/>
      <c r="AN1191" s="135"/>
      <c r="AO1191" s="70"/>
      <c r="AP1191" s="70"/>
      <c r="AQ1191" s="67"/>
      <c r="AR1191" s="67"/>
      <c r="AS1191" s="67"/>
      <c r="AT1191" s="67"/>
    </row>
    <row r="1192">
      <c r="A1192" s="76" t="s">
        <v>116</v>
      </c>
      <c r="B1192" s="77" t="s">
        <v>1039</v>
      </c>
      <c r="C1192" s="77" t="s">
        <v>1269</v>
      </c>
      <c r="D1192" s="77" t="s">
        <v>1494</v>
      </c>
      <c r="E1192" s="78" t="s">
        <v>187</v>
      </c>
      <c r="F1192" s="80" t="s">
        <v>1469</v>
      </c>
      <c r="G1192" s="77" t="s">
        <v>1711</v>
      </c>
      <c r="H1192" s="77" t="s">
        <v>60</v>
      </c>
      <c r="I1192" s="87" t="s">
        <v>1221</v>
      </c>
      <c r="J1192" s="109" t="s">
        <v>114</v>
      </c>
      <c r="K1192" s="97"/>
      <c r="L1192" s="109"/>
      <c r="M1192" s="109" t="s">
        <v>60</v>
      </c>
      <c r="N1192" s="97" t="s">
        <v>2592</v>
      </c>
      <c r="O1192" s="97" t="s">
        <v>2538</v>
      </c>
      <c r="P1192" s="315">
        <v>29998.0</v>
      </c>
      <c r="Q1192" s="315">
        <f t="shared" si="153"/>
        <v>29998</v>
      </c>
      <c r="R1192" s="86">
        <f t="shared" si="152"/>
        <v>44</v>
      </c>
      <c r="S1192" s="315">
        <v>2.999720914E9</v>
      </c>
      <c r="T1192" s="315"/>
      <c r="U1192" s="76" t="s">
        <v>379</v>
      </c>
      <c r="V1192" s="76"/>
      <c r="W1192" s="76"/>
      <c r="X1192" s="76"/>
      <c r="Y1192" s="76" t="s">
        <v>2311</v>
      </c>
      <c r="Z1192" s="474" t="s">
        <v>184</v>
      </c>
      <c r="AA1192" s="76" t="s">
        <v>1178</v>
      </c>
      <c r="AB1192" s="97"/>
      <c r="AC1192" s="76" t="s">
        <v>2915</v>
      </c>
      <c r="AD1192" s="97"/>
      <c r="AE1192" s="76"/>
      <c r="AF1192" s="76" t="s">
        <v>12127</v>
      </c>
      <c r="AG1192" s="76" t="s">
        <v>375</v>
      </c>
      <c r="AH1192" s="76" t="s">
        <v>12119</v>
      </c>
      <c r="AI1192" s="428"/>
      <c r="AJ1192" s="67"/>
      <c r="AK1192" s="70"/>
      <c r="AL1192" s="70"/>
      <c r="AM1192" s="135"/>
      <c r="AN1192" s="135"/>
      <c r="AO1192" s="70"/>
      <c r="AP1192" s="70"/>
      <c r="AQ1192" s="67"/>
      <c r="AR1192" s="67"/>
      <c r="AS1192" s="67"/>
      <c r="AT1192" s="67"/>
    </row>
    <row r="1193">
      <c r="A1193" s="76" t="s">
        <v>116</v>
      </c>
      <c r="B1193" s="77" t="s">
        <v>8106</v>
      </c>
      <c r="C1193" s="77" t="s">
        <v>121</v>
      </c>
      <c r="D1193" s="77" t="s">
        <v>121</v>
      </c>
      <c r="E1193" s="78" t="s">
        <v>2339</v>
      </c>
      <c r="F1193" s="80" t="s">
        <v>10379</v>
      </c>
      <c r="G1193" s="77" t="s">
        <v>2340</v>
      </c>
      <c r="H1193" s="77" t="s">
        <v>60</v>
      </c>
      <c r="I1193" s="87" t="s">
        <v>1221</v>
      </c>
      <c r="J1193" s="76" t="s">
        <v>114</v>
      </c>
      <c r="K1193" s="176" t="s">
        <v>12128</v>
      </c>
      <c r="L1193" s="47"/>
      <c r="M1193" s="85" t="s">
        <v>60</v>
      </c>
      <c r="N1193" s="678" t="s">
        <v>11056</v>
      </c>
      <c r="O1193" s="76" t="s">
        <v>3080</v>
      </c>
      <c r="P1193" s="523">
        <v>32622.0</v>
      </c>
      <c r="Q1193" s="315">
        <f t="shared" si="153"/>
        <v>32622</v>
      </c>
      <c r="R1193" s="86">
        <f t="shared" si="152"/>
        <v>37</v>
      </c>
      <c r="S1193" s="76">
        <v>3.262112997E9</v>
      </c>
      <c r="T1193" s="76" t="s">
        <v>378</v>
      </c>
      <c r="U1193" s="76" t="s">
        <v>368</v>
      </c>
      <c r="V1193" s="76"/>
      <c r="W1193" s="76"/>
      <c r="X1193" s="76"/>
      <c r="Y1193" s="276" t="s">
        <v>2344</v>
      </c>
      <c r="Z1193" s="76"/>
      <c r="AA1193" s="76" t="s">
        <v>1178</v>
      </c>
      <c r="AB1193" s="76"/>
      <c r="AC1193" s="76"/>
      <c r="AD1193" s="76"/>
      <c r="AE1193" s="76"/>
      <c r="AF1193" s="76"/>
      <c r="AG1193" s="76" t="s">
        <v>1187</v>
      </c>
      <c r="AH1193" s="153">
        <v>46215.0</v>
      </c>
      <c r="AI1193" s="67"/>
      <c r="AJ1193" s="67"/>
      <c r="AK1193" s="70"/>
      <c r="AL1193" s="70"/>
      <c r="AM1193" s="135"/>
      <c r="AN1193" s="135"/>
      <c r="AO1193" s="70"/>
      <c r="AP1193" s="70"/>
      <c r="AQ1193" s="67"/>
      <c r="AR1193" s="67"/>
      <c r="AS1193" s="67"/>
      <c r="AT1193" s="67"/>
    </row>
    <row r="1194">
      <c r="A1194" s="76" t="s">
        <v>116</v>
      </c>
      <c r="B1194" s="77" t="s">
        <v>8106</v>
      </c>
      <c r="C1194" s="77" t="s">
        <v>121</v>
      </c>
      <c r="D1194" s="77" t="s">
        <v>121</v>
      </c>
      <c r="E1194" s="78" t="s">
        <v>2339</v>
      </c>
      <c r="F1194" s="80" t="s">
        <v>10379</v>
      </c>
      <c r="G1194" s="77" t="s">
        <v>2340</v>
      </c>
      <c r="H1194" s="77" t="s">
        <v>60</v>
      </c>
      <c r="I1194" s="87" t="s">
        <v>1221</v>
      </c>
      <c r="J1194" s="85" t="s">
        <v>114</v>
      </c>
      <c r="K1194" s="85"/>
      <c r="L1194" s="85"/>
      <c r="M1194" s="85" t="s">
        <v>60</v>
      </c>
      <c r="N1194" s="256" t="s">
        <v>2337</v>
      </c>
      <c r="O1194" s="76" t="s">
        <v>2338</v>
      </c>
      <c r="P1194" s="523">
        <v>36110.0</v>
      </c>
      <c r="Q1194" s="315">
        <f t="shared" si="153"/>
        <v>36110</v>
      </c>
      <c r="R1194" s="97">
        <f t="shared" si="152"/>
        <v>27</v>
      </c>
      <c r="S1194" s="76">
        <v>3.610909737E9</v>
      </c>
      <c r="T1194" s="315"/>
      <c r="U1194" s="76" t="s">
        <v>368</v>
      </c>
      <c r="V1194" s="76"/>
      <c r="W1194" s="76"/>
      <c r="X1194" s="76"/>
      <c r="Y1194" s="97" t="s">
        <v>183</v>
      </c>
      <c r="Z1194" s="278" t="s">
        <v>2090</v>
      </c>
      <c r="AA1194" s="76" t="s">
        <v>1178</v>
      </c>
      <c r="AB1194" s="76"/>
      <c r="AC1194" s="97"/>
      <c r="AD1194" s="99"/>
      <c r="AE1194" s="76"/>
      <c r="AF1194" s="76"/>
      <c r="AG1194" s="76" t="s">
        <v>1187</v>
      </c>
      <c r="AH1194" s="153">
        <v>46213.0</v>
      </c>
      <c r="AI1194" s="67"/>
      <c r="AJ1194" s="67"/>
      <c r="AK1194" s="70"/>
      <c r="AL1194" s="70"/>
      <c r="AM1194" s="135"/>
      <c r="AN1194" s="135"/>
      <c r="AO1194" s="70"/>
      <c r="AP1194" s="70"/>
      <c r="AQ1194" s="67"/>
      <c r="AR1194" s="67"/>
      <c r="AS1194" s="67"/>
      <c r="AT1194" s="67"/>
    </row>
    <row r="1195">
      <c r="A1195" s="76" t="s">
        <v>116</v>
      </c>
      <c r="B1195" s="77" t="s">
        <v>3454</v>
      </c>
      <c r="C1195" s="77" t="s">
        <v>10223</v>
      </c>
      <c r="D1195" s="77" t="s">
        <v>121</v>
      </c>
      <c r="E1195" s="78" t="s">
        <v>201</v>
      </c>
      <c r="F1195" s="80" t="s">
        <v>1849</v>
      </c>
      <c r="G1195" s="77" t="s">
        <v>10246</v>
      </c>
      <c r="H1195" s="77" t="s">
        <v>60</v>
      </c>
      <c r="I1195" s="87" t="s">
        <v>1221</v>
      </c>
      <c r="J1195" s="76" t="s">
        <v>114</v>
      </c>
      <c r="K1195" s="76"/>
      <c r="L1195" s="47"/>
      <c r="M1195" s="85" t="s">
        <v>60</v>
      </c>
      <c r="N1195" s="678" t="s">
        <v>11076</v>
      </c>
      <c r="O1195" s="76" t="s">
        <v>2847</v>
      </c>
      <c r="P1195" s="523">
        <v>32422.0</v>
      </c>
      <c r="Q1195" s="315">
        <f t="shared" si="153"/>
        <v>32422</v>
      </c>
      <c r="R1195" s="86">
        <f t="shared" si="152"/>
        <v>37</v>
      </c>
      <c r="S1195" s="76">
        <v>3.242119133E9</v>
      </c>
      <c r="T1195" s="76" t="s">
        <v>1479</v>
      </c>
      <c r="U1195" s="76" t="s">
        <v>368</v>
      </c>
      <c r="V1195" s="76"/>
      <c r="W1195" s="76"/>
      <c r="X1195" s="76"/>
      <c r="Y1195" s="276" t="s">
        <v>2344</v>
      </c>
      <c r="Z1195" s="76"/>
      <c r="AA1195" s="76" t="s">
        <v>1178</v>
      </c>
      <c r="AB1195" s="76"/>
      <c r="AC1195" s="76"/>
      <c r="AD1195" s="76"/>
      <c r="AE1195" s="76"/>
      <c r="AF1195" s="76"/>
      <c r="AG1195" s="76" t="s">
        <v>1187</v>
      </c>
      <c r="AH1195" s="153">
        <v>46215.0</v>
      </c>
      <c r="AI1195" s="67"/>
      <c r="AJ1195" s="67"/>
      <c r="AK1195" s="70"/>
      <c r="AL1195" s="70"/>
      <c r="AM1195" s="135"/>
      <c r="AN1195" s="135"/>
      <c r="AO1195" s="70"/>
      <c r="AP1195" s="70"/>
      <c r="AQ1195" s="67"/>
      <c r="AR1195" s="67"/>
      <c r="AS1195" s="67"/>
      <c r="AT1195" s="67"/>
    </row>
    <row r="1196">
      <c r="A1196" s="76" t="s">
        <v>116</v>
      </c>
      <c r="B1196" s="77" t="s">
        <v>3332</v>
      </c>
      <c r="C1196" s="77" t="s">
        <v>10030</v>
      </c>
      <c r="D1196" s="77" t="s">
        <v>121</v>
      </c>
      <c r="E1196" s="78" t="s">
        <v>295</v>
      </c>
      <c r="F1196" s="80" t="s">
        <v>1241</v>
      </c>
      <c r="G1196" s="77" t="s">
        <v>10056</v>
      </c>
      <c r="H1196" s="77" t="s">
        <v>60</v>
      </c>
      <c r="I1196" s="87" t="s">
        <v>1221</v>
      </c>
      <c r="J1196" s="76" t="s">
        <v>114</v>
      </c>
      <c r="K1196" s="76"/>
      <c r="L1196" s="47"/>
      <c r="M1196" s="85" t="s">
        <v>60</v>
      </c>
      <c r="N1196" s="678" t="s">
        <v>10782</v>
      </c>
      <c r="O1196" s="76" t="s">
        <v>10783</v>
      </c>
      <c r="P1196" s="523">
        <v>29133.0</v>
      </c>
      <c r="Q1196" s="315">
        <f t="shared" si="153"/>
        <v>29133</v>
      </c>
      <c r="R1196" s="86">
        <f t="shared" si="152"/>
        <v>46</v>
      </c>
      <c r="S1196" s="76">
        <v>2.913221376E9</v>
      </c>
      <c r="T1196" s="315" t="s">
        <v>1548</v>
      </c>
      <c r="U1196" s="76" t="s">
        <v>368</v>
      </c>
      <c r="V1196" s="76"/>
      <c r="W1196" s="76"/>
      <c r="X1196" s="76"/>
      <c r="Y1196" s="276"/>
      <c r="Z1196" s="216" t="s">
        <v>2521</v>
      </c>
      <c r="AA1196" s="76" t="s">
        <v>1178</v>
      </c>
      <c r="AB1196" s="97"/>
      <c r="AC1196" s="76"/>
      <c r="AD1196" s="76"/>
      <c r="AE1196" s="76"/>
      <c r="AF1196" s="76" t="s">
        <v>3601</v>
      </c>
      <c r="AG1196" s="76" t="s">
        <v>1187</v>
      </c>
      <c r="AH1196" s="153">
        <v>46213.0</v>
      </c>
      <c r="AI1196" s="67"/>
      <c r="AJ1196" s="67"/>
      <c r="AK1196" s="70"/>
      <c r="AL1196" s="70"/>
      <c r="AM1196" s="135"/>
      <c r="AN1196" s="135"/>
      <c r="AO1196" s="70"/>
      <c r="AP1196" s="70"/>
      <c r="AQ1196" s="67"/>
      <c r="AR1196" s="67"/>
      <c r="AS1196" s="67"/>
      <c r="AT1196" s="67"/>
    </row>
    <row r="1197">
      <c r="A1197" s="76" t="s">
        <v>116</v>
      </c>
      <c r="B1197" s="77" t="s">
        <v>6229</v>
      </c>
      <c r="C1197" s="77" t="s">
        <v>121</v>
      </c>
      <c r="D1197" s="77" t="s">
        <v>121</v>
      </c>
      <c r="E1197" s="78" t="s">
        <v>1536</v>
      </c>
      <c r="F1197" s="80" t="s">
        <v>6230</v>
      </c>
      <c r="G1197" s="77" t="s">
        <v>2158</v>
      </c>
      <c r="H1197" s="77" t="s">
        <v>60</v>
      </c>
      <c r="I1197" s="87" t="s">
        <v>1221</v>
      </c>
      <c r="J1197" s="76" t="s">
        <v>114</v>
      </c>
      <c r="K1197" s="124" t="s">
        <v>12129</v>
      </c>
      <c r="L1197" s="47"/>
      <c r="M1197" s="85" t="s">
        <v>60</v>
      </c>
      <c r="N1197" s="678" t="s">
        <v>10531</v>
      </c>
      <c r="O1197" s="76" t="s">
        <v>10532</v>
      </c>
      <c r="P1197" s="523">
        <v>30429.0</v>
      </c>
      <c r="Q1197" s="315">
        <f t="shared" si="153"/>
        <v>30429</v>
      </c>
      <c r="R1197" s="86">
        <f t="shared" si="152"/>
        <v>43</v>
      </c>
      <c r="S1197" s="76">
        <v>3.042809813E9</v>
      </c>
      <c r="T1197" s="76" t="s">
        <v>378</v>
      </c>
      <c r="U1197" s="76" t="s">
        <v>368</v>
      </c>
      <c r="V1197" s="76"/>
      <c r="W1197" s="76"/>
      <c r="X1197" s="76"/>
      <c r="Y1197" s="276" t="s">
        <v>371</v>
      </c>
      <c r="Z1197" s="97"/>
      <c r="AA1197" s="76" t="s">
        <v>1178</v>
      </c>
      <c r="AB1197" s="97"/>
      <c r="AC1197" s="76" t="s">
        <v>1032</v>
      </c>
      <c r="AD1197" s="76"/>
      <c r="AE1197" s="76"/>
      <c r="AF1197" s="76" t="s">
        <v>5238</v>
      </c>
      <c r="AG1197" s="76" t="s">
        <v>2194</v>
      </c>
      <c r="AH1197" s="153">
        <v>46215.0</v>
      </c>
      <c r="AI1197" s="67"/>
      <c r="AJ1197" s="67"/>
      <c r="AK1197" s="70"/>
      <c r="AL1197" s="70"/>
      <c r="AM1197" s="135"/>
      <c r="AN1197" s="135"/>
      <c r="AO1197" s="70"/>
      <c r="AP1197" s="70"/>
      <c r="AQ1197" s="67"/>
      <c r="AR1197" s="67"/>
      <c r="AS1197" s="67"/>
      <c r="AT1197" s="67"/>
    </row>
    <row r="1198">
      <c r="A1198" s="76" t="s">
        <v>116</v>
      </c>
      <c r="B1198" s="77" t="s">
        <v>3307</v>
      </c>
      <c r="C1198" s="77" t="s">
        <v>9878</v>
      </c>
      <c r="D1198" s="77" t="s">
        <v>121</v>
      </c>
      <c r="E1198" s="78" t="s">
        <v>1431</v>
      </c>
      <c r="F1198" s="80" t="s">
        <v>1437</v>
      </c>
      <c r="G1198" s="77" t="s">
        <v>2138</v>
      </c>
      <c r="H1198" s="77" t="s">
        <v>60</v>
      </c>
      <c r="I1198" s="87" t="s">
        <v>1221</v>
      </c>
      <c r="J1198" s="76" t="s">
        <v>114</v>
      </c>
      <c r="K1198" s="76"/>
      <c r="L1198" s="47"/>
      <c r="M1198" s="85" t="s">
        <v>60</v>
      </c>
      <c r="N1198" s="678" t="s">
        <v>10677</v>
      </c>
      <c r="O1198" s="76" t="s">
        <v>10678</v>
      </c>
      <c r="P1198" s="523">
        <v>31838.0</v>
      </c>
      <c r="Q1198" s="315">
        <f t="shared" si="153"/>
        <v>31838</v>
      </c>
      <c r="R1198" s="86">
        <f t="shared" si="152"/>
        <v>39</v>
      </c>
      <c r="S1198" s="76">
        <v>3.183715538E9</v>
      </c>
      <c r="T1198" s="315"/>
      <c r="U1198" s="76" t="s">
        <v>368</v>
      </c>
      <c r="V1198" s="76"/>
      <c r="W1198" s="76"/>
      <c r="X1198" s="76"/>
      <c r="Y1198" s="97"/>
      <c r="Z1198" s="344" t="s">
        <v>2506</v>
      </c>
      <c r="AA1198" s="76" t="s">
        <v>1178</v>
      </c>
      <c r="AB1198" s="97"/>
      <c r="AC1198" s="76" t="s">
        <v>1032</v>
      </c>
      <c r="AD1198" s="76"/>
      <c r="AE1198" s="76"/>
      <c r="AF1198" s="76" t="s">
        <v>5238</v>
      </c>
      <c r="AG1198" s="76" t="s">
        <v>1187</v>
      </c>
      <c r="AH1198" s="153">
        <v>46213.0</v>
      </c>
      <c r="AI1198" s="67"/>
      <c r="AJ1198" s="67"/>
      <c r="AK1198" s="70"/>
      <c r="AL1198" s="70"/>
      <c r="AM1198" s="135"/>
      <c r="AN1198" s="135"/>
      <c r="AO1198" s="70"/>
      <c r="AP1198" s="70"/>
      <c r="AQ1198" s="67"/>
      <c r="AR1198" s="67"/>
      <c r="AS1198" s="67"/>
      <c r="AT1198" s="67"/>
    </row>
    <row r="1199">
      <c r="A1199" s="76" t="s">
        <v>116</v>
      </c>
      <c r="B1199" s="77" t="s">
        <v>3307</v>
      </c>
      <c r="C1199" s="77" t="s">
        <v>121</v>
      </c>
      <c r="D1199" s="77" t="s">
        <v>121</v>
      </c>
      <c r="E1199" s="78" t="s">
        <v>201</v>
      </c>
      <c r="F1199" s="80" t="s">
        <v>1849</v>
      </c>
      <c r="G1199" s="77" t="s">
        <v>2106</v>
      </c>
      <c r="H1199" s="77" t="s">
        <v>60</v>
      </c>
      <c r="I1199" s="87" t="s">
        <v>1221</v>
      </c>
      <c r="J1199" s="76" t="s">
        <v>114</v>
      </c>
      <c r="K1199" s="176" t="s">
        <v>12130</v>
      </c>
      <c r="L1199" s="85"/>
      <c r="M1199" s="85" t="s">
        <v>60</v>
      </c>
      <c r="N1199" s="256" t="s">
        <v>2103</v>
      </c>
      <c r="O1199" s="27" t="s">
        <v>2104</v>
      </c>
      <c r="P1199" s="825">
        <v>29075.0</v>
      </c>
      <c r="Q1199" s="315" t="str">
        <f t="shared" si="153"/>
        <v>#VALUE!</v>
      </c>
      <c r="R1199" s="97">
        <f t="shared" si="152"/>
        <v>47</v>
      </c>
      <c r="S1199" s="76" t="s">
        <v>3642</v>
      </c>
      <c r="T1199" s="315"/>
      <c r="U1199" s="76" t="s">
        <v>368</v>
      </c>
      <c r="V1199" s="76"/>
      <c r="W1199" s="76"/>
      <c r="X1199" s="97"/>
      <c r="Y1199" s="97"/>
      <c r="Z1199" s="176" t="s">
        <v>1460</v>
      </c>
      <c r="AA1199" s="76"/>
      <c r="AB1199" s="97"/>
      <c r="AC1199" s="76"/>
      <c r="AD1199" s="99"/>
      <c r="AE1199" s="76"/>
      <c r="AF1199" s="291" t="s">
        <v>12131</v>
      </c>
      <c r="AG1199" s="76" t="s">
        <v>2194</v>
      </c>
      <c r="AH1199" s="153">
        <v>46213.0</v>
      </c>
      <c r="AI1199" s="67"/>
      <c r="AJ1199" s="67"/>
      <c r="AK1199" s="70"/>
      <c r="AL1199" s="70"/>
      <c r="AM1199" s="135"/>
      <c r="AN1199" s="135"/>
      <c r="AO1199" s="70"/>
      <c r="AP1199" s="70"/>
      <c r="AQ1199" s="67"/>
      <c r="AR1199" s="67"/>
      <c r="AS1199" s="67"/>
      <c r="AT1199" s="67"/>
    </row>
    <row r="1200">
      <c r="A1200" s="76" t="s">
        <v>116</v>
      </c>
      <c r="B1200" s="77" t="s">
        <v>3307</v>
      </c>
      <c r="C1200" s="77" t="s">
        <v>121</v>
      </c>
      <c r="D1200" s="77" t="s">
        <v>121</v>
      </c>
      <c r="E1200" s="78" t="s">
        <v>139</v>
      </c>
      <c r="F1200" s="80" t="s">
        <v>1520</v>
      </c>
      <c r="G1200" s="77" t="s">
        <v>2096</v>
      </c>
      <c r="H1200" s="77" t="s">
        <v>60</v>
      </c>
      <c r="I1200" s="87" t="s">
        <v>1221</v>
      </c>
      <c r="J1200" s="85" t="s">
        <v>114</v>
      </c>
      <c r="K1200" s="76"/>
      <c r="L1200" s="47"/>
      <c r="M1200" s="85" t="s">
        <v>60</v>
      </c>
      <c r="N1200" s="678" t="s">
        <v>10225</v>
      </c>
      <c r="O1200" s="320" t="s">
        <v>10226</v>
      </c>
      <c r="P1200" s="523">
        <v>32274.0</v>
      </c>
      <c r="Q1200" s="315">
        <f t="shared" si="153"/>
        <v>32274</v>
      </c>
      <c r="R1200" s="86">
        <f t="shared" si="152"/>
        <v>38</v>
      </c>
      <c r="S1200" s="76">
        <v>3.227305652E9</v>
      </c>
      <c r="T1200" s="76" t="s">
        <v>9978</v>
      </c>
      <c r="U1200" s="76" t="s">
        <v>368</v>
      </c>
      <c r="V1200" s="76"/>
      <c r="W1200" s="76"/>
      <c r="X1200" s="76"/>
      <c r="Y1200" s="97"/>
      <c r="Z1200" s="216" t="s">
        <v>1173</v>
      </c>
      <c r="AA1200" s="76" t="s">
        <v>1178</v>
      </c>
      <c r="AB1200" s="97"/>
      <c r="AC1200" s="76"/>
      <c r="AD1200" s="76"/>
      <c r="AE1200" s="76"/>
      <c r="AF1200" s="76" t="s">
        <v>12063</v>
      </c>
      <c r="AG1200" s="27" t="s">
        <v>1187</v>
      </c>
      <c r="AH1200" s="153">
        <v>46211.0</v>
      </c>
      <c r="AI1200" s="67"/>
      <c r="AJ1200" s="67"/>
      <c r="AK1200" s="70"/>
      <c r="AL1200" s="70"/>
      <c r="AM1200" s="135"/>
      <c r="AN1200" s="135"/>
      <c r="AO1200" s="70"/>
      <c r="AP1200" s="70"/>
      <c r="AQ1200" s="67"/>
      <c r="AR1200" s="67"/>
      <c r="AS1200" s="67"/>
      <c r="AT1200" s="67"/>
    </row>
    <row r="1201">
      <c r="A1201" s="76" t="s">
        <v>116</v>
      </c>
      <c r="B1201" s="77" t="s">
        <v>3307</v>
      </c>
      <c r="C1201" s="77" t="s">
        <v>121</v>
      </c>
      <c r="D1201" s="77" t="s">
        <v>121</v>
      </c>
      <c r="E1201" s="78" t="s">
        <v>1637</v>
      </c>
      <c r="F1201" s="80" t="s">
        <v>3318</v>
      </c>
      <c r="G1201" s="77" t="s">
        <v>2082</v>
      </c>
      <c r="H1201" s="77" t="s">
        <v>326</v>
      </c>
      <c r="I1201" s="87" t="s">
        <v>1221</v>
      </c>
      <c r="J1201" s="76" t="s">
        <v>114</v>
      </c>
      <c r="K1201" s="176" t="s">
        <v>12132</v>
      </c>
      <c r="L1201" s="85"/>
      <c r="M1201" s="85" t="s">
        <v>60</v>
      </c>
      <c r="N1201" s="256" t="s">
        <v>2080</v>
      </c>
      <c r="O1201" s="76" t="s">
        <v>2081</v>
      </c>
      <c r="P1201" s="825">
        <v>31569.0</v>
      </c>
      <c r="Q1201" s="315">
        <f t="shared" si="153"/>
        <v>31569</v>
      </c>
      <c r="R1201" s="97">
        <f t="shared" si="152"/>
        <v>40</v>
      </c>
      <c r="S1201" s="76">
        <v>3.156807316E9</v>
      </c>
      <c r="T1201" s="76" t="s">
        <v>378</v>
      </c>
      <c r="U1201" s="76" t="s">
        <v>368</v>
      </c>
      <c r="V1201" s="76"/>
      <c r="W1201" s="76"/>
      <c r="X1201" s="97"/>
      <c r="Y1201" s="97"/>
      <c r="Z1201" s="176" t="s">
        <v>1460</v>
      </c>
      <c r="AA1201" s="76"/>
      <c r="AB1201" s="97"/>
      <c r="AC1201" s="76"/>
      <c r="AD1201" s="99"/>
      <c r="AE1201" s="76"/>
      <c r="AF1201" s="1185" t="s">
        <v>11229</v>
      </c>
      <c r="AG1201" s="76" t="s">
        <v>1187</v>
      </c>
      <c r="AH1201" s="153">
        <v>46210.0</v>
      </c>
      <c r="AI1201" s="67"/>
      <c r="AJ1201" s="67"/>
      <c r="AK1201" s="70"/>
      <c r="AL1201" s="70"/>
      <c r="AM1201" s="135"/>
      <c r="AN1201" s="135"/>
      <c r="AO1201" s="70"/>
      <c r="AP1201" s="70"/>
      <c r="AQ1201" s="67"/>
      <c r="AR1201" s="67"/>
      <c r="AS1201" s="67"/>
      <c r="AT1201" s="67"/>
    </row>
    <row r="1202">
      <c r="A1202" s="76" t="s">
        <v>116</v>
      </c>
      <c r="B1202" s="77" t="s">
        <v>3423</v>
      </c>
      <c r="C1202" s="77" t="s">
        <v>9696</v>
      </c>
      <c r="D1202" s="77" t="s">
        <v>121</v>
      </c>
      <c r="E1202" s="78" t="s">
        <v>201</v>
      </c>
      <c r="F1202" s="80" t="s">
        <v>1849</v>
      </c>
      <c r="G1202" s="77" t="s">
        <v>9718</v>
      </c>
      <c r="H1202" s="77" t="s">
        <v>60</v>
      </c>
      <c r="I1202" s="87" t="s">
        <v>1221</v>
      </c>
      <c r="J1202" s="85" t="s">
        <v>114</v>
      </c>
      <c r="K1202" s="76"/>
      <c r="L1202" s="76"/>
      <c r="M1202" s="85" t="s">
        <v>60</v>
      </c>
      <c r="N1202" s="678" t="s">
        <v>10402</v>
      </c>
      <c r="O1202" s="76" t="s">
        <v>10403</v>
      </c>
      <c r="P1202" s="523">
        <v>25906.0</v>
      </c>
      <c r="Q1202" s="315">
        <f t="shared" si="153"/>
        <v>25906</v>
      </c>
      <c r="R1202" s="86">
        <f t="shared" si="152"/>
        <v>55</v>
      </c>
      <c r="S1202" s="76">
        <v>2.590510616E9</v>
      </c>
      <c r="T1202" s="76" t="s">
        <v>378</v>
      </c>
      <c r="U1202" s="76" t="s">
        <v>368</v>
      </c>
      <c r="V1202" s="76"/>
      <c r="W1202" s="76"/>
      <c r="X1202" s="76"/>
      <c r="Y1202" s="276"/>
      <c r="Z1202" s="216" t="s">
        <v>2521</v>
      </c>
      <c r="AA1202" s="76"/>
      <c r="AB1202" s="97"/>
      <c r="AC1202" s="76"/>
      <c r="AD1202" s="76"/>
      <c r="AE1202" s="76"/>
      <c r="AF1202" s="76"/>
      <c r="AG1202" s="76" t="s">
        <v>1187</v>
      </c>
      <c r="AH1202" s="153">
        <v>46214.0</v>
      </c>
      <c r="AI1202" s="67"/>
      <c r="AJ1202" s="67"/>
      <c r="AK1202" s="70"/>
      <c r="AL1202" s="70"/>
      <c r="AM1202" s="135"/>
      <c r="AN1202" s="135"/>
      <c r="AO1202" s="70"/>
      <c r="AP1202" s="70"/>
      <c r="AQ1202" s="67"/>
      <c r="AR1202" s="67"/>
      <c r="AS1202" s="67"/>
      <c r="AT1202" s="67"/>
    </row>
    <row r="1203">
      <c r="A1203" s="76" t="s">
        <v>116</v>
      </c>
      <c r="B1203" s="77" t="s">
        <v>3423</v>
      </c>
      <c r="C1203" s="77" t="s">
        <v>9696</v>
      </c>
      <c r="D1203" s="77" t="s">
        <v>121</v>
      </c>
      <c r="E1203" s="78" t="s">
        <v>178</v>
      </c>
      <c r="F1203" s="80" t="s">
        <v>6599</v>
      </c>
      <c r="G1203" s="77" t="s">
        <v>2035</v>
      </c>
      <c r="H1203" s="77" t="s">
        <v>102</v>
      </c>
      <c r="I1203" s="146" t="s">
        <v>408</v>
      </c>
      <c r="J1203" s="76" t="s">
        <v>114</v>
      </c>
      <c r="K1203" s="76"/>
      <c r="L1203" s="47"/>
      <c r="M1203" s="85" t="s">
        <v>610</v>
      </c>
      <c r="N1203" s="678" t="s">
        <v>10744</v>
      </c>
      <c r="O1203" s="76" t="s">
        <v>12133</v>
      </c>
      <c r="P1203" s="523">
        <v>29809.0</v>
      </c>
      <c r="Q1203" s="315">
        <f t="shared" si="153"/>
        <v>29809</v>
      </c>
      <c r="R1203" s="86">
        <f t="shared" si="152"/>
        <v>45</v>
      </c>
      <c r="S1203" s="76">
        <v>2.980817436E9</v>
      </c>
      <c r="T1203" s="76" t="s">
        <v>378</v>
      </c>
      <c r="U1203" s="76" t="s">
        <v>368</v>
      </c>
      <c r="V1203" s="76"/>
      <c r="W1203" s="76"/>
      <c r="X1203" s="76"/>
      <c r="Y1203" s="276"/>
      <c r="Z1203" s="344" t="s">
        <v>2506</v>
      </c>
      <c r="AA1203" s="76" t="s">
        <v>1178</v>
      </c>
      <c r="AB1203" s="97"/>
      <c r="AC1203" s="76"/>
      <c r="AD1203" s="76"/>
      <c r="AE1203" s="76"/>
      <c r="AF1203" s="76" t="s">
        <v>3601</v>
      </c>
      <c r="AG1203" s="76" t="s">
        <v>1187</v>
      </c>
      <c r="AH1203" s="153">
        <v>46213.0</v>
      </c>
      <c r="AI1203" s="67"/>
      <c r="AJ1203" s="67"/>
      <c r="AK1203" s="70"/>
      <c r="AL1203" s="70"/>
      <c r="AM1203" s="135"/>
      <c r="AN1203" s="135"/>
      <c r="AO1203" s="70"/>
      <c r="AP1203" s="70"/>
      <c r="AQ1203" s="67"/>
      <c r="AR1203" s="67"/>
      <c r="AS1203" s="67"/>
      <c r="AT1203" s="67"/>
    </row>
    <row r="1204">
      <c r="A1204" s="76" t="s">
        <v>116</v>
      </c>
      <c r="B1204" s="77" t="s">
        <v>1039</v>
      </c>
      <c r="C1204" s="77" t="s">
        <v>121</v>
      </c>
      <c r="D1204" s="77" t="s">
        <v>121</v>
      </c>
      <c r="E1204" s="78" t="s">
        <v>295</v>
      </c>
      <c r="F1204" s="80" t="s">
        <v>1241</v>
      </c>
      <c r="G1204" s="77" t="s">
        <v>1243</v>
      </c>
      <c r="H1204" s="77" t="s">
        <v>60</v>
      </c>
      <c r="I1204" s="87" t="s">
        <v>1221</v>
      </c>
      <c r="J1204" s="76" t="s">
        <v>114</v>
      </c>
      <c r="K1204" s="176" t="s">
        <v>1602</v>
      </c>
      <c r="L1204" s="47"/>
      <c r="M1204" s="85" t="s">
        <v>60</v>
      </c>
      <c r="N1204" s="678" t="s">
        <v>10612</v>
      </c>
      <c r="O1204" s="76" t="s">
        <v>10613</v>
      </c>
      <c r="P1204" s="523">
        <v>33543.0</v>
      </c>
      <c r="Q1204" s="315">
        <f t="shared" si="153"/>
        <v>33543</v>
      </c>
      <c r="R1204" s="86">
        <f t="shared" si="152"/>
        <v>34</v>
      </c>
      <c r="S1204" s="76">
        <v>3.35420445E9</v>
      </c>
      <c r="T1204" s="315"/>
      <c r="U1204" s="76" t="s">
        <v>368</v>
      </c>
      <c r="V1204" s="76"/>
      <c r="W1204" s="76"/>
      <c r="X1204" s="76"/>
      <c r="Y1204" s="97"/>
      <c r="Z1204" s="344" t="s">
        <v>2506</v>
      </c>
      <c r="AA1204" s="76"/>
      <c r="AB1204" s="97"/>
      <c r="AC1204" s="76" t="s">
        <v>1032</v>
      </c>
      <c r="AD1204" s="76"/>
      <c r="AE1204" s="76"/>
      <c r="AF1204" s="76" t="s">
        <v>12134</v>
      </c>
      <c r="AG1204" s="76" t="s">
        <v>1187</v>
      </c>
      <c r="AH1204" s="153">
        <v>46214.0</v>
      </c>
      <c r="AI1204" s="67"/>
      <c r="AJ1204" s="67"/>
      <c r="AK1204" s="70"/>
      <c r="AL1204" s="70"/>
      <c r="AM1204" s="135"/>
      <c r="AN1204" s="135"/>
      <c r="AO1204" s="70"/>
      <c r="AP1204" s="70"/>
      <c r="AQ1204" s="67"/>
      <c r="AR1204" s="67"/>
      <c r="AS1204" s="67"/>
      <c r="AT1204" s="67"/>
    </row>
    <row r="1205">
      <c r="A1205" s="76" t="s">
        <v>116</v>
      </c>
      <c r="B1205" s="77" t="s">
        <v>3297</v>
      </c>
      <c r="C1205" s="77" t="s">
        <v>8546</v>
      </c>
      <c r="D1205" s="77" t="s">
        <v>121</v>
      </c>
      <c r="E1205" s="78" t="s">
        <v>201</v>
      </c>
      <c r="F1205" s="80" t="s">
        <v>1849</v>
      </c>
      <c r="G1205" s="77" t="s">
        <v>9291</v>
      </c>
      <c r="H1205" s="77" t="s">
        <v>60</v>
      </c>
      <c r="I1205" s="87" t="s">
        <v>1221</v>
      </c>
      <c r="J1205" s="76" t="s">
        <v>114</v>
      </c>
      <c r="K1205" s="176" t="s">
        <v>1602</v>
      </c>
      <c r="L1205" s="47"/>
      <c r="M1205" s="85" t="s">
        <v>60</v>
      </c>
      <c r="N1205" s="678" t="s">
        <v>8613</v>
      </c>
      <c r="O1205" s="76" t="s">
        <v>10621</v>
      </c>
      <c r="P1205" s="523">
        <v>32007.0</v>
      </c>
      <c r="Q1205" s="315">
        <f t="shared" si="153"/>
        <v>32007</v>
      </c>
      <c r="R1205" s="86">
        <f t="shared" si="152"/>
        <v>39</v>
      </c>
      <c r="S1205" s="76">
        <v>3.200607253E9</v>
      </c>
      <c r="T1205" s="76" t="s">
        <v>378</v>
      </c>
      <c r="U1205" s="76" t="s">
        <v>368</v>
      </c>
      <c r="V1205" s="76"/>
      <c r="W1205" s="76"/>
      <c r="X1205" s="76"/>
      <c r="Y1205" s="97"/>
      <c r="Z1205" s="344" t="s">
        <v>2506</v>
      </c>
      <c r="AA1205" s="76"/>
      <c r="AB1205" s="97"/>
      <c r="AC1205" s="76" t="s">
        <v>1032</v>
      </c>
      <c r="AD1205" s="76"/>
      <c r="AE1205" s="76"/>
      <c r="AF1205" s="76"/>
      <c r="AG1205" s="76" t="s">
        <v>1187</v>
      </c>
      <c r="AH1205" s="153">
        <v>46214.0</v>
      </c>
      <c r="AI1205" s="67"/>
      <c r="AJ1205" s="67"/>
      <c r="AK1205" s="70"/>
      <c r="AL1205" s="70"/>
      <c r="AM1205" s="135"/>
      <c r="AN1205" s="135"/>
      <c r="AO1205" s="70"/>
      <c r="AP1205" s="70"/>
      <c r="AQ1205" s="67"/>
      <c r="AR1205" s="67"/>
      <c r="AS1205" s="67"/>
      <c r="AT1205" s="67"/>
    </row>
    <row r="1206">
      <c r="A1206" s="76" t="s">
        <v>116</v>
      </c>
      <c r="B1206" s="77" t="s">
        <v>1039</v>
      </c>
      <c r="C1206" s="77" t="s">
        <v>1269</v>
      </c>
      <c r="D1206" s="77" t="s">
        <v>1368</v>
      </c>
      <c r="E1206" s="78" t="s">
        <v>213</v>
      </c>
      <c r="F1206" s="80" t="s">
        <v>1523</v>
      </c>
      <c r="G1206" s="77" t="s">
        <v>1574</v>
      </c>
      <c r="H1206" s="77" t="s">
        <v>60</v>
      </c>
      <c r="I1206" s="87" t="s">
        <v>1221</v>
      </c>
      <c r="J1206" s="76" t="s">
        <v>114</v>
      </c>
      <c r="K1206" s="176" t="s">
        <v>12135</v>
      </c>
      <c r="L1206" s="47"/>
      <c r="M1206" s="85" t="s">
        <v>60</v>
      </c>
      <c r="N1206" s="678" t="s">
        <v>10235</v>
      </c>
      <c r="O1206" s="320" t="s">
        <v>10237</v>
      </c>
      <c r="P1206" s="523">
        <v>33000.0</v>
      </c>
      <c r="Q1206" s="315">
        <f t="shared" si="153"/>
        <v>33000</v>
      </c>
      <c r="R1206" s="86">
        <f t="shared" si="152"/>
        <v>36</v>
      </c>
      <c r="S1206" s="76">
        <v>3.299911912E9</v>
      </c>
      <c r="T1206" s="76" t="s">
        <v>1548</v>
      </c>
      <c r="U1206" s="76" t="s">
        <v>368</v>
      </c>
      <c r="V1206" s="76"/>
      <c r="W1206" s="76"/>
      <c r="X1206" s="76"/>
      <c r="Y1206" s="97" t="s">
        <v>371</v>
      </c>
      <c r="Z1206" s="216" t="s">
        <v>1815</v>
      </c>
      <c r="AA1206" s="76" t="s">
        <v>1178</v>
      </c>
      <c r="AB1206" s="97"/>
      <c r="AC1206" s="76" t="s">
        <v>1032</v>
      </c>
      <c r="AD1206" s="76"/>
      <c r="AE1206" s="76"/>
      <c r="AF1206" s="76" t="s">
        <v>1819</v>
      </c>
      <c r="AG1206" s="27" t="s">
        <v>1187</v>
      </c>
      <c r="AH1206" s="153">
        <v>46211.0</v>
      </c>
      <c r="AI1206" s="67"/>
      <c r="AJ1206" s="67"/>
      <c r="AK1206" s="70"/>
      <c r="AL1206" s="70"/>
      <c r="AM1206" s="135"/>
      <c r="AN1206" s="135"/>
      <c r="AO1206" s="70"/>
      <c r="AP1206" s="70"/>
      <c r="AQ1206" s="67"/>
      <c r="AR1206" s="67"/>
      <c r="AS1206" s="67"/>
      <c r="AT1206" s="67"/>
    </row>
    <row r="1207">
      <c r="A1207" s="76" t="s">
        <v>116</v>
      </c>
      <c r="B1207" s="77" t="s">
        <v>3297</v>
      </c>
      <c r="C1207" s="77" t="s">
        <v>8546</v>
      </c>
      <c r="D1207" s="77" t="s">
        <v>121</v>
      </c>
      <c r="E1207" s="78" t="s">
        <v>1932</v>
      </c>
      <c r="F1207" s="80" t="s">
        <v>3486</v>
      </c>
      <c r="G1207" s="77" t="s">
        <v>1934</v>
      </c>
      <c r="H1207" s="77" t="s">
        <v>326</v>
      </c>
      <c r="I1207" s="87" t="s">
        <v>1221</v>
      </c>
      <c r="J1207" s="76" t="s">
        <v>114</v>
      </c>
      <c r="K1207" s="176" t="s">
        <v>12136</v>
      </c>
      <c r="L1207" s="85"/>
      <c r="M1207" s="85" t="s">
        <v>60</v>
      </c>
      <c r="N1207" s="256" t="s">
        <v>1939</v>
      </c>
      <c r="O1207" s="818" t="s">
        <v>1940</v>
      </c>
      <c r="P1207" s="825">
        <v>33068.0</v>
      </c>
      <c r="Q1207" s="315">
        <f t="shared" si="153"/>
        <v>33068</v>
      </c>
      <c r="R1207" s="97">
        <f t="shared" si="152"/>
        <v>36</v>
      </c>
      <c r="S1207" s="76">
        <v>3.306712355E9</v>
      </c>
      <c r="T1207" s="315"/>
      <c r="U1207" s="76" t="s">
        <v>368</v>
      </c>
      <c r="V1207" s="76"/>
      <c r="W1207" s="76"/>
      <c r="X1207" s="97"/>
      <c r="Y1207" s="97"/>
      <c r="Z1207" s="176" t="s">
        <v>1460</v>
      </c>
      <c r="AA1207" s="76"/>
      <c r="AB1207" s="97"/>
      <c r="AC1207" s="76"/>
      <c r="AD1207" s="99"/>
      <c r="AE1207" s="76"/>
      <c r="AF1207" s="76"/>
      <c r="AG1207" s="76" t="s">
        <v>1187</v>
      </c>
      <c r="AH1207" s="153">
        <v>46212.0</v>
      </c>
      <c r="AI1207" s="67"/>
      <c r="AJ1207" s="67"/>
      <c r="AK1207" s="70"/>
      <c r="AL1207" s="70"/>
      <c r="AM1207" s="135"/>
      <c r="AN1207" s="135"/>
      <c r="AO1207" s="70"/>
      <c r="AP1207" s="70"/>
      <c r="AQ1207" s="67"/>
      <c r="AR1207" s="67"/>
      <c r="AS1207" s="67"/>
      <c r="AT1207" s="67"/>
    </row>
    <row r="1208">
      <c r="A1208" s="76" t="s">
        <v>116</v>
      </c>
      <c r="B1208" s="77" t="s">
        <v>1728</v>
      </c>
      <c r="C1208" s="77" t="s">
        <v>121</v>
      </c>
      <c r="D1208" s="77" t="s">
        <v>121</v>
      </c>
      <c r="E1208" s="78" t="s">
        <v>213</v>
      </c>
      <c r="F1208" s="80" t="s">
        <v>1523</v>
      </c>
      <c r="G1208" s="77" t="s">
        <v>1826</v>
      </c>
      <c r="H1208" s="77" t="s">
        <v>60</v>
      </c>
      <c r="I1208" s="87" t="s">
        <v>1221</v>
      </c>
      <c r="J1208" s="85" t="s">
        <v>114</v>
      </c>
      <c r="K1208" s="176" t="s">
        <v>12137</v>
      </c>
      <c r="L1208" s="76">
        <v>10.0</v>
      </c>
      <c r="M1208" s="85" t="s">
        <v>60</v>
      </c>
      <c r="N1208" s="256" t="s">
        <v>816</v>
      </c>
      <c r="O1208" s="295" t="s">
        <v>817</v>
      </c>
      <c r="P1208" s="523">
        <v>33273.0</v>
      </c>
      <c r="Q1208" s="315">
        <f t="shared" si="153"/>
        <v>33273</v>
      </c>
      <c r="R1208" s="86">
        <f t="shared" si="152"/>
        <v>35</v>
      </c>
      <c r="S1208" s="76">
        <v>3.327203198E9</v>
      </c>
      <c r="T1208" s="86"/>
      <c r="U1208" s="76" t="s">
        <v>368</v>
      </c>
      <c r="V1208" s="76"/>
      <c r="W1208" s="76"/>
      <c r="X1208" s="76"/>
      <c r="Y1208" s="167"/>
      <c r="Z1208" s="234" t="s">
        <v>1351</v>
      </c>
      <c r="AA1208" s="168"/>
      <c r="AB1208" s="97"/>
      <c r="AC1208" s="168"/>
      <c r="AD1208" s="260"/>
      <c r="AE1208" s="76"/>
      <c r="AF1208" s="76" t="s">
        <v>12114</v>
      </c>
      <c r="AG1208" s="76" t="s">
        <v>1187</v>
      </c>
      <c r="AH1208" s="153">
        <v>46215.0</v>
      </c>
      <c r="AI1208" s="67"/>
      <c r="AJ1208" s="67"/>
      <c r="AK1208" s="70"/>
      <c r="AL1208" s="70"/>
      <c r="AM1208" s="135"/>
      <c r="AN1208" s="135"/>
      <c r="AO1208" s="70"/>
      <c r="AP1208" s="70"/>
      <c r="AQ1208" s="67"/>
      <c r="AR1208" s="67"/>
      <c r="AS1208" s="67"/>
      <c r="AT1208" s="67"/>
    </row>
    <row r="1209">
      <c r="A1209" s="76" t="s">
        <v>116</v>
      </c>
      <c r="B1209" s="77" t="s">
        <v>1728</v>
      </c>
      <c r="C1209" s="77" t="s">
        <v>121</v>
      </c>
      <c r="D1209" s="77" t="s">
        <v>121</v>
      </c>
      <c r="E1209" s="78" t="s">
        <v>1466</v>
      </c>
      <c r="F1209" s="80" t="s">
        <v>8998</v>
      </c>
      <c r="G1209" s="77" t="s">
        <v>8716</v>
      </c>
      <c r="H1209" s="77" t="s">
        <v>326</v>
      </c>
      <c r="I1209" s="87" t="s">
        <v>1221</v>
      </c>
      <c r="J1209" s="195" t="s">
        <v>114</v>
      </c>
      <c r="K1209" s="363" t="s">
        <v>12138</v>
      </c>
      <c r="L1209" s="189"/>
      <c r="M1209" s="195" t="s">
        <v>60</v>
      </c>
      <c r="N1209" s="665" t="s">
        <v>1012</v>
      </c>
      <c r="O1209" s="429" t="s">
        <v>1014</v>
      </c>
      <c r="P1209" s="315">
        <v>30752.0</v>
      </c>
      <c r="Q1209" s="852">
        <f t="shared" si="153"/>
        <v>30752</v>
      </c>
      <c r="R1209" s="189">
        <f t="shared" si="152"/>
        <v>42</v>
      </c>
      <c r="S1209" s="189">
        <v>3.075105358E9</v>
      </c>
      <c r="T1209" s="194"/>
      <c r="U1209" s="124" t="s">
        <v>368</v>
      </c>
      <c r="V1209" s="76"/>
      <c r="W1209" s="76"/>
      <c r="X1209" s="194"/>
      <c r="Y1209" s="194"/>
      <c r="Z1209" s="360" t="s">
        <v>1460</v>
      </c>
      <c r="AA1209" s="194"/>
      <c r="AB1209" s="194"/>
      <c r="AC1209" s="194"/>
      <c r="AD1209" s="986"/>
      <c r="AE1209" s="76"/>
      <c r="AF1209" s="1172" t="s">
        <v>5258</v>
      </c>
      <c r="AG1209" s="189" t="s">
        <v>1187</v>
      </c>
      <c r="AH1209" s="153">
        <v>46215.0</v>
      </c>
      <c r="AI1209" s="67"/>
      <c r="AJ1209" s="67"/>
      <c r="AK1209" s="70"/>
      <c r="AL1209" s="70"/>
      <c r="AM1209" s="135"/>
      <c r="AN1209" s="135"/>
      <c r="AO1209" s="70"/>
      <c r="AP1209" s="70"/>
      <c r="AQ1209" s="67"/>
      <c r="AR1209" s="67"/>
      <c r="AS1209" s="67"/>
      <c r="AT1209" s="67"/>
    </row>
    <row r="1210">
      <c r="A1210" s="76" t="s">
        <v>116</v>
      </c>
      <c r="B1210" s="77" t="s">
        <v>3014</v>
      </c>
      <c r="C1210" s="77" t="s">
        <v>121</v>
      </c>
      <c r="D1210" s="77" t="s">
        <v>121</v>
      </c>
      <c r="E1210" s="78" t="s">
        <v>331</v>
      </c>
      <c r="F1210" s="80" t="s">
        <v>3016</v>
      </c>
      <c r="G1210" s="77" t="s">
        <v>1777</v>
      </c>
      <c r="H1210" s="77" t="s">
        <v>60</v>
      </c>
      <c r="I1210" s="87" t="s">
        <v>1221</v>
      </c>
      <c r="J1210" s="189" t="s">
        <v>114</v>
      </c>
      <c r="K1210" s="195" t="s">
        <v>12139</v>
      </c>
      <c r="L1210" s="189"/>
      <c r="M1210" s="195" t="s">
        <v>60</v>
      </c>
      <c r="N1210" s="665" t="s">
        <v>1652</v>
      </c>
      <c r="O1210" s="429" t="s">
        <v>1654</v>
      </c>
      <c r="P1210" s="315">
        <v>27743.0</v>
      </c>
      <c r="Q1210" s="852">
        <f t="shared" si="153"/>
        <v>27743</v>
      </c>
      <c r="R1210" s="189">
        <f t="shared" si="152"/>
        <v>50</v>
      </c>
      <c r="S1210" s="315">
        <v>2.774220257E9</v>
      </c>
      <c r="T1210" s="315" t="s">
        <v>1317</v>
      </c>
      <c r="U1210" s="124" t="s">
        <v>368</v>
      </c>
      <c r="V1210" s="76"/>
      <c r="W1210" s="194"/>
      <c r="X1210" s="194"/>
      <c r="Y1210" s="189" t="s">
        <v>1174</v>
      </c>
      <c r="Z1210" s="897" t="s">
        <v>2090</v>
      </c>
      <c r="AA1210" s="194"/>
      <c r="AB1210" s="194"/>
      <c r="AC1210" s="194"/>
      <c r="AD1210" s="1186"/>
      <c r="AE1210" s="76"/>
      <c r="AF1210" s="194"/>
      <c r="AG1210" s="189" t="s">
        <v>1187</v>
      </c>
      <c r="AH1210" s="153">
        <v>46215.0</v>
      </c>
      <c r="AI1210" s="67"/>
      <c r="AJ1210" s="67"/>
      <c r="AK1210" s="70"/>
      <c r="AL1210" s="70"/>
      <c r="AM1210" s="135"/>
      <c r="AN1210" s="135"/>
      <c r="AO1210" s="70"/>
      <c r="AP1210" s="70"/>
      <c r="AQ1210" s="67"/>
      <c r="AR1210" s="67"/>
      <c r="AS1210" s="67"/>
      <c r="AT1210" s="67"/>
    </row>
    <row r="1211">
      <c r="A1211" s="76" t="s">
        <v>116</v>
      </c>
      <c r="B1211" s="77" t="s">
        <v>1039</v>
      </c>
      <c r="C1211" s="77" t="s">
        <v>1517</v>
      </c>
      <c r="D1211" s="77" t="s">
        <v>1519</v>
      </c>
      <c r="E1211" s="78" t="s">
        <v>187</v>
      </c>
      <c r="F1211" s="80" t="s">
        <v>1469</v>
      </c>
      <c r="G1211" s="77" t="s">
        <v>2525</v>
      </c>
      <c r="H1211" s="77" t="s">
        <v>60</v>
      </c>
      <c r="I1211" s="87" t="s">
        <v>1221</v>
      </c>
      <c r="J1211" s="76" t="s">
        <v>114</v>
      </c>
      <c r="K1211" s="76"/>
      <c r="L1211" s="47"/>
      <c r="M1211" s="85" t="s">
        <v>60</v>
      </c>
      <c r="N1211" s="678" t="s">
        <v>10603</v>
      </c>
      <c r="O1211" s="76" t="s">
        <v>2847</v>
      </c>
      <c r="P1211" s="523">
        <v>31383.0</v>
      </c>
      <c r="Q1211" s="315">
        <f t="shared" si="153"/>
        <v>31383</v>
      </c>
      <c r="R1211" s="86">
        <f t="shared" si="152"/>
        <v>40</v>
      </c>
      <c r="S1211" s="76">
        <v>3.13820129E9</v>
      </c>
      <c r="T1211" s="315"/>
      <c r="U1211" s="76" t="s">
        <v>368</v>
      </c>
      <c r="V1211" s="76"/>
      <c r="W1211" s="76"/>
      <c r="X1211" s="76"/>
      <c r="Y1211" s="97"/>
      <c r="Z1211" s="216" t="s">
        <v>1815</v>
      </c>
      <c r="AA1211" s="76" t="s">
        <v>1178</v>
      </c>
      <c r="AB1211" s="97"/>
      <c r="AC1211" s="76" t="s">
        <v>1032</v>
      </c>
      <c r="AD1211" s="76"/>
      <c r="AE1211" s="76"/>
      <c r="AF1211" s="76" t="s">
        <v>12140</v>
      </c>
      <c r="AG1211" s="76" t="s">
        <v>1187</v>
      </c>
      <c r="AH1211" s="153">
        <v>46213.0</v>
      </c>
      <c r="AI1211" s="67"/>
      <c r="AJ1211" s="67"/>
      <c r="AK1211" s="70"/>
      <c r="AL1211" s="70"/>
      <c r="AM1211" s="135"/>
      <c r="AN1211" s="135"/>
      <c r="AO1211" s="70"/>
      <c r="AP1211" s="70"/>
      <c r="AQ1211" s="67"/>
      <c r="AR1211" s="67"/>
      <c r="AS1211" s="67"/>
      <c r="AT1211" s="67"/>
    </row>
    <row r="1212">
      <c r="A1212" s="76" t="s">
        <v>116</v>
      </c>
      <c r="B1212" s="77" t="s">
        <v>1039</v>
      </c>
      <c r="C1212" s="77" t="s">
        <v>1517</v>
      </c>
      <c r="D1212" s="77" t="s">
        <v>1519</v>
      </c>
      <c r="E1212" s="78" t="s">
        <v>58</v>
      </c>
      <c r="F1212" s="80" t="s">
        <v>1496</v>
      </c>
      <c r="G1212" s="77" t="s">
        <v>558</v>
      </c>
      <c r="H1212" s="77" t="s">
        <v>60</v>
      </c>
      <c r="I1212" s="87" t="s">
        <v>1221</v>
      </c>
      <c r="J1212" s="76" t="s">
        <v>114</v>
      </c>
      <c r="K1212" s="76"/>
      <c r="L1212" s="47"/>
      <c r="M1212" s="85" t="s">
        <v>360</v>
      </c>
      <c r="N1212" s="678" t="s">
        <v>10514</v>
      </c>
      <c r="O1212" s="76" t="s">
        <v>6204</v>
      </c>
      <c r="P1212" s="523">
        <v>30369.0</v>
      </c>
      <c r="Q1212" s="315">
        <f t="shared" si="153"/>
        <v>30369</v>
      </c>
      <c r="R1212" s="86">
        <f t="shared" si="152"/>
        <v>43</v>
      </c>
      <c r="S1212" s="76">
        <v>3.036811718E9</v>
      </c>
      <c r="T1212" s="76" t="s">
        <v>378</v>
      </c>
      <c r="U1212" s="76" t="s">
        <v>368</v>
      </c>
      <c r="V1212" s="76"/>
      <c r="W1212" s="76"/>
      <c r="X1212" s="76"/>
      <c r="Y1212" s="97"/>
      <c r="Z1212" s="216" t="s">
        <v>1815</v>
      </c>
      <c r="AA1212" s="76" t="s">
        <v>1178</v>
      </c>
      <c r="AB1212" s="97"/>
      <c r="AC1212" s="76"/>
      <c r="AD1212" s="76"/>
      <c r="AE1212" s="76"/>
      <c r="AF1212" s="76" t="s">
        <v>1819</v>
      </c>
      <c r="AG1212" s="76" t="s">
        <v>1187</v>
      </c>
      <c r="AH1212" s="153">
        <v>46212.0</v>
      </c>
      <c r="AI1212" s="67"/>
      <c r="AJ1212" s="67"/>
      <c r="AK1212" s="70"/>
      <c r="AL1212" s="70"/>
      <c r="AM1212" s="135"/>
      <c r="AN1212" s="135"/>
      <c r="AO1212" s="70"/>
      <c r="AP1212" s="70"/>
      <c r="AQ1212" s="67"/>
      <c r="AR1212" s="67"/>
      <c r="AS1212" s="67"/>
      <c r="AT1212" s="67"/>
    </row>
    <row r="1213">
      <c r="A1213" s="76" t="s">
        <v>116</v>
      </c>
      <c r="B1213" s="77" t="s">
        <v>1039</v>
      </c>
      <c r="C1213" s="77" t="s">
        <v>1611</v>
      </c>
      <c r="D1213" s="77" t="s">
        <v>1368</v>
      </c>
      <c r="E1213" s="78" t="s">
        <v>213</v>
      </c>
      <c r="F1213" s="80" t="s">
        <v>1523</v>
      </c>
      <c r="G1213" s="77" t="s">
        <v>2746</v>
      </c>
      <c r="H1213" s="77" t="s">
        <v>60</v>
      </c>
      <c r="I1213" s="87" t="s">
        <v>1221</v>
      </c>
      <c r="J1213" s="76" t="s">
        <v>114</v>
      </c>
      <c r="K1213" s="76"/>
      <c r="L1213" s="47"/>
      <c r="M1213" s="85" t="s">
        <v>60</v>
      </c>
      <c r="N1213" s="678" t="s">
        <v>10559</v>
      </c>
      <c r="O1213" s="76" t="s">
        <v>10560</v>
      </c>
      <c r="P1213" s="523">
        <v>33518.0</v>
      </c>
      <c r="Q1213" s="315">
        <f t="shared" si="153"/>
        <v>33518</v>
      </c>
      <c r="R1213" s="86">
        <f t="shared" si="152"/>
        <v>34</v>
      </c>
      <c r="S1213" s="76">
        <v>3.351701117E9</v>
      </c>
      <c r="T1213" s="315"/>
      <c r="U1213" s="76" t="s">
        <v>368</v>
      </c>
      <c r="V1213" s="76"/>
      <c r="W1213" s="76"/>
      <c r="X1213" s="76"/>
      <c r="Y1213" s="97"/>
      <c r="Z1213" s="216" t="s">
        <v>1815</v>
      </c>
      <c r="AA1213" s="76" t="s">
        <v>1178</v>
      </c>
      <c r="AB1213" s="97"/>
      <c r="AC1213" s="76" t="s">
        <v>1032</v>
      </c>
      <c r="AD1213" s="76"/>
      <c r="AE1213" s="76"/>
      <c r="AF1213" s="76" t="s">
        <v>1819</v>
      </c>
      <c r="AG1213" s="76" t="s">
        <v>1187</v>
      </c>
      <c r="AH1213" s="153">
        <v>46211.0</v>
      </c>
      <c r="AI1213" s="67"/>
      <c r="AJ1213" s="67"/>
      <c r="AK1213" s="70"/>
      <c r="AL1213" s="70"/>
      <c r="AM1213" s="135"/>
      <c r="AN1213" s="135"/>
      <c r="AO1213" s="70"/>
      <c r="AP1213" s="70"/>
      <c r="AQ1213" s="67"/>
      <c r="AR1213" s="67"/>
      <c r="AS1213" s="67"/>
      <c r="AT1213" s="67"/>
    </row>
    <row r="1214">
      <c r="A1214" s="76" t="s">
        <v>116</v>
      </c>
      <c r="B1214" s="77" t="s">
        <v>3014</v>
      </c>
      <c r="C1214" s="77" t="s">
        <v>121</v>
      </c>
      <c r="D1214" s="77" t="s">
        <v>121</v>
      </c>
      <c r="E1214" s="78" t="s">
        <v>1924</v>
      </c>
      <c r="F1214" s="80" t="s">
        <v>8677</v>
      </c>
      <c r="G1214" s="77" t="s">
        <v>2413</v>
      </c>
      <c r="H1214" s="77" t="s">
        <v>102</v>
      </c>
      <c r="I1214" s="146" t="s">
        <v>408</v>
      </c>
      <c r="J1214" s="85" t="s">
        <v>114</v>
      </c>
      <c r="K1214" s="124" t="s">
        <v>12141</v>
      </c>
      <c r="L1214" s="47"/>
      <c r="M1214" s="85" t="s">
        <v>102</v>
      </c>
      <c r="N1214" s="678" t="s">
        <v>8686</v>
      </c>
      <c r="O1214" s="295" t="s">
        <v>11112</v>
      </c>
      <c r="P1214" s="523">
        <v>30667.0</v>
      </c>
      <c r="Q1214" s="315">
        <f t="shared" si="153"/>
        <v>30667</v>
      </c>
      <c r="R1214" s="86">
        <f t="shared" si="152"/>
        <v>42</v>
      </c>
      <c r="S1214" s="76">
        <v>3.066601655E9</v>
      </c>
      <c r="T1214" s="315"/>
      <c r="U1214" s="76" t="s">
        <v>368</v>
      </c>
      <c r="V1214" s="76"/>
      <c r="W1214" s="76"/>
      <c r="X1214" s="76"/>
      <c r="Y1214" s="97"/>
      <c r="Z1214" s="216" t="s">
        <v>1815</v>
      </c>
      <c r="AA1214" s="76" t="s">
        <v>1178</v>
      </c>
      <c r="AB1214" s="97"/>
      <c r="AC1214" s="76" t="s">
        <v>1032</v>
      </c>
      <c r="AD1214" s="76" t="s">
        <v>9077</v>
      </c>
      <c r="AE1214" s="76"/>
      <c r="AF1214" s="76"/>
      <c r="AG1214" s="76" t="s">
        <v>1187</v>
      </c>
      <c r="AH1214" s="153">
        <v>46214.0</v>
      </c>
      <c r="AI1214" s="67"/>
      <c r="AJ1214" s="67"/>
      <c r="AK1214" s="70"/>
      <c r="AL1214" s="70"/>
      <c r="AM1214" s="135"/>
      <c r="AN1214" s="135"/>
      <c r="AO1214" s="70"/>
      <c r="AP1214" s="70"/>
      <c r="AQ1214" s="67"/>
      <c r="AR1214" s="67"/>
      <c r="AS1214" s="67"/>
      <c r="AT1214" s="67"/>
    </row>
    <row r="1215">
      <c r="A1215" s="76" t="s">
        <v>116</v>
      </c>
      <c r="B1215" s="77" t="s">
        <v>1039</v>
      </c>
      <c r="C1215" s="77" t="s">
        <v>1611</v>
      </c>
      <c r="D1215" s="77" t="s">
        <v>1494</v>
      </c>
      <c r="E1215" s="78" t="s">
        <v>321</v>
      </c>
      <c r="F1215" s="80" t="s">
        <v>1552</v>
      </c>
      <c r="G1215" s="77" t="s">
        <v>649</v>
      </c>
      <c r="H1215" s="77" t="s">
        <v>60</v>
      </c>
      <c r="I1215" s="87" t="s">
        <v>1221</v>
      </c>
      <c r="J1215" s="76" t="s">
        <v>114</v>
      </c>
      <c r="K1215" s="124" t="s">
        <v>12142</v>
      </c>
      <c r="L1215" s="76"/>
      <c r="M1215" s="85" t="s">
        <v>60</v>
      </c>
      <c r="N1215" s="785" t="s">
        <v>646</v>
      </c>
      <c r="O1215" s="76" t="s">
        <v>647</v>
      </c>
      <c r="P1215" s="523">
        <v>31757.0</v>
      </c>
      <c r="Q1215" s="315">
        <f t="shared" si="153"/>
        <v>31757</v>
      </c>
      <c r="R1215" s="97">
        <f t="shared" si="152"/>
        <v>39</v>
      </c>
      <c r="S1215" s="76">
        <v>3.175609556E9</v>
      </c>
      <c r="T1215" s="315"/>
      <c r="U1215" s="76" t="s">
        <v>368</v>
      </c>
      <c r="V1215" s="76"/>
      <c r="W1215" s="76"/>
      <c r="X1215" s="76"/>
      <c r="Y1215" s="97" t="s">
        <v>1174</v>
      </c>
      <c r="Z1215" s="234" t="s">
        <v>1351</v>
      </c>
      <c r="AA1215" s="76"/>
      <c r="AB1215" s="76"/>
      <c r="AC1215" s="97"/>
      <c r="AD1215" s="99"/>
      <c r="AE1215" s="76"/>
      <c r="AF1215" s="76"/>
      <c r="AG1215" s="341" t="s">
        <v>1187</v>
      </c>
      <c r="AH1215" s="153">
        <v>46210.0</v>
      </c>
      <c r="AI1215" s="67"/>
      <c r="AJ1215" s="67"/>
      <c r="AK1215" s="70"/>
      <c r="AL1215" s="70"/>
      <c r="AM1215" s="135"/>
      <c r="AN1215" s="135"/>
      <c r="AO1215" s="70"/>
      <c r="AP1215" s="70"/>
      <c r="AQ1215" s="67"/>
      <c r="AR1215" s="67"/>
      <c r="AS1215" s="67"/>
      <c r="AT1215" s="67"/>
    </row>
    <row r="1216">
      <c r="A1216" s="76" t="s">
        <v>116</v>
      </c>
      <c r="B1216" s="77" t="s">
        <v>3014</v>
      </c>
      <c r="C1216" s="77" t="s">
        <v>121</v>
      </c>
      <c r="D1216" s="77" t="s">
        <v>121</v>
      </c>
      <c r="E1216" s="78" t="s">
        <v>8665</v>
      </c>
      <c r="F1216" s="80" t="s">
        <v>8666</v>
      </c>
      <c r="G1216" s="77" t="s">
        <v>8669</v>
      </c>
      <c r="H1216" s="77" t="s">
        <v>504</v>
      </c>
      <c r="I1216" s="146" t="s">
        <v>408</v>
      </c>
      <c r="J1216" s="76" t="s">
        <v>114</v>
      </c>
      <c r="K1216" s="76" t="s">
        <v>12143</v>
      </c>
      <c r="L1216" s="76"/>
      <c r="M1216" s="85" t="s">
        <v>60</v>
      </c>
      <c r="N1216" s="678" t="s">
        <v>8560</v>
      </c>
      <c r="O1216" s="76" t="s">
        <v>10172</v>
      </c>
      <c r="P1216" s="523">
        <v>26795.0</v>
      </c>
      <c r="Q1216" s="315">
        <f t="shared" si="153"/>
        <v>26795</v>
      </c>
      <c r="R1216" s="86">
        <f t="shared" si="152"/>
        <v>53</v>
      </c>
      <c r="S1216" s="76">
        <v>2.67940597E9</v>
      </c>
      <c r="T1216" s="315"/>
      <c r="U1216" s="76" t="s">
        <v>368</v>
      </c>
      <c r="V1216" s="76"/>
      <c r="W1216" s="76"/>
      <c r="X1216" s="76"/>
      <c r="Y1216" s="97"/>
      <c r="Z1216" s="216" t="s">
        <v>2521</v>
      </c>
      <c r="AA1216" s="76"/>
      <c r="AB1216" s="97"/>
      <c r="AC1216" s="76"/>
      <c r="AD1216" s="76"/>
      <c r="AE1216" s="76"/>
      <c r="AF1216" s="76"/>
      <c r="AG1216" s="76" t="s">
        <v>1187</v>
      </c>
      <c r="AH1216" s="153">
        <v>46210.0</v>
      </c>
      <c r="AI1216" s="67"/>
      <c r="AJ1216" s="67"/>
      <c r="AK1216" s="70"/>
      <c r="AL1216" s="70"/>
      <c r="AM1216" s="135"/>
      <c r="AN1216" s="135"/>
      <c r="AO1216" s="70"/>
      <c r="AP1216" s="70"/>
      <c r="AQ1216" s="67"/>
      <c r="AR1216" s="67"/>
      <c r="AS1216" s="67"/>
      <c r="AT1216" s="67"/>
    </row>
    <row r="1217">
      <c r="A1217" s="76" t="s">
        <v>116</v>
      </c>
      <c r="B1217" s="77" t="s">
        <v>1039</v>
      </c>
      <c r="C1217" s="77" t="s">
        <v>1611</v>
      </c>
      <c r="D1217" s="77" t="s">
        <v>1494</v>
      </c>
      <c r="E1217" s="78" t="s">
        <v>536</v>
      </c>
      <c r="F1217" s="80" t="s">
        <v>2458</v>
      </c>
      <c r="G1217" s="77" t="s">
        <v>659</v>
      </c>
      <c r="H1217" s="77" t="s">
        <v>60</v>
      </c>
      <c r="I1217" s="87" t="s">
        <v>1221</v>
      </c>
      <c r="J1217" s="76" t="s">
        <v>114</v>
      </c>
      <c r="K1217" s="157"/>
      <c r="L1217" s="47"/>
      <c r="M1217" s="85" t="s">
        <v>60</v>
      </c>
      <c r="N1217" s="678" t="s">
        <v>10916</v>
      </c>
      <c r="O1217" s="295" t="s">
        <v>10917</v>
      </c>
      <c r="P1217" s="523">
        <v>32648.0</v>
      </c>
      <c r="Q1217" s="315">
        <f t="shared" si="153"/>
        <v>32648</v>
      </c>
      <c r="R1217" s="86">
        <f t="shared" si="152"/>
        <v>37</v>
      </c>
      <c r="S1217" s="76">
        <v>3.264700897E9</v>
      </c>
      <c r="T1217" s="315"/>
      <c r="U1217" s="76" t="s">
        <v>368</v>
      </c>
      <c r="V1217" s="76"/>
      <c r="W1217" s="76"/>
      <c r="X1217" s="76"/>
      <c r="Y1217" s="97"/>
      <c r="Z1217" s="216" t="s">
        <v>1815</v>
      </c>
      <c r="AA1217" s="76" t="s">
        <v>1178</v>
      </c>
      <c r="AB1217" s="97"/>
      <c r="AC1217" s="76"/>
      <c r="AD1217" s="76"/>
      <c r="AE1217" s="76"/>
      <c r="AF1217" s="76" t="s">
        <v>8404</v>
      </c>
      <c r="AG1217" s="76" t="s">
        <v>1187</v>
      </c>
      <c r="AH1217" s="153">
        <v>46214.0</v>
      </c>
      <c r="AI1217" s="67"/>
      <c r="AJ1217" s="67"/>
      <c r="AK1217" s="70"/>
      <c r="AL1217" s="70"/>
      <c r="AM1217" s="135"/>
      <c r="AN1217" s="135"/>
      <c r="AO1217" s="70"/>
      <c r="AP1217" s="70"/>
      <c r="AQ1217" s="67"/>
      <c r="AR1217" s="67"/>
      <c r="AS1217" s="67"/>
      <c r="AT1217" s="67"/>
    </row>
    <row r="1218">
      <c r="A1218" s="76" t="s">
        <v>116</v>
      </c>
      <c r="B1218" s="77" t="s">
        <v>1433</v>
      </c>
      <c r="C1218" s="77" t="s">
        <v>121</v>
      </c>
      <c r="D1218" s="77" t="s">
        <v>121</v>
      </c>
      <c r="E1218" s="78" t="s">
        <v>331</v>
      </c>
      <c r="F1218" s="80" t="s">
        <v>7124</v>
      </c>
      <c r="G1218" s="77" t="s">
        <v>1684</v>
      </c>
      <c r="H1218" s="77" t="s">
        <v>60</v>
      </c>
      <c r="I1218" s="87" t="s">
        <v>1221</v>
      </c>
      <c r="J1218" s="85" t="s">
        <v>114</v>
      </c>
      <c r="K1218" s="176" t="s">
        <v>12144</v>
      </c>
      <c r="L1218" s="76"/>
      <c r="M1218" s="85" t="s">
        <v>60</v>
      </c>
      <c r="N1218" s="256" t="s">
        <v>1705</v>
      </c>
      <c r="O1218" s="76" t="s">
        <v>1666</v>
      </c>
      <c r="P1218" s="523">
        <v>36881.0</v>
      </c>
      <c r="Q1218" s="315">
        <f t="shared" si="153"/>
        <v>36881</v>
      </c>
      <c r="R1218" s="86">
        <f t="shared" si="152"/>
        <v>25</v>
      </c>
      <c r="S1218" s="76">
        <v>3.688005995E9</v>
      </c>
      <c r="T1218" s="86"/>
      <c r="U1218" s="76" t="s">
        <v>368</v>
      </c>
      <c r="V1218" s="76"/>
      <c r="W1218" s="76"/>
      <c r="X1218" s="76"/>
      <c r="Y1218" s="167"/>
      <c r="Z1218" s="234" t="s">
        <v>1351</v>
      </c>
      <c r="AA1218" s="76" t="s">
        <v>1178</v>
      </c>
      <c r="AB1218" s="97"/>
      <c r="AC1218" s="168"/>
      <c r="AD1218" s="168"/>
      <c r="AE1218" s="76"/>
      <c r="AF1218" s="76"/>
      <c r="AG1218" s="76" t="s">
        <v>1187</v>
      </c>
      <c r="AH1218" s="153">
        <v>46213.0</v>
      </c>
      <c r="AI1218" s="67"/>
      <c r="AJ1218" s="67"/>
      <c r="AK1218" s="70"/>
      <c r="AL1218" s="70"/>
      <c r="AM1218" s="135"/>
      <c r="AN1218" s="135"/>
      <c r="AO1218" s="70"/>
      <c r="AP1218" s="70"/>
      <c r="AQ1218" s="67"/>
      <c r="AR1218" s="67"/>
      <c r="AS1218" s="67"/>
      <c r="AT1218" s="67"/>
    </row>
    <row r="1219">
      <c r="A1219" s="76" t="s">
        <v>116</v>
      </c>
      <c r="B1219" s="77" t="s">
        <v>1433</v>
      </c>
      <c r="C1219" s="77" t="s">
        <v>121</v>
      </c>
      <c r="D1219" s="77" t="s">
        <v>121</v>
      </c>
      <c r="E1219" s="78" t="s">
        <v>331</v>
      </c>
      <c r="F1219" s="80" t="s">
        <v>7124</v>
      </c>
      <c r="G1219" s="77" t="s">
        <v>1684</v>
      </c>
      <c r="H1219" s="77" t="s">
        <v>60</v>
      </c>
      <c r="I1219" s="87" t="s">
        <v>1221</v>
      </c>
      <c r="J1219" s="85" t="s">
        <v>114</v>
      </c>
      <c r="K1219" s="176" t="s">
        <v>12145</v>
      </c>
      <c r="L1219" s="76"/>
      <c r="M1219" s="85" t="s">
        <v>60</v>
      </c>
      <c r="N1219" s="256" t="s">
        <v>2970</v>
      </c>
      <c r="O1219" s="76" t="s">
        <v>2971</v>
      </c>
      <c r="P1219" s="523">
        <v>28133.0</v>
      </c>
      <c r="Q1219" s="315">
        <f t="shared" si="153"/>
        <v>28133</v>
      </c>
      <c r="R1219" s="86">
        <f t="shared" si="152"/>
        <v>49</v>
      </c>
      <c r="S1219" s="76">
        <v>2.813202193E9</v>
      </c>
      <c r="T1219" s="86"/>
      <c r="U1219" s="76" t="s">
        <v>368</v>
      </c>
      <c r="V1219" s="76"/>
      <c r="W1219" s="76"/>
      <c r="X1219" s="76"/>
      <c r="Y1219" s="167"/>
      <c r="Z1219" s="234" t="s">
        <v>1351</v>
      </c>
      <c r="AA1219" s="168"/>
      <c r="AB1219" s="97"/>
      <c r="AC1219" s="168"/>
      <c r="AD1219" s="168"/>
      <c r="AE1219" s="76"/>
      <c r="AF1219" s="76"/>
      <c r="AG1219" s="76" t="s">
        <v>1187</v>
      </c>
      <c r="AH1219" s="153">
        <v>46210.0</v>
      </c>
      <c r="AI1219" s="67"/>
      <c r="AJ1219" s="67"/>
      <c r="AK1219" s="70"/>
      <c r="AL1219" s="70"/>
      <c r="AM1219" s="135"/>
      <c r="AN1219" s="135"/>
      <c r="AO1219" s="70"/>
      <c r="AP1219" s="70"/>
      <c r="AQ1219" s="67"/>
      <c r="AR1219" s="67"/>
      <c r="AS1219" s="67"/>
      <c r="AT1219" s="67"/>
    </row>
    <row r="1220">
      <c r="A1220" s="76" t="s">
        <v>116</v>
      </c>
      <c r="B1220" s="77" t="s">
        <v>1039</v>
      </c>
      <c r="C1220" s="77" t="s">
        <v>1611</v>
      </c>
      <c r="D1220" s="77" t="s">
        <v>1519</v>
      </c>
      <c r="E1220" s="78" t="s">
        <v>201</v>
      </c>
      <c r="F1220" s="80" t="s">
        <v>1849</v>
      </c>
      <c r="G1220" s="77" t="s">
        <v>696</v>
      </c>
      <c r="H1220" s="77" t="s">
        <v>60</v>
      </c>
      <c r="I1220" s="87" t="s">
        <v>1221</v>
      </c>
      <c r="J1220" s="85" t="s">
        <v>114</v>
      </c>
      <c r="K1220" s="76"/>
      <c r="L1220" s="47"/>
      <c r="M1220" s="85" t="s">
        <v>60</v>
      </c>
      <c r="N1220" s="678" t="s">
        <v>10323</v>
      </c>
      <c r="O1220" s="320" t="s">
        <v>10324</v>
      </c>
      <c r="P1220" s="523">
        <v>29298.0</v>
      </c>
      <c r="Q1220" s="315">
        <f t="shared" si="153"/>
        <v>29298</v>
      </c>
      <c r="R1220" s="86">
        <f t="shared" si="152"/>
        <v>46</v>
      </c>
      <c r="S1220" s="76">
        <v>2.929724038E9</v>
      </c>
      <c r="T1220" s="315"/>
      <c r="U1220" s="76" t="s">
        <v>368</v>
      </c>
      <c r="V1220" s="76"/>
      <c r="W1220" s="76"/>
      <c r="X1220" s="76"/>
      <c r="Y1220" s="97"/>
      <c r="Z1220" s="216" t="s">
        <v>1173</v>
      </c>
      <c r="AA1220" s="76" t="s">
        <v>1178</v>
      </c>
      <c r="AB1220" s="97"/>
      <c r="AC1220" s="76"/>
      <c r="AD1220" s="76"/>
      <c r="AE1220" s="76"/>
      <c r="AF1220" s="76" t="s">
        <v>3478</v>
      </c>
      <c r="AG1220" s="76" t="s">
        <v>1187</v>
      </c>
      <c r="AH1220" s="153">
        <v>46212.0</v>
      </c>
      <c r="AI1220" s="67"/>
      <c r="AJ1220" s="67"/>
      <c r="AK1220" s="70"/>
      <c r="AL1220" s="70"/>
      <c r="AM1220" s="135"/>
      <c r="AN1220" s="135"/>
      <c r="AO1220" s="70"/>
      <c r="AP1220" s="70"/>
      <c r="AQ1220" s="67"/>
      <c r="AR1220" s="67"/>
      <c r="AS1220" s="67"/>
      <c r="AT1220" s="67"/>
    </row>
    <row r="1221">
      <c r="A1221" s="76" t="s">
        <v>116</v>
      </c>
      <c r="B1221" s="77" t="s">
        <v>1039</v>
      </c>
      <c r="C1221" s="77" t="s">
        <v>1611</v>
      </c>
      <c r="D1221" s="77" t="s">
        <v>1519</v>
      </c>
      <c r="E1221" s="78" t="s">
        <v>58</v>
      </c>
      <c r="F1221" s="80" t="s">
        <v>1496</v>
      </c>
      <c r="G1221" s="77" t="s">
        <v>703</v>
      </c>
      <c r="H1221" s="77" t="s">
        <v>60</v>
      </c>
      <c r="I1221" s="87" t="s">
        <v>1221</v>
      </c>
      <c r="J1221" s="76" t="s">
        <v>114</v>
      </c>
      <c r="K1221" s="176" t="s">
        <v>12146</v>
      </c>
      <c r="L1221" s="76"/>
      <c r="M1221" s="85" t="s">
        <v>60</v>
      </c>
      <c r="N1221" s="1187" t="s">
        <v>10922</v>
      </c>
      <c r="O1221" s="295" t="s">
        <v>10923</v>
      </c>
      <c r="P1221" s="523">
        <v>37791.0</v>
      </c>
      <c r="Q1221" s="315">
        <f t="shared" si="153"/>
        <v>37791</v>
      </c>
      <c r="R1221" s="86">
        <f t="shared" si="152"/>
        <v>23</v>
      </c>
      <c r="S1221" s="76">
        <v>3.779013473E9</v>
      </c>
      <c r="T1221" s="315"/>
      <c r="U1221" s="76" t="s">
        <v>368</v>
      </c>
      <c r="V1221" s="76"/>
      <c r="W1221" s="76"/>
      <c r="X1221" s="76"/>
      <c r="Y1221" s="97"/>
      <c r="Z1221" s="344" t="s">
        <v>2506</v>
      </c>
      <c r="AA1221" s="76" t="s">
        <v>1178</v>
      </c>
      <c r="AB1221" s="97"/>
      <c r="AC1221" s="76" t="s">
        <v>1032</v>
      </c>
      <c r="AD1221" s="76"/>
      <c r="AE1221" s="76"/>
      <c r="AF1221" s="76" t="s">
        <v>5238</v>
      </c>
      <c r="AG1221" s="76" t="s">
        <v>1187</v>
      </c>
      <c r="AH1221" s="153">
        <v>46214.0</v>
      </c>
      <c r="AI1221" s="67"/>
      <c r="AJ1221" s="67"/>
      <c r="AK1221" s="70"/>
      <c r="AL1221" s="70"/>
      <c r="AM1221" s="135"/>
      <c r="AN1221" s="135"/>
      <c r="AO1221" s="70"/>
      <c r="AP1221" s="70"/>
      <c r="AQ1221" s="67"/>
      <c r="AR1221" s="67"/>
      <c r="AS1221" s="67"/>
      <c r="AT1221" s="67"/>
    </row>
    <row r="1222">
      <c r="A1222" s="76" t="s">
        <v>116</v>
      </c>
      <c r="B1222" s="77" t="s">
        <v>1433</v>
      </c>
      <c r="C1222" s="77" t="s">
        <v>121</v>
      </c>
      <c r="D1222" s="77" t="s">
        <v>121</v>
      </c>
      <c r="E1222" s="78" t="s">
        <v>331</v>
      </c>
      <c r="F1222" s="80" t="s">
        <v>7124</v>
      </c>
      <c r="G1222" s="77" t="s">
        <v>1684</v>
      </c>
      <c r="H1222" s="77" t="s">
        <v>60</v>
      </c>
      <c r="I1222" s="87" t="s">
        <v>1221</v>
      </c>
      <c r="J1222" s="85" t="s">
        <v>114</v>
      </c>
      <c r="K1222" s="124" t="s">
        <v>11610</v>
      </c>
      <c r="L1222" s="76"/>
      <c r="M1222" s="76" t="s">
        <v>60</v>
      </c>
      <c r="N1222" s="1188" t="s">
        <v>1109</v>
      </c>
      <c r="O1222" s="76" t="s">
        <v>1111</v>
      </c>
      <c r="P1222" s="1135">
        <v>32123.0</v>
      </c>
      <c r="Q1222" s="315">
        <f t="shared" si="153"/>
        <v>32123</v>
      </c>
      <c r="R1222" s="86">
        <f t="shared" si="152"/>
        <v>38</v>
      </c>
      <c r="S1222" s="76">
        <v>3.212218279E9</v>
      </c>
      <c r="T1222" s="315" t="s">
        <v>1317</v>
      </c>
      <c r="U1222" s="76" t="s">
        <v>368</v>
      </c>
      <c r="V1222" s="76"/>
      <c r="W1222" s="76"/>
      <c r="X1222" s="97"/>
      <c r="Y1222" s="97"/>
      <c r="Z1222" s="728" t="s">
        <v>2482</v>
      </c>
      <c r="AA1222" s="97"/>
      <c r="AB1222" s="97"/>
      <c r="AC1222" s="76"/>
      <c r="AD1222" s="76"/>
      <c r="AE1222" s="76"/>
      <c r="AF1222" s="76" t="s">
        <v>12147</v>
      </c>
      <c r="AG1222" s="76" t="s">
        <v>2194</v>
      </c>
      <c r="AH1222" s="153">
        <v>46215.0</v>
      </c>
      <c r="AI1222" s="67"/>
      <c r="AJ1222" s="67"/>
      <c r="AK1222" s="70"/>
      <c r="AL1222" s="70"/>
      <c r="AM1222" s="135"/>
      <c r="AN1222" s="135"/>
      <c r="AO1222" s="70"/>
      <c r="AP1222" s="70"/>
      <c r="AQ1222" s="67"/>
      <c r="AR1222" s="67"/>
      <c r="AS1222" s="67"/>
      <c r="AT1222" s="67"/>
    </row>
    <row r="1223">
      <c r="A1223" s="76" t="s">
        <v>116</v>
      </c>
      <c r="B1223" s="77" t="s">
        <v>1039</v>
      </c>
      <c r="C1223" s="77" t="s">
        <v>1728</v>
      </c>
      <c r="D1223" s="77" t="s">
        <v>121</v>
      </c>
      <c r="E1223" s="78" t="s">
        <v>287</v>
      </c>
      <c r="F1223" s="80" t="s">
        <v>2853</v>
      </c>
      <c r="G1223" s="77" t="s">
        <v>739</v>
      </c>
      <c r="H1223" s="77" t="s">
        <v>60</v>
      </c>
      <c r="I1223" s="87" t="s">
        <v>1221</v>
      </c>
      <c r="J1223" s="76" t="s">
        <v>114</v>
      </c>
      <c r="K1223" s="76"/>
      <c r="L1223" s="47"/>
      <c r="M1223" s="85" t="s">
        <v>60</v>
      </c>
      <c r="N1223" s="1187" t="s">
        <v>10517</v>
      </c>
      <c r="O1223" s="76" t="s">
        <v>10518</v>
      </c>
      <c r="P1223" s="523">
        <v>33633.0</v>
      </c>
      <c r="Q1223" s="315">
        <f t="shared" si="153"/>
        <v>1</v>
      </c>
      <c r="R1223" s="86">
        <f t="shared" si="152"/>
        <v>34</v>
      </c>
      <c r="S1223" s="76"/>
      <c r="T1223" s="76" t="s">
        <v>378</v>
      </c>
      <c r="U1223" s="76" t="s">
        <v>368</v>
      </c>
      <c r="V1223" s="76"/>
      <c r="W1223" s="76"/>
      <c r="X1223" s="76"/>
      <c r="Y1223" s="97"/>
      <c r="Z1223" s="216" t="s">
        <v>1815</v>
      </c>
      <c r="AA1223" s="76" t="s">
        <v>1178</v>
      </c>
      <c r="AB1223" s="97"/>
      <c r="AC1223" s="76" t="s">
        <v>1032</v>
      </c>
      <c r="AD1223" s="76"/>
      <c r="AE1223" s="76"/>
      <c r="AF1223" s="76" t="s">
        <v>1819</v>
      </c>
      <c r="AG1223" s="76" t="s">
        <v>1187</v>
      </c>
      <c r="AH1223" s="153">
        <v>46212.0</v>
      </c>
      <c r="AI1223" s="67"/>
      <c r="AJ1223" s="67"/>
      <c r="AK1223" s="70"/>
      <c r="AL1223" s="70"/>
      <c r="AM1223" s="135"/>
      <c r="AN1223" s="135"/>
      <c r="AO1223" s="70"/>
      <c r="AP1223" s="70"/>
      <c r="AQ1223" s="67"/>
      <c r="AR1223" s="67"/>
      <c r="AS1223" s="67"/>
      <c r="AT1223" s="67"/>
    </row>
    <row r="1224">
      <c r="A1224" s="76" t="s">
        <v>116</v>
      </c>
      <c r="B1224" s="77" t="s">
        <v>1645</v>
      </c>
      <c r="C1224" s="77" t="s">
        <v>1269</v>
      </c>
      <c r="D1224" s="77" t="s">
        <v>121</v>
      </c>
      <c r="E1224" s="78" t="s">
        <v>295</v>
      </c>
      <c r="F1224" s="80" t="s">
        <v>1241</v>
      </c>
      <c r="G1224" s="77" t="s">
        <v>3528</v>
      </c>
      <c r="H1224" s="77" t="s">
        <v>60</v>
      </c>
      <c r="I1224" s="87" t="s">
        <v>1221</v>
      </c>
      <c r="J1224" s="76" t="s">
        <v>114</v>
      </c>
      <c r="K1224" s="76"/>
      <c r="L1224" s="47"/>
      <c r="M1224" s="85" t="s">
        <v>60</v>
      </c>
      <c r="N1224" s="678" t="s">
        <v>10562</v>
      </c>
      <c r="O1224" s="76" t="s">
        <v>10563</v>
      </c>
      <c r="P1224" s="523">
        <v>28929.0</v>
      </c>
      <c r="Q1224" s="315">
        <f t="shared" si="153"/>
        <v>28929</v>
      </c>
      <c r="R1224" s="86">
        <f t="shared" si="152"/>
        <v>47</v>
      </c>
      <c r="S1224" s="76">
        <v>2.892822317E9</v>
      </c>
      <c r="T1224" s="76" t="s">
        <v>1479</v>
      </c>
      <c r="U1224" s="76" t="s">
        <v>368</v>
      </c>
      <c r="V1224" s="76"/>
      <c r="W1224" s="76"/>
      <c r="X1224" s="76"/>
      <c r="Y1224" s="97"/>
      <c r="Z1224" s="216" t="s">
        <v>1815</v>
      </c>
      <c r="AA1224" s="76" t="s">
        <v>1178</v>
      </c>
      <c r="AB1224" s="97"/>
      <c r="AC1224" s="76" t="s">
        <v>1032</v>
      </c>
      <c r="AD1224" s="76"/>
      <c r="AE1224" s="76"/>
      <c r="AF1224" s="76" t="s">
        <v>1819</v>
      </c>
      <c r="AG1224" s="76" t="s">
        <v>1187</v>
      </c>
      <c r="AH1224" s="153">
        <v>46212.0</v>
      </c>
      <c r="AI1224" s="67"/>
      <c r="AJ1224" s="67"/>
      <c r="AK1224" s="70"/>
      <c r="AL1224" s="70"/>
      <c r="AM1224" s="135"/>
      <c r="AN1224" s="135"/>
      <c r="AO1224" s="70"/>
      <c r="AP1224" s="70"/>
      <c r="AQ1224" s="67"/>
      <c r="AR1224" s="67"/>
      <c r="AS1224" s="67"/>
      <c r="AT1224" s="67"/>
    </row>
    <row r="1225">
      <c r="A1225" s="76" t="s">
        <v>116</v>
      </c>
      <c r="B1225" s="77" t="s">
        <v>3722</v>
      </c>
      <c r="C1225" s="77" t="s">
        <v>7267</v>
      </c>
      <c r="D1225" s="77" t="s">
        <v>121</v>
      </c>
      <c r="E1225" s="78" t="s">
        <v>2289</v>
      </c>
      <c r="F1225" s="80" t="s">
        <v>7038</v>
      </c>
      <c r="G1225" s="77" t="s">
        <v>7313</v>
      </c>
      <c r="H1225" s="77" t="s">
        <v>60</v>
      </c>
      <c r="I1225" s="87" t="s">
        <v>1221</v>
      </c>
      <c r="J1225" s="76" t="s">
        <v>114</v>
      </c>
      <c r="K1225" s="176" t="s">
        <v>12148</v>
      </c>
      <c r="L1225" s="85"/>
      <c r="M1225" s="85" t="s">
        <v>60</v>
      </c>
      <c r="N1225" s="256" t="s">
        <v>11123</v>
      </c>
      <c r="O1225" s="818" t="s">
        <v>12149</v>
      </c>
      <c r="P1225" s="825">
        <v>32724.0</v>
      </c>
      <c r="Q1225" s="315">
        <f t="shared" si="153"/>
        <v>32724</v>
      </c>
      <c r="R1225" s="97">
        <f t="shared" si="152"/>
        <v>37</v>
      </c>
      <c r="S1225" s="76">
        <v>3.272310898E9</v>
      </c>
      <c r="T1225" s="315" t="s">
        <v>1317</v>
      </c>
      <c r="U1225" s="76" t="s">
        <v>368</v>
      </c>
      <c r="V1225" s="76"/>
      <c r="W1225" s="76"/>
      <c r="X1225" s="76"/>
      <c r="Y1225" s="276" t="s">
        <v>371</v>
      </c>
      <c r="Z1225" s="85"/>
      <c r="AA1225" s="76" t="s">
        <v>1178</v>
      </c>
      <c r="AB1225" s="76"/>
      <c r="AC1225" s="76"/>
      <c r="AD1225" s="99"/>
      <c r="AE1225" s="76"/>
      <c r="AF1225" s="76" t="s">
        <v>12150</v>
      </c>
      <c r="AG1225" s="76" t="s">
        <v>1187</v>
      </c>
      <c r="AH1225" s="153">
        <v>46214.0</v>
      </c>
      <c r="AI1225" s="67"/>
      <c r="AJ1225" s="67"/>
      <c r="AK1225" s="70"/>
      <c r="AL1225" s="70"/>
      <c r="AM1225" s="135"/>
      <c r="AN1225" s="135"/>
      <c r="AO1225" s="70"/>
      <c r="AP1225" s="70"/>
      <c r="AQ1225" s="67"/>
      <c r="AR1225" s="67"/>
      <c r="AS1225" s="67"/>
      <c r="AT1225" s="67"/>
    </row>
    <row r="1226">
      <c r="A1226" s="76" t="s">
        <v>116</v>
      </c>
      <c r="B1226" s="77" t="s">
        <v>1645</v>
      </c>
      <c r="C1226" s="77" t="s">
        <v>1269</v>
      </c>
      <c r="D1226" s="77" t="s">
        <v>1494</v>
      </c>
      <c r="E1226" s="78" t="s">
        <v>178</v>
      </c>
      <c r="F1226" s="80" t="s">
        <v>1369</v>
      </c>
      <c r="G1226" s="77" t="s">
        <v>830</v>
      </c>
      <c r="H1226" s="77" t="s">
        <v>102</v>
      </c>
      <c r="I1226" s="146" t="s">
        <v>408</v>
      </c>
      <c r="J1226" s="76" t="s">
        <v>114</v>
      </c>
      <c r="K1226" s="176" t="s">
        <v>1602</v>
      </c>
      <c r="L1226" s="47"/>
      <c r="M1226" s="87" t="s">
        <v>60</v>
      </c>
      <c r="N1226" s="678" t="s">
        <v>8610</v>
      </c>
      <c r="O1226" s="76" t="s">
        <v>10525</v>
      </c>
      <c r="P1226" s="523">
        <v>30319.0</v>
      </c>
      <c r="Q1226" s="315">
        <f t="shared" si="153"/>
        <v>30319</v>
      </c>
      <c r="R1226" s="86">
        <f t="shared" si="152"/>
        <v>43</v>
      </c>
      <c r="S1226" s="76">
        <v>3.031803439E9</v>
      </c>
      <c r="T1226" s="315"/>
      <c r="U1226" s="76" t="s">
        <v>368</v>
      </c>
      <c r="V1226" s="76"/>
      <c r="W1226" s="76"/>
      <c r="X1226" s="76"/>
      <c r="Y1226" s="97"/>
      <c r="Z1226" s="216" t="s">
        <v>1815</v>
      </c>
      <c r="AA1226" s="76"/>
      <c r="AB1226" s="97"/>
      <c r="AC1226" s="76" t="s">
        <v>1032</v>
      </c>
      <c r="AD1226" s="76"/>
      <c r="AE1226" s="76"/>
      <c r="AF1226" s="76"/>
      <c r="AG1226" s="76" t="s">
        <v>1187</v>
      </c>
      <c r="AH1226" s="153">
        <v>46212.0</v>
      </c>
      <c r="AI1226" s="67"/>
      <c r="AJ1226" s="67"/>
      <c r="AK1226" s="70"/>
      <c r="AL1226" s="70"/>
      <c r="AM1226" s="135"/>
      <c r="AN1226" s="135"/>
      <c r="AO1226" s="70"/>
      <c r="AP1226" s="70"/>
      <c r="AQ1226" s="67"/>
      <c r="AR1226" s="67"/>
      <c r="AS1226" s="67"/>
      <c r="AT1226" s="67"/>
    </row>
    <row r="1227">
      <c r="A1227" s="76" t="s">
        <v>116</v>
      </c>
      <c r="B1227" s="77" t="s">
        <v>1709</v>
      </c>
      <c r="C1227" s="77" t="s">
        <v>1728</v>
      </c>
      <c r="D1227" s="77" t="s">
        <v>121</v>
      </c>
      <c r="E1227" s="78" t="s">
        <v>201</v>
      </c>
      <c r="F1227" s="80" t="s">
        <v>1849</v>
      </c>
      <c r="G1227" s="77" t="s">
        <v>6754</v>
      </c>
      <c r="H1227" s="77" t="s">
        <v>60</v>
      </c>
      <c r="I1227" s="87" t="s">
        <v>1221</v>
      </c>
      <c r="J1227" s="76" t="s">
        <v>114</v>
      </c>
      <c r="K1227" s="176" t="s">
        <v>12151</v>
      </c>
      <c r="L1227" s="47"/>
      <c r="M1227" s="85" t="s">
        <v>60</v>
      </c>
      <c r="N1227" s="678" t="s">
        <v>3173</v>
      </c>
      <c r="O1227" s="76" t="s">
        <v>3174</v>
      </c>
      <c r="P1227" s="523">
        <v>33178.0</v>
      </c>
      <c r="Q1227" s="315">
        <f t="shared" si="153"/>
        <v>1</v>
      </c>
      <c r="R1227" s="86">
        <f t="shared" si="152"/>
        <v>35</v>
      </c>
      <c r="S1227" s="76"/>
      <c r="T1227" s="315"/>
      <c r="U1227" s="76" t="s">
        <v>368</v>
      </c>
      <c r="V1227" s="76"/>
      <c r="W1227" s="76"/>
      <c r="X1227" s="76"/>
      <c r="Y1227" s="276" t="s">
        <v>1836</v>
      </c>
      <c r="Z1227" s="176" t="s">
        <v>1460</v>
      </c>
      <c r="AA1227" s="76"/>
      <c r="AB1227" s="97"/>
      <c r="AC1227" s="76"/>
      <c r="AD1227" s="76"/>
      <c r="AE1227" s="76"/>
      <c r="AF1227" s="76" t="s">
        <v>3601</v>
      </c>
      <c r="AG1227" s="76" t="s">
        <v>1187</v>
      </c>
      <c r="AH1227" s="153">
        <v>46214.0</v>
      </c>
      <c r="AI1227" s="67"/>
      <c r="AJ1227" s="67"/>
      <c r="AK1227" s="70"/>
      <c r="AL1227" s="70"/>
      <c r="AM1227" s="135"/>
      <c r="AN1227" s="135"/>
      <c r="AO1227" s="70"/>
      <c r="AP1227" s="70"/>
      <c r="AQ1227" s="67"/>
      <c r="AR1227" s="67"/>
      <c r="AS1227" s="67"/>
      <c r="AT1227" s="67"/>
    </row>
    <row r="1228">
      <c r="A1228" s="76" t="s">
        <v>116</v>
      </c>
      <c r="B1228" s="77" t="s">
        <v>1645</v>
      </c>
      <c r="C1228" s="77" t="s">
        <v>1269</v>
      </c>
      <c r="D1228" s="77" t="s">
        <v>1494</v>
      </c>
      <c r="E1228" s="78" t="s">
        <v>201</v>
      </c>
      <c r="F1228" s="80" t="s">
        <v>1849</v>
      </c>
      <c r="G1228" s="77" t="s">
        <v>3782</v>
      </c>
      <c r="H1228" s="77" t="s">
        <v>60</v>
      </c>
      <c r="I1228" s="87" t="s">
        <v>1221</v>
      </c>
      <c r="J1228" s="76" t="s">
        <v>114</v>
      </c>
      <c r="K1228" s="76"/>
      <c r="L1228" s="47"/>
      <c r="M1228" s="85" t="s">
        <v>60</v>
      </c>
      <c r="N1228" s="678" t="s">
        <v>10566</v>
      </c>
      <c r="O1228" s="76" t="s">
        <v>631</v>
      </c>
      <c r="P1228" s="523">
        <v>31523.0</v>
      </c>
      <c r="Q1228" s="315">
        <f t="shared" si="153"/>
        <v>31523</v>
      </c>
      <c r="R1228" s="86">
        <f t="shared" si="152"/>
        <v>40</v>
      </c>
      <c r="S1228" s="76">
        <v>3.152210956E9</v>
      </c>
      <c r="T1228" s="315"/>
      <c r="U1228" s="76" t="s">
        <v>368</v>
      </c>
      <c r="V1228" s="76"/>
      <c r="W1228" s="76"/>
      <c r="X1228" s="76"/>
      <c r="Y1228" s="97"/>
      <c r="Z1228" s="216" t="s">
        <v>1815</v>
      </c>
      <c r="AA1228" s="76" t="s">
        <v>1178</v>
      </c>
      <c r="AB1228" s="97"/>
      <c r="AC1228" s="76" t="s">
        <v>1032</v>
      </c>
      <c r="AD1228" s="76"/>
      <c r="AE1228" s="76"/>
      <c r="AF1228" s="76" t="s">
        <v>1819</v>
      </c>
      <c r="AG1228" s="76" t="s">
        <v>1187</v>
      </c>
      <c r="AH1228" s="153">
        <v>46212.0</v>
      </c>
      <c r="AI1228" s="67"/>
      <c r="AJ1228" s="67"/>
      <c r="AK1228" s="70"/>
      <c r="AL1228" s="70"/>
      <c r="AM1228" s="135"/>
      <c r="AN1228" s="135"/>
      <c r="AO1228" s="70"/>
      <c r="AP1228" s="70"/>
      <c r="AQ1228" s="67"/>
      <c r="AR1228" s="67"/>
      <c r="AS1228" s="67"/>
      <c r="AT1228" s="67"/>
    </row>
    <row r="1229">
      <c r="A1229" s="76" t="s">
        <v>116</v>
      </c>
      <c r="B1229" s="77" t="s">
        <v>1645</v>
      </c>
      <c r="C1229" s="77" t="s">
        <v>1269</v>
      </c>
      <c r="D1229" s="77" t="s">
        <v>1494</v>
      </c>
      <c r="E1229" s="78" t="s">
        <v>58</v>
      </c>
      <c r="F1229" s="80" t="s">
        <v>1496</v>
      </c>
      <c r="G1229" s="77" t="s">
        <v>3806</v>
      </c>
      <c r="H1229" s="77" t="s">
        <v>60</v>
      </c>
      <c r="I1229" s="87" t="s">
        <v>1221</v>
      </c>
      <c r="J1229" s="85" t="s">
        <v>114</v>
      </c>
      <c r="K1229" s="176" t="s">
        <v>12152</v>
      </c>
      <c r="L1229" s="76"/>
      <c r="M1229" s="85" t="s">
        <v>60</v>
      </c>
      <c r="N1229" s="256" t="s">
        <v>10315</v>
      </c>
      <c r="O1229" s="320" t="s">
        <v>8913</v>
      </c>
      <c r="P1229" s="523">
        <v>28334.0</v>
      </c>
      <c r="Q1229" s="315">
        <f t="shared" si="153"/>
        <v>28334</v>
      </c>
      <c r="R1229" s="97">
        <f t="shared" si="152"/>
        <v>49</v>
      </c>
      <c r="S1229" s="76">
        <v>2.833312195E9</v>
      </c>
      <c r="T1229" s="76" t="s">
        <v>378</v>
      </c>
      <c r="U1229" s="76" t="s">
        <v>368</v>
      </c>
      <c r="V1229" s="76"/>
      <c r="W1229" s="76"/>
      <c r="X1229" s="76"/>
      <c r="Y1229" s="97" t="s">
        <v>371</v>
      </c>
      <c r="Z1229" s="216" t="s">
        <v>2155</v>
      </c>
      <c r="AA1229" s="76" t="s">
        <v>1178</v>
      </c>
      <c r="AB1229" s="97"/>
      <c r="AC1229" s="168"/>
      <c r="AD1229" s="168"/>
      <c r="AE1229" s="76"/>
      <c r="AF1229" s="76"/>
      <c r="AG1229" s="76" t="s">
        <v>1187</v>
      </c>
      <c r="AH1229" s="153">
        <v>46212.0</v>
      </c>
      <c r="AI1229" s="67"/>
      <c r="AJ1229" s="67"/>
      <c r="AK1229" s="70"/>
      <c r="AL1229" s="70"/>
      <c r="AM1229" s="135"/>
      <c r="AN1229" s="135"/>
      <c r="AO1229" s="70"/>
      <c r="AP1229" s="70"/>
      <c r="AQ1229" s="67"/>
      <c r="AR1229" s="67"/>
      <c r="AS1229" s="67"/>
      <c r="AT1229" s="67"/>
    </row>
    <row r="1230">
      <c r="A1230" s="76" t="s">
        <v>116</v>
      </c>
      <c r="B1230" s="77" t="s">
        <v>1709</v>
      </c>
      <c r="C1230" s="77" t="s">
        <v>1611</v>
      </c>
      <c r="D1230" s="77" t="s">
        <v>1494</v>
      </c>
      <c r="E1230" s="78" t="s">
        <v>58</v>
      </c>
      <c r="F1230" s="80" t="s">
        <v>1496</v>
      </c>
      <c r="G1230" s="77" t="s">
        <v>6535</v>
      </c>
      <c r="H1230" s="77" t="s">
        <v>60</v>
      </c>
      <c r="I1230" s="87" t="s">
        <v>1221</v>
      </c>
      <c r="J1230" s="76" t="s">
        <v>114</v>
      </c>
      <c r="K1230" s="176" t="s">
        <v>12153</v>
      </c>
      <c r="L1230" s="189"/>
      <c r="M1230" s="85" t="s">
        <v>60</v>
      </c>
      <c r="N1230" s="678" t="s">
        <v>8400</v>
      </c>
      <c r="O1230" s="320" t="s">
        <v>10280</v>
      </c>
      <c r="P1230" s="523">
        <v>31964.0</v>
      </c>
      <c r="Q1230" s="315">
        <f t="shared" si="153"/>
        <v>31964</v>
      </c>
      <c r="R1230" s="97">
        <f t="shared" si="152"/>
        <v>39</v>
      </c>
      <c r="S1230" s="76">
        <v>3.196316776E9</v>
      </c>
      <c r="T1230" s="76" t="s">
        <v>1317</v>
      </c>
      <c r="U1230" s="76" t="s">
        <v>368</v>
      </c>
      <c r="V1230" s="76"/>
      <c r="W1230" s="76"/>
      <c r="X1230" s="76"/>
      <c r="Y1230" s="97" t="s">
        <v>1174</v>
      </c>
      <c r="Z1230" s="216" t="s">
        <v>1173</v>
      </c>
      <c r="AA1230" s="97"/>
      <c r="AB1230" s="97"/>
      <c r="AC1230" s="76"/>
      <c r="AD1230" s="76"/>
      <c r="AE1230" s="76"/>
      <c r="AF1230" s="76"/>
      <c r="AG1230" s="76" t="s">
        <v>1187</v>
      </c>
      <c r="AH1230" s="153">
        <v>46210.0</v>
      </c>
      <c r="AI1230" s="67"/>
      <c r="AJ1230" s="67"/>
      <c r="AK1230" s="70"/>
      <c r="AL1230" s="70"/>
      <c r="AM1230" s="135"/>
      <c r="AN1230" s="135"/>
      <c r="AO1230" s="70"/>
      <c r="AP1230" s="70"/>
      <c r="AQ1230" s="67"/>
      <c r="AR1230" s="67"/>
      <c r="AS1230" s="67"/>
      <c r="AT1230" s="67"/>
    </row>
    <row r="1231">
      <c r="A1231" s="76" t="s">
        <v>116</v>
      </c>
      <c r="B1231" s="77" t="s">
        <v>1645</v>
      </c>
      <c r="C1231" s="77" t="s">
        <v>1517</v>
      </c>
      <c r="D1231" s="77" t="s">
        <v>1368</v>
      </c>
      <c r="E1231" s="78" t="s">
        <v>178</v>
      </c>
      <c r="F1231" s="80" t="s">
        <v>1369</v>
      </c>
      <c r="G1231" s="77" t="s">
        <v>904</v>
      </c>
      <c r="H1231" s="77" t="s">
        <v>102</v>
      </c>
      <c r="I1231" s="146" t="s">
        <v>408</v>
      </c>
      <c r="J1231" s="76" t="s">
        <v>114</v>
      </c>
      <c r="K1231" s="124" t="s">
        <v>1602</v>
      </c>
      <c r="L1231" s="76"/>
      <c r="M1231" s="85" t="s">
        <v>102</v>
      </c>
      <c r="N1231" s="1189" t="s">
        <v>8641</v>
      </c>
      <c r="O1231" s="836" t="s">
        <v>3538</v>
      </c>
      <c r="P1231" s="1178">
        <v>32602.0</v>
      </c>
      <c r="Q1231" s="1179">
        <f t="shared" si="153"/>
        <v>32602</v>
      </c>
      <c r="R1231" s="1180">
        <f t="shared" si="152"/>
        <v>37</v>
      </c>
      <c r="S1231" s="836">
        <v>3.260108053E9</v>
      </c>
      <c r="T1231" s="836" t="s">
        <v>1479</v>
      </c>
      <c r="U1231" s="836" t="s">
        <v>379</v>
      </c>
      <c r="V1231" s="836" t="s">
        <v>350</v>
      </c>
      <c r="W1231" s="836" t="s">
        <v>227</v>
      </c>
      <c r="X1231" s="836"/>
      <c r="Y1231" s="1190"/>
      <c r="Z1231" s="841" t="s">
        <v>1815</v>
      </c>
      <c r="AA1231" s="836"/>
      <c r="AB1231" s="836" t="s">
        <v>226</v>
      </c>
      <c r="AC1231" s="836">
        <v>155.0</v>
      </c>
      <c r="AD1231" s="836"/>
      <c r="AE1231" s="836"/>
      <c r="AF1231" s="836"/>
      <c r="AG1231" s="836" t="s">
        <v>12154</v>
      </c>
      <c r="AH1231" s="1184" t="s">
        <v>12116</v>
      </c>
      <c r="AI1231" s="67"/>
      <c r="AJ1231" s="67"/>
      <c r="AK1231" s="70"/>
      <c r="AL1231" s="70"/>
      <c r="AM1231" s="135"/>
      <c r="AN1231" s="135"/>
      <c r="AO1231" s="70"/>
      <c r="AP1231" s="70"/>
      <c r="AQ1231" s="67"/>
      <c r="AR1231" s="67"/>
      <c r="AS1231" s="67"/>
      <c r="AT1231" s="67"/>
    </row>
    <row r="1232">
      <c r="A1232" s="76" t="s">
        <v>116</v>
      </c>
      <c r="B1232" s="77" t="s">
        <v>1709</v>
      </c>
      <c r="C1232" s="77" t="s">
        <v>1611</v>
      </c>
      <c r="D1232" s="77" t="s">
        <v>1368</v>
      </c>
      <c r="E1232" s="78" t="s">
        <v>213</v>
      </c>
      <c r="F1232" s="80" t="s">
        <v>1523</v>
      </c>
      <c r="G1232" s="77" t="s">
        <v>6395</v>
      </c>
      <c r="H1232" s="77" t="s">
        <v>60</v>
      </c>
      <c r="I1232" s="87" t="s">
        <v>1221</v>
      </c>
      <c r="J1232" s="76" t="s">
        <v>114</v>
      </c>
      <c r="K1232" s="97"/>
      <c r="L1232" s="86"/>
      <c r="M1232" s="86" t="s">
        <v>60</v>
      </c>
      <c r="N1232" s="1063" t="s">
        <v>5563</v>
      </c>
      <c r="O1232" s="87" t="s">
        <v>10807</v>
      </c>
      <c r="P1232" s="825">
        <v>29988.0</v>
      </c>
      <c r="Q1232" s="315">
        <f t="shared" si="153"/>
        <v>29988</v>
      </c>
      <c r="R1232" s="97">
        <f t="shared" si="152"/>
        <v>44</v>
      </c>
      <c r="S1232" s="76">
        <v>2.998705816E9</v>
      </c>
      <c r="T1232" s="315"/>
      <c r="U1232" s="76" t="s">
        <v>368</v>
      </c>
      <c r="V1232" s="76"/>
      <c r="W1232" s="86"/>
      <c r="X1232" s="97"/>
      <c r="Y1232" s="97"/>
      <c r="Z1232" s="278" t="s">
        <v>3170</v>
      </c>
      <c r="AA1232" s="97"/>
      <c r="AB1232" s="97"/>
      <c r="AC1232" s="97"/>
      <c r="AD1232" s="99"/>
      <c r="AE1232" s="76"/>
      <c r="AF1232" s="85" t="s">
        <v>3006</v>
      </c>
      <c r="AG1232" s="76" t="s">
        <v>1187</v>
      </c>
      <c r="AH1232" s="262">
        <v>46215.0</v>
      </c>
      <c r="AI1232" s="67"/>
      <c r="AJ1232" s="67"/>
      <c r="AK1232" s="70"/>
      <c r="AL1232" s="70"/>
      <c r="AM1232" s="135"/>
      <c r="AN1232" s="135"/>
      <c r="AO1232" s="70"/>
      <c r="AP1232" s="70"/>
      <c r="AQ1232" s="67"/>
      <c r="AR1232" s="67"/>
      <c r="AS1232" s="67"/>
      <c r="AT1232" s="67"/>
    </row>
    <row r="1233">
      <c r="A1233" s="76" t="s">
        <v>116</v>
      </c>
      <c r="B1233" s="77" t="s">
        <v>1645</v>
      </c>
      <c r="C1233" s="77" t="s">
        <v>1517</v>
      </c>
      <c r="D1233" s="77" t="s">
        <v>1368</v>
      </c>
      <c r="E1233" s="78" t="s">
        <v>139</v>
      </c>
      <c r="F1233" s="80" t="s">
        <v>1520</v>
      </c>
      <c r="G1233" s="77" t="s">
        <v>909</v>
      </c>
      <c r="H1233" s="77" t="s">
        <v>60</v>
      </c>
      <c r="I1233" s="87" t="s">
        <v>1221</v>
      </c>
      <c r="J1233" s="85" t="s">
        <v>114</v>
      </c>
      <c r="K1233" s="176" t="s">
        <v>12155</v>
      </c>
      <c r="L1233" s="76"/>
      <c r="M1233" s="85" t="s">
        <v>60</v>
      </c>
      <c r="N1233" s="256" t="s">
        <v>906</v>
      </c>
      <c r="O1233" s="76" t="s">
        <v>908</v>
      </c>
      <c r="P1233" s="523">
        <v>33137.0</v>
      </c>
      <c r="Q1233" s="315">
        <f t="shared" si="153"/>
        <v>33137</v>
      </c>
      <c r="R1233" s="86">
        <f t="shared" si="152"/>
        <v>35</v>
      </c>
      <c r="S1233" s="76">
        <v>3.31361461E9</v>
      </c>
      <c r="T1233" s="86"/>
      <c r="U1233" s="76" t="s">
        <v>368</v>
      </c>
      <c r="V1233" s="76"/>
      <c r="W1233" s="76"/>
      <c r="X1233" s="76"/>
      <c r="Y1233" s="167"/>
      <c r="Z1233" s="234" t="s">
        <v>1351</v>
      </c>
      <c r="AA1233" s="168"/>
      <c r="AB1233" s="97"/>
      <c r="AC1233" s="168"/>
      <c r="AD1233" s="168"/>
      <c r="AE1233" s="76"/>
      <c r="AF1233" s="76"/>
      <c r="AG1233" s="76" t="s">
        <v>1187</v>
      </c>
      <c r="AH1233" s="153">
        <v>46213.0</v>
      </c>
      <c r="AI1233" s="67"/>
      <c r="AJ1233" s="67"/>
      <c r="AK1233" s="70"/>
      <c r="AL1233" s="70"/>
      <c r="AM1233" s="135"/>
      <c r="AN1233" s="135"/>
      <c r="AO1233" s="70"/>
      <c r="AP1233" s="70"/>
      <c r="AQ1233" s="67"/>
      <c r="AR1233" s="67"/>
      <c r="AS1233" s="67"/>
      <c r="AT1233" s="67"/>
    </row>
    <row r="1234">
      <c r="A1234" s="76" t="s">
        <v>116</v>
      </c>
      <c r="B1234" s="77" t="s">
        <v>1645</v>
      </c>
      <c r="C1234" s="77" t="s">
        <v>1517</v>
      </c>
      <c r="D1234" s="77" t="s">
        <v>1494</v>
      </c>
      <c r="E1234" s="78" t="s">
        <v>139</v>
      </c>
      <c r="F1234" s="80" t="s">
        <v>1520</v>
      </c>
      <c r="G1234" s="77" t="s">
        <v>926</v>
      </c>
      <c r="H1234" s="77" t="s">
        <v>60</v>
      </c>
      <c r="I1234" s="87" t="s">
        <v>1221</v>
      </c>
      <c r="J1234" s="76" t="s">
        <v>114</v>
      </c>
      <c r="K1234" s="76"/>
      <c r="L1234" s="47"/>
      <c r="M1234" s="87" t="s">
        <v>60</v>
      </c>
      <c r="N1234" s="678" t="s">
        <v>10780</v>
      </c>
      <c r="O1234" s="76" t="s">
        <v>4892</v>
      </c>
      <c r="P1234" s="523">
        <v>28202.0</v>
      </c>
      <c r="Q1234" s="315">
        <f t="shared" si="153"/>
        <v>28202</v>
      </c>
      <c r="R1234" s="86">
        <f t="shared" si="152"/>
        <v>49</v>
      </c>
      <c r="S1234" s="76">
        <v>2.820124354E9</v>
      </c>
      <c r="T1234" s="315"/>
      <c r="U1234" s="76" t="s">
        <v>368</v>
      </c>
      <c r="V1234" s="76"/>
      <c r="W1234" s="76"/>
      <c r="X1234" s="76"/>
      <c r="Y1234" s="97"/>
      <c r="Z1234" s="344" t="s">
        <v>2506</v>
      </c>
      <c r="AA1234" s="76"/>
      <c r="AB1234" s="97"/>
      <c r="AC1234" s="76" t="s">
        <v>1032</v>
      </c>
      <c r="AD1234" s="76"/>
      <c r="AE1234" s="76"/>
      <c r="AF1234" s="76" t="s">
        <v>5238</v>
      </c>
      <c r="AG1234" s="76" t="s">
        <v>1187</v>
      </c>
      <c r="AH1234" s="153">
        <v>46213.0</v>
      </c>
      <c r="AI1234" s="67"/>
      <c r="AJ1234" s="67"/>
      <c r="AK1234" s="70"/>
      <c r="AL1234" s="70"/>
      <c r="AM1234" s="135"/>
      <c r="AN1234" s="135"/>
      <c r="AO1234" s="70"/>
      <c r="AP1234" s="70"/>
      <c r="AQ1234" s="67"/>
      <c r="AR1234" s="67"/>
      <c r="AS1234" s="67"/>
      <c r="AT1234" s="67"/>
    </row>
    <row r="1235">
      <c r="A1235" s="76" t="s">
        <v>116</v>
      </c>
      <c r="B1235" s="77" t="s">
        <v>1709</v>
      </c>
      <c r="C1235" s="77" t="s">
        <v>1611</v>
      </c>
      <c r="D1235" s="77" t="s">
        <v>1368</v>
      </c>
      <c r="E1235" s="78" t="s">
        <v>187</v>
      </c>
      <c r="F1235" s="80" t="s">
        <v>1469</v>
      </c>
      <c r="G1235" s="77" t="s">
        <v>6327</v>
      </c>
      <c r="H1235" s="77" t="s">
        <v>60</v>
      </c>
      <c r="I1235" s="87" t="s">
        <v>1221</v>
      </c>
      <c r="J1235" s="76" t="s">
        <v>114</v>
      </c>
      <c r="K1235" s="76"/>
      <c r="L1235" s="47"/>
      <c r="M1235" s="85" t="s">
        <v>60</v>
      </c>
      <c r="N1235" s="678" t="s">
        <v>3167</v>
      </c>
      <c r="O1235" s="76" t="s">
        <v>1772</v>
      </c>
      <c r="P1235" s="523">
        <v>28044.0</v>
      </c>
      <c r="Q1235" s="315">
        <f t="shared" si="153"/>
        <v>1</v>
      </c>
      <c r="R1235" s="86">
        <f t="shared" si="152"/>
        <v>49</v>
      </c>
      <c r="S1235" s="76"/>
      <c r="T1235" s="315"/>
      <c r="U1235" s="76" t="s">
        <v>368</v>
      </c>
      <c r="V1235" s="76"/>
      <c r="W1235" s="76"/>
      <c r="X1235" s="76"/>
      <c r="Y1235" s="276" t="s">
        <v>1836</v>
      </c>
      <c r="Z1235" s="234" t="s">
        <v>1351</v>
      </c>
      <c r="AA1235" s="76"/>
      <c r="AB1235" s="97"/>
      <c r="AC1235" s="76"/>
      <c r="AD1235" s="76"/>
      <c r="AE1235" s="76"/>
      <c r="AF1235" s="76" t="s">
        <v>3601</v>
      </c>
      <c r="AG1235" s="76" t="s">
        <v>1187</v>
      </c>
      <c r="AH1235" s="153">
        <v>46214.0</v>
      </c>
      <c r="AI1235" s="67"/>
      <c r="AJ1235" s="67"/>
      <c r="AK1235" s="160" t="s">
        <v>6343</v>
      </c>
      <c r="AL1235" s="70"/>
      <c r="AM1235" s="135"/>
      <c r="AN1235" s="135"/>
      <c r="AO1235" s="70"/>
      <c r="AP1235" s="70"/>
      <c r="AQ1235" s="67"/>
      <c r="AR1235" s="67"/>
      <c r="AS1235" s="67"/>
      <c r="AT1235" s="67"/>
    </row>
    <row r="1236">
      <c r="A1236" s="76" t="s">
        <v>116</v>
      </c>
      <c r="B1236" s="77" t="s">
        <v>1709</v>
      </c>
      <c r="C1236" s="77" t="s">
        <v>1611</v>
      </c>
      <c r="D1236" s="77" t="s">
        <v>121</v>
      </c>
      <c r="E1236" s="78" t="s">
        <v>295</v>
      </c>
      <c r="F1236" s="80" t="s">
        <v>1241</v>
      </c>
      <c r="G1236" s="77" t="s">
        <v>6273</v>
      </c>
      <c r="H1236" s="77" t="s">
        <v>60</v>
      </c>
      <c r="I1236" s="87" t="s">
        <v>1221</v>
      </c>
      <c r="J1236" s="76" t="s">
        <v>114</v>
      </c>
      <c r="K1236" s="176" t="s">
        <v>12156</v>
      </c>
      <c r="L1236" s="47"/>
      <c r="M1236" s="85" t="s">
        <v>326</v>
      </c>
      <c r="N1236" s="678" t="s">
        <v>10406</v>
      </c>
      <c r="O1236" s="76" t="s">
        <v>10407</v>
      </c>
      <c r="P1236" s="523">
        <v>28365.0</v>
      </c>
      <c r="Q1236" s="315">
        <f t="shared" si="153"/>
        <v>1</v>
      </c>
      <c r="R1236" s="86">
        <f t="shared" si="152"/>
        <v>49</v>
      </c>
      <c r="S1236" s="76"/>
      <c r="T1236" s="315"/>
      <c r="U1236" s="76" t="s">
        <v>368</v>
      </c>
      <c r="V1236" s="76"/>
      <c r="W1236" s="76"/>
      <c r="X1236" s="76"/>
      <c r="Y1236" s="276"/>
      <c r="Z1236" s="216" t="s">
        <v>2521</v>
      </c>
      <c r="AA1236" s="76"/>
      <c r="AB1236" s="97"/>
      <c r="AC1236" s="76"/>
      <c r="AD1236" s="76"/>
      <c r="AE1236" s="76"/>
      <c r="AF1236" s="76" t="s">
        <v>3601</v>
      </c>
      <c r="AG1236" s="76" t="s">
        <v>1187</v>
      </c>
      <c r="AH1236" s="153">
        <v>46212.0</v>
      </c>
      <c r="AI1236" s="67"/>
      <c r="AJ1236" s="67"/>
      <c r="AK1236" s="70"/>
      <c r="AL1236" s="70"/>
      <c r="AM1236" s="135"/>
      <c r="AN1236" s="135"/>
      <c r="AO1236" s="70"/>
      <c r="AP1236" s="70"/>
      <c r="AQ1236" s="67"/>
      <c r="AR1236" s="67"/>
      <c r="AS1236" s="67"/>
      <c r="AT1236" s="67"/>
    </row>
    <row r="1237">
      <c r="A1237" s="76" t="s">
        <v>116</v>
      </c>
      <c r="B1237" s="77" t="s">
        <v>1645</v>
      </c>
      <c r="C1237" s="77" t="s">
        <v>1517</v>
      </c>
      <c r="D1237" s="77" t="s">
        <v>1494</v>
      </c>
      <c r="E1237" s="78" t="s">
        <v>536</v>
      </c>
      <c r="F1237" s="80" t="s">
        <v>2458</v>
      </c>
      <c r="G1237" s="77" t="s">
        <v>4348</v>
      </c>
      <c r="H1237" s="77" t="s">
        <v>60</v>
      </c>
      <c r="I1237" s="87" t="s">
        <v>1221</v>
      </c>
      <c r="J1237" s="76" t="s">
        <v>114</v>
      </c>
      <c r="K1237" s="76"/>
      <c r="L1237" s="47"/>
      <c r="M1237" s="85" t="s">
        <v>60</v>
      </c>
      <c r="N1237" s="678" t="s">
        <v>10609</v>
      </c>
      <c r="O1237" s="76" t="s">
        <v>6301</v>
      </c>
      <c r="P1237" s="523">
        <v>30459.0</v>
      </c>
      <c r="Q1237" s="315">
        <f t="shared" si="153"/>
        <v>1</v>
      </c>
      <c r="R1237" s="86">
        <f t="shared" si="152"/>
        <v>43</v>
      </c>
      <c r="S1237" s="76"/>
      <c r="T1237" s="315"/>
      <c r="U1237" s="76" t="s">
        <v>368</v>
      </c>
      <c r="V1237" s="76"/>
      <c r="W1237" s="76"/>
      <c r="X1237" s="76"/>
      <c r="Y1237" s="97"/>
      <c r="Z1237" s="216" t="s">
        <v>1815</v>
      </c>
      <c r="AA1237" s="76" t="s">
        <v>1178</v>
      </c>
      <c r="AB1237" s="97"/>
      <c r="AC1237" s="76"/>
      <c r="AD1237" s="76"/>
      <c r="AE1237" s="76"/>
      <c r="AF1237" s="76" t="s">
        <v>1819</v>
      </c>
      <c r="AG1237" s="76" t="s">
        <v>1187</v>
      </c>
      <c r="AH1237" s="153">
        <v>46213.0</v>
      </c>
      <c r="AI1237" s="67"/>
      <c r="AJ1237" s="67"/>
      <c r="AK1237" s="70"/>
      <c r="AL1237" s="70"/>
      <c r="AM1237" s="135"/>
      <c r="AN1237" s="135"/>
      <c r="AO1237" s="70"/>
      <c r="AP1237" s="70"/>
      <c r="AQ1237" s="67"/>
      <c r="AR1237" s="67"/>
      <c r="AS1237" s="67"/>
      <c r="AT1237" s="67"/>
    </row>
    <row r="1238">
      <c r="A1238" s="76" t="s">
        <v>116</v>
      </c>
      <c r="B1238" s="77" t="s">
        <v>1645</v>
      </c>
      <c r="C1238" s="77" t="s">
        <v>1517</v>
      </c>
      <c r="D1238" s="77" t="s">
        <v>1494</v>
      </c>
      <c r="E1238" s="78" t="s">
        <v>58</v>
      </c>
      <c r="F1238" s="80" t="s">
        <v>1496</v>
      </c>
      <c r="G1238" s="77" t="s">
        <v>4370</v>
      </c>
      <c r="H1238" s="77" t="s">
        <v>60</v>
      </c>
      <c r="I1238" s="87" t="s">
        <v>1221</v>
      </c>
      <c r="J1238" s="76" t="s">
        <v>114</v>
      </c>
      <c r="K1238" s="76"/>
      <c r="L1238" s="47"/>
      <c r="M1238" s="85" t="s">
        <v>60</v>
      </c>
      <c r="N1238" s="678" t="s">
        <v>10540</v>
      </c>
      <c r="O1238" s="76" t="s">
        <v>10541</v>
      </c>
      <c r="P1238" s="523">
        <v>30403.0</v>
      </c>
      <c r="Q1238" s="315">
        <f t="shared" si="153"/>
        <v>1</v>
      </c>
      <c r="R1238" s="86">
        <f t="shared" si="152"/>
        <v>43</v>
      </c>
      <c r="S1238" s="76"/>
      <c r="T1238" s="315"/>
      <c r="U1238" s="76" t="s">
        <v>368</v>
      </c>
      <c r="V1238" s="76"/>
      <c r="W1238" s="76"/>
      <c r="X1238" s="76"/>
      <c r="Y1238" s="97"/>
      <c r="Z1238" s="216" t="s">
        <v>1815</v>
      </c>
      <c r="AA1238" s="76"/>
      <c r="AB1238" s="97"/>
      <c r="AC1238" s="76" t="s">
        <v>1032</v>
      </c>
      <c r="AD1238" s="76"/>
      <c r="AE1238" s="76"/>
      <c r="AF1238" s="76" t="s">
        <v>1819</v>
      </c>
      <c r="AG1238" s="76" t="s">
        <v>2194</v>
      </c>
      <c r="AH1238" s="153">
        <v>46213.0</v>
      </c>
      <c r="AI1238" s="67"/>
      <c r="AJ1238" s="67"/>
      <c r="AK1238" s="70"/>
      <c r="AL1238" s="70"/>
      <c r="AM1238" s="135"/>
      <c r="AN1238" s="135"/>
      <c r="AO1238" s="70"/>
      <c r="AP1238" s="70"/>
      <c r="AQ1238" s="67"/>
      <c r="AR1238" s="67"/>
      <c r="AS1238" s="67"/>
      <c r="AT1238" s="67"/>
    </row>
    <row r="1239">
      <c r="A1239" s="76" t="s">
        <v>116</v>
      </c>
      <c r="B1239" s="77" t="s">
        <v>1709</v>
      </c>
      <c r="C1239" s="77" t="s">
        <v>1517</v>
      </c>
      <c r="D1239" s="77" t="s">
        <v>1519</v>
      </c>
      <c r="E1239" s="78" t="s">
        <v>187</v>
      </c>
      <c r="F1239" s="80" t="s">
        <v>1469</v>
      </c>
      <c r="G1239" s="77" t="s">
        <v>6134</v>
      </c>
      <c r="H1239" s="77" t="s">
        <v>60</v>
      </c>
      <c r="I1239" s="87" t="s">
        <v>1221</v>
      </c>
      <c r="J1239" s="76" t="s">
        <v>114</v>
      </c>
      <c r="K1239" s="76" t="s">
        <v>12157</v>
      </c>
      <c r="L1239" s="47"/>
      <c r="M1239" s="85" t="s">
        <v>60</v>
      </c>
      <c r="N1239" s="678" t="s">
        <v>10944</v>
      </c>
      <c r="O1239" s="76" t="s">
        <v>10945</v>
      </c>
      <c r="P1239" s="523">
        <v>31440.0</v>
      </c>
      <c r="Q1239" s="315">
        <f t="shared" si="153"/>
        <v>31440</v>
      </c>
      <c r="R1239" s="86">
        <f t="shared" si="152"/>
        <v>40</v>
      </c>
      <c r="S1239" s="76">
        <v>3.143918277E9</v>
      </c>
      <c r="T1239" s="76" t="s">
        <v>378</v>
      </c>
      <c r="U1239" s="76" t="s">
        <v>368</v>
      </c>
      <c r="V1239" s="76"/>
      <c r="W1239" s="76"/>
      <c r="X1239" s="76"/>
      <c r="Y1239" s="97"/>
      <c r="Z1239" s="216" t="s">
        <v>2521</v>
      </c>
      <c r="AA1239" s="76" t="s">
        <v>1178</v>
      </c>
      <c r="AB1239" s="76"/>
      <c r="AC1239" s="76"/>
      <c r="AD1239" s="76" t="s">
        <v>9071</v>
      </c>
      <c r="AE1239" s="76"/>
      <c r="AF1239" s="76" t="s">
        <v>3479</v>
      </c>
      <c r="AG1239" s="76" t="s">
        <v>1187</v>
      </c>
      <c r="AH1239" s="153">
        <v>46215.0</v>
      </c>
      <c r="AI1239" s="67"/>
      <c r="AJ1239" s="67"/>
      <c r="AK1239" s="70"/>
      <c r="AL1239" s="70"/>
      <c r="AM1239" s="135"/>
      <c r="AN1239" s="135"/>
      <c r="AO1239" s="70"/>
      <c r="AP1239" s="70"/>
      <c r="AQ1239" s="67"/>
      <c r="AR1239" s="67"/>
      <c r="AS1239" s="67"/>
      <c r="AT1239" s="67"/>
    </row>
    <row r="1240">
      <c r="A1240" s="76" t="s">
        <v>116</v>
      </c>
      <c r="B1240" s="77" t="s">
        <v>1645</v>
      </c>
      <c r="C1240" s="77" t="s">
        <v>1517</v>
      </c>
      <c r="D1240" s="77" t="s">
        <v>1519</v>
      </c>
      <c r="E1240" s="78" t="s">
        <v>139</v>
      </c>
      <c r="F1240" s="80" t="s">
        <v>1520</v>
      </c>
      <c r="G1240" s="77" t="s">
        <v>944</v>
      </c>
      <c r="H1240" s="77" t="s">
        <v>60</v>
      </c>
      <c r="I1240" s="87" t="s">
        <v>1221</v>
      </c>
      <c r="J1240" s="76" t="s">
        <v>114</v>
      </c>
      <c r="K1240" s="176" t="s">
        <v>12158</v>
      </c>
      <c r="L1240" s="85"/>
      <c r="M1240" s="85" t="s">
        <v>60</v>
      </c>
      <c r="N1240" s="256" t="s">
        <v>942</v>
      </c>
      <c r="O1240" s="27" t="s">
        <v>943</v>
      </c>
      <c r="P1240" s="825">
        <v>35218.0</v>
      </c>
      <c r="Q1240" s="315">
        <f t="shared" si="153"/>
        <v>35218</v>
      </c>
      <c r="R1240" s="97">
        <f t="shared" si="152"/>
        <v>30</v>
      </c>
      <c r="S1240" s="76">
        <v>3.521705358E9</v>
      </c>
      <c r="T1240" s="315"/>
      <c r="U1240" s="76" t="s">
        <v>368</v>
      </c>
      <c r="V1240" s="76"/>
      <c r="W1240" s="76"/>
      <c r="X1240" s="76"/>
      <c r="Y1240" s="97"/>
      <c r="Z1240" s="278" t="s">
        <v>1613</v>
      </c>
      <c r="AA1240" s="76" t="s">
        <v>1178</v>
      </c>
      <c r="AB1240" s="97"/>
      <c r="AC1240" s="76"/>
      <c r="AD1240" s="99"/>
      <c r="AE1240" s="76"/>
      <c r="AF1240" s="76"/>
      <c r="AG1240" s="76" t="s">
        <v>2194</v>
      </c>
      <c r="AH1240" s="153">
        <v>46215.0</v>
      </c>
      <c r="AI1240" s="67"/>
      <c r="AJ1240" s="67"/>
      <c r="AK1240" s="70"/>
      <c r="AL1240" s="70"/>
      <c r="AM1240" s="135"/>
      <c r="AN1240" s="135"/>
      <c r="AO1240" s="70"/>
      <c r="AP1240" s="70"/>
      <c r="AQ1240" s="67"/>
      <c r="AR1240" s="67"/>
      <c r="AS1240" s="67"/>
      <c r="AT1240" s="67"/>
    </row>
    <row r="1241">
      <c r="A1241" s="76" t="s">
        <v>116</v>
      </c>
      <c r="B1241" s="77" t="s">
        <v>1709</v>
      </c>
      <c r="C1241" s="77" t="s">
        <v>1517</v>
      </c>
      <c r="D1241" s="77" t="s">
        <v>1494</v>
      </c>
      <c r="E1241" s="78" t="s">
        <v>213</v>
      </c>
      <c r="F1241" s="80" t="s">
        <v>1523</v>
      </c>
      <c r="G1241" s="77" t="s">
        <v>6062</v>
      </c>
      <c r="H1241" s="77" t="s">
        <v>60</v>
      </c>
      <c r="I1241" s="87" t="s">
        <v>1221</v>
      </c>
      <c r="J1241" s="76" t="s">
        <v>114</v>
      </c>
      <c r="K1241" s="124" t="s">
        <v>1602</v>
      </c>
      <c r="L1241" s="47"/>
      <c r="M1241" s="85" t="s">
        <v>60</v>
      </c>
      <c r="N1241" s="678" t="s">
        <v>8375</v>
      </c>
      <c r="O1241" s="76" t="s">
        <v>10455</v>
      </c>
      <c r="P1241" s="523">
        <v>31748.0</v>
      </c>
      <c r="Q1241" s="315">
        <f t="shared" si="153"/>
        <v>31748</v>
      </c>
      <c r="R1241" s="86">
        <f t="shared" si="152"/>
        <v>39</v>
      </c>
      <c r="S1241" s="76">
        <v>3.174715117E9</v>
      </c>
      <c r="T1241" s="315"/>
      <c r="U1241" s="76" t="s">
        <v>368</v>
      </c>
      <c r="V1241" s="76"/>
      <c r="W1241" s="76"/>
      <c r="X1241" s="76"/>
      <c r="Y1241" s="97"/>
      <c r="Z1241" s="216" t="s">
        <v>1815</v>
      </c>
      <c r="AA1241" s="76"/>
      <c r="AB1241" s="97"/>
      <c r="AC1241" s="76" t="s">
        <v>1032</v>
      </c>
      <c r="AD1241" s="76"/>
      <c r="AE1241" s="76"/>
      <c r="AF1241" s="76" t="s">
        <v>6421</v>
      </c>
      <c r="AG1241" s="76" t="s">
        <v>1187</v>
      </c>
      <c r="AH1241" s="153">
        <v>46210.0</v>
      </c>
      <c r="AI1241" s="67"/>
      <c r="AJ1241" s="67"/>
      <c r="AK1241" s="70"/>
      <c r="AL1241" s="70"/>
      <c r="AM1241" s="135"/>
      <c r="AN1241" s="135"/>
      <c r="AO1241" s="70"/>
      <c r="AP1241" s="70"/>
      <c r="AQ1241" s="67"/>
      <c r="AR1241" s="67"/>
      <c r="AS1241" s="67"/>
      <c r="AT1241" s="67"/>
    </row>
    <row r="1242">
      <c r="A1242" s="76" t="s">
        <v>116</v>
      </c>
      <c r="B1242" s="77" t="s">
        <v>1645</v>
      </c>
      <c r="C1242" s="77" t="s">
        <v>1611</v>
      </c>
      <c r="D1242" s="77" t="s">
        <v>121</v>
      </c>
      <c r="E1242" s="78" t="s">
        <v>295</v>
      </c>
      <c r="F1242" s="80" t="s">
        <v>1241</v>
      </c>
      <c r="G1242" s="77" t="s">
        <v>4581</v>
      </c>
      <c r="H1242" s="77" t="s">
        <v>60</v>
      </c>
      <c r="I1242" s="87" t="s">
        <v>1221</v>
      </c>
      <c r="J1242" s="85" t="s">
        <v>114</v>
      </c>
      <c r="K1242" s="76"/>
      <c r="L1242" s="47"/>
      <c r="M1242" s="85" t="s">
        <v>60</v>
      </c>
      <c r="N1242" s="678" t="s">
        <v>10230</v>
      </c>
      <c r="O1242" s="320" t="s">
        <v>10231</v>
      </c>
      <c r="P1242" s="523">
        <v>34781.0</v>
      </c>
      <c r="Q1242" s="315">
        <f t="shared" si="153"/>
        <v>1</v>
      </c>
      <c r="R1242" s="86">
        <f t="shared" si="152"/>
        <v>31</v>
      </c>
      <c r="S1242" s="76"/>
      <c r="T1242" s="76" t="s">
        <v>378</v>
      </c>
      <c r="U1242" s="76" t="s">
        <v>368</v>
      </c>
      <c r="V1242" s="76"/>
      <c r="W1242" s="76"/>
      <c r="X1242" s="76"/>
      <c r="Y1242" s="97"/>
      <c r="Z1242" s="216" t="s">
        <v>1173</v>
      </c>
      <c r="AA1242" s="76" t="s">
        <v>1178</v>
      </c>
      <c r="AB1242" s="97"/>
      <c r="AC1242" s="76"/>
      <c r="AD1242" s="76"/>
      <c r="AE1242" s="76"/>
      <c r="AF1242" s="76" t="s">
        <v>12159</v>
      </c>
      <c r="AG1242" s="76" t="s">
        <v>12160</v>
      </c>
      <c r="AH1242" s="153">
        <v>46211.0</v>
      </c>
      <c r="AI1242" s="67"/>
      <c r="AJ1242" s="67"/>
      <c r="AK1242" s="70"/>
      <c r="AL1242" s="70"/>
      <c r="AM1242" s="135"/>
      <c r="AN1242" s="135"/>
      <c r="AO1242" s="70"/>
      <c r="AP1242" s="70"/>
      <c r="AQ1242" s="67"/>
      <c r="AR1242" s="67"/>
      <c r="AS1242" s="67"/>
      <c r="AT1242" s="67"/>
    </row>
    <row r="1243">
      <c r="A1243" s="76" t="s">
        <v>116</v>
      </c>
      <c r="B1243" s="77" t="s">
        <v>1709</v>
      </c>
      <c r="C1243" s="77" t="s">
        <v>1517</v>
      </c>
      <c r="D1243" s="77" t="s">
        <v>1494</v>
      </c>
      <c r="E1243" s="78" t="s">
        <v>213</v>
      </c>
      <c r="F1243" s="80" t="s">
        <v>1523</v>
      </c>
      <c r="G1243" s="77" t="s">
        <v>6062</v>
      </c>
      <c r="H1243" s="77" t="s">
        <v>60</v>
      </c>
      <c r="I1243" s="87" t="s">
        <v>1221</v>
      </c>
      <c r="J1243" s="76" t="s">
        <v>114</v>
      </c>
      <c r="K1243" s="124" t="s">
        <v>1602</v>
      </c>
      <c r="L1243" s="47"/>
      <c r="M1243" s="85" t="s">
        <v>60</v>
      </c>
      <c r="N1243" s="678" t="s">
        <v>8373</v>
      </c>
      <c r="O1243" s="76" t="s">
        <v>1227</v>
      </c>
      <c r="P1243" s="523">
        <v>30253.0</v>
      </c>
      <c r="Q1243" s="315">
        <f t="shared" si="153"/>
        <v>1</v>
      </c>
      <c r="R1243" s="86">
        <f t="shared" si="152"/>
        <v>43</v>
      </c>
      <c r="S1243" s="76"/>
      <c r="T1243" s="76" t="s">
        <v>1317</v>
      </c>
      <c r="U1243" s="76" t="s">
        <v>368</v>
      </c>
      <c r="V1243" s="76"/>
      <c r="W1243" s="76"/>
      <c r="X1243" s="76"/>
      <c r="Y1243" s="97"/>
      <c r="Z1243" s="216" t="s">
        <v>1815</v>
      </c>
      <c r="AA1243" s="76"/>
      <c r="AB1243" s="97"/>
      <c r="AC1243" s="76" t="s">
        <v>1032</v>
      </c>
      <c r="AD1243" s="76"/>
      <c r="AE1243" s="76"/>
      <c r="AF1243" s="76"/>
      <c r="AG1243" s="76" t="s">
        <v>1187</v>
      </c>
      <c r="AH1243" s="153">
        <v>46212.0</v>
      </c>
      <c r="AI1243" s="67"/>
      <c r="AJ1243" s="67"/>
      <c r="AK1243" s="70"/>
      <c r="AL1243" s="70"/>
      <c r="AM1243" s="135"/>
      <c r="AN1243" s="135"/>
      <c r="AO1243" s="70"/>
      <c r="AP1243" s="70"/>
      <c r="AQ1243" s="67"/>
      <c r="AR1243" s="67"/>
      <c r="AS1243" s="67"/>
      <c r="AT1243" s="67"/>
    </row>
    <row r="1244">
      <c r="A1244" s="76" t="s">
        <v>116</v>
      </c>
      <c r="B1244" s="77" t="s">
        <v>1645</v>
      </c>
      <c r="C1244" s="77" t="s">
        <v>1611</v>
      </c>
      <c r="D1244" s="77" t="s">
        <v>1368</v>
      </c>
      <c r="E1244" s="78" t="s">
        <v>139</v>
      </c>
      <c r="F1244" s="80" t="s">
        <v>1520</v>
      </c>
      <c r="G1244" s="77" t="s">
        <v>4683</v>
      </c>
      <c r="H1244" s="77" t="s">
        <v>60</v>
      </c>
      <c r="I1244" s="87" t="s">
        <v>1221</v>
      </c>
      <c r="J1244" s="85" t="s">
        <v>114</v>
      </c>
      <c r="K1244" s="76"/>
      <c r="L1244" s="47"/>
      <c r="M1244" s="85" t="s">
        <v>60</v>
      </c>
      <c r="N1244" s="678" t="s">
        <v>8276</v>
      </c>
      <c r="O1244" s="320" t="s">
        <v>10213</v>
      </c>
      <c r="P1244" s="523">
        <v>33451.0</v>
      </c>
      <c r="Q1244" s="315">
        <f t="shared" si="153"/>
        <v>33451</v>
      </c>
      <c r="R1244" s="86">
        <f t="shared" si="152"/>
        <v>35</v>
      </c>
      <c r="S1244" s="76">
        <v>3.345014332E9</v>
      </c>
      <c r="T1244" s="315"/>
      <c r="U1244" s="76" t="s">
        <v>368</v>
      </c>
      <c r="V1244" s="76"/>
      <c r="W1244" s="76"/>
      <c r="X1244" s="76"/>
      <c r="Y1244" s="97"/>
      <c r="Z1244" s="216" t="s">
        <v>1173</v>
      </c>
      <c r="AA1244" s="76" t="s">
        <v>1178</v>
      </c>
      <c r="AB1244" s="97"/>
      <c r="AC1244" s="76"/>
      <c r="AD1244" s="76"/>
      <c r="AE1244" s="76"/>
      <c r="AF1244" s="76"/>
      <c r="AG1244" s="76" t="s">
        <v>1187</v>
      </c>
      <c r="AH1244" s="153">
        <v>46210.0</v>
      </c>
      <c r="AI1244" s="67"/>
      <c r="AJ1244" s="67"/>
      <c r="AK1244" s="70"/>
      <c r="AL1244" s="70"/>
      <c r="AM1244" s="135"/>
      <c r="AN1244" s="135"/>
      <c r="AO1244" s="70"/>
      <c r="AP1244" s="70"/>
      <c r="AQ1244" s="67"/>
      <c r="AR1244" s="67"/>
      <c r="AS1244" s="67"/>
      <c r="AT1244" s="67"/>
    </row>
    <row r="1245">
      <c r="A1245" s="76" t="s">
        <v>116</v>
      </c>
      <c r="B1245" s="77" t="s">
        <v>1709</v>
      </c>
      <c r="C1245" s="77" t="s">
        <v>1517</v>
      </c>
      <c r="D1245" s="77" t="s">
        <v>1368</v>
      </c>
      <c r="E1245" s="78" t="s">
        <v>213</v>
      </c>
      <c r="F1245" s="80" t="s">
        <v>1523</v>
      </c>
      <c r="G1245" s="77" t="s">
        <v>5961</v>
      </c>
      <c r="H1245" s="77" t="s">
        <v>60</v>
      </c>
      <c r="I1245" s="87" t="s">
        <v>1221</v>
      </c>
      <c r="J1245" s="76" t="s">
        <v>114</v>
      </c>
      <c r="K1245" s="176" t="s">
        <v>11735</v>
      </c>
      <c r="L1245" s="76"/>
      <c r="M1245" s="85" t="s">
        <v>60</v>
      </c>
      <c r="N1245" s="256" t="s">
        <v>11005</v>
      </c>
      <c r="O1245" s="27" t="s">
        <v>11006</v>
      </c>
      <c r="P1245" s="262">
        <v>34659.0</v>
      </c>
      <c r="Q1245" s="315">
        <f t="shared" si="153"/>
        <v>34659</v>
      </c>
      <c r="R1245" s="97">
        <f t="shared" si="152"/>
        <v>31</v>
      </c>
      <c r="S1245" s="76">
        <v>3.465807797E9</v>
      </c>
      <c r="T1245" s="315"/>
      <c r="U1245" s="76" t="s">
        <v>368</v>
      </c>
      <c r="V1245" s="76"/>
      <c r="W1245" s="76"/>
      <c r="X1245" s="76"/>
      <c r="Y1245" s="86" t="s">
        <v>1174</v>
      </c>
      <c r="Z1245" s="278" t="s">
        <v>1613</v>
      </c>
      <c r="AA1245" s="76"/>
      <c r="AB1245" s="97"/>
      <c r="AC1245" s="76"/>
      <c r="AD1245" s="99"/>
      <c r="AE1245" s="76"/>
      <c r="AF1245" s="76" t="s">
        <v>12161</v>
      </c>
      <c r="AG1245" s="76" t="s">
        <v>1187</v>
      </c>
      <c r="AH1245" s="262">
        <v>46214.0</v>
      </c>
      <c r="AI1245" s="67"/>
      <c r="AJ1245" s="67"/>
      <c r="AK1245" s="70"/>
      <c r="AL1245" s="70"/>
      <c r="AM1245" s="135"/>
      <c r="AN1245" s="135"/>
      <c r="AO1245" s="70"/>
      <c r="AP1245" s="70"/>
      <c r="AQ1245" s="67"/>
      <c r="AR1245" s="67"/>
      <c r="AS1245" s="67"/>
      <c r="AT1245" s="67"/>
    </row>
    <row r="1246">
      <c r="A1246" s="76" t="s">
        <v>116</v>
      </c>
      <c r="B1246" s="77" t="s">
        <v>1645</v>
      </c>
      <c r="C1246" s="77" t="s">
        <v>1611</v>
      </c>
      <c r="D1246" s="77" t="s">
        <v>1494</v>
      </c>
      <c r="E1246" s="78" t="s">
        <v>213</v>
      </c>
      <c r="F1246" s="80" t="s">
        <v>1523</v>
      </c>
      <c r="G1246" s="77" t="s">
        <v>1015</v>
      </c>
      <c r="H1246" s="77" t="s">
        <v>60</v>
      </c>
      <c r="I1246" s="87" t="s">
        <v>1221</v>
      </c>
      <c r="J1246" s="76" t="s">
        <v>114</v>
      </c>
      <c r="K1246" s="288"/>
      <c r="L1246" s="76"/>
      <c r="M1246" s="85" t="s">
        <v>60</v>
      </c>
      <c r="N1246" s="678" t="s">
        <v>10468</v>
      </c>
      <c r="O1246" s="157" t="s">
        <v>10469</v>
      </c>
      <c r="P1246" s="523">
        <v>29334.0</v>
      </c>
      <c r="Q1246" s="315">
        <f t="shared" si="153"/>
        <v>1</v>
      </c>
      <c r="R1246" s="86">
        <f t="shared" si="152"/>
        <v>46</v>
      </c>
      <c r="S1246" s="76"/>
      <c r="T1246" s="315"/>
      <c r="U1246" s="76" t="s">
        <v>368</v>
      </c>
      <c r="V1246" s="76"/>
      <c r="W1246" s="76"/>
      <c r="X1246" s="76"/>
      <c r="Y1246" s="76" t="s">
        <v>10565</v>
      </c>
      <c r="Z1246" s="216" t="s">
        <v>1173</v>
      </c>
      <c r="AA1246" s="97"/>
      <c r="AB1246" s="76"/>
      <c r="AC1246" s="76"/>
      <c r="AD1246" s="76"/>
      <c r="AE1246" s="76"/>
      <c r="AF1246" s="76" t="s">
        <v>12060</v>
      </c>
      <c r="AG1246" s="76" t="s">
        <v>2194</v>
      </c>
      <c r="AH1246" s="153">
        <v>46212.0</v>
      </c>
      <c r="AI1246" s="67"/>
      <c r="AJ1246" s="67"/>
      <c r="AK1246" s="70"/>
      <c r="AL1246" s="70"/>
      <c r="AM1246" s="135"/>
      <c r="AN1246" s="135"/>
      <c r="AO1246" s="70"/>
      <c r="AP1246" s="70"/>
      <c r="AQ1246" s="67"/>
      <c r="AR1246" s="67"/>
      <c r="AS1246" s="67"/>
      <c r="AT1246" s="67"/>
    </row>
    <row r="1247">
      <c r="A1247" s="76" t="s">
        <v>116</v>
      </c>
      <c r="B1247" s="77" t="s">
        <v>1645</v>
      </c>
      <c r="C1247" s="77" t="s">
        <v>1611</v>
      </c>
      <c r="D1247" s="77" t="s">
        <v>1494</v>
      </c>
      <c r="E1247" s="78" t="s">
        <v>536</v>
      </c>
      <c r="F1247" s="80" t="s">
        <v>2458</v>
      </c>
      <c r="G1247" s="77" t="s">
        <v>4923</v>
      </c>
      <c r="H1247" s="77" t="s">
        <v>60</v>
      </c>
      <c r="I1247" s="87" t="s">
        <v>1221</v>
      </c>
      <c r="J1247" s="76" t="s">
        <v>114</v>
      </c>
      <c r="K1247" s="76" t="s">
        <v>12162</v>
      </c>
      <c r="L1247" s="47"/>
      <c r="M1247" s="85" t="s">
        <v>60</v>
      </c>
      <c r="N1247" s="678" t="s">
        <v>8285</v>
      </c>
      <c r="O1247" s="76" t="s">
        <v>3218</v>
      </c>
      <c r="P1247" s="523">
        <v>36245.0</v>
      </c>
      <c r="Q1247" s="315">
        <f t="shared" si="153"/>
        <v>36245</v>
      </c>
      <c r="R1247" s="86">
        <f t="shared" si="152"/>
        <v>27</v>
      </c>
      <c r="S1247" s="76">
        <v>3.62440041E9</v>
      </c>
      <c r="T1247" s="315"/>
      <c r="U1247" s="76" t="s">
        <v>368</v>
      </c>
      <c r="V1247" s="76"/>
      <c r="W1247" s="76"/>
      <c r="X1247" s="76"/>
      <c r="Y1247" s="97"/>
      <c r="Z1247" s="216" t="s">
        <v>2521</v>
      </c>
      <c r="AA1247" s="76"/>
      <c r="AB1247" s="97"/>
      <c r="AC1247" s="76"/>
      <c r="AD1247" s="76"/>
      <c r="AE1247" s="76"/>
      <c r="AF1247" s="76"/>
      <c r="AG1247" s="76" t="s">
        <v>1187</v>
      </c>
      <c r="AH1247" s="153">
        <v>46214.0</v>
      </c>
      <c r="AI1247" s="67"/>
      <c r="AJ1247" s="67"/>
      <c r="AK1247" s="70"/>
      <c r="AL1247" s="70"/>
      <c r="AM1247" s="135"/>
      <c r="AN1247" s="135"/>
      <c r="AO1247" s="70"/>
      <c r="AP1247" s="70"/>
      <c r="AQ1247" s="67"/>
      <c r="AR1247" s="67"/>
      <c r="AS1247" s="67"/>
      <c r="AT1247" s="67"/>
    </row>
    <row r="1248">
      <c r="A1248" s="76" t="s">
        <v>116</v>
      </c>
      <c r="B1248" s="77" t="s">
        <v>1709</v>
      </c>
      <c r="C1248" s="77" t="s">
        <v>1517</v>
      </c>
      <c r="D1248" s="77" t="s">
        <v>1368</v>
      </c>
      <c r="E1248" s="78" t="s">
        <v>212</v>
      </c>
      <c r="F1248" s="80" t="s">
        <v>2203</v>
      </c>
      <c r="G1248" s="77" t="s">
        <v>5909</v>
      </c>
      <c r="H1248" s="77" t="s">
        <v>326</v>
      </c>
      <c r="I1248" s="87" t="s">
        <v>1221</v>
      </c>
      <c r="J1248" s="76" t="s">
        <v>114</v>
      </c>
      <c r="K1248" s="124" t="s">
        <v>12163</v>
      </c>
      <c r="L1248" s="47"/>
      <c r="M1248" s="85" t="s">
        <v>60</v>
      </c>
      <c r="N1248" s="678" t="s">
        <v>11191</v>
      </c>
      <c r="O1248" s="76" t="s">
        <v>11192</v>
      </c>
      <c r="P1248" s="523">
        <v>36516.0</v>
      </c>
      <c r="Q1248" s="315">
        <f t="shared" si="153"/>
        <v>36521</v>
      </c>
      <c r="R1248" s="86">
        <f t="shared" si="152"/>
        <v>26</v>
      </c>
      <c r="S1248" s="76">
        <v>3.65200875E9</v>
      </c>
      <c r="T1248" s="315"/>
      <c r="U1248" s="76" t="s">
        <v>368</v>
      </c>
      <c r="V1248" s="76"/>
      <c r="W1248" s="76"/>
      <c r="X1248" s="76"/>
      <c r="Y1248" s="76"/>
      <c r="Z1248" s="344" t="s">
        <v>2506</v>
      </c>
      <c r="AA1248" s="76" t="s">
        <v>1178</v>
      </c>
      <c r="AB1248" s="76"/>
      <c r="AC1248" s="76"/>
      <c r="AD1248" s="76"/>
      <c r="AE1248" s="76"/>
      <c r="AF1248" s="76" t="s">
        <v>2841</v>
      </c>
      <c r="AG1248" s="76" t="s">
        <v>1187</v>
      </c>
      <c r="AH1248" s="153">
        <v>46215.0</v>
      </c>
      <c r="AI1248" s="67"/>
      <c r="AJ1248" s="67"/>
      <c r="AK1248" s="70"/>
      <c r="AL1248" s="70"/>
      <c r="AM1248" s="135"/>
      <c r="AN1248" s="135"/>
      <c r="AO1248" s="70"/>
      <c r="AP1248" s="70"/>
      <c r="AQ1248" s="67"/>
      <c r="AR1248" s="67"/>
      <c r="AS1248" s="67"/>
      <c r="AT1248" s="67"/>
    </row>
    <row r="1249">
      <c r="A1249" s="76" t="s">
        <v>116</v>
      </c>
      <c r="B1249" s="77" t="s">
        <v>1645</v>
      </c>
      <c r="C1249" s="77" t="s">
        <v>1728</v>
      </c>
      <c r="D1249" s="77" t="s">
        <v>121</v>
      </c>
      <c r="E1249" s="78" t="s">
        <v>287</v>
      </c>
      <c r="F1249" s="80" t="s">
        <v>2853</v>
      </c>
      <c r="G1249" s="77" t="s">
        <v>1077</v>
      </c>
      <c r="H1249" s="77" t="s">
        <v>60</v>
      </c>
      <c r="I1249" s="87" t="s">
        <v>1221</v>
      </c>
      <c r="J1249" s="76" t="s">
        <v>114</v>
      </c>
      <c r="K1249" s="176" t="s">
        <v>1602</v>
      </c>
      <c r="L1249" s="47"/>
      <c r="M1249" s="85" t="s">
        <v>60</v>
      </c>
      <c r="N1249" s="678" t="s">
        <v>10631</v>
      </c>
      <c r="O1249" s="76" t="s">
        <v>10632</v>
      </c>
      <c r="P1249" s="523">
        <v>36805.0</v>
      </c>
      <c r="Q1249" s="315">
        <f t="shared" si="153"/>
        <v>36805</v>
      </c>
      <c r="R1249" s="86">
        <f t="shared" si="152"/>
        <v>25</v>
      </c>
      <c r="S1249" s="76">
        <v>3.680407739E9</v>
      </c>
      <c r="T1249" s="76" t="s">
        <v>378</v>
      </c>
      <c r="U1249" s="76" t="s">
        <v>368</v>
      </c>
      <c r="V1249" s="76"/>
      <c r="W1249" s="76"/>
      <c r="X1249" s="76"/>
      <c r="Y1249" s="97"/>
      <c r="Z1249" s="344" t="s">
        <v>2506</v>
      </c>
      <c r="AA1249" s="76"/>
      <c r="AB1249" s="97"/>
      <c r="AC1249" s="76" t="s">
        <v>1032</v>
      </c>
      <c r="AD1249" s="76"/>
      <c r="AE1249" s="76"/>
      <c r="AF1249" s="76" t="s">
        <v>5238</v>
      </c>
      <c r="AG1249" s="76" t="s">
        <v>1187</v>
      </c>
      <c r="AH1249" s="153">
        <v>46214.0</v>
      </c>
      <c r="AI1249" s="67"/>
      <c r="AJ1249" s="67"/>
      <c r="AK1249" s="70"/>
      <c r="AL1249" s="70"/>
      <c r="AM1249" s="135"/>
      <c r="AN1249" s="135"/>
      <c r="AO1249" s="70"/>
      <c r="AP1249" s="70"/>
      <c r="AQ1249" s="67"/>
      <c r="AR1249" s="67"/>
      <c r="AS1249" s="67"/>
      <c r="AT1249" s="67"/>
    </row>
    <row r="1250">
      <c r="A1250" s="341" t="s">
        <v>1774</v>
      </c>
      <c r="B1250" s="302" t="s">
        <v>4145</v>
      </c>
      <c r="C1250" s="341" t="s">
        <v>1774</v>
      </c>
      <c r="D1250" s="86"/>
      <c r="E1250" s="764"/>
      <c r="F1250" s="86"/>
      <c r="G1250" s="86"/>
      <c r="H1250" s="86"/>
      <c r="I1250" s="86"/>
      <c r="J1250" s="97"/>
      <c r="K1250" s="176" t="s">
        <v>12164</v>
      </c>
      <c r="L1250" s="87"/>
      <c r="M1250" s="87" t="s">
        <v>60</v>
      </c>
      <c r="N1250" s="86" t="s">
        <v>7114</v>
      </c>
      <c r="O1250" s="970" t="s">
        <v>954</v>
      </c>
      <c r="P1250" s="1089"/>
      <c r="Q1250" s="315">
        <f t="shared" si="153"/>
        <v>1</v>
      </c>
      <c r="R1250" s="86"/>
      <c r="S1250" s="315"/>
      <c r="T1250" s="315"/>
      <c r="U1250" s="124" t="s">
        <v>379</v>
      </c>
      <c r="V1250" s="76" t="s">
        <v>350</v>
      </c>
      <c r="W1250" s="76" t="s">
        <v>227</v>
      </c>
      <c r="X1250" s="97"/>
      <c r="Y1250" s="97"/>
      <c r="Z1250" s="97"/>
      <c r="AA1250" s="97"/>
      <c r="AB1250" s="97"/>
      <c r="AC1250" s="76" t="s">
        <v>2915</v>
      </c>
      <c r="AD1250" s="99"/>
      <c r="AE1250" s="76"/>
      <c r="AF1250" s="76" t="s">
        <v>1795</v>
      </c>
      <c r="AG1250" s="76" t="s">
        <v>375</v>
      </c>
      <c r="AH1250" s="76" t="s">
        <v>12165</v>
      </c>
      <c r="AI1250" s="67"/>
      <c r="AJ1250" s="67"/>
      <c r="AK1250" s="70"/>
      <c r="AL1250" s="70"/>
      <c r="AM1250" s="135"/>
      <c r="AN1250" s="135"/>
      <c r="AO1250" s="70"/>
      <c r="AP1250" s="70"/>
      <c r="AQ1250" s="67"/>
      <c r="AR1250" s="67"/>
      <c r="AS1250" s="67"/>
      <c r="AT1250" s="67"/>
    </row>
    <row r="1251">
      <c r="A1251" s="341" t="s">
        <v>1774</v>
      </c>
      <c r="B1251" s="302" t="s">
        <v>4145</v>
      </c>
      <c r="C1251" s="341" t="s">
        <v>1774</v>
      </c>
      <c r="D1251" s="86"/>
      <c r="E1251" s="764"/>
      <c r="F1251" s="86"/>
      <c r="G1251" s="86"/>
      <c r="H1251" s="86"/>
      <c r="I1251" s="86"/>
      <c r="J1251" s="109" t="s">
        <v>114</v>
      </c>
      <c r="K1251" s="176" t="s">
        <v>12166</v>
      </c>
      <c r="L1251" s="87"/>
      <c r="M1251" s="87" t="s">
        <v>60</v>
      </c>
      <c r="N1251" s="76" t="s">
        <v>12167</v>
      </c>
      <c r="O1251" s="1191" t="s">
        <v>7406</v>
      </c>
      <c r="P1251" s="825">
        <v>30902.0</v>
      </c>
      <c r="Q1251" s="315">
        <f t="shared" si="153"/>
        <v>30902</v>
      </c>
      <c r="R1251" s="86">
        <f t="shared" ref="R1251:R1267" si="154">DATEDIF($P1251,TODAY(),"Y")</f>
        <v>42</v>
      </c>
      <c r="S1251" s="76">
        <v>3.090117131E9</v>
      </c>
      <c r="T1251" s="315"/>
      <c r="U1251" s="124" t="s">
        <v>379</v>
      </c>
      <c r="V1251" s="76" t="s">
        <v>490</v>
      </c>
      <c r="W1251" s="76"/>
      <c r="X1251" s="97"/>
      <c r="Y1251" s="76" t="s">
        <v>371</v>
      </c>
      <c r="Z1251" s="97"/>
      <c r="AA1251" s="97"/>
      <c r="AB1251" s="97"/>
      <c r="AC1251" s="76" t="s">
        <v>2915</v>
      </c>
      <c r="AD1251" s="99"/>
      <c r="AE1251" s="76"/>
      <c r="AF1251" s="76" t="s">
        <v>4392</v>
      </c>
      <c r="AG1251" s="112"/>
      <c r="AH1251" s="595" t="s">
        <v>12168</v>
      </c>
      <c r="AI1251" s="67"/>
      <c r="AJ1251" s="67"/>
      <c r="AK1251" s="70"/>
      <c r="AL1251" s="70"/>
      <c r="AM1251" s="135"/>
      <c r="AN1251" s="135"/>
      <c r="AO1251" s="70"/>
      <c r="AP1251" s="70"/>
      <c r="AQ1251" s="67"/>
      <c r="AR1251" s="67"/>
      <c r="AS1251" s="67"/>
      <c r="AT1251" s="67"/>
    </row>
    <row r="1252">
      <c r="A1252" s="86"/>
      <c r="B1252" s="302" t="s">
        <v>4145</v>
      </c>
      <c r="C1252" s="1059" t="s">
        <v>8296</v>
      </c>
      <c r="D1252" s="76"/>
      <c r="E1252" s="574">
        <v>46096.0</v>
      </c>
      <c r="F1252" s="762"/>
      <c r="G1252" s="762"/>
      <c r="H1252" s="762"/>
      <c r="I1252" s="762"/>
      <c r="J1252" s="85" t="s">
        <v>114</v>
      </c>
      <c r="K1252" s="76"/>
      <c r="L1252" s="47"/>
      <c r="M1252" s="85" t="s">
        <v>60</v>
      </c>
      <c r="N1252" s="1189" t="s">
        <v>12169</v>
      </c>
      <c r="O1252" s="836" t="s">
        <v>3683</v>
      </c>
      <c r="P1252" s="1178">
        <v>34643.0</v>
      </c>
      <c r="Q1252" s="1179">
        <f t="shared" si="153"/>
        <v>34643</v>
      </c>
      <c r="R1252" s="1180">
        <f t="shared" si="154"/>
        <v>31</v>
      </c>
      <c r="S1252" s="836">
        <v>3.464202978E9</v>
      </c>
      <c r="T1252" s="836" t="s">
        <v>378</v>
      </c>
      <c r="U1252" s="836" t="s">
        <v>379</v>
      </c>
      <c r="V1252" s="836" t="s">
        <v>350</v>
      </c>
      <c r="W1252" s="836" t="s">
        <v>227</v>
      </c>
      <c r="X1252" s="836"/>
      <c r="Y1252" s="1190"/>
      <c r="Z1252" s="841" t="s">
        <v>1173</v>
      </c>
      <c r="AA1252" s="836" t="s">
        <v>1178</v>
      </c>
      <c r="AB1252" s="836" t="s">
        <v>226</v>
      </c>
      <c r="AC1252" s="1183">
        <v>155.0</v>
      </c>
      <c r="AD1252" s="836"/>
      <c r="AE1252" s="836"/>
      <c r="AF1252" s="836" t="s">
        <v>9963</v>
      </c>
      <c r="AG1252" s="836" t="s">
        <v>12170</v>
      </c>
      <c r="AH1252" s="840" t="s">
        <v>12116</v>
      </c>
      <c r="AI1252" s="763"/>
      <c r="AJ1252" s="763"/>
      <c r="AK1252" s="763"/>
      <c r="AL1252" s="763"/>
      <c r="AM1252" s="763"/>
      <c r="AN1252" s="763"/>
      <c r="AO1252" s="763"/>
      <c r="AP1252" s="763"/>
      <c r="AQ1252" s="763"/>
      <c r="AR1252" s="763"/>
      <c r="AS1252" s="763"/>
      <c r="AT1252" s="763"/>
    </row>
    <row r="1253">
      <c r="A1253" s="86"/>
      <c r="B1253" s="302" t="s">
        <v>4145</v>
      </c>
      <c r="C1253" s="1059" t="s">
        <v>12171</v>
      </c>
      <c r="D1253" s="76" t="s">
        <v>11174</v>
      </c>
      <c r="E1253" s="574">
        <v>46157.0</v>
      </c>
      <c r="F1253" s="762"/>
      <c r="G1253" s="762"/>
      <c r="H1253" s="762"/>
      <c r="I1253" s="762"/>
      <c r="J1253" s="76" t="s">
        <v>114</v>
      </c>
      <c r="K1253" s="176" t="s">
        <v>1602</v>
      </c>
      <c r="L1253" s="47"/>
      <c r="M1253" s="85" t="s">
        <v>60</v>
      </c>
      <c r="N1253" s="1189" t="s">
        <v>12172</v>
      </c>
      <c r="O1253" s="836" t="s">
        <v>12173</v>
      </c>
      <c r="P1253" s="1178">
        <v>28662.0</v>
      </c>
      <c r="Q1253" s="1179">
        <f t="shared" si="153"/>
        <v>28662</v>
      </c>
      <c r="R1253" s="1180">
        <f t="shared" si="154"/>
        <v>48</v>
      </c>
      <c r="S1253" s="836">
        <v>2.86612127E9</v>
      </c>
      <c r="T1253" s="1179"/>
      <c r="U1253" s="836" t="s">
        <v>379</v>
      </c>
      <c r="V1253" s="836" t="s">
        <v>490</v>
      </c>
      <c r="W1253" s="836"/>
      <c r="X1253" s="836" t="s">
        <v>186</v>
      </c>
      <c r="Y1253" s="1190"/>
      <c r="Z1253" s="841" t="s">
        <v>1755</v>
      </c>
      <c r="AA1253" s="1190"/>
      <c r="AB1253" s="836"/>
      <c r="AC1253" s="1183">
        <v>155.0</v>
      </c>
      <c r="AD1253" s="836"/>
      <c r="AE1253" s="836"/>
      <c r="AF1253" s="836"/>
      <c r="AG1253" s="1192"/>
      <c r="AH1253" s="840" t="s">
        <v>12116</v>
      </c>
      <c r="AI1253" s="763"/>
      <c r="AJ1253" s="763"/>
      <c r="AK1253" s="763"/>
      <c r="AL1253" s="763"/>
      <c r="AM1253" s="763"/>
      <c r="AN1253" s="763"/>
      <c r="AO1253" s="763"/>
      <c r="AP1253" s="763"/>
      <c r="AQ1253" s="763"/>
      <c r="AR1253" s="763"/>
      <c r="AS1253" s="763"/>
      <c r="AT1253" s="763"/>
    </row>
    <row r="1254">
      <c r="A1254" s="86"/>
      <c r="B1254" s="302" t="s">
        <v>4145</v>
      </c>
      <c r="C1254" s="1059" t="s">
        <v>12174</v>
      </c>
      <c r="D1254" s="76" t="s">
        <v>11174</v>
      </c>
      <c r="E1254" s="574">
        <v>46157.0</v>
      </c>
      <c r="F1254" s="762"/>
      <c r="G1254" s="762"/>
      <c r="H1254" s="762"/>
      <c r="I1254" s="762"/>
      <c r="J1254" s="76" t="s">
        <v>114</v>
      </c>
      <c r="K1254" s="176" t="s">
        <v>1602</v>
      </c>
      <c r="L1254" s="47"/>
      <c r="M1254" s="85" t="s">
        <v>60</v>
      </c>
      <c r="N1254" s="1189" t="s">
        <v>12175</v>
      </c>
      <c r="O1254" s="836" t="s">
        <v>2279</v>
      </c>
      <c r="P1254" s="1178">
        <v>31837.0</v>
      </c>
      <c r="Q1254" s="1179">
        <f t="shared" si="153"/>
        <v>31837</v>
      </c>
      <c r="R1254" s="1180">
        <f t="shared" si="154"/>
        <v>39</v>
      </c>
      <c r="S1254" s="836">
        <v>3.18361645E9</v>
      </c>
      <c r="T1254" s="1179"/>
      <c r="U1254" s="836" t="s">
        <v>379</v>
      </c>
      <c r="V1254" s="836" t="s">
        <v>583</v>
      </c>
      <c r="W1254" s="836"/>
      <c r="X1254" s="836" t="s">
        <v>186</v>
      </c>
      <c r="Y1254" s="1190"/>
      <c r="Z1254" s="841" t="s">
        <v>1755</v>
      </c>
      <c r="AA1254" s="1190"/>
      <c r="AB1254" s="836"/>
      <c r="AC1254" s="836" t="s">
        <v>1566</v>
      </c>
      <c r="AD1254" s="836"/>
      <c r="AE1254" s="836"/>
      <c r="AF1254" s="836"/>
      <c r="AG1254" s="1192"/>
      <c r="AH1254" s="840" t="s">
        <v>12116</v>
      </c>
      <c r="AI1254" s="763"/>
      <c r="AJ1254" s="763"/>
      <c r="AK1254" s="763"/>
      <c r="AL1254" s="763"/>
      <c r="AM1254" s="763"/>
      <c r="AN1254" s="763"/>
      <c r="AO1254" s="763"/>
      <c r="AP1254" s="763"/>
      <c r="AQ1254" s="763"/>
      <c r="AR1254" s="763"/>
      <c r="AS1254" s="763"/>
      <c r="AT1254" s="763"/>
    </row>
    <row r="1255">
      <c r="A1255" s="86"/>
      <c r="B1255" s="302" t="s">
        <v>4145</v>
      </c>
      <c r="C1255" s="1059" t="s">
        <v>12176</v>
      </c>
      <c r="D1255" s="76" t="s">
        <v>4264</v>
      </c>
      <c r="E1255" s="574">
        <v>46187.0</v>
      </c>
      <c r="F1255" s="762"/>
      <c r="G1255" s="762"/>
      <c r="H1255" s="762"/>
      <c r="I1255" s="762"/>
      <c r="J1255" s="76" t="s">
        <v>114</v>
      </c>
      <c r="K1255" s="76"/>
      <c r="L1255" s="47"/>
      <c r="M1255" s="85" t="s">
        <v>60</v>
      </c>
      <c r="N1255" s="1189" t="s">
        <v>12177</v>
      </c>
      <c r="O1255" s="836" t="s">
        <v>12178</v>
      </c>
      <c r="P1255" s="1178">
        <v>31789.0</v>
      </c>
      <c r="Q1255" s="1179">
        <f t="shared" si="153"/>
        <v>31789</v>
      </c>
      <c r="R1255" s="1180">
        <f t="shared" si="154"/>
        <v>39</v>
      </c>
      <c r="S1255" s="836">
        <v>3.178811479E9</v>
      </c>
      <c r="T1255" s="836" t="s">
        <v>378</v>
      </c>
      <c r="U1255" s="836" t="s">
        <v>379</v>
      </c>
      <c r="V1255" s="836" t="s">
        <v>566</v>
      </c>
      <c r="W1255" s="836"/>
      <c r="X1255" s="836" t="s">
        <v>186</v>
      </c>
      <c r="Y1255" s="1190"/>
      <c r="Z1255" s="841" t="s">
        <v>1755</v>
      </c>
      <c r="AA1255" s="836"/>
      <c r="AB1255" s="836"/>
      <c r="AC1255" s="1183">
        <v>155.0</v>
      </c>
      <c r="AD1255" s="836"/>
      <c r="AE1255" s="836"/>
      <c r="AF1255" s="836"/>
      <c r="AG1255" s="1192"/>
      <c r="AH1255" s="840" t="s">
        <v>12116</v>
      </c>
      <c r="AI1255" s="763"/>
      <c r="AJ1255" s="763"/>
      <c r="AK1255" s="763"/>
      <c r="AL1255" s="763"/>
      <c r="AM1255" s="763"/>
      <c r="AN1255" s="763"/>
      <c r="AO1255" s="763"/>
      <c r="AP1255" s="763"/>
      <c r="AQ1255" s="763"/>
      <c r="AR1255" s="763"/>
      <c r="AS1255" s="763"/>
      <c r="AT1255" s="763"/>
    </row>
    <row r="1256">
      <c r="A1256" s="86"/>
      <c r="B1256" s="302" t="s">
        <v>4145</v>
      </c>
      <c r="C1256" s="302" t="s">
        <v>12179</v>
      </c>
      <c r="D1256" s="76" t="s">
        <v>4264</v>
      </c>
      <c r="E1256" s="574">
        <v>46193.0</v>
      </c>
      <c r="F1256" s="762"/>
      <c r="G1256" s="762"/>
      <c r="H1256" s="762"/>
      <c r="I1256" s="762"/>
      <c r="J1256" s="76" t="s">
        <v>114</v>
      </c>
      <c r="K1256" s="76"/>
      <c r="L1256" s="47"/>
      <c r="M1256" s="85" t="s">
        <v>60</v>
      </c>
      <c r="N1256" s="1189" t="s">
        <v>12180</v>
      </c>
      <c r="O1256" s="836" t="s">
        <v>1418</v>
      </c>
      <c r="P1256" s="1178">
        <v>31719.0</v>
      </c>
      <c r="Q1256" s="1179">
        <f t="shared" si="153"/>
        <v>31719</v>
      </c>
      <c r="R1256" s="1180">
        <f t="shared" si="154"/>
        <v>39</v>
      </c>
      <c r="S1256" s="836">
        <v>3.171804075E9</v>
      </c>
      <c r="T1256" s="836" t="s">
        <v>378</v>
      </c>
      <c r="U1256" s="836" t="s">
        <v>379</v>
      </c>
      <c r="V1256" s="836" t="s">
        <v>350</v>
      </c>
      <c r="W1256" s="836"/>
      <c r="X1256" s="836"/>
      <c r="Y1256" s="840" t="s">
        <v>371</v>
      </c>
      <c r="Z1256" s="841" t="s">
        <v>1755</v>
      </c>
      <c r="AA1256" s="836" t="s">
        <v>1178</v>
      </c>
      <c r="AB1256" s="836" t="s">
        <v>192</v>
      </c>
      <c r="AC1256" s="1183">
        <v>155.0</v>
      </c>
      <c r="AD1256" s="836"/>
      <c r="AE1256" s="836"/>
      <c r="AF1256" s="836"/>
      <c r="AG1256" s="1192"/>
      <c r="AH1256" s="840" t="s">
        <v>12116</v>
      </c>
      <c r="AI1256" s="763"/>
      <c r="AJ1256" s="763"/>
      <c r="AK1256" s="763"/>
      <c r="AL1256" s="763"/>
      <c r="AM1256" s="763"/>
      <c r="AN1256" s="763"/>
      <c r="AO1256" s="763"/>
      <c r="AP1256" s="763"/>
      <c r="AQ1256" s="763"/>
      <c r="AR1256" s="763"/>
      <c r="AS1256" s="763"/>
      <c r="AT1256" s="763"/>
    </row>
    <row r="1257">
      <c r="A1257" s="76" t="s">
        <v>116</v>
      </c>
      <c r="B1257" s="77" t="s">
        <v>1039</v>
      </c>
      <c r="C1257" s="77" t="s">
        <v>1269</v>
      </c>
      <c r="D1257" s="77" t="s">
        <v>1368</v>
      </c>
      <c r="E1257" s="78" t="s">
        <v>58</v>
      </c>
      <c r="F1257" s="80" t="s">
        <v>1496</v>
      </c>
      <c r="G1257" s="77" t="s">
        <v>330</v>
      </c>
      <c r="H1257" s="77" t="s">
        <v>60</v>
      </c>
      <c r="I1257" s="87" t="s">
        <v>1221</v>
      </c>
      <c r="J1257" s="85"/>
      <c r="K1257" s="85"/>
      <c r="L1257" s="76"/>
      <c r="M1257" s="158" t="s">
        <v>60</v>
      </c>
      <c r="N1257" s="158" t="s">
        <v>12181</v>
      </c>
      <c r="O1257" s="76"/>
      <c r="P1257" s="523">
        <v>32564.0</v>
      </c>
      <c r="Q1257" s="315">
        <f t="shared" si="153"/>
        <v>32564</v>
      </c>
      <c r="R1257" s="86">
        <f t="shared" si="154"/>
        <v>37</v>
      </c>
      <c r="S1257" s="76">
        <v>3.256312417E9</v>
      </c>
      <c r="T1257" s="86"/>
      <c r="U1257" s="76" t="s">
        <v>136</v>
      </c>
      <c r="V1257" s="76"/>
      <c r="W1257" s="76"/>
      <c r="X1257" s="76"/>
      <c r="Y1257" s="167"/>
      <c r="Z1257" s="234" t="s">
        <v>1351</v>
      </c>
      <c r="AA1257" s="168"/>
      <c r="AB1257" s="97"/>
      <c r="AC1257" s="160" t="s">
        <v>630</v>
      </c>
      <c r="AD1257" s="76" t="s">
        <v>632</v>
      </c>
      <c r="AE1257" s="76"/>
      <c r="AF1257" s="160" t="s">
        <v>630</v>
      </c>
      <c r="AG1257" s="226"/>
      <c r="AH1257" s="153"/>
      <c r="AI1257" s="763"/>
      <c r="AJ1257" s="763"/>
      <c r="AK1257" s="763"/>
      <c r="AL1257" s="763"/>
      <c r="AM1257" s="763"/>
      <c r="AN1257" s="763"/>
      <c r="AO1257" s="763"/>
      <c r="AP1257" s="763"/>
      <c r="AQ1257" s="763"/>
      <c r="AR1257" s="763"/>
      <c r="AS1257" s="763"/>
      <c r="AT1257" s="763"/>
    </row>
    <row r="1258">
      <c r="A1258" s="76" t="s">
        <v>116</v>
      </c>
      <c r="B1258" s="77" t="s">
        <v>1645</v>
      </c>
      <c r="C1258" s="77" t="s">
        <v>1269</v>
      </c>
      <c r="D1258" s="77" t="s">
        <v>1494</v>
      </c>
      <c r="E1258" s="78" t="s">
        <v>201</v>
      </c>
      <c r="F1258" s="80" t="s">
        <v>1849</v>
      </c>
      <c r="G1258" s="77" t="s">
        <v>3782</v>
      </c>
      <c r="H1258" s="77" t="s">
        <v>60</v>
      </c>
      <c r="I1258" s="87" t="s">
        <v>1221</v>
      </c>
      <c r="J1258" s="85" t="s">
        <v>114</v>
      </c>
      <c r="K1258" s="76"/>
      <c r="L1258" s="47"/>
      <c r="M1258" s="85" t="s">
        <v>60</v>
      </c>
      <c r="N1258" s="157" t="s">
        <v>12182</v>
      </c>
      <c r="O1258" s="76" t="s">
        <v>683</v>
      </c>
      <c r="P1258" s="523">
        <v>35537.0</v>
      </c>
      <c r="Q1258" s="315">
        <f t="shared" si="153"/>
        <v>35537</v>
      </c>
      <c r="R1258" s="86">
        <f t="shared" si="154"/>
        <v>29</v>
      </c>
      <c r="S1258" s="76">
        <v>3.55360389E9</v>
      </c>
      <c r="T1258" s="76"/>
      <c r="U1258" s="76" t="s">
        <v>379</v>
      </c>
      <c r="V1258" s="76"/>
      <c r="W1258" s="76"/>
      <c r="X1258" s="76" t="s">
        <v>186</v>
      </c>
      <c r="Y1258" s="97"/>
      <c r="Z1258" s="85" t="s">
        <v>1254</v>
      </c>
      <c r="AA1258" s="76" t="s">
        <v>1178</v>
      </c>
      <c r="AB1258" s="76"/>
      <c r="AC1258" s="76" t="s">
        <v>4264</v>
      </c>
      <c r="AD1258" s="76"/>
      <c r="AE1258" s="76"/>
      <c r="AF1258" s="76" t="s">
        <v>2586</v>
      </c>
      <c r="AG1258" s="189"/>
      <c r="AH1258" s="153">
        <v>46229.0</v>
      </c>
      <c r="AI1258" s="763"/>
      <c r="AJ1258" s="763"/>
      <c r="AK1258" s="763"/>
      <c r="AL1258" s="763"/>
      <c r="AM1258" s="763"/>
      <c r="AN1258" s="763"/>
      <c r="AO1258" s="763"/>
      <c r="AP1258" s="763"/>
      <c r="AQ1258" s="763"/>
      <c r="AR1258" s="763"/>
      <c r="AS1258" s="763"/>
      <c r="AT1258" s="763"/>
    </row>
    <row r="1259">
      <c r="A1259" s="76" t="s">
        <v>116</v>
      </c>
      <c r="B1259" s="77" t="s">
        <v>1645</v>
      </c>
      <c r="C1259" s="77" t="s">
        <v>1269</v>
      </c>
      <c r="D1259" s="77" t="s">
        <v>1494</v>
      </c>
      <c r="E1259" s="78" t="s">
        <v>58</v>
      </c>
      <c r="F1259" s="80" t="s">
        <v>1496</v>
      </c>
      <c r="G1259" s="77" t="s">
        <v>3806</v>
      </c>
      <c r="H1259" s="77" t="s">
        <v>60</v>
      </c>
      <c r="I1259" s="87" t="s">
        <v>1221</v>
      </c>
      <c r="J1259" s="85" t="s">
        <v>114</v>
      </c>
      <c r="K1259" s="76"/>
      <c r="L1259" s="47"/>
      <c r="M1259" s="85" t="s">
        <v>60</v>
      </c>
      <c r="N1259" s="157" t="s">
        <v>12183</v>
      </c>
      <c r="O1259" s="76" t="s">
        <v>12184</v>
      </c>
      <c r="P1259" s="523">
        <v>33470.0</v>
      </c>
      <c r="Q1259" s="315">
        <f t="shared" si="153"/>
        <v>1</v>
      </c>
      <c r="R1259" s="86">
        <f t="shared" si="154"/>
        <v>35</v>
      </c>
      <c r="S1259" s="76"/>
      <c r="T1259" s="76"/>
      <c r="U1259" s="76" t="s">
        <v>379</v>
      </c>
      <c r="V1259" s="76"/>
      <c r="W1259" s="76"/>
      <c r="X1259" s="76" t="s">
        <v>186</v>
      </c>
      <c r="Y1259" s="97"/>
      <c r="Z1259" s="85" t="s">
        <v>1254</v>
      </c>
      <c r="AA1259" s="76"/>
      <c r="AB1259" s="76"/>
      <c r="AC1259" s="76" t="s">
        <v>4264</v>
      </c>
      <c r="AD1259" s="76"/>
      <c r="AE1259" s="76"/>
      <c r="AF1259" s="76" t="s">
        <v>2586</v>
      </c>
      <c r="AG1259" s="189"/>
      <c r="AH1259" s="153">
        <v>46229.0</v>
      </c>
      <c r="AI1259" s="763"/>
      <c r="AJ1259" s="763"/>
      <c r="AK1259" s="763"/>
      <c r="AL1259" s="763"/>
      <c r="AM1259" s="763"/>
      <c r="AN1259" s="763"/>
      <c r="AO1259" s="763"/>
      <c r="AP1259" s="763"/>
      <c r="AQ1259" s="763"/>
      <c r="AR1259" s="763"/>
      <c r="AS1259" s="763"/>
      <c r="AT1259" s="763"/>
    </row>
    <row r="1260">
      <c r="A1260" s="76" t="s">
        <v>116</v>
      </c>
      <c r="B1260" s="77" t="s">
        <v>1645</v>
      </c>
      <c r="C1260" s="77" t="s">
        <v>1517</v>
      </c>
      <c r="D1260" s="77" t="s">
        <v>1494</v>
      </c>
      <c r="E1260" s="78" t="s">
        <v>536</v>
      </c>
      <c r="F1260" s="80" t="s">
        <v>2458</v>
      </c>
      <c r="G1260" s="77" t="s">
        <v>4348</v>
      </c>
      <c r="H1260" s="77" t="s">
        <v>60</v>
      </c>
      <c r="I1260" s="87" t="s">
        <v>1221</v>
      </c>
      <c r="J1260" s="76" t="s">
        <v>114</v>
      </c>
      <c r="K1260" s="76"/>
      <c r="L1260" s="47"/>
      <c r="M1260" s="85" t="s">
        <v>60</v>
      </c>
      <c r="N1260" s="157" t="s">
        <v>12185</v>
      </c>
      <c r="O1260" s="76" t="s">
        <v>12186</v>
      </c>
      <c r="P1260" s="523">
        <v>30334.0</v>
      </c>
      <c r="Q1260" s="315">
        <f t="shared" si="153"/>
        <v>30334</v>
      </c>
      <c r="R1260" s="86">
        <f t="shared" si="154"/>
        <v>43</v>
      </c>
      <c r="S1260" s="76">
        <v>3.033309395E9</v>
      </c>
      <c r="T1260" s="76" t="s">
        <v>1548</v>
      </c>
      <c r="U1260" s="76" t="s">
        <v>379</v>
      </c>
      <c r="V1260" s="76"/>
      <c r="W1260" s="76"/>
      <c r="X1260" s="76" t="s">
        <v>186</v>
      </c>
      <c r="Y1260" s="97"/>
      <c r="Z1260" s="85" t="s">
        <v>1254</v>
      </c>
      <c r="AA1260" s="76" t="s">
        <v>1178</v>
      </c>
      <c r="AB1260" s="76"/>
      <c r="AC1260" s="76" t="s">
        <v>4264</v>
      </c>
      <c r="AD1260" s="76"/>
      <c r="AE1260" s="76"/>
      <c r="AF1260" s="76" t="s">
        <v>2586</v>
      </c>
      <c r="AG1260" s="189"/>
      <c r="AH1260" s="153">
        <v>46229.0</v>
      </c>
      <c r="AI1260" s="763"/>
      <c r="AJ1260" s="763"/>
      <c r="AK1260" s="763"/>
      <c r="AL1260" s="763"/>
      <c r="AM1260" s="763"/>
      <c r="AN1260" s="763"/>
      <c r="AO1260" s="763"/>
      <c r="AP1260" s="763"/>
      <c r="AQ1260" s="763"/>
      <c r="AR1260" s="763"/>
      <c r="AS1260" s="763"/>
      <c r="AT1260" s="763"/>
    </row>
    <row r="1261">
      <c r="A1261" s="76" t="s">
        <v>116</v>
      </c>
      <c r="B1261" s="77" t="s">
        <v>1645</v>
      </c>
      <c r="C1261" s="77" t="s">
        <v>1517</v>
      </c>
      <c r="D1261" s="77" t="s">
        <v>1494</v>
      </c>
      <c r="E1261" s="78" t="s">
        <v>58</v>
      </c>
      <c r="F1261" s="80" t="s">
        <v>1496</v>
      </c>
      <c r="G1261" s="77" t="s">
        <v>4370</v>
      </c>
      <c r="H1261" s="77" t="s">
        <v>60</v>
      </c>
      <c r="I1261" s="87" t="s">
        <v>1221</v>
      </c>
      <c r="J1261" s="76" t="s">
        <v>114</v>
      </c>
      <c r="K1261" s="176" t="s">
        <v>12187</v>
      </c>
      <c r="L1261" s="47"/>
      <c r="M1261" s="85" t="s">
        <v>60</v>
      </c>
      <c r="N1261" s="157" t="s">
        <v>12188</v>
      </c>
      <c r="O1261" s="76" t="s">
        <v>319</v>
      </c>
      <c r="P1261" s="523">
        <v>28318.0</v>
      </c>
      <c r="Q1261" s="315"/>
      <c r="R1261" s="86">
        <f t="shared" si="154"/>
        <v>49</v>
      </c>
      <c r="S1261" s="76"/>
      <c r="T1261" s="76"/>
      <c r="U1261" s="76" t="s">
        <v>379</v>
      </c>
      <c r="V1261" s="76"/>
      <c r="W1261" s="76"/>
      <c r="X1261" s="76" t="s">
        <v>186</v>
      </c>
      <c r="Y1261" s="97"/>
      <c r="Z1261" s="85" t="s">
        <v>1254</v>
      </c>
      <c r="AA1261" s="76" t="s">
        <v>1178</v>
      </c>
      <c r="AB1261" s="76"/>
      <c r="AC1261" s="76" t="s">
        <v>4264</v>
      </c>
      <c r="AD1261" s="76"/>
      <c r="AE1261" s="76"/>
      <c r="AF1261" s="76" t="s">
        <v>2586</v>
      </c>
      <c r="AG1261" s="189"/>
      <c r="AH1261" s="153">
        <v>46229.0</v>
      </c>
      <c r="AI1261" s="763"/>
      <c r="AJ1261" s="763"/>
      <c r="AK1261" s="763"/>
      <c r="AL1261" s="763"/>
      <c r="AM1261" s="763"/>
      <c r="AN1261" s="763"/>
      <c r="AO1261" s="763"/>
      <c r="AP1261" s="763"/>
      <c r="AQ1261" s="763"/>
      <c r="AR1261" s="763"/>
      <c r="AS1261" s="763"/>
      <c r="AT1261" s="763"/>
    </row>
    <row r="1262">
      <c r="A1262" s="76" t="s">
        <v>116</v>
      </c>
      <c r="B1262" s="77" t="s">
        <v>1645</v>
      </c>
      <c r="C1262" s="77" t="s">
        <v>1611</v>
      </c>
      <c r="D1262" s="77" t="s">
        <v>1494</v>
      </c>
      <c r="E1262" s="78" t="s">
        <v>536</v>
      </c>
      <c r="F1262" s="80" t="s">
        <v>2458</v>
      </c>
      <c r="G1262" s="77" t="s">
        <v>4923</v>
      </c>
      <c r="H1262" s="77" t="s">
        <v>60</v>
      </c>
      <c r="I1262" s="87" t="s">
        <v>1221</v>
      </c>
      <c r="J1262" s="76" t="s">
        <v>114</v>
      </c>
      <c r="K1262" s="76"/>
      <c r="L1262" s="47"/>
      <c r="M1262" s="85" t="s">
        <v>60</v>
      </c>
      <c r="N1262" s="157" t="s">
        <v>12189</v>
      </c>
      <c r="O1262" s="76" t="s">
        <v>12190</v>
      </c>
      <c r="P1262" s="523">
        <v>28626.0</v>
      </c>
      <c r="Q1262" s="315">
        <f t="shared" ref="Q1262:Q1267" si="155">VALUE(LEFT(TEXT(S1262,0),5))+1</f>
        <v>1</v>
      </c>
      <c r="R1262" s="86">
        <f t="shared" si="154"/>
        <v>48</v>
      </c>
      <c r="S1262" s="76"/>
      <c r="T1262" s="76" t="s">
        <v>378</v>
      </c>
      <c r="U1262" s="76" t="s">
        <v>379</v>
      </c>
      <c r="V1262" s="76"/>
      <c r="W1262" s="76"/>
      <c r="X1262" s="76" t="s">
        <v>186</v>
      </c>
      <c r="Y1262" s="97"/>
      <c r="Z1262" s="85" t="s">
        <v>1254</v>
      </c>
      <c r="AA1262" s="76" t="s">
        <v>1178</v>
      </c>
      <c r="AB1262" s="76"/>
      <c r="AC1262" s="76" t="s">
        <v>4264</v>
      </c>
      <c r="AD1262" s="76"/>
      <c r="AE1262" s="76"/>
      <c r="AF1262" s="76" t="s">
        <v>5763</v>
      </c>
      <c r="AG1262" s="189"/>
      <c r="AH1262" s="153">
        <v>46229.0</v>
      </c>
      <c r="AI1262" s="763"/>
      <c r="AJ1262" s="763"/>
      <c r="AK1262" s="763"/>
      <c r="AL1262" s="763"/>
      <c r="AM1262" s="763"/>
      <c r="AN1262" s="763"/>
      <c r="AO1262" s="763"/>
      <c r="AP1262" s="763"/>
      <c r="AQ1262" s="763"/>
      <c r="AR1262" s="763"/>
      <c r="AS1262" s="763"/>
      <c r="AT1262" s="763"/>
    </row>
    <row r="1263">
      <c r="A1263" s="76" t="s">
        <v>116</v>
      </c>
      <c r="B1263" s="77" t="s">
        <v>1709</v>
      </c>
      <c r="C1263" s="77" t="s">
        <v>1517</v>
      </c>
      <c r="D1263" s="77" t="s">
        <v>1368</v>
      </c>
      <c r="E1263" s="78" t="s">
        <v>212</v>
      </c>
      <c r="F1263" s="80" t="s">
        <v>2203</v>
      </c>
      <c r="G1263" s="77" t="s">
        <v>5909</v>
      </c>
      <c r="H1263" s="77" t="s">
        <v>326</v>
      </c>
      <c r="I1263" s="87" t="s">
        <v>1221</v>
      </c>
      <c r="J1263" s="76" t="s">
        <v>114</v>
      </c>
      <c r="K1263" s="76"/>
      <c r="L1263" s="47"/>
      <c r="M1263" s="85" t="s">
        <v>60</v>
      </c>
      <c r="N1263" s="157" t="s">
        <v>12191</v>
      </c>
      <c r="O1263" s="76" t="s">
        <v>12192</v>
      </c>
      <c r="P1263" s="523">
        <v>35849.0</v>
      </c>
      <c r="Q1263" s="315">
        <f t="shared" si="155"/>
        <v>35849</v>
      </c>
      <c r="R1263" s="86">
        <f t="shared" si="154"/>
        <v>28</v>
      </c>
      <c r="S1263" s="76">
        <v>3.58480063E9</v>
      </c>
      <c r="T1263" s="76" t="s">
        <v>1317</v>
      </c>
      <c r="U1263" s="76" t="s">
        <v>379</v>
      </c>
      <c r="V1263" s="76"/>
      <c r="W1263" s="76"/>
      <c r="X1263" s="76" t="s">
        <v>186</v>
      </c>
      <c r="Y1263" s="76"/>
      <c r="Z1263" s="85" t="s">
        <v>1254</v>
      </c>
      <c r="AA1263" s="76" t="s">
        <v>1178</v>
      </c>
      <c r="AB1263" s="97"/>
      <c r="AC1263" s="76" t="s">
        <v>4264</v>
      </c>
      <c r="AD1263" s="76"/>
      <c r="AE1263" s="76"/>
      <c r="AF1263" s="76"/>
      <c r="AG1263" s="76"/>
      <c r="AH1263" s="153">
        <v>46229.0</v>
      </c>
      <c r="AI1263" s="763"/>
      <c r="AJ1263" s="763"/>
      <c r="AK1263" s="763"/>
      <c r="AL1263" s="763"/>
      <c r="AM1263" s="763"/>
      <c r="AN1263" s="763"/>
      <c r="AO1263" s="763"/>
      <c r="AP1263" s="763"/>
      <c r="AQ1263" s="763"/>
      <c r="AR1263" s="763"/>
      <c r="AS1263" s="763"/>
      <c r="AT1263" s="763"/>
    </row>
    <row r="1264">
      <c r="A1264" s="76" t="s">
        <v>116</v>
      </c>
      <c r="B1264" s="77" t="s">
        <v>1709</v>
      </c>
      <c r="C1264" s="77" t="s">
        <v>1517</v>
      </c>
      <c r="D1264" s="77" t="s">
        <v>1519</v>
      </c>
      <c r="E1264" s="78" t="s">
        <v>178</v>
      </c>
      <c r="F1264" s="80" t="s">
        <v>1369</v>
      </c>
      <c r="G1264" s="77" t="s">
        <v>6114</v>
      </c>
      <c r="H1264" s="77" t="s">
        <v>102</v>
      </c>
      <c r="I1264" s="146" t="s">
        <v>408</v>
      </c>
      <c r="J1264" s="76" t="s">
        <v>114</v>
      </c>
      <c r="K1264" s="76"/>
      <c r="L1264" s="47"/>
      <c r="M1264" s="85" t="s">
        <v>60</v>
      </c>
      <c r="N1264" s="1123" t="s">
        <v>12193</v>
      </c>
      <c r="O1264" s="76" t="s">
        <v>12194</v>
      </c>
      <c r="P1264" s="523">
        <v>34485.0</v>
      </c>
      <c r="Q1264" s="315">
        <f t="shared" si="155"/>
        <v>34485</v>
      </c>
      <c r="R1264" s="86">
        <f t="shared" si="154"/>
        <v>32</v>
      </c>
      <c r="S1264" s="76">
        <v>3.448403752E9</v>
      </c>
      <c r="T1264" s="315"/>
      <c r="U1264" s="76" t="s">
        <v>379</v>
      </c>
      <c r="V1264" s="76"/>
      <c r="W1264" s="76"/>
      <c r="X1264" s="76" t="s">
        <v>186</v>
      </c>
      <c r="Y1264" s="97"/>
      <c r="Z1264" s="595" t="s">
        <v>1755</v>
      </c>
      <c r="AA1264" s="76" t="s">
        <v>1178</v>
      </c>
      <c r="AB1264" s="76"/>
      <c r="AC1264" s="76" t="s">
        <v>5062</v>
      </c>
      <c r="AD1264" s="76"/>
      <c r="AE1264" s="76"/>
      <c r="AF1264" s="76" t="s">
        <v>11803</v>
      </c>
      <c r="AG1264" s="189"/>
      <c r="AH1264" s="76" t="s">
        <v>11838</v>
      </c>
      <c r="AI1264" s="763"/>
      <c r="AJ1264" s="763"/>
      <c r="AK1264" s="763"/>
      <c r="AL1264" s="763"/>
      <c r="AM1264" s="763"/>
      <c r="AN1264" s="763"/>
      <c r="AO1264" s="763"/>
      <c r="AP1264" s="763"/>
      <c r="AQ1264" s="763"/>
      <c r="AR1264" s="763"/>
      <c r="AS1264" s="763"/>
      <c r="AT1264" s="763"/>
    </row>
    <row r="1265">
      <c r="A1265" s="76" t="s">
        <v>116</v>
      </c>
      <c r="B1265" s="77" t="s">
        <v>1709</v>
      </c>
      <c r="C1265" s="77" t="s">
        <v>1611</v>
      </c>
      <c r="D1265" s="77" t="s">
        <v>121</v>
      </c>
      <c r="E1265" s="78" t="s">
        <v>119</v>
      </c>
      <c r="F1265" s="80" t="s">
        <v>1295</v>
      </c>
      <c r="G1265" s="77" t="s">
        <v>1288</v>
      </c>
      <c r="H1265" s="77" t="s">
        <v>504</v>
      </c>
      <c r="I1265" s="146" t="s">
        <v>408</v>
      </c>
      <c r="J1265" s="109" t="s">
        <v>114</v>
      </c>
      <c r="K1265" s="176" t="s">
        <v>12195</v>
      </c>
      <c r="L1265" s="189"/>
      <c r="M1265" s="85" t="s">
        <v>60</v>
      </c>
      <c r="N1265" s="286" t="s">
        <v>8472</v>
      </c>
      <c r="O1265" s="76" t="s">
        <v>10775</v>
      </c>
      <c r="P1265" s="523">
        <v>29801.0</v>
      </c>
      <c r="Q1265" s="315">
        <f t="shared" si="155"/>
        <v>29801</v>
      </c>
      <c r="R1265" s="86">
        <f t="shared" si="154"/>
        <v>45</v>
      </c>
      <c r="S1265" s="76">
        <v>2.980024318E9</v>
      </c>
      <c r="T1265" s="315"/>
      <c r="U1265" s="76" t="s">
        <v>136</v>
      </c>
      <c r="V1265" s="76"/>
      <c r="W1265" s="76"/>
      <c r="X1265" s="76"/>
      <c r="Y1265" s="97" t="s">
        <v>1174</v>
      </c>
      <c r="Z1265" s="216" t="s">
        <v>1173</v>
      </c>
      <c r="AA1265" s="97"/>
      <c r="AB1265" s="97"/>
      <c r="AC1265" s="76"/>
      <c r="AD1265" s="217">
        <v>46189.0</v>
      </c>
      <c r="AE1265" s="76"/>
      <c r="AF1265" s="76"/>
      <c r="AG1265" s="76" t="s">
        <v>1187</v>
      </c>
      <c r="AH1265" s="153">
        <v>46180.0</v>
      </c>
      <c r="AI1265" s="763"/>
      <c r="AJ1265" s="763"/>
      <c r="AK1265" s="763"/>
      <c r="AL1265" s="763"/>
      <c r="AM1265" s="763"/>
      <c r="AN1265" s="763"/>
      <c r="AO1265" s="763"/>
      <c r="AP1265" s="763"/>
      <c r="AQ1265" s="763"/>
      <c r="AR1265" s="763"/>
      <c r="AS1265" s="763"/>
      <c r="AT1265" s="763"/>
    </row>
    <row r="1266">
      <c r="A1266" s="76" t="s">
        <v>116</v>
      </c>
      <c r="B1266" s="77" t="s">
        <v>1709</v>
      </c>
      <c r="C1266" s="77" t="s">
        <v>1611</v>
      </c>
      <c r="D1266" s="77" t="s">
        <v>1494</v>
      </c>
      <c r="E1266" s="78" t="s">
        <v>213</v>
      </c>
      <c r="F1266" s="80" t="s">
        <v>1523</v>
      </c>
      <c r="G1266" s="77" t="s">
        <v>1309</v>
      </c>
      <c r="H1266" s="77" t="s">
        <v>60</v>
      </c>
      <c r="I1266" s="87" t="s">
        <v>1221</v>
      </c>
      <c r="J1266" s="85" t="s">
        <v>114</v>
      </c>
      <c r="K1266" s="124" t="s">
        <v>1602</v>
      </c>
      <c r="L1266" s="47"/>
      <c r="M1266" s="85" t="s">
        <v>60</v>
      </c>
      <c r="N1266" s="936" t="s">
        <v>8398</v>
      </c>
      <c r="O1266" s="76" t="s">
        <v>11265</v>
      </c>
      <c r="P1266" s="523">
        <v>31023.0</v>
      </c>
      <c r="Q1266" s="315">
        <f t="shared" si="155"/>
        <v>31023</v>
      </c>
      <c r="R1266" s="86">
        <f t="shared" si="154"/>
        <v>41</v>
      </c>
      <c r="S1266" s="76">
        <v>3.102216877E9</v>
      </c>
      <c r="T1266" s="315"/>
      <c r="U1266" s="76" t="s">
        <v>368</v>
      </c>
      <c r="V1266" s="76"/>
      <c r="W1266" s="76"/>
      <c r="X1266" s="76"/>
      <c r="Y1266" s="97"/>
      <c r="Z1266" s="216" t="s">
        <v>1173</v>
      </c>
      <c r="AA1266" s="97"/>
      <c r="AB1266" s="97"/>
      <c r="AC1266" s="76"/>
      <c r="AD1266" s="76"/>
      <c r="AE1266" s="76"/>
      <c r="AF1266" s="291" t="s">
        <v>3554</v>
      </c>
      <c r="AG1266" s="76" t="s">
        <v>1187</v>
      </c>
      <c r="AH1266" s="153">
        <v>46215.0</v>
      </c>
      <c r="AI1266" s="763"/>
      <c r="AJ1266" s="763"/>
      <c r="AK1266" s="763"/>
      <c r="AL1266" s="763"/>
      <c r="AM1266" s="763"/>
      <c r="AN1266" s="763"/>
      <c r="AO1266" s="763"/>
      <c r="AP1266" s="763"/>
      <c r="AQ1266" s="763"/>
      <c r="AR1266" s="763"/>
      <c r="AS1266" s="763"/>
      <c r="AT1266" s="763"/>
    </row>
    <row r="1267">
      <c r="A1267" s="76" t="s">
        <v>116</v>
      </c>
      <c r="B1267" s="77" t="s">
        <v>1709</v>
      </c>
      <c r="C1267" s="77" t="s">
        <v>1728</v>
      </c>
      <c r="D1267" s="77" t="s">
        <v>121</v>
      </c>
      <c r="E1267" s="78" t="s">
        <v>287</v>
      </c>
      <c r="F1267" s="80" t="s">
        <v>2853</v>
      </c>
      <c r="G1267" s="77" t="s">
        <v>1367</v>
      </c>
      <c r="H1267" s="77" t="s">
        <v>60</v>
      </c>
      <c r="I1267" s="87" t="s">
        <v>1221</v>
      </c>
      <c r="J1267" s="76" t="s">
        <v>114</v>
      </c>
      <c r="K1267" s="124" t="s">
        <v>12196</v>
      </c>
      <c r="L1267" s="76">
        <v>10.0</v>
      </c>
      <c r="M1267" s="85" t="s">
        <v>60</v>
      </c>
      <c r="N1267" s="76" t="s">
        <v>12197</v>
      </c>
      <c r="O1267" s="76" t="s">
        <v>7472</v>
      </c>
      <c r="P1267" s="523">
        <v>28300.0</v>
      </c>
      <c r="Q1267" s="315">
        <f t="shared" si="155"/>
        <v>28300</v>
      </c>
      <c r="R1267" s="97">
        <f t="shared" si="154"/>
        <v>49</v>
      </c>
      <c r="S1267" s="76">
        <v>2.829920595E9</v>
      </c>
      <c r="T1267" s="86"/>
      <c r="U1267" s="76" t="s">
        <v>379</v>
      </c>
      <c r="V1267" s="76"/>
      <c r="W1267" s="76"/>
      <c r="X1267" s="76" t="s">
        <v>186</v>
      </c>
      <c r="Y1267" s="211" t="s">
        <v>2155</v>
      </c>
      <c r="Z1267" s="290" t="s">
        <v>1755</v>
      </c>
      <c r="AA1267" s="168"/>
      <c r="AB1267" s="97"/>
      <c r="AC1267" s="76" t="s">
        <v>2915</v>
      </c>
      <c r="AD1267" s="167"/>
      <c r="AE1267" s="76"/>
      <c r="AF1267" s="85" t="s">
        <v>12198</v>
      </c>
      <c r="AG1267" s="428"/>
      <c r="AH1267" s="76" t="s">
        <v>12119</v>
      </c>
      <c r="AI1267" s="763"/>
      <c r="AJ1267" s="763"/>
      <c r="AK1267" s="763"/>
      <c r="AL1267" s="763"/>
      <c r="AM1267" s="763"/>
      <c r="AN1267" s="763"/>
      <c r="AO1267" s="763"/>
      <c r="AP1267" s="763"/>
      <c r="AQ1267" s="763"/>
      <c r="AR1267" s="763"/>
      <c r="AS1267" s="763"/>
      <c r="AT1267" s="763"/>
    </row>
    <row r="1268">
      <c r="A1268" s="76" t="s">
        <v>116</v>
      </c>
      <c r="B1268" s="77" t="s">
        <v>3722</v>
      </c>
      <c r="C1268" s="77" t="s">
        <v>6996</v>
      </c>
      <c r="D1268" s="77" t="s">
        <v>7050</v>
      </c>
      <c r="E1268" s="78" t="s">
        <v>152</v>
      </c>
      <c r="F1268" s="80" t="s">
        <v>7116</v>
      </c>
      <c r="G1268" s="77" t="s">
        <v>1411</v>
      </c>
      <c r="H1268" s="77" t="s">
        <v>60</v>
      </c>
      <c r="I1268" s="87" t="s">
        <v>1221</v>
      </c>
      <c r="J1268" s="85"/>
      <c r="K1268" s="85"/>
      <c r="L1268" s="76"/>
      <c r="M1268" s="159" t="s">
        <v>60</v>
      </c>
      <c r="N1268" s="159" t="s">
        <v>12199</v>
      </c>
      <c r="O1268" s="76"/>
      <c r="P1268" s="523"/>
      <c r="Q1268" s="315"/>
      <c r="R1268" s="97"/>
      <c r="S1268" s="76"/>
      <c r="T1268" s="76"/>
      <c r="U1268" s="76" t="s">
        <v>393</v>
      </c>
      <c r="V1268" s="86"/>
      <c r="W1268" s="86"/>
      <c r="X1268" s="97"/>
      <c r="Y1268" s="97"/>
      <c r="Z1268" s="97"/>
      <c r="AA1268" s="97"/>
      <c r="AB1268" s="97"/>
      <c r="AC1268" s="160" t="s">
        <v>630</v>
      </c>
      <c r="AD1268" s="76" t="s">
        <v>632</v>
      </c>
      <c r="AE1268" s="76" t="s">
        <v>1136</v>
      </c>
      <c r="AF1268" s="160" t="s">
        <v>630</v>
      </c>
      <c r="AG1268" s="112"/>
      <c r="AH1268" s="97"/>
      <c r="AI1268" s="763"/>
      <c r="AJ1268" s="763"/>
      <c r="AK1268" s="763"/>
      <c r="AL1268" s="763"/>
      <c r="AM1268" s="763"/>
      <c r="AN1268" s="763"/>
      <c r="AO1268" s="763"/>
      <c r="AP1268" s="763"/>
      <c r="AQ1268" s="763"/>
      <c r="AR1268" s="763"/>
      <c r="AS1268" s="763"/>
      <c r="AT1268" s="763"/>
    </row>
    <row r="1269">
      <c r="A1269" s="76" t="s">
        <v>116</v>
      </c>
      <c r="B1269" s="77" t="s">
        <v>3722</v>
      </c>
      <c r="C1269" s="77" t="s">
        <v>3724</v>
      </c>
      <c r="D1269" s="77" t="s">
        <v>8018</v>
      </c>
      <c r="E1269" s="78" t="s">
        <v>786</v>
      </c>
      <c r="F1269" s="80" t="s">
        <v>1216</v>
      </c>
      <c r="G1269" s="77" t="s">
        <v>1610</v>
      </c>
      <c r="H1269" s="77" t="s">
        <v>60</v>
      </c>
      <c r="I1269" s="87" t="s">
        <v>1221</v>
      </c>
      <c r="J1269" s="76" t="s">
        <v>114</v>
      </c>
      <c r="K1269" s="76"/>
      <c r="L1269" s="968">
        <v>10.0</v>
      </c>
      <c r="M1269" s="85" t="s">
        <v>60</v>
      </c>
      <c r="N1269" s="157" t="s">
        <v>12200</v>
      </c>
      <c r="O1269" s="76" t="s">
        <v>10291</v>
      </c>
      <c r="P1269" s="523">
        <v>31796.0</v>
      </c>
      <c r="Q1269" s="315">
        <f t="shared" ref="Q1269:Q1271" si="156">VALUE(LEFT(TEXT(S1269,0),5))+1</f>
        <v>31796</v>
      </c>
      <c r="R1269" s="86">
        <f t="shared" ref="R1269:R1271" si="157">DATEDIF($P1269,TODAY(),"Y")</f>
        <v>39</v>
      </c>
      <c r="S1269" s="76">
        <v>3.179518551E9</v>
      </c>
      <c r="T1269" s="76" t="s">
        <v>1569</v>
      </c>
      <c r="U1269" s="76" t="s">
        <v>379</v>
      </c>
      <c r="V1269" s="76"/>
      <c r="W1269" s="76"/>
      <c r="X1269" s="76" t="s">
        <v>186</v>
      </c>
      <c r="Y1269" s="97"/>
      <c r="Z1269" s="290" t="s">
        <v>1755</v>
      </c>
      <c r="AA1269" s="76"/>
      <c r="AB1269" s="76"/>
      <c r="AC1269" s="76" t="s">
        <v>2915</v>
      </c>
      <c r="AD1269" s="76"/>
      <c r="AE1269" s="76"/>
      <c r="AF1269" s="76" t="s">
        <v>12201</v>
      </c>
      <c r="AG1269" s="189"/>
      <c r="AH1269" s="76" t="s">
        <v>12119</v>
      </c>
      <c r="AI1269" s="763"/>
      <c r="AJ1269" s="763"/>
      <c r="AK1269" s="763"/>
      <c r="AL1269" s="763"/>
      <c r="AM1269" s="763"/>
      <c r="AN1269" s="763"/>
      <c r="AO1269" s="763"/>
      <c r="AP1269" s="763"/>
      <c r="AQ1269" s="763"/>
      <c r="AR1269" s="763"/>
      <c r="AS1269" s="763"/>
      <c r="AT1269" s="763"/>
    </row>
    <row r="1270">
      <c r="A1270" s="76" t="s">
        <v>116</v>
      </c>
      <c r="B1270" s="77" t="s">
        <v>3014</v>
      </c>
      <c r="C1270" s="77" t="s">
        <v>121</v>
      </c>
      <c r="D1270" s="77" t="s">
        <v>121</v>
      </c>
      <c r="E1270" s="78" t="s">
        <v>1466</v>
      </c>
      <c r="F1270" s="80" t="s">
        <v>3949</v>
      </c>
      <c r="G1270" s="77" t="s">
        <v>1721</v>
      </c>
      <c r="H1270" s="77" t="s">
        <v>326</v>
      </c>
      <c r="I1270" s="87" t="s">
        <v>1221</v>
      </c>
      <c r="J1270" s="85" t="s">
        <v>114</v>
      </c>
      <c r="K1270" s="124" t="s">
        <v>1602</v>
      </c>
      <c r="L1270" s="47">
        <v>10.0</v>
      </c>
      <c r="M1270" s="85" t="s">
        <v>60</v>
      </c>
      <c r="N1270" s="157" t="s">
        <v>8630</v>
      </c>
      <c r="O1270" s="295" t="s">
        <v>11269</v>
      </c>
      <c r="P1270" s="523">
        <v>33564.0</v>
      </c>
      <c r="Q1270" s="315">
        <f t="shared" si="156"/>
        <v>33564</v>
      </c>
      <c r="R1270" s="86">
        <f t="shared" si="157"/>
        <v>34</v>
      </c>
      <c r="S1270" s="76">
        <v>3.356302158E9</v>
      </c>
      <c r="T1270" s="315"/>
      <c r="U1270" s="76" t="s">
        <v>368</v>
      </c>
      <c r="V1270" s="76"/>
      <c r="W1270" s="76"/>
      <c r="X1270" s="76"/>
      <c r="Y1270" s="97"/>
      <c r="Z1270" s="216" t="s">
        <v>1173</v>
      </c>
      <c r="AA1270" s="97"/>
      <c r="AB1270" s="76" t="s">
        <v>226</v>
      </c>
      <c r="AC1270" s="76"/>
      <c r="AD1270" s="76"/>
      <c r="AE1270" s="76"/>
      <c r="AF1270" s="1118" t="s">
        <v>12202</v>
      </c>
      <c r="AG1270" s="76" t="s">
        <v>1187</v>
      </c>
      <c r="AH1270" s="153">
        <v>46215.0</v>
      </c>
      <c r="AI1270" s="763"/>
      <c r="AJ1270" s="763"/>
      <c r="AK1270" s="763"/>
      <c r="AL1270" s="763"/>
      <c r="AM1270" s="763"/>
      <c r="AN1270" s="763"/>
      <c r="AO1270" s="763"/>
      <c r="AP1270" s="763"/>
      <c r="AQ1270" s="763"/>
      <c r="AR1270" s="763"/>
      <c r="AS1270" s="763"/>
      <c r="AT1270" s="763"/>
    </row>
    <row r="1271">
      <c r="A1271" s="76" t="s">
        <v>116</v>
      </c>
      <c r="B1271" s="77" t="s">
        <v>3307</v>
      </c>
      <c r="C1271" s="77" t="s">
        <v>121</v>
      </c>
      <c r="D1271" s="77" t="s">
        <v>121</v>
      </c>
      <c r="E1271" s="78" t="s">
        <v>1522</v>
      </c>
      <c r="F1271" s="80" t="s">
        <v>4111</v>
      </c>
      <c r="G1271" s="77" t="s">
        <v>2119</v>
      </c>
      <c r="H1271" s="77" t="s">
        <v>60</v>
      </c>
      <c r="I1271" s="87" t="s">
        <v>1221</v>
      </c>
      <c r="J1271" s="85" t="s">
        <v>114</v>
      </c>
      <c r="K1271" s="176" t="s">
        <v>12203</v>
      </c>
      <c r="L1271" s="76"/>
      <c r="M1271" s="85" t="s">
        <v>60</v>
      </c>
      <c r="N1271" s="303" t="s">
        <v>3002</v>
      </c>
      <c r="O1271" s="76" t="s">
        <v>244</v>
      </c>
      <c r="P1271" s="523">
        <v>31418.0</v>
      </c>
      <c r="Q1271" s="315">
        <f t="shared" si="156"/>
        <v>31418</v>
      </c>
      <c r="R1271" s="86">
        <f t="shared" si="157"/>
        <v>40</v>
      </c>
      <c r="S1271" s="76">
        <v>3.141724717E9</v>
      </c>
      <c r="T1271" s="86"/>
      <c r="U1271" s="76" t="s">
        <v>136</v>
      </c>
      <c r="V1271" s="76"/>
      <c r="W1271" s="76"/>
      <c r="X1271" s="76"/>
      <c r="Y1271" s="303" t="s">
        <v>9138</v>
      </c>
      <c r="Z1271" s="234" t="s">
        <v>1351</v>
      </c>
      <c r="AA1271" s="168"/>
      <c r="AB1271" s="97"/>
      <c r="AC1271" s="168"/>
      <c r="AD1271" s="168"/>
      <c r="AE1271" s="76"/>
      <c r="AF1271" s="76" t="s">
        <v>12204</v>
      </c>
      <c r="AG1271" s="76" t="s">
        <v>1187</v>
      </c>
      <c r="AH1271" s="76" t="s">
        <v>12205</v>
      </c>
      <c r="AI1271" s="763"/>
      <c r="AJ1271" s="763"/>
      <c r="AK1271" s="763"/>
      <c r="AL1271" s="763"/>
      <c r="AM1271" s="763"/>
      <c r="AN1271" s="763"/>
      <c r="AO1271" s="763"/>
      <c r="AP1271" s="763"/>
      <c r="AQ1271" s="763"/>
      <c r="AR1271" s="763"/>
      <c r="AS1271" s="763"/>
      <c r="AT1271" s="763"/>
    </row>
    <row r="1272">
      <c r="A1272" s="76" t="s">
        <v>116</v>
      </c>
      <c r="B1272" s="77" t="s">
        <v>3307</v>
      </c>
      <c r="C1272" s="77" t="s">
        <v>121</v>
      </c>
      <c r="D1272" s="77" t="s">
        <v>121</v>
      </c>
      <c r="E1272" s="78" t="s">
        <v>295</v>
      </c>
      <c r="F1272" s="80" t="s">
        <v>1241</v>
      </c>
      <c r="G1272" s="77" t="s">
        <v>9867</v>
      </c>
      <c r="H1272" s="77" t="s">
        <v>60</v>
      </c>
      <c r="I1272" s="87" t="s">
        <v>1221</v>
      </c>
      <c r="AI1272" s="763"/>
      <c r="AJ1272" s="763"/>
      <c r="AK1272" s="763"/>
      <c r="AL1272" s="763"/>
      <c r="AM1272" s="763"/>
      <c r="AN1272" s="763"/>
      <c r="AO1272" s="763"/>
      <c r="AP1272" s="763"/>
      <c r="AQ1272" s="763"/>
      <c r="AR1272" s="763"/>
      <c r="AS1272" s="763"/>
      <c r="AT1272" s="763"/>
    </row>
    <row r="1273">
      <c r="A1273" s="76" t="s">
        <v>116</v>
      </c>
      <c r="B1273" s="77" t="s">
        <v>3332</v>
      </c>
      <c r="C1273" s="77" t="s">
        <v>6561</v>
      </c>
      <c r="D1273" s="77" t="s">
        <v>121</v>
      </c>
      <c r="E1273" s="78" t="s">
        <v>1431</v>
      </c>
      <c r="F1273" s="80" t="s">
        <v>1437</v>
      </c>
      <c r="G1273" s="77" t="s">
        <v>10069</v>
      </c>
      <c r="H1273" s="77" t="s">
        <v>60</v>
      </c>
      <c r="I1273" s="87" t="s">
        <v>1221</v>
      </c>
      <c r="J1273" s="109" t="s">
        <v>114</v>
      </c>
      <c r="K1273" s="176" t="s">
        <v>12206</v>
      </c>
      <c r="L1273" s="85"/>
      <c r="M1273" s="85" t="s">
        <v>60</v>
      </c>
      <c r="N1273" s="287" t="s">
        <v>12207</v>
      </c>
      <c r="O1273" s="27"/>
      <c r="P1273" s="825">
        <v>32247.0</v>
      </c>
      <c r="Q1273" s="315">
        <f t="shared" ref="Q1273:Q1278" si="158">VALUE(LEFT(TEXT(S1273,0),5))+1</f>
        <v>32247</v>
      </c>
      <c r="R1273" s="97">
        <f t="shared" ref="R1273:R1281" si="159">DATEDIF($P1273,TODAY(),"Y")</f>
        <v>38</v>
      </c>
      <c r="S1273" s="76">
        <v>3.224608539E9</v>
      </c>
      <c r="T1273" s="315"/>
      <c r="U1273" s="76" t="s">
        <v>136</v>
      </c>
      <c r="V1273" s="76"/>
      <c r="W1273" s="97"/>
      <c r="X1273" s="97"/>
      <c r="Y1273" s="97"/>
      <c r="Z1273" s="176" t="s">
        <v>1460</v>
      </c>
      <c r="AA1273" s="76"/>
      <c r="AB1273" s="97"/>
      <c r="AC1273" s="76"/>
      <c r="AD1273" s="99"/>
      <c r="AE1273" s="76"/>
      <c r="AF1273" s="76"/>
      <c r="AG1273" s="76"/>
      <c r="AH1273" s="76" t="s">
        <v>10199</v>
      </c>
      <c r="AI1273" s="763"/>
      <c r="AJ1273" s="763"/>
      <c r="AK1273" s="763"/>
      <c r="AL1273" s="763"/>
      <c r="AM1273" s="763"/>
      <c r="AN1273" s="763"/>
      <c r="AO1273" s="763"/>
      <c r="AP1273" s="763"/>
      <c r="AQ1273" s="763"/>
      <c r="AR1273" s="763"/>
      <c r="AS1273" s="763"/>
      <c r="AT1273" s="763"/>
    </row>
    <row r="1274">
      <c r="A1274" s="76" t="s">
        <v>116</v>
      </c>
      <c r="B1274" s="77" t="s">
        <v>3332</v>
      </c>
      <c r="C1274" s="77" t="s">
        <v>6561</v>
      </c>
      <c r="D1274" s="77" t="s">
        <v>121</v>
      </c>
      <c r="E1274" s="78" t="s">
        <v>295</v>
      </c>
      <c r="F1274" s="80" t="s">
        <v>1241</v>
      </c>
      <c r="G1274" s="77" t="s">
        <v>2206</v>
      </c>
      <c r="H1274" s="77" t="s">
        <v>60</v>
      </c>
      <c r="I1274" s="87" t="s">
        <v>1221</v>
      </c>
      <c r="J1274" s="157" t="s">
        <v>114</v>
      </c>
      <c r="K1274" s="157" t="s">
        <v>1602</v>
      </c>
      <c r="L1274" s="47"/>
      <c r="M1274" s="85" t="s">
        <v>60</v>
      </c>
      <c r="N1274" s="286" t="s">
        <v>12208</v>
      </c>
      <c r="O1274" s="76" t="s">
        <v>12209</v>
      </c>
      <c r="P1274" s="523">
        <v>35274.0</v>
      </c>
      <c r="Q1274" s="315">
        <f t="shared" si="158"/>
        <v>35274</v>
      </c>
      <c r="R1274" s="86">
        <f t="shared" si="159"/>
        <v>30</v>
      </c>
      <c r="S1274" s="76">
        <v>3.527302133E9</v>
      </c>
      <c r="T1274" s="76" t="s">
        <v>1317</v>
      </c>
      <c r="U1274" s="76" t="s">
        <v>136</v>
      </c>
      <c r="V1274" s="76"/>
      <c r="W1274" s="76"/>
      <c r="X1274" s="76" t="s">
        <v>186</v>
      </c>
      <c r="Y1274" s="211" t="s">
        <v>1755</v>
      </c>
      <c r="Z1274" s="211"/>
      <c r="AA1274" s="76"/>
      <c r="AB1274" s="76"/>
      <c r="AC1274" s="76"/>
      <c r="AD1274" s="76"/>
      <c r="AE1274" s="76"/>
      <c r="AF1274" s="76" t="s">
        <v>12210</v>
      </c>
      <c r="AG1274" s="76" t="s">
        <v>12211</v>
      </c>
      <c r="AH1274" s="153">
        <v>46218.0</v>
      </c>
      <c r="AI1274" s="763"/>
      <c r="AJ1274" s="763"/>
      <c r="AK1274" s="763"/>
      <c r="AL1274" s="763"/>
      <c r="AM1274" s="763"/>
      <c r="AN1274" s="763"/>
      <c r="AO1274" s="763"/>
      <c r="AP1274" s="763"/>
      <c r="AQ1274" s="763"/>
      <c r="AR1274" s="763"/>
      <c r="AS1274" s="763"/>
      <c r="AT1274" s="763"/>
    </row>
    <row r="1275">
      <c r="A1275" s="76" t="s">
        <v>116</v>
      </c>
      <c r="B1275" s="77" t="s">
        <v>3454</v>
      </c>
      <c r="C1275" s="77" t="s">
        <v>7302</v>
      </c>
      <c r="D1275" s="77" t="s">
        <v>121</v>
      </c>
      <c r="E1275" s="78" t="s">
        <v>5569</v>
      </c>
      <c r="F1275" s="80" t="s">
        <v>10170</v>
      </c>
      <c r="G1275" s="77" t="s">
        <v>10171</v>
      </c>
      <c r="H1275" s="77" t="s">
        <v>326</v>
      </c>
      <c r="I1275" s="87" t="s">
        <v>1221</v>
      </c>
      <c r="J1275" s="76" t="s">
        <v>114</v>
      </c>
      <c r="K1275" s="76"/>
      <c r="L1275" s="47"/>
      <c r="M1275" s="85" t="s">
        <v>60</v>
      </c>
      <c r="N1275" s="286" t="s">
        <v>12212</v>
      </c>
      <c r="O1275" s="76" t="s">
        <v>12213</v>
      </c>
      <c r="P1275" s="523">
        <v>31393.0</v>
      </c>
      <c r="Q1275" s="315">
        <f t="shared" si="158"/>
        <v>1</v>
      </c>
      <c r="R1275" s="86">
        <f t="shared" si="159"/>
        <v>40</v>
      </c>
      <c r="S1275" s="76"/>
      <c r="T1275" s="76"/>
      <c r="U1275" s="76" t="s">
        <v>136</v>
      </c>
      <c r="V1275" s="76"/>
      <c r="W1275" s="76"/>
      <c r="X1275" s="76" t="s">
        <v>186</v>
      </c>
      <c r="Y1275" s="97"/>
      <c r="Z1275" s="85" t="s">
        <v>4335</v>
      </c>
      <c r="AA1275" s="76"/>
      <c r="AB1275" s="76"/>
      <c r="AC1275" s="76"/>
      <c r="AD1275" s="76"/>
      <c r="AE1275" s="76"/>
      <c r="AF1275" s="76"/>
      <c r="AG1275" s="76" t="s">
        <v>12214</v>
      </c>
      <c r="AH1275" s="153">
        <v>46216.0</v>
      </c>
      <c r="AI1275" s="763"/>
      <c r="AJ1275" s="763"/>
      <c r="AK1275" s="763"/>
      <c r="AL1275" s="763"/>
      <c r="AM1275" s="763"/>
      <c r="AN1275" s="763"/>
      <c r="AO1275" s="763"/>
      <c r="AP1275" s="763"/>
      <c r="AQ1275" s="763"/>
      <c r="AR1275" s="763"/>
      <c r="AS1275" s="763"/>
      <c r="AT1275" s="763"/>
    </row>
    <row r="1276">
      <c r="A1276" s="76" t="s">
        <v>116</v>
      </c>
      <c r="B1276" s="77" t="s">
        <v>1039</v>
      </c>
      <c r="C1276" s="77" t="s">
        <v>1517</v>
      </c>
      <c r="D1276" s="77" t="s">
        <v>1519</v>
      </c>
      <c r="E1276" s="78" t="s">
        <v>321</v>
      </c>
      <c r="F1276" s="80" t="s">
        <v>1552</v>
      </c>
      <c r="G1276" s="77" t="s">
        <v>2558</v>
      </c>
      <c r="H1276" s="77" t="s">
        <v>60</v>
      </c>
      <c r="I1276" s="87" t="s">
        <v>1221</v>
      </c>
      <c r="J1276" s="76" t="s">
        <v>114</v>
      </c>
      <c r="K1276" s="76" t="s">
        <v>12215</v>
      </c>
      <c r="L1276" s="86"/>
      <c r="M1276" s="86" t="s">
        <v>60</v>
      </c>
      <c r="N1276" s="1063" t="s">
        <v>10801</v>
      </c>
      <c r="O1276" s="87" t="s">
        <v>10802</v>
      </c>
      <c r="P1276" s="825">
        <v>30836.0</v>
      </c>
      <c r="Q1276" s="315">
        <f t="shared" si="158"/>
        <v>30836</v>
      </c>
      <c r="R1276" s="97">
        <f t="shared" si="159"/>
        <v>42</v>
      </c>
      <c r="S1276" s="76">
        <v>3.083523133E9</v>
      </c>
      <c r="T1276" s="315"/>
      <c r="U1276" s="76" t="s">
        <v>368</v>
      </c>
      <c r="V1276" s="76"/>
      <c r="W1276" s="86"/>
      <c r="X1276" s="97"/>
      <c r="Y1276" s="97"/>
      <c r="Z1276" s="216" t="s">
        <v>1815</v>
      </c>
      <c r="AA1276" s="97"/>
      <c r="AB1276" s="97"/>
      <c r="AC1276" s="97"/>
      <c r="AD1276" s="99"/>
      <c r="AE1276" s="76"/>
      <c r="AF1276" s="85" t="s">
        <v>3006</v>
      </c>
      <c r="AG1276" s="76" t="s">
        <v>1187</v>
      </c>
      <c r="AH1276" s="262">
        <v>46181.0</v>
      </c>
      <c r="AI1276" s="763"/>
      <c r="AJ1276" s="763"/>
      <c r="AK1276" s="763"/>
      <c r="AL1276" s="763"/>
      <c r="AM1276" s="763"/>
      <c r="AN1276" s="763"/>
      <c r="AO1276" s="763"/>
      <c r="AP1276" s="763"/>
      <c r="AQ1276" s="763"/>
      <c r="AR1276" s="763"/>
      <c r="AS1276" s="763"/>
      <c r="AT1276" s="763"/>
    </row>
    <row r="1277">
      <c r="A1277" s="76" t="s">
        <v>116</v>
      </c>
      <c r="B1277" s="77" t="s">
        <v>1645</v>
      </c>
      <c r="C1277" s="77" t="s">
        <v>1269</v>
      </c>
      <c r="D1277" s="77" t="s">
        <v>1368</v>
      </c>
      <c r="E1277" s="78" t="s">
        <v>187</v>
      </c>
      <c r="F1277" s="80" t="s">
        <v>1469</v>
      </c>
      <c r="G1277" s="77" t="s">
        <v>811</v>
      </c>
      <c r="H1277" s="77" t="s">
        <v>60</v>
      </c>
      <c r="I1277" s="87" t="s">
        <v>1221</v>
      </c>
      <c r="J1277" s="76" t="s">
        <v>114</v>
      </c>
      <c r="K1277" s="76"/>
      <c r="L1277" s="47"/>
      <c r="M1277" s="85" t="s">
        <v>326</v>
      </c>
      <c r="N1277" s="286" t="s">
        <v>12216</v>
      </c>
      <c r="O1277" s="76" t="s">
        <v>12217</v>
      </c>
      <c r="P1277" s="523">
        <v>33512.0</v>
      </c>
      <c r="Q1277" s="315">
        <f t="shared" si="158"/>
        <v>33512</v>
      </c>
      <c r="R1277" s="86">
        <f t="shared" si="159"/>
        <v>34</v>
      </c>
      <c r="S1277" s="76">
        <v>3.35111669E9</v>
      </c>
      <c r="T1277" s="315"/>
      <c r="U1277" s="76" t="s">
        <v>136</v>
      </c>
      <c r="V1277" s="76"/>
      <c r="W1277" s="76"/>
      <c r="X1277" s="76" t="s">
        <v>186</v>
      </c>
      <c r="Y1277" s="211" t="s">
        <v>1755</v>
      </c>
      <c r="Z1277" s="211"/>
      <c r="AA1277" s="76" t="s">
        <v>1178</v>
      </c>
      <c r="AB1277" s="97"/>
      <c r="AC1277" s="76"/>
      <c r="AD1277" s="76"/>
      <c r="AE1277" s="76"/>
      <c r="AF1277" s="76" t="s">
        <v>11643</v>
      </c>
      <c r="AG1277" s="189"/>
      <c r="AH1277" s="76" t="s">
        <v>12218</v>
      </c>
      <c r="AI1277" s="763"/>
      <c r="AJ1277" s="763"/>
      <c r="AK1277" s="763"/>
      <c r="AL1277" s="763"/>
      <c r="AM1277" s="763"/>
      <c r="AN1277" s="763"/>
      <c r="AO1277" s="763"/>
      <c r="AP1277" s="763"/>
      <c r="AQ1277" s="763"/>
      <c r="AR1277" s="763"/>
      <c r="AS1277" s="763"/>
      <c r="AT1277" s="763"/>
    </row>
    <row r="1278">
      <c r="A1278" s="76" t="s">
        <v>116</v>
      </c>
      <c r="B1278" s="77" t="s">
        <v>1645</v>
      </c>
      <c r="C1278" s="77" t="s">
        <v>1269</v>
      </c>
      <c r="D1278" s="77" t="s">
        <v>1519</v>
      </c>
      <c r="E1278" s="78" t="s">
        <v>213</v>
      </c>
      <c r="F1278" s="80" t="s">
        <v>1523</v>
      </c>
      <c r="G1278" s="77" t="s">
        <v>885</v>
      </c>
      <c r="H1278" s="77" t="s">
        <v>60</v>
      </c>
      <c r="I1278" s="87" t="s">
        <v>1221</v>
      </c>
      <c r="J1278" s="76" t="s">
        <v>114</v>
      </c>
      <c r="K1278" s="76"/>
      <c r="L1278" s="47"/>
      <c r="M1278" s="85" t="s">
        <v>60</v>
      </c>
      <c r="N1278" s="678" t="s">
        <v>11244</v>
      </c>
      <c r="O1278" s="76" t="s">
        <v>12219</v>
      </c>
      <c r="P1278" s="523">
        <v>30633.0</v>
      </c>
      <c r="Q1278" s="315">
        <f t="shared" si="158"/>
        <v>30633</v>
      </c>
      <c r="R1278" s="86">
        <f t="shared" si="159"/>
        <v>42</v>
      </c>
      <c r="S1278" s="76">
        <v>3.06320803E9</v>
      </c>
      <c r="T1278" s="315" t="s">
        <v>378</v>
      </c>
      <c r="U1278" s="76" t="s">
        <v>368</v>
      </c>
      <c r="V1278" s="76"/>
      <c r="W1278" s="76"/>
      <c r="X1278" s="76"/>
      <c r="Y1278" s="97"/>
      <c r="Z1278" s="216" t="s">
        <v>1613</v>
      </c>
      <c r="AA1278" s="76"/>
      <c r="AB1278" s="76"/>
      <c r="AC1278" s="76"/>
      <c r="AD1278" s="76"/>
      <c r="AE1278" s="76"/>
      <c r="AF1278" s="76" t="s">
        <v>12220</v>
      </c>
      <c r="AG1278" s="76" t="s">
        <v>1187</v>
      </c>
      <c r="AH1278" s="262">
        <v>46214.0</v>
      </c>
      <c r="AI1278" s="763"/>
      <c r="AJ1278" s="763"/>
      <c r="AK1278" s="763"/>
      <c r="AL1278" s="763"/>
      <c r="AM1278" s="763"/>
      <c r="AN1278" s="763"/>
      <c r="AO1278" s="763"/>
      <c r="AP1278" s="763"/>
      <c r="AQ1278" s="763"/>
      <c r="AR1278" s="763"/>
      <c r="AS1278" s="763"/>
      <c r="AT1278" s="763"/>
    </row>
    <row r="1279">
      <c r="A1279" s="76" t="s">
        <v>116</v>
      </c>
      <c r="B1279" s="77" t="s">
        <v>1645</v>
      </c>
      <c r="C1279" s="77" t="s">
        <v>1728</v>
      </c>
      <c r="D1279" s="77" t="s">
        <v>121</v>
      </c>
      <c r="E1279" s="78" t="s">
        <v>331</v>
      </c>
      <c r="F1279" s="80" t="s">
        <v>1731</v>
      </c>
      <c r="G1279" s="77" t="s">
        <v>1084</v>
      </c>
      <c r="H1279" s="77" t="s">
        <v>60</v>
      </c>
      <c r="I1279" s="87" t="s">
        <v>1221</v>
      </c>
      <c r="J1279" s="76" t="s">
        <v>114</v>
      </c>
      <c r="K1279" s="76" t="s">
        <v>12221</v>
      </c>
      <c r="L1279" s="76"/>
      <c r="M1279" s="85" t="s">
        <v>60</v>
      </c>
      <c r="N1279" s="678" t="s">
        <v>11069</v>
      </c>
      <c r="O1279" s="76" t="s">
        <v>2567</v>
      </c>
      <c r="P1279" s="523">
        <v>34127.0</v>
      </c>
      <c r="Q1279" s="315"/>
      <c r="R1279" s="86">
        <f t="shared" si="159"/>
        <v>33</v>
      </c>
      <c r="S1279" s="76"/>
      <c r="T1279" s="76"/>
      <c r="U1279" s="76" t="s">
        <v>368</v>
      </c>
      <c r="V1279" s="76"/>
      <c r="W1279" s="76"/>
      <c r="X1279" s="76"/>
      <c r="Y1279" s="97"/>
      <c r="Z1279" s="216" t="s">
        <v>1982</v>
      </c>
      <c r="AA1279" s="76" t="s">
        <v>1178</v>
      </c>
      <c r="AB1279" s="76"/>
      <c r="AC1279" s="76"/>
      <c r="AD1279" s="276"/>
      <c r="AE1279" s="76"/>
      <c r="AF1279" s="76" t="s">
        <v>12222</v>
      </c>
      <c r="AG1279" s="76" t="s">
        <v>1187</v>
      </c>
      <c r="AH1279" s="153">
        <v>46199.0</v>
      </c>
      <c r="AI1279" s="763"/>
      <c r="AJ1279" s="763"/>
      <c r="AK1279" s="763"/>
      <c r="AL1279" s="763"/>
      <c r="AM1279" s="763"/>
      <c r="AN1279" s="763"/>
      <c r="AO1279" s="763"/>
      <c r="AP1279" s="763"/>
      <c r="AQ1279" s="763"/>
      <c r="AR1279" s="763"/>
      <c r="AS1279" s="763"/>
      <c r="AT1279" s="763"/>
    </row>
    <row r="1280">
      <c r="A1280" s="76" t="s">
        <v>116</v>
      </c>
      <c r="B1280" s="77" t="s">
        <v>1709</v>
      </c>
      <c r="C1280" s="77" t="s">
        <v>1269</v>
      </c>
      <c r="D1280" s="77" t="s">
        <v>1519</v>
      </c>
      <c r="E1280" s="78" t="s">
        <v>139</v>
      </c>
      <c r="F1280" s="80" t="s">
        <v>1520</v>
      </c>
      <c r="G1280" s="77" t="s">
        <v>5766</v>
      </c>
      <c r="H1280" s="77" t="s">
        <v>60</v>
      </c>
      <c r="I1280" s="87" t="s">
        <v>1221</v>
      </c>
      <c r="J1280" s="76" t="s">
        <v>114</v>
      </c>
      <c r="K1280" s="176" t="s">
        <v>12223</v>
      </c>
      <c r="L1280" s="47"/>
      <c r="M1280" s="85" t="s">
        <v>60</v>
      </c>
      <c r="N1280" s="678" t="s">
        <v>10361</v>
      </c>
      <c r="O1280" s="76" t="s">
        <v>10362</v>
      </c>
      <c r="P1280" s="523">
        <v>28578.0</v>
      </c>
      <c r="Q1280" s="315">
        <f t="shared" ref="Q1280:Q1281" si="160">VALUE(LEFT(TEXT(S1280,0),5))+1</f>
        <v>28578</v>
      </c>
      <c r="R1280" s="86">
        <f t="shared" si="159"/>
        <v>48</v>
      </c>
      <c r="S1280" s="76">
        <v>2.857721355E9</v>
      </c>
      <c r="T1280" s="315"/>
      <c r="U1280" s="76" t="s">
        <v>368</v>
      </c>
      <c r="V1280" s="76"/>
      <c r="W1280" s="76"/>
      <c r="X1280" s="76"/>
      <c r="Y1280" s="276"/>
      <c r="Z1280" s="216" t="s">
        <v>2521</v>
      </c>
      <c r="AA1280" s="76"/>
      <c r="AB1280" s="97"/>
      <c r="AC1280" s="76"/>
      <c r="AD1280" s="76"/>
      <c r="AE1280" s="76"/>
      <c r="AF1280" s="76" t="s">
        <v>3601</v>
      </c>
      <c r="AG1280" s="76" t="s">
        <v>1187</v>
      </c>
      <c r="AH1280" s="153">
        <v>46183.0</v>
      </c>
      <c r="AI1280" s="763"/>
      <c r="AJ1280" s="763"/>
      <c r="AK1280" s="763"/>
      <c r="AL1280" s="763"/>
      <c r="AM1280" s="763"/>
      <c r="AN1280" s="763"/>
      <c r="AO1280" s="763"/>
      <c r="AP1280" s="763"/>
      <c r="AQ1280" s="763"/>
      <c r="AR1280" s="763"/>
      <c r="AS1280" s="763"/>
      <c r="AT1280" s="763"/>
    </row>
    <row r="1281">
      <c r="A1281" s="76" t="s">
        <v>116</v>
      </c>
      <c r="B1281" s="77" t="s">
        <v>1709</v>
      </c>
      <c r="C1281" s="77" t="s">
        <v>1611</v>
      </c>
      <c r="D1281" s="77" t="s">
        <v>1519</v>
      </c>
      <c r="E1281" s="78" t="s">
        <v>201</v>
      </c>
      <c r="F1281" s="80" t="s">
        <v>1849</v>
      </c>
      <c r="G1281" s="77" t="s">
        <v>6646</v>
      </c>
      <c r="H1281" s="77" t="s">
        <v>60</v>
      </c>
      <c r="I1281" s="87" t="s">
        <v>1221</v>
      </c>
      <c r="J1281" s="76" t="s">
        <v>114</v>
      </c>
      <c r="K1281" s="176" t="s">
        <v>1602</v>
      </c>
      <c r="L1281" s="47"/>
      <c r="M1281" s="85" t="s">
        <v>60</v>
      </c>
      <c r="N1281" s="678" t="s">
        <v>10637</v>
      </c>
      <c r="O1281" s="76" t="s">
        <v>10638</v>
      </c>
      <c r="P1281" s="523">
        <v>29295.0</v>
      </c>
      <c r="Q1281" s="315">
        <f t="shared" si="160"/>
        <v>29295</v>
      </c>
      <c r="R1281" s="86">
        <f t="shared" si="159"/>
        <v>46</v>
      </c>
      <c r="S1281" s="76">
        <v>2.929408675E9</v>
      </c>
      <c r="T1281" s="76" t="s">
        <v>378</v>
      </c>
      <c r="U1281" s="76" t="s">
        <v>368</v>
      </c>
      <c r="V1281" s="76"/>
      <c r="W1281" s="76"/>
      <c r="X1281" s="76"/>
      <c r="Y1281" s="276"/>
      <c r="Z1281" s="216" t="s">
        <v>1815</v>
      </c>
      <c r="AA1281" s="76"/>
      <c r="AB1281" s="97"/>
      <c r="AC1281" s="76"/>
      <c r="AD1281" s="76"/>
      <c r="AE1281" s="76"/>
      <c r="AF1281" s="76" t="s">
        <v>3601</v>
      </c>
      <c r="AG1281" s="76" t="s">
        <v>1187</v>
      </c>
      <c r="AH1281" s="153">
        <v>46169.0</v>
      </c>
      <c r="AI1281" s="763"/>
      <c r="AJ1281" s="763"/>
      <c r="AK1281" s="763"/>
      <c r="AL1281" s="763"/>
      <c r="AM1281" s="763"/>
      <c r="AN1281" s="763"/>
      <c r="AO1281" s="763"/>
      <c r="AP1281" s="763"/>
      <c r="AQ1281" s="763"/>
      <c r="AR1281" s="763"/>
      <c r="AS1281" s="763"/>
      <c r="AT1281" s="763"/>
    </row>
    <row r="1282">
      <c r="A1282" s="76" t="s">
        <v>10476</v>
      </c>
      <c r="B1282" s="302" t="s">
        <v>4145</v>
      </c>
      <c r="C1282" s="77" t="s">
        <v>1728</v>
      </c>
      <c r="D1282" s="77" t="s">
        <v>121</v>
      </c>
      <c r="E1282" s="78" t="s">
        <v>213</v>
      </c>
      <c r="F1282" s="80" t="s">
        <v>1523</v>
      </c>
      <c r="G1282" s="77" t="s">
        <v>1826</v>
      </c>
      <c r="H1282" s="77" t="s">
        <v>60</v>
      </c>
      <c r="I1282" s="87" t="s">
        <v>1221</v>
      </c>
      <c r="J1282" s="76" t="s">
        <v>114</v>
      </c>
      <c r="K1282" s="288"/>
      <c r="L1282" s="76"/>
      <c r="M1282" s="85" t="s">
        <v>60</v>
      </c>
      <c r="N1282" s="678" t="s">
        <v>10500</v>
      </c>
      <c r="O1282" s="157" t="s">
        <v>10291</v>
      </c>
      <c r="P1282" s="523"/>
      <c r="Q1282" s="315"/>
      <c r="R1282" s="86"/>
      <c r="S1282" s="76"/>
      <c r="T1282" s="315"/>
      <c r="U1282" s="76" t="s">
        <v>368</v>
      </c>
      <c r="V1282" s="76"/>
      <c r="W1282" s="76"/>
      <c r="X1282" s="76"/>
      <c r="Y1282" s="97"/>
      <c r="Z1282" s="728" t="s">
        <v>2482</v>
      </c>
      <c r="AA1282" s="97"/>
      <c r="AB1282" s="76"/>
      <c r="AC1282" s="76"/>
      <c r="AD1282" s="76"/>
      <c r="AE1282" s="76"/>
      <c r="AF1282" s="76" t="s">
        <v>12054</v>
      </c>
      <c r="AG1282" s="76" t="s">
        <v>1187</v>
      </c>
      <c r="AH1282" s="153">
        <v>46212.0</v>
      </c>
      <c r="AI1282" s="763"/>
      <c r="AJ1282" s="763"/>
      <c r="AK1282" s="763"/>
      <c r="AL1282" s="763"/>
      <c r="AM1282" s="763"/>
      <c r="AN1282" s="763"/>
      <c r="AO1282" s="763"/>
      <c r="AP1282" s="763"/>
      <c r="AQ1282" s="763"/>
      <c r="AR1282" s="763"/>
      <c r="AS1282" s="763"/>
      <c r="AT1282" s="763"/>
    </row>
    <row r="1283">
      <c r="A1283" s="76" t="s">
        <v>10476</v>
      </c>
      <c r="B1283" s="302" t="s">
        <v>4145</v>
      </c>
      <c r="C1283" s="77" t="s">
        <v>1728</v>
      </c>
      <c r="D1283" s="77" t="s">
        <v>121</v>
      </c>
      <c r="E1283" s="78" t="s">
        <v>201</v>
      </c>
      <c r="F1283" s="80" t="s">
        <v>1849</v>
      </c>
      <c r="G1283" s="77" t="s">
        <v>1850</v>
      </c>
      <c r="H1283" s="77" t="s">
        <v>60</v>
      </c>
      <c r="I1283" s="87" t="s">
        <v>1221</v>
      </c>
      <c r="J1283" s="76" t="s">
        <v>114</v>
      </c>
      <c r="K1283" s="76" t="s">
        <v>12224</v>
      </c>
      <c r="L1283" s="47"/>
      <c r="M1283" s="85" t="s">
        <v>60</v>
      </c>
      <c r="N1283" s="678" t="s">
        <v>8550</v>
      </c>
      <c r="O1283" s="76" t="s">
        <v>10194</v>
      </c>
      <c r="P1283" s="523">
        <v>33534.0</v>
      </c>
      <c r="Q1283" s="315">
        <f t="shared" ref="Q1283:Q1288" si="161">VALUE(LEFT(TEXT(S1283,0),5))+1</f>
        <v>1</v>
      </c>
      <c r="R1283" s="86">
        <f t="shared" ref="R1283:R1288" si="162">DATEDIF($P1283,TODAY(),"Y")</f>
        <v>34</v>
      </c>
      <c r="S1283" s="76"/>
      <c r="T1283" s="315"/>
      <c r="U1283" s="76" t="s">
        <v>368</v>
      </c>
      <c r="V1283" s="76"/>
      <c r="W1283" s="76"/>
      <c r="X1283" s="76"/>
      <c r="Y1283" s="97"/>
      <c r="Z1283" s="216" t="s">
        <v>2521</v>
      </c>
      <c r="AA1283" s="76"/>
      <c r="AB1283" s="97"/>
      <c r="AC1283" s="76"/>
      <c r="AD1283" s="76"/>
      <c r="AE1283" s="76"/>
      <c r="AF1283" s="76" t="s">
        <v>12079</v>
      </c>
      <c r="AG1283" s="27" t="s">
        <v>1187</v>
      </c>
      <c r="AH1283" s="153">
        <v>46210.0</v>
      </c>
      <c r="AI1283" s="763"/>
      <c r="AJ1283" s="763"/>
      <c r="AK1283" s="763"/>
      <c r="AL1283" s="763"/>
      <c r="AM1283" s="763"/>
      <c r="AN1283" s="763"/>
      <c r="AO1283" s="763"/>
      <c r="AP1283" s="763"/>
      <c r="AQ1283" s="763"/>
      <c r="AR1283" s="763"/>
      <c r="AS1283" s="763"/>
      <c r="AT1283" s="763"/>
    </row>
    <row r="1284">
      <c r="A1284" s="76" t="s">
        <v>10476</v>
      </c>
      <c r="B1284" s="302" t="s">
        <v>4145</v>
      </c>
      <c r="C1284" s="77" t="s">
        <v>121</v>
      </c>
      <c r="D1284" s="77" t="s">
        <v>121</v>
      </c>
      <c r="E1284" s="78" t="s">
        <v>287</v>
      </c>
      <c r="F1284" s="80" t="s">
        <v>2853</v>
      </c>
      <c r="G1284" s="77" t="s">
        <v>288</v>
      </c>
      <c r="H1284" s="77" t="s">
        <v>60</v>
      </c>
      <c r="I1284" s="87" t="s">
        <v>1221</v>
      </c>
      <c r="J1284" s="76" t="s">
        <v>114</v>
      </c>
      <c r="K1284" s="76"/>
      <c r="L1284" s="47"/>
      <c r="M1284" s="85" t="s">
        <v>60</v>
      </c>
      <c r="N1284" s="286" t="s">
        <v>12225</v>
      </c>
      <c r="O1284" s="76" t="s">
        <v>12226</v>
      </c>
      <c r="P1284" s="523">
        <v>35537.0</v>
      </c>
      <c r="Q1284" s="315">
        <f t="shared" si="161"/>
        <v>35537</v>
      </c>
      <c r="R1284" s="86">
        <f t="shared" si="162"/>
        <v>29</v>
      </c>
      <c r="S1284" s="76">
        <v>3.553610196E9</v>
      </c>
      <c r="T1284" s="76"/>
      <c r="U1284" s="76" t="s">
        <v>136</v>
      </c>
      <c r="V1284" s="76"/>
      <c r="W1284" s="76"/>
      <c r="X1284" s="76" t="s">
        <v>186</v>
      </c>
      <c r="Y1284" s="97"/>
      <c r="Z1284" s="85" t="s">
        <v>1254</v>
      </c>
      <c r="AA1284" s="76"/>
      <c r="AB1284" s="76"/>
      <c r="AC1284" s="76" t="s">
        <v>1566</v>
      </c>
      <c r="AD1284" s="76"/>
      <c r="AE1284" s="76"/>
      <c r="AF1284" s="76" t="s">
        <v>12125</v>
      </c>
      <c r="AG1284" s="189"/>
      <c r="AH1284" s="153">
        <v>46213.0</v>
      </c>
      <c r="AI1284" s="763"/>
      <c r="AJ1284" s="763"/>
      <c r="AK1284" s="763"/>
      <c r="AL1284" s="763"/>
      <c r="AM1284" s="763"/>
      <c r="AN1284" s="763"/>
      <c r="AO1284" s="763"/>
      <c r="AP1284" s="763"/>
      <c r="AQ1284" s="763"/>
      <c r="AR1284" s="763"/>
      <c r="AS1284" s="763"/>
      <c r="AT1284" s="763"/>
    </row>
    <row r="1285">
      <c r="A1285" s="86"/>
      <c r="B1285" s="302" t="s">
        <v>145</v>
      </c>
      <c r="C1285" s="302"/>
      <c r="D1285" s="76"/>
      <c r="E1285" s="76" t="s">
        <v>2841</v>
      </c>
      <c r="F1285" s="762"/>
      <c r="G1285" s="762"/>
      <c r="H1285" s="762"/>
      <c r="I1285" s="762"/>
      <c r="J1285" s="76" t="s">
        <v>114</v>
      </c>
      <c r="K1285" s="76"/>
      <c r="L1285" s="47"/>
      <c r="M1285" s="85" t="s">
        <v>60</v>
      </c>
      <c r="N1285" s="515" t="s">
        <v>12227</v>
      </c>
      <c r="O1285" s="76" t="s">
        <v>12228</v>
      </c>
      <c r="P1285" s="523">
        <v>33121.0</v>
      </c>
      <c r="Q1285" s="315">
        <f t="shared" si="161"/>
        <v>33121</v>
      </c>
      <c r="R1285" s="86">
        <f t="shared" si="162"/>
        <v>35</v>
      </c>
      <c r="S1285" s="76">
        <v>3.312011494E9</v>
      </c>
      <c r="T1285" s="315"/>
      <c r="U1285" s="76" t="s">
        <v>379</v>
      </c>
      <c r="V1285" s="76"/>
      <c r="W1285" s="76"/>
      <c r="X1285" s="76" t="s">
        <v>182</v>
      </c>
      <c r="Y1285" s="97"/>
      <c r="Z1285" s="85" t="s">
        <v>1892</v>
      </c>
      <c r="AA1285" s="76" t="s">
        <v>185</v>
      </c>
      <c r="AB1285" s="76"/>
      <c r="AC1285" s="76" t="s">
        <v>2915</v>
      </c>
      <c r="AD1285" s="76"/>
      <c r="AE1285" s="76"/>
      <c r="AF1285" s="76" t="s">
        <v>2841</v>
      </c>
      <c r="AG1285" s="76"/>
      <c r="AH1285" s="647" t="s">
        <v>12229</v>
      </c>
      <c r="AI1285" s="763"/>
      <c r="AJ1285" s="763"/>
      <c r="AK1285" s="763"/>
      <c r="AL1285" s="763"/>
      <c r="AM1285" s="763"/>
      <c r="AN1285" s="763"/>
      <c r="AO1285" s="763"/>
      <c r="AP1285" s="763"/>
      <c r="AQ1285" s="763"/>
      <c r="AR1285" s="763"/>
      <c r="AS1285" s="763"/>
      <c r="AT1285" s="763"/>
    </row>
    <row r="1286">
      <c r="A1286" s="86"/>
      <c r="B1286" s="302" t="s">
        <v>145</v>
      </c>
      <c r="C1286" s="302"/>
      <c r="D1286" s="76"/>
      <c r="E1286" s="574">
        <v>46157.0</v>
      </c>
      <c r="F1286" s="762"/>
      <c r="G1286" s="762"/>
      <c r="H1286" s="762"/>
      <c r="I1286" s="762"/>
      <c r="J1286" s="76" t="s">
        <v>114</v>
      </c>
      <c r="K1286" s="76"/>
      <c r="L1286" s="47"/>
      <c r="M1286" s="85" t="s">
        <v>60</v>
      </c>
      <c r="N1286" s="515" t="s">
        <v>12230</v>
      </c>
      <c r="O1286" s="76" t="s">
        <v>7832</v>
      </c>
      <c r="P1286" s="523">
        <v>32270.0</v>
      </c>
      <c r="Q1286" s="315">
        <f t="shared" si="161"/>
        <v>32270</v>
      </c>
      <c r="R1286" s="86">
        <f t="shared" si="162"/>
        <v>38</v>
      </c>
      <c r="S1286" s="76">
        <v>3.226922157E9</v>
      </c>
      <c r="T1286" s="315"/>
      <c r="U1286" s="76" t="s">
        <v>379</v>
      </c>
      <c r="V1286" s="76"/>
      <c r="W1286" s="76"/>
      <c r="X1286" s="76" t="s">
        <v>145</v>
      </c>
      <c r="Y1286" s="97"/>
      <c r="Z1286" s="290" t="s">
        <v>1755</v>
      </c>
      <c r="AA1286" s="76" t="s">
        <v>185</v>
      </c>
      <c r="AB1286" s="76"/>
      <c r="AC1286" s="76" t="s">
        <v>2915</v>
      </c>
      <c r="AD1286" s="76"/>
      <c r="AE1286" s="76"/>
      <c r="AF1286" s="76" t="s">
        <v>10877</v>
      </c>
      <c r="AG1286" s="76" t="s">
        <v>11912</v>
      </c>
      <c r="AH1286" s="647" t="s">
        <v>12229</v>
      </c>
      <c r="AI1286" s="763"/>
      <c r="AJ1286" s="763"/>
      <c r="AK1286" s="763"/>
      <c r="AL1286" s="763"/>
      <c r="AM1286" s="763"/>
      <c r="AN1286" s="763"/>
      <c r="AO1286" s="763"/>
      <c r="AP1286" s="763"/>
      <c r="AQ1286" s="763"/>
      <c r="AR1286" s="763"/>
      <c r="AS1286" s="763"/>
      <c r="AT1286" s="763"/>
    </row>
    <row r="1287">
      <c r="A1287" s="76"/>
      <c r="B1287" s="302" t="s">
        <v>145</v>
      </c>
      <c r="C1287" s="77"/>
      <c r="D1287" s="77"/>
      <c r="E1287" s="76" t="s">
        <v>12231</v>
      </c>
      <c r="F1287" s="80"/>
      <c r="G1287" s="77"/>
      <c r="H1287" s="77"/>
      <c r="I1287" s="76"/>
      <c r="J1287" s="76" t="s">
        <v>114</v>
      </c>
      <c r="K1287" s="76"/>
      <c r="L1287" s="85"/>
      <c r="M1287" s="85" t="s">
        <v>36</v>
      </c>
      <c r="N1287" s="1060" t="s">
        <v>12232</v>
      </c>
      <c r="O1287" s="27" t="s">
        <v>12233</v>
      </c>
      <c r="P1287" s="262">
        <v>33129.0</v>
      </c>
      <c r="Q1287" s="315">
        <f t="shared" si="161"/>
        <v>33129</v>
      </c>
      <c r="R1287" s="97">
        <f t="shared" si="162"/>
        <v>35</v>
      </c>
      <c r="S1287" s="76">
        <v>3.312800499E9</v>
      </c>
      <c r="T1287" s="315"/>
      <c r="U1287" s="76" t="s">
        <v>379</v>
      </c>
      <c r="V1287" s="76"/>
      <c r="W1287" s="76"/>
      <c r="X1287" s="76" t="s">
        <v>145</v>
      </c>
      <c r="Y1287" s="276"/>
      <c r="Z1287" s="276"/>
      <c r="AA1287" s="76"/>
      <c r="AB1287" s="97"/>
      <c r="AC1287" s="76" t="s">
        <v>2915</v>
      </c>
      <c r="AD1287" s="99"/>
      <c r="AE1287" s="76"/>
      <c r="AF1287" s="76"/>
      <c r="AG1287" s="76"/>
      <c r="AH1287" s="647" t="s">
        <v>12229</v>
      </c>
      <c r="AI1287" s="67"/>
      <c r="AJ1287" s="67"/>
      <c r="AK1287" s="70"/>
      <c r="AL1287" s="70"/>
      <c r="AM1287" s="135"/>
      <c r="AN1287" s="135"/>
      <c r="AO1287" s="70"/>
      <c r="AP1287" s="70"/>
      <c r="AQ1287" s="67"/>
      <c r="AR1287" s="67"/>
      <c r="AS1287" s="67"/>
      <c r="AT1287" s="67"/>
    </row>
    <row r="1288">
      <c r="A1288" s="86"/>
      <c r="B1288" s="302" t="s">
        <v>145</v>
      </c>
      <c r="C1288" s="302"/>
      <c r="D1288" s="76"/>
      <c r="E1288" s="574">
        <v>46114.0</v>
      </c>
      <c r="F1288" s="762"/>
      <c r="G1288" s="762"/>
      <c r="H1288" s="762"/>
      <c r="I1288" s="762"/>
      <c r="J1288" s="76" t="s">
        <v>114</v>
      </c>
      <c r="K1288" s="76"/>
      <c r="L1288" s="47"/>
      <c r="M1288" s="85" t="s">
        <v>60</v>
      </c>
      <c r="N1288" s="157" t="s">
        <v>12234</v>
      </c>
      <c r="O1288" s="76" t="s">
        <v>12235</v>
      </c>
      <c r="P1288" s="523">
        <v>30744.0</v>
      </c>
      <c r="Q1288" s="315">
        <f t="shared" si="161"/>
        <v>1</v>
      </c>
      <c r="R1288" s="86">
        <f t="shared" si="162"/>
        <v>42</v>
      </c>
      <c r="S1288" s="76"/>
      <c r="T1288" s="315"/>
      <c r="U1288" s="76" t="s">
        <v>379</v>
      </c>
      <c r="V1288" s="76"/>
      <c r="W1288" s="76"/>
      <c r="X1288" s="76" t="s">
        <v>145</v>
      </c>
      <c r="Y1288" s="97"/>
      <c r="Z1288" s="216" t="s">
        <v>1815</v>
      </c>
      <c r="AA1288" s="76" t="s">
        <v>185</v>
      </c>
      <c r="AB1288" s="97"/>
      <c r="AC1288" s="76" t="s">
        <v>2915</v>
      </c>
      <c r="AD1288" s="76"/>
      <c r="AE1288" s="76"/>
      <c r="AF1288" s="76"/>
      <c r="AG1288" s="189"/>
      <c r="AH1288" s="647" t="s">
        <v>12229</v>
      </c>
      <c r="AI1288" s="763"/>
      <c r="AJ1288" s="763"/>
      <c r="AK1288" s="763"/>
      <c r="AL1288" s="763"/>
      <c r="AM1288" s="763"/>
      <c r="AN1288" s="763"/>
      <c r="AO1288" s="763"/>
      <c r="AP1288" s="763"/>
      <c r="AQ1288" s="763"/>
      <c r="AR1288" s="763"/>
      <c r="AS1288" s="763"/>
      <c r="AT1288" s="763"/>
    </row>
    <row r="1289">
      <c r="A1289" s="1063"/>
      <c r="B1289" s="1041"/>
      <c r="C1289" s="785"/>
      <c r="D1289" s="1063"/>
      <c r="E1289" s="1193"/>
      <c r="F1289" s="1063"/>
      <c r="G1289" s="1063"/>
      <c r="H1289" s="1063"/>
      <c r="I1289" s="1063"/>
      <c r="J1289" s="256"/>
      <c r="K1289" s="1045"/>
      <c r="L1289" s="1045"/>
      <c r="M1289" s="647"/>
      <c r="N1289" s="256"/>
      <c r="O1289" s="647"/>
      <c r="P1289" s="668"/>
      <c r="Q1289" s="1194"/>
      <c r="R1289" s="1063"/>
      <c r="S1289" s="256"/>
      <c r="T1289" s="1063"/>
      <c r="U1289" s="256"/>
      <c r="V1289" s="256"/>
      <c r="W1289" s="256"/>
      <c r="X1289" s="256"/>
      <c r="Y1289" s="785"/>
      <c r="Z1289" s="647"/>
      <c r="AA1289" s="256"/>
      <c r="AB1289" s="785"/>
      <c r="AC1289" s="256"/>
      <c r="AD1289" s="1072"/>
      <c r="AE1289" s="256"/>
      <c r="AF1289" s="785"/>
      <c r="AG1289" s="785"/>
      <c r="AH1289" s="256"/>
      <c r="AI1289" s="763"/>
      <c r="AJ1289" s="763"/>
      <c r="AK1289" s="763"/>
      <c r="AL1289" s="763"/>
      <c r="AM1289" s="763"/>
      <c r="AN1289" s="763"/>
      <c r="AO1289" s="763"/>
      <c r="AP1289" s="763"/>
      <c r="AQ1289" s="763"/>
      <c r="AR1289" s="763"/>
      <c r="AS1289" s="763"/>
      <c r="AT1289" s="763"/>
    </row>
    <row r="1290">
      <c r="A1290" s="1063"/>
      <c r="B1290" s="1041"/>
      <c r="C1290" s="785"/>
      <c r="D1290" s="1063"/>
      <c r="E1290" s="1193"/>
      <c r="F1290" s="1063"/>
      <c r="G1290" s="1063"/>
      <c r="H1290" s="1063"/>
      <c r="I1290" s="1063"/>
      <c r="J1290" s="256"/>
      <c r="K1290" s="1045"/>
      <c r="L1290" s="1045"/>
      <c r="M1290" s="647"/>
      <c r="N1290" s="256"/>
      <c r="O1290" s="647"/>
      <c r="P1290" s="668"/>
      <c r="Q1290" s="1194"/>
      <c r="R1290" s="1063"/>
      <c r="S1290" s="256"/>
      <c r="T1290" s="1063"/>
      <c r="U1290" s="256"/>
      <c r="V1290" s="256"/>
      <c r="W1290" s="256"/>
      <c r="X1290" s="256"/>
      <c r="Y1290" s="785"/>
      <c r="Z1290" s="647"/>
      <c r="AA1290" s="256"/>
      <c r="AB1290" s="785"/>
      <c r="AC1290" s="256"/>
      <c r="AD1290" s="1072"/>
      <c r="AE1290" s="256"/>
      <c r="AF1290" s="785"/>
      <c r="AG1290" s="785"/>
      <c r="AH1290" s="256"/>
      <c r="AI1290" s="763"/>
      <c r="AJ1290" s="763"/>
      <c r="AK1290" s="763"/>
      <c r="AL1290" s="763"/>
      <c r="AM1290" s="763"/>
      <c r="AN1290" s="763"/>
      <c r="AO1290" s="763"/>
      <c r="AP1290" s="763"/>
      <c r="AQ1290" s="763"/>
      <c r="AR1290" s="763"/>
      <c r="AS1290" s="763"/>
      <c r="AT1290" s="763"/>
    </row>
    <row r="1291">
      <c r="A1291" s="86"/>
      <c r="B1291" s="302" t="s">
        <v>4145</v>
      </c>
      <c r="C1291" s="97"/>
      <c r="D1291" s="86"/>
      <c r="E1291" s="478" t="s">
        <v>3795</v>
      </c>
      <c r="F1291" s="86"/>
      <c r="G1291" s="86"/>
      <c r="H1291" s="86"/>
      <c r="I1291" s="86"/>
      <c r="J1291" s="76" t="s">
        <v>114</v>
      </c>
      <c r="K1291" s="87"/>
      <c r="L1291" s="87"/>
      <c r="M1291" s="85" t="s">
        <v>60</v>
      </c>
      <c r="N1291" s="76" t="s">
        <v>7087</v>
      </c>
      <c r="O1291" s="85" t="s">
        <v>12236</v>
      </c>
      <c r="P1291" s="523">
        <v>34316.0</v>
      </c>
      <c r="Q1291" s="315">
        <f t="shared" ref="Q1291:Q1292" si="163">VALUE(LEFT(TEXT(S1291,0),5))+1</f>
        <v>34316</v>
      </c>
      <c r="R1291" s="86">
        <f t="shared" ref="R1291:R1292" si="164">DATEDIF($P1291,TODAY(),"Y")</f>
        <v>32</v>
      </c>
      <c r="S1291" s="76">
        <v>3.431512233E9</v>
      </c>
      <c r="T1291" s="86"/>
      <c r="U1291" s="76" t="s">
        <v>379</v>
      </c>
      <c r="V1291" s="76" t="s">
        <v>350</v>
      </c>
      <c r="W1291" s="76" t="s">
        <v>227</v>
      </c>
      <c r="X1291" s="76"/>
      <c r="Y1291" s="97"/>
      <c r="Z1291" s="728" t="s">
        <v>2482</v>
      </c>
      <c r="AA1291" s="76"/>
      <c r="AB1291" s="97"/>
      <c r="AC1291" s="76" t="s">
        <v>5606</v>
      </c>
      <c r="AD1291" s="99"/>
      <c r="AE1291" s="76"/>
      <c r="AF1291" s="97"/>
      <c r="AG1291" s="97"/>
      <c r="AH1291" s="76" t="s">
        <v>12237</v>
      </c>
      <c r="AI1291" s="763"/>
      <c r="AJ1291" s="763"/>
      <c r="AK1291" s="763"/>
      <c r="AL1291" s="763"/>
      <c r="AM1291" s="763"/>
      <c r="AN1291" s="763"/>
      <c r="AO1291" s="763"/>
      <c r="AP1291" s="763"/>
      <c r="AQ1291" s="763"/>
      <c r="AR1291" s="763"/>
      <c r="AS1291" s="763"/>
      <c r="AT1291" s="763"/>
    </row>
    <row r="1292">
      <c r="A1292" s="76" t="s">
        <v>116</v>
      </c>
      <c r="B1292" s="77" t="s">
        <v>3454</v>
      </c>
      <c r="C1292" s="77" t="s">
        <v>7302</v>
      </c>
      <c r="D1292" s="77" t="s">
        <v>121</v>
      </c>
      <c r="E1292" s="78" t="s">
        <v>457</v>
      </c>
      <c r="F1292" s="80" t="s">
        <v>10197</v>
      </c>
      <c r="G1292" s="77" t="s">
        <v>10198</v>
      </c>
      <c r="H1292" s="77" t="s">
        <v>60</v>
      </c>
      <c r="I1292" s="87" t="s">
        <v>1221</v>
      </c>
      <c r="J1292" s="76" t="s">
        <v>114</v>
      </c>
      <c r="K1292" s="124" t="s">
        <v>12238</v>
      </c>
      <c r="L1292" s="85"/>
      <c r="M1292" s="85" t="s">
        <v>60</v>
      </c>
      <c r="N1292" s="97" t="s">
        <v>3055</v>
      </c>
      <c r="O1292" s="27" t="s">
        <v>3057</v>
      </c>
      <c r="P1292" s="825">
        <v>31883.0</v>
      </c>
      <c r="Q1292" s="315">
        <f t="shared" si="163"/>
        <v>31883</v>
      </c>
      <c r="R1292" s="97">
        <f t="shared" si="164"/>
        <v>39</v>
      </c>
      <c r="S1292" s="76">
        <v>3.188216058E9</v>
      </c>
      <c r="T1292" s="315"/>
      <c r="U1292" s="76" t="s">
        <v>379</v>
      </c>
      <c r="V1292" s="76"/>
      <c r="W1292" s="76"/>
      <c r="X1292" s="76"/>
      <c r="Y1292" s="97"/>
      <c r="Z1292" s="278" t="s">
        <v>1613</v>
      </c>
      <c r="AA1292" s="76"/>
      <c r="AB1292" s="76" t="s">
        <v>226</v>
      </c>
      <c r="AC1292" s="76" t="s">
        <v>2915</v>
      </c>
      <c r="AD1292" s="99"/>
      <c r="AE1292" s="76"/>
      <c r="AF1292" s="1118" t="s">
        <v>12239</v>
      </c>
      <c r="AG1292" s="291"/>
      <c r="AH1292" s="76" t="s">
        <v>12119</v>
      </c>
      <c r="AI1292" s="67"/>
      <c r="AJ1292" s="428"/>
      <c r="AK1292" s="70"/>
      <c r="AL1292" s="70"/>
      <c r="AM1292" s="135"/>
      <c r="AN1292" s="135"/>
      <c r="AO1292" s="70"/>
      <c r="AP1292" s="70"/>
      <c r="AQ1292" s="67"/>
      <c r="AR1292" s="67"/>
      <c r="AS1292" s="67"/>
      <c r="AT1292" s="67"/>
    </row>
    <row r="1293">
      <c r="A1293" s="76" t="s">
        <v>116</v>
      </c>
      <c r="B1293" s="77" t="s">
        <v>3454</v>
      </c>
      <c r="C1293" s="77" t="s">
        <v>7302</v>
      </c>
      <c r="D1293" s="77" t="s">
        <v>121</v>
      </c>
      <c r="E1293" s="78" t="s">
        <v>5569</v>
      </c>
      <c r="F1293" s="80" t="s">
        <v>10170</v>
      </c>
      <c r="G1293" s="77" t="s">
        <v>10171</v>
      </c>
      <c r="H1293" s="77" t="s">
        <v>326</v>
      </c>
      <c r="I1293" s="87" t="s">
        <v>1221</v>
      </c>
      <c r="J1293" s="76"/>
      <c r="K1293" s="76"/>
      <c r="L1293" s="47"/>
      <c r="M1293" s="211" t="s">
        <v>60</v>
      </c>
      <c r="N1293" s="996" t="s">
        <v>12240</v>
      </c>
      <c r="O1293" s="76"/>
      <c r="P1293" s="523"/>
      <c r="Q1293" s="315"/>
      <c r="R1293" s="86"/>
      <c r="S1293" s="76"/>
      <c r="T1293" s="76"/>
      <c r="U1293" s="76" t="s">
        <v>379</v>
      </c>
      <c r="V1293" s="86"/>
      <c r="W1293" s="76"/>
      <c r="X1293" s="76"/>
      <c r="Y1293" s="97"/>
      <c r="Z1293" s="85"/>
      <c r="AA1293" s="97"/>
      <c r="AB1293" s="97"/>
      <c r="AC1293" s="160" t="s">
        <v>630</v>
      </c>
      <c r="AD1293" s="76" t="s">
        <v>632</v>
      </c>
      <c r="AE1293" s="76" t="s">
        <v>632</v>
      </c>
      <c r="AF1293" s="160" t="s">
        <v>630</v>
      </c>
      <c r="AG1293" s="76"/>
      <c r="AH1293" s="76" t="s">
        <v>12241</v>
      </c>
      <c r="AI1293" s="67"/>
      <c r="AJ1293" s="67"/>
      <c r="AK1293" s="70"/>
      <c r="AL1293" s="70"/>
      <c r="AM1293" s="135"/>
      <c r="AN1293" s="135"/>
      <c r="AO1293" s="70"/>
      <c r="AP1293" s="70"/>
      <c r="AQ1293" s="67"/>
      <c r="AR1293" s="67"/>
      <c r="AS1293" s="67"/>
      <c r="AT1293" s="67"/>
    </row>
    <row r="1294">
      <c r="A1294" s="76" t="s">
        <v>116</v>
      </c>
      <c r="B1294" s="77" t="s">
        <v>1645</v>
      </c>
      <c r="C1294" s="77" t="s">
        <v>1611</v>
      </c>
      <c r="D1294" s="77" t="s">
        <v>1519</v>
      </c>
      <c r="E1294" s="78" t="s">
        <v>213</v>
      </c>
      <c r="F1294" s="80" t="s">
        <v>1523</v>
      </c>
      <c r="G1294" s="77" t="s">
        <v>1056</v>
      </c>
      <c r="H1294" s="77" t="s">
        <v>60</v>
      </c>
      <c r="I1294" s="87" t="s">
        <v>1221</v>
      </c>
      <c r="J1294" s="97" t="s">
        <v>114</v>
      </c>
      <c r="K1294" s="176" t="s">
        <v>12242</v>
      </c>
      <c r="L1294" s="109"/>
      <c r="M1294" s="109" t="s">
        <v>60</v>
      </c>
      <c r="N1294" s="332" t="s">
        <v>1054</v>
      </c>
      <c r="O1294" s="784" t="s">
        <v>1055</v>
      </c>
      <c r="P1294" s="1135">
        <v>31455.0</v>
      </c>
      <c r="Q1294" s="315">
        <f t="shared" ref="Q1294:Q1295" si="165">VALUE(LEFT(TEXT(S1294,0),5))+1</f>
        <v>31455</v>
      </c>
      <c r="R1294" s="86">
        <f t="shared" ref="R1294:R1295" si="166">DATEDIF($P1294,TODAY(),"Y")</f>
        <v>40</v>
      </c>
      <c r="S1294" s="315">
        <v>3.145410242E9</v>
      </c>
      <c r="T1294" s="315" t="s">
        <v>378</v>
      </c>
      <c r="U1294" s="76" t="s">
        <v>136</v>
      </c>
      <c r="V1294" s="76"/>
      <c r="W1294" s="76"/>
      <c r="X1294" s="97"/>
      <c r="Y1294" s="97" t="s">
        <v>1174</v>
      </c>
      <c r="Z1294" s="289" t="s">
        <v>1725</v>
      </c>
      <c r="AA1294" s="184"/>
      <c r="AB1294" s="184"/>
      <c r="AC1294" s="76"/>
      <c r="AD1294" s="185"/>
      <c r="AE1294" s="76"/>
      <c r="AF1294" s="99"/>
      <c r="AG1294" s="112" t="s">
        <v>12243</v>
      </c>
      <c r="AH1294" s="1001" t="s">
        <v>10339</v>
      </c>
      <c r="AI1294" s="67"/>
      <c r="AJ1294" s="67"/>
      <c r="AK1294" s="70"/>
      <c r="AL1294" s="70"/>
      <c r="AM1294" s="135"/>
      <c r="AN1294" s="135"/>
      <c r="AO1294" s="70"/>
      <c r="AP1294" s="70"/>
      <c r="AQ1294" s="67"/>
      <c r="AR1294" s="67"/>
      <c r="AS1294" s="67"/>
      <c r="AT1294" s="67"/>
    </row>
    <row r="1295">
      <c r="A1295" s="76" t="s">
        <v>116</v>
      </c>
      <c r="B1295" s="77" t="s">
        <v>1645</v>
      </c>
      <c r="C1295" s="77" t="s">
        <v>1269</v>
      </c>
      <c r="D1295" s="77" t="s">
        <v>1494</v>
      </c>
      <c r="E1295" s="78" t="s">
        <v>302</v>
      </c>
      <c r="F1295" s="80" t="s">
        <v>1404</v>
      </c>
      <c r="G1295" s="77" t="s">
        <v>838</v>
      </c>
      <c r="H1295" s="77" t="s">
        <v>326</v>
      </c>
      <c r="I1295" s="87" t="s">
        <v>1221</v>
      </c>
      <c r="J1295" s="85" t="s">
        <v>114</v>
      </c>
      <c r="K1295" s="124" t="s">
        <v>12244</v>
      </c>
      <c r="L1295" s="76"/>
      <c r="M1295" s="85" t="s">
        <v>60</v>
      </c>
      <c r="N1295" s="287" t="s">
        <v>1211</v>
      </c>
      <c r="O1295" s="76" t="s">
        <v>1213</v>
      </c>
      <c r="P1295" s="523">
        <v>35226.0</v>
      </c>
      <c r="Q1295" s="315">
        <f t="shared" si="165"/>
        <v>35226</v>
      </c>
      <c r="R1295" s="86">
        <f t="shared" si="166"/>
        <v>30</v>
      </c>
      <c r="S1295" s="76">
        <v>3.522502035E9</v>
      </c>
      <c r="T1295" s="86"/>
      <c r="U1295" s="76" t="s">
        <v>136</v>
      </c>
      <c r="V1295" s="76"/>
      <c r="W1295" s="76"/>
      <c r="X1295" s="97"/>
      <c r="Y1295" s="167"/>
      <c r="Z1295" s="176" t="s">
        <v>1460</v>
      </c>
      <c r="AA1295" s="168"/>
      <c r="AB1295" s="97"/>
      <c r="AC1295" s="76" t="s">
        <v>1566</v>
      </c>
      <c r="AD1295" s="168"/>
      <c r="AE1295" s="76"/>
      <c r="AF1295" s="76" t="s">
        <v>1568</v>
      </c>
      <c r="AG1295" s="76"/>
      <c r="AH1295" s="153">
        <v>46220.0</v>
      </c>
      <c r="AI1295" s="67"/>
      <c r="AJ1295" s="67"/>
      <c r="AK1295" s="70"/>
      <c r="AL1295" s="70"/>
      <c r="AM1295" s="135"/>
      <c r="AN1295" s="135"/>
      <c r="AO1295" s="70"/>
      <c r="AP1295" s="70"/>
      <c r="AQ1295" s="67"/>
      <c r="AR1295" s="67"/>
      <c r="AS1295" s="67"/>
      <c r="AT1295" s="67"/>
    </row>
    <row r="1296">
      <c r="A1296" s="76" t="s">
        <v>116</v>
      </c>
      <c r="B1296" s="77" t="s">
        <v>1645</v>
      </c>
      <c r="C1296" s="77" t="s">
        <v>121</v>
      </c>
      <c r="D1296" s="77" t="s">
        <v>121</v>
      </c>
      <c r="E1296" s="78" t="s">
        <v>1088</v>
      </c>
      <c r="F1296" s="80" t="s">
        <v>234</v>
      </c>
      <c r="G1296" s="77" t="s">
        <v>3407</v>
      </c>
      <c r="H1296" s="77" t="s">
        <v>143</v>
      </c>
      <c r="I1296" s="82" t="s">
        <v>135</v>
      </c>
      <c r="J1296" s="109" t="s">
        <v>114</v>
      </c>
      <c r="K1296" s="97"/>
      <c r="L1296" s="87"/>
      <c r="M1296" s="211" t="s">
        <v>36</v>
      </c>
      <c r="N1296" s="159" t="s">
        <v>3409</v>
      </c>
      <c r="O1296" s="157" t="s">
        <v>12245</v>
      </c>
      <c r="P1296" s="825">
        <v>30014.0</v>
      </c>
      <c r="Q1296" s="315"/>
      <c r="R1296" s="86"/>
      <c r="S1296" s="86"/>
      <c r="T1296" s="315"/>
      <c r="U1296" s="76" t="s">
        <v>379</v>
      </c>
      <c r="V1296" s="86"/>
      <c r="W1296" s="97"/>
      <c r="X1296" s="97"/>
      <c r="Y1296" s="97"/>
      <c r="Z1296" s="97"/>
      <c r="AA1296" s="97"/>
      <c r="AB1296" s="97"/>
      <c r="AC1296" s="160" t="s">
        <v>630</v>
      </c>
      <c r="AD1296" s="76" t="s">
        <v>632</v>
      </c>
      <c r="AE1296" s="76" t="s">
        <v>632</v>
      </c>
      <c r="AF1296" s="160" t="s">
        <v>630</v>
      </c>
      <c r="AG1296" s="112"/>
      <c r="AH1296" s="153">
        <v>46199.0</v>
      </c>
      <c r="AI1296" s="67"/>
      <c r="AJ1296" s="67"/>
      <c r="AK1296" s="70"/>
      <c r="AL1296" s="70"/>
      <c r="AM1296" s="135"/>
      <c r="AN1296" s="135"/>
      <c r="AO1296" s="70"/>
      <c r="AP1296" s="70"/>
      <c r="AQ1296" s="67"/>
      <c r="AR1296" s="67"/>
      <c r="AS1296" s="67"/>
      <c r="AT1296" s="67"/>
    </row>
    <row r="1297" ht="45.75" customHeight="1">
      <c r="A1297" s="76"/>
      <c r="B1297" s="302" t="s">
        <v>4145</v>
      </c>
      <c r="C1297" s="77"/>
      <c r="D1297" s="77"/>
      <c r="E1297" s="76" t="s">
        <v>7335</v>
      </c>
      <c r="F1297" s="80"/>
      <c r="G1297" s="77"/>
      <c r="H1297" s="77"/>
      <c r="I1297" s="1058"/>
      <c r="J1297" s="76" t="s">
        <v>114</v>
      </c>
      <c r="K1297" s="76"/>
      <c r="L1297" s="85"/>
      <c r="M1297" s="76" t="s">
        <v>60</v>
      </c>
      <c r="N1297" s="76" t="s">
        <v>12246</v>
      </c>
      <c r="O1297" s="76" t="s">
        <v>12247</v>
      </c>
      <c r="P1297" s="523">
        <v>31454.0</v>
      </c>
      <c r="Q1297" s="315">
        <f t="shared" ref="Q1297:Q1299" si="167">VALUE(LEFT(TEXT(S1297,0),5))+1</f>
        <v>1</v>
      </c>
      <c r="R1297" s="97">
        <f t="shared" ref="R1297:R1299" si="168">DATEDIF($P1297,TODAY(),"Y")</f>
        <v>40</v>
      </c>
      <c r="S1297" s="76"/>
      <c r="T1297" s="1167"/>
      <c r="U1297" s="76" t="s">
        <v>379</v>
      </c>
      <c r="V1297" s="76"/>
      <c r="W1297" s="76"/>
      <c r="X1297" s="76" t="s">
        <v>186</v>
      </c>
      <c r="Y1297" s="276"/>
      <c r="Z1297" s="595" t="s">
        <v>1755</v>
      </c>
      <c r="AA1297" s="76"/>
      <c r="AB1297" s="368"/>
      <c r="AC1297" s="76" t="s">
        <v>5606</v>
      </c>
      <c r="AD1297" s="492"/>
      <c r="AE1297" s="76"/>
      <c r="AF1297" s="369" t="s">
        <v>12248</v>
      </c>
      <c r="AG1297" s="369"/>
      <c r="AH1297" s="369" t="s">
        <v>12249</v>
      </c>
      <c r="AI1297" s="67"/>
      <c r="AJ1297" s="67"/>
      <c r="AK1297" s="70"/>
      <c r="AL1297" s="70"/>
      <c r="AM1297" s="135"/>
      <c r="AN1297" s="135"/>
      <c r="AO1297" s="70"/>
      <c r="AP1297" s="70"/>
      <c r="AQ1297" s="67"/>
      <c r="AR1297" s="67"/>
      <c r="AS1297" s="67"/>
      <c r="AT1297" s="67"/>
    </row>
    <row r="1298">
      <c r="A1298" s="86"/>
      <c r="B1298" s="302" t="s">
        <v>4145</v>
      </c>
      <c r="C1298" s="1195" t="s">
        <v>3638</v>
      </c>
      <c r="D1298" s="76" t="s">
        <v>4264</v>
      </c>
      <c r="E1298" s="574">
        <v>46187.0</v>
      </c>
      <c r="F1298" s="762"/>
      <c r="G1298" s="762"/>
      <c r="H1298" s="762"/>
      <c r="I1298" s="762"/>
      <c r="J1298" s="76" t="s">
        <v>114</v>
      </c>
      <c r="K1298" s="176" t="s">
        <v>12250</v>
      </c>
      <c r="L1298" s="47"/>
      <c r="M1298" s="85" t="s">
        <v>60</v>
      </c>
      <c r="N1298" s="1196" t="s">
        <v>12251</v>
      </c>
      <c r="O1298" s="76" t="s">
        <v>12252</v>
      </c>
      <c r="P1298" s="523">
        <v>34290.0</v>
      </c>
      <c r="Q1298" s="315">
        <f t="shared" si="167"/>
        <v>34290</v>
      </c>
      <c r="R1298" s="86">
        <f t="shared" si="168"/>
        <v>32</v>
      </c>
      <c r="S1298" s="76">
        <v>3.428914658E9</v>
      </c>
      <c r="T1298" s="76"/>
      <c r="U1298" s="76" t="s">
        <v>345</v>
      </c>
      <c r="V1298" s="76"/>
      <c r="W1298" s="76"/>
      <c r="X1298" s="76"/>
      <c r="Y1298" s="276" t="s">
        <v>2344</v>
      </c>
      <c r="Z1298" s="76"/>
      <c r="AA1298" s="76" t="s">
        <v>1178</v>
      </c>
      <c r="AB1298" s="76"/>
      <c r="AC1298" s="76"/>
      <c r="AD1298" s="76"/>
      <c r="AE1298" s="76"/>
      <c r="AF1298" s="76" t="s">
        <v>12253</v>
      </c>
      <c r="AG1298" s="189"/>
      <c r="AH1298" s="1099" t="s">
        <v>12254</v>
      </c>
      <c r="AI1298" s="763"/>
      <c r="AJ1298" s="763"/>
      <c r="AK1298" s="763"/>
      <c r="AL1298" s="763"/>
      <c r="AM1298" s="763"/>
      <c r="AN1298" s="763"/>
      <c r="AO1298" s="763"/>
      <c r="AP1298" s="763"/>
      <c r="AQ1298" s="763"/>
      <c r="AR1298" s="763"/>
      <c r="AS1298" s="763"/>
      <c r="AT1298" s="763"/>
    </row>
    <row r="1299">
      <c r="A1299" s="86"/>
      <c r="B1299" s="302" t="s">
        <v>4145</v>
      </c>
      <c r="C1299" s="302"/>
      <c r="D1299" s="76"/>
      <c r="E1299" s="76" t="s">
        <v>12255</v>
      </c>
      <c r="F1299" s="762"/>
      <c r="G1299" s="762"/>
      <c r="H1299" s="762"/>
      <c r="I1299" s="762"/>
      <c r="J1299" s="76" t="s">
        <v>114</v>
      </c>
      <c r="K1299" s="76"/>
      <c r="L1299" s="47"/>
      <c r="M1299" s="85" t="s">
        <v>60</v>
      </c>
      <c r="N1299" s="157" t="s">
        <v>12256</v>
      </c>
      <c r="O1299" s="76" t="s">
        <v>12257</v>
      </c>
      <c r="P1299" s="153">
        <v>29308.0</v>
      </c>
      <c r="Q1299" s="315">
        <f t="shared" si="167"/>
        <v>29308</v>
      </c>
      <c r="R1299" s="86">
        <f t="shared" si="168"/>
        <v>46</v>
      </c>
      <c r="S1299" s="76">
        <v>2.930702616E9</v>
      </c>
      <c r="T1299" s="76" t="s">
        <v>1317</v>
      </c>
      <c r="U1299" s="76" t="s">
        <v>261</v>
      </c>
      <c r="V1299" s="76" t="s">
        <v>350</v>
      </c>
      <c r="W1299" s="76" t="s">
        <v>227</v>
      </c>
      <c r="X1299" s="76"/>
      <c r="Y1299" s="97"/>
      <c r="Z1299" s="85"/>
      <c r="AA1299" s="76" t="s">
        <v>1178</v>
      </c>
      <c r="AB1299" s="97"/>
      <c r="AC1299" s="76"/>
      <c r="AD1299" s="76"/>
      <c r="AE1299" s="76" t="s">
        <v>259</v>
      </c>
      <c r="AF1299" s="76" t="s">
        <v>12258</v>
      </c>
      <c r="AG1299" s="76"/>
      <c r="AH1299" s="1099" t="s">
        <v>12259</v>
      </c>
      <c r="AI1299" s="763"/>
      <c r="AJ1299" s="763"/>
      <c r="AK1299" s="763"/>
      <c r="AL1299" s="763"/>
      <c r="AM1299" s="763"/>
      <c r="AN1299" s="763"/>
      <c r="AO1299" s="763"/>
      <c r="AP1299" s="763"/>
      <c r="AQ1299" s="763"/>
      <c r="AR1299" s="763"/>
      <c r="AS1299" s="763"/>
      <c r="AT1299" s="763"/>
    </row>
    <row r="1300">
      <c r="A1300" s="76" t="s">
        <v>116</v>
      </c>
      <c r="B1300" s="77" t="s">
        <v>1039</v>
      </c>
      <c r="C1300" s="77" t="s">
        <v>1269</v>
      </c>
      <c r="D1300" s="77" t="s">
        <v>121</v>
      </c>
      <c r="E1300" s="78" t="s">
        <v>119</v>
      </c>
      <c r="F1300" s="80" t="s">
        <v>1295</v>
      </c>
      <c r="G1300" s="77" t="s">
        <v>281</v>
      </c>
      <c r="H1300" s="77" t="s">
        <v>504</v>
      </c>
      <c r="I1300" s="146" t="s">
        <v>408</v>
      </c>
      <c r="J1300" s="226"/>
      <c r="K1300" s="109"/>
      <c r="L1300" s="189"/>
      <c r="M1300" s="158" t="s">
        <v>360</v>
      </c>
      <c r="N1300" s="159" t="s">
        <v>12260</v>
      </c>
      <c r="O1300" s="226"/>
      <c r="P1300" s="754"/>
      <c r="Q1300" s="226"/>
      <c r="R1300" s="226"/>
      <c r="S1300" s="226"/>
      <c r="T1300" s="226"/>
      <c r="U1300" s="291" t="s">
        <v>565</v>
      </c>
      <c r="V1300" s="86"/>
      <c r="W1300" s="97"/>
      <c r="X1300" s="97"/>
      <c r="Y1300" s="226"/>
      <c r="Z1300" s="226"/>
      <c r="AA1300" s="226"/>
      <c r="AB1300" s="97"/>
      <c r="AC1300" s="160" t="s">
        <v>630</v>
      </c>
      <c r="AD1300" s="76" t="s">
        <v>632</v>
      </c>
      <c r="AE1300" s="76"/>
      <c r="AF1300" s="160" t="s">
        <v>630</v>
      </c>
      <c r="AG1300" s="226"/>
      <c r="AH1300" s="153"/>
      <c r="AI1300" s="67"/>
      <c r="AJ1300" s="67"/>
      <c r="AK1300" s="86" t="s">
        <v>1317</v>
      </c>
      <c r="AL1300" s="70"/>
      <c r="AM1300" s="135"/>
      <c r="AN1300" s="135"/>
      <c r="AO1300" s="70"/>
      <c r="AP1300" s="70"/>
      <c r="AQ1300" s="67"/>
      <c r="AR1300" s="67"/>
      <c r="AS1300" s="67"/>
      <c r="AT1300" s="67"/>
    </row>
    <row r="1301">
      <c r="A1301" s="76" t="s">
        <v>116</v>
      </c>
      <c r="B1301" s="77" t="s">
        <v>1039</v>
      </c>
      <c r="C1301" s="77" t="s">
        <v>1269</v>
      </c>
      <c r="D1301" s="77" t="s">
        <v>1494</v>
      </c>
      <c r="E1301" s="78" t="s">
        <v>321</v>
      </c>
      <c r="F1301" s="80" t="s">
        <v>1552</v>
      </c>
      <c r="G1301" s="77" t="s">
        <v>346</v>
      </c>
      <c r="H1301" s="77" t="s">
        <v>60</v>
      </c>
      <c r="I1301" s="87" t="s">
        <v>1221</v>
      </c>
      <c r="J1301" s="76" t="s">
        <v>114</v>
      </c>
      <c r="K1301" s="124" t="s">
        <v>12261</v>
      </c>
      <c r="L1301" s="76">
        <v>10.0</v>
      </c>
      <c r="M1301" s="85" t="s">
        <v>60</v>
      </c>
      <c r="N1301" s="97" t="s">
        <v>342</v>
      </c>
      <c r="O1301" s="76" t="s">
        <v>343</v>
      </c>
      <c r="P1301" s="523">
        <v>28335.0</v>
      </c>
      <c r="Q1301" s="315">
        <f t="shared" ref="Q1301:Q1302" si="169">VALUE(LEFT(TEXT(S1301,0),5))+1</f>
        <v>28244</v>
      </c>
      <c r="R1301" s="97">
        <f t="shared" ref="R1301:R1302" si="170">DATEDIF($P1301,TODAY(),"Y")</f>
        <v>49</v>
      </c>
      <c r="S1301" s="76">
        <v>2.824313934E9</v>
      </c>
      <c r="T1301" s="315"/>
      <c r="U1301" s="76" t="s">
        <v>379</v>
      </c>
      <c r="V1301" s="76"/>
      <c r="W1301" s="76"/>
      <c r="X1301" s="76"/>
      <c r="Y1301" s="76" t="s">
        <v>371</v>
      </c>
      <c r="Z1301" s="85"/>
      <c r="AA1301" s="76"/>
      <c r="AB1301" s="76" t="s">
        <v>192</v>
      </c>
      <c r="AC1301" s="76" t="s">
        <v>2915</v>
      </c>
      <c r="AD1301" s="76" t="s">
        <v>12262</v>
      </c>
      <c r="AE1301" s="76"/>
      <c r="AF1301" s="76"/>
      <c r="AG1301" s="76"/>
      <c r="AH1301" s="76" t="s">
        <v>10836</v>
      </c>
      <c r="AI1301" s="67"/>
      <c r="AJ1301" s="67"/>
      <c r="AK1301" s="70"/>
      <c r="AL1301" s="70"/>
      <c r="AM1301" s="135"/>
      <c r="AN1301" s="135"/>
      <c r="AO1301" s="70"/>
      <c r="AP1301" s="70"/>
      <c r="AQ1301" s="67"/>
      <c r="AR1301" s="67"/>
      <c r="AS1301" s="67"/>
      <c r="AT1301" s="67"/>
    </row>
    <row r="1302">
      <c r="A1302" s="76" t="s">
        <v>116</v>
      </c>
      <c r="B1302" s="77" t="s">
        <v>1039</v>
      </c>
      <c r="C1302" s="77" t="s">
        <v>1611</v>
      </c>
      <c r="D1302" s="77" t="s">
        <v>1494</v>
      </c>
      <c r="E1302" s="78" t="s">
        <v>213</v>
      </c>
      <c r="F1302" s="80" t="s">
        <v>1523</v>
      </c>
      <c r="G1302" s="77" t="s">
        <v>2939</v>
      </c>
      <c r="H1302" s="77" t="s">
        <v>60</v>
      </c>
      <c r="I1302" s="87" t="s">
        <v>1221</v>
      </c>
      <c r="J1302" s="76" t="s">
        <v>114</v>
      </c>
      <c r="K1302" s="76"/>
      <c r="L1302" s="85"/>
      <c r="M1302" s="76" t="s">
        <v>60</v>
      </c>
      <c r="N1302" s="287" t="s">
        <v>12263</v>
      </c>
      <c r="O1302" s="76" t="s">
        <v>2051</v>
      </c>
      <c r="P1302" s="523">
        <v>31600.0</v>
      </c>
      <c r="Q1302" s="315">
        <f t="shared" si="169"/>
        <v>1</v>
      </c>
      <c r="R1302" s="97">
        <f t="shared" si="170"/>
        <v>40</v>
      </c>
      <c r="S1302" s="76"/>
      <c r="T1302" s="1167"/>
      <c r="U1302" s="76" t="s">
        <v>136</v>
      </c>
      <c r="V1302" s="76"/>
      <c r="W1302" s="76"/>
      <c r="X1302" s="76" t="s">
        <v>186</v>
      </c>
      <c r="Y1302" s="211" t="s">
        <v>1755</v>
      </c>
      <c r="Z1302" s="211"/>
      <c r="AA1302" s="76" t="s">
        <v>1178</v>
      </c>
      <c r="AB1302" s="368"/>
      <c r="AC1302" s="369"/>
      <c r="AD1302" s="99"/>
      <c r="AE1302" s="76"/>
      <c r="AF1302" s="369" t="s">
        <v>12264</v>
      </c>
      <c r="AG1302" s="369"/>
      <c r="AH1302" s="369" t="s">
        <v>10568</v>
      </c>
      <c r="AI1302" s="67"/>
      <c r="AJ1302" s="67"/>
      <c r="AK1302" s="70"/>
      <c r="AL1302" s="70"/>
      <c r="AM1302" s="135"/>
      <c r="AN1302" s="135"/>
      <c r="AO1302" s="70"/>
      <c r="AP1302" s="70"/>
      <c r="AQ1302" s="67"/>
      <c r="AR1302" s="67"/>
      <c r="AS1302" s="67"/>
      <c r="AT1302" s="67"/>
    </row>
    <row r="1303">
      <c r="A1303" s="76" t="s">
        <v>116</v>
      </c>
      <c r="B1303" s="77" t="s">
        <v>1709</v>
      </c>
      <c r="C1303" s="77" t="s">
        <v>1517</v>
      </c>
      <c r="D1303" s="77" t="s">
        <v>1519</v>
      </c>
      <c r="E1303" s="78" t="s">
        <v>213</v>
      </c>
      <c r="F1303" s="80" t="s">
        <v>1523</v>
      </c>
      <c r="G1303" s="77" t="s">
        <v>2636</v>
      </c>
      <c r="H1303" s="77" t="s">
        <v>60</v>
      </c>
      <c r="I1303" s="87" t="s">
        <v>1221</v>
      </c>
      <c r="AI1303" s="67"/>
      <c r="AJ1303" s="67"/>
      <c r="AK1303" s="70"/>
      <c r="AL1303" s="70"/>
      <c r="AM1303" s="135"/>
      <c r="AN1303" s="135"/>
      <c r="AO1303" s="70"/>
      <c r="AP1303" s="70"/>
      <c r="AQ1303" s="67"/>
      <c r="AR1303" s="67"/>
      <c r="AS1303" s="67"/>
      <c r="AT1303" s="67"/>
    </row>
    <row r="1304">
      <c r="A1304" s="76" t="s">
        <v>116</v>
      </c>
      <c r="B1304" s="77" t="s">
        <v>8106</v>
      </c>
      <c r="C1304" s="77" t="s">
        <v>121</v>
      </c>
      <c r="D1304" s="77" t="s">
        <v>121</v>
      </c>
      <c r="E1304" s="78" t="s">
        <v>2331</v>
      </c>
      <c r="F1304" s="80" t="s">
        <v>10363</v>
      </c>
      <c r="G1304" s="77" t="s">
        <v>2332</v>
      </c>
      <c r="H1304" s="77" t="s">
        <v>60</v>
      </c>
      <c r="I1304" s="87" t="s">
        <v>1221</v>
      </c>
      <c r="J1304" s="76" t="s">
        <v>114</v>
      </c>
      <c r="K1304" s="176" t="s">
        <v>12265</v>
      </c>
      <c r="L1304" s="109"/>
      <c r="M1304" s="85" t="s">
        <v>60</v>
      </c>
      <c r="N1304" s="157" t="s">
        <v>10895</v>
      </c>
      <c r="O1304" s="76" t="s">
        <v>10896</v>
      </c>
      <c r="P1304" s="523">
        <v>33024.0</v>
      </c>
      <c r="Q1304" s="315">
        <f t="shared" ref="Q1304:Q1308" si="171">VALUE(LEFT(TEXT(S1304,0),5))+1</f>
        <v>33024</v>
      </c>
      <c r="R1304" s="86">
        <f t="shared" ref="R1304:R1308" si="172">DATEDIF($P1304,TODAY(),"Y")</f>
        <v>36</v>
      </c>
      <c r="S1304" s="76">
        <v>3.302307113E9</v>
      </c>
      <c r="T1304" s="315"/>
      <c r="U1304" s="76" t="s">
        <v>379</v>
      </c>
      <c r="V1304" s="76"/>
      <c r="W1304" s="76"/>
      <c r="X1304" s="76"/>
      <c r="Y1304" s="846" t="s">
        <v>371</v>
      </c>
      <c r="Z1304" s="76"/>
      <c r="AA1304" s="76"/>
      <c r="AB1304" s="97"/>
      <c r="AC1304" s="76" t="s">
        <v>2915</v>
      </c>
      <c r="AD1304" s="217">
        <v>46193.0</v>
      </c>
      <c r="AE1304" s="76"/>
      <c r="AF1304" s="76" t="s">
        <v>4767</v>
      </c>
      <c r="AG1304" s="76" t="s">
        <v>1187</v>
      </c>
      <c r="AH1304" s="76" t="s">
        <v>10836</v>
      </c>
      <c r="AI1304" s="67"/>
      <c r="AJ1304" s="67"/>
      <c r="AK1304" s="70"/>
      <c r="AL1304" s="70"/>
      <c r="AM1304" s="135"/>
      <c r="AN1304" s="135"/>
      <c r="AO1304" s="70"/>
      <c r="AP1304" s="70"/>
      <c r="AQ1304" s="67"/>
      <c r="AR1304" s="67"/>
      <c r="AS1304" s="67"/>
      <c r="AT1304" s="67"/>
    </row>
    <row r="1305">
      <c r="A1305" s="76">
        <v>210.0</v>
      </c>
      <c r="B1305" s="302" t="s">
        <v>4145</v>
      </c>
      <c r="C1305" s="291" t="s">
        <v>5668</v>
      </c>
      <c r="D1305" s="226"/>
      <c r="E1305" s="574">
        <v>46071.0</v>
      </c>
      <c r="F1305" s="86"/>
      <c r="G1305" s="86"/>
      <c r="H1305" s="86"/>
      <c r="I1305" s="86"/>
      <c r="J1305" s="85" t="s">
        <v>114</v>
      </c>
      <c r="K1305" s="85"/>
      <c r="L1305" s="76"/>
      <c r="M1305" s="85" t="s">
        <v>60</v>
      </c>
      <c r="N1305" s="76" t="s">
        <v>12266</v>
      </c>
      <c r="O1305" s="76" t="s">
        <v>1490</v>
      </c>
      <c r="P1305" s="523">
        <v>30108.0</v>
      </c>
      <c r="Q1305" s="315">
        <f t="shared" si="171"/>
        <v>30108</v>
      </c>
      <c r="R1305" s="86">
        <f t="shared" si="172"/>
        <v>44</v>
      </c>
      <c r="S1305" s="76">
        <v>3.010735795E9</v>
      </c>
      <c r="T1305" s="76" t="s">
        <v>378</v>
      </c>
      <c r="U1305" s="76" t="s">
        <v>393</v>
      </c>
      <c r="V1305" s="76"/>
      <c r="W1305" s="76"/>
      <c r="X1305" s="76"/>
      <c r="Y1305" s="167"/>
      <c r="Z1305" s="216" t="s">
        <v>2155</v>
      </c>
      <c r="AA1305" s="76" t="s">
        <v>1178</v>
      </c>
      <c r="AB1305" s="97"/>
      <c r="AC1305" s="168"/>
      <c r="AD1305" s="168"/>
      <c r="AE1305" s="76" t="s">
        <v>672</v>
      </c>
      <c r="AF1305" s="76" t="s">
        <v>155</v>
      </c>
      <c r="AG1305" s="76"/>
      <c r="AH1305" s="76" t="s">
        <v>12267</v>
      </c>
      <c r="AI1305" s="67"/>
      <c r="AJ1305" s="67"/>
      <c r="AK1305" s="67"/>
      <c r="AL1305" s="67"/>
      <c r="AM1305" s="67"/>
      <c r="AN1305" s="67"/>
      <c r="AO1305" s="67"/>
      <c r="AP1305" s="67"/>
      <c r="AQ1305" s="67"/>
      <c r="AR1305" s="67"/>
      <c r="AS1305" s="67"/>
      <c r="AT1305" s="67"/>
    </row>
    <row r="1306">
      <c r="A1306" s="86"/>
      <c r="B1306" s="302" t="s">
        <v>4145</v>
      </c>
      <c r="C1306" s="302"/>
      <c r="D1306" s="76"/>
      <c r="E1306" s="574">
        <v>46138.0</v>
      </c>
      <c r="F1306" s="762"/>
      <c r="G1306" s="762"/>
      <c r="H1306" s="762"/>
      <c r="I1306" s="762"/>
      <c r="J1306" s="76" t="s">
        <v>114</v>
      </c>
      <c r="K1306" s="76"/>
      <c r="L1306" s="47"/>
      <c r="M1306" s="85" t="s">
        <v>60</v>
      </c>
      <c r="N1306" s="157" t="s">
        <v>12268</v>
      </c>
      <c r="O1306" s="76" t="s">
        <v>12269</v>
      </c>
      <c r="P1306" s="523">
        <v>29923.0</v>
      </c>
      <c r="Q1306" s="315">
        <f t="shared" si="171"/>
        <v>29923</v>
      </c>
      <c r="R1306" s="86">
        <f t="shared" si="172"/>
        <v>44</v>
      </c>
      <c r="S1306" s="76">
        <v>2.992221953E9</v>
      </c>
      <c r="T1306" s="315"/>
      <c r="U1306" s="76" t="s">
        <v>393</v>
      </c>
      <c r="V1306" s="76"/>
      <c r="W1306" s="76"/>
      <c r="X1306" s="76"/>
      <c r="Y1306" s="276"/>
      <c r="Z1306" s="216" t="s">
        <v>1982</v>
      </c>
      <c r="AA1306" s="76"/>
      <c r="AB1306" s="97"/>
      <c r="AC1306" s="76"/>
      <c r="AD1306" s="76"/>
      <c r="AE1306" s="76" t="s">
        <v>1136</v>
      </c>
      <c r="AF1306" s="76"/>
      <c r="AG1306" s="189"/>
      <c r="AH1306" s="153">
        <v>46147.0</v>
      </c>
      <c r="AI1306" s="763"/>
      <c r="AJ1306" s="763"/>
      <c r="AK1306" s="763"/>
      <c r="AL1306" s="763"/>
      <c r="AM1306" s="763"/>
      <c r="AN1306" s="763"/>
      <c r="AO1306" s="763"/>
      <c r="AP1306" s="763"/>
      <c r="AQ1306" s="763"/>
      <c r="AR1306" s="763"/>
      <c r="AS1306" s="763"/>
      <c r="AT1306" s="763"/>
    </row>
    <row r="1307">
      <c r="A1307" s="86"/>
      <c r="B1307" s="302" t="s">
        <v>4145</v>
      </c>
      <c r="C1307" s="966" t="s">
        <v>5668</v>
      </c>
      <c r="D1307" s="76"/>
      <c r="E1307" s="574">
        <v>46127.0</v>
      </c>
      <c r="F1307" s="762"/>
      <c r="G1307" s="762"/>
      <c r="H1307" s="762"/>
      <c r="I1307" s="762"/>
      <c r="J1307" s="76" t="s">
        <v>114</v>
      </c>
      <c r="K1307" s="76"/>
      <c r="L1307" s="47"/>
      <c r="M1307" s="85" t="s">
        <v>60</v>
      </c>
      <c r="N1307" s="157" t="s">
        <v>12270</v>
      </c>
      <c r="O1307" s="76" t="s">
        <v>12271</v>
      </c>
      <c r="P1307" s="523">
        <v>29980.0</v>
      </c>
      <c r="Q1307" s="315">
        <f t="shared" si="171"/>
        <v>1</v>
      </c>
      <c r="R1307" s="86">
        <f t="shared" si="172"/>
        <v>44</v>
      </c>
      <c r="S1307" s="76"/>
      <c r="T1307" s="315"/>
      <c r="U1307" s="76" t="s">
        <v>393</v>
      </c>
      <c r="V1307" s="76"/>
      <c r="W1307" s="76"/>
      <c r="X1307" s="76"/>
      <c r="Y1307" s="97"/>
      <c r="Z1307" s="216" t="s">
        <v>1815</v>
      </c>
      <c r="AA1307" s="76" t="s">
        <v>1178</v>
      </c>
      <c r="AB1307" s="97"/>
      <c r="AC1307" s="76" t="s">
        <v>1032</v>
      </c>
      <c r="AD1307" s="76"/>
      <c r="AE1307" s="76" t="s">
        <v>1136</v>
      </c>
      <c r="AF1307" s="76"/>
      <c r="AG1307" s="189"/>
      <c r="AH1307" s="153">
        <v>46147.0</v>
      </c>
      <c r="AI1307" s="67"/>
      <c r="AJ1307" s="67"/>
      <c r="AK1307" s="70"/>
      <c r="AL1307" s="70"/>
      <c r="AM1307" s="135"/>
      <c r="AN1307" s="135"/>
      <c r="AO1307" s="70"/>
      <c r="AP1307" s="70"/>
      <c r="AQ1307" s="67"/>
      <c r="AR1307" s="67"/>
      <c r="AS1307" s="67"/>
      <c r="AT1307" s="67"/>
    </row>
    <row r="1308" ht="15.0" customHeight="1">
      <c r="A1308" s="86"/>
      <c r="B1308" s="302" t="s">
        <v>4145</v>
      </c>
      <c r="C1308" s="1059" t="s">
        <v>12272</v>
      </c>
      <c r="D1308" s="76" t="s">
        <v>4264</v>
      </c>
      <c r="E1308" s="574">
        <v>46187.0</v>
      </c>
      <c r="F1308" s="762"/>
      <c r="G1308" s="762"/>
      <c r="H1308" s="762"/>
      <c r="I1308" s="762"/>
      <c r="J1308" s="76" t="s">
        <v>114</v>
      </c>
      <c r="K1308" s="176" t="s">
        <v>1602</v>
      </c>
      <c r="L1308" s="47"/>
      <c r="M1308" s="85" t="s">
        <v>60</v>
      </c>
      <c r="N1308" s="286" t="s">
        <v>12273</v>
      </c>
      <c r="O1308" s="76" t="s">
        <v>12274</v>
      </c>
      <c r="P1308" s="523">
        <v>30333.0</v>
      </c>
      <c r="Q1308" s="315">
        <f t="shared" si="171"/>
        <v>30333</v>
      </c>
      <c r="R1308" s="86">
        <f t="shared" si="172"/>
        <v>43</v>
      </c>
      <c r="S1308" s="76">
        <v>3.033226817E9</v>
      </c>
      <c r="T1308" s="76"/>
      <c r="U1308" s="76" t="s">
        <v>136</v>
      </c>
      <c r="V1308" s="76"/>
      <c r="W1308" s="76"/>
      <c r="X1308" s="76" t="s">
        <v>186</v>
      </c>
      <c r="Y1308" s="211" t="s">
        <v>1755</v>
      </c>
      <c r="Z1308" s="211"/>
      <c r="AA1308" s="76"/>
      <c r="AB1308" s="76"/>
      <c r="AC1308" s="76"/>
      <c r="AD1308" s="76"/>
      <c r="AE1308" s="76" t="s">
        <v>1136</v>
      </c>
      <c r="AF1308" s="76"/>
      <c r="AG1308" s="189"/>
      <c r="AH1308" s="76" t="s">
        <v>12275</v>
      </c>
      <c r="AI1308" s="67"/>
      <c r="AJ1308" s="67"/>
      <c r="AK1308" s="70"/>
      <c r="AL1308" s="70"/>
      <c r="AM1308" s="135"/>
      <c r="AN1308" s="135"/>
      <c r="AO1308" s="70"/>
      <c r="AP1308" s="70"/>
      <c r="AQ1308" s="67"/>
      <c r="AR1308" s="67"/>
      <c r="AS1308" s="67"/>
      <c r="AT1308" s="67"/>
    </row>
    <row r="1309">
      <c r="A1309" s="86"/>
      <c r="B1309" s="302" t="s">
        <v>4145</v>
      </c>
      <c r="C1309" s="302"/>
      <c r="D1309" s="76" t="s">
        <v>11174</v>
      </c>
      <c r="E1309" s="574">
        <v>46157.0</v>
      </c>
      <c r="F1309" s="762"/>
      <c r="G1309" s="762"/>
      <c r="H1309" s="762"/>
      <c r="I1309" s="762"/>
      <c r="J1309" s="76" t="s">
        <v>114</v>
      </c>
      <c r="K1309" s="176" t="s">
        <v>12276</v>
      </c>
      <c r="L1309" s="47"/>
      <c r="M1309" s="85" t="s">
        <v>60</v>
      </c>
      <c r="N1309" s="286" t="s">
        <v>12277</v>
      </c>
      <c r="O1309" s="76"/>
      <c r="P1309" s="523">
        <v>31516.0</v>
      </c>
      <c r="Q1309" s="315"/>
      <c r="R1309" s="86"/>
      <c r="S1309" s="76"/>
      <c r="T1309" s="315"/>
      <c r="U1309" s="76" t="s">
        <v>136</v>
      </c>
      <c r="V1309" s="76"/>
      <c r="W1309" s="76"/>
      <c r="X1309" s="76" t="s">
        <v>186</v>
      </c>
      <c r="Y1309" s="97"/>
      <c r="Z1309" s="501" t="s">
        <v>418</v>
      </c>
      <c r="AA1309" s="76" t="s">
        <v>1178</v>
      </c>
      <c r="AB1309" s="76"/>
      <c r="AC1309" s="76"/>
      <c r="AD1309" s="76"/>
      <c r="AE1309" s="76" t="s">
        <v>154</v>
      </c>
      <c r="AF1309" s="76"/>
      <c r="AG1309" s="76" t="s">
        <v>12278</v>
      </c>
      <c r="AH1309" s="76" t="s">
        <v>12279</v>
      </c>
      <c r="AI1309" s="67"/>
      <c r="AJ1309" s="67"/>
      <c r="AK1309" s="70"/>
      <c r="AL1309" s="70"/>
      <c r="AM1309" s="135"/>
      <c r="AN1309" s="135"/>
      <c r="AO1309" s="70"/>
      <c r="AP1309" s="70"/>
      <c r="AQ1309" s="67"/>
      <c r="AR1309" s="67"/>
      <c r="AS1309" s="67"/>
      <c r="AT1309" s="67"/>
    </row>
    <row r="1310">
      <c r="A1310" s="86"/>
      <c r="B1310" s="302" t="s">
        <v>4145</v>
      </c>
      <c r="C1310" s="1059" t="s">
        <v>12280</v>
      </c>
      <c r="D1310" s="76" t="s">
        <v>4264</v>
      </c>
      <c r="E1310" s="1081">
        <v>46187.0</v>
      </c>
      <c r="F1310" s="762"/>
      <c r="G1310" s="762"/>
      <c r="H1310" s="762"/>
      <c r="I1310" s="762"/>
      <c r="J1310" s="76" t="s">
        <v>114</v>
      </c>
      <c r="K1310" s="176" t="s">
        <v>1602</v>
      </c>
      <c r="L1310" s="47"/>
      <c r="M1310" s="85" t="s">
        <v>60</v>
      </c>
      <c r="N1310" s="286" t="s">
        <v>12281</v>
      </c>
      <c r="O1310" s="76" t="s">
        <v>2925</v>
      </c>
      <c r="P1310" s="523">
        <v>36496.0</v>
      </c>
      <c r="Q1310" s="315"/>
      <c r="R1310" s="86">
        <f t="shared" ref="R1310:R1312" si="173">DATEDIF($P1310,TODAY(),"Y")</f>
        <v>26</v>
      </c>
      <c r="S1310" s="76"/>
      <c r="T1310" s="76" t="s">
        <v>1317</v>
      </c>
      <c r="U1310" s="76" t="s">
        <v>136</v>
      </c>
      <c r="V1310" s="76"/>
      <c r="W1310" s="76"/>
      <c r="X1310" s="76" t="s">
        <v>186</v>
      </c>
      <c r="Y1310" s="211" t="s">
        <v>4335</v>
      </c>
      <c r="Z1310" s="211" t="s">
        <v>418</v>
      </c>
      <c r="AA1310" s="76"/>
      <c r="AB1310" s="76"/>
      <c r="AC1310" s="76"/>
      <c r="AD1310" s="76"/>
      <c r="AE1310" s="76"/>
      <c r="AF1310" s="76"/>
      <c r="AG1310" s="189"/>
      <c r="AH1310" s="76" t="s">
        <v>12282</v>
      </c>
      <c r="AI1310" s="67"/>
      <c r="AJ1310" s="67"/>
      <c r="AK1310" s="70"/>
      <c r="AL1310" s="70"/>
      <c r="AM1310" s="135"/>
      <c r="AN1310" s="135"/>
      <c r="AO1310" s="70"/>
      <c r="AP1310" s="70"/>
      <c r="AQ1310" s="67"/>
      <c r="AR1310" s="67"/>
      <c r="AS1310" s="67"/>
      <c r="AT1310" s="67"/>
    </row>
    <row r="1311">
      <c r="A1311" s="86"/>
      <c r="B1311" s="302" t="s">
        <v>4145</v>
      </c>
      <c r="C1311" s="302" t="s">
        <v>12283</v>
      </c>
      <c r="D1311" s="76" t="s">
        <v>4264</v>
      </c>
      <c r="E1311" s="574">
        <v>46187.0</v>
      </c>
      <c r="F1311" s="762"/>
      <c r="G1311" s="762"/>
      <c r="H1311" s="762"/>
      <c r="I1311" s="762"/>
      <c r="J1311" s="76" t="s">
        <v>114</v>
      </c>
      <c r="K1311" s="76"/>
      <c r="L1311" s="76" t="s">
        <v>1330</v>
      </c>
      <c r="M1311" s="85" t="s">
        <v>360</v>
      </c>
      <c r="N1311" s="515" t="s">
        <v>12284</v>
      </c>
      <c r="O1311" s="76" t="s">
        <v>12285</v>
      </c>
      <c r="P1311" s="523">
        <v>32349.0</v>
      </c>
      <c r="Q1311" s="315">
        <f t="shared" ref="Q1311:Q1312" si="174">VALUE(LEFT(TEXT(S1311,0),5))+1</f>
        <v>32349</v>
      </c>
      <c r="R1311" s="86">
        <f t="shared" si="173"/>
        <v>38</v>
      </c>
      <c r="S1311" s="76">
        <v>3.234820331E9</v>
      </c>
      <c r="T1311" s="76" t="s">
        <v>1479</v>
      </c>
      <c r="U1311" s="76" t="s">
        <v>379</v>
      </c>
      <c r="V1311" s="76"/>
      <c r="W1311" s="76"/>
      <c r="X1311" s="76"/>
      <c r="Y1311" s="97"/>
      <c r="Z1311" s="290" t="s">
        <v>1755</v>
      </c>
      <c r="AA1311" s="76" t="s">
        <v>1178</v>
      </c>
      <c r="AB1311" s="76"/>
      <c r="AC1311" s="76" t="s">
        <v>10837</v>
      </c>
      <c r="AD1311" s="76"/>
      <c r="AE1311" s="76"/>
      <c r="AF1311" s="76" t="s">
        <v>1734</v>
      </c>
      <c r="AG1311" s="189"/>
      <c r="AH1311" s="153">
        <v>46217.0</v>
      </c>
      <c r="AI1311" s="67"/>
      <c r="AJ1311" s="67"/>
      <c r="AK1311" s="70"/>
      <c r="AL1311" s="70"/>
      <c r="AM1311" s="135"/>
      <c r="AN1311" s="135"/>
      <c r="AO1311" s="70"/>
      <c r="AP1311" s="70"/>
      <c r="AQ1311" s="67"/>
      <c r="AR1311" s="67"/>
      <c r="AS1311" s="67"/>
      <c r="AT1311" s="67"/>
    </row>
    <row r="1312">
      <c r="A1312" s="86"/>
      <c r="B1312" s="302" t="s">
        <v>145</v>
      </c>
      <c r="C1312" s="523"/>
      <c r="D1312" s="86"/>
      <c r="E1312" s="574">
        <v>46071.0</v>
      </c>
      <c r="F1312" s="86"/>
      <c r="G1312" s="86"/>
      <c r="H1312" s="86"/>
      <c r="I1312" s="86"/>
      <c r="J1312" s="85" t="s">
        <v>114</v>
      </c>
      <c r="K1312" s="85"/>
      <c r="L1312" s="76"/>
      <c r="M1312" s="85" t="s">
        <v>60</v>
      </c>
      <c r="N1312" s="287" t="s">
        <v>12286</v>
      </c>
      <c r="O1312" s="295" t="s">
        <v>2605</v>
      </c>
      <c r="P1312" s="523">
        <v>36010.0</v>
      </c>
      <c r="Q1312" s="315">
        <f t="shared" si="174"/>
        <v>36010</v>
      </c>
      <c r="R1312" s="86">
        <f t="shared" si="173"/>
        <v>28</v>
      </c>
      <c r="S1312" s="76">
        <v>3.600911276E9</v>
      </c>
      <c r="T1312" s="86"/>
      <c r="U1312" s="76" t="s">
        <v>136</v>
      </c>
      <c r="V1312" s="76" t="s">
        <v>490</v>
      </c>
      <c r="W1312" s="76"/>
      <c r="X1312" s="76" t="s">
        <v>145</v>
      </c>
      <c r="Y1312" s="167"/>
      <c r="Z1312" s="234" t="s">
        <v>1351</v>
      </c>
      <c r="AA1312" s="76" t="s">
        <v>185</v>
      </c>
      <c r="AB1312" s="76" t="s">
        <v>269</v>
      </c>
      <c r="AC1312" s="168"/>
      <c r="AD1312" s="168"/>
      <c r="AE1312" s="76"/>
      <c r="AF1312" s="76"/>
      <c r="AG1312" s="76"/>
      <c r="AH1312" s="76"/>
      <c r="AI1312" s="67"/>
      <c r="AJ1312" s="67"/>
      <c r="AK1312" s="70"/>
      <c r="AL1312" s="70"/>
      <c r="AM1312" s="135"/>
      <c r="AN1312" s="135"/>
      <c r="AO1312" s="70"/>
      <c r="AP1312" s="70"/>
      <c r="AQ1312" s="67"/>
      <c r="AR1312" s="67"/>
      <c r="AS1312" s="67"/>
      <c r="AT1312" s="67"/>
    </row>
    <row r="1313">
      <c r="A1313" s="76" t="s">
        <v>12287</v>
      </c>
      <c r="B1313" s="302" t="s">
        <v>4145</v>
      </c>
      <c r="C1313" s="302"/>
      <c r="D1313" s="76"/>
      <c r="E1313" s="524"/>
      <c r="F1313" s="762"/>
      <c r="G1313" s="762"/>
      <c r="H1313" s="762"/>
      <c r="I1313" s="762"/>
      <c r="J1313" s="76" t="s">
        <v>114</v>
      </c>
      <c r="K1313" s="76"/>
      <c r="L1313" s="47"/>
      <c r="M1313" s="47" t="s">
        <v>60</v>
      </c>
      <c r="N1313" s="157" t="s">
        <v>12288</v>
      </c>
      <c r="O1313" s="76" t="s">
        <v>12289</v>
      </c>
      <c r="P1313" s="523"/>
      <c r="Q1313" s="315"/>
      <c r="R1313" s="86"/>
      <c r="S1313" s="76"/>
      <c r="T1313" s="315"/>
      <c r="U1313" s="76" t="s">
        <v>393</v>
      </c>
      <c r="V1313" s="76"/>
      <c r="W1313" s="86"/>
      <c r="X1313" s="97"/>
      <c r="Y1313" s="97"/>
      <c r="Z1313" s="1197" t="s">
        <v>1755</v>
      </c>
      <c r="AA1313" s="97"/>
      <c r="AB1313" s="97"/>
      <c r="AC1313" s="76"/>
      <c r="AD1313" s="76"/>
      <c r="AE1313" s="76" t="s">
        <v>154</v>
      </c>
      <c r="AF1313" s="76" t="s">
        <v>155</v>
      </c>
      <c r="AG1313" s="189"/>
      <c r="AH1313" s="654">
        <v>46226.0</v>
      </c>
      <c r="AI1313" s="67"/>
      <c r="AJ1313" s="67"/>
      <c r="AK1313" s="70"/>
      <c r="AL1313" s="70"/>
      <c r="AM1313" s="135"/>
      <c r="AN1313" s="135"/>
      <c r="AO1313" s="70"/>
      <c r="AP1313" s="70"/>
      <c r="AQ1313" s="67"/>
      <c r="AR1313" s="67"/>
      <c r="AS1313" s="67"/>
      <c r="AT1313" s="67"/>
    </row>
    <row r="1314">
      <c r="A1314" s="76" t="s">
        <v>116</v>
      </c>
      <c r="B1314" s="77" t="s">
        <v>1039</v>
      </c>
      <c r="C1314" s="77" t="s">
        <v>1269</v>
      </c>
      <c r="D1314" s="77" t="s">
        <v>1519</v>
      </c>
      <c r="E1314" s="78" t="s">
        <v>213</v>
      </c>
      <c r="F1314" s="80" t="s">
        <v>1523</v>
      </c>
      <c r="G1314" s="77" t="s">
        <v>422</v>
      </c>
      <c r="H1314" s="77" t="s">
        <v>60</v>
      </c>
      <c r="I1314" s="87" t="s">
        <v>1221</v>
      </c>
      <c r="J1314" s="85" t="s">
        <v>114</v>
      </c>
      <c r="K1314" s="176" t="s">
        <v>12290</v>
      </c>
      <c r="L1314" s="76"/>
      <c r="M1314" s="85" t="s">
        <v>60</v>
      </c>
      <c r="N1314" s="287" t="s">
        <v>12291</v>
      </c>
      <c r="O1314" s="76" t="s">
        <v>12292</v>
      </c>
      <c r="P1314" s="523">
        <v>34914.0</v>
      </c>
      <c r="Q1314" s="315">
        <f t="shared" ref="Q1314:Q1318" si="175">VALUE(LEFT(TEXT(S1314,0),5))+1</f>
        <v>34914</v>
      </c>
      <c r="R1314" s="86">
        <f t="shared" ref="R1314:R1318" si="176">DATEDIF($P1314,TODAY(),"Y")</f>
        <v>31</v>
      </c>
      <c r="S1314" s="76">
        <v>3.491310996E9</v>
      </c>
      <c r="T1314" s="86"/>
      <c r="U1314" s="76" t="s">
        <v>136</v>
      </c>
      <c r="V1314" s="76"/>
      <c r="W1314" s="76"/>
      <c r="X1314" s="76"/>
      <c r="Y1314" s="167"/>
      <c r="Z1314" s="234" t="s">
        <v>1351</v>
      </c>
      <c r="AA1314" s="168"/>
      <c r="AB1314" s="97"/>
      <c r="AC1314" s="76"/>
      <c r="AD1314" s="168"/>
      <c r="AE1314" s="76"/>
      <c r="AF1314" s="76"/>
      <c r="AG1314" s="153">
        <v>46132.0</v>
      </c>
      <c r="AH1314" s="153">
        <v>46226.0</v>
      </c>
      <c r="AI1314" s="67"/>
      <c r="AJ1314" s="67"/>
      <c r="AK1314" s="70"/>
      <c r="AL1314" s="70"/>
      <c r="AM1314" s="135"/>
      <c r="AN1314" s="135"/>
      <c r="AO1314" s="70"/>
      <c r="AP1314" s="70"/>
      <c r="AQ1314" s="67"/>
      <c r="AR1314" s="67"/>
      <c r="AS1314" s="67"/>
      <c r="AT1314" s="67"/>
    </row>
    <row r="1315">
      <c r="A1315" s="76" t="s">
        <v>116</v>
      </c>
      <c r="B1315" s="77" t="s">
        <v>1039</v>
      </c>
      <c r="C1315" s="77" t="s">
        <v>1728</v>
      </c>
      <c r="D1315" s="77" t="s">
        <v>121</v>
      </c>
      <c r="E1315" s="78" t="s">
        <v>201</v>
      </c>
      <c r="F1315" s="80" t="s">
        <v>1849</v>
      </c>
      <c r="G1315" s="77" t="s">
        <v>722</v>
      </c>
      <c r="H1315" s="77" t="s">
        <v>60</v>
      </c>
      <c r="I1315" s="87" t="s">
        <v>1221</v>
      </c>
      <c r="J1315" s="76" t="s">
        <v>114</v>
      </c>
      <c r="K1315" s="76"/>
      <c r="L1315" s="85">
        <v>10.0</v>
      </c>
      <c r="M1315" s="76" t="s">
        <v>60</v>
      </c>
      <c r="N1315" s="76" t="s">
        <v>12293</v>
      </c>
      <c r="O1315" s="76" t="s">
        <v>12294</v>
      </c>
      <c r="P1315" s="523">
        <v>34951.0</v>
      </c>
      <c r="Q1315" s="315">
        <f t="shared" si="175"/>
        <v>34951</v>
      </c>
      <c r="R1315" s="97">
        <f t="shared" si="176"/>
        <v>30</v>
      </c>
      <c r="S1315" s="76">
        <v>3.495003497E9</v>
      </c>
      <c r="T1315" s="1167"/>
      <c r="U1315" s="76" t="s">
        <v>393</v>
      </c>
      <c r="V1315" s="76"/>
      <c r="W1315" s="76"/>
      <c r="X1315" s="76"/>
      <c r="Y1315" s="276"/>
      <c r="Z1315" s="290" t="s">
        <v>1755</v>
      </c>
      <c r="AA1315" s="76"/>
      <c r="AB1315" s="368"/>
      <c r="AC1315" s="369"/>
      <c r="AD1315" s="99"/>
      <c r="AE1315" s="76" t="s">
        <v>1136</v>
      </c>
      <c r="AF1315" s="76" t="s">
        <v>6675</v>
      </c>
      <c r="AG1315" s="369"/>
      <c r="AH1315" s="602">
        <v>46172.0</v>
      </c>
      <c r="AI1315" s="67"/>
      <c r="AJ1315" s="67"/>
      <c r="AK1315" s="70"/>
      <c r="AL1315" s="70"/>
      <c r="AM1315" s="135"/>
      <c r="AN1315" s="135"/>
      <c r="AO1315" s="70"/>
      <c r="AP1315" s="70"/>
      <c r="AQ1315" s="67"/>
      <c r="AR1315" s="67"/>
      <c r="AS1315" s="67"/>
      <c r="AT1315" s="67"/>
    </row>
    <row r="1316">
      <c r="A1316" s="76" t="s">
        <v>116</v>
      </c>
      <c r="B1316" s="77" t="s">
        <v>1039</v>
      </c>
      <c r="C1316" s="77" t="s">
        <v>1728</v>
      </c>
      <c r="D1316" s="77" t="s">
        <v>121</v>
      </c>
      <c r="E1316" s="78" t="s">
        <v>287</v>
      </c>
      <c r="F1316" s="80" t="s">
        <v>2853</v>
      </c>
      <c r="G1316" s="77" t="s">
        <v>739</v>
      </c>
      <c r="H1316" s="77" t="s">
        <v>60</v>
      </c>
      <c r="I1316" s="87" t="s">
        <v>1221</v>
      </c>
      <c r="J1316" s="76" t="s">
        <v>114</v>
      </c>
      <c r="K1316" s="124" t="s">
        <v>12295</v>
      </c>
      <c r="L1316" s="85"/>
      <c r="M1316" s="85" t="s">
        <v>102</v>
      </c>
      <c r="N1316" s="287" t="s">
        <v>10771</v>
      </c>
      <c r="O1316" s="76" t="s">
        <v>10772</v>
      </c>
      <c r="P1316" s="825">
        <v>34772.0</v>
      </c>
      <c r="Q1316" s="315">
        <f t="shared" si="175"/>
        <v>34772</v>
      </c>
      <c r="R1316" s="97">
        <f t="shared" si="176"/>
        <v>31</v>
      </c>
      <c r="S1316" s="76">
        <v>3.477104891E9</v>
      </c>
      <c r="T1316" s="1167"/>
      <c r="U1316" s="76" t="s">
        <v>136</v>
      </c>
      <c r="V1316" s="76"/>
      <c r="W1316" s="76"/>
      <c r="X1316" s="76"/>
      <c r="Y1316" s="276" t="s">
        <v>1836</v>
      </c>
      <c r="Z1316" s="368"/>
      <c r="AA1316" s="76"/>
      <c r="AB1316" s="368"/>
      <c r="AC1316" s="369"/>
      <c r="AD1316" s="492"/>
      <c r="AE1316" s="76"/>
      <c r="AF1316" s="369" t="s">
        <v>12296</v>
      </c>
      <c r="AG1316" s="76" t="s">
        <v>1187</v>
      </c>
      <c r="AH1316" s="76" t="s">
        <v>12297</v>
      </c>
      <c r="AI1316" s="67"/>
      <c r="AJ1316" s="67"/>
      <c r="AK1316" s="70"/>
      <c r="AL1316" s="70"/>
      <c r="AM1316" s="135"/>
      <c r="AN1316" s="135"/>
      <c r="AO1316" s="70"/>
      <c r="AP1316" s="70"/>
      <c r="AQ1316" s="67"/>
      <c r="AR1316" s="67"/>
      <c r="AS1316" s="67"/>
      <c r="AT1316" s="67"/>
    </row>
    <row r="1317">
      <c r="A1317" s="76" t="s">
        <v>116</v>
      </c>
      <c r="B1317" s="77" t="s">
        <v>1645</v>
      </c>
      <c r="C1317" s="77" t="s">
        <v>1269</v>
      </c>
      <c r="D1317" s="77" t="s">
        <v>1519</v>
      </c>
      <c r="E1317" s="78" t="s">
        <v>58</v>
      </c>
      <c r="F1317" s="80" t="s">
        <v>1496</v>
      </c>
      <c r="G1317" s="77" t="s">
        <v>892</v>
      </c>
      <c r="H1317" s="77" t="s">
        <v>60</v>
      </c>
      <c r="I1317" s="87" t="s">
        <v>1221</v>
      </c>
      <c r="J1317" s="85" t="s">
        <v>114</v>
      </c>
      <c r="K1317" s="176" t="s">
        <v>12298</v>
      </c>
      <c r="L1317" s="76"/>
      <c r="M1317" s="85" t="s">
        <v>60</v>
      </c>
      <c r="N1317" s="287" t="s">
        <v>890</v>
      </c>
      <c r="O1317" s="76" t="s">
        <v>891</v>
      </c>
      <c r="P1317" s="523">
        <v>33253.0</v>
      </c>
      <c r="Q1317" s="315">
        <f t="shared" si="175"/>
        <v>33253</v>
      </c>
      <c r="R1317" s="86">
        <f t="shared" si="176"/>
        <v>35</v>
      </c>
      <c r="S1317" s="76">
        <v>3.32520359E9</v>
      </c>
      <c r="T1317" s="86"/>
      <c r="U1317" s="76" t="s">
        <v>136</v>
      </c>
      <c r="V1317" s="76"/>
      <c r="W1317" s="76"/>
      <c r="X1317" s="97"/>
      <c r="Y1317" s="167"/>
      <c r="Z1317" s="176" t="s">
        <v>1460</v>
      </c>
      <c r="AA1317" s="168"/>
      <c r="AB1317" s="97"/>
      <c r="AC1317" s="168"/>
      <c r="AD1317" s="168"/>
      <c r="AE1317" s="76"/>
      <c r="AF1317" s="76" t="s">
        <v>155</v>
      </c>
      <c r="AG1317" s="341" t="s">
        <v>1187</v>
      </c>
      <c r="AH1317" s="76" t="s">
        <v>12299</v>
      </c>
      <c r="AI1317" s="67"/>
      <c r="AJ1317" s="67"/>
      <c r="AK1317" s="70"/>
      <c r="AL1317" s="70"/>
      <c r="AM1317" s="135"/>
      <c r="AN1317" s="135"/>
      <c r="AO1317" s="70"/>
      <c r="AP1317" s="70"/>
      <c r="AQ1317" s="67"/>
      <c r="AR1317" s="67"/>
      <c r="AS1317" s="67"/>
      <c r="AT1317" s="67"/>
    </row>
    <row r="1318">
      <c r="A1318" s="76" t="s">
        <v>116</v>
      </c>
      <c r="B1318" s="77" t="s">
        <v>1645</v>
      </c>
      <c r="C1318" s="77" t="s">
        <v>1611</v>
      </c>
      <c r="D1318" s="77" t="s">
        <v>1519</v>
      </c>
      <c r="E1318" s="78" t="s">
        <v>139</v>
      </c>
      <c r="F1318" s="80" t="s">
        <v>1520</v>
      </c>
      <c r="G1318" s="77" t="s">
        <v>5000</v>
      </c>
      <c r="H1318" s="77" t="s">
        <v>60</v>
      </c>
      <c r="I1318" s="87" t="s">
        <v>1221</v>
      </c>
      <c r="J1318" s="76" t="s">
        <v>114</v>
      </c>
      <c r="K1318" s="76"/>
      <c r="L1318" s="47"/>
      <c r="M1318" s="85" t="s">
        <v>60</v>
      </c>
      <c r="N1318" s="286" t="s">
        <v>12300</v>
      </c>
      <c r="O1318" s="76" t="s">
        <v>4857</v>
      </c>
      <c r="P1318" s="523"/>
      <c r="Q1318" s="315">
        <f t="shared" si="175"/>
        <v>1</v>
      </c>
      <c r="R1318" s="86">
        <f t="shared" si="176"/>
        <v>126</v>
      </c>
      <c r="S1318" s="76"/>
      <c r="T1318" s="315"/>
      <c r="U1318" s="76" t="s">
        <v>136</v>
      </c>
      <c r="V1318" s="76"/>
      <c r="W1318" s="76"/>
      <c r="X1318" s="76"/>
      <c r="Y1318" s="97"/>
      <c r="Z1318" s="216" t="s">
        <v>1173</v>
      </c>
      <c r="AA1318" s="76" t="s">
        <v>1178</v>
      </c>
      <c r="AB1318" s="97"/>
      <c r="AC1318" s="76"/>
      <c r="AD1318" s="76"/>
      <c r="AE1318" s="76"/>
      <c r="AF1318" s="76"/>
      <c r="AG1318" s="76" t="s">
        <v>12301</v>
      </c>
      <c r="AH1318" s="153">
        <v>46225.0</v>
      </c>
      <c r="AI1318" s="67"/>
      <c r="AJ1318" s="67"/>
      <c r="AK1318" s="70"/>
      <c r="AL1318" s="70"/>
      <c r="AM1318" s="135"/>
      <c r="AN1318" s="135"/>
      <c r="AO1318" s="70"/>
      <c r="AP1318" s="70"/>
      <c r="AQ1318" s="67"/>
      <c r="AR1318" s="67"/>
      <c r="AS1318" s="67"/>
      <c r="AT1318" s="67"/>
    </row>
    <row r="1319">
      <c r="A1319" s="76" t="s">
        <v>116</v>
      </c>
      <c r="B1319" s="77" t="s">
        <v>1645</v>
      </c>
      <c r="C1319" s="77" t="s">
        <v>1269</v>
      </c>
      <c r="D1319" s="77" t="s">
        <v>1368</v>
      </c>
      <c r="E1319" s="78" t="s">
        <v>187</v>
      </c>
      <c r="F1319" s="80" t="s">
        <v>1469</v>
      </c>
      <c r="G1319" s="77" t="s">
        <v>811</v>
      </c>
      <c r="H1319" s="77" t="s">
        <v>60</v>
      </c>
      <c r="I1319" s="87" t="s">
        <v>1221</v>
      </c>
      <c r="J1319" s="1150"/>
      <c r="K1319" s="355"/>
      <c r="L1319" s="1016"/>
      <c r="M1319" s="821" t="s">
        <v>610</v>
      </c>
      <c r="N1319" s="1198" t="s">
        <v>12302</v>
      </c>
      <c r="O1319" s="1199"/>
      <c r="P1319" s="1152"/>
      <c r="Q1319" s="1153"/>
      <c r="R1319" s="67"/>
      <c r="S1319" s="355"/>
      <c r="T1319" s="1153"/>
      <c r="U1319" s="76" t="s">
        <v>379</v>
      </c>
      <c r="V1319" s="86"/>
      <c r="W1319" s="97"/>
      <c r="X1319" s="97"/>
      <c r="Y1319" s="97"/>
      <c r="Z1319" s="97"/>
      <c r="AA1319" s="97"/>
      <c r="AB1319" s="97"/>
      <c r="AC1319" s="160" t="s">
        <v>630</v>
      </c>
      <c r="AD1319" s="76" t="s">
        <v>632</v>
      </c>
      <c r="AE1319" s="76" t="s">
        <v>632</v>
      </c>
      <c r="AF1319" s="160" t="s">
        <v>630</v>
      </c>
      <c r="AG1319" s="112"/>
      <c r="AH1319" s="112"/>
      <c r="AI1319" s="67"/>
      <c r="AJ1319" s="67"/>
      <c r="AK1319" s="70"/>
      <c r="AL1319" s="70"/>
      <c r="AM1319" s="135"/>
      <c r="AN1319" s="135"/>
      <c r="AO1319" s="70"/>
      <c r="AP1319" s="70"/>
      <c r="AQ1319" s="67"/>
      <c r="AR1319" s="67"/>
      <c r="AS1319" s="67"/>
      <c r="AT1319" s="67"/>
    </row>
    <row r="1320">
      <c r="A1320" s="76" t="s">
        <v>116</v>
      </c>
      <c r="B1320" s="77" t="s">
        <v>3332</v>
      </c>
      <c r="C1320" s="77" t="s">
        <v>6561</v>
      </c>
      <c r="D1320" s="77" t="s">
        <v>121</v>
      </c>
      <c r="E1320" s="78" t="s">
        <v>1431</v>
      </c>
      <c r="F1320" s="80" t="s">
        <v>1437</v>
      </c>
      <c r="G1320" s="77" t="s">
        <v>10069</v>
      </c>
      <c r="H1320" s="77" t="s">
        <v>60</v>
      </c>
      <c r="I1320" s="87" t="s">
        <v>1221</v>
      </c>
      <c r="J1320" s="76" t="s">
        <v>114</v>
      </c>
      <c r="K1320" s="176" t="s">
        <v>12303</v>
      </c>
      <c r="L1320" s="47" t="s">
        <v>12304</v>
      </c>
      <c r="M1320" s="85" t="s">
        <v>60</v>
      </c>
      <c r="N1320" s="157" t="s">
        <v>12305</v>
      </c>
      <c r="O1320" s="1001" t="s">
        <v>6768</v>
      </c>
      <c r="P1320" s="523">
        <v>30523.0</v>
      </c>
      <c r="Q1320" s="315">
        <f t="shared" ref="Q1320:Q1325" si="177">VALUE(LEFT(TEXT(S1320,0),5))+1</f>
        <v>30523</v>
      </c>
      <c r="R1320" s="86">
        <f t="shared" ref="R1320:R1327" si="178">DATEDIF($P1320,TODAY(),"Y")</f>
        <v>43</v>
      </c>
      <c r="S1320" s="76">
        <v>3.052204716E9</v>
      </c>
      <c r="T1320" s="76"/>
      <c r="U1320" s="76" t="s">
        <v>379</v>
      </c>
      <c r="V1320" s="76"/>
      <c r="W1320" s="76"/>
      <c r="X1320" s="76"/>
      <c r="Y1320" s="97"/>
      <c r="Z1320" s="290" t="s">
        <v>1755</v>
      </c>
      <c r="AA1320" s="76" t="s">
        <v>1178</v>
      </c>
      <c r="AB1320" s="76"/>
      <c r="AC1320" s="76" t="s">
        <v>12306</v>
      </c>
      <c r="AD1320" s="76"/>
      <c r="AE1320" s="76"/>
      <c r="AF1320" s="302" t="s">
        <v>12307</v>
      </c>
      <c r="AG1320" s="189"/>
      <c r="AH1320" s="291" t="s">
        <v>1330</v>
      </c>
      <c r="AI1320" s="67"/>
      <c r="AJ1320" s="67"/>
      <c r="AK1320" s="70"/>
      <c r="AL1320" s="70"/>
      <c r="AM1320" s="135"/>
      <c r="AN1320" s="135"/>
      <c r="AO1320" s="70"/>
      <c r="AP1320" s="70"/>
      <c r="AQ1320" s="67"/>
      <c r="AR1320" s="67"/>
      <c r="AS1320" s="67"/>
      <c r="AT1320" s="67"/>
    </row>
    <row r="1321">
      <c r="A1321" s="76" t="s">
        <v>116</v>
      </c>
      <c r="B1321" s="77" t="s">
        <v>6229</v>
      </c>
      <c r="C1321" s="77" t="s">
        <v>121</v>
      </c>
      <c r="D1321" s="77" t="s">
        <v>121</v>
      </c>
      <c r="E1321" s="78" t="s">
        <v>1536</v>
      </c>
      <c r="F1321" s="80" t="s">
        <v>6230</v>
      </c>
      <c r="G1321" s="77" t="s">
        <v>2158</v>
      </c>
      <c r="H1321" s="77" t="s">
        <v>60</v>
      </c>
      <c r="I1321" s="87" t="s">
        <v>1221</v>
      </c>
      <c r="J1321" s="85" t="s">
        <v>114</v>
      </c>
      <c r="K1321" s="85"/>
      <c r="L1321" s="85"/>
      <c r="M1321" s="85" t="s">
        <v>60</v>
      </c>
      <c r="N1321" s="913" t="s">
        <v>12308</v>
      </c>
      <c r="O1321" s="76" t="s">
        <v>282</v>
      </c>
      <c r="P1321" s="523">
        <v>33954.0</v>
      </c>
      <c r="Q1321" s="315">
        <f t="shared" si="177"/>
        <v>33954</v>
      </c>
      <c r="R1321" s="97">
        <f t="shared" si="178"/>
        <v>33</v>
      </c>
      <c r="S1321" s="76">
        <v>3.39530721E9</v>
      </c>
      <c r="T1321" s="315"/>
      <c r="U1321" s="76" t="s">
        <v>379</v>
      </c>
      <c r="V1321" s="76"/>
      <c r="W1321" s="76"/>
      <c r="X1321" s="76"/>
      <c r="Y1321" s="97" t="s">
        <v>183</v>
      </c>
      <c r="Z1321" s="278" t="s">
        <v>2090</v>
      </c>
      <c r="AA1321" s="76"/>
      <c r="AB1321" s="76"/>
      <c r="AC1321" s="76" t="s">
        <v>632</v>
      </c>
      <c r="AD1321" s="99"/>
      <c r="AE1321" s="76" t="s">
        <v>632</v>
      </c>
      <c r="AF1321" s="76"/>
      <c r="AG1321" s="76"/>
      <c r="AH1321" s="76" t="s">
        <v>12309</v>
      </c>
      <c r="AI1321" s="67"/>
      <c r="AJ1321" s="67"/>
      <c r="AK1321" s="70"/>
      <c r="AL1321" s="70"/>
      <c r="AM1321" s="135"/>
      <c r="AN1321" s="135"/>
      <c r="AO1321" s="70"/>
      <c r="AP1321" s="70"/>
      <c r="AQ1321" s="67"/>
      <c r="AR1321" s="67"/>
      <c r="AS1321" s="67"/>
      <c r="AT1321" s="67"/>
    </row>
    <row r="1322">
      <c r="A1322" s="76" t="s">
        <v>116</v>
      </c>
      <c r="B1322" s="77" t="s">
        <v>3423</v>
      </c>
      <c r="C1322" s="77" t="s">
        <v>121</v>
      </c>
      <c r="D1322" s="77" t="s">
        <v>121</v>
      </c>
      <c r="E1322" s="78" t="s">
        <v>2289</v>
      </c>
      <c r="F1322" s="80" t="s">
        <v>7038</v>
      </c>
      <c r="G1322" s="77" t="s">
        <v>8632</v>
      </c>
      <c r="H1322" s="77" t="s">
        <v>60</v>
      </c>
      <c r="I1322" s="87" t="s">
        <v>1221</v>
      </c>
      <c r="J1322" s="76" t="s">
        <v>114</v>
      </c>
      <c r="K1322" s="176" t="s">
        <v>1602</v>
      </c>
      <c r="L1322" s="47" t="s">
        <v>12304</v>
      </c>
      <c r="M1322" s="85" t="s">
        <v>60</v>
      </c>
      <c r="N1322" s="1123" t="s">
        <v>12310</v>
      </c>
      <c r="O1322" s="1001" t="s">
        <v>12311</v>
      </c>
      <c r="P1322" s="523">
        <v>36260.0</v>
      </c>
      <c r="Q1322" s="315">
        <f t="shared" si="177"/>
        <v>36260</v>
      </c>
      <c r="R1322" s="86">
        <f t="shared" si="178"/>
        <v>27</v>
      </c>
      <c r="S1322" s="76">
        <v>3.625906093E9</v>
      </c>
      <c r="T1322" s="315"/>
      <c r="U1322" s="76" t="s">
        <v>379</v>
      </c>
      <c r="V1322" s="76"/>
      <c r="W1322" s="76"/>
      <c r="X1322" s="76"/>
      <c r="Y1322" s="97"/>
      <c r="Z1322" s="344" t="s">
        <v>2506</v>
      </c>
      <c r="AA1322" s="76"/>
      <c r="AB1322" s="76" t="s">
        <v>192</v>
      </c>
      <c r="AC1322" s="76" t="s">
        <v>12312</v>
      </c>
      <c r="AD1322" s="276"/>
      <c r="AE1322" s="76"/>
      <c r="AF1322" s="76" t="s">
        <v>5238</v>
      </c>
      <c r="AG1322" s="76"/>
      <c r="AH1322" s="76" t="s">
        <v>12313</v>
      </c>
      <c r="AI1322" s="67"/>
      <c r="AJ1322" s="67"/>
      <c r="AK1322" s="70"/>
      <c r="AL1322" s="70"/>
      <c r="AM1322" s="135"/>
      <c r="AN1322" s="135"/>
      <c r="AO1322" s="70"/>
      <c r="AP1322" s="70"/>
      <c r="AQ1322" s="67"/>
      <c r="AR1322" s="67"/>
      <c r="AS1322" s="67"/>
      <c r="AT1322" s="67"/>
    </row>
    <row r="1323">
      <c r="A1323" s="76" t="s">
        <v>116</v>
      </c>
      <c r="B1323" s="77" t="s">
        <v>3898</v>
      </c>
      <c r="C1323" s="77" t="s">
        <v>8583</v>
      </c>
      <c r="D1323" s="77" t="s">
        <v>121</v>
      </c>
      <c r="E1323" s="78" t="s">
        <v>1978</v>
      </c>
      <c r="F1323" s="80" t="s">
        <v>7224</v>
      </c>
      <c r="G1323" s="77" t="s">
        <v>9319</v>
      </c>
      <c r="H1323" s="77" t="s">
        <v>60</v>
      </c>
      <c r="I1323" s="87" t="s">
        <v>1221</v>
      </c>
      <c r="J1323" s="195" t="s">
        <v>114</v>
      </c>
      <c r="K1323" s="363" t="s">
        <v>12314</v>
      </c>
      <c r="L1323" s="85" t="s">
        <v>12304</v>
      </c>
      <c r="M1323" s="195" t="s">
        <v>656</v>
      </c>
      <c r="N1323" s="189" t="s">
        <v>1773</v>
      </c>
      <c r="O1323" s="1200" t="s">
        <v>1775</v>
      </c>
      <c r="P1323" s="315">
        <v>30854.0</v>
      </c>
      <c r="Q1323" s="852">
        <f t="shared" si="177"/>
        <v>30854</v>
      </c>
      <c r="R1323" s="189">
        <f t="shared" si="178"/>
        <v>42</v>
      </c>
      <c r="S1323" s="189">
        <v>3.085314054E9</v>
      </c>
      <c r="T1323" s="194"/>
      <c r="U1323" s="76" t="s">
        <v>379</v>
      </c>
      <c r="V1323" s="76"/>
      <c r="W1323" s="189"/>
      <c r="X1323" s="194"/>
      <c r="Y1323" s="194"/>
      <c r="Z1323" s="360" t="s">
        <v>1460</v>
      </c>
      <c r="AA1323" s="194"/>
      <c r="AB1323" s="189" t="s">
        <v>192</v>
      </c>
      <c r="AC1323" s="76" t="s">
        <v>12306</v>
      </c>
      <c r="AD1323" s="194"/>
      <c r="AE1323" s="189"/>
      <c r="AF1323" s="194"/>
      <c r="AG1323" s="194"/>
      <c r="AH1323" s="194"/>
      <c r="AI1323" s="67"/>
      <c r="AJ1323" s="67"/>
      <c r="AK1323" s="70"/>
      <c r="AL1323" s="70"/>
      <c r="AM1323" s="135"/>
      <c r="AN1323" s="135"/>
      <c r="AO1323" s="70"/>
      <c r="AP1323" s="70"/>
      <c r="AQ1323" s="67"/>
      <c r="AR1323" s="67"/>
      <c r="AS1323" s="67"/>
      <c r="AT1323" s="67"/>
    </row>
    <row r="1324">
      <c r="A1324" s="76" t="s">
        <v>116</v>
      </c>
      <c r="B1324" s="77" t="s">
        <v>3297</v>
      </c>
      <c r="C1324" s="77" t="s">
        <v>3298</v>
      </c>
      <c r="D1324" s="77" t="s">
        <v>121</v>
      </c>
      <c r="E1324" s="78" t="s">
        <v>201</v>
      </c>
      <c r="F1324" s="80" t="s">
        <v>1849</v>
      </c>
      <c r="G1324" s="77" t="s">
        <v>8136</v>
      </c>
      <c r="H1324" s="77" t="s">
        <v>60</v>
      </c>
      <c r="I1324" s="87" t="s">
        <v>1221</v>
      </c>
      <c r="J1324" s="76" t="s">
        <v>114</v>
      </c>
      <c r="K1324" s="47" t="s">
        <v>12315</v>
      </c>
      <c r="L1324" s="85" t="s">
        <v>12304</v>
      </c>
      <c r="M1324" s="85" t="s">
        <v>60</v>
      </c>
      <c r="N1324" s="157" t="s">
        <v>8591</v>
      </c>
      <c r="O1324" s="1001" t="s">
        <v>10175</v>
      </c>
      <c r="P1324" s="523">
        <v>26780.0</v>
      </c>
      <c r="Q1324" s="315">
        <f t="shared" si="177"/>
        <v>26780</v>
      </c>
      <c r="R1324" s="86">
        <f t="shared" si="178"/>
        <v>53</v>
      </c>
      <c r="S1324" s="76">
        <v>2.677924353E9</v>
      </c>
      <c r="T1324" s="315"/>
      <c r="U1324" s="76" t="s">
        <v>379</v>
      </c>
      <c r="V1324" s="76"/>
      <c r="W1324" s="76"/>
      <c r="X1324" s="76"/>
      <c r="Y1324" s="97"/>
      <c r="Z1324" s="216" t="s">
        <v>2521</v>
      </c>
      <c r="AA1324" s="76"/>
      <c r="AB1324" s="97"/>
      <c r="AC1324" s="76" t="s">
        <v>12306</v>
      </c>
      <c r="AD1324" s="217">
        <v>46222.0</v>
      </c>
      <c r="AE1324" s="76"/>
      <c r="AF1324" s="76"/>
      <c r="AG1324" s="189"/>
      <c r="AH1324" s="153">
        <v>46139.0</v>
      </c>
      <c r="AI1324" s="67"/>
      <c r="AJ1324" s="67"/>
      <c r="AK1324" s="70"/>
      <c r="AL1324" s="70"/>
      <c r="AM1324" s="135"/>
      <c r="AN1324" s="135"/>
      <c r="AO1324" s="70"/>
      <c r="AP1324" s="70"/>
      <c r="AQ1324" s="67"/>
      <c r="AR1324" s="67"/>
      <c r="AS1324" s="67"/>
      <c r="AT1324" s="67"/>
    </row>
    <row r="1325">
      <c r="A1325" s="76" t="s">
        <v>116</v>
      </c>
      <c r="B1325" s="77" t="s">
        <v>1728</v>
      </c>
      <c r="C1325" s="77" t="s">
        <v>121</v>
      </c>
      <c r="D1325" s="77" t="s">
        <v>121</v>
      </c>
      <c r="E1325" s="78" t="s">
        <v>331</v>
      </c>
      <c r="F1325" s="80" t="s">
        <v>1731</v>
      </c>
      <c r="G1325" s="77" t="s">
        <v>577</v>
      </c>
      <c r="H1325" s="77" t="s">
        <v>60</v>
      </c>
      <c r="I1325" s="87" t="s">
        <v>1221</v>
      </c>
      <c r="J1325" s="76" t="s">
        <v>114</v>
      </c>
      <c r="K1325" s="76"/>
      <c r="L1325" s="85" t="s">
        <v>12304</v>
      </c>
      <c r="M1325" s="85" t="s">
        <v>60</v>
      </c>
      <c r="N1325" s="233" t="s">
        <v>2276</v>
      </c>
      <c r="O1325" s="928" t="s">
        <v>9840</v>
      </c>
      <c r="P1325" s="262">
        <v>31108.0</v>
      </c>
      <c r="Q1325" s="315">
        <f t="shared" si="177"/>
        <v>31108</v>
      </c>
      <c r="R1325" s="97">
        <f t="shared" si="178"/>
        <v>41</v>
      </c>
      <c r="S1325" s="76">
        <v>3.110708539E9</v>
      </c>
      <c r="T1325" s="315"/>
      <c r="U1325" s="76" t="s">
        <v>379</v>
      </c>
      <c r="V1325" s="76"/>
      <c r="W1325" s="76"/>
      <c r="X1325" s="76"/>
      <c r="Y1325" s="276"/>
      <c r="Z1325" s="97"/>
      <c r="AA1325" s="76"/>
      <c r="AB1325" s="97"/>
      <c r="AC1325" s="76" t="s">
        <v>12306</v>
      </c>
      <c r="AD1325" s="99"/>
      <c r="AE1325" s="76"/>
      <c r="AF1325" s="76"/>
      <c r="AG1325" s="76"/>
      <c r="AH1325" s="85" t="s">
        <v>12316</v>
      </c>
      <c r="AI1325" s="67"/>
      <c r="AJ1325" s="67"/>
      <c r="AK1325" s="70"/>
      <c r="AL1325" s="70"/>
      <c r="AM1325" s="135"/>
      <c r="AN1325" s="135"/>
      <c r="AO1325" s="70"/>
      <c r="AP1325" s="70"/>
      <c r="AQ1325" s="67"/>
      <c r="AR1325" s="67"/>
      <c r="AS1325" s="67"/>
      <c r="AT1325" s="67"/>
    </row>
    <row r="1326">
      <c r="A1326" s="76" t="s">
        <v>116</v>
      </c>
      <c r="B1326" s="77" t="s">
        <v>1728</v>
      </c>
      <c r="C1326" s="77" t="s">
        <v>121</v>
      </c>
      <c r="D1326" s="77" t="s">
        <v>121</v>
      </c>
      <c r="E1326" s="78" t="s">
        <v>287</v>
      </c>
      <c r="F1326" s="80" t="s">
        <v>2853</v>
      </c>
      <c r="G1326" s="77" t="s">
        <v>288</v>
      </c>
      <c r="H1326" s="77" t="s">
        <v>60</v>
      </c>
      <c r="I1326" s="87" t="s">
        <v>1221</v>
      </c>
      <c r="J1326" s="97" t="s">
        <v>114</v>
      </c>
      <c r="K1326" s="76"/>
      <c r="L1326" s="85" t="s">
        <v>12304</v>
      </c>
      <c r="M1326" s="86" t="s">
        <v>60</v>
      </c>
      <c r="N1326" s="233" t="s">
        <v>12317</v>
      </c>
      <c r="O1326" s="1201" t="s">
        <v>12318</v>
      </c>
      <c r="P1326" s="825">
        <v>33960.0</v>
      </c>
      <c r="Q1326" s="315"/>
      <c r="R1326" s="97">
        <f t="shared" si="178"/>
        <v>33</v>
      </c>
      <c r="S1326" s="315"/>
      <c r="T1326" s="315"/>
      <c r="U1326" s="76" t="s">
        <v>379</v>
      </c>
      <c r="V1326" s="76"/>
      <c r="W1326" s="76"/>
      <c r="X1326" s="76"/>
      <c r="Y1326" s="211" t="s">
        <v>1815</v>
      </c>
      <c r="Z1326" s="216" t="s">
        <v>4335</v>
      </c>
      <c r="AA1326" s="97"/>
      <c r="AB1326" s="97"/>
      <c r="AC1326" s="76" t="s">
        <v>12312</v>
      </c>
      <c r="AD1326" s="99"/>
      <c r="AE1326" s="76"/>
      <c r="AF1326" s="76" t="s">
        <v>10893</v>
      </c>
      <c r="AG1326" s="76"/>
      <c r="AH1326" s="85" t="s">
        <v>12319</v>
      </c>
      <c r="AI1326" s="67"/>
      <c r="AJ1326" s="67"/>
      <c r="AK1326" s="70"/>
      <c r="AL1326" s="70"/>
      <c r="AM1326" s="135"/>
      <c r="AN1326" s="135"/>
      <c r="AO1326" s="70"/>
      <c r="AP1326" s="70"/>
      <c r="AQ1326" s="67"/>
      <c r="AR1326" s="67"/>
      <c r="AS1326" s="67"/>
      <c r="AT1326" s="67"/>
    </row>
    <row r="1327">
      <c r="A1327" s="76" t="s">
        <v>116</v>
      </c>
      <c r="B1327" s="77" t="s">
        <v>1728</v>
      </c>
      <c r="C1327" s="77" t="s">
        <v>121</v>
      </c>
      <c r="D1327" s="77" t="s">
        <v>121</v>
      </c>
      <c r="E1327" s="78" t="s">
        <v>1466</v>
      </c>
      <c r="F1327" s="80" t="s">
        <v>8998</v>
      </c>
      <c r="G1327" s="77" t="s">
        <v>8716</v>
      </c>
      <c r="H1327" s="77" t="s">
        <v>326</v>
      </c>
      <c r="I1327" s="87" t="s">
        <v>1221</v>
      </c>
      <c r="J1327" s="76" t="s">
        <v>114</v>
      </c>
      <c r="K1327" s="76"/>
      <c r="L1327" s="47" t="s">
        <v>12304</v>
      </c>
      <c r="M1327" s="85" t="s">
        <v>60</v>
      </c>
      <c r="N1327" s="157" t="s">
        <v>12320</v>
      </c>
      <c r="O1327" s="1001" t="s">
        <v>12321</v>
      </c>
      <c r="P1327" s="523">
        <v>30645.0</v>
      </c>
      <c r="Q1327" s="315"/>
      <c r="R1327" s="86">
        <f t="shared" si="178"/>
        <v>42</v>
      </c>
      <c r="S1327" s="76"/>
      <c r="T1327" s="76"/>
      <c r="U1327" s="76" t="s">
        <v>379</v>
      </c>
      <c r="V1327" s="76"/>
      <c r="W1327" s="76"/>
      <c r="X1327" s="76"/>
      <c r="Y1327" s="97"/>
      <c r="Z1327" s="290" t="s">
        <v>1755</v>
      </c>
      <c r="AA1327" s="76" t="s">
        <v>1178</v>
      </c>
      <c r="AB1327" s="76" t="s">
        <v>192</v>
      </c>
      <c r="AC1327" s="76" t="s">
        <v>12312</v>
      </c>
      <c r="AD1327" s="76"/>
      <c r="AE1327" s="76"/>
      <c r="AF1327" s="76"/>
      <c r="AG1327" s="189"/>
      <c r="AH1327" s="76"/>
      <c r="AI1327" s="67"/>
      <c r="AJ1327" s="67"/>
      <c r="AK1327" s="70"/>
      <c r="AL1327" s="70"/>
      <c r="AM1327" s="135"/>
      <c r="AN1327" s="135"/>
      <c r="AO1327" s="70"/>
      <c r="AP1327" s="70"/>
      <c r="AQ1327" s="67"/>
      <c r="AR1327" s="67"/>
      <c r="AS1327" s="67"/>
      <c r="AT1327" s="67"/>
    </row>
    <row r="1328">
      <c r="A1328" s="76" t="s">
        <v>116</v>
      </c>
      <c r="B1328" s="77" t="s">
        <v>3014</v>
      </c>
      <c r="C1328" s="77" t="s">
        <v>121</v>
      </c>
      <c r="D1328" s="77" t="s">
        <v>121</v>
      </c>
      <c r="E1328" s="78" t="s">
        <v>1761</v>
      </c>
      <c r="F1328" s="80" t="s">
        <v>8851</v>
      </c>
      <c r="G1328" s="77" t="s">
        <v>1763</v>
      </c>
      <c r="H1328" s="77" t="s">
        <v>60</v>
      </c>
      <c r="I1328" s="87" t="s">
        <v>1221</v>
      </c>
      <c r="J1328" s="76" t="s">
        <v>114</v>
      </c>
      <c r="K1328" s="176" t="s">
        <v>12322</v>
      </c>
      <c r="L1328" s="85" t="s">
        <v>12304</v>
      </c>
      <c r="M1328" s="109" t="s">
        <v>60</v>
      </c>
      <c r="N1328" s="157" t="s">
        <v>12323</v>
      </c>
      <c r="O1328" s="1001" t="s">
        <v>12324</v>
      </c>
      <c r="P1328" s="523">
        <v>31871.0</v>
      </c>
      <c r="Q1328" s="315"/>
      <c r="R1328" s="86"/>
      <c r="S1328" s="76"/>
      <c r="T1328" s="315"/>
      <c r="U1328" s="76" t="s">
        <v>379</v>
      </c>
      <c r="V1328" s="76"/>
      <c r="W1328" s="76"/>
      <c r="X1328" s="76"/>
      <c r="Y1328" s="276" t="s">
        <v>371</v>
      </c>
      <c r="Z1328" s="76"/>
      <c r="AA1328" s="76"/>
      <c r="AB1328" s="310" t="s">
        <v>192</v>
      </c>
      <c r="AC1328" s="76" t="s">
        <v>12312</v>
      </c>
      <c r="AD1328" s="76"/>
      <c r="AE1328" s="76"/>
      <c r="AF1328" s="76"/>
      <c r="AG1328" s="76"/>
      <c r="AH1328" s="76"/>
      <c r="AI1328" s="67"/>
      <c r="AJ1328" s="67"/>
      <c r="AK1328" s="70"/>
      <c r="AL1328" s="70"/>
      <c r="AM1328" s="135"/>
      <c r="AN1328" s="135"/>
      <c r="AO1328" s="70"/>
      <c r="AP1328" s="70"/>
      <c r="AQ1328" s="67"/>
      <c r="AR1328" s="67"/>
      <c r="AS1328" s="67"/>
      <c r="AT1328" s="67"/>
    </row>
    <row r="1329">
      <c r="A1329" s="76" t="s">
        <v>116</v>
      </c>
      <c r="B1329" s="77" t="s">
        <v>3014</v>
      </c>
      <c r="C1329" s="77" t="s">
        <v>121</v>
      </c>
      <c r="D1329" s="77" t="s">
        <v>121</v>
      </c>
      <c r="E1329" s="78" t="s">
        <v>178</v>
      </c>
      <c r="F1329" s="80" t="s">
        <v>8487</v>
      </c>
      <c r="G1329" s="77" t="s">
        <v>2423</v>
      </c>
      <c r="H1329" s="77" t="s">
        <v>102</v>
      </c>
      <c r="I1329" s="146" t="s">
        <v>408</v>
      </c>
      <c r="J1329" s="109" t="s">
        <v>114</v>
      </c>
      <c r="K1329" s="851" t="s">
        <v>12325</v>
      </c>
      <c r="L1329" s="87"/>
      <c r="M1329" s="87" t="s">
        <v>102</v>
      </c>
      <c r="N1329" s="86" t="s">
        <v>2420</v>
      </c>
      <c r="O1329" s="87" t="s">
        <v>2421</v>
      </c>
      <c r="P1329" s="1089">
        <v>35831.0</v>
      </c>
      <c r="Q1329" s="852">
        <f t="shared" ref="Q1329:Q1333" si="179">VALUE(LEFT(TEXT(S1329,0),5))+1</f>
        <v>35831</v>
      </c>
      <c r="R1329" s="86">
        <f t="shared" ref="R1329:R1356" si="180">DATEDIF($P1329,TODAY(),"Y")</f>
        <v>28</v>
      </c>
      <c r="S1329" s="315">
        <v>3.583003874E9</v>
      </c>
      <c r="T1329" s="754"/>
      <c r="U1329" s="102" t="s">
        <v>379</v>
      </c>
      <c r="V1329" s="184"/>
      <c r="W1329" s="183"/>
      <c r="X1329" s="184"/>
      <c r="Y1329" s="184"/>
      <c r="Z1329" s="184"/>
      <c r="AA1329" s="184"/>
      <c r="AB1329" s="184"/>
      <c r="AC1329" s="97" t="s">
        <v>12326</v>
      </c>
      <c r="AD1329" s="97"/>
      <c r="AE1329" s="97" t="s">
        <v>632</v>
      </c>
      <c r="AF1329" s="185"/>
      <c r="AG1329" s="187"/>
      <c r="AH1329" s="411"/>
      <c r="AI1329" s="67"/>
      <c r="AJ1329" s="67"/>
      <c r="AK1329" s="70"/>
      <c r="AL1329" s="70"/>
      <c r="AM1329" s="135"/>
      <c r="AN1329" s="135"/>
      <c r="AO1329" s="70"/>
      <c r="AP1329" s="70"/>
      <c r="AQ1329" s="67"/>
      <c r="AR1329" s="67"/>
      <c r="AS1329" s="67"/>
      <c r="AT1329" s="67"/>
    </row>
    <row r="1330">
      <c r="A1330" s="76" t="s">
        <v>116</v>
      </c>
      <c r="B1330" s="77" t="s">
        <v>3722</v>
      </c>
      <c r="C1330" s="77" t="s">
        <v>3724</v>
      </c>
      <c r="D1330" s="77" t="s">
        <v>3746</v>
      </c>
      <c r="E1330" s="78" t="s">
        <v>786</v>
      </c>
      <c r="F1330" s="80" t="s">
        <v>1216</v>
      </c>
      <c r="G1330" s="77" t="s">
        <v>1592</v>
      </c>
      <c r="H1330" s="77" t="s">
        <v>60</v>
      </c>
      <c r="I1330" s="87" t="s">
        <v>1221</v>
      </c>
      <c r="J1330" s="109" t="s">
        <v>114</v>
      </c>
      <c r="K1330" s="118" t="s">
        <v>12327</v>
      </c>
      <c r="L1330" s="85" t="s">
        <v>12304</v>
      </c>
      <c r="M1330" s="109" t="s">
        <v>60</v>
      </c>
      <c r="N1330" s="97" t="s">
        <v>1589</v>
      </c>
      <c r="O1330" s="1202" t="s">
        <v>1590</v>
      </c>
      <c r="P1330" s="1089">
        <v>32862.0</v>
      </c>
      <c r="Q1330" s="315">
        <f t="shared" si="179"/>
        <v>32862</v>
      </c>
      <c r="R1330" s="86">
        <f t="shared" si="180"/>
        <v>36</v>
      </c>
      <c r="S1330" s="76">
        <v>3.286102752E9</v>
      </c>
      <c r="T1330" s="315" t="s">
        <v>378</v>
      </c>
      <c r="U1330" s="76" t="s">
        <v>379</v>
      </c>
      <c r="V1330" s="76"/>
      <c r="W1330" s="86"/>
      <c r="X1330" s="97"/>
      <c r="Y1330" s="97"/>
      <c r="Z1330" s="97"/>
      <c r="AA1330" s="97"/>
      <c r="AB1330" s="76" t="s">
        <v>192</v>
      </c>
      <c r="AC1330" s="76" t="s">
        <v>12312</v>
      </c>
      <c r="AD1330" s="99"/>
      <c r="AE1330" s="76"/>
      <c r="AF1330" s="76" t="s">
        <v>155</v>
      </c>
      <c r="AG1330" s="76" t="s">
        <v>12328</v>
      </c>
      <c r="AH1330" s="153">
        <v>46198.0</v>
      </c>
      <c r="AI1330" s="67"/>
      <c r="AJ1330" s="67"/>
      <c r="AK1330" s="70"/>
      <c r="AL1330" s="70"/>
      <c r="AM1330" s="135"/>
      <c r="AN1330" s="135"/>
      <c r="AO1330" s="70"/>
      <c r="AP1330" s="70"/>
      <c r="AQ1330" s="67"/>
      <c r="AR1330" s="67"/>
      <c r="AS1330" s="67"/>
      <c r="AT1330" s="67"/>
    </row>
    <row r="1331">
      <c r="A1331" s="76" t="s">
        <v>116</v>
      </c>
      <c r="B1331" s="77" t="s">
        <v>3722</v>
      </c>
      <c r="C1331" s="77" t="s">
        <v>7267</v>
      </c>
      <c r="D1331" s="77" t="s">
        <v>7134</v>
      </c>
      <c r="E1331" s="78" t="s">
        <v>786</v>
      </c>
      <c r="F1331" s="80" t="s">
        <v>7372</v>
      </c>
      <c r="G1331" s="77" t="s">
        <v>1486</v>
      </c>
      <c r="H1331" s="77" t="s">
        <v>60</v>
      </c>
      <c r="I1331" s="87" t="s">
        <v>1221</v>
      </c>
      <c r="J1331" s="76" t="s">
        <v>114</v>
      </c>
      <c r="K1331" s="76"/>
      <c r="L1331" s="85" t="s">
        <v>12304</v>
      </c>
      <c r="M1331" s="76" t="s">
        <v>60</v>
      </c>
      <c r="N1331" s="76" t="s">
        <v>12329</v>
      </c>
      <c r="O1331" s="1001" t="s">
        <v>12330</v>
      </c>
      <c r="P1331" s="523">
        <v>33874.0</v>
      </c>
      <c r="Q1331" s="315">
        <f t="shared" si="179"/>
        <v>33874</v>
      </c>
      <c r="R1331" s="97">
        <f t="shared" si="180"/>
        <v>33</v>
      </c>
      <c r="S1331" s="76">
        <v>3.387309779E9</v>
      </c>
      <c r="T1331" s="1167"/>
      <c r="U1331" s="76" t="s">
        <v>379</v>
      </c>
      <c r="V1331" s="76"/>
      <c r="W1331" s="76"/>
      <c r="X1331" s="76"/>
      <c r="Y1331" s="276" t="s">
        <v>2344</v>
      </c>
      <c r="Z1331" s="85"/>
      <c r="AA1331" s="76" t="s">
        <v>1178</v>
      </c>
      <c r="AB1331" s="76" t="s">
        <v>192</v>
      </c>
      <c r="AC1331" s="76" t="s">
        <v>12312</v>
      </c>
      <c r="AD1331" s="492"/>
      <c r="AE1331" s="76"/>
      <c r="AF1331" s="369"/>
      <c r="AG1331" s="369"/>
      <c r="AH1331" s="602"/>
      <c r="AI1331" s="67"/>
      <c r="AJ1331" s="67"/>
      <c r="AK1331" s="70"/>
      <c r="AL1331" s="70"/>
      <c r="AM1331" s="135"/>
      <c r="AN1331" s="135"/>
      <c r="AO1331" s="70"/>
      <c r="AP1331" s="70"/>
      <c r="AQ1331" s="67"/>
      <c r="AR1331" s="67"/>
      <c r="AS1331" s="67"/>
      <c r="AT1331" s="67"/>
    </row>
    <row r="1332">
      <c r="A1332" s="76" t="s">
        <v>116</v>
      </c>
      <c r="B1332" s="77" t="s">
        <v>3722</v>
      </c>
      <c r="C1332" s="77" t="s">
        <v>6996</v>
      </c>
      <c r="D1332" s="77" t="s">
        <v>7050</v>
      </c>
      <c r="E1332" s="78" t="s">
        <v>152</v>
      </c>
      <c r="F1332" s="80" t="s">
        <v>7116</v>
      </c>
      <c r="G1332" s="77" t="s">
        <v>1411</v>
      </c>
      <c r="H1332" s="77" t="s">
        <v>60</v>
      </c>
      <c r="I1332" s="87" t="s">
        <v>1221</v>
      </c>
      <c r="J1332" s="76" t="s">
        <v>114</v>
      </c>
      <c r="K1332" s="124" t="s">
        <v>11777</v>
      </c>
      <c r="L1332" s="47" t="s">
        <v>12304</v>
      </c>
      <c r="M1332" s="85" t="s">
        <v>60</v>
      </c>
      <c r="N1332" s="157" t="s">
        <v>10576</v>
      </c>
      <c r="O1332" s="1001" t="s">
        <v>10577</v>
      </c>
      <c r="P1332" s="153">
        <v>35985.0</v>
      </c>
      <c r="Q1332" s="315">
        <f t="shared" si="179"/>
        <v>35985</v>
      </c>
      <c r="R1332" s="86">
        <f t="shared" si="180"/>
        <v>28</v>
      </c>
      <c r="S1332" s="76">
        <v>3.598406978E9</v>
      </c>
      <c r="T1332" s="315"/>
      <c r="U1332" s="76" t="s">
        <v>379</v>
      </c>
      <c r="V1332" s="76"/>
      <c r="W1332" s="76"/>
      <c r="X1332" s="76"/>
      <c r="Y1332" s="97"/>
      <c r="Z1332" s="216" t="s">
        <v>1815</v>
      </c>
      <c r="AA1332" s="76" t="s">
        <v>1178</v>
      </c>
      <c r="AB1332" s="97"/>
      <c r="AC1332" s="76" t="s">
        <v>12312</v>
      </c>
      <c r="AD1332" s="76"/>
      <c r="AE1332" s="76"/>
      <c r="AF1332" s="291" t="s">
        <v>12331</v>
      </c>
      <c r="AG1332" s="76" t="s">
        <v>1187</v>
      </c>
      <c r="AH1332" s="76" t="s">
        <v>12332</v>
      </c>
      <c r="AI1332" s="67"/>
      <c r="AJ1332" s="67"/>
      <c r="AK1332" s="70"/>
      <c r="AL1332" s="70"/>
      <c r="AM1332" s="135"/>
      <c r="AN1332" s="135"/>
      <c r="AO1332" s="70"/>
      <c r="AP1332" s="70"/>
      <c r="AQ1332" s="67"/>
      <c r="AR1332" s="67"/>
      <c r="AS1332" s="67"/>
      <c r="AT1332" s="67"/>
    </row>
    <row r="1333">
      <c r="A1333" s="76" t="s">
        <v>116</v>
      </c>
      <c r="B1333" s="77" t="s">
        <v>1709</v>
      </c>
      <c r="C1333" s="77" t="s">
        <v>1728</v>
      </c>
      <c r="D1333" s="77" t="s">
        <v>121</v>
      </c>
      <c r="E1333" s="78" t="s">
        <v>1345</v>
      </c>
      <c r="F1333" s="80" t="s">
        <v>3239</v>
      </c>
      <c r="G1333" s="77" t="s">
        <v>1346</v>
      </c>
      <c r="H1333" s="77" t="s">
        <v>504</v>
      </c>
      <c r="I1333" s="146" t="s">
        <v>408</v>
      </c>
      <c r="J1333" s="85" t="s">
        <v>114</v>
      </c>
      <c r="K1333" s="85" t="s">
        <v>12333</v>
      </c>
      <c r="L1333" s="85" t="s">
        <v>12304</v>
      </c>
      <c r="M1333" s="85" t="s">
        <v>60</v>
      </c>
      <c r="N1333" s="1203" t="s">
        <v>1341</v>
      </c>
      <c r="O1333" s="1001" t="s">
        <v>1343</v>
      </c>
      <c r="P1333" s="523">
        <v>31651.0</v>
      </c>
      <c r="Q1333" s="315">
        <f t="shared" si="179"/>
        <v>31651</v>
      </c>
      <c r="R1333" s="97">
        <f t="shared" si="180"/>
        <v>40</v>
      </c>
      <c r="S1333" s="76">
        <v>3.165005551E9</v>
      </c>
      <c r="T1333" s="315"/>
      <c r="U1333" s="76" t="s">
        <v>379</v>
      </c>
      <c r="V1333" s="76"/>
      <c r="W1333" s="76"/>
      <c r="X1333" s="76"/>
      <c r="Y1333" s="97" t="s">
        <v>1174</v>
      </c>
      <c r="Z1333" s="278" t="s">
        <v>2090</v>
      </c>
      <c r="AA1333" s="76"/>
      <c r="AB1333" s="76" t="s">
        <v>192</v>
      </c>
      <c r="AC1333" s="76" t="s">
        <v>12312</v>
      </c>
      <c r="AD1333" s="99"/>
      <c r="AE1333" s="76"/>
      <c r="AF1333" s="76"/>
      <c r="AG1333" s="76" t="s">
        <v>12334</v>
      </c>
      <c r="AH1333" s="1203" t="s">
        <v>3364</v>
      </c>
      <c r="AI1333" s="67"/>
      <c r="AJ1333" s="67"/>
      <c r="AK1333" s="70"/>
      <c r="AL1333" s="70"/>
      <c r="AM1333" s="135"/>
      <c r="AN1333" s="135"/>
      <c r="AO1333" s="70"/>
      <c r="AP1333" s="70"/>
      <c r="AQ1333" s="67"/>
      <c r="AR1333" s="67"/>
      <c r="AS1333" s="67"/>
      <c r="AT1333" s="67"/>
    </row>
    <row r="1334">
      <c r="A1334" s="76" t="s">
        <v>116</v>
      </c>
      <c r="B1334" s="77" t="s">
        <v>1709</v>
      </c>
      <c r="C1334" s="77" t="s">
        <v>1611</v>
      </c>
      <c r="D1334" s="77" t="s">
        <v>1519</v>
      </c>
      <c r="E1334" s="78" t="s">
        <v>213</v>
      </c>
      <c r="F1334" s="80" t="s">
        <v>1523</v>
      </c>
      <c r="G1334" s="77" t="s">
        <v>1336</v>
      </c>
      <c r="H1334" s="77" t="s">
        <v>60</v>
      </c>
      <c r="I1334" s="87" t="s">
        <v>1221</v>
      </c>
      <c r="J1334" s="76" t="s">
        <v>114</v>
      </c>
      <c r="K1334" s="76"/>
      <c r="L1334" s="47" t="s">
        <v>12304</v>
      </c>
      <c r="M1334" s="85" t="s">
        <v>60</v>
      </c>
      <c r="N1334" s="1189" t="s">
        <v>12335</v>
      </c>
      <c r="O1334" s="1001" t="s">
        <v>12336</v>
      </c>
      <c r="P1334" s="523">
        <v>28805.0</v>
      </c>
      <c r="Q1334" s="315"/>
      <c r="R1334" s="86">
        <f t="shared" si="180"/>
        <v>47</v>
      </c>
      <c r="S1334" s="76"/>
      <c r="T1334" s="76"/>
      <c r="U1334" s="76" t="s">
        <v>379</v>
      </c>
      <c r="V1334" s="76"/>
      <c r="W1334" s="76"/>
      <c r="X1334" s="76"/>
      <c r="Y1334" s="97"/>
      <c r="Z1334" s="290" t="s">
        <v>1755</v>
      </c>
      <c r="AA1334" s="76" t="s">
        <v>1178</v>
      </c>
      <c r="AB1334" s="76"/>
      <c r="AC1334" s="76" t="s">
        <v>12312</v>
      </c>
      <c r="AD1334" s="76"/>
      <c r="AE1334" s="76"/>
      <c r="AF1334" s="76" t="s">
        <v>2586</v>
      </c>
      <c r="AG1334" s="189"/>
      <c r="AH1334" s="836" t="s">
        <v>12337</v>
      </c>
      <c r="AI1334" s="67"/>
      <c r="AJ1334" s="67"/>
      <c r="AK1334" s="70"/>
      <c r="AL1334" s="70"/>
      <c r="AM1334" s="135"/>
      <c r="AN1334" s="135"/>
      <c r="AO1334" s="70"/>
      <c r="AP1334" s="70"/>
      <c r="AQ1334" s="67"/>
      <c r="AR1334" s="67"/>
      <c r="AS1334" s="67"/>
      <c r="AT1334" s="67"/>
    </row>
    <row r="1335">
      <c r="A1335" s="76" t="s">
        <v>116</v>
      </c>
      <c r="B1335" s="77" t="s">
        <v>1709</v>
      </c>
      <c r="C1335" s="77" t="s">
        <v>1517</v>
      </c>
      <c r="D1335" s="77" t="s">
        <v>1494</v>
      </c>
      <c r="E1335" s="78" t="s">
        <v>139</v>
      </c>
      <c r="F1335" s="80" t="s">
        <v>1520</v>
      </c>
      <c r="G1335" s="77" t="s">
        <v>1270</v>
      </c>
      <c r="H1335" s="77" t="s">
        <v>60</v>
      </c>
      <c r="I1335" s="87" t="s">
        <v>1221</v>
      </c>
      <c r="J1335" s="76" t="s">
        <v>114</v>
      </c>
      <c r="K1335" s="76"/>
      <c r="L1335" s="47" t="s">
        <v>12304</v>
      </c>
      <c r="M1335" s="85" t="s">
        <v>60</v>
      </c>
      <c r="N1335" s="358" t="s">
        <v>10618</v>
      </c>
      <c r="O1335" s="1001" t="s">
        <v>10619</v>
      </c>
      <c r="P1335" s="523">
        <v>32042.0</v>
      </c>
      <c r="Q1335" s="315">
        <f t="shared" ref="Q1335:Q1351" si="181">VALUE(LEFT(TEXT(S1335,0),5))+1</f>
        <v>1</v>
      </c>
      <c r="R1335" s="86">
        <f t="shared" si="180"/>
        <v>38</v>
      </c>
      <c r="S1335" s="76"/>
      <c r="T1335" s="315"/>
      <c r="U1335" s="76" t="s">
        <v>379</v>
      </c>
      <c r="V1335" s="76"/>
      <c r="W1335" s="76"/>
      <c r="X1335" s="76"/>
      <c r="Y1335" s="595" t="s">
        <v>12338</v>
      </c>
      <c r="Z1335" s="216" t="s">
        <v>1815</v>
      </c>
      <c r="AA1335" s="76" t="s">
        <v>1178</v>
      </c>
      <c r="AB1335" s="97"/>
      <c r="AC1335" s="76" t="s">
        <v>12312</v>
      </c>
      <c r="AD1335" s="217">
        <v>46193.0</v>
      </c>
      <c r="AE1335" s="76"/>
      <c r="AF1335" s="76" t="s">
        <v>7369</v>
      </c>
      <c r="AG1335" s="76" t="s">
        <v>1187</v>
      </c>
      <c r="AH1335" s="153">
        <v>46169.0</v>
      </c>
      <c r="AI1335" s="67"/>
      <c r="AJ1335" s="67"/>
      <c r="AK1335" s="70"/>
      <c r="AL1335" s="70"/>
      <c r="AM1335" s="135"/>
      <c r="AN1335" s="135"/>
      <c r="AO1335" s="70"/>
      <c r="AP1335" s="70"/>
      <c r="AQ1335" s="67"/>
      <c r="AR1335" s="67"/>
      <c r="AS1335" s="67"/>
      <c r="AT1335" s="67"/>
    </row>
    <row r="1336">
      <c r="A1336" s="76" t="s">
        <v>116</v>
      </c>
      <c r="B1336" s="77" t="s">
        <v>1709</v>
      </c>
      <c r="C1336" s="77" t="s">
        <v>1517</v>
      </c>
      <c r="D1336" s="77" t="s">
        <v>1368</v>
      </c>
      <c r="E1336" s="78" t="s">
        <v>58</v>
      </c>
      <c r="F1336" s="80" t="s">
        <v>1496</v>
      </c>
      <c r="G1336" s="77" t="s">
        <v>5986</v>
      </c>
      <c r="H1336" s="77" t="s">
        <v>60</v>
      </c>
      <c r="I1336" s="87" t="s">
        <v>1221</v>
      </c>
      <c r="J1336" s="109" t="s">
        <v>114</v>
      </c>
      <c r="K1336" s="86"/>
      <c r="L1336" s="85" t="s">
        <v>12304</v>
      </c>
      <c r="M1336" s="87" t="s">
        <v>60</v>
      </c>
      <c r="N1336" s="97" t="s">
        <v>3462</v>
      </c>
      <c r="O1336" s="1204" t="s">
        <v>3463</v>
      </c>
      <c r="P1336" s="1089">
        <v>28125.0</v>
      </c>
      <c r="Q1336" s="315">
        <f t="shared" si="181"/>
        <v>28125</v>
      </c>
      <c r="R1336" s="86">
        <f t="shared" si="180"/>
        <v>49</v>
      </c>
      <c r="S1336" s="315">
        <v>2.812408373E9</v>
      </c>
      <c r="T1336" s="315"/>
      <c r="U1336" s="76" t="s">
        <v>379</v>
      </c>
      <c r="V1336" s="76"/>
      <c r="W1336" s="86"/>
      <c r="X1336" s="97"/>
      <c r="Y1336" s="97"/>
      <c r="Z1336" s="97"/>
      <c r="AA1336" s="97"/>
      <c r="AB1336" s="76" t="s">
        <v>192</v>
      </c>
      <c r="AC1336" s="76" t="s">
        <v>12312</v>
      </c>
      <c r="AD1336" s="76" t="s">
        <v>12306</v>
      </c>
      <c r="AE1336" s="76"/>
      <c r="AF1336" s="97" t="s">
        <v>155</v>
      </c>
      <c r="AG1336" s="76" t="s">
        <v>697</v>
      </c>
      <c r="AH1336" s="85" t="s">
        <v>12339</v>
      </c>
      <c r="AI1336" s="67"/>
      <c r="AJ1336" s="67"/>
      <c r="AK1336" s="70"/>
      <c r="AL1336" s="70"/>
      <c r="AM1336" s="135"/>
      <c r="AN1336" s="135"/>
      <c r="AO1336" s="70"/>
      <c r="AP1336" s="70"/>
      <c r="AQ1336" s="67"/>
      <c r="AR1336" s="67"/>
      <c r="AS1336" s="67"/>
      <c r="AT1336" s="67"/>
    </row>
    <row r="1337">
      <c r="A1337" s="76" t="s">
        <v>116</v>
      </c>
      <c r="B1337" s="77" t="s">
        <v>1709</v>
      </c>
      <c r="C1337" s="77" t="s">
        <v>1517</v>
      </c>
      <c r="D1337" s="77" t="s">
        <v>1368</v>
      </c>
      <c r="E1337" s="78" t="s">
        <v>212</v>
      </c>
      <c r="F1337" s="80" t="s">
        <v>2203</v>
      </c>
      <c r="G1337" s="77" t="s">
        <v>5909</v>
      </c>
      <c r="H1337" s="77" t="s">
        <v>326</v>
      </c>
      <c r="I1337" s="87" t="s">
        <v>1221</v>
      </c>
      <c r="J1337" s="76" t="s">
        <v>114</v>
      </c>
      <c r="K1337" s="76"/>
      <c r="L1337" s="47" t="s">
        <v>12304</v>
      </c>
      <c r="M1337" s="85" t="s">
        <v>60</v>
      </c>
      <c r="N1337" s="157" t="s">
        <v>12340</v>
      </c>
      <c r="O1337" s="1001" t="s">
        <v>11673</v>
      </c>
      <c r="P1337" s="523">
        <v>27057.0</v>
      </c>
      <c r="Q1337" s="315">
        <f t="shared" si="181"/>
        <v>27057</v>
      </c>
      <c r="R1337" s="86">
        <f t="shared" si="180"/>
        <v>52</v>
      </c>
      <c r="S1337" s="76">
        <v>2.705618135E9</v>
      </c>
      <c r="T1337" s="76"/>
      <c r="U1337" s="76" t="s">
        <v>379</v>
      </c>
      <c r="V1337" s="76"/>
      <c r="W1337" s="76"/>
      <c r="X1337" s="76"/>
      <c r="Y1337" s="97"/>
      <c r="Z1337" s="216" t="s">
        <v>4335</v>
      </c>
      <c r="AA1337" s="76" t="s">
        <v>1178</v>
      </c>
      <c r="AB1337" s="76"/>
      <c r="AC1337" s="76" t="s">
        <v>12312</v>
      </c>
      <c r="AD1337" s="76"/>
      <c r="AE1337" s="76"/>
      <c r="AF1337" s="76" t="s">
        <v>2586</v>
      </c>
      <c r="AG1337" s="76" t="s">
        <v>8049</v>
      </c>
      <c r="AH1337" s="76"/>
      <c r="AI1337" s="67"/>
      <c r="AJ1337" s="67"/>
      <c r="AK1337" s="70"/>
      <c r="AL1337" s="70"/>
      <c r="AM1337" s="135"/>
      <c r="AN1337" s="135"/>
      <c r="AO1337" s="70"/>
      <c r="AP1337" s="70"/>
      <c r="AQ1337" s="67"/>
      <c r="AR1337" s="67"/>
      <c r="AS1337" s="67"/>
      <c r="AT1337" s="67"/>
    </row>
    <row r="1338">
      <c r="A1338" s="76" t="s">
        <v>116</v>
      </c>
      <c r="B1338" s="77" t="s">
        <v>1709</v>
      </c>
      <c r="C1338" s="77" t="s">
        <v>1517</v>
      </c>
      <c r="D1338" s="77" t="s">
        <v>121</v>
      </c>
      <c r="E1338" s="78" t="s">
        <v>295</v>
      </c>
      <c r="F1338" s="80" t="s">
        <v>1241</v>
      </c>
      <c r="G1338" s="77" t="s">
        <v>1236</v>
      </c>
      <c r="H1338" s="77" t="s">
        <v>60</v>
      </c>
      <c r="I1338" s="87" t="s">
        <v>1221</v>
      </c>
      <c r="J1338" s="85" t="s">
        <v>114</v>
      </c>
      <c r="K1338" s="124" t="s">
        <v>12341</v>
      </c>
      <c r="L1338" s="47" t="s">
        <v>12304</v>
      </c>
      <c r="M1338" s="85" t="s">
        <v>60</v>
      </c>
      <c r="N1338" s="679" t="s">
        <v>1234</v>
      </c>
      <c r="O1338" s="1001" t="s">
        <v>1235</v>
      </c>
      <c r="P1338" s="523">
        <v>30069.0</v>
      </c>
      <c r="Q1338" s="315">
        <f t="shared" si="181"/>
        <v>30069</v>
      </c>
      <c r="R1338" s="86">
        <f t="shared" si="180"/>
        <v>44</v>
      </c>
      <c r="S1338" s="76">
        <v>3.006817853E9</v>
      </c>
      <c r="T1338" s="86"/>
      <c r="U1338" s="76" t="s">
        <v>379</v>
      </c>
      <c r="V1338" s="76"/>
      <c r="W1338" s="76"/>
      <c r="X1338" s="97"/>
      <c r="Y1338" s="167"/>
      <c r="Z1338" s="176" t="s">
        <v>1460</v>
      </c>
      <c r="AA1338" s="168"/>
      <c r="AB1338" s="76" t="s">
        <v>192</v>
      </c>
      <c r="AC1338" s="76" t="s">
        <v>12312</v>
      </c>
      <c r="AD1338" s="260"/>
      <c r="AE1338" s="76"/>
      <c r="AF1338" s="76" t="s">
        <v>4767</v>
      </c>
      <c r="AG1338" s="76"/>
      <c r="AH1338" s="153">
        <v>46210.0</v>
      </c>
      <c r="AI1338" s="67"/>
      <c r="AJ1338" s="67"/>
      <c r="AK1338" s="70"/>
      <c r="AL1338" s="70"/>
      <c r="AM1338" s="135"/>
      <c r="AN1338" s="135"/>
      <c r="AO1338" s="70"/>
      <c r="AP1338" s="70"/>
      <c r="AQ1338" s="67"/>
      <c r="AR1338" s="67"/>
      <c r="AS1338" s="67"/>
      <c r="AT1338" s="67"/>
    </row>
    <row r="1339">
      <c r="A1339" s="76" t="s">
        <v>116</v>
      </c>
      <c r="B1339" s="77" t="s">
        <v>1709</v>
      </c>
      <c r="C1339" s="77" t="s">
        <v>1269</v>
      </c>
      <c r="D1339" s="77" t="s">
        <v>1519</v>
      </c>
      <c r="E1339" s="78" t="s">
        <v>302</v>
      </c>
      <c r="F1339" s="80" t="s">
        <v>1404</v>
      </c>
      <c r="G1339" s="77" t="s">
        <v>5745</v>
      </c>
      <c r="H1339" s="77" t="s">
        <v>326</v>
      </c>
      <c r="I1339" s="87" t="s">
        <v>1221</v>
      </c>
      <c r="J1339" s="76" t="s">
        <v>114</v>
      </c>
      <c r="K1339" s="76"/>
      <c r="L1339" s="47"/>
      <c r="M1339" s="85" t="s">
        <v>60</v>
      </c>
      <c r="N1339" s="286" t="s">
        <v>12342</v>
      </c>
      <c r="O1339" s="619" t="s">
        <v>12343</v>
      </c>
      <c r="P1339" s="523">
        <v>34915.0</v>
      </c>
      <c r="Q1339" s="315">
        <f t="shared" si="181"/>
        <v>34915</v>
      </c>
      <c r="R1339" s="86">
        <f t="shared" si="180"/>
        <v>31</v>
      </c>
      <c r="S1339" s="76">
        <v>3.491411391E9</v>
      </c>
      <c r="T1339" s="315"/>
      <c r="U1339" s="310" t="s">
        <v>136</v>
      </c>
      <c r="V1339" s="76"/>
      <c r="W1339" s="76"/>
      <c r="X1339" s="76"/>
      <c r="Y1339" s="97"/>
      <c r="Z1339" s="290" t="s">
        <v>1755</v>
      </c>
      <c r="AA1339" s="76" t="s">
        <v>1178</v>
      </c>
      <c r="AB1339" s="76"/>
      <c r="AC1339" s="76" t="s">
        <v>2915</v>
      </c>
      <c r="AD1339" s="76"/>
      <c r="AE1339" s="76"/>
      <c r="AF1339" s="76" t="s">
        <v>12344</v>
      </c>
      <c r="AG1339" s="189"/>
      <c r="AH1339" s="76"/>
      <c r="AI1339" s="67"/>
      <c r="AJ1339" s="67"/>
      <c r="AK1339" s="70"/>
      <c r="AL1339" s="70"/>
      <c r="AM1339" s="135"/>
      <c r="AN1339" s="135"/>
      <c r="AO1339" s="70"/>
      <c r="AP1339" s="70"/>
      <c r="AQ1339" s="67"/>
      <c r="AR1339" s="67"/>
      <c r="AS1339" s="67"/>
      <c r="AT1339" s="67"/>
    </row>
    <row r="1340">
      <c r="A1340" s="76" t="s">
        <v>116</v>
      </c>
      <c r="B1340" s="77" t="s">
        <v>1709</v>
      </c>
      <c r="C1340" s="77" t="s">
        <v>1269</v>
      </c>
      <c r="D1340" s="77" t="s">
        <v>1368</v>
      </c>
      <c r="E1340" s="78" t="s">
        <v>187</v>
      </c>
      <c r="F1340" s="80" t="s">
        <v>1469</v>
      </c>
      <c r="G1340" s="77" t="s">
        <v>1139</v>
      </c>
      <c r="H1340" s="77" t="s">
        <v>60</v>
      </c>
      <c r="I1340" s="87" t="s">
        <v>1221</v>
      </c>
      <c r="J1340" s="76" t="s">
        <v>114</v>
      </c>
      <c r="K1340" s="76"/>
      <c r="L1340" s="47" t="s">
        <v>12304</v>
      </c>
      <c r="M1340" s="85" t="s">
        <v>60</v>
      </c>
      <c r="N1340" s="157" t="s">
        <v>11233</v>
      </c>
      <c r="O1340" s="1001" t="s">
        <v>4334</v>
      </c>
      <c r="P1340" s="523">
        <v>31239.0</v>
      </c>
      <c r="Q1340" s="315">
        <f t="shared" si="181"/>
        <v>1</v>
      </c>
      <c r="R1340" s="86">
        <f t="shared" si="180"/>
        <v>41</v>
      </c>
      <c r="S1340" s="76"/>
      <c r="T1340" s="315"/>
      <c r="U1340" s="76" t="s">
        <v>379</v>
      </c>
      <c r="V1340" s="76"/>
      <c r="W1340" s="76"/>
      <c r="X1340" s="76"/>
      <c r="Y1340" s="276"/>
      <c r="Z1340" s="344" t="s">
        <v>2506</v>
      </c>
      <c r="AA1340" s="76" t="s">
        <v>1178</v>
      </c>
      <c r="AB1340" s="76" t="s">
        <v>226</v>
      </c>
      <c r="AC1340" s="76" t="s">
        <v>12312</v>
      </c>
      <c r="AD1340" s="217">
        <v>46215.0</v>
      </c>
      <c r="AE1340" s="76"/>
      <c r="AF1340" s="291" t="s">
        <v>12345</v>
      </c>
      <c r="AG1340" s="76" t="s">
        <v>1187</v>
      </c>
      <c r="AH1340" s="153">
        <v>46212.0</v>
      </c>
      <c r="AI1340" s="67"/>
      <c r="AJ1340" s="67"/>
      <c r="AK1340" s="70"/>
      <c r="AL1340" s="70"/>
      <c r="AM1340" s="135"/>
      <c r="AN1340" s="135"/>
      <c r="AO1340" s="70"/>
      <c r="AP1340" s="70"/>
      <c r="AQ1340" s="67"/>
      <c r="AR1340" s="67"/>
      <c r="AS1340" s="67"/>
      <c r="AT1340" s="67"/>
    </row>
    <row r="1341">
      <c r="A1341" s="76" t="s">
        <v>116</v>
      </c>
      <c r="B1341" s="77" t="s">
        <v>1645</v>
      </c>
      <c r="C1341" s="77" t="s">
        <v>1728</v>
      </c>
      <c r="D1341" s="77" t="s">
        <v>121</v>
      </c>
      <c r="E1341" s="78" t="s">
        <v>331</v>
      </c>
      <c r="F1341" s="80" t="s">
        <v>1731</v>
      </c>
      <c r="G1341" s="77" t="s">
        <v>1084</v>
      </c>
      <c r="H1341" s="77" t="s">
        <v>60</v>
      </c>
      <c r="I1341" s="87" t="s">
        <v>1221</v>
      </c>
      <c r="J1341" s="76" t="s">
        <v>114</v>
      </c>
      <c r="K1341" s="124" t="s">
        <v>12346</v>
      </c>
      <c r="L1341" s="47" t="s">
        <v>12304</v>
      </c>
      <c r="M1341" s="76" t="s">
        <v>60</v>
      </c>
      <c r="N1341" s="97" t="s">
        <v>8601</v>
      </c>
      <c r="O1341" s="1001" t="s">
        <v>8603</v>
      </c>
      <c r="P1341" s="523">
        <v>31140.0</v>
      </c>
      <c r="Q1341" s="315">
        <f t="shared" si="181"/>
        <v>31140</v>
      </c>
      <c r="R1341" s="86">
        <f t="shared" si="180"/>
        <v>41</v>
      </c>
      <c r="S1341" s="315">
        <v>3.113920258E9</v>
      </c>
      <c r="T1341" s="315" t="s">
        <v>378</v>
      </c>
      <c r="U1341" s="76" t="s">
        <v>379</v>
      </c>
      <c r="V1341" s="76"/>
      <c r="W1341" s="76"/>
      <c r="X1341" s="76"/>
      <c r="Y1341" s="341" t="s">
        <v>371</v>
      </c>
      <c r="Z1341" s="97"/>
      <c r="AA1341" s="76" t="s">
        <v>1178</v>
      </c>
      <c r="AB1341" s="97"/>
      <c r="AC1341" s="76" t="s">
        <v>12306</v>
      </c>
      <c r="AD1341" s="370"/>
      <c r="AE1341" s="76"/>
      <c r="AF1341" s="76" t="s">
        <v>155</v>
      </c>
      <c r="AG1341" s="76" t="s">
        <v>7112</v>
      </c>
      <c r="AH1341" s="76" t="s">
        <v>12347</v>
      </c>
      <c r="AI1341" s="67"/>
      <c r="AJ1341" s="67"/>
      <c r="AK1341" s="70"/>
      <c r="AL1341" s="70"/>
      <c r="AM1341" s="135"/>
      <c r="AN1341" s="135"/>
      <c r="AO1341" s="70"/>
      <c r="AP1341" s="70"/>
      <c r="AQ1341" s="67"/>
      <c r="AR1341" s="67"/>
      <c r="AS1341" s="67"/>
      <c r="AT1341" s="67"/>
    </row>
    <row r="1342">
      <c r="A1342" s="76" t="s">
        <v>116</v>
      </c>
      <c r="B1342" s="77" t="s">
        <v>1645</v>
      </c>
      <c r="C1342" s="77" t="s">
        <v>1611</v>
      </c>
      <c r="D1342" s="77" t="s">
        <v>1494</v>
      </c>
      <c r="E1342" s="78" t="s">
        <v>536</v>
      </c>
      <c r="F1342" s="80" t="s">
        <v>2458</v>
      </c>
      <c r="G1342" s="77" t="s">
        <v>4923</v>
      </c>
      <c r="H1342" s="77" t="s">
        <v>60</v>
      </c>
      <c r="I1342" s="87" t="s">
        <v>1221</v>
      </c>
      <c r="J1342" s="76" t="s">
        <v>114</v>
      </c>
      <c r="K1342" s="76"/>
      <c r="L1342" s="47" t="s">
        <v>12304</v>
      </c>
      <c r="M1342" s="85" t="s">
        <v>610</v>
      </c>
      <c r="N1342" s="157" t="s">
        <v>12348</v>
      </c>
      <c r="O1342" s="1001" t="s">
        <v>12349</v>
      </c>
      <c r="P1342" s="523">
        <v>31538.0</v>
      </c>
      <c r="Q1342" s="315">
        <f t="shared" si="181"/>
        <v>31538</v>
      </c>
      <c r="R1342" s="86">
        <f t="shared" si="180"/>
        <v>40</v>
      </c>
      <c r="S1342" s="76">
        <v>3.153702358E9</v>
      </c>
      <c r="T1342" s="76" t="s">
        <v>1317</v>
      </c>
      <c r="U1342" s="76" t="s">
        <v>379</v>
      </c>
      <c r="V1342" s="76"/>
      <c r="W1342" s="76"/>
      <c r="X1342" s="76"/>
      <c r="Y1342" s="97"/>
      <c r="Z1342" s="216" t="s">
        <v>4335</v>
      </c>
      <c r="AA1342" s="76" t="s">
        <v>1178</v>
      </c>
      <c r="AB1342" s="76"/>
      <c r="AC1342" s="76" t="s">
        <v>12312</v>
      </c>
      <c r="AD1342" s="76"/>
      <c r="AE1342" s="76"/>
      <c r="AF1342" s="76" t="s">
        <v>2586</v>
      </c>
      <c r="AG1342" s="189"/>
      <c r="AH1342" s="76"/>
      <c r="AI1342" s="67"/>
      <c r="AJ1342" s="67"/>
      <c r="AK1342" s="70"/>
      <c r="AL1342" s="70"/>
      <c r="AM1342" s="135"/>
      <c r="AN1342" s="135"/>
      <c r="AO1342" s="70"/>
      <c r="AP1342" s="70"/>
      <c r="AQ1342" s="67"/>
      <c r="AR1342" s="67"/>
      <c r="AS1342" s="67"/>
      <c r="AT1342" s="67"/>
    </row>
    <row r="1343">
      <c r="A1343" s="76" t="s">
        <v>116</v>
      </c>
      <c r="B1343" s="77" t="s">
        <v>1645</v>
      </c>
      <c r="C1343" s="77" t="s">
        <v>1611</v>
      </c>
      <c r="D1343" s="77" t="s">
        <v>1494</v>
      </c>
      <c r="E1343" s="78" t="s">
        <v>321</v>
      </c>
      <c r="F1343" s="80" t="s">
        <v>1552</v>
      </c>
      <c r="G1343" s="77" t="s">
        <v>4854</v>
      </c>
      <c r="H1343" s="77" t="s">
        <v>60</v>
      </c>
      <c r="I1343" s="87" t="s">
        <v>1221</v>
      </c>
      <c r="J1343" s="76" t="s">
        <v>114</v>
      </c>
      <c r="K1343" s="76"/>
      <c r="L1343" s="47" t="s">
        <v>12304</v>
      </c>
      <c r="M1343" s="85" t="s">
        <v>60</v>
      </c>
      <c r="N1343" s="157" t="s">
        <v>12350</v>
      </c>
      <c r="O1343" s="1001" t="s">
        <v>12351</v>
      </c>
      <c r="P1343" s="523">
        <v>29000.0</v>
      </c>
      <c r="Q1343" s="315">
        <f t="shared" si="181"/>
        <v>1</v>
      </c>
      <c r="R1343" s="86">
        <f t="shared" si="180"/>
        <v>47</v>
      </c>
      <c r="S1343" s="76"/>
      <c r="T1343" s="76"/>
      <c r="U1343" s="76" t="s">
        <v>379</v>
      </c>
      <c r="V1343" s="76"/>
      <c r="W1343" s="76"/>
      <c r="X1343" s="76"/>
      <c r="Y1343" s="97"/>
      <c r="Z1343" s="290" t="s">
        <v>1755</v>
      </c>
      <c r="AA1343" s="76"/>
      <c r="AB1343" s="76"/>
      <c r="AC1343" s="76" t="s">
        <v>12312</v>
      </c>
      <c r="AD1343" s="76"/>
      <c r="AE1343" s="76"/>
      <c r="AF1343" s="76" t="s">
        <v>5763</v>
      </c>
      <c r="AG1343" s="189"/>
      <c r="AH1343" s="76" t="s">
        <v>12352</v>
      </c>
      <c r="AI1343" s="67"/>
      <c r="AJ1343" s="67"/>
      <c r="AK1343" s="70"/>
      <c r="AL1343" s="70"/>
      <c r="AM1343" s="135"/>
      <c r="AN1343" s="135"/>
      <c r="AO1343" s="70"/>
      <c r="AP1343" s="70"/>
      <c r="AQ1343" s="67"/>
      <c r="AR1343" s="67"/>
      <c r="AS1343" s="67"/>
      <c r="AT1343" s="67"/>
    </row>
    <row r="1344">
      <c r="A1344" s="76" t="s">
        <v>116</v>
      </c>
      <c r="B1344" s="77" t="s">
        <v>1645</v>
      </c>
      <c r="C1344" s="77" t="s">
        <v>1611</v>
      </c>
      <c r="D1344" s="77" t="s">
        <v>1494</v>
      </c>
      <c r="E1344" s="78" t="s">
        <v>139</v>
      </c>
      <c r="F1344" s="80" t="s">
        <v>1520</v>
      </c>
      <c r="G1344" s="77" t="s">
        <v>1008</v>
      </c>
      <c r="H1344" s="77" t="s">
        <v>60</v>
      </c>
      <c r="I1344" s="87" t="s">
        <v>1221</v>
      </c>
      <c r="J1344" s="97" t="s">
        <v>114</v>
      </c>
      <c r="K1344" s="124" t="s">
        <v>12353</v>
      </c>
      <c r="L1344" s="47" t="s">
        <v>12304</v>
      </c>
      <c r="M1344" s="85" t="s">
        <v>60</v>
      </c>
      <c r="N1344" s="76" t="s">
        <v>1006</v>
      </c>
      <c r="O1344" s="1001" t="s">
        <v>1007</v>
      </c>
      <c r="P1344" s="523">
        <v>31453.0</v>
      </c>
      <c r="Q1344" s="315">
        <f t="shared" si="181"/>
        <v>31453</v>
      </c>
      <c r="R1344" s="86">
        <f t="shared" si="180"/>
        <v>40</v>
      </c>
      <c r="S1344" s="76">
        <v>3.145224055E9</v>
      </c>
      <c r="T1344" s="315" t="s">
        <v>378</v>
      </c>
      <c r="U1344" s="76" t="s">
        <v>379</v>
      </c>
      <c r="V1344" s="76"/>
      <c r="W1344" s="76"/>
      <c r="X1344" s="76"/>
      <c r="Y1344" s="76" t="s">
        <v>371</v>
      </c>
      <c r="Z1344" s="234" t="s">
        <v>1351</v>
      </c>
      <c r="AA1344" s="76" t="s">
        <v>1178</v>
      </c>
      <c r="AB1344" s="97"/>
      <c r="AC1344" s="76" t="s">
        <v>12312</v>
      </c>
      <c r="AD1344" s="235">
        <v>46222.0</v>
      </c>
      <c r="AE1344" s="76"/>
      <c r="AF1344" s="76"/>
      <c r="AG1344" s="76" t="s">
        <v>1187</v>
      </c>
      <c r="AH1344" s="153">
        <v>46131.0</v>
      </c>
      <c r="AI1344" s="67"/>
      <c r="AJ1344" s="67"/>
      <c r="AK1344" s="70"/>
      <c r="AL1344" s="70"/>
      <c r="AM1344" s="135"/>
      <c r="AN1344" s="135"/>
      <c r="AO1344" s="70"/>
      <c r="AP1344" s="70"/>
      <c r="AQ1344" s="67"/>
      <c r="AR1344" s="67"/>
      <c r="AS1344" s="67"/>
      <c r="AT1344" s="67"/>
    </row>
    <row r="1345">
      <c r="A1345" s="76" t="s">
        <v>116</v>
      </c>
      <c r="B1345" s="77" t="s">
        <v>1645</v>
      </c>
      <c r="C1345" s="77" t="s">
        <v>1517</v>
      </c>
      <c r="D1345" s="77" t="s">
        <v>1519</v>
      </c>
      <c r="E1345" s="78" t="s">
        <v>58</v>
      </c>
      <c r="F1345" s="80" t="s">
        <v>1496</v>
      </c>
      <c r="G1345" s="77" t="s">
        <v>963</v>
      </c>
      <c r="H1345" s="77" t="s">
        <v>60</v>
      </c>
      <c r="I1345" s="87" t="s">
        <v>1221</v>
      </c>
      <c r="J1345" s="76" t="s">
        <v>114</v>
      </c>
      <c r="K1345" s="76"/>
      <c r="L1345" s="85" t="s">
        <v>12304</v>
      </c>
      <c r="M1345" s="85" t="s">
        <v>60</v>
      </c>
      <c r="N1345" s="157" t="s">
        <v>11355</v>
      </c>
      <c r="O1345" s="1001" t="s">
        <v>11356</v>
      </c>
      <c r="P1345" s="523">
        <v>29273.0</v>
      </c>
      <c r="Q1345" s="315">
        <f t="shared" si="181"/>
        <v>29273</v>
      </c>
      <c r="R1345" s="86">
        <f t="shared" si="180"/>
        <v>46</v>
      </c>
      <c r="S1345" s="76">
        <v>2.927214811E9</v>
      </c>
      <c r="T1345" s="76" t="s">
        <v>1548</v>
      </c>
      <c r="U1345" s="76" t="s">
        <v>379</v>
      </c>
      <c r="V1345" s="76"/>
      <c r="W1345" s="76"/>
      <c r="X1345" s="76"/>
      <c r="Y1345" s="97"/>
      <c r="Z1345" s="290" t="s">
        <v>1755</v>
      </c>
      <c r="AA1345" s="76" t="s">
        <v>1178</v>
      </c>
      <c r="AB1345" s="76"/>
      <c r="AC1345" s="76" t="s">
        <v>12312</v>
      </c>
      <c r="AD1345" s="217">
        <v>46231.0</v>
      </c>
      <c r="AE1345" s="76"/>
      <c r="AF1345" s="76" t="s">
        <v>4043</v>
      </c>
      <c r="AG1345" s="76" t="s">
        <v>1187</v>
      </c>
      <c r="AH1345" s="506" t="s">
        <v>1796</v>
      </c>
      <c r="AI1345" s="67"/>
      <c r="AJ1345" s="67"/>
      <c r="AK1345" s="70"/>
      <c r="AL1345" s="70"/>
      <c r="AM1345" s="135"/>
      <c r="AN1345" s="135"/>
      <c r="AO1345" s="70"/>
      <c r="AP1345" s="70"/>
      <c r="AQ1345" s="67"/>
      <c r="AR1345" s="67"/>
      <c r="AS1345" s="67"/>
      <c r="AT1345" s="67"/>
    </row>
    <row r="1346">
      <c r="A1346" s="76" t="s">
        <v>116</v>
      </c>
      <c r="B1346" s="77" t="s">
        <v>1645</v>
      </c>
      <c r="C1346" s="77" t="s">
        <v>1517</v>
      </c>
      <c r="D1346" s="77" t="s">
        <v>1519</v>
      </c>
      <c r="E1346" s="78" t="s">
        <v>178</v>
      </c>
      <c r="F1346" s="80" t="s">
        <v>1369</v>
      </c>
      <c r="G1346" s="77" t="s">
        <v>940</v>
      </c>
      <c r="H1346" s="77" t="s">
        <v>102</v>
      </c>
      <c r="I1346" s="146" t="s">
        <v>408</v>
      </c>
      <c r="J1346" s="85" t="s">
        <v>114</v>
      </c>
      <c r="K1346" s="176" t="s">
        <v>12354</v>
      </c>
      <c r="L1346" s="47" t="s">
        <v>12304</v>
      </c>
      <c r="M1346" s="85" t="s">
        <v>102</v>
      </c>
      <c r="N1346" s="76" t="s">
        <v>938</v>
      </c>
      <c r="O1346" s="1001" t="s">
        <v>939</v>
      </c>
      <c r="P1346" s="523">
        <v>34582.0</v>
      </c>
      <c r="Q1346" s="315">
        <f t="shared" si="181"/>
        <v>34582</v>
      </c>
      <c r="R1346" s="86">
        <f t="shared" si="180"/>
        <v>31</v>
      </c>
      <c r="S1346" s="76">
        <v>3.458100258E9</v>
      </c>
      <c r="T1346" s="315"/>
      <c r="U1346" s="76" t="s">
        <v>379</v>
      </c>
      <c r="V1346" s="76"/>
      <c r="W1346" s="76"/>
      <c r="X1346" s="76"/>
      <c r="Y1346" s="97" t="s">
        <v>371</v>
      </c>
      <c r="Z1346" s="97"/>
      <c r="AA1346" s="76" t="s">
        <v>1178</v>
      </c>
      <c r="AB1346" s="76" t="s">
        <v>192</v>
      </c>
      <c r="AC1346" s="76" t="s">
        <v>12312</v>
      </c>
      <c r="AD1346" s="99"/>
      <c r="AE1346" s="76"/>
      <c r="AF1346" s="76"/>
      <c r="AG1346" s="76"/>
      <c r="AH1346" s="153">
        <v>46234.0</v>
      </c>
      <c r="AI1346" s="67"/>
      <c r="AJ1346" s="67"/>
      <c r="AK1346" s="70"/>
      <c r="AL1346" s="70"/>
      <c r="AM1346" s="135"/>
      <c r="AN1346" s="135"/>
      <c r="AO1346" s="70"/>
      <c r="AP1346" s="70"/>
      <c r="AQ1346" s="67"/>
      <c r="AR1346" s="67"/>
      <c r="AS1346" s="67"/>
      <c r="AT1346" s="67"/>
    </row>
    <row r="1347">
      <c r="A1347" s="76" t="s">
        <v>116</v>
      </c>
      <c r="B1347" s="77" t="s">
        <v>1645</v>
      </c>
      <c r="C1347" s="77" t="s">
        <v>1269</v>
      </c>
      <c r="D1347" s="77" t="s">
        <v>1494</v>
      </c>
      <c r="E1347" s="78" t="s">
        <v>321</v>
      </c>
      <c r="F1347" s="80" t="s">
        <v>1552</v>
      </c>
      <c r="G1347" s="77" t="s">
        <v>854</v>
      </c>
      <c r="H1347" s="77" t="s">
        <v>60</v>
      </c>
      <c r="I1347" s="87" t="s">
        <v>1221</v>
      </c>
      <c r="J1347" s="85" t="s">
        <v>114</v>
      </c>
      <c r="K1347" s="176" t="s">
        <v>12355</v>
      </c>
      <c r="L1347" s="47" t="s">
        <v>12304</v>
      </c>
      <c r="M1347" s="85" t="s">
        <v>60</v>
      </c>
      <c r="N1347" s="233" t="s">
        <v>852</v>
      </c>
      <c r="O1347" s="1001" t="s">
        <v>853</v>
      </c>
      <c r="P1347" s="523">
        <v>32782.0</v>
      </c>
      <c r="Q1347" s="315">
        <f t="shared" si="181"/>
        <v>32782</v>
      </c>
      <c r="R1347" s="86">
        <f t="shared" si="180"/>
        <v>36</v>
      </c>
      <c r="S1347" s="76">
        <v>3.278109077E9</v>
      </c>
      <c r="T1347" s="86"/>
      <c r="U1347" s="76" t="s">
        <v>379</v>
      </c>
      <c r="V1347" s="76"/>
      <c r="W1347" s="76"/>
      <c r="X1347" s="76"/>
      <c r="Y1347" s="167"/>
      <c r="Z1347" s="234" t="s">
        <v>1351</v>
      </c>
      <c r="AA1347" s="168"/>
      <c r="AB1347" s="97"/>
      <c r="AC1347" s="76" t="s">
        <v>12312</v>
      </c>
      <c r="AD1347" s="217">
        <v>46188.0</v>
      </c>
      <c r="AE1347" s="76"/>
      <c r="AF1347" s="76"/>
      <c r="AG1347" s="76" t="s">
        <v>1187</v>
      </c>
      <c r="AH1347" s="153">
        <v>46127.0</v>
      </c>
      <c r="AI1347" s="67"/>
      <c r="AJ1347" s="67"/>
      <c r="AK1347" s="70"/>
      <c r="AL1347" s="70"/>
      <c r="AM1347" s="135"/>
      <c r="AN1347" s="135"/>
      <c r="AO1347" s="70"/>
      <c r="AP1347" s="70"/>
      <c r="AQ1347" s="67"/>
      <c r="AR1347" s="67"/>
      <c r="AS1347" s="67"/>
      <c r="AT1347" s="67"/>
    </row>
    <row r="1348">
      <c r="A1348" s="76" t="s">
        <v>116</v>
      </c>
      <c r="B1348" s="77" t="s">
        <v>1645</v>
      </c>
      <c r="C1348" s="77" t="s">
        <v>1269</v>
      </c>
      <c r="D1348" s="77" t="s">
        <v>121</v>
      </c>
      <c r="E1348" s="78" t="s">
        <v>295</v>
      </c>
      <c r="F1348" s="80" t="s">
        <v>1241</v>
      </c>
      <c r="G1348" s="77" t="s">
        <v>3528</v>
      </c>
      <c r="H1348" s="77" t="s">
        <v>60</v>
      </c>
      <c r="I1348" s="87" t="s">
        <v>1221</v>
      </c>
      <c r="J1348" s="109" t="s">
        <v>114</v>
      </c>
      <c r="K1348" s="176" t="s">
        <v>1602</v>
      </c>
      <c r="L1348" s="47" t="s">
        <v>12304</v>
      </c>
      <c r="M1348" s="85" t="s">
        <v>60</v>
      </c>
      <c r="N1348" s="157" t="s">
        <v>12356</v>
      </c>
      <c r="O1348" s="1001" t="s">
        <v>12357</v>
      </c>
      <c r="P1348" s="523">
        <v>31504.0</v>
      </c>
      <c r="Q1348" s="315">
        <f t="shared" si="181"/>
        <v>31504</v>
      </c>
      <c r="R1348" s="86">
        <f t="shared" si="180"/>
        <v>40</v>
      </c>
      <c r="S1348" s="76">
        <v>3.150308575E9</v>
      </c>
      <c r="T1348" s="76"/>
      <c r="U1348" s="76" t="s">
        <v>379</v>
      </c>
      <c r="V1348" s="76"/>
      <c r="W1348" s="76"/>
      <c r="X1348" s="76"/>
      <c r="Y1348" s="97"/>
      <c r="Z1348" s="216" t="s">
        <v>4335</v>
      </c>
      <c r="AA1348" s="76"/>
      <c r="AB1348" s="76"/>
      <c r="AC1348" s="76" t="s">
        <v>12312</v>
      </c>
      <c r="AD1348" s="76"/>
      <c r="AE1348" s="76"/>
      <c r="AF1348" s="76" t="s">
        <v>2586</v>
      </c>
      <c r="AG1348" s="189"/>
      <c r="AH1348" s="76" t="s">
        <v>12358</v>
      </c>
      <c r="AI1348" s="67"/>
      <c r="AJ1348" s="67"/>
      <c r="AK1348" s="70"/>
      <c r="AL1348" s="70"/>
      <c r="AM1348" s="135"/>
      <c r="AN1348" s="135"/>
      <c r="AO1348" s="70"/>
      <c r="AP1348" s="70"/>
      <c r="AQ1348" s="67"/>
      <c r="AR1348" s="67"/>
      <c r="AS1348" s="67"/>
      <c r="AT1348" s="67"/>
    </row>
    <row r="1349">
      <c r="A1349" s="76" t="s">
        <v>116</v>
      </c>
      <c r="B1349" s="77" t="s">
        <v>1039</v>
      </c>
      <c r="C1349" s="77" t="s">
        <v>1728</v>
      </c>
      <c r="D1349" s="77" t="s">
        <v>121</v>
      </c>
      <c r="E1349" s="78" t="s">
        <v>331</v>
      </c>
      <c r="F1349" s="80" t="s">
        <v>1731</v>
      </c>
      <c r="G1349" s="77" t="s">
        <v>767</v>
      </c>
      <c r="H1349" s="77" t="s">
        <v>60</v>
      </c>
      <c r="I1349" s="87" t="s">
        <v>1221</v>
      </c>
      <c r="J1349" s="76" t="s">
        <v>114</v>
      </c>
      <c r="K1349" s="76"/>
      <c r="L1349" s="47" t="s">
        <v>12304</v>
      </c>
      <c r="M1349" s="85" t="s">
        <v>60</v>
      </c>
      <c r="N1349" s="157" t="s">
        <v>11396</v>
      </c>
      <c r="O1349" s="1001" t="s">
        <v>11397</v>
      </c>
      <c r="P1349" s="523">
        <v>31465.0</v>
      </c>
      <c r="Q1349" s="315">
        <f t="shared" si="181"/>
        <v>31465</v>
      </c>
      <c r="R1349" s="86">
        <f t="shared" si="180"/>
        <v>40</v>
      </c>
      <c r="S1349" s="76">
        <v>3.146400217E9</v>
      </c>
      <c r="T1349" s="76" t="s">
        <v>1317</v>
      </c>
      <c r="U1349" s="76" t="s">
        <v>379</v>
      </c>
      <c r="V1349" s="76"/>
      <c r="W1349" s="76"/>
      <c r="X1349" s="76"/>
      <c r="Y1349" s="97"/>
      <c r="Z1349" s="290" t="s">
        <v>1755</v>
      </c>
      <c r="AA1349" s="76" t="s">
        <v>1178</v>
      </c>
      <c r="AB1349" s="76"/>
      <c r="AC1349" s="76" t="s">
        <v>12312</v>
      </c>
      <c r="AD1349" s="217">
        <v>46232.0</v>
      </c>
      <c r="AE1349" s="76"/>
      <c r="AF1349" s="76" t="s">
        <v>12359</v>
      </c>
      <c r="AG1349" s="76" t="s">
        <v>1187</v>
      </c>
      <c r="AH1349" s="76" t="s">
        <v>12360</v>
      </c>
      <c r="AI1349" s="67"/>
      <c r="AJ1349" s="67"/>
      <c r="AK1349" s="70"/>
      <c r="AL1349" s="70"/>
      <c r="AM1349" s="135"/>
      <c r="AN1349" s="135"/>
      <c r="AO1349" s="70"/>
      <c r="AP1349" s="70"/>
      <c r="AQ1349" s="67"/>
      <c r="AR1349" s="67"/>
      <c r="AS1349" s="67"/>
      <c r="AT1349" s="67"/>
    </row>
    <row r="1350">
      <c r="A1350" s="76" t="s">
        <v>116</v>
      </c>
      <c r="B1350" s="77" t="s">
        <v>1039</v>
      </c>
      <c r="C1350" s="77" t="s">
        <v>1728</v>
      </c>
      <c r="D1350" s="77" t="s">
        <v>121</v>
      </c>
      <c r="E1350" s="78" t="s">
        <v>331</v>
      </c>
      <c r="F1350" s="80" t="s">
        <v>1731</v>
      </c>
      <c r="G1350" s="77" t="s">
        <v>767</v>
      </c>
      <c r="H1350" s="77" t="s">
        <v>60</v>
      </c>
      <c r="I1350" s="87" t="s">
        <v>1221</v>
      </c>
      <c r="J1350" s="76" t="s">
        <v>114</v>
      </c>
      <c r="K1350" s="124" t="s">
        <v>12361</v>
      </c>
      <c r="L1350" s="47" t="s">
        <v>12304</v>
      </c>
      <c r="M1350" s="47" t="s">
        <v>326</v>
      </c>
      <c r="N1350" s="233" t="s">
        <v>763</v>
      </c>
      <c r="O1350" s="1205" t="s">
        <v>765</v>
      </c>
      <c r="P1350" s="825">
        <v>33323.0</v>
      </c>
      <c r="Q1350" s="315">
        <f t="shared" si="181"/>
        <v>33323</v>
      </c>
      <c r="R1350" s="97">
        <f t="shared" si="180"/>
        <v>35</v>
      </c>
      <c r="S1350" s="76">
        <v>3.332200033E9</v>
      </c>
      <c r="T1350" s="168"/>
      <c r="U1350" s="76" t="s">
        <v>379</v>
      </c>
      <c r="V1350" s="76"/>
      <c r="W1350" s="76"/>
      <c r="X1350" s="97"/>
      <c r="Y1350" s="76" t="s">
        <v>371</v>
      </c>
      <c r="Z1350" s="176" t="s">
        <v>1460</v>
      </c>
      <c r="AA1350" s="76" t="s">
        <v>1178</v>
      </c>
      <c r="AB1350" s="97"/>
      <c r="AC1350" s="76" t="s">
        <v>12306</v>
      </c>
      <c r="AD1350" s="235">
        <v>46185.0</v>
      </c>
      <c r="AE1350" s="76"/>
      <c r="AF1350" s="167" t="s">
        <v>12362</v>
      </c>
      <c r="AG1350" s="76" t="s">
        <v>1187</v>
      </c>
      <c r="AH1350" s="153">
        <v>46117.0</v>
      </c>
      <c r="AI1350" s="67"/>
      <c r="AJ1350" s="67"/>
      <c r="AK1350" s="70"/>
      <c r="AL1350" s="70"/>
      <c r="AM1350" s="135"/>
      <c r="AN1350" s="135"/>
      <c r="AO1350" s="70"/>
      <c r="AP1350" s="70"/>
      <c r="AQ1350" s="67"/>
      <c r="AR1350" s="67"/>
      <c r="AS1350" s="67"/>
      <c r="AT1350" s="67"/>
    </row>
    <row r="1351">
      <c r="A1351" s="76" t="s">
        <v>116</v>
      </c>
      <c r="B1351" s="77" t="s">
        <v>1039</v>
      </c>
      <c r="C1351" s="77" t="s">
        <v>1728</v>
      </c>
      <c r="D1351" s="77" t="s">
        <v>121</v>
      </c>
      <c r="E1351" s="78" t="s">
        <v>287</v>
      </c>
      <c r="F1351" s="80" t="s">
        <v>2853</v>
      </c>
      <c r="G1351" s="77" t="s">
        <v>739</v>
      </c>
      <c r="H1351" s="77" t="s">
        <v>60</v>
      </c>
      <c r="I1351" s="87" t="s">
        <v>1221</v>
      </c>
      <c r="J1351" s="85" t="s">
        <v>114</v>
      </c>
      <c r="K1351" s="76"/>
      <c r="L1351" s="47" t="s">
        <v>12304</v>
      </c>
      <c r="M1351" s="85" t="s">
        <v>60</v>
      </c>
      <c r="N1351" s="157" t="s">
        <v>12363</v>
      </c>
      <c r="O1351" s="1001" t="s">
        <v>12364</v>
      </c>
      <c r="P1351" s="523">
        <v>32263.0</v>
      </c>
      <c r="Q1351" s="315">
        <f t="shared" si="181"/>
        <v>32263</v>
      </c>
      <c r="R1351" s="86">
        <f t="shared" si="180"/>
        <v>38</v>
      </c>
      <c r="S1351" s="76">
        <v>3.22620075E9</v>
      </c>
      <c r="T1351" s="76"/>
      <c r="U1351" s="76" t="s">
        <v>379</v>
      </c>
      <c r="V1351" s="76"/>
      <c r="W1351" s="76"/>
      <c r="X1351" s="76"/>
      <c r="Y1351" s="97"/>
      <c r="Z1351" s="216" t="s">
        <v>4335</v>
      </c>
      <c r="AA1351" s="76" t="s">
        <v>1178</v>
      </c>
      <c r="AB1351" s="76"/>
      <c r="AC1351" s="76" t="s">
        <v>12312</v>
      </c>
      <c r="AD1351" s="76"/>
      <c r="AE1351" s="76"/>
      <c r="AF1351" s="76" t="s">
        <v>2586</v>
      </c>
      <c r="AG1351" s="189"/>
      <c r="AH1351" s="76"/>
      <c r="AI1351" s="67"/>
      <c r="AJ1351" s="67"/>
      <c r="AK1351" s="70"/>
      <c r="AL1351" s="70"/>
      <c r="AM1351" s="135"/>
      <c r="AN1351" s="135"/>
      <c r="AO1351" s="70"/>
      <c r="AP1351" s="70"/>
      <c r="AQ1351" s="67"/>
      <c r="AR1351" s="67"/>
      <c r="AS1351" s="67"/>
      <c r="AT1351" s="67"/>
    </row>
    <row r="1352">
      <c r="A1352" s="76" t="s">
        <v>116</v>
      </c>
      <c r="B1352" s="77" t="s">
        <v>1039</v>
      </c>
      <c r="C1352" s="77" t="s">
        <v>1611</v>
      </c>
      <c r="D1352" s="77" t="s">
        <v>1519</v>
      </c>
      <c r="E1352" s="78" t="s">
        <v>201</v>
      </c>
      <c r="F1352" s="80" t="s">
        <v>1849</v>
      </c>
      <c r="G1352" s="77" t="s">
        <v>696</v>
      </c>
      <c r="H1352" s="77" t="s">
        <v>60</v>
      </c>
      <c r="I1352" s="87" t="s">
        <v>1221</v>
      </c>
      <c r="J1352" s="76" t="s">
        <v>114</v>
      </c>
      <c r="K1352" s="76"/>
      <c r="L1352" s="47" t="s">
        <v>12304</v>
      </c>
      <c r="M1352" s="85" t="s">
        <v>60</v>
      </c>
      <c r="N1352" s="157" t="s">
        <v>12365</v>
      </c>
      <c r="O1352" s="1001" t="s">
        <v>12366</v>
      </c>
      <c r="P1352" s="523">
        <v>31886.0</v>
      </c>
      <c r="Q1352" s="315"/>
      <c r="R1352" s="86">
        <f t="shared" si="180"/>
        <v>39</v>
      </c>
      <c r="S1352" s="76"/>
      <c r="T1352" s="76"/>
      <c r="U1352" s="76" t="s">
        <v>379</v>
      </c>
      <c r="V1352" s="76"/>
      <c r="W1352" s="76"/>
      <c r="X1352" s="76"/>
      <c r="Y1352" s="97"/>
      <c r="Z1352" s="216" t="s">
        <v>4335</v>
      </c>
      <c r="AA1352" s="76" t="s">
        <v>1178</v>
      </c>
      <c r="AB1352" s="76"/>
      <c r="AC1352" s="76" t="s">
        <v>12312</v>
      </c>
      <c r="AD1352" s="76"/>
      <c r="AE1352" s="76"/>
      <c r="AF1352" s="76" t="s">
        <v>2586</v>
      </c>
      <c r="AG1352" s="189"/>
      <c r="AH1352" s="76"/>
      <c r="AI1352" s="67"/>
      <c r="AJ1352" s="67"/>
      <c r="AK1352" s="70"/>
      <c r="AL1352" s="70"/>
      <c r="AM1352" s="135"/>
      <c r="AN1352" s="135"/>
      <c r="AO1352" s="70"/>
      <c r="AP1352" s="70"/>
      <c r="AQ1352" s="67"/>
      <c r="AR1352" s="67"/>
      <c r="AS1352" s="67"/>
      <c r="AT1352" s="67"/>
    </row>
    <row r="1353">
      <c r="A1353" s="76" t="s">
        <v>116</v>
      </c>
      <c r="B1353" s="77" t="s">
        <v>1039</v>
      </c>
      <c r="C1353" s="77" t="s">
        <v>1611</v>
      </c>
      <c r="D1353" s="77" t="s">
        <v>1519</v>
      </c>
      <c r="E1353" s="78" t="s">
        <v>213</v>
      </c>
      <c r="F1353" s="80" t="s">
        <v>1523</v>
      </c>
      <c r="G1353" s="77" t="s">
        <v>689</v>
      </c>
      <c r="H1353" s="77" t="s">
        <v>60</v>
      </c>
      <c r="I1353" s="87" t="s">
        <v>1221</v>
      </c>
      <c r="J1353" s="76" t="s">
        <v>114</v>
      </c>
      <c r="K1353" s="176" t="s">
        <v>1602</v>
      </c>
      <c r="L1353" s="47" t="s">
        <v>12304</v>
      </c>
      <c r="M1353" s="85" t="s">
        <v>60</v>
      </c>
      <c r="N1353" s="157" t="s">
        <v>12367</v>
      </c>
      <c r="O1353" s="1001" t="s">
        <v>12368</v>
      </c>
      <c r="P1353" s="523">
        <v>32440.0</v>
      </c>
      <c r="Q1353" s="315">
        <f t="shared" ref="Q1353:Q1354" si="182">VALUE(LEFT(TEXT(S1353,0),5))+1</f>
        <v>32499</v>
      </c>
      <c r="R1353" s="86">
        <f t="shared" si="180"/>
        <v>37</v>
      </c>
      <c r="S1353" s="1206">
        <v>3.24981627E9</v>
      </c>
      <c r="T1353" s="76"/>
      <c r="U1353" s="76" t="s">
        <v>379</v>
      </c>
      <c r="V1353" s="76"/>
      <c r="W1353" s="76"/>
      <c r="X1353" s="76"/>
      <c r="Y1353" s="97"/>
      <c r="Z1353" s="216" t="s">
        <v>4335</v>
      </c>
      <c r="AA1353" s="76"/>
      <c r="AB1353" s="76"/>
      <c r="AC1353" s="76" t="s">
        <v>12312</v>
      </c>
      <c r="AD1353" s="76"/>
      <c r="AE1353" s="76"/>
      <c r="AF1353" s="76" t="s">
        <v>4043</v>
      </c>
      <c r="AG1353" s="189"/>
      <c r="AH1353" s="76"/>
      <c r="AI1353" s="67"/>
      <c r="AJ1353" s="67"/>
      <c r="AK1353" s="70"/>
      <c r="AL1353" s="70"/>
      <c r="AM1353" s="135"/>
      <c r="AN1353" s="135"/>
      <c r="AO1353" s="70"/>
      <c r="AP1353" s="70"/>
      <c r="AQ1353" s="67"/>
      <c r="AR1353" s="67"/>
      <c r="AS1353" s="67"/>
      <c r="AT1353" s="67"/>
    </row>
    <row r="1354">
      <c r="A1354" s="76" t="s">
        <v>116</v>
      </c>
      <c r="B1354" s="77" t="s">
        <v>1039</v>
      </c>
      <c r="C1354" s="77" t="s">
        <v>1611</v>
      </c>
      <c r="D1354" s="77" t="s">
        <v>1519</v>
      </c>
      <c r="E1354" s="78" t="s">
        <v>302</v>
      </c>
      <c r="F1354" s="80" t="s">
        <v>1404</v>
      </c>
      <c r="G1354" s="77" t="s">
        <v>673</v>
      </c>
      <c r="H1354" s="77" t="s">
        <v>326</v>
      </c>
      <c r="I1354" s="87" t="s">
        <v>1221</v>
      </c>
      <c r="J1354" s="85" t="s">
        <v>114</v>
      </c>
      <c r="K1354" s="176" t="s">
        <v>12369</v>
      </c>
      <c r="L1354" s="76"/>
      <c r="M1354" s="85" t="s">
        <v>60</v>
      </c>
      <c r="N1354" s="274" t="s">
        <v>1869</v>
      </c>
      <c r="O1354" s="76" t="s">
        <v>1870</v>
      </c>
      <c r="P1354" s="523">
        <v>30975.0</v>
      </c>
      <c r="Q1354" s="315">
        <f t="shared" si="182"/>
        <v>30975</v>
      </c>
      <c r="R1354" s="86">
        <f t="shared" si="180"/>
        <v>41</v>
      </c>
      <c r="S1354" s="76">
        <v>3.097419758E9</v>
      </c>
      <c r="T1354" s="86"/>
      <c r="U1354" s="76" t="s">
        <v>136</v>
      </c>
      <c r="V1354" s="76"/>
      <c r="W1354" s="76"/>
      <c r="X1354" s="76"/>
      <c r="Y1354" s="167"/>
      <c r="Z1354" s="216" t="s">
        <v>2155</v>
      </c>
      <c r="AA1354" s="168"/>
      <c r="AB1354" s="97"/>
      <c r="AC1354" s="76" t="s">
        <v>1566</v>
      </c>
      <c r="AD1354" s="168"/>
      <c r="AE1354" s="76"/>
      <c r="AF1354" s="76" t="s">
        <v>3853</v>
      </c>
      <c r="AG1354" s="76"/>
      <c r="AH1354" s="76" t="s">
        <v>12370</v>
      </c>
      <c r="AI1354" s="67"/>
      <c r="AJ1354" s="67"/>
      <c r="AK1354" s="70"/>
      <c r="AL1354" s="70"/>
      <c r="AM1354" s="135"/>
      <c r="AN1354" s="135"/>
      <c r="AO1354" s="70"/>
      <c r="AP1354" s="70"/>
      <c r="AQ1354" s="67"/>
      <c r="AR1354" s="67"/>
      <c r="AS1354" s="67"/>
      <c r="AT1354" s="67"/>
    </row>
    <row r="1355">
      <c r="A1355" s="76" t="s">
        <v>116</v>
      </c>
      <c r="B1355" s="77" t="s">
        <v>1039</v>
      </c>
      <c r="C1355" s="77" t="s">
        <v>1611</v>
      </c>
      <c r="D1355" s="77" t="s">
        <v>1494</v>
      </c>
      <c r="E1355" s="78" t="s">
        <v>536</v>
      </c>
      <c r="F1355" s="80" t="s">
        <v>2458</v>
      </c>
      <c r="G1355" s="77" t="s">
        <v>659</v>
      </c>
      <c r="H1355" s="77" t="s">
        <v>60</v>
      </c>
      <c r="I1355" s="87" t="s">
        <v>1221</v>
      </c>
      <c r="J1355" s="76" t="s">
        <v>114</v>
      </c>
      <c r="K1355" s="176" t="s">
        <v>1602</v>
      </c>
      <c r="L1355" s="47" t="s">
        <v>12304</v>
      </c>
      <c r="M1355" s="85" t="s">
        <v>60</v>
      </c>
      <c r="N1355" s="157" t="s">
        <v>12371</v>
      </c>
      <c r="O1355" s="1001" t="s">
        <v>12372</v>
      </c>
      <c r="P1355" s="523">
        <v>29808.0</v>
      </c>
      <c r="Q1355" s="315"/>
      <c r="R1355" s="86">
        <f t="shared" si="180"/>
        <v>45</v>
      </c>
      <c r="S1355" s="76">
        <v>2.980700257E9</v>
      </c>
      <c r="T1355" s="76"/>
      <c r="U1355" s="76" t="s">
        <v>379</v>
      </c>
      <c r="V1355" s="76"/>
      <c r="W1355" s="76"/>
      <c r="X1355" s="76"/>
      <c r="Y1355" s="97"/>
      <c r="Z1355" s="216" t="s">
        <v>4335</v>
      </c>
      <c r="AA1355" s="76"/>
      <c r="AB1355" s="76"/>
      <c r="AC1355" s="76" t="s">
        <v>12312</v>
      </c>
      <c r="AD1355" s="76"/>
      <c r="AE1355" s="76"/>
      <c r="AF1355" s="76" t="s">
        <v>4043</v>
      </c>
      <c r="AG1355" s="189"/>
      <c r="AH1355" s="153">
        <v>46195.0</v>
      </c>
      <c r="AI1355" s="67"/>
      <c r="AJ1355" s="67"/>
      <c r="AK1355" s="70"/>
      <c r="AL1355" s="70"/>
      <c r="AM1355" s="135"/>
      <c r="AN1355" s="135"/>
      <c r="AO1355" s="70"/>
      <c r="AP1355" s="70"/>
      <c r="AQ1355" s="67"/>
      <c r="AR1355" s="67"/>
      <c r="AS1355" s="67"/>
      <c r="AT1355" s="67"/>
    </row>
    <row r="1356">
      <c r="A1356" s="76" t="s">
        <v>116</v>
      </c>
      <c r="B1356" s="77" t="s">
        <v>1039</v>
      </c>
      <c r="C1356" s="77" t="s">
        <v>1611</v>
      </c>
      <c r="D1356" s="77" t="s">
        <v>1494</v>
      </c>
      <c r="E1356" s="78" t="s">
        <v>321</v>
      </c>
      <c r="F1356" s="80" t="s">
        <v>1552</v>
      </c>
      <c r="G1356" s="77" t="s">
        <v>649</v>
      </c>
      <c r="H1356" s="77" t="s">
        <v>60</v>
      </c>
      <c r="I1356" s="87" t="s">
        <v>1221</v>
      </c>
      <c r="J1356" s="76" t="s">
        <v>114</v>
      </c>
      <c r="K1356" s="76"/>
      <c r="L1356" s="47" t="s">
        <v>12304</v>
      </c>
      <c r="M1356" s="85" t="s">
        <v>60</v>
      </c>
      <c r="N1356" s="157" t="s">
        <v>12373</v>
      </c>
      <c r="O1356" s="1001" t="s">
        <v>12374</v>
      </c>
      <c r="P1356" s="523">
        <v>28647.0</v>
      </c>
      <c r="Q1356" s="315">
        <f>VALUE(LEFT(TEXT(S1356,0),5))+1</f>
        <v>28647</v>
      </c>
      <c r="R1356" s="86">
        <f t="shared" si="180"/>
        <v>48</v>
      </c>
      <c r="S1356" s="76">
        <v>2.864619279E9</v>
      </c>
      <c r="T1356" s="76"/>
      <c r="U1356" s="76" t="s">
        <v>379</v>
      </c>
      <c r="V1356" s="76"/>
      <c r="W1356" s="76"/>
      <c r="X1356" s="76"/>
      <c r="Y1356" s="97"/>
      <c r="Z1356" s="216" t="s">
        <v>4335</v>
      </c>
      <c r="AA1356" s="76"/>
      <c r="AB1356" s="76"/>
      <c r="AC1356" s="76" t="s">
        <v>12312</v>
      </c>
      <c r="AD1356" s="76"/>
      <c r="AE1356" s="76"/>
      <c r="AF1356" s="76" t="s">
        <v>2586</v>
      </c>
      <c r="AG1356" s="189"/>
      <c r="AH1356" s="76"/>
      <c r="AI1356" s="67"/>
      <c r="AJ1356" s="67"/>
      <c r="AK1356" s="70"/>
      <c r="AL1356" s="70"/>
      <c r="AM1356" s="135"/>
      <c r="AN1356" s="135"/>
      <c r="AO1356" s="70"/>
      <c r="AP1356" s="70"/>
      <c r="AQ1356" s="67"/>
      <c r="AR1356" s="67"/>
      <c r="AS1356" s="67"/>
      <c r="AT1356" s="67"/>
    </row>
    <row r="1357">
      <c r="A1357" s="76" t="s">
        <v>116</v>
      </c>
      <c r="B1357" s="77" t="s">
        <v>1039</v>
      </c>
      <c r="C1357" s="77" t="s">
        <v>1517</v>
      </c>
      <c r="D1357" s="77" t="s">
        <v>1519</v>
      </c>
      <c r="E1357" s="78" t="s">
        <v>139</v>
      </c>
      <c r="F1357" s="80" t="s">
        <v>1520</v>
      </c>
      <c r="G1357" s="77" t="s">
        <v>2539</v>
      </c>
      <c r="H1357" s="77" t="s">
        <v>60</v>
      </c>
      <c r="I1357" s="87" t="s">
        <v>1221</v>
      </c>
      <c r="J1357" s="76" t="s">
        <v>114</v>
      </c>
      <c r="K1357" s="97"/>
      <c r="L1357" s="47" t="s">
        <v>12304</v>
      </c>
      <c r="M1357" s="86" t="s">
        <v>60</v>
      </c>
      <c r="N1357" s="696" t="s">
        <v>10798</v>
      </c>
      <c r="O1357" s="1202" t="s">
        <v>1719</v>
      </c>
      <c r="P1357" s="825">
        <v>31839.0</v>
      </c>
      <c r="Q1357" s="315">
        <f>VALUE(LEFT(TEXT(S1878,0),5))+1</f>
        <v>1</v>
      </c>
      <c r="R1357" s="97">
        <f>DATEDIF($P1878,TODAY(),"Y")</f>
        <v>126</v>
      </c>
      <c r="S1357" s="1207"/>
      <c r="T1357" s="315"/>
      <c r="U1357" s="76" t="s">
        <v>379</v>
      </c>
      <c r="V1357" s="76"/>
      <c r="W1357" s="76"/>
      <c r="X1357" s="97"/>
      <c r="Y1357" s="97"/>
      <c r="Z1357" s="278" t="s">
        <v>6867</v>
      </c>
      <c r="AA1357" s="97"/>
      <c r="AB1357" s="97"/>
      <c r="AC1357" s="76" t="s">
        <v>12312</v>
      </c>
      <c r="AD1357" s="235">
        <v>46189.0</v>
      </c>
      <c r="AE1357" s="76"/>
      <c r="AF1357" s="85" t="s">
        <v>3006</v>
      </c>
      <c r="AG1357" s="76" t="s">
        <v>1187</v>
      </c>
      <c r="AH1357" s="85" t="s">
        <v>12375</v>
      </c>
      <c r="AI1357" s="67"/>
      <c r="AJ1357" s="67"/>
      <c r="AK1357" s="76" t="s">
        <v>2555</v>
      </c>
      <c r="AL1357" s="70"/>
      <c r="AM1357" s="135"/>
      <c r="AN1357" s="135"/>
      <c r="AO1357" s="70"/>
      <c r="AP1357" s="70"/>
      <c r="AQ1357" s="67"/>
      <c r="AR1357" s="67"/>
      <c r="AS1357" s="67"/>
      <c r="AT1357" s="67"/>
    </row>
    <row r="1358">
      <c r="A1358" s="76" t="s">
        <v>116</v>
      </c>
      <c r="B1358" s="77" t="s">
        <v>1039</v>
      </c>
      <c r="C1358" s="77" t="s">
        <v>1269</v>
      </c>
      <c r="D1358" s="77" t="s">
        <v>1519</v>
      </c>
      <c r="E1358" s="78" t="s">
        <v>321</v>
      </c>
      <c r="F1358" s="80" t="s">
        <v>1552</v>
      </c>
      <c r="G1358" s="77" t="s">
        <v>2003</v>
      </c>
      <c r="H1358" s="77" t="s">
        <v>60</v>
      </c>
      <c r="I1358" s="87" t="s">
        <v>1221</v>
      </c>
      <c r="J1358" s="76" t="s">
        <v>114</v>
      </c>
      <c r="K1358" s="176" t="s">
        <v>12376</v>
      </c>
      <c r="L1358" s="47" t="s">
        <v>12304</v>
      </c>
      <c r="M1358" s="85" t="s">
        <v>60</v>
      </c>
      <c r="N1358" s="358" t="s">
        <v>10653</v>
      </c>
      <c r="O1358" s="1001" t="s">
        <v>10654</v>
      </c>
      <c r="P1358" s="523">
        <v>31223.0</v>
      </c>
      <c r="Q1358" s="315">
        <f t="shared" ref="Q1358:Q1359" si="183">VALUE(LEFT(TEXT(S1358,0),5))+1</f>
        <v>31223</v>
      </c>
      <c r="R1358" s="86">
        <f t="shared" ref="R1358:R1380" si="184">DATEDIF($P1358,TODAY(),"Y")</f>
        <v>41</v>
      </c>
      <c r="S1358" s="76">
        <v>3.122221811E9</v>
      </c>
      <c r="T1358" s="76" t="s">
        <v>1426</v>
      </c>
      <c r="U1358" s="76" t="s">
        <v>379</v>
      </c>
      <c r="V1358" s="76"/>
      <c r="W1358" s="76"/>
      <c r="X1358" s="76"/>
      <c r="Y1358" s="276"/>
      <c r="Z1358" s="344" t="s">
        <v>2506</v>
      </c>
      <c r="AA1358" s="76" t="s">
        <v>1178</v>
      </c>
      <c r="AB1358" s="97"/>
      <c r="AC1358" s="76" t="s">
        <v>12312</v>
      </c>
      <c r="AD1358" s="235">
        <v>46203.0</v>
      </c>
      <c r="AE1358" s="76"/>
      <c r="AF1358" s="76" t="s">
        <v>2509</v>
      </c>
      <c r="AG1358" s="76" t="s">
        <v>2194</v>
      </c>
      <c r="AH1358" s="153">
        <v>46171.0</v>
      </c>
      <c r="AI1358" s="67"/>
      <c r="AJ1358" s="67"/>
      <c r="AK1358" s="70"/>
      <c r="AL1358" s="70"/>
      <c r="AM1358" s="135"/>
      <c r="AN1358" s="135"/>
      <c r="AO1358" s="70"/>
      <c r="AP1358" s="70"/>
      <c r="AQ1358" s="67"/>
      <c r="AR1358" s="67"/>
      <c r="AS1358" s="67"/>
      <c r="AT1358" s="67"/>
    </row>
    <row r="1359">
      <c r="A1359" s="76" t="s">
        <v>116</v>
      </c>
      <c r="B1359" s="77" t="s">
        <v>1039</v>
      </c>
      <c r="C1359" s="77" t="s">
        <v>1269</v>
      </c>
      <c r="D1359" s="77" t="s">
        <v>1519</v>
      </c>
      <c r="E1359" s="78" t="s">
        <v>178</v>
      </c>
      <c r="F1359" s="80" t="s">
        <v>1369</v>
      </c>
      <c r="G1359" s="77" t="s">
        <v>376</v>
      </c>
      <c r="H1359" s="77" t="s">
        <v>102</v>
      </c>
      <c r="I1359" s="146" t="s">
        <v>408</v>
      </c>
      <c r="J1359" s="85" t="s">
        <v>114</v>
      </c>
      <c r="K1359" s="176" t="s">
        <v>1602</v>
      </c>
      <c r="L1359" s="47" t="s">
        <v>12304</v>
      </c>
      <c r="M1359" s="85" t="s">
        <v>3372</v>
      </c>
      <c r="N1359" s="157" t="s">
        <v>12377</v>
      </c>
      <c r="O1359" s="1001" t="s">
        <v>3082</v>
      </c>
      <c r="P1359" s="523">
        <v>27018.0</v>
      </c>
      <c r="Q1359" s="315">
        <f t="shared" si="183"/>
        <v>27018</v>
      </c>
      <c r="R1359" s="86">
        <f t="shared" si="184"/>
        <v>52</v>
      </c>
      <c r="S1359" s="325">
        <v>2.701716536E9</v>
      </c>
      <c r="T1359" s="76"/>
      <c r="U1359" s="76" t="s">
        <v>379</v>
      </c>
      <c r="V1359" s="76"/>
      <c r="W1359" s="76"/>
      <c r="X1359" s="76"/>
      <c r="Y1359" s="97"/>
      <c r="Z1359" s="216" t="s">
        <v>4335</v>
      </c>
      <c r="AA1359" s="76"/>
      <c r="AB1359" s="76"/>
      <c r="AC1359" s="76" t="s">
        <v>12312</v>
      </c>
      <c r="AD1359" s="76"/>
      <c r="AE1359" s="76"/>
      <c r="AF1359" s="76" t="s">
        <v>2586</v>
      </c>
      <c r="AG1359" s="189"/>
      <c r="AH1359" s="76"/>
      <c r="AI1359" s="67"/>
      <c r="AJ1359" s="67"/>
      <c r="AK1359" s="70"/>
      <c r="AL1359" s="70"/>
      <c r="AM1359" s="135"/>
      <c r="AN1359" s="135"/>
      <c r="AO1359" s="70"/>
      <c r="AP1359" s="70"/>
      <c r="AQ1359" s="67"/>
      <c r="AR1359" s="67"/>
      <c r="AS1359" s="67"/>
      <c r="AT1359" s="67"/>
    </row>
    <row r="1360">
      <c r="A1360" s="76" t="s">
        <v>116</v>
      </c>
      <c r="B1360" s="77" t="s">
        <v>1039</v>
      </c>
      <c r="C1360" s="77" t="s">
        <v>1269</v>
      </c>
      <c r="D1360" s="77" t="s">
        <v>1494</v>
      </c>
      <c r="E1360" s="78" t="s">
        <v>187</v>
      </c>
      <c r="F1360" s="80" t="s">
        <v>1469</v>
      </c>
      <c r="G1360" s="77" t="s">
        <v>1711</v>
      </c>
      <c r="H1360" s="77" t="s">
        <v>60</v>
      </c>
      <c r="I1360" s="87" t="s">
        <v>1221</v>
      </c>
      <c r="J1360" s="76" t="s">
        <v>114</v>
      </c>
      <c r="K1360" s="76"/>
      <c r="L1360" s="47" t="s">
        <v>12304</v>
      </c>
      <c r="M1360" s="85" t="s">
        <v>60</v>
      </c>
      <c r="N1360" s="157" t="s">
        <v>12378</v>
      </c>
      <c r="O1360" s="1001" t="s">
        <v>1571</v>
      </c>
      <c r="P1360" s="523">
        <v>32805.0</v>
      </c>
      <c r="Q1360" s="315"/>
      <c r="R1360" s="86">
        <f t="shared" si="184"/>
        <v>36</v>
      </c>
      <c r="S1360" s="76"/>
      <c r="T1360" s="76"/>
      <c r="U1360" s="76" t="s">
        <v>379</v>
      </c>
      <c r="V1360" s="76"/>
      <c r="W1360" s="76"/>
      <c r="X1360" s="76"/>
      <c r="Y1360" s="97"/>
      <c r="Z1360" s="216" t="s">
        <v>4335</v>
      </c>
      <c r="AA1360" s="76"/>
      <c r="AB1360" s="76"/>
      <c r="AC1360" s="76" t="s">
        <v>12312</v>
      </c>
      <c r="AD1360" s="76"/>
      <c r="AE1360" s="76"/>
      <c r="AF1360" s="76" t="s">
        <v>4043</v>
      </c>
      <c r="AG1360" s="189"/>
      <c r="AH1360" s="76"/>
      <c r="AI1360" s="428"/>
      <c r="AJ1360" s="67"/>
      <c r="AK1360" s="70"/>
      <c r="AL1360" s="70"/>
      <c r="AM1360" s="135"/>
      <c r="AN1360" s="135"/>
      <c r="AO1360" s="70"/>
      <c r="AP1360" s="70"/>
      <c r="AQ1360" s="67"/>
      <c r="AR1360" s="67"/>
      <c r="AS1360" s="67"/>
      <c r="AT1360" s="67"/>
    </row>
    <row r="1361">
      <c r="A1361" s="76" t="s">
        <v>116</v>
      </c>
      <c r="B1361" s="77" t="s">
        <v>1039</v>
      </c>
      <c r="C1361" s="77" t="s">
        <v>1269</v>
      </c>
      <c r="D1361" s="77" t="s">
        <v>1368</v>
      </c>
      <c r="E1361" s="78" t="s">
        <v>58</v>
      </c>
      <c r="F1361" s="80" t="s">
        <v>1496</v>
      </c>
      <c r="G1361" s="77" t="s">
        <v>330</v>
      </c>
      <c r="H1361" s="77" t="s">
        <v>60</v>
      </c>
      <c r="I1361" s="87" t="s">
        <v>1221</v>
      </c>
      <c r="J1361" s="76" t="s">
        <v>114</v>
      </c>
      <c r="K1361" s="176" t="s">
        <v>9999</v>
      </c>
      <c r="L1361" s="47" t="s">
        <v>12304</v>
      </c>
      <c r="M1361" s="85" t="s">
        <v>60</v>
      </c>
      <c r="N1361" s="1208" t="s">
        <v>9918</v>
      </c>
      <c r="O1361" s="1205" t="s">
        <v>9919</v>
      </c>
      <c r="P1361" s="262">
        <v>34093.0</v>
      </c>
      <c r="Q1361" s="315">
        <f t="shared" ref="Q1361:Q1362" si="185">VALUE(LEFT(TEXT(S1361,0),5))+1</f>
        <v>34093</v>
      </c>
      <c r="R1361" s="97">
        <f t="shared" si="184"/>
        <v>33</v>
      </c>
      <c r="S1361" s="76">
        <v>3.409210733E9</v>
      </c>
      <c r="T1361" s="168"/>
      <c r="U1361" s="76" t="s">
        <v>379</v>
      </c>
      <c r="V1361" s="76"/>
      <c r="W1361" s="76"/>
      <c r="X1361" s="97"/>
      <c r="Y1361" s="168"/>
      <c r="Z1361" s="176" t="s">
        <v>1460</v>
      </c>
      <c r="AA1361" s="168"/>
      <c r="AB1361" s="97"/>
      <c r="AC1361" s="76" t="s">
        <v>12312</v>
      </c>
      <c r="AD1361" s="168"/>
      <c r="AE1361" s="76"/>
      <c r="AF1361" s="85" t="s">
        <v>12379</v>
      </c>
      <c r="AG1361" s="341" t="s">
        <v>1187</v>
      </c>
      <c r="AH1361" s="85" t="s">
        <v>12380</v>
      </c>
      <c r="AI1361" s="67"/>
      <c r="AJ1361" s="67"/>
      <c r="AK1361" s="70"/>
      <c r="AL1361" s="70"/>
      <c r="AM1361" s="135"/>
      <c r="AN1361" s="135"/>
      <c r="AO1361" s="70"/>
      <c r="AP1361" s="70"/>
      <c r="AQ1361" s="67"/>
      <c r="AR1361" s="67"/>
      <c r="AS1361" s="67"/>
      <c r="AT1361" s="67"/>
    </row>
    <row r="1362">
      <c r="A1362" s="76" t="s">
        <v>116</v>
      </c>
      <c r="B1362" s="77" t="s">
        <v>1039</v>
      </c>
      <c r="C1362" s="77" t="s">
        <v>1269</v>
      </c>
      <c r="D1362" s="77" t="s">
        <v>1368</v>
      </c>
      <c r="E1362" s="78" t="s">
        <v>302</v>
      </c>
      <c r="F1362" s="80" t="s">
        <v>1404</v>
      </c>
      <c r="G1362" s="77" t="s">
        <v>304</v>
      </c>
      <c r="H1362" s="77" t="s">
        <v>326</v>
      </c>
      <c r="I1362" s="87" t="s">
        <v>1221</v>
      </c>
      <c r="J1362" s="76" t="s">
        <v>114</v>
      </c>
      <c r="K1362" s="176" t="s">
        <v>12381</v>
      </c>
      <c r="L1362" s="47" t="s">
        <v>12304</v>
      </c>
      <c r="M1362" s="85" t="s">
        <v>60</v>
      </c>
      <c r="N1362" s="326" t="s">
        <v>12382</v>
      </c>
      <c r="O1362" s="1001" t="s">
        <v>12383</v>
      </c>
      <c r="P1362" s="523">
        <v>32660.0</v>
      </c>
      <c r="Q1362" s="315">
        <f t="shared" si="185"/>
        <v>1</v>
      </c>
      <c r="R1362" s="86">
        <f t="shared" si="184"/>
        <v>37</v>
      </c>
      <c r="S1362" s="76"/>
      <c r="T1362" s="315"/>
      <c r="U1362" s="76" t="s">
        <v>379</v>
      </c>
      <c r="V1362" s="76"/>
      <c r="W1362" s="76"/>
      <c r="X1362" s="76"/>
      <c r="Y1362" s="76" t="s">
        <v>371</v>
      </c>
      <c r="Z1362" s="216" t="s">
        <v>1815</v>
      </c>
      <c r="AA1362" s="76" t="s">
        <v>1178</v>
      </c>
      <c r="AB1362" s="97"/>
      <c r="AC1362" s="76" t="s">
        <v>12306</v>
      </c>
      <c r="AD1362" s="76"/>
      <c r="AE1362" s="76"/>
      <c r="AF1362" s="76" t="s">
        <v>9617</v>
      </c>
      <c r="AG1362" s="76" t="s">
        <v>7369</v>
      </c>
      <c r="AH1362" s="76" t="s">
        <v>12384</v>
      </c>
      <c r="AI1362" s="67"/>
      <c r="AJ1362" s="67"/>
      <c r="AK1362" s="86" t="s">
        <v>1426</v>
      </c>
      <c r="AL1362" s="70"/>
      <c r="AM1362" s="135"/>
      <c r="AN1362" s="135"/>
      <c r="AO1362" s="70"/>
      <c r="AP1362" s="70"/>
      <c r="AQ1362" s="67"/>
      <c r="AR1362" s="67"/>
      <c r="AS1362" s="67"/>
      <c r="AT1362" s="67"/>
    </row>
    <row r="1363">
      <c r="A1363" s="76" t="s">
        <v>116</v>
      </c>
      <c r="B1363" s="77" t="s">
        <v>1039</v>
      </c>
      <c r="C1363" s="77" t="s">
        <v>1269</v>
      </c>
      <c r="D1363" s="77" t="s">
        <v>1368</v>
      </c>
      <c r="E1363" s="78" t="s">
        <v>178</v>
      </c>
      <c r="F1363" s="80" t="s">
        <v>1369</v>
      </c>
      <c r="G1363" s="77" t="s">
        <v>1371</v>
      </c>
      <c r="H1363" s="77" t="s">
        <v>102</v>
      </c>
      <c r="I1363" s="146" t="s">
        <v>408</v>
      </c>
      <c r="J1363" s="85" t="s">
        <v>114</v>
      </c>
      <c r="K1363" s="76"/>
      <c r="L1363" s="47" t="s">
        <v>12304</v>
      </c>
      <c r="M1363" s="85" t="s">
        <v>102</v>
      </c>
      <c r="N1363" s="157" t="s">
        <v>12385</v>
      </c>
      <c r="O1363" s="1001" t="s">
        <v>12386</v>
      </c>
      <c r="P1363" s="523">
        <v>28242.0</v>
      </c>
      <c r="Q1363" s="315"/>
      <c r="R1363" s="86">
        <f t="shared" si="184"/>
        <v>49</v>
      </c>
      <c r="S1363" s="76"/>
      <c r="T1363" s="76" t="s">
        <v>1317</v>
      </c>
      <c r="U1363" s="76" t="s">
        <v>379</v>
      </c>
      <c r="V1363" s="76"/>
      <c r="W1363" s="76"/>
      <c r="X1363" s="76"/>
      <c r="Y1363" s="97"/>
      <c r="Z1363" s="216" t="s">
        <v>4335</v>
      </c>
      <c r="AA1363" s="76" t="s">
        <v>1178</v>
      </c>
      <c r="AB1363" s="76"/>
      <c r="AC1363" s="76" t="s">
        <v>12312</v>
      </c>
      <c r="AD1363" s="76"/>
      <c r="AE1363" s="76"/>
      <c r="AF1363" s="76" t="s">
        <v>4043</v>
      </c>
      <c r="AG1363" s="189"/>
      <c r="AH1363" s="76"/>
      <c r="AI1363" s="67"/>
      <c r="AJ1363" s="67"/>
      <c r="AK1363" s="86" t="s">
        <v>378</v>
      </c>
      <c r="AL1363" s="70"/>
      <c r="AM1363" s="135"/>
      <c r="AN1363" s="135"/>
      <c r="AO1363" s="70"/>
      <c r="AP1363" s="70"/>
      <c r="AQ1363" s="67"/>
      <c r="AR1363" s="67"/>
      <c r="AS1363" s="67"/>
      <c r="AT1363" s="67"/>
    </row>
    <row r="1364">
      <c r="A1364" s="76" t="s">
        <v>116</v>
      </c>
      <c r="B1364" s="77" t="s">
        <v>1039</v>
      </c>
      <c r="C1364" s="77" t="s">
        <v>121</v>
      </c>
      <c r="D1364" s="77" t="s">
        <v>121</v>
      </c>
      <c r="E1364" s="78" t="s">
        <v>295</v>
      </c>
      <c r="F1364" s="80" t="s">
        <v>1241</v>
      </c>
      <c r="G1364" s="77" t="s">
        <v>1243</v>
      </c>
      <c r="H1364" s="77" t="s">
        <v>60</v>
      </c>
      <c r="I1364" s="87" t="s">
        <v>1221</v>
      </c>
      <c r="J1364" s="76" t="s">
        <v>114</v>
      </c>
      <c r="K1364" s="76"/>
      <c r="L1364" s="47" t="s">
        <v>12304</v>
      </c>
      <c r="M1364" s="85" t="s">
        <v>102</v>
      </c>
      <c r="N1364" s="157" t="s">
        <v>12387</v>
      </c>
      <c r="O1364" s="1001" t="s">
        <v>12388</v>
      </c>
      <c r="P1364" s="523">
        <v>30811.0</v>
      </c>
      <c r="Q1364" s="315">
        <f t="shared" ref="Q1364:Q1369" si="186">VALUE(LEFT(TEXT(S1364,0),5))+1</f>
        <v>30811</v>
      </c>
      <c r="R1364" s="86">
        <f t="shared" si="184"/>
        <v>42</v>
      </c>
      <c r="S1364" s="76">
        <v>3.081023151E9</v>
      </c>
      <c r="T1364" s="315"/>
      <c r="U1364" s="76" t="s">
        <v>379</v>
      </c>
      <c r="V1364" s="76"/>
      <c r="W1364" s="76"/>
      <c r="X1364" s="76"/>
      <c r="Y1364" s="76"/>
      <c r="Z1364" s="216" t="s">
        <v>4335</v>
      </c>
      <c r="AA1364" s="97"/>
      <c r="AB1364" s="97"/>
      <c r="AC1364" s="76" t="s">
        <v>12312</v>
      </c>
      <c r="AD1364" s="76"/>
      <c r="AE1364" s="76"/>
      <c r="AF1364" s="76" t="s">
        <v>12389</v>
      </c>
      <c r="AG1364" s="76"/>
      <c r="AH1364" s="654"/>
      <c r="AI1364" s="67"/>
      <c r="AJ1364" s="67"/>
      <c r="AK1364" s="70"/>
      <c r="AL1364" s="70"/>
      <c r="AM1364" s="135"/>
      <c r="AN1364" s="135"/>
      <c r="AO1364" s="70"/>
      <c r="AP1364" s="70"/>
      <c r="AQ1364" s="67"/>
      <c r="AR1364" s="67"/>
      <c r="AS1364" s="67"/>
      <c r="AT1364" s="67"/>
    </row>
    <row r="1365">
      <c r="A1365" s="76" t="s">
        <v>116</v>
      </c>
      <c r="B1365" s="77" t="s">
        <v>1039</v>
      </c>
      <c r="C1365" s="77" t="s">
        <v>1517</v>
      </c>
      <c r="D1365" s="77" t="s">
        <v>1494</v>
      </c>
      <c r="E1365" s="78" t="s">
        <v>213</v>
      </c>
      <c r="F1365" s="80" t="s">
        <v>1523</v>
      </c>
      <c r="G1365" s="77" t="s">
        <v>528</v>
      </c>
      <c r="H1365" s="77" t="s">
        <v>60</v>
      </c>
      <c r="I1365" s="87" t="s">
        <v>1221</v>
      </c>
      <c r="J1365" s="76" t="s">
        <v>114</v>
      </c>
      <c r="K1365" s="176" t="s">
        <v>12390</v>
      </c>
      <c r="L1365" s="85" t="s">
        <v>12391</v>
      </c>
      <c r="M1365" s="85" t="s">
        <v>60</v>
      </c>
      <c r="N1365" s="76" t="s">
        <v>524</v>
      </c>
      <c r="O1365" s="1001" t="s">
        <v>12392</v>
      </c>
      <c r="P1365" s="825">
        <v>30529.0</v>
      </c>
      <c r="Q1365" s="315">
        <f t="shared" si="186"/>
        <v>30529</v>
      </c>
      <c r="R1365" s="97">
        <f t="shared" si="184"/>
        <v>43</v>
      </c>
      <c r="S1365" s="76">
        <v>3.052821853E9</v>
      </c>
      <c r="T1365" s="315" t="s">
        <v>1479</v>
      </c>
      <c r="U1365" s="76" t="s">
        <v>379</v>
      </c>
      <c r="V1365" s="76"/>
      <c r="W1365" s="76"/>
      <c r="X1365" s="97"/>
      <c r="Y1365" s="97"/>
      <c r="Z1365" s="176" t="s">
        <v>1460</v>
      </c>
      <c r="AA1365" s="76"/>
      <c r="AB1365" s="97"/>
      <c r="AC1365" s="76" t="s">
        <v>12393</v>
      </c>
      <c r="AD1365" s="99"/>
      <c r="AE1365" s="76"/>
      <c r="AF1365" s="76" t="s">
        <v>12394</v>
      </c>
      <c r="AG1365" s="76"/>
      <c r="AH1365" s="291" t="s">
        <v>1861</v>
      </c>
      <c r="AI1365" s="67"/>
      <c r="AJ1365" s="67"/>
      <c r="AK1365" s="70"/>
      <c r="AL1365" s="70"/>
      <c r="AM1365" s="135"/>
      <c r="AN1365" s="135"/>
      <c r="AO1365" s="70"/>
      <c r="AP1365" s="70"/>
      <c r="AQ1365" s="67"/>
      <c r="AR1365" s="67"/>
      <c r="AS1365" s="67"/>
      <c r="AT1365" s="67"/>
    </row>
    <row r="1366">
      <c r="A1366" s="76" t="s">
        <v>116</v>
      </c>
      <c r="B1366" s="77" t="s">
        <v>1039</v>
      </c>
      <c r="C1366" s="77" t="s">
        <v>1611</v>
      </c>
      <c r="D1366" s="77" t="s">
        <v>121</v>
      </c>
      <c r="E1366" s="78" t="s">
        <v>295</v>
      </c>
      <c r="F1366" s="80" t="s">
        <v>1241</v>
      </c>
      <c r="G1366" s="77" t="s">
        <v>2646</v>
      </c>
      <c r="H1366" s="77" t="s">
        <v>60</v>
      </c>
      <c r="I1366" s="87" t="s">
        <v>1221</v>
      </c>
      <c r="J1366" s="76" t="s">
        <v>114</v>
      </c>
      <c r="K1366" s="76"/>
      <c r="L1366" s="85" t="s">
        <v>12391</v>
      </c>
      <c r="M1366" s="85" t="s">
        <v>60</v>
      </c>
      <c r="N1366" s="157" t="s">
        <v>12395</v>
      </c>
      <c r="O1366" s="1001" t="s">
        <v>12396</v>
      </c>
      <c r="P1366" s="523">
        <v>30295.0</v>
      </c>
      <c r="Q1366" s="315">
        <f t="shared" si="186"/>
        <v>30295</v>
      </c>
      <c r="R1366" s="86">
        <f t="shared" si="184"/>
        <v>43</v>
      </c>
      <c r="S1366" s="76">
        <v>3.029414134E9</v>
      </c>
      <c r="T1366" s="315"/>
      <c r="U1366" s="76" t="s">
        <v>379</v>
      </c>
      <c r="V1366" s="76"/>
      <c r="W1366" s="76"/>
      <c r="X1366" s="76"/>
      <c r="Y1366" s="97"/>
      <c r="Z1366" s="290" t="s">
        <v>1755</v>
      </c>
      <c r="AA1366" s="76" t="s">
        <v>1178</v>
      </c>
      <c r="AB1366" s="76"/>
      <c r="AC1366" s="76" t="s">
        <v>12393</v>
      </c>
      <c r="AD1366" s="76"/>
      <c r="AE1366" s="76"/>
      <c r="AF1366" s="76" t="s">
        <v>12021</v>
      </c>
      <c r="AG1366" s="189"/>
      <c r="AH1366" s="506" t="s">
        <v>12397</v>
      </c>
      <c r="AI1366" s="67"/>
      <c r="AJ1366" s="67"/>
      <c r="AK1366" s="70"/>
      <c r="AL1366" s="70"/>
      <c r="AM1366" s="135"/>
      <c r="AN1366" s="135"/>
      <c r="AO1366" s="70"/>
      <c r="AP1366" s="70"/>
      <c r="AQ1366" s="67"/>
      <c r="AR1366" s="67"/>
      <c r="AS1366" s="67"/>
      <c r="AT1366" s="67"/>
    </row>
    <row r="1367">
      <c r="A1367" s="76" t="s">
        <v>116</v>
      </c>
      <c r="B1367" s="77" t="s">
        <v>1039</v>
      </c>
      <c r="C1367" s="77" t="s">
        <v>1611</v>
      </c>
      <c r="D1367" s="77" t="s">
        <v>1368</v>
      </c>
      <c r="E1367" s="78" t="s">
        <v>187</v>
      </c>
      <c r="F1367" s="80" t="s">
        <v>1469</v>
      </c>
      <c r="G1367" s="77" t="s">
        <v>594</v>
      </c>
      <c r="H1367" s="77" t="s">
        <v>60</v>
      </c>
      <c r="I1367" s="87" t="s">
        <v>1221</v>
      </c>
      <c r="J1367" s="85" t="s">
        <v>114</v>
      </c>
      <c r="K1367" s="176" t="s">
        <v>12398</v>
      </c>
      <c r="L1367" s="47" t="s">
        <v>12391</v>
      </c>
      <c r="M1367" s="85" t="s">
        <v>60</v>
      </c>
      <c r="N1367" s="76" t="s">
        <v>592</v>
      </c>
      <c r="O1367" s="1001" t="s">
        <v>593</v>
      </c>
      <c r="P1367" s="523">
        <v>29425.0</v>
      </c>
      <c r="Q1367" s="315">
        <f t="shared" si="186"/>
        <v>29425</v>
      </c>
      <c r="R1367" s="86">
        <f t="shared" si="184"/>
        <v>46</v>
      </c>
      <c r="S1367" s="76">
        <v>2.94240839E9</v>
      </c>
      <c r="T1367" s="86"/>
      <c r="U1367" s="76" t="s">
        <v>379</v>
      </c>
      <c r="V1367" s="76"/>
      <c r="W1367" s="76"/>
      <c r="X1367" s="76"/>
      <c r="Y1367" s="167"/>
      <c r="Z1367" s="234" t="s">
        <v>1351</v>
      </c>
      <c r="AA1367" s="168"/>
      <c r="AB1367" s="97"/>
      <c r="AC1367" s="76" t="s">
        <v>12393</v>
      </c>
      <c r="AD1367" s="168"/>
      <c r="AE1367" s="76"/>
      <c r="AF1367" s="76"/>
      <c r="AG1367" s="76"/>
      <c r="AH1367" s="291" t="s">
        <v>12399</v>
      </c>
      <c r="AI1367" s="67"/>
      <c r="AJ1367" s="67"/>
      <c r="AK1367" s="70"/>
      <c r="AL1367" s="70"/>
      <c r="AM1367" s="135"/>
      <c r="AN1367" s="135"/>
      <c r="AO1367" s="70"/>
      <c r="AP1367" s="70"/>
      <c r="AQ1367" s="67"/>
      <c r="AR1367" s="67"/>
      <c r="AS1367" s="67"/>
      <c r="AT1367" s="67"/>
    </row>
    <row r="1368">
      <c r="A1368" s="76" t="s">
        <v>116</v>
      </c>
      <c r="B1368" s="77" t="s">
        <v>1039</v>
      </c>
      <c r="C1368" s="77" t="s">
        <v>1611</v>
      </c>
      <c r="D1368" s="77" t="s">
        <v>1368</v>
      </c>
      <c r="E1368" s="78" t="s">
        <v>213</v>
      </c>
      <c r="F1368" s="80" t="s">
        <v>1523</v>
      </c>
      <c r="G1368" s="77" t="s">
        <v>2746</v>
      </c>
      <c r="H1368" s="77" t="s">
        <v>60</v>
      </c>
      <c r="I1368" s="87" t="s">
        <v>1221</v>
      </c>
      <c r="J1368" s="85" t="s">
        <v>114</v>
      </c>
      <c r="K1368" s="176" t="s">
        <v>12400</v>
      </c>
      <c r="L1368" s="47" t="s">
        <v>12391</v>
      </c>
      <c r="M1368" s="85" t="s">
        <v>60</v>
      </c>
      <c r="N1368" s="157" t="s">
        <v>12401</v>
      </c>
      <c r="O1368" s="1001" t="s">
        <v>12402</v>
      </c>
      <c r="P1368" s="523">
        <v>28035.0</v>
      </c>
      <c r="Q1368" s="315">
        <f t="shared" si="186"/>
        <v>28035</v>
      </c>
      <c r="R1368" s="86">
        <f t="shared" si="184"/>
        <v>49</v>
      </c>
      <c r="S1368" s="76">
        <v>2.803421372E9</v>
      </c>
      <c r="T1368" s="76"/>
      <c r="U1368" s="76" t="s">
        <v>379</v>
      </c>
      <c r="V1368" s="76"/>
      <c r="W1368" s="76"/>
      <c r="X1368" s="76"/>
      <c r="Y1368" s="97"/>
      <c r="Z1368" s="216" t="s">
        <v>4335</v>
      </c>
      <c r="AA1368" s="76"/>
      <c r="AB1368" s="76"/>
      <c r="AC1368" s="76" t="s">
        <v>12393</v>
      </c>
      <c r="AD1368" s="76"/>
      <c r="AE1368" s="76"/>
      <c r="AF1368" s="302" t="s">
        <v>12403</v>
      </c>
      <c r="AG1368" s="189"/>
      <c r="AH1368" s="76"/>
      <c r="AI1368" s="67"/>
      <c r="AJ1368" s="67"/>
      <c r="AK1368" s="70"/>
      <c r="AL1368" s="70"/>
      <c r="AM1368" s="135"/>
      <c r="AN1368" s="135"/>
      <c r="AO1368" s="70"/>
      <c r="AP1368" s="70"/>
      <c r="AQ1368" s="67"/>
      <c r="AR1368" s="67"/>
      <c r="AS1368" s="67"/>
      <c r="AT1368" s="67"/>
    </row>
    <row r="1369">
      <c r="A1369" s="76" t="s">
        <v>116</v>
      </c>
      <c r="B1369" s="77" t="s">
        <v>1039</v>
      </c>
      <c r="C1369" s="77" t="s">
        <v>1611</v>
      </c>
      <c r="D1369" s="77" t="s">
        <v>1519</v>
      </c>
      <c r="E1369" s="78" t="s">
        <v>58</v>
      </c>
      <c r="F1369" s="80" t="s">
        <v>1496</v>
      </c>
      <c r="G1369" s="77" t="s">
        <v>703</v>
      </c>
      <c r="H1369" s="77" t="s">
        <v>60</v>
      </c>
      <c r="I1369" s="87" t="s">
        <v>1221</v>
      </c>
      <c r="J1369" s="76" t="s">
        <v>114</v>
      </c>
      <c r="K1369" s="176" t="s">
        <v>12404</v>
      </c>
      <c r="L1369" s="47" t="s">
        <v>12391</v>
      </c>
      <c r="M1369" s="85" t="s">
        <v>60</v>
      </c>
      <c r="N1369" s="157" t="s">
        <v>12405</v>
      </c>
      <c r="O1369" s="1001" t="s">
        <v>12406</v>
      </c>
      <c r="P1369" s="523">
        <v>32396.0</v>
      </c>
      <c r="Q1369" s="315">
        <f t="shared" si="186"/>
        <v>32396</v>
      </c>
      <c r="R1369" s="86">
        <f t="shared" si="184"/>
        <v>37</v>
      </c>
      <c r="S1369" s="76">
        <v>3.239510956E9</v>
      </c>
      <c r="T1369" s="76"/>
      <c r="U1369" s="76" t="s">
        <v>379</v>
      </c>
      <c r="V1369" s="76"/>
      <c r="W1369" s="76"/>
      <c r="X1369" s="76"/>
      <c r="Y1369" s="189" t="s">
        <v>1174</v>
      </c>
      <c r="Z1369" s="216" t="s">
        <v>4335</v>
      </c>
      <c r="AA1369" s="76" t="s">
        <v>1178</v>
      </c>
      <c r="AB1369" s="76"/>
      <c r="AC1369" s="76" t="s">
        <v>12393</v>
      </c>
      <c r="AD1369" s="76"/>
      <c r="AE1369" s="76"/>
      <c r="AF1369" s="76" t="s">
        <v>2586</v>
      </c>
      <c r="AG1369" s="189"/>
      <c r="AH1369" s="76"/>
      <c r="AI1369" s="67"/>
      <c r="AJ1369" s="67"/>
      <c r="AK1369" s="70"/>
      <c r="AL1369" s="70"/>
      <c r="AM1369" s="135"/>
      <c r="AN1369" s="135"/>
      <c r="AO1369" s="70"/>
      <c r="AP1369" s="70"/>
      <c r="AQ1369" s="67"/>
      <c r="AR1369" s="67"/>
      <c r="AS1369" s="67"/>
      <c r="AT1369" s="67"/>
    </row>
    <row r="1370">
      <c r="A1370" s="76" t="s">
        <v>116</v>
      </c>
      <c r="B1370" s="77" t="s">
        <v>1645</v>
      </c>
      <c r="C1370" s="77" t="s">
        <v>1517</v>
      </c>
      <c r="D1370" s="77" t="s">
        <v>1494</v>
      </c>
      <c r="E1370" s="78" t="s">
        <v>58</v>
      </c>
      <c r="F1370" s="80" t="s">
        <v>1496</v>
      </c>
      <c r="G1370" s="77" t="s">
        <v>4370</v>
      </c>
      <c r="H1370" s="77" t="s">
        <v>60</v>
      </c>
      <c r="I1370" s="87" t="s">
        <v>1221</v>
      </c>
      <c r="J1370" s="76" t="s">
        <v>114</v>
      </c>
      <c r="K1370" s="76"/>
      <c r="L1370" s="85" t="s">
        <v>12391</v>
      </c>
      <c r="M1370" s="85" t="s">
        <v>60</v>
      </c>
      <c r="N1370" s="157" t="s">
        <v>12407</v>
      </c>
      <c r="O1370" s="1001" t="s">
        <v>9892</v>
      </c>
      <c r="P1370" s="523">
        <v>29573.0</v>
      </c>
      <c r="Q1370" s="315"/>
      <c r="R1370" s="86">
        <f t="shared" si="184"/>
        <v>45</v>
      </c>
      <c r="S1370" s="76"/>
      <c r="T1370" s="76" t="s">
        <v>378</v>
      </c>
      <c r="U1370" s="76" t="s">
        <v>379</v>
      </c>
      <c r="V1370" s="76"/>
      <c r="W1370" s="76"/>
      <c r="X1370" s="76"/>
      <c r="Y1370" s="97"/>
      <c r="Z1370" s="216" t="s">
        <v>4335</v>
      </c>
      <c r="AA1370" s="76" t="s">
        <v>1178</v>
      </c>
      <c r="AB1370" s="76"/>
      <c r="AC1370" s="76" t="s">
        <v>12393</v>
      </c>
      <c r="AD1370" s="76"/>
      <c r="AE1370" s="76"/>
      <c r="AF1370" s="76" t="s">
        <v>12408</v>
      </c>
      <c r="AG1370" s="189"/>
      <c r="AH1370" s="76"/>
      <c r="AI1370" s="67"/>
      <c r="AJ1370" s="67"/>
      <c r="AK1370" s="70"/>
      <c r="AL1370" s="70"/>
      <c r="AM1370" s="135"/>
      <c r="AN1370" s="135"/>
      <c r="AO1370" s="70"/>
      <c r="AP1370" s="70"/>
      <c r="AQ1370" s="67"/>
      <c r="AR1370" s="67"/>
      <c r="AS1370" s="67"/>
      <c r="AT1370" s="67"/>
    </row>
    <row r="1371">
      <c r="A1371" s="76" t="s">
        <v>116</v>
      </c>
      <c r="B1371" s="77" t="s">
        <v>1709</v>
      </c>
      <c r="C1371" s="77" t="s">
        <v>121</v>
      </c>
      <c r="D1371" s="77" t="s">
        <v>121</v>
      </c>
      <c r="E1371" s="78" t="s">
        <v>295</v>
      </c>
      <c r="F1371" s="80" t="s">
        <v>1241</v>
      </c>
      <c r="G1371" s="77" t="s">
        <v>5411</v>
      </c>
      <c r="H1371" s="77" t="s">
        <v>60</v>
      </c>
      <c r="I1371" s="87" t="s">
        <v>1221</v>
      </c>
      <c r="J1371" s="76" t="s">
        <v>114</v>
      </c>
      <c r="K1371" s="118" t="s">
        <v>12409</v>
      </c>
      <c r="L1371" s="85" t="s">
        <v>12391</v>
      </c>
      <c r="M1371" s="87" t="s">
        <v>60</v>
      </c>
      <c r="N1371" s="86" t="s">
        <v>12410</v>
      </c>
      <c r="O1371" s="1015" t="s">
        <v>12411</v>
      </c>
      <c r="P1371" s="1089">
        <v>31103.0</v>
      </c>
      <c r="Q1371" s="315">
        <f t="shared" ref="Q1371:Q1380" si="187">VALUE(LEFT(TEXT(S1371,0),5))+1</f>
        <v>31103</v>
      </c>
      <c r="R1371" s="86">
        <f t="shared" si="184"/>
        <v>41</v>
      </c>
      <c r="S1371" s="315">
        <v>3.110211157E9</v>
      </c>
      <c r="T1371" s="315"/>
      <c r="U1371" s="76" t="s">
        <v>379</v>
      </c>
      <c r="V1371" s="76"/>
      <c r="W1371" s="76"/>
      <c r="X1371" s="97"/>
      <c r="Y1371" s="97" t="s">
        <v>146</v>
      </c>
      <c r="Z1371" s="76"/>
      <c r="AA1371" s="86"/>
      <c r="AB1371" s="76" t="s">
        <v>192</v>
      </c>
      <c r="AC1371" s="76" t="s">
        <v>12393</v>
      </c>
      <c r="AD1371" s="76"/>
      <c r="AE1371" s="76"/>
      <c r="AF1371" s="109" t="s">
        <v>155</v>
      </c>
      <c r="AG1371" s="112"/>
      <c r="AH1371" s="85" t="s">
        <v>12412</v>
      </c>
      <c r="AI1371" s="67"/>
      <c r="AJ1371" s="67"/>
      <c r="AK1371" s="70"/>
      <c r="AL1371" s="70"/>
      <c r="AM1371" s="135"/>
      <c r="AN1371" s="135"/>
      <c r="AO1371" s="70"/>
      <c r="AP1371" s="70"/>
      <c r="AQ1371" s="67"/>
      <c r="AR1371" s="67"/>
      <c r="AS1371" s="67"/>
      <c r="AT1371" s="67"/>
    </row>
    <row r="1372">
      <c r="A1372" s="76" t="s">
        <v>116</v>
      </c>
      <c r="B1372" s="77" t="s">
        <v>1709</v>
      </c>
      <c r="C1372" s="77" t="s">
        <v>1269</v>
      </c>
      <c r="D1372" s="77" t="s">
        <v>1368</v>
      </c>
      <c r="E1372" s="78" t="s">
        <v>460</v>
      </c>
      <c r="F1372" s="80" t="s">
        <v>1435</v>
      </c>
      <c r="G1372" s="77" t="s">
        <v>5488</v>
      </c>
      <c r="H1372" s="77" t="s">
        <v>326</v>
      </c>
      <c r="I1372" s="87" t="s">
        <v>1221</v>
      </c>
      <c r="J1372" s="76" t="s">
        <v>114</v>
      </c>
      <c r="K1372" s="176" t="s">
        <v>12413</v>
      </c>
      <c r="L1372" s="232" t="s">
        <v>1330</v>
      </c>
      <c r="M1372" s="85" t="s">
        <v>60</v>
      </c>
      <c r="N1372" s="358" t="s">
        <v>10389</v>
      </c>
      <c r="O1372" s="320" t="s">
        <v>10390</v>
      </c>
      <c r="P1372" s="523">
        <v>27742.0</v>
      </c>
      <c r="Q1372" s="315">
        <f t="shared" si="187"/>
        <v>27742</v>
      </c>
      <c r="R1372" s="86">
        <f t="shared" si="184"/>
        <v>50</v>
      </c>
      <c r="S1372" s="76">
        <v>2.774111374E9</v>
      </c>
      <c r="T1372" s="315"/>
      <c r="U1372" s="76" t="s">
        <v>379</v>
      </c>
      <c r="V1372" s="76"/>
      <c r="W1372" s="76"/>
      <c r="X1372" s="76"/>
      <c r="Y1372" s="76" t="s">
        <v>371</v>
      </c>
      <c r="Z1372" s="216" t="s">
        <v>1815</v>
      </c>
      <c r="AA1372" s="76" t="s">
        <v>1178</v>
      </c>
      <c r="AB1372" s="97"/>
      <c r="AC1372" s="76" t="s">
        <v>7398</v>
      </c>
      <c r="AD1372" s="217">
        <v>46210.0</v>
      </c>
      <c r="AE1372" s="76"/>
      <c r="AF1372" s="76" t="s">
        <v>1819</v>
      </c>
      <c r="AG1372" s="76" t="s">
        <v>2194</v>
      </c>
      <c r="AH1372" s="153">
        <v>46154.0</v>
      </c>
      <c r="AI1372" s="67"/>
      <c r="AJ1372" s="67"/>
      <c r="AK1372" s="70"/>
      <c r="AL1372" s="70"/>
      <c r="AM1372" s="135"/>
      <c r="AN1372" s="135"/>
      <c r="AO1372" s="70"/>
      <c r="AP1372" s="70"/>
      <c r="AQ1372" s="67"/>
      <c r="AR1372" s="67"/>
      <c r="AS1372" s="67"/>
      <c r="AT1372" s="67"/>
    </row>
    <row r="1373">
      <c r="A1373" s="76" t="s">
        <v>116</v>
      </c>
      <c r="B1373" s="77" t="s">
        <v>1709</v>
      </c>
      <c r="C1373" s="77" t="s">
        <v>1517</v>
      </c>
      <c r="D1373" s="77" t="s">
        <v>1494</v>
      </c>
      <c r="E1373" s="78" t="s">
        <v>58</v>
      </c>
      <c r="F1373" s="80" t="s">
        <v>1496</v>
      </c>
      <c r="G1373" s="77" t="s">
        <v>1281</v>
      </c>
      <c r="H1373" s="77" t="s">
        <v>60</v>
      </c>
      <c r="I1373" s="87" t="s">
        <v>1221</v>
      </c>
      <c r="J1373" s="85" t="s">
        <v>114</v>
      </c>
      <c r="K1373" s="176" t="s">
        <v>12414</v>
      </c>
      <c r="L1373" s="85" t="s">
        <v>12391</v>
      </c>
      <c r="M1373" s="85" t="s">
        <v>60</v>
      </c>
      <c r="N1373" s="76" t="s">
        <v>12415</v>
      </c>
      <c r="O1373" s="1001" t="s">
        <v>12416</v>
      </c>
      <c r="P1373" s="523">
        <v>31472.0</v>
      </c>
      <c r="Q1373" s="315">
        <f t="shared" si="187"/>
        <v>1</v>
      </c>
      <c r="R1373" s="86">
        <f t="shared" si="184"/>
        <v>40</v>
      </c>
      <c r="S1373" s="76"/>
      <c r="T1373" s="86"/>
      <c r="U1373" s="76" t="s">
        <v>379</v>
      </c>
      <c r="V1373" s="76"/>
      <c r="W1373" s="76"/>
      <c r="X1373" s="76"/>
      <c r="Y1373" s="211" t="s">
        <v>1351</v>
      </c>
      <c r="Z1373" s="216" t="s">
        <v>4335</v>
      </c>
      <c r="AA1373" s="168"/>
      <c r="AB1373" s="97"/>
      <c r="AC1373" s="76" t="s">
        <v>12393</v>
      </c>
      <c r="AD1373" s="168"/>
      <c r="AE1373" s="76"/>
      <c r="AF1373" s="76"/>
      <c r="AG1373" s="76"/>
      <c r="AH1373" s="76" t="s">
        <v>12417</v>
      </c>
      <c r="AI1373" s="67"/>
      <c r="AJ1373" s="67"/>
      <c r="AK1373" s="70"/>
      <c r="AL1373" s="70"/>
      <c r="AM1373" s="135"/>
      <c r="AN1373" s="135"/>
      <c r="AO1373" s="70"/>
      <c r="AP1373" s="70"/>
      <c r="AQ1373" s="67"/>
      <c r="AR1373" s="67"/>
      <c r="AS1373" s="67"/>
      <c r="AT1373" s="67"/>
    </row>
    <row r="1374">
      <c r="A1374" s="76" t="s">
        <v>116</v>
      </c>
      <c r="B1374" s="77" t="s">
        <v>3722</v>
      </c>
      <c r="C1374" s="77" t="s">
        <v>6996</v>
      </c>
      <c r="D1374" s="77" t="s">
        <v>7199</v>
      </c>
      <c r="E1374" s="78" t="s">
        <v>1431</v>
      </c>
      <c r="F1374" s="80" t="s">
        <v>1437</v>
      </c>
      <c r="G1374" s="77" t="s">
        <v>1432</v>
      </c>
      <c r="H1374" s="77" t="s">
        <v>60</v>
      </c>
      <c r="I1374" s="87" t="s">
        <v>1221</v>
      </c>
      <c r="J1374" s="76" t="s">
        <v>114</v>
      </c>
      <c r="K1374" s="176" t="s">
        <v>12418</v>
      </c>
      <c r="L1374" s="85" t="s">
        <v>12391</v>
      </c>
      <c r="M1374" s="85" t="s">
        <v>60</v>
      </c>
      <c r="N1374" s="233" t="s">
        <v>1429</v>
      </c>
      <c r="O1374" s="1001" t="s">
        <v>1430</v>
      </c>
      <c r="P1374" s="523">
        <v>26330.0</v>
      </c>
      <c r="Q1374" s="315">
        <f t="shared" si="187"/>
        <v>26330</v>
      </c>
      <c r="R1374" s="86">
        <f t="shared" si="184"/>
        <v>54</v>
      </c>
      <c r="S1374" s="76">
        <v>2.632923616E9</v>
      </c>
      <c r="T1374" s="86"/>
      <c r="U1374" s="76" t="s">
        <v>379</v>
      </c>
      <c r="V1374" s="76"/>
      <c r="W1374" s="76"/>
      <c r="X1374" s="76"/>
      <c r="Y1374" s="167"/>
      <c r="Z1374" s="234" t="s">
        <v>1351</v>
      </c>
      <c r="AA1374" s="168"/>
      <c r="AB1374" s="97"/>
      <c r="AC1374" s="76" t="s">
        <v>12393</v>
      </c>
      <c r="AD1374" s="217">
        <v>46188.0</v>
      </c>
      <c r="AE1374" s="76"/>
      <c r="AF1374" s="76"/>
      <c r="AG1374" s="76" t="s">
        <v>1187</v>
      </c>
      <c r="AH1374" s="153">
        <v>46127.0</v>
      </c>
      <c r="AI1374" s="67"/>
      <c r="AJ1374" s="67"/>
      <c r="AK1374" s="70"/>
      <c r="AL1374" s="70"/>
      <c r="AM1374" s="135"/>
      <c r="AN1374" s="135"/>
      <c r="AO1374" s="70"/>
      <c r="AP1374" s="70"/>
      <c r="AQ1374" s="67"/>
      <c r="AR1374" s="67"/>
      <c r="AS1374" s="67"/>
      <c r="AT1374" s="67"/>
    </row>
    <row r="1375">
      <c r="A1375" s="76" t="s">
        <v>116</v>
      </c>
      <c r="B1375" s="77" t="s">
        <v>1728</v>
      </c>
      <c r="C1375" s="77" t="s">
        <v>121</v>
      </c>
      <c r="D1375" s="77" t="s">
        <v>121</v>
      </c>
      <c r="E1375" s="78" t="s">
        <v>1466</v>
      </c>
      <c r="F1375" s="80" t="s">
        <v>8998</v>
      </c>
      <c r="G1375" s="77" t="s">
        <v>8716</v>
      </c>
      <c r="H1375" s="77" t="s">
        <v>326</v>
      </c>
      <c r="I1375" s="87" t="s">
        <v>1221</v>
      </c>
      <c r="J1375" s="85" t="s">
        <v>114</v>
      </c>
      <c r="K1375" s="76"/>
      <c r="L1375" s="232" t="s">
        <v>1330</v>
      </c>
      <c r="M1375" s="85" t="s">
        <v>60</v>
      </c>
      <c r="N1375" s="286" t="s">
        <v>12419</v>
      </c>
      <c r="O1375" s="76" t="s">
        <v>4818</v>
      </c>
      <c r="P1375" s="523">
        <v>32357.0</v>
      </c>
      <c r="Q1375" s="315">
        <f t="shared" si="187"/>
        <v>32357</v>
      </c>
      <c r="R1375" s="86">
        <f t="shared" si="184"/>
        <v>38</v>
      </c>
      <c r="S1375" s="76">
        <v>3.235606512E9</v>
      </c>
      <c r="T1375" s="315"/>
      <c r="U1375" s="76" t="s">
        <v>136</v>
      </c>
      <c r="V1375" s="76"/>
      <c r="W1375" s="76"/>
      <c r="X1375" s="76"/>
      <c r="Y1375" s="97"/>
      <c r="Z1375" s="216" t="s">
        <v>1173</v>
      </c>
      <c r="AA1375" s="76" t="s">
        <v>1178</v>
      </c>
      <c r="AB1375" s="76"/>
      <c r="AC1375" s="76"/>
      <c r="AD1375" s="76"/>
      <c r="AE1375" s="76"/>
      <c r="AF1375" s="76" t="s">
        <v>3479</v>
      </c>
      <c r="AG1375" s="76" t="s">
        <v>12063</v>
      </c>
      <c r="AH1375" s="153">
        <v>46228.0</v>
      </c>
      <c r="AI1375" s="67"/>
      <c r="AJ1375" s="67"/>
      <c r="AK1375" s="70"/>
      <c r="AL1375" s="70"/>
      <c r="AM1375" s="135"/>
      <c r="AN1375" s="135"/>
      <c r="AO1375" s="70"/>
      <c r="AP1375" s="70"/>
      <c r="AQ1375" s="67"/>
      <c r="AR1375" s="67"/>
      <c r="AS1375" s="67"/>
      <c r="AT1375" s="67"/>
    </row>
    <row r="1376">
      <c r="A1376" s="76" t="s">
        <v>116</v>
      </c>
      <c r="B1376" s="77" t="s">
        <v>3307</v>
      </c>
      <c r="C1376" s="77" t="s">
        <v>121</v>
      </c>
      <c r="D1376" s="77" t="s">
        <v>121</v>
      </c>
      <c r="E1376" s="78" t="s">
        <v>1756</v>
      </c>
      <c r="F1376" s="80" t="s">
        <v>3309</v>
      </c>
      <c r="G1376" s="77" t="s">
        <v>2111</v>
      </c>
      <c r="H1376" s="77" t="s">
        <v>60</v>
      </c>
      <c r="I1376" s="87" t="s">
        <v>1221</v>
      </c>
      <c r="J1376" s="85" t="s">
        <v>114</v>
      </c>
      <c r="K1376" s="76"/>
      <c r="L1376" s="47" t="s">
        <v>12391</v>
      </c>
      <c r="M1376" s="85" t="s">
        <v>102</v>
      </c>
      <c r="N1376" s="1209" t="s">
        <v>12420</v>
      </c>
      <c r="O1376" s="1001" t="s">
        <v>949</v>
      </c>
      <c r="P1376" s="523">
        <v>27933.0</v>
      </c>
      <c r="Q1376" s="315">
        <f t="shared" si="187"/>
        <v>27933</v>
      </c>
      <c r="R1376" s="86">
        <f t="shared" si="184"/>
        <v>50</v>
      </c>
      <c r="S1376" s="76">
        <v>2.793208077E9</v>
      </c>
      <c r="T1376" s="315"/>
      <c r="U1376" s="76" t="s">
        <v>379</v>
      </c>
      <c r="V1376" s="76"/>
      <c r="W1376" s="76"/>
      <c r="X1376" s="76"/>
      <c r="Y1376" s="276" t="s">
        <v>1836</v>
      </c>
      <c r="Z1376" s="97"/>
      <c r="AA1376" s="76" t="s">
        <v>1178</v>
      </c>
      <c r="AB1376" s="97"/>
      <c r="AC1376" s="76" t="s">
        <v>12393</v>
      </c>
      <c r="AD1376" s="217">
        <v>46187.0</v>
      </c>
      <c r="AE1376" s="76"/>
      <c r="AF1376" s="76"/>
      <c r="AG1376" s="76" t="s">
        <v>1187</v>
      </c>
      <c r="AH1376" s="153">
        <v>46116.0</v>
      </c>
      <c r="AI1376" s="67"/>
      <c r="AJ1376" s="67"/>
      <c r="AK1376" s="70"/>
      <c r="AL1376" s="70"/>
      <c r="AM1376" s="135"/>
      <c r="AN1376" s="135"/>
      <c r="AO1376" s="70"/>
      <c r="AP1376" s="70"/>
      <c r="AQ1376" s="67"/>
      <c r="AR1376" s="67"/>
      <c r="AS1376" s="67"/>
      <c r="AT1376" s="67"/>
    </row>
    <row r="1377">
      <c r="A1377" s="76" t="s">
        <v>116</v>
      </c>
      <c r="B1377" s="77" t="s">
        <v>3307</v>
      </c>
      <c r="C1377" s="77" t="s">
        <v>121</v>
      </c>
      <c r="D1377" s="77" t="s">
        <v>121</v>
      </c>
      <c r="E1377" s="78" t="s">
        <v>1522</v>
      </c>
      <c r="F1377" s="80" t="s">
        <v>4111</v>
      </c>
      <c r="G1377" s="77" t="s">
        <v>2119</v>
      </c>
      <c r="H1377" s="77" t="s">
        <v>60</v>
      </c>
      <c r="I1377" s="87" t="s">
        <v>1221</v>
      </c>
      <c r="J1377" s="76" t="s">
        <v>114</v>
      </c>
      <c r="K1377" s="87"/>
      <c r="L1377" s="76"/>
      <c r="M1377" s="85" t="s">
        <v>60</v>
      </c>
      <c r="N1377" s="76" t="s">
        <v>12421</v>
      </c>
      <c r="O1377" s="1201" t="s">
        <v>8607</v>
      </c>
      <c r="P1377" s="523">
        <v>29949.0</v>
      </c>
      <c r="Q1377" s="315">
        <f t="shared" si="187"/>
        <v>29044</v>
      </c>
      <c r="R1377" s="86">
        <f t="shared" si="184"/>
        <v>44</v>
      </c>
      <c r="S1377" s="76">
        <v>2.904304256E9</v>
      </c>
      <c r="T1377" s="86"/>
      <c r="U1377" s="76" t="s">
        <v>379</v>
      </c>
      <c r="V1377" s="76"/>
      <c r="W1377" s="76"/>
      <c r="X1377" s="76"/>
      <c r="Y1377" s="97"/>
      <c r="Z1377" s="290" t="s">
        <v>4335</v>
      </c>
      <c r="AA1377" s="76"/>
      <c r="AB1377" s="97"/>
      <c r="AC1377" s="76" t="s">
        <v>12422</v>
      </c>
      <c r="AD1377" s="99"/>
      <c r="AE1377" s="76"/>
      <c r="AF1377" s="478" t="s">
        <v>3795</v>
      </c>
      <c r="AG1377" s="97"/>
      <c r="AH1377" s="76" t="s">
        <v>12423</v>
      </c>
      <c r="AI1377" s="67"/>
      <c r="AJ1377" s="67"/>
      <c r="AK1377" s="70"/>
      <c r="AL1377" s="70"/>
      <c r="AM1377" s="135"/>
      <c r="AN1377" s="135"/>
      <c r="AO1377" s="70"/>
      <c r="AP1377" s="70"/>
      <c r="AQ1377" s="67"/>
      <c r="AR1377" s="67"/>
      <c r="AS1377" s="67"/>
      <c r="AT1377" s="67"/>
    </row>
    <row r="1378">
      <c r="A1378" s="76" t="s">
        <v>116</v>
      </c>
      <c r="B1378" s="77" t="s">
        <v>3454</v>
      </c>
      <c r="C1378" s="77" t="s">
        <v>7302</v>
      </c>
      <c r="D1378" s="77" t="s">
        <v>121</v>
      </c>
      <c r="E1378" s="78" t="s">
        <v>457</v>
      </c>
      <c r="F1378" s="80" t="s">
        <v>10197</v>
      </c>
      <c r="G1378" s="77" t="s">
        <v>10198</v>
      </c>
      <c r="H1378" s="77" t="s">
        <v>60</v>
      </c>
      <c r="I1378" s="87" t="s">
        <v>1221</v>
      </c>
      <c r="J1378" s="76" t="s">
        <v>114</v>
      </c>
      <c r="K1378" s="97"/>
      <c r="L1378" s="85" t="s">
        <v>12391</v>
      </c>
      <c r="M1378" s="109" t="s">
        <v>60</v>
      </c>
      <c r="N1378" s="97" t="s">
        <v>12424</v>
      </c>
      <c r="O1378" s="1204" t="s">
        <v>12425</v>
      </c>
      <c r="P1378" s="523">
        <v>28889.0</v>
      </c>
      <c r="Q1378" s="315">
        <f t="shared" si="187"/>
        <v>28889</v>
      </c>
      <c r="R1378" s="86">
        <f t="shared" si="184"/>
        <v>47</v>
      </c>
      <c r="S1378" s="76">
        <v>2.888813418E9</v>
      </c>
      <c r="T1378" s="315" t="s">
        <v>1317</v>
      </c>
      <c r="U1378" s="76" t="s">
        <v>379</v>
      </c>
      <c r="V1378" s="76"/>
      <c r="W1378" s="76"/>
      <c r="X1378" s="76"/>
      <c r="Y1378" s="97" t="s">
        <v>183</v>
      </c>
      <c r="Z1378" s="289" t="s">
        <v>1725</v>
      </c>
      <c r="AA1378" s="76" t="s">
        <v>1178</v>
      </c>
      <c r="AB1378" s="97"/>
      <c r="AC1378" s="76" t="s">
        <v>12393</v>
      </c>
      <c r="AD1378" s="370"/>
      <c r="AE1378" s="76"/>
      <c r="AF1378" s="97"/>
      <c r="AG1378" s="97"/>
      <c r="AH1378" s="76" t="s">
        <v>12426</v>
      </c>
      <c r="AI1378" s="67"/>
      <c r="AJ1378" s="67"/>
      <c r="AK1378" s="70"/>
      <c r="AL1378" s="70"/>
      <c r="AM1378" s="135"/>
      <c r="AN1378" s="135"/>
      <c r="AO1378" s="70"/>
      <c r="AP1378" s="70"/>
      <c r="AQ1378" s="67"/>
      <c r="AR1378" s="67"/>
      <c r="AS1378" s="67"/>
      <c r="AT1378" s="67"/>
    </row>
    <row r="1379">
      <c r="A1379" s="76" t="s">
        <v>116</v>
      </c>
      <c r="B1379" s="77" t="s">
        <v>3454</v>
      </c>
      <c r="C1379" s="77" t="s">
        <v>7302</v>
      </c>
      <c r="D1379" s="77" t="s">
        <v>121</v>
      </c>
      <c r="E1379" s="78" t="s">
        <v>457</v>
      </c>
      <c r="F1379" s="80" t="s">
        <v>10197</v>
      </c>
      <c r="G1379" s="77" t="s">
        <v>10198</v>
      </c>
      <c r="H1379" s="77" t="s">
        <v>60</v>
      </c>
      <c r="I1379" s="87" t="s">
        <v>1221</v>
      </c>
      <c r="J1379" s="76" t="s">
        <v>114</v>
      </c>
      <c r="K1379" s="76"/>
      <c r="L1379" s="85" t="s">
        <v>12391</v>
      </c>
      <c r="M1379" s="85" t="s">
        <v>60</v>
      </c>
      <c r="N1379" s="157" t="s">
        <v>12427</v>
      </c>
      <c r="O1379" s="1001" t="s">
        <v>12428</v>
      </c>
      <c r="P1379" s="523">
        <v>34481.0</v>
      </c>
      <c r="Q1379" s="315">
        <f t="shared" si="187"/>
        <v>34481</v>
      </c>
      <c r="R1379" s="86">
        <f t="shared" si="184"/>
        <v>32</v>
      </c>
      <c r="S1379" s="76">
        <v>3.448015716E9</v>
      </c>
      <c r="T1379" s="315"/>
      <c r="U1379" s="76" t="s">
        <v>379</v>
      </c>
      <c r="V1379" s="76"/>
      <c r="W1379" s="76"/>
      <c r="X1379" s="76"/>
      <c r="Y1379" s="76"/>
      <c r="Z1379" s="216" t="s">
        <v>4335</v>
      </c>
      <c r="AA1379" s="76" t="s">
        <v>1178</v>
      </c>
      <c r="AB1379" s="97"/>
      <c r="AC1379" s="76" t="s">
        <v>12393</v>
      </c>
      <c r="AD1379" s="76"/>
      <c r="AE1379" s="76"/>
      <c r="AF1379" s="76" t="s">
        <v>12429</v>
      </c>
      <c r="AG1379" s="76"/>
      <c r="AH1379" s="654"/>
      <c r="AI1379" s="67"/>
      <c r="AJ1379" s="428"/>
      <c r="AK1379" s="70"/>
      <c r="AL1379" s="70"/>
      <c r="AM1379" s="135"/>
      <c r="AN1379" s="135"/>
      <c r="AO1379" s="70"/>
      <c r="AP1379" s="70"/>
      <c r="AQ1379" s="67"/>
      <c r="AR1379" s="67"/>
      <c r="AS1379" s="67"/>
      <c r="AT1379" s="67"/>
    </row>
    <row r="1380">
      <c r="A1380" s="76" t="s">
        <v>116</v>
      </c>
      <c r="B1380" s="77" t="s">
        <v>1039</v>
      </c>
      <c r="C1380" s="77" t="s">
        <v>1728</v>
      </c>
      <c r="D1380" s="77" t="s">
        <v>121</v>
      </c>
      <c r="E1380" s="78" t="s">
        <v>201</v>
      </c>
      <c r="F1380" s="80" t="s">
        <v>1849</v>
      </c>
      <c r="G1380" s="77" t="s">
        <v>722</v>
      </c>
      <c r="H1380" s="77" t="s">
        <v>60</v>
      </c>
      <c r="I1380" s="87" t="s">
        <v>1221</v>
      </c>
      <c r="J1380" s="85" t="s">
        <v>114</v>
      </c>
      <c r="K1380" s="176" t="s">
        <v>12430</v>
      </c>
      <c r="L1380" s="76"/>
      <c r="M1380" s="85" t="s">
        <v>60</v>
      </c>
      <c r="N1380" s="76" t="s">
        <v>717</v>
      </c>
      <c r="O1380" s="76" t="s">
        <v>718</v>
      </c>
      <c r="P1380" s="523">
        <v>28640.0</v>
      </c>
      <c r="Q1380" s="315">
        <f t="shared" si="187"/>
        <v>28640</v>
      </c>
      <c r="R1380" s="97">
        <f t="shared" si="184"/>
        <v>48</v>
      </c>
      <c r="S1380" s="76">
        <v>2.86392339E9</v>
      </c>
      <c r="T1380" s="86"/>
      <c r="U1380" s="76" t="s">
        <v>379</v>
      </c>
      <c r="V1380" s="76"/>
      <c r="W1380" s="76"/>
      <c r="X1380" s="76"/>
      <c r="Y1380" s="168"/>
      <c r="Z1380" s="216" t="s">
        <v>2155</v>
      </c>
      <c r="AA1380" s="168"/>
      <c r="AB1380" s="76" t="s">
        <v>226</v>
      </c>
      <c r="AC1380" s="76" t="s">
        <v>2915</v>
      </c>
      <c r="AD1380" s="260"/>
      <c r="AE1380" s="76"/>
      <c r="AF1380" s="76" t="s">
        <v>12431</v>
      </c>
      <c r="AG1380" s="76"/>
      <c r="AH1380" s="76" t="s">
        <v>12119</v>
      </c>
      <c r="AI1380" s="67"/>
      <c r="AJ1380" s="67"/>
      <c r="AK1380" s="70"/>
      <c r="AL1380" s="70"/>
      <c r="AM1380" s="135"/>
      <c r="AN1380" s="135"/>
      <c r="AO1380" s="70"/>
      <c r="AP1380" s="70"/>
      <c r="AQ1380" s="67"/>
      <c r="AR1380" s="67"/>
      <c r="AS1380" s="67"/>
      <c r="AT1380" s="67"/>
    </row>
    <row r="1381">
      <c r="A1381" s="76" t="s">
        <v>116</v>
      </c>
      <c r="B1381" s="77" t="s">
        <v>1645</v>
      </c>
      <c r="C1381" s="77" t="s">
        <v>1269</v>
      </c>
      <c r="D1381" s="77" t="s">
        <v>1494</v>
      </c>
      <c r="E1381" s="78" t="s">
        <v>302</v>
      </c>
      <c r="F1381" s="80" t="s">
        <v>1404</v>
      </c>
      <c r="G1381" s="77" t="s">
        <v>838</v>
      </c>
      <c r="H1381" s="77" t="s">
        <v>326</v>
      </c>
      <c r="I1381" s="87" t="s">
        <v>1221</v>
      </c>
      <c r="J1381" s="85"/>
      <c r="K1381" s="76"/>
      <c r="L1381" s="76"/>
      <c r="M1381" s="158" t="s">
        <v>60</v>
      </c>
      <c r="N1381" s="159" t="s">
        <v>12432</v>
      </c>
      <c r="O1381" s="76"/>
      <c r="P1381" s="523"/>
      <c r="Q1381" s="315"/>
      <c r="R1381" s="86"/>
      <c r="S1381" s="76"/>
      <c r="T1381" s="86"/>
      <c r="U1381" s="76" t="s">
        <v>379</v>
      </c>
      <c r="V1381" s="86"/>
      <c r="W1381" s="86"/>
      <c r="X1381" s="97"/>
      <c r="Y1381" s="97"/>
      <c r="Z1381" s="97"/>
      <c r="AA1381" s="97"/>
      <c r="AB1381" s="97"/>
      <c r="AC1381" s="160" t="s">
        <v>630</v>
      </c>
      <c r="AD1381" s="76" t="s">
        <v>632</v>
      </c>
      <c r="AE1381" s="76" t="s">
        <v>632</v>
      </c>
      <c r="AF1381" s="160" t="s">
        <v>630</v>
      </c>
      <c r="AG1381" s="76"/>
      <c r="AH1381" s="262"/>
      <c r="AI1381" s="67"/>
      <c r="AJ1381" s="67"/>
      <c r="AK1381" s="70"/>
      <c r="AL1381" s="70"/>
      <c r="AM1381" s="135"/>
      <c r="AN1381" s="135"/>
      <c r="AO1381" s="70"/>
      <c r="AP1381" s="70"/>
      <c r="AQ1381" s="67"/>
      <c r="AR1381" s="67"/>
      <c r="AS1381" s="67"/>
      <c r="AT1381" s="67"/>
    </row>
    <row r="1382">
      <c r="A1382" s="76" t="s">
        <v>116</v>
      </c>
      <c r="B1382" s="77" t="s">
        <v>1709</v>
      </c>
      <c r="C1382" s="77" t="s">
        <v>1728</v>
      </c>
      <c r="D1382" s="77" t="s">
        <v>121</v>
      </c>
      <c r="E1382" s="78" t="s">
        <v>287</v>
      </c>
      <c r="F1382" s="80" t="s">
        <v>2853</v>
      </c>
      <c r="G1382" s="77" t="s">
        <v>1367</v>
      </c>
      <c r="H1382" s="77" t="s">
        <v>60</v>
      </c>
      <c r="I1382" s="87" t="s">
        <v>1221</v>
      </c>
      <c r="J1382" s="85" t="s">
        <v>114</v>
      </c>
      <c r="K1382" s="176" t="s">
        <v>12433</v>
      </c>
      <c r="L1382" s="76">
        <v>10.0</v>
      </c>
      <c r="M1382" s="85" t="s">
        <v>60</v>
      </c>
      <c r="N1382" s="76" t="s">
        <v>1880</v>
      </c>
      <c r="O1382" s="76" t="s">
        <v>1881</v>
      </c>
      <c r="P1382" s="523">
        <v>30672.0</v>
      </c>
      <c r="Q1382" s="315">
        <f t="shared" ref="Q1382:Q1384" si="188">VALUE(LEFT(TEXT(S1382,0),5))+1</f>
        <v>30672</v>
      </c>
      <c r="R1382" s="86">
        <f t="shared" ref="R1382:R1383" si="189">DATEDIF($P1382,TODAY(),"Y")</f>
        <v>42</v>
      </c>
      <c r="S1382" s="76">
        <v>3.06712369E9</v>
      </c>
      <c r="T1382" s="86"/>
      <c r="U1382" s="76" t="s">
        <v>379</v>
      </c>
      <c r="V1382" s="76"/>
      <c r="W1382" s="76"/>
      <c r="X1382" s="76"/>
      <c r="Y1382" s="167"/>
      <c r="Z1382" s="216" t="s">
        <v>2155</v>
      </c>
      <c r="AA1382" s="168"/>
      <c r="AB1382" s="76" t="s">
        <v>226</v>
      </c>
      <c r="AC1382" s="76" t="s">
        <v>2915</v>
      </c>
      <c r="AD1382" s="260"/>
      <c r="AE1382" s="76"/>
      <c r="AF1382" s="1118" t="s">
        <v>12434</v>
      </c>
      <c r="AG1382" s="76"/>
      <c r="AH1382" s="76" t="s">
        <v>12119</v>
      </c>
      <c r="AI1382" s="67"/>
      <c r="AJ1382" s="67"/>
      <c r="AK1382" s="70"/>
      <c r="AL1382" s="70"/>
      <c r="AM1382" s="135"/>
      <c r="AN1382" s="135"/>
      <c r="AO1382" s="70"/>
      <c r="AP1382" s="70"/>
      <c r="AQ1382" s="67"/>
      <c r="AR1382" s="67"/>
      <c r="AS1382" s="67"/>
      <c r="AT1382" s="67"/>
    </row>
    <row r="1383">
      <c r="A1383" s="76" t="s">
        <v>116</v>
      </c>
      <c r="B1383" s="77" t="s">
        <v>3454</v>
      </c>
      <c r="C1383" s="77" t="s">
        <v>7302</v>
      </c>
      <c r="D1383" s="77" t="s">
        <v>121</v>
      </c>
      <c r="E1383" s="78" t="s">
        <v>457</v>
      </c>
      <c r="F1383" s="80" t="s">
        <v>10197</v>
      </c>
      <c r="G1383" s="77" t="s">
        <v>10198</v>
      </c>
      <c r="H1383" s="77" t="s">
        <v>60</v>
      </c>
      <c r="I1383" s="87" t="s">
        <v>1221</v>
      </c>
      <c r="J1383" s="76" t="s">
        <v>114</v>
      </c>
      <c r="K1383" s="176" t="s">
        <v>1602</v>
      </c>
      <c r="L1383" s="47"/>
      <c r="M1383" s="85" t="s">
        <v>60</v>
      </c>
      <c r="N1383" s="157" t="s">
        <v>12435</v>
      </c>
      <c r="O1383" s="76" t="s">
        <v>6687</v>
      </c>
      <c r="P1383" s="523">
        <v>29184.0</v>
      </c>
      <c r="Q1383" s="315">
        <f t="shared" si="188"/>
        <v>29184</v>
      </c>
      <c r="R1383" s="86">
        <f t="shared" si="189"/>
        <v>46</v>
      </c>
      <c r="S1383" s="76">
        <v>2.918305996E9</v>
      </c>
      <c r="T1383" s="76"/>
      <c r="U1383" s="76" t="s">
        <v>379</v>
      </c>
      <c r="V1383" s="76"/>
      <c r="W1383" s="76"/>
      <c r="X1383" s="76"/>
      <c r="Y1383" s="97"/>
      <c r="Z1383" s="290" t="s">
        <v>1755</v>
      </c>
      <c r="AA1383" s="76"/>
      <c r="AB1383" s="76" t="s">
        <v>226</v>
      </c>
      <c r="AC1383" s="76" t="s">
        <v>2915</v>
      </c>
      <c r="AD1383" s="76"/>
      <c r="AE1383" s="76"/>
      <c r="AF1383" s="76" t="s">
        <v>12436</v>
      </c>
      <c r="AG1383" s="189"/>
      <c r="AH1383" s="76" t="s">
        <v>12119</v>
      </c>
      <c r="AI1383" s="67"/>
      <c r="AJ1383" s="67"/>
      <c r="AK1383" s="70"/>
      <c r="AL1383" s="70"/>
      <c r="AM1383" s="135"/>
      <c r="AN1383" s="135"/>
      <c r="AO1383" s="70"/>
      <c r="AP1383" s="70"/>
      <c r="AQ1383" s="67"/>
      <c r="AR1383" s="67"/>
      <c r="AS1383" s="67"/>
      <c r="AT1383" s="67"/>
    </row>
    <row r="1384">
      <c r="A1384" s="76" t="s">
        <v>116</v>
      </c>
      <c r="B1384" s="77" t="s">
        <v>3898</v>
      </c>
      <c r="C1384" s="77" t="s">
        <v>8583</v>
      </c>
      <c r="D1384" s="77" t="s">
        <v>121</v>
      </c>
      <c r="E1384" s="78" t="s">
        <v>1536</v>
      </c>
      <c r="F1384" s="80" t="s">
        <v>3915</v>
      </c>
      <c r="G1384" s="77" t="s">
        <v>8883</v>
      </c>
      <c r="H1384" s="77" t="s">
        <v>60</v>
      </c>
      <c r="I1384" s="87" t="s">
        <v>1221</v>
      </c>
      <c r="J1384" s="109" t="s">
        <v>114</v>
      </c>
      <c r="K1384" s="118" t="s">
        <v>12437</v>
      </c>
      <c r="L1384" s="87"/>
      <c r="M1384" s="87" t="s">
        <v>60</v>
      </c>
      <c r="N1384" s="76" t="s">
        <v>9344</v>
      </c>
      <c r="O1384" s="86" t="s">
        <v>9345</v>
      </c>
      <c r="P1384" s="750">
        <v>27542.0</v>
      </c>
      <c r="Q1384" s="315">
        <f t="shared" si="188"/>
        <v>27542</v>
      </c>
      <c r="R1384" s="86" t="str">
        <f>DATEDIF($G1384,TODAY(),"Y")</f>
        <v>#VALUE!</v>
      </c>
      <c r="S1384" s="76">
        <v>2.754100811E9</v>
      </c>
      <c r="T1384" s="315"/>
      <c r="U1384" s="152" t="s">
        <v>379</v>
      </c>
      <c r="V1384" s="86"/>
      <c r="W1384" s="86"/>
      <c r="X1384" s="97"/>
      <c r="Y1384" s="97"/>
      <c r="Z1384" s="97"/>
      <c r="AA1384" s="97"/>
      <c r="AB1384" s="97"/>
      <c r="AC1384" s="76" t="s">
        <v>12438</v>
      </c>
      <c r="AD1384" s="76" t="s">
        <v>1032</v>
      </c>
      <c r="AE1384" s="97" t="s">
        <v>632</v>
      </c>
      <c r="AF1384" s="99" t="s">
        <v>12439</v>
      </c>
      <c r="AG1384" s="112"/>
      <c r="AH1384" s="76"/>
      <c r="AI1384" s="76"/>
      <c r="AJ1384" s="67"/>
      <c r="AK1384" s="70"/>
      <c r="AL1384" s="70"/>
      <c r="AM1384" s="70"/>
      <c r="AN1384" s="135"/>
      <c r="AO1384" s="135"/>
      <c r="AP1384" s="70"/>
      <c r="AQ1384" s="70"/>
      <c r="AR1384" s="67"/>
      <c r="AS1384" s="67"/>
      <c r="AT1384" s="67"/>
    </row>
    <row r="1385">
      <c r="A1385" s="1063"/>
      <c r="B1385" s="1041"/>
      <c r="C1385" s="1041"/>
      <c r="D1385" s="256"/>
      <c r="E1385" s="1085"/>
      <c r="F1385" s="1083"/>
      <c r="G1385" s="1083"/>
      <c r="H1385" s="1083"/>
      <c r="I1385" s="1083"/>
      <c r="J1385" s="256"/>
      <c r="K1385" s="256"/>
      <c r="L1385" s="281"/>
      <c r="M1385" s="647"/>
      <c r="N1385" s="678"/>
      <c r="O1385" s="256"/>
      <c r="P1385" s="668"/>
      <c r="Q1385" s="1194"/>
      <c r="R1385" s="1063"/>
      <c r="S1385" s="256"/>
      <c r="T1385" s="1194"/>
      <c r="U1385" s="256"/>
      <c r="V1385" s="256"/>
      <c r="W1385" s="256"/>
      <c r="X1385" s="256"/>
      <c r="Y1385" s="256"/>
      <c r="Z1385" s="647"/>
      <c r="AA1385" s="785"/>
      <c r="AB1385" s="785"/>
      <c r="AC1385" s="256"/>
      <c r="AD1385" s="256"/>
      <c r="AE1385" s="256"/>
      <c r="AF1385" s="256"/>
      <c r="AG1385" s="256"/>
      <c r="AH1385" s="1095"/>
      <c r="AI1385" s="763"/>
      <c r="AJ1385" s="763"/>
      <c r="AK1385" s="763"/>
      <c r="AL1385" s="763"/>
      <c r="AM1385" s="763"/>
      <c r="AN1385" s="763"/>
      <c r="AO1385" s="763"/>
      <c r="AP1385" s="763"/>
      <c r="AQ1385" s="763"/>
      <c r="AR1385" s="763"/>
      <c r="AS1385" s="763"/>
      <c r="AT1385" s="763"/>
    </row>
    <row r="1386">
      <c r="A1386" s="1210"/>
      <c r="B1386" s="764" t="s">
        <v>145</v>
      </c>
      <c r="C1386" s="716"/>
      <c r="D1386" s="716"/>
      <c r="E1386" s="209" t="s">
        <v>8478</v>
      </c>
      <c r="F1386" s="1211"/>
      <c r="G1386" s="716"/>
      <c r="H1386" s="716"/>
      <c r="I1386" s="716"/>
      <c r="AI1386" s="763"/>
      <c r="AJ1386" s="763"/>
      <c r="AK1386" s="763"/>
      <c r="AL1386" s="763"/>
      <c r="AM1386" s="763"/>
      <c r="AN1386" s="763"/>
      <c r="AO1386" s="763"/>
      <c r="AP1386" s="763"/>
      <c r="AQ1386" s="763"/>
      <c r="AR1386" s="763"/>
      <c r="AS1386" s="763"/>
      <c r="AT1386" s="763"/>
    </row>
    <row r="1387">
      <c r="A1387" s="1210"/>
      <c r="B1387" s="764" t="s">
        <v>4145</v>
      </c>
      <c r="C1387" s="1212" t="s">
        <v>8925</v>
      </c>
      <c r="D1387" s="716"/>
      <c r="E1387" s="1213">
        <v>46138.0</v>
      </c>
      <c r="F1387" s="716"/>
      <c r="G1387" s="716"/>
      <c r="H1387" s="716"/>
      <c r="I1387" s="716"/>
      <c r="J1387" s="97" t="s">
        <v>114</v>
      </c>
      <c r="K1387" s="716"/>
      <c r="L1387" s="716"/>
      <c r="M1387" s="109" t="s">
        <v>360</v>
      </c>
      <c r="N1387" s="97" t="s">
        <v>12440</v>
      </c>
      <c r="O1387" s="97" t="s">
        <v>1943</v>
      </c>
      <c r="P1387" s="315">
        <v>26341.0</v>
      </c>
      <c r="Q1387" s="852">
        <f t="shared" ref="Q1387:Q1389" si="190">VALUE(LEFT(TEXT(S1387,0),5))+1</f>
        <v>26341</v>
      </c>
      <c r="R1387" s="86">
        <f t="shared" ref="R1387:R1417" si="191">DATEDIF($P1387,TODAY(),"Y")</f>
        <v>54</v>
      </c>
      <c r="S1387" s="97">
        <v>2.63401157E9</v>
      </c>
      <c r="T1387" s="315" t="s">
        <v>1317</v>
      </c>
      <c r="U1387" s="102" t="s">
        <v>379</v>
      </c>
      <c r="V1387" s="716"/>
      <c r="W1387" s="716"/>
      <c r="X1387" s="716"/>
      <c r="Y1387" s="716"/>
      <c r="Z1387" s="1214" t="s">
        <v>2521</v>
      </c>
      <c r="AA1387" s="716"/>
      <c r="AB1387" s="97" t="s">
        <v>192</v>
      </c>
      <c r="AC1387" s="97" t="s">
        <v>2915</v>
      </c>
      <c r="AD1387" s="716"/>
      <c r="AE1387" s="716"/>
      <c r="AF1387" s="716"/>
      <c r="AG1387" s="716"/>
      <c r="AH1387" s="112" t="s">
        <v>10836</v>
      </c>
      <c r="AI1387" s="763"/>
      <c r="AJ1387" s="763"/>
      <c r="AK1387" s="763"/>
      <c r="AL1387" s="763"/>
      <c r="AM1387" s="763"/>
      <c r="AN1387" s="763"/>
      <c r="AO1387" s="763"/>
      <c r="AP1387" s="763"/>
      <c r="AQ1387" s="763"/>
      <c r="AR1387" s="763"/>
      <c r="AS1387" s="763"/>
      <c r="AT1387" s="763"/>
    </row>
    <row r="1388">
      <c r="A1388" s="1210"/>
      <c r="B1388" s="764" t="s">
        <v>4145</v>
      </c>
      <c r="C1388" s="1212" t="s">
        <v>12441</v>
      </c>
      <c r="D1388" s="97" t="s">
        <v>11144</v>
      </c>
      <c r="E1388" s="1213">
        <v>46155.0</v>
      </c>
      <c r="F1388" s="716"/>
      <c r="G1388" s="716"/>
      <c r="H1388" s="716"/>
      <c r="I1388" s="716"/>
      <c r="J1388" s="97" t="s">
        <v>114</v>
      </c>
      <c r="K1388" s="716"/>
      <c r="L1388" s="716"/>
      <c r="M1388" s="1215" t="s">
        <v>60</v>
      </c>
      <c r="N1388" s="1215" t="s">
        <v>12442</v>
      </c>
      <c r="O1388" s="1215" t="s">
        <v>12443</v>
      </c>
      <c r="P1388" s="315">
        <v>31095.0</v>
      </c>
      <c r="Q1388" s="852">
        <f t="shared" si="190"/>
        <v>31095</v>
      </c>
      <c r="R1388" s="86">
        <f t="shared" si="191"/>
        <v>41</v>
      </c>
      <c r="S1388" s="97">
        <v>3.10941329E9</v>
      </c>
      <c r="T1388" s="1168"/>
      <c r="U1388" s="102" t="s">
        <v>379</v>
      </c>
      <c r="V1388" s="716"/>
      <c r="W1388" s="716"/>
      <c r="X1388" s="97" t="s">
        <v>186</v>
      </c>
      <c r="Y1388" s="716"/>
      <c r="Z1388" s="299" t="s">
        <v>1755</v>
      </c>
      <c r="AA1388" s="716"/>
      <c r="AB1388" s="716"/>
      <c r="AC1388" s="97" t="s">
        <v>2915</v>
      </c>
      <c r="AD1388" s="716"/>
      <c r="AE1388" s="716"/>
      <c r="AF1388" s="97" t="s">
        <v>12444</v>
      </c>
      <c r="AG1388" s="716"/>
      <c r="AH1388" s="112" t="s">
        <v>10836</v>
      </c>
      <c r="AI1388" s="763"/>
      <c r="AJ1388" s="763"/>
      <c r="AK1388" s="763"/>
      <c r="AL1388" s="763"/>
      <c r="AM1388" s="763"/>
      <c r="AN1388" s="763"/>
      <c r="AO1388" s="763"/>
      <c r="AP1388" s="763"/>
      <c r="AQ1388" s="763"/>
      <c r="AR1388" s="763"/>
      <c r="AS1388" s="763"/>
      <c r="AT1388" s="763"/>
    </row>
    <row r="1389">
      <c r="A1389" s="1210"/>
      <c r="B1389" s="764" t="s">
        <v>4145</v>
      </c>
      <c r="C1389" s="1212" t="s">
        <v>12445</v>
      </c>
      <c r="D1389" s="97" t="s">
        <v>11174</v>
      </c>
      <c r="E1389" s="1213">
        <v>46157.0</v>
      </c>
      <c r="F1389" s="716"/>
      <c r="G1389" s="716"/>
      <c r="H1389" s="716"/>
      <c r="I1389" s="716"/>
      <c r="J1389" s="97" t="s">
        <v>114</v>
      </c>
      <c r="K1389" s="1216" t="s">
        <v>1602</v>
      </c>
      <c r="L1389" s="716"/>
      <c r="M1389" s="109" t="s">
        <v>60</v>
      </c>
      <c r="N1389" s="97" t="s">
        <v>12446</v>
      </c>
      <c r="O1389" s="97" t="s">
        <v>12447</v>
      </c>
      <c r="P1389" s="315">
        <v>29768.0</v>
      </c>
      <c r="Q1389" s="852">
        <f t="shared" si="190"/>
        <v>29768</v>
      </c>
      <c r="R1389" s="86">
        <f t="shared" si="191"/>
        <v>45</v>
      </c>
      <c r="S1389" s="97">
        <v>2.976715355E9</v>
      </c>
      <c r="T1389" s="1168"/>
      <c r="U1389" s="102" t="s">
        <v>379</v>
      </c>
      <c r="V1389" s="716"/>
      <c r="W1389" s="716"/>
      <c r="X1389" s="97" t="s">
        <v>186</v>
      </c>
      <c r="Y1389" s="716"/>
      <c r="Z1389" s="299" t="s">
        <v>1755</v>
      </c>
      <c r="AA1389" s="716"/>
      <c r="AB1389" s="716"/>
      <c r="AC1389" s="97" t="s">
        <v>2915</v>
      </c>
      <c r="AD1389" s="716"/>
      <c r="AE1389" s="716"/>
      <c r="AF1389" s="716"/>
      <c r="AG1389" s="716"/>
      <c r="AH1389" s="112" t="s">
        <v>10836</v>
      </c>
      <c r="AI1389" s="763"/>
      <c r="AJ1389" s="763"/>
      <c r="AK1389" s="763"/>
      <c r="AL1389" s="763"/>
      <c r="AM1389" s="763"/>
      <c r="AN1389" s="763"/>
      <c r="AO1389" s="763"/>
      <c r="AP1389" s="763"/>
      <c r="AQ1389" s="763"/>
      <c r="AR1389" s="763"/>
      <c r="AS1389" s="763"/>
      <c r="AT1389" s="763"/>
    </row>
    <row r="1390">
      <c r="A1390" s="1210"/>
      <c r="B1390" s="764" t="s">
        <v>4145</v>
      </c>
      <c r="C1390" s="1212" t="s">
        <v>12448</v>
      </c>
      <c r="D1390" s="97" t="s">
        <v>4264</v>
      </c>
      <c r="E1390" s="1213">
        <v>46187.0</v>
      </c>
      <c r="F1390" s="716"/>
      <c r="G1390" s="716"/>
      <c r="H1390" s="716"/>
      <c r="I1390" s="716"/>
      <c r="J1390" s="97" t="s">
        <v>114</v>
      </c>
      <c r="K1390" s="716"/>
      <c r="L1390" s="716"/>
      <c r="M1390" s="109" t="s">
        <v>60</v>
      </c>
      <c r="N1390" s="1217" t="s">
        <v>12449</v>
      </c>
      <c r="O1390" s="97" t="s">
        <v>12450</v>
      </c>
      <c r="P1390" s="315">
        <v>34000.0</v>
      </c>
      <c r="Q1390" s="1218"/>
      <c r="R1390" s="86">
        <f t="shared" si="191"/>
        <v>33</v>
      </c>
      <c r="S1390" s="716"/>
      <c r="T1390" s="1168"/>
      <c r="U1390" s="102" t="s">
        <v>379</v>
      </c>
      <c r="V1390" s="716"/>
      <c r="W1390" s="716"/>
      <c r="X1390" s="716"/>
      <c r="Y1390" s="716"/>
      <c r="Z1390" s="1214" t="s">
        <v>3792</v>
      </c>
      <c r="AA1390" s="97" t="s">
        <v>1178</v>
      </c>
      <c r="AB1390" s="716"/>
      <c r="AC1390" s="97" t="s">
        <v>2915</v>
      </c>
      <c r="AD1390" s="716"/>
      <c r="AE1390" s="716"/>
      <c r="AF1390" s="1217" t="s">
        <v>12451</v>
      </c>
      <c r="AG1390" s="716"/>
      <c r="AH1390" s="112" t="s">
        <v>10836</v>
      </c>
      <c r="AI1390" s="763"/>
      <c r="AJ1390" s="763"/>
      <c r="AK1390" s="763"/>
      <c r="AL1390" s="763"/>
      <c r="AM1390" s="763"/>
      <c r="AN1390" s="763"/>
      <c r="AO1390" s="763"/>
      <c r="AP1390" s="763"/>
      <c r="AQ1390" s="763"/>
      <c r="AR1390" s="763"/>
      <c r="AS1390" s="763"/>
      <c r="AT1390" s="763"/>
    </row>
    <row r="1391">
      <c r="A1391" s="1210"/>
      <c r="B1391" s="764" t="s">
        <v>4145</v>
      </c>
      <c r="C1391" s="1212" t="s">
        <v>12452</v>
      </c>
      <c r="D1391" s="97" t="s">
        <v>4264</v>
      </c>
      <c r="E1391" s="1213">
        <v>46187.0</v>
      </c>
      <c r="F1391" s="716"/>
      <c r="G1391" s="716"/>
      <c r="H1391" s="716"/>
      <c r="I1391" s="716"/>
      <c r="J1391" s="97" t="s">
        <v>114</v>
      </c>
      <c r="K1391" s="716"/>
      <c r="L1391" s="716"/>
      <c r="M1391" s="109" t="s">
        <v>60</v>
      </c>
      <c r="N1391" s="97" t="s">
        <v>12453</v>
      </c>
      <c r="O1391" s="97" t="s">
        <v>12454</v>
      </c>
      <c r="P1391" s="315">
        <v>28769.0</v>
      </c>
      <c r="Q1391" s="852">
        <f t="shared" ref="Q1391:Q1404" si="192">VALUE(LEFT(TEXT(S1391,0),5))+1</f>
        <v>28769</v>
      </c>
      <c r="R1391" s="86">
        <f t="shared" si="191"/>
        <v>47</v>
      </c>
      <c r="S1391" s="97">
        <v>2.876814718E9</v>
      </c>
      <c r="T1391" s="315" t="s">
        <v>1479</v>
      </c>
      <c r="U1391" s="102" t="s">
        <v>379</v>
      </c>
      <c r="V1391" s="716"/>
      <c r="W1391" s="716"/>
      <c r="X1391" s="97" t="s">
        <v>186</v>
      </c>
      <c r="Y1391" s="716"/>
      <c r="Z1391" s="299" t="s">
        <v>1755</v>
      </c>
      <c r="AA1391" s="97" t="s">
        <v>1178</v>
      </c>
      <c r="AB1391" s="716"/>
      <c r="AC1391" s="97" t="s">
        <v>2915</v>
      </c>
      <c r="AD1391" s="716"/>
      <c r="AE1391" s="716"/>
      <c r="AF1391" s="716"/>
      <c r="AG1391" s="716"/>
      <c r="AH1391" s="112" t="s">
        <v>10836</v>
      </c>
      <c r="AI1391" s="763"/>
      <c r="AJ1391" s="763"/>
      <c r="AK1391" s="763"/>
      <c r="AL1391" s="763"/>
      <c r="AM1391" s="763"/>
      <c r="AN1391" s="763"/>
      <c r="AO1391" s="763"/>
      <c r="AP1391" s="763"/>
      <c r="AQ1391" s="763"/>
      <c r="AR1391" s="763"/>
      <c r="AS1391" s="763"/>
      <c r="AT1391" s="763"/>
    </row>
    <row r="1392">
      <c r="A1392" s="1210"/>
      <c r="B1392" s="764" t="s">
        <v>4145</v>
      </c>
      <c r="C1392" s="1212" t="s">
        <v>12455</v>
      </c>
      <c r="D1392" s="97" t="s">
        <v>4264</v>
      </c>
      <c r="E1392" s="1213">
        <v>46187.0</v>
      </c>
      <c r="F1392" s="716"/>
      <c r="G1392" s="716"/>
      <c r="H1392" s="716"/>
      <c r="I1392" s="716"/>
      <c r="J1392" s="97" t="s">
        <v>114</v>
      </c>
      <c r="K1392" s="716"/>
      <c r="L1392" s="716"/>
      <c r="M1392" s="109" t="s">
        <v>60</v>
      </c>
      <c r="N1392" s="97" t="s">
        <v>12456</v>
      </c>
      <c r="O1392" s="97" t="s">
        <v>12457</v>
      </c>
      <c r="P1392" s="315">
        <v>32603.0</v>
      </c>
      <c r="Q1392" s="852">
        <f t="shared" si="192"/>
        <v>32603</v>
      </c>
      <c r="R1392" s="86">
        <f t="shared" si="191"/>
        <v>37</v>
      </c>
      <c r="S1392" s="97">
        <v>3.260200417E9</v>
      </c>
      <c r="T1392" s="1168"/>
      <c r="U1392" s="102" t="s">
        <v>379</v>
      </c>
      <c r="V1392" s="716"/>
      <c r="W1392" s="716"/>
      <c r="X1392" s="97" t="s">
        <v>186</v>
      </c>
      <c r="Y1392" s="716"/>
      <c r="Z1392" s="299" t="s">
        <v>1755</v>
      </c>
      <c r="AA1392" s="97" t="s">
        <v>1178</v>
      </c>
      <c r="AB1392" s="716"/>
      <c r="AC1392" s="97" t="s">
        <v>2915</v>
      </c>
      <c r="AD1392" s="716"/>
      <c r="AE1392" s="716"/>
      <c r="AF1392" s="716"/>
      <c r="AG1392" s="716"/>
      <c r="AH1392" s="112" t="s">
        <v>10836</v>
      </c>
      <c r="AI1392" s="763"/>
      <c r="AJ1392" s="763"/>
      <c r="AK1392" s="763"/>
      <c r="AL1392" s="763"/>
      <c r="AM1392" s="763"/>
      <c r="AN1392" s="763"/>
      <c r="AO1392" s="763"/>
      <c r="AP1392" s="763"/>
      <c r="AQ1392" s="763"/>
      <c r="AR1392" s="763"/>
      <c r="AS1392" s="763"/>
      <c r="AT1392" s="763"/>
    </row>
    <row r="1393">
      <c r="A1393" s="1210"/>
      <c r="B1393" s="764" t="s">
        <v>4145</v>
      </c>
      <c r="C1393" s="1212" t="s">
        <v>12458</v>
      </c>
      <c r="D1393" s="97" t="s">
        <v>4264</v>
      </c>
      <c r="E1393" s="1213">
        <v>46187.0</v>
      </c>
      <c r="F1393" s="716"/>
      <c r="G1393" s="716"/>
      <c r="H1393" s="716"/>
      <c r="I1393" s="716"/>
      <c r="J1393" s="97" t="s">
        <v>114</v>
      </c>
      <c r="K1393" s="716"/>
      <c r="L1393" s="716"/>
      <c r="M1393" s="109" t="s">
        <v>60</v>
      </c>
      <c r="N1393" s="97" t="s">
        <v>12459</v>
      </c>
      <c r="O1393" s="97" t="s">
        <v>3595</v>
      </c>
      <c r="P1393" s="315">
        <v>28544.0</v>
      </c>
      <c r="Q1393" s="852">
        <f t="shared" si="192"/>
        <v>28544</v>
      </c>
      <c r="R1393" s="86">
        <f t="shared" si="191"/>
        <v>48</v>
      </c>
      <c r="S1393" s="97">
        <v>2.854320451E9</v>
      </c>
      <c r="T1393" s="315" t="s">
        <v>1317</v>
      </c>
      <c r="U1393" s="102" t="s">
        <v>379</v>
      </c>
      <c r="V1393" s="716"/>
      <c r="W1393" s="716"/>
      <c r="X1393" s="97"/>
      <c r="Y1393" s="716"/>
      <c r="Z1393" s="468" t="s">
        <v>4335</v>
      </c>
      <c r="AA1393" s="716"/>
      <c r="AB1393" s="97" t="s">
        <v>192</v>
      </c>
      <c r="AC1393" s="97" t="s">
        <v>2915</v>
      </c>
      <c r="AD1393" s="716"/>
      <c r="AE1393" s="716"/>
      <c r="AF1393" s="716"/>
      <c r="AG1393" s="716"/>
      <c r="AH1393" s="112" t="s">
        <v>10836</v>
      </c>
      <c r="AI1393" s="763"/>
      <c r="AJ1393" s="763"/>
      <c r="AK1393" s="763"/>
      <c r="AL1393" s="763"/>
      <c r="AM1393" s="763"/>
      <c r="AN1393" s="763"/>
      <c r="AO1393" s="763"/>
      <c r="AP1393" s="763"/>
      <c r="AQ1393" s="763"/>
      <c r="AR1393" s="763"/>
      <c r="AS1393" s="763"/>
      <c r="AT1393" s="763"/>
    </row>
    <row r="1394">
      <c r="A1394" s="1210"/>
      <c r="B1394" s="764" t="s">
        <v>4145</v>
      </c>
      <c r="C1394" s="1212" t="s">
        <v>12460</v>
      </c>
      <c r="D1394" s="97" t="s">
        <v>4264</v>
      </c>
      <c r="E1394" s="1213">
        <v>46187.0</v>
      </c>
      <c r="F1394" s="716"/>
      <c r="G1394" s="716"/>
      <c r="H1394" s="716"/>
      <c r="I1394" s="716"/>
      <c r="J1394" s="97" t="s">
        <v>114</v>
      </c>
      <c r="K1394" s="1216" t="s">
        <v>1602</v>
      </c>
      <c r="L1394" s="716"/>
      <c r="M1394" s="109" t="s">
        <v>60</v>
      </c>
      <c r="N1394" s="97" t="s">
        <v>12461</v>
      </c>
      <c r="O1394" s="97" t="s">
        <v>2271</v>
      </c>
      <c r="P1394" s="315">
        <v>27287.0</v>
      </c>
      <c r="Q1394" s="852">
        <f t="shared" si="192"/>
        <v>27287</v>
      </c>
      <c r="R1394" s="86">
        <f t="shared" si="191"/>
        <v>51</v>
      </c>
      <c r="S1394" s="97">
        <v>2.728601332E9</v>
      </c>
      <c r="T1394" s="1168"/>
      <c r="U1394" s="102" t="s">
        <v>379</v>
      </c>
      <c r="V1394" s="716"/>
      <c r="W1394" s="716"/>
      <c r="X1394" s="97"/>
      <c r="Y1394" s="716"/>
      <c r="Z1394" s="468" t="s">
        <v>4335</v>
      </c>
      <c r="AA1394" s="716"/>
      <c r="AB1394" s="716"/>
      <c r="AC1394" s="97" t="s">
        <v>2915</v>
      </c>
      <c r="AD1394" s="716"/>
      <c r="AE1394" s="716"/>
      <c r="AF1394" s="716"/>
      <c r="AG1394" s="716"/>
      <c r="AH1394" s="112" t="s">
        <v>10836</v>
      </c>
      <c r="AI1394" s="763"/>
      <c r="AJ1394" s="763"/>
      <c r="AK1394" s="763"/>
      <c r="AL1394" s="763"/>
      <c r="AM1394" s="763"/>
      <c r="AN1394" s="763"/>
      <c r="AO1394" s="763"/>
      <c r="AP1394" s="763"/>
      <c r="AQ1394" s="763"/>
      <c r="AR1394" s="763"/>
      <c r="AS1394" s="763"/>
      <c r="AT1394" s="763"/>
    </row>
    <row r="1395">
      <c r="A1395" s="1210"/>
      <c r="B1395" s="764" t="s">
        <v>4145</v>
      </c>
      <c r="C1395" s="764" t="s">
        <v>12462</v>
      </c>
      <c r="D1395" s="97" t="s">
        <v>4264</v>
      </c>
      <c r="E1395" s="1213">
        <v>46187.0</v>
      </c>
      <c r="F1395" s="716"/>
      <c r="G1395" s="716"/>
      <c r="H1395" s="716"/>
      <c r="I1395" s="716"/>
      <c r="J1395" s="97" t="s">
        <v>114</v>
      </c>
      <c r="K1395" s="716"/>
      <c r="L1395" s="716"/>
      <c r="M1395" s="109" t="s">
        <v>60</v>
      </c>
      <c r="N1395" s="97" t="s">
        <v>12463</v>
      </c>
      <c r="O1395" s="97" t="s">
        <v>12464</v>
      </c>
      <c r="P1395" s="315">
        <v>29994.0</v>
      </c>
      <c r="Q1395" s="852">
        <f t="shared" si="192"/>
        <v>29994</v>
      </c>
      <c r="R1395" s="86">
        <f t="shared" si="191"/>
        <v>44</v>
      </c>
      <c r="S1395" s="97">
        <v>2.99930085E9</v>
      </c>
      <c r="T1395" s="315" t="s">
        <v>1317</v>
      </c>
      <c r="U1395" s="102" t="s">
        <v>379</v>
      </c>
      <c r="V1395" s="716"/>
      <c r="W1395" s="716"/>
      <c r="X1395" s="97"/>
      <c r="Y1395" s="716"/>
      <c r="Z1395" s="468" t="s">
        <v>4335</v>
      </c>
      <c r="AA1395" s="97" t="s">
        <v>1178</v>
      </c>
      <c r="AB1395" s="716"/>
      <c r="AC1395" s="97" t="s">
        <v>2915</v>
      </c>
      <c r="AD1395" s="716"/>
      <c r="AE1395" s="716"/>
      <c r="AF1395" s="716"/>
      <c r="AG1395" s="716"/>
      <c r="AH1395" s="112" t="s">
        <v>10836</v>
      </c>
      <c r="AI1395" s="763"/>
      <c r="AJ1395" s="763"/>
      <c r="AK1395" s="763"/>
      <c r="AL1395" s="763"/>
      <c r="AM1395" s="763"/>
      <c r="AN1395" s="763"/>
      <c r="AO1395" s="763"/>
      <c r="AP1395" s="763"/>
      <c r="AQ1395" s="763"/>
      <c r="AR1395" s="763"/>
      <c r="AS1395" s="763"/>
      <c r="AT1395" s="763"/>
    </row>
    <row r="1396">
      <c r="A1396" s="1210"/>
      <c r="B1396" s="764" t="s">
        <v>4145</v>
      </c>
      <c r="C1396" s="1212" t="s">
        <v>12465</v>
      </c>
      <c r="D1396" s="97" t="s">
        <v>4264</v>
      </c>
      <c r="E1396" s="1213">
        <v>46193.0</v>
      </c>
      <c r="F1396" s="716"/>
      <c r="G1396" s="716"/>
      <c r="H1396" s="716"/>
      <c r="I1396" s="716"/>
      <c r="J1396" s="97" t="s">
        <v>114</v>
      </c>
      <c r="K1396" s="716"/>
      <c r="L1396" s="716"/>
      <c r="M1396" s="109" t="s">
        <v>60</v>
      </c>
      <c r="N1396" s="1217" t="s">
        <v>12466</v>
      </c>
      <c r="O1396" s="97" t="s">
        <v>12467</v>
      </c>
      <c r="P1396" s="315">
        <v>32156.0</v>
      </c>
      <c r="Q1396" s="806">
        <f t="shared" si="192"/>
        <v>1</v>
      </c>
      <c r="R1396" s="86">
        <f t="shared" si="191"/>
        <v>38</v>
      </c>
      <c r="S1396" s="716"/>
      <c r="T1396" s="1168"/>
      <c r="U1396" s="102" t="s">
        <v>379</v>
      </c>
      <c r="V1396" s="716"/>
      <c r="W1396" s="716"/>
      <c r="X1396" s="716"/>
      <c r="Y1396" s="716"/>
      <c r="Z1396" s="1214" t="s">
        <v>3792</v>
      </c>
      <c r="AA1396" s="97" t="s">
        <v>1178</v>
      </c>
      <c r="AB1396" s="716"/>
      <c r="AC1396" s="97" t="s">
        <v>2915</v>
      </c>
      <c r="AD1396" s="716"/>
      <c r="AE1396" s="716"/>
      <c r="AF1396" s="716"/>
      <c r="AG1396" s="716"/>
      <c r="AH1396" s="112" t="s">
        <v>10836</v>
      </c>
      <c r="AI1396" s="763"/>
      <c r="AJ1396" s="763"/>
      <c r="AK1396" s="763"/>
      <c r="AL1396" s="763"/>
      <c r="AM1396" s="763"/>
      <c r="AN1396" s="763"/>
      <c r="AO1396" s="763"/>
      <c r="AP1396" s="763"/>
      <c r="AQ1396" s="763"/>
      <c r="AR1396" s="763"/>
      <c r="AS1396" s="763"/>
      <c r="AT1396" s="763"/>
    </row>
    <row r="1397">
      <c r="A1397" s="1210"/>
      <c r="B1397" s="764" t="s">
        <v>4145</v>
      </c>
      <c r="C1397" s="1212" t="s">
        <v>8495</v>
      </c>
      <c r="D1397" s="97" t="s">
        <v>4264</v>
      </c>
      <c r="E1397" s="1213">
        <v>46193.0</v>
      </c>
      <c r="F1397" s="716"/>
      <c r="G1397" s="716"/>
      <c r="H1397" s="716"/>
      <c r="I1397" s="716"/>
      <c r="J1397" s="97" t="s">
        <v>114</v>
      </c>
      <c r="K1397" s="716"/>
      <c r="L1397" s="716"/>
      <c r="M1397" s="109" t="s">
        <v>60</v>
      </c>
      <c r="N1397" s="97" t="s">
        <v>12468</v>
      </c>
      <c r="O1397" s="97" t="s">
        <v>12469</v>
      </c>
      <c r="P1397" s="315">
        <v>31492.0</v>
      </c>
      <c r="Q1397" s="852">
        <f t="shared" si="192"/>
        <v>31492</v>
      </c>
      <c r="R1397" s="86">
        <f t="shared" si="191"/>
        <v>40</v>
      </c>
      <c r="S1397" s="97">
        <v>3.149111074E9</v>
      </c>
      <c r="T1397" s="1168"/>
      <c r="U1397" s="102" t="s">
        <v>379</v>
      </c>
      <c r="V1397" s="716"/>
      <c r="W1397" s="716"/>
      <c r="X1397" s="97"/>
      <c r="Y1397" s="716"/>
      <c r="Z1397" s="468" t="s">
        <v>4335</v>
      </c>
      <c r="AA1397" s="716"/>
      <c r="AB1397" s="716"/>
      <c r="AC1397" s="97" t="s">
        <v>2915</v>
      </c>
      <c r="AD1397" s="716"/>
      <c r="AE1397" s="716"/>
      <c r="AF1397" s="716"/>
      <c r="AG1397" s="716"/>
      <c r="AH1397" s="112" t="s">
        <v>10836</v>
      </c>
      <c r="AI1397" s="763"/>
      <c r="AJ1397" s="763"/>
      <c r="AK1397" s="763"/>
      <c r="AL1397" s="763"/>
      <c r="AM1397" s="763"/>
      <c r="AN1397" s="763"/>
      <c r="AO1397" s="763"/>
      <c r="AP1397" s="763"/>
      <c r="AQ1397" s="763"/>
      <c r="AR1397" s="763"/>
      <c r="AS1397" s="763"/>
      <c r="AT1397" s="763"/>
    </row>
    <row r="1398">
      <c r="A1398" s="1210"/>
      <c r="B1398" s="302" t="s">
        <v>4145</v>
      </c>
      <c r="C1398" s="1219" t="s">
        <v>12470</v>
      </c>
      <c r="D1398" s="97" t="s">
        <v>4264</v>
      </c>
      <c r="E1398" s="1213">
        <v>46193.0</v>
      </c>
      <c r="F1398" s="716"/>
      <c r="G1398" s="716"/>
      <c r="H1398" s="716"/>
      <c r="I1398" s="716"/>
      <c r="J1398" s="97" t="s">
        <v>114</v>
      </c>
      <c r="K1398" s="1216" t="s">
        <v>12471</v>
      </c>
      <c r="L1398" s="716"/>
      <c r="M1398" s="109" t="s">
        <v>326</v>
      </c>
      <c r="N1398" s="97" t="s">
        <v>12472</v>
      </c>
      <c r="O1398" s="97" t="s">
        <v>8071</v>
      </c>
      <c r="P1398" s="315">
        <v>31466.0</v>
      </c>
      <c r="Q1398" s="852">
        <f t="shared" si="192"/>
        <v>31466</v>
      </c>
      <c r="R1398" s="86">
        <f t="shared" si="191"/>
        <v>40</v>
      </c>
      <c r="S1398" s="97">
        <v>3.146526777E9</v>
      </c>
      <c r="T1398" s="315" t="s">
        <v>1317</v>
      </c>
      <c r="U1398" s="102" t="s">
        <v>379</v>
      </c>
      <c r="V1398" s="716"/>
      <c r="W1398" s="716"/>
      <c r="X1398" s="97"/>
      <c r="Y1398" s="846" t="s">
        <v>12473</v>
      </c>
      <c r="Z1398" s="716"/>
      <c r="AA1398" s="76" t="s">
        <v>1178</v>
      </c>
      <c r="AB1398" s="97" t="s">
        <v>226</v>
      </c>
      <c r="AC1398" s="97" t="s">
        <v>2915</v>
      </c>
      <c r="AD1398" s="716"/>
      <c r="AE1398" s="716"/>
      <c r="AF1398" s="97" t="s">
        <v>12474</v>
      </c>
      <c r="AG1398" s="716"/>
      <c r="AH1398" s="112" t="s">
        <v>10836</v>
      </c>
      <c r="AI1398" s="763"/>
      <c r="AJ1398" s="763"/>
      <c r="AK1398" s="763"/>
      <c r="AL1398" s="763"/>
      <c r="AM1398" s="763"/>
      <c r="AN1398" s="763"/>
      <c r="AO1398" s="763"/>
      <c r="AP1398" s="763"/>
      <c r="AQ1398" s="763"/>
      <c r="AR1398" s="763"/>
      <c r="AS1398" s="763"/>
      <c r="AT1398" s="763"/>
    </row>
    <row r="1399">
      <c r="A1399" s="1210"/>
      <c r="B1399" s="764" t="s">
        <v>4145</v>
      </c>
      <c r="C1399" s="1212" t="s">
        <v>12475</v>
      </c>
      <c r="D1399" s="97" t="s">
        <v>4264</v>
      </c>
      <c r="E1399" s="1213">
        <v>46193.0</v>
      </c>
      <c r="F1399" s="716"/>
      <c r="G1399" s="716"/>
      <c r="H1399" s="716"/>
      <c r="I1399" s="716"/>
      <c r="J1399" s="97" t="s">
        <v>114</v>
      </c>
      <c r="K1399" s="716"/>
      <c r="L1399" s="716"/>
      <c r="M1399" s="109" t="s">
        <v>60</v>
      </c>
      <c r="N1399" s="97" t="s">
        <v>12476</v>
      </c>
      <c r="O1399" s="97" t="s">
        <v>12477</v>
      </c>
      <c r="P1399" s="315">
        <v>32005.0</v>
      </c>
      <c r="Q1399" s="852">
        <f t="shared" si="192"/>
        <v>32005</v>
      </c>
      <c r="R1399" s="86">
        <f t="shared" si="191"/>
        <v>39</v>
      </c>
      <c r="S1399" s="97">
        <v>3.200421732E9</v>
      </c>
      <c r="T1399" s="1168"/>
      <c r="U1399" s="102" t="s">
        <v>379</v>
      </c>
      <c r="V1399" s="716"/>
      <c r="W1399" s="716"/>
      <c r="X1399" s="97" t="s">
        <v>186</v>
      </c>
      <c r="Y1399" s="716"/>
      <c r="Z1399" s="109" t="s">
        <v>1254</v>
      </c>
      <c r="AA1399" s="716"/>
      <c r="AB1399" s="716"/>
      <c r="AC1399" s="97" t="s">
        <v>2915</v>
      </c>
      <c r="AD1399" s="716"/>
      <c r="AE1399" s="716"/>
      <c r="AF1399" s="716"/>
      <c r="AG1399" s="716"/>
      <c r="AH1399" s="112" t="s">
        <v>10836</v>
      </c>
      <c r="AI1399" s="763"/>
      <c r="AJ1399" s="763"/>
      <c r="AK1399" s="763"/>
      <c r="AL1399" s="763"/>
      <c r="AM1399" s="763"/>
      <c r="AN1399" s="763"/>
      <c r="AO1399" s="763"/>
      <c r="AP1399" s="763"/>
      <c r="AQ1399" s="763"/>
      <c r="AR1399" s="763"/>
      <c r="AS1399" s="763"/>
      <c r="AT1399" s="763"/>
    </row>
    <row r="1400">
      <c r="A1400" s="1210"/>
      <c r="B1400" s="764" t="s">
        <v>4145</v>
      </c>
      <c r="C1400" s="716"/>
      <c r="D1400" s="97" t="s">
        <v>4264</v>
      </c>
      <c r="E1400" s="1213">
        <v>46204.0</v>
      </c>
      <c r="F1400" s="716"/>
      <c r="G1400" s="716"/>
      <c r="H1400" s="716"/>
      <c r="I1400" s="716"/>
      <c r="J1400" s="97" t="s">
        <v>114</v>
      </c>
      <c r="K1400" s="716"/>
      <c r="L1400" s="716"/>
      <c r="M1400" s="109" t="s">
        <v>60</v>
      </c>
      <c r="N1400" s="97" t="s">
        <v>12478</v>
      </c>
      <c r="O1400" s="97" t="s">
        <v>12479</v>
      </c>
      <c r="P1400" s="315">
        <v>33593.0</v>
      </c>
      <c r="Q1400" s="806">
        <f t="shared" si="192"/>
        <v>1</v>
      </c>
      <c r="R1400" s="86">
        <f t="shared" si="191"/>
        <v>34</v>
      </c>
      <c r="S1400" s="716"/>
      <c r="T1400" s="1168"/>
      <c r="U1400" s="102" t="s">
        <v>379</v>
      </c>
      <c r="V1400" s="716"/>
      <c r="W1400" s="716"/>
      <c r="X1400" s="97" t="s">
        <v>186</v>
      </c>
      <c r="Y1400" s="716"/>
      <c r="Z1400" s="109" t="s">
        <v>1254</v>
      </c>
      <c r="AA1400" s="716"/>
      <c r="AB1400" s="716"/>
      <c r="AC1400" s="97" t="s">
        <v>2915</v>
      </c>
      <c r="AD1400" s="716"/>
      <c r="AE1400" s="716"/>
      <c r="AF1400" s="716"/>
      <c r="AG1400" s="716"/>
      <c r="AH1400" s="112" t="s">
        <v>10836</v>
      </c>
      <c r="AI1400" s="763"/>
      <c r="AJ1400" s="763"/>
      <c r="AK1400" s="763"/>
      <c r="AL1400" s="763"/>
      <c r="AM1400" s="763"/>
      <c r="AN1400" s="763"/>
      <c r="AO1400" s="763"/>
      <c r="AP1400" s="763"/>
      <c r="AQ1400" s="763"/>
      <c r="AR1400" s="763"/>
      <c r="AS1400" s="763"/>
      <c r="AT1400" s="763"/>
    </row>
    <row r="1401">
      <c r="A1401" s="1210"/>
      <c r="B1401" s="764" t="s">
        <v>4145</v>
      </c>
      <c r="C1401" s="1212" t="s">
        <v>12480</v>
      </c>
      <c r="D1401" s="716"/>
      <c r="E1401" s="1213">
        <v>46077.0</v>
      </c>
      <c r="F1401" s="716"/>
      <c r="G1401" s="716"/>
      <c r="H1401" s="716"/>
      <c r="I1401" s="716"/>
      <c r="J1401" s="109" t="s">
        <v>114</v>
      </c>
      <c r="K1401" s="1216" t="s">
        <v>12481</v>
      </c>
      <c r="L1401" s="716"/>
      <c r="M1401" s="109" t="s">
        <v>60</v>
      </c>
      <c r="N1401" s="97" t="s">
        <v>3097</v>
      </c>
      <c r="O1401" s="97" t="s">
        <v>3098</v>
      </c>
      <c r="P1401" s="315">
        <v>28365.0</v>
      </c>
      <c r="Q1401" s="852">
        <f t="shared" si="192"/>
        <v>28365</v>
      </c>
      <c r="R1401" s="86">
        <f t="shared" si="191"/>
        <v>49</v>
      </c>
      <c r="S1401" s="97">
        <v>2.836406613E9</v>
      </c>
      <c r="T1401" s="315" t="s">
        <v>378</v>
      </c>
      <c r="U1401" s="102" t="s">
        <v>379</v>
      </c>
      <c r="V1401" s="716"/>
      <c r="W1401" s="716"/>
      <c r="X1401" s="716"/>
      <c r="Y1401" s="716"/>
      <c r="Z1401" s="1220" t="s">
        <v>1351</v>
      </c>
      <c r="AA1401" s="716"/>
      <c r="AB1401" s="97" t="s">
        <v>226</v>
      </c>
      <c r="AC1401" s="97" t="s">
        <v>2915</v>
      </c>
      <c r="AD1401" s="716"/>
      <c r="AE1401" s="716"/>
      <c r="AF1401" s="97" t="s">
        <v>12482</v>
      </c>
      <c r="AG1401" s="716"/>
      <c r="AH1401" s="112" t="s">
        <v>12119</v>
      </c>
      <c r="AI1401" s="763"/>
      <c r="AJ1401" s="763"/>
      <c r="AK1401" s="763"/>
      <c r="AL1401" s="763"/>
      <c r="AM1401" s="763"/>
      <c r="AN1401" s="763"/>
      <c r="AO1401" s="763"/>
      <c r="AP1401" s="763"/>
      <c r="AQ1401" s="763"/>
      <c r="AR1401" s="763"/>
      <c r="AS1401" s="763"/>
      <c r="AT1401" s="763"/>
    </row>
    <row r="1402">
      <c r="A1402" s="1210"/>
      <c r="B1402" s="764" t="s">
        <v>4145</v>
      </c>
      <c r="C1402" s="1212" t="s">
        <v>12483</v>
      </c>
      <c r="D1402" s="716"/>
      <c r="E1402" s="1213">
        <v>46096.0</v>
      </c>
      <c r="F1402" s="716"/>
      <c r="G1402" s="716"/>
      <c r="H1402" s="716"/>
      <c r="I1402" s="716"/>
      <c r="J1402" s="109" t="s">
        <v>114</v>
      </c>
      <c r="K1402" s="716"/>
      <c r="L1402" s="716"/>
      <c r="M1402" s="109" t="s">
        <v>60</v>
      </c>
      <c r="N1402" s="972" t="s">
        <v>12484</v>
      </c>
      <c r="O1402" s="97" t="s">
        <v>12485</v>
      </c>
      <c r="P1402" s="315">
        <v>30760.0</v>
      </c>
      <c r="Q1402" s="852">
        <f t="shared" si="192"/>
        <v>30760</v>
      </c>
      <c r="R1402" s="86">
        <f t="shared" si="191"/>
        <v>42</v>
      </c>
      <c r="S1402" s="97">
        <v>3.075920153E9</v>
      </c>
      <c r="T1402" s="1168"/>
      <c r="U1402" s="102" t="s">
        <v>379</v>
      </c>
      <c r="V1402" s="716"/>
      <c r="W1402" s="716"/>
      <c r="X1402" s="716"/>
      <c r="Y1402" s="716"/>
      <c r="Z1402" s="1214" t="s">
        <v>2521</v>
      </c>
      <c r="AA1402" s="97" t="s">
        <v>1178</v>
      </c>
      <c r="AB1402" s="97" t="s">
        <v>192</v>
      </c>
      <c r="AC1402" s="97" t="s">
        <v>2915</v>
      </c>
      <c r="AD1402" s="716"/>
      <c r="AE1402" s="716"/>
      <c r="AF1402" s="102" t="s">
        <v>12486</v>
      </c>
      <c r="AG1402" s="716"/>
      <c r="AH1402" s="112" t="s">
        <v>12119</v>
      </c>
      <c r="AI1402" s="763"/>
      <c r="AJ1402" s="763"/>
      <c r="AK1402" s="763"/>
      <c r="AL1402" s="763"/>
      <c r="AM1402" s="763"/>
      <c r="AN1402" s="763"/>
      <c r="AO1402" s="763"/>
      <c r="AP1402" s="763"/>
      <c r="AQ1402" s="763"/>
      <c r="AR1402" s="763"/>
      <c r="AS1402" s="763"/>
      <c r="AT1402" s="763"/>
    </row>
    <row r="1403">
      <c r="A1403" s="1210"/>
      <c r="B1403" s="764" t="s">
        <v>4145</v>
      </c>
      <c r="C1403" s="1212" t="s">
        <v>8650</v>
      </c>
      <c r="D1403" s="97" t="s">
        <v>11174</v>
      </c>
      <c r="E1403" s="1213">
        <v>46157.0</v>
      </c>
      <c r="F1403" s="716"/>
      <c r="G1403" s="716"/>
      <c r="H1403" s="716"/>
      <c r="I1403" s="716"/>
      <c r="J1403" s="97" t="s">
        <v>114</v>
      </c>
      <c r="K1403" s="1216" t="s">
        <v>1602</v>
      </c>
      <c r="L1403" s="716"/>
      <c r="M1403" s="109" t="s">
        <v>60</v>
      </c>
      <c r="N1403" s="97" t="s">
        <v>12487</v>
      </c>
      <c r="O1403" s="97" t="s">
        <v>12488</v>
      </c>
      <c r="P1403" s="315">
        <v>33661.0</v>
      </c>
      <c r="Q1403" s="806">
        <f t="shared" si="192"/>
        <v>1</v>
      </c>
      <c r="R1403" s="86">
        <f t="shared" si="191"/>
        <v>34</v>
      </c>
      <c r="S1403" s="716"/>
      <c r="T1403" s="1168"/>
      <c r="U1403" s="102" t="s">
        <v>379</v>
      </c>
      <c r="V1403" s="716"/>
      <c r="W1403" s="716"/>
      <c r="X1403" s="97" t="s">
        <v>186</v>
      </c>
      <c r="Y1403" s="716"/>
      <c r="Z1403" s="1197" t="s">
        <v>1755</v>
      </c>
      <c r="AA1403" s="716"/>
      <c r="AB1403" s="716"/>
      <c r="AC1403" s="97" t="s">
        <v>2915</v>
      </c>
      <c r="AD1403" s="716"/>
      <c r="AE1403" s="716"/>
      <c r="AF1403" s="209">
        <v>46209.0</v>
      </c>
      <c r="AG1403" s="716"/>
      <c r="AH1403" s="112" t="s">
        <v>12119</v>
      </c>
      <c r="AI1403" s="763"/>
      <c r="AJ1403" s="763"/>
      <c r="AK1403" s="763"/>
      <c r="AL1403" s="763"/>
      <c r="AM1403" s="763"/>
      <c r="AN1403" s="763"/>
      <c r="AO1403" s="763"/>
      <c r="AP1403" s="763"/>
      <c r="AQ1403" s="763"/>
      <c r="AR1403" s="763"/>
      <c r="AS1403" s="763"/>
      <c r="AT1403" s="763"/>
    </row>
    <row r="1404">
      <c r="A1404" s="1210"/>
      <c r="B1404" s="764" t="s">
        <v>4145</v>
      </c>
      <c r="C1404" s="1212" t="s">
        <v>12489</v>
      </c>
      <c r="D1404" s="97" t="s">
        <v>11815</v>
      </c>
      <c r="E1404" s="1213">
        <v>46180.0</v>
      </c>
      <c r="F1404" s="716"/>
      <c r="G1404" s="716"/>
      <c r="H1404" s="716"/>
      <c r="I1404" s="716"/>
      <c r="J1404" s="97" t="s">
        <v>114</v>
      </c>
      <c r="K1404" s="716"/>
      <c r="L1404" s="716"/>
      <c r="M1404" s="109" t="s">
        <v>60</v>
      </c>
      <c r="N1404" s="983" t="s">
        <v>12490</v>
      </c>
      <c r="O1404" s="97" t="s">
        <v>5828</v>
      </c>
      <c r="P1404" s="315">
        <v>32809.0</v>
      </c>
      <c r="Q1404" s="852">
        <f t="shared" si="192"/>
        <v>32809</v>
      </c>
      <c r="R1404" s="86">
        <f t="shared" si="191"/>
        <v>36</v>
      </c>
      <c r="S1404" s="97">
        <v>3.280818478E9</v>
      </c>
      <c r="T1404" s="1168"/>
      <c r="U1404" s="102" t="s">
        <v>379</v>
      </c>
      <c r="V1404" s="716"/>
      <c r="W1404" s="716"/>
      <c r="X1404" s="716"/>
      <c r="Y1404" s="716"/>
      <c r="Z1404" s="1214" t="s">
        <v>3792</v>
      </c>
      <c r="AA1404" s="716"/>
      <c r="AB1404" s="716"/>
      <c r="AC1404" s="97" t="s">
        <v>2915</v>
      </c>
      <c r="AD1404" s="716"/>
      <c r="AE1404" s="716"/>
      <c r="AF1404" s="983" t="s">
        <v>11996</v>
      </c>
      <c r="AG1404" s="716"/>
      <c r="AH1404" s="112" t="s">
        <v>12119</v>
      </c>
      <c r="AI1404" s="763"/>
      <c r="AJ1404" s="763"/>
      <c r="AK1404" s="763"/>
      <c r="AL1404" s="763"/>
      <c r="AM1404" s="763"/>
      <c r="AN1404" s="763"/>
      <c r="AO1404" s="763"/>
      <c r="AP1404" s="763"/>
      <c r="AQ1404" s="763"/>
      <c r="AR1404" s="763"/>
      <c r="AS1404" s="763"/>
      <c r="AT1404" s="763"/>
    </row>
    <row r="1405">
      <c r="A1405" s="1210"/>
      <c r="B1405" s="764" t="s">
        <v>4145</v>
      </c>
      <c r="C1405" s="716"/>
      <c r="D1405" s="97" t="s">
        <v>4264</v>
      </c>
      <c r="E1405" s="1213">
        <v>46187.0</v>
      </c>
      <c r="F1405" s="716"/>
      <c r="G1405" s="716"/>
      <c r="H1405" s="716"/>
      <c r="I1405" s="716"/>
      <c r="J1405" s="97" t="s">
        <v>114</v>
      </c>
      <c r="K1405" s="716"/>
      <c r="L1405" s="716"/>
      <c r="M1405" s="109" t="s">
        <v>60</v>
      </c>
      <c r="N1405" s="97" t="s">
        <v>12491</v>
      </c>
      <c r="O1405" s="97" t="s">
        <v>12492</v>
      </c>
      <c r="P1405" s="315">
        <v>28643.0</v>
      </c>
      <c r="Q1405" s="1218"/>
      <c r="R1405" s="86">
        <f t="shared" si="191"/>
        <v>48</v>
      </c>
      <c r="S1405" s="716"/>
      <c r="T1405" s="1168"/>
      <c r="U1405" s="102" t="s">
        <v>379</v>
      </c>
      <c r="V1405" s="716"/>
      <c r="W1405" s="716"/>
      <c r="X1405" s="97" t="s">
        <v>186</v>
      </c>
      <c r="Y1405" s="716"/>
      <c r="Z1405" s="109" t="s">
        <v>1254</v>
      </c>
      <c r="AA1405" s="97" t="s">
        <v>1178</v>
      </c>
      <c r="AB1405" s="716"/>
      <c r="AC1405" s="97" t="s">
        <v>2915</v>
      </c>
      <c r="AD1405" s="716"/>
      <c r="AE1405" s="716"/>
      <c r="AF1405" s="716"/>
      <c r="AG1405" s="716"/>
      <c r="AH1405" s="112" t="s">
        <v>12119</v>
      </c>
      <c r="AI1405" s="763"/>
      <c r="AJ1405" s="763"/>
      <c r="AK1405" s="763"/>
      <c r="AL1405" s="763"/>
      <c r="AM1405" s="763"/>
      <c r="AN1405" s="763"/>
      <c r="AO1405" s="763"/>
      <c r="AP1405" s="763"/>
      <c r="AQ1405" s="763"/>
      <c r="AR1405" s="763"/>
      <c r="AS1405" s="763"/>
      <c r="AT1405" s="763"/>
    </row>
    <row r="1406">
      <c r="A1406" s="1210"/>
      <c r="B1406" s="764" t="s">
        <v>4145</v>
      </c>
      <c r="C1406" s="1212" t="s">
        <v>12493</v>
      </c>
      <c r="D1406" s="97" t="s">
        <v>4264</v>
      </c>
      <c r="E1406" s="1213">
        <v>46187.0</v>
      </c>
      <c r="F1406" s="716"/>
      <c r="G1406" s="716"/>
      <c r="H1406" s="716"/>
      <c r="I1406" s="716"/>
      <c r="J1406" s="97" t="s">
        <v>114</v>
      </c>
      <c r="K1406" s="1216" t="s">
        <v>1602</v>
      </c>
      <c r="L1406" s="716"/>
      <c r="M1406" s="109" t="s">
        <v>60</v>
      </c>
      <c r="N1406" s="97" t="s">
        <v>12494</v>
      </c>
      <c r="O1406" s="97" t="s">
        <v>12495</v>
      </c>
      <c r="P1406" s="315">
        <v>29661.0</v>
      </c>
      <c r="Q1406" s="852">
        <f t="shared" ref="Q1406:Q1408" si="193">VALUE(LEFT(TEXT(S1406,0),5))+1</f>
        <v>29661</v>
      </c>
      <c r="R1406" s="86">
        <f t="shared" si="191"/>
        <v>45</v>
      </c>
      <c r="S1406" s="97">
        <v>2.966006275E9</v>
      </c>
      <c r="T1406" s="315" t="s">
        <v>1548</v>
      </c>
      <c r="U1406" s="102" t="s">
        <v>379</v>
      </c>
      <c r="V1406" s="716"/>
      <c r="W1406" s="716"/>
      <c r="X1406" s="97" t="s">
        <v>186</v>
      </c>
      <c r="Y1406" s="716"/>
      <c r="Z1406" s="1197" t="s">
        <v>1755</v>
      </c>
      <c r="AA1406" s="716"/>
      <c r="AB1406" s="716"/>
      <c r="AC1406" s="97" t="s">
        <v>2915</v>
      </c>
      <c r="AD1406" s="716"/>
      <c r="AE1406" s="716"/>
      <c r="AF1406" s="716"/>
      <c r="AG1406" s="716"/>
      <c r="AH1406" s="112" t="s">
        <v>12119</v>
      </c>
      <c r="AI1406" s="763"/>
      <c r="AJ1406" s="763"/>
      <c r="AK1406" s="763"/>
      <c r="AL1406" s="763"/>
      <c r="AM1406" s="763"/>
      <c r="AN1406" s="763"/>
      <c r="AO1406" s="763"/>
      <c r="AP1406" s="763"/>
      <c r="AQ1406" s="763"/>
      <c r="AR1406" s="763"/>
      <c r="AS1406" s="763"/>
      <c r="AT1406" s="763"/>
    </row>
    <row r="1407">
      <c r="A1407" s="1210"/>
      <c r="B1407" s="764" t="s">
        <v>4145</v>
      </c>
      <c r="C1407" s="1212" t="s">
        <v>8495</v>
      </c>
      <c r="D1407" s="97" t="s">
        <v>4264</v>
      </c>
      <c r="E1407" s="1213">
        <v>46187.0</v>
      </c>
      <c r="F1407" s="716"/>
      <c r="G1407" s="716"/>
      <c r="H1407" s="716"/>
      <c r="I1407" s="716"/>
      <c r="J1407" s="97" t="s">
        <v>114</v>
      </c>
      <c r="K1407" s="716"/>
      <c r="L1407" s="716"/>
      <c r="M1407" s="109" t="s">
        <v>610</v>
      </c>
      <c r="N1407" s="97" t="s">
        <v>12496</v>
      </c>
      <c r="O1407" s="97" t="s">
        <v>3683</v>
      </c>
      <c r="P1407" s="315">
        <v>35592.0</v>
      </c>
      <c r="Q1407" s="852">
        <f t="shared" si="193"/>
        <v>35592</v>
      </c>
      <c r="R1407" s="86">
        <f t="shared" si="191"/>
        <v>29</v>
      </c>
      <c r="S1407" s="97">
        <v>3.55910635E9</v>
      </c>
      <c r="T1407" s="1168"/>
      <c r="U1407" s="102" t="s">
        <v>379</v>
      </c>
      <c r="V1407" s="716"/>
      <c r="W1407" s="716"/>
      <c r="X1407" s="97" t="s">
        <v>186</v>
      </c>
      <c r="Y1407" s="716"/>
      <c r="Z1407" s="299" t="s">
        <v>1755</v>
      </c>
      <c r="AA1407" s="716"/>
      <c r="AB1407" s="716"/>
      <c r="AC1407" s="97" t="s">
        <v>2915</v>
      </c>
      <c r="AD1407" s="716"/>
      <c r="AE1407" s="716"/>
      <c r="AF1407" s="716"/>
      <c r="AG1407" s="716"/>
      <c r="AH1407" s="112" t="s">
        <v>12119</v>
      </c>
      <c r="AI1407" s="763"/>
      <c r="AJ1407" s="763"/>
      <c r="AK1407" s="763"/>
      <c r="AL1407" s="763"/>
      <c r="AM1407" s="763"/>
      <c r="AN1407" s="763"/>
      <c r="AO1407" s="763"/>
      <c r="AP1407" s="763"/>
      <c r="AQ1407" s="763"/>
      <c r="AR1407" s="763"/>
      <c r="AS1407" s="763"/>
      <c r="AT1407" s="763"/>
    </row>
    <row r="1408">
      <c r="A1408" s="1210"/>
      <c r="B1408" s="764" t="s">
        <v>4145</v>
      </c>
      <c r="C1408" s="764" t="s">
        <v>12497</v>
      </c>
      <c r="D1408" s="97" t="s">
        <v>4264</v>
      </c>
      <c r="E1408" s="1213">
        <v>46187.0</v>
      </c>
      <c r="F1408" s="716"/>
      <c r="G1408" s="716"/>
      <c r="H1408" s="716"/>
      <c r="I1408" s="716"/>
      <c r="J1408" s="97" t="s">
        <v>114</v>
      </c>
      <c r="K1408" s="716"/>
      <c r="L1408" s="716"/>
      <c r="M1408" s="109" t="s">
        <v>60</v>
      </c>
      <c r="N1408" s="97" t="s">
        <v>12498</v>
      </c>
      <c r="O1408" s="97" t="s">
        <v>12499</v>
      </c>
      <c r="P1408" s="315">
        <v>28096.0</v>
      </c>
      <c r="Q1408" s="852">
        <f t="shared" si="193"/>
        <v>28096</v>
      </c>
      <c r="R1408" s="86">
        <f t="shared" si="191"/>
        <v>49</v>
      </c>
      <c r="S1408" s="97">
        <v>2.80951487E9</v>
      </c>
      <c r="T1408" s="1168"/>
      <c r="U1408" s="102" t="s">
        <v>379</v>
      </c>
      <c r="V1408" s="716"/>
      <c r="W1408" s="716"/>
      <c r="X1408" s="97" t="s">
        <v>186</v>
      </c>
      <c r="Y1408" s="716"/>
      <c r="Z1408" s="1197" t="s">
        <v>1755</v>
      </c>
      <c r="AA1408" s="97" t="s">
        <v>1178</v>
      </c>
      <c r="AB1408" s="716"/>
      <c r="AC1408" s="97" t="s">
        <v>2915</v>
      </c>
      <c r="AD1408" s="716"/>
      <c r="AE1408" s="716"/>
      <c r="AF1408" s="716"/>
      <c r="AG1408" s="716"/>
      <c r="AH1408" s="112" t="s">
        <v>12119</v>
      </c>
      <c r="AI1408" s="763"/>
      <c r="AJ1408" s="763"/>
      <c r="AK1408" s="763"/>
      <c r="AL1408" s="763"/>
      <c r="AM1408" s="763"/>
      <c r="AN1408" s="763"/>
      <c r="AO1408" s="763"/>
      <c r="AP1408" s="763"/>
      <c r="AQ1408" s="763"/>
      <c r="AR1408" s="763"/>
      <c r="AS1408" s="763"/>
      <c r="AT1408" s="763"/>
    </row>
    <row r="1409">
      <c r="A1409" s="86" t="s">
        <v>9293</v>
      </c>
      <c r="B1409" s="764" t="s">
        <v>4145</v>
      </c>
      <c r="C1409" s="1221" t="s">
        <v>12500</v>
      </c>
      <c r="D1409" s="97" t="s">
        <v>4264</v>
      </c>
      <c r="E1409" s="1213">
        <v>46187.0</v>
      </c>
      <c r="F1409" s="716"/>
      <c r="G1409" s="716"/>
      <c r="H1409" s="716"/>
      <c r="I1409" s="716"/>
      <c r="J1409" s="97" t="s">
        <v>114</v>
      </c>
      <c r="K1409" s="716"/>
      <c r="L1409" s="716"/>
      <c r="M1409" s="109" t="s">
        <v>60</v>
      </c>
      <c r="N1409" s="97" t="s">
        <v>12501</v>
      </c>
      <c r="O1409" s="97" t="s">
        <v>12502</v>
      </c>
      <c r="P1409" s="315">
        <v>36372.0</v>
      </c>
      <c r="Q1409" s="1218"/>
      <c r="R1409" s="86">
        <f t="shared" si="191"/>
        <v>27</v>
      </c>
      <c r="S1409" s="716"/>
      <c r="T1409" s="1168"/>
      <c r="U1409" s="102" t="s">
        <v>379</v>
      </c>
      <c r="V1409" s="716"/>
      <c r="W1409" s="716"/>
      <c r="X1409" s="97" t="s">
        <v>186</v>
      </c>
      <c r="Y1409" s="716"/>
      <c r="Z1409" s="299" t="s">
        <v>1755</v>
      </c>
      <c r="AA1409" s="97" t="s">
        <v>1178</v>
      </c>
      <c r="AB1409" s="716"/>
      <c r="AC1409" s="97" t="s">
        <v>2915</v>
      </c>
      <c r="AD1409" s="716"/>
      <c r="AE1409" s="716"/>
      <c r="AF1409" s="716"/>
      <c r="AG1409" s="716"/>
      <c r="AH1409" s="112" t="s">
        <v>12119</v>
      </c>
      <c r="AI1409" s="763"/>
      <c r="AJ1409" s="763"/>
      <c r="AK1409" s="763"/>
      <c r="AL1409" s="763"/>
      <c r="AM1409" s="763"/>
      <c r="AN1409" s="763"/>
      <c r="AO1409" s="763"/>
      <c r="AP1409" s="763"/>
      <c r="AQ1409" s="763"/>
      <c r="AR1409" s="763"/>
      <c r="AS1409" s="763"/>
      <c r="AT1409" s="763"/>
    </row>
    <row r="1410">
      <c r="A1410" s="1210"/>
      <c r="B1410" s="764" t="s">
        <v>4145</v>
      </c>
      <c r="C1410" s="1212" t="s">
        <v>12503</v>
      </c>
      <c r="D1410" s="97" t="s">
        <v>4264</v>
      </c>
      <c r="E1410" s="1213">
        <v>46187.0</v>
      </c>
      <c r="F1410" s="716"/>
      <c r="G1410" s="716"/>
      <c r="H1410" s="716"/>
      <c r="I1410" s="716"/>
      <c r="J1410" s="97" t="s">
        <v>114</v>
      </c>
      <c r="K1410" s="1216" t="s">
        <v>1602</v>
      </c>
      <c r="L1410" s="716"/>
      <c r="M1410" s="109" t="s">
        <v>60</v>
      </c>
      <c r="N1410" s="97" t="s">
        <v>12504</v>
      </c>
      <c r="O1410" s="97" t="s">
        <v>12505</v>
      </c>
      <c r="P1410" s="315">
        <v>29655.0</v>
      </c>
      <c r="Q1410" s="852">
        <f t="shared" ref="Q1410:Q1411" si="194">VALUE(LEFT(TEXT(S1410,0),5))+1</f>
        <v>29655</v>
      </c>
      <c r="R1410" s="86">
        <f t="shared" si="191"/>
        <v>45</v>
      </c>
      <c r="S1410" s="97">
        <v>2.965401417E9</v>
      </c>
      <c r="T1410" s="1168"/>
      <c r="U1410" s="102" t="s">
        <v>379</v>
      </c>
      <c r="V1410" s="716"/>
      <c r="W1410" s="716"/>
      <c r="X1410" s="97"/>
      <c r="Y1410" s="716"/>
      <c r="Z1410" s="468" t="s">
        <v>4335</v>
      </c>
      <c r="AA1410" s="716"/>
      <c r="AB1410" s="716"/>
      <c r="AC1410" s="97" t="s">
        <v>2915</v>
      </c>
      <c r="AD1410" s="716"/>
      <c r="AE1410" s="716"/>
      <c r="AF1410" s="716"/>
      <c r="AG1410" s="716"/>
      <c r="AH1410" s="112" t="s">
        <v>12119</v>
      </c>
      <c r="AI1410" s="763"/>
      <c r="AJ1410" s="763"/>
      <c r="AK1410" s="763"/>
      <c r="AL1410" s="763"/>
      <c r="AM1410" s="763"/>
      <c r="AN1410" s="763"/>
      <c r="AO1410" s="763"/>
      <c r="AP1410" s="763"/>
      <c r="AQ1410" s="763"/>
      <c r="AR1410" s="763"/>
      <c r="AS1410" s="763"/>
      <c r="AT1410" s="763"/>
    </row>
    <row r="1411">
      <c r="A1411" s="1210"/>
      <c r="B1411" s="764" t="s">
        <v>4145</v>
      </c>
      <c r="C1411" s="764" t="s">
        <v>11324</v>
      </c>
      <c r="D1411" s="97" t="s">
        <v>4264</v>
      </c>
      <c r="E1411" s="1213">
        <v>46187.0</v>
      </c>
      <c r="F1411" s="716"/>
      <c r="G1411" s="716"/>
      <c r="H1411" s="716"/>
      <c r="I1411" s="716"/>
      <c r="J1411" s="97" t="s">
        <v>114</v>
      </c>
      <c r="K1411" s="716"/>
      <c r="L1411" s="716"/>
      <c r="M1411" s="109" t="s">
        <v>60</v>
      </c>
      <c r="N1411" s="97" t="s">
        <v>12506</v>
      </c>
      <c r="O1411" s="97" t="s">
        <v>12507</v>
      </c>
      <c r="P1411" s="315">
        <v>32520.0</v>
      </c>
      <c r="Q1411" s="852">
        <f t="shared" si="194"/>
        <v>32520</v>
      </c>
      <c r="R1411" s="86">
        <f t="shared" si="191"/>
        <v>37</v>
      </c>
      <c r="S1411" s="97">
        <v>3.251905478E9</v>
      </c>
      <c r="T1411" s="1168"/>
      <c r="U1411" s="102" t="s">
        <v>379</v>
      </c>
      <c r="V1411" s="716"/>
      <c r="W1411" s="716"/>
      <c r="X1411" s="97"/>
      <c r="Y1411" s="716"/>
      <c r="Z1411" s="468" t="s">
        <v>4335</v>
      </c>
      <c r="AA1411" s="97" t="s">
        <v>1178</v>
      </c>
      <c r="AB1411" s="716"/>
      <c r="AC1411" s="97" t="s">
        <v>2915</v>
      </c>
      <c r="AD1411" s="716"/>
      <c r="AE1411" s="716"/>
      <c r="AF1411" s="716"/>
      <c r="AG1411" s="716"/>
      <c r="AH1411" s="112" t="s">
        <v>12119</v>
      </c>
      <c r="AI1411" s="763"/>
      <c r="AJ1411" s="763"/>
      <c r="AK1411" s="763"/>
      <c r="AL1411" s="763"/>
      <c r="AM1411" s="763"/>
      <c r="AN1411" s="763"/>
      <c r="AO1411" s="763"/>
      <c r="AP1411" s="763"/>
      <c r="AQ1411" s="763"/>
      <c r="AR1411" s="763"/>
      <c r="AS1411" s="763"/>
      <c r="AT1411" s="763"/>
    </row>
    <row r="1412">
      <c r="A1412" s="1210"/>
      <c r="B1412" s="764" t="s">
        <v>4145</v>
      </c>
      <c r="C1412" s="1212" t="s">
        <v>12508</v>
      </c>
      <c r="D1412" s="97" t="s">
        <v>4264</v>
      </c>
      <c r="E1412" s="1213">
        <v>46187.0</v>
      </c>
      <c r="F1412" s="716"/>
      <c r="G1412" s="716"/>
      <c r="H1412" s="716"/>
      <c r="I1412" s="716"/>
      <c r="J1412" s="97" t="s">
        <v>114</v>
      </c>
      <c r="K1412" s="716"/>
      <c r="L1412" s="716"/>
      <c r="M1412" s="109" t="s">
        <v>60</v>
      </c>
      <c r="N1412" s="97" t="s">
        <v>12509</v>
      </c>
      <c r="O1412" s="97" t="s">
        <v>12510</v>
      </c>
      <c r="P1412" s="315">
        <v>30002.0</v>
      </c>
      <c r="Q1412" s="1218"/>
      <c r="R1412" s="86">
        <f t="shared" si="191"/>
        <v>44</v>
      </c>
      <c r="S1412" s="716"/>
      <c r="T1412" s="1168"/>
      <c r="U1412" s="102" t="s">
        <v>379</v>
      </c>
      <c r="V1412" s="716"/>
      <c r="W1412" s="716"/>
      <c r="X1412" s="97" t="s">
        <v>186</v>
      </c>
      <c r="Y1412" s="716"/>
      <c r="Z1412" s="109" t="s">
        <v>1254</v>
      </c>
      <c r="AA1412" s="716"/>
      <c r="AB1412" s="716"/>
      <c r="AC1412" s="97" t="s">
        <v>2915</v>
      </c>
      <c r="AD1412" s="716"/>
      <c r="AE1412" s="716"/>
      <c r="AF1412" s="716"/>
      <c r="AG1412" s="716"/>
      <c r="AH1412" s="112" t="s">
        <v>12119</v>
      </c>
      <c r="AI1412" s="1222"/>
      <c r="AJ1412" s="1222"/>
      <c r="AK1412" s="1222"/>
      <c r="AL1412" s="1222"/>
      <c r="AM1412" s="1222"/>
      <c r="AN1412" s="1222"/>
      <c r="AO1412" s="1222"/>
      <c r="AP1412" s="1222"/>
      <c r="AQ1412" s="1222"/>
      <c r="AR1412" s="1222"/>
      <c r="AS1412" s="1222"/>
      <c r="AT1412" s="1222"/>
    </row>
    <row r="1413">
      <c r="A1413" s="1210"/>
      <c r="B1413" s="764" t="s">
        <v>4145</v>
      </c>
      <c r="C1413" s="1212" t="s">
        <v>12511</v>
      </c>
      <c r="D1413" s="97" t="s">
        <v>4264</v>
      </c>
      <c r="E1413" s="1213">
        <v>46193.0</v>
      </c>
      <c r="F1413" s="716"/>
      <c r="G1413" s="716"/>
      <c r="H1413" s="716"/>
      <c r="I1413" s="716"/>
      <c r="J1413" s="97" t="s">
        <v>114</v>
      </c>
      <c r="K1413" s="716"/>
      <c r="L1413" s="716"/>
      <c r="M1413" s="109" t="s">
        <v>60</v>
      </c>
      <c r="N1413" s="97" t="s">
        <v>12512</v>
      </c>
      <c r="O1413" s="97" t="s">
        <v>1123</v>
      </c>
      <c r="P1413" s="315">
        <v>29459.0</v>
      </c>
      <c r="Q1413" s="806">
        <f t="shared" ref="Q1413:Q1417" si="195">VALUE(LEFT(TEXT(S1413,0),5))+1</f>
        <v>1</v>
      </c>
      <c r="R1413" s="86">
        <f t="shared" si="191"/>
        <v>46</v>
      </c>
      <c r="S1413" s="716"/>
      <c r="T1413" s="1168"/>
      <c r="U1413" s="102" t="s">
        <v>379</v>
      </c>
      <c r="V1413" s="716"/>
      <c r="W1413" s="716"/>
      <c r="X1413" s="97" t="s">
        <v>186</v>
      </c>
      <c r="Y1413" s="716"/>
      <c r="Z1413" s="109" t="s">
        <v>1254</v>
      </c>
      <c r="AA1413" s="716"/>
      <c r="AB1413" s="716"/>
      <c r="AC1413" s="97" t="s">
        <v>2915</v>
      </c>
      <c r="AD1413" s="716"/>
      <c r="AE1413" s="716"/>
      <c r="AF1413" s="716"/>
      <c r="AG1413" s="716"/>
      <c r="AH1413" s="112" t="s">
        <v>12119</v>
      </c>
      <c r="AI1413" s="1222"/>
      <c r="AJ1413" s="1222"/>
      <c r="AK1413" s="1222"/>
      <c r="AL1413" s="1222"/>
      <c r="AM1413" s="1222"/>
      <c r="AN1413" s="1222"/>
      <c r="AO1413" s="1222"/>
      <c r="AP1413" s="1222"/>
      <c r="AQ1413" s="1222"/>
      <c r="AR1413" s="1222"/>
      <c r="AS1413" s="1222"/>
      <c r="AT1413" s="1222"/>
    </row>
    <row r="1414">
      <c r="A1414" s="1210"/>
      <c r="B1414" s="764" t="s">
        <v>145</v>
      </c>
      <c r="C1414" s="716"/>
      <c r="D1414" s="97" t="s">
        <v>11340</v>
      </c>
      <c r="E1414" s="1213">
        <v>46203.0</v>
      </c>
      <c r="F1414" s="716"/>
      <c r="G1414" s="716"/>
      <c r="H1414" s="716"/>
      <c r="I1414" s="716"/>
      <c r="J1414" s="97" t="s">
        <v>114</v>
      </c>
      <c r="K1414" s="716"/>
      <c r="L1414" s="716"/>
      <c r="M1414" s="109" t="s">
        <v>60</v>
      </c>
      <c r="N1414" s="97" t="s">
        <v>12513</v>
      </c>
      <c r="O1414" s="97" t="s">
        <v>12514</v>
      </c>
      <c r="P1414" s="315">
        <v>30495.0</v>
      </c>
      <c r="Q1414" s="852">
        <f t="shared" si="195"/>
        <v>30495</v>
      </c>
      <c r="R1414" s="86">
        <f t="shared" si="191"/>
        <v>43</v>
      </c>
      <c r="S1414" s="97">
        <v>3.049429278E9</v>
      </c>
      <c r="T1414" s="1168"/>
      <c r="U1414" s="102" t="s">
        <v>379</v>
      </c>
      <c r="V1414" s="716"/>
      <c r="W1414" s="716"/>
      <c r="X1414" s="97" t="s">
        <v>182</v>
      </c>
      <c r="Y1414" s="716"/>
      <c r="Z1414" s="109" t="s">
        <v>1254</v>
      </c>
      <c r="AA1414" s="97" t="s">
        <v>185</v>
      </c>
      <c r="AB1414" s="97" t="s">
        <v>269</v>
      </c>
      <c r="AC1414" s="97" t="s">
        <v>2915</v>
      </c>
      <c r="AD1414" s="716"/>
      <c r="AE1414" s="716"/>
      <c r="AF1414" s="716"/>
      <c r="AG1414" s="716"/>
      <c r="AH1414" s="112" t="s">
        <v>12119</v>
      </c>
      <c r="AI1414" s="1222"/>
      <c r="AJ1414" s="1222"/>
      <c r="AK1414" s="1222"/>
      <c r="AL1414" s="1222"/>
      <c r="AM1414" s="1222"/>
      <c r="AN1414" s="1222"/>
      <c r="AO1414" s="1222"/>
      <c r="AP1414" s="1222"/>
      <c r="AQ1414" s="1222"/>
      <c r="AR1414" s="1222"/>
      <c r="AS1414" s="1222"/>
      <c r="AT1414" s="1222"/>
    </row>
    <row r="1415">
      <c r="A1415" s="1210"/>
      <c r="B1415" s="764" t="s">
        <v>4145</v>
      </c>
      <c r="C1415" s="716"/>
      <c r="D1415" s="97" t="s">
        <v>4264</v>
      </c>
      <c r="E1415" s="1213">
        <v>46204.0</v>
      </c>
      <c r="F1415" s="716"/>
      <c r="G1415" s="716"/>
      <c r="H1415" s="716"/>
      <c r="I1415" s="716"/>
      <c r="J1415" s="97" t="s">
        <v>114</v>
      </c>
      <c r="K1415" s="716"/>
      <c r="L1415" s="716"/>
      <c r="M1415" s="109" t="s">
        <v>60</v>
      </c>
      <c r="N1415" s="97" t="s">
        <v>12515</v>
      </c>
      <c r="O1415" s="97" t="s">
        <v>12516</v>
      </c>
      <c r="P1415" s="315">
        <v>33839.0</v>
      </c>
      <c r="Q1415" s="806">
        <f t="shared" si="195"/>
        <v>1</v>
      </c>
      <c r="R1415" s="86">
        <f t="shared" si="191"/>
        <v>34</v>
      </c>
      <c r="S1415" s="716"/>
      <c r="T1415" s="1168"/>
      <c r="U1415" s="102" t="s">
        <v>379</v>
      </c>
      <c r="V1415" s="716"/>
      <c r="W1415" s="716"/>
      <c r="X1415" s="97" t="s">
        <v>186</v>
      </c>
      <c r="Y1415" s="716"/>
      <c r="Z1415" s="109" t="s">
        <v>1892</v>
      </c>
      <c r="AA1415" s="716"/>
      <c r="AB1415" s="716"/>
      <c r="AC1415" s="97" t="s">
        <v>2915</v>
      </c>
      <c r="AD1415" s="716"/>
      <c r="AE1415" s="716"/>
      <c r="AF1415" s="716"/>
      <c r="AG1415" s="716"/>
      <c r="AH1415" s="112" t="s">
        <v>12119</v>
      </c>
      <c r="AI1415" s="1222"/>
      <c r="AJ1415" s="1222"/>
      <c r="AK1415" s="1222"/>
      <c r="AL1415" s="1222"/>
      <c r="AM1415" s="1222"/>
      <c r="AN1415" s="1222"/>
      <c r="AO1415" s="1222"/>
      <c r="AP1415" s="1222"/>
      <c r="AQ1415" s="1222"/>
      <c r="AR1415" s="1222"/>
      <c r="AS1415" s="1222"/>
      <c r="AT1415" s="1222"/>
    </row>
    <row r="1416">
      <c r="A1416" s="1210"/>
      <c r="B1416" s="764" t="s">
        <v>4145</v>
      </c>
      <c r="C1416" s="716"/>
      <c r="D1416" s="97" t="s">
        <v>4264</v>
      </c>
      <c r="E1416" s="1213">
        <v>46204.0</v>
      </c>
      <c r="F1416" s="716"/>
      <c r="G1416" s="716"/>
      <c r="H1416" s="716"/>
      <c r="I1416" s="716"/>
      <c r="J1416" s="97" t="s">
        <v>114</v>
      </c>
      <c r="K1416" s="716"/>
      <c r="L1416" s="716"/>
      <c r="M1416" s="109" t="s">
        <v>326</v>
      </c>
      <c r="N1416" s="97" t="s">
        <v>12517</v>
      </c>
      <c r="O1416" s="97" t="s">
        <v>6990</v>
      </c>
      <c r="P1416" s="315">
        <v>28795.0</v>
      </c>
      <c r="Q1416" s="806">
        <f t="shared" si="195"/>
        <v>1</v>
      </c>
      <c r="R1416" s="86">
        <f t="shared" si="191"/>
        <v>47</v>
      </c>
      <c r="S1416" s="716"/>
      <c r="T1416" s="1168"/>
      <c r="U1416" s="102" t="s">
        <v>379</v>
      </c>
      <c r="V1416" s="716"/>
      <c r="W1416" s="716"/>
      <c r="X1416" s="97" t="s">
        <v>186</v>
      </c>
      <c r="Y1416" s="716"/>
      <c r="Z1416" s="109" t="s">
        <v>1892</v>
      </c>
      <c r="AA1416" s="716"/>
      <c r="AB1416" s="716"/>
      <c r="AC1416" s="97" t="s">
        <v>2915</v>
      </c>
      <c r="AD1416" s="716"/>
      <c r="AE1416" s="716"/>
      <c r="AF1416" s="716"/>
      <c r="AG1416" s="716"/>
      <c r="AH1416" s="112" t="s">
        <v>12119</v>
      </c>
      <c r="AI1416" s="1222"/>
      <c r="AJ1416" s="1222"/>
      <c r="AK1416" s="1222"/>
      <c r="AL1416" s="1222"/>
      <c r="AM1416" s="1222"/>
      <c r="AN1416" s="1222"/>
      <c r="AO1416" s="1222"/>
      <c r="AP1416" s="1222"/>
      <c r="AQ1416" s="1222"/>
      <c r="AR1416" s="1222"/>
      <c r="AS1416" s="1222"/>
      <c r="AT1416" s="1222"/>
    </row>
    <row r="1417">
      <c r="A1417" s="1210"/>
      <c r="B1417" s="764" t="s">
        <v>4145</v>
      </c>
      <c r="C1417" s="716"/>
      <c r="D1417" s="97" t="s">
        <v>4264</v>
      </c>
      <c r="E1417" s="1213">
        <v>46204.0</v>
      </c>
      <c r="F1417" s="716"/>
      <c r="G1417" s="716"/>
      <c r="H1417" s="716"/>
      <c r="I1417" s="716"/>
      <c r="J1417" s="97" t="s">
        <v>114</v>
      </c>
      <c r="K1417" s="716"/>
      <c r="L1417" s="716"/>
      <c r="M1417" s="109" t="s">
        <v>60</v>
      </c>
      <c r="N1417" s="97" t="s">
        <v>12518</v>
      </c>
      <c r="O1417" s="97" t="s">
        <v>12519</v>
      </c>
      <c r="P1417" s="315">
        <v>31525.0</v>
      </c>
      <c r="Q1417" s="806">
        <f t="shared" si="195"/>
        <v>1</v>
      </c>
      <c r="R1417" s="86">
        <f t="shared" si="191"/>
        <v>40</v>
      </c>
      <c r="S1417" s="716"/>
      <c r="T1417" s="1168"/>
      <c r="U1417" s="102" t="s">
        <v>379</v>
      </c>
      <c r="V1417" s="716"/>
      <c r="W1417" s="716"/>
      <c r="X1417" s="97" t="s">
        <v>186</v>
      </c>
      <c r="Y1417" s="716"/>
      <c r="Z1417" s="109" t="s">
        <v>1892</v>
      </c>
      <c r="AA1417" s="716"/>
      <c r="AB1417" s="716"/>
      <c r="AC1417" s="97" t="s">
        <v>2915</v>
      </c>
      <c r="AD1417" s="716"/>
      <c r="AE1417" s="716"/>
      <c r="AF1417" s="716"/>
      <c r="AG1417" s="716"/>
      <c r="AH1417" s="112" t="s">
        <v>12119</v>
      </c>
      <c r="AI1417" s="1222"/>
      <c r="AJ1417" s="1222"/>
      <c r="AK1417" s="1222"/>
      <c r="AL1417" s="1222"/>
      <c r="AM1417" s="1222"/>
      <c r="AN1417" s="1222"/>
      <c r="AO1417" s="1222"/>
      <c r="AP1417" s="1222"/>
      <c r="AQ1417" s="1222"/>
      <c r="AR1417" s="1222"/>
      <c r="AS1417" s="1222"/>
      <c r="AT1417" s="1222"/>
    </row>
    <row r="1418">
      <c r="A1418" s="1223"/>
      <c r="B1418" s="1223"/>
      <c r="C1418" s="1223"/>
      <c r="D1418" s="1223"/>
      <c r="E1418" s="1223"/>
      <c r="F1418" s="1223"/>
      <c r="G1418" s="1223"/>
      <c r="H1418" s="1223"/>
      <c r="I1418" s="1223"/>
      <c r="J1418" s="1223"/>
      <c r="K1418" s="1223"/>
      <c r="L1418" s="1223"/>
      <c r="M1418" s="1223"/>
      <c r="N1418" s="1223"/>
      <c r="O1418" s="1223"/>
      <c r="P1418" s="1223"/>
      <c r="Q1418" s="1223"/>
      <c r="R1418" s="1223"/>
      <c r="S1418" s="1223"/>
      <c r="T1418" s="1223"/>
      <c r="U1418" s="1223"/>
      <c r="V1418" s="1223"/>
      <c r="W1418" s="1223"/>
      <c r="X1418" s="1223"/>
      <c r="Y1418" s="1223"/>
      <c r="Z1418" s="1223"/>
      <c r="AA1418" s="1223"/>
      <c r="AB1418" s="1223"/>
      <c r="AC1418" s="1223"/>
      <c r="AD1418" s="1223"/>
      <c r="AE1418" s="1223"/>
      <c r="AF1418" s="1223"/>
      <c r="AG1418" s="1223"/>
      <c r="AH1418" s="1223"/>
    </row>
    <row r="1419">
      <c r="A1419" s="76">
        <v>425.0</v>
      </c>
      <c r="B1419" s="302" t="s">
        <v>4145</v>
      </c>
      <c r="C1419" s="157" t="s">
        <v>636</v>
      </c>
      <c r="D1419" s="77"/>
      <c r="E1419" s="78" t="s">
        <v>10436</v>
      </c>
      <c r="F1419" s="80"/>
      <c r="G1419" s="77"/>
      <c r="H1419" s="77"/>
      <c r="I1419" s="87"/>
      <c r="J1419" s="85" t="s">
        <v>114</v>
      </c>
      <c r="K1419" s="176" t="s">
        <v>12520</v>
      </c>
      <c r="L1419" s="47" t="s">
        <v>12304</v>
      </c>
      <c r="M1419" s="85" t="s">
        <v>102</v>
      </c>
      <c r="N1419" s="76" t="s">
        <v>2136</v>
      </c>
      <c r="O1419" s="1001" t="s">
        <v>2137</v>
      </c>
      <c r="P1419" s="523">
        <v>29856.0</v>
      </c>
      <c r="Q1419" s="315">
        <f t="shared" ref="Q1419:Q1424" si="196">VALUE(LEFT(TEXT(S1419,0),5))+1</f>
        <v>29856</v>
      </c>
      <c r="R1419" s="97">
        <f t="shared" ref="R1419:R1430" si="197">DATEDIF($P1419,TODAY(),"Y")</f>
        <v>44</v>
      </c>
      <c r="S1419" s="76">
        <v>2.985522494E9</v>
      </c>
      <c r="T1419" s="315" t="s">
        <v>1317</v>
      </c>
      <c r="U1419" s="76" t="s">
        <v>379</v>
      </c>
      <c r="V1419" s="76"/>
      <c r="W1419" s="76"/>
      <c r="X1419" s="76"/>
      <c r="Y1419" s="97" t="s">
        <v>1174</v>
      </c>
      <c r="Z1419" s="278" t="s">
        <v>1613</v>
      </c>
      <c r="AA1419" s="76"/>
      <c r="AB1419" s="76"/>
      <c r="AC1419" s="76" t="s">
        <v>12306</v>
      </c>
      <c r="AD1419" s="99"/>
      <c r="AE1419" s="76"/>
      <c r="AF1419" s="76" t="s">
        <v>12521</v>
      </c>
      <c r="AG1419" s="76" t="s">
        <v>1187</v>
      </c>
      <c r="AH1419" s="76" t="s">
        <v>9133</v>
      </c>
      <c r="AI1419" s="67"/>
      <c r="AJ1419" s="67"/>
      <c r="AK1419" s="70"/>
      <c r="AL1419" s="70"/>
      <c r="AM1419" s="135"/>
      <c r="AN1419" s="135"/>
      <c r="AO1419" s="70"/>
      <c r="AP1419" s="70"/>
      <c r="AQ1419" s="67"/>
      <c r="AR1419" s="67"/>
      <c r="AS1419" s="67"/>
      <c r="AT1419" s="67"/>
    </row>
    <row r="1420">
      <c r="A1420" s="76">
        <v>425.0</v>
      </c>
      <c r="B1420" s="302" t="s">
        <v>4145</v>
      </c>
      <c r="C1420" s="157" t="s">
        <v>636</v>
      </c>
      <c r="D1420" s="77"/>
      <c r="E1420" s="78" t="s">
        <v>11766</v>
      </c>
      <c r="F1420" s="80" t="s">
        <v>1523</v>
      </c>
      <c r="G1420" s="77" t="s">
        <v>5961</v>
      </c>
      <c r="H1420" s="77" t="s">
        <v>60</v>
      </c>
      <c r="I1420" s="87"/>
      <c r="J1420" s="76" t="s">
        <v>114</v>
      </c>
      <c r="K1420" s="176" t="s">
        <v>12522</v>
      </c>
      <c r="L1420" s="47" t="s">
        <v>12304</v>
      </c>
      <c r="M1420" s="85" t="s">
        <v>102</v>
      </c>
      <c r="N1420" s="76" t="s">
        <v>9377</v>
      </c>
      <c r="O1420" s="1001" t="s">
        <v>9378</v>
      </c>
      <c r="P1420" s="523">
        <v>30427.0</v>
      </c>
      <c r="Q1420" s="315">
        <f t="shared" si="196"/>
        <v>30427</v>
      </c>
      <c r="R1420" s="86">
        <f t="shared" si="197"/>
        <v>43</v>
      </c>
      <c r="S1420" s="315">
        <v>3.04261175E9</v>
      </c>
      <c r="T1420" s="315" t="s">
        <v>1317</v>
      </c>
      <c r="U1420" s="76" t="s">
        <v>379</v>
      </c>
      <c r="V1420" s="76"/>
      <c r="W1420" s="76"/>
      <c r="X1420" s="76"/>
      <c r="Y1420" s="97" t="s">
        <v>1174</v>
      </c>
      <c r="Z1420" s="278" t="s">
        <v>2090</v>
      </c>
      <c r="AA1420" s="76"/>
      <c r="AB1420" s="97"/>
      <c r="AC1420" s="76" t="s">
        <v>12306</v>
      </c>
      <c r="AD1420" s="99"/>
      <c r="AE1420" s="76"/>
      <c r="AF1420" s="76" t="s">
        <v>155</v>
      </c>
      <c r="AG1420" s="76"/>
      <c r="AH1420" s="76" t="s">
        <v>12417</v>
      </c>
      <c r="AI1420" s="67"/>
      <c r="AJ1420" s="67"/>
      <c r="AK1420" s="70"/>
      <c r="AL1420" s="70"/>
      <c r="AM1420" s="135"/>
      <c r="AN1420" s="135"/>
      <c r="AO1420" s="70"/>
      <c r="AP1420" s="70"/>
      <c r="AQ1420" s="67"/>
      <c r="AR1420" s="67"/>
      <c r="AS1420" s="67"/>
      <c r="AT1420" s="67"/>
    </row>
    <row r="1421">
      <c r="A1421" s="76">
        <v>425.0</v>
      </c>
      <c r="B1421" s="302" t="s">
        <v>4145</v>
      </c>
      <c r="C1421" s="157" t="s">
        <v>636</v>
      </c>
      <c r="D1421" s="77"/>
      <c r="E1421" s="78" t="s">
        <v>10426</v>
      </c>
      <c r="F1421" s="80"/>
      <c r="G1421" s="77"/>
      <c r="H1421" s="77"/>
      <c r="I1421" s="146"/>
      <c r="J1421" s="109" t="s">
        <v>114</v>
      </c>
      <c r="K1421" s="118" t="s">
        <v>12523</v>
      </c>
      <c r="L1421" s="47" t="s">
        <v>12304</v>
      </c>
      <c r="M1421" s="85" t="s">
        <v>102</v>
      </c>
      <c r="N1421" s="86" t="s">
        <v>1124</v>
      </c>
      <c r="O1421" s="1015" t="s">
        <v>1126</v>
      </c>
      <c r="P1421" s="315">
        <v>27747.0</v>
      </c>
      <c r="Q1421" s="315">
        <f t="shared" si="196"/>
        <v>27747</v>
      </c>
      <c r="R1421" s="86">
        <f t="shared" si="197"/>
        <v>50</v>
      </c>
      <c r="S1421" s="315">
        <v>2.774621753E9</v>
      </c>
      <c r="T1421" s="315"/>
      <c r="U1421" s="76" t="s">
        <v>379</v>
      </c>
      <c r="V1421" s="76"/>
      <c r="W1421" s="76"/>
      <c r="X1421" s="97"/>
      <c r="Y1421" s="97"/>
      <c r="Z1421" s="97"/>
      <c r="AA1421" s="97"/>
      <c r="AB1421" s="97"/>
      <c r="AC1421" s="76" t="s">
        <v>12306</v>
      </c>
      <c r="AD1421" s="217">
        <v>46183.0</v>
      </c>
      <c r="AE1421" s="76"/>
      <c r="AF1421" s="76"/>
      <c r="AG1421" s="341" t="s">
        <v>1187</v>
      </c>
      <c r="AH1421" s="76" t="s">
        <v>12524</v>
      </c>
      <c r="AI1421" s="67"/>
      <c r="AJ1421" s="67"/>
      <c r="AK1421" s="70"/>
      <c r="AL1421" s="70"/>
      <c r="AM1421" s="135"/>
      <c r="AN1421" s="135"/>
      <c r="AO1421" s="70"/>
      <c r="AP1421" s="70"/>
      <c r="AQ1421" s="67"/>
      <c r="AR1421" s="67"/>
      <c r="AS1421" s="67"/>
      <c r="AT1421" s="67"/>
    </row>
    <row r="1422">
      <c r="A1422" s="76">
        <v>425.0</v>
      </c>
      <c r="B1422" s="302" t="s">
        <v>4145</v>
      </c>
      <c r="C1422" s="157" t="s">
        <v>636</v>
      </c>
      <c r="D1422" s="77"/>
      <c r="E1422" s="78" t="s">
        <v>10412</v>
      </c>
      <c r="F1422" s="80"/>
      <c r="G1422" s="77"/>
      <c r="H1422" s="77"/>
      <c r="I1422" s="87"/>
      <c r="J1422" s="76" t="s">
        <v>114</v>
      </c>
      <c r="K1422" s="76"/>
      <c r="L1422" s="47" t="s">
        <v>12304</v>
      </c>
      <c r="M1422" s="85" t="s">
        <v>102</v>
      </c>
      <c r="N1422" s="157" t="s">
        <v>10720</v>
      </c>
      <c r="O1422" s="1001" t="s">
        <v>10721</v>
      </c>
      <c r="P1422" s="523">
        <v>35244.0</v>
      </c>
      <c r="Q1422" s="315">
        <f t="shared" si="196"/>
        <v>1</v>
      </c>
      <c r="R1422" s="86">
        <f t="shared" si="197"/>
        <v>30</v>
      </c>
      <c r="S1422" s="76"/>
      <c r="T1422" s="315"/>
      <c r="U1422" s="76" t="s">
        <v>379</v>
      </c>
      <c r="V1422" s="76"/>
      <c r="W1422" s="76"/>
      <c r="X1422" s="76"/>
      <c r="Y1422" s="97"/>
      <c r="Z1422" s="344" t="s">
        <v>2506</v>
      </c>
      <c r="AA1422" s="76" t="s">
        <v>1178</v>
      </c>
      <c r="AB1422" s="97"/>
      <c r="AC1422" s="76" t="s">
        <v>12306</v>
      </c>
      <c r="AD1422" s="217">
        <v>46186.0</v>
      </c>
      <c r="AE1422" s="76"/>
      <c r="AF1422" s="76" t="s">
        <v>5238</v>
      </c>
      <c r="AG1422" s="76" t="s">
        <v>1187</v>
      </c>
      <c r="AH1422" s="76" t="s">
        <v>12524</v>
      </c>
      <c r="AI1422" s="67"/>
      <c r="AJ1422" s="67"/>
      <c r="AK1422" s="70"/>
      <c r="AL1422" s="70"/>
      <c r="AM1422" s="135"/>
      <c r="AN1422" s="135"/>
      <c r="AO1422" s="70"/>
      <c r="AP1422" s="70"/>
      <c r="AQ1422" s="67"/>
      <c r="AR1422" s="67"/>
      <c r="AS1422" s="67"/>
      <c r="AT1422" s="67"/>
    </row>
    <row r="1423">
      <c r="A1423" s="76">
        <v>425.0</v>
      </c>
      <c r="B1423" s="302" t="s">
        <v>4145</v>
      </c>
      <c r="C1423" s="157" t="s">
        <v>636</v>
      </c>
      <c r="D1423" s="77"/>
      <c r="E1423" s="78" t="s">
        <v>10412</v>
      </c>
      <c r="F1423" s="80"/>
      <c r="G1423" s="77"/>
      <c r="H1423" s="77"/>
      <c r="I1423" s="87"/>
      <c r="J1423" s="76" t="s">
        <v>114</v>
      </c>
      <c r="K1423" s="76"/>
      <c r="L1423" s="47" t="s">
        <v>12304</v>
      </c>
      <c r="M1423" s="85" t="s">
        <v>102</v>
      </c>
      <c r="N1423" s="157" t="s">
        <v>10348</v>
      </c>
      <c r="O1423" s="1001" t="s">
        <v>10349</v>
      </c>
      <c r="P1423" s="523">
        <v>30678.0</v>
      </c>
      <c r="Q1423" s="315">
        <f t="shared" si="196"/>
        <v>30678</v>
      </c>
      <c r="R1423" s="86">
        <f t="shared" si="197"/>
        <v>42</v>
      </c>
      <c r="S1423" s="76">
        <v>3.067700892E9</v>
      </c>
      <c r="T1423" s="315"/>
      <c r="U1423" s="76" t="s">
        <v>379</v>
      </c>
      <c r="V1423" s="76"/>
      <c r="W1423" s="76"/>
      <c r="X1423" s="76"/>
      <c r="Y1423" s="276"/>
      <c r="Z1423" s="216" t="s">
        <v>1173</v>
      </c>
      <c r="AA1423" s="76" t="s">
        <v>1178</v>
      </c>
      <c r="AB1423" s="97"/>
      <c r="AC1423" s="76" t="s">
        <v>12306</v>
      </c>
      <c r="AD1423" s="217">
        <v>46185.0</v>
      </c>
      <c r="AE1423" s="76"/>
      <c r="AF1423" s="76" t="s">
        <v>3601</v>
      </c>
      <c r="AG1423" s="27" t="s">
        <v>2194</v>
      </c>
      <c r="AH1423" s="76" t="s">
        <v>12524</v>
      </c>
      <c r="AI1423" s="67"/>
      <c r="AJ1423" s="67"/>
      <c r="AK1423" s="70"/>
      <c r="AL1423" s="70"/>
      <c r="AM1423" s="135"/>
      <c r="AN1423" s="135"/>
      <c r="AO1423" s="70"/>
      <c r="AP1423" s="70"/>
      <c r="AQ1423" s="67"/>
      <c r="AR1423" s="67"/>
      <c r="AS1423" s="67"/>
      <c r="AT1423" s="67"/>
    </row>
    <row r="1424">
      <c r="A1424" s="86"/>
      <c r="B1424" s="302" t="s">
        <v>4145</v>
      </c>
      <c r="C1424" s="1057" t="s">
        <v>12525</v>
      </c>
      <c r="D1424" s="76" t="s">
        <v>4264</v>
      </c>
      <c r="E1424" s="574">
        <v>46187.0</v>
      </c>
      <c r="F1424" s="762"/>
      <c r="G1424" s="762"/>
      <c r="H1424" s="762"/>
      <c r="I1424" s="762"/>
      <c r="J1424" s="76" t="s">
        <v>114</v>
      </c>
      <c r="K1424" s="176" t="s">
        <v>12526</v>
      </c>
      <c r="L1424" s="47" t="s">
        <v>12527</v>
      </c>
      <c r="M1424" s="211" t="s">
        <v>60</v>
      </c>
      <c r="N1424" s="157" t="s">
        <v>12528</v>
      </c>
      <c r="O1424" s="1001" t="s">
        <v>12529</v>
      </c>
      <c r="P1424" s="523">
        <v>30479.0</v>
      </c>
      <c r="Q1424" s="315">
        <f t="shared" si="196"/>
        <v>30479</v>
      </c>
      <c r="R1424" s="86">
        <f t="shared" si="197"/>
        <v>43</v>
      </c>
      <c r="S1424" s="76">
        <v>3.047824773E9</v>
      </c>
      <c r="T1424" s="76" t="s">
        <v>1426</v>
      </c>
      <c r="U1424" s="76" t="s">
        <v>379</v>
      </c>
      <c r="V1424" s="76"/>
      <c r="W1424" s="76"/>
      <c r="X1424" s="76"/>
      <c r="Y1424" s="97"/>
      <c r="Z1424" s="216" t="s">
        <v>4335</v>
      </c>
      <c r="AA1424" s="76" t="s">
        <v>1178</v>
      </c>
      <c r="AB1424" s="76"/>
      <c r="AC1424" s="76"/>
      <c r="AD1424" s="76"/>
      <c r="AE1424" s="76"/>
      <c r="AF1424" s="76" t="s">
        <v>1734</v>
      </c>
      <c r="AG1424" s="189"/>
      <c r="AH1424" s="76"/>
      <c r="AI1424" s="763"/>
      <c r="AJ1424" s="763"/>
      <c r="AK1424" s="763"/>
      <c r="AL1424" s="763"/>
      <c r="AM1424" s="763"/>
      <c r="AN1424" s="763"/>
      <c r="AO1424" s="763"/>
      <c r="AP1424" s="763"/>
      <c r="AQ1424" s="763"/>
      <c r="AR1424" s="763"/>
      <c r="AS1424" s="763"/>
      <c r="AT1424" s="763"/>
    </row>
    <row r="1425">
      <c r="A1425" s="76"/>
      <c r="B1425" s="302" t="s">
        <v>4145</v>
      </c>
      <c r="C1425" s="77" t="s">
        <v>12530</v>
      </c>
      <c r="D1425" s="77" t="s">
        <v>1519</v>
      </c>
      <c r="E1425" s="78" t="s">
        <v>187</v>
      </c>
      <c r="F1425" s="80" t="s">
        <v>1469</v>
      </c>
      <c r="G1425" s="77" t="s">
        <v>3043</v>
      </c>
      <c r="H1425" s="77" t="s">
        <v>60</v>
      </c>
      <c r="I1425" s="87" t="s">
        <v>1221</v>
      </c>
      <c r="J1425" s="76" t="s">
        <v>114</v>
      </c>
      <c r="K1425" s="176" t="s">
        <v>1602</v>
      </c>
      <c r="L1425" s="47" t="s">
        <v>12527</v>
      </c>
      <c r="M1425" s="211" t="s">
        <v>60</v>
      </c>
      <c r="N1425" s="157" t="s">
        <v>12531</v>
      </c>
      <c r="O1425" s="1001" t="s">
        <v>12532</v>
      </c>
      <c r="P1425" s="523">
        <v>36541.0</v>
      </c>
      <c r="Q1425" s="315"/>
      <c r="R1425" s="86">
        <f t="shared" si="197"/>
        <v>26</v>
      </c>
      <c r="S1425" s="76"/>
      <c r="T1425" s="76"/>
      <c r="U1425" s="76" t="s">
        <v>379</v>
      </c>
      <c r="V1425" s="76"/>
      <c r="W1425" s="76"/>
      <c r="X1425" s="76"/>
      <c r="Y1425" s="97"/>
      <c r="Z1425" s="290" t="s">
        <v>1755</v>
      </c>
      <c r="AA1425" s="76"/>
      <c r="AB1425" s="76"/>
      <c r="AC1425" s="76"/>
      <c r="AD1425" s="76"/>
      <c r="AE1425" s="76"/>
      <c r="AF1425" s="76" t="s">
        <v>2586</v>
      </c>
      <c r="AG1425" s="189"/>
      <c r="AH1425" s="76" t="s">
        <v>12533</v>
      </c>
      <c r="AI1425" s="67"/>
      <c r="AJ1425" s="67"/>
      <c r="AK1425" s="70"/>
      <c r="AL1425" s="70"/>
      <c r="AM1425" s="135"/>
      <c r="AN1425" s="135"/>
      <c r="AO1425" s="70"/>
      <c r="AP1425" s="70"/>
      <c r="AQ1425" s="67"/>
      <c r="AR1425" s="67"/>
      <c r="AS1425" s="67"/>
      <c r="AT1425" s="67"/>
    </row>
    <row r="1426">
      <c r="A1426" s="76"/>
      <c r="B1426" s="302" t="s">
        <v>4145</v>
      </c>
      <c r="C1426" s="77" t="s">
        <v>12534</v>
      </c>
      <c r="D1426" s="77" t="s">
        <v>1519</v>
      </c>
      <c r="E1426" s="78" t="s">
        <v>187</v>
      </c>
      <c r="F1426" s="80" t="s">
        <v>1469</v>
      </c>
      <c r="G1426" s="77" t="s">
        <v>2525</v>
      </c>
      <c r="H1426" s="77" t="s">
        <v>60</v>
      </c>
      <c r="I1426" s="87" t="s">
        <v>1221</v>
      </c>
      <c r="J1426" s="76" t="s">
        <v>114</v>
      </c>
      <c r="K1426" s="76"/>
      <c r="L1426" s="47" t="s">
        <v>12527</v>
      </c>
      <c r="M1426" s="211" t="s">
        <v>60</v>
      </c>
      <c r="N1426" s="386" t="s">
        <v>12535</v>
      </c>
      <c r="O1426" s="1001" t="s">
        <v>12536</v>
      </c>
      <c r="P1426" s="523">
        <v>34525.0</v>
      </c>
      <c r="Q1426" s="315">
        <f t="shared" ref="Q1426:Q1430" si="198">VALUE(LEFT(TEXT(S1426,0),5))+1</f>
        <v>34525</v>
      </c>
      <c r="R1426" s="86">
        <f t="shared" si="197"/>
        <v>32</v>
      </c>
      <c r="S1426" s="76">
        <v>3.452405196E9</v>
      </c>
      <c r="T1426" s="315" t="s">
        <v>378</v>
      </c>
      <c r="U1426" s="76" t="s">
        <v>379</v>
      </c>
      <c r="V1426" s="76"/>
      <c r="W1426" s="76"/>
      <c r="X1426" s="76"/>
      <c r="Y1426" s="276"/>
      <c r="Z1426" s="290" t="s">
        <v>1755</v>
      </c>
      <c r="AA1426" s="76" t="s">
        <v>1178</v>
      </c>
      <c r="AB1426" s="76"/>
      <c r="AC1426" s="76"/>
      <c r="AD1426" s="76"/>
      <c r="AE1426" s="76"/>
      <c r="AF1426" s="76" t="s">
        <v>5689</v>
      </c>
      <c r="AG1426" s="189"/>
      <c r="AH1426" s="76"/>
      <c r="AI1426" s="67"/>
      <c r="AJ1426" s="67"/>
      <c r="AK1426" s="70"/>
      <c r="AL1426" s="70"/>
      <c r="AM1426" s="135"/>
      <c r="AN1426" s="135"/>
      <c r="AO1426" s="70"/>
      <c r="AP1426" s="70"/>
      <c r="AQ1426" s="67"/>
      <c r="AR1426" s="67"/>
      <c r="AS1426" s="67"/>
      <c r="AT1426" s="67"/>
    </row>
    <row r="1427">
      <c r="A1427" s="76"/>
      <c r="B1427" s="302" t="s">
        <v>145</v>
      </c>
      <c r="C1427" s="77"/>
      <c r="D1427" s="77"/>
      <c r="E1427" s="76" t="s">
        <v>12537</v>
      </c>
      <c r="F1427" s="80"/>
      <c r="G1427" s="77"/>
      <c r="H1427" s="77"/>
      <c r="I1427" s="76"/>
      <c r="J1427" s="76" t="s">
        <v>114</v>
      </c>
      <c r="K1427" s="124"/>
      <c r="L1427" s="85"/>
      <c r="M1427" s="76" t="s">
        <v>60</v>
      </c>
      <c r="N1427" s="76" t="s">
        <v>12538</v>
      </c>
      <c r="O1427" s="27" t="s">
        <v>12539</v>
      </c>
      <c r="P1427" s="262">
        <v>29913.0</v>
      </c>
      <c r="Q1427" s="315">
        <f t="shared" si="198"/>
        <v>29913</v>
      </c>
      <c r="R1427" s="97">
        <f t="shared" si="197"/>
        <v>44</v>
      </c>
      <c r="S1427" s="76">
        <v>2.99120137E9</v>
      </c>
      <c r="T1427" s="76" t="s">
        <v>1317</v>
      </c>
      <c r="U1427" s="76" t="s">
        <v>379</v>
      </c>
      <c r="V1427" s="76"/>
      <c r="W1427" s="76"/>
      <c r="X1427" s="76" t="s">
        <v>145</v>
      </c>
      <c r="Y1427" s="276" t="s">
        <v>1836</v>
      </c>
      <c r="Z1427" s="85"/>
      <c r="AA1427" s="76"/>
      <c r="AB1427" s="76" t="s">
        <v>269</v>
      </c>
      <c r="AC1427" s="76" t="s">
        <v>2915</v>
      </c>
      <c r="AD1427" s="99"/>
      <c r="AE1427" s="76"/>
      <c r="AF1427" s="76"/>
      <c r="AG1427" s="76"/>
      <c r="AH1427" s="85" t="s">
        <v>12540</v>
      </c>
      <c r="AI1427" s="67"/>
      <c r="AJ1427" s="67"/>
      <c r="AK1427" s="70"/>
      <c r="AL1427" s="70"/>
      <c r="AM1427" s="135"/>
      <c r="AN1427" s="135"/>
      <c r="AO1427" s="70"/>
      <c r="AP1427" s="70"/>
      <c r="AQ1427" s="67"/>
      <c r="AR1427" s="67"/>
      <c r="AS1427" s="67"/>
      <c r="AT1427" s="67"/>
    </row>
    <row r="1428">
      <c r="A1428" s="76" t="s">
        <v>116</v>
      </c>
      <c r="B1428" s="77" t="s">
        <v>1039</v>
      </c>
      <c r="C1428" s="77" t="s">
        <v>1517</v>
      </c>
      <c r="D1428" s="77" t="s">
        <v>1494</v>
      </c>
      <c r="E1428" s="78" t="s">
        <v>139</v>
      </c>
      <c r="F1428" s="80" t="s">
        <v>1520</v>
      </c>
      <c r="G1428" s="77" t="s">
        <v>519</v>
      </c>
      <c r="H1428" s="77" t="s">
        <v>60</v>
      </c>
      <c r="I1428" s="87" t="s">
        <v>1221</v>
      </c>
      <c r="J1428" s="76" t="s">
        <v>114</v>
      </c>
      <c r="K1428" s="176" t="s">
        <v>12541</v>
      </c>
      <c r="L1428" s="76"/>
      <c r="M1428" s="76" t="s">
        <v>60</v>
      </c>
      <c r="N1428" s="1142" t="s">
        <v>3077</v>
      </c>
      <c r="O1428" s="76" t="s">
        <v>1021</v>
      </c>
      <c r="P1428" s="523">
        <v>27602.0</v>
      </c>
      <c r="Q1428" s="315">
        <f t="shared" si="198"/>
        <v>27602</v>
      </c>
      <c r="R1428" s="86">
        <f t="shared" si="197"/>
        <v>51</v>
      </c>
      <c r="S1428" s="76">
        <v>2.760115359E9</v>
      </c>
      <c r="T1428" s="315" t="s">
        <v>1317</v>
      </c>
      <c r="U1428" s="76" t="s">
        <v>379</v>
      </c>
      <c r="V1428" s="76"/>
      <c r="W1428" s="76"/>
      <c r="X1428" s="76"/>
      <c r="Y1428" s="97" t="s">
        <v>183</v>
      </c>
      <c r="Z1428" s="728" t="s">
        <v>2482</v>
      </c>
      <c r="AA1428" s="76" t="s">
        <v>1178</v>
      </c>
      <c r="AB1428" s="76"/>
      <c r="AC1428" s="76" t="s">
        <v>5062</v>
      </c>
      <c r="AD1428" s="99"/>
      <c r="AE1428" s="76"/>
      <c r="AF1428" s="76" t="s">
        <v>11025</v>
      </c>
      <c r="AG1428" s="76"/>
      <c r="AH1428" s="76" t="s">
        <v>11838</v>
      </c>
      <c r="AI1428" s="67"/>
      <c r="AJ1428" s="67"/>
      <c r="AK1428" s="70"/>
      <c r="AL1428" s="70"/>
      <c r="AM1428" s="135"/>
      <c r="AN1428" s="135"/>
      <c r="AO1428" s="70"/>
      <c r="AP1428" s="70"/>
      <c r="AQ1428" s="67"/>
      <c r="AR1428" s="67"/>
      <c r="AS1428" s="67"/>
      <c r="AT1428" s="67"/>
    </row>
    <row r="1429">
      <c r="A1429" s="76" t="s">
        <v>116</v>
      </c>
      <c r="B1429" s="77" t="s">
        <v>3307</v>
      </c>
      <c r="C1429" s="77" t="s">
        <v>121</v>
      </c>
      <c r="D1429" s="77" t="s">
        <v>121</v>
      </c>
      <c r="E1429" s="78" t="s">
        <v>170</v>
      </c>
      <c r="F1429" s="80" t="s">
        <v>9731</v>
      </c>
      <c r="G1429" s="77" t="s">
        <v>2052</v>
      </c>
      <c r="H1429" s="77" t="s">
        <v>143</v>
      </c>
      <c r="I1429" s="82" t="s">
        <v>135</v>
      </c>
      <c r="J1429" s="109" t="s">
        <v>114</v>
      </c>
      <c r="K1429" s="118" t="s">
        <v>12542</v>
      </c>
      <c r="L1429" s="76"/>
      <c r="M1429" s="1224" t="s">
        <v>360</v>
      </c>
      <c r="N1429" s="1014" t="s">
        <v>2047</v>
      </c>
      <c r="O1429" s="87" t="s">
        <v>2049</v>
      </c>
      <c r="P1429" s="1089">
        <v>27811.0</v>
      </c>
      <c r="Q1429" s="315">
        <f t="shared" si="198"/>
        <v>27811</v>
      </c>
      <c r="R1429" s="86">
        <f t="shared" si="197"/>
        <v>50</v>
      </c>
      <c r="S1429" s="315">
        <v>2.78101579E9</v>
      </c>
      <c r="T1429" s="315" t="s">
        <v>1317</v>
      </c>
      <c r="U1429" s="124" t="s">
        <v>165</v>
      </c>
      <c r="V1429" s="76" t="s">
        <v>262</v>
      </c>
      <c r="W1429" s="86"/>
      <c r="X1429" s="97"/>
      <c r="Y1429" s="97"/>
      <c r="Z1429" s="97"/>
      <c r="AA1429" s="97"/>
      <c r="AB1429" s="97"/>
      <c r="AC1429" s="97"/>
      <c r="AD1429" s="97"/>
      <c r="AE1429" s="76" t="s">
        <v>259</v>
      </c>
      <c r="AF1429" s="99"/>
      <c r="AG1429" s="112"/>
      <c r="AH1429" s="76" t="s">
        <v>1153</v>
      </c>
      <c r="AI1429" s="67"/>
      <c r="AJ1429" s="67"/>
      <c r="AK1429" s="70"/>
      <c r="AL1429" s="70"/>
      <c r="AM1429" s="135"/>
      <c r="AN1429" s="135"/>
      <c r="AO1429" s="70"/>
      <c r="AP1429" s="70"/>
      <c r="AQ1429" s="67"/>
      <c r="AR1429" s="67"/>
      <c r="AS1429" s="67"/>
      <c r="AT1429" s="67"/>
    </row>
    <row r="1430">
      <c r="A1430" s="76" t="s">
        <v>116</v>
      </c>
      <c r="B1430" s="77" t="s">
        <v>3423</v>
      </c>
      <c r="C1430" s="77" t="s">
        <v>9627</v>
      </c>
      <c r="D1430" s="77" t="s">
        <v>121</v>
      </c>
      <c r="E1430" s="78" t="s">
        <v>2015</v>
      </c>
      <c r="F1430" s="80" t="s">
        <v>9628</v>
      </c>
      <c r="G1430" s="77" t="s">
        <v>2023</v>
      </c>
      <c r="H1430" s="77" t="s">
        <v>102</v>
      </c>
      <c r="I1430" s="146" t="s">
        <v>408</v>
      </c>
      <c r="J1430" s="195" t="s">
        <v>114</v>
      </c>
      <c r="K1430" s="360" t="s">
        <v>12543</v>
      </c>
      <c r="L1430" s="76">
        <v>24.0</v>
      </c>
      <c r="M1430" s="195" t="s">
        <v>60</v>
      </c>
      <c r="N1430" s="189" t="s">
        <v>149</v>
      </c>
      <c r="O1430" s="195" t="s">
        <v>151</v>
      </c>
      <c r="P1430" s="1089">
        <v>29299.0</v>
      </c>
      <c r="Q1430" s="852">
        <f t="shared" si="198"/>
        <v>29299</v>
      </c>
      <c r="R1430" s="189">
        <f t="shared" si="197"/>
        <v>46</v>
      </c>
      <c r="S1430" s="315">
        <v>2.929820737E9</v>
      </c>
      <c r="T1430" s="315" t="s">
        <v>378</v>
      </c>
      <c r="U1430" s="363" t="s">
        <v>165</v>
      </c>
      <c r="V1430" s="189" t="s">
        <v>425</v>
      </c>
      <c r="W1430" s="194"/>
      <c r="X1430" s="194"/>
      <c r="Y1430" s="194"/>
      <c r="Z1430" s="194"/>
      <c r="AA1430" s="194"/>
      <c r="AB1430" s="189" t="s">
        <v>226</v>
      </c>
      <c r="AC1430" s="194"/>
      <c r="AD1430" s="722"/>
      <c r="AE1430" s="189" t="s">
        <v>259</v>
      </c>
      <c r="AF1430" s="195" t="s">
        <v>12544</v>
      </c>
      <c r="AG1430" s="194"/>
      <c r="AH1430" s="76" t="s">
        <v>12545</v>
      </c>
      <c r="AI1430" s="67"/>
      <c r="AJ1430" s="67"/>
      <c r="AK1430" s="70"/>
      <c r="AL1430" s="70"/>
      <c r="AM1430" s="135"/>
      <c r="AN1430" s="135"/>
      <c r="AO1430" s="70"/>
      <c r="AP1430" s="70"/>
      <c r="AQ1430" s="67"/>
      <c r="AR1430" s="67"/>
      <c r="AS1430" s="67"/>
      <c r="AT1430" s="67"/>
    </row>
    <row r="1431">
      <c r="A1431" s="76" t="s">
        <v>116</v>
      </c>
      <c r="B1431" s="77" t="s">
        <v>3898</v>
      </c>
      <c r="C1431" s="77" t="s">
        <v>8616</v>
      </c>
      <c r="D1431" s="77" t="s">
        <v>121</v>
      </c>
      <c r="E1431" s="78" t="s">
        <v>1536</v>
      </c>
      <c r="F1431" s="80" t="s">
        <v>3915</v>
      </c>
      <c r="G1431" s="77" t="s">
        <v>1963</v>
      </c>
      <c r="H1431" s="77" t="s">
        <v>60</v>
      </c>
      <c r="I1431" s="87" t="s">
        <v>1221</v>
      </c>
      <c r="J1431" s="76" t="s">
        <v>114</v>
      </c>
      <c r="K1431" s="85"/>
      <c r="L1431" s="85"/>
      <c r="M1431" s="85" t="s">
        <v>60</v>
      </c>
      <c r="N1431" s="332" t="s">
        <v>12546</v>
      </c>
      <c r="O1431" s="85"/>
      <c r="P1431" s="523"/>
      <c r="Q1431" s="86"/>
      <c r="R1431" s="86"/>
      <c r="S1431" s="315"/>
      <c r="T1431" s="315"/>
      <c r="U1431" s="76" t="s">
        <v>136</v>
      </c>
      <c r="V1431" s="86"/>
      <c r="W1431" s="76"/>
      <c r="X1431" s="76" t="s">
        <v>186</v>
      </c>
      <c r="Y1431" s="211" t="s">
        <v>2482</v>
      </c>
      <c r="Z1431" s="211"/>
      <c r="AA1431" s="97"/>
      <c r="AB1431" s="97"/>
      <c r="AC1431" s="97"/>
      <c r="AD1431" s="99"/>
      <c r="AE1431" s="76"/>
      <c r="AF1431" s="330">
        <v>45980.0</v>
      </c>
      <c r="AG1431" s="76" t="s">
        <v>759</v>
      </c>
      <c r="AH1431" s="153">
        <v>45998.0</v>
      </c>
      <c r="AI1431" s="67"/>
      <c r="AJ1431" s="67"/>
      <c r="AK1431" s="70"/>
      <c r="AL1431" s="70"/>
      <c r="AM1431" s="135"/>
      <c r="AN1431" s="135"/>
      <c r="AO1431" s="70"/>
      <c r="AP1431" s="70"/>
      <c r="AQ1431" s="67"/>
      <c r="AR1431" s="67"/>
      <c r="AS1431" s="67"/>
      <c r="AT1431" s="67"/>
    </row>
    <row r="1432">
      <c r="A1432" s="76" t="s">
        <v>116</v>
      </c>
      <c r="B1432" s="77" t="s">
        <v>1728</v>
      </c>
      <c r="C1432" s="77" t="s">
        <v>121</v>
      </c>
      <c r="D1432" s="77" t="s">
        <v>121</v>
      </c>
      <c r="E1432" s="78" t="s">
        <v>213</v>
      </c>
      <c r="F1432" s="80" t="s">
        <v>1523</v>
      </c>
      <c r="G1432" s="77" t="s">
        <v>1826</v>
      </c>
      <c r="H1432" s="77" t="s">
        <v>60</v>
      </c>
      <c r="I1432" s="87" t="s">
        <v>1221</v>
      </c>
      <c r="J1432" s="189" t="s">
        <v>114</v>
      </c>
      <c r="K1432" s="360" t="s">
        <v>12547</v>
      </c>
      <c r="L1432" s="189"/>
      <c r="M1432" s="195" t="s">
        <v>60</v>
      </c>
      <c r="N1432" s="1225" t="s">
        <v>10205</v>
      </c>
      <c r="O1432" s="429" t="s">
        <v>10206</v>
      </c>
      <c r="P1432" s="315">
        <v>36198.0</v>
      </c>
      <c r="Q1432" s="852">
        <f t="shared" ref="Q1432:Q1436" si="199">VALUE(LEFT(TEXT(S1432,0),5))+1</f>
        <v>36198</v>
      </c>
      <c r="R1432" s="189">
        <f t="shared" ref="R1432:R1433" si="200">DATEDIF($P1432,TODAY(),"Y")</f>
        <v>27</v>
      </c>
      <c r="S1432" s="189">
        <v>3.61970655E9</v>
      </c>
      <c r="T1432" s="189" t="s">
        <v>378</v>
      </c>
      <c r="U1432" s="363" t="s">
        <v>165</v>
      </c>
      <c r="V1432" s="189" t="s">
        <v>490</v>
      </c>
      <c r="W1432" s="194"/>
      <c r="X1432" s="194"/>
      <c r="Y1432" s="189" t="s">
        <v>371</v>
      </c>
      <c r="Z1432" s="435" t="s">
        <v>1815</v>
      </c>
      <c r="AA1432" s="189" t="s">
        <v>1178</v>
      </c>
      <c r="AB1432" s="76" t="s">
        <v>226</v>
      </c>
      <c r="AC1432" s="189" t="s">
        <v>1032</v>
      </c>
      <c r="AD1432" s="194"/>
      <c r="AE1432" s="189" t="s">
        <v>259</v>
      </c>
      <c r="AF1432" s="189" t="s">
        <v>12114</v>
      </c>
      <c r="AG1432" s="1226" t="s">
        <v>1187</v>
      </c>
      <c r="AH1432" s="1118" t="s">
        <v>12548</v>
      </c>
      <c r="AI1432" s="67"/>
      <c r="AJ1432" s="67"/>
      <c r="AK1432" s="70"/>
      <c r="AL1432" s="70"/>
      <c r="AM1432" s="135"/>
      <c r="AN1432" s="135"/>
      <c r="AO1432" s="70"/>
      <c r="AP1432" s="70"/>
      <c r="AQ1432" s="67"/>
      <c r="AR1432" s="67"/>
      <c r="AS1432" s="67"/>
      <c r="AT1432" s="67"/>
    </row>
    <row r="1433">
      <c r="A1433" s="76" t="s">
        <v>116</v>
      </c>
      <c r="B1433" s="77" t="s">
        <v>3722</v>
      </c>
      <c r="C1433" s="77" t="s">
        <v>7267</v>
      </c>
      <c r="D1433" s="77" t="s">
        <v>7134</v>
      </c>
      <c r="E1433" s="78" t="s">
        <v>152</v>
      </c>
      <c r="F1433" s="80" t="s">
        <v>7116</v>
      </c>
      <c r="G1433" s="77" t="s">
        <v>7475</v>
      </c>
      <c r="H1433" s="77" t="s">
        <v>60</v>
      </c>
      <c r="I1433" s="87" t="s">
        <v>1221</v>
      </c>
      <c r="J1433" s="76" t="s">
        <v>114</v>
      </c>
      <c r="K1433" s="124" t="s">
        <v>1602</v>
      </c>
      <c r="L1433" s="47"/>
      <c r="M1433" s="85" t="s">
        <v>60</v>
      </c>
      <c r="N1433" s="157" t="s">
        <v>8405</v>
      </c>
      <c r="O1433" s="76" t="s">
        <v>10659</v>
      </c>
      <c r="P1433" s="523">
        <v>33042.0</v>
      </c>
      <c r="Q1433" s="315">
        <f t="shared" si="199"/>
        <v>33042</v>
      </c>
      <c r="R1433" s="86">
        <f t="shared" si="200"/>
        <v>36</v>
      </c>
      <c r="S1433" s="76">
        <v>3.304111475E9</v>
      </c>
      <c r="T1433" s="315"/>
      <c r="U1433" s="76" t="s">
        <v>165</v>
      </c>
      <c r="V1433" s="76" t="s">
        <v>490</v>
      </c>
      <c r="W1433" s="76"/>
      <c r="X1433" s="76"/>
      <c r="Y1433" s="97"/>
      <c r="Z1433" s="216" t="s">
        <v>1815</v>
      </c>
      <c r="AA1433" s="76"/>
      <c r="AB1433" s="76" t="s">
        <v>226</v>
      </c>
      <c r="AC1433" s="76" t="s">
        <v>1032</v>
      </c>
      <c r="AD1433" s="217">
        <v>46189.0</v>
      </c>
      <c r="AE1433" s="76" t="s">
        <v>259</v>
      </c>
      <c r="AF1433" s="76"/>
      <c r="AG1433" s="76" t="s">
        <v>1187</v>
      </c>
      <c r="AH1433" s="76" t="s">
        <v>12549</v>
      </c>
      <c r="AI1433" s="67"/>
      <c r="AJ1433" s="67"/>
      <c r="AK1433" s="70"/>
      <c r="AL1433" s="70"/>
      <c r="AM1433" s="135"/>
      <c r="AN1433" s="135"/>
      <c r="AO1433" s="70"/>
      <c r="AP1433" s="70"/>
      <c r="AQ1433" s="67"/>
      <c r="AR1433" s="67"/>
      <c r="AS1433" s="67"/>
      <c r="AT1433" s="67"/>
    </row>
    <row r="1434">
      <c r="A1434" s="76" t="s">
        <v>116</v>
      </c>
      <c r="B1434" s="77" t="s">
        <v>3722</v>
      </c>
      <c r="C1434" s="77" t="s">
        <v>7267</v>
      </c>
      <c r="D1434" s="77" t="s">
        <v>7134</v>
      </c>
      <c r="E1434" s="78" t="s">
        <v>1431</v>
      </c>
      <c r="F1434" s="80" t="s">
        <v>1437</v>
      </c>
      <c r="G1434" s="77" t="s">
        <v>7423</v>
      </c>
      <c r="H1434" s="77" t="s">
        <v>60</v>
      </c>
      <c r="I1434" s="87" t="s">
        <v>1221</v>
      </c>
      <c r="J1434" s="76" t="s">
        <v>114</v>
      </c>
      <c r="K1434" s="124" t="s">
        <v>12550</v>
      </c>
      <c r="L1434" s="76"/>
      <c r="M1434" s="85" t="s">
        <v>60</v>
      </c>
      <c r="N1434" s="1100" t="s">
        <v>12551</v>
      </c>
      <c r="O1434" s="76" t="s">
        <v>12552</v>
      </c>
      <c r="P1434" s="153">
        <v>34182.0</v>
      </c>
      <c r="Q1434" s="315">
        <f t="shared" si="199"/>
        <v>1</v>
      </c>
      <c r="R1434" s="86"/>
      <c r="S1434" s="76"/>
      <c r="T1434" s="315"/>
      <c r="U1434" s="76" t="s">
        <v>136</v>
      </c>
      <c r="V1434" s="76"/>
      <c r="W1434" s="76"/>
      <c r="X1434" s="97"/>
      <c r="Y1434" s="76" t="s">
        <v>12553</v>
      </c>
      <c r="Z1434" s="278" t="s">
        <v>2090</v>
      </c>
      <c r="AA1434" s="97"/>
      <c r="AB1434" s="76" t="s">
        <v>192</v>
      </c>
      <c r="AC1434" s="76" t="s">
        <v>2915</v>
      </c>
      <c r="AD1434" s="76"/>
      <c r="AE1434" s="76"/>
      <c r="AF1434" s="76" t="s">
        <v>4767</v>
      </c>
      <c r="AG1434" s="189"/>
      <c r="AH1434" s="76" t="s">
        <v>10836</v>
      </c>
      <c r="AI1434" s="67"/>
      <c r="AJ1434" s="67"/>
      <c r="AK1434" s="70"/>
      <c r="AL1434" s="70"/>
      <c r="AM1434" s="135"/>
      <c r="AN1434" s="135"/>
      <c r="AO1434" s="70"/>
      <c r="AP1434" s="70"/>
      <c r="AQ1434" s="67"/>
      <c r="AR1434" s="67"/>
      <c r="AS1434" s="67"/>
      <c r="AT1434" s="67"/>
    </row>
    <row r="1435">
      <c r="A1435" s="76" t="s">
        <v>116</v>
      </c>
      <c r="B1435" s="77" t="s">
        <v>3722</v>
      </c>
      <c r="C1435" s="77" t="s">
        <v>121</v>
      </c>
      <c r="D1435" s="77" t="s">
        <v>121</v>
      </c>
      <c r="E1435" s="78" t="s">
        <v>5040</v>
      </c>
      <c r="F1435" s="80" t="s">
        <v>6937</v>
      </c>
      <c r="G1435" s="77" t="s">
        <v>6938</v>
      </c>
      <c r="H1435" s="77" t="s">
        <v>1144</v>
      </c>
      <c r="I1435" s="146" t="s">
        <v>408</v>
      </c>
      <c r="J1435" s="76" t="s">
        <v>114</v>
      </c>
      <c r="K1435" s="76"/>
      <c r="L1435" s="86"/>
      <c r="M1435" s="76" t="s">
        <v>360</v>
      </c>
      <c r="N1435" s="157" t="s">
        <v>12554</v>
      </c>
      <c r="O1435" s="85" t="s">
        <v>12552</v>
      </c>
      <c r="P1435" s="825">
        <v>32623.0</v>
      </c>
      <c r="Q1435" s="315">
        <f t="shared" si="199"/>
        <v>32623</v>
      </c>
      <c r="R1435" s="97">
        <f t="shared" ref="R1435:R1436" si="201">DATEDIF($P1435,TODAY(),"Y")</f>
        <v>37</v>
      </c>
      <c r="S1435" s="76">
        <v>3.262211231E9</v>
      </c>
      <c r="T1435" s="315"/>
      <c r="U1435" s="76" t="s">
        <v>379</v>
      </c>
      <c r="V1435" s="76"/>
      <c r="W1435" s="86"/>
      <c r="X1435" s="76"/>
      <c r="Y1435" s="97"/>
      <c r="Z1435" s="85"/>
      <c r="AA1435" s="97"/>
      <c r="AB1435" s="76" t="s">
        <v>192</v>
      </c>
      <c r="AC1435" s="76" t="s">
        <v>2915</v>
      </c>
      <c r="AD1435" s="99"/>
      <c r="AE1435" s="76"/>
      <c r="AF1435" s="76" t="s">
        <v>12555</v>
      </c>
      <c r="AG1435" s="1118" t="s">
        <v>12556</v>
      </c>
      <c r="AH1435" s="76" t="s">
        <v>12557</v>
      </c>
      <c r="AI1435" s="67"/>
      <c r="AJ1435" s="67"/>
      <c r="AK1435" s="70"/>
      <c r="AL1435" s="70"/>
      <c r="AM1435" s="135"/>
      <c r="AN1435" s="135"/>
      <c r="AO1435" s="70"/>
      <c r="AP1435" s="70"/>
      <c r="AQ1435" s="67"/>
      <c r="AR1435" s="67"/>
      <c r="AS1435" s="67"/>
      <c r="AT1435" s="67"/>
    </row>
    <row r="1436">
      <c r="A1436" s="76" t="s">
        <v>116</v>
      </c>
      <c r="B1436" s="77" t="s">
        <v>1709</v>
      </c>
      <c r="C1436" s="77" t="s">
        <v>1517</v>
      </c>
      <c r="D1436" s="77" t="s">
        <v>1368</v>
      </c>
      <c r="E1436" s="78" t="s">
        <v>139</v>
      </c>
      <c r="F1436" s="80" t="s">
        <v>1520</v>
      </c>
      <c r="G1436" s="77" t="s">
        <v>5932</v>
      </c>
      <c r="H1436" s="77" t="s">
        <v>60</v>
      </c>
      <c r="I1436" s="87" t="s">
        <v>1221</v>
      </c>
      <c r="J1436" s="76" t="s">
        <v>114</v>
      </c>
      <c r="K1436" s="124" t="s">
        <v>12558</v>
      </c>
      <c r="L1436" s="85"/>
      <c r="M1436" s="197" t="s">
        <v>60</v>
      </c>
      <c r="N1436" s="127" t="s">
        <v>12559</v>
      </c>
      <c r="O1436" s="85" t="s">
        <v>12560</v>
      </c>
      <c r="P1436" s="523">
        <v>29306.0</v>
      </c>
      <c r="Q1436" s="315" t="str">
        <f t="shared" si="199"/>
        <v>#VALUE!</v>
      </c>
      <c r="R1436" s="86">
        <f t="shared" si="201"/>
        <v>46</v>
      </c>
      <c r="S1436" s="76" t="s">
        <v>3642</v>
      </c>
      <c r="T1436" s="315"/>
      <c r="U1436" s="76" t="s">
        <v>136</v>
      </c>
      <c r="V1436" s="86"/>
      <c r="W1436" s="76"/>
      <c r="X1436" s="76"/>
      <c r="Y1436" s="76" t="s">
        <v>371</v>
      </c>
      <c r="Z1436" s="85" t="s">
        <v>2482</v>
      </c>
      <c r="AA1436" s="97"/>
      <c r="AB1436" s="97"/>
      <c r="AC1436" s="160" t="s">
        <v>630</v>
      </c>
      <c r="AD1436" s="99"/>
      <c r="AE1436" s="76"/>
      <c r="AF1436" s="330">
        <v>45980.0</v>
      </c>
      <c r="AG1436" s="315"/>
      <c r="AH1436" s="76" t="s">
        <v>6660</v>
      </c>
      <c r="AI1436" s="67"/>
      <c r="AJ1436" s="67"/>
      <c r="AK1436" s="70"/>
      <c r="AL1436" s="70"/>
      <c r="AM1436" s="135"/>
      <c r="AN1436" s="135"/>
      <c r="AO1436" s="70"/>
      <c r="AP1436" s="70"/>
      <c r="AQ1436" s="67"/>
      <c r="AR1436" s="67"/>
      <c r="AS1436" s="67"/>
      <c r="AT1436" s="67"/>
    </row>
    <row r="1437">
      <c r="A1437" s="76" t="s">
        <v>116</v>
      </c>
      <c r="B1437" s="77" t="s">
        <v>1645</v>
      </c>
      <c r="C1437" s="77" t="s">
        <v>1269</v>
      </c>
      <c r="D1437" s="77" t="s">
        <v>1494</v>
      </c>
      <c r="E1437" s="78" t="s">
        <v>58</v>
      </c>
      <c r="F1437" s="80" t="s">
        <v>1496</v>
      </c>
      <c r="G1437" s="77" t="s">
        <v>3806</v>
      </c>
      <c r="H1437" s="77" t="s">
        <v>60</v>
      </c>
      <c r="I1437" s="87" t="s">
        <v>1221</v>
      </c>
      <c r="J1437" s="85"/>
      <c r="K1437" s="76"/>
      <c r="L1437" s="47"/>
      <c r="M1437" s="211" t="s">
        <v>60</v>
      </c>
      <c r="N1437" s="996" t="s">
        <v>12561</v>
      </c>
      <c r="O1437" s="76"/>
      <c r="P1437" s="523"/>
      <c r="Q1437" s="315"/>
      <c r="R1437" s="86"/>
      <c r="S1437" s="76"/>
      <c r="T1437" s="76"/>
      <c r="U1437" s="76" t="s">
        <v>379</v>
      </c>
      <c r="V1437" s="86"/>
      <c r="W1437" s="86"/>
      <c r="X1437" s="97"/>
      <c r="Y1437" s="97"/>
      <c r="Z1437" s="97"/>
      <c r="AA1437" s="97"/>
      <c r="AB1437" s="97"/>
      <c r="AC1437" s="160" t="s">
        <v>630</v>
      </c>
      <c r="AD1437" s="76" t="s">
        <v>632</v>
      </c>
      <c r="AE1437" s="76" t="s">
        <v>632</v>
      </c>
      <c r="AF1437" s="160" t="s">
        <v>630</v>
      </c>
      <c r="AG1437" s="189"/>
      <c r="AH1437" s="112"/>
      <c r="AI1437" s="67"/>
      <c r="AJ1437" s="67"/>
      <c r="AK1437" s="70"/>
      <c r="AL1437" s="70"/>
      <c r="AM1437" s="135"/>
      <c r="AN1437" s="135"/>
      <c r="AO1437" s="70"/>
      <c r="AP1437" s="70"/>
      <c r="AQ1437" s="67"/>
      <c r="AR1437" s="67"/>
      <c r="AS1437" s="67"/>
      <c r="AT1437" s="67"/>
    </row>
    <row r="1438">
      <c r="A1438" s="76" t="s">
        <v>116</v>
      </c>
      <c r="B1438" s="77" t="s">
        <v>121</v>
      </c>
      <c r="C1438" s="77" t="s">
        <v>121</v>
      </c>
      <c r="D1438" s="77" t="s">
        <v>121</v>
      </c>
      <c r="E1438" s="78" t="s">
        <v>122</v>
      </c>
      <c r="F1438" s="80" t="s">
        <v>126</v>
      </c>
      <c r="G1438" s="77" t="s">
        <v>133</v>
      </c>
      <c r="H1438" s="77" t="s">
        <v>134</v>
      </c>
      <c r="I1438" s="82" t="s">
        <v>135</v>
      </c>
      <c r="J1438" s="109" t="s">
        <v>114</v>
      </c>
      <c r="K1438" s="118" t="s">
        <v>238</v>
      </c>
      <c r="L1438" s="85" t="s">
        <v>239</v>
      </c>
      <c r="M1438" s="87" t="s">
        <v>143</v>
      </c>
      <c r="N1438" s="76" t="s">
        <v>3658</v>
      </c>
      <c r="O1438" s="87" t="s">
        <v>12562</v>
      </c>
      <c r="P1438" s="1089">
        <v>33448.0</v>
      </c>
      <c r="Q1438" s="315">
        <f>VALUE(LEFT(TEXT(S1438,0),5))+1</f>
        <v>33448</v>
      </c>
      <c r="R1438" s="86">
        <f>DATEDIF($P1438,TODAY(),"Y")</f>
        <v>35</v>
      </c>
      <c r="S1438" s="86">
        <v>3.344720479E9</v>
      </c>
      <c r="T1438" s="315" t="s">
        <v>1426</v>
      </c>
      <c r="U1438" s="124" t="s">
        <v>165</v>
      </c>
      <c r="V1438" s="86" t="s">
        <v>166</v>
      </c>
      <c r="W1438" s="86"/>
      <c r="X1438" s="97"/>
      <c r="Y1438" s="97"/>
      <c r="Z1438" s="97"/>
      <c r="AA1438" s="97"/>
      <c r="AB1438" s="97"/>
      <c r="AC1438" s="97"/>
      <c r="AD1438" s="99"/>
      <c r="AE1438" s="76" t="s">
        <v>180</v>
      </c>
      <c r="AF1438" s="97"/>
      <c r="AG1438" s="76"/>
      <c r="AH1438" s="76" t="s">
        <v>1153</v>
      </c>
      <c r="AI1438" s="67"/>
      <c r="AJ1438" s="67"/>
      <c r="AK1438" s="101" t="s">
        <v>165</v>
      </c>
      <c r="AL1438" s="86" t="s">
        <v>166</v>
      </c>
      <c r="AM1438" s="102" t="s">
        <v>186</v>
      </c>
      <c r="AN1438" s="76" t="s">
        <v>188</v>
      </c>
      <c r="AO1438" s="106" t="s">
        <v>192</v>
      </c>
      <c r="AP1438" s="108" t="s">
        <v>197</v>
      </c>
      <c r="AQ1438" s="67"/>
      <c r="AR1438" s="67"/>
      <c r="AS1438" s="67"/>
      <c r="AT1438" s="67"/>
    </row>
    <row r="1439">
      <c r="A1439" s="76" t="s">
        <v>116</v>
      </c>
      <c r="B1439" s="77" t="s">
        <v>1039</v>
      </c>
      <c r="C1439" s="77" t="s">
        <v>121</v>
      </c>
      <c r="D1439" s="77" t="s">
        <v>121</v>
      </c>
      <c r="E1439" s="78" t="s">
        <v>1063</v>
      </c>
      <c r="F1439" s="80" t="s">
        <v>126</v>
      </c>
      <c r="G1439" s="77" t="s">
        <v>1067</v>
      </c>
      <c r="H1439" s="77" t="s">
        <v>143</v>
      </c>
      <c r="I1439" s="82" t="s">
        <v>135</v>
      </c>
      <c r="J1439" s="109"/>
      <c r="K1439" s="109"/>
      <c r="L1439" s="87"/>
      <c r="M1439" s="197" t="s">
        <v>36</v>
      </c>
      <c r="N1439" s="127" t="s">
        <v>12563</v>
      </c>
      <c r="O1439" s="132"/>
      <c r="P1439" s="1089"/>
      <c r="Q1439" s="315"/>
      <c r="R1439" s="86"/>
      <c r="S1439" s="86"/>
      <c r="T1439" s="315"/>
      <c r="U1439" s="102" t="s">
        <v>379</v>
      </c>
      <c r="V1439" s="86"/>
      <c r="W1439" s="86"/>
      <c r="X1439" s="97"/>
      <c r="Y1439" s="97"/>
      <c r="Z1439" s="97"/>
      <c r="AA1439" s="97"/>
      <c r="AB1439" s="97"/>
      <c r="AC1439" s="160" t="s">
        <v>630</v>
      </c>
      <c r="AD1439" s="76" t="s">
        <v>632</v>
      </c>
      <c r="AE1439" s="76" t="s">
        <v>632</v>
      </c>
      <c r="AF1439" s="160" t="s">
        <v>630</v>
      </c>
      <c r="AG1439" s="97"/>
      <c r="AH1439" s="209"/>
      <c r="AI1439" s="67"/>
      <c r="AJ1439" s="67"/>
      <c r="AK1439" s="67" t="s">
        <v>1080</v>
      </c>
      <c r="AL1439" s="70"/>
      <c r="AM1439" s="135"/>
      <c r="AN1439" s="97" t="s">
        <v>1081</v>
      </c>
      <c r="AO1439" s="70"/>
      <c r="AP1439" s="70"/>
      <c r="AQ1439" s="67"/>
      <c r="AR1439" s="67"/>
      <c r="AS1439" s="67"/>
      <c r="AT1439" s="67"/>
    </row>
    <row r="1440">
      <c r="A1440" s="76" t="s">
        <v>116</v>
      </c>
      <c r="B1440" s="77" t="s">
        <v>1645</v>
      </c>
      <c r="C1440" s="77" t="s">
        <v>1517</v>
      </c>
      <c r="D1440" s="77" t="s">
        <v>1494</v>
      </c>
      <c r="E1440" s="78" t="s">
        <v>213</v>
      </c>
      <c r="F1440" s="80" t="s">
        <v>1523</v>
      </c>
      <c r="G1440" s="77" t="s">
        <v>935</v>
      </c>
      <c r="H1440" s="77" t="s">
        <v>60</v>
      </c>
      <c r="I1440" s="87" t="s">
        <v>1221</v>
      </c>
      <c r="J1440" s="97" t="s">
        <v>114</v>
      </c>
      <c r="K1440" s="176" t="s">
        <v>12564</v>
      </c>
      <c r="L1440" s="76"/>
      <c r="M1440" s="85" t="s">
        <v>610</v>
      </c>
      <c r="N1440" s="256" t="s">
        <v>933</v>
      </c>
      <c r="O1440" s="76" t="s">
        <v>2435</v>
      </c>
      <c r="P1440" s="523">
        <v>29123.0</v>
      </c>
      <c r="Q1440" s="315">
        <f t="shared" ref="Q1440:Q1453" si="202">VALUE(LEFT(TEXT(S1440,0),5))+1</f>
        <v>29123</v>
      </c>
      <c r="R1440" s="97">
        <f t="shared" ref="R1440:R1453" si="203">DATEDIF($P1440,TODAY(),"Y")</f>
        <v>46</v>
      </c>
      <c r="S1440" s="76">
        <v>2.912223517E9</v>
      </c>
      <c r="T1440" s="76" t="s">
        <v>378</v>
      </c>
      <c r="U1440" s="76" t="s">
        <v>368</v>
      </c>
      <c r="V1440" s="76"/>
      <c r="W1440" s="76"/>
      <c r="X1440" s="76"/>
      <c r="Y1440" s="168"/>
      <c r="Z1440" s="216" t="s">
        <v>2155</v>
      </c>
      <c r="AA1440" s="341" t="s">
        <v>1178</v>
      </c>
      <c r="AB1440" s="97"/>
      <c r="AC1440" s="168"/>
      <c r="AD1440" s="235">
        <v>46172.0</v>
      </c>
      <c r="AE1440" s="76"/>
      <c r="AF1440" s="76"/>
      <c r="AG1440" s="76" t="s">
        <v>1187</v>
      </c>
      <c r="AH1440" s="153">
        <v>46228.0</v>
      </c>
      <c r="AI1440" s="67"/>
      <c r="AJ1440" s="67"/>
      <c r="AK1440" s="70"/>
      <c r="AL1440" s="70"/>
      <c r="AM1440" s="135"/>
      <c r="AN1440" s="135"/>
      <c r="AO1440" s="70"/>
      <c r="AP1440" s="70"/>
      <c r="AQ1440" s="67"/>
      <c r="AR1440" s="67"/>
      <c r="AS1440" s="67"/>
      <c r="AT1440" s="67"/>
    </row>
    <row r="1441">
      <c r="A1441" s="76" t="s">
        <v>116</v>
      </c>
      <c r="B1441" s="77" t="s">
        <v>1645</v>
      </c>
      <c r="C1441" s="77" t="s">
        <v>1611</v>
      </c>
      <c r="D1441" s="77" t="s">
        <v>1494</v>
      </c>
      <c r="E1441" s="78" t="s">
        <v>187</v>
      </c>
      <c r="F1441" s="80" t="s">
        <v>1469</v>
      </c>
      <c r="G1441" s="77" t="s">
        <v>1002</v>
      </c>
      <c r="H1441" s="77" t="s">
        <v>60</v>
      </c>
      <c r="I1441" s="87" t="s">
        <v>1221</v>
      </c>
      <c r="J1441" s="85" t="s">
        <v>114</v>
      </c>
      <c r="K1441" s="124" t="s">
        <v>12565</v>
      </c>
      <c r="L1441" s="76"/>
      <c r="M1441" s="85" t="s">
        <v>60</v>
      </c>
      <c r="N1441" s="256" t="s">
        <v>999</v>
      </c>
      <c r="O1441" s="76" t="s">
        <v>1000</v>
      </c>
      <c r="P1441" s="523">
        <v>33526.0</v>
      </c>
      <c r="Q1441" s="315">
        <f t="shared" si="202"/>
        <v>33526</v>
      </c>
      <c r="R1441" s="86">
        <f t="shared" si="203"/>
        <v>34</v>
      </c>
      <c r="S1441" s="76">
        <v>3.352514799E9</v>
      </c>
      <c r="T1441" s="86"/>
      <c r="U1441" s="76" t="s">
        <v>368</v>
      </c>
      <c r="V1441" s="76"/>
      <c r="W1441" s="76"/>
      <c r="X1441" s="76"/>
      <c r="Y1441" s="167"/>
      <c r="Z1441" s="176" t="s">
        <v>1460</v>
      </c>
      <c r="AA1441" s="168"/>
      <c r="AB1441" s="97"/>
      <c r="AC1441" s="168"/>
      <c r="AD1441" s="260"/>
      <c r="AE1441" s="76"/>
      <c r="AF1441" s="76"/>
      <c r="AG1441" s="76" t="s">
        <v>1187</v>
      </c>
      <c r="AH1441" s="153">
        <v>46171.0</v>
      </c>
      <c r="AI1441" s="67"/>
      <c r="AJ1441" s="67"/>
      <c r="AK1441" s="70"/>
      <c r="AL1441" s="70"/>
      <c r="AM1441" s="135"/>
      <c r="AN1441" s="135"/>
      <c r="AO1441" s="70"/>
      <c r="AP1441" s="70"/>
      <c r="AQ1441" s="67"/>
      <c r="AR1441" s="67"/>
      <c r="AS1441" s="67"/>
      <c r="AT1441" s="67"/>
    </row>
    <row r="1442">
      <c r="A1442" s="76" t="s">
        <v>116</v>
      </c>
      <c r="B1442" s="77" t="s">
        <v>1645</v>
      </c>
      <c r="C1442" s="77" t="s">
        <v>1611</v>
      </c>
      <c r="D1442" s="77" t="s">
        <v>1519</v>
      </c>
      <c r="E1442" s="78" t="s">
        <v>302</v>
      </c>
      <c r="F1442" s="80" t="s">
        <v>1404</v>
      </c>
      <c r="G1442" s="77" t="s">
        <v>1038</v>
      </c>
      <c r="H1442" s="77" t="s">
        <v>326</v>
      </c>
      <c r="I1442" s="87" t="s">
        <v>1221</v>
      </c>
      <c r="J1442" s="76" t="s">
        <v>114</v>
      </c>
      <c r="K1442" s="176" t="s">
        <v>12566</v>
      </c>
      <c r="L1442" s="85"/>
      <c r="M1442" s="85" t="s">
        <v>60</v>
      </c>
      <c r="N1442" s="287" t="s">
        <v>1034</v>
      </c>
      <c r="O1442" s="1227" t="s">
        <v>12567</v>
      </c>
      <c r="P1442" s="825">
        <v>34349.0</v>
      </c>
      <c r="Q1442" s="315">
        <f t="shared" si="202"/>
        <v>34349</v>
      </c>
      <c r="R1442" s="97">
        <f t="shared" si="203"/>
        <v>32</v>
      </c>
      <c r="S1442" s="76">
        <v>3.434809974E9</v>
      </c>
      <c r="T1442" s="315" t="s">
        <v>1317</v>
      </c>
      <c r="U1442" s="76" t="s">
        <v>136</v>
      </c>
      <c r="V1442" s="76"/>
      <c r="W1442" s="97"/>
      <c r="X1442" s="97"/>
      <c r="Y1442" s="97"/>
      <c r="Z1442" s="176" t="s">
        <v>1460</v>
      </c>
      <c r="AA1442" s="76"/>
      <c r="AB1442" s="97"/>
      <c r="AC1442" s="76"/>
      <c r="AD1442" s="99"/>
      <c r="AE1442" s="76"/>
      <c r="AF1442" s="76" t="s">
        <v>4767</v>
      </c>
      <c r="AG1442" s="76" t="s">
        <v>12568</v>
      </c>
      <c r="AH1442" s="76" t="s">
        <v>12347</v>
      </c>
      <c r="AI1442" s="67"/>
      <c r="AJ1442" s="67"/>
      <c r="AK1442" s="70"/>
      <c r="AL1442" s="70"/>
      <c r="AM1442" s="135"/>
      <c r="AN1442" s="135"/>
      <c r="AO1442" s="70"/>
      <c r="AP1442" s="70"/>
      <c r="AQ1442" s="67"/>
      <c r="AR1442" s="67"/>
      <c r="AS1442" s="67"/>
      <c r="AT1442" s="67"/>
    </row>
    <row r="1443">
      <c r="A1443" s="76" t="s">
        <v>116</v>
      </c>
      <c r="B1443" s="77" t="s">
        <v>1709</v>
      </c>
      <c r="C1443" s="77" t="s">
        <v>1517</v>
      </c>
      <c r="D1443" s="77" t="s">
        <v>1519</v>
      </c>
      <c r="E1443" s="78" t="s">
        <v>302</v>
      </c>
      <c r="F1443" s="80" t="s">
        <v>1404</v>
      </c>
      <c r="G1443" s="77" t="s">
        <v>6124</v>
      </c>
      <c r="H1443" s="77" t="s">
        <v>326</v>
      </c>
      <c r="I1443" s="87" t="s">
        <v>1221</v>
      </c>
      <c r="J1443" s="76" t="s">
        <v>114</v>
      </c>
      <c r="K1443" s="76" t="s">
        <v>12569</v>
      </c>
      <c r="L1443" s="76"/>
      <c r="M1443" s="85" t="s">
        <v>60</v>
      </c>
      <c r="N1443" s="678" t="s">
        <v>12570</v>
      </c>
      <c r="O1443" s="76" t="s">
        <v>1958</v>
      </c>
      <c r="P1443" s="523">
        <v>34261.0</v>
      </c>
      <c r="Q1443" s="315">
        <f t="shared" si="202"/>
        <v>34261</v>
      </c>
      <c r="R1443" s="86">
        <f t="shared" si="203"/>
        <v>32</v>
      </c>
      <c r="S1443" s="76">
        <v>3.426010897E9</v>
      </c>
      <c r="T1443" s="76"/>
      <c r="U1443" s="76" t="s">
        <v>368</v>
      </c>
      <c r="V1443" s="76"/>
      <c r="W1443" s="76"/>
      <c r="X1443" s="76"/>
      <c r="Y1443" s="97"/>
      <c r="Z1443" s="216" t="s">
        <v>1982</v>
      </c>
      <c r="AA1443" s="76" t="s">
        <v>1178</v>
      </c>
      <c r="AB1443" s="76"/>
      <c r="AC1443" s="76"/>
      <c r="AD1443" s="276"/>
      <c r="AE1443" s="76"/>
      <c r="AF1443" s="302" t="s">
        <v>12571</v>
      </c>
      <c r="AG1443" s="76" t="s">
        <v>1187</v>
      </c>
      <c r="AH1443" s="153">
        <v>46217.0</v>
      </c>
      <c r="AI1443" s="67"/>
      <c r="AJ1443" s="67"/>
      <c r="AK1443" s="70"/>
      <c r="AL1443" s="70"/>
      <c r="AM1443" s="135"/>
      <c r="AN1443" s="135"/>
      <c r="AO1443" s="70"/>
      <c r="AP1443" s="70"/>
      <c r="AQ1443" s="67"/>
      <c r="AR1443" s="67"/>
      <c r="AS1443" s="67"/>
      <c r="AT1443" s="67"/>
    </row>
    <row r="1444">
      <c r="A1444" s="76" t="s">
        <v>116</v>
      </c>
      <c r="B1444" s="77" t="s">
        <v>1433</v>
      </c>
      <c r="C1444" s="77" t="s">
        <v>121</v>
      </c>
      <c r="D1444" s="77" t="s">
        <v>121</v>
      </c>
      <c r="E1444" s="78" t="s">
        <v>331</v>
      </c>
      <c r="F1444" s="80" t="s">
        <v>7124</v>
      </c>
      <c r="G1444" s="77" t="s">
        <v>1684</v>
      </c>
      <c r="H1444" s="77" t="s">
        <v>60</v>
      </c>
      <c r="I1444" s="87" t="s">
        <v>1221</v>
      </c>
      <c r="J1444" s="1228" t="s">
        <v>114</v>
      </c>
      <c r="K1444" s="76"/>
      <c r="L1444" s="47"/>
      <c r="M1444" s="85" t="s">
        <v>12572</v>
      </c>
      <c r="N1444" s="256" t="s">
        <v>8385</v>
      </c>
      <c r="O1444" s="76" t="s">
        <v>7058</v>
      </c>
      <c r="P1444" s="523">
        <v>25594.0</v>
      </c>
      <c r="Q1444" s="315">
        <f t="shared" si="202"/>
        <v>25594</v>
      </c>
      <c r="R1444" s="86">
        <f t="shared" si="203"/>
        <v>56</v>
      </c>
      <c r="S1444" s="76">
        <v>2.559319338E9</v>
      </c>
      <c r="T1444" s="315"/>
      <c r="U1444" s="76" t="s">
        <v>368</v>
      </c>
      <c r="V1444" s="76"/>
      <c r="W1444" s="76"/>
      <c r="X1444" s="76"/>
      <c r="Y1444" s="97"/>
      <c r="Z1444" s="176" t="s">
        <v>991</v>
      </c>
      <c r="AA1444" s="76"/>
      <c r="AB1444" s="97"/>
      <c r="AC1444" s="76"/>
      <c r="AD1444" s="76"/>
      <c r="AE1444" s="76"/>
      <c r="AF1444" s="76" t="s">
        <v>12573</v>
      </c>
      <c r="AG1444" s="341" t="s">
        <v>1187</v>
      </c>
      <c r="AH1444" s="153">
        <v>46226.0</v>
      </c>
      <c r="AI1444" s="67"/>
      <c r="AJ1444" s="67"/>
      <c r="AK1444" s="70"/>
      <c r="AL1444" s="70"/>
      <c r="AM1444" s="135"/>
      <c r="AN1444" s="135"/>
      <c r="AO1444" s="70"/>
      <c r="AP1444" s="70"/>
      <c r="AQ1444" s="67"/>
      <c r="AR1444" s="67"/>
      <c r="AS1444" s="67"/>
      <c r="AT1444" s="67"/>
    </row>
    <row r="1445">
      <c r="A1445" s="76" t="s">
        <v>116</v>
      </c>
      <c r="B1445" s="77" t="s">
        <v>3423</v>
      </c>
      <c r="C1445" s="77" t="s">
        <v>3424</v>
      </c>
      <c r="D1445" s="77" t="s">
        <v>121</v>
      </c>
      <c r="E1445" s="78" t="s">
        <v>1536</v>
      </c>
      <c r="F1445" s="80" t="s">
        <v>9663</v>
      </c>
      <c r="G1445" s="77" t="s">
        <v>8880</v>
      </c>
      <c r="H1445" s="77" t="s">
        <v>326</v>
      </c>
      <c r="I1445" s="87" t="s">
        <v>1221</v>
      </c>
      <c r="J1445" s="76" t="s">
        <v>114</v>
      </c>
      <c r="K1445" s="76"/>
      <c r="L1445" s="86"/>
      <c r="M1445" s="86" t="s">
        <v>60</v>
      </c>
      <c r="N1445" s="256" t="s">
        <v>11334</v>
      </c>
      <c r="O1445" s="85" t="s">
        <v>3093</v>
      </c>
      <c r="P1445" s="825">
        <v>32631.0</v>
      </c>
      <c r="Q1445" s="315">
        <f t="shared" si="202"/>
        <v>32631</v>
      </c>
      <c r="R1445" s="97">
        <f t="shared" si="203"/>
        <v>37</v>
      </c>
      <c r="S1445" s="76">
        <v>3.263012593E9</v>
      </c>
      <c r="T1445" s="315"/>
      <c r="U1445" s="76" t="s">
        <v>368</v>
      </c>
      <c r="V1445" s="76"/>
      <c r="W1445" s="76"/>
      <c r="X1445" s="76"/>
      <c r="Y1445" s="97"/>
      <c r="Z1445" s="290" t="s">
        <v>1755</v>
      </c>
      <c r="AA1445" s="76" t="s">
        <v>1178</v>
      </c>
      <c r="AB1445" s="97"/>
      <c r="AC1445" s="97"/>
      <c r="AD1445" s="99"/>
      <c r="AE1445" s="76"/>
      <c r="AF1445" s="85"/>
      <c r="AG1445" s="76" t="s">
        <v>1187</v>
      </c>
      <c r="AH1445" s="262">
        <v>46226.0</v>
      </c>
      <c r="AI1445" s="67"/>
      <c r="AJ1445" s="67"/>
      <c r="AK1445" s="70"/>
      <c r="AL1445" s="70"/>
      <c r="AM1445" s="135"/>
      <c r="AN1445" s="135"/>
      <c r="AO1445" s="70"/>
      <c r="AP1445" s="70"/>
      <c r="AQ1445" s="67"/>
      <c r="AR1445" s="67"/>
      <c r="AS1445" s="67"/>
      <c r="AT1445" s="67"/>
    </row>
    <row r="1446">
      <c r="A1446" s="76" t="s">
        <v>116</v>
      </c>
      <c r="B1446" s="77" t="s">
        <v>3307</v>
      </c>
      <c r="C1446" s="77" t="s">
        <v>9878</v>
      </c>
      <c r="D1446" s="77" t="s">
        <v>121</v>
      </c>
      <c r="E1446" s="78" t="s">
        <v>786</v>
      </c>
      <c r="F1446" s="80" t="s">
        <v>1216</v>
      </c>
      <c r="G1446" s="77" t="s">
        <v>2132</v>
      </c>
      <c r="H1446" s="77" t="s">
        <v>60</v>
      </c>
      <c r="I1446" s="87" t="s">
        <v>1221</v>
      </c>
      <c r="J1446" s="195" t="s">
        <v>114</v>
      </c>
      <c r="K1446" s="363" t="s">
        <v>12574</v>
      </c>
      <c r="L1446" s="291">
        <v>10.0</v>
      </c>
      <c r="M1446" s="195" t="s">
        <v>60</v>
      </c>
      <c r="N1446" s="665" t="s">
        <v>8437</v>
      </c>
      <c r="O1446" s="189" t="s">
        <v>10356</v>
      </c>
      <c r="P1446" s="315">
        <v>35770.0</v>
      </c>
      <c r="Q1446" s="852">
        <f t="shared" si="202"/>
        <v>35770</v>
      </c>
      <c r="R1446" s="189">
        <f t="shared" si="203"/>
        <v>28</v>
      </c>
      <c r="S1446" s="189">
        <v>3.57690779E9</v>
      </c>
      <c r="T1446" s="1168"/>
      <c r="U1446" s="124" t="s">
        <v>368</v>
      </c>
      <c r="V1446" s="76"/>
      <c r="W1446" s="76"/>
      <c r="X1446" s="194"/>
      <c r="Y1446" s="194"/>
      <c r="Z1446" s="435" t="s">
        <v>1173</v>
      </c>
      <c r="AA1446" s="194"/>
      <c r="AB1446" s="194"/>
      <c r="AC1446" s="194"/>
      <c r="AD1446" s="986"/>
      <c r="AE1446" s="76"/>
      <c r="AF1446" s="194"/>
      <c r="AG1446" s="76" t="s">
        <v>1187</v>
      </c>
      <c r="AH1446" s="153">
        <v>46228.0</v>
      </c>
      <c r="AI1446" s="67"/>
      <c r="AJ1446" s="67"/>
      <c r="AK1446" s="70"/>
      <c r="AL1446" s="70"/>
      <c r="AM1446" s="135"/>
      <c r="AN1446" s="135"/>
      <c r="AO1446" s="70"/>
      <c r="AP1446" s="70"/>
      <c r="AQ1446" s="67"/>
      <c r="AR1446" s="67"/>
      <c r="AS1446" s="67"/>
      <c r="AT1446" s="67"/>
    </row>
    <row r="1447">
      <c r="A1447" s="76" t="s">
        <v>116</v>
      </c>
      <c r="B1447" s="77" t="s">
        <v>3454</v>
      </c>
      <c r="C1447" s="77" t="s">
        <v>7302</v>
      </c>
      <c r="D1447" s="77" t="s">
        <v>121</v>
      </c>
      <c r="E1447" s="78" t="s">
        <v>201</v>
      </c>
      <c r="F1447" s="80" t="s">
        <v>1849</v>
      </c>
      <c r="G1447" s="77" t="s">
        <v>2261</v>
      </c>
      <c r="H1447" s="77" t="s">
        <v>60</v>
      </c>
      <c r="I1447" s="87" t="s">
        <v>1221</v>
      </c>
      <c r="J1447" s="76" t="s">
        <v>114</v>
      </c>
      <c r="K1447" s="76" t="s">
        <v>12575</v>
      </c>
      <c r="L1447" s="47"/>
      <c r="M1447" s="109" t="s">
        <v>60</v>
      </c>
      <c r="N1447" s="678" t="s">
        <v>11295</v>
      </c>
      <c r="O1447" s="76" t="s">
        <v>11296</v>
      </c>
      <c r="P1447" s="153">
        <v>38074.0</v>
      </c>
      <c r="Q1447" s="315">
        <f t="shared" si="202"/>
        <v>38074</v>
      </c>
      <c r="R1447" s="86">
        <f t="shared" si="203"/>
        <v>22</v>
      </c>
      <c r="S1447" s="76">
        <v>3.80730983E9</v>
      </c>
      <c r="T1447" s="315"/>
      <c r="U1447" s="76" t="s">
        <v>368</v>
      </c>
      <c r="V1447" s="76"/>
      <c r="W1447" s="76"/>
      <c r="X1447" s="76"/>
      <c r="Y1447" s="276" t="s">
        <v>371</v>
      </c>
      <c r="Z1447" s="85"/>
      <c r="AA1447" s="76" t="s">
        <v>1178</v>
      </c>
      <c r="AB1447" s="76"/>
      <c r="AC1447" s="76"/>
      <c r="AD1447" s="76"/>
      <c r="AE1447" s="76"/>
      <c r="AF1447" s="76"/>
      <c r="AG1447" s="76" t="s">
        <v>1187</v>
      </c>
      <c r="AH1447" s="153">
        <v>46217.0</v>
      </c>
      <c r="AI1447" s="67"/>
      <c r="AJ1447" s="67"/>
      <c r="AK1447" s="70"/>
      <c r="AL1447" s="70"/>
      <c r="AM1447" s="135"/>
      <c r="AN1447" s="135"/>
      <c r="AO1447" s="70"/>
      <c r="AP1447" s="70"/>
      <c r="AQ1447" s="67"/>
      <c r="AR1447" s="67"/>
      <c r="AS1447" s="67"/>
      <c r="AT1447" s="67"/>
    </row>
    <row r="1448">
      <c r="A1448" s="76" t="s">
        <v>116</v>
      </c>
      <c r="B1448" s="77" t="s">
        <v>432</v>
      </c>
      <c r="C1448" s="77" t="s">
        <v>464</v>
      </c>
      <c r="D1448" s="77" t="s">
        <v>121</v>
      </c>
      <c r="E1448" s="78" t="s">
        <v>106</v>
      </c>
      <c r="F1448" s="80" t="s">
        <v>468</v>
      </c>
      <c r="G1448" s="77" t="s">
        <v>108</v>
      </c>
      <c r="H1448" s="77" t="s">
        <v>143</v>
      </c>
      <c r="I1448" s="82" t="s">
        <v>135</v>
      </c>
      <c r="J1448" s="97" t="s">
        <v>114</v>
      </c>
      <c r="K1448" s="118" t="s">
        <v>12576</v>
      </c>
      <c r="L1448" s="85" t="s">
        <v>239</v>
      </c>
      <c r="M1448" s="109" t="s">
        <v>102</v>
      </c>
      <c r="N1448" s="97" t="s">
        <v>103</v>
      </c>
      <c r="O1448" s="109" t="s">
        <v>104</v>
      </c>
      <c r="P1448" s="523">
        <v>32030.0</v>
      </c>
      <c r="Q1448" s="315">
        <f t="shared" si="202"/>
        <v>32030</v>
      </c>
      <c r="R1448" s="86">
        <f t="shared" si="203"/>
        <v>38</v>
      </c>
      <c r="S1448" s="315">
        <v>3.202916234E9</v>
      </c>
      <c r="T1448" s="315" t="s">
        <v>378</v>
      </c>
      <c r="U1448" s="443" t="s">
        <v>165</v>
      </c>
      <c r="V1448" s="97" t="s">
        <v>220</v>
      </c>
      <c r="W1448" s="86"/>
      <c r="X1448" s="97"/>
      <c r="Y1448" s="97"/>
      <c r="Z1448" s="97"/>
      <c r="AA1448" s="97"/>
      <c r="AB1448" s="97"/>
      <c r="AC1448" s="97" t="s">
        <v>9862</v>
      </c>
      <c r="AD1448" s="99"/>
      <c r="AE1448" s="76" t="s">
        <v>259</v>
      </c>
      <c r="AF1448" s="97"/>
      <c r="AG1448" s="112"/>
      <c r="AH1448" s="86"/>
      <c r="AI1448" s="67"/>
      <c r="AJ1448" s="67"/>
      <c r="AK1448" s="152" t="s">
        <v>487</v>
      </c>
      <c r="AL1448" s="86" t="s">
        <v>490</v>
      </c>
      <c r="AM1448" s="135"/>
      <c r="AN1448" s="97" t="s">
        <v>491</v>
      </c>
      <c r="AO1448" s="70"/>
      <c r="AP1448" s="70"/>
      <c r="AQ1448" s="67"/>
      <c r="AR1448" s="67"/>
      <c r="AS1448" s="67"/>
      <c r="AT1448" s="67"/>
    </row>
    <row r="1449">
      <c r="A1449" s="76" t="s">
        <v>116</v>
      </c>
      <c r="B1449" s="77" t="s">
        <v>432</v>
      </c>
      <c r="C1449" s="77" t="s">
        <v>797</v>
      </c>
      <c r="D1449" s="77" t="s">
        <v>849</v>
      </c>
      <c r="E1449" s="78" t="s">
        <v>570</v>
      </c>
      <c r="F1449" s="80" t="s">
        <v>868</v>
      </c>
      <c r="G1449" s="77" t="s">
        <v>870</v>
      </c>
      <c r="H1449" s="77" t="s">
        <v>504</v>
      </c>
      <c r="I1449" s="146" t="s">
        <v>408</v>
      </c>
      <c r="J1449" s="109" t="s">
        <v>114</v>
      </c>
      <c r="K1449" s="873" t="s">
        <v>12577</v>
      </c>
      <c r="L1449" s="85" t="s">
        <v>239</v>
      </c>
      <c r="M1449" s="698" t="s">
        <v>504</v>
      </c>
      <c r="N1449" s="699" t="s">
        <v>2678</v>
      </c>
      <c r="O1449" s="87" t="s">
        <v>2679</v>
      </c>
      <c r="P1449" s="1089">
        <v>26214.0</v>
      </c>
      <c r="Q1449" s="852">
        <f t="shared" si="202"/>
        <v>26214</v>
      </c>
      <c r="R1449" s="86">
        <f t="shared" si="203"/>
        <v>54</v>
      </c>
      <c r="S1449" s="315">
        <v>2.62131379E9</v>
      </c>
      <c r="T1449" s="754"/>
      <c r="U1449" s="124" t="s">
        <v>379</v>
      </c>
      <c r="V1449" s="97" t="s">
        <v>220</v>
      </c>
      <c r="W1449" s="183"/>
      <c r="X1449" s="184"/>
      <c r="Y1449" s="184"/>
      <c r="Z1449" s="184"/>
      <c r="AA1449" s="184"/>
      <c r="AB1449" s="184"/>
      <c r="AC1449" s="76" t="s">
        <v>389</v>
      </c>
      <c r="AD1449" s="185"/>
      <c r="AE1449" s="76" t="s">
        <v>389</v>
      </c>
      <c r="AF1449" s="185"/>
      <c r="AG1449" s="187"/>
      <c r="AH1449" s="184"/>
      <c r="AI1449" s="67"/>
      <c r="AJ1449" s="67"/>
      <c r="AK1449" s="70"/>
      <c r="AL1449" s="70"/>
      <c r="AM1449" s="135"/>
      <c r="AN1449" s="97" t="s">
        <v>901</v>
      </c>
      <c r="AO1449" s="70"/>
      <c r="AP1449" s="70"/>
      <c r="AQ1449" s="67"/>
      <c r="AR1449" s="67"/>
      <c r="AS1449" s="67"/>
      <c r="AT1449" s="67"/>
    </row>
    <row r="1450">
      <c r="A1450" s="76" t="s">
        <v>116</v>
      </c>
      <c r="B1450" s="77" t="s">
        <v>432</v>
      </c>
      <c r="C1450" s="77" t="s">
        <v>797</v>
      </c>
      <c r="D1450" s="77" t="s">
        <v>849</v>
      </c>
      <c r="E1450" s="78" t="s">
        <v>570</v>
      </c>
      <c r="F1450" s="80" t="s">
        <v>868</v>
      </c>
      <c r="G1450" s="77" t="s">
        <v>870</v>
      </c>
      <c r="H1450" s="77" t="s">
        <v>504</v>
      </c>
      <c r="I1450" s="146" t="s">
        <v>408</v>
      </c>
      <c r="J1450" s="195" t="s">
        <v>114</v>
      </c>
      <c r="K1450" s="124" t="s">
        <v>12578</v>
      </c>
      <c r="L1450" s="76" t="s">
        <v>239</v>
      </c>
      <c r="M1450" s="85" t="s">
        <v>102</v>
      </c>
      <c r="N1450" s="189" t="s">
        <v>1718</v>
      </c>
      <c r="O1450" s="189" t="s">
        <v>1720</v>
      </c>
      <c r="P1450" s="315">
        <v>31420.0</v>
      </c>
      <c r="Q1450" s="852">
        <f t="shared" si="202"/>
        <v>31420</v>
      </c>
      <c r="R1450" s="189">
        <f t="shared" si="203"/>
        <v>40</v>
      </c>
      <c r="S1450" s="189">
        <v>3.141912393E9</v>
      </c>
      <c r="T1450" s="194"/>
      <c r="U1450" s="124" t="s">
        <v>379</v>
      </c>
      <c r="V1450" s="76"/>
      <c r="W1450" s="194"/>
      <c r="X1450" s="194"/>
      <c r="Y1450" s="194"/>
      <c r="Z1450" s="435" t="s">
        <v>2155</v>
      </c>
      <c r="AA1450" s="194"/>
      <c r="AB1450" s="194"/>
      <c r="AC1450" s="76" t="s">
        <v>389</v>
      </c>
      <c r="AD1450" s="194"/>
      <c r="AE1450" s="76" t="s">
        <v>389</v>
      </c>
      <c r="AF1450" s="194"/>
      <c r="AG1450" s="194"/>
      <c r="AH1450" s="189" t="s">
        <v>12579</v>
      </c>
      <c r="AI1450" s="67"/>
      <c r="AJ1450" s="67"/>
      <c r="AK1450" s="70"/>
      <c r="AL1450" s="70"/>
      <c r="AM1450" s="135"/>
      <c r="AN1450" s="97" t="s">
        <v>291</v>
      </c>
      <c r="AO1450" s="70"/>
      <c r="AP1450" s="70"/>
      <c r="AQ1450" s="67"/>
      <c r="AR1450" s="67"/>
      <c r="AS1450" s="67"/>
      <c r="AT1450" s="67"/>
    </row>
    <row r="1451">
      <c r="A1451" s="76" t="s">
        <v>116</v>
      </c>
      <c r="B1451" s="77" t="s">
        <v>1039</v>
      </c>
      <c r="C1451" s="77" t="s">
        <v>121</v>
      </c>
      <c r="D1451" s="77" t="s">
        <v>121</v>
      </c>
      <c r="E1451" s="78" t="s">
        <v>786</v>
      </c>
      <c r="F1451" s="80" t="s">
        <v>1216</v>
      </c>
      <c r="G1451" s="77" t="s">
        <v>1218</v>
      </c>
      <c r="H1451" s="77" t="s">
        <v>60</v>
      </c>
      <c r="I1451" s="87" t="s">
        <v>1221</v>
      </c>
      <c r="J1451" s="76" t="s">
        <v>114</v>
      </c>
      <c r="K1451" s="176" t="s">
        <v>1602</v>
      </c>
      <c r="L1451" s="47" t="s">
        <v>239</v>
      </c>
      <c r="M1451" s="85" t="s">
        <v>60</v>
      </c>
      <c r="N1451" s="326" t="s">
        <v>8500</v>
      </c>
      <c r="O1451" s="76" t="s">
        <v>12580</v>
      </c>
      <c r="P1451" s="523">
        <v>34738.0</v>
      </c>
      <c r="Q1451" s="315">
        <f t="shared" si="202"/>
        <v>34738</v>
      </c>
      <c r="R1451" s="86">
        <f t="shared" si="203"/>
        <v>31</v>
      </c>
      <c r="S1451" s="76">
        <v>3.473713219E9</v>
      </c>
      <c r="T1451" s="315"/>
      <c r="U1451" s="76" t="s">
        <v>165</v>
      </c>
      <c r="V1451" s="76" t="s">
        <v>607</v>
      </c>
      <c r="W1451" s="76"/>
      <c r="X1451" s="76"/>
      <c r="Y1451" s="97"/>
      <c r="Z1451" s="216" t="s">
        <v>1815</v>
      </c>
      <c r="AA1451" s="76"/>
      <c r="AB1451" s="97"/>
      <c r="AC1451" s="76" t="s">
        <v>1566</v>
      </c>
      <c r="AD1451" s="76"/>
      <c r="AE1451" s="76" t="s">
        <v>795</v>
      </c>
      <c r="AF1451" s="76" t="s">
        <v>12581</v>
      </c>
      <c r="AG1451" s="189"/>
      <c r="AH1451" s="76"/>
      <c r="AI1451" s="67"/>
      <c r="AJ1451" s="67"/>
      <c r="AK1451" s="70"/>
      <c r="AL1451" s="70"/>
      <c r="AM1451" s="135"/>
      <c r="AN1451" s="135"/>
      <c r="AO1451" s="70"/>
      <c r="AP1451" s="70"/>
      <c r="AQ1451" s="67"/>
      <c r="AR1451" s="67"/>
      <c r="AS1451" s="67"/>
      <c r="AT1451" s="67"/>
    </row>
    <row r="1452">
      <c r="A1452" s="76" t="s">
        <v>116</v>
      </c>
      <c r="B1452" s="77" t="s">
        <v>1039</v>
      </c>
      <c r="C1452" s="77" t="s">
        <v>121</v>
      </c>
      <c r="D1452" s="77" t="s">
        <v>121</v>
      </c>
      <c r="E1452" s="78" t="s">
        <v>295</v>
      </c>
      <c r="F1452" s="80" t="s">
        <v>1241</v>
      </c>
      <c r="G1452" s="77" t="s">
        <v>1243</v>
      </c>
      <c r="H1452" s="77" t="s">
        <v>60</v>
      </c>
      <c r="I1452" s="87" t="s">
        <v>1221</v>
      </c>
      <c r="J1452" s="76" t="s">
        <v>114</v>
      </c>
      <c r="K1452" s="124" t="s">
        <v>12582</v>
      </c>
      <c r="L1452" s="76" t="s">
        <v>239</v>
      </c>
      <c r="M1452" s="85" t="s">
        <v>60</v>
      </c>
      <c r="N1452" s="76" t="s">
        <v>1853</v>
      </c>
      <c r="O1452" s="76" t="s">
        <v>1855</v>
      </c>
      <c r="P1452" s="523">
        <v>30318.0</v>
      </c>
      <c r="Q1452" s="315">
        <f t="shared" si="202"/>
        <v>30318</v>
      </c>
      <c r="R1452" s="97">
        <f t="shared" si="203"/>
        <v>43</v>
      </c>
      <c r="S1452" s="76">
        <v>3.031700719E9</v>
      </c>
      <c r="T1452" s="315" t="s">
        <v>1317</v>
      </c>
      <c r="U1452" s="76" t="s">
        <v>379</v>
      </c>
      <c r="V1452" s="76"/>
      <c r="W1452" s="97"/>
      <c r="X1452" s="76"/>
      <c r="Y1452" s="97" t="s">
        <v>1174</v>
      </c>
      <c r="Z1452" s="216" t="s">
        <v>2155</v>
      </c>
      <c r="AA1452" s="168"/>
      <c r="AB1452" s="97"/>
      <c r="AC1452" s="76" t="s">
        <v>389</v>
      </c>
      <c r="AD1452" s="168"/>
      <c r="AE1452" s="76" t="s">
        <v>389</v>
      </c>
      <c r="AF1452" s="76"/>
      <c r="AG1452" s="76"/>
      <c r="AH1452" s="97"/>
      <c r="AI1452" s="67"/>
      <c r="AJ1452" s="67"/>
      <c r="AK1452" s="70"/>
      <c r="AL1452" s="70"/>
      <c r="AM1452" s="135"/>
      <c r="AN1452" s="135"/>
      <c r="AO1452" s="70"/>
      <c r="AP1452" s="70"/>
      <c r="AQ1452" s="67"/>
      <c r="AR1452" s="67"/>
      <c r="AS1452" s="67"/>
      <c r="AT1452" s="67"/>
    </row>
    <row r="1453" ht="39.0" customHeight="1">
      <c r="A1453" s="76" t="s">
        <v>116</v>
      </c>
      <c r="B1453" s="77" t="s">
        <v>1039</v>
      </c>
      <c r="C1453" s="77" t="s">
        <v>1517</v>
      </c>
      <c r="D1453" s="77" t="s">
        <v>121</v>
      </c>
      <c r="E1453" s="78" t="s">
        <v>119</v>
      </c>
      <c r="F1453" s="80" t="s">
        <v>1295</v>
      </c>
      <c r="G1453" s="77" t="s">
        <v>120</v>
      </c>
      <c r="H1453" s="77" t="s">
        <v>504</v>
      </c>
      <c r="I1453" s="146" t="s">
        <v>408</v>
      </c>
      <c r="J1453" s="109" t="s">
        <v>114</v>
      </c>
      <c r="K1453" s="124" t="s">
        <v>12583</v>
      </c>
      <c r="L1453" s="85" t="s">
        <v>239</v>
      </c>
      <c r="M1453" s="87" t="s">
        <v>102</v>
      </c>
      <c r="N1453" s="86" t="s">
        <v>117</v>
      </c>
      <c r="O1453" s="87" t="s">
        <v>118</v>
      </c>
      <c r="P1453" s="1089">
        <v>31418.0</v>
      </c>
      <c r="Q1453" s="315">
        <f t="shared" si="202"/>
        <v>31418</v>
      </c>
      <c r="R1453" s="86">
        <f t="shared" si="203"/>
        <v>40</v>
      </c>
      <c r="S1453" s="315" t="s">
        <v>12584</v>
      </c>
      <c r="T1453" s="315" t="s">
        <v>378</v>
      </c>
      <c r="U1453" s="372" t="s">
        <v>165</v>
      </c>
      <c r="V1453" s="76" t="s">
        <v>425</v>
      </c>
      <c r="W1453" s="97"/>
      <c r="X1453" s="97"/>
      <c r="Y1453" s="86"/>
      <c r="Z1453" s="86"/>
      <c r="AA1453" s="86"/>
      <c r="AB1453" s="97"/>
      <c r="AC1453" s="76"/>
      <c r="AD1453" s="86"/>
      <c r="AE1453" s="76" t="s">
        <v>389</v>
      </c>
      <c r="AF1453" s="209"/>
      <c r="AG1453" s="76" t="s">
        <v>3781</v>
      </c>
      <c r="AH1453" s="153">
        <v>46010.0</v>
      </c>
      <c r="AI1453" s="67"/>
      <c r="AJ1453" s="67"/>
      <c r="AK1453" s="70"/>
      <c r="AL1453" s="70"/>
      <c r="AM1453" s="135"/>
      <c r="AN1453" s="135"/>
      <c r="AO1453" s="70"/>
      <c r="AP1453" s="70"/>
      <c r="AQ1453" s="67"/>
      <c r="AR1453" s="67"/>
      <c r="AS1453" s="67"/>
      <c r="AT1453" s="67"/>
    </row>
    <row r="1454">
      <c r="A1454" s="76" t="s">
        <v>116</v>
      </c>
      <c r="B1454" s="77" t="s">
        <v>1039</v>
      </c>
      <c r="C1454" s="77" t="s">
        <v>1517</v>
      </c>
      <c r="D1454" s="77" t="s">
        <v>1494</v>
      </c>
      <c r="E1454" s="78" t="s">
        <v>139</v>
      </c>
      <c r="F1454" s="80" t="s">
        <v>1520</v>
      </c>
      <c r="G1454" s="77" t="s">
        <v>519</v>
      </c>
      <c r="H1454" s="77" t="s">
        <v>60</v>
      </c>
      <c r="I1454" s="87" t="s">
        <v>1221</v>
      </c>
      <c r="J1454" s="76"/>
      <c r="K1454" s="85"/>
      <c r="L1454" s="76"/>
      <c r="M1454" s="211" t="s">
        <v>60</v>
      </c>
      <c r="N1454" s="211" t="s">
        <v>12585</v>
      </c>
      <c r="O1454" s="76"/>
      <c r="P1454" s="523"/>
      <c r="Q1454" s="315"/>
      <c r="R1454" s="86"/>
      <c r="S1454" s="76"/>
      <c r="T1454" s="315"/>
      <c r="U1454" s="291" t="s">
        <v>379</v>
      </c>
      <c r="V1454" s="86"/>
      <c r="W1454" s="97"/>
      <c r="X1454" s="97"/>
      <c r="Y1454" s="226"/>
      <c r="Z1454" s="226"/>
      <c r="AA1454" s="226"/>
      <c r="AB1454" s="97"/>
      <c r="AC1454" s="160" t="s">
        <v>630</v>
      </c>
      <c r="AD1454" s="76" t="s">
        <v>632</v>
      </c>
      <c r="AE1454" s="76"/>
      <c r="AF1454" s="160" t="s">
        <v>630</v>
      </c>
      <c r="AG1454" s="76"/>
      <c r="AH1454" s="76" t="s">
        <v>4012</v>
      </c>
      <c r="AI1454" s="67"/>
      <c r="AJ1454" s="67"/>
      <c r="AK1454" s="70"/>
      <c r="AL1454" s="70"/>
      <c r="AM1454" s="135"/>
      <c r="AN1454" s="135"/>
      <c r="AO1454" s="70"/>
      <c r="AP1454" s="70"/>
      <c r="AQ1454" s="67"/>
      <c r="AR1454" s="67"/>
      <c r="AS1454" s="67"/>
      <c r="AT1454" s="67"/>
    </row>
    <row r="1455">
      <c r="A1455" s="76" t="s">
        <v>116</v>
      </c>
      <c r="B1455" s="77" t="s">
        <v>1039</v>
      </c>
      <c r="C1455" s="77" t="s">
        <v>1611</v>
      </c>
      <c r="D1455" s="77" t="s">
        <v>1368</v>
      </c>
      <c r="E1455" s="78" t="s">
        <v>178</v>
      </c>
      <c r="F1455" s="80" t="s">
        <v>1369</v>
      </c>
      <c r="G1455" s="77" t="s">
        <v>2656</v>
      </c>
      <c r="H1455" s="77" t="s">
        <v>102</v>
      </c>
      <c r="I1455" s="146" t="s">
        <v>408</v>
      </c>
      <c r="J1455" s="87" t="s">
        <v>114</v>
      </c>
      <c r="K1455" s="118" t="s">
        <v>12586</v>
      </c>
      <c r="L1455" s="85" t="s">
        <v>239</v>
      </c>
      <c r="M1455" s="85" t="s">
        <v>102</v>
      </c>
      <c r="N1455" s="86" t="s">
        <v>2774</v>
      </c>
      <c r="O1455" s="87" t="s">
        <v>2775</v>
      </c>
      <c r="P1455" s="825">
        <v>32088.0</v>
      </c>
      <c r="Q1455" s="315">
        <f>VALUE(LEFT(TEXT(S1455,0),5))+1</f>
        <v>32088</v>
      </c>
      <c r="R1455" s="86">
        <f>DATEDIF($P1455,TODAY(),"Y")</f>
        <v>38</v>
      </c>
      <c r="S1455" s="315">
        <v>3.208704115E9</v>
      </c>
      <c r="T1455" s="315" t="s">
        <v>1362</v>
      </c>
      <c r="U1455" s="443" t="s">
        <v>165</v>
      </c>
      <c r="V1455" s="76" t="s">
        <v>607</v>
      </c>
      <c r="W1455" s="86"/>
      <c r="X1455" s="76"/>
      <c r="Y1455" s="86"/>
      <c r="Z1455" s="86"/>
      <c r="AA1455" s="86"/>
      <c r="AB1455" s="97"/>
      <c r="AC1455" s="86" t="s">
        <v>1566</v>
      </c>
      <c r="AD1455" s="99"/>
      <c r="AE1455" s="76" t="s">
        <v>311</v>
      </c>
      <c r="AF1455" s="85" t="s">
        <v>12587</v>
      </c>
      <c r="AG1455" s="76"/>
      <c r="AH1455" s="86"/>
      <c r="AI1455" s="67"/>
      <c r="AJ1455" s="67"/>
      <c r="AK1455" s="70"/>
      <c r="AL1455" s="70"/>
      <c r="AM1455" s="135"/>
      <c r="AN1455" s="135"/>
      <c r="AO1455" s="70"/>
      <c r="AP1455" s="70"/>
      <c r="AQ1455" s="67"/>
      <c r="AR1455" s="67"/>
      <c r="AS1455" s="67"/>
      <c r="AT1455" s="67"/>
    </row>
    <row r="1456">
      <c r="A1456" s="76" t="s">
        <v>116</v>
      </c>
      <c r="B1456" s="77" t="s">
        <v>1039</v>
      </c>
      <c r="C1456" s="77" t="s">
        <v>1611</v>
      </c>
      <c r="D1456" s="77" t="s">
        <v>1494</v>
      </c>
      <c r="E1456" s="78" t="s">
        <v>213</v>
      </c>
      <c r="F1456" s="80" t="s">
        <v>1523</v>
      </c>
      <c r="G1456" s="77" t="s">
        <v>2939</v>
      </c>
      <c r="H1456" s="77" t="s">
        <v>60</v>
      </c>
      <c r="I1456" s="87" t="s">
        <v>1221</v>
      </c>
      <c r="J1456" s="76"/>
      <c r="K1456" s="76"/>
      <c r="L1456" s="85"/>
      <c r="M1456" s="211" t="s">
        <v>326</v>
      </c>
      <c r="N1456" s="159" t="s">
        <v>12588</v>
      </c>
      <c r="O1456" s="76"/>
      <c r="P1456" s="523"/>
      <c r="Q1456" s="315"/>
      <c r="R1456" s="97"/>
      <c r="S1456" s="76"/>
      <c r="T1456" s="1167"/>
      <c r="U1456" s="76" t="s">
        <v>379</v>
      </c>
      <c r="V1456" s="86"/>
      <c r="W1456" s="97"/>
      <c r="X1456" s="97"/>
      <c r="Y1456" s="97"/>
      <c r="Z1456" s="97"/>
      <c r="AA1456" s="97"/>
      <c r="AB1456" s="97"/>
      <c r="AC1456" s="160" t="s">
        <v>630</v>
      </c>
      <c r="AD1456" s="76" t="s">
        <v>632</v>
      </c>
      <c r="AE1456" s="76" t="s">
        <v>632</v>
      </c>
      <c r="AF1456" s="160" t="s">
        <v>630</v>
      </c>
      <c r="AG1456" s="112"/>
      <c r="AH1456" s="112"/>
      <c r="AI1456" s="67"/>
      <c r="AJ1456" s="67"/>
      <c r="AK1456" s="70"/>
      <c r="AL1456" s="70"/>
      <c r="AM1456" s="135"/>
      <c r="AN1456" s="135"/>
      <c r="AO1456" s="70"/>
      <c r="AP1456" s="70"/>
      <c r="AQ1456" s="67"/>
      <c r="AR1456" s="67"/>
      <c r="AS1456" s="67"/>
      <c r="AT1456" s="67"/>
    </row>
    <row r="1457">
      <c r="A1457" s="76" t="s">
        <v>116</v>
      </c>
      <c r="B1457" s="77" t="s">
        <v>1039</v>
      </c>
      <c r="C1457" s="77" t="s">
        <v>1611</v>
      </c>
      <c r="D1457" s="77" t="s">
        <v>1519</v>
      </c>
      <c r="E1457" s="78" t="s">
        <v>58</v>
      </c>
      <c r="F1457" s="80" t="s">
        <v>1496</v>
      </c>
      <c r="G1457" s="77" t="s">
        <v>703</v>
      </c>
      <c r="H1457" s="77" t="s">
        <v>60</v>
      </c>
      <c r="I1457" s="87" t="s">
        <v>1221</v>
      </c>
      <c r="J1457" s="109" t="s">
        <v>114</v>
      </c>
      <c r="K1457" s="118" t="s">
        <v>12589</v>
      </c>
      <c r="L1457" s="85" t="s">
        <v>239</v>
      </c>
      <c r="M1457" s="109" t="s">
        <v>60</v>
      </c>
      <c r="N1457" s="97" t="s">
        <v>246</v>
      </c>
      <c r="O1457" s="109" t="s">
        <v>247</v>
      </c>
      <c r="P1457" s="1089">
        <v>30975.0</v>
      </c>
      <c r="Q1457" s="315">
        <f t="shared" ref="Q1457:Q1461" si="204">VALUE(LEFT(TEXT(S1457,0),5))+1</f>
        <v>30975</v>
      </c>
      <c r="R1457" s="86">
        <f t="shared" ref="R1457:R1461" si="205">DATEDIF($P1457,TODAY(),"Y")</f>
        <v>41</v>
      </c>
      <c r="S1457" s="315">
        <v>3.097405218E9</v>
      </c>
      <c r="T1457" s="315" t="s">
        <v>1479</v>
      </c>
      <c r="U1457" s="372" t="s">
        <v>165</v>
      </c>
      <c r="V1457" s="76" t="s">
        <v>425</v>
      </c>
      <c r="W1457" s="86"/>
      <c r="X1457" s="97"/>
      <c r="Y1457" s="97"/>
      <c r="Z1457" s="97"/>
      <c r="AA1457" s="97"/>
      <c r="AB1457" s="97"/>
      <c r="AC1457" s="97"/>
      <c r="AD1457" s="99"/>
      <c r="AE1457" s="76" t="s">
        <v>795</v>
      </c>
      <c r="AF1457" s="99"/>
      <c r="AG1457" s="112"/>
      <c r="AH1457" s="97"/>
      <c r="AI1457" s="67"/>
      <c r="AJ1457" s="67"/>
      <c r="AK1457" s="70"/>
      <c r="AL1457" s="70"/>
      <c r="AM1457" s="135"/>
      <c r="AN1457" s="135"/>
      <c r="AO1457" s="70"/>
      <c r="AP1457" s="70"/>
      <c r="AQ1457" s="67"/>
      <c r="AR1457" s="67"/>
      <c r="AS1457" s="67"/>
      <c r="AT1457" s="67"/>
    </row>
    <row r="1458">
      <c r="A1458" s="76" t="s">
        <v>116</v>
      </c>
      <c r="B1458" s="77" t="s">
        <v>1039</v>
      </c>
      <c r="C1458" s="77" t="s">
        <v>1728</v>
      </c>
      <c r="D1458" s="77" t="s">
        <v>121</v>
      </c>
      <c r="E1458" s="78" t="s">
        <v>178</v>
      </c>
      <c r="F1458" s="80" t="s">
        <v>3247</v>
      </c>
      <c r="G1458" s="77" t="s">
        <v>712</v>
      </c>
      <c r="H1458" s="77" t="s">
        <v>102</v>
      </c>
      <c r="I1458" s="146" t="s">
        <v>408</v>
      </c>
      <c r="J1458" s="85" t="s">
        <v>114</v>
      </c>
      <c r="K1458" s="124" t="s">
        <v>12590</v>
      </c>
      <c r="L1458" s="85" t="s">
        <v>239</v>
      </c>
      <c r="M1458" s="85" t="s">
        <v>102</v>
      </c>
      <c r="N1458" s="76" t="s">
        <v>1082</v>
      </c>
      <c r="O1458" s="76" t="s">
        <v>1083</v>
      </c>
      <c r="P1458" s="523">
        <v>33808.0</v>
      </c>
      <c r="Q1458" s="315">
        <f t="shared" si="204"/>
        <v>33808</v>
      </c>
      <c r="R1458" s="86">
        <f t="shared" si="205"/>
        <v>34</v>
      </c>
      <c r="S1458" s="76">
        <v>3.380704699E9</v>
      </c>
      <c r="T1458" s="86"/>
      <c r="U1458" s="76" t="s">
        <v>165</v>
      </c>
      <c r="V1458" s="76" t="s">
        <v>546</v>
      </c>
      <c r="W1458" s="97"/>
      <c r="X1458" s="97"/>
      <c r="Y1458" s="168"/>
      <c r="Z1458" s="176" t="s">
        <v>1460</v>
      </c>
      <c r="AA1458" s="168"/>
      <c r="AB1458" s="97"/>
      <c r="AC1458" s="168"/>
      <c r="AD1458" s="168"/>
      <c r="AE1458" s="76" t="s">
        <v>259</v>
      </c>
      <c r="AF1458" s="76"/>
      <c r="AG1458" s="76"/>
      <c r="AH1458" s="97"/>
      <c r="AI1458" s="67"/>
      <c r="AJ1458" s="67"/>
      <c r="AK1458" s="70"/>
      <c r="AL1458" s="70"/>
      <c r="AM1458" s="135"/>
      <c r="AN1458" s="135"/>
      <c r="AO1458" s="70"/>
      <c r="AP1458" s="70"/>
      <c r="AQ1458" s="67"/>
      <c r="AR1458" s="67"/>
      <c r="AS1458" s="67"/>
      <c r="AT1458" s="67"/>
    </row>
    <row r="1459">
      <c r="A1459" s="76" t="s">
        <v>116</v>
      </c>
      <c r="B1459" s="77" t="s">
        <v>1039</v>
      </c>
      <c r="C1459" s="77" t="s">
        <v>1728</v>
      </c>
      <c r="D1459" s="77" t="s">
        <v>121</v>
      </c>
      <c r="E1459" s="78" t="s">
        <v>178</v>
      </c>
      <c r="F1459" s="80" t="s">
        <v>3247</v>
      </c>
      <c r="G1459" s="77" t="s">
        <v>712</v>
      </c>
      <c r="H1459" s="77" t="s">
        <v>102</v>
      </c>
      <c r="I1459" s="146" t="s">
        <v>408</v>
      </c>
      <c r="J1459" s="97" t="s">
        <v>114</v>
      </c>
      <c r="K1459" s="176" t="s">
        <v>8366</v>
      </c>
      <c r="L1459" s="85" t="s">
        <v>239</v>
      </c>
      <c r="M1459" s="85" t="s">
        <v>102</v>
      </c>
      <c r="N1459" s="76" t="s">
        <v>8367</v>
      </c>
      <c r="O1459" s="76" t="s">
        <v>8368</v>
      </c>
      <c r="P1459" s="1135">
        <v>34421.0</v>
      </c>
      <c r="Q1459" s="315">
        <f t="shared" si="204"/>
        <v>34421</v>
      </c>
      <c r="R1459" s="86">
        <f t="shared" si="205"/>
        <v>32</v>
      </c>
      <c r="S1459" s="315">
        <v>3.442002655E9</v>
      </c>
      <c r="T1459" s="315" t="s">
        <v>1317</v>
      </c>
      <c r="U1459" s="76" t="s">
        <v>165</v>
      </c>
      <c r="V1459" s="76" t="s">
        <v>546</v>
      </c>
      <c r="W1459" s="184"/>
      <c r="X1459" s="97"/>
      <c r="Y1459" s="97" t="s">
        <v>1174</v>
      </c>
      <c r="Z1459" s="289" t="s">
        <v>1725</v>
      </c>
      <c r="AA1459" s="341"/>
      <c r="AB1459" s="97"/>
      <c r="AC1459" s="168"/>
      <c r="AD1459" s="168"/>
      <c r="AE1459" s="76" t="s">
        <v>389</v>
      </c>
      <c r="AF1459" s="76"/>
      <c r="AG1459" s="76"/>
      <c r="AH1459" s="153"/>
      <c r="AI1459" s="67"/>
      <c r="AJ1459" s="67"/>
      <c r="AK1459" s="70"/>
      <c r="AL1459" s="70"/>
      <c r="AM1459" s="135"/>
      <c r="AN1459" s="135"/>
      <c r="AO1459" s="70"/>
      <c r="AP1459" s="70"/>
      <c r="AQ1459" s="67"/>
      <c r="AR1459" s="67"/>
      <c r="AS1459" s="67"/>
      <c r="AT1459" s="67"/>
    </row>
    <row r="1460">
      <c r="A1460" s="76" t="s">
        <v>116</v>
      </c>
      <c r="B1460" s="77" t="s">
        <v>1039</v>
      </c>
      <c r="C1460" s="77" t="s">
        <v>1728</v>
      </c>
      <c r="D1460" s="77" t="s">
        <v>121</v>
      </c>
      <c r="E1460" s="78" t="s">
        <v>201</v>
      </c>
      <c r="F1460" s="80" t="s">
        <v>1849</v>
      </c>
      <c r="G1460" s="77" t="s">
        <v>722</v>
      </c>
      <c r="H1460" s="77" t="s">
        <v>60</v>
      </c>
      <c r="I1460" s="87" t="s">
        <v>1221</v>
      </c>
      <c r="J1460" s="109" t="s">
        <v>114</v>
      </c>
      <c r="K1460" s="118" t="s">
        <v>12591</v>
      </c>
      <c r="L1460" s="85" t="s">
        <v>239</v>
      </c>
      <c r="M1460" s="87" t="s">
        <v>60</v>
      </c>
      <c r="N1460" s="85" t="s">
        <v>1553</v>
      </c>
      <c r="O1460" s="87" t="s">
        <v>912</v>
      </c>
      <c r="P1460" s="825">
        <v>30051.0</v>
      </c>
      <c r="Q1460" s="315">
        <f t="shared" si="204"/>
        <v>30051</v>
      </c>
      <c r="R1460" s="86">
        <f t="shared" si="205"/>
        <v>44</v>
      </c>
      <c r="S1460" s="315">
        <v>3.005003117E9</v>
      </c>
      <c r="T1460" s="315" t="s">
        <v>1317</v>
      </c>
      <c r="U1460" s="124" t="s">
        <v>165</v>
      </c>
      <c r="V1460" s="76" t="s">
        <v>607</v>
      </c>
      <c r="W1460" s="86"/>
      <c r="X1460" s="97"/>
      <c r="Y1460" s="97"/>
      <c r="Z1460" s="97"/>
      <c r="AA1460" s="97"/>
      <c r="AB1460" s="97"/>
      <c r="AC1460" s="97" t="s">
        <v>1566</v>
      </c>
      <c r="AD1460" s="99"/>
      <c r="AE1460" s="76" t="s">
        <v>311</v>
      </c>
      <c r="AF1460" s="76" t="s">
        <v>12592</v>
      </c>
      <c r="AG1460" s="76"/>
      <c r="AH1460" s="86"/>
      <c r="AI1460" s="67"/>
      <c r="AJ1460" s="428"/>
      <c r="AK1460" s="70"/>
      <c r="AL1460" s="70"/>
      <c r="AM1460" s="135"/>
      <c r="AN1460" s="135"/>
      <c r="AO1460" s="70"/>
      <c r="AP1460" s="70"/>
      <c r="AQ1460" s="67"/>
      <c r="AR1460" s="67"/>
      <c r="AS1460" s="67"/>
      <c r="AT1460" s="67"/>
    </row>
    <row r="1461">
      <c r="A1461" s="76" t="s">
        <v>116</v>
      </c>
      <c r="B1461" s="77" t="s">
        <v>1645</v>
      </c>
      <c r="C1461" s="77" t="s">
        <v>1269</v>
      </c>
      <c r="D1461" s="77" t="s">
        <v>1368</v>
      </c>
      <c r="E1461" s="78" t="s">
        <v>178</v>
      </c>
      <c r="F1461" s="80" t="s">
        <v>1369</v>
      </c>
      <c r="G1461" s="77" t="s">
        <v>794</v>
      </c>
      <c r="H1461" s="77" t="s">
        <v>102</v>
      </c>
      <c r="I1461" s="146" t="s">
        <v>408</v>
      </c>
      <c r="J1461" s="109" t="s">
        <v>114</v>
      </c>
      <c r="K1461" s="118" t="s">
        <v>12593</v>
      </c>
      <c r="L1461" s="85" t="s">
        <v>239</v>
      </c>
      <c r="M1461" s="85" t="s">
        <v>102</v>
      </c>
      <c r="N1461" s="97" t="s">
        <v>2765</v>
      </c>
      <c r="O1461" s="109" t="s">
        <v>2766</v>
      </c>
      <c r="P1461" s="1089">
        <v>33835.0</v>
      </c>
      <c r="Q1461" s="315">
        <f t="shared" si="204"/>
        <v>33835</v>
      </c>
      <c r="R1461" s="86">
        <f t="shared" si="205"/>
        <v>34</v>
      </c>
      <c r="S1461" s="315">
        <v>3.383412174E9</v>
      </c>
      <c r="T1461" s="315" t="s">
        <v>378</v>
      </c>
      <c r="U1461" s="124" t="s">
        <v>165</v>
      </c>
      <c r="V1461" s="76" t="s">
        <v>607</v>
      </c>
      <c r="W1461" s="86"/>
      <c r="X1461" s="97"/>
      <c r="Y1461" s="97"/>
      <c r="Z1461" s="97"/>
      <c r="AA1461" s="97"/>
      <c r="AB1461" s="97"/>
      <c r="AC1461" s="97" t="s">
        <v>1566</v>
      </c>
      <c r="AD1461" s="99"/>
      <c r="AE1461" s="76" t="s">
        <v>311</v>
      </c>
      <c r="AF1461" s="76"/>
      <c r="AG1461" s="76"/>
      <c r="AH1461" s="97"/>
      <c r="AI1461" s="67"/>
      <c r="AJ1461" s="67"/>
      <c r="AK1461" s="70"/>
      <c r="AL1461" s="70"/>
      <c r="AM1461" s="135"/>
      <c r="AN1461" s="135"/>
      <c r="AO1461" s="70"/>
      <c r="AP1461" s="70"/>
      <c r="AQ1461" s="67"/>
      <c r="AR1461" s="67"/>
      <c r="AS1461" s="67"/>
      <c r="AT1461" s="67"/>
    </row>
    <row r="1462">
      <c r="A1462" s="76" t="s">
        <v>116</v>
      </c>
      <c r="B1462" s="77" t="s">
        <v>1645</v>
      </c>
      <c r="C1462" s="77" t="s">
        <v>1269</v>
      </c>
      <c r="D1462" s="77" t="s">
        <v>1494</v>
      </c>
      <c r="E1462" s="78" t="s">
        <v>302</v>
      </c>
      <c r="F1462" s="80" t="s">
        <v>1404</v>
      </c>
      <c r="G1462" s="77" t="s">
        <v>838</v>
      </c>
      <c r="H1462" s="77" t="s">
        <v>326</v>
      </c>
      <c r="I1462" s="87" t="s">
        <v>1221</v>
      </c>
      <c r="J1462" s="85"/>
      <c r="K1462" s="76"/>
      <c r="L1462" s="76"/>
      <c r="M1462" s="158" t="s">
        <v>60</v>
      </c>
      <c r="N1462" s="996" t="s">
        <v>5082</v>
      </c>
      <c r="O1462" s="76"/>
      <c r="P1462" s="523"/>
      <c r="Q1462" s="315"/>
      <c r="R1462" s="86"/>
      <c r="S1462" s="76"/>
      <c r="T1462" s="86"/>
      <c r="U1462" s="76" t="s">
        <v>379</v>
      </c>
      <c r="V1462" s="86"/>
      <c r="W1462" s="86"/>
      <c r="X1462" s="97"/>
      <c r="Y1462" s="97"/>
      <c r="Z1462" s="97"/>
      <c r="AA1462" s="97"/>
      <c r="AB1462" s="97"/>
      <c r="AC1462" s="160" t="s">
        <v>630</v>
      </c>
      <c r="AD1462" s="76" t="s">
        <v>632</v>
      </c>
      <c r="AE1462" s="76" t="s">
        <v>632</v>
      </c>
      <c r="AF1462" s="160" t="s">
        <v>630</v>
      </c>
      <c r="AG1462" s="76"/>
      <c r="AH1462" s="85" t="s">
        <v>4012</v>
      </c>
      <c r="AI1462" s="67"/>
      <c r="AJ1462" s="67"/>
      <c r="AK1462" s="70"/>
      <c r="AL1462" s="70"/>
      <c r="AM1462" s="135"/>
      <c r="AN1462" s="135"/>
      <c r="AO1462" s="70"/>
      <c r="AP1462" s="70"/>
      <c r="AQ1462" s="67"/>
      <c r="AR1462" s="67"/>
      <c r="AS1462" s="67"/>
      <c r="AT1462" s="67"/>
    </row>
    <row r="1463">
      <c r="A1463" s="76" t="s">
        <v>116</v>
      </c>
      <c r="B1463" s="77" t="s">
        <v>1645</v>
      </c>
      <c r="C1463" s="77" t="s">
        <v>1269</v>
      </c>
      <c r="D1463" s="77" t="s">
        <v>1494</v>
      </c>
      <c r="E1463" s="78" t="s">
        <v>58</v>
      </c>
      <c r="F1463" s="80" t="s">
        <v>1496</v>
      </c>
      <c r="G1463" s="77" t="s">
        <v>3806</v>
      </c>
      <c r="H1463" s="77" t="s">
        <v>60</v>
      </c>
      <c r="I1463" s="87" t="s">
        <v>1221</v>
      </c>
      <c r="J1463" s="85"/>
      <c r="K1463" s="76"/>
      <c r="L1463" s="47"/>
      <c r="M1463" s="211" t="s">
        <v>60</v>
      </c>
      <c r="N1463" s="996" t="s">
        <v>12594</v>
      </c>
      <c r="O1463" s="76"/>
      <c r="P1463" s="523"/>
      <c r="Q1463" s="315"/>
      <c r="R1463" s="86"/>
      <c r="S1463" s="76"/>
      <c r="T1463" s="76"/>
      <c r="U1463" s="76" t="s">
        <v>379</v>
      </c>
      <c r="V1463" s="86"/>
      <c r="W1463" s="86"/>
      <c r="X1463" s="97"/>
      <c r="Y1463" s="97"/>
      <c r="Z1463" s="97"/>
      <c r="AA1463" s="97"/>
      <c r="AB1463" s="97"/>
      <c r="AC1463" s="160" t="s">
        <v>630</v>
      </c>
      <c r="AD1463" s="76" t="s">
        <v>632</v>
      </c>
      <c r="AE1463" s="76" t="s">
        <v>632</v>
      </c>
      <c r="AF1463" s="160" t="s">
        <v>630</v>
      </c>
      <c r="AG1463" s="189"/>
      <c r="AH1463" s="112"/>
      <c r="AI1463" s="67"/>
      <c r="AJ1463" s="67"/>
      <c r="AK1463" s="70"/>
      <c r="AL1463" s="70"/>
      <c r="AM1463" s="135"/>
      <c r="AN1463" s="135"/>
      <c r="AO1463" s="70"/>
      <c r="AP1463" s="70"/>
      <c r="AQ1463" s="67"/>
      <c r="AR1463" s="67"/>
      <c r="AS1463" s="67"/>
      <c r="AT1463" s="67"/>
    </row>
    <row r="1464">
      <c r="A1464" s="76" t="s">
        <v>116</v>
      </c>
      <c r="B1464" s="77" t="s">
        <v>1645</v>
      </c>
      <c r="C1464" s="77" t="s">
        <v>1269</v>
      </c>
      <c r="D1464" s="77" t="s">
        <v>1519</v>
      </c>
      <c r="E1464" s="78" t="s">
        <v>213</v>
      </c>
      <c r="F1464" s="80" t="s">
        <v>1523</v>
      </c>
      <c r="G1464" s="77" t="s">
        <v>885</v>
      </c>
      <c r="H1464" s="77" t="s">
        <v>60</v>
      </c>
      <c r="I1464" s="87" t="s">
        <v>1221</v>
      </c>
      <c r="J1464" s="76" t="s">
        <v>114</v>
      </c>
      <c r="K1464" s="176" t="s">
        <v>12595</v>
      </c>
      <c r="L1464" s="47"/>
      <c r="M1464" s="85" t="s">
        <v>60</v>
      </c>
      <c r="N1464" s="678" t="s">
        <v>10934</v>
      </c>
      <c r="O1464" s="76" t="s">
        <v>10935</v>
      </c>
      <c r="P1464" s="523">
        <v>26486.0</v>
      </c>
      <c r="Q1464" s="315">
        <f t="shared" ref="Q1464:Q1467" si="206">VALUE(LEFT(TEXT(S1464,0),5))+1</f>
        <v>26486</v>
      </c>
      <c r="R1464" s="86">
        <f t="shared" ref="R1464:R1467" si="207">DATEDIF($P1464,TODAY(),"Y")</f>
        <v>54</v>
      </c>
      <c r="S1464" s="76">
        <v>2.648522033E9</v>
      </c>
      <c r="T1464" s="76" t="s">
        <v>1317</v>
      </c>
      <c r="U1464" s="76" t="s">
        <v>368</v>
      </c>
      <c r="V1464" s="76"/>
      <c r="W1464" s="76"/>
      <c r="X1464" s="76"/>
      <c r="Y1464" s="276"/>
      <c r="Z1464" s="216" t="s">
        <v>1173</v>
      </c>
      <c r="AA1464" s="76"/>
      <c r="AB1464" s="97"/>
      <c r="AC1464" s="76"/>
      <c r="AD1464" s="76"/>
      <c r="AE1464" s="76"/>
      <c r="AF1464" s="76" t="s">
        <v>3601</v>
      </c>
      <c r="AG1464" s="341" t="s">
        <v>1187</v>
      </c>
      <c r="AH1464" s="153">
        <v>46188.0</v>
      </c>
      <c r="AI1464" s="67"/>
      <c r="AJ1464" s="67"/>
      <c r="AK1464" s="70"/>
      <c r="AL1464" s="70"/>
      <c r="AM1464" s="135"/>
      <c r="AN1464" s="135"/>
      <c r="AO1464" s="70"/>
      <c r="AP1464" s="70"/>
      <c r="AQ1464" s="67"/>
      <c r="AR1464" s="67"/>
      <c r="AS1464" s="67"/>
      <c r="AT1464" s="67"/>
    </row>
    <row r="1465">
      <c r="A1465" s="76" t="s">
        <v>116</v>
      </c>
      <c r="B1465" s="77" t="s">
        <v>1645</v>
      </c>
      <c r="C1465" s="77" t="s">
        <v>1517</v>
      </c>
      <c r="D1465" s="77" t="s">
        <v>1494</v>
      </c>
      <c r="E1465" s="78" t="s">
        <v>178</v>
      </c>
      <c r="F1465" s="80" t="s">
        <v>1369</v>
      </c>
      <c r="G1465" s="77" t="s">
        <v>919</v>
      </c>
      <c r="H1465" s="77" t="s">
        <v>102</v>
      </c>
      <c r="I1465" s="146" t="s">
        <v>408</v>
      </c>
      <c r="J1465" s="109" t="s">
        <v>114</v>
      </c>
      <c r="K1465" s="85" t="s">
        <v>7801</v>
      </c>
      <c r="L1465" s="85" t="s">
        <v>239</v>
      </c>
      <c r="M1465" s="109" t="s">
        <v>102</v>
      </c>
      <c r="N1465" s="97" t="s">
        <v>914</v>
      </c>
      <c r="O1465" s="1229" t="s">
        <v>915</v>
      </c>
      <c r="P1465" s="1089">
        <v>25573.0</v>
      </c>
      <c r="Q1465" s="315">
        <f t="shared" si="206"/>
        <v>25573</v>
      </c>
      <c r="R1465" s="86">
        <f t="shared" si="207"/>
        <v>56</v>
      </c>
      <c r="S1465" s="315">
        <v>2.557211557E9</v>
      </c>
      <c r="T1465" s="315" t="s">
        <v>378</v>
      </c>
      <c r="U1465" s="76" t="s">
        <v>379</v>
      </c>
      <c r="V1465" s="76" t="s">
        <v>307</v>
      </c>
      <c r="W1465" s="97"/>
      <c r="X1465" s="97"/>
      <c r="Y1465" s="97"/>
      <c r="Z1465" s="97"/>
      <c r="AA1465" s="97"/>
      <c r="AB1465" s="97"/>
      <c r="AC1465" s="76" t="s">
        <v>389</v>
      </c>
      <c r="AD1465" s="97"/>
      <c r="AE1465" s="76" t="s">
        <v>389</v>
      </c>
      <c r="AF1465" s="97"/>
      <c r="AG1465" s="315"/>
      <c r="AH1465" s="97"/>
      <c r="AI1465" s="67"/>
      <c r="AJ1465" s="67"/>
      <c r="AK1465" s="70"/>
      <c r="AL1465" s="70"/>
      <c r="AM1465" s="135"/>
      <c r="AN1465" s="135"/>
      <c r="AO1465" s="70"/>
      <c r="AP1465" s="70"/>
      <c r="AQ1465" s="67"/>
      <c r="AR1465" s="67"/>
      <c r="AS1465" s="67"/>
      <c r="AT1465" s="67"/>
    </row>
    <row r="1466">
      <c r="A1466" s="76" t="s">
        <v>116</v>
      </c>
      <c r="B1466" s="77" t="s">
        <v>1645</v>
      </c>
      <c r="C1466" s="77" t="s">
        <v>1517</v>
      </c>
      <c r="D1466" s="77" t="s">
        <v>1519</v>
      </c>
      <c r="E1466" s="78" t="s">
        <v>58</v>
      </c>
      <c r="F1466" s="80" t="s">
        <v>1496</v>
      </c>
      <c r="G1466" s="77" t="s">
        <v>963</v>
      </c>
      <c r="H1466" s="77" t="s">
        <v>60</v>
      </c>
      <c r="I1466" s="87" t="s">
        <v>1221</v>
      </c>
      <c r="J1466" s="109" t="s">
        <v>114</v>
      </c>
      <c r="K1466" s="176" t="s">
        <v>12596</v>
      </c>
      <c r="L1466" s="85" t="s">
        <v>239</v>
      </c>
      <c r="M1466" s="87" t="s">
        <v>60</v>
      </c>
      <c r="N1466" s="97" t="s">
        <v>1967</v>
      </c>
      <c r="O1466" s="299" t="s">
        <v>1970</v>
      </c>
      <c r="P1466" s="1135">
        <v>29699.0</v>
      </c>
      <c r="Q1466" s="315">
        <f t="shared" si="206"/>
        <v>29699</v>
      </c>
      <c r="R1466" s="86">
        <f t="shared" si="207"/>
        <v>45</v>
      </c>
      <c r="S1466" s="315" t="s">
        <v>12597</v>
      </c>
      <c r="T1466" s="315" t="s">
        <v>378</v>
      </c>
      <c r="U1466" s="76" t="s">
        <v>379</v>
      </c>
      <c r="V1466" s="76" t="s">
        <v>521</v>
      </c>
      <c r="W1466" s="86"/>
      <c r="X1466" s="97"/>
      <c r="Y1466" s="76" t="s">
        <v>371</v>
      </c>
      <c r="Z1466" s="97"/>
      <c r="AA1466" s="97"/>
      <c r="AB1466" s="97"/>
      <c r="AC1466" s="76" t="s">
        <v>389</v>
      </c>
      <c r="AD1466" s="97"/>
      <c r="AE1466" s="76" t="s">
        <v>389</v>
      </c>
      <c r="AF1466" s="76" t="s">
        <v>12598</v>
      </c>
      <c r="AG1466" s="112"/>
      <c r="AH1466" s="97"/>
      <c r="AI1466" s="67"/>
      <c r="AJ1466" s="67"/>
      <c r="AK1466" s="70"/>
      <c r="AL1466" s="70"/>
      <c r="AM1466" s="135"/>
      <c r="AN1466" s="135"/>
      <c r="AO1466" s="70"/>
      <c r="AP1466" s="70"/>
      <c r="AQ1466" s="67"/>
      <c r="AR1466" s="67"/>
      <c r="AS1466" s="67"/>
      <c r="AT1466" s="67"/>
    </row>
    <row r="1467" ht="18.75" customHeight="1">
      <c r="A1467" s="76" t="s">
        <v>116</v>
      </c>
      <c r="B1467" s="77" t="s">
        <v>1645</v>
      </c>
      <c r="C1467" s="77" t="s">
        <v>1611</v>
      </c>
      <c r="D1467" s="77" t="s">
        <v>1494</v>
      </c>
      <c r="E1467" s="78" t="s">
        <v>213</v>
      </c>
      <c r="F1467" s="80" t="s">
        <v>1523</v>
      </c>
      <c r="G1467" s="77" t="s">
        <v>1015</v>
      </c>
      <c r="H1467" s="77" t="s">
        <v>60</v>
      </c>
      <c r="I1467" s="87" t="s">
        <v>1221</v>
      </c>
      <c r="J1467" s="76" t="s">
        <v>114</v>
      </c>
      <c r="K1467" s="76"/>
      <c r="L1467" s="47"/>
      <c r="M1467" s="85" t="s">
        <v>60</v>
      </c>
      <c r="N1467" s="286" t="s">
        <v>12599</v>
      </c>
      <c r="O1467" s="76" t="s">
        <v>12600</v>
      </c>
      <c r="P1467" s="523">
        <v>30574.0</v>
      </c>
      <c r="Q1467" s="315">
        <f t="shared" si="206"/>
        <v>30574</v>
      </c>
      <c r="R1467" s="86">
        <f t="shared" si="207"/>
        <v>42</v>
      </c>
      <c r="S1467" s="76">
        <v>3.057312872E9</v>
      </c>
      <c r="T1467" s="76"/>
      <c r="U1467" s="76" t="s">
        <v>136</v>
      </c>
      <c r="V1467" s="76"/>
      <c r="W1467" s="76"/>
      <c r="X1467" s="76" t="s">
        <v>186</v>
      </c>
      <c r="Y1467" s="97"/>
      <c r="Z1467" s="85" t="s">
        <v>1254</v>
      </c>
      <c r="AA1467" s="76" t="s">
        <v>1178</v>
      </c>
      <c r="AB1467" s="76"/>
      <c r="AC1467" s="76"/>
      <c r="AD1467" s="76"/>
      <c r="AE1467" s="76"/>
      <c r="AF1467" s="76" t="s">
        <v>5763</v>
      </c>
      <c r="AG1467" s="189"/>
      <c r="AH1467" s="153">
        <v>46234.0</v>
      </c>
      <c r="AI1467" s="67"/>
      <c r="AJ1467" s="67"/>
      <c r="AK1467" s="70"/>
      <c r="AL1467" s="70"/>
      <c r="AM1467" s="135"/>
      <c r="AN1467" s="135"/>
      <c r="AO1467" s="70"/>
      <c r="AP1467" s="70"/>
      <c r="AQ1467" s="67"/>
      <c r="AR1467" s="67"/>
      <c r="AS1467" s="67"/>
      <c r="AT1467" s="67"/>
    </row>
    <row r="1468">
      <c r="A1468" s="76" t="s">
        <v>116</v>
      </c>
      <c r="B1468" s="77" t="s">
        <v>1645</v>
      </c>
      <c r="C1468" s="77" t="s">
        <v>1611</v>
      </c>
      <c r="D1468" s="77" t="s">
        <v>1519</v>
      </c>
      <c r="E1468" s="78" t="s">
        <v>213</v>
      </c>
      <c r="F1468" s="80" t="s">
        <v>1523</v>
      </c>
      <c r="G1468" s="77" t="s">
        <v>1056</v>
      </c>
      <c r="H1468" s="77" t="s">
        <v>60</v>
      </c>
      <c r="I1468" s="87" t="s">
        <v>1221</v>
      </c>
      <c r="J1468" s="97"/>
      <c r="K1468" s="85"/>
      <c r="L1468" s="109"/>
      <c r="M1468" s="158" t="s">
        <v>60</v>
      </c>
      <c r="N1468" s="159" t="s">
        <v>12601</v>
      </c>
      <c r="O1468" s="109"/>
      <c r="P1468" s="1135"/>
      <c r="Q1468" s="315"/>
      <c r="R1468" s="86"/>
      <c r="S1468" s="315"/>
      <c r="T1468" s="315"/>
      <c r="U1468" s="224" t="s">
        <v>379</v>
      </c>
      <c r="V1468" s="86"/>
      <c r="W1468" s="86"/>
      <c r="X1468" s="97"/>
      <c r="Y1468" s="97"/>
      <c r="Z1468" s="97"/>
      <c r="AA1468" s="97"/>
      <c r="AB1468" s="97"/>
      <c r="AC1468" s="160" t="s">
        <v>630</v>
      </c>
      <c r="AD1468" s="76" t="s">
        <v>632</v>
      </c>
      <c r="AE1468" s="76"/>
      <c r="AF1468" s="160" t="s">
        <v>630</v>
      </c>
      <c r="AG1468" s="112"/>
      <c r="AH1468" s="76"/>
      <c r="AI1468" s="67"/>
      <c r="AJ1468" s="67"/>
      <c r="AK1468" s="70"/>
      <c r="AL1468" s="70"/>
      <c r="AM1468" s="135"/>
      <c r="AN1468" s="135"/>
      <c r="AO1468" s="70"/>
      <c r="AP1468" s="70"/>
      <c r="AQ1468" s="67"/>
      <c r="AR1468" s="67"/>
      <c r="AS1468" s="67"/>
      <c r="AT1468" s="67"/>
    </row>
    <row r="1469">
      <c r="A1469" s="76" t="s">
        <v>116</v>
      </c>
      <c r="B1469" s="77" t="s">
        <v>1645</v>
      </c>
      <c r="C1469" s="77" t="s">
        <v>1611</v>
      </c>
      <c r="D1469" s="77" t="s">
        <v>1519</v>
      </c>
      <c r="E1469" s="78" t="s">
        <v>58</v>
      </c>
      <c r="F1469" s="80" t="s">
        <v>1496</v>
      </c>
      <c r="G1469" s="77" t="s">
        <v>5090</v>
      </c>
      <c r="H1469" s="77" t="s">
        <v>60</v>
      </c>
      <c r="I1469" s="87" t="s">
        <v>1221</v>
      </c>
      <c r="J1469" s="76" t="s">
        <v>114</v>
      </c>
      <c r="K1469" s="124" t="s">
        <v>1602</v>
      </c>
      <c r="L1469" s="47" t="s">
        <v>239</v>
      </c>
      <c r="M1469" s="85" t="s">
        <v>60</v>
      </c>
      <c r="N1469" s="157" t="s">
        <v>8298</v>
      </c>
      <c r="O1469" s="76" t="s">
        <v>3286</v>
      </c>
      <c r="P1469" s="523">
        <v>31098.0</v>
      </c>
      <c r="Q1469" s="315">
        <f t="shared" ref="Q1469:Q1472" si="208">VALUE(LEFT(TEXT(S1469,0),5))+1</f>
        <v>31098</v>
      </c>
      <c r="R1469" s="86">
        <f t="shared" ref="R1469:R1472" si="209">DATEDIF($P1469,TODAY(),"Y")</f>
        <v>41</v>
      </c>
      <c r="S1469" s="76">
        <v>3.109710574E9</v>
      </c>
      <c r="T1469" s="315"/>
      <c r="U1469" s="76" t="s">
        <v>165</v>
      </c>
      <c r="V1469" s="76" t="s">
        <v>425</v>
      </c>
      <c r="W1469" s="76"/>
      <c r="X1469" s="76"/>
      <c r="Y1469" s="97"/>
      <c r="Z1469" s="216" t="s">
        <v>1815</v>
      </c>
      <c r="AA1469" s="76"/>
      <c r="AB1469" s="97"/>
      <c r="AC1469" s="310" t="s">
        <v>2876</v>
      </c>
      <c r="AD1469" s="76"/>
      <c r="AE1469" s="76" t="s">
        <v>259</v>
      </c>
      <c r="AF1469" s="76"/>
      <c r="AG1469" s="189"/>
      <c r="AH1469" s="76"/>
      <c r="AI1469" s="67"/>
      <c r="AJ1469" s="67"/>
      <c r="AK1469" s="70"/>
      <c r="AL1469" s="70"/>
      <c r="AM1469" s="135"/>
      <c r="AN1469" s="135"/>
      <c r="AO1469" s="70"/>
      <c r="AP1469" s="70"/>
      <c r="AQ1469" s="67"/>
      <c r="AR1469" s="67"/>
      <c r="AS1469" s="67"/>
      <c r="AT1469" s="67"/>
    </row>
    <row r="1470">
      <c r="A1470" s="76" t="s">
        <v>116</v>
      </c>
      <c r="B1470" s="77" t="s">
        <v>1645</v>
      </c>
      <c r="C1470" s="77" t="s">
        <v>1728</v>
      </c>
      <c r="D1470" s="77" t="s">
        <v>121</v>
      </c>
      <c r="E1470" s="78" t="s">
        <v>178</v>
      </c>
      <c r="F1470" s="80" t="s">
        <v>3247</v>
      </c>
      <c r="G1470" s="77" t="s">
        <v>1065</v>
      </c>
      <c r="H1470" s="77" t="s">
        <v>102</v>
      </c>
      <c r="I1470" s="146" t="s">
        <v>408</v>
      </c>
      <c r="J1470" s="109" t="s">
        <v>114</v>
      </c>
      <c r="K1470" s="118" t="s">
        <v>12602</v>
      </c>
      <c r="L1470" s="85" t="s">
        <v>239</v>
      </c>
      <c r="M1470" s="85" t="s">
        <v>102</v>
      </c>
      <c r="N1470" s="157" t="s">
        <v>2827</v>
      </c>
      <c r="O1470" s="87" t="s">
        <v>2828</v>
      </c>
      <c r="P1470" s="1089">
        <v>29972.0</v>
      </c>
      <c r="Q1470" s="315">
        <f t="shared" si="208"/>
        <v>29972</v>
      </c>
      <c r="R1470" s="86">
        <f t="shared" si="209"/>
        <v>44</v>
      </c>
      <c r="S1470" s="315">
        <v>2.997122434E9</v>
      </c>
      <c r="T1470" s="315" t="s">
        <v>1548</v>
      </c>
      <c r="U1470" s="124" t="s">
        <v>379</v>
      </c>
      <c r="V1470" s="76" t="s">
        <v>607</v>
      </c>
      <c r="W1470" s="97"/>
      <c r="X1470" s="97"/>
      <c r="Y1470" s="97"/>
      <c r="Z1470" s="97"/>
      <c r="AA1470" s="97"/>
      <c r="AB1470" s="97"/>
      <c r="AC1470" s="97" t="s">
        <v>1566</v>
      </c>
      <c r="AD1470" s="99"/>
      <c r="AE1470" s="76" t="s">
        <v>389</v>
      </c>
      <c r="AF1470" s="76" t="s">
        <v>12587</v>
      </c>
      <c r="AG1470" s="76"/>
      <c r="AH1470" s="539"/>
      <c r="AI1470" s="67"/>
      <c r="AJ1470" s="67"/>
      <c r="AK1470" s="70"/>
      <c r="AL1470" s="70"/>
      <c r="AM1470" s="135"/>
      <c r="AN1470" s="135"/>
      <c r="AO1470" s="70"/>
      <c r="AP1470" s="70"/>
      <c r="AQ1470" s="67"/>
      <c r="AR1470" s="67"/>
      <c r="AS1470" s="67"/>
      <c r="AT1470" s="67"/>
    </row>
    <row r="1471">
      <c r="A1471" s="76" t="s">
        <v>116</v>
      </c>
      <c r="B1471" s="77" t="s">
        <v>1645</v>
      </c>
      <c r="C1471" s="77" t="s">
        <v>1728</v>
      </c>
      <c r="D1471" s="77" t="s">
        <v>121</v>
      </c>
      <c r="E1471" s="78" t="s">
        <v>201</v>
      </c>
      <c r="F1471" s="80" t="s">
        <v>1849</v>
      </c>
      <c r="G1471" s="77" t="s">
        <v>1072</v>
      </c>
      <c r="H1471" s="77" t="s">
        <v>60</v>
      </c>
      <c r="I1471" s="87" t="s">
        <v>1221</v>
      </c>
      <c r="J1471" s="76" t="s">
        <v>114</v>
      </c>
      <c r="K1471" s="76" t="s">
        <v>12603</v>
      </c>
      <c r="L1471" s="109"/>
      <c r="M1471" s="87" t="s">
        <v>60</v>
      </c>
      <c r="N1471" s="785" t="s">
        <v>1758</v>
      </c>
      <c r="O1471" s="76" t="s">
        <v>1760</v>
      </c>
      <c r="P1471" s="523">
        <v>31621.0</v>
      </c>
      <c r="Q1471" s="315">
        <f t="shared" si="208"/>
        <v>31621</v>
      </c>
      <c r="R1471" s="86">
        <f t="shared" si="209"/>
        <v>40</v>
      </c>
      <c r="S1471" s="315">
        <v>3.162023736E9</v>
      </c>
      <c r="T1471" s="315"/>
      <c r="U1471" s="76" t="s">
        <v>368</v>
      </c>
      <c r="V1471" s="86"/>
      <c r="W1471" s="76"/>
      <c r="X1471" s="76"/>
      <c r="Y1471" s="97" t="s">
        <v>183</v>
      </c>
      <c r="Z1471" s="289" t="s">
        <v>1725</v>
      </c>
      <c r="AA1471" s="76" t="s">
        <v>1178</v>
      </c>
      <c r="AB1471" s="97"/>
      <c r="AC1471" s="97"/>
      <c r="AD1471" s="99"/>
      <c r="AE1471" s="76"/>
      <c r="AF1471" s="76" t="s">
        <v>11724</v>
      </c>
      <c r="AG1471" s="76" t="s">
        <v>375</v>
      </c>
      <c r="AH1471" s="291" t="s">
        <v>12604</v>
      </c>
      <c r="AI1471" s="67"/>
      <c r="AJ1471" s="67"/>
      <c r="AK1471" s="70"/>
      <c r="AL1471" s="70"/>
      <c r="AM1471" s="135"/>
      <c r="AN1471" s="135"/>
      <c r="AO1471" s="70"/>
      <c r="AP1471" s="70"/>
      <c r="AQ1471" s="67"/>
      <c r="AR1471" s="67"/>
      <c r="AS1471" s="67"/>
      <c r="AT1471" s="67"/>
    </row>
    <row r="1472">
      <c r="A1472" s="76" t="s">
        <v>116</v>
      </c>
      <c r="B1472" s="77" t="s">
        <v>1645</v>
      </c>
      <c r="C1472" s="77" t="s">
        <v>1728</v>
      </c>
      <c r="D1472" s="77" t="s">
        <v>121</v>
      </c>
      <c r="E1472" s="78" t="s">
        <v>287</v>
      </c>
      <c r="F1472" s="80" t="s">
        <v>2853</v>
      </c>
      <c r="G1472" s="77" t="s">
        <v>1077</v>
      </c>
      <c r="H1472" s="77" t="s">
        <v>60</v>
      </c>
      <c r="I1472" s="87" t="s">
        <v>1221</v>
      </c>
      <c r="J1472" s="76" t="s">
        <v>114</v>
      </c>
      <c r="K1472" s="76"/>
      <c r="L1472" s="47"/>
      <c r="M1472" s="85" t="s">
        <v>60</v>
      </c>
      <c r="N1472" s="286" t="s">
        <v>12605</v>
      </c>
      <c r="O1472" s="76" t="s">
        <v>12606</v>
      </c>
      <c r="P1472" s="523">
        <v>29099.0</v>
      </c>
      <c r="Q1472" s="315">
        <f t="shared" si="208"/>
        <v>29099</v>
      </c>
      <c r="R1472" s="86">
        <f t="shared" si="209"/>
        <v>47</v>
      </c>
      <c r="S1472" s="76">
        <v>2.909812374E9</v>
      </c>
      <c r="T1472" s="76" t="s">
        <v>1362</v>
      </c>
      <c r="U1472" s="76" t="s">
        <v>136</v>
      </c>
      <c r="V1472" s="76"/>
      <c r="W1472" s="76"/>
      <c r="X1472" s="76" t="s">
        <v>186</v>
      </c>
      <c r="Y1472" s="97"/>
      <c r="Z1472" s="85" t="s">
        <v>1254</v>
      </c>
      <c r="AA1472" s="76" t="s">
        <v>1178</v>
      </c>
      <c r="AB1472" s="76"/>
      <c r="AC1472" s="76"/>
      <c r="AD1472" s="76"/>
      <c r="AE1472" s="76"/>
      <c r="AF1472" s="76" t="s">
        <v>5763</v>
      </c>
      <c r="AG1472" s="189"/>
      <c r="AH1472" s="1175">
        <v>46235.0</v>
      </c>
      <c r="AI1472" s="67"/>
      <c r="AJ1472" s="67"/>
      <c r="AK1472" s="70"/>
      <c r="AL1472" s="70"/>
      <c r="AM1472" s="135"/>
      <c r="AN1472" s="135"/>
      <c r="AO1472" s="70"/>
      <c r="AP1472" s="70"/>
      <c r="AQ1472" s="67"/>
      <c r="AR1472" s="67"/>
      <c r="AS1472" s="67"/>
      <c r="AT1472" s="67"/>
    </row>
    <row r="1473">
      <c r="A1473" s="76" t="s">
        <v>116</v>
      </c>
      <c r="B1473" s="77" t="s">
        <v>1645</v>
      </c>
      <c r="C1473" s="77" t="s">
        <v>1728</v>
      </c>
      <c r="D1473" s="77" t="s">
        <v>121</v>
      </c>
      <c r="E1473" s="78" t="s">
        <v>331</v>
      </c>
      <c r="F1473" s="80" t="s">
        <v>1731</v>
      </c>
      <c r="G1473" s="77" t="s">
        <v>1084</v>
      </c>
      <c r="H1473" s="77" t="s">
        <v>60</v>
      </c>
      <c r="I1473" s="87" t="s">
        <v>1221</v>
      </c>
      <c r="J1473" s="76"/>
      <c r="K1473" s="76"/>
      <c r="L1473" s="47"/>
      <c r="M1473" s="211" t="s">
        <v>60</v>
      </c>
      <c r="N1473" s="996" t="s">
        <v>12607</v>
      </c>
      <c r="O1473" s="76"/>
      <c r="P1473" s="523"/>
      <c r="Q1473" s="315"/>
      <c r="R1473" s="86"/>
      <c r="S1473" s="76"/>
      <c r="T1473" s="315"/>
      <c r="U1473" s="224" t="s">
        <v>379</v>
      </c>
      <c r="V1473" s="86"/>
      <c r="W1473" s="86"/>
      <c r="X1473" s="97"/>
      <c r="Y1473" s="97"/>
      <c r="Z1473" s="97"/>
      <c r="AA1473" s="97"/>
      <c r="AB1473" s="97"/>
      <c r="AC1473" s="160" t="s">
        <v>630</v>
      </c>
      <c r="AD1473" s="76" t="s">
        <v>632</v>
      </c>
      <c r="AE1473" s="76" t="s">
        <v>632</v>
      </c>
      <c r="AF1473" s="160" t="s">
        <v>630</v>
      </c>
      <c r="AG1473" s="189"/>
      <c r="AH1473" s="76" t="s">
        <v>4012</v>
      </c>
      <c r="AI1473" s="67"/>
      <c r="AJ1473" s="67"/>
      <c r="AK1473" s="70"/>
      <c r="AL1473" s="70"/>
      <c r="AM1473" s="135"/>
      <c r="AN1473" s="135"/>
      <c r="AO1473" s="70"/>
      <c r="AP1473" s="70"/>
      <c r="AQ1473" s="67"/>
      <c r="AR1473" s="67"/>
      <c r="AS1473" s="67"/>
      <c r="AT1473" s="67"/>
    </row>
    <row r="1474">
      <c r="A1474" s="76" t="s">
        <v>116</v>
      </c>
      <c r="B1474" s="77" t="s">
        <v>1709</v>
      </c>
      <c r="C1474" s="77" t="s">
        <v>1269</v>
      </c>
      <c r="D1474" s="77" t="s">
        <v>1494</v>
      </c>
      <c r="E1474" s="78" t="s">
        <v>302</v>
      </c>
      <c r="F1474" s="80" t="s">
        <v>1404</v>
      </c>
      <c r="G1474" s="77" t="s">
        <v>1175</v>
      </c>
      <c r="H1474" s="77" t="s">
        <v>326</v>
      </c>
      <c r="I1474" s="87" t="s">
        <v>1221</v>
      </c>
      <c r="J1474" s="109" t="s">
        <v>114</v>
      </c>
      <c r="K1474" s="118" t="s">
        <v>12608</v>
      </c>
      <c r="L1474" s="85" t="s">
        <v>239</v>
      </c>
      <c r="M1474" s="85" t="s">
        <v>102</v>
      </c>
      <c r="N1474" s="86" t="s">
        <v>1504</v>
      </c>
      <c r="O1474" s="87" t="s">
        <v>1505</v>
      </c>
      <c r="P1474" s="1089">
        <v>29716.0</v>
      </c>
      <c r="Q1474" s="315">
        <f>VALUE(LEFT(TEXT(S1474,0),5))+1</f>
        <v>29711</v>
      </c>
      <c r="R1474" s="86">
        <f>DATEDIF($P1474,TODAY(),"Y")</f>
        <v>45</v>
      </c>
      <c r="S1474" s="315">
        <v>2.971028819E9</v>
      </c>
      <c r="T1474" s="315" t="s">
        <v>378</v>
      </c>
      <c r="U1474" s="76" t="s">
        <v>379</v>
      </c>
      <c r="V1474" s="76" t="s">
        <v>566</v>
      </c>
      <c r="W1474" s="86"/>
      <c r="X1474" s="97"/>
      <c r="Y1474" s="86"/>
      <c r="Z1474" s="86"/>
      <c r="AA1474" s="86"/>
      <c r="AB1474" s="97"/>
      <c r="AC1474" s="76" t="s">
        <v>389</v>
      </c>
      <c r="AD1474" s="97"/>
      <c r="AE1474" s="76" t="s">
        <v>389</v>
      </c>
      <c r="AF1474" s="85"/>
      <c r="AG1474" s="76"/>
      <c r="AH1474" s="99"/>
      <c r="AI1474" s="67"/>
      <c r="AJ1474" s="67"/>
      <c r="AK1474" s="70"/>
      <c r="AL1474" s="70"/>
      <c r="AM1474" s="135"/>
      <c r="AN1474" s="135"/>
      <c r="AO1474" s="70"/>
      <c r="AP1474" s="70"/>
      <c r="AQ1474" s="67"/>
      <c r="AR1474" s="67"/>
      <c r="AS1474" s="67"/>
      <c r="AT1474" s="67"/>
    </row>
    <row r="1475">
      <c r="A1475" s="76" t="s">
        <v>116</v>
      </c>
      <c r="B1475" s="77" t="s">
        <v>1709</v>
      </c>
      <c r="C1475" s="77" t="s">
        <v>1269</v>
      </c>
      <c r="D1475" s="77" t="s">
        <v>1519</v>
      </c>
      <c r="E1475" s="78" t="s">
        <v>139</v>
      </c>
      <c r="F1475" s="80" t="s">
        <v>1520</v>
      </c>
      <c r="G1475" s="77" t="s">
        <v>5766</v>
      </c>
      <c r="H1475" s="77" t="s">
        <v>60</v>
      </c>
      <c r="I1475" s="87" t="s">
        <v>1221</v>
      </c>
      <c r="J1475" s="76"/>
      <c r="K1475" s="85"/>
      <c r="L1475" s="47"/>
      <c r="M1475" s="211" t="s">
        <v>60</v>
      </c>
      <c r="N1475" s="211" t="s">
        <v>12609</v>
      </c>
      <c r="O1475" s="76"/>
      <c r="P1475" s="523"/>
      <c r="Q1475" s="315"/>
      <c r="R1475" s="86"/>
      <c r="S1475" s="76"/>
      <c r="T1475" s="315"/>
      <c r="U1475" s="76" t="s">
        <v>379</v>
      </c>
      <c r="V1475" s="86"/>
      <c r="W1475" s="86"/>
      <c r="X1475" s="97"/>
      <c r="Y1475" s="97"/>
      <c r="Z1475" s="97"/>
      <c r="AA1475" s="97"/>
      <c r="AB1475" s="97"/>
      <c r="AC1475" s="160" t="s">
        <v>630</v>
      </c>
      <c r="AD1475" s="76" t="s">
        <v>632</v>
      </c>
      <c r="AE1475" s="76"/>
      <c r="AF1475" s="160" t="s">
        <v>630</v>
      </c>
      <c r="AG1475" s="112"/>
      <c r="AH1475" s="97"/>
      <c r="AI1475" s="67"/>
      <c r="AJ1475" s="67"/>
      <c r="AK1475" s="70"/>
      <c r="AL1475" s="70"/>
      <c r="AM1475" s="135"/>
      <c r="AN1475" s="135"/>
      <c r="AO1475" s="70"/>
      <c r="AP1475" s="70"/>
      <c r="AQ1475" s="67"/>
      <c r="AR1475" s="67"/>
      <c r="AS1475" s="67"/>
      <c r="AT1475" s="67"/>
    </row>
    <row r="1476">
      <c r="A1476" s="76" t="s">
        <v>116</v>
      </c>
      <c r="B1476" s="77" t="s">
        <v>1709</v>
      </c>
      <c r="C1476" s="77" t="s">
        <v>1517</v>
      </c>
      <c r="D1476" s="77" t="s">
        <v>1368</v>
      </c>
      <c r="E1476" s="78" t="s">
        <v>178</v>
      </c>
      <c r="F1476" s="80" t="s">
        <v>1369</v>
      </c>
      <c r="G1476" s="77" t="s">
        <v>1245</v>
      </c>
      <c r="H1476" s="77" t="s">
        <v>102</v>
      </c>
      <c r="I1476" s="146" t="s">
        <v>408</v>
      </c>
      <c r="J1476" s="109" t="s">
        <v>114</v>
      </c>
      <c r="K1476" s="118" t="s">
        <v>12610</v>
      </c>
      <c r="L1476" s="85" t="s">
        <v>239</v>
      </c>
      <c r="M1476" s="87" t="s">
        <v>102</v>
      </c>
      <c r="N1476" s="86" t="s">
        <v>2674</v>
      </c>
      <c r="O1476" s="87" t="s">
        <v>2675</v>
      </c>
      <c r="P1476" s="1089">
        <v>31808.0</v>
      </c>
      <c r="Q1476" s="315">
        <f t="shared" ref="Q1476:Q1479" si="210">VALUE(LEFT(TEXT(S1476,0),5))+1</f>
        <v>31808</v>
      </c>
      <c r="R1476" s="86">
        <f t="shared" ref="R1476:R1489" si="211">DATEDIF($P1476,TODAY(),"Y")</f>
        <v>39</v>
      </c>
      <c r="S1476" s="315">
        <v>3.180719913E9</v>
      </c>
      <c r="T1476" s="315" t="s">
        <v>1317</v>
      </c>
      <c r="U1476" s="76" t="s">
        <v>379</v>
      </c>
      <c r="V1476" s="97" t="s">
        <v>220</v>
      </c>
      <c r="W1476" s="86"/>
      <c r="X1476" s="97"/>
      <c r="Y1476" s="97"/>
      <c r="Z1476" s="97"/>
      <c r="AA1476" s="97"/>
      <c r="AB1476" s="97"/>
      <c r="AC1476" s="76" t="s">
        <v>389</v>
      </c>
      <c r="AD1476" s="99"/>
      <c r="AE1476" s="76" t="s">
        <v>389</v>
      </c>
      <c r="AF1476" s="99"/>
      <c r="AG1476" s="112"/>
      <c r="AH1476" s="86"/>
      <c r="AI1476" s="67"/>
      <c r="AJ1476" s="67"/>
      <c r="AK1476" s="70"/>
      <c r="AL1476" s="70"/>
      <c r="AM1476" s="135"/>
      <c r="AN1476" s="135"/>
      <c r="AO1476" s="70"/>
      <c r="AP1476" s="70"/>
      <c r="AQ1476" s="67"/>
      <c r="AR1476" s="67"/>
      <c r="AS1476" s="67"/>
      <c r="AT1476" s="67"/>
    </row>
    <row r="1477">
      <c r="A1477" s="76" t="s">
        <v>116</v>
      </c>
      <c r="B1477" s="77" t="s">
        <v>1709</v>
      </c>
      <c r="C1477" s="77" t="s">
        <v>1517</v>
      </c>
      <c r="D1477" s="77" t="s">
        <v>1494</v>
      </c>
      <c r="E1477" s="78" t="s">
        <v>178</v>
      </c>
      <c r="F1477" s="80" t="s">
        <v>1369</v>
      </c>
      <c r="G1477" s="77" t="s">
        <v>1251</v>
      </c>
      <c r="H1477" s="77" t="s">
        <v>102</v>
      </c>
      <c r="I1477" s="146" t="s">
        <v>408</v>
      </c>
      <c r="J1477" s="109" t="s">
        <v>114</v>
      </c>
      <c r="K1477" s="109"/>
      <c r="L1477" s="341" t="s">
        <v>239</v>
      </c>
      <c r="M1477" s="87" t="s">
        <v>102</v>
      </c>
      <c r="N1477" s="967" t="s">
        <v>2728</v>
      </c>
      <c r="O1477" s="109" t="s">
        <v>2729</v>
      </c>
      <c r="P1477" s="1089">
        <v>29420.0</v>
      </c>
      <c r="Q1477" s="315">
        <f t="shared" si="210"/>
        <v>29420</v>
      </c>
      <c r="R1477" s="86">
        <f t="shared" si="211"/>
        <v>46</v>
      </c>
      <c r="S1477" s="315">
        <v>2.941923676E9</v>
      </c>
      <c r="T1477" s="76" t="s">
        <v>1362</v>
      </c>
      <c r="U1477" s="76" t="s">
        <v>379</v>
      </c>
      <c r="V1477" s="86" t="s">
        <v>425</v>
      </c>
      <c r="W1477" s="97"/>
      <c r="X1477" s="97"/>
      <c r="Y1477" s="97"/>
      <c r="Z1477" s="97"/>
      <c r="AA1477" s="97"/>
      <c r="AB1477" s="97"/>
      <c r="AC1477" s="76" t="s">
        <v>389</v>
      </c>
      <c r="AD1477" s="99"/>
      <c r="AE1477" s="76" t="s">
        <v>389</v>
      </c>
      <c r="AF1477" s="99"/>
      <c r="AG1477" s="76" t="s">
        <v>12611</v>
      </c>
      <c r="AH1477" s="76" t="s">
        <v>1153</v>
      </c>
      <c r="AI1477" s="67"/>
      <c r="AJ1477" s="67"/>
      <c r="AK1477" s="70"/>
      <c r="AL1477" s="70"/>
      <c r="AM1477" s="135"/>
      <c r="AN1477" s="135"/>
      <c r="AO1477" s="70"/>
      <c r="AP1477" s="70"/>
      <c r="AQ1477" s="67"/>
      <c r="AR1477" s="67"/>
      <c r="AS1477" s="67"/>
      <c r="AT1477" s="67"/>
    </row>
    <row r="1478">
      <c r="A1478" s="76" t="s">
        <v>116</v>
      </c>
      <c r="B1478" s="77" t="s">
        <v>1709</v>
      </c>
      <c r="C1478" s="77" t="s">
        <v>1611</v>
      </c>
      <c r="D1478" s="77" t="s">
        <v>1368</v>
      </c>
      <c r="E1478" s="78" t="s">
        <v>302</v>
      </c>
      <c r="F1478" s="80" t="s">
        <v>1404</v>
      </c>
      <c r="G1478" s="77" t="s">
        <v>2501</v>
      </c>
      <c r="H1478" s="77" t="s">
        <v>326</v>
      </c>
      <c r="I1478" s="87" t="s">
        <v>1221</v>
      </c>
      <c r="J1478" s="87" t="s">
        <v>114</v>
      </c>
      <c r="K1478" s="118" t="s">
        <v>12612</v>
      </c>
      <c r="L1478" s="85" t="s">
        <v>239</v>
      </c>
      <c r="M1478" s="87" t="s">
        <v>60</v>
      </c>
      <c r="N1478" s="86" t="s">
        <v>2801</v>
      </c>
      <c r="O1478" s="87" t="s">
        <v>2803</v>
      </c>
      <c r="P1478" s="1089">
        <v>28164.0</v>
      </c>
      <c r="Q1478" s="315">
        <f t="shared" si="210"/>
        <v>28164</v>
      </c>
      <c r="R1478" s="86">
        <f t="shared" si="211"/>
        <v>49</v>
      </c>
      <c r="S1478" s="315">
        <v>2.816318554E9</v>
      </c>
      <c r="T1478" s="315" t="s">
        <v>1317</v>
      </c>
      <c r="U1478" s="124" t="s">
        <v>165</v>
      </c>
      <c r="V1478" s="76" t="s">
        <v>607</v>
      </c>
      <c r="W1478" s="86"/>
      <c r="X1478" s="97"/>
      <c r="Y1478" s="86"/>
      <c r="Z1478" s="86"/>
      <c r="AA1478" s="86"/>
      <c r="AB1478" s="97"/>
      <c r="AC1478" s="86" t="s">
        <v>1566</v>
      </c>
      <c r="AD1478" s="99"/>
      <c r="AE1478" s="76" t="s">
        <v>311</v>
      </c>
      <c r="AF1478" s="76" t="s">
        <v>12592</v>
      </c>
      <c r="AG1478" s="315"/>
      <c r="AH1478" s="86"/>
      <c r="AI1478" s="67"/>
      <c r="AJ1478" s="67"/>
      <c r="AK1478" s="70"/>
      <c r="AL1478" s="70"/>
      <c r="AM1478" s="135"/>
      <c r="AN1478" s="135"/>
      <c r="AO1478" s="70"/>
      <c r="AP1478" s="70"/>
      <c r="AQ1478" s="67"/>
      <c r="AR1478" s="67"/>
      <c r="AS1478" s="67"/>
      <c r="AT1478" s="67"/>
    </row>
    <row r="1479">
      <c r="A1479" s="76" t="s">
        <v>116</v>
      </c>
      <c r="B1479" s="77" t="s">
        <v>1709</v>
      </c>
      <c r="C1479" s="77" t="s">
        <v>1611</v>
      </c>
      <c r="D1479" s="77" t="s">
        <v>1494</v>
      </c>
      <c r="E1479" s="78" t="s">
        <v>139</v>
      </c>
      <c r="F1479" s="80" t="s">
        <v>1520</v>
      </c>
      <c r="G1479" s="77" t="s">
        <v>6484</v>
      </c>
      <c r="H1479" s="77" t="s">
        <v>60</v>
      </c>
      <c r="I1479" s="87" t="s">
        <v>1221</v>
      </c>
      <c r="J1479" s="85" t="s">
        <v>114</v>
      </c>
      <c r="K1479" s="85"/>
      <c r="L1479" s="85"/>
      <c r="M1479" s="87" t="s">
        <v>60</v>
      </c>
      <c r="N1479" s="76" t="s">
        <v>2357</v>
      </c>
      <c r="O1479" s="76" t="s">
        <v>2359</v>
      </c>
      <c r="P1479" s="523">
        <v>32658.0</v>
      </c>
      <c r="Q1479" s="315">
        <f t="shared" si="210"/>
        <v>32658</v>
      </c>
      <c r="R1479" s="86">
        <f t="shared" si="211"/>
        <v>37</v>
      </c>
      <c r="S1479" s="76">
        <v>3.265705937E9</v>
      </c>
      <c r="T1479" s="315"/>
      <c r="U1479" s="76" t="s">
        <v>379</v>
      </c>
      <c r="V1479" s="76"/>
      <c r="W1479" s="76"/>
      <c r="X1479" s="76"/>
      <c r="Y1479" s="97" t="s">
        <v>183</v>
      </c>
      <c r="Z1479" s="278" t="s">
        <v>2090</v>
      </c>
      <c r="AA1479" s="76" t="s">
        <v>1178</v>
      </c>
      <c r="AB1479" s="97"/>
      <c r="AC1479" s="76" t="s">
        <v>4264</v>
      </c>
      <c r="AD1479" s="99"/>
      <c r="AE1479" s="76" t="s">
        <v>861</v>
      </c>
      <c r="AF1479" s="76"/>
      <c r="AG1479" s="76"/>
      <c r="AH1479" s="76" t="s">
        <v>10776</v>
      </c>
      <c r="AI1479" s="67"/>
      <c r="AJ1479" s="67"/>
      <c r="AK1479" s="70"/>
      <c r="AL1479" s="70"/>
      <c r="AM1479" s="135"/>
      <c r="AN1479" s="135"/>
      <c r="AO1479" s="70"/>
      <c r="AP1479" s="70"/>
      <c r="AQ1479" s="67"/>
      <c r="AR1479" s="67"/>
      <c r="AS1479" s="67"/>
      <c r="AT1479" s="67"/>
    </row>
    <row r="1480">
      <c r="A1480" s="76" t="s">
        <v>116</v>
      </c>
      <c r="B1480" s="77" t="s">
        <v>1709</v>
      </c>
      <c r="C1480" s="77" t="s">
        <v>1611</v>
      </c>
      <c r="D1480" s="77" t="s">
        <v>1494</v>
      </c>
      <c r="E1480" s="78" t="s">
        <v>321</v>
      </c>
      <c r="F1480" s="80" t="s">
        <v>1552</v>
      </c>
      <c r="G1480" s="77" t="s">
        <v>6496</v>
      </c>
      <c r="H1480" s="77" t="s">
        <v>60</v>
      </c>
      <c r="I1480" s="87" t="s">
        <v>1221</v>
      </c>
      <c r="J1480" s="76" t="s">
        <v>114</v>
      </c>
      <c r="K1480" s="76"/>
      <c r="L1480" s="47"/>
      <c r="M1480" s="85" t="s">
        <v>60</v>
      </c>
      <c r="N1480" s="678" t="s">
        <v>11404</v>
      </c>
      <c r="O1480" s="76" t="s">
        <v>11405</v>
      </c>
      <c r="P1480" s="523">
        <v>31128.0</v>
      </c>
      <c r="Q1480" s="315"/>
      <c r="R1480" s="86">
        <f t="shared" si="211"/>
        <v>41</v>
      </c>
      <c r="S1480" s="76"/>
      <c r="T1480" s="76"/>
      <c r="U1480" s="76" t="s">
        <v>368</v>
      </c>
      <c r="V1480" s="76"/>
      <c r="W1480" s="76"/>
      <c r="X1480" s="76"/>
      <c r="Y1480" s="97"/>
      <c r="Z1480" s="290" t="s">
        <v>1755</v>
      </c>
      <c r="AA1480" s="76" t="s">
        <v>1178</v>
      </c>
      <c r="AB1480" s="76"/>
      <c r="AC1480" s="76"/>
      <c r="AD1480" s="76"/>
      <c r="AE1480" s="310"/>
      <c r="AF1480" s="76" t="s">
        <v>2586</v>
      </c>
      <c r="AG1480" s="310" t="s">
        <v>2194</v>
      </c>
      <c r="AH1480" s="311">
        <v>46230.0</v>
      </c>
      <c r="AI1480" s="67"/>
      <c r="AJ1480" s="67"/>
      <c r="AK1480" s="70"/>
      <c r="AL1480" s="70"/>
      <c r="AM1480" s="135"/>
      <c r="AN1480" s="135"/>
      <c r="AO1480" s="70"/>
      <c r="AP1480" s="70"/>
      <c r="AQ1480" s="67"/>
      <c r="AR1480" s="67"/>
      <c r="AS1480" s="67"/>
      <c r="AT1480" s="67"/>
    </row>
    <row r="1481">
      <c r="A1481" s="76" t="s">
        <v>116</v>
      </c>
      <c r="B1481" s="77" t="s">
        <v>1709</v>
      </c>
      <c r="C1481" s="77" t="s">
        <v>1611</v>
      </c>
      <c r="D1481" s="77" t="s">
        <v>1494</v>
      </c>
      <c r="E1481" s="78" t="s">
        <v>536</v>
      </c>
      <c r="F1481" s="80" t="s">
        <v>2458</v>
      </c>
      <c r="G1481" s="77" t="s">
        <v>1314</v>
      </c>
      <c r="H1481" s="77" t="s">
        <v>60</v>
      </c>
      <c r="I1481" s="87" t="s">
        <v>1221</v>
      </c>
      <c r="J1481" s="76" t="s">
        <v>114</v>
      </c>
      <c r="K1481" s="76" t="s">
        <v>12613</v>
      </c>
      <c r="L1481" s="76"/>
      <c r="M1481" s="85" t="s">
        <v>60</v>
      </c>
      <c r="N1481" s="678" t="s">
        <v>11049</v>
      </c>
      <c r="O1481" s="76" t="s">
        <v>11050</v>
      </c>
      <c r="P1481" s="523">
        <v>30853.0</v>
      </c>
      <c r="Q1481" s="315">
        <f t="shared" ref="Q1481:Q1489" si="212">VALUE(LEFT(TEXT(S1481,0),5))+1</f>
        <v>30853</v>
      </c>
      <c r="R1481" s="86">
        <f t="shared" si="211"/>
        <v>42</v>
      </c>
      <c r="S1481" s="76">
        <v>3.085222819E9</v>
      </c>
      <c r="T1481" s="76"/>
      <c r="U1481" s="76" t="s">
        <v>368</v>
      </c>
      <c r="V1481" s="76"/>
      <c r="W1481" s="76"/>
      <c r="X1481" s="76"/>
      <c r="Y1481" s="276" t="s">
        <v>2344</v>
      </c>
      <c r="Z1481" s="97"/>
      <c r="AA1481" s="76" t="s">
        <v>1178</v>
      </c>
      <c r="AB1481" s="76"/>
      <c r="AC1481" s="76"/>
      <c r="AD1481" s="153">
        <v>46235.0</v>
      </c>
      <c r="AE1481" s="76"/>
      <c r="AF1481" s="76" t="s">
        <v>12614</v>
      </c>
      <c r="AG1481" s="76" t="s">
        <v>1187</v>
      </c>
      <c r="AH1481" s="153">
        <v>46235.0</v>
      </c>
      <c r="AI1481" s="67"/>
      <c r="AJ1481" s="67"/>
      <c r="AK1481" s="70"/>
      <c r="AL1481" s="70"/>
      <c r="AM1481" s="135"/>
      <c r="AN1481" s="135"/>
      <c r="AO1481" s="70"/>
      <c r="AP1481" s="70"/>
      <c r="AQ1481" s="67"/>
      <c r="AR1481" s="67"/>
      <c r="AS1481" s="67"/>
      <c r="AT1481" s="67"/>
    </row>
    <row r="1482">
      <c r="A1482" s="76" t="s">
        <v>116</v>
      </c>
      <c r="B1482" s="77" t="s">
        <v>1709</v>
      </c>
      <c r="C1482" s="77" t="s">
        <v>1728</v>
      </c>
      <c r="D1482" s="77" t="s">
        <v>121</v>
      </c>
      <c r="E1482" s="78" t="s">
        <v>287</v>
      </c>
      <c r="F1482" s="80" t="s">
        <v>2853</v>
      </c>
      <c r="G1482" s="77" t="s">
        <v>1367</v>
      </c>
      <c r="H1482" s="77" t="s">
        <v>60</v>
      </c>
      <c r="I1482" s="87" t="s">
        <v>1221</v>
      </c>
      <c r="J1482" s="76" t="s">
        <v>114</v>
      </c>
      <c r="K1482" s="176" t="s">
        <v>12615</v>
      </c>
      <c r="L1482" s="85" t="s">
        <v>239</v>
      </c>
      <c r="M1482" s="109" t="s">
        <v>60</v>
      </c>
      <c r="N1482" s="967" t="s">
        <v>1524</v>
      </c>
      <c r="O1482" s="97" t="s">
        <v>1526</v>
      </c>
      <c r="P1482" s="1135">
        <v>34453.0</v>
      </c>
      <c r="Q1482" s="315">
        <f t="shared" si="212"/>
        <v>34453</v>
      </c>
      <c r="R1482" s="86">
        <f t="shared" si="211"/>
        <v>32</v>
      </c>
      <c r="S1482" s="315">
        <v>3.44521517E9</v>
      </c>
      <c r="T1482" s="315" t="s">
        <v>1317</v>
      </c>
      <c r="U1482" s="76" t="s">
        <v>379</v>
      </c>
      <c r="V1482" s="76" t="s">
        <v>607</v>
      </c>
      <c r="W1482" s="183"/>
      <c r="X1482" s="76"/>
      <c r="Y1482" s="97" t="s">
        <v>1174</v>
      </c>
      <c r="Z1482" s="289" t="s">
        <v>1725</v>
      </c>
      <c r="AA1482" s="97"/>
      <c r="AB1482" s="97"/>
      <c r="AC1482" s="76" t="s">
        <v>389</v>
      </c>
      <c r="AD1482" s="99"/>
      <c r="AE1482" s="76" t="s">
        <v>389</v>
      </c>
      <c r="AF1482" s="76" t="s">
        <v>3477</v>
      </c>
      <c r="AG1482" s="76"/>
      <c r="AH1482" s="330"/>
      <c r="AI1482" s="67"/>
      <c r="AJ1482" s="67"/>
      <c r="AK1482" s="70"/>
      <c r="AL1482" s="70"/>
      <c r="AM1482" s="135"/>
      <c r="AN1482" s="135"/>
      <c r="AO1482" s="70"/>
      <c r="AP1482" s="70"/>
      <c r="AQ1482" s="67"/>
      <c r="AR1482" s="67"/>
      <c r="AS1482" s="67"/>
      <c r="AT1482" s="67"/>
    </row>
    <row r="1483">
      <c r="A1483" s="76" t="s">
        <v>116</v>
      </c>
      <c r="B1483" s="77" t="s">
        <v>3722</v>
      </c>
      <c r="C1483" s="77" t="s">
        <v>6996</v>
      </c>
      <c r="D1483" s="77" t="s">
        <v>7050</v>
      </c>
      <c r="E1483" s="78" t="s">
        <v>3656</v>
      </c>
      <c r="F1483" s="80" t="s">
        <v>7052</v>
      </c>
      <c r="G1483" s="77" t="s">
        <v>7053</v>
      </c>
      <c r="H1483" s="77" t="s">
        <v>360</v>
      </c>
      <c r="I1483" s="146" t="s">
        <v>408</v>
      </c>
      <c r="J1483" s="195" t="s">
        <v>114</v>
      </c>
      <c r="K1483" s="409" t="s">
        <v>12616</v>
      </c>
      <c r="L1483" s="76" t="s">
        <v>239</v>
      </c>
      <c r="M1483" s="87" t="s">
        <v>102</v>
      </c>
      <c r="N1483" s="189" t="s">
        <v>254</v>
      </c>
      <c r="O1483" s="195" t="s">
        <v>255</v>
      </c>
      <c r="P1483" s="1089">
        <v>33307.0</v>
      </c>
      <c r="Q1483" s="852">
        <f t="shared" si="212"/>
        <v>33307</v>
      </c>
      <c r="R1483" s="189">
        <f t="shared" si="211"/>
        <v>35</v>
      </c>
      <c r="S1483" s="315">
        <v>3.330605154E9</v>
      </c>
      <c r="T1483" s="1168"/>
      <c r="U1483" s="76" t="s">
        <v>379</v>
      </c>
      <c r="V1483" s="189"/>
      <c r="W1483" s="194"/>
      <c r="X1483" s="194"/>
      <c r="Y1483" s="194"/>
      <c r="Z1483" s="194"/>
      <c r="AA1483" s="194"/>
      <c r="AB1483" s="194"/>
      <c r="AC1483" s="76" t="s">
        <v>389</v>
      </c>
      <c r="AD1483" s="722"/>
      <c r="AE1483" s="76" t="s">
        <v>389</v>
      </c>
      <c r="AF1483" s="722"/>
      <c r="AG1483" s="965"/>
      <c r="AH1483" s="194"/>
      <c r="AI1483" s="67"/>
      <c r="AJ1483" s="67"/>
      <c r="AK1483" s="70"/>
      <c r="AL1483" s="70"/>
      <c r="AM1483" s="135"/>
      <c r="AN1483" s="135"/>
      <c r="AO1483" s="70"/>
      <c r="AP1483" s="70"/>
      <c r="AQ1483" s="67"/>
      <c r="AR1483" s="67"/>
      <c r="AS1483" s="67"/>
      <c r="AT1483" s="67"/>
    </row>
    <row r="1484">
      <c r="A1484" s="76" t="s">
        <v>116</v>
      </c>
      <c r="B1484" s="77" t="s">
        <v>3722</v>
      </c>
      <c r="C1484" s="77" t="s">
        <v>6996</v>
      </c>
      <c r="D1484" s="77" t="s">
        <v>7050</v>
      </c>
      <c r="E1484" s="78" t="s">
        <v>786</v>
      </c>
      <c r="F1484" s="80" t="s">
        <v>7095</v>
      </c>
      <c r="G1484" s="77" t="s">
        <v>7096</v>
      </c>
      <c r="H1484" s="77" t="s">
        <v>60</v>
      </c>
      <c r="I1484" s="87" t="s">
        <v>1221</v>
      </c>
      <c r="J1484" s="97" t="s">
        <v>114</v>
      </c>
      <c r="K1484" s="176" t="s">
        <v>12617</v>
      </c>
      <c r="L1484" s="85" t="s">
        <v>239</v>
      </c>
      <c r="M1484" s="87" t="s">
        <v>60</v>
      </c>
      <c r="N1484" s="97" t="s">
        <v>1399</v>
      </c>
      <c r="O1484" s="87" t="s">
        <v>1400</v>
      </c>
      <c r="P1484" s="1135">
        <v>33328.0</v>
      </c>
      <c r="Q1484" s="315" t="str">
        <f t="shared" si="212"/>
        <v>#VALUE!</v>
      </c>
      <c r="R1484" s="86">
        <f t="shared" si="211"/>
        <v>35</v>
      </c>
      <c r="S1484" s="76" t="s">
        <v>3642</v>
      </c>
      <c r="T1484" s="315" t="s">
        <v>1317</v>
      </c>
      <c r="U1484" s="76" t="s">
        <v>165</v>
      </c>
      <c r="V1484" s="76" t="s">
        <v>607</v>
      </c>
      <c r="W1484" s="183"/>
      <c r="X1484" s="97"/>
      <c r="Y1484" s="97" t="s">
        <v>1174</v>
      </c>
      <c r="Z1484" s="289" t="s">
        <v>1725</v>
      </c>
      <c r="AA1484" s="184"/>
      <c r="AB1484" s="184"/>
      <c r="AC1484" s="97" t="s">
        <v>1566</v>
      </c>
      <c r="AD1484" s="185"/>
      <c r="AE1484" s="76" t="s">
        <v>901</v>
      </c>
      <c r="AF1484" s="76" t="s">
        <v>3477</v>
      </c>
      <c r="AG1484" s="226"/>
      <c r="AH1484" s="754"/>
      <c r="AI1484" s="67"/>
      <c r="AJ1484" s="67"/>
      <c r="AK1484" s="70"/>
      <c r="AL1484" s="70"/>
      <c r="AM1484" s="135"/>
      <c r="AN1484" s="135"/>
      <c r="AO1484" s="70"/>
      <c r="AP1484" s="70"/>
      <c r="AQ1484" s="67"/>
      <c r="AR1484" s="67"/>
      <c r="AS1484" s="67"/>
      <c r="AT1484" s="67"/>
    </row>
    <row r="1485">
      <c r="A1485" s="76" t="s">
        <v>116</v>
      </c>
      <c r="B1485" s="77" t="s">
        <v>3722</v>
      </c>
      <c r="C1485" s="77" t="s">
        <v>7267</v>
      </c>
      <c r="D1485" s="77" t="s">
        <v>7574</v>
      </c>
      <c r="E1485" s="78" t="s">
        <v>2562</v>
      </c>
      <c r="F1485" s="80" t="s">
        <v>7341</v>
      </c>
      <c r="G1485" s="77" t="s">
        <v>7577</v>
      </c>
      <c r="H1485" s="77" t="s">
        <v>102</v>
      </c>
      <c r="I1485" s="146" t="s">
        <v>408</v>
      </c>
      <c r="J1485" s="109" t="s">
        <v>114</v>
      </c>
      <c r="K1485" s="118" t="s">
        <v>12618</v>
      </c>
      <c r="L1485" s="85" t="s">
        <v>239</v>
      </c>
      <c r="M1485" s="85" t="s">
        <v>102</v>
      </c>
      <c r="N1485" s="97" t="s">
        <v>1489</v>
      </c>
      <c r="O1485" s="109" t="s">
        <v>1490</v>
      </c>
      <c r="P1485" s="1089">
        <v>27962.0</v>
      </c>
      <c r="Q1485" s="315">
        <f t="shared" si="212"/>
        <v>27962</v>
      </c>
      <c r="R1485" s="86">
        <f t="shared" si="211"/>
        <v>50</v>
      </c>
      <c r="S1485" s="315">
        <v>2.796119692E9</v>
      </c>
      <c r="T1485" s="315" t="s">
        <v>378</v>
      </c>
      <c r="U1485" s="291" t="s">
        <v>165</v>
      </c>
      <c r="V1485" s="76" t="s">
        <v>607</v>
      </c>
      <c r="W1485" s="86"/>
      <c r="X1485" s="97"/>
      <c r="Y1485" s="97"/>
      <c r="Z1485" s="97"/>
      <c r="AA1485" s="97"/>
      <c r="AB1485" s="97"/>
      <c r="AC1485" s="97" t="s">
        <v>1566</v>
      </c>
      <c r="AD1485" s="97"/>
      <c r="AE1485" s="76" t="s">
        <v>311</v>
      </c>
      <c r="AF1485" s="76" t="s">
        <v>7794</v>
      </c>
      <c r="AG1485" s="76"/>
      <c r="AH1485" s="97"/>
      <c r="AI1485" s="67"/>
      <c r="AJ1485" s="67"/>
      <c r="AK1485" s="70"/>
      <c r="AL1485" s="70"/>
      <c r="AM1485" s="135"/>
      <c r="AN1485" s="135"/>
      <c r="AO1485" s="70"/>
      <c r="AP1485" s="70"/>
      <c r="AQ1485" s="67"/>
      <c r="AR1485" s="67"/>
      <c r="AS1485" s="67"/>
      <c r="AT1485" s="67"/>
    </row>
    <row r="1486">
      <c r="A1486" s="76" t="s">
        <v>116</v>
      </c>
      <c r="B1486" s="77" t="s">
        <v>3722</v>
      </c>
      <c r="C1486" s="77" t="s">
        <v>7267</v>
      </c>
      <c r="D1486" s="77" t="s">
        <v>7574</v>
      </c>
      <c r="E1486" s="78" t="s">
        <v>786</v>
      </c>
      <c r="F1486" s="80" t="s">
        <v>7372</v>
      </c>
      <c r="G1486" s="77" t="s">
        <v>1501</v>
      </c>
      <c r="H1486" s="77" t="s">
        <v>60</v>
      </c>
      <c r="I1486" s="87" t="s">
        <v>1221</v>
      </c>
      <c r="J1486" s="109" t="s">
        <v>114</v>
      </c>
      <c r="K1486" s="118" t="s">
        <v>12619</v>
      </c>
      <c r="L1486" s="85" t="s">
        <v>239</v>
      </c>
      <c r="M1486" s="109" t="s">
        <v>60</v>
      </c>
      <c r="N1486" s="97" t="s">
        <v>1499</v>
      </c>
      <c r="O1486" s="85" t="s">
        <v>1500</v>
      </c>
      <c r="P1486" s="1089">
        <v>28494.0</v>
      </c>
      <c r="Q1486" s="315">
        <f t="shared" si="212"/>
        <v>28494</v>
      </c>
      <c r="R1486" s="86">
        <f t="shared" si="211"/>
        <v>48</v>
      </c>
      <c r="S1486" s="315">
        <v>2.849318652E9</v>
      </c>
      <c r="T1486" s="315" t="s">
        <v>1511</v>
      </c>
      <c r="U1486" s="372" t="s">
        <v>165</v>
      </c>
      <c r="V1486" s="76" t="s">
        <v>607</v>
      </c>
      <c r="W1486" s="86"/>
      <c r="X1486" s="226"/>
      <c r="Y1486" s="97"/>
      <c r="Z1486" s="97"/>
      <c r="AA1486" s="97"/>
      <c r="AB1486" s="97"/>
      <c r="AC1486" s="97" t="s">
        <v>1566</v>
      </c>
      <c r="AD1486" s="99"/>
      <c r="AE1486" s="85" t="s">
        <v>969</v>
      </c>
      <c r="AF1486" s="76" t="s">
        <v>7794</v>
      </c>
      <c r="AG1486" s="76"/>
      <c r="AH1486" s="76" t="s">
        <v>12620</v>
      </c>
      <c r="AI1486" s="67"/>
      <c r="AJ1486" s="67"/>
      <c r="AK1486" s="70"/>
      <c r="AL1486" s="70"/>
      <c r="AM1486" s="135"/>
      <c r="AN1486" s="135"/>
      <c r="AO1486" s="70"/>
      <c r="AP1486" s="70"/>
      <c r="AQ1486" s="67"/>
      <c r="AR1486" s="67"/>
      <c r="AS1486" s="67"/>
      <c r="AT1486" s="67"/>
    </row>
    <row r="1487">
      <c r="A1487" s="76" t="s">
        <v>116</v>
      </c>
      <c r="B1487" s="77" t="s">
        <v>3722</v>
      </c>
      <c r="C1487" s="77" t="s">
        <v>3724</v>
      </c>
      <c r="D1487" s="77" t="s">
        <v>8128</v>
      </c>
      <c r="E1487" s="78" t="s">
        <v>786</v>
      </c>
      <c r="F1487" s="80" t="s">
        <v>1216</v>
      </c>
      <c r="G1487" s="77" t="s">
        <v>1625</v>
      </c>
      <c r="H1487" s="77" t="s">
        <v>60</v>
      </c>
      <c r="I1487" s="87" t="s">
        <v>1221</v>
      </c>
      <c r="J1487" s="109" t="s">
        <v>114</v>
      </c>
      <c r="K1487" s="85" t="s">
        <v>12621</v>
      </c>
      <c r="L1487" s="85" t="s">
        <v>239</v>
      </c>
      <c r="M1487" s="85" t="s">
        <v>60</v>
      </c>
      <c r="N1487" s="157" t="s">
        <v>1621</v>
      </c>
      <c r="O1487" s="76" t="s">
        <v>1623</v>
      </c>
      <c r="P1487" s="523">
        <v>31234.0</v>
      </c>
      <c r="Q1487" s="315">
        <f t="shared" si="212"/>
        <v>31234</v>
      </c>
      <c r="R1487" s="86">
        <f t="shared" si="211"/>
        <v>41</v>
      </c>
      <c r="S1487" s="76">
        <v>3.123309253E9</v>
      </c>
      <c r="T1487" s="315"/>
      <c r="U1487" s="76" t="s">
        <v>165</v>
      </c>
      <c r="V1487" s="76" t="s">
        <v>566</v>
      </c>
      <c r="W1487" s="76"/>
      <c r="X1487" s="97"/>
      <c r="Y1487" s="97"/>
      <c r="Z1487" s="474" t="s">
        <v>184</v>
      </c>
      <c r="AA1487" s="97"/>
      <c r="AB1487" s="97"/>
      <c r="AC1487" s="76" t="s">
        <v>1566</v>
      </c>
      <c r="AD1487" s="76"/>
      <c r="AE1487" s="76" t="s">
        <v>901</v>
      </c>
      <c r="AF1487" s="76" t="s">
        <v>10054</v>
      </c>
      <c r="AG1487" s="189"/>
      <c r="AH1487" s="112"/>
      <c r="AI1487" s="67"/>
      <c r="AJ1487" s="67"/>
      <c r="AK1487" s="70"/>
      <c r="AL1487" s="70"/>
      <c r="AM1487" s="135"/>
      <c r="AN1487" s="135"/>
      <c r="AO1487" s="70"/>
      <c r="AP1487" s="70"/>
      <c r="AQ1487" s="67"/>
      <c r="AR1487" s="67"/>
      <c r="AS1487" s="67"/>
      <c r="AT1487" s="67"/>
    </row>
    <row r="1488">
      <c r="A1488" s="76" t="s">
        <v>116</v>
      </c>
      <c r="B1488" s="77" t="s">
        <v>3722</v>
      </c>
      <c r="C1488" s="77" t="s">
        <v>3724</v>
      </c>
      <c r="D1488" s="77" t="s">
        <v>8222</v>
      </c>
      <c r="E1488" s="78" t="s">
        <v>786</v>
      </c>
      <c r="F1488" s="80" t="s">
        <v>1216</v>
      </c>
      <c r="G1488" s="77" t="s">
        <v>1642</v>
      </c>
      <c r="H1488" s="77" t="s">
        <v>60</v>
      </c>
      <c r="I1488" s="87" t="s">
        <v>1221</v>
      </c>
      <c r="J1488" s="76" t="s">
        <v>114</v>
      </c>
      <c r="K1488" s="176" t="s">
        <v>12622</v>
      </c>
      <c r="L1488" s="85" t="s">
        <v>239</v>
      </c>
      <c r="M1488" s="85" t="s">
        <v>60</v>
      </c>
      <c r="N1488" s="76" t="s">
        <v>597</v>
      </c>
      <c r="O1488" s="341" t="s">
        <v>598</v>
      </c>
      <c r="P1488" s="825">
        <v>34138.0</v>
      </c>
      <c r="Q1488" s="315">
        <f t="shared" si="212"/>
        <v>34138</v>
      </c>
      <c r="R1488" s="97">
        <f t="shared" si="211"/>
        <v>33</v>
      </c>
      <c r="S1488" s="76">
        <v>3.413703998E9</v>
      </c>
      <c r="T1488" s="168"/>
      <c r="U1488" s="291" t="s">
        <v>165</v>
      </c>
      <c r="V1488" s="76" t="s">
        <v>583</v>
      </c>
      <c r="W1488" s="97"/>
      <c r="X1488" s="97"/>
      <c r="Y1488" s="168"/>
      <c r="Z1488" s="176" t="s">
        <v>1460</v>
      </c>
      <c r="AA1488" s="168"/>
      <c r="AB1488" s="97"/>
      <c r="AC1488" s="76" t="s">
        <v>1566</v>
      </c>
      <c r="AD1488" s="168"/>
      <c r="AE1488" s="76" t="s">
        <v>901</v>
      </c>
      <c r="AF1488" s="76" t="s">
        <v>2159</v>
      </c>
      <c r="AG1488" s="168"/>
      <c r="AH1488" s="167" t="s">
        <v>12623</v>
      </c>
      <c r="AI1488" s="67"/>
      <c r="AJ1488" s="67"/>
      <c r="AK1488" s="70"/>
      <c r="AL1488" s="70"/>
      <c r="AM1488" s="135"/>
      <c r="AN1488" s="135"/>
      <c r="AO1488" s="70"/>
      <c r="AP1488" s="70"/>
      <c r="AQ1488" s="67"/>
      <c r="AR1488" s="67"/>
      <c r="AS1488" s="67"/>
      <c r="AT1488" s="67"/>
    </row>
    <row r="1489">
      <c r="A1489" s="76" t="s">
        <v>116</v>
      </c>
      <c r="B1489" s="77" t="s">
        <v>3454</v>
      </c>
      <c r="C1489" s="77" t="s">
        <v>3813</v>
      </c>
      <c r="D1489" s="77" t="s">
        <v>121</v>
      </c>
      <c r="E1489" s="78" t="s">
        <v>1431</v>
      </c>
      <c r="F1489" s="80" t="s">
        <v>1437</v>
      </c>
      <c r="G1489" s="77" t="s">
        <v>10308</v>
      </c>
      <c r="H1489" s="77" t="s">
        <v>60</v>
      </c>
      <c r="I1489" s="87" t="s">
        <v>1221</v>
      </c>
      <c r="J1489" s="87" t="s">
        <v>114</v>
      </c>
      <c r="K1489" s="118" t="s">
        <v>12624</v>
      </c>
      <c r="L1489" s="85" t="s">
        <v>239</v>
      </c>
      <c r="M1489" s="87" t="s">
        <v>60</v>
      </c>
      <c r="N1489" s="86" t="s">
        <v>3585</v>
      </c>
      <c r="O1489" s="87" t="s">
        <v>3586</v>
      </c>
      <c r="P1489" s="1089">
        <v>28767.0</v>
      </c>
      <c r="Q1489" s="315">
        <f t="shared" si="212"/>
        <v>28767</v>
      </c>
      <c r="R1489" s="86">
        <f t="shared" si="211"/>
        <v>47</v>
      </c>
      <c r="S1489" s="315">
        <v>2.876612419E9</v>
      </c>
      <c r="T1489" s="315" t="s">
        <v>378</v>
      </c>
      <c r="U1489" s="124" t="s">
        <v>379</v>
      </c>
      <c r="V1489" s="76" t="s">
        <v>607</v>
      </c>
      <c r="W1489" s="86"/>
      <c r="X1489" s="97"/>
      <c r="Y1489" s="86"/>
      <c r="Z1489" s="86"/>
      <c r="AA1489" s="86"/>
      <c r="AB1489" s="97"/>
      <c r="AC1489" s="76" t="s">
        <v>389</v>
      </c>
      <c r="AD1489" s="99"/>
      <c r="AE1489" s="76" t="s">
        <v>389</v>
      </c>
      <c r="AF1489" s="76" t="s">
        <v>155</v>
      </c>
      <c r="AG1489" s="76"/>
      <c r="AH1489" s="85" t="s">
        <v>12625</v>
      </c>
      <c r="AI1489" s="67"/>
      <c r="AJ1489" s="67"/>
      <c r="AK1489" s="70"/>
      <c r="AL1489" s="70"/>
      <c r="AM1489" s="135"/>
      <c r="AN1489" s="135"/>
      <c r="AO1489" s="70"/>
      <c r="AP1489" s="70"/>
      <c r="AQ1489" s="67"/>
      <c r="AR1489" s="67"/>
      <c r="AS1489" s="67"/>
      <c r="AT1489" s="67"/>
    </row>
    <row r="1490">
      <c r="A1490" s="76" t="s">
        <v>116</v>
      </c>
      <c r="B1490" s="77" t="s">
        <v>3722</v>
      </c>
      <c r="C1490" s="77" t="s">
        <v>3724</v>
      </c>
      <c r="D1490" s="77" t="s">
        <v>8222</v>
      </c>
      <c r="E1490" s="78" t="s">
        <v>786</v>
      </c>
      <c r="F1490" s="80" t="s">
        <v>1216</v>
      </c>
      <c r="G1490" s="77" t="s">
        <v>1642</v>
      </c>
      <c r="H1490" s="77" t="s">
        <v>60</v>
      </c>
      <c r="I1490" s="87" t="s">
        <v>1221</v>
      </c>
      <c r="J1490" s="226"/>
      <c r="K1490" s="85" t="s">
        <v>12626</v>
      </c>
      <c r="L1490" s="85" t="s">
        <v>239</v>
      </c>
      <c r="M1490" s="87" t="s">
        <v>60</v>
      </c>
      <c r="N1490" s="97" t="s">
        <v>1638</v>
      </c>
      <c r="O1490" s="97" t="s">
        <v>1639</v>
      </c>
      <c r="P1490" s="754"/>
      <c r="Q1490" s="226"/>
      <c r="R1490" s="226"/>
      <c r="S1490" s="226"/>
      <c r="T1490" s="226"/>
      <c r="U1490" s="372" t="s">
        <v>165</v>
      </c>
      <c r="V1490" s="76" t="s">
        <v>566</v>
      </c>
      <c r="W1490" s="86"/>
      <c r="X1490" s="97"/>
      <c r="Y1490" s="86"/>
      <c r="Z1490" s="344" t="s">
        <v>12627</v>
      </c>
      <c r="AA1490" s="86"/>
      <c r="AB1490" s="97"/>
      <c r="AC1490" s="97" t="s">
        <v>1566</v>
      </c>
      <c r="AD1490" s="76"/>
      <c r="AE1490" s="76" t="s">
        <v>901</v>
      </c>
      <c r="AF1490" s="76" t="s">
        <v>3853</v>
      </c>
      <c r="AG1490" s="226"/>
      <c r="AH1490" s="226"/>
      <c r="AI1490" s="67"/>
      <c r="AJ1490" s="67"/>
      <c r="AK1490" s="70"/>
      <c r="AL1490" s="70"/>
      <c r="AM1490" s="135"/>
      <c r="AN1490" s="135"/>
      <c r="AO1490" s="70"/>
      <c r="AP1490" s="70"/>
      <c r="AQ1490" s="67"/>
      <c r="AR1490" s="67"/>
      <c r="AS1490" s="67"/>
      <c r="AT1490" s="67"/>
    </row>
    <row r="1491">
      <c r="A1491" s="76" t="s">
        <v>116</v>
      </c>
      <c r="B1491" s="77" t="s">
        <v>1433</v>
      </c>
      <c r="C1491" s="77" t="s">
        <v>121</v>
      </c>
      <c r="D1491" s="77" t="s">
        <v>121</v>
      </c>
      <c r="E1491" s="78" t="s">
        <v>1466</v>
      </c>
      <c r="F1491" s="80" t="s">
        <v>8333</v>
      </c>
      <c r="G1491" s="77" t="s">
        <v>1672</v>
      </c>
      <c r="H1491" s="77" t="s">
        <v>326</v>
      </c>
      <c r="I1491" s="87" t="s">
        <v>1221</v>
      </c>
      <c r="J1491" s="85" t="s">
        <v>114</v>
      </c>
      <c r="K1491" s="176" t="s">
        <v>12628</v>
      </c>
      <c r="L1491" s="76" t="s">
        <v>239</v>
      </c>
      <c r="M1491" s="85" t="s">
        <v>60</v>
      </c>
      <c r="N1491" s="76" t="s">
        <v>3023</v>
      </c>
      <c r="O1491" s="76" t="s">
        <v>1366</v>
      </c>
      <c r="P1491" s="523">
        <v>34414.0</v>
      </c>
      <c r="Q1491" s="315">
        <f t="shared" ref="Q1491:Q1504" si="213">VALUE(LEFT(TEXT(S1491,0),5))+1</f>
        <v>34414</v>
      </c>
      <c r="R1491" s="86">
        <f t="shared" ref="R1491:R1504" si="214">DATEDIF($P1491,TODAY(),"Y")</f>
        <v>32</v>
      </c>
      <c r="S1491" s="76">
        <v>3.441312712E9</v>
      </c>
      <c r="T1491" s="86"/>
      <c r="U1491" s="76" t="s">
        <v>379</v>
      </c>
      <c r="V1491" s="76"/>
      <c r="W1491" s="76"/>
      <c r="X1491" s="76"/>
      <c r="Y1491" s="167"/>
      <c r="Z1491" s="234" t="s">
        <v>1351</v>
      </c>
      <c r="AA1491" s="168"/>
      <c r="AB1491" s="97"/>
      <c r="AC1491" s="76" t="s">
        <v>389</v>
      </c>
      <c r="AD1491" s="235">
        <v>46193.0</v>
      </c>
      <c r="AE1491" s="76" t="s">
        <v>389</v>
      </c>
      <c r="AF1491" s="76" t="s">
        <v>1359</v>
      </c>
      <c r="AG1491" s="76"/>
      <c r="AH1491" s="153">
        <v>46142.0</v>
      </c>
      <c r="AI1491" s="67"/>
      <c r="AJ1491" s="67"/>
      <c r="AK1491" s="70"/>
      <c r="AL1491" s="70"/>
      <c r="AM1491" s="135"/>
      <c r="AN1491" s="135"/>
      <c r="AO1491" s="70"/>
      <c r="AP1491" s="70"/>
      <c r="AQ1491" s="67"/>
      <c r="AR1491" s="67"/>
      <c r="AS1491" s="67"/>
      <c r="AT1491" s="67"/>
    </row>
    <row r="1492">
      <c r="A1492" s="76" t="s">
        <v>116</v>
      </c>
      <c r="B1492" s="77" t="s">
        <v>3454</v>
      </c>
      <c r="C1492" s="77" t="s">
        <v>6209</v>
      </c>
      <c r="D1492" s="77" t="s">
        <v>121</v>
      </c>
      <c r="E1492" s="78" t="s">
        <v>106</v>
      </c>
      <c r="F1492" s="80" t="s">
        <v>10296</v>
      </c>
      <c r="G1492" s="77" t="s">
        <v>2304</v>
      </c>
      <c r="H1492" s="77" t="s">
        <v>360</v>
      </c>
      <c r="I1492" s="146" t="s">
        <v>408</v>
      </c>
      <c r="J1492" s="109" t="s">
        <v>114</v>
      </c>
      <c r="K1492" s="118" t="s">
        <v>12629</v>
      </c>
      <c r="L1492" s="85" t="s">
        <v>239</v>
      </c>
      <c r="M1492" s="87" t="s">
        <v>1144</v>
      </c>
      <c r="N1492" s="97" t="s">
        <v>2302</v>
      </c>
      <c r="O1492" s="109" t="s">
        <v>2303</v>
      </c>
      <c r="P1492" s="1089">
        <v>27177.0</v>
      </c>
      <c r="Q1492" s="315">
        <f t="shared" si="213"/>
        <v>27177</v>
      </c>
      <c r="R1492" s="86">
        <f t="shared" si="214"/>
        <v>52</v>
      </c>
      <c r="S1492" s="315" t="s">
        <v>12630</v>
      </c>
      <c r="T1492" s="315" t="s">
        <v>1479</v>
      </c>
      <c r="U1492" s="76" t="s">
        <v>379</v>
      </c>
      <c r="V1492" s="76" t="s">
        <v>546</v>
      </c>
      <c r="W1492" s="97"/>
      <c r="X1492" s="97"/>
      <c r="Y1492" s="97"/>
      <c r="Z1492" s="97"/>
      <c r="AA1492" s="97"/>
      <c r="AB1492" s="97"/>
      <c r="AC1492" s="76" t="s">
        <v>389</v>
      </c>
      <c r="AD1492" s="97"/>
      <c r="AE1492" s="76" t="s">
        <v>389</v>
      </c>
      <c r="AF1492" s="76"/>
      <c r="AG1492" s="76" t="s">
        <v>1153</v>
      </c>
      <c r="AH1492" s="76" t="s">
        <v>9298</v>
      </c>
      <c r="AI1492" s="67"/>
      <c r="AJ1492" s="67"/>
      <c r="AK1492" s="70"/>
      <c r="AL1492" s="70"/>
      <c r="AM1492" s="135"/>
      <c r="AN1492" s="135"/>
      <c r="AO1492" s="70"/>
      <c r="AP1492" s="70"/>
      <c r="AQ1492" s="67"/>
      <c r="AR1492" s="67"/>
      <c r="AS1492" s="67"/>
      <c r="AT1492" s="67"/>
    </row>
    <row r="1493">
      <c r="A1493" s="76" t="s">
        <v>116</v>
      </c>
      <c r="B1493" s="77" t="s">
        <v>3297</v>
      </c>
      <c r="C1493" s="77" t="s">
        <v>3298</v>
      </c>
      <c r="D1493" s="77" t="s">
        <v>121</v>
      </c>
      <c r="E1493" s="78" t="s">
        <v>1536</v>
      </c>
      <c r="F1493" s="80" t="s">
        <v>3299</v>
      </c>
      <c r="G1493" s="77" t="s">
        <v>1913</v>
      </c>
      <c r="H1493" s="77" t="s">
        <v>60</v>
      </c>
      <c r="I1493" s="87" t="s">
        <v>1221</v>
      </c>
      <c r="J1493" s="76" t="s">
        <v>114</v>
      </c>
      <c r="K1493" s="176" t="s">
        <v>1602</v>
      </c>
      <c r="L1493" s="47"/>
      <c r="M1493" s="85" t="s">
        <v>60</v>
      </c>
      <c r="N1493" s="286" t="s">
        <v>8585</v>
      </c>
      <c r="O1493" s="76" t="s">
        <v>10506</v>
      </c>
      <c r="P1493" s="523">
        <v>30184.0</v>
      </c>
      <c r="Q1493" s="315">
        <f t="shared" si="213"/>
        <v>30184</v>
      </c>
      <c r="R1493" s="86">
        <f t="shared" si="214"/>
        <v>44</v>
      </c>
      <c r="S1493" s="76">
        <v>3.018318015E9</v>
      </c>
      <c r="T1493" s="76" t="s">
        <v>378</v>
      </c>
      <c r="U1493" s="76" t="s">
        <v>136</v>
      </c>
      <c r="V1493" s="76"/>
      <c r="W1493" s="76"/>
      <c r="X1493" s="76"/>
      <c r="Y1493" s="97"/>
      <c r="Z1493" s="216" t="s">
        <v>1815</v>
      </c>
      <c r="AA1493" s="76"/>
      <c r="AB1493" s="97"/>
      <c r="AC1493" s="76" t="s">
        <v>4994</v>
      </c>
      <c r="AD1493" s="217">
        <v>46229.0</v>
      </c>
      <c r="AE1493" s="76"/>
      <c r="AF1493" s="76" t="s">
        <v>12036</v>
      </c>
      <c r="AG1493" s="76" t="s">
        <v>1187</v>
      </c>
      <c r="AH1493" s="153">
        <v>46234.0</v>
      </c>
      <c r="AI1493" s="67"/>
      <c r="AJ1493" s="67"/>
      <c r="AK1493" s="70"/>
      <c r="AL1493" s="70"/>
      <c r="AM1493" s="135"/>
      <c r="AN1493" s="135"/>
      <c r="AO1493" s="70"/>
      <c r="AP1493" s="70"/>
      <c r="AQ1493" s="67"/>
      <c r="AR1493" s="67"/>
      <c r="AS1493" s="67"/>
      <c r="AT1493" s="67"/>
    </row>
    <row r="1494">
      <c r="A1494" s="76" t="s">
        <v>116</v>
      </c>
      <c r="B1494" s="77" t="s">
        <v>3898</v>
      </c>
      <c r="C1494" s="77" t="s">
        <v>8583</v>
      </c>
      <c r="D1494" s="77" t="s">
        <v>121</v>
      </c>
      <c r="E1494" s="78" t="s">
        <v>178</v>
      </c>
      <c r="F1494" s="80" t="s">
        <v>9312</v>
      </c>
      <c r="G1494" s="77" t="s">
        <v>243</v>
      </c>
      <c r="H1494" s="77" t="s">
        <v>102</v>
      </c>
      <c r="I1494" s="146" t="s">
        <v>408</v>
      </c>
      <c r="J1494" s="97" t="s">
        <v>114</v>
      </c>
      <c r="K1494" s="176" t="s">
        <v>12631</v>
      </c>
      <c r="L1494" s="85" t="s">
        <v>239</v>
      </c>
      <c r="M1494" s="85" t="s">
        <v>102</v>
      </c>
      <c r="N1494" s="97" t="s">
        <v>300</v>
      </c>
      <c r="O1494" s="97" t="s">
        <v>301</v>
      </c>
      <c r="P1494" s="1135">
        <v>34567.0</v>
      </c>
      <c r="Q1494" s="315">
        <f t="shared" si="213"/>
        <v>34567</v>
      </c>
      <c r="R1494" s="86">
        <f t="shared" si="214"/>
        <v>32</v>
      </c>
      <c r="S1494" s="315">
        <v>3.456610173E9</v>
      </c>
      <c r="T1494" s="315" t="s">
        <v>378</v>
      </c>
      <c r="U1494" s="76" t="s">
        <v>379</v>
      </c>
      <c r="V1494" s="76"/>
      <c r="W1494" s="184"/>
      <c r="X1494" s="97"/>
      <c r="Y1494" s="97" t="s">
        <v>1174</v>
      </c>
      <c r="Z1494" s="289" t="s">
        <v>1725</v>
      </c>
      <c r="AA1494" s="184"/>
      <c r="AB1494" s="184"/>
      <c r="AC1494" s="76" t="s">
        <v>389</v>
      </c>
      <c r="AD1494" s="185"/>
      <c r="AE1494" s="76" t="s">
        <v>389</v>
      </c>
      <c r="AF1494" s="184"/>
      <c r="AG1494" s="754"/>
      <c r="AH1494" s="187"/>
      <c r="AI1494" s="67"/>
      <c r="AJ1494" s="67"/>
      <c r="AK1494" s="70"/>
      <c r="AL1494" s="70"/>
      <c r="AM1494" s="135"/>
      <c r="AN1494" s="135"/>
      <c r="AO1494" s="70"/>
      <c r="AP1494" s="70"/>
      <c r="AQ1494" s="67"/>
      <c r="AR1494" s="67"/>
      <c r="AS1494" s="67"/>
      <c r="AT1494" s="67"/>
    </row>
    <row r="1495">
      <c r="A1495" s="76" t="s">
        <v>116</v>
      </c>
      <c r="B1495" s="77" t="s">
        <v>3898</v>
      </c>
      <c r="C1495" s="77" t="s">
        <v>8583</v>
      </c>
      <c r="D1495" s="77" t="s">
        <v>121</v>
      </c>
      <c r="E1495" s="78" t="s">
        <v>1536</v>
      </c>
      <c r="F1495" s="80" t="s">
        <v>3915</v>
      </c>
      <c r="G1495" s="77" t="s">
        <v>8883</v>
      </c>
      <c r="H1495" s="77" t="s">
        <v>60</v>
      </c>
      <c r="I1495" s="87" t="s">
        <v>1221</v>
      </c>
      <c r="J1495" s="85" t="s">
        <v>114</v>
      </c>
      <c r="K1495" s="176" t="s">
        <v>12632</v>
      </c>
      <c r="L1495" s="76" t="s">
        <v>239</v>
      </c>
      <c r="M1495" s="85" t="s">
        <v>60</v>
      </c>
      <c r="N1495" s="76" t="s">
        <v>3104</v>
      </c>
      <c r="O1495" s="76" t="s">
        <v>3105</v>
      </c>
      <c r="P1495" s="523">
        <v>30033.0</v>
      </c>
      <c r="Q1495" s="315">
        <f t="shared" si="213"/>
        <v>30033</v>
      </c>
      <c r="R1495" s="86">
        <f t="shared" si="214"/>
        <v>44</v>
      </c>
      <c r="S1495" s="76">
        <v>3.00320635E9</v>
      </c>
      <c r="T1495" s="86"/>
      <c r="U1495" s="76" t="s">
        <v>379</v>
      </c>
      <c r="V1495" s="76" t="s">
        <v>425</v>
      </c>
      <c r="W1495" s="76"/>
      <c r="X1495" s="76"/>
      <c r="Y1495" s="167"/>
      <c r="Z1495" s="234" t="s">
        <v>1351</v>
      </c>
      <c r="AA1495" s="168"/>
      <c r="AB1495" s="97"/>
      <c r="AC1495" s="76" t="s">
        <v>389</v>
      </c>
      <c r="AD1495" s="168"/>
      <c r="AE1495" s="76" t="s">
        <v>389</v>
      </c>
      <c r="AF1495" s="76" t="s">
        <v>2534</v>
      </c>
      <c r="AG1495" s="76"/>
      <c r="AH1495" s="291" t="s">
        <v>12633</v>
      </c>
      <c r="AI1495" s="67"/>
      <c r="AJ1495" s="67"/>
      <c r="AK1495" s="70"/>
      <c r="AL1495" s="70"/>
      <c r="AM1495" s="135"/>
      <c r="AN1495" s="135"/>
      <c r="AO1495" s="70"/>
      <c r="AP1495" s="70"/>
      <c r="AQ1495" s="67"/>
      <c r="AR1495" s="67"/>
      <c r="AS1495" s="67"/>
      <c r="AT1495" s="67"/>
    </row>
    <row r="1496">
      <c r="A1496" s="76" t="s">
        <v>116</v>
      </c>
      <c r="B1496" s="77" t="s">
        <v>3454</v>
      </c>
      <c r="C1496" s="77" t="s">
        <v>10262</v>
      </c>
      <c r="D1496" s="77" t="s">
        <v>121</v>
      </c>
      <c r="E1496" s="78" t="s">
        <v>178</v>
      </c>
      <c r="F1496" s="80" t="s">
        <v>10263</v>
      </c>
      <c r="G1496" s="77" t="s">
        <v>2275</v>
      </c>
      <c r="H1496" s="77" t="s">
        <v>102</v>
      </c>
      <c r="I1496" s="146" t="s">
        <v>408</v>
      </c>
      <c r="J1496" s="109" t="s">
        <v>114</v>
      </c>
      <c r="K1496" s="87"/>
      <c r="L1496" s="76" t="s">
        <v>239</v>
      </c>
      <c r="M1496" s="87" t="s">
        <v>102</v>
      </c>
      <c r="N1496" s="97" t="s">
        <v>8893</v>
      </c>
      <c r="O1496" s="109" t="s">
        <v>12634</v>
      </c>
      <c r="P1496" s="825">
        <v>35498.0</v>
      </c>
      <c r="Q1496" s="315">
        <f t="shared" si="213"/>
        <v>35498</v>
      </c>
      <c r="R1496" s="86">
        <f t="shared" si="214"/>
        <v>29</v>
      </c>
      <c r="S1496" s="315">
        <v>3.549704112E9</v>
      </c>
      <c r="T1496" s="315" t="s">
        <v>378</v>
      </c>
      <c r="U1496" s="76" t="s">
        <v>379</v>
      </c>
      <c r="V1496" s="76" t="s">
        <v>490</v>
      </c>
      <c r="W1496" s="97"/>
      <c r="X1496" s="97"/>
      <c r="Y1496" s="97"/>
      <c r="Z1496" s="97"/>
      <c r="AA1496" s="97"/>
      <c r="AB1496" s="97"/>
      <c r="AC1496" s="76" t="s">
        <v>389</v>
      </c>
      <c r="AD1496" s="97"/>
      <c r="AE1496" s="76" t="s">
        <v>389</v>
      </c>
      <c r="AF1496" s="99"/>
      <c r="AG1496" s="112"/>
      <c r="AH1496" s="99" t="s">
        <v>1080</v>
      </c>
      <c r="AI1496" s="67"/>
      <c r="AJ1496" s="67"/>
      <c r="AK1496" s="70"/>
      <c r="AL1496" s="70"/>
      <c r="AM1496" s="135"/>
      <c r="AN1496" s="135"/>
      <c r="AO1496" s="70"/>
      <c r="AP1496" s="70"/>
      <c r="AQ1496" s="67"/>
      <c r="AR1496" s="67"/>
      <c r="AS1496" s="67"/>
      <c r="AT1496" s="67"/>
    </row>
    <row r="1497">
      <c r="A1497" s="76" t="s">
        <v>116</v>
      </c>
      <c r="B1497" s="77" t="s">
        <v>3898</v>
      </c>
      <c r="C1497" s="77" t="s">
        <v>8616</v>
      </c>
      <c r="D1497" s="77" t="s">
        <v>121</v>
      </c>
      <c r="E1497" s="78" t="s">
        <v>178</v>
      </c>
      <c r="F1497" s="80" t="s">
        <v>9312</v>
      </c>
      <c r="G1497" s="77" t="s">
        <v>2540</v>
      </c>
      <c r="H1497" s="77" t="s">
        <v>102</v>
      </c>
      <c r="I1497" s="146" t="s">
        <v>408</v>
      </c>
      <c r="J1497" s="87" t="s">
        <v>114</v>
      </c>
      <c r="K1497" s="118" t="s">
        <v>12635</v>
      </c>
      <c r="L1497" s="85" t="s">
        <v>239</v>
      </c>
      <c r="M1497" s="85" t="s">
        <v>102</v>
      </c>
      <c r="N1497" s="86" t="s">
        <v>2780</v>
      </c>
      <c r="O1497" s="87" t="s">
        <v>2781</v>
      </c>
      <c r="P1497" s="825">
        <v>32493.0</v>
      </c>
      <c r="Q1497" s="315">
        <f t="shared" si="213"/>
        <v>32493</v>
      </c>
      <c r="R1497" s="86">
        <f t="shared" si="214"/>
        <v>37</v>
      </c>
      <c r="S1497" s="315">
        <v>3.249207539E9</v>
      </c>
      <c r="T1497" s="315" t="s">
        <v>1426</v>
      </c>
      <c r="U1497" s="443" t="s">
        <v>165</v>
      </c>
      <c r="V1497" s="76" t="s">
        <v>425</v>
      </c>
      <c r="W1497" s="86"/>
      <c r="X1497" s="97"/>
      <c r="Y1497" s="86"/>
      <c r="Z1497" s="86"/>
      <c r="AA1497" s="86"/>
      <c r="AB1497" s="97"/>
      <c r="AC1497" s="86" t="s">
        <v>1566</v>
      </c>
      <c r="AD1497" s="99"/>
      <c r="AE1497" s="85" t="s">
        <v>969</v>
      </c>
      <c r="AF1497" s="99"/>
      <c r="AG1497" s="112"/>
      <c r="AH1497" s="86"/>
      <c r="AI1497" s="67"/>
      <c r="AJ1497" s="67"/>
      <c r="AK1497" s="70"/>
      <c r="AL1497" s="70"/>
      <c r="AM1497" s="135"/>
      <c r="AN1497" s="135"/>
      <c r="AO1497" s="70"/>
      <c r="AP1497" s="70"/>
      <c r="AQ1497" s="67"/>
      <c r="AR1497" s="67"/>
      <c r="AS1497" s="67"/>
      <c r="AT1497" s="67"/>
    </row>
    <row r="1498">
      <c r="A1498" s="76" t="s">
        <v>116</v>
      </c>
      <c r="B1498" s="77" t="s">
        <v>3454</v>
      </c>
      <c r="C1498" s="77" t="s">
        <v>10223</v>
      </c>
      <c r="D1498" s="77" t="s">
        <v>121</v>
      </c>
      <c r="E1498" s="78" t="s">
        <v>3687</v>
      </c>
      <c r="F1498" s="80" t="s">
        <v>10236</v>
      </c>
      <c r="G1498" s="77" t="s">
        <v>10238</v>
      </c>
      <c r="H1498" s="77" t="s">
        <v>60</v>
      </c>
      <c r="I1498" s="87" t="s">
        <v>1221</v>
      </c>
      <c r="J1498" s="76" t="s">
        <v>114</v>
      </c>
      <c r="K1498" s="124" t="s">
        <v>12636</v>
      </c>
      <c r="L1498" s="85" t="s">
        <v>239</v>
      </c>
      <c r="M1498" s="85" t="s">
        <v>60</v>
      </c>
      <c r="N1498" s="76" t="s">
        <v>2848</v>
      </c>
      <c r="O1498" s="76" t="s">
        <v>2849</v>
      </c>
      <c r="P1498" s="523">
        <v>27819.0</v>
      </c>
      <c r="Q1498" s="315">
        <f t="shared" si="213"/>
        <v>27819</v>
      </c>
      <c r="R1498" s="86">
        <f t="shared" si="214"/>
        <v>50</v>
      </c>
      <c r="S1498" s="76">
        <v>2.781801833E9</v>
      </c>
      <c r="T1498" s="315" t="s">
        <v>1317</v>
      </c>
      <c r="U1498" s="76" t="s">
        <v>165</v>
      </c>
      <c r="V1498" s="76" t="s">
        <v>546</v>
      </c>
      <c r="W1498" s="76"/>
      <c r="X1498" s="76"/>
      <c r="Y1498" s="97" t="s">
        <v>1174</v>
      </c>
      <c r="Z1498" s="278" t="s">
        <v>2090</v>
      </c>
      <c r="AA1498" s="76"/>
      <c r="AB1498" s="97"/>
      <c r="AC1498" s="97"/>
      <c r="AD1498" s="99"/>
      <c r="AE1498" s="76" t="s">
        <v>259</v>
      </c>
      <c r="AF1498" s="76"/>
      <c r="AG1498" s="76"/>
      <c r="AH1498" s="76" t="s">
        <v>169</v>
      </c>
      <c r="AI1498" s="67"/>
      <c r="AJ1498" s="67"/>
      <c r="AK1498" s="70"/>
      <c r="AL1498" s="70"/>
      <c r="AM1498" s="135"/>
      <c r="AN1498" s="135"/>
      <c r="AO1498" s="70"/>
      <c r="AP1498" s="70"/>
      <c r="AQ1498" s="67"/>
      <c r="AR1498" s="67"/>
      <c r="AS1498" s="67"/>
      <c r="AT1498" s="67"/>
    </row>
    <row r="1499">
      <c r="A1499" s="76" t="s">
        <v>116</v>
      </c>
      <c r="B1499" s="77" t="s">
        <v>3898</v>
      </c>
      <c r="C1499" s="77" t="s">
        <v>3900</v>
      </c>
      <c r="D1499" s="77" t="s">
        <v>121</v>
      </c>
      <c r="E1499" s="78" t="s">
        <v>1978</v>
      </c>
      <c r="F1499" s="80" t="s">
        <v>7224</v>
      </c>
      <c r="G1499" s="77" t="s">
        <v>1980</v>
      </c>
      <c r="H1499" s="77" t="s">
        <v>60</v>
      </c>
      <c r="I1499" s="87" t="s">
        <v>1221</v>
      </c>
      <c r="J1499" s="76" t="s">
        <v>114</v>
      </c>
      <c r="K1499" s="176" t="s">
        <v>12637</v>
      </c>
      <c r="L1499" s="76" t="s">
        <v>239</v>
      </c>
      <c r="M1499" s="85" t="s">
        <v>60</v>
      </c>
      <c r="N1499" s="291" t="s">
        <v>2956</v>
      </c>
      <c r="O1499" s="76" t="s">
        <v>2958</v>
      </c>
      <c r="P1499" s="523">
        <v>29549.0</v>
      </c>
      <c r="Q1499" s="315">
        <f t="shared" si="213"/>
        <v>29549</v>
      </c>
      <c r="R1499" s="86">
        <f t="shared" si="214"/>
        <v>45</v>
      </c>
      <c r="S1499" s="76">
        <v>2.954813117E9</v>
      </c>
      <c r="T1499" s="86"/>
      <c r="U1499" s="76" t="s">
        <v>379</v>
      </c>
      <c r="V1499" s="76" t="s">
        <v>425</v>
      </c>
      <c r="W1499" s="76"/>
      <c r="X1499" s="76"/>
      <c r="Y1499" s="167"/>
      <c r="Z1499" s="234" t="s">
        <v>1351</v>
      </c>
      <c r="AA1499" s="168"/>
      <c r="AB1499" s="97"/>
      <c r="AC1499" s="76" t="s">
        <v>389</v>
      </c>
      <c r="AD1499" s="168"/>
      <c r="AE1499" s="76" t="s">
        <v>389</v>
      </c>
      <c r="AF1499" s="76"/>
      <c r="AG1499" s="76"/>
      <c r="AH1499" s="291" t="s">
        <v>12633</v>
      </c>
      <c r="AI1499" s="67"/>
      <c r="AJ1499" s="67"/>
      <c r="AK1499" s="70"/>
      <c r="AL1499" s="70"/>
      <c r="AM1499" s="135"/>
      <c r="AN1499" s="135"/>
      <c r="AO1499" s="70"/>
      <c r="AP1499" s="70"/>
      <c r="AQ1499" s="67"/>
      <c r="AR1499" s="67"/>
      <c r="AS1499" s="67"/>
      <c r="AT1499" s="67"/>
    </row>
    <row r="1500">
      <c r="A1500" s="76" t="s">
        <v>116</v>
      </c>
      <c r="B1500" s="77" t="s">
        <v>3898</v>
      </c>
      <c r="C1500" s="77" t="s">
        <v>3900</v>
      </c>
      <c r="D1500" s="77" t="s">
        <v>121</v>
      </c>
      <c r="E1500" s="78" t="s">
        <v>786</v>
      </c>
      <c r="F1500" s="80" t="s">
        <v>1216</v>
      </c>
      <c r="G1500" s="77" t="s">
        <v>1987</v>
      </c>
      <c r="H1500" s="77" t="s">
        <v>60</v>
      </c>
      <c r="I1500" s="87" t="s">
        <v>1221</v>
      </c>
      <c r="J1500" s="109" t="s">
        <v>114</v>
      </c>
      <c r="K1500" s="118" t="s">
        <v>12638</v>
      </c>
      <c r="L1500" s="85" t="s">
        <v>239</v>
      </c>
      <c r="M1500" s="109" t="s">
        <v>60</v>
      </c>
      <c r="N1500" s="97" t="s">
        <v>893</v>
      </c>
      <c r="O1500" s="109" t="s">
        <v>209</v>
      </c>
      <c r="P1500" s="825">
        <v>35704.0</v>
      </c>
      <c r="Q1500" s="315">
        <f t="shared" si="213"/>
        <v>35704</v>
      </c>
      <c r="R1500" s="86">
        <f t="shared" si="214"/>
        <v>28</v>
      </c>
      <c r="S1500" s="315">
        <v>3.570307495E9</v>
      </c>
      <c r="T1500" s="315" t="s">
        <v>378</v>
      </c>
      <c r="U1500" s="124" t="s">
        <v>165</v>
      </c>
      <c r="V1500" s="76" t="s">
        <v>607</v>
      </c>
      <c r="W1500" s="86"/>
      <c r="X1500" s="97"/>
      <c r="Y1500" s="97"/>
      <c r="Z1500" s="97"/>
      <c r="AA1500" s="97"/>
      <c r="AB1500" s="97"/>
      <c r="AC1500" s="97" t="s">
        <v>1566</v>
      </c>
      <c r="AD1500" s="99"/>
      <c r="AE1500" s="76" t="s">
        <v>969</v>
      </c>
      <c r="AF1500" s="76" t="s">
        <v>7794</v>
      </c>
      <c r="AG1500" s="76"/>
      <c r="AH1500" s="97"/>
      <c r="AI1500" s="67"/>
      <c r="AJ1500" s="67"/>
      <c r="AK1500" s="70"/>
      <c r="AL1500" s="70"/>
      <c r="AM1500" s="135"/>
      <c r="AN1500" s="135"/>
      <c r="AO1500" s="70"/>
      <c r="AP1500" s="70"/>
      <c r="AQ1500" s="67"/>
      <c r="AR1500" s="67"/>
      <c r="AS1500" s="67"/>
      <c r="AT1500" s="67"/>
    </row>
    <row r="1501">
      <c r="A1501" s="76" t="s">
        <v>116</v>
      </c>
      <c r="B1501" s="77" t="s">
        <v>3454</v>
      </c>
      <c r="C1501" s="77" t="s">
        <v>10223</v>
      </c>
      <c r="D1501" s="77" t="s">
        <v>121</v>
      </c>
      <c r="E1501" s="78" t="s">
        <v>3687</v>
      </c>
      <c r="F1501" s="80" t="s">
        <v>10236</v>
      </c>
      <c r="G1501" s="77" t="s">
        <v>10238</v>
      </c>
      <c r="H1501" s="77" t="s">
        <v>60</v>
      </c>
      <c r="I1501" s="87" t="s">
        <v>1221</v>
      </c>
      <c r="J1501" s="76" t="s">
        <v>114</v>
      </c>
      <c r="K1501" s="176" t="s">
        <v>1602</v>
      </c>
      <c r="L1501" s="47" t="s">
        <v>239</v>
      </c>
      <c r="M1501" s="85" t="s">
        <v>60</v>
      </c>
      <c r="N1501" s="157" t="s">
        <v>8293</v>
      </c>
      <c r="O1501" s="76" t="s">
        <v>12639</v>
      </c>
      <c r="P1501" s="523">
        <v>28659.0</v>
      </c>
      <c r="Q1501" s="315">
        <f t="shared" si="213"/>
        <v>28659</v>
      </c>
      <c r="R1501" s="86">
        <f t="shared" si="214"/>
        <v>48</v>
      </c>
      <c r="S1501" s="76">
        <v>2.865816874E9</v>
      </c>
      <c r="T1501" s="315"/>
      <c r="U1501" s="76" t="s">
        <v>379</v>
      </c>
      <c r="V1501" s="76" t="s">
        <v>425</v>
      </c>
      <c r="W1501" s="76"/>
      <c r="X1501" s="76"/>
      <c r="Y1501" s="97"/>
      <c r="Z1501" s="216" t="s">
        <v>1815</v>
      </c>
      <c r="AA1501" s="76"/>
      <c r="AB1501" s="97"/>
      <c r="AC1501" s="76" t="s">
        <v>389</v>
      </c>
      <c r="AD1501" s="76"/>
      <c r="AE1501" s="76" t="s">
        <v>389</v>
      </c>
      <c r="AF1501" s="76"/>
      <c r="AG1501" s="153"/>
      <c r="AH1501" s="153"/>
      <c r="AI1501" s="67"/>
      <c r="AJ1501" s="67"/>
      <c r="AK1501" s="70"/>
      <c r="AL1501" s="70"/>
      <c r="AM1501" s="135"/>
      <c r="AN1501" s="135"/>
      <c r="AO1501" s="70"/>
      <c r="AP1501" s="70"/>
      <c r="AQ1501" s="67"/>
      <c r="AR1501" s="67"/>
      <c r="AS1501" s="67"/>
      <c r="AT1501" s="67"/>
    </row>
    <row r="1502">
      <c r="A1502" s="76" t="s">
        <v>116</v>
      </c>
      <c r="B1502" s="77" t="s">
        <v>3898</v>
      </c>
      <c r="C1502" s="77" t="s">
        <v>3900</v>
      </c>
      <c r="D1502" s="77" t="s">
        <v>121</v>
      </c>
      <c r="E1502" s="78" t="s">
        <v>1536</v>
      </c>
      <c r="F1502" s="80" t="s">
        <v>3915</v>
      </c>
      <c r="G1502" s="77" t="s">
        <v>8873</v>
      </c>
      <c r="H1502" s="77" t="s">
        <v>60</v>
      </c>
      <c r="I1502" s="87" t="s">
        <v>1221</v>
      </c>
      <c r="J1502" s="195" t="s">
        <v>114</v>
      </c>
      <c r="K1502" s="194"/>
      <c r="L1502" s="76" t="s">
        <v>239</v>
      </c>
      <c r="M1502" s="195" t="s">
        <v>60</v>
      </c>
      <c r="N1502" s="189" t="s">
        <v>1739</v>
      </c>
      <c r="O1502" s="195" t="s">
        <v>1740</v>
      </c>
      <c r="P1502" s="315">
        <v>28700.0</v>
      </c>
      <c r="Q1502" s="852">
        <f t="shared" si="213"/>
        <v>28700</v>
      </c>
      <c r="R1502" s="189">
        <f t="shared" si="214"/>
        <v>48</v>
      </c>
      <c r="S1502" s="189">
        <v>2.869907476E9</v>
      </c>
      <c r="T1502" s="189" t="s">
        <v>378</v>
      </c>
      <c r="U1502" s="363" t="s">
        <v>165</v>
      </c>
      <c r="V1502" s="189" t="s">
        <v>607</v>
      </c>
      <c r="W1502" s="194"/>
      <c r="X1502" s="194"/>
      <c r="Y1502" s="194"/>
      <c r="Z1502" s="365" t="s">
        <v>1351</v>
      </c>
      <c r="AA1502" s="194"/>
      <c r="AB1502" s="194"/>
      <c r="AC1502" s="189" t="s">
        <v>1566</v>
      </c>
      <c r="AD1502" s="194"/>
      <c r="AE1502" s="189" t="s">
        <v>795</v>
      </c>
      <c r="AF1502" s="194"/>
      <c r="AG1502" s="194"/>
      <c r="AH1502" s="965"/>
      <c r="AI1502" s="67"/>
      <c r="AJ1502" s="67"/>
      <c r="AK1502" s="70"/>
      <c r="AL1502" s="70"/>
      <c r="AM1502" s="135"/>
      <c r="AN1502" s="135"/>
      <c r="AO1502" s="70"/>
      <c r="AP1502" s="70"/>
      <c r="AQ1502" s="67"/>
      <c r="AR1502" s="67"/>
      <c r="AS1502" s="67"/>
      <c r="AT1502" s="67"/>
    </row>
    <row r="1503">
      <c r="A1503" s="76" t="s">
        <v>116</v>
      </c>
      <c r="B1503" s="77" t="s">
        <v>6229</v>
      </c>
      <c r="C1503" s="77" t="s">
        <v>121</v>
      </c>
      <c r="D1503" s="77" t="s">
        <v>121</v>
      </c>
      <c r="E1503" s="78" t="s">
        <v>1536</v>
      </c>
      <c r="F1503" s="80" t="s">
        <v>6230</v>
      </c>
      <c r="G1503" s="77" t="s">
        <v>2158</v>
      </c>
      <c r="H1503" s="77" t="s">
        <v>60</v>
      </c>
      <c r="I1503" s="87" t="s">
        <v>1221</v>
      </c>
      <c r="J1503" s="76" t="s">
        <v>114</v>
      </c>
      <c r="K1503" s="76" t="s">
        <v>12640</v>
      </c>
      <c r="L1503" s="47"/>
      <c r="M1503" s="85" t="s">
        <v>610</v>
      </c>
      <c r="N1503" s="678" t="s">
        <v>11065</v>
      </c>
      <c r="O1503" s="76" t="s">
        <v>3316</v>
      </c>
      <c r="P1503" s="523">
        <v>31805.0</v>
      </c>
      <c r="Q1503" s="315">
        <f t="shared" si="213"/>
        <v>1</v>
      </c>
      <c r="R1503" s="86">
        <f t="shared" si="214"/>
        <v>39</v>
      </c>
      <c r="S1503" s="76"/>
      <c r="T1503" s="76"/>
      <c r="U1503" s="76" t="s">
        <v>368</v>
      </c>
      <c r="V1503" s="76"/>
      <c r="W1503" s="76"/>
      <c r="X1503" s="76"/>
      <c r="Y1503" s="276" t="s">
        <v>12473</v>
      </c>
      <c r="Z1503" s="97"/>
      <c r="AA1503" s="76" t="s">
        <v>1178</v>
      </c>
      <c r="AB1503" s="76"/>
      <c r="AC1503" s="76"/>
      <c r="AD1503" s="153">
        <v>46235.0</v>
      </c>
      <c r="AE1503" s="76"/>
      <c r="AF1503" s="76"/>
      <c r="AG1503" s="76" t="s">
        <v>1187</v>
      </c>
      <c r="AH1503" s="153">
        <v>46235.0</v>
      </c>
      <c r="AI1503" s="67"/>
      <c r="AJ1503" s="67"/>
      <c r="AK1503" s="70"/>
      <c r="AL1503" s="70"/>
      <c r="AM1503" s="135"/>
      <c r="AN1503" s="135"/>
      <c r="AO1503" s="70"/>
      <c r="AP1503" s="70"/>
      <c r="AQ1503" s="67"/>
      <c r="AR1503" s="67"/>
      <c r="AS1503" s="67"/>
      <c r="AT1503" s="67"/>
    </row>
    <row r="1504">
      <c r="A1504" s="76" t="s">
        <v>116</v>
      </c>
      <c r="B1504" s="77" t="s">
        <v>3454</v>
      </c>
      <c r="C1504" s="77" t="s">
        <v>7302</v>
      </c>
      <c r="D1504" s="77" t="s">
        <v>121</v>
      </c>
      <c r="E1504" s="78" t="s">
        <v>5569</v>
      </c>
      <c r="F1504" s="80" t="s">
        <v>10170</v>
      </c>
      <c r="G1504" s="77" t="s">
        <v>10171</v>
      </c>
      <c r="H1504" s="77" t="s">
        <v>326</v>
      </c>
      <c r="I1504" s="87" t="s">
        <v>1221</v>
      </c>
      <c r="J1504" s="76" t="s">
        <v>114</v>
      </c>
      <c r="K1504" s="124" t="s">
        <v>12641</v>
      </c>
      <c r="L1504" s="85" t="s">
        <v>239</v>
      </c>
      <c r="M1504" s="85" t="s">
        <v>60</v>
      </c>
      <c r="N1504" s="97" t="s">
        <v>1675</v>
      </c>
      <c r="O1504" s="27" t="s">
        <v>827</v>
      </c>
      <c r="P1504" s="825">
        <v>32208.0</v>
      </c>
      <c r="Q1504" s="315">
        <f t="shared" si="213"/>
        <v>32208</v>
      </c>
      <c r="R1504" s="97">
        <f t="shared" si="214"/>
        <v>38</v>
      </c>
      <c r="S1504" s="76">
        <v>3.220716455E9</v>
      </c>
      <c r="T1504" s="76" t="s">
        <v>1317</v>
      </c>
      <c r="U1504" s="76" t="s">
        <v>379</v>
      </c>
      <c r="V1504" s="76" t="s">
        <v>457</v>
      </c>
      <c r="W1504" s="76"/>
      <c r="X1504" s="76"/>
      <c r="Y1504" s="97"/>
      <c r="Z1504" s="278" t="s">
        <v>1613</v>
      </c>
      <c r="AA1504" s="76"/>
      <c r="AB1504" s="97"/>
      <c r="AC1504" s="76" t="s">
        <v>389</v>
      </c>
      <c r="AD1504" s="99"/>
      <c r="AE1504" s="76" t="s">
        <v>389</v>
      </c>
      <c r="AF1504" s="76"/>
      <c r="AG1504" s="76"/>
      <c r="AH1504" s="153"/>
      <c r="AI1504" s="67"/>
      <c r="AJ1504" s="67"/>
      <c r="AK1504" s="70"/>
      <c r="AL1504" s="70"/>
      <c r="AM1504" s="135"/>
      <c r="AN1504" s="135"/>
      <c r="AO1504" s="70"/>
      <c r="AP1504" s="70"/>
      <c r="AQ1504" s="67"/>
      <c r="AR1504" s="67"/>
      <c r="AS1504" s="67"/>
      <c r="AT1504" s="67"/>
    </row>
    <row r="1505">
      <c r="A1505" s="76" t="s">
        <v>116</v>
      </c>
      <c r="B1505" s="77" t="s">
        <v>6229</v>
      </c>
      <c r="C1505" s="77" t="s">
        <v>121</v>
      </c>
      <c r="D1505" s="77" t="s">
        <v>121</v>
      </c>
      <c r="E1505" s="78" t="s">
        <v>1536</v>
      </c>
      <c r="F1505" s="80" t="s">
        <v>6230</v>
      </c>
      <c r="G1505" s="77" t="s">
        <v>2158</v>
      </c>
      <c r="H1505" s="77" t="s">
        <v>60</v>
      </c>
      <c r="I1505" s="87" t="s">
        <v>1221</v>
      </c>
      <c r="J1505" s="85"/>
      <c r="K1505" s="85"/>
      <c r="L1505" s="85"/>
      <c r="M1505" s="159" t="s">
        <v>60</v>
      </c>
      <c r="N1505" s="159" t="s">
        <v>12642</v>
      </c>
      <c r="O1505" s="76"/>
      <c r="P1505" s="523"/>
      <c r="Q1505" s="315"/>
      <c r="R1505" s="97"/>
      <c r="S1505" s="76"/>
      <c r="T1505" s="315"/>
      <c r="U1505" s="76" t="s">
        <v>379</v>
      </c>
      <c r="V1505" s="86"/>
      <c r="W1505" s="76"/>
      <c r="X1505" s="76"/>
      <c r="Y1505" s="97"/>
      <c r="Z1505" s="85"/>
      <c r="AA1505" s="97"/>
      <c r="AB1505" s="97"/>
      <c r="AC1505" s="160" t="s">
        <v>630</v>
      </c>
      <c r="AD1505" s="76" t="s">
        <v>632</v>
      </c>
      <c r="AE1505" s="76" t="s">
        <v>632</v>
      </c>
      <c r="AF1505" s="160" t="s">
        <v>630</v>
      </c>
      <c r="AG1505" s="112"/>
      <c r="AH1505" s="315"/>
      <c r="AI1505" s="67"/>
      <c r="AJ1505" s="67"/>
      <c r="AK1505" s="70"/>
      <c r="AL1505" s="70"/>
      <c r="AM1505" s="135"/>
      <c r="AN1505" s="135"/>
      <c r="AO1505" s="70"/>
      <c r="AP1505" s="70"/>
      <c r="AQ1505" s="67"/>
      <c r="AR1505" s="67"/>
      <c r="AS1505" s="67"/>
      <c r="AT1505" s="67"/>
    </row>
    <row r="1506">
      <c r="A1506" s="76" t="s">
        <v>116</v>
      </c>
      <c r="B1506" s="77" t="s">
        <v>3332</v>
      </c>
      <c r="C1506" s="77" t="s">
        <v>121</v>
      </c>
      <c r="D1506" s="77" t="s">
        <v>121</v>
      </c>
      <c r="E1506" s="78" t="s">
        <v>170</v>
      </c>
      <c r="F1506" s="80" t="s">
        <v>10027</v>
      </c>
      <c r="G1506" s="77" t="s">
        <v>2185</v>
      </c>
      <c r="H1506" s="77" t="s">
        <v>1144</v>
      </c>
      <c r="I1506" s="146" t="s">
        <v>408</v>
      </c>
      <c r="J1506" s="109" t="s">
        <v>114</v>
      </c>
      <c r="K1506" s="118" t="s">
        <v>12643</v>
      </c>
      <c r="L1506" s="85" t="s">
        <v>239</v>
      </c>
      <c r="M1506" s="520" t="s">
        <v>360</v>
      </c>
      <c r="N1506" s="97" t="s">
        <v>2183</v>
      </c>
      <c r="O1506" s="97" t="s">
        <v>2184</v>
      </c>
      <c r="P1506" s="1089">
        <v>33897.0</v>
      </c>
      <c r="Q1506" s="315">
        <f t="shared" ref="Q1506:Q1511" si="215">VALUE(LEFT(TEXT(S1506,0),5))+1</f>
        <v>33897</v>
      </c>
      <c r="R1506" s="86">
        <f t="shared" ref="R1506:R1511" si="216">DATEDIF($P1506,TODAY(),"Y")</f>
        <v>33</v>
      </c>
      <c r="S1506" s="315">
        <v>3.389614776E9</v>
      </c>
      <c r="T1506" s="315"/>
      <c r="U1506" s="124" t="s">
        <v>165</v>
      </c>
      <c r="V1506" s="76" t="s">
        <v>425</v>
      </c>
      <c r="W1506" s="97"/>
      <c r="X1506" s="97"/>
      <c r="Y1506" s="97"/>
      <c r="Z1506" s="97"/>
      <c r="AA1506" s="97"/>
      <c r="AB1506" s="97"/>
      <c r="AC1506" s="76"/>
      <c r="AD1506" s="97"/>
      <c r="AE1506" s="97" t="s">
        <v>180</v>
      </c>
      <c r="AF1506" s="76"/>
      <c r="AG1506" s="315"/>
      <c r="AH1506" s="76" t="s">
        <v>9501</v>
      </c>
      <c r="AI1506" s="67"/>
      <c r="AJ1506" s="67"/>
      <c r="AK1506" s="70"/>
      <c r="AL1506" s="70"/>
      <c r="AM1506" s="135"/>
      <c r="AN1506" s="135"/>
      <c r="AO1506" s="70"/>
      <c r="AP1506" s="70"/>
      <c r="AQ1506" s="67"/>
      <c r="AR1506" s="67"/>
      <c r="AS1506" s="67"/>
      <c r="AT1506" s="67"/>
    </row>
    <row r="1507">
      <c r="A1507" s="76" t="s">
        <v>116</v>
      </c>
      <c r="B1507" s="77" t="s">
        <v>3332</v>
      </c>
      <c r="C1507" s="77" t="s">
        <v>3829</v>
      </c>
      <c r="D1507" s="77" t="s">
        <v>121</v>
      </c>
      <c r="E1507" s="78" t="s">
        <v>2242</v>
      </c>
      <c r="F1507" s="80" t="s">
        <v>3830</v>
      </c>
      <c r="G1507" s="77" t="s">
        <v>2244</v>
      </c>
      <c r="H1507" s="77" t="s">
        <v>60</v>
      </c>
      <c r="I1507" s="87" t="s">
        <v>1221</v>
      </c>
      <c r="J1507" s="76" t="s">
        <v>114</v>
      </c>
      <c r="K1507" s="124" t="s">
        <v>12644</v>
      </c>
      <c r="L1507" s="76" t="s">
        <v>239</v>
      </c>
      <c r="M1507" s="76" t="s">
        <v>60</v>
      </c>
      <c r="N1507" s="76" t="s">
        <v>2867</v>
      </c>
      <c r="O1507" s="76" t="s">
        <v>2868</v>
      </c>
      <c r="P1507" s="1135">
        <v>32966.0</v>
      </c>
      <c r="Q1507" s="315">
        <f t="shared" si="215"/>
        <v>32966</v>
      </c>
      <c r="R1507" s="86">
        <f t="shared" si="216"/>
        <v>36</v>
      </c>
      <c r="S1507" s="76">
        <v>3.296510258E9</v>
      </c>
      <c r="T1507" s="315" t="s">
        <v>1317</v>
      </c>
      <c r="U1507" s="76" t="s">
        <v>379</v>
      </c>
      <c r="V1507" s="76" t="s">
        <v>521</v>
      </c>
      <c r="W1507" s="76"/>
      <c r="X1507" s="97"/>
      <c r="Y1507" s="97"/>
      <c r="Z1507" s="728" t="s">
        <v>2482</v>
      </c>
      <c r="AA1507" s="97"/>
      <c r="AB1507" s="97"/>
      <c r="AC1507" s="76" t="s">
        <v>389</v>
      </c>
      <c r="AD1507" s="99"/>
      <c r="AE1507" s="76" t="s">
        <v>389</v>
      </c>
      <c r="AF1507" s="76"/>
      <c r="AG1507" s="76"/>
      <c r="AH1507" s="97"/>
      <c r="AI1507" s="67"/>
      <c r="AJ1507" s="67"/>
      <c r="AK1507" s="70"/>
      <c r="AL1507" s="70"/>
      <c r="AM1507" s="135"/>
      <c r="AN1507" s="135"/>
      <c r="AO1507" s="70"/>
      <c r="AP1507" s="70"/>
      <c r="AQ1507" s="67"/>
      <c r="AR1507" s="67"/>
      <c r="AS1507" s="67"/>
      <c r="AT1507" s="67"/>
    </row>
    <row r="1508">
      <c r="A1508" s="76" t="s">
        <v>116</v>
      </c>
      <c r="B1508" s="77" t="s">
        <v>3332</v>
      </c>
      <c r="C1508" s="77" t="s">
        <v>10030</v>
      </c>
      <c r="D1508" s="77" t="s">
        <v>121</v>
      </c>
      <c r="E1508" s="78" t="s">
        <v>1431</v>
      </c>
      <c r="F1508" s="80" t="s">
        <v>1437</v>
      </c>
      <c r="G1508" s="77" t="s">
        <v>2191</v>
      </c>
      <c r="H1508" s="77" t="s">
        <v>60</v>
      </c>
      <c r="I1508" s="87" t="s">
        <v>1221</v>
      </c>
      <c r="J1508" s="76" t="s">
        <v>114</v>
      </c>
      <c r="K1508" s="76" t="s">
        <v>12645</v>
      </c>
      <c r="L1508" s="85"/>
      <c r="M1508" s="85" t="s">
        <v>60</v>
      </c>
      <c r="N1508" s="256" t="s">
        <v>2188</v>
      </c>
      <c r="O1508" s="76" t="s">
        <v>1943</v>
      </c>
      <c r="P1508" s="523">
        <v>32092.0</v>
      </c>
      <c r="Q1508" s="315">
        <f t="shared" si="215"/>
        <v>32092</v>
      </c>
      <c r="R1508" s="86">
        <f t="shared" si="216"/>
        <v>38</v>
      </c>
      <c r="S1508" s="76">
        <v>3.209108597E9</v>
      </c>
      <c r="T1508" s="315" t="s">
        <v>378</v>
      </c>
      <c r="U1508" s="76" t="s">
        <v>368</v>
      </c>
      <c r="V1508" s="76"/>
      <c r="W1508" s="76"/>
      <c r="X1508" s="76"/>
      <c r="Y1508" s="97" t="s">
        <v>183</v>
      </c>
      <c r="Z1508" s="278" t="s">
        <v>2090</v>
      </c>
      <c r="AA1508" s="76" t="s">
        <v>11512</v>
      </c>
      <c r="AB1508" s="97"/>
      <c r="AC1508" s="97"/>
      <c r="AD1508" s="99"/>
      <c r="AE1508" s="76"/>
      <c r="AF1508" s="76"/>
      <c r="AG1508" s="76"/>
      <c r="AH1508" s="291" t="s">
        <v>12646</v>
      </c>
      <c r="AI1508" s="67"/>
      <c r="AJ1508" s="67"/>
      <c r="AK1508" s="70"/>
      <c r="AL1508" s="70"/>
      <c r="AM1508" s="135"/>
      <c r="AN1508" s="135"/>
      <c r="AO1508" s="70"/>
      <c r="AP1508" s="70"/>
      <c r="AQ1508" s="67"/>
      <c r="AR1508" s="67"/>
      <c r="AS1508" s="67"/>
      <c r="AT1508" s="67"/>
    </row>
    <row r="1509">
      <c r="A1509" s="76" t="s">
        <v>116</v>
      </c>
      <c r="B1509" s="77" t="s">
        <v>3332</v>
      </c>
      <c r="C1509" s="77" t="s">
        <v>3333</v>
      </c>
      <c r="D1509" s="77" t="s">
        <v>121</v>
      </c>
      <c r="E1509" s="78" t="s">
        <v>178</v>
      </c>
      <c r="F1509" s="80" t="s">
        <v>3335</v>
      </c>
      <c r="G1509" s="77" t="s">
        <v>2219</v>
      </c>
      <c r="H1509" s="77" t="s">
        <v>102</v>
      </c>
      <c r="I1509" s="146" t="s">
        <v>408</v>
      </c>
      <c r="J1509" s="109" t="s">
        <v>114</v>
      </c>
      <c r="K1509" s="87"/>
      <c r="L1509" s="85" t="s">
        <v>239</v>
      </c>
      <c r="M1509" s="85" t="s">
        <v>102</v>
      </c>
      <c r="N1509" s="76" t="s">
        <v>2209</v>
      </c>
      <c r="O1509" s="87" t="s">
        <v>2218</v>
      </c>
      <c r="P1509" s="1089">
        <v>28330.0</v>
      </c>
      <c r="Q1509" s="315">
        <f t="shared" si="215"/>
        <v>28330</v>
      </c>
      <c r="R1509" s="86">
        <f t="shared" si="216"/>
        <v>49</v>
      </c>
      <c r="S1509" s="315">
        <v>2.832906996E9</v>
      </c>
      <c r="T1509" s="315" t="s">
        <v>1511</v>
      </c>
      <c r="U1509" s="443" t="s">
        <v>165</v>
      </c>
      <c r="V1509" s="76" t="s">
        <v>546</v>
      </c>
      <c r="W1509" s="86"/>
      <c r="X1509" s="97"/>
      <c r="Y1509" s="97"/>
      <c r="Z1509" s="97"/>
      <c r="AA1509" s="97"/>
      <c r="AB1509" s="97"/>
      <c r="AC1509" s="97" t="s">
        <v>2876</v>
      </c>
      <c r="AD1509" s="97"/>
      <c r="AE1509" s="76" t="s">
        <v>259</v>
      </c>
      <c r="AF1509" s="99"/>
      <c r="AG1509" s="112"/>
      <c r="AH1509" s="76" t="s">
        <v>1153</v>
      </c>
      <c r="AI1509" s="67"/>
      <c r="AJ1509" s="67"/>
      <c r="AK1509" s="70"/>
      <c r="AL1509" s="70"/>
      <c r="AM1509" s="135"/>
      <c r="AN1509" s="135"/>
      <c r="AO1509" s="70"/>
      <c r="AP1509" s="70"/>
      <c r="AQ1509" s="67"/>
      <c r="AR1509" s="67"/>
      <c r="AS1509" s="67"/>
      <c r="AT1509" s="67"/>
    </row>
    <row r="1510">
      <c r="A1510" s="76">
        <v>155.0</v>
      </c>
      <c r="B1510" s="302" t="s">
        <v>4145</v>
      </c>
      <c r="C1510" s="77"/>
      <c r="D1510" s="77"/>
      <c r="E1510" s="287" t="s">
        <v>12647</v>
      </c>
      <c r="F1510" s="80"/>
      <c r="G1510" s="77"/>
      <c r="H1510" s="77"/>
      <c r="I1510" s="76"/>
      <c r="J1510" s="76" t="s">
        <v>114</v>
      </c>
      <c r="K1510" s="76" t="s">
        <v>12648</v>
      </c>
      <c r="L1510" s="276"/>
      <c r="M1510" s="109" t="s">
        <v>60</v>
      </c>
      <c r="N1510" s="766" t="s">
        <v>12649</v>
      </c>
      <c r="O1510" s="97" t="s">
        <v>11825</v>
      </c>
      <c r="P1510" s="209">
        <v>25816.0</v>
      </c>
      <c r="Q1510" s="315">
        <f t="shared" si="215"/>
        <v>25816</v>
      </c>
      <c r="R1510" s="86">
        <f t="shared" si="216"/>
        <v>55</v>
      </c>
      <c r="S1510" s="315">
        <v>2.581512136E9</v>
      </c>
      <c r="T1510" s="315" t="s">
        <v>378</v>
      </c>
      <c r="U1510" s="76" t="s">
        <v>136</v>
      </c>
      <c r="V1510" s="76" t="s">
        <v>425</v>
      </c>
      <c r="W1510" s="76"/>
      <c r="X1510" s="76"/>
      <c r="Y1510" s="97" t="s">
        <v>1174</v>
      </c>
      <c r="Z1510" s="474" t="s">
        <v>184</v>
      </c>
      <c r="AA1510" s="76" t="s">
        <v>1178</v>
      </c>
      <c r="AB1510" s="76" t="s">
        <v>192</v>
      </c>
      <c r="AC1510" s="97"/>
      <c r="AD1510" s="279"/>
      <c r="AE1510" s="76" t="s">
        <v>259</v>
      </c>
      <c r="AF1510" s="76"/>
      <c r="AG1510" s="76"/>
      <c r="AH1510" s="153">
        <v>46248.0</v>
      </c>
      <c r="AI1510" s="67"/>
      <c r="AJ1510" s="67"/>
      <c r="AK1510" s="70"/>
      <c r="AL1510" s="70"/>
      <c r="AM1510" s="135"/>
      <c r="AN1510" s="135"/>
      <c r="AO1510" s="70"/>
      <c r="AP1510" s="70"/>
      <c r="AQ1510" s="67"/>
      <c r="AR1510" s="67"/>
      <c r="AS1510" s="67"/>
      <c r="AT1510" s="67"/>
    </row>
    <row r="1511">
      <c r="A1511" s="76" t="s">
        <v>116</v>
      </c>
      <c r="B1511" s="77" t="s">
        <v>1039</v>
      </c>
      <c r="C1511" s="77" t="s">
        <v>1269</v>
      </c>
      <c r="D1511" s="77" t="s">
        <v>1519</v>
      </c>
      <c r="E1511" s="78" t="s">
        <v>201</v>
      </c>
      <c r="F1511" s="80" t="s">
        <v>1849</v>
      </c>
      <c r="G1511" s="77" t="s">
        <v>431</v>
      </c>
      <c r="H1511" s="77" t="s">
        <v>60</v>
      </c>
      <c r="I1511" s="87" t="s">
        <v>1221</v>
      </c>
      <c r="J1511" s="76" t="s">
        <v>114</v>
      </c>
      <c r="K1511" s="176" t="s">
        <v>12650</v>
      </c>
      <c r="L1511" s="85"/>
      <c r="M1511" s="85" t="s">
        <v>60</v>
      </c>
      <c r="N1511" s="287" t="s">
        <v>427</v>
      </c>
      <c r="O1511" s="27" t="s">
        <v>12651</v>
      </c>
      <c r="P1511" s="825">
        <v>34310.0</v>
      </c>
      <c r="Q1511" s="315">
        <f t="shared" si="215"/>
        <v>34310</v>
      </c>
      <c r="R1511" s="97">
        <f t="shared" si="216"/>
        <v>32</v>
      </c>
      <c r="S1511" s="76">
        <v>3.430910617E9</v>
      </c>
      <c r="T1511" s="315"/>
      <c r="U1511" s="76" t="s">
        <v>136</v>
      </c>
      <c r="V1511" s="76"/>
      <c r="W1511" s="76"/>
      <c r="X1511" s="97"/>
      <c r="Y1511" s="97"/>
      <c r="Z1511" s="176" t="s">
        <v>1460</v>
      </c>
      <c r="AA1511" s="76"/>
      <c r="AB1511" s="97"/>
      <c r="AC1511" s="76"/>
      <c r="AD1511" s="99"/>
      <c r="AE1511" s="76"/>
      <c r="AF1511" s="76" t="s">
        <v>4767</v>
      </c>
      <c r="AG1511" s="76"/>
      <c r="AH1511" s="76" t="s">
        <v>12652</v>
      </c>
      <c r="AI1511" s="67"/>
      <c r="AJ1511" s="67"/>
      <c r="AK1511" s="70"/>
      <c r="AL1511" s="70"/>
      <c r="AM1511" s="135"/>
      <c r="AN1511" s="135"/>
      <c r="AO1511" s="70"/>
      <c r="AP1511" s="70"/>
      <c r="AQ1511" s="67"/>
      <c r="AR1511" s="67"/>
      <c r="AS1511" s="67"/>
      <c r="AT1511" s="67"/>
    </row>
    <row r="1512">
      <c r="A1512" s="827" t="s">
        <v>116</v>
      </c>
      <c r="B1512" s="1230" t="s">
        <v>1039</v>
      </c>
      <c r="C1512" s="1230" t="s">
        <v>1517</v>
      </c>
      <c r="D1512" s="1230" t="s">
        <v>1494</v>
      </c>
      <c r="E1512" s="1230" t="s">
        <v>213</v>
      </c>
      <c r="F1512" s="403" t="s">
        <v>1523</v>
      </c>
      <c r="G1512" s="1230" t="s">
        <v>528</v>
      </c>
      <c r="H1512" s="1230" t="s">
        <v>60</v>
      </c>
      <c r="I1512" s="403" t="s">
        <v>1221</v>
      </c>
      <c r="J1512" s="403" t="s">
        <v>114</v>
      </c>
      <c r="K1512" s="1231" t="s">
        <v>12653</v>
      </c>
      <c r="L1512" s="1232"/>
      <c r="M1512" s="403" t="s">
        <v>656</v>
      </c>
      <c r="N1512" s="403" t="s">
        <v>12654</v>
      </c>
      <c r="O1512" s="403" t="s">
        <v>12655</v>
      </c>
      <c r="P1512" s="403" t="s">
        <v>2866</v>
      </c>
      <c r="Q1512" s="1231" t="s">
        <v>2866</v>
      </c>
      <c r="R1512" s="403">
        <v>39.0</v>
      </c>
      <c r="S1512" s="403" t="s">
        <v>12656</v>
      </c>
      <c r="T1512" s="403" t="s">
        <v>1479</v>
      </c>
      <c r="U1512" s="1233" t="s">
        <v>379</v>
      </c>
      <c r="V1512" s="1232"/>
      <c r="W1512" s="1232"/>
      <c r="X1512" s="1232"/>
      <c r="Y1512" s="1232"/>
      <c r="Z1512" s="1231" t="s">
        <v>1460</v>
      </c>
      <c r="AA1512" s="1232"/>
      <c r="AB1512" s="1232"/>
      <c r="AC1512" s="403" t="s">
        <v>2915</v>
      </c>
      <c r="AD1512" s="1232"/>
      <c r="AE1512" s="1232"/>
      <c r="AF1512" s="1232"/>
      <c r="AG1512" s="1234"/>
      <c r="AH1512" s="1235" t="s">
        <v>12657</v>
      </c>
      <c r="AI1512" s="67"/>
      <c r="AJ1512" s="67"/>
      <c r="AK1512" s="70"/>
      <c r="AL1512" s="70"/>
      <c r="AM1512" s="135"/>
      <c r="AN1512" s="135"/>
      <c r="AO1512" s="70"/>
      <c r="AP1512" s="70"/>
      <c r="AQ1512" s="67"/>
      <c r="AR1512" s="67"/>
      <c r="AS1512" s="67"/>
      <c r="AT1512" s="67"/>
    </row>
    <row r="1513">
      <c r="A1513" s="76" t="s">
        <v>116</v>
      </c>
      <c r="B1513" s="77" t="s">
        <v>1039</v>
      </c>
      <c r="C1513" s="77" t="s">
        <v>1611</v>
      </c>
      <c r="D1513" s="77" t="s">
        <v>1368</v>
      </c>
      <c r="E1513" s="78" t="s">
        <v>321</v>
      </c>
      <c r="F1513" s="80" t="s">
        <v>1552</v>
      </c>
      <c r="G1513" s="77" t="s">
        <v>2726</v>
      </c>
      <c r="H1513" s="77" t="s">
        <v>60</v>
      </c>
      <c r="I1513" s="87" t="s">
        <v>1221</v>
      </c>
      <c r="J1513" s="76" t="s">
        <v>114</v>
      </c>
      <c r="K1513" s="76"/>
      <c r="L1513" s="47"/>
      <c r="M1513" s="85" t="s">
        <v>60</v>
      </c>
      <c r="N1513" s="678" t="s">
        <v>11390</v>
      </c>
      <c r="O1513" s="76" t="s">
        <v>11391</v>
      </c>
      <c r="P1513" s="523">
        <v>34740.0</v>
      </c>
      <c r="Q1513" s="315"/>
      <c r="R1513" s="86">
        <f t="shared" ref="R1513:R1535" si="217">DATEDIF($P1513,TODAY(),"Y")</f>
        <v>31</v>
      </c>
      <c r="S1513" s="76"/>
      <c r="T1513" s="76"/>
      <c r="U1513" s="310" t="s">
        <v>344</v>
      </c>
      <c r="V1513" s="76"/>
      <c r="W1513" s="76"/>
      <c r="X1513" s="76"/>
      <c r="Y1513" s="97"/>
      <c r="Z1513" s="290" t="s">
        <v>1755</v>
      </c>
      <c r="AA1513" s="76" t="s">
        <v>1178</v>
      </c>
      <c r="AB1513" s="76"/>
      <c r="AC1513" s="76"/>
      <c r="AD1513" s="76"/>
      <c r="AE1513" s="76"/>
      <c r="AF1513" s="76" t="s">
        <v>2586</v>
      </c>
      <c r="AG1513" s="76" t="s">
        <v>1187</v>
      </c>
      <c r="AH1513" s="153">
        <v>46229.0</v>
      </c>
      <c r="AI1513" s="67"/>
      <c r="AJ1513" s="67"/>
      <c r="AK1513" s="70"/>
      <c r="AL1513" s="70"/>
      <c r="AM1513" s="135"/>
      <c r="AN1513" s="135"/>
      <c r="AO1513" s="70"/>
      <c r="AP1513" s="70"/>
      <c r="AQ1513" s="67"/>
      <c r="AR1513" s="67"/>
      <c r="AS1513" s="67"/>
      <c r="AT1513" s="67"/>
    </row>
    <row r="1514">
      <c r="A1514" s="76" t="s">
        <v>116</v>
      </c>
      <c r="B1514" s="77" t="s">
        <v>6229</v>
      </c>
      <c r="C1514" s="77" t="s">
        <v>121</v>
      </c>
      <c r="D1514" s="77" t="s">
        <v>121</v>
      </c>
      <c r="E1514" s="78" t="s">
        <v>1536</v>
      </c>
      <c r="F1514" s="80" t="s">
        <v>6230</v>
      </c>
      <c r="G1514" s="77" t="s">
        <v>2158</v>
      </c>
      <c r="H1514" s="77" t="s">
        <v>60</v>
      </c>
      <c r="I1514" s="87" t="s">
        <v>1221</v>
      </c>
      <c r="J1514" s="76" t="s">
        <v>114</v>
      </c>
      <c r="K1514" s="76" t="s">
        <v>12658</v>
      </c>
      <c r="L1514" s="47"/>
      <c r="M1514" s="85" t="s">
        <v>60</v>
      </c>
      <c r="N1514" s="326" t="s">
        <v>12659</v>
      </c>
      <c r="O1514" s="76" t="s">
        <v>12660</v>
      </c>
      <c r="P1514" s="523">
        <v>36637.0</v>
      </c>
      <c r="Q1514" s="315">
        <f t="shared" ref="Q1514:Q1532" si="218">VALUE(LEFT(TEXT(S1514,0),5))+1</f>
        <v>36637</v>
      </c>
      <c r="R1514" s="86">
        <f t="shared" si="217"/>
        <v>26</v>
      </c>
      <c r="S1514" s="76">
        <v>3.66360059E9</v>
      </c>
      <c r="T1514" s="315"/>
      <c r="U1514" s="76" t="s">
        <v>344</v>
      </c>
      <c r="V1514" s="76"/>
      <c r="W1514" s="76"/>
      <c r="X1514" s="76"/>
      <c r="Y1514" s="97"/>
      <c r="Z1514" s="344" t="s">
        <v>2506</v>
      </c>
      <c r="AA1514" s="76" t="s">
        <v>1178</v>
      </c>
      <c r="AB1514" s="97"/>
      <c r="AC1514" s="76" t="s">
        <v>1566</v>
      </c>
      <c r="AD1514" s="76"/>
      <c r="AE1514" s="76"/>
      <c r="AF1514" s="76" t="s">
        <v>7323</v>
      </c>
      <c r="AG1514" s="76" t="s">
        <v>5238</v>
      </c>
      <c r="AH1514" s="153">
        <v>46224.0</v>
      </c>
      <c r="AI1514" s="67"/>
      <c r="AJ1514" s="67"/>
      <c r="AK1514" s="70"/>
      <c r="AL1514" s="70"/>
      <c r="AM1514" s="135"/>
      <c r="AN1514" s="135"/>
      <c r="AO1514" s="70"/>
      <c r="AP1514" s="70"/>
      <c r="AQ1514" s="67"/>
      <c r="AR1514" s="67"/>
      <c r="AS1514" s="67"/>
      <c r="AT1514" s="67"/>
    </row>
    <row r="1515">
      <c r="A1515" s="76" t="s">
        <v>116</v>
      </c>
      <c r="B1515" s="77" t="s">
        <v>3307</v>
      </c>
      <c r="C1515" s="77" t="s">
        <v>121</v>
      </c>
      <c r="D1515" s="77" t="s">
        <v>121</v>
      </c>
      <c r="E1515" s="78" t="s">
        <v>1932</v>
      </c>
      <c r="F1515" s="80" t="s">
        <v>9762</v>
      </c>
      <c r="G1515" s="77" t="s">
        <v>9764</v>
      </c>
      <c r="H1515" s="77" t="s">
        <v>326</v>
      </c>
      <c r="I1515" s="87" t="s">
        <v>1221</v>
      </c>
      <c r="J1515" s="76" t="s">
        <v>114</v>
      </c>
      <c r="K1515" s="124" t="s">
        <v>1602</v>
      </c>
      <c r="L1515" s="232" t="s">
        <v>1330</v>
      </c>
      <c r="M1515" s="85" t="s">
        <v>60</v>
      </c>
      <c r="N1515" s="286" t="s">
        <v>8652</v>
      </c>
      <c r="O1515" s="76" t="s">
        <v>2449</v>
      </c>
      <c r="P1515" s="523">
        <v>30062.0</v>
      </c>
      <c r="Q1515" s="315">
        <f t="shared" si="218"/>
        <v>1</v>
      </c>
      <c r="R1515" s="86">
        <f t="shared" si="217"/>
        <v>44</v>
      </c>
      <c r="S1515" s="76"/>
      <c r="T1515" s="315"/>
      <c r="U1515" s="310" t="s">
        <v>136</v>
      </c>
      <c r="V1515" s="76"/>
      <c r="W1515" s="76"/>
      <c r="X1515" s="76"/>
      <c r="Y1515" s="97"/>
      <c r="Z1515" s="216" t="s">
        <v>1815</v>
      </c>
      <c r="AA1515" s="76"/>
      <c r="AB1515" s="97"/>
      <c r="AC1515" s="76" t="s">
        <v>1032</v>
      </c>
      <c r="AD1515" s="235">
        <v>46203.0</v>
      </c>
      <c r="AE1515" s="76"/>
      <c r="AF1515" s="76"/>
      <c r="AG1515" s="76" t="s">
        <v>2194</v>
      </c>
      <c r="AH1515" s="311">
        <v>46231.0</v>
      </c>
      <c r="AI1515" s="67"/>
      <c r="AJ1515" s="67"/>
      <c r="AK1515" s="70"/>
      <c r="AL1515" s="70"/>
      <c r="AM1515" s="135"/>
      <c r="AN1515" s="135"/>
      <c r="AO1515" s="70"/>
      <c r="AP1515" s="70"/>
      <c r="AQ1515" s="67"/>
      <c r="AR1515" s="67"/>
      <c r="AS1515" s="67"/>
      <c r="AT1515" s="67"/>
    </row>
    <row r="1516">
      <c r="A1516" s="76" t="s">
        <v>116</v>
      </c>
      <c r="B1516" s="77" t="s">
        <v>3898</v>
      </c>
      <c r="C1516" s="77" t="s">
        <v>7243</v>
      </c>
      <c r="D1516" s="77" t="s">
        <v>121</v>
      </c>
      <c r="E1516" s="78" t="s">
        <v>1978</v>
      </c>
      <c r="F1516" s="80" t="s">
        <v>7224</v>
      </c>
      <c r="G1516" s="77" t="s">
        <v>2008</v>
      </c>
      <c r="H1516" s="77" t="s">
        <v>60</v>
      </c>
      <c r="I1516" s="87" t="s">
        <v>1221</v>
      </c>
      <c r="J1516" s="76" t="s">
        <v>114</v>
      </c>
      <c r="K1516" s="176" t="s">
        <v>1602</v>
      </c>
      <c r="L1516" s="47"/>
      <c r="M1516" s="85" t="s">
        <v>60</v>
      </c>
      <c r="N1516" s="157" t="s">
        <v>12661</v>
      </c>
      <c r="O1516" s="76" t="s">
        <v>2077</v>
      </c>
      <c r="P1516" s="523">
        <v>30649.0</v>
      </c>
      <c r="Q1516" s="315">
        <f t="shared" si="218"/>
        <v>30649</v>
      </c>
      <c r="R1516" s="86">
        <f t="shared" si="217"/>
        <v>42</v>
      </c>
      <c r="S1516" s="76">
        <v>3.064802397E9</v>
      </c>
      <c r="T1516" s="315"/>
      <c r="U1516" s="76" t="s">
        <v>379</v>
      </c>
      <c r="V1516" s="76"/>
      <c r="W1516" s="76"/>
      <c r="X1516" s="76"/>
      <c r="Y1516" s="97"/>
      <c r="Z1516" s="344" t="s">
        <v>2506</v>
      </c>
      <c r="AA1516" s="76"/>
      <c r="AB1516" s="97"/>
      <c r="AC1516" s="76" t="s">
        <v>9687</v>
      </c>
      <c r="AD1516" s="76"/>
      <c r="AE1516" s="76"/>
      <c r="AF1516" s="76" t="s">
        <v>5238</v>
      </c>
      <c r="AG1516" s="189"/>
      <c r="AH1516" s="153">
        <v>46174.0</v>
      </c>
      <c r="AI1516" s="67"/>
      <c r="AJ1516" s="67"/>
      <c r="AK1516" s="70"/>
      <c r="AL1516" s="70"/>
      <c r="AM1516" s="135"/>
      <c r="AN1516" s="135"/>
      <c r="AO1516" s="70"/>
      <c r="AP1516" s="70"/>
      <c r="AQ1516" s="67"/>
      <c r="AR1516" s="67"/>
      <c r="AS1516" s="67"/>
      <c r="AT1516" s="67"/>
    </row>
    <row r="1517">
      <c r="A1517" s="76" t="s">
        <v>116</v>
      </c>
      <c r="B1517" s="77" t="s">
        <v>3898</v>
      </c>
      <c r="C1517" s="77" t="s">
        <v>8616</v>
      </c>
      <c r="D1517" s="77" t="s">
        <v>121</v>
      </c>
      <c r="E1517" s="78" t="s">
        <v>1978</v>
      </c>
      <c r="F1517" s="80" t="s">
        <v>7224</v>
      </c>
      <c r="G1517" s="77" t="s">
        <v>9384</v>
      </c>
      <c r="H1517" s="77" t="s">
        <v>60</v>
      </c>
      <c r="I1517" s="87" t="s">
        <v>1221</v>
      </c>
      <c r="J1517" s="87" t="s">
        <v>114</v>
      </c>
      <c r="K1517" s="726" t="s">
        <v>10036</v>
      </c>
      <c r="L1517" s="87"/>
      <c r="M1517" s="86" t="s">
        <v>60</v>
      </c>
      <c r="N1517" s="978" t="s">
        <v>10040</v>
      </c>
      <c r="O1517" s="87" t="s">
        <v>10043</v>
      </c>
      <c r="P1517" s="1089">
        <v>34325.0</v>
      </c>
      <c r="Q1517" s="315">
        <f t="shared" si="218"/>
        <v>34325</v>
      </c>
      <c r="R1517" s="86">
        <f t="shared" si="217"/>
        <v>32</v>
      </c>
      <c r="S1517" s="315">
        <v>3.432409131E9</v>
      </c>
      <c r="T1517" s="315"/>
      <c r="U1517" s="76" t="s">
        <v>136</v>
      </c>
      <c r="V1517" s="76"/>
      <c r="W1517" s="86"/>
      <c r="X1517" s="76"/>
      <c r="Y1517" s="276" t="s">
        <v>2344</v>
      </c>
      <c r="Z1517" s="85"/>
      <c r="AA1517" s="97"/>
      <c r="AB1517" s="76" t="s">
        <v>226</v>
      </c>
      <c r="AC1517" s="97"/>
      <c r="AD1517" s="99"/>
      <c r="AE1517" s="76"/>
      <c r="AF1517" s="291" t="s">
        <v>12662</v>
      </c>
      <c r="AG1517" s="76"/>
      <c r="AH1517" s="1118" t="s">
        <v>12663</v>
      </c>
      <c r="AI1517" s="67"/>
      <c r="AJ1517" s="67"/>
      <c r="AK1517" s="70"/>
      <c r="AL1517" s="70"/>
      <c r="AM1517" s="135"/>
      <c r="AN1517" s="135"/>
      <c r="AO1517" s="70"/>
      <c r="AP1517" s="70"/>
      <c r="AQ1517" s="67"/>
      <c r="AR1517" s="67"/>
      <c r="AS1517" s="67"/>
      <c r="AT1517" s="67"/>
    </row>
    <row r="1518">
      <c r="A1518" s="76" t="s">
        <v>116</v>
      </c>
      <c r="B1518" s="77" t="s">
        <v>1709</v>
      </c>
      <c r="C1518" s="77" t="s">
        <v>1269</v>
      </c>
      <c r="D1518" s="77" t="s">
        <v>1494</v>
      </c>
      <c r="E1518" s="78" t="s">
        <v>187</v>
      </c>
      <c r="F1518" s="80" t="s">
        <v>1469</v>
      </c>
      <c r="G1518" s="77" t="s">
        <v>5628</v>
      </c>
      <c r="H1518" s="77" t="s">
        <v>60</v>
      </c>
      <c r="I1518" s="87" t="s">
        <v>1221</v>
      </c>
      <c r="J1518" s="76" t="s">
        <v>114</v>
      </c>
      <c r="K1518" s="124" t="s">
        <v>12664</v>
      </c>
      <c r="L1518" s="47"/>
      <c r="M1518" s="85" t="s">
        <v>60</v>
      </c>
      <c r="N1518" s="157" t="s">
        <v>10344</v>
      </c>
      <c r="O1518" s="76" t="s">
        <v>3959</v>
      </c>
      <c r="P1518" s="523">
        <v>29903.0</v>
      </c>
      <c r="Q1518" s="315">
        <f t="shared" si="218"/>
        <v>29903</v>
      </c>
      <c r="R1518" s="86">
        <f t="shared" si="217"/>
        <v>44</v>
      </c>
      <c r="S1518" s="76">
        <v>2.990210753E9</v>
      </c>
      <c r="T1518" s="76" t="s">
        <v>1479</v>
      </c>
      <c r="U1518" s="76" t="s">
        <v>136</v>
      </c>
      <c r="V1518" s="76"/>
      <c r="W1518" s="76"/>
      <c r="X1518" s="76"/>
      <c r="Y1518" s="76" t="s">
        <v>371</v>
      </c>
      <c r="Z1518" s="97"/>
      <c r="AA1518" s="76" t="s">
        <v>1178</v>
      </c>
      <c r="AB1518" s="97"/>
      <c r="AC1518" s="76"/>
      <c r="AD1518" s="76" t="s">
        <v>12665</v>
      </c>
      <c r="AE1518" s="76" t="s">
        <v>672</v>
      </c>
      <c r="AF1518" s="76" t="s">
        <v>12666</v>
      </c>
      <c r="AG1518" s="76" t="s">
        <v>2194</v>
      </c>
      <c r="AH1518" s="76" t="s">
        <v>3776</v>
      </c>
      <c r="AI1518" s="355" t="s">
        <v>10569</v>
      </c>
      <c r="AJ1518" s="67"/>
      <c r="AK1518" s="70"/>
      <c r="AL1518" s="70"/>
      <c r="AM1518" s="135"/>
      <c r="AN1518" s="135"/>
      <c r="AO1518" s="70"/>
      <c r="AP1518" s="70"/>
      <c r="AQ1518" s="67"/>
      <c r="AR1518" s="67"/>
      <c r="AS1518" s="67"/>
      <c r="AT1518" s="67"/>
    </row>
    <row r="1519">
      <c r="A1519" s="76">
        <v>210.0</v>
      </c>
      <c r="B1519" s="302" t="s">
        <v>4145</v>
      </c>
      <c r="C1519" s="1036" t="s">
        <v>12667</v>
      </c>
      <c r="D1519" s="549"/>
      <c r="E1519" s="746"/>
      <c r="F1519" s="747" t="s">
        <v>1523</v>
      </c>
      <c r="G1519" s="97" t="s">
        <v>60</v>
      </c>
      <c r="H1519" s="87" t="s">
        <v>1221</v>
      </c>
      <c r="I1519" s="87"/>
      <c r="J1519" s="76" t="s">
        <v>114</v>
      </c>
      <c r="K1519" s="500" t="s">
        <v>12668</v>
      </c>
      <c r="L1519" s="87"/>
      <c r="M1519" s="85" t="s">
        <v>60</v>
      </c>
      <c r="N1519" s="97" t="s">
        <v>2704</v>
      </c>
      <c r="O1519" s="87" t="s">
        <v>2706</v>
      </c>
      <c r="P1519" s="523">
        <v>33495.0</v>
      </c>
      <c r="Q1519" s="315">
        <f t="shared" si="218"/>
        <v>33495</v>
      </c>
      <c r="R1519" s="86">
        <f t="shared" si="217"/>
        <v>34</v>
      </c>
      <c r="S1519" s="315">
        <v>3.349407354E9</v>
      </c>
      <c r="T1519" s="315" t="s">
        <v>1548</v>
      </c>
      <c r="U1519" s="372" t="s">
        <v>165</v>
      </c>
      <c r="V1519" s="76" t="s">
        <v>583</v>
      </c>
      <c r="W1519" s="183"/>
      <c r="X1519" s="97"/>
      <c r="Y1519" s="97" t="s">
        <v>1174</v>
      </c>
      <c r="Z1519" s="289" t="s">
        <v>1725</v>
      </c>
      <c r="AA1519" s="184"/>
      <c r="AB1519" s="184"/>
      <c r="AC1519" s="76" t="s">
        <v>1566</v>
      </c>
      <c r="AD1519" s="185"/>
      <c r="AE1519" s="76" t="s">
        <v>846</v>
      </c>
      <c r="AF1519" s="76" t="s">
        <v>1568</v>
      </c>
      <c r="AG1519" s="226"/>
      <c r="AH1519" s="76" t="s">
        <v>12669</v>
      </c>
      <c r="AI1519" s="67"/>
      <c r="AJ1519" s="67"/>
      <c r="AK1519" s="70"/>
      <c r="AL1519" s="70"/>
      <c r="AM1519" s="70"/>
      <c r="AN1519" s="70"/>
      <c r="AO1519" s="70"/>
      <c r="AP1519" s="70"/>
      <c r="AQ1519" s="67"/>
      <c r="AR1519" s="67"/>
      <c r="AS1519" s="67"/>
      <c r="AT1519" s="67"/>
    </row>
    <row r="1520">
      <c r="A1520" s="76">
        <v>210.0</v>
      </c>
      <c r="B1520" s="302" t="s">
        <v>4145</v>
      </c>
      <c r="C1520" s="1036" t="s">
        <v>12670</v>
      </c>
      <c r="D1520" s="86"/>
      <c r="E1520" s="749"/>
      <c r="F1520" s="747" t="s">
        <v>7116</v>
      </c>
      <c r="G1520" s="97" t="s">
        <v>60</v>
      </c>
      <c r="H1520" s="87" t="s">
        <v>1221</v>
      </c>
      <c r="I1520" s="86"/>
      <c r="J1520" s="109" t="s">
        <v>114</v>
      </c>
      <c r="K1520" s="118" t="s">
        <v>12671</v>
      </c>
      <c r="L1520" s="85" t="s">
        <v>239</v>
      </c>
      <c r="M1520" s="109" t="s">
        <v>60</v>
      </c>
      <c r="N1520" s="97" t="s">
        <v>2813</v>
      </c>
      <c r="O1520" s="109" t="s">
        <v>2814</v>
      </c>
      <c r="P1520" s="1089">
        <v>32855.0</v>
      </c>
      <c r="Q1520" s="315">
        <f t="shared" si="218"/>
        <v>32855</v>
      </c>
      <c r="R1520" s="86">
        <f t="shared" si="217"/>
        <v>36</v>
      </c>
      <c r="S1520" s="315">
        <v>3.28541327E9</v>
      </c>
      <c r="T1520" s="315" t="s">
        <v>378</v>
      </c>
      <c r="U1520" s="124" t="s">
        <v>543</v>
      </c>
      <c r="V1520" s="76"/>
      <c r="W1520" s="86"/>
      <c r="X1520" s="97"/>
      <c r="Y1520" s="97"/>
      <c r="Z1520" s="97"/>
      <c r="AA1520" s="97"/>
      <c r="AB1520" s="97"/>
      <c r="AC1520" s="97" t="s">
        <v>1566</v>
      </c>
      <c r="AD1520" s="97"/>
      <c r="AE1520" s="76"/>
      <c r="AF1520" s="76" t="s">
        <v>1568</v>
      </c>
      <c r="AG1520" s="76"/>
      <c r="AH1520" s="76" t="s">
        <v>12672</v>
      </c>
      <c r="AI1520" s="67"/>
      <c r="AJ1520" s="67"/>
      <c r="AK1520" s="70"/>
      <c r="AL1520" s="70"/>
      <c r="AM1520" s="70"/>
      <c r="AN1520" s="70"/>
      <c r="AO1520" s="70"/>
      <c r="AP1520" s="70"/>
      <c r="AQ1520" s="67"/>
      <c r="AR1520" s="67"/>
      <c r="AS1520" s="67"/>
      <c r="AT1520" s="67"/>
    </row>
    <row r="1521">
      <c r="A1521" s="76">
        <v>210.0</v>
      </c>
      <c r="B1521" s="302" t="s">
        <v>4145</v>
      </c>
      <c r="C1521" s="1036" t="s">
        <v>12673</v>
      </c>
      <c r="D1521" s="86"/>
      <c r="E1521" s="746"/>
      <c r="F1521" s="747" t="s">
        <v>7341</v>
      </c>
      <c r="G1521" s="97" t="s">
        <v>102</v>
      </c>
      <c r="H1521" s="817" t="s">
        <v>3336</v>
      </c>
      <c r="I1521" s="86"/>
      <c r="J1521" s="87" t="s">
        <v>114</v>
      </c>
      <c r="K1521" s="118" t="s">
        <v>12674</v>
      </c>
      <c r="L1521" s="85" t="s">
        <v>239</v>
      </c>
      <c r="M1521" s="87" t="s">
        <v>60</v>
      </c>
      <c r="N1521" s="86" t="s">
        <v>2817</v>
      </c>
      <c r="O1521" s="87" t="s">
        <v>2818</v>
      </c>
      <c r="P1521" s="825">
        <v>34946.0</v>
      </c>
      <c r="Q1521" s="315">
        <f t="shared" si="218"/>
        <v>34946</v>
      </c>
      <c r="R1521" s="86">
        <f t="shared" si="217"/>
        <v>30</v>
      </c>
      <c r="S1521" s="315">
        <v>3.49450257E9</v>
      </c>
      <c r="T1521" s="315" t="s">
        <v>378</v>
      </c>
      <c r="U1521" s="124" t="s">
        <v>543</v>
      </c>
      <c r="V1521" s="76"/>
      <c r="W1521" s="86"/>
      <c r="X1521" s="97"/>
      <c r="Y1521" s="86"/>
      <c r="Z1521" s="86"/>
      <c r="AA1521" s="86"/>
      <c r="AB1521" s="97"/>
      <c r="AC1521" s="97" t="s">
        <v>1566</v>
      </c>
      <c r="AD1521" s="99"/>
      <c r="AE1521" s="76"/>
      <c r="AF1521" s="76" t="s">
        <v>2159</v>
      </c>
      <c r="AG1521" s="76"/>
      <c r="AH1521" s="76" t="s">
        <v>12672</v>
      </c>
      <c r="AI1521" s="67"/>
      <c r="AJ1521" s="67"/>
      <c r="AK1521" s="70"/>
      <c r="AL1521" s="70"/>
      <c r="AM1521" s="70"/>
      <c r="AN1521" s="70"/>
      <c r="AO1521" s="70"/>
      <c r="AP1521" s="70"/>
      <c r="AQ1521" s="67"/>
      <c r="AR1521" s="67"/>
      <c r="AS1521" s="67"/>
      <c r="AT1521" s="67"/>
    </row>
    <row r="1522">
      <c r="A1522" s="76">
        <v>210.0</v>
      </c>
      <c r="B1522" s="302" t="s">
        <v>4145</v>
      </c>
      <c r="C1522" s="1036" t="s">
        <v>12675</v>
      </c>
      <c r="D1522" s="77"/>
      <c r="E1522" s="78"/>
      <c r="F1522" s="80" t="s">
        <v>1295</v>
      </c>
      <c r="G1522" s="77" t="s">
        <v>281</v>
      </c>
      <c r="H1522" s="77" t="s">
        <v>504</v>
      </c>
      <c r="I1522" s="146"/>
      <c r="J1522" s="76" t="s">
        <v>114</v>
      </c>
      <c r="K1522" s="109"/>
      <c r="L1522" s="109"/>
      <c r="M1522" s="85" t="s">
        <v>60</v>
      </c>
      <c r="N1522" s="97" t="s">
        <v>3041</v>
      </c>
      <c r="O1522" s="291" t="s">
        <v>3042</v>
      </c>
      <c r="P1522" s="523">
        <v>33111.0</v>
      </c>
      <c r="Q1522" s="315" t="str">
        <f t="shared" si="218"/>
        <v>#VALUE!</v>
      </c>
      <c r="R1522" s="86">
        <f t="shared" si="217"/>
        <v>36</v>
      </c>
      <c r="S1522" s="76" t="s">
        <v>3642</v>
      </c>
      <c r="T1522" s="315"/>
      <c r="U1522" s="76" t="s">
        <v>165</v>
      </c>
      <c r="V1522" s="76" t="s">
        <v>566</v>
      </c>
      <c r="W1522" s="76"/>
      <c r="X1522" s="76"/>
      <c r="Y1522" s="97" t="s">
        <v>183</v>
      </c>
      <c r="Z1522" s="289" t="s">
        <v>1725</v>
      </c>
      <c r="AA1522" s="97"/>
      <c r="AB1522" s="97"/>
      <c r="AC1522" s="76" t="s">
        <v>1566</v>
      </c>
      <c r="AD1522" s="99"/>
      <c r="AE1522" s="76" t="s">
        <v>846</v>
      </c>
      <c r="AF1522" s="76" t="s">
        <v>1568</v>
      </c>
      <c r="AG1522" s="76" t="s">
        <v>375</v>
      </c>
      <c r="AH1522" s="76" t="s">
        <v>12676</v>
      </c>
      <c r="AI1522" s="67"/>
      <c r="AJ1522" s="67"/>
      <c r="AK1522" s="67"/>
      <c r="AL1522" s="70"/>
      <c r="AM1522" s="135"/>
      <c r="AN1522" s="135"/>
      <c r="AO1522" s="70"/>
      <c r="AP1522" s="70"/>
      <c r="AQ1522" s="67"/>
      <c r="AR1522" s="67"/>
      <c r="AS1522" s="67"/>
      <c r="AT1522" s="67"/>
    </row>
    <row r="1523">
      <c r="A1523" s="76">
        <v>210.0</v>
      </c>
      <c r="B1523" s="302" t="s">
        <v>4145</v>
      </c>
      <c r="C1523" s="302"/>
      <c r="D1523" s="76"/>
      <c r="E1523" s="76" t="s">
        <v>12677</v>
      </c>
      <c r="F1523" s="762"/>
      <c r="G1523" s="762"/>
      <c r="H1523" s="762"/>
      <c r="I1523" s="762"/>
      <c r="J1523" s="85" t="s">
        <v>114</v>
      </c>
      <c r="K1523" s="85" t="s">
        <v>12678</v>
      </c>
      <c r="L1523" s="85"/>
      <c r="M1523" s="85" t="s">
        <v>60</v>
      </c>
      <c r="N1523" s="256" t="s">
        <v>1392</v>
      </c>
      <c r="O1523" s="76" t="s">
        <v>1394</v>
      </c>
      <c r="P1523" s="153">
        <v>31558.0</v>
      </c>
      <c r="Q1523" s="315">
        <f t="shared" si="218"/>
        <v>31558</v>
      </c>
      <c r="R1523" s="97">
        <f t="shared" si="217"/>
        <v>40</v>
      </c>
      <c r="S1523" s="76">
        <v>3.155717156E9</v>
      </c>
      <c r="T1523" s="315"/>
      <c r="U1523" s="310" t="s">
        <v>368</v>
      </c>
      <c r="V1523" s="76"/>
      <c r="W1523" s="76"/>
      <c r="X1523" s="76"/>
      <c r="Y1523" s="97" t="s">
        <v>1174</v>
      </c>
      <c r="Z1523" s="278" t="s">
        <v>2090</v>
      </c>
      <c r="AA1523" s="76"/>
      <c r="AB1523" s="76"/>
      <c r="AC1523" s="76"/>
      <c r="AD1523" s="1236"/>
      <c r="AE1523" s="76"/>
      <c r="AF1523" s="153">
        <v>46149.0</v>
      </c>
      <c r="AG1523" s="76" t="s">
        <v>1187</v>
      </c>
      <c r="AH1523" s="153">
        <v>46228.0</v>
      </c>
      <c r="AI1523" s="763"/>
      <c r="AJ1523" s="763"/>
      <c r="AK1523" s="763"/>
      <c r="AL1523" s="763"/>
      <c r="AM1523" s="763"/>
      <c r="AN1523" s="763"/>
      <c r="AO1523" s="763"/>
      <c r="AP1523" s="763"/>
      <c r="AQ1523" s="763"/>
      <c r="AR1523" s="763"/>
      <c r="AS1523" s="763"/>
      <c r="AT1523" s="763"/>
    </row>
    <row r="1524">
      <c r="A1524" s="86"/>
      <c r="B1524" s="302" t="s">
        <v>145</v>
      </c>
      <c r="C1524" s="1195" t="s">
        <v>12679</v>
      </c>
      <c r="D1524" s="76" t="s">
        <v>4264</v>
      </c>
      <c r="E1524" s="574">
        <v>46187.0</v>
      </c>
      <c r="F1524" s="762"/>
      <c r="G1524" s="762"/>
      <c r="H1524" s="762"/>
      <c r="I1524" s="762"/>
      <c r="J1524" s="76" t="s">
        <v>114</v>
      </c>
      <c r="K1524" s="76"/>
      <c r="L1524" s="47"/>
      <c r="M1524" s="300" t="s">
        <v>60</v>
      </c>
      <c r="N1524" s="678" t="s">
        <v>11078</v>
      </c>
      <c r="O1524" s="913" t="s">
        <v>11079</v>
      </c>
      <c r="P1524" s="523">
        <v>31963.0</v>
      </c>
      <c r="Q1524" s="315">
        <f t="shared" si="218"/>
        <v>31963</v>
      </c>
      <c r="R1524" s="86">
        <f t="shared" si="217"/>
        <v>39</v>
      </c>
      <c r="S1524" s="76">
        <v>3.196205135E9</v>
      </c>
      <c r="T1524" s="76"/>
      <c r="U1524" s="76" t="s">
        <v>368</v>
      </c>
      <c r="V1524" s="76"/>
      <c r="W1524" s="76"/>
      <c r="X1524" s="76" t="s">
        <v>145</v>
      </c>
      <c r="Y1524" s="276" t="s">
        <v>2344</v>
      </c>
      <c r="Z1524" s="76"/>
      <c r="AA1524" s="76" t="s">
        <v>114</v>
      </c>
      <c r="AB1524" s="76"/>
      <c r="AC1524" s="76"/>
      <c r="AD1524" s="76"/>
      <c r="AE1524" s="76"/>
      <c r="AF1524" s="76"/>
      <c r="AG1524" s="76" t="s">
        <v>1187</v>
      </c>
      <c r="AH1524" s="153">
        <v>46215.0</v>
      </c>
      <c r="AI1524" s="763"/>
      <c r="AJ1524" s="763"/>
      <c r="AK1524" s="763"/>
      <c r="AL1524" s="763"/>
      <c r="AM1524" s="763"/>
      <c r="AN1524" s="763"/>
      <c r="AO1524" s="763"/>
      <c r="AP1524" s="763"/>
      <c r="AQ1524" s="763"/>
      <c r="AR1524" s="763"/>
      <c r="AS1524" s="763"/>
      <c r="AT1524" s="763"/>
    </row>
    <row r="1525">
      <c r="A1525" s="86"/>
      <c r="B1525" s="302" t="s">
        <v>145</v>
      </c>
      <c r="C1525" s="1195" t="s">
        <v>12680</v>
      </c>
      <c r="D1525" s="76" t="s">
        <v>4264</v>
      </c>
      <c r="E1525" s="574">
        <v>46204.0</v>
      </c>
      <c r="F1525" s="762"/>
      <c r="G1525" s="762"/>
      <c r="H1525" s="762"/>
      <c r="I1525" s="762"/>
      <c r="J1525" s="76" t="s">
        <v>114</v>
      </c>
      <c r="K1525" s="76"/>
      <c r="L1525" s="47"/>
      <c r="M1525" s="300" t="s">
        <v>60</v>
      </c>
      <c r="N1525" s="678" t="s">
        <v>11254</v>
      </c>
      <c r="O1525" s="913" t="s">
        <v>11255</v>
      </c>
      <c r="P1525" s="523">
        <v>32636.0</v>
      </c>
      <c r="Q1525" s="315">
        <f t="shared" si="218"/>
        <v>32636</v>
      </c>
      <c r="R1525" s="86">
        <f t="shared" si="217"/>
        <v>37</v>
      </c>
      <c r="S1525" s="76">
        <v>3.263505956E9</v>
      </c>
      <c r="T1525" s="315"/>
      <c r="U1525" s="76" t="s">
        <v>368</v>
      </c>
      <c r="V1525" s="76"/>
      <c r="W1525" s="76"/>
      <c r="X1525" s="76" t="s">
        <v>145</v>
      </c>
      <c r="Y1525" s="276" t="s">
        <v>371</v>
      </c>
      <c r="Z1525" s="85" t="s">
        <v>1892</v>
      </c>
      <c r="AA1525" s="76" t="s">
        <v>114</v>
      </c>
      <c r="AB1525" s="97"/>
      <c r="AC1525" s="76"/>
      <c r="AD1525" s="76"/>
      <c r="AE1525" s="76"/>
      <c r="AF1525" s="76"/>
      <c r="AG1525" s="76" t="s">
        <v>1187</v>
      </c>
      <c r="AH1525" s="153">
        <v>46214.0</v>
      </c>
      <c r="AI1525" s="763"/>
      <c r="AJ1525" s="763"/>
      <c r="AK1525" s="763"/>
      <c r="AL1525" s="763"/>
      <c r="AM1525" s="763"/>
      <c r="AN1525" s="763"/>
      <c r="AO1525" s="763"/>
      <c r="AP1525" s="763"/>
      <c r="AQ1525" s="763"/>
      <c r="AR1525" s="763"/>
      <c r="AS1525" s="763"/>
      <c r="AT1525" s="763"/>
    </row>
    <row r="1526">
      <c r="A1526" s="86"/>
      <c r="B1526" s="302" t="s">
        <v>145</v>
      </c>
      <c r="C1526" s="302"/>
      <c r="D1526" s="1237" t="s">
        <v>12681</v>
      </c>
      <c r="E1526" s="574">
        <v>46127.0</v>
      </c>
      <c r="F1526" s="762"/>
      <c r="G1526" s="762"/>
      <c r="H1526" s="762"/>
      <c r="I1526" s="762"/>
      <c r="J1526" s="76" t="s">
        <v>114</v>
      </c>
      <c r="K1526" s="76"/>
      <c r="L1526" s="47"/>
      <c r="M1526" s="300" t="s">
        <v>102</v>
      </c>
      <c r="N1526" s="678" t="s">
        <v>10551</v>
      </c>
      <c r="O1526" s="76" t="s">
        <v>10552</v>
      </c>
      <c r="P1526" s="523">
        <v>28626.0</v>
      </c>
      <c r="Q1526" s="315">
        <f t="shared" si="218"/>
        <v>1</v>
      </c>
      <c r="R1526" s="86">
        <f t="shared" si="217"/>
        <v>48</v>
      </c>
      <c r="S1526" s="76"/>
      <c r="T1526" s="76" t="s">
        <v>1511</v>
      </c>
      <c r="U1526" s="76" t="s">
        <v>368</v>
      </c>
      <c r="V1526" s="76"/>
      <c r="W1526" s="76"/>
      <c r="X1526" s="76" t="s">
        <v>145</v>
      </c>
      <c r="Y1526" s="97"/>
      <c r="Z1526" s="216" t="s">
        <v>1815</v>
      </c>
      <c r="AA1526" s="76" t="s">
        <v>114</v>
      </c>
      <c r="AB1526" s="97"/>
      <c r="AC1526" s="76"/>
      <c r="AD1526" s="76"/>
      <c r="AE1526" s="76"/>
      <c r="AF1526" s="85" t="s">
        <v>12682</v>
      </c>
      <c r="AG1526" s="85" t="s">
        <v>2194</v>
      </c>
      <c r="AH1526" s="262">
        <v>46213.0</v>
      </c>
      <c r="AI1526" s="763"/>
      <c r="AJ1526" s="763"/>
      <c r="AK1526" s="763"/>
      <c r="AL1526" s="763"/>
      <c r="AM1526" s="763"/>
      <c r="AN1526" s="763"/>
      <c r="AO1526" s="763"/>
      <c r="AP1526" s="763"/>
      <c r="AQ1526" s="763"/>
      <c r="AR1526" s="763"/>
      <c r="AS1526" s="763"/>
      <c r="AT1526" s="763"/>
    </row>
    <row r="1527">
      <c r="A1527" s="86"/>
      <c r="B1527" s="302" t="s">
        <v>145</v>
      </c>
      <c r="C1527" s="1238" t="s">
        <v>9319</v>
      </c>
      <c r="D1527" s="76" t="s">
        <v>10837</v>
      </c>
      <c r="E1527" s="574">
        <v>46155.0</v>
      </c>
      <c r="F1527" s="762"/>
      <c r="G1527" s="762"/>
      <c r="H1527" s="762"/>
      <c r="I1527" s="762"/>
      <c r="J1527" s="76" t="s">
        <v>114</v>
      </c>
      <c r="K1527" s="76" t="s">
        <v>12683</v>
      </c>
      <c r="L1527" s="47"/>
      <c r="M1527" s="300" t="s">
        <v>60</v>
      </c>
      <c r="N1527" s="678" t="s">
        <v>11172</v>
      </c>
      <c r="O1527" s="913" t="s">
        <v>11173</v>
      </c>
      <c r="P1527" s="523">
        <v>36563.0</v>
      </c>
      <c r="Q1527" s="315">
        <f t="shared" si="218"/>
        <v>36563</v>
      </c>
      <c r="R1527" s="86">
        <f t="shared" si="217"/>
        <v>26</v>
      </c>
      <c r="S1527" s="76">
        <v>3.656209935E9</v>
      </c>
      <c r="T1527" s="315"/>
      <c r="U1527" s="76" t="s">
        <v>368</v>
      </c>
      <c r="V1527" s="76"/>
      <c r="W1527" s="76"/>
      <c r="X1527" s="76" t="s">
        <v>145</v>
      </c>
      <c r="Y1527" s="97"/>
      <c r="Z1527" s="216" t="s">
        <v>3792</v>
      </c>
      <c r="AA1527" s="76" t="s">
        <v>114</v>
      </c>
      <c r="AB1527" s="97"/>
      <c r="AC1527" s="76"/>
      <c r="AD1527" s="76"/>
      <c r="AE1527" s="76"/>
      <c r="AF1527" s="76"/>
      <c r="AG1527" s="76" t="s">
        <v>1187</v>
      </c>
      <c r="AH1527" s="153">
        <v>46242.0</v>
      </c>
      <c r="AI1527" s="763"/>
      <c r="AJ1527" s="763"/>
      <c r="AK1527" s="763"/>
      <c r="AL1527" s="763"/>
      <c r="AM1527" s="763"/>
      <c r="AN1527" s="763"/>
      <c r="AO1527" s="763"/>
      <c r="AP1527" s="763"/>
      <c r="AQ1527" s="763"/>
      <c r="AR1527" s="763"/>
      <c r="AS1527" s="763"/>
      <c r="AT1527" s="763"/>
    </row>
    <row r="1528">
      <c r="A1528" s="76" t="s">
        <v>116</v>
      </c>
      <c r="B1528" s="77" t="s">
        <v>1039</v>
      </c>
      <c r="C1528" s="77" t="s">
        <v>1269</v>
      </c>
      <c r="D1528" s="77" t="s">
        <v>1368</v>
      </c>
      <c r="E1528" s="78" t="s">
        <v>178</v>
      </c>
      <c r="F1528" s="80" t="s">
        <v>1369</v>
      </c>
      <c r="G1528" s="77" t="s">
        <v>1371</v>
      </c>
      <c r="H1528" s="77" t="s">
        <v>102</v>
      </c>
      <c r="I1528" s="146" t="s">
        <v>408</v>
      </c>
      <c r="J1528" s="85" t="s">
        <v>114</v>
      </c>
      <c r="K1528" s="97"/>
      <c r="L1528" s="236"/>
      <c r="M1528" s="85" t="s">
        <v>102</v>
      </c>
      <c r="N1528" s="97" t="s">
        <v>12684</v>
      </c>
      <c r="O1528" s="87" t="s">
        <v>12685</v>
      </c>
      <c r="P1528" s="1135">
        <v>32715.0</v>
      </c>
      <c r="Q1528" s="315">
        <f t="shared" si="218"/>
        <v>32715</v>
      </c>
      <c r="R1528" s="86">
        <f t="shared" si="217"/>
        <v>37</v>
      </c>
      <c r="S1528" s="240">
        <v>3.271415279E9</v>
      </c>
      <c r="T1528" s="703"/>
      <c r="U1528" s="76" t="s">
        <v>379</v>
      </c>
      <c r="V1528" s="76"/>
      <c r="W1528" s="240"/>
      <c r="X1528" s="240"/>
      <c r="Y1528" s="241"/>
      <c r="Z1528" s="176" t="s">
        <v>1254</v>
      </c>
      <c r="AA1528" s="76" t="s">
        <v>1178</v>
      </c>
      <c r="AB1528" s="241"/>
      <c r="AC1528" s="76" t="s">
        <v>2915</v>
      </c>
      <c r="AD1528" s="243"/>
      <c r="AE1528" s="76"/>
      <c r="AF1528" s="76" t="s">
        <v>1653</v>
      </c>
      <c r="AG1528" s="240"/>
      <c r="AH1528" s="244" t="s">
        <v>11227</v>
      </c>
      <c r="AI1528" s="67"/>
      <c r="AJ1528" s="67"/>
      <c r="AK1528" s="86" t="s">
        <v>378</v>
      </c>
      <c r="AL1528" s="70"/>
      <c r="AM1528" s="135"/>
      <c r="AN1528" s="135"/>
      <c r="AO1528" s="70"/>
      <c r="AP1528" s="70"/>
      <c r="AQ1528" s="67"/>
      <c r="AR1528" s="67"/>
      <c r="AS1528" s="67"/>
      <c r="AT1528" s="67"/>
    </row>
    <row r="1529">
      <c r="A1529" s="76" t="s">
        <v>116</v>
      </c>
      <c r="B1529" s="77" t="s">
        <v>1709</v>
      </c>
      <c r="C1529" s="77" t="s">
        <v>1611</v>
      </c>
      <c r="D1529" s="77" t="s">
        <v>1368</v>
      </c>
      <c r="E1529" s="78" t="s">
        <v>187</v>
      </c>
      <c r="F1529" s="80" t="s">
        <v>1469</v>
      </c>
      <c r="G1529" s="77" t="s">
        <v>6327</v>
      </c>
      <c r="H1529" s="77" t="s">
        <v>60</v>
      </c>
      <c r="I1529" s="87" t="s">
        <v>1221</v>
      </c>
      <c r="J1529" s="76" t="s">
        <v>114</v>
      </c>
      <c r="K1529" s="76"/>
      <c r="L1529" s="47"/>
      <c r="M1529" s="85" t="s">
        <v>60</v>
      </c>
      <c r="N1529" s="157" t="s">
        <v>12686</v>
      </c>
      <c r="O1529" s="76" t="s">
        <v>12687</v>
      </c>
      <c r="P1529" s="523">
        <v>34906.0</v>
      </c>
      <c r="Q1529" s="315">
        <f t="shared" si="218"/>
        <v>34906</v>
      </c>
      <c r="R1529" s="86">
        <f t="shared" si="217"/>
        <v>31</v>
      </c>
      <c r="S1529" s="76">
        <v>3.490504458E9</v>
      </c>
      <c r="T1529" s="315"/>
      <c r="U1529" s="76" t="s">
        <v>379</v>
      </c>
      <c r="V1529" s="76"/>
      <c r="W1529" s="76"/>
      <c r="X1529" s="76" t="s">
        <v>186</v>
      </c>
      <c r="Y1529" s="76"/>
      <c r="Z1529" s="85" t="s">
        <v>1892</v>
      </c>
      <c r="AA1529" s="97"/>
      <c r="AB1529" s="97"/>
      <c r="AC1529" s="76" t="s">
        <v>2915</v>
      </c>
      <c r="AD1529" s="76"/>
      <c r="AE1529" s="76"/>
      <c r="AF1529" s="76"/>
      <c r="AG1529" s="76"/>
      <c r="AH1529" s="76" t="s">
        <v>11227</v>
      </c>
      <c r="AI1529" s="67"/>
      <c r="AJ1529" s="67"/>
      <c r="AK1529" s="160" t="s">
        <v>6343</v>
      </c>
      <c r="AL1529" s="70"/>
      <c r="AM1529" s="135"/>
      <c r="AN1529" s="135"/>
      <c r="AO1529" s="70"/>
      <c r="AP1529" s="70"/>
      <c r="AQ1529" s="67"/>
      <c r="AR1529" s="67"/>
      <c r="AS1529" s="67"/>
      <c r="AT1529" s="67"/>
    </row>
    <row r="1530">
      <c r="A1530" s="76" t="s">
        <v>116</v>
      </c>
      <c r="B1530" s="77" t="s">
        <v>3722</v>
      </c>
      <c r="C1530" s="77" t="s">
        <v>3724</v>
      </c>
      <c r="D1530" s="77" t="s">
        <v>6147</v>
      </c>
      <c r="E1530" s="78" t="s">
        <v>1431</v>
      </c>
      <c r="F1530" s="80" t="s">
        <v>1437</v>
      </c>
      <c r="G1530" s="77" t="s">
        <v>7753</v>
      </c>
      <c r="H1530" s="77" t="s">
        <v>60</v>
      </c>
      <c r="I1530" s="87" t="s">
        <v>1221</v>
      </c>
      <c r="J1530" s="76" t="s">
        <v>114</v>
      </c>
      <c r="K1530" s="424"/>
      <c r="L1530" s="85"/>
      <c r="M1530" s="211" t="s">
        <v>60</v>
      </c>
      <c r="N1530" s="85" t="s">
        <v>252</v>
      </c>
      <c r="O1530" s="76" t="s">
        <v>253</v>
      </c>
      <c r="P1530" s="374">
        <v>28178.0</v>
      </c>
      <c r="Q1530" s="1167">
        <f t="shared" si="218"/>
        <v>28178</v>
      </c>
      <c r="R1530" s="86">
        <f t="shared" si="217"/>
        <v>49</v>
      </c>
      <c r="S1530" s="315">
        <v>2.817717313E9</v>
      </c>
      <c r="T1530" s="1167"/>
      <c r="U1530" s="76" t="s">
        <v>165</v>
      </c>
      <c r="V1530" s="76" t="s">
        <v>425</v>
      </c>
      <c r="W1530" s="76"/>
      <c r="X1530" s="76"/>
      <c r="Y1530" s="368"/>
      <c r="Z1530" s="368"/>
      <c r="AA1530" s="97"/>
      <c r="AB1530" s="76" t="s">
        <v>192</v>
      </c>
      <c r="AC1530" s="368"/>
      <c r="AD1530" s="492"/>
      <c r="AE1530" s="76" t="s">
        <v>259</v>
      </c>
      <c r="AF1530" s="424" t="s">
        <v>155</v>
      </c>
      <c r="AG1530" s="76" t="s">
        <v>9406</v>
      </c>
      <c r="AH1530" s="239" t="s">
        <v>12688</v>
      </c>
      <c r="AI1530" s="67"/>
      <c r="AJ1530" s="67"/>
      <c r="AK1530" s="70"/>
      <c r="AL1530" s="70"/>
      <c r="AM1530" s="135"/>
      <c r="AN1530" s="135"/>
      <c r="AO1530" s="70"/>
      <c r="AP1530" s="70"/>
      <c r="AQ1530" s="67"/>
      <c r="AR1530" s="67"/>
      <c r="AS1530" s="67"/>
      <c r="AT1530" s="67"/>
    </row>
    <row r="1531">
      <c r="A1531" s="86"/>
      <c r="B1531" s="302" t="s">
        <v>145</v>
      </c>
      <c r="C1531" s="302"/>
      <c r="D1531" s="76"/>
      <c r="E1531" s="1081">
        <v>46157.0</v>
      </c>
      <c r="F1531" s="762"/>
      <c r="G1531" s="762"/>
      <c r="H1531" s="762"/>
      <c r="I1531" s="762"/>
      <c r="J1531" s="76" t="s">
        <v>114</v>
      </c>
      <c r="K1531" s="76"/>
      <c r="L1531" s="47"/>
      <c r="M1531" s="85" t="s">
        <v>60</v>
      </c>
      <c r="N1531" s="157" t="s">
        <v>12689</v>
      </c>
      <c r="O1531" s="76" t="s">
        <v>12690</v>
      </c>
      <c r="P1531" s="523">
        <v>34658.0</v>
      </c>
      <c r="Q1531" s="315">
        <f t="shared" si="218"/>
        <v>1</v>
      </c>
      <c r="R1531" s="86">
        <f t="shared" si="217"/>
        <v>31</v>
      </c>
      <c r="S1531" s="76"/>
      <c r="T1531" s="315"/>
      <c r="U1531" s="76" t="s">
        <v>136</v>
      </c>
      <c r="V1531" s="76" t="s">
        <v>350</v>
      </c>
      <c r="W1531" s="76"/>
      <c r="X1531" s="76" t="s">
        <v>182</v>
      </c>
      <c r="Y1531" s="211" t="s">
        <v>1755</v>
      </c>
      <c r="Z1531" s="501" t="s">
        <v>418</v>
      </c>
      <c r="AA1531" s="76" t="s">
        <v>185</v>
      </c>
      <c r="AB1531" s="76"/>
      <c r="AC1531" s="76"/>
      <c r="AD1531" s="76"/>
      <c r="AE1531" s="76" t="s">
        <v>259</v>
      </c>
      <c r="AF1531" s="76"/>
      <c r="AG1531" s="189"/>
      <c r="AH1531" s="153">
        <v>46249.0</v>
      </c>
      <c r="AI1531" s="763"/>
      <c r="AJ1531" s="763"/>
      <c r="AK1531" s="763"/>
      <c r="AL1531" s="763"/>
      <c r="AM1531" s="763"/>
      <c r="AN1531" s="763"/>
      <c r="AO1531" s="763"/>
      <c r="AP1531" s="763"/>
      <c r="AQ1531" s="763"/>
      <c r="AR1531" s="763"/>
      <c r="AS1531" s="763"/>
      <c r="AT1531" s="763"/>
    </row>
    <row r="1532">
      <c r="A1532" s="76" t="s">
        <v>116</v>
      </c>
      <c r="B1532" s="77" t="s">
        <v>121</v>
      </c>
      <c r="C1532" s="77" t="s">
        <v>121</v>
      </c>
      <c r="D1532" s="77" t="s">
        <v>121</v>
      </c>
      <c r="E1532" s="78" t="s">
        <v>314</v>
      </c>
      <c r="F1532" s="80" t="s">
        <v>315</v>
      </c>
      <c r="G1532" s="77" t="s">
        <v>316</v>
      </c>
      <c r="H1532" s="77" t="s">
        <v>62</v>
      </c>
      <c r="I1532" s="82" t="s">
        <v>135</v>
      </c>
      <c r="J1532" s="76" t="s">
        <v>114</v>
      </c>
      <c r="K1532" s="86"/>
      <c r="L1532" s="85" t="s">
        <v>239</v>
      </c>
      <c r="M1532" s="87" t="s">
        <v>36</v>
      </c>
      <c r="N1532" s="76" t="s">
        <v>78</v>
      </c>
      <c r="O1532" s="76" t="s">
        <v>79</v>
      </c>
      <c r="P1532" s="523">
        <v>34335.0</v>
      </c>
      <c r="Q1532" s="315">
        <f t="shared" si="218"/>
        <v>34335</v>
      </c>
      <c r="R1532" s="86">
        <f t="shared" si="217"/>
        <v>32</v>
      </c>
      <c r="S1532" s="76">
        <v>3.433409538E9</v>
      </c>
      <c r="T1532" s="315"/>
      <c r="U1532" s="443" t="s">
        <v>165</v>
      </c>
      <c r="V1532" s="86" t="s">
        <v>166</v>
      </c>
      <c r="W1532" s="86"/>
      <c r="X1532" s="97"/>
      <c r="Y1532" s="86"/>
      <c r="Z1532" s="86"/>
      <c r="AA1532" s="86"/>
      <c r="AB1532" s="97"/>
      <c r="AC1532" s="97" t="s">
        <v>257</v>
      </c>
      <c r="AD1532" s="99"/>
      <c r="AE1532" s="76" t="s">
        <v>259</v>
      </c>
      <c r="AF1532" s="99"/>
      <c r="AG1532" s="112"/>
      <c r="AH1532" s="86"/>
      <c r="AI1532" s="67"/>
      <c r="AJ1532" s="67"/>
      <c r="AK1532" s="70"/>
      <c r="AL1532" s="70"/>
      <c r="AM1532" s="135"/>
      <c r="AN1532" s="135"/>
      <c r="AO1532" s="70"/>
      <c r="AP1532" s="70"/>
      <c r="AQ1532" s="67"/>
      <c r="AR1532" s="67"/>
      <c r="AS1532" s="67"/>
      <c r="AT1532" s="67"/>
    </row>
    <row r="1533">
      <c r="A1533" s="76" t="s">
        <v>116</v>
      </c>
      <c r="B1533" s="77" t="s">
        <v>1039</v>
      </c>
      <c r="C1533" s="77" t="s">
        <v>1269</v>
      </c>
      <c r="D1533" s="77" t="s">
        <v>1519</v>
      </c>
      <c r="E1533" s="78" t="s">
        <v>213</v>
      </c>
      <c r="F1533" s="80" t="s">
        <v>1523</v>
      </c>
      <c r="G1533" s="77" t="s">
        <v>422</v>
      </c>
      <c r="H1533" s="77" t="s">
        <v>60</v>
      </c>
      <c r="I1533" s="87" t="s">
        <v>1221</v>
      </c>
      <c r="J1533" s="76" t="s">
        <v>114</v>
      </c>
      <c r="K1533" s="176" t="s">
        <v>12691</v>
      </c>
      <c r="L1533" s="47"/>
      <c r="M1533" s="85" t="s">
        <v>60</v>
      </c>
      <c r="N1533" s="678" t="s">
        <v>11061</v>
      </c>
      <c r="O1533" s="76" t="s">
        <v>8868</v>
      </c>
      <c r="P1533" s="523">
        <v>30992.0</v>
      </c>
      <c r="Q1533" s="315"/>
      <c r="R1533" s="86">
        <f t="shared" si="217"/>
        <v>41</v>
      </c>
      <c r="S1533" s="76"/>
      <c r="T1533" s="76"/>
      <c r="U1533" s="76" t="s">
        <v>368</v>
      </c>
      <c r="V1533" s="76"/>
      <c r="W1533" s="76"/>
      <c r="X1533" s="76"/>
      <c r="Y1533" s="276" t="s">
        <v>2344</v>
      </c>
      <c r="Z1533" s="76"/>
      <c r="AA1533" s="76" t="s">
        <v>1178</v>
      </c>
      <c r="AB1533" s="76"/>
      <c r="AC1533" s="76"/>
      <c r="AD1533" s="76"/>
      <c r="AE1533" s="76"/>
      <c r="AF1533" s="76" t="s">
        <v>12692</v>
      </c>
      <c r="AG1533" s="76" t="s">
        <v>1187</v>
      </c>
      <c r="AH1533" s="153">
        <v>46243.0</v>
      </c>
      <c r="AI1533" s="67"/>
      <c r="AJ1533" s="67"/>
      <c r="AK1533" s="70"/>
      <c r="AL1533" s="70"/>
      <c r="AM1533" s="135"/>
      <c r="AN1533" s="135"/>
      <c r="AO1533" s="70"/>
      <c r="AP1533" s="70"/>
      <c r="AQ1533" s="67"/>
      <c r="AR1533" s="67"/>
      <c r="AS1533" s="67"/>
      <c r="AT1533" s="67"/>
    </row>
    <row r="1534">
      <c r="A1534" s="76" t="s">
        <v>116</v>
      </c>
      <c r="B1534" s="77" t="s">
        <v>1039</v>
      </c>
      <c r="C1534" s="77" t="s">
        <v>1269</v>
      </c>
      <c r="D1534" s="77" t="s">
        <v>1519</v>
      </c>
      <c r="E1534" s="78" t="s">
        <v>58</v>
      </c>
      <c r="F1534" s="80" t="s">
        <v>1496</v>
      </c>
      <c r="G1534" s="77" t="s">
        <v>438</v>
      </c>
      <c r="H1534" s="77" t="s">
        <v>60</v>
      </c>
      <c r="I1534" s="87" t="s">
        <v>1221</v>
      </c>
      <c r="J1534" s="76" t="s">
        <v>114</v>
      </c>
      <c r="K1534" s="76" t="s">
        <v>12693</v>
      </c>
      <c r="L1534" s="86"/>
      <c r="M1534" s="86" t="s">
        <v>60</v>
      </c>
      <c r="N1534" s="256" t="s">
        <v>11012</v>
      </c>
      <c r="O1534" s="85" t="s">
        <v>11013</v>
      </c>
      <c r="P1534" s="825">
        <v>33807.0</v>
      </c>
      <c r="Q1534" s="315">
        <f t="shared" ref="Q1534:Q1535" si="219">VALUE(LEFT(TEXT(S1534,0),5))+1</f>
        <v>33807</v>
      </c>
      <c r="R1534" s="97">
        <f t="shared" si="217"/>
        <v>34</v>
      </c>
      <c r="S1534" s="76">
        <v>3.38060465E9</v>
      </c>
      <c r="T1534" s="315"/>
      <c r="U1534" s="76" t="s">
        <v>368</v>
      </c>
      <c r="V1534" s="76"/>
      <c r="W1534" s="76"/>
      <c r="X1534" s="76"/>
      <c r="Y1534" s="97"/>
      <c r="Z1534" s="216" t="s">
        <v>1815</v>
      </c>
      <c r="AA1534" s="97"/>
      <c r="AB1534" s="76"/>
      <c r="AC1534" s="97"/>
      <c r="AD1534" s="99"/>
      <c r="AE1534" s="76"/>
      <c r="AF1534" s="85"/>
      <c r="AG1534" s="76" t="s">
        <v>1187</v>
      </c>
      <c r="AH1534" s="262">
        <v>46237.0</v>
      </c>
      <c r="AI1534" s="67"/>
      <c r="AJ1534" s="67"/>
      <c r="AK1534" s="70"/>
      <c r="AL1534" s="70"/>
      <c r="AM1534" s="135"/>
      <c r="AN1534" s="135"/>
      <c r="AO1534" s="70"/>
      <c r="AP1534" s="70"/>
      <c r="AQ1534" s="67"/>
      <c r="AR1534" s="67"/>
      <c r="AS1534" s="67"/>
      <c r="AT1534" s="67"/>
    </row>
    <row r="1535">
      <c r="A1535" s="76" t="s">
        <v>116</v>
      </c>
      <c r="B1535" s="77" t="s">
        <v>1039</v>
      </c>
      <c r="C1535" s="77" t="s">
        <v>1611</v>
      </c>
      <c r="D1535" s="77" t="s">
        <v>1368</v>
      </c>
      <c r="E1535" s="78" t="s">
        <v>302</v>
      </c>
      <c r="F1535" s="80" t="s">
        <v>1404</v>
      </c>
      <c r="G1535" s="77" t="s">
        <v>585</v>
      </c>
      <c r="H1535" s="77" t="s">
        <v>326</v>
      </c>
      <c r="I1535" s="87" t="s">
        <v>1221</v>
      </c>
      <c r="J1535" s="76" t="s">
        <v>114</v>
      </c>
      <c r="K1535" s="124" t="s">
        <v>12694</v>
      </c>
      <c r="L1535" s="85"/>
      <c r="M1535" s="76" t="s">
        <v>60</v>
      </c>
      <c r="N1535" s="76" t="s">
        <v>10962</v>
      </c>
      <c r="O1535" s="76" t="s">
        <v>10963</v>
      </c>
      <c r="P1535" s="825">
        <v>32641.0</v>
      </c>
      <c r="Q1535" s="315">
        <f t="shared" si="219"/>
        <v>32641</v>
      </c>
      <c r="R1535" s="97">
        <f t="shared" si="217"/>
        <v>37</v>
      </c>
      <c r="S1535" s="76">
        <v>3.264004232E9</v>
      </c>
      <c r="T1535" s="1167"/>
      <c r="U1535" s="76" t="s">
        <v>136</v>
      </c>
      <c r="V1535" s="76"/>
      <c r="W1535" s="76"/>
      <c r="X1535" s="76"/>
      <c r="Y1535" s="276" t="s">
        <v>371</v>
      </c>
      <c r="Z1535" s="368"/>
      <c r="AA1535" s="76"/>
      <c r="AB1535" s="368"/>
      <c r="AC1535" s="369"/>
      <c r="AD1535" s="370"/>
      <c r="AE1535" s="76"/>
      <c r="AF1535" s="76" t="s">
        <v>12695</v>
      </c>
      <c r="AG1535" s="76" t="s">
        <v>1187</v>
      </c>
      <c r="AH1535" s="153">
        <v>46191.0</v>
      </c>
      <c r="AI1535" s="67"/>
      <c r="AJ1535" s="67"/>
      <c r="AK1535" s="70"/>
      <c r="AL1535" s="70"/>
      <c r="AM1535" s="135"/>
      <c r="AN1535" s="135"/>
      <c r="AO1535" s="70"/>
      <c r="AP1535" s="70"/>
      <c r="AQ1535" s="67"/>
      <c r="AR1535" s="67"/>
      <c r="AS1535" s="67"/>
      <c r="AT1535" s="67"/>
    </row>
    <row r="1536">
      <c r="A1536" s="76" t="s">
        <v>116</v>
      </c>
      <c r="B1536" s="77" t="s">
        <v>1645</v>
      </c>
      <c r="C1536" s="77" t="s">
        <v>1611</v>
      </c>
      <c r="D1536" s="77" t="s">
        <v>1368</v>
      </c>
      <c r="E1536" s="78" t="s">
        <v>302</v>
      </c>
      <c r="F1536" s="80" t="s">
        <v>1404</v>
      </c>
      <c r="G1536" s="77" t="s">
        <v>4619</v>
      </c>
      <c r="H1536" s="77" t="s">
        <v>326</v>
      </c>
      <c r="I1536" s="87" t="s">
        <v>1221</v>
      </c>
      <c r="J1536" s="784"/>
      <c r="K1536" s="300"/>
      <c r="L1536" s="784"/>
      <c r="M1536" s="211" t="s">
        <v>60</v>
      </c>
      <c r="N1536" s="159" t="s">
        <v>4305</v>
      </c>
      <c r="O1536" s="109"/>
      <c r="P1536" s="1135"/>
      <c r="Q1536" s="315"/>
      <c r="R1536" s="86"/>
      <c r="S1536" s="315"/>
      <c r="T1536" s="315"/>
      <c r="U1536" s="76" t="s">
        <v>136</v>
      </c>
      <c r="V1536" s="97"/>
      <c r="W1536" s="86"/>
      <c r="X1536" s="97"/>
      <c r="Y1536" s="97"/>
      <c r="Z1536" s="97"/>
      <c r="AA1536" s="97"/>
      <c r="AB1536" s="97"/>
      <c r="AC1536" s="160" t="s">
        <v>630</v>
      </c>
      <c r="AD1536" s="76" t="s">
        <v>632</v>
      </c>
      <c r="AE1536" s="76"/>
      <c r="AF1536" s="160" t="s">
        <v>630</v>
      </c>
      <c r="AG1536" s="76"/>
      <c r="AH1536" s="76" t="s">
        <v>12696</v>
      </c>
      <c r="AI1536" s="67"/>
      <c r="AJ1536" s="67"/>
      <c r="AK1536" s="70"/>
      <c r="AL1536" s="70"/>
      <c r="AM1536" s="135"/>
      <c r="AN1536" s="135"/>
      <c r="AO1536" s="70"/>
      <c r="AP1536" s="70"/>
      <c r="AQ1536" s="67"/>
      <c r="AR1536" s="67"/>
      <c r="AS1536" s="67"/>
      <c r="AT1536" s="67"/>
    </row>
    <row r="1537">
      <c r="A1537" s="76" t="s">
        <v>116</v>
      </c>
      <c r="B1537" s="77" t="s">
        <v>1645</v>
      </c>
      <c r="C1537" s="77" t="s">
        <v>1611</v>
      </c>
      <c r="D1537" s="77" t="s">
        <v>1368</v>
      </c>
      <c r="E1537" s="78" t="s">
        <v>212</v>
      </c>
      <c r="F1537" s="80" t="s">
        <v>2203</v>
      </c>
      <c r="G1537" s="77" t="s">
        <v>4638</v>
      </c>
      <c r="H1537" s="77" t="s">
        <v>326</v>
      </c>
      <c r="I1537" s="87" t="s">
        <v>1221</v>
      </c>
      <c r="J1537" s="76" t="s">
        <v>114</v>
      </c>
      <c r="K1537" s="176" t="s">
        <v>12697</v>
      </c>
      <c r="L1537" s="47"/>
      <c r="M1537" s="85" t="s">
        <v>326</v>
      </c>
      <c r="N1537" s="678" t="s">
        <v>10738</v>
      </c>
      <c r="O1537" s="76" t="s">
        <v>10739</v>
      </c>
      <c r="P1537" s="523">
        <v>32452.0</v>
      </c>
      <c r="Q1537" s="315">
        <f t="shared" ref="Q1537:Q1545" si="220">VALUE(LEFT(TEXT(S1537,0),5))+1</f>
        <v>32452</v>
      </c>
      <c r="R1537" s="86">
        <f t="shared" ref="R1537:R1545" si="221">DATEDIF($P1537,TODAY(),"Y")</f>
        <v>37</v>
      </c>
      <c r="S1537" s="76">
        <v>3.245115014E9</v>
      </c>
      <c r="T1537" s="315"/>
      <c r="U1537" s="76" t="s">
        <v>368</v>
      </c>
      <c r="V1537" s="76"/>
      <c r="W1537" s="76"/>
      <c r="X1537" s="76"/>
      <c r="Y1537" s="276" t="s">
        <v>1836</v>
      </c>
      <c r="Z1537" s="85"/>
      <c r="AA1537" s="76" t="s">
        <v>1178</v>
      </c>
      <c r="AB1537" s="97"/>
      <c r="AC1537" s="76"/>
      <c r="AD1537" s="217">
        <v>46175.0</v>
      </c>
      <c r="AE1537" s="76"/>
      <c r="AF1537" s="76" t="s">
        <v>12698</v>
      </c>
      <c r="AG1537" s="76" t="s">
        <v>1187</v>
      </c>
      <c r="AH1537" s="153">
        <v>46238.0</v>
      </c>
      <c r="AI1537" s="67"/>
      <c r="AJ1537" s="67"/>
      <c r="AK1537" s="70"/>
      <c r="AL1537" s="70"/>
      <c r="AM1537" s="135"/>
      <c r="AN1537" s="135"/>
      <c r="AO1537" s="70"/>
      <c r="AP1537" s="70"/>
      <c r="AQ1537" s="67"/>
      <c r="AR1537" s="67"/>
      <c r="AS1537" s="67"/>
      <c r="AT1537" s="67"/>
    </row>
    <row r="1538">
      <c r="A1538" s="76" t="s">
        <v>116</v>
      </c>
      <c r="B1538" s="77" t="s">
        <v>1645</v>
      </c>
      <c r="C1538" s="77" t="s">
        <v>1728</v>
      </c>
      <c r="D1538" s="77" t="s">
        <v>121</v>
      </c>
      <c r="E1538" s="78" t="s">
        <v>287</v>
      </c>
      <c r="F1538" s="80" t="s">
        <v>2853</v>
      </c>
      <c r="G1538" s="77" t="s">
        <v>1077</v>
      </c>
      <c r="H1538" s="77" t="s">
        <v>60</v>
      </c>
      <c r="I1538" s="87" t="s">
        <v>1221</v>
      </c>
      <c r="J1538" s="76" t="s">
        <v>114</v>
      </c>
      <c r="K1538" s="76"/>
      <c r="L1538" s="232" t="s">
        <v>1330</v>
      </c>
      <c r="M1538" s="85" t="s">
        <v>60</v>
      </c>
      <c r="N1538" s="358" t="s">
        <v>10445</v>
      </c>
      <c r="O1538" s="76" t="s">
        <v>10446</v>
      </c>
      <c r="P1538" s="523">
        <v>36398.0</v>
      </c>
      <c r="Q1538" s="315">
        <f t="shared" si="220"/>
        <v>36398</v>
      </c>
      <c r="R1538" s="86">
        <f t="shared" si="221"/>
        <v>27</v>
      </c>
      <c r="S1538" s="76">
        <v>3.639702533E9</v>
      </c>
      <c r="T1538" s="76" t="s">
        <v>1426</v>
      </c>
      <c r="U1538" s="76" t="s">
        <v>368</v>
      </c>
      <c r="V1538" s="76"/>
      <c r="W1538" s="76"/>
      <c r="X1538" s="76"/>
      <c r="Y1538" s="97"/>
      <c r="Z1538" s="216" t="s">
        <v>1815</v>
      </c>
      <c r="AA1538" s="76" t="s">
        <v>1178</v>
      </c>
      <c r="AB1538" s="97"/>
      <c r="AC1538" s="76" t="s">
        <v>1032</v>
      </c>
      <c r="AD1538" s="552">
        <v>46190.0</v>
      </c>
      <c r="AE1538" s="76"/>
      <c r="AF1538" s="76" t="s">
        <v>1819</v>
      </c>
      <c r="AG1538" s="76" t="s">
        <v>1187</v>
      </c>
      <c r="AH1538" s="153">
        <v>46240.0</v>
      </c>
      <c r="AI1538" s="67"/>
      <c r="AJ1538" s="67"/>
      <c r="AK1538" s="70"/>
      <c r="AL1538" s="70"/>
      <c r="AM1538" s="135"/>
      <c r="AN1538" s="135"/>
      <c r="AO1538" s="70"/>
      <c r="AP1538" s="70"/>
      <c r="AQ1538" s="67"/>
      <c r="AR1538" s="67"/>
      <c r="AS1538" s="67"/>
      <c r="AT1538" s="67"/>
    </row>
    <row r="1539">
      <c r="A1539" s="76" t="s">
        <v>116</v>
      </c>
      <c r="B1539" s="77" t="s">
        <v>1709</v>
      </c>
      <c r="C1539" s="77" t="s">
        <v>1517</v>
      </c>
      <c r="D1539" s="77" t="s">
        <v>1368</v>
      </c>
      <c r="E1539" s="78" t="s">
        <v>213</v>
      </c>
      <c r="F1539" s="80" t="s">
        <v>1523</v>
      </c>
      <c r="G1539" s="77" t="s">
        <v>5961</v>
      </c>
      <c r="H1539" s="77" t="s">
        <v>60</v>
      </c>
      <c r="I1539" s="87" t="s">
        <v>1221</v>
      </c>
      <c r="J1539" s="76" t="s">
        <v>114</v>
      </c>
      <c r="K1539" s="76" t="s">
        <v>12699</v>
      </c>
      <c r="L1539" s="85"/>
      <c r="M1539" s="76" t="s">
        <v>360</v>
      </c>
      <c r="N1539" s="256" t="s">
        <v>10957</v>
      </c>
      <c r="O1539" s="76" t="s">
        <v>6358</v>
      </c>
      <c r="P1539" s="523">
        <v>33125.0</v>
      </c>
      <c r="Q1539" s="315">
        <f t="shared" si="220"/>
        <v>33125</v>
      </c>
      <c r="R1539" s="97">
        <f t="shared" si="221"/>
        <v>35</v>
      </c>
      <c r="S1539" s="76">
        <v>3.312411336E9</v>
      </c>
      <c r="T1539" s="1167"/>
      <c r="U1539" s="76" t="s">
        <v>368</v>
      </c>
      <c r="V1539" s="76"/>
      <c r="W1539" s="76"/>
      <c r="X1539" s="76"/>
      <c r="Y1539" s="276"/>
      <c r="Z1539" s="216" t="s">
        <v>1351</v>
      </c>
      <c r="AA1539" s="76"/>
      <c r="AB1539" s="368"/>
      <c r="AC1539" s="369"/>
      <c r="AD1539" s="370"/>
      <c r="AE1539" s="76"/>
      <c r="AF1539" s="76" t="s">
        <v>4363</v>
      </c>
      <c r="AG1539" s="369" t="s">
        <v>1187</v>
      </c>
      <c r="AH1539" s="153">
        <v>46238.0</v>
      </c>
      <c r="AI1539" s="67"/>
      <c r="AJ1539" s="67"/>
      <c r="AK1539" s="70"/>
      <c r="AL1539" s="70"/>
      <c r="AM1539" s="135"/>
      <c r="AN1539" s="135"/>
      <c r="AO1539" s="70"/>
      <c r="AP1539" s="70"/>
      <c r="AQ1539" s="67"/>
      <c r="AR1539" s="67"/>
      <c r="AS1539" s="67"/>
      <c r="AT1539" s="67"/>
    </row>
    <row r="1540">
      <c r="A1540" s="76" t="s">
        <v>116</v>
      </c>
      <c r="B1540" s="77" t="s">
        <v>3722</v>
      </c>
      <c r="C1540" s="77" t="s">
        <v>7267</v>
      </c>
      <c r="D1540" s="77" t="s">
        <v>7574</v>
      </c>
      <c r="E1540" s="78" t="s">
        <v>1431</v>
      </c>
      <c r="F1540" s="80" t="s">
        <v>1437</v>
      </c>
      <c r="G1540" s="77" t="s">
        <v>7589</v>
      </c>
      <c r="H1540" s="77" t="s">
        <v>60</v>
      </c>
      <c r="I1540" s="87" t="s">
        <v>1221</v>
      </c>
      <c r="J1540" s="76" t="s">
        <v>114</v>
      </c>
      <c r="K1540" s="176" t="s">
        <v>12700</v>
      </c>
      <c r="L1540" s="85"/>
      <c r="M1540" s="76" t="s">
        <v>60</v>
      </c>
      <c r="N1540" s="287" t="s">
        <v>10201</v>
      </c>
      <c r="O1540" s="76" t="s">
        <v>12701</v>
      </c>
      <c r="P1540" s="523">
        <v>32725.0</v>
      </c>
      <c r="Q1540" s="315">
        <f t="shared" si="220"/>
        <v>32725</v>
      </c>
      <c r="R1540" s="97">
        <f t="shared" si="221"/>
        <v>37</v>
      </c>
      <c r="S1540" s="315">
        <v>3.272422275E9</v>
      </c>
      <c r="T1540" s="1167"/>
      <c r="U1540" s="76" t="s">
        <v>136</v>
      </c>
      <c r="V1540" s="76"/>
      <c r="W1540" s="76"/>
      <c r="X1540" s="76"/>
      <c r="Y1540" s="276"/>
      <c r="Z1540" s="76"/>
      <c r="AA1540" s="76"/>
      <c r="AB1540" s="368"/>
      <c r="AC1540" s="369"/>
      <c r="AD1540" s="492"/>
      <c r="AE1540" s="76"/>
      <c r="AF1540" s="76" t="s">
        <v>7628</v>
      </c>
      <c r="AG1540" s="369"/>
      <c r="AH1540" s="76" t="s">
        <v>12696</v>
      </c>
      <c r="AI1540" s="67"/>
      <c r="AJ1540" s="67"/>
      <c r="AK1540" s="70"/>
      <c r="AL1540" s="70"/>
      <c r="AM1540" s="135"/>
      <c r="AN1540" s="135"/>
      <c r="AO1540" s="70"/>
      <c r="AP1540" s="70"/>
      <c r="AQ1540" s="67"/>
      <c r="AR1540" s="67"/>
      <c r="AS1540" s="67"/>
      <c r="AT1540" s="67"/>
    </row>
    <row r="1541">
      <c r="A1541" s="76" t="s">
        <v>116</v>
      </c>
      <c r="B1541" s="77" t="s">
        <v>3014</v>
      </c>
      <c r="C1541" s="77" t="s">
        <v>121</v>
      </c>
      <c r="D1541" s="77" t="s">
        <v>121</v>
      </c>
      <c r="E1541" s="78" t="s">
        <v>201</v>
      </c>
      <c r="F1541" s="80" t="s">
        <v>1849</v>
      </c>
      <c r="G1541" s="77" t="s">
        <v>1741</v>
      </c>
      <c r="H1541" s="77" t="s">
        <v>60</v>
      </c>
      <c r="I1541" s="87" t="s">
        <v>1221</v>
      </c>
      <c r="J1541" s="76" t="s">
        <v>114</v>
      </c>
      <c r="K1541" s="124" t="s">
        <v>12702</v>
      </c>
      <c r="L1541" s="109"/>
      <c r="M1541" s="85" t="s">
        <v>60</v>
      </c>
      <c r="N1541" s="785" t="s">
        <v>2860</v>
      </c>
      <c r="O1541" s="498" t="s">
        <v>2862</v>
      </c>
      <c r="P1541" s="315">
        <v>31004.0</v>
      </c>
      <c r="Q1541" s="315">
        <f t="shared" si="220"/>
        <v>31004</v>
      </c>
      <c r="R1541" s="86">
        <f t="shared" si="221"/>
        <v>41</v>
      </c>
      <c r="S1541" s="315">
        <v>3.100305916E9</v>
      </c>
      <c r="T1541" s="315"/>
      <c r="U1541" s="124" t="s">
        <v>368</v>
      </c>
      <c r="V1541" s="76"/>
      <c r="W1541" s="76"/>
      <c r="X1541" s="97"/>
      <c r="Y1541" s="97" t="s">
        <v>146</v>
      </c>
      <c r="Z1541" s="474" t="s">
        <v>184</v>
      </c>
      <c r="AA1541" s="97"/>
      <c r="AB1541" s="97"/>
      <c r="AC1541" s="97"/>
      <c r="AD1541" s="97"/>
      <c r="AE1541" s="76"/>
      <c r="AF1541" s="76"/>
      <c r="AG1541" s="76" t="s">
        <v>1187</v>
      </c>
      <c r="AH1541" s="153">
        <v>46242.0</v>
      </c>
      <c r="AI1541" s="67"/>
      <c r="AJ1541" s="67"/>
      <c r="AK1541" s="70"/>
      <c r="AL1541" s="70"/>
      <c r="AM1541" s="135"/>
      <c r="AN1541" s="135"/>
      <c r="AO1541" s="70"/>
      <c r="AP1541" s="70"/>
      <c r="AQ1541" s="67"/>
      <c r="AR1541" s="67"/>
      <c r="AS1541" s="67"/>
      <c r="AT1541" s="67"/>
    </row>
    <row r="1542">
      <c r="A1542" s="76" t="s">
        <v>116</v>
      </c>
      <c r="B1542" s="77" t="s">
        <v>1728</v>
      </c>
      <c r="C1542" s="77" t="s">
        <v>121</v>
      </c>
      <c r="D1542" s="77" t="s">
        <v>121</v>
      </c>
      <c r="E1542" s="78" t="s">
        <v>201</v>
      </c>
      <c r="F1542" s="80" t="s">
        <v>1849</v>
      </c>
      <c r="G1542" s="77" t="s">
        <v>1850</v>
      </c>
      <c r="H1542" s="77" t="s">
        <v>60</v>
      </c>
      <c r="I1542" s="87" t="s">
        <v>1221</v>
      </c>
      <c r="J1542" s="76" t="s">
        <v>114</v>
      </c>
      <c r="K1542" s="176" t="s">
        <v>12703</v>
      </c>
      <c r="L1542" s="47"/>
      <c r="M1542" s="85" t="s">
        <v>60</v>
      </c>
      <c r="N1542" s="678" t="s">
        <v>10993</v>
      </c>
      <c r="O1542" s="295" t="s">
        <v>10994</v>
      </c>
      <c r="P1542" s="523">
        <v>34900.0</v>
      </c>
      <c r="Q1542" s="315">
        <f t="shared" si="220"/>
        <v>34900</v>
      </c>
      <c r="R1542" s="86">
        <f t="shared" si="221"/>
        <v>31</v>
      </c>
      <c r="S1542" s="76">
        <v>3.489917014E9</v>
      </c>
      <c r="T1542" s="315"/>
      <c r="U1542" s="76" t="s">
        <v>368</v>
      </c>
      <c r="V1542" s="76"/>
      <c r="W1542" s="76"/>
      <c r="X1542" s="76"/>
      <c r="Y1542" s="276" t="s">
        <v>371</v>
      </c>
      <c r="Z1542" s="97"/>
      <c r="AA1542" s="76" t="s">
        <v>1178</v>
      </c>
      <c r="AB1542" s="97"/>
      <c r="AC1542" s="76"/>
      <c r="AD1542" s="76"/>
      <c r="AE1542" s="76"/>
      <c r="AF1542" s="76" t="s">
        <v>5238</v>
      </c>
      <c r="AG1542" s="341" t="s">
        <v>1187</v>
      </c>
      <c r="AH1542" s="153">
        <v>46237.0</v>
      </c>
      <c r="AI1542" s="67"/>
      <c r="AJ1542" s="67"/>
      <c r="AK1542" s="70"/>
      <c r="AL1542" s="70"/>
      <c r="AM1542" s="135"/>
      <c r="AN1542" s="135"/>
      <c r="AO1542" s="70"/>
      <c r="AP1542" s="70"/>
      <c r="AQ1542" s="67"/>
      <c r="AR1542" s="67"/>
      <c r="AS1542" s="67"/>
      <c r="AT1542" s="67"/>
    </row>
    <row r="1543">
      <c r="A1543" s="76" t="s">
        <v>116</v>
      </c>
      <c r="B1543" s="77" t="s">
        <v>1728</v>
      </c>
      <c r="C1543" s="77" t="s">
        <v>121</v>
      </c>
      <c r="D1543" s="77" t="s">
        <v>121</v>
      </c>
      <c r="E1543" s="78" t="s">
        <v>331</v>
      </c>
      <c r="F1543" s="80" t="s">
        <v>1731</v>
      </c>
      <c r="G1543" s="77" t="s">
        <v>577</v>
      </c>
      <c r="H1543" s="77" t="s">
        <v>60</v>
      </c>
      <c r="I1543" s="87" t="s">
        <v>1221</v>
      </c>
      <c r="J1543" s="85" t="s">
        <v>114</v>
      </c>
      <c r="K1543" s="176" t="s">
        <v>12704</v>
      </c>
      <c r="L1543" s="76">
        <v>10.0</v>
      </c>
      <c r="M1543" s="85" t="s">
        <v>60</v>
      </c>
      <c r="N1543" s="233" t="s">
        <v>3089</v>
      </c>
      <c r="O1543" s="76" t="s">
        <v>3090</v>
      </c>
      <c r="P1543" s="523">
        <v>36711.0</v>
      </c>
      <c r="Q1543" s="315">
        <f t="shared" si="220"/>
        <v>36711</v>
      </c>
      <c r="R1543" s="86">
        <f t="shared" si="221"/>
        <v>26</v>
      </c>
      <c r="S1543" s="76">
        <v>3.67100341E9</v>
      </c>
      <c r="T1543" s="86"/>
      <c r="U1543" s="76" t="s">
        <v>136</v>
      </c>
      <c r="V1543" s="76"/>
      <c r="W1543" s="76"/>
      <c r="X1543" s="76"/>
      <c r="Y1543" s="167"/>
      <c r="Z1543" s="234" t="s">
        <v>1351</v>
      </c>
      <c r="AA1543" s="168"/>
      <c r="AB1543" s="97"/>
      <c r="AC1543" s="341" t="s">
        <v>1032</v>
      </c>
      <c r="AD1543" s="217">
        <v>46177.0</v>
      </c>
      <c r="AE1543" s="76"/>
      <c r="AF1543" s="76" t="s">
        <v>1359</v>
      </c>
      <c r="AG1543" s="76" t="s">
        <v>1187</v>
      </c>
      <c r="AH1543" s="76" t="s">
        <v>12705</v>
      </c>
      <c r="AI1543" s="67"/>
      <c r="AJ1543" s="67"/>
      <c r="AK1543" s="70"/>
      <c r="AL1543" s="70"/>
      <c r="AM1543" s="135"/>
      <c r="AN1543" s="135"/>
      <c r="AO1543" s="70"/>
      <c r="AP1543" s="70"/>
      <c r="AQ1543" s="67"/>
      <c r="AR1543" s="67"/>
      <c r="AS1543" s="67"/>
      <c r="AT1543" s="67"/>
    </row>
    <row r="1544">
      <c r="A1544" s="76" t="s">
        <v>116</v>
      </c>
      <c r="B1544" s="77" t="s">
        <v>3297</v>
      </c>
      <c r="C1544" s="77" t="s">
        <v>8546</v>
      </c>
      <c r="D1544" s="77" t="s">
        <v>121</v>
      </c>
      <c r="E1544" s="78" t="s">
        <v>1536</v>
      </c>
      <c r="F1544" s="80" t="s">
        <v>3299</v>
      </c>
      <c r="G1544" s="77" t="s">
        <v>1948</v>
      </c>
      <c r="H1544" s="77" t="s">
        <v>60</v>
      </c>
      <c r="I1544" s="87" t="s">
        <v>1221</v>
      </c>
      <c r="J1544" s="76" t="s">
        <v>114</v>
      </c>
      <c r="K1544" s="176" t="s">
        <v>1602</v>
      </c>
      <c r="L1544" s="86"/>
      <c r="M1544" s="85" t="s">
        <v>60</v>
      </c>
      <c r="N1544" s="286" t="s">
        <v>11352</v>
      </c>
      <c r="O1544" s="76" t="s">
        <v>11353</v>
      </c>
      <c r="P1544" s="523">
        <v>31297.0</v>
      </c>
      <c r="Q1544" s="315">
        <f t="shared" si="220"/>
        <v>31297</v>
      </c>
      <c r="R1544" s="86">
        <f t="shared" si="221"/>
        <v>40</v>
      </c>
      <c r="S1544" s="76">
        <v>3.129603236E9</v>
      </c>
      <c r="T1544" s="76" t="s">
        <v>1317</v>
      </c>
      <c r="U1544" s="76" t="s">
        <v>136</v>
      </c>
      <c r="V1544" s="76"/>
      <c r="W1544" s="76"/>
      <c r="X1544" s="76"/>
      <c r="Y1544" s="97"/>
      <c r="Z1544" s="290" t="s">
        <v>1755</v>
      </c>
      <c r="AA1544" s="97"/>
      <c r="AB1544" s="76"/>
      <c r="AC1544" s="76"/>
      <c r="AD1544" s="217">
        <v>46233.0</v>
      </c>
      <c r="AE1544" s="76"/>
      <c r="AF1544" s="76"/>
      <c r="AG1544" s="76" t="s">
        <v>1187</v>
      </c>
      <c r="AH1544" s="76" t="s">
        <v>12706</v>
      </c>
      <c r="AI1544" s="67"/>
      <c r="AJ1544" s="67"/>
      <c r="AK1544" s="70"/>
      <c r="AL1544" s="70"/>
      <c r="AM1544" s="135"/>
      <c r="AN1544" s="135"/>
      <c r="AO1544" s="70"/>
      <c r="AP1544" s="70"/>
      <c r="AQ1544" s="67"/>
      <c r="AR1544" s="67"/>
      <c r="AS1544" s="67"/>
      <c r="AT1544" s="67"/>
    </row>
    <row r="1545">
      <c r="A1545" s="76" t="s">
        <v>116</v>
      </c>
      <c r="B1545" s="77" t="s">
        <v>3423</v>
      </c>
      <c r="C1545" s="77" t="s">
        <v>8667</v>
      </c>
      <c r="D1545" s="77" t="s">
        <v>121</v>
      </c>
      <c r="E1545" s="78" t="s">
        <v>152</v>
      </c>
      <c r="F1545" s="80" t="s">
        <v>7116</v>
      </c>
      <c r="G1545" s="77" t="s">
        <v>9585</v>
      </c>
      <c r="H1545" s="77" t="s">
        <v>60</v>
      </c>
      <c r="I1545" s="87" t="s">
        <v>1221</v>
      </c>
      <c r="J1545" s="76" t="s">
        <v>114</v>
      </c>
      <c r="K1545" s="124" t="s">
        <v>12707</v>
      </c>
      <c r="L1545" s="47"/>
      <c r="M1545" s="85" t="s">
        <v>360</v>
      </c>
      <c r="N1545" s="678" t="s">
        <v>8640</v>
      </c>
      <c r="O1545" s="76" t="s">
        <v>11435</v>
      </c>
      <c r="P1545" s="523">
        <v>30223.0</v>
      </c>
      <c r="Q1545" s="315">
        <f t="shared" si="220"/>
        <v>30223</v>
      </c>
      <c r="R1545" s="86">
        <f t="shared" si="221"/>
        <v>43</v>
      </c>
      <c r="S1545" s="76">
        <v>3.022218194E9</v>
      </c>
      <c r="T1545" s="315"/>
      <c r="U1545" s="76" t="s">
        <v>368</v>
      </c>
      <c r="V1545" s="76"/>
      <c r="W1545" s="76"/>
      <c r="X1545" s="76"/>
      <c r="Y1545" s="97" t="s">
        <v>1174</v>
      </c>
      <c r="Z1545" s="216" t="s">
        <v>1815</v>
      </c>
      <c r="AA1545" s="76" t="s">
        <v>1178</v>
      </c>
      <c r="AB1545" s="97"/>
      <c r="AC1545" s="76"/>
      <c r="AD1545" s="76"/>
      <c r="AE1545" s="76"/>
      <c r="AF1545" s="76"/>
      <c r="AG1545" s="76" t="s">
        <v>2194</v>
      </c>
      <c r="AH1545" s="153">
        <v>46237.0</v>
      </c>
      <c r="AI1545" s="67"/>
      <c r="AJ1545" s="67"/>
      <c r="AK1545" s="70"/>
      <c r="AL1545" s="70"/>
      <c r="AM1545" s="135"/>
      <c r="AN1545" s="135"/>
      <c r="AO1545" s="70"/>
      <c r="AP1545" s="70"/>
      <c r="AQ1545" s="67"/>
      <c r="AR1545" s="67"/>
      <c r="AS1545" s="67"/>
      <c r="AT1545" s="67"/>
    </row>
    <row r="1546" ht="30.75" customHeight="1">
      <c r="A1546" s="76"/>
      <c r="B1546" s="302" t="s">
        <v>4145</v>
      </c>
      <c r="C1546" s="157"/>
      <c r="D1546" s="77"/>
      <c r="E1546" s="76" t="s">
        <v>5286</v>
      </c>
      <c r="F1546" s="80"/>
      <c r="G1546" s="77"/>
      <c r="H1546" s="77"/>
      <c r="I1546" s="87"/>
      <c r="J1546" s="85"/>
      <c r="K1546" s="76"/>
      <c r="L1546" s="47" t="s">
        <v>1634</v>
      </c>
      <c r="M1546" s="85" t="s">
        <v>60</v>
      </c>
      <c r="N1546" s="76" t="s">
        <v>12708</v>
      </c>
      <c r="O1546" s="76" t="s">
        <v>12709</v>
      </c>
      <c r="P1546" s="712"/>
      <c r="Q1546" s="315"/>
      <c r="R1546" s="97"/>
      <c r="S1546" s="315"/>
      <c r="T1546" s="315"/>
      <c r="U1546" s="76" t="s">
        <v>379</v>
      </c>
      <c r="V1546" s="76" t="s">
        <v>350</v>
      </c>
      <c r="W1546" s="76"/>
      <c r="X1546" s="76"/>
      <c r="Y1546" s="97"/>
      <c r="Z1546" s="216" t="s">
        <v>3170</v>
      </c>
      <c r="AA1546" s="97"/>
      <c r="AB1546" s="76"/>
      <c r="AC1546" s="97"/>
      <c r="AD1546" s="99"/>
      <c r="AE1546" s="76"/>
      <c r="AF1546" s="76"/>
      <c r="AG1546" s="76"/>
      <c r="AH1546" s="76" t="s">
        <v>12710</v>
      </c>
      <c r="AI1546" s="67"/>
      <c r="AJ1546" s="67"/>
      <c r="AK1546" s="70"/>
      <c r="AL1546" s="70"/>
      <c r="AM1546" s="135"/>
      <c r="AN1546" s="135"/>
      <c r="AO1546" s="70"/>
      <c r="AP1546" s="70"/>
      <c r="AQ1546" s="67"/>
      <c r="AR1546" s="67"/>
      <c r="AS1546" s="67"/>
      <c r="AT1546" s="67"/>
    </row>
    <row r="1547">
      <c r="A1547" s="76" t="s">
        <v>116</v>
      </c>
      <c r="B1547" s="77" t="s">
        <v>432</v>
      </c>
      <c r="C1547" s="77" t="s">
        <v>121</v>
      </c>
      <c r="D1547" s="77" t="s">
        <v>121</v>
      </c>
      <c r="E1547" s="78" t="s">
        <v>100</v>
      </c>
      <c r="F1547" s="80" t="s">
        <v>126</v>
      </c>
      <c r="G1547" s="77" t="s">
        <v>101</v>
      </c>
      <c r="H1547" s="77" t="s">
        <v>62</v>
      </c>
      <c r="I1547" s="82" t="s">
        <v>135</v>
      </c>
      <c r="J1547" s="109" t="s">
        <v>114</v>
      </c>
      <c r="K1547" s="118" t="s">
        <v>238</v>
      </c>
      <c r="L1547" s="85" t="s">
        <v>239</v>
      </c>
      <c r="M1547" s="85" t="s">
        <v>96</v>
      </c>
      <c r="N1547" s="86" t="s">
        <v>98</v>
      </c>
      <c r="O1547" s="87" t="s">
        <v>99</v>
      </c>
      <c r="P1547" s="825">
        <v>32830.0</v>
      </c>
      <c r="Q1547" s="315">
        <f t="shared" ref="Q1547:Q1553" si="222">VALUE(LEFT(TEXT(S1547,0),5))+1</f>
        <v>32830</v>
      </c>
      <c r="R1547" s="86">
        <f t="shared" ref="R1547:R1553" si="223">DATEDIF($P1547,TODAY(),"Y")</f>
        <v>36</v>
      </c>
      <c r="S1547" s="315" t="s">
        <v>12711</v>
      </c>
      <c r="T1547" s="315" t="s">
        <v>378</v>
      </c>
      <c r="U1547" s="124" t="s">
        <v>165</v>
      </c>
      <c r="V1547" s="86" t="s">
        <v>220</v>
      </c>
      <c r="W1547" s="86"/>
      <c r="X1547" s="97"/>
      <c r="Y1547" s="97"/>
      <c r="Z1547" s="97"/>
      <c r="AA1547" s="97"/>
      <c r="AB1547" s="97"/>
      <c r="AC1547" s="97"/>
      <c r="AD1547" s="99"/>
      <c r="AE1547" s="76" t="s">
        <v>180</v>
      </c>
      <c r="AF1547" s="97"/>
      <c r="AG1547" s="112"/>
      <c r="AH1547" s="86"/>
      <c r="AI1547" s="67"/>
      <c r="AJ1547" s="67"/>
      <c r="AK1547" s="150" t="s">
        <v>344</v>
      </c>
      <c r="AL1547" s="86" t="s">
        <v>457</v>
      </c>
      <c r="AM1547" s="135"/>
      <c r="AN1547" s="97" t="s">
        <v>459</v>
      </c>
      <c r="AO1547" s="70"/>
      <c r="AP1547" s="70"/>
      <c r="AQ1547" s="67"/>
      <c r="AR1547" s="67"/>
      <c r="AS1547" s="67"/>
      <c r="AT1547" s="67"/>
    </row>
    <row r="1548">
      <c r="A1548" s="76" t="s">
        <v>116</v>
      </c>
      <c r="B1548" s="77" t="s">
        <v>1039</v>
      </c>
      <c r="C1548" s="77" t="s">
        <v>121</v>
      </c>
      <c r="D1548" s="77" t="s">
        <v>121</v>
      </c>
      <c r="E1548" s="78" t="s">
        <v>267</v>
      </c>
      <c r="F1548" s="80" t="s">
        <v>126</v>
      </c>
      <c r="G1548" s="77" t="s">
        <v>270</v>
      </c>
      <c r="H1548" s="77" t="s">
        <v>363</v>
      </c>
      <c r="I1548" s="82" t="s">
        <v>135</v>
      </c>
      <c r="J1548" s="87" t="s">
        <v>114</v>
      </c>
      <c r="K1548" s="118" t="s">
        <v>238</v>
      </c>
      <c r="L1548" s="85" t="s">
        <v>239</v>
      </c>
      <c r="M1548" s="47" t="s">
        <v>143</v>
      </c>
      <c r="N1548" s="76" t="s">
        <v>263</v>
      </c>
      <c r="O1548" s="87" t="s">
        <v>265</v>
      </c>
      <c r="P1548" s="1089">
        <v>34227.0</v>
      </c>
      <c r="Q1548" s="315">
        <f t="shared" si="222"/>
        <v>34227</v>
      </c>
      <c r="R1548" s="86">
        <f t="shared" si="223"/>
        <v>32</v>
      </c>
      <c r="S1548" s="315" t="s">
        <v>12712</v>
      </c>
      <c r="T1548" s="315" t="s">
        <v>1511</v>
      </c>
      <c r="U1548" s="372" t="s">
        <v>165</v>
      </c>
      <c r="V1548" s="76" t="s">
        <v>166</v>
      </c>
      <c r="W1548" s="86"/>
      <c r="X1548" s="97"/>
      <c r="Y1548" s="86"/>
      <c r="Z1548" s="86"/>
      <c r="AA1548" s="86"/>
      <c r="AB1548" s="97"/>
      <c r="AC1548" s="97"/>
      <c r="AD1548" s="99"/>
      <c r="AE1548" s="76" t="s">
        <v>180</v>
      </c>
      <c r="AF1548" s="99"/>
      <c r="AG1548" s="112"/>
      <c r="AH1548" s="86"/>
      <c r="AI1548" s="67"/>
      <c r="AJ1548" s="67"/>
      <c r="AK1548" s="67" t="s">
        <v>1057</v>
      </c>
      <c r="AL1548" s="70"/>
      <c r="AM1548" s="135"/>
      <c r="AN1548" s="97" t="s">
        <v>672</v>
      </c>
      <c r="AO1548" s="70"/>
      <c r="AP1548" s="70"/>
      <c r="AQ1548" s="67"/>
      <c r="AR1548" s="67"/>
      <c r="AS1548" s="67"/>
      <c r="AT1548" s="67"/>
    </row>
    <row r="1549">
      <c r="A1549" s="76" t="s">
        <v>116</v>
      </c>
      <c r="B1549" s="77" t="s">
        <v>1645</v>
      </c>
      <c r="C1549" s="77" t="s">
        <v>121</v>
      </c>
      <c r="D1549" s="77" t="s">
        <v>121</v>
      </c>
      <c r="E1549" s="78" t="s">
        <v>1157</v>
      </c>
      <c r="F1549" s="80" t="s">
        <v>1160</v>
      </c>
      <c r="G1549" s="77" t="s">
        <v>3451</v>
      </c>
      <c r="H1549" s="77" t="s">
        <v>504</v>
      </c>
      <c r="I1549" s="146" t="s">
        <v>408</v>
      </c>
      <c r="J1549" s="76" t="s">
        <v>114</v>
      </c>
      <c r="K1549" s="176" t="s">
        <v>12713</v>
      </c>
      <c r="L1549" s="85" t="s">
        <v>239</v>
      </c>
      <c r="M1549" s="85" t="s">
        <v>102</v>
      </c>
      <c r="N1549" s="76" t="s">
        <v>12714</v>
      </c>
      <c r="O1549" s="341" t="s">
        <v>12715</v>
      </c>
      <c r="P1549" s="825">
        <v>32228.0</v>
      </c>
      <c r="Q1549" s="315">
        <f t="shared" si="222"/>
        <v>32228</v>
      </c>
      <c r="R1549" s="97">
        <f t="shared" si="223"/>
        <v>38</v>
      </c>
      <c r="S1549" s="76">
        <v>3.222700112E9</v>
      </c>
      <c r="T1549" s="168"/>
      <c r="U1549" s="76" t="s">
        <v>379</v>
      </c>
      <c r="V1549" s="76"/>
      <c r="W1549" s="97"/>
      <c r="X1549" s="76"/>
      <c r="Y1549" s="168"/>
      <c r="Z1549" s="176" t="s">
        <v>1460</v>
      </c>
      <c r="AA1549" s="76" t="s">
        <v>1178</v>
      </c>
      <c r="AB1549" s="76"/>
      <c r="AC1549" s="76" t="s">
        <v>389</v>
      </c>
      <c r="AD1549" s="168"/>
      <c r="AE1549" s="76" t="s">
        <v>389</v>
      </c>
      <c r="AF1549" s="450" t="s">
        <v>5689</v>
      </c>
      <c r="AG1549" s="168"/>
      <c r="AH1549" s="76" t="s">
        <v>5366</v>
      </c>
      <c r="AI1549" s="67"/>
      <c r="AJ1549" s="67"/>
      <c r="AK1549" s="70"/>
      <c r="AL1549" s="70"/>
      <c r="AM1549" s="135"/>
      <c r="AN1549" s="135"/>
      <c r="AO1549" s="70"/>
      <c r="AP1549" s="70"/>
      <c r="AQ1549" s="67"/>
      <c r="AR1549" s="67"/>
      <c r="AS1549" s="67"/>
      <c r="AT1549" s="67"/>
    </row>
    <row r="1550">
      <c r="A1550" s="76" t="s">
        <v>116</v>
      </c>
      <c r="B1550" s="77" t="s">
        <v>1709</v>
      </c>
      <c r="C1550" s="77" t="s">
        <v>1611</v>
      </c>
      <c r="D1550" s="77" t="s">
        <v>1519</v>
      </c>
      <c r="E1550" s="78" t="s">
        <v>302</v>
      </c>
      <c r="F1550" s="80" t="s">
        <v>1404</v>
      </c>
      <c r="G1550" s="77" t="s">
        <v>6576</v>
      </c>
      <c r="H1550" s="77" t="s">
        <v>326</v>
      </c>
      <c r="I1550" s="87" t="s">
        <v>1221</v>
      </c>
      <c r="J1550" s="85" t="s">
        <v>114</v>
      </c>
      <c r="K1550" s="176" t="s">
        <v>12716</v>
      </c>
      <c r="L1550" s="76" t="s">
        <v>239</v>
      </c>
      <c r="M1550" s="85" t="s">
        <v>326</v>
      </c>
      <c r="N1550" s="76" t="s">
        <v>12717</v>
      </c>
      <c r="O1550" s="76" t="s">
        <v>12718</v>
      </c>
      <c r="P1550" s="523">
        <v>34058.0</v>
      </c>
      <c r="Q1550" s="315">
        <f t="shared" si="222"/>
        <v>34058</v>
      </c>
      <c r="R1550" s="86">
        <f t="shared" si="223"/>
        <v>33</v>
      </c>
      <c r="S1550" s="76">
        <v>3.405714618E9</v>
      </c>
      <c r="T1550" s="86"/>
      <c r="U1550" s="76" t="s">
        <v>379</v>
      </c>
      <c r="V1550" s="76"/>
      <c r="W1550" s="76"/>
      <c r="X1550" s="76"/>
      <c r="Y1550" s="341" t="s">
        <v>371</v>
      </c>
      <c r="Z1550" s="168"/>
      <c r="AA1550" s="76" t="s">
        <v>1178</v>
      </c>
      <c r="AB1550" s="226"/>
      <c r="AC1550" s="76" t="s">
        <v>389</v>
      </c>
      <c r="AD1550" s="168"/>
      <c r="AE1550" s="76" t="s">
        <v>389</v>
      </c>
      <c r="AF1550" s="447" t="s">
        <v>7323</v>
      </c>
      <c r="AG1550" s="76" t="s">
        <v>4155</v>
      </c>
      <c r="AH1550" s="76" t="s">
        <v>3479</v>
      </c>
      <c r="AI1550" s="67"/>
      <c r="AJ1550" s="67"/>
      <c r="AK1550" s="70"/>
      <c r="AL1550" s="70"/>
      <c r="AM1550" s="135"/>
      <c r="AN1550" s="135"/>
      <c r="AO1550" s="70"/>
      <c r="AP1550" s="70"/>
      <c r="AQ1550" s="67"/>
      <c r="AR1550" s="67"/>
      <c r="AS1550" s="67"/>
      <c r="AT1550" s="67"/>
    </row>
    <row r="1551">
      <c r="A1551" s="76" t="s">
        <v>116</v>
      </c>
      <c r="B1551" s="77" t="s">
        <v>1728</v>
      </c>
      <c r="C1551" s="77" t="s">
        <v>121</v>
      </c>
      <c r="D1551" s="77" t="s">
        <v>121</v>
      </c>
      <c r="E1551" s="78" t="s">
        <v>212</v>
      </c>
      <c r="F1551" s="80" t="s">
        <v>2203</v>
      </c>
      <c r="G1551" s="77" t="s">
        <v>8172</v>
      </c>
      <c r="H1551" s="77" t="s">
        <v>326</v>
      </c>
      <c r="I1551" s="87" t="s">
        <v>1221</v>
      </c>
      <c r="J1551" s="189" t="s">
        <v>114</v>
      </c>
      <c r="K1551" s="360" t="s">
        <v>12719</v>
      </c>
      <c r="L1551" s="76">
        <v>10.0</v>
      </c>
      <c r="M1551" s="85" t="s">
        <v>326</v>
      </c>
      <c r="N1551" s="1239" t="s">
        <v>826</v>
      </c>
      <c r="O1551" s="429" t="s">
        <v>828</v>
      </c>
      <c r="P1551" s="315">
        <v>31658.0</v>
      </c>
      <c r="Q1551" s="852">
        <f t="shared" si="222"/>
        <v>31658</v>
      </c>
      <c r="R1551" s="189">
        <f t="shared" si="223"/>
        <v>40</v>
      </c>
      <c r="S1551" s="315">
        <v>3.165720856E9</v>
      </c>
      <c r="T1551" s="315" t="s">
        <v>378</v>
      </c>
      <c r="U1551" s="124" t="s">
        <v>136</v>
      </c>
      <c r="V1551" s="76"/>
      <c r="W1551" s="432"/>
      <c r="X1551" s="194"/>
      <c r="Y1551" s="189" t="s">
        <v>1174</v>
      </c>
      <c r="Z1551" s="1240" t="s">
        <v>1725</v>
      </c>
      <c r="AA1551" s="194"/>
      <c r="AB1551" s="194"/>
      <c r="AC1551" s="194"/>
      <c r="AD1551" s="217">
        <v>46207.0</v>
      </c>
      <c r="AE1551" s="76"/>
      <c r="AF1551" s="76" t="s">
        <v>155</v>
      </c>
      <c r="AG1551" s="189" t="s">
        <v>1187</v>
      </c>
      <c r="AH1551" s="153">
        <v>46245.0</v>
      </c>
      <c r="AI1551" s="67"/>
      <c r="AJ1551" s="67"/>
      <c r="AK1551" s="70"/>
      <c r="AL1551" s="70"/>
      <c r="AM1551" s="135"/>
      <c r="AN1551" s="135"/>
      <c r="AO1551" s="70"/>
      <c r="AP1551" s="70"/>
      <c r="AQ1551" s="67"/>
      <c r="AR1551" s="67"/>
      <c r="AS1551" s="67"/>
      <c r="AT1551" s="67"/>
    </row>
    <row r="1552">
      <c r="A1552" s="76" t="s">
        <v>116</v>
      </c>
      <c r="B1552" s="77" t="s">
        <v>3297</v>
      </c>
      <c r="C1552" s="77" t="s">
        <v>3298</v>
      </c>
      <c r="D1552" s="77" t="s">
        <v>121</v>
      </c>
      <c r="E1552" s="78" t="s">
        <v>1932</v>
      </c>
      <c r="F1552" s="80" t="s">
        <v>3486</v>
      </c>
      <c r="G1552" s="77" t="s">
        <v>9192</v>
      </c>
      <c r="H1552" s="77" t="s">
        <v>326</v>
      </c>
      <c r="I1552" s="87" t="s">
        <v>1221</v>
      </c>
      <c r="J1552" s="85" t="s">
        <v>114</v>
      </c>
      <c r="K1552" s="124" t="s">
        <v>12720</v>
      </c>
      <c r="L1552" s="47" t="s">
        <v>239</v>
      </c>
      <c r="M1552" s="85" t="s">
        <v>326</v>
      </c>
      <c r="N1552" s="326" t="s">
        <v>12721</v>
      </c>
      <c r="O1552" s="76" t="s">
        <v>12722</v>
      </c>
      <c r="P1552" s="523">
        <v>35543.0</v>
      </c>
      <c r="Q1552" s="315">
        <f t="shared" si="222"/>
        <v>35543</v>
      </c>
      <c r="R1552" s="86">
        <f t="shared" si="223"/>
        <v>29</v>
      </c>
      <c r="S1552" s="76">
        <v>3.554210259E9</v>
      </c>
      <c r="T1552" s="315"/>
      <c r="U1552" s="76" t="s">
        <v>165</v>
      </c>
      <c r="V1552" s="76" t="s">
        <v>583</v>
      </c>
      <c r="W1552" s="76"/>
      <c r="X1552" s="76"/>
      <c r="Y1552" s="97"/>
      <c r="Z1552" s="216" t="s">
        <v>1815</v>
      </c>
      <c r="AA1552" s="76" t="s">
        <v>1178</v>
      </c>
      <c r="AB1552" s="97"/>
      <c r="AC1552" s="76" t="s">
        <v>1566</v>
      </c>
      <c r="AD1552" s="76"/>
      <c r="AE1552" s="76" t="s">
        <v>795</v>
      </c>
      <c r="AF1552" s="76" t="s">
        <v>2159</v>
      </c>
      <c r="AG1552" s="76" t="s">
        <v>8404</v>
      </c>
      <c r="AH1552" s="76"/>
      <c r="AI1552" s="67"/>
      <c r="AJ1552" s="67"/>
      <c r="AK1552" s="70"/>
      <c r="AL1552" s="70"/>
      <c r="AM1552" s="135"/>
      <c r="AN1552" s="135"/>
      <c r="AO1552" s="70"/>
      <c r="AP1552" s="70"/>
      <c r="AQ1552" s="67"/>
      <c r="AR1552" s="67"/>
      <c r="AS1552" s="67"/>
      <c r="AT1552" s="67"/>
    </row>
    <row r="1553">
      <c r="A1553" s="76" t="s">
        <v>116</v>
      </c>
      <c r="B1553" s="77" t="s">
        <v>3297</v>
      </c>
      <c r="C1553" s="77" t="s">
        <v>8546</v>
      </c>
      <c r="D1553" s="77" t="s">
        <v>121</v>
      </c>
      <c r="E1553" s="78" t="s">
        <v>1536</v>
      </c>
      <c r="F1553" s="80" t="s">
        <v>3299</v>
      </c>
      <c r="G1553" s="77" t="s">
        <v>1948</v>
      </c>
      <c r="H1553" s="77" t="s">
        <v>60</v>
      </c>
      <c r="I1553" s="87" t="s">
        <v>1221</v>
      </c>
      <c r="J1553" s="76" t="s">
        <v>114</v>
      </c>
      <c r="K1553" s="76"/>
      <c r="L1553" s="47" t="s">
        <v>239</v>
      </c>
      <c r="M1553" s="85" t="s">
        <v>60</v>
      </c>
      <c r="N1553" s="157" t="s">
        <v>12723</v>
      </c>
      <c r="O1553" s="619" t="s">
        <v>12724</v>
      </c>
      <c r="P1553" s="523">
        <v>35618.0</v>
      </c>
      <c r="Q1553" s="315">
        <f t="shared" si="222"/>
        <v>35618</v>
      </c>
      <c r="R1553" s="86">
        <f t="shared" si="223"/>
        <v>29</v>
      </c>
      <c r="S1553" s="76">
        <v>3.561715816E9</v>
      </c>
      <c r="T1553" s="76" t="s">
        <v>1548</v>
      </c>
      <c r="U1553" s="76" t="s">
        <v>165</v>
      </c>
      <c r="V1553" s="76" t="s">
        <v>566</v>
      </c>
      <c r="W1553" s="76"/>
      <c r="X1553" s="76"/>
      <c r="Y1553" s="276"/>
      <c r="Z1553" s="290" t="s">
        <v>1755</v>
      </c>
      <c r="AA1553" s="76" t="s">
        <v>1178</v>
      </c>
      <c r="AB1553" s="97"/>
      <c r="AC1553" s="86" t="s">
        <v>1566</v>
      </c>
      <c r="AD1553" s="76"/>
      <c r="AE1553" s="76" t="s">
        <v>822</v>
      </c>
      <c r="AF1553" s="76" t="s">
        <v>7323</v>
      </c>
      <c r="AG1553" s="189"/>
      <c r="AH1553" s="76"/>
      <c r="AI1553" s="67"/>
      <c r="AJ1553" s="67"/>
      <c r="AK1553" s="70"/>
      <c r="AL1553" s="70"/>
      <c r="AM1553" s="135"/>
      <c r="AN1553" s="135"/>
      <c r="AO1553" s="70"/>
      <c r="AP1553" s="70"/>
      <c r="AQ1553" s="67"/>
      <c r="AR1553" s="67"/>
      <c r="AS1553" s="67"/>
      <c r="AT1553" s="67"/>
    </row>
    <row r="1554">
      <c r="A1554" s="76" t="s">
        <v>116</v>
      </c>
      <c r="B1554" s="77" t="s">
        <v>3898</v>
      </c>
      <c r="C1554" s="77" t="s">
        <v>8583</v>
      </c>
      <c r="D1554" s="77" t="s">
        <v>121</v>
      </c>
      <c r="E1554" s="78" t="s">
        <v>786</v>
      </c>
      <c r="F1554" s="80" t="s">
        <v>1216</v>
      </c>
      <c r="G1554" s="77" t="s">
        <v>8618</v>
      </c>
      <c r="H1554" s="77" t="s">
        <v>60</v>
      </c>
      <c r="I1554" s="87" t="s">
        <v>1221</v>
      </c>
      <c r="J1554" s="226"/>
      <c r="K1554" s="85"/>
      <c r="L1554" s="189"/>
      <c r="M1554" s="158" t="s">
        <v>60</v>
      </c>
      <c r="N1554" s="159" t="s">
        <v>12725</v>
      </c>
      <c r="O1554" s="226"/>
      <c r="P1554" s="754"/>
      <c r="Q1554" s="226"/>
      <c r="R1554" s="226"/>
      <c r="S1554" s="226"/>
      <c r="T1554" s="226"/>
      <c r="U1554" s="76" t="s">
        <v>136</v>
      </c>
      <c r="V1554" s="86"/>
      <c r="W1554" s="76"/>
      <c r="X1554" s="76"/>
      <c r="Y1554" s="97"/>
      <c r="Z1554" s="85"/>
      <c r="AA1554" s="97"/>
      <c r="AB1554" s="76" t="s">
        <v>192</v>
      </c>
      <c r="AC1554" s="160" t="s">
        <v>630</v>
      </c>
      <c r="AD1554" s="76" t="s">
        <v>632</v>
      </c>
      <c r="AE1554" s="76"/>
      <c r="AF1554" s="160" t="s">
        <v>630</v>
      </c>
      <c r="AG1554" s="226"/>
      <c r="AH1554" s="76" t="s">
        <v>12726</v>
      </c>
      <c r="AI1554" s="67"/>
      <c r="AJ1554" s="67"/>
      <c r="AK1554" s="70"/>
      <c r="AL1554" s="70"/>
      <c r="AM1554" s="135"/>
      <c r="AN1554" s="135"/>
      <c r="AO1554" s="70"/>
      <c r="AP1554" s="70"/>
      <c r="AQ1554" s="67"/>
      <c r="AR1554" s="67"/>
      <c r="AS1554" s="67"/>
      <c r="AT1554" s="67"/>
    </row>
    <row r="1555">
      <c r="A1555" s="76" t="s">
        <v>116</v>
      </c>
      <c r="B1555" s="77" t="s">
        <v>3898</v>
      </c>
      <c r="C1555" s="77" t="s">
        <v>8583</v>
      </c>
      <c r="D1555" s="77" t="s">
        <v>121</v>
      </c>
      <c r="E1555" s="78" t="s">
        <v>1536</v>
      </c>
      <c r="F1555" s="80" t="s">
        <v>3915</v>
      </c>
      <c r="G1555" s="77" t="s">
        <v>8883</v>
      </c>
      <c r="H1555" s="77" t="s">
        <v>60</v>
      </c>
      <c r="I1555" s="87" t="s">
        <v>1221</v>
      </c>
      <c r="J1555" s="76" t="s">
        <v>114</v>
      </c>
      <c r="K1555" s="87"/>
      <c r="L1555" s="76" t="s">
        <v>239</v>
      </c>
      <c r="M1555" s="87" t="s">
        <v>60</v>
      </c>
      <c r="N1555" s="85" t="s">
        <v>8988</v>
      </c>
      <c r="O1555" s="109" t="s">
        <v>12727</v>
      </c>
      <c r="P1555" s="825">
        <v>33410.0</v>
      </c>
      <c r="Q1555" s="315">
        <f t="shared" ref="Q1555:Q1560" si="224">VALUE(LEFT(TEXT(S1555,0),5))+1</f>
        <v>33410</v>
      </c>
      <c r="R1555" s="97">
        <f t="shared" ref="R1555:R1560" si="225">DATEDIF($P1555,TODAY(),"Y")</f>
        <v>35</v>
      </c>
      <c r="S1555" s="315">
        <v>3.34090985E9</v>
      </c>
      <c r="T1555" s="315" t="s">
        <v>1317</v>
      </c>
      <c r="U1555" s="76" t="s">
        <v>165</v>
      </c>
      <c r="V1555" s="76" t="s">
        <v>425</v>
      </c>
      <c r="W1555" s="76"/>
      <c r="X1555" s="76"/>
      <c r="Y1555" s="97" t="s">
        <v>146</v>
      </c>
      <c r="Z1555" s="109"/>
      <c r="AA1555" s="76"/>
      <c r="AB1555" s="97"/>
      <c r="AC1555" s="76"/>
      <c r="AD1555" s="99"/>
      <c r="AE1555" s="97" t="s">
        <v>180</v>
      </c>
      <c r="AF1555" s="76" t="s">
        <v>1425</v>
      </c>
      <c r="AG1555" s="112"/>
      <c r="AH1555" s="76" t="s">
        <v>12728</v>
      </c>
      <c r="AI1555" s="67"/>
      <c r="AJ1555" s="67"/>
      <c r="AK1555" s="70"/>
      <c r="AL1555" s="70"/>
      <c r="AM1555" s="135"/>
      <c r="AN1555" s="135"/>
      <c r="AO1555" s="70"/>
      <c r="AP1555" s="70"/>
      <c r="AQ1555" s="67"/>
      <c r="AR1555" s="67"/>
      <c r="AS1555" s="67"/>
      <c r="AT1555" s="67"/>
    </row>
    <row r="1556">
      <c r="A1556" s="76" t="s">
        <v>116</v>
      </c>
      <c r="B1556" s="77" t="s">
        <v>3898</v>
      </c>
      <c r="C1556" s="77" t="s">
        <v>7243</v>
      </c>
      <c r="D1556" s="77" t="s">
        <v>121</v>
      </c>
      <c r="E1556" s="78" t="s">
        <v>786</v>
      </c>
      <c r="F1556" s="80" t="s">
        <v>1216</v>
      </c>
      <c r="G1556" s="77" t="s">
        <v>8875</v>
      </c>
      <c r="H1556" s="77" t="s">
        <v>60</v>
      </c>
      <c r="I1556" s="87" t="s">
        <v>1221</v>
      </c>
      <c r="J1556" s="76" t="s">
        <v>114</v>
      </c>
      <c r="K1556" s="176" t="s">
        <v>12729</v>
      </c>
      <c r="L1556" s="85" t="s">
        <v>239</v>
      </c>
      <c r="M1556" s="85" t="s">
        <v>326</v>
      </c>
      <c r="N1556" s="76" t="s">
        <v>12730</v>
      </c>
      <c r="O1556" s="341" t="s">
        <v>3447</v>
      </c>
      <c r="P1556" s="825">
        <v>33907.0</v>
      </c>
      <c r="Q1556" s="315">
        <f t="shared" si="224"/>
        <v>33907</v>
      </c>
      <c r="R1556" s="97">
        <f t="shared" si="225"/>
        <v>33</v>
      </c>
      <c r="S1556" s="76">
        <v>3.390611818E9</v>
      </c>
      <c r="T1556" s="168"/>
      <c r="U1556" s="76" t="s">
        <v>165</v>
      </c>
      <c r="V1556" s="76" t="s">
        <v>607</v>
      </c>
      <c r="W1556" s="97"/>
      <c r="X1556" s="76"/>
      <c r="Y1556" s="86" t="s">
        <v>1174</v>
      </c>
      <c r="Z1556" s="176" t="s">
        <v>1460</v>
      </c>
      <c r="AA1556" s="76" t="s">
        <v>1178</v>
      </c>
      <c r="AB1556" s="76"/>
      <c r="AC1556" s="76" t="s">
        <v>1566</v>
      </c>
      <c r="AD1556" s="168"/>
      <c r="AE1556" s="76" t="s">
        <v>795</v>
      </c>
      <c r="AF1556" s="76" t="s">
        <v>12581</v>
      </c>
      <c r="AG1556" s="167" t="s">
        <v>3479</v>
      </c>
      <c r="AH1556" s="167" t="s">
        <v>12731</v>
      </c>
      <c r="AI1556" s="67"/>
      <c r="AJ1556" s="67"/>
      <c r="AK1556" s="70"/>
      <c r="AL1556" s="70"/>
      <c r="AM1556" s="135"/>
      <c r="AN1556" s="135"/>
      <c r="AO1556" s="70"/>
      <c r="AP1556" s="70"/>
      <c r="AQ1556" s="67"/>
      <c r="AR1556" s="67"/>
      <c r="AS1556" s="67"/>
      <c r="AT1556" s="67"/>
    </row>
    <row r="1557">
      <c r="A1557" s="76" t="s">
        <v>116</v>
      </c>
      <c r="B1557" s="77" t="s">
        <v>3307</v>
      </c>
      <c r="C1557" s="77" t="s">
        <v>121</v>
      </c>
      <c r="D1557" s="77" t="s">
        <v>121</v>
      </c>
      <c r="E1557" s="78" t="s">
        <v>1536</v>
      </c>
      <c r="F1557" s="80" t="s">
        <v>9814</v>
      </c>
      <c r="G1557" s="77" t="s">
        <v>9815</v>
      </c>
      <c r="H1557" s="77" t="s">
        <v>60</v>
      </c>
      <c r="I1557" s="87" t="s">
        <v>1221</v>
      </c>
      <c r="J1557" s="76" t="s">
        <v>114</v>
      </c>
      <c r="K1557" s="124" t="s">
        <v>12732</v>
      </c>
      <c r="L1557" s="47" t="s">
        <v>239</v>
      </c>
      <c r="M1557" s="85" t="s">
        <v>60</v>
      </c>
      <c r="N1557" s="326" t="s">
        <v>12733</v>
      </c>
      <c r="O1557" s="76" t="s">
        <v>11800</v>
      </c>
      <c r="P1557" s="523">
        <v>33139.0</v>
      </c>
      <c r="Q1557" s="315">
        <f t="shared" si="224"/>
        <v>33139</v>
      </c>
      <c r="R1557" s="86">
        <f t="shared" si="225"/>
        <v>35</v>
      </c>
      <c r="S1557" s="76">
        <v>3.313805013E9</v>
      </c>
      <c r="T1557" s="315"/>
      <c r="U1557" s="76" t="s">
        <v>379</v>
      </c>
      <c r="V1557" s="76"/>
      <c r="W1557" s="76"/>
      <c r="X1557" s="76"/>
      <c r="Y1557" s="276" t="s">
        <v>371</v>
      </c>
      <c r="Z1557" s="85"/>
      <c r="AA1557" s="76" t="s">
        <v>1178</v>
      </c>
      <c r="AB1557" s="97"/>
      <c r="AC1557" s="76" t="s">
        <v>389</v>
      </c>
      <c r="AD1557" s="76"/>
      <c r="AE1557" s="76" t="s">
        <v>389</v>
      </c>
      <c r="AF1557" s="76" t="s">
        <v>7902</v>
      </c>
      <c r="AG1557" s="76" t="s">
        <v>1819</v>
      </c>
      <c r="AH1557" s="153">
        <v>46152.0</v>
      </c>
      <c r="AI1557" s="67"/>
      <c r="AJ1557" s="67"/>
      <c r="AK1557" s="70"/>
      <c r="AL1557" s="70"/>
      <c r="AM1557" s="135"/>
      <c r="AN1557" s="135"/>
      <c r="AO1557" s="70"/>
      <c r="AP1557" s="70"/>
      <c r="AQ1557" s="67"/>
      <c r="AR1557" s="67"/>
      <c r="AS1557" s="67"/>
      <c r="AT1557" s="67"/>
    </row>
    <row r="1558">
      <c r="A1558" s="76" t="s">
        <v>116</v>
      </c>
      <c r="B1558" s="77" t="s">
        <v>3875</v>
      </c>
      <c r="C1558" s="77" t="s">
        <v>121</v>
      </c>
      <c r="D1558" s="77" t="s">
        <v>121</v>
      </c>
      <c r="E1558" s="78" t="s">
        <v>726</v>
      </c>
      <c r="F1558" s="80" t="s">
        <v>3876</v>
      </c>
      <c r="G1558" s="77" t="s">
        <v>2147</v>
      </c>
      <c r="H1558" s="77" t="s">
        <v>60</v>
      </c>
      <c r="I1558" s="87" t="s">
        <v>1221</v>
      </c>
      <c r="J1558" s="85" t="s">
        <v>114</v>
      </c>
      <c r="K1558" s="176" t="s">
        <v>12734</v>
      </c>
      <c r="L1558" s="85" t="s">
        <v>239</v>
      </c>
      <c r="M1558" s="85" t="s">
        <v>60</v>
      </c>
      <c r="N1558" s="76" t="s">
        <v>2143</v>
      </c>
      <c r="O1558" s="76" t="s">
        <v>2145</v>
      </c>
      <c r="P1558" s="523">
        <v>34033.0</v>
      </c>
      <c r="Q1558" s="315">
        <f t="shared" si="224"/>
        <v>34033</v>
      </c>
      <c r="R1558" s="86">
        <f t="shared" si="225"/>
        <v>33</v>
      </c>
      <c r="S1558" s="76">
        <v>3.403204618E9</v>
      </c>
      <c r="T1558" s="315" t="s">
        <v>1548</v>
      </c>
      <c r="U1558" s="76" t="s">
        <v>379</v>
      </c>
      <c r="V1558" s="76"/>
      <c r="W1558" s="76"/>
      <c r="X1558" s="76"/>
      <c r="Y1558" s="97" t="s">
        <v>1174</v>
      </c>
      <c r="Z1558" s="278" t="s">
        <v>2090</v>
      </c>
      <c r="AA1558" s="76" t="s">
        <v>1178</v>
      </c>
      <c r="AB1558" s="97"/>
      <c r="AC1558" s="76" t="s">
        <v>389</v>
      </c>
      <c r="AD1558" s="99"/>
      <c r="AE1558" s="76" t="s">
        <v>389</v>
      </c>
      <c r="AF1558" s="76"/>
      <c r="AG1558" s="76"/>
      <c r="AH1558" s="97"/>
      <c r="AI1558" s="67"/>
      <c r="AJ1558" s="67"/>
      <c r="AK1558" s="70"/>
      <c r="AL1558" s="70"/>
      <c r="AM1558" s="135"/>
      <c r="AN1558" s="135"/>
      <c r="AO1558" s="70"/>
      <c r="AP1558" s="70"/>
      <c r="AQ1558" s="67"/>
      <c r="AR1558" s="67"/>
      <c r="AS1558" s="67"/>
      <c r="AT1558" s="67"/>
    </row>
    <row r="1559">
      <c r="A1559" s="76">
        <v>425.0</v>
      </c>
      <c r="B1559" s="302" t="s">
        <v>4145</v>
      </c>
      <c r="C1559" s="157" t="s">
        <v>636</v>
      </c>
      <c r="D1559" s="77"/>
      <c r="E1559" s="78" t="s">
        <v>10436</v>
      </c>
      <c r="F1559" s="80"/>
      <c r="G1559" s="77"/>
      <c r="H1559" s="77"/>
      <c r="I1559" s="87"/>
      <c r="J1559" s="85" t="s">
        <v>114</v>
      </c>
      <c r="K1559" s="85"/>
      <c r="L1559" s="76"/>
      <c r="M1559" s="85" t="s">
        <v>102</v>
      </c>
      <c r="N1559" s="287" t="s">
        <v>1311</v>
      </c>
      <c r="O1559" s="76" t="s">
        <v>1312</v>
      </c>
      <c r="P1559" s="523">
        <v>36547.0</v>
      </c>
      <c r="Q1559" s="315">
        <f t="shared" si="224"/>
        <v>36547</v>
      </c>
      <c r="R1559" s="97">
        <f t="shared" si="225"/>
        <v>26</v>
      </c>
      <c r="S1559" s="76">
        <v>3.654610013E9</v>
      </c>
      <c r="T1559" s="86"/>
      <c r="U1559" s="76" t="s">
        <v>136</v>
      </c>
      <c r="V1559" s="76"/>
      <c r="W1559" s="76"/>
      <c r="X1559" s="76"/>
      <c r="Y1559" s="168"/>
      <c r="Z1559" s="216" t="s">
        <v>2155</v>
      </c>
      <c r="AA1559" s="76" t="s">
        <v>1178</v>
      </c>
      <c r="AB1559" s="97"/>
      <c r="AC1559" s="168"/>
      <c r="AD1559" s="168"/>
      <c r="AE1559" s="76"/>
      <c r="AF1559" s="76" t="s">
        <v>9133</v>
      </c>
      <c r="AG1559" s="303" t="s">
        <v>9138</v>
      </c>
      <c r="AH1559" s="153">
        <v>46245.0</v>
      </c>
      <c r="AI1559" s="67"/>
      <c r="AJ1559" s="67"/>
      <c r="AK1559" s="70"/>
      <c r="AL1559" s="70"/>
      <c r="AM1559" s="135"/>
      <c r="AN1559" s="135"/>
      <c r="AO1559" s="70"/>
      <c r="AP1559" s="70"/>
      <c r="AQ1559" s="67"/>
      <c r="AR1559" s="67"/>
      <c r="AS1559" s="67"/>
      <c r="AT1559" s="67"/>
    </row>
    <row r="1560">
      <c r="A1560" s="76" t="s">
        <v>116</v>
      </c>
      <c r="B1560" s="77" t="s">
        <v>1039</v>
      </c>
      <c r="C1560" s="77" t="s">
        <v>1611</v>
      </c>
      <c r="D1560" s="77" t="s">
        <v>1494</v>
      </c>
      <c r="E1560" s="78" t="s">
        <v>139</v>
      </c>
      <c r="F1560" s="80" t="s">
        <v>1520</v>
      </c>
      <c r="G1560" s="77" t="s">
        <v>644</v>
      </c>
      <c r="H1560" s="77" t="s">
        <v>60</v>
      </c>
      <c r="I1560" s="87" t="s">
        <v>1221</v>
      </c>
      <c r="J1560" s="76" t="s">
        <v>114</v>
      </c>
      <c r="K1560" s="76"/>
      <c r="L1560" s="47"/>
      <c r="M1560" s="85" t="s">
        <v>60</v>
      </c>
      <c r="N1560" s="157" t="s">
        <v>11194</v>
      </c>
      <c r="O1560" s="76" t="s">
        <v>11195</v>
      </c>
      <c r="P1560" s="523">
        <v>34287.0</v>
      </c>
      <c r="Q1560" s="315">
        <f t="shared" si="224"/>
        <v>34287</v>
      </c>
      <c r="R1560" s="86">
        <f t="shared" si="225"/>
        <v>32</v>
      </c>
      <c r="S1560" s="76">
        <v>3.428602395E9</v>
      </c>
      <c r="T1560" s="315" t="s">
        <v>378</v>
      </c>
      <c r="U1560" s="76" t="s">
        <v>165</v>
      </c>
      <c r="V1560" s="76" t="s">
        <v>490</v>
      </c>
      <c r="W1560" s="76"/>
      <c r="X1560" s="76"/>
      <c r="Y1560" s="276" t="s">
        <v>371</v>
      </c>
      <c r="Z1560" s="216" t="s">
        <v>2155</v>
      </c>
      <c r="AA1560" s="76"/>
      <c r="AB1560" s="76" t="s">
        <v>226</v>
      </c>
      <c r="AC1560" s="76"/>
      <c r="AD1560" s="76"/>
      <c r="AE1560" s="76" t="s">
        <v>259</v>
      </c>
      <c r="AF1560" s="76" t="s">
        <v>2841</v>
      </c>
      <c r="AG1560" s="76" t="s">
        <v>1187</v>
      </c>
      <c r="AH1560" s="76" t="s">
        <v>12735</v>
      </c>
      <c r="AI1560" s="67"/>
      <c r="AJ1560" s="67"/>
      <c r="AK1560" s="70"/>
      <c r="AL1560" s="70"/>
      <c r="AM1560" s="135"/>
      <c r="AN1560" s="135"/>
      <c r="AO1560" s="70"/>
      <c r="AP1560" s="70"/>
      <c r="AQ1560" s="67"/>
      <c r="AR1560" s="67"/>
      <c r="AS1560" s="67"/>
      <c r="AT1560" s="67"/>
    </row>
    <row r="1561">
      <c r="A1561" s="76" t="s">
        <v>116</v>
      </c>
      <c r="B1561" s="77" t="s">
        <v>1039</v>
      </c>
      <c r="C1561" s="77" t="s">
        <v>1517</v>
      </c>
      <c r="D1561" s="77" t="s">
        <v>1519</v>
      </c>
      <c r="E1561" s="78" t="s">
        <v>201</v>
      </c>
      <c r="F1561" s="80" t="s">
        <v>1849</v>
      </c>
      <c r="G1561" s="77" t="s">
        <v>2466</v>
      </c>
      <c r="H1561" s="77" t="s">
        <v>60</v>
      </c>
      <c r="I1561" s="87" t="s">
        <v>1221</v>
      </c>
      <c r="J1561" s="76"/>
      <c r="K1561" s="76"/>
      <c r="L1561" s="47"/>
      <c r="M1561" s="211" t="s">
        <v>60</v>
      </c>
      <c r="N1561" s="309" t="s">
        <v>12736</v>
      </c>
      <c r="O1561" s="76"/>
      <c r="P1561" s="523"/>
      <c r="Q1561" s="315"/>
      <c r="R1561" s="86"/>
      <c r="S1561" s="76"/>
      <c r="T1561" s="76"/>
      <c r="U1561" s="291" t="s">
        <v>379</v>
      </c>
      <c r="V1561" s="86"/>
      <c r="W1561" s="97"/>
      <c r="X1561" s="97"/>
      <c r="Y1561" s="226"/>
      <c r="Z1561" s="226"/>
      <c r="AA1561" s="226"/>
      <c r="AB1561" s="97"/>
      <c r="AC1561" s="160" t="s">
        <v>630</v>
      </c>
      <c r="AD1561" s="76" t="s">
        <v>632</v>
      </c>
      <c r="AE1561" s="76"/>
      <c r="AF1561" s="160" t="s">
        <v>630</v>
      </c>
      <c r="AG1561" s="76"/>
      <c r="AH1561" s="76"/>
      <c r="AI1561" s="67"/>
      <c r="AJ1561" s="67"/>
      <c r="AK1561" s="70"/>
      <c r="AL1561" s="70"/>
      <c r="AM1561" s="135"/>
      <c r="AN1561" s="135"/>
      <c r="AO1561" s="70"/>
      <c r="AP1561" s="70"/>
      <c r="AQ1561" s="67"/>
      <c r="AR1561" s="67"/>
      <c r="AS1561" s="67"/>
      <c r="AT1561" s="67"/>
    </row>
    <row r="1562">
      <c r="A1562" s="86"/>
      <c r="B1562" s="302" t="s">
        <v>4145</v>
      </c>
      <c r="C1562" s="302"/>
      <c r="D1562" s="76"/>
      <c r="E1562" s="302" t="s">
        <v>12737</v>
      </c>
      <c r="F1562" s="762"/>
      <c r="G1562" s="762"/>
      <c r="H1562" s="762"/>
      <c r="I1562" s="762"/>
      <c r="J1562" s="97"/>
      <c r="K1562" s="716"/>
      <c r="L1562" s="76"/>
      <c r="M1562" s="109" t="s">
        <v>60</v>
      </c>
      <c r="N1562" s="85" t="s">
        <v>12738</v>
      </c>
      <c r="O1562" s="76" t="s">
        <v>5575</v>
      </c>
      <c r="P1562" s="209"/>
      <c r="Q1562" s="1241"/>
      <c r="R1562" s="183"/>
      <c r="S1562" s="716"/>
      <c r="T1562" s="1168"/>
      <c r="U1562" s="76" t="s">
        <v>379</v>
      </c>
      <c r="V1562" s="76"/>
      <c r="W1562" s="716"/>
      <c r="X1562" s="76" t="s">
        <v>145</v>
      </c>
      <c r="Y1562" s="85"/>
      <c r="Z1562" s="216" t="s">
        <v>2506</v>
      </c>
      <c r="AA1562" s="76" t="s">
        <v>1178</v>
      </c>
      <c r="AB1562" s="716"/>
      <c r="AC1562" s="97"/>
      <c r="AD1562" s="722"/>
      <c r="AE1562" s="76"/>
      <c r="AF1562" s="302" t="s">
        <v>12739</v>
      </c>
      <c r="AG1562" s="716"/>
      <c r="AH1562" s="76" t="s">
        <v>12740</v>
      </c>
      <c r="AI1562" s="76"/>
      <c r="AJ1562" s="67"/>
      <c r="AK1562" s="70"/>
      <c r="AL1562" s="70"/>
      <c r="AM1562" s="135"/>
      <c r="AN1562" s="135"/>
      <c r="AO1562" s="70"/>
      <c r="AP1562" s="70"/>
      <c r="AQ1562" s="67"/>
      <c r="AR1562" s="67"/>
      <c r="AS1562" s="67"/>
      <c r="AT1562" s="67"/>
    </row>
    <row r="1563">
      <c r="A1563" s="76" t="s">
        <v>116</v>
      </c>
      <c r="B1563" s="77" t="s">
        <v>121</v>
      </c>
      <c r="C1563" s="77" t="s">
        <v>121</v>
      </c>
      <c r="D1563" s="77" t="s">
        <v>121</v>
      </c>
      <c r="E1563" s="78" t="s">
        <v>119</v>
      </c>
      <c r="F1563" s="80" t="s">
        <v>401</v>
      </c>
      <c r="G1563" s="77" t="s">
        <v>130</v>
      </c>
      <c r="H1563" s="77" t="s">
        <v>403</v>
      </c>
      <c r="I1563" s="146" t="s">
        <v>408</v>
      </c>
      <c r="J1563" s="109" t="s">
        <v>114</v>
      </c>
      <c r="K1563" s="85"/>
      <c r="L1563" s="85" t="s">
        <v>239</v>
      </c>
      <c r="M1563" s="85" t="s">
        <v>102</v>
      </c>
      <c r="N1563" s="86" t="s">
        <v>127</v>
      </c>
      <c r="O1563" s="87" t="s">
        <v>128</v>
      </c>
      <c r="P1563" s="1089">
        <v>34627.0</v>
      </c>
      <c r="Q1563" s="315">
        <f t="shared" ref="Q1563:Q1564" si="226">VALUE(LEFT(TEXT(S1563,0),5))+1</f>
        <v>34627</v>
      </c>
      <c r="R1563" s="86">
        <f t="shared" ref="R1563:R1564" si="227">DATEDIF($P1563,TODAY(),"Y")</f>
        <v>31</v>
      </c>
      <c r="S1563" s="315" t="s">
        <v>12741</v>
      </c>
      <c r="T1563" s="315"/>
      <c r="U1563" s="453" t="s">
        <v>379</v>
      </c>
      <c r="V1563" s="76"/>
      <c r="W1563" s="86"/>
      <c r="X1563" s="97"/>
      <c r="Y1563" s="97"/>
      <c r="Z1563" s="97"/>
      <c r="AA1563" s="97"/>
      <c r="AB1563" s="97"/>
      <c r="AC1563" s="76" t="s">
        <v>389</v>
      </c>
      <c r="AD1563" s="99"/>
      <c r="AE1563" s="76"/>
      <c r="AF1563" s="76" t="s">
        <v>155</v>
      </c>
      <c r="AG1563" s="76" t="s">
        <v>375</v>
      </c>
      <c r="AH1563" s="76" t="s">
        <v>12742</v>
      </c>
      <c r="AI1563" s="76"/>
      <c r="AJ1563" s="67"/>
      <c r="AK1563" s="67"/>
      <c r="AL1563" s="148" t="s">
        <v>368</v>
      </c>
      <c r="AM1563" s="86" t="s">
        <v>425</v>
      </c>
      <c r="AN1563" s="135"/>
      <c r="AO1563" s="76" t="s">
        <v>426</v>
      </c>
      <c r="AP1563" s="70"/>
      <c r="AQ1563" s="70"/>
      <c r="AR1563" s="67"/>
      <c r="AS1563" s="67"/>
      <c r="AT1563" s="67"/>
    </row>
    <row r="1564">
      <c r="A1564" s="76" t="s">
        <v>116</v>
      </c>
      <c r="B1564" s="77" t="s">
        <v>1645</v>
      </c>
      <c r="C1564" s="77" t="s">
        <v>1611</v>
      </c>
      <c r="D1564" s="77" t="s">
        <v>1494</v>
      </c>
      <c r="E1564" s="78" t="s">
        <v>302</v>
      </c>
      <c r="F1564" s="80" t="s">
        <v>1404</v>
      </c>
      <c r="G1564" s="77" t="s">
        <v>997</v>
      </c>
      <c r="H1564" s="77" t="s">
        <v>326</v>
      </c>
      <c r="I1564" s="87" t="s">
        <v>1221</v>
      </c>
      <c r="J1564" s="76" t="s">
        <v>114</v>
      </c>
      <c r="K1564" s="76"/>
      <c r="L1564" s="76"/>
      <c r="M1564" s="85" t="s">
        <v>326</v>
      </c>
      <c r="N1564" s="157" t="s">
        <v>12743</v>
      </c>
      <c r="O1564" s="76" t="s">
        <v>6086</v>
      </c>
      <c r="P1564" s="523">
        <v>33064.0</v>
      </c>
      <c r="Q1564" s="315">
        <f t="shared" si="226"/>
        <v>33064</v>
      </c>
      <c r="R1564" s="86">
        <f t="shared" si="227"/>
        <v>36</v>
      </c>
      <c r="S1564" s="76">
        <v>3.306319272E9</v>
      </c>
      <c r="T1564" s="76" t="s">
        <v>1362</v>
      </c>
      <c r="U1564" s="76" t="s">
        <v>379</v>
      </c>
      <c r="V1564" s="76"/>
      <c r="W1564" s="76"/>
      <c r="X1564" s="76"/>
      <c r="Y1564" s="76"/>
      <c r="Z1564" s="216" t="s">
        <v>1982</v>
      </c>
      <c r="AA1564" s="76" t="s">
        <v>1178</v>
      </c>
      <c r="AB1564" s="76"/>
      <c r="AC1564" s="76" t="s">
        <v>6465</v>
      </c>
      <c r="AD1564" s="76"/>
      <c r="AE1564" s="76"/>
      <c r="AF1564" s="76" t="s">
        <v>12389</v>
      </c>
      <c r="AG1564" s="76" t="s">
        <v>5689</v>
      </c>
      <c r="AH1564" s="76" t="s">
        <v>12744</v>
      </c>
      <c r="AI1564" s="76"/>
      <c r="AJ1564" s="67"/>
      <c r="AK1564" s="70"/>
      <c r="AL1564" s="70"/>
      <c r="AM1564" s="70"/>
      <c r="AN1564" s="135"/>
      <c r="AO1564" s="135"/>
      <c r="AP1564" s="70"/>
      <c r="AQ1564" s="70"/>
      <c r="AR1564" s="67"/>
      <c r="AS1564" s="67"/>
      <c r="AT1564" s="67"/>
    </row>
    <row r="1565">
      <c r="A1565" s="76" t="s">
        <v>116</v>
      </c>
      <c r="B1565" s="77" t="s">
        <v>3307</v>
      </c>
      <c r="C1565" s="77" t="s">
        <v>121</v>
      </c>
      <c r="D1565" s="77" t="s">
        <v>121</v>
      </c>
      <c r="E1565" s="78" t="s">
        <v>201</v>
      </c>
      <c r="F1565" s="80" t="s">
        <v>1849</v>
      </c>
      <c r="G1565" s="77" t="s">
        <v>2106</v>
      </c>
      <c r="H1565" s="77" t="s">
        <v>60</v>
      </c>
      <c r="I1565" s="87" t="s">
        <v>1221</v>
      </c>
      <c r="J1565" s="784"/>
      <c r="K1565" s="784"/>
      <c r="L1565" s="475"/>
      <c r="M1565" s="159" t="s">
        <v>60</v>
      </c>
      <c r="N1565" s="159" t="s">
        <v>12745</v>
      </c>
      <c r="O1565" s="76" t="s">
        <v>12746</v>
      </c>
      <c r="P1565" s="1089"/>
      <c r="Q1565" s="315"/>
      <c r="R1565" s="86"/>
      <c r="S1565" s="86"/>
      <c r="T1565" s="315"/>
      <c r="U1565" s="76" t="s">
        <v>393</v>
      </c>
      <c r="V1565" s="226"/>
      <c r="W1565" s="226"/>
      <c r="X1565" s="226"/>
      <c r="Y1565" s="226"/>
      <c r="Z1565" s="226"/>
      <c r="AA1565" s="226"/>
      <c r="AB1565" s="226"/>
      <c r="AC1565" s="160" t="s">
        <v>630</v>
      </c>
      <c r="AD1565" s="76" t="s">
        <v>632</v>
      </c>
      <c r="AE1565" s="76" t="s">
        <v>1136</v>
      </c>
      <c r="AF1565" s="160" t="s">
        <v>630</v>
      </c>
      <c r="AG1565" s="112"/>
      <c r="AH1565" s="76"/>
      <c r="AI1565" s="76"/>
      <c r="AJ1565" s="67"/>
      <c r="AK1565" s="70"/>
      <c r="AL1565" s="70"/>
      <c r="AM1565" s="70"/>
      <c r="AN1565" s="135"/>
      <c r="AO1565" s="135"/>
      <c r="AP1565" s="70"/>
      <c r="AQ1565" s="70"/>
      <c r="AR1565" s="67"/>
      <c r="AS1565" s="67"/>
      <c r="AT1565" s="67"/>
    </row>
    <row r="1566">
      <c r="A1566" s="76" t="s">
        <v>116</v>
      </c>
      <c r="B1566" s="77" t="s">
        <v>1039</v>
      </c>
      <c r="C1566" s="77" t="s">
        <v>1517</v>
      </c>
      <c r="D1566" s="77" t="s">
        <v>1368</v>
      </c>
      <c r="E1566" s="78" t="s">
        <v>213</v>
      </c>
      <c r="F1566" s="80" t="s">
        <v>1523</v>
      </c>
      <c r="G1566" s="77" t="s">
        <v>488</v>
      </c>
      <c r="H1566" s="77" t="s">
        <v>60</v>
      </c>
      <c r="I1566" s="87" t="s">
        <v>1221</v>
      </c>
      <c r="J1566" s="76" t="s">
        <v>114</v>
      </c>
      <c r="K1566" s="76"/>
      <c r="L1566" s="47"/>
      <c r="M1566" s="176" t="s">
        <v>60</v>
      </c>
      <c r="N1566" s="500" t="s">
        <v>10448</v>
      </c>
      <c r="O1566" s="124" t="s">
        <v>2100</v>
      </c>
      <c r="P1566" s="523">
        <v>36587.0</v>
      </c>
      <c r="Q1566" s="315">
        <f t="shared" ref="Q1566:Q1580" si="228">VALUE(LEFT(TEXT(S1566,0),5))+1</f>
        <v>36587</v>
      </c>
      <c r="R1566" s="86">
        <f t="shared" ref="R1566:R1580" si="229">DATEDIF($P1566,TODAY(),"Y")</f>
        <v>26</v>
      </c>
      <c r="S1566" s="76">
        <v>3.65860593E9</v>
      </c>
      <c r="T1566" s="76" t="s">
        <v>378</v>
      </c>
      <c r="U1566" s="76" t="s">
        <v>393</v>
      </c>
      <c r="V1566" s="76"/>
      <c r="W1566" s="76"/>
      <c r="X1566" s="76"/>
      <c r="Y1566" s="97"/>
      <c r="Z1566" s="216" t="s">
        <v>1815</v>
      </c>
      <c r="AA1566" s="76" t="s">
        <v>1178</v>
      </c>
      <c r="AB1566" s="97"/>
      <c r="AC1566" s="76"/>
      <c r="AD1566" s="76" t="s">
        <v>1</v>
      </c>
      <c r="AE1566" s="76" t="s">
        <v>672</v>
      </c>
      <c r="AF1566" s="76" t="s">
        <v>12747</v>
      </c>
      <c r="AG1566" s="76" t="s">
        <v>1187</v>
      </c>
      <c r="AH1566" s="76" t="s">
        <v>12748</v>
      </c>
      <c r="AI1566" s="76"/>
      <c r="AJ1566" s="67"/>
      <c r="AK1566" s="70"/>
      <c r="AL1566" s="70"/>
      <c r="AM1566" s="70"/>
      <c r="AN1566" s="135"/>
      <c r="AO1566" s="135"/>
      <c r="AP1566" s="70"/>
      <c r="AQ1566" s="70"/>
      <c r="AR1566" s="67"/>
      <c r="AS1566" s="67"/>
      <c r="AT1566" s="67"/>
    </row>
    <row r="1567">
      <c r="A1567" s="76" t="s">
        <v>116</v>
      </c>
      <c r="B1567" s="77" t="s">
        <v>1645</v>
      </c>
      <c r="C1567" s="77" t="s">
        <v>1269</v>
      </c>
      <c r="D1567" s="77" t="s">
        <v>1368</v>
      </c>
      <c r="E1567" s="78" t="s">
        <v>302</v>
      </c>
      <c r="F1567" s="80" t="s">
        <v>1404</v>
      </c>
      <c r="G1567" s="77" t="s">
        <v>3544</v>
      </c>
      <c r="H1567" s="77" t="s">
        <v>326</v>
      </c>
      <c r="I1567" s="87" t="s">
        <v>1221</v>
      </c>
      <c r="J1567" s="85" t="s">
        <v>114</v>
      </c>
      <c r="K1567" s="124" t="s">
        <v>12749</v>
      </c>
      <c r="L1567" s="76"/>
      <c r="M1567" s="85" t="s">
        <v>102</v>
      </c>
      <c r="N1567" s="76" t="s">
        <v>9697</v>
      </c>
      <c r="O1567" s="76" t="s">
        <v>9698</v>
      </c>
      <c r="P1567" s="523">
        <v>31435.0</v>
      </c>
      <c r="Q1567" s="315">
        <f t="shared" si="228"/>
        <v>31435</v>
      </c>
      <c r="R1567" s="86">
        <f t="shared" si="229"/>
        <v>40</v>
      </c>
      <c r="S1567" s="76">
        <v>3.143413179E9</v>
      </c>
      <c r="T1567" s="86"/>
      <c r="U1567" s="76" t="s">
        <v>393</v>
      </c>
      <c r="V1567" s="76"/>
      <c r="W1567" s="76"/>
      <c r="X1567" s="97"/>
      <c r="Y1567" s="167"/>
      <c r="Z1567" s="176" t="s">
        <v>1460</v>
      </c>
      <c r="AA1567" s="76" t="s">
        <v>1178</v>
      </c>
      <c r="AB1567" s="97"/>
      <c r="AC1567" s="168"/>
      <c r="AD1567" s="260"/>
      <c r="AE1567" s="76" t="s">
        <v>154</v>
      </c>
      <c r="AF1567" s="450" t="s">
        <v>155</v>
      </c>
      <c r="AG1567" s="76" t="s">
        <v>1187</v>
      </c>
      <c r="AH1567" s="153">
        <v>46195.0</v>
      </c>
      <c r="AI1567" s="76"/>
      <c r="AJ1567" s="67"/>
      <c r="AK1567" s="70"/>
      <c r="AL1567" s="70"/>
      <c r="AM1567" s="70"/>
      <c r="AN1567" s="135"/>
      <c r="AO1567" s="135"/>
      <c r="AP1567" s="70"/>
      <c r="AQ1567" s="70"/>
      <c r="AR1567" s="67"/>
      <c r="AS1567" s="67"/>
      <c r="AT1567" s="67"/>
    </row>
    <row r="1568">
      <c r="A1568" s="76" t="s">
        <v>116</v>
      </c>
      <c r="B1568" s="77" t="s">
        <v>1645</v>
      </c>
      <c r="C1568" s="77" t="s">
        <v>1269</v>
      </c>
      <c r="D1568" s="77" t="s">
        <v>1368</v>
      </c>
      <c r="E1568" s="78" t="s">
        <v>460</v>
      </c>
      <c r="F1568" s="80" t="s">
        <v>1435</v>
      </c>
      <c r="G1568" s="77" t="s">
        <v>804</v>
      </c>
      <c r="H1568" s="77" t="s">
        <v>326</v>
      </c>
      <c r="I1568" s="87" t="s">
        <v>1221</v>
      </c>
      <c r="J1568" s="85" t="s">
        <v>114</v>
      </c>
      <c r="K1568" s="85"/>
      <c r="L1568" s="76"/>
      <c r="M1568" s="85" t="s">
        <v>326</v>
      </c>
      <c r="N1568" s="76" t="s">
        <v>801</v>
      </c>
      <c r="O1568" s="76" t="s">
        <v>802</v>
      </c>
      <c r="P1568" s="523">
        <v>31693.0</v>
      </c>
      <c r="Q1568" s="315">
        <f t="shared" si="228"/>
        <v>31693</v>
      </c>
      <c r="R1568" s="86">
        <f t="shared" si="229"/>
        <v>39</v>
      </c>
      <c r="S1568" s="76">
        <v>3.169206479E9</v>
      </c>
      <c r="T1568" s="86"/>
      <c r="U1568" s="76" t="s">
        <v>393</v>
      </c>
      <c r="V1568" s="76"/>
      <c r="W1568" s="76"/>
      <c r="X1568" s="76"/>
      <c r="Y1568" s="167"/>
      <c r="Z1568" s="234" t="s">
        <v>1351</v>
      </c>
      <c r="AA1568" s="341" t="s">
        <v>1178</v>
      </c>
      <c r="AB1568" s="97"/>
      <c r="AC1568" s="168"/>
      <c r="AD1568" s="260"/>
      <c r="AE1568" s="76" t="s">
        <v>672</v>
      </c>
      <c r="AF1568" s="76" t="s">
        <v>155</v>
      </c>
      <c r="AG1568" s="76" t="s">
        <v>1187</v>
      </c>
      <c r="AH1568" s="76" t="s">
        <v>12750</v>
      </c>
      <c r="AI1568" s="76"/>
      <c r="AJ1568" s="67"/>
      <c r="AK1568" s="70"/>
      <c r="AL1568" s="70"/>
      <c r="AM1568" s="70"/>
      <c r="AN1568" s="135"/>
      <c r="AO1568" s="135"/>
      <c r="AP1568" s="70"/>
      <c r="AQ1568" s="70"/>
      <c r="AR1568" s="67"/>
      <c r="AS1568" s="67"/>
      <c r="AT1568" s="67"/>
    </row>
    <row r="1569" ht="22.5" customHeight="1">
      <c r="A1569" s="76" t="s">
        <v>116</v>
      </c>
      <c r="B1569" s="77" t="s">
        <v>1645</v>
      </c>
      <c r="C1569" s="77" t="s">
        <v>1517</v>
      </c>
      <c r="D1569" s="77" t="s">
        <v>1519</v>
      </c>
      <c r="E1569" s="78" t="s">
        <v>213</v>
      </c>
      <c r="F1569" s="80" t="s">
        <v>1523</v>
      </c>
      <c r="G1569" s="77" t="s">
        <v>957</v>
      </c>
      <c r="H1569" s="77" t="s">
        <v>60</v>
      </c>
      <c r="I1569" s="87" t="s">
        <v>1221</v>
      </c>
      <c r="J1569" s="85" t="s">
        <v>114</v>
      </c>
      <c r="K1569" s="85"/>
      <c r="L1569" s="76"/>
      <c r="M1569" s="85" t="s">
        <v>326</v>
      </c>
      <c r="N1569" s="76" t="s">
        <v>953</v>
      </c>
      <c r="O1569" s="295" t="s">
        <v>954</v>
      </c>
      <c r="P1569" s="523">
        <v>33635.0</v>
      </c>
      <c r="Q1569" s="315">
        <f t="shared" si="228"/>
        <v>33635</v>
      </c>
      <c r="R1569" s="97">
        <f t="shared" si="229"/>
        <v>34</v>
      </c>
      <c r="S1569" s="76">
        <v>3.363403012E9</v>
      </c>
      <c r="T1569" s="76" t="s">
        <v>378</v>
      </c>
      <c r="U1569" s="76" t="s">
        <v>393</v>
      </c>
      <c r="V1569" s="76"/>
      <c r="W1569" s="76"/>
      <c r="X1569" s="76"/>
      <c r="Y1569" s="168"/>
      <c r="Z1569" s="216" t="s">
        <v>2155</v>
      </c>
      <c r="AA1569" s="76" t="s">
        <v>1178</v>
      </c>
      <c r="AB1569" s="97"/>
      <c r="AC1569" s="168"/>
      <c r="AD1569" s="168"/>
      <c r="AE1569" s="76" t="s">
        <v>154</v>
      </c>
      <c r="AF1569" s="76" t="s">
        <v>155</v>
      </c>
      <c r="AG1569" s="76" t="s">
        <v>1187</v>
      </c>
      <c r="AH1569" s="153">
        <v>46134.0</v>
      </c>
      <c r="AI1569" s="76"/>
      <c r="AJ1569" s="67"/>
      <c r="AK1569" s="70"/>
      <c r="AL1569" s="70"/>
      <c r="AM1569" s="70"/>
      <c r="AN1569" s="135"/>
      <c r="AO1569" s="135"/>
      <c r="AP1569" s="70"/>
      <c r="AQ1569" s="70"/>
      <c r="AR1569" s="67"/>
      <c r="AS1569" s="67"/>
      <c r="AT1569" s="67"/>
    </row>
    <row r="1570">
      <c r="A1570" s="76" t="s">
        <v>116</v>
      </c>
      <c r="B1570" s="77" t="s">
        <v>1645</v>
      </c>
      <c r="C1570" s="77" t="s">
        <v>1611</v>
      </c>
      <c r="D1570" s="77" t="s">
        <v>1519</v>
      </c>
      <c r="E1570" s="78" t="s">
        <v>139</v>
      </c>
      <c r="F1570" s="80" t="s">
        <v>1520</v>
      </c>
      <c r="G1570" s="77" t="s">
        <v>5000</v>
      </c>
      <c r="H1570" s="77" t="s">
        <v>60</v>
      </c>
      <c r="I1570" s="87" t="s">
        <v>1221</v>
      </c>
      <c r="J1570" s="109" t="s">
        <v>114</v>
      </c>
      <c r="K1570" s="87"/>
      <c r="L1570" s="87"/>
      <c r="M1570" s="87" t="s">
        <v>60</v>
      </c>
      <c r="N1570" s="76" t="s">
        <v>2443</v>
      </c>
      <c r="O1570" s="87" t="s">
        <v>2444</v>
      </c>
      <c r="P1570" s="1089">
        <v>32125.0</v>
      </c>
      <c r="Q1570" s="315">
        <f t="shared" si="228"/>
        <v>32125</v>
      </c>
      <c r="R1570" s="86">
        <f t="shared" si="229"/>
        <v>38</v>
      </c>
      <c r="S1570" s="315">
        <v>3.212400919E9</v>
      </c>
      <c r="T1570" s="315"/>
      <c r="U1570" s="124" t="s">
        <v>379</v>
      </c>
      <c r="V1570" s="86"/>
      <c r="W1570" s="86"/>
      <c r="X1570" s="97"/>
      <c r="Y1570" s="97"/>
      <c r="Z1570" s="97"/>
      <c r="AA1570" s="97"/>
      <c r="AB1570" s="97"/>
      <c r="AC1570" s="76" t="s">
        <v>3364</v>
      </c>
      <c r="AD1570" s="76" t="s">
        <v>12751</v>
      </c>
      <c r="AE1570" s="76"/>
      <c r="AF1570" s="76"/>
      <c r="AG1570" s="76" t="s">
        <v>12752</v>
      </c>
      <c r="AH1570" s="330">
        <v>45973.0</v>
      </c>
      <c r="AI1570" s="76"/>
      <c r="AJ1570" s="67"/>
      <c r="AK1570" s="70"/>
      <c r="AL1570" s="70"/>
      <c r="AM1570" s="70"/>
      <c r="AN1570" s="135"/>
      <c r="AO1570" s="135"/>
      <c r="AP1570" s="70"/>
      <c r="AQ1570" s="70"/>
      <c r="AR1570" s="67"/>
      <c r="AS1570" s="67"/>
      <c r="AT1570" s="67"/>
    </row>
    <row r="1571">
      <c r="A1571" s="76" t="s">
        <v>116</v>
      </c>
      <c r="B1571" s="77" t="s">
        <v>1709</v>
      </c>
      <c r="C1571" s="77" t="s">
        <v>1517</v>
      </c>
      <c r="D1571" s="77" t="s">
        <v>1494</v>
      </c>
      <c r="E1571" s="78" t="s">
        <v>536</v>
      </c>
      <c r="F1571" s="80" t="s">
        <v>2458</v>
      </c>
      <c r="G1571" s="77" t="s">
        <v>6087</v>
      </c>
      <c r="H1571" s="77" t="s">
        <v>60</v>
      </c>
      <c r="I1571" s="87" t="s">
        <v>1221</v>
      </c>
      <c r="J1571" s="76" t="s">
        <v>114</v>
      </c>
      <c r="K1571" s="124" t="s">
        <v>1602</v>
      </c>
      <c r="L1571" s="47"/>
      <c r="M1571" s="85" t="s">
        <v>60</v>
      </c>
      <c r="N1571" s="1242" t="s">
        <v>8379</v>
      </c>
      <c r="O1571" s="1203" t="s">
        <v>12753</v>
      </c>
      <c r="P1571" s="523">
        <v>27595.0</v>
      </c>
      <c r="Q1571" s="315">
        <f t="shared" si="228"/>
        <v>27595</v>
      </c>
      <c r="R1571" s="86">
        <f t="shared" si="229"/>
        <v>51</v>
      </c>
      <c r="S1571" s="76">
        <v>2.759407454E9</v>
      </c>
      <c r="T1571" s="76" t="s">
        <v>1511</v>
      </c>
      <c r="U1571" s="76" t="s">
        <v>379</v>
      </c>
      <c r="V1571" s="76"/>
      <c r="W1571" s="76"/>
      <c r="X1571" s="76"/>
      <c r="Y1571" s="97"/>
      <c r="Z1571" s="216" t="s">
        <v>1815</v>
      </c>
      <c r="AA1571" s="76"/>
      <c r="AB1571" s="76" t="s">
        <v>192</v>
      </c>
      <c r="AC1571" s="76" t="s">
        <v>3364</v>
      </c>
      <c r="AD1571" s="76"/>
      <c r="AE1571" s="76"/>
      <c r="AF1571" s="76"/>
      <c r="AG1571" s="76" t="s">
        <v>12754</v>
      </c>
      <c r="AH1571" s="1203" t="s">
        <v>3364</v>
      </c>
      <c r="AI1571" s="76"/>
      <c r="AJ1571" s="67"/>
      <c r="AK1571" s="70"/>
      <c r="AL1571" s="70"/>
      <c r="AM1571" s="70"/>
      <c r="AN1571" s="135"/>
      <c r="AO1571" s="135"/>
      <c r="AP1571" s="70"/>
      <c r="AQ1571" s="70"/>
      <c r="AR1571" s="67"/>
      <c r="AS1571" s="67"/>
      <c r="AT1571" s="67"/>
    </row>
    <row r="1572">
      <c r="A1572" s="76" t="s">
        <v>116</v>
      </c>
      <c r="B1572" s="77" t="s">
        <v>1709</v>
      </c>
      <c r="C1572" s="77" t="s">
        <v>1517</v>
      </c>
      <c r="D1572" s="77" t="s">
        <v>1519</v>
      </c>
      <c r="E1572" s="78" t="s">
        <v>213</v>
      </c>
      <c r="F1572" s="80" t="s">
        <v>1523</v>
      </c>
      <c r="G1572" s="77" t="s">
        <v>2636</v>
      </c>
      <c r="H1572" s="77" t="s">
        <v>60</v>
      </c>
      <c r="I1572" s="87" t="s">
        <v>1221</v>
      </c>
      <c r="J1572" s="85" t="s">
        <v>114</v>
      </c>
      <c r="K1572" s="226"/>
      <c r="L1572" s="189"/>
      <c r="M1572" s="85" t="s">
        <v>60</v>
      </c>
      <c r="N1572" s="76" t="s">
        <v>2634</v>
      </c>
      <c r="O1572" s="76" t="s">
        <v>2635</v>
      </c>
      <c r="P1572" s="523">
        <v>30514.0</v>
      </c>
      <c r="Q1572" s="315">
        <f t="shared" si="228"/>
        <v>30514</v>
      </c>
      <c r="R1572" s="86">
        <f t="shared" si="229"/>
        <v>43</v>
      </c>
      <c r="S1572" s="76">
        <v>3.051310875E9</v>
      </c>
      <c r="T1572" s="86"/>
      <c r="U1572" s="76" t="s">
        <v>393</v>
      </c>
      <c r="V1572" s="76"/>
      <c r="W1572" s="76"/>
      <c r="X1572" s="76"/>
      <c r="Y1572" s="167"/>
      <c r="Z1572" s="234" t="s">
        <v>1351</v>
      </c>
      <c r="AA1572" s="341" t="s">
        <v>1178</v>
      </c>
      <c r="AB1572" s="97"/>
      <c r="AC1572" s="168"/>
      <c r="AD1572" s="168"/>
      <c r="AE1572" s="76" t="s">
        <v>1136</v>
      </c>
      <c r="AF1572" s="660" t="s">
        <v>155</v>
      </c>
      <c r="AG1572" s="76" t="s">
        <v>1187</v>
      </c>
      <c r="AH1572" s="76" t="s">
        <v>12755</v>
      </c>
      <c r="AI1572" s="76"/>
      <c r="AJ1572" s="67"/>
      <c r="AK1572" s="70"/>
      <c r="AL1572" s="70"/>
      <c r="AM1572" s="70"/>
      <c r="AN1572" s="135"/>
      <c r="AO1572" s="135"/>
      <c r="AP1572" s="70"/>
      <c r="AQ1572" s="70"/>
      <c r="AR1572" s="67"/>
      <c r="AS1572" s="67"/>
      <c r="AT1572" s="67"/>
    </row>
    <row r="1573">
      <c r="A1573" s="76" t="s">
        <v>116</v>
      </c>
      <c r="B1573" s="77" t="s">
        <v>1709</v>
      </c>
      <c r="C1573" s="77" t="s">
        <v>1611</v>
      </c>
      <c r="D1573" s="77" t="s">
        <v>1519</v>
      </c>
      <c r="E1573" s="78" t="s">
        <v>187</v>
      </c>
      <c r="F1573" s="80" t="s">
        <v>1469</v>
      </c>
      <c r="G1573" s="77" t="s">
        <v>6589</v>
      </c>
      <c r="H1573" s="77" t="s">
        <v>60</v>
      </c>
      <c r="I1573" s="87" t="s">
        <v>1221</v>
      </c>
      <c r="J1573" s="76" t="s">
        <v>114</v>
      </c>
      <c r="K1573" s="76"/>
      <c r="L1573" s="47"/>
      <c r="M1573" s="85" t="s">
        <v>60</v>
      </c>
      <c r="N1573" s="157" t="s">
        <v>12756</v>
      </c>
      <c r="O1573" s="76" t="s">
        <v>12757</v>
      </c>
      <c r="P1573" s="523">
        <v>30652.0</v>
      </c>
      <c r="Q1573" s="315">
        <f t="shared" si="228"/>
        <v>30652</v>
      </c>
      <c r="R1573" s="86">
        <f t="shared" si="229"/>
        <v>42</v>
      </c>
      <c r="S1573" s="76">
        <v>3.065104539E9</v>
      </c>
      <c r="T1573" s="76" t="s">
        <v>378</v>
      </c>
      <c r="U1573" s="76" t="s">
        <v>379</v>
      </c>
      <c r="V1573" s="76"/>
      <c r="W1573" s="76"/>
      <c r="X1573" s="76"/>
      <c r="Y1573" s="97"/>
      <c r="Z1573" s="216" t="s">
        <v>1815</v>
      </c>
      <c r="AA1573" s="76"/>
      <c r="AB1573" s="97"/>
      <c r="AC1573" s="76" t="s">
        <v>3364</v>
      </c>
      <c r="AD1573" s="76"/>
      <c r="AE1573" s="76"/>
      <c r="AF1573" s="76"/>
      <c r="AG1573" s="189"/>
      <c r="AH1573" s="153">
        <v>46133.0</v>
      </c>
      <c r="AI1573" s="76"/>
      <c r="AJ1573" s="67"/>
      <c r="AK1573" s="70"/>
      <c r="AL1573" s="70"/>
      <c r="AM1573" s="70"/>
      <c r="AN1573" s="135"/>
      <c r="AO1573" s="135"/>
      <c r="AP1573" s="70"/>
      <c r="AQ1573" s="70"/>
      <c r="AR1573" s="67"/>
      <c r="AS1573" s="67"/>
      <c r="AT1573" s="67"/>
    </row>
    <row r="1574">
      <c r="A1574" s="76" t="s">
        <v>116</v>
      </c>
      <c r="B1574" s="77" t="s">
        <v>3014</v>
      </c>
      <c r="C1574" s="77" t="s">
        <v>121</v>
      </c>
      <c r="D1574" s="77" t="s">
        <v>121</v>
      </c>
      <c r="E1574" s="78" t="s">
        <v>1466</v>
      </c>
      <c r="F1574" s="80" t="s">
        <v>3949</v>
      </c>
      <c r="G1574" s="77" t="s">
        <v>1721</v>
      </c>
      <c r="H1574" s="77" t="s">
        <v>326</v>
      </c>
      <c r="I1574" s="87" t="s">
        <v>1221</v>
      </c>
      <c r="J1574" s="85" t="s">
        <v>114</v>
      </c>
      <c r="K1574" s="176" t="s">
        <v>12758</v>
      </c>
      <c r="L1574" s="76"/>
      <c r="M1574" s="85" t="s">
        <v>326</v>
      </c>
      <c r="N1574" s="76" t="s">
        <v>897</v>
      </c>
      <c r="O1574" s="295" t="s">
        <v>898</v>
      </c>
      <c r="P1574" s="523">
        <v>33112.0</v>
      </c>
      <c r="Q1574" s="315">
        <f t="shared" si="228"/>
        <v>33112</v>
      </c>
      <c r="R1574" s="86">
        <f t="shared" si="229"/>
        <v>36</v>
      </c>
      <c r="S1574" s="76">
        <v>3.311104714E9</v>
      </c>
      <c r="T1574" s="86"/>
      <c r="U1574" s="76" t="s">
        <v>393</v>
      </c>
      <c r="V1574" s="76"/>
      <c r="W1574" s="76"/>
      <c r="X1574" s="76"/>
      <c r="Y1574" s="167"/>
      <c r="Z1574" s="234" t="s">
        <v>1351</v>
      </c>
      <c r="AA1574" s="168"/>
      <c r="AB1574" s="97"/>
      <c r="AC1574" s="168"/>
      <c r="AD1574" s="235">
        <v>46212.0</v>
      </c>
      <c r="AE1574" s="76" t="s">
        <v>154</v>
      </c>
      <c r="AF1574" s="76" t="s">
        <v>9155</v>
      </c>
      <c r="AG1574" s="76" t="s">
        <v>1187</v>
      </c>
      <c r="AH1574" s="153">
        <v>46215.0</v>
      </c>
      <c r="AI1574" s="76"/>
      <c r="AJ1574" s="67"/>
      <c r="AK1574" s="70"/>
      <c r="AL1574" s="70"/>
      <c r="AM1574" s="70"/>
      <c r="AN1574" s="135"/>
      <c r="AO1574" s="135"/>
      <c r="AP1574" s="70"/>
      <c r="AQ1574" s="70"/>
      <c r="AR1574" s="67"/>
      <c r="AS1574" s="67"/>
      <c r="AT1574" s="67"/>
    </row>
    <row r="1575">
      <c r="A1575" s="76" t="s">
        <v>116</v>
      </c>
      <c r="B1575" s="77" t="s">
        <v>3898</v>
      </c>
      <c r="C1575" s="77" t="s">
        <v>121</v>
      </c>
      <c r="D1575" s="77" t="s">
        <v>121</v>
      </c>
      <c r="E1575" s="78" t="s">
        <v>119</v>
      </c>
      <c r="F1575" s="80" t="s">
        <v>9299</v>
      </c>
      <c r="G1575" s="77" t="s">
        <v>9300</v>
      </c>
      <c r="H1575" s="77" t="s">
        <v>504</v>
      </c>
      <c r="I1575" s="146" t="s">
        <v>408</v>
      </c>
      <c r="J1575" s="85" t="s">
        <v>114</v>
      </c>
      <c r="K1575" s="85" t="s">
        <v>12759</v>
      </c>
      <c r="L1575" s="341"/>
      <c r="M1575" s="85" t="s">
        <v>60</v>
      </c>
      <c r="N1575" s="76" t="s">
        <v>9250</v>
      </c>
      <c r="O1575" s="76" t="s">
        <v>6488</v>
      </c>
      <c r="P1575" s="523">
        <v>32367.0</v>
      </c>
      <c r="Q1575" s="315">
        <f t="shared" si="228"/>
        <v>32367</v>
      </c>
      <c r="R1575" s="97">
        <f t="shared" si="229"/>
        <v>38</v>
      </c>
      <c r="S1575" s="76">
        <v>3.23662449E9</v>
      </c>
      <c r="T1575" s="315"/>
      <c r="U1575" s="76" t="s">
        <v>379</v>
      </c>
      <c r="V1575" s="76"/>
      <c r="W1575" s="76"/>
      <c r="X1575" s="76"/>
      <c r="Y1575" s="97" t="s">
        <v>1174</v>
      </c>
      <c r="Z1575" s="278" t="s">
        <v>2090</v>
      </c>
      <c r="AA1575" s="76"/>
      <c r="AB1575" s="76"/>
      <c r="AC1575" s="76" t="s">
        <v>2915</v>
      </c>
      <c r="AD1575" s="99"/>
      <c r="AE1575" s="310" t="s">
        <v>861</v>
      </c>
      <c r="AF1575" s="76" t="s">
        <v>155</v>
      </c>
      <c r="AG1575" s="76" t="s">
        <v>12760</v>
      </c>
      <c r="AH1575" s="153">
        <v>46059.0</v>
      </c>
      <c r="AI1575" s="76"/>
      <c r="AJ1575" s="67"/>
      <c r="AK1575" s="70"/>
      <c r="AL1575" s="70"/>
      <c r="AM1575" s="70"/>
      <c r="AN1575" s="135"/>
      <c r="AO1575" s="135"/>
      <c r="AP1575" s="70"/>
      <c r="AQ1575" s="70"/>
      <c r="AR1575" s="67"/>
      <c r="AS1575" s="67"/>
      <c r="AT1575" s="67"/>
    </row>
    <row r="1576">
      <c r="A1576" s="76" t="s">
        <v>116</v>
      </c>
      <c r="B1576" s="77" t="s">
        <v>3423</v>
      </c>
      <c r="C1576" s="77" t="s">
        <v>8667</v>
      </c>
      <c r="D1576" s="77" t="s">
        <v>121</v>
      </c>
      <c r="E1576" s="78" t="s">
        <v>1431</v>
      </c>
      <c r="F1576" s="80" t="s">
        <v>1437</v>
      </c>
      <c r="G1576" s="77" t="s">
        <v>9572</v>
      </c>
      <c r="H1576" s="77" t="s">
        <v>60</v>
      </c>
      <c r="I1576" s="87" t="s">
        <v>1221</v>
      </c>
      <c r="J1576" s="195" t="s">
        <v>114</v>
      </c>
      <c r="K1576" s="360" t="s">
        <v>12761</v>
      </c>
      <c r="L1576" s="189"/>
      <c r="M1576" s="195" t="s">
        <v>60</v>
      </c>
      <c r="N1576" s="189" t="s">
        <v>2428</v>
      </c>
      <c r="O1576" s="195" t="s">
        <v>2429</v>
      </c>
      <c r="P1576" s="1089">
        <v>31234.0</v>
      </c>
      <c r="Q1576" s="852">
        <f t="shared" si="228"/>
        <v>31234</v>
      </c>
      <c r="R1576" s="189">
        <f t="shared" si="229"/>
        <v>41</v>
      </c>
      <c r="S1576" s="315">
        <v>3.123313476E9</v>
      </c>
      <c r="T1576" s="1168"/>
      <c r="U1576" s="1226" t="s">
        <v>379</v>
      </c>
      <c r="V1576" s="194"/>
      <c r="W1576" s="194"/>
      <c r="X1576" s="194"/>
      <c r="Y1576" s="194"/>
      <c r="Z1576" s="194"/>
      <c r="AA1576" s="194"/>
      <c r="AB1576" s="194"/>
      <c r="AC1576" s="189" t="s">
        <v>3364</v>
      </c>
      <c r="AD1576" s="189" t="s">
        <v>12751</v>
      </c>
      <c r="AE1576" s="189"/>
      <c r="AF1576" s="194"/>
      <c r="AG1576" s="189" t="s">
        <v>12752</v>
      </c>
      <c r="AH1576" s="539">
        <v>45973.0</v>
      </c>
      <c r="AI1576" s="76"/>
      <c r="AJ1576" s="67"/>
      <c r="AK1576" s="70"/>
      <c r="AL1576" s="70"/>
      <c r="AM1576" s="70"/>
      <c r="AN1576" s="135"/>
      <c r="AO1576" s="135"/>
      <c r="AP1576" s="70"/>
      <c r="AQ1576" s="70"/>
      <c r="AR1576" s="67"/>
      <c r="AS1576" s="67"/>
      <c r="AT1576" s="67"/>
    </row>
    <row r="1577">
      <c r="A1577" s="76" t="s">
        <v>116</v>
      </c>
      <c r="B1577" s="77" t="s">
        <v>6229</v>
      </c>
      <c r="C1577" s="77" t="s">
        <v>121</v>
      </c>
      <c r="D1577" s="77" t="s">
        <v>121</v>
      </c>
      <c r="E1577" s="78" t="s">
        <v>178</v>
      </c>
      <c r="F1577" s="80" t="s">
        <v>9966</v>
      </c>
      <c r="G1577" s="77" t="s">
        <v>2441</v>
      </c>
      <c r="H1577" s="77" t="s">
        <v>102</v>
      </c>
      <c r="I1577" s="146" t="s">
        <v>408</v>
      </c>
      <c r="J1577" s="109" t="s">
        <v>114</v>
      </c>
      <c r="K1577" s="87"/>
      <c r="L1577" s="85"/>
      <c r="M1577" s="85" t="s">
        <v>102</v>
      </c>
      <c r="N1577" s="86" t="s">
        <v>2439</v>
      </c>
      <c r="O1577" s="87" t="s">
        <v>1406</v>
      </c>
      <c r="P1577" s="1089">
        <v>31413.0</v>
      </c>
      <c r="Q1577" s="315">
        <f t="shared" si="228"/>
        <v>31413</v>
      </c>
      <c r="R1577" s="86">
        <f t="shared" si="229"/>
        <v>40</v>
      </c>
      <c r="S1577" s="315">
        <v>3.14122083E9</v>
      </c>
      <c r="T1577" s="315"/>
      <c r="U1577" s="124" t="s">
        <v>379</v>
      </c>
      <c r="V1577" s="86"/>
      <c r="W1577" s="86"/>
      <c r="X1577" s="97"/>
      <c r="Y1577" s="97"/>
      <c r="Z1577" s="97"/>
      <c r="AA1577" s="97"/>
      <c r="AB1577" s="97"/>
      <c r="AC1577" s="76" t="s">
        <v>3364</v>
      </c>
      <c r="AD1577" s="76" t="s">
        <v>12751</v>
      </c>
      <c r="AE1577" s="76"/>
      <c r="AF1577" s="76"/>
      <c r="AG1577" s="76"/>
      <c r="AH1577" s="153"/>
      <c r="AI1577" s="76"/>
      <c r="AJ1577" s="67"/>
      <c r="AK1577" s="70"/>
      <c r="AL1577" s="70"/>
      <c r="AM1577" s="70"/>
      <c r="AN1577" s="135"/>
      <c r="AO1577" s="135"/>
      <c r="AP1577" s="70"/>
      <c r="AQ1577" s="70"/>
      <c r="AR1577" s="67"/>
      <c r="AS1577" s="67"/>
      <c r="AT1577" s="67"/>
    </row>
    <row r="1578">
      <c r="A1578" s="76" t="s">
        <v>116</v>
      </c>
      <c r="B1578" s="77" t="s">
        <v>6229</v>
      </c>
      <c r="C1578" s="77" t="s">
        <v>121</v>
      </c>
      <c r="D1578" s="77" t="s">
        <v>121</v>
      </c>
      <c r="E1578" s="78" t="s">
        <v>1536</v>
      </c>
      <c r="F1578" s="80" t="s">
        <v>6230</v>
      </c>
      <c r="G1578" s="77" t="s">
        <v>2158</v>
      </c>
      <c r="H1578" s="77" t="s">
        <v>60</v>
      </c>
      <c r="I1578" s="87" t="s">
        <v>1221</v>
      </c>
      <c r="J1578" s="76" t="s">
        <v>114</v>
      </c>
      <c r="K1578" s="176" t="s">
        <v>12762</v>
      </c>
      <c r="L1578" s="85"/>
      <c r="M1578" s="85" t="s">
        <v>60</v>
      </c>
      <c r="N1578" s="1203" t="s">
        <v>2175</v>
      </c>
      <c r="O1578" s="1243" t="s">
        <v>12763</v>
      </c>
      <c r="P1578" s="825">
        <v>29688.0</v>
      </c>
      <c r="Q1578" s="315">
        <f t="shared" si="228"/>
        <v>29688</v>
      </c>
      <c r="R1578" s="97">
        <f t="shared" si="229"/>
        <v>45</v>
      </c>
      <c r="S1578" s="76">
        <v>2.968713739E9</v>
      </c>
      <c r="T1578" s="315"/>
      <c r="U1578" s="76" t="s">
        <v>379</v>
      </c>
      <c r="V1578" s="76"/>
      <c r="W1578" s="76"/>
      <c r="X1578" s="97"/>
      <c r="Y1578" s="97"/>
      <c r="Z1578" s="176" t="s">
        <v>1460</v>
      </c>
      <c r="AA1578" s="76" t="s">
        <v>1178</v>
      </c>
      <c r="AB1578" s="76" t="s">
        <v>192</v>
      </c>
      <c r="AC1578" s="76" t="s">
        <v>3364</v>
      </c>
      <c r="AD1578" s="99"/>
      <c r="AE1578" s="76"/>
      <c r="AF1578" s="76"/>
      <c r="AG1578" s="76"/>
      <c r="AH1578" s="1203" t="s">
        <v>3364</v>
      </c>
      <c r="AI1578" s="76"/>
      <c r="AJ1578" s="67"/>
      <c r="AK1578" s="70"/>
      <c r="AL1578" s="70"/>
      <c r="AM1578" s="70"/>
      <c r="AN1578" s="135"/>
      <c r="AO1578" s="135"/>
      <c r="AP1578" s="70"/>
      <c r="AQ1578" s="70"/>
      <c r="AR1578" s="67"/>
      <c r="AS1578" s="67"/>
      <c r="AT1578" s="67"/>
    </row>
    <row r="1579">
      <c r="A1579" s="76" t="s">
        <v>116</v>
      </c>
      <c r="B1579" s="77" t="s">
        <v>6229</v>
      </c>
      <c r="C1579" s="77" t="s">
        <v>121</v>
      </c>
      <c r="D1579" s="77" t="s">
        <v>121</v>
      </c>
      <c r="E1579" s="78" t="s">
        <v>1536</v>
      </c>
      <c r="F1579" s="80" t="s">
        <v>6230</v>
      </c>
      <c r="G1579" s="77" t="s">
        <v>2158</v>
      </c>
      <c r="H1579" s="77" t="s">
        <v>60</v>
      </c>
      <c r="I1579" s="87" t="s">
        <v>1221</v>
      </c>
      <c r="J1579" s="189" t="s">
        <v>114</v>
      </c>
      <c r="K1579" s="194"/>
      <c r="L1579" s="189"/>
      <c r="M1579" s="195" t="s">
        <v>60</v>
      </c>
      <c r="N1579" s="189" t="s">
        <v>2409</v>
      </c>
      <c r="O1579" s="195" t="s">
        <v>12764</v>
      </c>
      <c r="P1579" s="315">
        <v>31277.0</v>
      </c>
      <c r="Q1579" s="852">
        <f t="shared" si="228"/>
        <v>31277</v>
      </c>
      <c r="R1579" s="189">
        <f t="shared" si="229"/>
        <v>41</v>
      </c>
      <c r="S1579" s="315">
        <v>3.127608914E9</v>
      </c>
      <c r="T1579" s="1168"/>
      <c r="U1579" s="1226" t="s">
        <v>379</v>
      </c>
      <c r="V1579" s="194"/>
      <c r="W1579" s="194"/>
      <c r="X1579" s="194"/>
      <c r="Y1579" s="189" t="s">
        <v>1174</v>
      </c>
      <c r="Z1579" s="1240" t="s">
        <v>1725</v>
      </c>
      <c r="AA1579" s="194"/>
      <c r="AB1579" s="194"/>
      <c r="AC1579" s="189" t="s">
        <v>3364</v>
      </c>
      <c r="AD1579" s="189" t="s">
        <v>12751</v>
      </c>
      <c r="AE1579" s="189"/>
      <c r="AF1579" s="194"/>
      <c r="AG1579" s="189" t="s">
        <v>12752</v>
      </c>
      <c r="AH1579" s="209">
        <v>45997.0</v>
      </c>
      <c r="AI1579" s="76"/>
      <c r="AJ1579" s="67"/>
      <c r="AK1579" s="70"/>
      <c r="AL1579" s="70"/>
      <c r="AM1579" s="70"/>
      <c r="AN1579" s="135"/>
      <c r="AO1579" s="135"/>
      <c r="AP1579" s="70"/>
      <c r="AQ1579" s="70"/>
      <c r="AR1579" s="67"/>
      <c r="AS1579" s="67"/>
      <c r="AT1579" s="67"/>
    </row>
    <row r="1580">
      <c r="A1580" s="76" t="s">
        <v>116</v>
      </c>
      <c r="B1580" s="77" t="s">
        <v>3454</v>
      </c>
      <c r="C1580" s="77" t="s">
        <v>10262</v>
      </c>
      <c r="D1580" s="77" t="s">
        <v>121</v>
      </c>
      <c r="E1580" s="78" t="s">
        <v>5482</v>
      </c>
      <c r="F1580" s="80" t="s">
        <v>8766</v>
      </c>
      <c r="G1580" s="77" t="s">
        <v>10276</v>
      </c>
      <c r="H1580" s="77" t="s">
        <v>60</v>
      </c>
      <c r="I1580" s="87" t="s">
        <v>1221</v>
      </c>
      <c r="J1580" s="76" t="s">
        <v>114</v>
      </c>
      <c r="K1580" s="124" t="s">
        <v>12765</v>
      </c>
      <c r="L1580" s="76"/>
      <c r="M1580" s="76" t="s">
        <v>60</v>
      </c>
      <c r="N1580" s="1203" t="s">
        <v>12766</v>
      </c>
      <c r="O1580" s="1203" t="s">
        <v>12767</v>
      </c>
      <c r="P1580" s="1135">
        <v>28125.0</v>
      </c>
      <c r="Q1580" s="315">
        <f t="shared" si="228"/>
        <v>28125</v>
      </c>
      <c r="R1580" s="97">
        <f t="shared" si="229"/>
        <v>49</v>
      </c>
      <c r="S1580" s="315">
        <v>2.812401112E9</v>
      </c>
      <c r="T1580" s="315"/>
      <c r="U1580" s="76" t="s">
        <v>379</v>
      </c>
      <c r="V1580" s="76"/>
      <c r="W1580" s="76"/>
      <c r="X1580" s="97"/>
      <c r="Y1580" s="211" t="s">
        <v>2482</v>
      </c>
      <c r="Z1580" s="216" t="s">
        <v>1982</v>
      </c>
      <c r="AA1580" s="97"/>
      <c r="AB1580" s="76" t="s">
        <v>192</v>
      </c>
      <c r="AC1580" s="76" t="s">
        <v>3364</v>
      </c>
      <c r="AD1580" s="99"/>
      <c r="AE1580" s="76"/>
      <c r="AF1580" s="85"/>
      <c r="AG1580" s="76" t="s">
        <v>12768</v>
      </c>
      <c r="AH1580" s="1203" t="s">
        <v>12769</v>
      </c>
      <c r="AI1580" s="76"/>
      <c r="AJ1580" s="67"/>
      <c r="AK1580" s="70"/>
      <c r="AL1580" s="70"/>
      <c r="AM1580" s="70"/>
      <c r="AN1580" s="135"/>
      <c r="AO1580" s="135"/>
      <c r="AP1580" s="70"/>
      <c r="AQ1580" s="70"/>
      <c r="AR1580" s="67"/>
      <c r="AS1580" s="67"/>
      <c r="AT1580" s="67"/>
    </row>
    <row r="1581">
      <c r="A1581" s="1244"/>
      <c r="B1581" s="1245"/>
      <c r="C1581" s="1245"/>
      <c r="D1581" s="1245"/>
      <c r="E1581" s="1246"/>
      <c r="F1581" s="1247"/>
      <c r="G1581" s="1245"/>
      <c r="H1581" s="1245"/>
      <c r="I1581" s="1248"/>
      <c r="J1581" s="1249"/>
      <c r="K1581" s="1244"/>
      <c r="L1581" s="1250"/>
      <c r="M1581" s="1249"/>
      <c r="N1581" s="1251"/>
      <c r="O1581" s="1244"/>
      <c r="P1581" s="1252"/>
      <c r="Q1581" s="1253"/>
      <c r="R1581" s="1073"/>
      <c r="S1581" s="1244"/>
      <c r="T1581" s="1253"/>
      <c r="U1581" s="1244"/>
      <c r="V1581" s="1244"/>
      <c r="W1581" s="1244"/>
      <c r="X1581" s="1244"/>
      <c r="Y1581" s="1254"/>
      <c r="Z1581" s="1249"/>
      <c r="AA1581" s="1244"/>
      <c r="AB1581" s="1254"/>
      <c r="AC1581" s="1244"/>
      <c r="AD1581" s="1244"/>
      <c r="AE1581" s="1244"/>
      <c r="AF1581" s="1244"/>
      <c r="AG1581" s="1255"/>
      <c r="AH1581" s="1244"/>
      <c r="AI1581" s="1073"/>
      <c r="AJ1581" s="1073"/>
      <c r="AK1581" s="1256"/>
      <c r="AL1581" s="1256"/>
      <c r="AM1581" s="1257"/>
      <c r="AN1581" s="1257"/>
      <c r="AO1581" s="1256"/>
      <c r="AP1581" s="1256"/>
      <c r="AQ1581" s="1073"/>
      <c r="AR1581" s="1073"/>
      <c r="AS1581" s="1073"/>
      <c r="AT1581" s="1073"/>
    </row>
    <row r="1582" ht="23.25" customHeight="1">
      <c r="A1582" s="76" t="s">
        <v>116</v>
      </c>
      <c r="B1582" s="77" t="s">
        <v>1039</v>
      </c>
      <c r="C1582" s="77" t="s">
        <v>1269</v>
      </c>
      <c r="D1582" s="77" t="s">
        <v>1368</v>
      </c>
      <c r="E1582" s="78" t="s">
        <v>187</v>
      </c>
      <c r="F1582" s="80" t="s">
        <v>1469</v>
      </c>
      <c r="G1582" s="77" t="s">
        <v>313</v>
      </c>
      <c r="H1582" s="77" t="s">
        <v>60</v>
      </c>
      <c r="I1582" s="87" t="s">
        <v>1221</v>
      </c>
      <c r="J1582" s="175" t="s">
        <v>114</v>
      </c>
      <c r="K1582" s="124" t="s">
        <v>12770</v>
      </c>
      <c r="L1582" s="47"/>
      <c r="M1582" s="85" t="s">
        <v>60</v>
      </c>
      <c r="N1582" s="678" t="s">
        <v>11187</v>
      </c>
      <c r="O1582" s="76" t="s">
        <v>11188</v>
      </c>
      <c r="P1582" s="164">
        <v>34287.0</v>
      </c>
      <c r="Q1582" s="121">
        <v>1993.0</v>
      </c>
      <c r="R1582" s="122">
        <v>32.0</v>
      </c>
      <c r="S1582" s="122">
        <v>3.428602395E9</v>
      </c>
      <c r="T1582" s="93"/>
      <c r="U1582" s="76" t="s">
        <v>368</v>
      </c>
      <c r="V1582" s="76"/>
      <c r="W1582" s="76"/>
      <c r="X1582" s="76"/>
      <c r="Y1582" s="276" t="s">
        <v>371</v>
      </c>
      <c r="Z1582" s="85"/>
      <c r="AA1582" s="76"/>
      <c r="AB1582" s="76"/>
      <c r="AC1582" s="76"/>
      <c r="AD1582" s="76"/>
      <c r="AE1582" s="76"/>
      <c r="AF1582" s="76" t="s">
        <v>2841</v>
      </c>
      <c r="AG1582" s="76" t="s">
        <v>1187</v>
      </c>
      <c r="AH1582" s="153">
        <v>46246.0</v>
      </c>
      <c r="AI1582" s="76"/>
      <c r="AJ1582" s="67"/>
      <c r="AK1582" s="67"/>
      <c r="AL1582" s="86" t="s">
        <v>1511</v>
      </c>
      <c r="AM1582" s="70"/>
      <c r="AN1582" s="135"/>
      <c r="AO1582" s="135"/>
      <c r="AP1582" s="70"/>
      <c r="AQ1582" s="70"/>
      <c r="AR1582" s="67"/>
      <c r="AS1582" s="67"/>
      <c r="AT1582" s="67"/>
    </row>
    <row r="1583">
      <c r="A1583" s="76" t="s">
        <v>116</v>
      </c>
      <c r="B1583" s="77" t="s">
        <v>1039</v>
      </c>
      <c r="C1583" s="77" t="s">
        <v>1517</v>
      </c>
      <c r="D1583" s="77" t="s">
        <v>1368</v>
      </c>
      <c r="E1583" s="78" t="s">
        <v>178</v>
      </c>
      <c r="F1583" s="80" t="s">
        <v>1369</v>
      </c>
      <c r="G1583" s="77" t="s">
        <v>2165</v>
      </c>
      <c r="H1583" s="77" t="s">
        <v>102</v>
      </c>
      <c r="I1583" s="146" t="s">
        <v>408</v>
      </c>
      <c r="J1583" s="117" t="s">
        <v>114</v>
      </c>
      <c r="K1583" s="118" t="s">
        <v>12771</v>
      </c>
      <c r="L1583" s="76"/>
      <c r="M1583" s="87" t="s">
        <v>102</v>
      </c>
      <c r="N1583" s="86" t="s">
        <v>2687</v>
      </c>
      <c r="O1583" s="87" t="s">
        <v>2688</v>
      </c>
      <c r="P1583" s="120">
        <v>31740.0</v>
      </c>
      <c r="Q1583" s="121">
        <v>1986.0</v>
      </c>
      <c r="R1583" s="122">
        <v>39.0</v>
      </c>
      <c r="S1583" s="122">
        <v>3.173917535E9</v>
      </c>
      <c r="T1583" s="93" t="s">
        <v>1479</v>
      </c>
      <c r="U1583" s="124" t="s">
        <v>344</v>
      </c>
      <c r="V1583" s="76"/>
      <c r="W1583" s="86"/>
      <c r="X1583" s="97"/>
      <c r="Y1583" s="86"/>
      <c r="Z1583" s="86"/>
      <c r="AA1583" s="86"/>
      <c r="AB1583" s="97"/>
      <c r="AC1583" s="86"/>
      <c r="AD1583" s="99"/>
      <c r="AE1583" s="76"/>
      <c r="AF1583" s="76" t="s">
        <v>4767</v>
      </c>
      <c r="AG1583" s="76"/>
      <c r="AH1583" s="76"/>
      <c r="AI1583" s="76"/>
      <c r="AJ1583" s="67"/>
      <c r="AK1583" s="70"/>
      <c r="AL1583" s="70"/>
      <c r="AM1583" s="70"/>
      <c r="AN1583" s="135"/>
      <c r="AO1583" s="135"/>
      <c r="AP1583" s="70"/>
      <c r="AQ1583" s="70"/>
      <c r="AR1583" s="67"/>
      <c r="AS1583" s="67"/>
      <c r="AT1583" s="67"/>
    </row>
    <row r="1584">
      <c r="A1584" s="76" t="s">
        <v>116</v>
      </c>
      <c r="B1584" s="77" t="s">
        <v>1039</v>
      </c>
      <c r="C1584" s="77" t="s">
        <v>1611</v>
      </c>
      <c r="D1584" s="77" t="s">
        <v>1519</v>
      </c>
      <c r="E1584" s="78" t="s">
        <v>321</v>
      </c>
      <c r="F1584" s="80" t="s">
        <v>1552</v>
      </c>
      <c r="G1584" s="77" t="s">
        <v>2474</v>
      </c>
      <c r="H1584" s="77" t="s">
        <v>60</v>
      </c>
      <c r="I1584" s="87" t="s">
        <v>1221</v>
      </c>
      <c r="J1584" s="175" t="s">
        <v>114</v>
      </c>
      <c r="K1584" s="76"/>
      <c r="L1584" s="47">
        <v>10.0</v>
      </c>
      <c r="M1584" s="85" t="s">
        <v>60</v>
      </c>
      <c r="N1584" s="286" t="s">
        <v>12772</v>
      </c>
      <c r="O1584" s="761" t="s">
        <v>3453</v>
      </c>
      <c r="P1584" s="164">
        <v>33650.0</v>
      </c>
      <c r="Q1584" s="121">
        <v>1992.0</v>
      </c>
      <c r="R1584" s="122">
        <v>34.0</v>
      </c>
      <c r="S1584" s="122">
        <v>3.364906215E9</v>
      </c>
      <c r="T1584" s="93"/>
      <c r="U1584" s="76" t="s">
        <v>136</v>
      </c>
      <c r="V1584" s="76"/>
      <c r="W1584" s="76"/>
      <c r="X1584" s="76"/>
      <c r="Y1584" s="97"/>
      <c r="Z1584" s="216" t="s">
        <v>1815</v>
      </c>
      <c r="AA1584" s="76" t="s">
        <v>1178</v>
      </c>
      <c r="AB1584" s="97"/>
      <c r="AC1584" s="76"/>
      <c r="AD1584" s="76"/>
      <c r="AE1584" s="76"/>
      <c r="AF1584" s="76" t="s">
        <v>12773</v>
      </c>
      <c r="AG1584" s="189"/>
      <c r="AH1584" s="76" t="s">
        <v>12774</v>
      </c>
      <c r="AI1584" s="76"/>
      <c r="AJ1584" s="67"/>
      <c r="AK1584" s="70"/>
      <c r="AL1584" s="70"/>
      <c r="AM1584" s="70"/>
      <c r="AN1584" s="135"/>
      <c r="AO1584" s="135"/>
      <c r="AP1584" s="70"/>
      <c r="AQ1584" s="70"/>
      <c r="AR1584" s="67"/>
      <c r="AS1584" s="67"/>
      <c r="AT1584" s="67"/>
    </row>
    <row r="1585">
      <c r="A1585" s="76" t="s">
        <v>116</v>
      </c>
      <c r="B1585" s="77" t="s">
        <v>1039</v>
      </c>
      <c r="C1585" s="77" t="s">
        <v>1728</v>
      </c>
      <c r="D1585" s="77" t="s">
        <v>121</v>
      </c>
      <c r="E1585" s="78" t="s">
        <v>287</v>
      </c>
      <c r="F1585" s="80" t="s">
        <v>2853</v>
      </c>
      <c r="G1585" s="77" t="s">
        <v>739</v>
      </c>
      <c r="H1585" s="77" t="s">
        <v>60</v>
      </c>
      <c r="I1585" s="87" t="s">
        <v>1221</v>
      </c>
      <c r="J1585" s="175" t="s">
        <v>114</v>
      </c>
      <c r="K1585" s="176" t="s">
        <v>12775</v>
      </c>
      <c r="L1585" s="47"/>
      <c r="M1585" s="85" t="s">
        <v>326</v>
      </c>
      <c r="N1585" s="678" t="s">
        <v>10929</v>
      </c>
      <c r="O1585" s="295" t="s">
        <v>10930</v>
      </c>
      <c r="P1585" s="164">
        <v>35856.0</v>
      </c>
      <c r="Q1585" s="121">
        <v>1998.0</v>
      </c>
      <c r="R1585" s="122">
        <v>28.0</v>
      </c>
      <c r="S1585" s="122">
        <v>3.329806732E9</v>
      </c>
      <c r="T1585" s="93"/>
      <c r="U1585" s="76" t="s">
        <v>368</v>
      </c>
      <c r="V1585" s="76"/>
      <c r="W1585" s="76"/>
      <c r="X1585" s="76"/>
      <c r="Y1585" s="276"/>
      <c r="Z1585" s="344" t="s">
        <v>2506</v>
      </c>
      <c r="AA1585" s="76" t="s">
        <v>1178</v>
      </c>
      <c r="AB1585" s="97"/>
      <c r="AC1585" s="76"/>
      <c r="AD1585" s="76"/>
      <c r="AE1585" s="76"/>
      <c r="AF1585" s="76" t="s">
        <v>3601</v>
      </c>
      <c r="AG1585" s="76" t="s">
        <v>1187</v>
      </c>
      <c r="AH1585" s="153">
        <v>46247.0</v>
      </c>
      <c r="AI1585" s="76"/>
      <c r="AJ1585" s="67"/>
      <c r="AK1585" s="70"/>
      <c r="AL1585" s="70"/>
      <c r="AM1585" s="70"/>
      <c r="AN1585" s="135"/>
      <c r="AO1585" s="135"/>
      <c r="AP1585" s="70"/>
      <c r="AQ1585" s="70"/>
      <c r="AR1585" s="67"/>
      <c r="AS1585" s="67"/>
      <c r="AT1585" s="67"/>
    </row>
    <row r="1586">
      <c r="A1586" s="76" t="s">
        <v>116</v>
      </c>
      <c r="B1586" s="77" t="s">
        <v>1645</v>
      </c>
      <c r="C1586" s="77" t="s">
        <v>121</v>
      </c>
      <c r="D1586" s="77" t="s">
        <v>121</v>
      </c>
      <c r="E1586" s="78" t="s">
        <v>1195</v>
      </c>
      <c r="F1586" s="80" t="s">
        <v>1196</v>
      </c>
      <c r="G1586" s="77" t="s">
        <v>3459</v>
      </c>
      <c r="H1586" s="77" t="s">
        <v>360</v>
      </c>
      <c r="I1586" s="146" t="s">
        <v>408</v>
      </c>
      <c r="J1586" s="175" t="s">
        <v>114</v>
      </c>
      <c r="K1586" s="176" t="s">
        <v>12776</v>
      </c>
      <c r="L1586" s="47"/>
      <c r="M1586" s="85" t="s">
        <v>102</v>
      </c>
      <c r="N1586" s="287" t="s">
        <v>1945</v>
      </c>
      <c r="O1586" s="76" t="s">
        <v>1946</v>
      </c>
      <c r="P1586" s="164">
        <v>29392.0</v>
      </c>
      <c r="Q1586" s="121">
        <v>1980.0</v>
      </c>
      <c r="R1586" s="122">
        <v>46.0</v>
      </c>
      <c r="S1586" s="122">
        <v>2.939111415E9</v>
      </c>
      <c r="T1586" s="177" t="s">
        <v>1317</v>
      </c>
      <c r="U1586" s="76" t="s">
        <v>136</v>
      </c>
      <c r="V1586" s="76"/>
      <c r="W1586" s="76"/>
      <c r="X1586" s="76"/>
      <c r="Y1586" s="276" t="s">
        <v>2344</v>
      </c>
      <c r="Z1586" s="176" t="s">
        <v>1460</v>
      </c>
      <c r="AA1586" s="76"/>
      <c r="AB1586" s="97"/>
      <c r="AC1586" s="76"/>
      <c r="AD1586" s="235">
        <v>46203.0</v>
      </c>
      <c r="AE1586" s="76"/>
      <c r="AF1586" s="76"/>
      <c r="AG1586" s="76" t="s">
        <v>1187</v>
      </c>
      <c r="AH1586" s="76" t="s">
        <v>12777</v>
      </c>
      <c r="AI1586" s="76"/>
      <c r="AJ1586" s="67"/>
      <c r="AK1586" s="70"/>
      <c r="AL1586" s="70"/>
      <c r="AM1586" s="70"/>
      <c r="AN1586" s="135"/>
      <c r="AO1586" s="135"/>
      <c r="AP1586" s="70"/>
      <c r="AQ1586" s="70"/>
      <c r="AR1586" s="67"/>
      <c r="AS1586" s="67"/>
      <c r="AT1586" s="67"/>
    </row>
    <row r="1587">
      <c r="A1587" s="76" t="s">
        <v>116</v>
      </c>
      <c r="B1587" s="77" t="s">
        <v>1645</v>
      </c>
      <c r="C1587" s="77" t="s">
        <v>1269</v>
      </c>
      <c r="D1587" s="77" t="s">
        <v>1368</v>
      </c>
      <c r="E1587" s="78" t="s">
        <v>321</v>
      </c>
      <c r="F1587" s="80" t="s">
        <v>1552</v>
      </c>
      <c r="G1587" s="77" t="s">
        <v>818</v>
      </c>
      <c r="H1587" s="77" t="s">
        <v>60</v>
      </c>
      <c r="I1587" s="87" t="s">
        <v>1221</v>
      </c>
      <c r="J1587" s="175" t="s">
        <v>114</v>
      </c>
      <c r="K1587" s="360" t="s">
        <v>1602</v>
      </c>
      <c r="L1587" s="76">
        <v>10.0</v>
      </c>
      <c r="M1587" s="195" t="s">
        <v>60</v>
      </c>
      <c r="N1587" s="1239" t="s">
        <v>12778</v>
      </c>
      <c r="O1587" s="189" t="s">
        <v>12779</v>
      </c>
      <c r="P1587" s="164">
        <v>27894.0</v>
      </c>
      <c r="Q1587" s="121">
        <v>1976.0</v>
      </c>
      <c r="R1587" s="122">
        <v>50.0</v>
      </c>
      <c r="S1587" s="122">
        <v>2.789310112E9</v>
      </c>
      <c r="T1587" s="461"/>
      <c r="U1587" s="124" t="s">
        <v>136</v>
      </c>
      <c r="V1587" s="189"/>
      <c r="W1587" s="194"/>
      <c r="X1587" s="194"/>
      <c r="Y1587" s="194"/>
      <c r="Z1587" s="1258" t="s">
        <v>2506</v>
      </c>
      <c r="AA1587" s="194"/>
      <c r="AB1587" s="194"/>
      <c r="AC1587" s="189" t="s">
        <v>1032</v>
      </c>
      <c r="AD1587" s="194"/>
      <c r="AE1587" s="189"/>
      <c r="AF1587" s="189" t="s">
        <v>5238</v>
      </c>
      <c r="AG1587" s="363" t="s">
        <v>12779</v>
      </c>
      <c r="AH1587" s="153">
        <v>46248.0</v>
      </c>
      <c r="AI1587" s="76"/>
      <c r="AJ1587" s="67"/>
      <c r="AK1587" s="70"/>
      <c r="AL1587" s="70"/>
      <c r="AM1587" s="70"/>
      <c r="AN1587" s="135"/>
      <c r="AO1587" s="135"/>
      <c r="AP1587" s="70"/>
      <c r="AQ1587" s="70"/>
      <c r="AR1587" s="67"/>
      <c r="AS1587" s="67"/>
      <c r="AT1587" s="67"/>
    </row>
    <row r="1588">
      <c r="A1588" s="76" t="s">
        <v>116</v>
      </c>
      <c r="B1588" s="77" t="s">
        <v>1645</v>
      </c>
      <c r="C1588" s="77" t="s">
        <v>1269</v>
      </c>
      <c r="D1588" s="77" t="s">
        <v>1494</v>
      </c>
      <c r="E1588" s="78" t="s">
        <v>178</v>
      </c>
      <c r="F1588" s="80" t="s">
        <v>1369</v>
      </c>
      <c r="G1588" s="77" t="s">
        <v>830</v>
      </c>
      <c r="H1588" s="77" t="s">
        <v>102</v>
      </c>
      <c r="I1588" s="146" t="s">
        <v>408</v>
      </c>
      <c r="J1588" s="117" t="s">
        <v>114</v>
      </c>
      <c r="K1588" s="76"/>
      <c r="L1588" s="47" t="s">
        <v>1634</v>
      </c>
      <c r="M1588" s="85" t="s">
        <v>102</v>
      </c>
      <c r="N1588" s="286" t="s">
        <v>12780</v>
      </c>
      <c r="O1588" s="76" t="s">
        <v>12781</v>
      </c>
      <c r="P1588" s="164">
        <v>28710.0</v>
      </c>
      <c r="Q1588" s="121">
        <v>1978.0</v>
      </c>
      <c r="R1588" s="122">
        <v>48.0</v>
      </c>
      <c r="S1588" s="122">
        <v>2.870922837E9</v>
      </c>
      <c r="T1588" s="177" t="s">
        <v>378</v>
      </c>
      <c r="U1588" s="76" t="s">
        <v>136</v>
      </c>
      <c r="V1588" s="76"/>
      <c r="W1588" s="76"/>
      <c r="X1588" s="76"/>
      <c r="Y1588" s="97"/>
      <c r="Z1588" s="176" t="s">
        <v>1254</v>
      </c>
      <c r="AA1588" s="76"/>
      <c r="AB1588" s="76"/>
      <c r="AC1588" s="76"/>
      <c r="AD1588" s="76"/>
      <c r="AE1588" s="76"/>
      <c r="AF1588" s="76" t="s">
        <v>2586</v>
      </c>
      <c r="AG1588" s="189"/>
      <c r="AH1588" s="76" t="s">
        <v>12782</v>
      </c>
      <c r="AI1588" s="76"/>
      <c r="AJ1588" s="67"/>
      <c r="AK1588" s="70"/>
      <c r="AL1588" s="70"/>
      <c r="AM1588" s="70"/>
      <c r="AN1588" s="135"/>
      <c r="AO1588" s="135"/>
      <c r="AP1588" s="70"/>
      <c r="AQ1588" s="70"/>
      <c r="AR1588" s="67"/>
      <c r="AS1588" s="67"/>
      <c r="AT1588" s="67"/>
    </row>
    <row r="1589">
      <c r="A1589" s="76" t="s">
        <v>116</v>
      </c>
      <c r="B1589" s="77" t="s">
        <v>1709</v>
      </c>
      <c r="C1589" s="77" t="s">
        <v>1517</v>
      </c>
      <c r="D1589" s="77" t="s">
        <v>1368</v>
      </c>
      <c r="E1589" s="78" t="s">
        <v>302</v>
      </c>
      <c r="F1589" s="80" t="s">
        <v>1404</v>
      </c>
      <c r="G1589" s="77" t="s">
        <v>5895</v>
      </c>
      <c r="H1589" s="77" t="s">
        <v>326</v>
      </c>
      <c r="I1589" s="87" t="s">
        <v>1221</v>
      </c>
      <c r="J1589" s="117" t="s">
        <v>114</v>
      </c>
      <c r="K1589" s="124" t="s">
        <v>12783</v>
      </c>
      <c r="L1589" s="47"/>
      <c r="M1589" s="85" t="s">
        <v>326</v>
      </c>
      <c r="N1589" s="286" t="s">
        <v>12784</v>
      </c>
      <c r="O1589" s="76" t="s">
        <v>12785</v>
      </c>
      <c r="P1589" s="164">
        <v>34603.0</v>
      </c>
      <c r="Q1589" s="121">
        <v>1994.0</v>
      </c>
      <c r="R1589" s="122">
        <v>31.0</v>
      </c>
      <c r="S1589" s="122">
        <v>3.460206433E9</v>
      </c>
      <c r="T1589" s="177" t="s">
        <v>1548</v>
      </c>
      <c r="U1589" s="76" t="s">
        <v>136</v>
      </c>
      <c r="V1589" s="76"/>
      <c r="W1589" s="76"/>
      <c r="X1589" s="76"/>
      <c r="Y1589" s="97"/>
      <c r="Z1589" s="216" t="s">
        <v>1173</v>
      </c>
      <c r="AA1589" s="76" t="s">
        <v>1178</v>
      </c>
      <c r="AB1589" s="76"/>
      <c r="AC1589" s="76" t="s">
        <v>1566</v>
      </c>
      <c r="AD1589" s="76"/>
      <c r="AE1589" s="76"/>
      <c r="AF1589" s="76" t="s">
        <v>10054</v>
      </c>
      <c r="AG1589" s="76" t="s">
        <v>3479</v>
      </c>
      <c r="AH1589" s="76" t="s">
        <v>3478</v>
      </c>
      <c r="AI1589" s="76"/>
      <c r="AJ1589" s="67"/>
      <c r="AK1589" s="70"/>
      <c r="AL1589" s="70"/>
      <c r="AM1589" s="70"/>
      <c r="AN1589" s="135"/>
      <c r="AO1589" s="135"/>
      <c r="AP1589" s="70"/>
      <c r="AQ1589" s="70"/>
      <c r="AR1589" s="67"/>
      <c r="AS1589" s="67"/>
      <c r="AT1589" s="67"/>
    </row>
    <row r="1590">
      <c r="A1590" s="76" t="s">
        <v>116</v>
      </c>
      <c r="B1590" s="77" t="s">
        <v>1709</v>
      </c>
      <c r="C1590" s="77" t="s">
        <v>1517</v>
      </c>
      <c r="D1590" s="77" t="s">
        <v>1494</v>
      </c>
      <c r="E1590" s="78" t="s">
        <v>213</v>
      </c>
      <c r="F1590" s="80" t="s">
        <v>1523</v>
      </c>
      <c r="G1590" s="77" t="s">
        <v>6062</v>
      </c>
      <c r="H1590" s="77" t="s">
        <v>60</v>
      </c>
      <c r="I1590" s="87" t="s">
        <v>1221</v>
      </c>
      <c r="J1590" s="175" t="s">
        <v>114</v>
      </c>
      <c r="K1590" s="76"/>
      <c r="L1590" s="281" t="s">
        <v>1634</v>
      </c>
      <c r="M1590" s="85" t="s">
        <v>60</v>
      </c>
      <c r="N1590" s="157" t="s">
        <v>12786</v>
      </c>
      <c r="O1590" s="76" t="s">
        <v>1391</v>
      </c>
      <c r="P1590" s="164">
        <v>34597.0</v>
      </c>
      <c r="Q1590" s="121">
        <v>1994.0</v>
      </c>
      <c r="R1590" s="122">
        <v>31.0</v>
      </c>
      <c r="S1590" s="122">
        <v>3.459616114E9</v>
      </c>
      <c r="T1590" s="177" t="s">
        <v>1317</v>
      </c>
      <c r="U1590" s="76" t="s">
        <v>379</v>
      </c>
      <c r="V1590" s="76"/>
      <c r="W1590" s="76"/>
      <c r="X1590" s="76"/>
      <c r="Y1590" s="76"/>
      <c r="Z1590" s="176" t="s">
        <v>1254</v>
      </c>
      <c r="AA1590" s="97"/>
      <c r="AB1590" s="97"/>
      <c r="AC1590" s="76" t="s">
        <v>2915</v>
      </c>
      <c r="AD1590" s="76"/>
      <c r="AE1590" s="76"/>
      <c r="AF1590" s="76"/>
      <c r="AG1590" s="76"/>
      <c r="AH1590" s="76" t="s">
        <v>12787</v>
      </c>
      <c r="AI1590" s="76"/>
      <c r="AJ1590" s="67"/>
      <c r="AK1590" s="70"/>
      <c r="AL1590" s="70"/>
      <c r="AM1590" s="70"/>
      <c r="AN1590" s="135"/>
      <c r="AO1590" s="135"/>
      <c r="AP1590" s="70"/>
      <c r="AQ1590" s="70"/>
      <c r="AR1590" s="67"/>
      <c r="AS1590" s="67"/>
      <c r="AT1590" s="67"/>
    </row>
    <row r="1591">
      <c r="A1591" s="76" t="s">
        <v>116</v>
      </c>
      <c r="B1591" s="77" t="s">
        <v>1709</v>
      </c>
      <c r="C1591" s="77" t="s">
        <v>1611</v>
      </c>
      <c r="D1591" s="77" t="s">
        <v>1368</v>
      </c>
      <c r="E1591" s="78" t="s">
        <v>139</v>
      </c>
      <c r="F1591" s="80" t="s">
        <v>1520</v>
      </c>
      <c r="G1591" s="77" t="s">
        <v>6348</v>
      </c>
      <c r="H1591" s="77" t="s">
        <v>60</v>
      </c>
      <c r="I1591" s="87" t="s">
        <v>1221</v>
      </c>
      <c r="J1591" s="175" t="s">
        <v>114</v>
      </c>
      <c r="K1591" s="176" t="s">
        <v>12788</v>
      </c>
      <c r="L1591" s="76"/>
      <c r="M1591" s="85" t="s">
        <v>60</v>
      </c>
      <c r="N1591" s="286" t="s">
        <v>8159</v>
      </c>
      <c r="O1591" s="76" t="s">
        <v>891</v>
      </c>
      <c r="P1591" s="164">
        <v>31966.0</v>
      </c>
      <c r="Q1591" s="121">
        <v>1987.0</v>
      </c>
      <c r="R1591" s="122">
        <v>39.0</v>
      </c>
      <c r="S1591" s="122">
        <v>3.196510674E9</v>
      </c>
      <c r="T1591" s="93"/>
      <c r="U1591" s="76" t="s">
        <v>136</v>
      </c>
      <c r="V1591" s="76"/>
      <c r="W1591" s="76"/>
      <c r="X1591" s="76"/>
      <c r="Y1591" s="97" t="s">
        <v>1174</v>
      </c>
      <c r="Z1591" s="344" t="s">
        <v>2506</v>
      </c>
      <c r="AA1591" s="76"/>
      <c r="AB1591" s="97"/>
      <c r="AC1591" s="76" t="s">
        <v>1032</v>
      </c>
      <c r="AD1591" s="76"/>
      <c r="AE1591" s="76" t="s">
        <v>672</v>
      </c>
      <c r="AF1591" s="76" t="s">
        <v>12789</v>
      </c>
      <c r="AG1591" s="76" t="s">
        <v>2194</v>
      </c>
      <c r="AH1591" s="76" t="s">
        <v>12790</v>
      </c>
      <c r="AI1591" s="76"/>
      <c r="AJ1591" s="67"/>
      <c r="AK1591" s="70"/>
      <c r="AL1591" s="70"/>
      <c r="AM1591" s="70"/>
      <c r="AN1591" s="135"/>
      <c r="AO1591" s="135"/>
      <c r="AP1591" s="70"/>
      <c r="AQ1591" s="70"/>
      <c r="AR1591" s="67"/>
      <c r="AS1591" s="67"/>
      <c r="AT1591" s="67"/>
    </row>
    <row r="1592">
      <c r="A1592" s="76" t="s">
        <v>116</v>
      </c>
      <c r="B1592" s="77" t="s">
        <v>1709</v>
      </c>
      <c r="C1592" s="77" t="s">
        <v>1611</v>
      </c>
      <c r="D1592" s="77" t="s">
        <v>1368</v>
      </c>
      <c r="E1592" s="78" t="s">
        <v>58</v>
      </c>
      <c r="F1592" s="80" t="s">
        <v>1496</v>
      </c>
      <c r="G1592" s="77" t="s">
        <v>6425</v>
      </c>
      <c r="H1592" s="77" t="s">
        <v>60</v>
      </c>
      <c r="I1592" s="87" t="s">
        <v>1221</v>
      </c>
      <c r="J1592" s="175" t="s">
        <v>114</v>
      </c>
      <c r="K1592" s="76"/>
      <c r="L1592" s="47"/>
      <c r="M1592" s="87" t="s">
        <v>60</v>
      </c>
      <c r="N1592" s="286" t="s">
        <v>8538</v>
      </c>
      <c r="O1592" s="76" t="s">
        <v>12791</v>
      </c>
      <c r="P1592" s="164">
        <v>32390.0</v>
      </c>
      <c r="Q1592" s="121">
        <v>1988.0</v>
      </c>
      <c r="R1592" s="122">
        <v>37.0</v>
      </c>
      <c r="S1592" s="122">
        <v>3.238916419E9</v>
      </c>
      <c r="T1592" s="93"/>
      <c r="U1592" s="76" t="s">
        <v>136</v>
      </c>
      <c r="V1592" s="76"/>
      <c r="W1592" s="76"/>
      <c r="X1592" s="76"/>
      <c r="Y1592" s="97"/>
      <c r="Z1592" s="216" t="s">
        <v>1815</v>
      </c>
      <c r="AA1592" s="76"/>
      <c r="AB1592" s="97"/>
      <c r="AC1592" s="76"/>
      <c r="AD1592" s="76"/>
      <c r="AE1592" s="76"/>
      <c r="AF1592" s="76" t="s">
        <v>12792</v>
      </c>
      <c r="AG1592" s="189"/>
      <c r="AH1592" s="310" t="s">
        <v>12793</v>
      </c>
      <c r="AI1592" s="76"/>
      <c r="AJ1592" s="67"/>
      <c r="AK1592" s="70"/>
      <c r="AL1592" s="70"/>
      <c r="AM1592" s="70"/>
      <c r="AN1592" s="135"/>
      <c r="AO1592" s="135"/>
      <c r="AP1592" s="70"/>
      <c r="AQ1592" s="70"/>
      <c r="AR1592" s="67"/>
      <c r="AS1592" s="67"/>
      <c r="AT1592" s="67"/>
    </row>
    <row r="1593">
      <c r="A1593" s="76" t="s">
        <v>116</v>
      </c>
      <c r="B1593" s="77" t="s">
        <v>1709</v>
      </c>
      <c r="C1593" s="77" t="s">
        <v>1611</v>
      </c>
      <c r="D1593" s="77" t="s">
        <v>1519</v>
      </c>
      <c r="E1593" s="78" t="s">
        <v>321</v>
      </c>
      <c r="F1593" s="80" t="s">
        <v>1552</v>
      </c>
      <c r="G1593" s="77" t="s">
        <v>6613</v>
      </c>
      <c r="H1593" s="77" t="s">
        <v>60</v>
      </c>
      <c r="I1593" s="87" t="s">
        <v>1221</v>
      </c>
      <c r="J1593" s="175" t="s">
        <v>114</v>
      </c>
      <c r="K1593" s="176" t="s">
        <v>1602</v>
      </c>
      <c r="L1593" s="650">
        <v>10.0</v>
      </c>
      <c r="M1593" s="85" t="s">
        <v>60</v>
      </c>
      <c r="N1593" s="287" t="s">
        <v>11138</v>
      </c>
      <c r="O1593" s="76" t="s">
        <v>2014</v>
      </c>
      <c r="P1593" s="164">
        <v>33088.0</v>
      </c>
      <c r="Q1593" s="121">
        <v>1990.0</v>
      </c>
      <c r="R1593" s="122">
        <v>36.0</v>
      </c>
      <c r="S1593" s="122">
        <v>3.308705774E9</v>
      </c>
      <c r="T1593" s="177"/>
      <c r="U1593" s="76" t="s">
        <v>136</v>
      </c>
      <c r="V1593" s="76"/>
      <c r="W1593" s="76"/>
      <c r="X1593" s="76"/>
      <c r="Y1593" s="97"/>
      <c r="Z1593" s="216" t="s">
        <v>3792</v>
      </c>
      <c r="AA1593" s="76"/>
      <c r="AB1593" s="76"/>
      <c r="AC1593" s="76" t="s">
        <v>3364</v>
      </c>
      <c r="AD1593" s="217">
        <v>46214.0</v>
      </c>
      <c r="AE1593" s="76"/>
      <c r="AF1593" s="76" t="s">
        <v>11165</v>
      </c>
      <c r="AG1593" s="76" t="s">
        <v>1187</v>
      </c>
      <c r="AH1593" s="76" t="s">
        <v>12794</v>
      </c>
      <c r="AI1593" s="76"/>
      <c r="AJ1593" s="67"/>
      <c r="AK1593" s="70"/>
      <c r="AL1593" s="70"/>
      <c r="AM1593" s="70"/>
      <c r="AN1593" s="135"/>
      <c r="AO1593" s="135"/>
      <c r="AP1593" s="70"/>
      <c r="AQ1593" s="70"/>
      <c r="AR1593" s="67"/>
      <c r="AS1593" s="67"/>
      <c r="AT1593" s="355" t="s">
        <v>6617</v>
      </c>
    </row>
    <row r="1594">
      <c r="A1594" s="76" t="s">
        <v>116</v>
      </c>
      <c r="B1594" s="77" t="s">
        <v>3722</v>
      </c>
      <c r="C1594" s="77" t="s">
        <v>6996</v>
      </c>
      <c r="D1594" s="77" t="s">
        <v>7134</v>
      </c>
      <c r="E1594" s="78" t="s">
        <v>152</v>
      </c>
      <c r="F1594" s="80" t="s">
        <v>7116</v>
      </c>
      <c r="G1594" s="77" t="s">
        <v>7181</v>
      </c>
      <c r="H1594" s="77" t="s">
        <v>60</v>
      </c>
      <c r="I1594" s="87" t="s">
        <v>1221</v>
      </c>
      <c r="J1594" s="175" t="s">
        <v>114</v>
      </c>
      <c r="K1594" s="76" t="s">
        <v>12795</v>
      </c>
      <c r="L1594" s="85"/>
      <c r="M1594" s="85" t="s">
        <v>60</v>
      </c>
      <c r="N1594" s="256" t="s">
        <v>11000</v>
      </c>
      <c r="O1594" s="27" t="s">
        <v>1476</v>
      </c>
      <c r="P1594" s="713">
        <v>33257.0</v>
      </c>
      <c r="Q1594" s="121">
        <v>1991.0</v>
      </c>
      <c r="R1594" s="122">
        <v>35.0</v>
      </c>
      <c r="S1594" s="122">
        <v>3.325615399E9</v>
      </c>
      <c r="T1594" s="93"/>
      <c r="U1594" s="76" t="s">
        <v>368</v>
      </c>
      <c r="V1594" s="76"/>
      <c r="W1594" s="76"/>
      <c r="X1594" s="76"/>
      <c r="Y1594" s="276" t="s">
        <v>12473</v>
      </c>
      <c r="Z1594" s="97"/>
      <c r="AA1594" s="76" t="s">
        <v>1178</v>
      </c>
      <c r="AB1594" s="97"/>
      <c r="AC1594" s="76"/>
      <c r="AD1594" s="99"/>
      <c r="AE1594" s="76"/>
      <c r="AF1594" s="76" t="s">
        <v>12796</v>
      </c>
      <c r="AG1594" s="76" t="s">
        <v>1187</v>
      </c>
      <c r="AH1594" s="262">
        <v>46247.0</v>
      </c>
      <c r="AI1594" s="76"/>
      <c r="AJ1594" s="67"/>
      <c r="AK1594" s="70"/>
      <c r="AL1594" s="70"/>
      <c r="AM1594" s="70"/>
      <c r="AN1594" s="135"/>
      <c r="AO1594" s="135"/>
      <c r="AP1594" s="70"/>
      <c r="AQ1594" s="70"/>
      <c r="AR1594" s="67"/>
      <c r="AS1594" s="67"/>
      <c r="AT1594" s="67"/>
    </row>
    <row r="1595">
      <c r="A1595" s="76" t="s">
        <v>116</v>
      </c>
      <c r="B1595" s="77" t="s">
        <v>3722</v>
      </c>
      <c r="C1595" s="77" t="s">
        <v>7267</v>
      </c>
      <c r="D1595" s="77" t="s">
        <v>7050</v>
      </c>
      <c r="E1595" s="78" t="s">
        <v>786</v>
      </c>
      <c r="F1595" s="80" t="s">
        <v>1216</v>
      </c>
      <c r="G1595" s="77" t="s">
        <v>1465</v>
      </c>
      <c r="H1595" s="77" t="s">
        <v>60</v>
      </c>
      <c r="I1595" s="87" t="s">
        <v>1221</v>
      </c>
      <c r="J1595" s="175" t="s">
        <v>114</v>
      </c>
      <c r="K1595" s="47" t="s">
        <v>12797</v>
      </c>
      <c r="L1595" s="275"/>
      <c r="M1595" s="85" t="s">
        <v>60</v>
      </c>
      <c r="N1595" s="286" t="s">
        <v>12798</v>
      </c>
      <c r="O1595" s="76" t="s">
        <v>12799</v>
      </c>
      <c r="P1595" s="164">
        <v>34226.0</v>
      </c>
      <c r="Q1595" s="121">
        <v>1993.0</v>
      </c>
      <c r="R1595" s="122">
        <v>32.0</v>
      </c>
      <c r="S1595" s="122">
        <v>3.422504238E9</v>
      </c>
      <c r="T1595" s="93"/>
      <c r="U1595" s="76" t="s">
        <v>136</v>
      </c>
      <c r="V1595" s="76"/>
      <c r="W1595" s="76"/>
      <c r="X1595" s="76"/>
      <c r="Y1595" s="97"/>
      <c r="Z1595" s="344" t="s">
        <v>2506</v>
      </c>
      <c r="AA1595" s="76" t="s">
        <v>1178</v>
      </c>
      <c r="AB1595" s="97"/>
      <c r="AC1595" s="76" t="s">
        <v>1566</v>
      </c>
      <c r="AD1595" s="76"/>
      <c r="AE1595" s="76"/>
      <c r="AF1595" s="76" t="s">
        <v>10054</v>
      </c>
      <c r="AG1595" s="189"/>
      <c r="AH1595" s="76"/>
      <c r="AI1595" s="76"/>
      <c r="AJ1595" s="67"/>
      <c r="AK1595" s="70"/>
      <c r="AL1595" s="70"/>
      <c r="AM1595" s="70"/>
      <c r="AN1595" s="135"/>
      <c r="AO1595" s="135"/>
      <c r="AP1595" s="70"/>
      <c r="AQ1595" s="70"/>
      <c r="AR1595" s="67"/>
      <c r="AS1595" s="67"/>
      <c r="AT1595" s="67"/>
    </row>
    <row r="1596">
      <c r="A1596" s="76" t="s">
        <v>116</v>
      </c>
      <c r="B1596" s="77" t="s">
        <v>3722</v>
      </c>
      <c r="C1596" s="77" t="s">
        <v>7267</v>
      </c>
      <c r="D1596" s="77" t="s">
        <v>7134</v>
      </c>
      <c r="E1596" s="78" t="s">
        <v>1431</v>
      </c>
      <c r="F1596" s="80" t="s">
        <v>1437</v>
      </c>
      <c r="G1596" s="77" t="s">
        <v>7423</v>
      </c>
      <c r="H1596" s="77" t="s">
        <v>60</v>
      </c>
      <c r="I1596" s="87" t="s">
        <v>1221</v>
      </c>
      <c r="J1596" s="175" t="s">
        <v>114</v>
      </c>
      <c r="K1596" s="124" t="s">
        <v>12800</v>
      </c>
      <c r="L1596" s="76"/>
      <c r="M1596" s="76" t="s">
        <v>60</v>
      </c>
      <c r="N1596" s="287" t="s">
        <v>1990</v>
      </c>
      <c r="O1596" s="303" t="s">
        <v>1991</v>
      </c>
      <c r="P1596" s="164">
        <v>32509.0</v>
      </c>
      <c r="Q1596" s="121">
        <v>1989.0</v>
      </c>
      <c r="R1596" s="122">
        <v>37.0</v>
      </c>
      <c r="S1596" s="122">
        <v>3.250808836E9</v>
      </c>
      <c r="T1596" s="93" t="s">
        <v>1548</v>
      </c>
      <c r="U1596" s="291" t="s">
        <v>136</v>
      </c>
      <c r="V1596" s="76"/>
      <c r="W1596" s="76"/>
      <c r="X1596" s="97"/>
      <c r="Y1596" s="97" t="s">
        <v>1174</v>
      </c>
      <c r="Z1596" s="728" t="s">
        <v>2482</v>
      </c>
      <c r="AA1596" s="76"/>
      <c r="AB1596" s="97"/>
      <c r="AC1596" s="97"/>
      <c r="AD1596" s="99"/>
      <c r="AE1596" s="76"/>
      <c r="AF1596" s="76" t="s">
        <v>12801</v>
      </c>
      <c r="AG1596" s="76"/>
      <c r="AH1596" s="76" t="s">
        <v>12802</v>
      </c>
      <c r="AI1596" s="76"/>
      <c r="AJ1596" s="67"/>
      <c r="AK1596" s="70"/>
      <c r="AL1596" s="70"/>
      <c r="AM1596" s="70"/>
      <c r="AN1596" s="135"/>
      <c r="AO1596" s="135"/>
      <c r="AP1596" s="70"/>
      <c r="AQ1596" s="70"/>
      <c r="AR1596" s="67"/>
      <c r="AS1596" s="67"/>
      <c r="AT1596" s="67"/>
    </row>
    <row r="1597">
      <c r="A1597" s="76" t="s">
        <v>116</v>
      </c>
      <c r="B1597" s="77" t="s">
        <v>3014</v>
      </c>
      <c r="C1597" s="77" t="s">
        <v>121</v>
      </c>
      <c r="D1597" s="77" t="s">
        <v>121</v>
      </c>
      <c r="E1597" s="78" t="s">
        <v>212</v>
      </c>
      <c r="F1597" s="80" t="s">
        <v>2203</v>
      </c>
      <c r="G1597" s="77" t="s">
        <v>8773</v>
      </c>
      <c r="H1597" s="77" t="s">
        <v>326</v>
      </c>
      <c r="I1597" s="87" t="s">
        <v>1221</v>
      </c>
      <c r="J1597" s="175" t="s">
        <v>114</v>
      </c>
      <c r="K1597" s="76"/>
      <c r="L1597" s="47"/>
      <c r="M1597" s="85" t="s">
        <v>326</v>
      </c>
      <c r="N1597" s="286" t="s">
        <v>12803</v>
      </c>
      <c r="O1597" s="76" t="s">
        <v>12804</v>
      </c>
      <c r="P1597" s="164">
        <v>36181.0</v>
      </c>
      <c r="Q1597" s="121">
        <v>1999.0</v>
      </c>
      <c r="R1597" s="122">
        <v>27.0</v>
      </c>
      <c r="S1597" s="122">
        <v>3.618011076E9</v>
      </c>
      <c r="T1597" s="93"/>
      <c r="U1597" s="76" t="s">
        <v>136</v>
      </c>
      <c r="V1597" s="76"/>
      <c r="W1597" s="76"/>
      <c r="X1597" s="76" t="s">
        <v>186</v>
      </c>
      <c r="Y1597" s="211" t="s">
        <v>1892</v>
      </c>
      <c r="AA1597" s="76" t="s">
        <v>1178</v>
      </c>
      <c r="AB1597" s="76"/>
      <c r="AC1597" s="86" t="s">
        <v>1566</v>
      </c>
      <c r="AD1597" s="76"/>
      <c r="AE1597" s="76"/>
      <c r="AF1597" s="76" t="s">
        <v>2841</v>
      </c>
      <c r="AG1597" s="76"/>
      <c r="AH1597" s="76" t="s">
        <v>12805</v>
      </c>
      <c r="AI1597" s="76"/>
      <c r="AJ1597" s="67"/>
      <c r="AK1597" s="70"/>
      <c r="AL1597" s="70"/>
      <c r="AM1597" s="70"/>
      <c r="AN1597" s="135"/>
      <c r="AO1597" s="135"/>
      <c r="AP1597" s="70"/>
      <c r="AQ1597" s="70"/>
      <c r="AR1597" s="67"/>
      <c r="AS1597" s="67"/>
      <c r="AT1597" s="67"/>
    </row>
    <row r="1598">
      <c r="A1598" s="76" t="s">
        <v>116</v>
      </c>
      <c r="B1598" s="77" t="s">
        <v>3297</v>
      </c>
      <c r="C1598" s="77" t="s">
        <v>8546</v>
      </c>
      <c r="D1598" s="77" t="s">
        <v>121</v>
      </c>
      <c r="E1598" s="78" t="s">
        <v>201</v>
      </c>
      <c r="F1598" s="80" t="s">
        <v>1849</v>
      </c>
      <c r="G1598" s="77" t="s">
        <v>9291</v>
      </c>
      <c r="H1598" s="77" t="s">
        <v>60</v>
      </c>
      <c r="I1598" s="87" t="s">
        <v>1221</v>
      </c>
      <c r="J1598" s="175" t="s">
        <v>114</v>
      </c>
      <c r="K1598" s="87"/>
      <c r="L1598" s="87"/>
      <c r="M1598" s="85" t="s">
        <v>610</v>
      </c>
      <c r="N1598" s="287" t="s">
        <v>12806</v>
      </c>
      <c r="O1598" s="85" t="s">
        <v>12807</v>
      </c>
      <c r="P1598" s="164">
        <v>30471.0</v>
      </c>
      <c r="Q1598" s="121">
        <v>1983.0</v>
      </c>
      <c r="R1598" s="122">
        <v>43.0</v>
      </c>
      <c r="S1598" s="122">
        <v>3.047000216E9</v>
      </c>
      <c r="T1598" s="165"/>
      <c r="U1598" s="76" t="s">
        <v>136</v>
      </c>
      <c r="V1598" s="76"/>
      <c r="W1598" s="76"/>
      <c r="X1598" s="76" t="s">
        <v>186</v>
      </c>
      <c r="Y1598" s="97"/>
      <c r="Z1598" s="501" t="s">
        <v>418</v>
      </c>
      <c r="AA1598" s="76"/>
      <c r="AB1598" s="97"/>
      <c r="AC1598" s="97"/>
      <c r="AD1598" s="99"/>
      <c r="AE1598" s="76" t="s">
        <v>154</v>
      </c>
      <c r="AF1598" s="478" t="s">
        <v>3795</v>
      </c>
      <c r="AG1598" s="97"/>
      <c r="AH1598" s="76" t="s">
        <v>10767</v>
      </c>
      <c r="AI1598" s="76"/>
      <c r="AJ1598" s="67"/>
      <c r="AK1598" s="70"/>
      <c r="AL1598" s="70"/>
      <c r="AM1598" s="70"/>
      <c r="AN1598" s="135"/>
      <c r="AO1598" s="135"/>
      <c r="AP1598" s="70"/>
      <c r="AQ1598" s="70"/>
      <c r="AR1598" s="67"/>
      <c r="AS1598" s="67"/>
      <c r="AT1598" s="67"/>
    </row>
    <row r="1599">
      <c r="A1599" s="76" t="s">
        <v>116</v>
      </c>
      <c r="B1599" s="77" t="s">
        <v>3307</v>
      </c>
      <c r="C1599" s="77" t="s">
        <v>121</v>
      </c>
      <c r="D1599" s="77" t="s">
        <v>121</v>
      </c>
      <c r="E1599" s="78" t="s">
        <v>139</v>
      </c>
      <c r="F1599" s="80" t="s">
        <v>1520</v>
      </c>
      <c r="G1599" s="77" t="s">
        <v>2096</v>
      </c>
      <c r="H1599" s="77" t="s">
        <v>60</v>
      </c>
      <c r="I1599" s="87" t="s">
        <v>1221</v>
      </c>
      <c r="J1599" s="175" t="s">
        <v>114</v>
      </c>
      <c r="K1599" s="76"/>
      <c r="L1599" s="281" t="s">
        <v>1634</v>
      </c>
      <c r="M1599" s="85" t="s">
        <v>60</v>
      </c>
      <c r="N1599" s="157" t="s">
        <v>12808</v>
      </c>
      <c r="O1599" s="76" t="s">
        <v>12809</v>
      </c>
      <c r="P1599" s="164">
        <v>38057.0</v>
      </c>
      <c r="Q1599" s="121">
        <v>2004.0</v>
      </c>
      <c r="R1599" s="122">
        <v>22.0</v>
      </c>
      <c r="S1599" s="122">
        <v>3.805606755E9</v>
      </c>
      <c r="T1599" s="177" t="s">
        <v>1317</v>
      </c>
      <c r="U1599" s="76" t="s">
        <v>379</v>
      </c>
      <c r="V1599" s="76"/>
      <c r="W1599" s="76"/>
      <c r="X1599" s="76"/>
      <c r="Y1599" s="76" t="s">
        <v>12810</v>
      </c>
      <c r="Z1599" s="176" t="s">
        <v>1254</v>
      </c>
      <c r="AA1599" s="76" t="s">
        <v>1178</v>
      </c>
      <c r="AB1599" s="76"/>
      <c r="AC1599" s="76" t="s">
        <v>2915</v>
      </c>
      <c r="AD1599" s="76"/>
      <c r="AE1599" s="76"/>
      <c r="AF1599" s="76" t="s">
        <v>12811</v>
      </c>
      <c r="AG1599" s="76"/>
      <c r="AH1599" s="76" t="s">
        <v>12812</v>
      </c>
      <c r="AI1599" s="76"/>
      <c r="AJ1599" s="67"/>
      <c r="AK1599" s="70"/>
      <c r="AL1599" s="70"/>
      <c r="AM1599" s="70"/>
      <c r="AN1599" s="135"/>
      <c r="AO1599" s="135"/>
      <c r="AP1599" s="70"/>
      <c r="AQ1599" s="70"/>
      <c r="AR1599" s="67"/>
      <c r="AS1599" s="67"/>
      <c r="AT1599" s="67"/>
    </row>
    <row r="1600">
      <c r="A1600" s="76" t="s">
        <v>116</v>
      </c>
      <c r="B1600" s="77" t="s">
        <v>3307</v>
      </c>
      <c r="C1600" s="77" t="s">
        <v>121</v>
      </c>
      <c r="D1600" s="77" t="s">
        <v>121</v>
      </c>
      <c r="E1600" s="78" t="s">
        <v>139</v>
      </c>
      <c r="F1600" s="80" t="s">
        <v>1520</v>
      </c>
      <c r="G1600" s="77" t="s">
        <v>2096</v>
      </c>
      <c r="H1600" s="77" t="s">
        <v>60</v>
      </c>
      <c r="I1600" s="87" t="s">
        <v>1221</v>
      </c>
      <c r="J1600" s="175" t="s">
        <v>114</v>
      </c>
      <c r="K1600" s="176" t="s">
        <v>12813</v>
      </c>
      <c r="L1600" s="47"/>
      <c r="M1600" s="85" t="s">
        <v>60</v>
      </c>
      <c r="N1600" s="287" t="s">
        <v>9025</v>
      </c>
      <c r="O1600" s="34" t="s">
        <v>5094</v>
      </c>
      <c r="P1600" s="164">
        <v>34809.0</v>
      </c>
      <c r="Q1600" s="121">
        <v>1995.0</v>
      </c>
      <c r="R1600" s="122">
        <v>31.0</v>
      </c>
      <c r="S1600" s="122">
        <v>3.480817572E9</v>
      </c>
      <c r="T1600" s="93" t="s">
        <v>1426</v>
      </c>
      <c r="U1600" s="76" t="s">
        <v>136</v>
      </c>
      <c r="V1600" s="76"/>
      <c r="W1600" s="76"/>
      <c r="X1600" s="97" t="s">
        <v>186</v>
      </c>
      <c r="Y1600" s="211" t="s">
        <v>2482</v>
      </c>
      <c r="Z1600" s="85" t="s">
        <v>1789</v>
      </c>
      <c r="AA1600" s="76"/>
      <c r="AB1600" s="97"/>
      <c r="AC1600" s="97"/>
      <c r="AD1600" s="99"/>
      <c r="AE1600" s="76"/>
      <c r="AF1600" s="76" t="s">
        <v>155</v>
      </c>
      <c r="AG1600" s="76" t="s">
        <v>9863</v>
      </c>
      <c r="AH1600" s="76" t="s">
        <v>12814</v>
      </c>
      <c r="AI1600" s="76"/>
      <c r="AJ1600" s="67"/>
      <c r="AK1600" s="70"/>
      <c r="AL1600" s="70"/>
      <c r="AM1600" s="70"/>
      <c r="AN1600" s="135"/>
      <c r="AO1600" s="135"/>
      <c r="AP1600" s="70"/>
      <c r="AQ1600" s="70"/>
      <c r="AR1600" s="67"/>
      <c r="AS1600" s="67"/>
      <c r="AT1600" s="67"/>
    </row>
    <row r="1601">
      <c r="A1601" s="76" t="s">
        <v>116</v>
      </c>
      <c r="B1601" s="77" t="s">
        <v>3307</v>
      </c>
      <c r="C1601" s="77" t="s">
        <v>121</v>
      </c>
      <c r="D1601" s="77" t="s">
        <v>121</v>
      </c>
      <c r="E1601" s="78" t="s">
        <v>331</v>
      </c>
      <c r="F1601" s="80" t="s">
        <v>1731</v>
      </c>
      <c r="G1601" s="77" t="s">
        <v>9856</v>
      </c>
      <c r="H1601" s="77" t="s">
        <v>60</v>
      </c>
      <c r="I1601" s="87" t="s">
        <v>1221</v>
      </c>
      <c r="J1601" s="1259" t="s">
        <v>114</v>
      </c>
      <c r="K1601" s="784"/>
      <c r="L1601" s="475"/>
      <c r="M1601" s="158" t="s">
        <v>60</v>
      </c>
      <c r="N1601" s="158" t="s">
        <v>12815</v>
      </c>
      <c r="O1601" s="76" t="s">
        <v>12816</v>
      </c>
      <c r="P1601" s="120">
        <v>27987.0</v>
      </c>
      <c r="Q1601" s="121">
        <v>1976.0</v>
      </c>
      <c r="R1601" s="122">
        <v>50.0</v>
      </c>
      <c r="S1601" s="122">
        <v>2.798617712E9</v>
      </c>
      <c r="T1601" s="93"/>
      <c r="U1601" s="291" t="s">
        <v>393</v>
      </c>
      <c r="V1601" s="226"/>
      <c r="W1601" s="226"/>
      <c r="X1601" s="226"/>
      <c r="Y1601" s="226"/>
      <c r="Z1601" s="226"/>
      <c r="AA1601" s="226"/>
      <c r="AB1601" s="76" t="s">
        <v>192</v>
      </c>
      <c r="AC1601" s="160" t="s">
        <v>630</v>
      </c>
      <c r="AD1601" s="76" t="s">
        <v>632</v>
      </c>
      <c r="AE1601" s="76" t="s">
        <v>154</v>
      </c>
      <c r="AF1601" s="160" t="s">
        <v>630</v>
      </c>
      <c r="AG1601" s="112"/>
      <c r="AH1601" s="76"/>
      <c r="AI1601" s="76"/>
      <c r="AJ1601" s="67"/>
      <c r="AK1601" s="70"/>
      <c r="AL1601" s="70"/>
      <c r="AM1601" s="70"/>
      <c r="AN1601" s="135"/>
      <c r="AO1601" s="135"/>
      <c r="AP1601" s="70"/>
      <c r="AQ1601" s="70"/>
      <c r="AR1601" s="67"/>
      <c r="AS1601" s="67"/>
      <c r="AT1601" s="67"/>
    </row>
    <row r="1602">
      <c r="A1602" s="76" t="s">
        <v>116</v>
      </c>
      <c r="B1602" s="77" t="s">
        <v>1645</v>
      </c>
      <c r="C1602" s="77" t="s">
        <v>1517</v>
      </c>
      <c r="D1602" s="77" t="s">
        <v>1494</v>
      </c>
      <c r="E1602" s="78" t="s">
        <v>321</v>
      </c>
      <c r="F1602" s="80" t="s">
        <v>1552</v>
      </c>
      <c r="G1602" s="77" t="s">
        <v>931</v>
      </c>
      <c r="H1602" s="77" t="s">
        <v>60</v>
      </c>
      <c r="I1602" s="87" t="s">
        <v>1221</v>
      </c>
      <c r="J1602" s="175" t="s">
        <v>114</v>
      </c>
      <c r="K1602" s="76" t="s">
        <v>12817</v>
      </c>
      <c r="L1602" s="47"/>
      <c r="M1602" s="85" t="s">
        <v>60</v>
      </c>
      <c r="N1602" s="678" t="s">
        <v>10663</v>
      </c>
      <c r="O1602" s="76" t="s">
        <v>10664</v>
      </c>
      <c r="P1602" s="164">
        <v>32444.0</v>
      </c>
      <c r="Q1602" s="121">
        <v>1988.0</v>
      </c>
      <c r="R1602" s="122">
        <v>37.0</v>
      </c>
      <c r="S1602" s="122">
        <v>3.244311777E9</v>
      </c>
      <c r="T1602" s="177" t="s">
        <v>1479</v>
      </c>
      <c r="U1602" s="76" t="s">
        <v>368</v>
      </c>
      <c r="V1602" s="76"/>
      <c r="W1602" s="76"/>
      <c r="X1602" s="76"/>
      <c r="Y1602" s="97"/>
      <c r="Z1602" s="344" t="s">
        <v>2506</v>
      </c>
      <c r="AA1602" s="76" t="s">
        <v>1178</v>
      </c>
      <c r="AB1602" s="97"/>
      <c r="AC1602" s="76"/>
      <c r="AD1602" s="76"/>
      <c r="AE1602" s="76"/>
      <c r="AF1602" s="76" t="s">
        <v>5238</v>
      </c>
      <c r="AG1602" s="76" t="s">
        <v>1187</v>
      </c>
      <c r="AH1602" s="153">
        <v>46245.0</v>
      </c>
      <c r="AI1602" s="76"/>
      <c r="AJ1602" s="67"/>
      <c r="AK1602" s="70"/>
      <c r="AL1602" s="70"/>
      <c r="AM1602" s="70"/>
      <c r="AN1602" s="135"/>
      <c r="AO1602" s="135"/>
      <c r="AP1602" s="70"/>
      <c r="AQ1602" s="70"/>
      <c r="AR1602" s="67"/>
      <c r="AS1602" s="67"/>
      <c r="AT1602" s="67"/>
    </row>
    <row r="1603">
      <c r="A1603" s="76" t="s">
        <v>116</v>
      </c>
      <c r="B1603" s="77" t="s">
        <v>1645</v>
      </c>
      <c r="C1603" s="77" t="s">
        <v>1517</v>
      </c>
      <c r="D1603" s="77" t="s">
        <v>1519</v>
      </c>
      <c r="E1603" s="78" t="s">
        <v>302</v>
      </c>
      <c r="F1603" s="80" t="s">
        <v>1404</v>
      </c>
      <c r="G1603" s="77" t="s">
        <v>4403</v>
      </c>
      <c r="H1603" s="77" t="s">
        <v>326</v>
      </c>
      <c r="I1603" s="87" t="s">
        <v>1221</v>
      </c>
      <c r="J1603" s="175" t="s">
        <v>114</v>
      </c>
      <c r="K1603" s="76" t="s">
        <v>12818</v>
      </c>
      <c r="L1603" s="47"/>
      <c r="M1603" s="85" t="s">
        <v>326</v>
      </c>
      <c r="N1603" s="678" t="s">
        <v>11207</v>
      </c>
      <c r="O1603" s="76" t="s">
        <v>11208</v>
      </c>
      <c r="P1603" s="164">
        <v>31239.0</v>
      </c>
      <c r="Q1603" s="121">
        <v>1985.0</v>
      </c>
      <c r="R1603" s="122">
        <v>41.0</v>
      </c>
      <c r="S1603" s="122">
        <v>3.385608973E9</v>
      </c>
      <c r="T1603" s="93"/>
      <c r="U1603" s="76" t="s">
        <v>368</v>
      </c>
      <c r="V1603" s="76"/>
      <c r="W1603" s="76"/>
      <c r="X1603" s="76"/>
      <c r="Y1603" s="97"/>
      <c r="Z1603" s="216" t="s">
        <v>1815</v>
      </c>
      <c r="AA1603" s="76" t="s">
        <v>1178</v>
      </c>
      <c r="AB1603" s="76"/>
      <c r="AC1603" s="76"/>
      <c r="AD1603" s="76"/>
      <c r="AE1603" s="76"/>
      <c r="AF1603" s="76" t="s">
        <v>2841</v>
      </c>
      <c r="AG1603" s="76" t="s">
        <v>1187</v>
      </c>
      <c r="AH1603" s="153">
        <v>46246.0</v>
      </c>
      <c r="AI1603" s="76"/>
      <c r="AJ1603" s="67"/>
      <c r="AK1603" s="70"/>
      <c r="AL1603" s="70"/>
      <c r="AM1603" s="70"/>
      <c r="AN1603" s="135"/>
      <c r="AO1603" s="135"/>
      <c r="AP1603" s="70"/>
      <c r="AQ1603" s="70"/>
      <c r="AR1603" s="67"/>
      <c r="AS1603" s="67"/>
      <c r="AT1603" s="67"/>
    </row>
    <row r="1604">
      <c r="A1604" s="76" t="s">
        <v>116</v>
      </c>
      <c r="B1604" s="77" t="s">
        <v>1709</v>
      </c>
      <c r="C1604" s="77" t="s">
        <v>1269</v>
      </c>
      <c r="D1604" s="77" t="s">
        <v>1368</v>
      </c>
      <c r="E1604" s="78" t="s">
        <v>321</v>
      </c>
      <c r="F1604" s="80" t="s">
        <v>1552</v>
      </c>
      <c r="G1604" s="77" t="s">
        <v>5533</v>
      </c>
      <c r="H1604" s="77" t="s">
        <v>60</v>
      </c>
      <c r="I1604" s="87" t="s">
        <v>1221</v>
      </c>
      <c r="J1604" s="175" t="s">
        <v>114</v>
      </c>
      <c r="K1604" s="76"/>
      <c r="L1604" s="47"/>
      <c r="M1604" s="85" t="s">
        <v>60</v>
      </c>
      <c r="N1604" s="286" t="s">
        <v>12819</v>
      </c>
      <c r="O1604" s="295" t="s">
        <v>12820</v>
      </c>
      <c r="P1604" s="164">
        <v>33786.0</v>
      </c>
      <c r="Q1604" s="121">
        <v>1992.0</v>
      </c>
      <c r="R1604" s="122">
        <v>34.0</v>
      </c>
      <c r="S1604" s="122">
        <v>3.37850461E9</v>
      </c>
      <c r="T1604" s="177" t="s">
        <v>1362</v>
      </c>
      <c r="U1604" s="76" t="s">
        <v>136</v>
      </c>
      <c r="V1604" s="76"/>
      <c r="W1604" s="76"/>
      <c r="X1604" s="76"/>
      <c r="Y1604" s="97"/>
      <c r="Z1604" s="344" t="s">
        <v>2506</v>
      </c>
      <c r="AA1604" s="76" t="s">
        <v>1178</v>
      </c>
      <c r="AB1604" s="97"/>
      <c r="AC1604" s="76" t="s">
        <v>1032</v>
      </c>
      <c r="AD1604" s="76"/>
      <c r="AE1604" s="76"/>
      <c r="AF1604" s="76" t="s">
        <v>5238</v>
      </c>
      <c r="AG1604" s="76" t="s">
        <v>12821</v>
      </c>
      <c r="AH1604" s="153">
        <v>46248.0</v>
      </c>
      <c r="AI1604" s="76"/>
      <c r="AJ1604" s="67"/>
      <c r="AK1604" s="70"/>
      <c r="AL1604" s="70"/>
      <c r="AM1604" s="70"/>
      <c r="AN1604" s="135"/>
      <c r="AO1604" s="135"/>
      <c r="AP1604" s="70"/>
      <c r="AQ1604" s="70"/>
      <c r="AR1604" s="67"/>
      <c r="AS1604" s="67"/>
      <c r="AT1604" s="67"/>
    </row>
    <row r="1605">
      <c r="A1605" s="76" t="s">
        <v>116</v>
      </c>
      <c r="B1605" s="77" t="s">
        <v>1039</v>
      </c>
      <c r="C1605" s="77" t="s">
        <v>121</v>
      </c>
      <c r="D1605" s="77" t="s">
        <v>121</v>
      </c>
      <c r="E1605" s="78" t="s">
        <v>163</v>
      </c>
      <c r="F1605" s="80" t="s">
        <v>1116</v>
      </c>
      <c r="G1605" s="77" t="s">
        <v>1119</v>
      </c>
      <c r="H1605" s="77" t="s">
        <v>403</v>
      </c>
      <c r="I1605" s="146" t="s">
        <v>408</v>
      </c>
      <c r="J1605" s="175" t="s">
        <v>114</v>
      </c>
      <c r="K1605" s="85" t="s">
        <v>12822</v>
      </c>
      <c r="L1605" s="85"/>
      <c r="M1605" s="85" t="s">
        <v>102</v>
      </c>
      <c r="N1605" s="287" t="s">
        <v>12823</v>
      </c>
      <c r="O1605" s="27" t="s">
        <v>12824</v>
      </c>
      <c r="P1605" s="120">
        <v>34460.0</v>
      </c>
      <c r="Q1605" s="121">
        <v>1994.0</v>
      </c>
      <c r="R1605" s="122">
        <v>32.0</v>
      </c>
      <c r="S1605" s="122">
        <v>3.445903159E9</v>
      </c>
      <c r="T1605" s="93"/>
      <c r="U1605" s="76" t="s">
        <v>136</v>
      </c>
      <c r="V1605" s="76"/>
      <c r="W1605" s="76"/>
      <c r="X1605" s="76"/>
      <c r="Y1605" s="97"/>
      <c r="Z1605" s="176" t="s">
        <v>1460</v>
      </c>
      <c r="AA1605" s="76" t="s">
        <v>1178</v>
      </c>
      <c r="AB1605" s="97"/>
      <c r="AC1605" s="76"/>
      <c r="AD1605" s="99"/>
      <c r="AE1605" s="76"/>
      <c r="AF1605" s="76"/>
      <c r="AG1605" s="76"/>
      <c r="AH1605" s="153"/>
      <c r="AI1605" s="76"/>
      <c r="AJ1605" s="67"/>
      <c r="AK1605" s="67"/>
      <c r="AL1605" s="67" t="s">
        <v>1135</v>
      </c>
      <c r="AM1605" s="70"/>
      <c r="AN1605" s="135"/>
      <c r="AO1605" s="97" t="s">
        <v>1136</v>
      </c>
      <c r="AP1605" s="70"/>
      <c r="AQ1605" s="70"/>
      <c r="AR1605" s="67"/>
      <c r="AS1605" s="67"/>
      <c r="AT1605" s="67"/>
    </row>
    <row r="1606">
      <c r="A1606" s="76" t="s">
        <v>116</v>
      </c>
      <c r="B1606" s="77" t="s">
        <v>1039</v>
      </c>
      <c r="C1606" s="77" t="s">
        <v>1611</v>
      </c>
      <c r="D1606" s="77" t="s">
        <v>1494</v>
      </c>
      <c r="E1606" s="78" t="s">
        <v>321</v>
      </c>
      <c r="F1606" s="80" t="s">
        <v>1552</v>
      </c>
      <c r="G1606" s="77" t="s">
        <v>649</v>
      </c>
      <c r="H1606" s="77" t="s">
        <v>60</v>
      </c>
      <c r="I1606" s="87" t="s">
        <v>1221</v>
      </c>
      <c r="J1606" s="175" t="s">
        <v>114</v>
      </c>
      <c r="K1606" s="76"/>
      <c r="L1606" s="47"/>
      <c r="M1606" s="85" t="s">
        <v>60</v>
      </c>
      <c r="N1606" s="1260" t="s">
        <v>12825</v>
      </c>
      <c r="O1606" s="47" t="s">
        <v>435</v>
      </c>
      <c r="P1606" s="164">
        <v>32198.0</v>
      </c>
      <c r="Q1606" s="121">
        <v>1988.0</v>
      </c>
      <c r="R1606" s="122">
        <v>38.0</v>
      </c>
      <c r="S1606" s="137"/>
      <c r="T1606" s="93"/>
      <c r="U1606" s="76" t="s">
        <v>136</v>
      </c>
      <c r="V1606" s="76"/>
      <c r="W1606" s="76"/>
      <c r="X1606" s="76"/>
      <c r="Y1606" s="276"/>
      <c r="Z1606" s="501" t="s">
        <v>418</v>
      </c>
      <c r="AA1606" s="76"/>
      <c r="AB1606" s="76"/>
      <c r="AC1606" s="76"/>
      <c r="AD1606" s="76"/>
      <c r="AE1606" s="76" t="s">
        <v>154</v>
      </c>
      <c r="AF1606" s="76" t="s">
        <v>3062</v>
      </c>
      <c r="AG1606" s="189"/>
      <c r="AH1606" s="76" t="s">
        <v>12826</v>
      </c>
      <c r="AI1606" s="76"/>
      <c r="AJ1606" s="67"/>
      <c r="AK1606" s="70"/>
      <c r="AL1606" s="70"/>
      <c r="AM1606" s="70"/>
      <c r="AN1606" s="135"/>
      <c r="AO1606" s="135"/>
      <c r="AP1606" s="70"/>
      <c r="AQ1606" s="70"/>
      <c r="AR1606" s="67"/>
      <c r="AS1606" s="67"/>
      <c r="AT1606" s="67"/>
    </row>
    <row r="1607">
      <c r="A1607" s="76" t="s">
        <v>116</v>
      </c>
      <c r="B1607" s="77" t="s">
        <v>1645</v>
      </c>
      <c r="C1607" s="77" t="s">
        <v>1269</v>
      </c>
      <c r="D1607" s="77" t="s">
        <v>121</v>
      </c>
      <c r="E1607" s="78" t="s">
        <v>295</v>
      </c>
      <c r="F1607" s="80" t="s">
        <v>1241</v>
      </c>
      <c r="G1607" s="77" t="s">
        <v>3528</v>
      </c>
      <c r="H1607" s="77" t="s">
        <v>60</v>
      </c>
      <c r="I1607" s="87" t="s">
        <v>1221</v>
      </c>
      <c r="J1607" s="175" t="s">
        <v>114</v>
      </c>
      <c r="K1607" s="176" t="s">
        <v>1602</v>
      </c>
      <c r="L1607" s="76"/>
      <c r="M1607" s="85" t="s">
        <v>60</v>
      </c>
      <c r="N1607" s="157" t="s">
        <v>12827</v>
      </c>
      <c r="O1607" s="76" t="s">
        <v>10399</v>
      </c>
      <c r="P1607" s="164">
        <v>29152.0</v>
      </c>
      <c r="Q1607" s="121">
        <v>1979.0</v>
      </c>
      <c r="R1607" s="122">
        <v>46.0</v>
      </c>
      <c r="S1607" s="122">
        <v>2.915103435E9</v>
      </c>
      <c r="T1607" s="177"/>
      <c r="U1607" s="76" t="s">
        <v>379</v>
      </c>
      <c r="V1607" s="76"/>
      <c r="W1607" s="76"/>
      <c r="X1607" s="76" t="s">
        <v>186</v>
      </c>
      <c r="Y1607" s="211" t="s">
        <v>1755</v>
      </c>
      <c r="Z1607" s="501" t="s">
        <v>418</v>
      </c>
      <c r="AA1607" s="76"/>
      <c r="AB1607" s="76" t="s">
        <v>192</v>
      </c>
      <c r="AC1607" s="76"/>
      <c r="AD1607" s="76" t="s">
        <v>2915</v>
      </c>
      <c r="AE1607" s="76"/>
      <c r="AF1607" s="76" t="s">
        <v>12125</v>
      </c>
      <c r="AG1607" s="189"/>
      <c r="AH1607" s="291" t="s">
        <v>12828</v>
      </c>
      <c r="AI1607" s="76"/>
      <c r="AJ1607" s="67"/>
      <c r="AK1607" s="70"/>
      <c r="AL1607" s="70"/>
      <c r="AM1607" s="70"/>
      <c r="AN1607" s="135"/>
      <c r="AO1607" s="135"/>
      <c r="AP1607" s="70"/>
      <c r="AQ1607" s="70"/>
      <c r="AR1607" s="67"/>
      <c r="AS1607" s="67"/>
      <c r="AT1607" s="67"/>
    </row>
    <row r="1608">
      <c r="A1608" s="76" t="s">
        <v>116</v>
      </c>
      <c r="B1608" s="77" t="s">
        <v>1645</v>
      </c>
      <c r="C1608" s="77" t="s">
        <v>1611</v>
      </c>
      <c r="D1608" s="77" t="s">
        <v>1368</v>
      </c>
      <c r="E1608" s="78" t="s">
        <v>321</v>
      </c>
      <c r="F1608" s="80" t="s">
        <v>1552</v>
      </c>
      <c r="G1608" s="77" t="s">
        <v>4704</v>
      </c>
      <c r="H1608" s="77" t="s">
        <v>60</v>
      </c>
      <c r="I1608" s="87" t="s">
        <v>1221</v>
      </c>
      <c r="J1608" s="175" t="s">
        <v>114</v>
      </c>
      <c r="K1608" s="76"/>
      <c r="L1608" s="76"/>
      <c r="M1608" s="85" t="s">
        <v>60</v>
      </c>
      <c r="N1608" s="286" t="s">
        <v>11307</v>
      </c>
      <c r="O1608" s="76" t="s">
        <v>11308</v>
      </c>
      <c r="P1608" s="164">
        <v>32100.0</v>
      </c>
      <c r="Q1608" s="121">
        <v>1987.0</v>
      </c>
      <c r="R1608" s="122">
        <v>38.0</v>
      </c>
      <c r="S1608" s="122">
        <v>3.209911493E9</v>
      </c>
      <c r="T1608" s="93"/>
      <c r="U1608" s="76" t="s">
        <v>136</v>
      </c>
      <c r="V1608" s="76"/>
      <c r="W1608" s="76"/>
      <c r="X1608" s="76"/>
      <c r="Y1608" s="76" t="s">
        <v>12829</v>
      </c>
      <c r="Z1608" s="85" t="s">
        <v>1254</v>
      </c>
      <c r="AA1608" s="76" t="s">
        <v>1178</v>
      </c>
      <c r="AB1608" s="97"/>
      <c r="AC1608" s="76"/>
      <c r="AD1608" s="217">
        <v>46224.0</v>
      </c>
      <c r="AE1608" s="76"/>
      <c r="AF1608" s="76" t="s">
        <v>4062</v>
      </c>
      <c r="AG1608" s="76" t="s">
        <v>1187</v>
      </c>
      <c r="AH1608" s="153">
        <v>46219.0</v>
      </c>
      <c r="AI1608" s="76"/>
      <c r="AJ1608" s="67"/>
      <c r="AK1608" s="70"/>
      <c r="AL1608" s="70"/>
      <c r="AM1608" s="70"/>
      <c r="AN1608" s="135"/>
      <c r="AO1608" s="135"/>
      <c r="AP1608" s="70"/>
      <c r="AQ1608" s="70"/>
      <c r="AR1608" s="67"/>
      <c r="AS1608" s="67"/>
      <c r="AT1608" s="67"/>
    </row>
    <row r="1609">
      <c r="A1609" s="76" t="s">
        <v>116</v>
      </c>
      <c r="B1609" s="77" t="s">
        <v>1709</v>
      </c>
      <c r="C1609" s="77" t="s">
        <v>1269</v>
      </c>
      <c r="D1609" s="77" t="s">
        <v>1368</v>
      </c>
      <c r="E1609" s="78" t="s">
        <v>178</v>
      </c>
      <c r="F1609" s="80" t="s">
        <v>1369</v>
      </c>
      <c r="G1609" s="77" t="s">
        <v>1127</v>
      </c>
      <c r="H1609" s="77" t="s">
        <v>102</v>
      </c>
      <c r="I1609" s="146" t="s">
        <v>408</v>
      </c>
      <c r="J1609" s="84"/>
      <c r="K1609" s="85"/>
      <c r="L1609" s="87"/>
      <c r="M1609" s="211" t="s">
        <v>102</v>
      </c>
      <c r="N1609" s="199" t="s">
        <v>12830</v>
      </c>
      <c r="O1609" s="87" t="s">
        <v>6687</v>
      </c>
      <c r="P1609" s="111"/>
      <c r="Q1609" s="90"/>
      <c r="R1609" s="92"/>
      <c r="S1609" s="111"/>
      <c r="T1609" s="93"/>
      <c r="U1609" s="224" t="s">
        <v>379</v>
      </c>
      <c r="V1609" s="86"/>
      <c r="W1609" s="86"/>
      <c r="X1609" s="97"/>
      <c r="Y1609" s="97"/>
      <c r="Z1609" s="97"/>
      <c r="AA1609" s="97"/>
      <c r="AB1609" s="97"/>
      <c r="AC1609" s="160" t="s">
        <v>630</v>
      </c>
      <c r="AD1609" s="76" t="s">
        <v>632</v>
      </c>
      <c r="AE1609" s="76" t="s">
        <v>154</v>
      </c>
      <c r="AF1609" s="160" t="s">
        <v>630</v>
      </c>
      <c r="AG1609" s="341"/>
      <c r="AH1609" s="76" t="s">
        <v>12831</v>
      </c>
      <c r="AI1609" s="76"/>
      <c r="AJ1609" s="67"/>
      <c r="AK1609" s="70"/>
      <c r="AL1609" s="70"/>
      <c r="AM1609" s="70"/>
      <c r="AN1609" s="135"/>
      <c r="AO1609" s="135"/>
      <c r="AP1609" s="70"/>
      <c r="AQ1609" s="70"/>
      <c r="AR1609" s="67"/>
      <c r="AS1609" s="67"/>
      <c r="AT1609" s="67"/>
    </row>
    <row r="1610">
      <c r="A1610" s="76" t="s">
        <v>116</v>
      </c>
      <c r="B1610" s="77" t="s">
        <v>1433</v>
      </c>
      <c r="C1610" s="77" t="s">
        <v>121</v>
      </c>
      <c r="D1610" s="77" t="s">
        <v>121</v>
      </c>
      <c r="E1610" s="78" t="s">
        <v>1466</v>
      </c>
      <c r="F1610" s="80" t="s">
        <v>8333</v>
      </c>
      <c r="G1610" s="77" t="s">
        <v>1672</v>
      </c>
      <c r="H1610" s="77" t="s">
        <v>326</v>
      </c>
      <c r="I1610" s="87" t="s">
        <v>1221</v>
      </c>
      <c r="J1610" s="117" t="s">
        <v>114</v>
      </c>
      <c r="K1610" s="76" t="s">
        <v>12832</v>
      </c>
      <c r="L1610" s="47"/>
      <c r="M1610" s="85" t="s">
        <v>326</v>
      </c>
      <c r="N1610" s="286" t="s">
        <v>10429</v>
      </c>
      <c r="O1610" s="124" t="s">
        <v>10431</v>
      </c>
      <c r="P1610" s="164">
        <v>36488.0</v>
      </c>
      <c r="Q1610" s="121">
        <v>1999.0</v>
      </c>
      <c r="R1610" s="122">
        <v>26.0</v>
      </c>
      <c r="S1610" s="137"/>
      <c r="T1610" s="93"/>
      <c r="U1610" s="76" t="s">
        <v>136</v>
      </c>
      <c r="V1610" s="76"/>
      <c r="W1610" s="76"/>
      <c r="X1610" s="76"/>
      <c r="Y1610" s="97"/>
      <c r="Z1610" s="216" t="s">
        <v>1173</v>
      </c>
      <c r="AA1610" s="76" t="s">
        <v>1178</v>
      </c>
      <c r="AB1610" s="97"/>
      <c r="AC1610" s="76"/>
      <c r="AD1610" s="217">
        <v>46221.0</v>
      </c>
      <c r="AE1610" s="76"/>
      <c r="AF1610" s="76" t="s">
        <v>3478</v>
      </c>
      <c r="AG1610" s="76" t="s">
        <v>1187</v>
      </c>
      <c r="AH1610" s="76" t="s">
        <v>12833</v>
      </c>
      <c r="AI1610" s="76"/>
      <c r="AJ1610" s="67"/>
      <c r="AK1610" s="70"/>
      <c r="AL1610" s="70"/>
      <c r="AM1610" s="70"/>
      <c r="AN1610" s="135"/>
      <c r="AO1610" s="135"/>
      <c r="AP1610" s="70"/>
      <c r="AQ1610" s="70"/>
      <c r="AR1610" s="67"/>
      <c r="AS1610" s="67"/>
      <c r="AT1610" s="67"/>
    </row>
    <row r="1611">
      <c r="A1611" s="76" t="s">
        <v>116</v>
      </c>
      <c r="B1611" s="77" t="s">
        <v>3014</v>
      </c>
      <c r="C1611" s="77" t="s">
        <v>121</v>
      </c>
      <c r="D1611" s="77" t="s">
        <v>121</v>
      </c>
      <c r="E1611" s="78" t="s">
        <v>331</v>
      </c>
      <c r="F1611" s="80" t="s">
        <v>3016</v>
      </c>
      <c r="G1611" s="77" t="s">
        <v>1777</v>
      </c>
      <c r="H1611" s="77" t="s">
        <v>60</v>
      </c>
      <c r="I1611" s="87" t="s">
        <v>1221</v>
      </c>
      <c r="J1611" s="175" t="s">
        <v>114</v>
      </c>
      <c r="K1611" s="124" t="s">
        <v>12834</v>
      </c>
      <c r="L1611" s="47">
        <v>10.0</v>
      </c>
      <c r="M1611" s="85" t="s">
        <v>60</v>
      </c>
      <c r="N1611" s="286" t="s">
        <v>3137</v>
      </c>
      <c r="O1611" s="295" t="s">
        <v>2948</v>
      </c>
      <c r="P1611" s="164">
        <v>30754.0</v>
      </c>
      <c r="Q1611" s="121">
        <v>1984.0</v>
      </c>
      <c r="R1611" s="122">
        <v>42.0</v>
      </c>
      <c r="S1611" s="122">
        <v>3.075308633E9</v>
      </c>
      <c r="T1611" s="93"/>
      <c r="U1611" s="76" t="s">
        <v>136</v>
      </c>
      <c r="V1611" s="76"/>
      <c r="W1611" s="76"/>
      <c r="X1611" s="76"/>
      <c r="Y1611" s="276" t="s">
        <v>1836</v>
      </c>
      <c r="Z1611" s="76"/>
      <c r="AA1611" s="76" t="s">
        <v>1178</v>
      </c>
      <c r="AB1611" s="97"/>
      <c r="AC1611" s="76"/>
      <c r="AD1611" s="76"/>
      <c r="AE1611" s="76"/>
      <c r="AF1611" s="76" t="s">
        <v>9071</v>
      </c>
      <c r="AG1611" s="189"/>
      <c r="AH1611" s="76" t="s">
        <v>12835</v>
      </c>
      <c r="AI1611" s="76"/>
      <c r="AJ1611" s="67"/>
      <c r="AK1611" s="70"/>
      <c r="AL1611" s="70"/>
      <c r="AM1611" s="70"/>
      <c r="AN1611" s="135"/>
      <c r="AO1611" s="135"/>
      <c r="AP1611" s="70"/>
      <c r="AQ1611" s="70"/>
      <c r="AR1611" s="67"/>
      <c r="AS1611" s="67"/>
      <c r="AT1611" s="67"/>
    </row>
    <row r="1612">
      <c r="A1612" s="76" t="s">
        <v>116</v>
      </c>
      <c r="B1612" s="77" t="s">
        <v>3454</v>
      </c>
      <c r="C1612" s="77" t="s">
        <v>7302</v>
      </c>
      <c r="D1612" s="77" t="s">
        <v>121</v>
      </c>
      <c r="E1612" s="78" t="s">
        <v>178</v>
      </c>
      <c r="F1612" s="80" t="s">
        <v>8751</v>
      </c>
      <c r="G1612" s="77" t="s">
        <v>8708</v>
      </c>
      <c r="H1612" s="77" t="s">
        <v>102</v>
      </c>
      <c r="I1612" s="146" t="s">
        <v>408</v>
      </c>
      <c r="J1612" s="175" t="s">
        <v>114</v>
      </c>
      <c r="K1612" s="85" t="s">
        <v>12836</v>
      </c>
      <c r="L1612" s="85" t="s">
        <v>239</v>
      </c>
      <c r="M1612" s="85" t="s">
        <v>102</v>
      </c>
      <c r="N1612" s="332" t="s">
        <v>277</v>
      </c>
      <c r="O1612" s="109" t="s">
        <v>279</v>
      </c>
      <c r="P1612" s="164">
        <v>36583.0</v>
      </c>
      <c r="Q1612" s="121">
        <v>2000.0</v>
      </c>
      <c r="R1612" s="122">
        <v>26.0</v>
      </c>
      <c r="S1612" s="122">
        <v>3.658205338E9</v>
      </c>
      <c r="T1612" s="93" t="s">
        <v>378</v>
      </c>
      <c r="U1612" s="76" t="s">
        <v>136</v>
      </c>
      <c r="V1612" s="76"/>
      <c r="W1612" s="76"/>
      <c r="X1612" s="76"/>
      <c r="Y1612" s="97"/>
      <c r="Z1612" s="85" t="s">
        <v>12837</v>
      </c>
      <c r="AA1612" s="76" t="s">
        <v>1178</v>
      </c>
      <c r="AB1612" s="97"/>
      <c r="AC1612" s="76" t="s">
        <v>389</v>
      </c>
      <c r="AD1612" s="99"/>
      <c r="AE1612" s="76"/>
      <c r="AF1612" s="76" t="s">
        <v>12838</v>
      </c>
      <c r="AG1612" s="76"/>
      <c r="AH1612" s="523">
        <v>46254.0</v>
      </c>
      <c r="AI1612" s="76"/>
      <c r="AJ1612" s="67"/>
      <c r="AK1612" s="70"/>
      <c r="AL1612" s="70"/>
      <c r="AM1612" s="70"/>
      <c r="AN1612" s="135"/>
      <c r="AO1612" s="135"/>
      <c r="AP1612" s="70"/>
      <c r="AQ1612" s="70"/>
      <c r="AR1612" s="67"/>
      <c r="AS1612" s="67"/>
      <c r="AT1612" s="67"/>
    </row>
    <row r="1613">
      <c r="A1613" s="76" t="s">
        <v>116</v>
      </c>
      <c r="B1613" s="77" t="s">
        <v>1039</v>
      </c>
      <c r="C1613" s="77" t="s">
        <v>1517</v>
      </c>
      <c r="D1613" s="77" t="s">
        <v>1494</v>
      </c>
      <c r="E1613" s="78" t="s">
        <v>58</v>
      </c>
      <c r="F1613" s="80" t="s">
        <v>1496</v>
      </c>
      <c r="G1613" s="77" t="s">
        <v>542</v>
      </c>
      <c r="H1613" s="77" t="s">
        <v>60</v>
      </c>
      <c r="I1613" s="87" t="s">
        <v>1221</v>
      </c>
      <c r="J1613" s="117" t="s">
        <v>114</v>
      </c>
      <c r="K1613" s="85"/>
      <c r="L1613" s="232" t="s">
        <v>1330</v>
      </c>
      <c r="M1613" s="85" t="s">
        <v>60</v>
      </c>
      <c r="N1613" s="287" t="s">
        <v>541</v>
      </c>
      <c r="O1613" s="76" t="s">
        <v>203</v>
      </c>
      <c r="P1613" s="164">
        <v>32943.0</v>
      </c>
      <c r="Q1613" s="121">
        <v>1990.0</v>
      </c>
      <c r="R1613" s="122">
        <v>36.0</v>
      </c>
      <c r="S1613" s="122">
        <v>3.294212833E9</v>
      </c>
      <c r="T1613" s="177" t="s">
        <v>11599</v>
      </c>
      <c r="U1613" s="76" t="s">
        <v>136</v>
      </c>
      <c r="V1613" s="76"/>
      <c r="W1613" s="76"/>
      <c r="X1613" s="76"/>
      <c r="Y1613" s="167"/>
      <c r="Z1613" s="234" t="s">
        <v>1351</v>
      </c>
      <c r="AA1613" s="341" t="s">
        <v>1178</v>
      </c>
      <c r="AB1613" s="97"/>
      <c r="AC1613" s="168"/>
      <c r="AD1613" s="235">
        <v>46193.0</v>
      </c>
      <c r="AE1613" s="76"/>
      <c r="AF1613" s="76"/>
      <c r="AG1613" s="76" t="s">
        <v>1187</v>
      </c>
      <c r="AH1613" s="76" t="s">
        <v>12839</v>
      </c>
      <c r="AI1613" s="76"/>
      <c r="AJ1613" s="67"/>
      <c r="AK1613" s="70"/>
      <c r="AL1613" s="70"/>
      <c r="AM1613" s="70"/>
      <c r="AN1613" s="135"/>
      <c r="AO1613" s="135"/>
      <c r="AP1613" s="70"/>
      <c r="AQ1613" s="70"/>
      <c r="AR1613" s="67"/>
      <c r="AS1613" s="67"/>
      <c r="AT1613" s="67"/>
    </row>
    <row r="1614">
      <c r="A1614" s="76" t="s">
        <v>116</v>
      </c>
      <c r="B1614" s="77" t="s">
        <v>1645</v>
      </c>
      <c r="C1614" s="77" t="s">
        <v>1269</v>
      </c>
      <c r="D1614" s="77" t="s">
        <v>1519</v>
      </c>
      <c r="E1614" s="78" t="s">
        <v>187</v>
      </c>
      <c r="F1614" s="80" t="s">
        <v>1469</v>
      </c>
      <c r="G1614" s="77" t="s">
        <v>873</v>
      </c>
      <c r="H1614" s="77" t="s">
        <v>60</v>
      </c>
      <c r="I1614" s="87" t="s">
        <v>1221</v>
      </c>
      <c r="J1614" s="175" t="s">
        <v>114</v>
      </c>
      <c r="K1614" s="124" t="s">
        <v>12840</v>
      </c>
      <c r="L1614" s="76"/>
      <c r="M1614" s="76" t="s">
        <v>60</v>
      </c>
      <c r="N1614" s="287" t="s">
        <v>11154</v>
      </c>
      <c r="O1614" s="27" t="s">
        <v>11155</v>
      </c>
      <c r="P1614" s="164">
        <v>33708.0</v>
      </c>
      <c r="Q1614" s="121">
        <v>1992.0</v>
      </c>
      <c r="R1614" s="122">
        <v>34.0</v>
      </c>
      <c r="S1614" s="122">
        <v>3.370701075E9</v>
      </c>
      <c r="T1614" s="93"/>
      <c r="U1614" s="76" t="s">
        <v>136</v>
      </c>
      <c r="V1614" s="76"/>
      <c r="W1614" s="76"/>
      <c r="X1614" s="76"/>
      <c r="Y1614" s="76"/>
      <c r="Z1614" s="176" t="s">
        <v>1460</v>
      </c>
      <c r="AA1614" s="76"/>
      <c r="AB1614" s="97"/>
      <c r="AC1614" s="97"/>
      <c r="AD1614" s="279"/>
      <c r="AE1614" s="76" t="s">
        <v>154</v>
      </c>
      <c r="AF1614" s="76" t="s">
        <v>4105</v>
      </c>
      <c r="AG1614" s="76" t="s">
        <v>1187</v>
      </c>
      <c r="AH1614" s="76" t="s">
        <v>12841</v>
      </c>
      <c r="AI1614" s="76"/>
      <c r="AJ1614" s="67"/>
      <c r="AK1614" s="70"/>
      <c r="AL1614" s="70"/>
      <c r="AM1614" s="70"/>
      <c r="AN1614" s="135"/>
      <c r="AO1614" s="135"/>
      <c r="AP1614" s="70"/>
      <c r="AQ1614" s="70"/>
      <c r="AR1614" s="67"/>
      <c r="AS1614" s="67"/>
      <c r="AT1614" s="67"/>
    </row>
    <row r="1615">
      <c r="A1615" s="76" t="s">
        <v>116</v>
      </c>
      <c r="B1615" s="77" t="s">
        <v>1645</v>
      </c>
      <c r="C1615" s="77" t="s">
        <v>1517</v>
      </c>
      <c r="D1615" s="77" t="s">
        <v>1368</v>
      </c>
      <c r="E1615" s="78" t="s">
        <v>302</v>
      </c>
      <c r="F1615" s="80" t="s">
        <v>1404</v>
      </c>
      <c r="G1615" s="77" t="s">
        <v>4070</v>
      </c>
      <c r="H1615" s="77" t="s">
        <v>326</v>
      </c>
      <c r="I1615" s="87" t="s">
        <v>1221</v>
      </c>
      <c r="J1615" s="175" t="s">
        <v>114</v>
      </c>
      <c r="K1615" s="124" t="s">
        <v>12842</v>
      </c>
      <c r="L1615" s="85"/>
      <c r="M1615" s="76" t="s">
        <v>60</v>
      </c>
      <c r="N1615" s="287" t="s">
        <v>10848</v>
      </c>
      <c r="O1615" s="76" t="s">
        <v>2802</v>
      </c>
      <c r="P1615" s="164">
        <v>31999.0</v>
      </c>
      <c r="Q1615" s="121">
        <v>1987.0</v>
      </c>
      <c r="R1615" s="122">
        <v>39.0</v>
      </c>
      <c r="S1615" s="122">
        <v>3.199810131E9</v>
      </c>
      <c r="T1615" s="367"/>
      <c r="U1615" s="76" t="s">
        <v>136</v>
      </c>
      <c r="V1615" s="76"/>
      <c r="W1615" s="76"/>
      <c r="X1615" s="76"/>
      <c r="Y1615" s="276" t="s">
        <v>1836</v>
      </c>
      <c r="Z1615" s="76"/>
      <c r="AA1615" s="76"/>
      <c r="AB1615" s="368"/>
      <c r="AC1615" s="369"/>
      <c r="AD1615" s="492"/>
      <c r="AE1615" s="76" t="s">
        <v>672</v>
      </c>
      <c r="AF1615" s="76" t="s">
        <v>155</v>
      </c>
      <c r="AG1615" s="76" t="s">
        <v>4338</v>
      </c>
      <c r="AH1615" s="85" t="s">
        <v>12843</v>
      </c>
      <c r="AI1615" s="76"/>
      <c r="AJ1615" s="67"/>
      <c r="AK1615" s="70"/>
      <c r="AL1615" s="70"/>
      <c r="AM1615" s="70"/>
      <c r="AN1615" s="135"/>
      <c r="AO1615" s="135"/>
      <c r="AP1615" s="70"/>
      <c r="AQ1615" s="70"/>
      <c r="AR1615" s="67"/>
      <c r="AS1615" s="67"/>
      <c r="AT1615" s="67"/>
    </row>
    <row r="1616">
      <c r="A1616" s="76" t="s">
        <v>116</v>
      </c>
      <c r="B1616" s="77" t="s">
        <v>1645</v>
      </c>
      <c r="C1616" s="77" t="s">
        <v>1517</v>
      </c>
      <c r="D1616" s="77" t="s">
        <v>1519</v>
      </c>
      <c r="E1616" s="78" t="s">
        <v>139</v>
      </c>
      <c r="F1616" s="80" t="s">
        <v>1520</v>
      </c>
      <c r="G1616" s="77" t="s">
        <v>944</v>
      </c>
      <c r="H1616" s="77" t="s">
        <v>60</v>
      </c>
      <c r="I1616" s="87" t="s">
        <v>1221</v>
      </c>
      <c r="J1616" s="175" t="s">
        <v>114</v>
      </c>
      <c r="K1616" s="76"/>
      <c r="L1616" s="281" t="s">
        <v>1634</v>
      </c>
      <c r="M1616" s="85" t="s">
        <v>60</v>
      </c>
      <c r="N1616" s="157" t="s">
        <v>12844</v>
      </c>
      <c r="O1616" s="76" t="s">
        <v>12845</v>
      </c>
      <c r="P1616" s="164">
        <v>29843.0</v>
      </c>
      <c r="Q1616" s="121">
        <v>1981.0</v>
      </c>
      <c r="R1616" s="122">
        <v>44.0</v>
      </c>
      <c r="S1616" s="137"/>
      <c r="T1616" s="177" t="s">
        <v>378</v>
      </c>
      <c r="U1616" s="76" t="s">
        <v>379</v>
      </c>
      <c r="V1616" s="76"/>
      <c r="W1616" s="76"/>
      <c r="X1616" s="76"/>
      <c r="Y1616" s="97"/>
      <c r="Z1616" s="176" t="s">
        <v>1254</v>
      </c>
      <c r="AA1616" s="76"/>
      <c r="AB1616" s="76"/>
      <c r="AC1616" s="76" t="s">
        <v>2915</v>
      </c>
      <c r="AD1616" s="76"/>
      <c r="AE1616" s="76"/>
      <c r="AF1616" s="76" t="s">
        <v>2586</v>
      </c>
      <c r="AG1616" s="189"/>
      <c r="AH1616" s="76" t="s">
        <v>12846</v>
      </c>
      <c r="AI1616" s="76"/>
      <c r="AJ1616" s="67"/>
      <c r="AK1616" s="70"/>
      <c r="AL1616" s="70"/>
      <c r="AM1616" s="70"/>
      <c r="AN1616" s="135"/>
      <c r="AO1616" s="135"/>
      <c r="AP1616" s="70"/>
      <c r="AQ1616" s="70"/>
      <c r="AR1616" s="67"/>
      <c r="AS1616" s="67"/>
      <c r="AT1616" s="67"/>
    </row>
    <row r="1617">
      <c r="A1617" s="76" t="s">
        <v>116</v>
      </c>
      <c r="B1617" s="77" t="s">
        <v>1645</v>
      </c>
      <c r="C1617" s="77" t="s">
        <v>1269</v>
      </c>
      <c r="D1617" s="77" t="s">
        <v>1368</v>
      </c>
      <c r="E1617" s="78" t="s">
        <v>302</v>
      </c>
      <c r="F1617" s="80" t="s">
        <v>1404</v>
      </c>
      <c r="G1617" s="77" t="s">
        <v>3544</v>
      </c>
      <c r="H1617" s="77" t="s">
        <v>326</v>
      </c>
      <c r="I1617" s="87" t="s">
        <v>1221</v>
      </c>
      <c r="J1617" s="84"/>
      <c r="K1617" s="76"/>
      <c r="L1617" s="76"/>
      <c r="M1617" s="85" t="s">
        <v>326</v>
      </c>
      <c r="N1617" s="97" t="s">
        <v>4816</v>
      </c>
      <c r="O1617" s="97" t="s">
        <v>12847</v>
      </c>
      <c r="P1617" s="111"/>
      <c r="Q1617" s="90"/>
      <c r="R1617" s="92"/>
      <c r="S1617" s="137"/>
      <c r="T1617" s="165"/>
      <c r="U1617" s="76" t="s">
        <v>379</v>
      </c>
      <c r="V1617" s="76"/>
      <c r="W1617" s="76"/>
      <c r="X1617" s="97"/>
      <c r="Y1617" s="167"/>
      <c r="Z1617" s="85"/>
      <c r="AA1617" s="76"/>
      <c r="AB1617" s="97"/>
      <c r="AC1617" s="76" t="s">
        <v>691</v>
      </c>
      <c r="AD1617" s="260"/>
      <c r="AE1617" s="76" t="s">
        <v>691</v>
      </c>
      <c r="AF1617" s="450"/>
      <c r="AG1617" s="76"/>
      <c r="AH1617" s="153"/>
      <c r="AI1617" s="76"/>
      <c r="AJ1617" s="67"/>
      <c r="AK1617" s="70"/>
      <c r="AL1617" s="70"/>
      <c r="AM1617" s="70"/>
      <c r="AN1617" s="135"/>
      <c r="AO1617" s="135"/>
      <c r="AP1617" s="70"/>
      <c r="AQ1617" s="70"/>
      <c r="AR1617" s="67"/>
      <c r="AS1617" s="67"/>
      <c r="AT1617" s="67"/>
    </row>
    <row r="1618">
      <c r="A1618" s="76" t="s">
        <v>116</v>
      </c>
      <c r="B1618" s="77" t="s">
        <v>1645</v>
      </c>
      <c r="C1618" s="77" t="s">
        <v>1517</v>
      </c>
      <c r="D1618" s="77" t="s">
        <v>1368</v>
      </c>
      <c r="E1618" s="78" t="s">
        <v>139</v>
      </c>
      <c r="F1618" s="80" t="s">
        <v>1520</v>
      </c>
      <c r="G1618" s="77" t="s">
        <v>909</v>
      </c>
      <c r="H1618" s="77" t="s">
        <v>60</v>
      </c>
      <c r="I1618" s="87" t="s">
        <v>1221</v>
      </c>
      <c r="J1618" s="117" t="s">
        <v>114</v>
      </c>
      <c r="K1618" s="76"/>
      <c r="L1618" s="281" t="s">
        <v>1634</v>
      </c>
      <c r="M1618" s="85" t="s">
        <v>60</v>
      </c>
      <c r="N1618" s="157" t="s">
        <v>12848</v>
      </c>
      <c r="O1618" s="76" t="s">
        <v>12849</v>
      </c>
      <c r="P1618" s="164">
        <v>32623.0</v>
      </c>
      <c r="Q1618" s="121">
        <v>1989.0</v>
      </c>
      <c r="R1618" s="122">
        <v>37.0</v>
      </c>
      <c r="S1618" s="122">
        <v>3.262218679E9</v>
      </c>
      <c r="T1618" s="177" t="s">
        <v>1479</v>
      </c>
      <c r="U1618" s="76" t="s">
        <v>165</v>
      </c>
      <c r="V1618" s="76" t="s">
        <v>152</v>
      </c>
      <c r="W1618" s="76"/>
      <c r="X1618" s="76"/>
      <c r="Y1618" s="97"/>
      <c r="Z1618" s="176" t="s">
        <v>1254</v>
      </c>
      <c r="AA1618" s="76"/>
      <c r="AB1618" s="76"/>
      <c r="AC1618" s="76"/>
      <c r="AD1618" s="76"/>
      <c r="AE1618" s="76" t="s">
        <v>259</v>
      </c>
      <c r="AF1618" s="76" t="s">
        <v>2586</v>
      </c>
      <c r="AG1618" s="189"/>
      <c r="AH1618" s="76"/>
      <c r="AI1618" s="76" t="s">
        <v>1594</v>
      </c>
      <c r="AJ1618" s="67"/>
      <c r="AK1618" s="70"/>
      <c r="AL1618" s="70"/>
      <c r="AM1618" s="70"/>
      <c r="AN1618" s="135"/>
      <c r="AO1618" s="135"/>
      <c r="AP1618" s="70"/>
      <c r="AQ1618" s="70"/>
      <c r="AR1618" s="67"/>
      <c r="AS1618" s="67"/>
      <c r="AT1618" s="67"/>
    </row>
    <row r="1619">
      <c r="A1619" s="76" t="s">
        <v>116</v>
      </c>
      <c r="B1619" s="77" t="s">
        <v>1645</v>
      </c>
      <c r="C1619" s="77" t="s">
        <v>1611</v>
      </c>
      <c r="D1619" s="77" t="s">
        <v>121</v>
      </c>
      <c r="E1619" s="78" t="s">
        <v>295</v>
      </c>
      <c r="F1619" s="80" t="s">
        <v>1241</v>
      </c>
      <c r="G1619" s="77" t="s">
        <v>4581</v>
      </c>
      <c r="H1619" s="77" t="s">
        <v>60</v>
      </c>
      <c r="I1619" s="87" t="s">
        <v>1221</v>
      </c>
      <c r="J1619" s="175" t="s">
        <v>114</v>
      </c>
      <c r="K1619" s="76"/>
      <c r="L1619" s="281" t="s">
        <v>1634</v>
      </c>
      <c r="M1619" s="85" t="s">
        <v>60</v>
      </c>
      <c r="N1619" s="157" t="s">
        <v>12850</v>
      </c>
      <c r="O1619" s="379" t="s">
        <v>12851</v>
      </c>
      <c r="P1619" s="164">
        <v>29896.0</v>
      </c>
      <c r="Q1619" s="121">
        <v>1981.0</v>
      </c>
      <c r="R1619" s="122">
        <v>44.0</v>
      </c>
      <c r="S1619" s="122">
        <v>2.989500312E9</v>
      </c>
      <c r="T1619" s="177" t="s">
        <v>1317</v>
      </c>
      <c r="U1619" s="76" t="s">
        <v>165</v>
      </c>
      <c r="V1619" s="76" t="s">
        <v>152</v>
      </c>
      <c r="W1619" s="76"/>
      <c r="X1619" s="76"/>
      <c r="Y1619" s="97"/>
      <c r="Z1619" s="176" t="s">
        <v>1254</v>
      </c>
      <c r="AA1619" s="76"/>
      <c r="AB1619" s="76"/>
      <c r="AC1619" s="76"/>
      <c r="AD1619" s="76"/>
      <c r="AE1619" s="76" t="s">
        <v>259</v>
      </c>
      <c r="AF1619" s="76" t="s">
        <v>5763</v>
      </c>
      <c r="AG1619" s="189"/>
      <c r="AH1619" s="76"/>
      <c r="AI1619" s="76" t="s">
        <v>1594</v>
      </c>
      <c r="AJ1619" s="67"/>
      <c r="AK1619" s="70"/>
      <c r="AL1619" s="70"/>
      <c r="AM1619" s="70"/>
      <c r="AN1619" s="135"/>
      <c r="AO1619" s="135"/>
      <c r="AP1619" s="70"/>
      <c r="AQ1619" s="70"/>
      <c r="AR1619" s="67"/>
      <c r="AS1619" s="67"/>
      <c r="AT1619" s="67"/>
    </row>
    <row r="1620">
      <c r="A1620" s="76" t="s">
        <v>116</v>
      </c>
      <c r="B1620" s="77" t="s">
        <v>1645</v>
      </c>
      <c r="C1620" s="77" t="s">
        <v>1728</v>
      </c>
      <c r="D1620" s="77" t="s">
        <v>121</v>
      </c>
      <c r="E1620" s="78" t="s">
        <v>331</v>
      </c>
      <c r="F1620" s="80" t="s">
        <v>1731</v>
      </c>
      <c r="G1620" s="77" t="s">
        <v>1084</v>
      </c>
      <c r="H1620" s="77" t="s">
        <v>60</v>
      </c>
      <c r="I1620" s="87" t="s">
        <v>1221</v>
      </c>
      <c r="J1620" s="175" t="s">
        <v>114</v>
      </c>
      <c r="K1620" s="76"/>
      <c r="L1620" s="281" t="s">
        <v>1634</v>
      </c>
      <c r="M1620" s="85" t="s">
        <v>60</v>
      </c>
      <c r="N1620" s="157" t="s">
        <v>12852</v>
      </c>
      <c r="O1620" s="76" t="s">
        <v>12853</v>
      </c>
      <c r="P1620" s="164">
        <v>30370.0</v>
      </c>
      <c r="Q1620" s="121">
        <v>1983.0</v>
      </c>
      <c r="R1620" s="122">
        <v>43.0</v>
      </c>
      <c r="S1620" s="137"/>
      <c r="T1620" s="177"/>
      <c r="U1620" s="76" t="s">
        <v>165</v>
      </c>
      <c r="V1620" s="76" t="s">
        <v>152</v>
      </c>
      <c r="W1620" s="76"/>
      <c r="X1620" s="76"/>
      <c r="Y1620" s="276" t="s">
        <v>1836</v>
      </c>
      <c r="Z1620" s="176" t="s">
        <v>1254</v>
      </c>
      <c r="AA1620" s="76"/>
      <c r="AB1620" s="76"/>
      <c r="AC1620" s="76"/>
      <c r="AD1620" s="76"/>
      <c r="AE1620" s="76" t="s">
        <v>259</v>
      </c>
      <c r="AF1620" s="574">
        <v>46180.0</v>
      </c>
      <c r="AG1620" s="189"/>
      <c r="AH1620" s="76"/>
      <c r="AI1620" s="76" t="s">
        <v>1594</v>
      </c>
      <c r="AJ1620" s="67"/>
      <c r="AK1620" s="70"/>
      <c r="AL1620" s="70"/>
      <c r="AM1620" s="70"/>
      <c r="AN1620" s="135"/>
      <c r="AO1620" s="135"/>
      <c r="AP1620" s="70"/>
      <c r="AQ1620" s="70"/>
      <c r="AR1620" s="67"/>
      <c r="AS1620" s="67"/>
      <c r="AT1620" s="67"/>
    </row>
    <row r="1621">
      <c r="A1621" s="76" t="s">
        <v>116</v>
      </c>
      <c r="B1621" s="77" t="s">
        <v>1709</v>
      </c>
      <c r="C1621" s="77" t="s">
        <v>1611</v>
      </c>
      <c r="D1621" s="77" t="s">
        <v>121</v>
      </c>
      <c r="E1621" s="78" t="s">
        <v>295</v>
      </c>
      <c r="F1621" s="80" t="s">
        <v>1241</v>
      </c>
      <c r="G1621" s="77" t="s">
        <v>6273</v>
      </c>
      <c r="H1621" s="77" t="s">
        <v>60</v>
      </c>
      <c r="I1621" s="87" t="s">
        <v>1221</v>
      </c>
      <c r="J1621" s="175" t="s">
        <v>114</v>
      </c>
      <c r="K1621" s="76"/>
      <c r="L1621" s="281" t="s">
        <v>1634</v>
      </c>
      <c r="M1621" s="85" t="s">
        <v>60</v>
      </c>
      <c r="N1621" s="157" t="s">
        <v>12854</v>
      </c>
      <c r="O1621" s="76" t="s">
        <v>1526</v>
      </c>
      <c r="P1621" s="164">
        <v>32478.0</v>
      </c>
      <c r="Q1621" s="121">
        <v>1988.0</v>
      </c>
      <c r="R1621" s="122">
        <v>37.0</v>
      </c>
      <c r="S1621" s="137"/>
      <c r="T1621" s="93"/>
      <c r="U1621" s="76" t="s">
        <v>165</v>
      </c>
      <c r="V1621" s="76" t="s">
        <v>152</v>
      </c>
      <c r="W1621" s="76"/>
      <c r="X1621" s="76"/>
      <c r="Y1621" s="76"/>
      <c r="Z1621" s="176" t="s">
        <v>1254</v>
      </c>
      <c r="AA1621" s="97"/>
      <c r="AB1621" s="97"/>
      <c r="AC1621" s="76"/>
      <c r="AD1621" s="76"/>
      <c r="AE1621" s="76" t="s">
        <v>259</v>
      </c>
      <c r="AF1621" s="76"/>
      <c r="AG1621" s="76"/>
      <c r="AH1621" s="654"/>
      <c r="AI1621" s="76" t="s">
        <v>1594</v>
      </c>
      <c r="AJ1621" s="67"/>
      <c r="AK1621" s="70"/>
      <c r="AL1621" s="70"/>
      <c r="AM1621" s="70"/>
      <c r="AN1621" s="135"/>
      <c r="AO1621" s="135"/>
      <c r="AP1621" s="70"/>
      <c r="AQ1621" s="70"/>
      <c r="AR1621" s="67"/>
      <c r="AS1621" s="67"/>
      <c r="AT1621" s="67"/>
    </row>
    <row r="1622">
      <c r="A1622" s="76" t="s">
        <v>116</v>
      </c>
      <c r="B1622" s="77" t="s">
        <v>1709</v>
      </c>
      <c r="C1622" s="77" t="s">
        <v>1611</v>
      </c>
      <c r="D1622" s="77" t="s">
        <v>1494</v>
      </c>
      <c r="E1622" s="78" t="s">
        <v>213</v>
      </c>
      <c r="F1622" s="80" t="s">
        <v>1523</v>
      </c>
      <c r="G1622" s="77" t="s">
        <v>1309</v>
      </c>
      <c r="H1622" s="77" t="s">
        <v>60</v>
      </c>
      <c r="I1622" s="87" t="s">
        <v>1221</v>
      </c>
      <c r="J1622" s="175" t="s">
        <v>114</v>
      </c>
      <c r="K1622" s="76"/>
      <c r="L1622" s="281" t="s">
        <v>1634</v>
      </c>
      <c r="M1622" s="85" t="s">
        <v>60</v>
      </c>
      <c r="N1622" s="157" t="s">
        <v>12855</v>
      </c>
      <c r="O1622" s="76" t="s">
        <v>12856</v>
      </c>
      <c r="P1622" s="164">
        <v>33129.0</v>
      </c>
      <c r="Q1622" s="121">
        <v>1990.0</v>
      </c>
      <c r="R1622" s="122">
        <v>35.0</v>
      </c>
      <c r="S1622" s="137"/>
      <c r="T1622" s="177"/>
      <c r="U1622" s="76" t="s">
        <v>165</v>
      </c>
      <c r="V1622" s="76" t="s">
        <v>152</v>
      </c>
      <c r="W1622" s="76"/>
      <c r="X1622" s="76"/>
      <c r="Y1622" s="97"/>
      <c r="Z1622" s="176" t="s">
        <v>1254</v>
      </c>
      <c r="AA1622" s="76" t="s">
        <v>1178</v>
      </c>
      <c r="AB1622" s="76"/>
      <c r="AC1622" s="76"/>
      <c r="AD1622" s="76"/>
      <c r="AE1622" s="76" t="s">
        <v>259</v>
      </c>
      <c r="AF1622" s="76" t="s">
        <v>5763</v>
      </c>
      <c r="AG1622" s="189"/>
      <c r="AH1622" s="76"/>
      <c r="AI1622" s="76" t="s">
        <v>1594</v>
      </c>
      <c r="AJ1622" s="67"/>
      <c r="AK1622" s="70"/>
      <c r="AL1622" s="70"/>
      <c r="AM1622" s="70"/>
      <c r="AN1622" s="135"/>
      <c r="AO1622" s="135"/>
      <c r="AP1622" s="70"/>
      <c r="AQ1622" s="70"/>
      <c r="AR1622" s="67"/>
      <c r="AS1622" s="67"/>
      <c r="AT1622" s="67"/>
    </row>
    <row r="1623">
      <c r="A1623" s="76" t="s">
        <v>116</v>
      </c>
      <c r="B1623" s="77" t="s">
        <v>3014</v>
      </c>
      <c r="C1623" s="77" t="s">
        <v>121</v>
      </c>
      <c r="D1623" s="77" t="s">
        <v>121</v>
      </c>
      <c r="E1623" s="78" t="s">
        <v>178</v>
      </c>
      <c r="F1623" s="80" t="s">
        <v>8487</v>
      </c>
      <c r="G1623" s="77" t="s">
        <v>2423</v>
      </c>
      <c r="H1623" s="77" t="s">
        <v>102</v>
      </c>
      <c r="I1623" s="146" t="s">
        <v>408</v>
      </c>
      <c r="J1623" s="117" t="s">
        <v>114</v>
      </c>
      <c r="K1623" s="109"/>
      <c r="L1623" s="87"/>
      <c r="M1623" s="468" t="s">
        <v>102</v>
      </c>
      <c r="N1623" s="802" t="s">
        <v>12857</v>
      </c>
      <c r="O1623" s="76" t="s">
        <v>2421</v>
      </c>
      <c r="P1623" s="89"/>
      <c r="Q1623" s="90"/>
      <c r="R1623" s="92"/>
      <c r="S1623" s="111"/>
      <c r="T1623" s="181"/>
      <c r="U1623" s="102" t="s">
        <v>379</v>
      </c>
      <c r="V1623" s="97"/>
      <c r="W1623" s="97"/>
      <c r="X1623" s="97"/>
      <c r="Y1623" s="97"/>
      <c r="Z1623" s="97"/>
      <c r="AA1623" s="97"/>
      <c r="AB1623" s="97"/>
      <c r="AC1623" s="160" t="s">
        <v>630</v>
      </c>
      <c r="AD1623" s="76" t="s">
        <v>632</v>
      </c>
      <c r="AE1623" s="97" t="s">
        <v>632</v>
      </c>
      <c r="AF1623" s="160" t="s">
        <v>630</v>
      </c>
      <c r="AG1623" s="112"/>
      <c r="AH1623" s="76" t="s">
        <v>12858</v>
      </c>
      <c r="AI1623" s="76"/>
      <c r="AJ1623" s="67"/>
      <c r="AK1623" s="70"/>
      <c r="AL1623" s="70"/>
      <c r="AM1623" s="70"/>
      <c r="AN1623" s="135"/>
      <c r="AO1623" s="135"/>
      <c r="AP1623" s="70"/>
      <c r="AQ1623" s="70"/>
      <c r="AR1623" s="67"/>
      <c r="AS1623" s="67"/>
      <c r="AT1623" s="67"/>
    </row>
    <row r="1624">
      <c r="A1624" s="355"/>
      <c r="B1624" s="1261"/>
      <c r="C1624" s="1261"/>
      <c r="D1624" s="1261"/>
      <c r="E1624" s="1262"/>
      <c r="F1624" s="1263"/>
      <c r="G1624" s="1261"/>
      <c r="H1624" s="1261"/>
      <c r="I1624" s="1264"/>
      <c r="J1624" s="1150"/>
      <c r="K1624" s="355"/>
      <c r="L1624" s="1016"/>
      <c r="M1624" s="1150"/>
      <c r="N1624" s="1151"/>
      <c r="O1624" s="1199"/>
      <c r="P1624" s="1152"/>
      <c r="Q1624" s="1153"/>
      <c r="R1624" s="67"/>
      <c r="S1624" s="355"/>
      <c r="T1624" s="1153"/>
      <c r="U1624" s="355"/>
      <c r="V1624" s="355"/>
      <c r="W1624" s="355"/>
      <c r="X1624" s="355"/>
      <c r="Y1624" s="1154"/>
      <c r="Z1624" s="1155"/>
      <c r="AA1624" s="355"/>
      <c r="AB1624" s="1154"/>
      <c r="AC1624" s="355"/>
      <c r="AD1624" s="355"/>
      <c r="AE1624" s="355"/>
      <c r="AF1624" s="355"/>
      <c r="AG1624" s="763"/>
      <c r="AH1624" s="355"/>
      <c r="AI1624" s="67"/>
      <c r="AJ1624" s="67"/>
      <c r="AK1624" s="70"/>
      <c r="AL1624" s="70"/>
      <c r="AM1624" s="135"/>
      <c r="AN1624" s="135"/>
      <c r="AO1624" s="70"/>
      <c r="AP1624" s="70"/>
      <c r="AQ1624" s="67"/>
      <c r="AR1624" s="67"/>
      <c r="AS1624" s="67"/>
      <c r="AT1624" s="67"/>
    </row>
    <row r="1625">
      <c r="A1625" s="355"/>
      <c r="B1625" s="1261"/>
      <c r="C1625" s="1261"/>
      <c r="D1625" s="1261"/>
      <c r="E1625" s="1262"/>
      <c r="F1625" s="1263"/>
      <c r="G1625" s="1261"/>
      <c r="H1625" s="1261"/>
      <c r="I1625" s="1264"/>
      <c r="J1625" s="1150"/>
      <c r="K1625" s="355"/>
      <c r="L1625" s="1016"/>
      <c r="M1625" s="1150"/>
      <c r="N1625" s="1151"/>
      <c r="O1625" s="1199"/>
      <c r="P1625" s="1152"/>
      <c r="Q1625" s="1153"/>
      <c r="R1625" s="67"/>
      <c r="S1625" s="355"/>
      <c r="T1625" s="1153"/>
      <c r="U1625" s="355"/>
      <c r="V1625" s="355"/>
      <c r="W1625" s="355"/>
      <c r="X1625" s="355"/>
      <c r="Y1625" s="1154"/>
      <c r="Z1625" s="1155"/>
      <c r="AA1625" s="355"/>
      <c r="AB1625" s="1154"/>
      <c r="AC1625" s="355"/>
      <c r="AD1625" s="355"/>
      <c r="AE1625" s="355"/>
      <c r="AF1625" s="355"/>
      <c r="AG1625" s="763"/>
      <c r="AH1625" s="355"/>
      <c r="AI1625" s="67"/>
      <c r="AJ1625" s="67"/>
      <c r="AK1625" s="70"/>
      <c r="AL1625" s="70"/>
      <c r="AM1625" s="135"/>
      <c r="AN1625" s="135"/>
      <c r="AO1625" s="70"/>
      <c r="AP1625" s="70"/>
      <c r="AQ1625" s="67"/>
      <c r="AR1625" s="67"/>
      <c r="AS1625" s="67"/>
      <c r="AT1625" s="67"/>
    </row>
  </sheetData>
  <autoFilter ref="$A$1:$AT$1623"/>
  <conditionalFormatting sqref="U1559">
    <cfRule type="containsText" dxfId="3" priority="1" operator="containsText" text="В строю">
      <formula>NOT(ISERROR(SEARCH(("В строю"),(U1559))))</formula>
    </cfRule>
  </conditionalFormatting>
  <conditionalFormatting sqref="U1559">
    <cfRule type="containsText" dxfId="4" priority="2" operator="containsText" text="Відпустка">
      <formula>NOT(ISERROR(SEARCH(("Відпустка"),(U1559))))</formula>
    </cfRule>
  </conditionalFormatting>
  <conditionalFormatting sqref="U1559">
    <cfRule type="containsText" dxfId="5" priority="3" operator="containsText" text="СЗЧ">
      <formula>NOT(ISERROR(SEARCH(("СЗЧ"),(U1559))))</formula>
    </cfRule>
  </conditionalFormatting>
  <conditionalFormatting sqref="U1559">
    <cfRule type="containsText" dxfId="6" priority="4" operator="containsText" text="Зниклі безвісти">
      <formula>NOT(ISERROR(SEARCH(("Зниклі безвісти"),(U1559))))</formula>
    </cfRule>
  </conditionalFormatting>
  <conditionalFormatting sqref="U1559">
    <cfRule type="containsText" dxfId="7" priority="5" operator="containsText" text="Від-ні навчання">
      <formula>NOT(ISERROR(SEARCH(("Від-ні навчання"),(U1559))))</formula>
    </cfRule>
  </conditionalFormatting>
  <conditionalFormatting sqref="U1559">
    <cfRule type="containsText" dxfId="8" priority="6" operator="containsText" text="Відком. за межі ПБ">
      <formula>NOT(ISERROR(SEARCH(("Відком. за межі ПБ"),(U1559))))</formula>
    </cfRule>
  </conditionalFormatting>
  <conditionalFormatting sqref="U1559">
    <cfRule type="containsText" dxfId="9" priority="7" operator="containsText" text="Загиблі">
      <formula>NOT(ISERROR(SEARCH(("Загиблі"),(U1559))))</formula>
    </cfRule>
  </conditionalFormatting>
  <conditionalFormatting sqref="U1559">
    <cfRule type="containsText" dxfId="10" priority="8" operator="containsText" text="Лікування">
      <formula>NOT(ISERROR(SEARCH(("Лікування"),(U1559))))</formula>
    </cfRule>
  </conditionalFormatting>
  <conditionalFormatting sqref="N1559">
    <cfRule type="expression" dxfId="0" priority="9">
      <formula>COUNTIF(#REF!, N1559) &gt; 1</formula>
    </cfRule>
  </conditionalFormatting>
  <conditionalFormatting sqref="Q1559">
    <cfRule type="cellIs" dxfId="3" priority="10" operator="equal">
      <formula>P1559</formula>
    </cfRule>
  </conditionalFormatting>
  <conditionalFormatting sqref="Q1559">
    <cfRule type="cellIs" dxfId="9" priority="11" operator="notEqual">
      <formula>P1559</formula>
    </cfRule>
  </conditionalFormatting>
  <conditionalFormatting sqref="AK1384:AL1384 AK1559">
    <cfRule type="containsText" dxfId="11" priority="12" operator="containsText" text="Зниклі безвісти">
      <formula>NOT(ISERROR(SEARCH(("Зниклі безвісти"),(AK1384))))</formula>
    </cfRule>
  </conditionalFormatting>
  <conditionalFormatting sqref="AK1559">
    <cfRule type="cellIs" dxfId="12" priority="13" operator="equal">
      <formula>SUM(#REF!)</formula>
    </cfRule>
  </conditionalFormatting>
  <conditionalFormatting sqref="AK1384:AL1384 AK1559">
    <cfRule type="containsText" dxfId="13" priority="14" operator="containsText" text="СЗЧ">
      <formula>NOT(ISERROR(SEARCH(("СЗЧ"),(AK1384))))</formula>
    </cfRule>
  </conditionalFormatting>
  <conditionalFormatting sqref="AK1384:AL1384 AK1559">
    <cfRule type="containsText" dxfId="14" priority="15" operator="containsText" text="Лікування">
      <formula>NOT(ISERROR(SEARCH(("Лікування"),(AK1384))))</formula>
    </cfRule>
  </conditionalFormatting>
  <conditionalFormatting sqref="AK1384:AL1384 AK1559">
    <cfRule type="containsText" dxfId="15" priority="16" operator="containsText" text="СТАТУС">
      <formula>NOT(ISERROR(SEARCH(("СТАТУС"),(AK1384))))</formula>
    </cfRule>
  </conditionalFormatting>
  <conditionalFormatting sqref="AK1384:AL1384 AK1559">
    <cfRule type="containsText" dxfId="16" priority="17" operator="containsText" text="Мед.пункт">
      <formula>NOT(ISERROR(SEARCH(("Мед.пункт"),(AK1384))))</formula>
    </cfRule>
  </conditionalFormatting>
  <conditionalFormatting sqref="AK1384:AL1384 AK1559">
    <cfRule type="containsText" dxfId="17" priority="18" operator="containsText" text="Відпустка">
      <formula>NOT(ISERROR(SEARCH(("Відпустка"),(AK1384))))</formula>
    </cfRule>
  </conditionalFormatting>
  <conditionalFormatting sqref="AK1384:AL1384 AK1559">
    <cfRule type="containsText" dxfId="8" priority="19" operator="containsText" text="Від-ні за межі бату">
      <formula>NOT(ISERROR(SEARCH(("Від-ні за межі бату"),(AK1384))))</formula>
    </cfRule>
  </conditionalFormatting>
  <conditionalFormatting sqref="AK1384:AL1384 AK1559">
    <cfRule type="containsText" dxfId="18" priority="20" operator="containsText" text="В строю">
      <formula>NOT(ISERROR(SEARCH(("В строю"),(AK1384))))</formula>
    </cfRule>
  </conditionalFormatting>
  <conditionalFormatting sqref="Q1546">
    <cfRule type="cellIs" dxfId="3" priority="21" operator="equal">
      <formula>P1546</formula>
    </cfRule>
  </conditionalFormatting>
  <conditionalFormatting sqref="Q1546">
    <cfRule type="cellIs" dxfId="9" priority="22" operator="notEqual">
      <formula>P1546</formula>
    </cfRule>
  </conditionalFormatting>
  <conditionalFormatting sqref="U1546">
    <cfRule type="containsText" dxfId="10" priority="23" operator="containsText" text="Лікування">
      <formula>NOT(ISERROR(SEARCH(("Лікування"),(U1546))))</formula>
    </cfRule>
  </conditionalFormatting>
  <conditionalFormatting sqref="U1546">
    <cfRule type="containsText" dxfId="9" priority="24" operator="containsText" text="Загиблі">
      <formula>NOT(ISERROR(SEARCH(("Загиблі"),(U1546))))</formula>
    </cfRule>
  </conditionalFormatting>
  <conditionalFormatting sqref="U1546">
    <cfRule type="containsText" dxfId="8" priority="25" operator="containsText" text="Відком. за межі ПБ">
      <formula>NOT(ISERROR(SEARCH(("Відком. за межі ПБ"),(U1546))))</formula>
    </cfRule>
  </conditionalFormatting>
  <conditionalFormatting sqref="U1546">
    <cfRule type="containsText" dxfId="7" priority="26" operator="containsText" text="Від-ні навчання">
      <formula>NOT(ISERROR(SEARCH(("Від-ні навчання"),(U1546))))</formula>
    </cfRule>
  </conditionalFormatting>
  <conditionalFormatting sqref="U1546">
    <cfRule type="containsText" dxfId="6" priority="27" operator="containsText" text="Зниклі безвісти">
      <formula>NOT(ISERROR(SEARCH(("Зниклі безвісти"),(U1546))))</formula>
    </cfRule>
  </conditionalFormatting>
  <conditionalFormatting sqref="U1546">
    <cfRule type="containsText" dxfId="5" priority="28" operator="containsText" text="СЗЧ">
      <formula>NOT(ISERROR(SEARCH(("СЗЧ"),(U1546))))</formula>
    </cfRule>
  </conditionalFormatting>
  <conditionalFormatting sqref="U1546">
    <cfRule type="containsText" dxfId="4" priority="29" operator="containsText" text="Відпустка">
      <formula>NOT(ISERROR(SEARCH(("Відпустка"),(U1546))))</formula>
    </cfRule>
  </conditionalFormatting>
  <conditionalFormatting sqref="U1546">
    <cfRule type="containsText" dxfId="3" priority="30" operator="containsText" text="В строю">
      <formula>NOT(ISERROR(SEARCH(("В строю"),(U1546))))</formula>
    </cfRule>
  </conditionalFormatting>
  <conditionalFormatting sqref="U1546">
    <cfRule type="containsText" dxfId="3" priority="31" operator="containsText" text="В строю">
      <formula>NOT(ISERROR(SEARCH(("В строю"),(U1546))))</formula>
    </cfRule>
  </conditionalFormatting>
  <conditionalFormatting sqref="U1546">
    <cfRule type="containsText" dxfId="4" priority="32" operator="containsText" text="Відпустка">
      <formula>NOT(ISERROR(SEARCH(("Відпустка"),(U1546))))</formula>
    </cfRule>
  </conditionalFormatting>
  <conditionalFormatting sqref="U1546">
    <cfRule type="containsText" dxfId="5" priority="33" operator="containsText" text="СЗЧ">
      <formula>NOT(ISERROR(SEARCH(("СЗЧ"),(U1546))))</formula>
    </cfRule>
  </conditionalFormatting>
  <conditionalFormatting sqref="U1546">
    <cfRule type="containsText" dxfId="6" priority="34" operator="containsText" text="Зниклі безвісти">
      <formula>NOT(ISERROR(SEARCH(("Зниклі безвісти"),(U1546))))</formula>
    </cfRule>
  </conditionalFormatting>
  <conditionalFormatting sqref="U1546">
    <cfRule type="containsText" dxfId="7" priority="35" operator="containsText" text="Від-ні навчання">
      <formula>NOT(ISERROR(SEARCH(("Від-ні навчання"),(U1546))))</formula>
    </cfRule>
  </conditionalFormatting>
  <conditionalFormatting sqref="U1546">
    <cfRule type="containsText" dxfId="8" priority="36" operator="containsText" text="Відком. за межі ПБ">
      <formula>NOT(ISERROR(SEARCH(("Відком. за межі ПБ"),(U1546))))</formula>
    </cfRule>
  </conditionalFormatting>
  <conditionalFormatting sqref="U1546">
    <cfRule type="containsText" dxfId="9" priority="37" operator="containsText" text="Загиблі">
      <formula>NOT(ISERROR(SEARCH(("Загиблі"),(U1546))))</formula>
    </cfRule>
  </conditionalFormatting>
  <conditionalFormatting sqref="U1546">
    <cfRule type="containsText" dxfId="10" priority="38" operator="containsText" text="Лікування">
      <formula>NOT(ISERROR(SEARCH(("Лікування"),(U1546))))</formula>
    </cfRule>
  </conditionalFormatting>
  <conditionalFormatting sqref="U1546">
    <cfRule type="containsText" dxfId="3" priority="39" operator="containsText" text="В строю">
      <formula>NOT(ISERROR(SEARCH(("В строю"),(U1546))))</formula>
    </cfRule>
  </conditionalFormatting>
  <conditionalFormatting sqref="U1546">
    <cfRule type="containsText" dxfId="4" priority="40" operator="containsText" text="Відпустка">
      <formula>NOT(ISERROR(SEARCH(("Відпустка"),(U1546))))</formula>
    </cfRule>
  </conditionalFormatting>
  <conditionalFormatting sqref="U1546">
    <cfRule type="containsText" dxfId="5" priority="41" operator="containsText" text="СЗЧ">
      <formula>NOT(ISERROR(SEARCH(("СЗЧ"),(U1546))))</formula>
    </cfRule>
  </conditionalFormatting>
  <conditionalFormatting sqref="U1546">
    <cfRule type="containsText" dxfId="6" priority="42" operator="containsText" text="Зниклі безвісти">
      <formula>NOT(ISERROR(SEARCH(("Зниклі безвісти"),(U1546))))</formula>
    </cfRule>
  </conditionalFormatting>
  <conditionalFormatting sqref="U1546">
    <cfRule type="containsText" dxfId="7" priority="43" operator="containsText" text="Від-ні навчання">
      <formula>NOT(ISERROR(SEARCH(("Від-ні навчання"),(U1546))))</formula>
    </cfRule>
  </conditionalFormatting>
  <conditionalFormatting sqref="U1546">
    <cfRule type="containsText" dxfId="8" priority="44" operator="containsText" text="Відком. за межі ПБ">
      <formula>NOT(ISERROR(SEARCH(("Відком. за межі ПБ"),(U1546))))</formula>
    </cfRule>
  </conditionalFormatting>
  <conditionalFormatting sqref="U1546">
    <cfRule type="containsText" dxfId="9" priority="45" operator="containsText" text="Загиблі">
      <formula>NOT(ISERROR(SEARCH(("Загиблі"),(U1546))))</formula>
    </cfRule>
  </conditionalFormatting>
  <conditionalFormatting sqref="U1546">
    <cfRule type="containsText" dxfId="10" priority="46" operator="containsText" text="Лікування">
      <formula>NOT(ISERROR(SEARCH(("Лікування"),(U1546))))</formula>
    </cfRule>
  </conditionalFormatting>
  <conditionalFormatting sqref="U1546">
    <cfRule type="containsText" dxfId="3" priority="47" operator="containsText" text="В строю">
      <formula>NOT(ISERROR(SEARCH(("В строю"),(U1546))))</formula>
    </cfRule>
  </conditionalFormatting>
  <conditionalFormatting sqref="U1546">
    <cfRule type="containsText" dxfId="4" priority="48" operator="containsText" text="Відпустка">
      <formula>NOT(ISERROR(SEARCH(("Відпустка"),(U1546))))</formula>
    </cfRule>
  </conditionalFormatting>
  <conditionalFormatting sqref="U1546">
    <cfRule type="containsText" dxfId="5" priority="49" operator="containsText" text="СЗЧ">
      <formula>NOT(ISERROR(SEARCH(("СЗЧ"),(U1546))))</formula>
    </cfRule>
  </conditionalFormatting>
  <conditionalFormatting sqref="U1546">
    <cfRule type="containsText" dxfId="6" priority="50" operator="containsText" text="Зниклі безвісти">
      <formula>NOT(ISERROR(SEARCH(("Зниклі безвісти"),(U1546))))</formula>
    </cfRule>
  </conditionalFormatting>
  <conditionalFormatting sqref="U1546">
    <cfRule type="containsText" dxfId="7" priority="51" operator="containsText" text="Від-ні навчання">
      <formula>NOT(ISERROR(SEARCH(("Від-ні навчання"),(U1546))))</formula>
    </cfRule>
  </conditionalFormatting>
  <conditionalFormatting sqref="U1546">
    <cfRule type="containsText" dxfId="8" priority="52" operator="containsText" text="Відком. за межі ПБ">
      <formula>NOT(ISERROR(SEARCH(("Відком. за межі ПБ"),(U1546))))</formula>
    </cfRule>
  </conditionalFormatting>
  <conditionalFormatting sqref="U1546">
    <cfRule type="containsText" dxfId="9" priority="53" operator="containsText" text="Загиблі">
      <formula>NOT(ISERROR(SEARCH(("Загиблі"),(U1546))))</formula>
    </cfRule>
  </conditionalFormatting>
  <conditionalFormatting sqref="U1546">
    <cfRule type="containsText" dxfId="10" priority="54" operator="containsText" text="Лікування">
      <formula>NOT(ISERROR(SEARCH(("Лікування"),(U1546))))</formula>
    </cfRule>
  </conditionalFormatting>
  <conditionalFormatting sqref="U1546">
    <cfRule type="containsText" dxfId="3" priority="55" operator="containsText" text="В строю">
      <formula>NOT(ISERROR(SEARCH(("В строю"),(U1546))))</formula>
    </cfRule>
  </conditionalFormatting>
  <conditionalFormatting sqref="U1546">
    <cfRule type="containsText" dxfId="4" priority="56" operator="containsText" text="Відпустка">
      <formula>NOT(ISERROR(SEARCH(("Відпустка"),(U1546))))</formula>
    </cfRule>
  </conditionalFormatting>
  <conditionalFormatting sqref="U1546">
    <cfRule type="containsText" dxfId="5" priority="57" operator="containsText" text="СЗЧ">
      <formula>NOT(ISERROR(SEARCH(("СЗЧ"),(U1546))))</formula>
    </cfRule>
  </conditionalFormatting>
  <conditionalFormatting sqref="U1546">
    <cfRule type="containsText" dxfId="6" priority="58" operator="containsText" text="Зниклі безвісти">
      <formula>NOT(ISERROR(SEARCH(("Зниклі безвісти"),(U1546))))</formula>
    </cfRule>
  </conditionalFormatting>
  <conditionalFormatting sqref="U1546">
    <cfRule type="containsText" dxfId="7" priority="59" operator="containsText" text="Від-ні навчання">
      <formula>NOT(ISERROR(SEARCH(("Від-ні навчання"),(U1546))))</formula>
    </cfRule>
  </conditionalFormatting>
  <conditionalFormatting sqref="U1546">
    <cfRule type="containsText" dxfId="8" priority="60" operator="containsText" text="Відком. за межі ПБ">
      <formula>NOT(ISERROR(SEARCH(("Відком. за межі ПБ"),(U1546))))</formula>
    </cfRule>
  </conditionalFormatting>
  <conditionalFormatting sqref="U1546">
    <cfRule type="containsText" dxfId="9" priority="61" operator="containsText" text="Загиблі">
      <formula>NOT(ISERROR(SEARCH(("Загиблі"),(U1546))))</formula>
    </cfRule>
  </conditionalFormatting>
  <conditionalFormatting sqref="U1546">
    <cfRule type="containsText" dxfId="10" priority="62" operator="containsText" text="Лікування">
      <formula>NOT(ISERROR(SEARCH(("Лікування"),(U1546))))</formula>
    </cfRule>
  </conditionalFormatting>
  <conditionalFormatting sqref="AK1546">
    <cfRule type="containsText" dxfId="18" priority="63" operator="containsText" text="В строю">
      <formula>NOT(ISERROR(SEARCH(("В строю"),(AK1546))))</formula>
    </cfRule>
  </conditionalFormatting>
  <conditionalFormatting sqref="AK1546">
    <cfRule type="containsText" dxfId="8" priority="64" operator="containsText" text="Від-ні за межі бату">
      <formula>NOT(ISERROR(SEARCH(("Від-ні за межі бату"),(AK1546))))</formula>
    </cfRule>
  </conditionalFormatting>
  <conditionalFormatting sqref="AK1546">
    <cfRule type="containsText" dxfId="17" priority="65" operator="containsText" text="Відпустка">
      <formula>NOT(ISERROR(SEARCH(("Відпустка"),(AK1546))))</formula>
    </cfRule>
  </conditionalFormatting>
  <conditionalFormatting sqref="AK1546">
    <cfRule type="containsText" dxfId="16" priority="66" operator="containsText" text="Мед.пункт">
      <formula>NOT(ISERROR(SEARCH(("Мед.пункт"),(AK1546))))</formula>
    </cfRule>
  </conditionalFormatting>
  <conditionalFormatting sqref="AK1546">
    <cfRule type="containsText" dxfId="15" priority="67" operator="containsText" text="СТАТУС">
      <formula>NOT(ISERROR(SEARCH(("СТАТУС"),(AK1546))))</formula>
    </cfRule>
  </conditionalFormatting>
  <conditionalFormatting sqref="AK1546">
    <cfRule type="containsText" dxfId="14" priority="68" operator="containsText" text="Лікування">
      <formula>NOT(ISERROR(SEARCH(("Лікування"),(AK1546))))</formula>
    </cfRule>
  </conditionalFormatting>
  <conditionalFormatting sqref="AK1546">
    <cfRule type="containsText" dxfId="13" priority="69" operator="containsText" text="СЗЧ">
      <formula>NOT(ISERROR(SEARCH(("СЗЧ"),(AK1546))))</formula>
    </cfRule>
  </conditionalFormatting>
  <conditionalFormatting sqref="AK1546">
    <cfRule type="cellIs" dxfId="12" priority="70" operator="equal">
      <formula>SUM(#REF!)</formula>
    </cfRule>
  </conditionalFormatting>
  <conditionalFormatting sqref="AK1546">
    <cfRule type="containsText" dxfId="11" priority="71" operator="containsText" text="Зниклі безвісти">
      <formula>NOT(ISERROR(SEARCH(("Зниклі безвісти"),(AK1546))))</formula>
    </cfRule>
  </conditionalFormatting>
  <conditionalFormatting sqref="Q1531">
    <cfRule type="cellIs" dxfId="9" priority="72" operator="notEqual">
      <formula>P1531</formula>
    </cfRule>
  </conditionalFormatting>
  <conditionalFormatting sqref="Q1531">
    <cfRule type="cellIs" dxfId="3" priority="73" operator="equal">
      <formula>P1531</formula>
    </cfRule>
  </conditionalFormatting>
  <conditionalFormatting sqref="U1531">
    <cfRule type="containsText" dxfId="3" priority="74" operator="containsText" text="В строю">
      <formula>NOT(ISERROR(SEARCH(("В строю"),(U1531))))</formula>
    </cfRule>
  </conditionalFormatting>
  <conditionalFormatting sqref="U1531">
    <cfRule type="containsText" dxfId="4" priority="75" operator="containsText" text="Відпустка">
      <formula>NOT(ISERROR(SEARCH(("Відпустка"),(U1531))))</formula>
    </cfRule>
  </conditionalFormatting>
  <conditionalFormatting sqref="U1531">
    <cfRule type="containsText" dxfId="5" priority="76" operator="containsText" text="СЗЧ">
      <formula>NOT(ISERROR(SEARCH(("СЗЧ"),(U1531))))</formula>
    </cfRule>
  </conditionalFormatting>
  <conditionalFormatting sqref="U1531">
    <cfRule type="containsText" dxfId="6" priority="77" operator="containsText" text="Зниклі безвісти">
      <formula>NOT(ISERROR(SEARCH(("Зниклі безвісти"),(U1531))))</formula>
    </cfRule>
  </conditionalFormatting>
  <conditionalFormatting sqref="U1531">
    <cfRule type="containsText" dxfId="7" priority="78" operator="containsText" text="Від-ні навчання">
      <formula>NOT(ISERROR(SEARCH(("Від-ні навчання"),(U1531))))</formula>
    </cfRule>
  </conditionalFormatting>
  <conditionalFormatting sqref="U1531">
    <cfRule type="containsText" dxfId="8" priority="79" operator="containsText" text="Відком. за межі ПБ">
      <formula>NOT(ISERROR(SEARCH(("Відком. за межі ПБ"),(U1531))))</formula>
    </cfRule>
  </conditionalFormatting>
  <conditionalFormatting sqref="U1531">
    <cfRule type="containsText" dxfId="9" priority="80" operator="containsText" text="Загиблі">
      <formula>NOT(ISERROR(SEARCH(("Загиблі"),(U1531))))</formula>
    </cfRule>
  </conditionalFormatting>
  <conditionalFormatting sqref="U1531">
    <cfRule type="containsText" dxfId="10" priority="81" operator="containsText" text="Лікування">
      <formula>NOT(ISERROR(SEARCH(("Лікування"),(U1531))))</formula>
    </cfRule>
  </conditionalFormatting>
  <conditionalFormatting sqref="N1531">
    <cfRule type="expression" dxfId="0" priority="82">
      <formula>COUNTIF(#REF!, N1531) &gt; 1</formula>
    </cfRule>
  </conditionalFormatting>
  <conditionalFormatting sqref="U1531">
    <cfRule type="containsText" dxfId="10" priority="83" operator="containsText" text="Лікування">
      <formula>NOT(ISERROR(SEARCH(("Лікування"),(U1531))))</formula>
    </cfRule>
  </conditionalFormatting>
  <conditionalFormatting sqref="U1531">
    <cfRule type="containsText" dxfId="9" priority="84" operator="containsText" text="Загиблі">
      <formula>NOT(ISERROR(SEARCH(("Загиблі"),(U1531))))</formula>
    </cfRule>
  </conditionalFormatting>
  <conditionalFormatting sqref="U1531">
    <cfRule type="containsText" dxfId="8" priority="85" operator="containsText" text="Відком. за межі ПБ">
      <formula>NOT(ISERROR(SEARCH(("Відком. за межі ПБ"),(U1531))))</formula>
    </cfRule>
  </conditionalFormatting>
  <conditionalFormatting sqref="U1531">
    <cfRule type="containsText" dxfId="7" priority="86" operator="containsText" text="Від-ні навчання">
      <formula>NOT(ISERROR(SEARCH(("Від-ні навчання"),(U1531))))</formula>
    </cfRule>
  </conditionalFormatting>
  <conditionalFormatting sqref="U1531">
    <cfRule type="containsText" dxfId="6" priority="87" operator="containsText" text="Зниклі безвісти">
      <formula>NOT(ISERROR(SEARCH(("Зниклі безвісти"),(U1531))))</formula>
    </cfRule>
  </conditionalFormatting>
  <conditionalFormatting sqref="U1531">
    <cfRule type="containsText" dxfId="5" priority="88" operator="containsText" text="СЗЧ">
      <formula>NOT(ISERROR(SEARCH(("СЗЧ"),(U1531))))</formula>
    </cfRule>
  </conditionalFormatting>
  <conditionalFormatting sqref="U1531">
    <cfRule type="containsText" dxfId="4" priority="89" operator="containsText" text="Відпустка">
      <formula>NOT(ISERROR(SEARCH(("Відпустка"),(U1531))))</formula>
    </cfRule>
  </conditionalFormatting>
  <conditionalFormatting sqref="U1531">
    <cfRule type="containsText" dxfId="3" priority="90" operator="containsText" text="В строю">
      <formula>NOT(ISERROR(SEARCH(("В строю"),(U1531))))</formula>
    </cfRule>
  </conditionalFormatting>
  <conditionalFormatting sqref="N1527">
    <cfRule type="expression" dxfId="0" priority="91">
      <formula>COUNTIF(#REF!, N1527) &gt; 1</formula>
    </cfRule>
  </conditionalFormatting>
  <conditionalFormatting sqref="U1527">
    <cfRule type="containsText" dxfId="3" priority="92" operator="containsText" text="В строю">
      <formula>NOT(ISERROR(SEARCH(("В строю"),(U1527))))</formula>
    </cfRule>
  </conditionalFormatting>
  <conditionalFormatting sqref="U1527">
    <cfRule type="containsText" dxfId="4" priority="93" operator="containsText" text="Відпустка">
      <formula>NOT(ISERROR(SEARCH(("Відпустка"),(U1527))))</formula>
    </cfRule>
  </conditionalFormatting>
  <conditionalFormatting sqref="U1527">
    <cfRule type="containsText" dxfId="5" priority="94" operator="containsText" text="СЗЧ">
      <formula>NOT(ISERROR(SEARCH(("СЗЧ"),(U1527))))</formula>
    </cfRule>
  </conditionalFormatting>
  <conditionalFormatting sqref="U1527">
    <cfRule type="containsText" dxfId="6" priority="95" operator="containsText" text="Зниклі безвісти">
      <formula>NOT(ISERROR(SEARCH(("Зниклі безвісти"),(U1527))))</formula>
    </cfRule>
  </conditionalFormatting>
  <conditionalFormatting sqref="U1527">
    <cfRule type="containsText" dxfId="7" priority="96" operator="containsText" text="Від-ні навчання">
      <formula>NOT(ISERROR(SEARCH(("Від-ні навчання"),(U1527))))</formula>
    </cfRule>
  </conditionalFormatting>
  <conditionalFormatting sqref="U1527">
    <cfRule type="containsText" dxfId="8" priority="97" operator="containsText" text="Відком. за межі ПБ">
      <formula>NOT(ISERROR(SEARCH(("Відком. за межі ПБ"),(U1527))))</formula>
    </cfRule>
  </conditionalFormatting>
  <conditionalFormatting sqref="U1527">
    <cfRule type="containsText" dxfId="9" priority="98" operator="containsText" text="Загиблі">
      <formula>NOT(ISERROR(SEARCH(("Загиблі"),(U1527))))</formula>
    </cfRule>
  </conditionalFormatting>
  <conditionalFormatting sqref="U1527">
    <cfRule type="containsText" dxfId="10" priority="99" operator="containsText" text="Лікування">
      <formula>NOT(ISERROR(SEARCH(("Лікування"),(U1527))))</formula>
    </cfRule>
  </conditionalFormatting>
  <conditionalFormatting sqref="U1527">
    <cfRule type="containsText" dxfId="10" priority="100" operator="containsText" text="Лікування">
      <formula>NOT(ISERROR(SEARCH(("Лікування"),(U1527))))</formula>
    </cfRule>
  </conditionalFormatting>
  <conditionalFormatting sqref="U1527">
    <cfRule type="containsText" dxfId="9" priority="101" operator="containsText" text="Загиблі">
      <formula>NOT(ISERROR(SEARCH(("Загиблі"),(U1527))))</formula>
    </cfRule>
  </conditionalFormatting>
  <conditionalFormatting sqref="U1527">
    <cfRule type="containsText" dxfId="8" priority="102" operator="containsText" text="Відком. за межі ПБ">
      <formula>NOT(ISERROR(SEARCH(("Відком. за межі ПБ"),(U1527))))</formula>
    </cfRule>
  </conditionalFormatting>
  <conditionalFormatting sqref="U1527">
    <cfRule type="containsText" dxfId="7" priority="103" operator="containsText" text="Від-ні навчання">
      <formula>NOT(ISERROR(SEARCH(("Від-ні навчання"),(U1527))))</formula>
    </cfRule>
  </conditionalFormatting>
  <conditionalFormatting sqref="U1527">
    <cfRule type="containsText" dxfId="6" priority="104" operator="containsText" text="Зниклі безвісти">
      <formula>NOT(ISERROR(SEARCH(("Зниклі безвісти"),(U1527))))</formula>
    </cfRule>
  </conditionalFormatting>
  <conditionalFormatting sqref="U1527">
    <cfRule type="containsText" dxfId="5" priority="105" operator="containsText" text="СЗЧ">
      <formula>NOT(ISERROR(SEARCH(("СЗЧ"),(U1527))))</formula>
    </cfRule>
  </conditionalFormatting>
  <conditionalFormatting sqref="U1527">
    <cfRule type="containsText" dxfId="4" priority="106" operator="containsText" text="Відпустка">
      <formula>NOT(ISERROR(SEARCH(("Відпустка"),(U1527))))</formula>
    </cfRule>
  </conditionalFormatting>
  <conditionalFormatting sqref="U1527">
    <cfRule type="containsText" dxfId="3" priority="107" operator="containsText" text="В строю">
      <formula>NOT(ISERROR(SEARCH(("В строю"),(U1527))))</formula>
    </cfRule>
  </conditionalFormatting>
  <conditionalFormatting sqref="Q1527">
    <cfRule type="cellIs" dxfId="9" priority="108" operator="notEqual">
      <formula>P1527</formula>
    </cfRule>
  </conditionalFormatting>
  <conditionalFormatting sqref="Q1527">
    <cfRule type="cellIs" dxfId="3" priority="109" operator="equal">
      <formula>P1527</formula>
    </cfRule>
  </conditionalFormatting>
  <conditionalFormatting sqref="N1526">
    <cfRule type="expression" dxfId="0" priority="110">
      <formula>COUNTIF(#REF!, N1526) &gt; 1</formula>
    </cfRule>
  </conditionalFormatting>
  <conditionalFormatting sqref="U1526">
    <cfRule type="containsText" dxfId="10" priority="111" operator="containsText" text="Лікування">
      <formula>NOT(ISERROR(SEARCH(("Лікування"),(U1526))))</formula>
    </cfRule>
  </conditionalFormatting>
  <conditionalFormatting sqref="U1526">
    <cfRule type="containsText" dxfId="9" priority="112" operator="containsText" text="Загиблі">
      <formula>NOT(ISERROR(SEARCH(("Загиблі"),(U1526))))</formula>
    </cfRule>
  </conditionalFormatting>
  <conditionalFormatting sqref="U1526">
    <cfRule type="containsText" dxfId="8" priority="113" operator="containsText" text="Відком. за межі ПБ">
      <formula>NOT(ISERROR(SEARCH(("Відком. за межі ПБ"),(U1526))))</formula>
    </cfRule>
  </conditionalFormatting>
  <conditionalFormatting sqref="U1526">
    <cfRule type="containsText" dxfId="7" priority="114" operator="containsText" text="Від-ні навчання">
      <formula>NOT(ISERROR(SEARCH(("Від-ні навчання"),(U1526))))</formula>
    </cfRule>
  </conditionalFormatting>
  <conditionalFormatting sqref="U1526">
    <cfRule type="containsText" dxfId="6" priority="115" operator="containsText" text="Зниклі безвісти">
      <formula>NOT(ISERROR(SEARCH(("Зниклі безвісти"),(U1526))))</formula>
    </cfRule>
  </conditionalFormatting>
  <conditionalFormatting sqref="U1526">
    <cfRule type="containsText" dxfId="5" priority="116" operator="containsText" text="СЗЧ">
      <formula>NOT(ISERROR(SEARCH(("СЗЧ"),(U1526))))</formula>
    </cfRule>
  </conditionalFormatting>
  <conditionalFormatting sqref="U1526">
    <cfRule type="containsText" dxfId="4" priority="117" operator="containsText" text="Відпустка">
      <formula>NOT(ISERROR(SEARCH(("Відпустка"),(U1526))))</formula>
    </cfRule>
  </conditionalFormatting>
  <conditionalFormatting sqref="U1526">
    <cfRule type="containsText" dxfId="3" priority="118" operator="containsText" text="В строю">
      <formula>NOT(ISERROR(SEARCH(("В строю"),(U1526))))</formula>
    </cfRule>
  </conditionalFormatting>
  <conditionalFormatting sqref="Q1526">
    <cfRule type="cellIs" dxfId="9" priority="119" operator="notEqual">
      <formula>P1526</formula>
    </cfRule>
  </conditionalFormatting>
  <conditionalFormatting sqref="Q1526">
    <cfRule type="cellIs" dxfId="3" priority="120" operator="equal">
      <formula>P1526</formula>
    </cfRule>
  </conditionalFormatting>
  <conditionalFormatting sqref="U1526">
    <cfRule type="containsText" dxfId="3" priority="121" operator="containsText" text="В строю">
      <formula>NOT(ISERROR(SEARCH(("В строю"),(U1526))))</formula>
    </cfRule>
  </conditionalFormatting>
  <conditionalFormatting sqref="U1526">
    <cfRule type="containsText" dxfId="4" priority="122" operator="containsText" text="Відпустка">
      <formula>NOT(ISERROR(SEARCH(("Відпустка"),(U1526))))</formula>
    </cfRule>
  </conditionalFormatting>
  <conditionalFormatting sqref="U1526">
    <cfRule type="containsText" dxfId="5" priority="123" operator="containsText" text="СЗЧ">
      <formula>NOT(ISERROR(SEARCH(("СЗЧ"),(U1526))))</formula>
    </cfRule>
  </conditionalFormatting>
  <conditionalFormatting sqref="U1526">
    <cfRule type="containsText" dxfId="6" priority="124" operator="containsText" text="Зниклі безвісти">
      <formula>NOT(ISERROR(SEARCH(("Зниклі безвісти"),(U1526))))</formula>
    </cfRule>
  </conditionalFormatting>
  <conditionalFormatting sqref="U1526">
    <cfRule type="containsText" dxfId="7" priority="125" operator="containsText" text="Від-ні навчання">
      <formula>NOT(ISERROR(SEARCH(("Від-ні навчання"),(U1526))))</formula>
    </cfRule>
  </conditionalFormatting>
  <conditionalFormatting sqref="U1526">
    <cfRule type="containsText" dxfId="8" priority="126" operator="containsText" text="Відком. за межі ПБ">
      <formula>NOT(ISERROR(SEARCH(("Відком. за межі ПБ"),(U1526))))</formula>
    </cfRule>
  </conditionalFormatting>
  <conditionalFormatting sqref="U1526">
    <cfRule type="containsText" dxfId="9" priority="127" operator="containsText" text="Загиблі">
      <formula>NOT(ISERROR(SEARCH(("Загиблі"),(U1526))))</formula>
    </cfRule>
  </conditionalFormatting>
  <conditionalFormatting sqref="U1526">
    <cfRule type="containsText" dxfId="10" priority="128" operator="containsText" text="Лікування">
      <formula>NOT(ISERROR(SEARCH(("Лікування"),(U1526))))</formula>
    </cfRule>
  </conditionalFormatting>
  <conditionalFormatting sqref="N1525">
    <cfRule type="expression" dxfId="0" priority="129">
      <formula>COUNTIF(#REF!, N1525) &gt; 1</formula>
    </cfRule>
  </conditionalFormatting>
  <conditionalFormatting sqref="U1525">
    <cfRule type="containsText" dxfId="10" priority="130" operator="containsText" text="Лікування">
      <formula>NOT(ISERROR(SEARCH(("Лікування"),(U1525))))</formula>
    </cfRule>
  </conditionalFormatting>
  <conditionalFormatting sqref="U1525">
    <cfRule type="containsText" dxfId="9" priority="131" operator="containsText" text="Загиблі">
      <formula>NOT(ISERROR(SEARCH(("Загиблі"),(U1525))))</formula>
    </cfRule>
  </conditionalFormatting>
  <conditionalFormatting sqref="U1525">
    <cfRule type="containsText" dxfId="8" priority="132" operator="containsText" text="Відком. за межі ПБ">
      <formula>NOT(ISERROR(SEARCH(("Відком. за межі ПБ"),(U1525))))</formula>
    </cfRule>
  </conditionalFormatting>
  <conditionalFormatting sqref="U1525">
    <cfRule type="containsText" dxfId="7" priority="133" operator="containsText" text="Від-ні навчання">
      <formula>NOT(ISERROR(SEARCH(("Від-ні навчання"),(U1525))))</formula>
    </cfRule>
  </conditionalFormatting>
  <conditionalFormatting sqref="U1525">
    <cfRule type="containsText" dxfId="6" priority="134" operator="containsText" text="Зниклі безвісти">
      <formula>NOT(ISERROR(SEARCH(("Зниклі безвісти"),(U1525))))</formula>
    </cfRule>
  </conditionalFormatting>
  <conditionalFormatting sqref="U1525">
    <cfRule type="containsText" dxfId="5" priority="135" operator="containsText" text="СЗЧ">
      <formula>NOT(ISERROR(SEARCH(("СЗЧ"),(U1525))))</formula>
    </cfRule>
  </conditionalFormatting>
  <conditionalFormatting sqref="U1525">
    <cfRule type="containsText" dxfId="4" priority="136" operator="containsText" text="Відпустка">
      <formula>NOT(ISERROR(SEARCH(("Відпустка"),(U1525))))</formula>
    </cfRule>
  </conditionalFormatting>
  <conditionalFormatting sqref="U1525">
    <cfRule type="containsText" dxfId="3" priority="137" operator="containsText" text="В строю">
      <formula>NOT(ISERROR(SEARCH(("В строю"),(U1525))))</formula>
    </cfRule>
  </conditionalFormatting>
  <conditionalFormatting sqref="U1525">
    <cfRule type="containsText" dxfId="3" priority="138" operator="containsText" text="В строю">
      <formula>NOT(ISERROR(SEARCH(("В строю"),(U1525))))</formula>
    </cfRule>
  </conditionalFormatting>
  <conditionalFormatting sqref="U1525">
    <cfRule type="containsText" dxfId="4" priority="139" operator="containsText" text="Відпустка">
      <formula>NOT(ISERROR(SEARCH(("Відпустка"),(U1525))))</formula>
    </cfRule>
  </conditionalFormatting>
  <conditionalFormatting sqref="U1525">
    <cfRule type="containsText" dxfId="5" priority="140" operator="containsText" text="СЗЧ">
      <formula>NOT(ISERROR(SEARCH(("СЗЧ"),(U1525))))</formula>
    </cfRule>
  </conditionalFormatting>
  <conditionalFormatting sqref="U1525">
    <cfRule type="containsText" dxfId="6" priority="141" operator="containsText" text="Зниклі безвісти">
      <formula>NOT(ISERROR(SEARCH(("Зниклі безвісти"),(U1525))))</formula>
    </cfRule>
  </conditionalFormatting>
  <conditionalFormatting sqref="U1525">
    <cfRule type="containsText" dxfId="7" priority="142" operator="containsText" text="Від-ні навчання">
      <formula>NOT(ISERROR(SEARCH(("Від-ні навчання"),(U1525))))</formula>
    </cfRule>
  </conditionalFormatting>
  <conditionalFormatting sqref="U1525">
    <cfRule type="containsText" dxfId="8" priority="143" operator="containsText" text="Відком. за межі ПБ">
      <formula>NOT(ISERROR(SEARCH(("Відком. за межі ПБ"),(U1525))))</formula>
    </cfRule>
  </conditionalFormatting>
  <conditionalFormatting sqref="U1525">
    <cfRule type="containsText" dxfId="9" priority="144" operator="containsText" text="Загиблі">
      <formula>NOT(ISERROR(SEARCH(("Загиблі"),(U1525))))</formula>
    </cfRule>
  </conditionalFormatting>
  <conditionalFormatting sqref="U1525">
    <cfRule type="containsText" dxfId="10" priority="145" operator="containsText" text="Лікування">
      <formula>NOT(ISERROR(SEARCH(("Лікування"),(U1525))))</formula>
    </cfRule>
  </conditionalFormatting>
  <conditionalFormatting sqref="Q1525">
    <cfRule type="cellIs" dxfId="9" priority="146" operator="notEqual">
      <formula>P1525</formula>
    </cfRule>
  </conditionalFormatting>
  <conditionalFormatting sqref="Q1525">
    <cfRule type="cellIs" dxfId="3" priority="147" operator="equal">
      <formula>P1525</formula>
    </cfRule>
  </conditionalFormatting>
  <conditionalFormatting sqref="N1524">
    <cfRule type="expression" dxfId="0" priority="148">
      <formula>COUNTIF(#REF!, N1524) &gt; 1</formula>
    </cfRule>
  </conditionalFormatting>
  <conditionalFormatting sqref="Q1524">
    <cfRule type="cellIs" dxfId="9" priority="149" operator="notEqual">
      <formula>P1524</formula>
    </cfRule>
  </conditionalFormatting>
  <conditionalFormatting sqref="Q1524">
    <cfRule type="cellIs" dxfId="3" priority="150" operator="equal">
      <formula>P1524</formula>
    </cfRule>
  </conditionalFormatting>
  <conditionalFormatting sqref="U1524">
    <cfRule type="containsText" dxfId="10" priority="151" operator="containsText" text="Лікування">
      <formula>NOT(ISERROR(SEARCH(("Лікування"),(U1524))))</formula>
    </cfRule>
  </conditionalFormatting>
  <conditionalFormatting sqref="U1524">
    <cfRule type="containsText" dxfId="9" priority="152" operator="containsText" text="Загиблі">
      <formula>NOT(ISERROR(SEARCH(("Загиблі"),(U1524))))</formula>
    </cfRule>
  </conditionalFormatting>
  <conditionalFormatting sqref="U1524">
    <cfRule type="containsText" dxfId="8" priority="153" operator="containsText" text="Відком. за межі ПБ">
      <formula>NOT(ISERROR(SEARCH(("Відком. за межі ПБ"),(U1524))))</formula>
    </cfRule>
  </conditionalFormatting>
  <conditionalFormatting sqref="U1524">
    <cfRule type="containsText" dxfId="7" priority="154" operator="containsText" text="Від-ні навчання">
      <formula>NOT(ISERROR(SEARCH(("Від-ні навчання"),(U1524))))</formula>
    </cfRule>
  </conditionalFormatting>
  <conditionalFormatting sqref="U1524">
    <cfRule type="containsText" dxfId="6" priority="155" operator="containsText" text="Зниклі безвісти">
      <formula>NOT(ISERROR(SEARCH(("Зниклі безвісти"),(U1524))))</formula>
    </cfRule>
  </conditionalFormatting>
  <conditionalFormatting sqref="U1524">
    <cfRule type="containsText" dxfId="5" priority="156" operator="containsText" text="СЗЧ">
      <formula>NOT(ISERROR(SEARCH(("СЗЧ"),(U1524))))</formula>
    </cfRule>
  </conditionalFormatting>
  <conditionalFormatting sqref="U1524">
    <cfRule type="containsText" dxfId="4" priority="157" operator="containsText" text="Відпустка">
      <formula>NOT(ISERROR(SEARCH(("Відпустка"),(U1524))))</formula>
    </cfRule>
  </conditionalFormatting>
  <conditionalFormatting sqref="U1524">
    <cfRule type="containsText" dxfId="3" priority="158" operator="containsText" text="В строю">
      <formula>NOT(ISERROR(SEARCH(("В строю"),(U1524))))</formula>
    </cfRule>
  </conditionalFormatting>
  <conditionalFormatting sqref="U1524">
    <cfRule type="containsText" dxfId="3" priority="159" operator="containsText" text="В строю">
      <formula>NOT(ISERROR(SEARCH(("В строю"),(U1524))))</formula>
    </cfRule>
  </conditionalFormatting>
  <conditionalFormatting sqref="U1524">
    <cfRule type="containsText" dxfId="4" priority="160" operator="containsText" text="Відпустка">
      <formula>NOT(ISERROR(SEARCH(("Відпустка"),(U1524))))</formula>
    </cfRule>
  </conditionalFormatting>
  <conditionalFormatting sqref="U1524">
    <cfRule type="containsText" dxfId="5" priority="161" operator="containsText" text="СЗЧ">
      <formula>NOT(ISERROR(SEARCH(("СЗЧ"),(U1524))))</formula>
    </cfRule>
  </conditionalFormatting>
  <conditionalFormatting sqref="U1524">
    <cfRule type="containsText" dxfId="6" priority="162" operator="containsText" text="Зниклі безвісти">
      <formula>NOT(ISERROR(SEARCH(("Зниклі безвісти"),(U1524))))</formula>
    </cfRule>
  </conditionalFormatting>
  <conditionalFormatting sqref="U1524">
    <cfRule type="containsText" dxfId="7" priority="163" operator="containsText" text="Від-ні навчання">
      <formula>NOT(ISERROR(SEARCH(("Від-ні навчання"),(U1524))))</formula>
    </cfRule>
  </conditionalFormatting>
  <conditionalFormatting sqref="U1524">
    <cfRule type="containsText" dxfId="8" priority="164" operator="containsText" text="Відком. за межі ПБ">
      <formula>NOT(ISERROR(SEARCH(("Відком. за межі ПБ"),(U1524))))</formula>
    </cfRule>
  </conditionalFormatting>
  <conditionalFormatting sqref="U1524">
    <cfRule type="containsText" dxfId="9" priority="165" operator="containsText" text="Загиблі">
      <formula>NOT(ISERROR(SEARCH(("Загиблі"),(U1524))))</formula>
    </cfRule>
  </conditionalFormatting>
  <conditionalFormatting sqref="U1524">
    <cfRule type="containsText" dxfId="10" priority="166" operator="containsText" text="Лікування">
      <formula>NOT(ISERROR(SEARCH(("Лікування"),(U1524))))</formula>
    </cfRule>
  </conditionalFormatting>
  <conditionalFormatting sqref="U1523">
    <cfRule type="containsText" dxfId="10" priority="167" operator="containsText" text="Лікування">
      <formula>NOT(ISERROR(SEARCH(("Лікування"),(U1523))))</formula>
    </cfRule>
  </conditionalFormatting>
  <conditionalFormatting sqref="U1523">
    <cfRule type="containsText" dxfId="9" priority="168" operator="containsText" text="Загиблі">
      <formula>NOT(ISERROR(SEARCH(("Загиблі"),(U1523))))</formula>
    </cfRule>
  </conditionalFormatting>
  <conditionalFormatting sqref="U1523">
    <cfRule type="containsText" dxfId="8" priority="169" operator="containsText" text="Відком. за межі ПБ">
      <formula>NOT(ISERROR(SEARCH(("Відком. за межі ПБ"),(U1523))))</formula>
    </cfRule>
  </conditionalFormatting>
  <conditionalFormatting sqref="U1523">
    <cfRule type="containsText" dxfId="7" priority="170" operator="containsText" text="Від-ні навчання">
      <formula>NOT(ISERROR(SEARCH(("Від-ні навчання"),(U1523))))</formula>
    </cfRule>
  </conditionalFormatting>
  <conditionalFormatting sqref="U1523">
    <cfRule type="containsText" dxfId="6" priority="171" operator="containsText" text="Зниклі безвісти">
      <formula>NOT(ISERROR(SEARCH(("Зниклі безвісти"),(U1523))))</formula>
    </cfRule>
  </conditionalFormatting>
  <conditionalFormatting sqref="U1523">
    <cfRule type="containsText" dxfId="5" priority="172" operator="containsText" text="СЗЧ">
      <formula>NOT(ISERROR(SEARCH(("СЗЧ"),(U1523))))</formula>
    </cfRule>
  </conditionalFormatting>
  <conditionalFormatting sqref="U1523">
    <cfRule type="containsText" dxfId="4" priority="173" operator="containsText" text="Відпустка">
      <formula>NOT(ISERROR(SEARCH(("Відпустка"),(U1523))))</formula>
    </cfRule>
  </conditionalFormatting>
  <conditionalFormatting sqref="U1523">
    <cfRule type="containsText" dxfId="3" priority="174" operator="containsText" text="В строю">
      <formula>NOT(ISERROR(SEARCH(("В строю"),(U1523))))</formula>
    </cfRule>
  </conditionalFormatting>
  <conditionalFormatting sqref="U1523">
    <cfRule type="containsText" dxfId="3" priority="175" operator="containsText" text="В строю">
      <formula>NOT(ISERROR(SEARCH(("В строю"),(U1523))))</formula>
    </cfRule>
  </conditionalFormatting>
  <conditionalFormatting sqref="U1523">
    <cfRule type="containsText" dxfId="4" priority="176" operator="containsText" text="Відпустка">
      <formula>NOT(ISERROR(SEARCH(("Відпустка"),(U1523))))</formula>
    </cfRule>
  </conditionalFormatting>
  <conditionalFormatting sqref="U1523">
    <cfRule type="containsText" dxfId="5" priority="177" operator="containsText" text="СЗЧ">
      <formula>NOT(ISERROR(SEARCH(("СЗЧ"),(U1523))))</formula>
    </cfRule>
  </conditionalFormatting>
  <conditionalFormatting sqref="U1523">
    <cfRule type="containsText" dxfId="6" priority="178" operator="containsText" text="Зниклі безвісти">
      <formula>NOT(ISERROR(SEARCH(("Зниклі безвісти"),(U1523))))</formula>
    </cfRule>
  </conditionalFormatting>
  <conditionalFormatting sqref="U1523">
    <cfRule type="containsText" dxfId="7" priority="179" operator="containsText" text="Від-ні навчання">
      <formula>NOT(ISERROR(SEARCH(("Від-ні навчання"),(U1523))))</formula>
    </cfRule>
  </conditionalFormatting>
  <conditionalFormatting sqref="U1523">
    <cfRule type="containsText" dxfId="8" priority="180" operator="containsText" text="Відком. за межі ПБ">
      <formula>NOT(ISERROR(SEARCH(("Відком. за межі ПБ"),(U1523))))</formula>
    </cfRule>
  </conditionalFormatting>
  <conditionalFormatting sqref="U1523">
    <cfRule type="containsText" dxfId="9" priority="181" operator="containsText" text="Загиблі">
      <formula>NOT(ISERROR(SEARCH(("Загиблі"),(U1523))))</formula>
    </cfRule>
  </conditionalFormatting>
  <conditionalFormatting sqref="U1523">
    <cfRule type="containsText" dxfId="10" priority="182" operator="containsText" text="Лікування">
      <formula>NOT(ISERROR(SEARCH(("Лікування"),(U1523))))</formula>
    </cfRule>
  </conditionalFormatting>
  <conditionalFormatting sqref="U1523">
    <cfRule type="containsText" dxfId="3" priority="183" operator="containsText" text="В строю">
      <formula>NOT(ISERROR(SEARCH(("В строю"),(U1523))))</formula>
    </cfRule>
  </conditionalFormatting>
  <conditionalFormatting sqref="U1523">
    <cfRule type="containsText" dxfId="4" priority="184" operator="containsText" text="Відпустка">
      <formula>NOT(ISERROR(SEARCH(("Відпустка"),(U1523))))</formula>
    </cfRule>
  </conditionalFormatting>
  <conditionalFormatting sqref="U1523">
    <cfRule type="containsText" dxfId="5" priority="185" operator="containsText" text="СЗЧ">
      <formula>NOT(ISERROR(SEARCH(("СЗЧ"),(U1523))))</formula>
    </cfRule>
  </conditionalFormatting>
  <conditionalFormatting sqref="U1523">
    <cfRule type="containsText" dxfId="6" priority="186" operator="containsText" text="Зниклі безвісти">
      <formula>NOT(ISERROR(SEARCH(("Зниклі безвісти"),(U1523))))</formula>
    </cfRule>
  </conditionalFormatting>
  <conditionalFormatting sqref="U1523">
    <cfRule type="containsText" dxfId="7" priority="187" operator="containsText" text="Від-ні навчання">
      <formula>NOT(ISERROR(SEARCH(("Від-ні навчання"),(U1523))))</formula>
    </cfRule>
  </conditionalFormatting>
  <conditionalFormatting sqref="U1523">
    <cfRule type="containsText" dxfId="8" priority="188" operator="containsText" text="Відком. за межі ПБ">
      <formula>NOT(ISERROR(SEARCH(("Відком. за межі ПБ"),(U1523))))</formula>
    </cfRule>
  </conditionalFormatting>
  <conditionalFormatting sqref="U1523">
    <cfRule type="containsText" dxfId="9" priority="189" operator="containsText" text="Загиблі">
      <formula>NOT(ISERROR(SEARCH(("Загиблі"),(U1523))))</formula>
    </cfRule>
  </conditionalFormatting>
  <conditionalFormatting sqref="U1523">
    <cfRule type="containsText" dxfId="10" priority="190" operator="containsText" text="Лікування">
      <formula>NOT(ISERROR(SEARCH(("Лікування"),(U1523))))</formula>
    </cfRule>
  </conditionalFormatting>
  <conditionalFormatting sqref="N1523">
    <cfRule type="expression" dxfId="0" priority="191">
      <formula>COUNTIF(#REF!, N1523) &gt; 1</formula>
    </cfRule>
  </conditionalFormatting>
  <conditionalFormatting sqref="Q1523">
    <cfRule type="cellIs" dxfId="3" priority="192" operator="equal">
      <formula>P1523</formula>
    </cfRule>
  </conditionalFormatting>
  <conditionalFormatting sqref="Q1523">
    <cfRule type="cellIs" dxfId="9" priority="193" operator="notEqual">
      <formula>P1523</formula>
    </cfRule>
  </conditionalFormatting>
  <conditionalFormatting sqref="AK1510">
    <cfRule type="containsText" dxfId="18" priority="194" operator="containsText" text="В строю">
      <formula>NOT(ISERROR(SEARCH(("В строю"),(AK1510))))</formula>
    </cfRule>
  </conditionalFormatting>
  <conditionalFormatting sqref="AK1510">
    <cfRule type="containsText" dxfId="8" priority="195" operator="containsText" text="Від-ні за межі бату">
      <formula>NOT(ISERROR(SEARCH(("Від-ні за межі бату"),(AK1510))))</formula>
    </cfRule>
  </conditionalFormatting>
  <conditionalFormatting sqref="AK1510">
    <cfRule type="containsText" dxfId="17" priority="196" operator="containsText" text="Відпустка">
      <formula>NOT(ISERROR(SEARCH(("Відпустка"),(AK1510))))</formula>
    </cfRule>
  </conditionalFormatting>
  <conditionalFormatting sqref="AK1510">
    <cfRule type="containsText" dxfId="16" priority="197" operator="containsText" text="Мед.пункт">
      <formula>NOT(ISERROR(SEARCH(("Мед.пункт"),(AK1510))))</formula>
    </cfRule>
  </conditionalFormatting>
  <conditionalFormatting sqref="AK1510">
    <cfRule type="containsText" dxfId="15" priority="198" operator="containsText" text="СТАТУС">
      <formula>NOT(ISERROR(SEARCH(("СТАТУС"),(AK1510))))</formula>
    </cfRule>
  </conditionalFormatting>
  <conditionalFormatting sqref="AK1510">
    <cfRule type="containsText" dxfId="14" priority="199" operator="containsText" text="Лікування">
      <formula>NOT(ISERROR(SEARCH(("Лікування"),(AK1510))))</formula>
    </cfRule>
  </conditionalFormatting>
  <conditionalFormatting sqref="AK1510">
    <cfRule type="containsText" dxfId="13" priority="200" operator="containsText" text="СЗЧ">
      <formula>NOT(ISERROR(SEARCH(("СЗЧ"),(AK1510))))</formula>
    </cfRule>
  </conditionalFormatting>
  <conditionalFormatting sqref="AK1510">
    <cfRule type="cellIs" dxfId="12" priority="201" operator="equal">
      <formula>SUM(#REF!)</formula>
    </cfRule>
  </conditionalFormatting>
  <conditionalFormatting sqref="AK1510">
    <cfRule type="containsText" dxfId="11" priority="202" operator="containsText" text="Зниклі безвісти">
      <formula>NOT(ISERROR(SEARCH(("Зниклі безвісти"),(AK1510))))</formula>
    </cfRule>
  </conditionalFormatting>
  <conditionalFormatting sqref="U1510">
    <cfRule type="containsText" dxfId="10" priority="203" operator="containsText" text="Лікування">
      <formula>NOT(ISERROR(SEARCH(("Лікування"),(U1510))))</formula>
    </cfRule>
  </conditionalFormatting>
  <conditionalFormatting sqref="U1510">
    <cfRule type="containsText" dxfId="9" priority="204" operator="containsText" text="Загиблі">
      <formula>NOT(ISERROR(SEARCH(("Загиблі"),(U1510))))</formula>
    </cfRule>
  </conditionalFormatting>
  <conditionalFormatting sqref="U1510">
    <cfRule type="containsText" dxfId="8" priority="205" operator="containsText" text="Відком. за межі ПБ">
      <formula>NOT(ISERROR(SEARCH(("Відком. за межі ПБ"),(U1510))))</formula>
    </cfRule>
  </conditionalFormatting>
  <conditionalFormatting sqref="U1510">
    <cfRule type="containsText" dxfId="7" priority="206" operator="containsText" text="Від-ні навчання">
      <formula>NOT(ISERROR(SEARCH(("Від-ні навчання"),(U1510))))</formula>
    </cfRule>
  </conditionalFormatting>
  <conditionalFormatting sqref="U1510">
    <cfRule type="containsText" dxfId="6" priority="207" operator="containsText" text="Зниклі безвісти">
      <formula>NOT(ISERROR(SEARCH(("Зниклі безвісти"),(U1510))))</formula>
    </cfRule>
  </conditionalFormatting>
  <conditionalFormatting sqref="U1510">
    <cfRule type="containsText" dxfId="5" priority="208" operator="containsText" text="СЗЧ">
      <formula>NOT(ISERROR(SEARCH(("СЗЧ"),(U1510))))</formula>
    </cfRule>
  </conditionalFormatting>
  <conditionalFormatting sqref="U1510">
    <cfRule type="containsText" dxfId="4" priority="209" operator="containsText" text="Відпустка">
      <formula>NOT(ISERROR(SEARCH(("Відпустка"),(U1510))))</formula>
    </cfRule>
  </conditionalFormatting>
  <conditionalFormatting sqref="U1510">
    <cfRule type="containsText" dxfId="3" priority="210" operator="containsText" text="В строю">
      <formula>NOT(ISERROR(SEARCH(("В строю"),(U1510))))</formula>
    </cfRule>
  </conditionalFormatting>
  <conditionalFormatting sqref="U1510">
    <cfRule type="containsText" dxfId="3" priority="211" operator="containsText" text="В строю">
      <formula>NOT(ISERROR(SEARCH(("В строю"),(U1510))))</formula>
    </cfRule>
  </conditionalFormatting>
  <conditionalFormatting sqref="U1510">
    <cfRule type="containsText" dxfId="4" priority="212" operator="containsText" text="Відпустка">
      <formula>NOT(ISERROR(SEARCH(("Відпустка"),(U1510))))</formula>
    </cfRule>
  </conditionalFormatting>
  <conditionalFormatting sqref="U1510">
    <cfRule type="containsText" dxfId="5" priority="213" operator="containsText" text="СЗЧ">
      <formula>NOT(ISERROR(SEARCH(("СЗЧ"),(U1510))))</formula>
    </cfRule>
  </conditionalFormatting>
  <conditionalFormatting sqref="U1510">
    <cfRule type="containsText" dxfId="6" priority="214" operator="containsText" text="Зниклі безвісти">
      <formula>NOT(ISERROR(SEARCH(("Зниклі безвісти"),(U1510))))</formula>
    </cfRule>
  </conditionalFormatting>
  <conditionalFormatting sqref="U1510">
    <cfRule type="containsText" dxfId="7" priority="215" operator="containsText" text="Від-ні навчання">
      <formula>NOT(ISERROR(SEARCH(("Від-ні навчання"),(U1510))))</formula>
    </cfRule>
  </conditionalFormatting>
  <conditionalFormatting sqref="U1510">
    <cfRule type="containsText" dxfId="8" priority="216" operator="containsText" text="Відком. за межі ПБ">
      <formula>NOT(ISERROR(SEARCH(("Відком. за межі ПБ"),(U1510))))</formula>
    </cfRule>
  </conditionalFormatting>
  <conditionalFormatting sqref="U1510">
    <cfRule type="containsText" dxfId="9" priority="217" operator="containsText" text="Загиблі">
      <formula>NOT(ISERROR(SEARCH(("Загиблі"),(U1510))))</formula>
    </cfRule>
  </conditionalFormatting>
  <conditionalFormatting sqref="U1510">
    <cfRule type="containsText" dxfId="10" priority="218" operator="containsText" text="Лікування">
      <formula>NOT(ISERROR(SEARCH(("Лікування"),(U1510))))</formula>
    </cfRule>
  </conditionalFormatting>
  <conditionalFormatting sqref="N1510:O1510">
    <cfRule type="expression" dxfId="0" priority="219">
      <formula>COUNTIF(#REF!, N1510) &gt; 1</formula>
    </cfRule>
  </conditionalFormatting>
  <conditionalFormatting sqref="Q1510">
    <cfRule type="cellIs" dxfId="9" priority="220" operator="notEqual">
      <formula>P1510</formula>
    </cfRule>
  </conditionalFormatting>
  <conditionalFormatting sqref="Q1510">
    <cfRule type="cellIs" dxfId="3" priority="221" operator="equal">
      <formula>P1510</formula>
    </cfRule>
  </conditionalFormatting>
  <conditionalFormatting sqref="O1510">
    <cfRule type="expression" dxfId="0" priority="222">
      <formula>COUNTIF(#REF!, O1510) &gt; 1</formula>
    </cfRule>
  </conditionalFormatting>
  <conditionalFormatting sqref="O1510">
    <cfRule type="expression" dxfId="0" priority="223">
      <formula>COUNTIF(#REF!, O1510) &gt; 1</formula>
    </cfRule>
  </conditionalFormatting>
  <conditionalFormatting sqref="O1510">
    <cfRule type="expression" dxfId="0" priority="224">
      <formula>COUNTIF(#REF!, O1510) &gt; 1</formula>
    </cfRule>
  </conditionalFormatting>
  <conditionalFormatting sqref="N1427:O1427">
    <cfRule type="expression" dxfId="0" priority="225">
      <formula>COUNTIF(#REF!, O1427) &gt; 1</formula>
    </cfRule>
  </conditionalFormatting>
  <conditionalFormatting sqref="N1427:P1427">
    <cfRule type="expression" dxfId="0" priority="226">
      <formula>COUNTIF(#REF!, O1427) &gt; 1</formula>
    </cfRule>
  </conditionalFormatting>
  <conditionalFormatting sqref="N1427:P1427">
    <cfRule type="expression" dxfId="0" priority="227">
      <formula>COUNTIF(#REF!, O1427) &gt; 1</formula>
    </cfRule>
  </conditionalFormatting>
  <conditionalFormatting sqref="N1427:P1427">
    <cfRule type="expression" dxfId="0" priority="228">
      <formula>COUNTIF(#REF!, N1427) &gt; 1</formula>
    </cfRule>
  </conditionalFormatting>
  <conditionalFormatting sqref="U1427">
    <cfRule type="containsText" dxfId="10" priority="229" operator="containsText" text="Лікування">
      <formula>NOT(ISERROR(SEARCH(("Лікування"),(U1427))))</formula>
    </cfRule>
  </conditionalFormatting>
  <conditionalFormatting sqref="U1427">
    <cfRule type="containsText" dxfId="9" priority="230" operator="containsText" text="Загиблі">
      <formula>NOT(ISERROR(SEARCH(("Загиблі"),(U1427))))</formula>
    </cfRule>
  </conditionalFormatting>
  <conditionalFormatting sqref="U1427">
    <cfRule type="containsText" dxfId="8" priority="231" operator="containsText" text="Відком. за межі ПБ">
      <formula>NOT(ISERROR(SEARCH(("Відком. за межі ПБ"),(U1427))))</formula>
    </cfRule>
  </conditionalFormatting>
  <conditionalFormatting sqref="U1427">
    <cfRule type="containsText" dxfId="7" priority="232" operator="containsText" text="Від-ні навчання">
      <formula>NOT(ISERROR(SEARCH(("Від-ні навчання"),(U1427))))</formula>
    </cfRule>
  </conditionalFormatting>
  <conditionalFormatting sqref="U1427">
    <cfRule type="containsText" dxfId="6" priority="233" operator="containsText" text="Зниклі безвісти">
      <formula>NOT(ISERROR(SEARCH(("Зниклі безвісти"),(U1427))))</formula>
    </cfRule>
  </conditionalFormatting>
  <conditionalFormatting sqref="U1427">
    <cfRule type="containsText" dxfId="5" priority="234" operator="containsText" text="СЗЧ">
      <formula>NOT(ISERROR(SEARCH(("СЗЧ"),(U1427))))</formula>
    </cfRule>
  </conditionalFormatting>
  <conditionalFormatting sqref="U1427">
    <cfRule type="containsText" dxfId="4" priority="235" operator="containsText" text="Відпустка">
      <formula>NOT(ISERROR(SEARCH(("Відпустка"),(U1427))))</formula>
    </cfRule>
  </conditionalFormatting>
  <conditionalFormatting sqref="U1427">
    <cfRule type="containsText" dxfId="3" priority="236" operator="containsText" text="В строю">
      <formula>NOT(ISERROR(SEARCH(("В строю"),(U1427))))</formula>
    </cfRule>
  </conditionalFormatting>
  <conditionalFormatting sqref="U1427">
    <cfRule type="containsText" dxfId="3" priority="237" operator="containsText" text="В строю">
      <formula>NOT(ISERROR(SEARCH(("В строю"),(U1427))))</formula>
    </cfRule>
  </conditionalFormatting>
  <conditionalFormatting sqref="U1427">
    <cfRule type="containsText" dxfId="4" priority="238" operator="containsText" text="Відпустка">
      <formula>NOT(ISERROR(SEARCH(("Відпустка"),(U1427))))</formula>
    </cfRule>
  </conditionalFormatting>
  <conditionalFormatting sqref="U1427">
    <cfRule type="containsText" dxfId="5" priority="239" operator="containsText" text="СЗЧ">
      <formula>NOT(ISERROR(SEARCH(("СЗЧ"),(U1427))))</formula>
    </cfRule>
  </conditionalFormatting>
  <conditionalFormatting sqref="U1427">
    <cfRule type="containsText" dxfId="6" priority="240" operator="containsText" text="Зниклі безвісти">
      <formula>NOT(ISERROR(SEARCH(("Зниклі безвісти"),(U1427))))</formula>
    </cfRule>
  </conditionalFormatting>
  <conditionalFormatting sqref="U1427">
    <cfRule type="containsText" dxfId="7" priority="241" operator="containsText" text="Від-ні навчання">
      <formula>NOT(ISERROR(SEARCH(("Від-ні навчання"),(U1427))))</formula>
    </cfRule>
  </conditionalFormatting>
  <conditionalFormatting sqref="U1427">
    <cfRule type="containsText" dxfId="8" priority="242" operator="containsText" text="Відком. за межі ПБ">
      <formula>NOT(ISERROR(SEARCH(("Відком. за межі ПБ"),(U1427))))</formula>
    </cfRule>
  </conditionalFormatting>
  <conditionalFormatting sqref="U1427">
    <cfRule type="containsText" dxfId="9" priority="243" operator="containsText" text="Загиблі">
      <formula>NOT(ISERROR(SEARCH(("Загиблі"),(U1427))))</formula>
    </cfRule>
  </conditionalFormatting>
  <conditionalFormatting sqref="U1427">
    <cfRule type="containsText" dxfId="10" priority="244" operator="containsText" text="Лікування">
      <formula>NOT(ISERROR(SEARCH(("Лікування"),(U1427))))</formula>
    </cfRule>
  </conditionalFormatting>
  <conditionalFormatting sqref="Q1427">
    <cfRule type="cellIs" dxfId="9" priority="245" operator="notEqual">
      <formula>P1427</formula>
    </cfRule>
  </conditionalFormatting>
  <conditionalFormatting sqref="Q1427">
    <cfRule type="cellIs" dxfId="3" priority="246" operator="equal">
      <formula>P1427</formula>
    </cfRule>
  </conditionalFormatting>
  <conditionalFormatting sqref="Q1427">
    <cfRule type="cellIs" dxfId="3" priority="247" operator="equal">
      <formula>P1427</formula>
    </cfRule>
  </conditionalFormatting>
  <conditionalFormatting sqref="Q1427">
    <cfRule type="cellIs" dxfId="9" priority="248" operator="notEqual">
      <formula>P1427</formula>
    </cfRule>
  </conditionalFormatting>
  <conditionalFormatting sqref="AK1427">
    <cfRule type="containsText" dxfId="18" priority="249" operator="containsText" text="В строю">
      <formula>NOT(ISERROR(SEARCH(("В строю"),(AK1427))))</formula>
    </cfRule>
  </conditionalFormatting>
  <conditionalFormatting sqref="AK1427">
    <cfRule type="containsText" dxfId="8" priority="250" operator="containsText" text="Від-ні за межі бату">
      <formula>NOT(ISERROR(SEARCH(("Від-ні за межі бату"),(AK1427))))</formula>
    </cfRule>
  </conditionalFormatting>
  <conditionalFormatting sqref="AK1427">
    <cfRule type="containsText" dxfId="17" priority="251" operator="containsText" text="Відпустка">
      <formula>NOT(ISERROR(SEARCH(("Відпустка"),(AK1427))))</formula>
    </cfRule>
  </conditionalFormatting>
  <conditionalFormatting sqref="AK1427">
    <cfRule type="containsText" dxfId="16" priority="252" operator="containsText" text="Мед.пункт">
      <formula>NOT(ISERROR(SEARCH(("Мед.пункт"),(AK1427))))</formula>
    </cfRule>
  </conditionalFormatting>
  <conditionalFormatting sqref="AK1427">
    <cfRule type="containsText" dxfId="15" priority="253" operator="containsText" text="СТАТУС">
      <formula>NOT(ISERROR(SEARCH(("СТАТУС"),(AK1427))))</formula>
    </cfRule>
  </conditionalFormatting>
  <conditionalFormatting sqref="AK1427">
    <cfRule type="containsText" dxfId="14" priority="254" operator="containsText" text="Лікування">
      <formula>NOT(ISERROR(SEARCH(("Лікування"),(AK1427))))</formula>
    </cfRule>
  </conditionalFormatting>
  <conditionalFormatting sqref="AK1427">
    <cfRule type="containsText" dxfId="13" priority="255" operator="containsText" text="СЗЧ">
      <formula>NOT(ISERROR(SEARCH(("СЗЧ"),(AK1427))))</formula>
    </cfRule>
  </conditionalFormatting>
  <conditionalFormatting sqref="AK1427">
    <cfRule type="cellIs" dxfId="12" priority="256" operator="equal">
      <formula>SUM(#REF!)</formula>
    </cfRule>
  </conditionalFormatting>
  <conditionalFormatting sqref="AK1427">
    <cfRule type="containsText" dxfId="11" priority="257" operator="containsText" text="Зниклі безвісти">
      <formula>NOT(ISERROR(SEARCH(("Зниклі безвісти"),(AK1427))))</formula>
    </cfRule>
  </conditionalFormatting>
  <conditionalFormatting sqref="N1426:O1426">
    <cfRule type="expression" dxfId="0" priority="258">
      <formula>COUNTIF(#REF!, N1426) &gt; 1</formula>
    </cfRule>
  </conditionalFormatting>
  <conditionalFormatting sqref="AK1426">
    <cfRule type="cellIs" dxfId="12" priority="259" operator="equal">
      <formula>SUM(#REF!)</formula>
    </cfRule>
  </conditionalFormatting>
  <conditionalFormatting sqref="AK1426">
    <cfRule type="containsText" dxfId="18" priority="260" operator="containsText" text="В строю">
      <formula>NOT(ISERROR(SEARCH(("В строю"),(AK1426))))</formula>
    </cfRule>
  </conditionalFormatting>
  <conditionalFormatting sqref="AK1426">
    <cfRule type="containsText" dxfId="8" priority="261" operator="containsText" text="Від-ні за межі бату">
      <formula>NOT(ISERROR(SEARCH(("Від-ні за межі бату"),(AK1426))))</formula>
    </cfRule>
  </conditionalFormatting>
  <conditionalFormatting sqref="AK1426">
    <cfRule type="containsText" dxfId="17" priority="262" operator="containsText" text="Відпустка">
      <formula>NOT(ISERROR(SEARCH(("Відпустка"),(AK1426))))</formula>
    </cfRule>
  </conditionalFormatting>
  <conditionalFormatting sqref="AK1426">
    <cfRule type="containsText" dxfId="16" priority="263" operator="containsText" text="Мед.пункт">
      <formula>NOT(ISERROR(SEARCH(("Мед.пункт"),(AK1426))))</formula>
    </cfRule>
  </conditionalFormatting>
  <conditionalFormatting sqref="AK1426">
    <cfRule type="containsText" dxfId="15" priority="264" operator="containsText" text="СТАТУС">
      <formula>NOT(ISERROR(SEARCH(("СТАТУС"),(AK1426))))</formula>
    </cfRule>
  </conditionalFormatting>
  <conditionalFormatting sqref="AK1426">
    <cfRule type="containsText" dxfId="14" priority="265" operator="containsText" text="Лікування">
      <formula>NOT(ISERROR(SEARCH(("Лікування"),(AK1426))))</formula>
    </cfRule>
  </conditionalFormatting>
  <conditionalFormatting sqref="AK1426">
    <cfRule type="containsText" dxfId="13" priority="266" operator="containsText" text="СЗЧ">
      <formula>NOT(ISERROR(SEARCH(("СЗЧ"),(AK1426))))</formula>
    </cfRule>
  </conditionalFormatting>
  <conditionalFormatting sqref="AK1426">
    <cfRule type="containsText" dxfId="11" priority="267" operator="containsText" text="Зниклі безвісти">
      <formula>NOT(ISERROR(SEARCH(("Зниклі безвісти"),(AK1426))))</formula>
    </cfRule>
  </conditionalFormatting>
  <conditionalFormatting sqref="U1426">
    <cfRule type="containsText" dxfId="10" priority="268" operator="containsText" text="Лікування">
      <formula>NOT(ISERROR(SEARCH(("Лікування"),(U1426))))</formula>
    </cfRule>
  </conditionalFormatting>
  <conditionalFormatting sqref="U1426">
    <cfRule type="containsText" dxfId="9" priority="269" operator="containsText" text="Загиблі">
      <formula>NOT(ISERROR(SEARCH(("Загиблі"),(U1426))))</formula>
    </cfRule>
  </conditionalFormatting>
  <conditionalFormatting sqref="U1426">
    <cfRule type="containsText" dxfId="8" priority="270" operator="containsText" text="Відком. за межі ПБ">
      <formula>NOT(ISERROR(SEARCH(("Відком. за межі ПБ"),(U1426))))</formula>
    </cfRule>
  </conditionalFormatting>
  <conditionalFormatting sqref="U1426">
    <cfRule type="containsText" dxfId="7" priority="271" operator="containsText" text="Від-ні навчання">
      <formula>NOT(ISERROR(SEARCH(("Від-ні навчання"),(U1426))))</formula>
    </cfRule>
  </conditionalFormatting>
  <conditionalFormatting sqref="U1426">
    <cfRule type="containsText" dxfId="6" priority="272" operator="containsText" text="Зниклі безвісти">
      <formula>NOT(ISERROR(SEARCH(("Зниклі безвісти"),(U1426))))</formula>
    </cfRule>
  </conditionalFormatting>
  <conditionalFormatting sqref="U1426">
    <cfRule type="containsText" dxfId="5" priority="273" operator="containsText" text="СЗЧ">
      <formula>NOT(ISERROR(SEARCH(("СЗЧ"),(U1426))))</formula>
    </cfRule>
  </conditionalFormatting>
  <conditionalFormatting sqref="U1426">
    <cfRule type="containsText" dxfId="4" priority="274" operator="containsText" text="Відпустка">
      <formula>NOT(ISERROR(SEARCH(("Відпустка"),(U1426))))</formula>
    </cfRule>
  </conditionalFormatting>
  <conditionalFormatting sqref="U1426">
    <cfRule type="containsText" dxfId="3" priority="275" operator="containsText" text="В строю">
      <formula>NOT(ISERROR(SEARCH(("В строю"),(U1426))))</formula>
    </cfRule>
  </conditionalFormatting>
  <conditionalFormatting sqref="U1426">
    <cfRule type="containsText" dxfId="10" priority="276" operator="containsText" text="Лікування">
      <formula>NOT(ISERROR(SEARCH(("Лікування"),(U1426))))</formula>
    </cfRule>
  </conditionalFormatting>
  <conditionalFormatting sqref="U1426">
    <cfRule type="containsText" dxfId="9" priority="277" operator="containsText" text="Загиблі">
      <formula>NOT(ISERROR(SEARCH(("Загиблі"),(U1426))))</formula>
    </cfRule>
  </conditionalFormatting>
  <conditionalFormatting sqref="U1426">
    <cfRule type="containsText" dxfId="8" priority="278" operator="containsText" text="Відком. за межі ПБ">
      <formula>NOT(ISERROR(SEARCH(("Відком. за межі ПБ"),(U1426))))</formula>
    </cfRule>
  </conditionalFormatting>
  <conditionalFormatting sqref="U1426">
    <cfRule type="containsText" dxfId="7" priority="279" operator="containsText" text="Від-ні навчання">
      <formula>NOT(ISERROR(SEARCH(("Від-ні навчання"),(U1426))))</formula>
    </cfRule>
  </conditionalFormatting>
  <conditionalFormatting sqref="U1426">
    <cfRule type="containsText" dxfId="6" priority="280" operator="containsText" text="Зниклі безвісти">
      <formula>NOT(ISERROR(SEARCH(("Зниклі безвісти"),(U1426))))</formula>
    </cfRule>
  </conditionalFormatting>
  <conditionalFormatting sqref="U1426">
    <cfRule type="containsText" dxfId="5" priority="281" operator="containsText" text="СЗЧ">
      <formula>NOT(ISERROR(SEARCH(("СЗЧ"),(U1426))))</formula>
    </cfRule>
  </conditionalFormatting>
  <conditionalFormatting sqref="U1426">
    <cfRule type="containsText" dxfId="4" priority="282" operator="containsText" text="Відпустка">
      <formula>NOT(ISERROR(SEARCH(("Відпустка"),(U1426))))</formula>
    </cfRule>
  </conditionalFormatting>
  <conditionalFormatting sqref="U1426">
    <cfRule type="containsText" dxfId="3" priority="283" operator="containsText" text="В строю">
      <formula>NOT(ISERROR(SEARCH(("В строю"),(U1426))))</formula>
    </cfRule>
  </conditionalFormatting>
  <conditionalFormatting sqref="U1426">
    <cfRule type="containsText" dxfId="3" priority="284" operator="containsText" text="В строю">
      <formula>NOT(ISERROR(SEARCH(("В строю"),(U1426))))</formula>
    </cfRule>
  </conditionalFormatting>
  <conditionalFormatting sqref="U1426">
    <cfRule type="containsText" dxfId="4" priority="285" operator="containsText" text="Відпустка">
      <formula>NOT(ISERROR(SEARCH(("Відпустка"),(U1426))))</formula>
    </cfRule>
  </conditionalFormatting>
  <conditionalFormatting sqref="U1426">
    <cfRule type="containsText" dxfId="5" priority="286" operator="containsText" text="СЗЧ">
      <formula>NOT(ISERROR(SEARCH(("СЗЧ"),(U1426))))</formula>
    </cfRule>
  </conditionalFormatting>
  <conditionalFormatting sqref="U1426">
    <cfRule type="containsText" dxfId="6" priority="287" operator="containsText" text="Зниклі безвісти">
      <formula>NOT(ISERROR(SEARCH(("Зниклі безвісти"),(U1426))))</formula>
    </cfRule>
  </conditionalFormatting>
  <conditionalFormatting sqref="U1426">
    <cfRule type="containsText" dxfId="7" priority="288" operator="containsText" text="Від-ні навчання">
      <formula>NOT(ISERROR(SEARCH(("Від-ні навчання"),(U1426))))</formula>
    </cfRule>
  </conditionalFormatting>
  <conditionalFormatting sqref="U1426">
    <cfRule type="containsText" dxfId="8" priority="289" operator="containsText" text="Відком. за межі ПБ">
      <formula>NOT(ISERROR(SEARCH(("Відком. за межі ПБ"),(U1426))))</formula>
    </cfRule>
  </conditionalFormatting>
  <conditionalFormatting sqref="U1426">
    <cfRule type="containsText" dxfId="9" priority="290" operator="containsText" text="Загиблі">
      <formula>NOT(ISERROR(SEARCH(("Загиблі"),(U1426))))</formula>
    </cfRule>
  </conditionalFormatting>
  <conditionalFormatting sqref="U1426">
    <cfRule type="containsText" dxfId="10" priority="291" operator="containsText" text="Лікування">
      <formula>NOT(ISERROR(SEARCH(("Лікування"),(U1426))))</formula>
    </cfRule>
  </conditionalFormatting>
  <conditionalFormatting sqref="U1426">
    <cfRule type="containsText" dxfId="10" priority="292" operator="containsText" text="Лікування">
      <formula>NOT(ISERROR(SEARCH(("Лікування"),(U1426))))</formula>
    </cfRule>
  </conditionalFormatting>
  <conditionalFormatting sqref="U1426">
    <cfRule type="containsText" dxfId="9" priority="293" operator="containsText" text="Загиблі">
      <formula>NOT(ISERROR(SEARCH(("Загиблі"),(U1426))))</formula>
    </cfRule>
  </conditionalFormatting>
  <conditionalFormatting sqref="U1426">
    <cfRule type="containsText" dxfId="8" priority="294" operator="containsText" text="Відком. за межі ПБ">
      <formula>NOT(ISERROR(SEARCH(("Відком. за межі ПБ"),(U1426))))</formula>
    </cfRule>
  </conditionalFormatting>
  <conditionalFormatting sqref="U1426">
    <cfRule type="containsText" dxfId="7" priority="295" operator="containsText" text="Від-ні навчання">
      <formula>NOT(ISERROR(SEARCH(("Від-ні навчання"),(U1426))))</formula>
    </cfRule>
  </conditionalFormatting>
  <conditionalFormatting sqref="U1426">
    <cfRule type="containsText" dxfId="6" priority="296" operator="containsText" text="Зниклі безвісти">
      <formula>NOT(ISERROR(SEARCH(("Зниклі безвісти"),(U1426))))</formula>
    </cfRule>
  </conditionalFormatting>
  <conditionalFormatting sqref="U1426">
    <cfRule type="containsText" dxfId="5" priority="297" operator="containsText" text="СЗЧ">
      <formula>NOT(ISERROR(SEARCH(("СЗЧ"),(U1426))))</formula>
    </cfRule>
  </conditionalFormatting>
  <conditionalFormatting sqref="U1426">
    <cfRule type="containsText" dxfId="4" priority="298" operator="containsText" text="Відпустка">
      <formula>NOT(ISERROR(SEARCH(("Відпустка"),(U1426))))</formula>
    </cfRule>
  </conditionalFormatting>
  <conditionalFormatting sqref="U1426">
    <cfRule type="containsText" dxfId="3" priority="299" operator="containsText" text="В строю">
      <formula>NOT(ISERROR(SEARCH(("В строю"),(U1426))))</formula>
    </cfRule>
  </conditionalFormatting>
  <conditionalFormatting sqref="U1426">
    <cfRule type="containsText" dxfId="10" priority="300" operator="containsText" text="Лікування">
      <formula>NOT(ISERROR(SEARCH(("Лікування"),(U1426))))</formula>
    </cfRule>
  </conditionalFormatting>
  <conditionalFormatting sqref="U1426">
    <cfRule type="containsText" dxfId="9" priority="301" operator="containsText" text="Загиблі">
      <formula>NOT(ISERROR(SEARCH(("Загиблі"),(U1426))))</formula>
    </cfRule>
  </conditionalFormatting>
  <conditionalFormatting sqref="U1426">
    <cfRule type="containsText" dxfId="8" priority="302" operator="containsText" text="Відком. за межі ПБ">
      <formula>NOT(ISERROR(SEARCH(("Відком. за межі ПБ"),(U1426))))</formula>
    </cfRule>
  </conditionalFormatting>
  <conditionalFormatting sqref="U1426">
    <cfRule type="containsText" dxfId="7" priority="303" operator="containsText" text="Від-ні навчання">
      <formula>NOT(ISERROR(SEARCH(("Від-ні навчання"),(U1426))))</formula>
    </cfRule>
  </conditionalFormatting>
  <conditionalFormatting sqref="U1426">
    <cfRule type="containsText" dxfId="6" priority="304" operator="containsText" text="Зниклі безвісти">
      <formula>NOT(ISERROR(SEARCH(("Зниклі безвісти"),(U1426))))</formula>
    </cfRule>
  </conditionalFormatting>
  <conditionalFormatting sqref="U1426">
    <cfRule type="containsText" dxfId="5" priority="305" operator="containsText" text="СЗЧ">
      <formula>NOT(ISERROR(SEARCH(("СЗЧ"),(U1426))))</formula>
    </cfRule>
  </conditionalFormatting>
  <conditionalFormatting sqref="U1426">
    <cfRule type="containsText" dxfId="4" priority="306" operator="containsText" text="Відпустка">
      <formula>NOT(ISERROR(SEARCH(("Відпустка"),(U1426))))</formula>
    </cfRule>
  </conditionalFormatting>
  <conditionalFormatting sqref="U1426">
    <cfRule type="containsText" dxfId="3" priority="307" operator="containsText" text="В строю">
      <formula>NOT(ISERROR(SEARCH(("В строю"),(U1426))))</formula>
    </cfRule>
  </conditionalFormatting>
  <conditionalFormatting sqref="U1426">
    <cfRule type="containsText" dxfId="3" priority="308" operator="containsText" text="В строю">
      <formula>NOT(ISERROR(SEARCH(("В строю"),(U1426))))</formula>
    </cfRule>
  </conditionalFormatting>
  <conditionalFormatting sqref="U1426">
    <cfRule type="containsText" dxfId="4" priority="309" operator="containsText" text="Відпустка">
      <formula>NOT(ISERROR(SEARCH(("Відпустка"),(U1426))))</formula>
    </cfRule>
  </conditionalFormatting>
  <conditionalFormatting sqref="U1426">
    <cfRule type="containsText" dxfId="5" priority="310" operator="containsText" text="СЗЧ">
      <formula>NOT(ISERROR(SEARCH(("СЗЧ"),(U1426))))</formula>
    </cfRule>
  </conditionalFormatting>
  <conditionalFormatting sqref="U1426">
    <cfRule type="containsText" dxfId="6" priority="311" operator="containsText" text="Зниклі безвісти">
      <formula>NOT(ISERROR(SEARCH(("Зниклі безвісти"),(U1426))))</formula>
    </cfRule>
  </conditionalFormatting>
  <conditionalFormatting sqref="U1426">
    <cfRule type="containsText" dxfId="7" priority="312" operator="containsText" text="Від-ні навчання">
      <formula>NOT(ISERROR(SEARCH(("Від-ні навчання"),(U1426))))</formula>
    </cfRule>
  </conditionalFormatting>
  <conditionalFormatting sqref="U1426">
    <cfRule type="containsText" dxfId="8" priority="313" operator="containsText" text="Відком. за межі ПБ">
      <formula>NOT(ISERROR(SEARCH(("Відком. за межі ПБ"),(U1426))))</formula>
    </cfRule>
  </conditionalFormatting>
  <conditionalFormatting sqref="U1426">
    <cfRule type="containsText" dxfId="9" priority="314" operator="containsText" text="Загиблі">
      <formula>NOT(ISERROR(SEARCH(("Загиблі"),(U1426))))</formula>
    </cfRule>
  </conditionalFormatting>
  <conditionalFormatting sqref="U1426">
    <cfRule type="containsText" dxfId="10" priority="315" operator="containsText" text="Лікування">
      <formula>NOT(ISERROR(SEARCH(("Лікування"),(U1426))))</formula>
    </cfRule>
  </conditionalFormatting>
  <conditionalFormatting sqref="U1426">
    <cfRule type="containsText" dxfId="3" priority="316" operator="containsText" text="В строю">
      <formula>NOT(ISERROR(SEARCH(("В строю"),(U1426))))</formula>
    </cfRule>
  </conditionalFormatting>
  <conditionalFormatting sqref="U1426">
    <cfRule type="containsText" dxfId="4" priority="317" operator="containsText" text="Відпустка">
      <formula>NOT(ISERROR(SEARCH(("Відпустка"),(U1426))))</formula>
    </cfRule>
  </conditionalFormatting>
  <conditionalFormatting sqref="U1426">
    <cfRule type="containsText" dxfId="5" priority="318" operator="containsText" text="СЗЧ">
      <formula>NOT(ISERROR(SEARCH(("СЗЧ"),(U1426))))</formula>
    </cfRule>
  </conditionalFormatting>
  <conditionalFormatting sqref="U1426">
    <cfRule type="containsText" dxfId="6" priority="319" operator="containsText" text="Зниклі безвісти">
      <formula>NOT(ISERROR(SEARCH(("Зниклі безвісти"),(U1426))))</formula>
    </cfRule>
  </conditionalFormatting>
  <conditionalFormatting sqref="U1426">
    <cfRule type="containsText" dxfId="7" priority="320" operator="containsText" text="Від-ні навчання">
      <formula>NOT(ISERROR(SEARCH(("Від-ні навчання"),(U1426))))</formula>
    </cfRule>
  </conditionalFormatting>
  <conditionalFormatting sqref="U1426">
    <cfRule type="containsText" dxfId="8" priority="321" operator="containsText" text="Відком. за межі ПБ">
      <formula>NOT(ISERROR(SEARCH(("Відком. за межі ПБ"),(U1426))))</formula>
    </cfRule>
  </conditionalFormatting>
  <conditionalFormatting sqref="U1426">
    <cfRule type="containsText" dxfId="9" priority="322" operator="containsText" text="Загиблі">
      <formula>NOT(ISERROR(SEARCH(("Загиблі"),(U1426))))</formula>
    </cfRule>
  </conditionalFormatting>
  <conditionalFormatting sqref="U1426">
    <cfRule type="containsText" dxfId="10" priority="323" operator="containsText" text="Лікування">
      <formula>NOT(ISERROR(SEARCH(("Лікування"),(U1426))))</formula>
    </cfRule>
  </conditionalFormatting>
  <conditionalFormatting sqref="U1426">
    <cfRule type="containsText" dxfId="10" priority="324" operator="containsText" text="Лікування">
      <formula>NOT(ISERROR(SEARCH(("Лікування"),(U1426))))</formula>
    </cfRule>
  </conditionalFormatting>
  <conditionalFormatting sqref="U1426">
    <cfRule type="containsText" dxfId="9" priority="325" operator="containsText" text="Загиблі">
      <formula>NOT(ISERROR(SEARCH(("Загиблі"),(U1426))))</formula>
    </cfRule>
  </conditionalFormatting>
  <conditionalFormatting sqref="U1426">
    <cfRule type="containsText" dxfId="8" priority="326" operator="containsText" text="Відком. за межі ПБ">
      <formula>NOT(ISERROR(SEARCH(("Відком. за межі ПБ"),(U1426))))</formula>
    </cfRule>
  </conditionalFormatting>
  <conditionalFormatting sqref="U1426">
    <cfRule type="containsText" dxfId="7" priority="327" operator="containsText" text="Від-ні навчання">
      <formula>NOT(ISERROR(SEARCH(("Від-ні навчання"),(U1426))))</formula>
    </cfRule>
  </conditionalFormatting>
  <conditionalFormatting sqref="U1426">
    <cfRule type="containsText" dxfId="6" priority="328" operator="containsText" text="Зниклі безвісти">
      <formula>NOT(ISERROR(SEARCH(("Зниклі безвісти"),(U1426))))</formula>
    </cfRule>
  </conditionalFormatting>
  <conditionalFormatting sqref="U1426">
    <cfRule type="containsText" dxfId="5" priority="329" operator="containsText" text="СЗЧ">
      <formula>NOT(ISERROR(SEARCH(("СЗЧ"),(U1426))))</formula>
    </cfRule>
  </conditionalFormatting>
  <conditionalFormatting sqref="U1426">
    <cfRule type="containsText" dxfId="4" priority="330" operator="containsText" text="Відпустка">
      <formula>NOT(ISERROR(SEARCH(("Відпустка"),(U1426))))</formula>
    </cfRule>
  </conditionalFormatting>
  <conditionalFormatting sqref="U1426">
    <cfRule type="containsText" dxfId="3" priority="331" operator="containsText" text="В строю">
      <formula>NOT(ISERROR(SEARCH(("В строю"),(U1426))))</formula>
    </cfRule>
  </conditionalFormatting>
  <conditionalFormatting sqref="U1426">
    <cfRule type="containsText" dxfId="10" priority="332" operator="containsText" text="Лікування">
      <formula>NOT(ISERROR(SEARCH(("Лікування"),(U1426))))</formula>
    </cfRule>
  </conditionalFormatting>
  <conditionalFormatting sqref="U1426">
    <cfRule type="containsText" dxfId="9" priority="333" operator="containsText" text="Загиблі">
      <formula>NOT(ISERROR(SEARCH(("Загиблі"),(U1426))))</formula>
    </cfRule>
  </conditionalFormatting>
  <conditionalFormatting sqref="U1426">
    <cfRule type="containsText" dxfId="8" priority="334" operator="containsText" text="Відком. за межі ПБ">
      <formula>NOT(ISERROR(SEARCH(("Відком. за межі ПБ"),(U1426))))</formula>
    </cfRule>
  </conditionalFormatting>
  <conditionalFormatting sqref="U1426">
    <cfRule type="containsText" dxfId="7" priority="335" operator="containsText" text="Від-ні навчання">
      <formula>NOT(ISERROR(SEARCH(("Від-ні навчання"),(U1426))))</formula>
    </cfRule>
  </conditionalFormatting>
  <conditionalFormatting sqref="U1426">
    <cfRule type="containsText" dxfId="6" priority="336" operator="containsText" text="Зниклі безвісти">
      <formula>NOT(ISERROR(SEARCH(("Зниклі безвісти"),(U1426))))</formula>
    </cfRule>
  </conditionalFormatting>
  <conditionalFormatting sqref="U1426">
    <cfRule type="containsText" dxfId="5" priority="337" operator="containsText" text="СЗЧ">
      <formula>NOT(ISERROR(SEARCH(("СЗЧ"),(U1426))))</formula>
    </cfRule>
  </conditionalFormatting>
  <conditionalFormatting sqref="U1426">
    <cfRule type="containsText" dxfId="4" priority="338" operator="containsText" text="Відпустка">
      <formula>NOT(ISERROR(SEARCH(("Відпустка"),(U1426))))</formula>
    </cfRule>
  </conditionalFormatting>
  <conditionalFormatting sqref="U1426">
    <cfRule type="containsText" dxfId="3" priority="339" operator="containsText" text="В строю">
      <formula>NOT(ISERROR(SEARCH(("В строю"),(U1426))))</formula>
    </cfRule>
  </conditionalFormatting>
  <conditionalFormatting sqref="U1426">
    <cfRule type="containsText" dxfId="3" priority="340" operator="containsText" text="В строю">
      <formula>NOT(ISERROR(SEARCH(("В строю"),(U1426))))</formula>
    </cfRule>
  </conditionalFormatting>
  <conditionalFormatting sqref="U1426">
    <cfRule type="containsText" dxfId="4" priority="341" operator="containsText" text="Відпустка">
      <formula>NOT(ISERROR(SEARCH(("Відпустка"),(U1426))))</formula>
    </cfRule>
  </conditionalFormatting>
  <conditionalFormatting sqref="U1426">
    <cfRule type="containsText" dxfId="5" priority="342" operator="containsText" text="СЗЧ">
      <formula>NOT(ISERROR(SEARCH(("СЗЧ"),(U1426))))</formula>
    </cfRule>
  </conditionalFormatting>
  <conditionalFormatting sqref="U1426">
    <cfRule type="containsText" dxfId="6" priority="343" operator="containsText" text="Зниклі безвісти">
      <formula>NOT(ISERROR(SEARCH(("Зниклі безвісти"),(U1426))))</formula>
    </cfRule>
  </conditionalFormatting>
  <conditionalFormatting sqref="U1426">
    <cfRule type="containsText" dxfId="7" priority="344" operator="containsText" text="Від-ні навчання">
      <formula>NOT(ISERROR(SEARCH(("Від-ні навчання"),(U1426))))</formula>
    </cfRule>
  </conditionalFormatting>
  <conditionalFormatting sqref="U1426">
    <cfRule type="containsText" dxfId="8" priority="345" operator="containsText" text="Відком. за межі ПБ">
      <formula>NOT(ISERROR(SEARCH(("Відком. за межі ПБ"),(U1426))))</formula>
    </cfRule>
  </conditionalFormatting>
  <conditionalFormatting sqref="U1426">
    <cfRule type="containsText" dxfId="9" priority="346" operator="containsText" text="Загиблі">
      <formula>NOT(ISERROR(SEARCH(("Загиблі"),(U1426))))</formula>
    </cfRule>
  </conditionalFormatting>
  <conditionalFormatting sqref="U1426">
    <cfRule type="containsText" dxfId="10" priority="347" operator="containsText" text="Лікування">
      <formula>NOT(ISERROR(SEARCH(("Лікування"),(U1426))))</formula>
    </cfRule>
  </conditionalFormatting>
  <conditionalFormatting sqref="U1426">
    <cfRule type="containsText" dxfId="3" priority="348" operator="containsText" text="В строю">
      <formula>NOT(ISERROR(SEARCH(("В строю"),(U1426))))</formula>
    </cfRule>
  </conditionalFormatting>
  <conditionalFormatting sqref="U1426">
    <cfRule type="containsText" dxfId="4" priority="349" operator="containsText" text="Відпустка">
      <formula>NOT(ISERROR(SEARCH(("Відпустка"),(U1426))))</formula>
    </cfRule>
  </conditionalFormatting>
  <conditionalFormatting sqref="U1426">
    <cfRule type="containsText" dxfId="5" priority="350" operator="containsText" text="СЗЧ">
      <formula>NOT(ISERROR(SEARCH(("СЗЧ"),(U1426))))</formula>
    </cfRule>
  </conditionalFormatting>
  <conditionalFormatting sqref="U1426">
    <cfRule type="containsText" dxfId="6" priority="351" operator="containsText" text="Зниклі безвісти">
      <formula>NOT(ISERROR(SEARCH(("Зниклі безвісти"),(U1426))))</formula>
    </cfRule>
  </conditionalFormatting>
  <conditionalFormatting sqref="U1426">
    <cfRule type="containsText" dxfId="7" priority="352" operator="containsText" text="Від-ні навчання">
      <formula>NOT(ISERROR(SEARCH(("Від-ні навчання"),(U1426))))</formula>
    </cfRule>
  </conditionalFormatting>
  <conditionalFormatting sqref="U1426">
    <cfRule type="containsText" dxfId="8" priority="353" operator="containsText" text="Відком. за межі ПБ">
      <formula>NOT(ISERROR(SEARCH(("Відком. за межі ПБ"),(U1426))))</formula>
    </cfRule>
  </conditionalFormatting>
  <conditionalFormatting sqref="U1426">
    <cfRule type="containsText" dxfId="9" priority="354" operator="containsText" text="Загиблі">
      <formula>NOT(ISERROR(SEARCH(("Загиблі"),(U1426))))</formula>
    </cfRule>
  </conditionalFormatting>
  <conditionalFormatting sqref="U1426">
    <cfRule type="containsText" dxfId="10" priority="355" operator="containsText" text="Лікування">
      <formula>NOT(ISERROR(SEARCH(("Лікування"),(U1426))))</formula>
    </cfRule>
  </conditionalFormatting>
  <conditionalFormatting sqref="N1426">
    <cfRule type="expression" dxfId="0" priority="356">
      <formula>COUNTIF(#REF!, N1426) &gt; 1</formula>
    </cfRule>
  </conditionalFormatting>
  <conditionalFormatting sqref="N1426">
    <cfRule type="expression" dxfId="0" priority="357">
      <formula>COUNTIF(#REF!, N1426) &gt; 1</formula>
    </cfRule>
  </conditionalFormatting>
  <conditionalFormatting sqref="N1426">
    <cfRule type="expression" dxfId="0" priority="358">
      <formula>COUNTIF(#REF!, N1426) &gt; 1</formula>
    </cfRule>
  </conditionalFormatting>
  <conditionalFormatting sqref="Q1426">
    <cfRule type="cellIs" dxfId="9" priority="359" operator="notEqual">
      <formula>P1426</formula>
    </cfRule>
  </conditionalFormatting>
  <conditionalFormatting sqref="Q1426">
    <cfRule type="cellIs" dxfId="3" priority="360" operator="equal">
      <formula>P1426</formula>
    </cfRule>
  </conditionalFormatting>
  <conditionalFormatting sqref="Q1426">
    <cfRule type="cellIs" dxfId="3" priority="361" operator="equal">
      <formula>P1426</formula>
    </cfRule>
  </conditionalFormatting>
  <conditionalFormatting sqref="Q1426">
    <cfRule type="cellIs" dxfId="9" priority="362" operator="notEqual">
      <formula>P1426</formula>
    </cfRule>
  </conditionalFormatting>
  <conditionalFormatting sqref="Q1426">
    <cfRule type="cellIs" dxfId="9" priority="363" operator="notEqual">
      <formula>P1426</formula>
    </cfRule>
  </conditionalFormatting>
  <conditionalFormatting sqref="Q1426">
    <cfRule type="cellIs" dxfId="3" priority="364" operator="equal">
      <formula>P1426</formula>
    </cfRule>
  </conditionalFormatting>
  <conditionalFormatting sqref="U1425">
    <cfRule type="containsText" dxfId="10" priority="365" operator="containsText" text="Лікування">
      <formula>NOT(ISERROR(SEARCH(("Лікування"),(U1425))))</formula>
    </cfRule>
  </conditionalFormatting>
  <conditionalFormatting sqref="U1425">
    <cfRule type="containsText" dxfId="9" priority="366" operator="containsText" text="Загиблі">
      <formula>NOT(ISERROR(SEARCH(("Загиблі"),(U1425))))</formula>
    </cfRule>
  </conditionalFormatting>
  <conditionalFormatting sqref="U1425">
    <cfRule type="containsText" dxfId="8" priority="367" operator="containsText" text="Відком. за межі ПБ">
      <formula>NOT(ISERROR(SEARCH(("Відком. за межі ПБ"),(U1425))))</formula>
    </cfRule>
  </conditionalFormatting>
  <conditionalFormatting sqref="U1425">
    <cfRule type="containsText" dxfId="7" priority="368" operator="containsText" text="Від-ні навчання">
      <formula>NOT(ISERROR(SEARCH(("Від-ні навчання"),(U1425))))</formula>
    </cfRule>
  </conditionalFormatting>
  <conditionalFormatting sqref="U1425">
    <cfRule type="containsText" dxfId="6" priority="369" operator="containsText" text="Зниклі безвісти">
      <formula>NOT(ISERROR(SEARCH(("Зниклі безвісти"),(U1425))))</formula>
    </cfRule>
  </conditionalFormatting>
  <conditionalFormatting sqref="U1425">
    <cfRule type="containsText" dxfId="5" priority="370" operator="containsText" text="СЗЧ">
      <formula>NOT(ISERROR(SEARCH(("СЗЧ"),(U1425))))</formula>
    </cfRule>
  </conditionalFormatting>
  <conditionalFormatting sqref="U1425">
    <cfRule type="containsText" dxfId="4" priority="371" operator="containsText" text="Відпустка">
      <formula>NOT(ISERROR(SEARCH(("Відпустка"),(U1425))))</formula>
    </cfRule>
  </conditionalFormatting>
  <conditionalFormatting sqref="U1425">
    <cfRule type="containsText" dxfId="3" priority="372" operator="containsText" text="В строю">
      <formula>NOT(ISERROR(SEARCH(("В строю"),(U1425))))</formula>
    </cfRule>
  </conditionalFormatting>
  <conditionalFormatting sqref="Q1425">
    <cfRule type="cellIs" dxfId="9" priority="373" operator="notEqual">
      <formula>P1425</formula>
    </cfRule>
  </conditionalFormatting>
  <conditionalFormatting sqref="Q1425">
    <cfRule type="cellIs" dxfId="3" priority="374" operator="equal">
      <formula>P1425</formula>
    </cfRule>
  </conditionalFormatting>
  <conditionalFormatting sqref="U1425">
    <cfRule type="containsText" dxfId="10" priority="375" operator="containsText" text="Лікування">
      <formula>NOT(ISERROR(SEARCH(("Лікування"),(U1425))))</formula>
    </cfRule>
  </conditionalFormatting>
  <conditionalFormatting sqref="U1425">
    <cfRule type="containsText" dxfId="9" priority="376" operator="containsText" text="Загиблі">
      <formula>NOT(ISERROR(SEARCH(("Загиблі"),(U1425))))</formula>
    </cfRule>
  </conditionalFormatting>
  <conditionalFormatting sqref="U1425">
    <cfRule type="containsText" dxfId="8" priority="377" operator="containsText" text="Відком. за межі ПБ">
      <formula>NOT(ISERROR(SEARCH(("Відком. за межі ПБ"),(U1425))))</formula>
    </cfRule>
  </conditionalFormatting>
  <conditionalFormatting sqref="U1425">
    <cfRule type="containsText" dxfId="7" priority="378" operator="containsText" text="Від-ні навчання">
      <formula>NOT(ISERROR(SEARCH(("Від-ні навчання"),(U1425))))</formula>
    </cfRule>
  </conditionalFormatting>
  <conditionalFormatting sqref="U1425">
    <cfRule type="containsText" dxfId="6" priority="379" operator="containsText" text="Зниклі безвісти">
      <formula>NOT(ISERROR(SEARCH(("Зниклі безвісти"),(U1425))))</formula>
    </cfRule>
  </conditionalFormatting>
  <conditionalFormatting sqref="U1425">
    <cfRule type="containsText" dxfId="5" priority="380" operator="containsText" text="СЗЧ">
      <formula>NOT(ISERROR(SEARCH(("СЗЧ"),(U1425))))</formula>
    </cfRule>
  </conditionalFormatting>
  <conditionalFormatting sqref="U1425">
    <cfRule type="containsText" dxfId="4" priority="381" operator="containsText" text="Відпустка">
      <formula>NOT(ISERROR(SEARCH(("Відпустка"),(U1425))))</formula>
    </cfRule>
  </conditionalFormatting>
  <conditionalFormatting sqref="U1425">
    <cfRule type="containsText" dxfId="3" priority="382" operator="containsText" text="В строю">
      <formula>NOT(ISERROR(SEARCH(("В строю"),(U1425))))</formula>
    </cfRule>
  </conditionalFormatting>
  <conditionalFormatting sqref="U1425">
    <cfRule type="containsText" dxfId="3" priority="383" operator="containsText" text="В строю">
      <formula>NOT(ISERROR(SEARCH(("В строю"),(U1425))))</formula>
    </cfRule>
  </conditionalFormatting>
  <conditionalFormatting sqref="U1425">
    <cfRule type="containsText" dxfId="4" priority="384" operator="containsText" text="Відпустка">
      <formula>NOT(ISERROR(SEARCH(("Відпустка"),(U1425))))</formula>
    </cfRule>
  </conditionalFormatting>
  <conditionalFormatting sqref="U1425">
    <cfRule type="containsText" dxfId="5" priority="385" operator="containsText" text="СЗЧ">
      <formula>NOT(ISERROR(SEARCH(("СЗЧ"),(U1425))))</formula>
    </cfRule>
  </conditionalFormatting>
  <conditionalFormatting sqref="U1425">
    <cfRule type="containsText" dxfId="6" priority="386" operator="containsText" text="Зниклі безвісти">
      <formula>NOT(ISERROR(SEARCH(("Зниклі безвісти"),(U1425))))</formula>
    </cfRule>
  </conditionalFormatting>
  <conditionalFormatting sqref="U1425">
    <cfRule type="containsText" dxfId="7" priority="387" operator="containsText" text="Від-ні навчання">
      <formula>NOT(ISERROR(SEARCH(("Від-ні навчання"),(U1425))))</formula>
    </cfRule>
  </conditionalFormatting>
  <conditionalFormatting sqref="U1425">
    <cfRule type="containsText" dxfId="8" priority="388" operator="containsText" text="Відком. за межі ПБ">
      <formula>NOT(ISERROR(SEARCH(("Відком. за межі ПБ"),(U1425))))</formula>
    </cfRule>
  </conditionalFormatting>
  <conditionalFormatting sqref="U1425">
    <cfRule type="containsText" dxfId="9" priority="389" operator="containsText" text="Загиблі">
      <formula>NOT(ISERROR(SEARCH(("Загиблі"),(U1425))))</formula>
    </cfRule>
  </conditionalFormatting>
  <conditionalFormatting sqref="U1425">
    <cfRule type="containsText" dxfId="10" priority="390" operator="containsText" text="Лікування">
      <formula>NOT(ISERROR(SEARCH(("Лікування"),(U1425))))</formula>
    </cfRule>
  </conditionalFormatting>
  <conditionalFormatting sqref="N1425">
    <cfRule type="expression" dxfId="0" priority="391">
      <formula>COUNTIF(#REF!, N1425) &gt; 1</formula>
    </cfRule>
  </conditionalFormatting>
  <conditionalFormatting sqref="Q1425">
    <cfRule type="cellIs" dxfId="3" priority="392" operator="equal">
      <formula>P1425</formula>
    </cfRule>
  </conditionalFormatting>
  <conditionalFormatting sqref="Q1425">
    <cfRule type="cellIs" dxfId="9" priority="393" operator="notEqual">
      <formula>P1425</formula>
    </cfRule>
  </conditionalFormatting>
  <conditionalFormatting sqref="Q1425">
    <cfRule type="cellIs" dxfId="9" priority="394" operator="notEqual">
      <formula>P1425</formula>
    </cfRule>
  </conditionalFormatting>
  <conditionalFormatting sqref="Q1425">
    <cfRule type="cellIs" dxfId="3" priority="395" operator="equal">
      <formula>P1425</formula>
    </cfRule>
  </conditionalFormatting>
  <conditionalFormatting sqref="N1425">
    <cfRule type="expression" dxfId="0" priority="396">
      <formula>COUNTIF(#REF!, N1425) &gt; 1</formula>
    </cfRule>
  </conditionalFormatting>
  <conditionalFormatting sqref="N1425">
    <cfRule type="expression" dxfId="0" priority="397">
      <formula>COUNTIF(#REF!, N1425) &gt; 1</formula>
    </cfRule>
  </conditionalFormatting>
  <conditionalFormatting sqref="U1425">
    <cfRule type="containsText" dxfId="10" priority="398" operator="containsText" text="Лікування">
      <formula>NOT(ISERROR(SEARCH(("Лікування"),(U1425))))</formula>
    </cfRule>
  </conditionalFormatting>
  <conditionalFormatting sqref="U1425">
    <cfRule type="containsText" dxfId="9" priority="399" operator="containsText" text="Загиблі">
      <formula>NOT(ISERROR(SEARCH(("Загиблі"),(U1425))))</formula>
    </cfRule>
  </conditionalFormatting>
  <conditionalFormatting sqref="U1425">
    <cfRule type="containsText" dxfId="8" priority="400" operator="containsText" text="Відком. за межі ПБ">
      <formula>NOT(ISERROR(SEARCH(("Відком. за межі ПБ"),(U1425))))</formula>
    </cfRule>
  </conditionalFormatting>
  <conditionalFormatting sqref="U1425">
    <cfRule type="containsText" dxfId="7" priority="401" operator="containsText" text="Від-ні навчання">
      <formula>NOT(ISERROR(SEARCH(("Від-ні навчання"),(U1425))))</formula>
    </cfRule>
  </conditionalFormatting>
  <conditionalFormatting sqref="U1425">
    <cfRule type="containsText" dxfId="6" priority="402" operator="containsText" text="Зниклі безвісти">
      <formula>NOT(ISERROR(SEARCH(("Зниклі безвісти"),(U1425))))</formula>
    </cfRule>
  </conditionalFormatting>
  <conditionalFormatting sqref="U1425">
    <cfRule type="containsText" dxfId="5" priority="403" operator="containsText" text="СЗЧ">
      <formula>NOT(ISERROR(SEARCH(("СЗЧ"),(U1425))))</formula>
    </cfRule>
  </conditionalFormatting>
  <conditionalFormatting sqref="U1425">
    <cfRule type="containsText" dxfId="4" priority="404" operator="containsText" text="Відпустка">
      <formula>NOT(ISERROR(SEARCH(("Відпустка"),(U1425))))</formula>
    </cfRule>
  </conditionalFormatting>
  <conditionalFormatting sqref="U1425">
    <cfRule type="containsText" dxfId="3" priority="405" operator="containsText" text="В строю">
      <formula>NOT(ISERROR(SEARCH(("В строю"),(U1425))))</formula>
    </cfRule>
  </conditionalFormatting>
  <conditionalFormatting sqref="U1425">
    <cfRule type="containsText" dxfId="10" priority="406" operator="containsText" text="Лікування">
      <formula>NOT(ISERROR(SEARCH(("Лікування"),(U1425))))</formula>
    </cfRule>
  </conditionalFormatting>
  <conditionalFormatting sqref="U1425">
    <cfRule type="containsText" dxfId="9" priority="407" operator="containsText" text="Загиблі">
      <formula>NOT(ISERROR(SEARCH(("Загиблі"),(U1425))))</formula>
    </cfRule>
  </conditionalFormatting>
  <conditionalFormatting sqref="U1425">
    <cfRule type="containsText" dxfId="8" priority="408" operator="containsText" text="Відком. за межі ПБ">
      <formula>NOT(ISERROR(SEARCH(("Відком. за межі ПБ"),(U1425))))</formula>
    </cfRule>
  </conditionalFormatting>
  <conditionalFormatting sqref="U1425">
    <cfRule type="containsText" dxfId="7" priority="409" operator="containsText" text="Від-ні навчання">
      <formula>NOT(ISERROR(SEARCH(("Від-ні навчання"),(U1425))))</formula>
    </cfRule>
  </conditionalFormatting>
  <conditionalFormatting sqref="U1425">
    <cfRule type="containsText" dxfId="6" priority="410" operator="containsText" text="Зниклі безвісти">
      <formula>NOT(ISERROR(SEARCH(("Зниклі безвісти"),(U1425))))</formula>
    </cfRule>
  </conditionalFormatting>
  <conditionalFormatting sqref="U1425">
    <cfRule type="containsText" dxfId="5" priority="411" operator="containsText" text="СЗЧ">
      <formula>NOT(ISERROR(SEARCH(("СЗЧ"),(U1425))))</formula>
    </cfRule>
  </conditionalFormatting>
  <conditionalFormatting sqref="U1425">
    <cfRule type="containsText" dxfId="4" priority="412" operator="containsText" text="Відпустка">
      <formula>NOT(ISERROR(SEARCH(("Відпустка"),(U1425))))</formula>
    </cfRule>
  </conditionalFormatting>
  <conditionalFormatting sqref="U1425">
    <cfRule type="containsText" dxfId="3" priority="413" operator="containsText" text="В строю">
      <formula>NOT(ISERROR(SEARCH(("В строю"),(U1425))))</formula>
    </cfRule>
  </conditionalFormatting>
  <conditionalFormatting sqref="U1425">
    <cfRule type="containsText" dxfId="3" priority="414" operator="containsText" text="В строю">
      <formula>NOT(ISERROR(SEARCH(("В строю"),(U1425))))</formula>
    </cfRule>
  </conditionalFormatting>
  <conditionalFormatting sqref="U1425">
    <cfRule type="containsText" dxfId="4" priority="415" operator="containsText" text="Відпустка">
      <formula>NOT(ISERROR(SEARCH(("Відпустка"),(U1425))))</formula>
    </cfRule>
  </conditionalFormatting>
  <conditionalFormatting sqref="U1425">
    <cfRule type="containsText" dxfId="5" priority="416" operator="containsText" text="СЗЧ">
      <formula>NOT(ISERROR(SEARCH(("СЗЧ"),(U1425))))</formula>
    </cfRule>
  </conditionalFormatting>
  <conditionalFormatting sqref="U1425">
    <cfRule type="containsText" dxfId="6" priority="417" operator="containsText" text="Зниклі безвісти">
      <formula>NOT(ISERROR(SEARCH(("Зниклі безвісти"),(U1425))))</formula>
    </cfRule>
  </conditionalFormatting>
  <conditionalFormatting sqref="U1425">
    <cfRule type="containsText" dxfId="7" priority="418" operator="containsText" text="Від-ні навчання">
      <formula>NOT(ISERROR(SEARCH(("Від-ні навчання"),(U1425))))</formula>
    </cfRule>
  </conditionalFormatting>
  <conditionalFormatting sqref="U1425">
    <cfRule type="containsText" dxfId="8" priority="419" operator="containsText" text="Відком. за межі ПБ">
      <formula>NOT(ISERROR(SEARCH(("Відком. за межі ПБ"),(U1425))))</formula>
    </cfRule>
  </conditionalFormatting>
  <conditionalFormatting sqref="U1425">
    <cfRule type="containsText" dxfId="9" priority="420" operator="containsText" text="Загиблі">
      <formula>NOT(ISERROR(SEARCH(("Загиблі"),(U1425))))</formula>
    </cfRule>
  </conditionalFormatting>
  <conditionalFormatting sqref="U1425">
    <cfRule type="containsText" dxfId="10" priority="421" operator="containsText" text="Лікування">
      <formula>NOT(ISERROR(SEARCH(("Лікування"),(U1425))))</formula>
    </cfRule>
  </conditionalFormatting>
  <conditionalFormatting sqref="K1425 N1425:O1425">
    <cfRule type="expression" dxfId="0" priority="422">
      <formula>COUNTIF(#REF!, N1425) &gt; 1</formula>
    </cfRule>
  </conditionalFormatting>
  <conditionalFormatting sqref="U1425">
    <cfRule type="containsText" dxfId="3" priority="423" operator="containsText" text="В строю">
      <formula>NOT(ISERROR(SEARCH(("В строю"),(U1425))))</formula>
    </cfRule>
  </conditionalFormatting>
  <conditionalFormatting sqref="U1425">
    <cfRule type="containsText" dxfId="4" priority="424" operator="containsText" text="Відпустка">
      <formula>NOT(ISERROR(SEARCH(("Відпустка"),(U1425))))</formula>
    </cfRule>
  </conditionalFormatting>
  <conditionalFormatting sqref="U1425">
    <cfRule type="containsText" dxfId="5" priority="425" operator="containsText" text="СЗЧ">
      <formula>NOT(ISERROR(SEARCH(("СЗЧ"),(U1425))))</formula>
    </cfRule>
  </conditionalFormatting>
  <conditionalFormatting sqref="U1425">
    <cfRule type="containsText" dxfId="6" priority="426" operator="containsText" text="Зниклі безвісти">
      <formula>NOT(ISERROR(SEARCH(("Зниклі безвісти"),(U1425))))</formula>
    </cfRule>
  </conditionalFormatting>
  <conditionalFormatting sqref="U1425">
    <cfRule type="containsText" dxfId="7" priority="427" operator="containsText" text="Від-ні навчання">
      <formula>NOT(ISERROR(SEARCH(("Від-ні навчання"),(U1425))))</formula>
    </cfRule>
  </conditionalFormatting>
  <conditionalFormatting sqref="U1425">
    <cfRule type="containsText" dxfId="8" priority="428" operator="containsText" text="Відком. за межі ПБ">
      <formula>NOT(ISERROR(SEARCH(("Відком. за межі ПБ"),(U1425))))</formula>
    </cfRule>
  </conditionalFormatting>
  <conditionalFormatting sqref="U1425">
    <cfRule type="containsText" dxfId="9" priority="429" operator="containsText" text="Загиблі">
      <formula>NOT(ISERROR(SEARCH(("Загиблі"),(U1425))))</formula>
    </cfRule>
  </conditionalFormatting>
  <conditionalFormatting sqref="U1425">
    <cfRule type="containsText" dxfId="10" priority="430" operator="containsText" text="Лікування">
      <formula>NOT(ISERROR(SEARCH(("Лікування"),(U1425))))</formula>
    </cfRule>
  </conditionalFormatting>
  <conditionalFormatting sqref="U1425">
    <cfRule type="containsText" dxfId="10" priority="431" operator="containsText" text="Лікування">
      <formula>NOT(ISERROR(SEARCH(("Лікування"),(U1425))))</formula>
    </cfRule>
  </conditionalFormatting>
  <conditionalFormatting sqref="U1425">
    <cfRule type="containsText" dxfId="9" priority="432" operator="containsText" text="Загиблі">
      <formula>NOT(ISERROR(SEARCH(("Загиблі"),(U1425))))</formula>
    </cfRule>
  </conditionalFormatting>
  <conditionalFormatting sqref="U1425">
    <cfRule type="containsText" dxfId="8" priority="433" operator="containsText" text="Відком. за межі ПБ">
      <formula>NOT(ISERROR(SEARCH(("Відком. за межі ПБ"),(U1425))))</formula>
    </cfRule>
  </conditionalFormatting>
  <conditionalFormatting sqref="U1425">
    <cfRule type="containsText" dxfId="7" priority="434" operator="containsText" text="Від-ні навчання">
      <formula>NOT(ISERROR(SEARCH(("Від-ні навчання"),(U1425))))</formula>
    </cfRule>
  </conditionalFormatting>
  <conditionalFormatting sqref="U1425">
    <cfRule type="containsText" dxfId="6" priority="435" operator="containsText" text="Зниклі безвісти">
      <formula>NOT(ISERROR(SEARCH(("Зниклі безвісти"),(U1425))))</formula>
    </cfRule>
  </conditionalFormatting>
  <conditionalFormatting sqref="U1425">
    <cfRule type="containsText" dxfId="5" priority="436" operator="containsText" text="СЗЧ">
      <formula>NOT(ISERROR(SEARCH(("СЗЧ"),(U1425))))</formula>
    </cfRule>
  </conditionalFormatting>
  <conditionalFormatting sqref="U1425">
    <cfRule type="containsText" dxfId="4" priority="437" operator="containsText" text="Відпустка">
      <formula>NOT(ISERROR(SEARCH(("Відпустка"),(U1425))))</formula>
    </cfRule>
  </conditionalFormatting>
  <conditionalFormatting sqref="U1425">
    <cfRule type="containsText" dxfId="3" priority="438" operator="containsText" text="В строю">
      <formula>NOT(ISERROR(SEARCH(("В строю"),(U1425))))</formula>
    </cfRule>
  </conditionalFormatting>
  <conditionalFormatting sqref="U1425">
    <cfRule type="containsText" dxfId="10" priority="439" operator="containsText" text="Лікування">
      <formula>NOT(ISERROR(SEARCH(("Лікування"),(U1425))))</formula>
    </cfRule>
  </conditionalFormatting>
  <conditionalFormatting sqref="U1425">
    <cfRule type="containsText" dxfId="9" priority="440" operator="containsText" text="Загиблі">
      <formula>NOT(ISERROR(SEARCH(("Загиблі"),(U1425))))</formula>
    </cfRule>
  </conditionalFormatting>
  <conditionalFormatting sqref="U1425">
    <cfRule type="containsText" dxfId="8" priority="441" operator="containsText" text="Відком. за межі ПБ">
      <formula>NOT(ISERROR(SEARCH(("Відком. за межі ПБ"),(U1425))))</formula>
    </cfRule>
  </conditionalFormatting>
  <conditionalFormatting sqref="U1425">
    <cfRule type="containsText" dxfId="7" priority="442" operator="containsText" text="Від-ні навчання">
      <formula>NOT(ISERROR(SEARCH(("Від-ні навчання"),(U1425))))</formula>
    </cfRule>
  </conditionalFormatting>
  <conditionalFormatting sqref="U1425">
    <cfRule type="containsText" dxfId="6" priority="443" operator="containsText" text="Зниклі безвісти">
      <formula>NOT(ISERROR(SEARCH(("Зниклі безвісти"),(U1425))))</formula>
    </cfRule>
  </conditionalFormatting>
  <conditionalFormatting sqref="U1425">
    <cfRule type="containsText" dxfId="5" priority="444" operator="containsText" text="СЗЧ">
      <formula>NOT(ISERROR(SEARCH(("СЗЧ"),(U1425))))</formula>
    </cfRule>
  </conditionalFormatting>
  <conditionalFormatting sqref="U1425">
    <cfRule type="containsText" dxfId="4" priority="445" operator="containsText" text="Відпустка">
      <formula>NOT(ISERROR(SEARCH(("Відпустка"),(U1425))))</formula>
    </cfRule>
  </conditionalFormatting>
  <conditionalFormatting sqref="U1425">
    <cfRule type="containsText" dxfId="3" priority="446" operator="containsText" text="В строю">
      <formula>NOT(ISERROR(SEARCH(("В строю"),(U1425))))</formula>
    </cfRule>
  </conditionalFormatting>
  <conditionalFormatting sqref="U1425">
    <cfRule type="containsText" dxfId="3" priority="447" operator="containsText" text="В строю">
      <formula>NOT(ISERROR(SEARCH(("В строю"),(U1425))))</formula>
    </cfRule>
  </conditionalFormatting>
  <conditionalFormatting sqref="U1425">
    <cfRule type="containsText" dxfId="4" priority="448" operator="containsText" text="Відпустка">
      <formula>NOT(ISERROR(SEARCH(("Відпустка"),(U1425))))</formula>
    </cfRule>
  </conditionalFormatting>
  <conditionalFormatting sqref="U1425">
    <cfRule type="containsText" dxfId="5" priority="449" operator="containsText" text="СЗЧ">
      <formula>NOT(ISERROR(SEARCH(("СЗЧ"),(U1425))))</formula>
    </cfRule>
  </conditionalFormatting>
  <conditionalFormatting sqref="U1425">
    <cfRule type="containsText" dxfId="6" priority="450" operator="containsText" text="Зниклі безвісти">
      <formula>NOT(ISERROR(SEARCH(("Зниклі безвісти"),(U1425))))</formula>
    </cfRule>
  </conditionalFormatting>
  <conditionalFormatting sqref="U1425">
    <cfRule type="containsText" dxfId="7" priority="451" operator="containsText" text="Від-ні навчання">
      <formula>NOT(ISERROR(SEARCH(("Від-ні навчання"),(U1425))))</formula>
    </cfRule>
  </conditionalFormatting>
  <conditionalFormatting sqref="U1425">
    <cfRule type="containsText" dxfId="8" priority="452" operator="containsText" text="Відком. за межі ПБ">
      <formula>NOT(ISERROR(SEARCH(("Відком. за межі ПБ"),(U1425))))</formula>
    </cfRule>
  </conditionalFormatting>
  <conditionalFormatting sqref="U1425">
    <cfRule type="containsText" dxfId="9" priority="453" operator="containsText" text="Загиблі">
      <formula>NOT(ISERROR(SEARCH(("Загиблі"),(U1425))))</formula>
    </cfRule>
  </conditionalFormatting>
  <conditionalFormatting sqref="U1425">
    <cfRule type="containsText" dxfId="10" priority="454" operator="containsText" text="Лікування">
      <formula>NOT(ISERROR(SEARCH(("Лікування"),(U1425))))</formula>
    </cfRule>
  </conditionalFormatting>
  <conditionalFormatting sqref="U1425">
    <cfRule type="containsText" dxfId="3" priority="455" operator="containsText" text="В строю">
      <formula>NOT(ISERROR(SEARCH(("В строю"),(U1425))))</formula>
    </cfRule>
  </conditionalFormatting>
  <conditionalFormatting sqref="U1425">
    <cfRule type="containsText" dxfId="4" priority="456" operator="containsText" text="Відпустка">
      <formula>NOT(ISERROR(SEARCH(("Відпустка"),(U1425))))</formula>
    </cfRule>
  </conditionalFormatting>
  <conditionalFormatting sqref="U1425">
    <cfRule type="containsText" dxfId="5" priority="457" operator="containsText" text="СЗЧ">
      <formula>NOT(ISERROR(SEARCH(("СЗЧ"),(U1425))))</formula>
    </cfRule>
  </conditionalFormatting>
  <conditionalFormatting sqref="U1425">
    <cfRule type="containsText" dxfId="6" priority="458" operator="containsText" text="Зниклі безвісти">
      <formula>NOT(ISERROR(SEARCH(("Зниклі безвісти"),(U1425))))</formula>
    </cfRule>
  </conditionalFormatting>
  <conditionalFormatting sqref="U1425">
    <cfRule type="containsText" dxfId="7" priority="459" operator="containsText" text="Від-ні навчання">
      <formula>NOT(ISERROR(SEARCH(("Від-ні навчання"),(U1425))))</formula>
    </cfRule>
  </conditionalFormatting>
  <conditionalFormatting sqref="U1425">
    <cfRule type="containsText" dxfId="8" priority="460" operator="containsText" text="Відком. за межі ПБ">
      <formula>NOT(ISERROR(SEARCH(("Відком. за межі ПБ"),(U1425))))</formula>
    </cfRule>
  </conditionalFormatting>
  <conditionalFormatting sqref="U1425">
    <cfRule type="containsText" dxfId="9" priority="461" operator="containsText" text="Загиблі">
      <formula>NOT(ISERROR(SEARCH(("Загиблі"),(U1425))))</formula>
    </cfRule>
  </conditionalFormatting>
  <conditionalFormatting sqref="U1425">
    <cfRule type="containsText" dxfId="10" priority="462" operator="containsText" text="Лікування">
      <formula>NOT(ISERROR(SEARCH(("Лікування"),(U1425))))</formula>
    </cfRule>
  </conditionalFormatting>
  <conditionalFormatting sqref="AK1425">
    <cfRule type="cellIs" dxfId="12" priority="463" operator="equal">
      <formula>SUM(#REF!)</formula>
    </cfRule>
  </conditionalFormatting>
  <conditionalFormatting sqref="AK1425">
    <cfRule type="containsText" dxfId="18" priority="464" operator="containsText" text="В строю">
      <formula>NOT(ISERROR(SEARCH(("В строю"),(AK1425))))</formula>
    </cfRule>
  </conditionalFormatting>
  <conditionalFormatting sqref="AK1425">
    <cfRule type="containsText" dxfId="8" priority="465" operator="containsText" text="Від-ні за межі бату">
      <formula>NOT(ISERROR(SEARCH(("Від-ні за межі бату"),(AK1425))))</formula>
    </cfRule>
  </conditionalFormatting>
  <conditionalFormatting sqref="AK1425">
    <cfRule type="containsText" dxfId="17" priority="466" operator="containsText" text="Відпустка">
      <formula>NOT(ISERROR(SEARCH(("Відпустка"),(AK1425))))</formula>
    </cfRule>
  </conditionalFormatting>
  <conditionalFormatting sqref="AK1425">
    <cfRule type="containsText" dxfId="16" priority="467" operator="containsText" text="Мед.пункт">
      <formula>NOT(ISERROR(SEARCH(("Мед.пункт"),(AK1425))))</formula>
    </cfRule>
  </conditionalFormatting>
  <conditionalFormatting sqref="AK1425">
    <cfRule type="containsText" dxfId="15" priority="468" operator="containsText" text="СТАТУС">
      <formula>NOT(ISERROR(SEARCH(("СТАТУС"),(AK1425))))</formula>
    </cfRule>
  </conditionalFormatting>
  <conditionalFormatting sqref="AK1425">
    <cfRule type="containsText" dxfId="14" priority="469" operator="containsText" text="Лікування">
      <formula>NOT(ISERROR(SEARCH(("Лікування"),(AK1425))))</formula>
    </cfRule>
  </conditionalFormatting>
  <conditionalFormatting sqref="AK1425">
    <cfRule type="containsText" dxfId="13" priority="470" operator="containsText" text="СЗЧ">
      <formula>NOT(ISERROR(SEARCH(("СЗЧ"),(AK1425))))</formula>
    </cfRule>
  </conditionalFormatting>
  <conditionalFormatting sqref="AK1425">
    <cfRule type="containsText" dxfId="11" priority="471" operator="containsText" text="Зниклі безвісти">
      <formula>NOT(ISERROR(SEARCH(("Зниклі безвісти"),(AK1425))))</formula>
    </cfRule>
  </conditionalFormatting>
  <conditionalFormatting sqref="U1424">
    <cfRule type="containsText" dxfId="3" priority="472" operator="containsText" text="В строю">
      <formula>NOT(ISERROR(SEARCH(("В строю"),(U1424))))</formula>
    </cfRule>
  </conditionalFormatting>
  <conditionalFormatting sqref="U1424">
    <cfRule type="containsText" dxfId="4" priority="473" operator="containsText" text="Відпустка">
      <formula>NOT(ISERROR(SEARCH(("Відпустка"),(U1424))))</formula>
    </cfRule>
  </conditionalFormatting>
  <conditionalFormatting sqref="U1424">
    <cfRule type="containsText" dxfId="5" priority="474" operator="containsText" text="СЗЧ">
      <formula>NOT(ISERROR(SEARCH(("СЗЧ"),(U1424))))</formula>
    </cfRule>
  </conditionalFormatting>
  <conditionalFormatting sqref="U1424">
    <cfRule type="containsText" dxfId="6" priority="475" operator="containsText" text="Зниклі безвісти">
      <formula>NOT(ISERROR(SEARCH(("Зниклі безвісти"),(U1424))))</formula>
    </cfRule>
  </conditionalFormatting>
  <conditionalFormatting sqref="U1424">
    <cfRule type="containsText" dxfId="7" priority="476" operator="containsText" text="Від-ні навчання">
      <formula>NOT(ISERROR(SEARCH(("Від-ні навчання"),(U1424))))</formula>
    </cfRule>
  </conditionalFormatting>
  <conditionalFormatting sqref="U1424">
    <cfRule type="containsText" dxfId="8" priority="477" operator="containsText" text="Відком. за межі ПБ">
      <formula>NOT(ISERROR(SEARCH(("Відком. за межі ПБ"),(U1424))))</formula>
    </cfRule>
  </conditionalFormatting>
  <conditionalFormatting sqref="U1424">
    <cfRule type="containsText" dxfId="9" priority="478" operator="containsText" text="Загиблі">
      <formula>NOT(ISERROR(SEARCH(("Загиблі"),(U1424))))</formula>
    </cfRule>
  </conditionalFormatting>
  <conditionalFormatting sqref="U1424">
    <cfRule type="containsText" dxfId="10" priority="479" operator="containsText" text="Лікування">
      <formula>NOT(ISERROR(SEARCH(("Лікування"),(U1424))))</formula>
    </cfRule>
  </conditionalFormatting>
  <conditionalFormatting sqref="U1424">
    <cfRule type="containsText" dxfId="10" priority="480" operator="containsText" text="Лікування">
      <formula>NOT(ISERROR(SEARCH(("Лікування"),(U1424))))</formula>
    </cfRule>
  </conditionalFormatting>
  <conditionalFormatting sqref="U1424">
    <cfRule type="containsText" dxfId="9" priority="481" operator="containsText" text="Загиблі">
      <formula>NOT(ISERROR(SEARCH(("Загиблі"),(U1424))))</formula>
    </cfRule>
  </conditionalFormatting>
  <conditionalFormatting sqref="U1424">
    <cfRule type="containsText" dxfId="8" priority="482" operator="containsText" text="Відком. за межі ПБ">
      <formula>NOT(ISERROR(SEARCH(("Відком. за межі ПБ"),(U1424))))</formula>
    </cfRule>
  </conditionalFormatting>
  <conditionalFormatting sqref="U1424">
    <cfRule type="containsText" dxfId="7" priority="483" operator="containsText" text="Від-ні навчання">
      <formula>NOT(ISERROR(SEARCH(("Від-ні навчання"),(U1424))))</formula>
    </cfRule>
  </conditionalFormatting>
  <conditionalFormatting sqref="U1424">
    <cfRule type="containsText" dxfId="6" priority="484" operator="containsText" text="Зниклі безвісти">
      <formula>NOT(ISERROR(SEARCH(("Зниклі безвісти"),(U1424))))</formula>
    </cfRule>
  </conditionalFormatting>
  <conditionalFormatting sqref="U1424">
    <cfRule type="containsText" dxfId="5" priority="485" operator="containsText" text="СЗЧ">
      <formula>NOT(ISERROR(SEARCH(("СЗЧ"),(U1424))))</formula>
    </cfRule>
  </conditionalFormatting>
  <conditionalFormatting sqref="U1424">
    <cfRule type="containsText" dxfId="4" priority="486" operator="containsText" text="Відпустка">
      <formula>NOT(ISERROR(SEARCH(("Відпустка"),(U1424))))</formula>
    </cfRule>
  </conditionalFormatting>
  <conditionalFormatting sqref="U1424">
    <cfRule type="containsText" dxfId="3" priority="487" operator="containsText" text="В строю">
      <formula>NOT(ISERROR(SEARCH(("В строю"),(U1424))))</formula>
    </cfRule>
  </conditionalFormatting>
  <conditionalFormatting sqref="N1424">
    <cfRule type="expression" dxfId="0" priority="488">
      <formula>COUNTIF(#REF!, N1424) &gt; 1</formula>
    </cfRule>
  </conditionalFormatting>
  <conditionalFormatting sqref="U1424">
    <cfRule type="containsText" dxfId="10" priority="489" operator="containsText" text="Лікування">
      <formula>NOT(ISERROR(SEARCH(("Лікування"),(U1424))))</formula>
    </cfRule>
  </conditionalFormatting>
  <conditionalFormatting sqref="U1424">
    <cfRule type="containsText" dxfId="9" priority="490" operator="containsText" text="Загиблі">
      <formula>NOT(ISERROR(SEARCH(("Загиблі"),(U1424))))</formula>
    </cfRule>
  </conditionalFormatting>
  <conditionalFormatting sqref="U1424">
    <cfRule type="containsText" dxfId="8" priority="491" operator="containsText" text="Відком. за межі ПБ">
      <formula>NOT(ISERROR(SEARCH(("Відком. за межі ПБ"),(U1424))))</formula>
    </cfRule>
  </conditionalFormatting>
  <conditionalFormatting sqref="U1424">
    <cfRule type="containsText" dxfId="7" priority="492" operator="containsText" text="Від-ні навчання">
      <formula>NOT(ISERROR(SEARCH(("Від-ні навчання"),(U1424))))</formula>
    </cfRule>
  </conditionalFormatting>
  <conditionalFormatting sqref="U1424">
    <cfRule type="containsText" dxfId="6" priority="493" operator="containsText" text="Зниклі безвісти">
      <formula>NOT(ISERROR(SEARCH(("Зниклі безвісти"),(U1424))))</formula>
    </cfRule>
  </conditionalFormatting>
  <conditionalFormatting sqref="U1424">
    <cfRule type="containsText" dxfId="5" priority="494" operator="containsText" text="СЗЧ">
      <formula>NOT(ISERROR(SEARCH(("СЗЧ"),(U1424))))</formula>
    </cfRule>
  </conditionalFormatting>
  <conditionalFormatting sqref="U1424">
    <cfRule type="containsText" dxfId="4" priority="495" operator="containsText" text="Відпустка">
      <formula>NOT(ISERROR(SEARCH(("Відпустка"),(U1424))))</formula>
    </cfRule>
  </conditionalFormatting>
  <conditionalFormatting sqref="U1424">
    <cfRule type="containsText" dxfId="3" priority="496" operator="containsText" text="В строю">
      <formula>NOT(ISERROR(SEARCH(("В строю"),(U1424))))</formula>
    </cfRule>
  </conditionalFormatting>
  <conditionalFormatting sqref="Q1424">
    <cfRule type="cellIs" dxfId="9" priority="497" operator="notEqual">
      <formula>P1424</formula>
    </cfRule>
  </conditionalFormatting>
  <conditionalFormatting sqref="Q1424">
    <cfRule type="cellIs" dxfId="3" priority="498" operator="equal">
      <formula>P1424</formula>
    </cfRule>
  </conditionalFormatting>
  <conditionalFormatting sqref="N1419:N1423">
    <cfRule type="expression" dxfId="0" priority="499">
      <formula>COUNTIF(#REF!, N1419) &gt; 1</formula>
    </cfRule>
  </conditionalFormatting>
  <conditionalFormatting sqref="N1419:N1423">
    <cfRule type="expression" dxfId="0" priority="500">
      <formula>COUNTIF(#REF!, N1419) &gt; 1</formula>
    </cfRule>
  </conditionalFormatting>
  <conditionalFormatting sqref="Q1419:Q1423">
    <cfRule type="cellIs" dxfId="9" priority="501" operator="notEqual">
      <formula>P1419</formula>
    </cfRule>
  </conditionalFormatting>
  <conditionalFormatting sqref="Q1419:Q1423">
    <cfRule type="cellIs" dxfId="3" priority="502" operator="equal">
      <formula>P1419</formula>
    </cfRule>
  </conditionalFormatting>
  <conditionalFormatting sqref="Q1384:Q1385 Q1387:Q1418 Q1420:Q1423">
    <cfRule type="cellIs" dxfId="9" priority="503" operator="notEqual">
      <formula>P1384</formula>
    </cfRule>
  </conditionalFormatting>
  <conditionalFormatting sqref="Q1384:Q1385 Q1387:Q1418 Q1420:Q1423">
    <cfRule type="cellIs" dxfId="3" priority="504" operator="equal">
      <formula>P1384</formula>
    </cfRule>
  </conditionalFormatting>
  <conditionalFormatting sqref="N1384:N1385 N1387:N1418 N1420:N1421">
    <cfRule type="expression" dxfId="0" priority="505">
      <formula>COUNTIF(#REF!, N1384) &gt; 1</formula>
    </cfRule>
  </conditionalFormatting>
  <conditionalFormatting sqref="U1384:U1385 U1387:U1423">
    <cfRule type="containsText" dxfId="10" priority="506" operator="containsText" text="Лікування">
      <formula>NOT(ISERROR(SEARCH(("Лікування"),(U1384))))</formula>
    </cfRule>
  </conditionalFormatting>
  <conditionalFormatting sqref="U1384:U1385 U1387:U1423">
    <cfRule type="containsText" dxfId="9" priority="507" operator="containsText" text="Загиблі">
      <formula>NOT(ISERROR(SEARCH(("Загиблі"),(U1384))))</formula>
    </cfRule>
  </conditionalFormatting>
  <conditionalFormatting sqref="U1384:U1385 U1387:U1423">
    <cfRule type="containsText" dxfId="8" priority="508" operator="containsText" text="Відком. за межі ПБ">
      <formula>NOT(ISERROR(SEARCH(("Відком. за межі ПБ"),(U1384))))</formula>
    </cfRule>
  </conditionalFormatting>
  <conditionalFormatting sqref="U1384:U1385 U1387:U1423">
    <cfRule type="containsText" dxfId="7" priority="509" operator="containsText" text="Від-ні навчання">
      <formula>NOT(ISERROR(SEARCH(("Від-ні навчання"),(U1384))))</formula>
    </cfRule>
  </conditionalFormatting>
  <conditionalFormatting sqref="U1384:U1385 U1387:U1423">
    <cfRule type="containsText" dxfId="6" priority="510" operator="containsText" text="Зниклі безвісти">
      <formula>NOT(ISERROR(SEARCH(("Зниклі безвісти"),(U1384))))</formula>
    </cfRule>
  </conditionalFormatting>
  <conditionalFormatting sqref="U1384:U1385 U1387:U1423">
    <cfRule type="containsText" dxfId="5" priority="511" operator="containsText" text="СЗЧ">
      <formula>NOT(ISERROR(SEARCH(("СЗЧ"),(U1384))))</formula>
    </cfRule>
  </conditionalFormatting>
  <conditionalFormatting sqref="U1384:U1385 U1387:U1423">
    <cfRule type="containsText" dxfId="4" priority="512" operator="containsText" text="Відпустка">
      <formula>NOT(ISERROR(SEARCH(("Відпустка"),(U1384))))</formula>
    </cfRule>
  </conditionalFormatting>
  <conditionalFormatting sqref="U1384:U1385 U1387:U1423">
    <cfRule type="containsText" dxfId="3" priority="513" operator="containsText" text="В строю">
      <formula>NOT(ISERROR(SEARCH(("В строю"),(U1384))))</formula>
    </cfRule>
  </conditionalFormatting>
  <conditionalFormatting sqref="U1384:U1385 U1387:U1417 U1419:U1423">
    <cfRule type="containsText" dxfId="3" priority="514" operator="containsText" text="В строю">
      <formula>NOT(ISERROR(SEARCH(("В строю"),(U1384))))</formula>
    </cfRule>
  </conditionalFormatting>
  <conditionalFormatting sqref="U1384:U1385 U1387:U1417 U1419:U1423">
    <cfRule type="containsText" dxfId="4" priority="515" operator="containsText" text="Відпустка">
      <formula>NOT(ISERROR(SEARCH(("Відпустка"),(U1384))))</formula>
    </cfRule>
  </conditionalFormatting>
  <conditionalFormatting sqref="U1384:U1385 U1387:U1417 U1419:U1423">
    <cfRule type="containsText" dxfId="5" priority="516" operator="containsText" text="СЗЧ">
      <formula>NOT(ISERROR(SEARCH(("СЗЧ"),(U1384))))</formula>
    </cfRule>
  </conditionalFormatting>
  <conditionalFormatting sqref="U1384:U1385 U1387:U1417 U1419:U1423">
    <cfRule type="containsText" dxfId="6" priority="517" operator="containsText" text="Зниклі безвісти">
      <formula>NOT(ISERROR(SEARCH(("Зниклі безвісти"),(U1384))))</formula>
    </cfRule>
  </conditionalFormatting>
  <conditionalFormatting sqref="U1384:U1385 U1387:U1417 U1419:U1423">
    <cfRule type="containsText" dxfId="7" priority="518" operator="containsText" text="Від-ні навчання">
      <formula>NOT(ISERROR(SEARCH(("Від-ні навчання"),(U1384))))</formula>
    </cfRule>
  </conditionalFormatting>
  <conditionalFormatting sqref="U1384:U1385 U1387:U1417 U1419:U1423">
    <cfRule type="containsText" dxfId="8" priority="519" operator="containsText" text="Відком. за межі ПБ">
      <formula>NOT(ISERROR(SEARCH(("Відком. за межі ПБ"),(U1384))))</formula>
    </cfRule>
  </conditionalFormatting>
  <conditionalFormatting sqref="U1384:U1385 U1387:U1417 U1419:U1423">
    <cfRule type="containsText" dxfId="9" priority="520" operator="containsText" text="Загиблі">
      <formula>NOT(ISERROR(SEARCH(("Загиблі"),(U1384))))</formula>
    </cfRule>
  </conditionalFormatting>
  <conditionalFormatting sqref="U1384:U1385 U1387:U1417 U1419:U1423">
    <cfRule type="containsText" dxfId="10" priority="521" operator="containsText" text="Лікування">
      <formula>NOT(ISERROR(SEARCH(("Лікування"),(U1384))))</formula>
    </cfRule>
  </conditionalFormatting>
  <conditionalFormatting sqref="U1419:U1423">
    <cfRule type="containsText" dxfId="10" priority="522" operator="containsText" text="Лікування">
      <formula>NOT(ISERROR(SEARCH(("Лікування"),(U1419))))</formula>
    </cfRule>
  </conditionalFormatting>
  <conditionalFormatting sqref="U1419:U1423">
    <cfRule type="containsText" dxfId="9" priority="523" operator="containsText" text="Загиблі">
      <formula>NOT(ISERROR(SEARCH(("Загиблі"),(U1419))))</formula>
    </cfRule>
  </conditionalFormatting>
  <conditionalFormatting sqref="U1419:U1423">
    <cfRule type="containsText" dxfId="8" priority="524" operator="containsText" text="Відком. за межі ПБ">
      <formula>NOT(ISERROR(SEARCH(("Відком. за межі ПБ"),(U1419))))</formula>
    </cfRule>
  </conditionalFormatting>
  <conditionalFormatting sqref="U1419:U1423">
    <cfRule type="containsText" dxfId="7" priority="525" operator="containsText" text="Від-ні навчання">
      <formula>NOT(ISERROR(SEARCH(("Від-ні навчання"),(U1419))))</formula>
    </cfRule>
  </conditionalFormatting>
  <conditionalFormatting sqref="U1419:U1423">
    <cfRule type="containsText" dxfId="6" priority="526" operator="containsText" text="Зниклі безвісти">
      <formula>NOT(ISERROR(SEARCH(("Зниклі безвісти"),(U1419))))</formula>
    </cfRule>
  </conditionalFormatting>
  <conditionalFormatting sqref="U1419:U1423">
    <cfRule type="containsText" dxfId="5" priority="527" operator="containsText" text="СЗЧ">
      <formula>NOT(ISERROR(SEARCH(("СЗЧ"),(U1419))))</formula>
    </cfRule>
  </conditionalFormatting>
  <conditionalFormatting sqref="U1419:U1423">
    <cfRule type="containsText" dxfId="4" priority="528" operator="containsText" text="Відпустка">
      <formula>NOT(ISERROR(SEARCH(("Відпустка"),(U1419))))</formula>
    </cfRule>
  </conditionalFormatting>
  <conditionalFormatting sqref="U1419:U1423">
    <cfRule type="containsText" dxfId="3" priority="529" operator="containsText" text="В строю">
      <formula>NOT(ISERROR(SEARCH(("В строю"),(U1419))))</formula>
    </cfRule>
  </conditionalFormatting>
  <conditionalFormatting sqref="AK1419:AK1423">
    <cfRule type="containsText" dxfId="18" priority="530" operator="containsText" text="В строю">
      <formula>NOT(ISERROR(SEARCH(("В строю"),(AK1419))))</formula>
    </cfRule>
  </conditionalFormatting>
  <conditionalFormatting sqref="AK1419:AK1423">
    <cfRule type="containsText" dxfId="8" priority="531" operator="containsText" text="Від-ні за межі бату">
      <formula>NOT(ISERROR(SEARCH(("Від-ні за межі бату"),(AK1419))))</formula>
    </cfRule>
  </conditionalFormatting>
  <conditionalFormatting sqref="AK1419:AK1423">
    <cfRule type="containsText" dxfId="17" priority="532" operator="containsText" text="Відпустка">
      <formula>NOT(ISERROR(SEARCH(("Відпустка"),(AK1419))))</formula>
    </cfRule>
  </conditionalFormatting>
  <conditionalFormatting sqref="AK1419:AK1423">
    <cfRule type="containsText" dxfId="16" priority="533" operator="containsText" text="Мед.пункт">
      <formula>NOT(ISERROR(SEARCH(("Мед.пункт"),(AK1419))))</formula>
    </cfRule>
  </conditionalFormatting>
  <conditionalFormatting sqref="AK1419:AK1423">
    <cfRule type="containsText" dxfId="15" priority="534" operator="containsText" text="СТАТУС">
      <formula>NOT(ISERROR(SEARCH(("СТАТУС"),(AK1419))))</formula>
    </cfRule>
  </conditionalFormatting>
  <conditionalFormatting sqref="AK1419:AK1423">
    <cfRule type="containsText" dxfId="14" priority="535" operator="containsText" text="Лікування">
      <formula>NOT(ISERROR(SEARCH(("Лікування"),(AK1419))))</formula>
    </cfRule>
  </conditionalFormatting>
  <conditionalFormatting sqref="AK1419:AK1423">
    <cfRule type="containsText" dxfId="13" priority="536" operator="containsText" text="СЗЧ">
      <formula>NOT(ISERROR(SEARCH(("СЗЧ"),(AK1419))))</formula>
    </cfRule>
  </conditionalFormatting>
  <conditionalFormatting sqref="AK1419:AK1423">
    <cfRule type="containsText" dxfId="11" priority="537" operator="containsText" text="Зниклі безвісти">
      <formula>NOT(ISERROR(SEARCH(("Зниклі безвісти"),(AK1419))))</formula>
    </cfRule>
  </conditionalFormatting>
  <conditionalFormatting sqref="AK1419">
    <cfRule type="cellIs" dxfId="12" priority="538" operator="equal">
      <formula>SUM(#REF!)</formula>
    </cfRule>
  </conditionalFormatting>
  <conditionalFormatting sqref="AK1420:AK1423">
    <cfRule type="cellIs" dxfId="12" priority="539" operator="equal">
      <formula>SUM(#REF!)</formula>
    </cfRule>
  </conditionalFormatting>
  <conditionalFormatting sqref="Q1313">
    <cfRule type="cellIs" dxfId="9" priority="540" operator="notEqual">
      <formula>P1313</formula>
    </cfRule>
  </conditionalFormatting>
  <conditionalFormatting sqref="Q1313">
    <cfRule type="cellIs" dxfId="3" priority="541" operator="equal">
      <formula>P1313</formula>
    </cfRule>
  </conditionalFormatting>
  <conditionalFormatting sqref="U1313">
    <cfRule type="containsText" dxfId="10" priority="542" operator="containsText" text="Лікування">
      <formula>NOT(ISERROR(SEARCH(("Лікування"),(U1313))))</formula>
    </cfRule>
  </conditionalFormatting>
  <conditionalFormatting sqref="U1313">
    <cfRule type="containsText" dxfId="9" priority="543" operator="containsText" text="Загиблі">
      <formula>NOT(ISERROR(SEARCH(("Загиблі"),(U1313))))</formula>
    </cfRule>
  </conditionalFormatting>
  <conditionalFormatting sqref="U1313">
    <cfRule type="containsText" dxfId="8" priority="544" operator="containsText" text="Відком. за межі ПБ">
      <formula>NOT(ISERROR(SEARCH(("Відком. за межі ПБ"),(U1313))))</formula>
    </cfRule>
  </conditionalFormatting>
  <conditionalFormatting sqref="U1313">
    <cfRule type="containsText" dxfId="7" priority="545" operator="containsText" text="Від-ні навчання">
      <formula>NOT(ISERROR(SEARCH(("Від-ні навчання"),(U1313))))</formula>
    </cfRule>
  </conditionalFormatting>
  <conditionalFormatting sqref="U1313">
    <cfRule type="containsText" dxfId="6" priority="546" operator="containsText" text="Зниклі безвісти">
      <formula>NOT(ISERROR(SEARCH(("Зниклі безвісти"),(U1313))))</formula>
    </cfRule>
  </conditionalFormatting>
  <conditionalFormatting sqref="U1313">
    <cfRule type="containsText" dxfId="5" priority="547" operator="containsText" text="СЗЧ">
      <formula>NOT(ISERROR(SEARCH(("СЗЧ"),(U1313))))</formula>
    </cfRule>
  </conditionalFormatting>
  <conditionalFormatting sqref="U1313">
    <cfRule type="containsText" dxfId="4" priority="548" operator="containsText" text="Відпустка">
      <formula>NOT(ISERROR(SEARCH(("Відпустка"),(U1313))))</formula>
    </cfRule>
  </conditionalFormatting>
  <conditionalFormatting sqref="U1313">
    <cfRule type="containsText" dxfId="3" priority="549" operator="containsText" text="В строю">
      <formula>NOT(ISERROR(SEARCH(("В строю"),(U1313))))</formula>
    </cfRule>
  </conditionalFormatting>
  <conditionalFormatting sqref="N1313">
    <cfRule type="expression" dxfId="0" priority="550">
      <formula>COUNTIF(#REF!, N1313) &gt; 1</formula>
    </cfRule>
  </conditionalFormatting>
  <conditionalFormatting sqref="U1312">
    <cfRule type="containsText" dxfId="10" priority="551" operator="containsText" text="Лікування">
      <formula>NOT(ISERROR(SEARCH(("Лікування"),(U1312))))</formula>
    </cfRule>
  </conditionalFormatting>
  <conditionalFormatting sqref="U1312">
    <cfRule type="containsText" dxfId="9" priority="552" operator="containsText" text="Загиблі">
      <formula>NOT(ISERROR(SEARCH(("Загиблі"),(U1312))))</formula>
    </cfRule>
  </conditionalFormatting>
  <conditionalFormatting sqref="U1312">
    <cfRule type="containsText" dxfId="8" priority="553" operator="containsText" text="Відком. за межі ПБ">
      <formula>NOT(ISERROR(SEARCH(("Відком. за межі ПБ"),(U1312))))</formula>
    </cfRule>
  </conditionalFormatting>
  <conditionalFormatting sqref="U1312">
    <cfRule type="containsText" dxfId="7" priority="554" operator="containsText" text="Від-ні навчання">
      <formula>NOT(ISERROR(SEARCH(("Від-ні навчання"),(U1312))))</formula>
    </cfRule>
  </conditionalFormatting>
  <conditionalFormatting sqref="U1312">
    <cfRule type="containsText" dxfId="6" priority="555" operator="containsText" text="Зниклі безвісти">
      <formula>NOT(ISERROR(SEARCH(("Зниклі безвісти"),(U1312))))</formula>
    </cfRule>
  </conditionalFormatting>
  <conditionalFormatting sqref="U1312">
    <cfRule type="containsText" dxfId="5" priority="556" operator="containsText" text="СЗЧ">
      <formula>NOT(ISERROR(SEARCH(("СЗЧ"),(U1312))))</formula>
    </cfRule>
  </conditionalFormatting>
  <conditionalFormatting sqref="U1312">
    <cfRule type="containsText" dxfId="4" priority="557" operator="containsText" text="Відпустка">
      <formula>NOT(ISERROR(SEARCH(("Відпустка"),(U1312))))</formula>
    </cfRule>
  </conditionalFormatting>
  <conditionalFormatting sqref="U1312">
    <cfRule type="containsText" dxfId="3" priority="558" operator="containsText" text="В строю">
      <formula>NOT(ISERROR(SEARCH(("В строю"),(U1312))))</formula>
    </cfRule>
  </conditionalFormatting>
  <conditionalFormatting sqref="N1312">
    <cfRule type="expression" dxfId="0" priority="559">
      <formula>COUNTIF(#REF!, N1312) &gt; 1</formula>
    </cfRule>
  </conditionalFormatting>
  <conditionalFormatting sqref="Q1312">
    <cfRule type="cellIs" dxfId="9" priority="560" operator="notEqual">
      <formula>P1312</formula>
    </cfRule>
  </conditionalFormatting>
  <conditionalFormatting sqref="Q1312">
    <cfRule type="cellIs" dxfId="3" priority="561" operator="equal">
      <formula>P1312</formula>
    </cfRule>
  </conditionalFormatting>
  <conditionalFormatting sqref="U1312">
    <cfRule type="containsText" dxfId="3" priority="562" operator="containsText" text="В строю">
      <formula>NOT(ISERROR(SEARCH(("В строю"),(U1312))))</formula>
    </cfRule>
  </conditionalFormatting>
  <conditionalFormatting sqref="U1312">
    <cfRule type="containsText" dxfId="4" priority="563" operator="containsText" text="Відпустка">
      <formula>NOT(ISERROR(SEARCH(("Відпустка"),(U1312))))</formula>
    </cfRule>
  </conditionalFormatting>
  <conditionalFormatting sqref="U1312">
    <cfRule type="containsText" dxfId="5" priority="564" operator="containsText" text="СЗЧ">
      <formula>NOT(ISERROR(SEARCH(("СЗЧ"),(U1312))))</formula>
    </cfRule>
  </conditionalFormatting>
  <conditionalFormatting sqref="U1312">
    <cfRule type="containsText" dxfId="6" priority="565" operator="containsText" text="Зниклі безвісти">
      <formula>NOT(ISERROR(SEARCH(("Зниклі безвісти"),(U1312))))</formula>
    </cfRule>
  </conditionalFormatting>
  <conditionalFormatting sqref="U1312">
    <cfRule type="containsText" dxfId="7" priority="566" operator="containsText" text="Від-ні навчання">
      <formula>NOT(ISERROR(SEARCH(("Від-ні навчання"),(U1312))))</formula>
    </cfRule>
  </conditionalFormatting>
  <conditionalFormatting sqref="U1312">
    <cfRule type="containsText" dxfId="8" priority="567" operator="containsText" text="Відком. за межі ПБ">
      <formula>NOT(ISERROR(SEARCH(("Відком. за межі ПБ"),(U1312))))</formula>
    </cfRule>
  </conditionalFormatting>
  <conditionalFormatting sqref="U1312">
    <cfRule type="containsText" dxfId="9" priority="568" operator="containsText" text="Загиблі">
      <formula>NOT(ISERROR(SEARCH(("Загиблі"),(U1312))))</formula>
    </cfRule>
  </conditionalFormatting>
  <conditionalFormatting sqref="U1312">
    <cfRule type="containsText" dxfId="10" priority="569" operator="containsText" text="Лікування">
      <formula>NOT(ISERROR(SEARCH(("Лікування"),(U1312))))</formula>
    </cfRule>
  </conditionalFormatting>
  <conditionalFormatting sqref="U1311">
    <cfRule type="containsText" dxfId="10" priority="570" operator="containsText" text="Лікування">
      <formula>NOT(ISERROR(SEARCH(("Лікування"),(U1311))))</formula>
    </cfRule>
  </conditionalFormatting>
  <conditionalFormatting sqref="U1311">
    <cfRule type="containsText" dxfId="9" priority="571" operator="containsText" text="Загиблі">
      <formula>NOT(ISERROR(SEARCH(("Загиблі"),(U1311))))</formula>
    </cfRule>
  </conditionalFormatting>
  <conditionalFormatting sqref="U1311">
    <cfRule type="containsText" dxfId="8" priority="572" operator="containsText" text="Відком. за межі ПБ">
      <formula>NOT(ISERROR(SEARCH(("Відком. за межі ПБ"),(U1311))))</formula>
    </cfRule>
  </conditionalFormatting>
  <conditionalFormatting sqref="U1311">
    <cfRule type="containsText" dxfId="7" priority="573" operator="containsText" text="Від-ні навчання">
      <formula>NOT(ISERROR(SEARCH(("Від-ні навчання"),(U1311))))</formula>
    </cfRule>
  </conditionalFormatting>
  <conditionalFormatting sqref="U1311">
    <cfRule type="containsText" dxfId="6" priority="574" operator="containsText" text="Зниклі безвісти">
      <formula>NOT(ISERROR(SEARCH(("Зниклі безвісти"),(U1311))))</formula>
    </cfRule>
  </conditionalFormatting>
  <conditionalFormatting sqref="U1311">
    <cfRule type="containsText" dxfId="5" priority="575" operator="containsText" text="СЗЧ">
      <formula>NOT(ISERROR(SEARCH(("СЗЧ"),(U1311))))</formula>
    </cfRule>
  </conditionalFormatting>
  <conditionalFormatting sqref="U1311">
    <cfRule type="containsText" dxfId="4" priority="576" operator="containsText" text="Відпустка">
      <formula>NOT(ISERROR(SEARCH(("Відпустка"),(U1311))))</formula>
    </cfRule>
  </conditionalFormatting>
  <conditionalFormatting sqref="U1311">
    <cfRule type="containsText" dxfId="3" priority="577" operator="containsText" text="В строю">
      <formula>NOT(ISERROR(SEARCH(("В строю"),(U1311))))</formula>
    </cfRule>
  </conditionalFormatting>
  <conditionalFormatting sqref="U1311">
    <cfRule type="containsText" dxfId="3" priority="578" operator="containsText" text="В строю">
      <formula>NOT(ISERROR(SEARCH(("В строю"),(U1311))))</formula>
    </cfRule>
  </conditionalFormatting>
  <conditionalFormatting sqref="U1311">
    <cfRule type="containsText" dxfId="4" priority="579" operator="containsText" text="Відпустка">
      <formula>NOT(ISERROR(SEARCH(("Відпустка"),(U1311))))</formula>
    </cfRule>
  </conditionalFormatting>
  <conditionalFormatting sqref="U1311">
    <cfRule type="containsText" dxfId="5" priority="580" operator="containsText" text="СЗЧ">
      <formula>NOT(ISERROR(SEARCH(("СЗЧ"),(U1311))))</formula>
    </cfRule>
  </conditionalFormatting>
  <conditionalFormatting sqref="U1311">
    <cfRule type="containsText" dxfId="6" priority="581" operator="containsText" text="Зниклі безвісти">
      <formula>NOT(ISERROR(SEARCH(("Зниклі безвісти"),(U1311))))</formula>
    </cfRule>
  </conditionalFormatting>
  <conditionalFormatting sqref="U1311">
    <cfRule type="containsText" dxfId="7" priority="582" operator="containsText" text="Від-ні навчання">
      <formula>NOT(ISERROR(SEARCH(("Від-ні навчання"),(U1311))))</formula>
    </cfRule>
  </conditionalFormatting>
  <conditionalFormatting sqref="U1311">
    <cfRule type="containsText" dxfId="8" priority="583" operator="containsText" text="Відком. за межі ПБ">
      <formula>NOT(ISERROR(SEARCH(("Відком. за межі ПБ"),(U1311))))</formula>
    </cfRule>
  </conditionalFormatting>
  <conditionalFormatting sqref="U1311">
    <cfRule type="containsText" dxfId="9" priority="584" operator="containsText" text="Загиблі">
      <formula>NOT(ISERROR(SEARCH(("Загиблі"),(U1311))))</formula>
    </cfRule>
  </conditionalFormatting>
  <conditionalFormatting sqref="U1311">
    <cfRule type="containsText" dxfId="10" priority="585" operator="containsText" text="Лікування">
      <formula>NOT(ISERROR(SEARCH(("Лікування"),(U1311))))</formula>
    </cfRule>
  </conditionalFormatting>
  <conditionalFormatting sqref="N1311">
    <cfRule type="expression" dxfId="0" priority="586">
      <formula>COUNTIF(#REF!, N1311) &gt; 1</formula>
    </cfRule>
  </conditionalFormatting>
  <conditionalFormatting sqref="Q1311">
    <cfRule type="cellIs" dxfId="9" priority="587" operator="notEqual">
      <formula>P1311</formula>
    </cfRule>
  </conditionalFormatting>
  <conditionalFormatting sqref="Q1311">
    <cfRule type="cellIs" dxfId="3" priority="588" operator="equal">
      <formula>P1311</formula>
    </cfRule>
  </conditionalFormatting>
  <conditionalFormatting sqref="Q1310">
    <cfRule type="cellIs" dxfId="9" priority="589" operator="notEqual">
      <formula>P1310</formula>
    </cfRule>
  </conditionalFormatting>
  <conditionalFormatting sqref="Q1310">
    <cfRule type="cellIs" dxfId="3" priority="590" operator="equal">
      <formula>P1310</formula>
    </cfRule>
  </conditionalFormatting>
  <conditionalFormatting sqref="N1310">
    <cfRule type="expression" dxfId="0" priority="591">
      <formula>COUNTIF(#REF!, N1310) &gt; 1</formula>
    </cfRule>
  </conditionalFormatting>
  <conditionalFormatting sqref="U1310">
    <cfRule type="containsText" dxfId="10" priority="592" operator="containsText" text="Лікування">
      <formula>NOT(ISERROR(SEARCH(("Лікування"),(U1310))))</formula>
    </cfRule>
  </conditionalFormatting>
  <conditionalFormatting sqref="U1310">
    <cfRule type="containsText" dxfId="9" priority="593" operator="containsText" text="Загиблі">
      <formula>NOT(ISERROR(SEARCH(("Загиблі"),(U1310))))</formula>
    </cfRule>
  </conditionalFormatting>
  <conditionalFormatting sqref="U1310">
    <cfRule type="containsText" dxfId="8" priority="594" operator="containsText" text="Відком. за межі ПБ">
      <formula>NOT(ISERROR(SEARCH(("Відком. за межі ПБ"),(U1310))))</formula>
    </cfRule>
  </conditionalFormatting>
  <conditionalFormatting sqref="U1310">
    <cfRule type="containsText" dxfId="7" priority="595" operator="containsText" text="Від-ні навчання">
      <formula>NOT(ISERROR(SEARCH(("Від-ні навчання"),(U1310))))</formula>
    </cfRule>
  </conditionalFormatting>
  <conditionalFormatting sqref="U1310">
    <cfRule type="containsText" dxfId="6" priority="596" operator="containsText" text="Зниклі безвісти">
      <formula>NOT(ISERROR(SEARCH(("Зниклі безвісти"),(U1310))))</formula>
    </cfRule>
  </conditionalFormatting>
  <conditionalFormatting sqref="U1310">
    <cfRule type="containsText" dxfId="5" priority="597" operator="containsText" text="СЗЧ">
      <formula>NOT(ISERROR(SEARCH(("СЗЧ"),(U1310))))</formula>
    </cfRule>
  </conditionalFormatting>
  <conditionalFormatting sqref="U1310">
    <cfRule type="containsText" dxfId="4" priority="598" operator="containsText" text="Відпустка">
      <formula>NOT(ISERROR(SEARCH(("Відпустка"),(U1310))))</formula>
    </cfRule>
  </conditionalFormatting>
  <conditionalFormatting sqref="U1310">
    <cfRule type="containsText" dxfId="3" priority="599" operator="containsText" text="В строю">
      <formula>NOT(ISERROR(SEARCH(("В строю"),(U1310))))</formula>
    </cfRule>
  </conditionalFormatting>
  <conditionalFormatting sqref="U1310">
    <cfRule type="containsText" dxfId="3" priority="600" operator="containsText" text="В строю">
      <formula>NOT(ISERROR(SEARCH(("В строю"),(U1310))))</formula>
    </cfRule>
  </conditionalFormatting>
  <conditionalFormatting sqref="U1310">
    <cfRule type="containsText" dxfId="4" priority="601" operator="containsText" text="Відпустка">
      <formula>NOT(ISERROR(SEARCH(("Відпустка"),(U1310))))</formula>
    </cfRule>
  </conditionalFormatting>
  <conditionalFormatting sqref="U1310">
    <cfRule type="containsText" dxfId="5" priority="602" operator="containsText" text="СЗЧ">
      <formula>NOT(ISERROR(SEARCH(("СЗЧ"),(U1310))))</formula>
    </cfRule>
  </conditionalFormatting>
  <conditionalFormatting sqref="U1310">
    <cfRule type="containsText" dxfId="6" priority="603" operator="containsText" text="Зниклі безвісти">
      <formula>NOT(ISERROR(SEARCH(("Зниклі безвісти"),(U1310))))</formula>
    </cfRule>
  </conditionalFormatting>
  <conditionalFormatting sqref="U1310">
    <cfRule type="containsText" dxfId="7" priority="604" operator="containsText" text="Від-ні навчання">
      <formula>NOT(ISERROR(SEARCH(("Від-ні навчання"),(U1310))))</formula>
    </cfRule>
  </conditionalFormatting>
  <conditionalFormatting sqref="U1310">
    <cfRule type="containsText" dxfId="8" priority="605" operator="containsText" text="Відком. за межі ПБ">
      <formula>NOT(ISERROR(SEARCH(("Відком. за межі ПБ"),(U1310))))</formula>
    </cfRule>
  </conditionalFormatting>
  <conditionalFormatting sqref="U1310">
    <cfRule type="containsText" dxfId="9" priority="606" operator="containsText" text="Загиблі">
      <formula>NOT(ISERROR(SEARCH(("Загиблі"),(U1310))))</formula>
    </cfRule>
  </conditionalFormatting>
  <conditionalFormatting sqref="U1310">
    <cfRule type="containsText" dxfId="10" priority="607" operator="containsText" text="Лікування">
      <formula>NOT(ISERROR(SEARCH(("Лікування"),(U1310))))</formula>
    </cfRule>
  </conditionalFormatting>
  <conditionalFormatting sqref="Q1309">
    <cfRule type="cellIs" dxfId="9" priority="608" operator="notEqual">
      <formula>P1309</formula>
    </cfRule>
  </conditionalFormatting>
  <conditionalFormatting sqref="Q1309">
    <cfRule type="cellIs" dxfId="3" priority="609" operator="equal">
      <formula>P1309</formula>
    </cfRule>
  </conditionalFormatting>
  <conditionalFormatting sqref="N1309">
    <cfRule type="expression" dxfId="0" priority="610">
      <formula>COUNTIF(#REF!, N1309) &gt; 1</formula>
    </cfRule>
  </conditionalFormatting>
  <conditionalFormatting sqref="U1309">
    <cfRule type="containsText" dxfId="10" priority="611" operator="containsText" text="Лікування">
      <formula>NOT(ISERROR(SEARCH(("Лікування"),(U1309))))</formula>
    </cfRule>
  </conditionalFormatting>
  <conditionalFormatting sqref="U1309">
    <cfRule type="containsText" dxfId="9" priority="612" operator="containsText" text="Загиблі">
      <formula>NOT(ISERROR(SEARCH(("Загиблі"),(U1309))))</formula>
    </cfRule>
  </conditionalFormatting>
  <conditionalFormatting sqref="U1309">
    <cfRule type="containsText" dxfId="8" priority="613" operator="containsText" text="Відком. за межі ПБ">
      <formula>NOT(ISERROR(SEARCH(("Відком. за межі ПБ"),(U1309))))</formula>
    </cfRule>
  </conditionalFormatting>
  <conditionalFormatting sqref="U1309">
    <cfRule type="containsText" dxfId="7" priority="614" operator="containsText" text="Від-ні навчання">
      <formula>NOT(ISERROR(SEARCH(("Від-ні навчання"),(U1309))))</formula>
    </cfRule>
  </conditionalFormatting>
  <conditionalFormatting sqref="U1309">
    <cfRule type="containsText" dxfId="6" priority="615" operator="containsText" text="Зниклі безвісти">
      <formula>NOT(ISERROR(SEARCH(("Зниклі безвісти"),(U1309))))</formula>
    </cfRule>
  </conditionalFormatting>
  <conditionalFormatting sqref="U1309">
    <cfRule type="containsText" dxfId="5" priority="616" operator="containsText" text="СЗЧ">
      <formula>NOT(ISERROR(SEARCH(("СЗЧ"),(U1309))))</formula>
    </cfRule>
  </conditionalFormatting>
  <conditionalFormatting sqref="U1309">
    <cfRule type="containsText" dxfId="4" priority="617" operator="containsText" text="Відпустка">
      <formula>NOT(ISERROR(SEARCH(("Відпустка"),(U1309))))</formula>
    </cfRule>
  </conditionalFormatting>
  <conditionalFormatting sqref="U1309">
    <cfRule type="containsText" dxfId="3" priority="618" operator="containsText" text="В строю">
      <formula>NOT(ISERROR(SEARCH(("В строю"),(U1309))))</formula>
    </cfRule>
  </conditionalFormatting>
  <conditionalFormatting sqref="U1309">
    <cfRule type="containsText" dxfId="3" priority="619" operator="containsText" text="В строю">
      <formula>NOT(ISERROR(SEARCH(("В строю"),(U1309))))</formula>
    </cfRule>
  </conditionalFormatting>
  <conditionalFormatting sqref="U1309">
    <cfRule type="containsText" dxfId="4" priority="620" operator="containsText" text="Відпустка">
      <formula>NOT(ISERROR(SEARCH(("Відпустка"),(U1309))))</formula>
    </cfRule>
  </conditionalFormatting>
  <conditionalFormatting sqref="U1309">
    <cfRule type="containsText" dxfId="5" priority="621" operator="containsText" text="СЗЧ">
      <formula>NOT(ISERROR(SEARCH(("СЗЧ"),(U1309))))</formula>
    </cfRule>
  </conditionalFormatting>
  <conditionalFormatting sqref="U1309">
    <cfRule type="containsText" dxfId="6" priority="622" operator="containsText" text="Зниклі безвісти">
      <formula>NOT(ISERROR(SEARCH(("Зниклі безвісти"),(U1309))))</formula>
    </cfRule>
  </conditionalFormatting>
  <conditionalFormatting sqref="U1309">
    <cfRule type="containsText" dxfId="7" priority="623" operator="containsText" text="Від-ні навчання">
      <formula>NOT(ISERROR(SEARCH(("Від-ні навчання"),(U1309))))</formula>
    </cfRule>
  </conditionalFormatting>
  <conditionalFormatting sqref="U1309">
    <cfRule type="containsText" dxfId="8" priority="624" operator="containsText" text="Відком. за межі ПБ">
      <formula>NOT(ISERROR(SEARCH(("Відком. за межі ПБ"),(U1309))))</formula>
    </cfRule>
  </conditionalFormatting>
  <conditionalFormatting sqref="U1309">
    <cfRule type="containsText" dxfId="9" priority="625" operator="containsText" text="Загиблі">
      <formula>NOT(ISERROR(SEARCH(("Загиблі"),(U1309))))</formula>
    </cfRule>
  </conditionalFormatting>
  <conditionalFormatting sqref="U1309">
    <cfRule type="containsText" dxfId="10" priority="626" operator="containsText" text="Лікування">
      <formula>NOT(ISERROR(SEARCH(("Лікування"),(U1309))))</formula>
    </cfRule>
  </conditionalFormatting>
  <conditionalFormatting sqref="U1308">
    <cfRule type="containsText" dxfId="10" priority="627" operator="containsText" text="Лікування">
      <formula>NOT(ISERROR(SEARCH(("Лікування"),(U1308))))</formula>
    </cfRule>
  </conditionalFormatting>
  <conditionalFormatting sqref="U1308">
    <cfRule type="containsText" dxfId="9" priority="628" operator="containsText" text="Загиблі">
      <formula>NOT(ISERROR(SEARCH(("Загиблі"),(U1308))))</formula>
    </cfRule>
  </conditionalFormatting>
  <conditionalFormatting sqref="U1308">
    <cfRule type="containsText" dxfId="8" priority="629" operator="containsText" text="Відком. за межі ПБ">
      <formula>NOT(ISERROR(SEARCH(("Відком. за межі ПБ"),(U1308))))</formula>
    </cfRule>
  </conditionalFormatting>
  <conditionalFormatting sqref="U1308">
    <cfRule type="containsText" dxfId="7" priority="630" operator="containsText" text="Від-ні навчання">
      <formula>NOT(ISERROR(SEARCH(("Від-ні навчання"),(U1308))))</formula>
    </cfRule>
  </conditionalFormatting>
  <conditionalFormatting sqref="U1308">
    <cfRule type="containsText" dxfId="6" priority="631" operator="containsText" text="Зниклі безвісти">
      <formula>NOT(ISERROR(SEARCH(("Зниклі безвісти"),(U1308))))</formula>
    </cfRule>
  </conditionalFormatting>
  <conditionalFormatting sqref="U1308">
    <cfRule type="containsText" dxfId="5" priority="632" operator="containsText" text="СЗЧ">
      <formula>NOT(ISERROR(SEARCH(("СЗЧ"),(U1308))))</formula>
    </cfRule>
  </conditionalFormatting>
  <conditionalFormatting sqref="U1308">
    <cfRule type="containsText" dxfId="4" priority="633" operator="containsText" text="Відпустка">
      <formula>NOT(ISERROR(SEARCH(("Відпустка"),(U1308))))</formula>
    </cfRule>
  </conditionalFormatting>
  <conditionalFormatting sqref="U1308">
    <cfRule type="containsText" dxfId="3" priority="634" operator="containsText" text="В строю">
      <formula>NOT(ISERROR(SEARCH(("В строю"),(U1308))))</formula>
    </cfRule>
  </conditionalFormatting>
  <conditionalFormatting sqref="U1308">
    <cfRule type="containsText" dxfId="3" priority="635" operator="containsText" text="В строю">
      <formula>NOT(ISERROR(SEARCH(("В строю"),(U1308))))</formula>
    </cfRule>
  </conditionalFormatting>
  <conditionalFormatting sqref="U1308">
    <cfRule type="containsText" dxfId="4" priority="636" operator="containsText" text="Відпустка">
      <formula>NOT(ISERROR(SEARCH(("Відпустка"),(U1308))))</formula>
    </cfRule>
  </conditionalFormatting>
  <conditionalFormatting sqref="U1308">
    <cfRule type="containsText" dxfId="5" priority="637" operator="containsText" text="СЗЧ">
      <formula>NOT(ISERROR(SEARCH(("СЗЧ"),(U1308))))</formula>
    </cfRule>
  </conditionalFormatting>
  <conditionalFormatting sqref="U1308">
    <cfRule type="containsText" dxfId="6" priority="638" operator="containsText" text="Зниклі безвісти">
      <formula>NOT(ISERROR(SEARCH(("Зниклі безвісти"),(U1308))))</formula>
    </cfRule>
  </conditionalFormatting>
  <conditionalFormatting sqref="U1308">
    <cfRule type="containsText" dxfId="7" priority="639" operator="containsText" text="Від-ні навчання">
      <formula>NOT(ISERROR(SEARCH(("Від-ні навчання"),(U1308))))</formula>
    </cfRule>
  </conditionalFormatting>
  <conditionalFormatting sqref="U1308">
    <cfRule type="containsText" dxfId="8" priority="640" operator="containsText" text="Відком. за межі ПБ">
      <formula>NOT(ISERROR(SEARCH(("Відком. за межі ПБ"),(U1308))))</formula>
    </cfRule>
  </conditionalFormatting>
  <conditionalFormatting sqref="U1308">
    <cfRule type="containsText" dxfId="9" priority="641" operator="containsText" text="Загиблі">
      <formula>NOT(ISERROR(SEARCH(("Загиблі"),(U1308))))</formula>
    </cfRule>
  </conditionalFormatting>
  <conditionalFormatting sqref="U1308">
    <cfRule type="containsText" dxfId="10" priority="642" operator="containsText" text="Лікування">
      <formula>NOT(ISERROR(SEARCH(("Лікування"),(U1308))))</formula>
    </cfRule>
  </conditionalFormatting>
  <conditionalFormatting sqref="Q1308">
    <cfRule type="cellIs" dxfId="3" priority="643" operator="equal">
      <formula>P1308</formula>
    </cfRule>
  </conditionalFormatting>
  <conditionalFormatting sqref="Q1308">
    <cfRule type="cellIs" dxfId="9" priority="644" operator="notEqual">
      <formula>P1308</formula>
    </cfRule>
  </conditionalFormatting>
  <conditionalFormatting sqref="N1308">
    <cfRule type="expression" dxfId="0" priority="645">
      <formula>COUNTIF(#REF!, N1308) &gt; 1</formula>
    </cfRule>
  </conditionalFormatting>
  <conditionalFormatting sqref="U1307">
    <cfRule type="containsText" dxfId="10" priority="646" operator="containsText" text="Лікування">
      <formula>NOT(ISERROR(SEARCH(("Лікування"),(U1307))))</formula>
    </cfRule>
  </conditionalFormatting>
  <conditionalFormatting sqref="U1307">
    <cfRule type="containsText" dxfId="9" priority="647" operator="containsText" text="Загиблі">
      <formula>NOT(ISERROR(SEARCH(("Загиблі"),(U1307))))</formula>
    </cfRule>
  </conditionalFormatting>
  <conditionalFormatting sqref="U1307">
    <cfRule type="containsText" dxfId="8" priority="648" operator="containsText" text="Відком. за межі ПБ">
      <formula>NOT(ISERROR(SEARCH(("Відком. за межі ПБ"),(U1307))))</formula>
    </cfRule>
  </conditionalFormatting>
  <conditionalFormatting sqref="U1307">
    <cfRule type="containsText" dxfId="7" priority="649" operator="containsText" text="Від-ні навчання">
      <formula>NOT(ISERROR(SEARCH(("Від-ні навчання"),(U1307))))</formula>
    </cfRule>
  </conditionalFormatting>
  <conditionalFormatting sqref="U1307">
    <cfRule type="containsText" dxfId="6" priority="650" operator="containsText" text="Зниклі безвісти">
      <formula>NOT(ISERROR(SEARCH(("Зниклі безвісти"),(U1307))))</formula>
    </cfRule>
  </conditionalFormatting>
  <conditionalFormatting sqref="U1307">
    <cfRule type="containsText" dxfId="5" priority="651" operator="containsText" text="СЗЧ">
      <formula>NOT(ISERROR(SEARCH(("СЗЧ"),(U1307))))</formula>
    </cfRule>
  </conditionalFormatting>
  <conditionalFormatting sqref="U1307">
    <cfRule type="containsText" dxfId="4" priority="652" operator="containsText" text="Відпустка">
      <formula>NOT(ISERROR(SEARCH(("Відпустка"),(U1307))))</formula>
    </cfRule>
  </conditionalFormatting>
  <conditionalFormatting sqref="U1307">
    <cfRule type="containsText" dxfId="3" priority="653" operator="containsText" text="В строю">
      <formula>NOT(ISERROR(SEARCH(("В строю"),(U1307))))</formula>
    </cfRule>
  </conditionalFormatting>
  <conditionalFormatting sqref="U1307">
    <cfRule type="containsText" dxfId="3" priority="654" operator="containsText" text="В строю">
      <formula>NOT(ISERROR(SEARCH(("В строю"),(U1307))))</formula>
    </cfRule>
  </conditionalFormatting>
  <conditionalFormatting sqref="U1307">
    <cfRule type="containsText" dxfId="4" priority="655" operator="containsText" text="Відпустка">
      <formula>NOT(ISERROR(SEARCH(("Відпустка"),(U1307))))</formula>
    </cfRule>
  </conditionalFormatting>
  <conditionalFormatting sqref="U1307">
    <cfRule type="containsText" dxfId="5" priority="656" operator="containsText" text="СЗЧ">
      <formula>NOT(ISERROR(SEARCH(("СЗЧ"),(U1307))))</formula>
    </cfRule>
  </conditionalFormatting>
  <conditionalFormatting sqref="U1307">
    <cfRule type="containsText" dxfId="6" priority="657" operator="containsText" text="Зниклі безвісти">
      <formula>NOT(ISERROR(SEARCH(("Зниклі безвісти"),(U1307))))</formula>
    </cfRule>
  </conditionalFormatting>
  <conditionalFormatting sqref="U1307">
    <cfRule type="containsText" dxfId="7" priority="658" operator="containsText" text="Від-ні навчання">
      <formula>NOT(ISERROR(SEARCH(("Від-ні навчання"),(U1307))))</formula>
    </cfRule>
  </conditionalFormatting>
  <conditionalFormatting sqref="U1307">
    <cfRule type="containsText" dxfId="8" priority="659" operator="containsText" text="Відком. за межі ПБ">
      <formula>NOT(ISERROR(SEARCH(("Відком. за межі ПБ"),(U1307))))</formula>
    </cfRule>
  </conditionalFormatting>
  <conditionalFormatting sqref="U1307">
    <cfRule type="containsText" dxfId="9" priority="660" operator="containsText" text="Загиблі">
      <formula>NOT(ISERROR(SEARCH(("Загиблі"),(U1307))))</formula>
    </cfRule>
  </conditionalFormatting>
  <conditionalFormatting sqref="U1307">
    <cfRule type="containsText" dxfId="10" priority="661" operator="containsText" text="Лікування">
      <formula>NOT(ISERROR(SEARCH(("Лікування"),(U1307))))</formula>
    </cfRule>
  </conditionalFormatting>
  <conditionalFormatting sqref="N1307">
    <cfRule type="expression" dxfId="0" priority="662">
      <formula>COUNTIF(#REF!, N1307) &gt; 1</formula>
    </cfRule>
  </conditionalFormatting>
  <conditionalFormatting sqref="Q1307">
    <cfRule type="cellIs" dxfId="9" priority="663" operator="notEqual">
      <formula>P1307</formula>
    </cfRule>
  </conditionalFormatting>
  <conditionalFormatting sqref="Q1307">
    <cfRule type="cellIs" dxfId="3" priority="664" operator="equal">
      <formula>P1307</formula>
    </cfRule>
  </conditionalFormatting>
  <conditionalFormatting sqref="U1306">
    <cfRule type="containsText" dxfId="3" priority="665" operator="containsText" text="В строю">
      <formula>NOT(ISERROR(SEARCH(("В строю"),(U1306))))</formula>
    </cfRule>
  </conditionalFormatting>
  <conditionalFormatting sqref="U1306">
    <cfRule type="containsText" dxfId="4" priority="666" operator="containsText" text="Відпустка">
      <formula>NOT(ISERROR(SEARCH(("Відпустка"),(U1306))))</formula>
    </cfRule>
  </conditionalFormatting>
  <conditionalFormatting sqref="U1306">
    <cfRule type="containsText" dxfId="5" priority="667" operator="containsText" text="СЗЧ">
      <formula>NOT(ISERROR(SEARCH(("СЗЧ"),(U1306))))</formula>
    </cfRule>
  </conditionalFormatting>
  <conditionalFormatting sqref="U1306">
    <cfRule type="containsText" dxfId="6" priority="668" operator="containsText" text="Зниклі безвісти">
      <formula>NOT(ISERROR(SEARCH(("Зниклі безвісти"),(U1306))))</formula>
    </cfRule>
  </conditionalFormatting>
  <conditionalFormatting sqref="U1306">
    <cfRule type="containsText" dxfId="7" priority="669" operator="containsText" text="Від-ні навчання">
      <formula>NOT(ISERROR(SEARCH(("Від-ні навчання"),(U1306))))</formula>
    </cfRule>
  </conditionalFormatting>
  <conditionalFormatting sqref="U1306">
    <cfRule type="containsText" dxfId="8" priority="670" operator="containsText" text="Відком. за межі ПБ">
      <formula>NOT(ISERROR(SEARCH(("Відком. за межі ПБ"),(U1306))))</formula>
    </cfRule>
  </conditionalFormatting>
  <conditionalFormatting sqref="U1306">
    <cfRule type="containsText" dxfId="9" priority="671" operator="containsText" text="Загиблі">
      <formula>NOT(ISERROR(SEARCH(("Загиблі"),(U1306))))</formula>
    </cfRule>
  </conditionalFormatting>
  <conditionalFormatting sqref="U1306">
    <cfRule type="containsText" dxfId="10" priority="672" operator="containsText" text="Лікування">
      <formula>NOT(ISERROR(SEARCH(("Лікування"),(U1306))))</formula>
    </cfRule>
  </conditionalFormatting>
  <conditionalFormatting sqref="U1306">
    <cfRule type="containsText" dxfId="10" priority="673" operator="containsText" text="Лікування">
      <formula>NOT(ISERROR(SEARCH(("Лікування"),(U1306))))</formula>
    </cfRule>
  </conditionalFormatting>
  <conditionalFormatting sqref="U1306">
    <cfRule type="containsText" dxfId="9" priority="674" operator="containsText" text="Загиблі">
      <formula>NOT(ISERROR(SEARCH(("Загиблі"),(U1306))))</formula>
    </cfRule>
  </conditionalFormatting>
  <conditionalFormatting sqref="U1306">
    <cfRule type="containsText" dxfId="8" priority="675" operator="containsText" text="Відком. за межі ПБ">
      <formula>NOT(ISERROR(SEARCH(("Відком. за межі ПБ"),(U1306))))</formula>
    </cfRule>
  </conditionalFormatting>
  <conditionalFormatting sqref="U1306">
    <cfRule type="containsText" dxfId="7" priority="676" operator="containsText" text="Від-ні навчання">
      <formula>NOT(ISERROR(SEARCH(("Від-ні навчання"),(U1306))))</formula>
    </cfRule>
  </conditionalFormatting>
  <conditionalFormatting sqref="U1306">
    <cfRule type="containsText" dxfId="6" priority="677" operator="containsText" text="Зниклі безвісти">
      <formula>NOT(ISERROR(SEARCH(("Зниклі безвісти"),(U1306))))</formula>
    </cfRule>
  </conditionalFormatting>
  <conditionalFormatting sqref="U1306">
    <cfRule type="containsText" dxfId="5" priority="678" operator="containsText" text="СЗЧ">
      <formula>NOT(ISERROR(SEARCH(("СЗЧ"),(U1306))))</formula>
    </cfRule>
  </conditionalFormatting>
  <conditionalFormatting sqref="U1306">
    <cfRule type="containsText" dxfId="4" priority="679" operator="containsText" text="Відпустка">
      <formula>NOT(ISERROR(SEARCH(("Відпустка"),(U1306))))</formula>
    </cfRule>
  </conditionalFormatting>
  <conditionalFormatting sqref="U1306">
    <cfRule type="containsText" dxfId="3" priority="680" operator="containsText" text="В строю">
      <formula>NOT(ISERROR(SEARCH(("В строю"),(U1306))))</formula>
    </cfRule>
  </conditionalFormatting>
  <conditionalFormatting sqref="Q1306">
    <cfRule type="cellIs" dxfId="9" priority="681" operator="notEqual">
      <formula>P1306</formula>
    </cfRule>
  </conditionalFormatting>
  <conditionalFormatting sqref="Q1306">
    <cfRule type="cellIs" dxfId="3" priority="682" operator="equal">
      <formula>P1306</formula>
    </cfRule>
  </conditionalFormatting>
  <conditionalFormatting sqref="N1306">
    <cfRule type="expression" dxfId="0" priority="683">
      <formula>COUNTIF(#REF!, N1306) &gt; 1</formula>
    </cfRule>
  </conditionalFormatting>
  <conditionalFormatting sqref="U1305">
    <cfRule type="containsText" dxfId="10" priority="684" operator="containsText" text="Лікування">
      <formula>NOT(ISERROR(SEARCH(("Лікування"),(U1305))))</formula>
    </cfRule>
  </conditionalFormatting>
  <conditionalFormatting sqref="U1305">
    <cfRule type="containsText" dxfId="9" priority="685" operator="containsText" text="Загиблі">
      <formula>NOT(ISERROR(SEARCH(("Загиблі"),(U1305))))</formula>
    </cfRule>
  </conditionalFormatting>
  <conditionalFormatting sqref="U1305">
    <cfRule type="containsText" dxfId="8" priority="686" operator="containsText" text="Відком. за межі ПБ">
      <formula>NOT(ISERROR(SEARCH(("Відком. за межі ПБ"),(U1305))))</formula>
    </cfRule>
  </conditionalFormatting>
  <conditionalFormatting sqref="U1305">
    <cfRule type="containsText" dxfId="7" priority="687" operator="containsText" text="Від-ні навчання">
      <formula>NOT(ISERROR(SEARCH(("Від-ні навчання"),(U1305))))</formula>
    </cfRule>
  </conditionalFormatting>
  <conditionalFormatting sqref="U1305">
    <cfRule type="containsText" dxfId="6" priority="688" operator="containsText" text="Зниклі безвісти">
      <formula>NOT(ISERROR(SEARCH(("Зниклі безвісти"),(U1305))))</formula>
    </cfRule>
  </conditionalFormatting>
  <conditionalFormatting sqref="U1305">
    <cfRule type="containsText" dxfId="5" priority="689" operator="containsText" text="СЗЧ">
      <formula>NOT(ISERROR(SEARCH(("СЗЧ"),(U1305))))</formula>
    </cfRule>
  </conditionalFormatting>
  <conditionalFormatting sqref="U1305">
    <cfRule type="containsText" dxfId="4" priority="690" operator="containsText" text="Відпустка">
      <formula>NOT(ISERROR(SEARCH(("Відпустка"),(U1305))))</formula>
    </cfRule>
  </conditionalFormatting>
  <conditionalFormatting sqref="U1305">
    <cfRule type="containsText" dxfId="3" priority="691" operator="containsText" text="В строю">
      <formula>NOT(ISERROR(SEARCH(("В строю"),(U1305))))</formula>
    </cfRule>
  </conditionalFormatting>
  <conditionalFormatting sqref="U1305">
    <cfRule type="containsText" dxfId="3" priority="692" operator="containsText" text="В строю">
      <formula>NOT(ISERROR(SEARCH(("В строю"),(U1305))))</formula>
    </cfRule>
  </conditionalFormatting>
  <conditionalFormatting sqref="U1305">
    <cfRule type="containsText" dxfId="4" priority="693" operator="containsText" text="Відпустка">
      <formula>NOT(ISERROR(SEARCH(("Відпустка"),(U1305))))</formula>
    </cfRule>
  </conditionalFormatting>
  <conditionalFormatting sqref="U1305">
    <cfRule type="containsText" dxfId="5" priority="694" operator="containsText" text="СЗЧ">
      <formula>NOT(ISERROR(SEARCH(("СЗЧ"),(U1305))))</formula>
    </cfRule>
  </conditionalFormatting>
  <conditionalFormatting sqref="U1305">
    <cfRule type="containsText" dxfId="6" priority="695" operator="containsText" text="Зниклі безвісти">
      <formula>NOT(ISERROR(SEARCH(("Зниклі безвісти"),(U1305))))</formula>
    </cfRule>
  </conditionalFormatting>
  <conditionalFormatting sqref="U1305">
    <cfRule type="containsText" dxfId="7" priority="696" operator="containsText" text="Від-ні навчання">
      <formula>NOT(ISERROR(SEARCH(("Від-ні навчання"),(U1305))))</formula>
    </cfRule>
  </conditionalFormatting>
  <conditionalFormatting sqref="U1305">
    <cfRule type="containsText" dxfId="8" priority="697" operator="containsText" text="Відком. за межі ПБ">
      <formula>NOT(ISERROR(SEARCH(("Відком. за межі ПБ"),(U1305))))</formula>
    </cfRule>
  </conditionalFormatting>
  <conditionalFormatting sqref="U1305">
    <cfRule type="containsText" dxfId="9" priority="698" operator="containsText" text="Загиблі">
      <formula>NOT(ISERROR(SEARCH(("Загиблі"),(U1305))))</formula>
    </cfRule>
  </conditionalFormatting>
  <conditionalFormatting sqref="U1305">
    <cfRule type="containsText" dxfId="10" priority="699" operator="containsText" text="Лікування">
      <formula>NOT(ISERROR(SEARCH(("Лікування"),(U1305))))</formula>
    </cfRule>
  </conditionalFormatting>
  <conditionalFormatting sqref="Q1305">
    <cfRule type="cellIs" dxfId="9" priority="700" operator="notEqual">
      <formula>P1305</formula>
    </cfRule>
  </conditionalFormatting>
  <conditionalFormatting sqref="Q1305">
    <cfRule type="cellIs" dxfId="3" priority="701" operator="equal">
      <formula>P1305</formula>
    </cfRule>
  </conditionalFormatting>
  <conditionalFormatting sqref="N1305">
    <cfRule type="expression" dxfId="0" priority="702">
      <formula>COUNTIF(#REF!, N1305) &gt; 1</formula>
    </cfRule>
  </conditionalFormatting>
  <conditionalFormatting sqref="AK1307:AK1383 AK1428:AK1509 AK1511:AK1522 AK1528:AK1530 AK1532:AK1545 AK1547:AK1558 AK1560:AK1625">
    <cfRule type="cellIs" dxfId="12" priority="703" operator="equal">
      <formula>SUM(AK1306:AK1634)</formula>
    </cfRule>
  </conditionalFormatting>
  <conditionalFormatting sqref="Q1299">
    <cfRule type="cellIs" dxfId="9" priority="704" operator="notEqual">
      <formula>P1299</formula>
    </cfRule>
  </conditionalFormatting>
  <conditionalFormatting sqref="Q1299">
    <cfRule type="cellIs" dxfId="3" priority="705" operator="equal">
      <formula>P1299</formula>
    </cfRule>
  </conditionalFormatting>
  <conditionalFormatting sqref="N1299">
    <cfRule type="expression" dxfId="0" priority="706">
      <formula>COUNTIF(#REF!, N1299) &gt; 1</formula>
    </cfRule>
  </conditionalFormatting>
  <conditionalFormatting sqref="N1299">
    <cfRule type="expression" dxfId="0" priority="707">
      <formula>COUNTIF(#REF!, N1299) &gt; 1</formula>
    </cfRule>
  </conditionalFormatting>
  <conditionalFormatting sqref="U1299">
    <cfRule type="containsText" dxfId="10" priority="708" operator="containsText" text="Лікування">
      <formula>NOT(ISERROR(SEARCH(("Лікування"),(U1299))))</formula>
    </cfRule>
  </conditionalFormatting>
  <conditionalFormatting sqref="U1299">
    <cfRule type="containsText" dxfId="9" priority="709" operator="containsText" text="Загиблі">
      <formula>NOT(ISERROR(SEARCH(("Загиблі"),(U1299))))</formula>
    </cfRule>
  </conditionalFormatting>
  <conditionalFormatting sqref="U1299">
    <cfRule type="containsText" dxfId="8" priority="710" operator="containsText" text="Відком. за межі ПБ">
      <formula>NOT(ISERROR(SEARCH(("Відком. за межі ПБ"),(U1299))))</formula>
    </cfRule>
  </conditionalFormatting>
  <conditionalFormatting sqref="U1299">
    <cfRule type="containsText" dxfId="7" priority="711" operator="containsText" text="Від-ні навчання">
      <formula>NOT(ISERROR(SEARCH(("Від-ні навчання"),(U1299))))</formula>
    </cfRule>
  </conditionalFormatting>
  <conditionalFormatting sqref="U1299">
    <cfRule type="containsText" dxfId="6" priority="712" operator="containsText" text="Зниклі безвісти">
      <formula>NOT(ISERROR(SEARCH(("Зниклі безвісти"),(U1299))))</formula>
    </cfRule>
  </conditionalFormatting>
  <conditionalFormatting sqref="U1299">
    <cfRule type="containsText" dxfId="5" priority="713" operator="containsText" text="СЗЧ">
      <formula>NOT(ISERROR(SEARCH(("СЗЧ"),(U1299))))</formula>
    </cfRule>
  </conditionalFormatting>
  <conditionalFormatting sqref="U1299">
    <cfRule type="containsText" dxfId="4" priority="714" operator="containsText" text="Відпустка">
      <formula>NOT(ISERROR(SEARCH(("Відпустка"),(U1299))))</formula>
    </cfRule>
  </conditionalFormatting>
  <conditionalFormatting sqref="U1299">
    <cfRule type="containsText" dxfId="3" priority="715" operator="containsText" text="В строю">
      <formula>NOT(ISERROR(SEARCH(("В строю"),(U1299))))</formula>
    </cfRule>
  </conditionalFormatting>
  <conditionalFormatting sqref="U1299">
    <cfRule type="containsText" dxfId="10" priority="716" operator="containsText" text="Лікування">
      <formula>NOT(ISERROR(SEARCH(("Лікування"),(U1299))))</formula>
    </cfRule>
  </conditionalFormatting>
  <conditionalFormatting sqref="U1299">
    <cfRule type="containsText" dxfId="9" priority="717" operator="containsText" text="Загиблі">
      <formula>NOT(ISERROR(SEARCH(("Загиблі"),(U1299))))</formula>
    </cfRule>
  </conditionalFormatting>
  <conditionalFormatting sqref="U1299">
    <cfRule type="containsText" dxfId="8" priority="718" operator="containsText" text="Відком. за межі ПБ">
      <formula>NOT(ISERROR(SEARCH(("Відком. за межі ПБ"),(U1299))))</formula>
    </cfRule>
  </conditionalFormatting>
  <conditionalFormatting sqref="U1299">
    <cfRule type="containsText" dxfId="7" priority="719" operator="containsText" text="Від-ні навчання">
      <formula>NOT(ISERROR(SEARCH(("Від-ні навчання"),(U1299))))</formula>
    </cfRule>
  </conditionalFormatting>
  <conditionalFormatting sqref="U1299">
    <cfRule type="containsText" dxfId="6" priority="720" operator="containsText" text="Зниклі безвісти">
      <formula>NOT(ISERROR(SEARCH(("Зниклі безвісти"),(U1299))))</formula>
    </cfRule>
  </conditionalFormatting>
  <conditionalFormatting sqref="U1299">
    <cfRule type="containsText" dxfId="5" priority="721" operator="containsText" text="СЗЧ">
      <formula>NOT(ISERROR(SEARCH(("СЗЧ"),(U1299))))</formula>
    </cfRule>
  </conditionalFormatting>
  <conditionalFormatting sqref="U1299">
    <cfRule type="containsText" dxfId="4" priority="722" operator="containsText" text="Відпустка">
      <formula>NOT(ISERROR(SEARCH(("Відпустка"),(U1299))))</formula>
    </cfRule>
  </conditionalFormatting>
  <conditionalFormatting sqref="U1299">
    <cfRule type="containsText" dxfId="3" priority="723" operator="containsText" text="В строю">
      <formula>NOT(ISERROR(SEARCH(("В строю"),(U1299))))</formula>
    </cfRule>
  </conditionalFormatting>
  <conditionalFormatting sqref="U1299">
    <cfRule type="containsText" dxfId="3" priority="724" operator="containsText" text="В строю">
      <formula>NOT(ISERROR(SEARCH(("В строю"),(U1299))))</formula>
    </cfRule>
  </conditionalFormatting>
  <conditionalFormatting sqref="U1299">
    <cfRule type="containsText" dxfId="4" priority="725" operator="containsText" text="Відпустка">
      <formula>NOT(ISERROR(SEARCH(("Відпустка"),(U1299))))</formula>
    </cfRule>
  </conditionalFormatting>
  <conditionalFormatting sqref="U1299">
    <cfRule type="containsText" dxfId="5" priority="726" operator="containsText" text="СЗЧ">
      <formula>NOT(ISERROR(SEARCH(("СЗЧ"),(U1299))))</formula>
    </cfRule>
  </conditionalFormatting>
  <conditionalFormatting sqref="U1299">
    <cfRule type="containsText" dxfId="6" priority="727" operator="containsText" text="Зниклі безвісти">
      <formula>NOT(ISERROR(SEARCH(("Зниклі безвісти"),(U1299))))</formula>
    </cfRule>
  </conditionalFormatting>
  <conditionalFormatting sqref="U1299">
    <cfRule type="containsText" dxfId="7" priority="728" operator="containsText" text="Від-ні навчання">
      <formula>NOT(ISERROR(SEARCH(("Від-ні навчання"),(U1299))))</formula>
    </cfRule>
  </conditionalFormatting>
  <conditionalFormatting sqref="U1299">
    <cfRule type="containsText" dxfId="8" priority="729" operator="containsText" text="Відком. за межі ПБ">
      <formula>NOT(ISERROR(SEARCH(("Відком. за межі ПБ"),(U1299))))</formula>
    </cfRule>
  </conditionalFormatting>
  <conditionalFormatting sqref="U1299">
    <cfRule type="containsText" dxfId="9" priority="730" operator="containsText" text="Загиблі">
      <formula>NOT(ISERROR(SEARCH(("Загиблі"),(U1299))))</formula>
    </cfRule>
  </conditionalFormatting>
  <conditionalFormatting sqref="U1299">
    <cfRule type="containsText" dxfId="10" priority="731" operator="containsText" text="Лікування">
      <formula>NOT(ISERROR(SEARCH(("Лікування"),(U1299))))</formula>
    </cfRule>
  </conditionalFormatting>
  <conditionalFormatting sqref="U1298">
    <cfRule type="containsText" dxfId="10" priority="732" operator="containsText" text="Лікування">
      <formula>NOT(ISERROR(SEARCH(("Лікування"),(U1298))))</formula>
    </cfRule>
  </conditionalFormatting>
  <conditionalFormatting sqref="U1298">
    <cfRule type="containsText" dxfId="9" priority="733" operator="containsText" text="Загиблі">
      <formula>NOT(ISERROR(SEARCH(("Загиблі"),(U1298))))</formula>
    </cfRule>
  </conditionalFormatting>
  <conditionalFormatting sqref="U1298">
    <cfRule type="containsText" dxfId="8" priority="734" operator="containsText" text="Відком. за межі ПБ">
      <formula>NOT(ISERROR(SEARCH(("Відком. за межі ПБ"),(U1298))))</formula>
    </cfRule>
  </conditionalFormatting>
  <conditionalFormatting sqref="U1298">
    <cfRule type="containsText" dxfId="7" priority="735" operator="containsText" text="Від-ні навчання">
      <formula>NOT(ISERROR(SEARCH(("Від-ні навчання"),(U1298))))</formula>
    </cfRule>
  </conditionalFormatting>
  <conditionalFormatting sqref="U1298">
    <cfRule type="containsText" dxfId="6" priority="736" operator="containsText" text="Зниклі безвісти">
      <formula>NOT(ISERROR(SEARCH(("Зниклі безвісти"),(U1298))))</formula>
    </cfRule>
  </conditionalFormatting>
  <conditionalFormatting sqref="U1298">
    <cfRule type="containsText" dxfId="5" priority="737" operator="containsText" text="СЗЧ">
      <formula>NOT(ISERROR(SEARCH(("СЗЧ"),(U1298))))</formula>
    </cfRule>
  </conditionalFormatting>
  <conditionalFormatting sqref="U1298">
    <cfRule type="containsText" dxfId="4" priority="738" operator="containsText" text="Відпустка">
      <formula>NOT(ISERROR(SEARCH(("Відпустка"),(U1298))))</formula>
    </cfRule>
  </conditionalFormatting>
  <conditionalFormatting sqref="U1298">
    <cfRule type="containsText" dxfId="3" priority="739" operator="containsText" text="В строю">
      <formula>NOT(ISERROR(SEARCH(("В строю"),(U1298))))</formula>
    </cfRule>
  </conditionalFormatting>
  <conditionalFormatting sqref="U1298">
    <cfRule type="containsText" dxfId="3" priority="740" operator="containsText" text="В строю">
      <formula>NOT(ISERROR(SEARCH(("В строю"),(U1298))))</formula>
    </cfRule>
  </conditionalFormatting>
  <conditionalFormatting sqref="U1298">
    <cfRule type="containsText" dxfId="4" priority="741" operator="containsText" text="Відпустка">
      <formula>NOT(ISERROR(SEARCH(("Відпустка"),(U1298))))</formula>
    </cfRule>
  </conditionalFormatting>
  <conditionalFormatting sqref="U1298">
    <cfRule type="containsText" dxfId="5" priority="742" operator="containsText" text="СЗЧ">
      <formula>NOT(ISERROR(SEARCH(("СЗЧ"),(U1298))))</formula>
    </cfRule>
  </conditionalFormatting>
  <conditionalFormatting sqref="U1298">
    <cfRule type="containsText" dxfId="6" priority="743" operator="containsText" text="Зниклі безвісти">
      <formula>NOT(ISERROR(SEARCH(("Зниклі безвісти"),(U1298))))</formula>
    </cfRule>
  </conditionalFormatting>
  <conditionalFormatting sqref="U1298">
    <cfRule type="containsText" dxfId="7" priority="744" operator="containsText" text="Від-ні навчання">
      <formula>NOT(ISERROR(SEARCH(("Від-ні навчання"),(U1298))))</formula>
    </cfRule>
  </conditionalFormatting>
  <conditionalFormatting sqref="U1298">
    <cfRule type="containsText" dxfId="8" priority="745" operator="containsText" text="Відком. за межі ПБ">
      <formula>NOT(ISERROR(SEARCH(("Відком. за межі ПБ"),(U1298))))</formula>
    </cfRule>
  </conditionalFormatting>
  <conditionalFormatting sqref="U1298">
    <cfRule type="containsText" dxfId="9" priority="746" operator="containsText" text="Загиблі">
      <formula>NOT(ISERROR(SEARCH(("Загиблі"),(U1298))))</formula>
    </cfRule>
  </conditionalFormatting>
  <conditionalFormatting sqref="U1298">
    <cfRule type="containsText" dxfId="10" priority="747" operator="containsText" text="Лікування">
      <formula>NOT(ISERROR(SEARCH(("Лікування"),(U1298))))</formula>
    </cfRule>
  </conditionalFormatting>
  <conditionalFormatting sqref="Q1298">
    <cfRule type="cellIs" dxfId="9" priority="748" operator="notEqual">
      <formula>P1298</formula>
    </cfRule>
  </conditionalFormatting>
  <conditionalFormatting sqref="Q1298">
    <cfRule type="cellIs" dxfId="3" priority="749" operator="equal">
      <formula>P1298</formula>
    </cfRule>
  </conditionalFormatting>
  <conditionalFormatting sqref="N1298">
    <cfRule type="expression" dxfId="0" priority="750">
      <formula>COUNTIF(#REF!, N1298) &gt; 1</formula>
    </cfRule>
  </conditionalFormatting>
  <conditionalFormatting sqref="U1297">
    <cfRule type="containsText" dxfId="3" priority="751" operator="containsText" text="В строю">
      <formula>NOT(ISERROR(SEARCH(("В строю"),(U1297))))</formula>
    </cfRule>
  </conditionalFormatting>
  <conditionalFormatting sqref="U1297">
    <cfRule type="containsText" dxfId="4" priority="752" operator="containsText" text="Відпустка">
      <formula>NOT(ISERROR(SEARCH(("Відпустка"),(U1297))))</formula>
    </cfRule>
  </conditionalFormatting>
  <conditionalFormatting sqref="U1297">
    <cfRule type="containsText" dxfId="5" priority="753" operator="containsText" text="СЗЧ">
      <formula>NOT(ISERROR(SEARCH(("СЗЧ"),(U1297))))</formula>
    </cfRule>
  </conditionalFormatting>
  <conditionalFormatting sqref="U1297">
    <cfRule type="containsText" dxfId="6" priority="754" operator="containsText" text="Зниклі безвісти">
      <formula>NOT(ISERROR(SEARCH(("Зниклі безвісти"),(U1297))))</formula>
    </cfRule>
  </conditionalFormatting>
  <conditionalFormatting sqref="U1297">
    <cfRule type="containsText" dxfId="7" priority="755" operator="containsText" text="Від-ні навчання">
      <formula>NOT(ISERROR(SEARCH(("Від-ні навчання"),(U1297))))</formula>
    </cfRule>
  </conditionalFormatting>
  <conditionalFormatting sqref="U1297">
    <cfRule type="containsText" dxfId="8" priority="756" operator="containsText" text="Відком. за межі ПБ">
      <formula>NOT(ISERROR(SEARCH(("Відком. за межі ПБ"),(U1297))))</formula>
    </cfRule>
  </conditionalFormatting>
  <conditionalFormatting sqref="U1297">
    <cfRule type="containsText" dxfId="9" priority="757" operator="containsText" text="Загиблі">
      <formula>NOT(ISERROR(SEARCH(("Загиблі"),(U1297))))</formula>
    </cfRule>
  </conditionalFormatting>
  <conditionalFormatting sqref="U1297">
    <cfRule type="containsText" dxfId="10" priority="758" operator="containsText" text="Лікування">
      <formula>NOT(ISERROR(SEARCH(("Лікування"),(U1297))))</formula>
    </cfRule>
  </conditionalFormatting>
  <conditionalFormatting sqref="U1297">
    <cfRule type="containsText" dxfId="10" priority="759" operator="containsText" text="Лікування">
      <formula>NOT(ISERROR(SEARCH(("Лікування"),(U1297))))</formula>
    </cfRule>
  </conditionalFormatting>
  <conditionalFormatting sqref="U1297">
    <cfRule type="containsText" dxfId="9" priority="760" operator="containsText" text="Загиблі">
      <formula>NOT(ISERROR(SEARCH(("Загиблі"),(U1297))))</formula>
    </cfRule>
  </conditionalFormatting>
  <conditionalFormatting sqref="U1297">
    <cfRule type="containsText" dxfId="8" priority="761" operator="containsText" text="Відком. за межі ПБ">
      <formula>NOT(ISERROR(SEARCH(("Відком. за межі ПБ"),(U1297))))</formula>
    </cfRule>
  </conditionalFormatting>
  <conditionalFormatting sqref="U1297">
    <cfRule type="containsText" dxfId="7" priority="762" operator="containsText" text="Від-ні навчання">
      <formula>NOT(ISERROR(SEARCH(("Від-ні навчання"),(U1297))))</formula>
    </cfRule>
  </conditionalFormatting>
  <conditionalFormatting sqref="U1297">
    <cfRule type="containsText" dxfId="6" priority="763" operator="containsText" text="Зниклі безвісти">
      <formula>NOT(ISERROR(SEARCH(("Зниклі безвісти"),(U1297))))</formula>
    </cfRule>
  </conditionalFormatting>
  <conditionalFormatting sqref="U1297">
    <cfRule type="containsText" dxfId="5" priority="764" operator="containsText" text="СЗЧ">
      <formula>NOT(ISERROR(SEARCH(("СЗЧ"),(U1297))))</formula>
    </cfRule>
  </conditionalFormatting>
  <conditionalFormatting sqref="U1297">
    <cfRule type="containsText" dxfId="4" priority="765" operator="containsText" text="Відпустка">
      <formula>NOT(ISERROR(SEARCH(("Відпустка"),(U1297))))</formula>
    </cfRule>
  </conditionalFormatting>
  <conditionalFormatting sqref="U1297">
    <cfRule type="containsText" dxfId="3" priority="766" operator="containsText" text="В строю">
      <formula>NOT(ISERROR(SEARCH(("В строю"),(U1297))))</formula>
    </cfRule>
  </conditionalFormatting>
  <conditionalFormatting sqref="N1297:O1297">
    <cfRule type="expression" dxfId="0" priority="767">
      <formula>COUNTIF(#REF!, O1297) &gt; 1</formula>
    </cfRule>
  </conditionalFormatting>
  <conditionalFormatting sqref="Q1297">
    <cfRule type="cellIs" dxfId="3" priority="768" operator="equal">
      <formula>P1297</formula>
    </cfRule>
  </conditionalFormatting>
  <conditionalFormatting sqref="Q1297">
    <cfRule type="cellIs" dxfId="9" priority="769" operator="notEqual">
      <formula>P1297</formula>
    </cfRule>
  </conditionalFormatting>
  <conditionalFormatting sqref="N1297:O1297">
    <cfRule type="expression" dxfId="0" priority="770">
      <formula>COUNTIF(#REF!, O1297) &gt; 1</formula>
    </cfRule>
  </conditionalFormatting>
  <conditionalFormatting sqref="N1297:O1297">
    <cfRule type="expression" dxfId="0" priority="771">
      <formula>COUNTIF(#REF!, N1297) &gt; 1</formula>
    </cfRule>
  </conditionalFormatting>
  <conditionalFormatting sqref="AK1297 AK1300:AK1304 AK1307:AK1383 AK1428:AK1509 AK1511:AK1522 AK1528:AK1530 AK1532:AK1545 AK1547:AK1558 AK1560:AK1625 AL1563:AL1580 AL1582:AL1623">
    <cfRule type="containsText" dxfId="18" priority="772" operator="containsText" text="В строю">
      <formula>NOT(ISERROR(SEARCH(("В строю"),(AK1297))))</formula>
    </cfRule>
  </conditionalFormatting>
  <conditionalFormatting sqref="AK1297 AK1300:AK1304 AK1307:AK1383 AK1428:AK1509 AK1511:AK1522 AK1528:AK1530 AK1532:AK1545 AK1547:AK1558 AK1560:AK1625 AL1563:AL1580 AL1582:AL1623">
    <cfRule type="containsText" dxfId="8" priority="773" operator="containsText" text="Від-ні за межі бату">
      <formula>NOT(ISERROR(SEARCH(("Від-ні за межі бату"),(AK1297))))</formula>
    </cfRule>
  </conditionalFormatting>
  <conditionalFormatting sqref="AK1297 AK1300:AK1304 AK1307:AK1383 AK1428:AK1509 AK1511:AK1522 AK1528:AK1530 AK1532:AK1545 AK1547:AK1558 AK1560:AK1625 AL1563:AL1580 AL1582:AL1623">
    <cfRule type="containsText" dxfId="17" priority="774" operator="containsText" text="Відпустка">
      <formula>NOT(ISERROR(SEARCH(("Відпустка"),(AK1297))))</formula>
    </cfRule>
  </conditionalFormatting>
  <conditionalFormatting sqref="AK1297 AK1300:AK1304 AK1307:AK1383 AK1428:AK1509 AK1511:AK1522 AK1528:AK1530 AK1532:AK1545 AK1547:AK1558 AK1560:AK1625 AL1563:AL1580 AL1582:AL1623">
    <cfRule type="containsText" dxfId="16" priority="775" operator="containsText" text="Мед.пункт">
      <formula>NOT(ISERROR(SEARCH(("Мед.пункт"),(AK1297))))</formula>
    </cfRule>
  </conditionalFormatting>
  <conditionalFormatting sqref="AK1297 AK1300:AK1304 AK1307:AK1383 AK1428:AK1509 AK1511:AK1522 AK1528:AK1530 AK1532:AK1545 AK1547:AK1558 AK1560:AK1625 AL1563:AL1580 AL1582:AL1623">
    <cfRule type="containsText" dxfId="15" priority="776" operator="containsText" text="СТАТУС">
      <formula>NOT(ISERROR(SEARCH(("СТАТУС"),(AK1297))))</formula>
    </cfRule>
  </conditionalFormatting>
  <conditionalFormatting sqref="AK1297 AK1300:AK1304 AK1307:AK1383 AK1428:AK1509 AK1511:AK1522 AK1528:AK1530 AK1532:AK1545 AK1547:AK1558 AK1560:AK1625 AL1563:AL1580 AL1582:AL1623">
    <cfRule type="containsText" dxfId="14" priority="777" operator="containsText" text="Лікування">
      <formula>NOT(ISERROR(SEARCH(("Лікування"),(AK1297))))</formula>
    </cfRule>
  </conditionalFormatting>
  <conditionalFormatting sqref="AK1297 AK1300:AK1304 AK1307:AK1383 AK1428:AK1509 AK1511:AK1522 AK1528:AK1530 AK1532:AK1545 AK1547:AK1558 AK1560:AK1625 AL1563:AL1580 AL1582:AL1623">
    <cfRule type="containsText" dxfId="13" priority="778" operator="containsText" text="СЗЧ">
      <formula>NOT(ISERROR(SEARCH(("СЗЧ"),(AK1297))))</formula>
    </cfRule>
  </conditionalFormatting>
  <conditionalFormatting sqref="AK1297">
    <cfRule type="cellIs" dxfId="12" priority="779" operator="equal">
      <formula>SUM(#REF!)</formula>
    </cfRule>
  </conditionalFormatting>
  <conditionalFormatting sqref="AK1297 AK1300:AK1304 AK1307:AK1383 AK1428:AK1509 AK1511:AK1522 AK1528:AK1530 AK1532:AK1545 AK1547:AK1558 AK1560:AK1625 AL1563:AL1580 AL1582:AL1623">
    <cfRule type="containsText" dxfId="11" priority="780" operator="containsText" text="Зниклі безвісти">
      <formula>NOT(ISERROR(SEARCH(("Зниклі безвісти"),(AK1297))))</formula>
    </cfRule>
  </conditionalFormatting>
  <conditionalFormatting sqref="Q1297">
    <cfRule type="cellIs" dxfId="3" priority="781" operator="equal">
      <formula>P1297</formula>
    </cfRule>
  </conditionalFormatting>
  <conditionalFormatting sqref="Q1297">
    <cfRule type="cellIs" dxfId="9" priority="782" operator="notEqual">
      <formula>P1297</formula>
    </cfRule>
  </conditionalFormatting>
  <conditionalFormatting sqref="N1297">
    <cfRule type="expression" dxfId="0" priority="783">
      <formula>COUNTIF(#REF!, N1297) &gt; 1</formula>
    </cfRule>
  </conditionalFormatting>
  <conditionalFormatting sqref="Q1289:Q1291">
    <cfRule type="cellIs" dxfId="9" priority="784" operator="notEqual">
      <formula>P1289</formula>
    </cfRule>
  </conditionalFormatting>
  <conditionalFormatting sqref="Q1289:Q1291">
    <cfRule type="cellIs" dxfId="3" priority="785" operator="equal">
      <formula>P1289</formula>
    </cfRule>
  </conditionalFormatting>
  <conditionalFormatting sqref="Q1289:Q1291">
    <cfRule type="cellIs" dxfId="9" priority="786" operator="notEqual">
      <formula>P1289</formula>
    </cfRule>
  </conditionalFormatting>
  <conditionalFormatting sqref="Q1289:Q1291">
    <cfRule type="cellIs" dxfId="3" priority="787" operator="equal">
      <formula>P1289</formula>
    </cfRule>
  </conditionalFormatting>
  <conditionalFormatting sqref="Q1289:Q1291">
    <cfRule type="cellIs" dxfId="3" priority="788" operator="equal">
      <formula>P1289</formula>
    </cfRule>
  </conditionalFormatting>
  <conditionalFormatting sqref="Q1289:Q1291">
    <cfRule type="cellIs" dxfId="9" priority="789" operator="notEqual">
      <formula>P1289</formula>
    </cfRule>
  </conditionalFormatting>
  <conditionalFormatting sqref="E1289:E1291 N1289:Q1291">
    <cfRule type="expression" dxfId="0" priority="790">
      <formula>COUNTIF(#REF!, N1289) &gt; 1</formula>
    </cfRule>
  </conditionalFormatting>
  <conditionalFormatting sqref="N1289:Q1291">
    <cfRule type="expression" dxfId="0" priority="791">
      <formula>COUNTIF(#REF!, N1289) &gt; 1</formula>
    </cfRule>
  </conditionalFormatting>
  <conditionalFormatting sqref="N1289:Q1291">
    <cfRule type="expression" dxfId="0" priority="792">
      <formula>COUNTIF(#REF!, N1289) &gt; 1</formula>
    </cfRule>
  </conditionalFormatting>
  <conditionalFormatting sqref="U1289:U1291">
    <cfRule type="containsText" dxfId="3" priority="793" operator="containsText" text="В строю">
      <formula>NOT(ISERROR(SEARCH(("В строю"),(U1289))))</formula>
    </cfRule>
  </conditionalFormatting>
  <conditionalFormatting sqref="U1289:U1291">
    <cfRule type="containsText" dxfId="4" priority="794" operator="containsText" text="Відпустка">
      <formula>NOT(ISERROR(SEARCH(("Відпустка"),(U1289))))</formula>
    </cfRule>
  </conditionalFormatting>
  <conditionalFormatting sqref="U1289:U1291">
    <cfRule type="containsText" dxfId="5" priority="795" operator="containsText" text="СЗЧ">
      <formula>NOT(ISERROR(SEARCH(("СЗЧ"),(U1289))))</formula>
    </cfRule>
  </conditionalFormatting>
  <conditionalFormatting sqref="U1289:U1291">
    <cfRule type="containsText" dxfId="6" priority="796" operator="containsText" text="Зниклі безвісти">
      <formula>NOT(ISERROR(SEARCH(("Зниклі безвісти"),(U1289))))</formula>
    </cfRule>
  </conditionalFormatting>
  <conditionalFormatting sqref="U1289:U1291">
    <cfRule type="containsText" dxfId="7" priority="797" operator="containsText" text="Від-ні навчання">
      <formula>NOT(ISERROR(SEARCH(("Від-ні навчання"),(U1289))))</formula>
    </cfRule>
  </conditionalFormatting>
  <conditionalFormatting sqref="U1289:U1291">
    <cfRule type="containsText" dxfId="8" priority="798" operator="containsText" text="Відком. за межі ПБ">
      <formula>NOT(ISERROR(SEARCH(("Відком. за межі ПБ"),(U1289))))</formula>
    </cfRule>
  </conditionalFormatting>
  <conditionalFormatting sqref="U1289:U1291">
    <cfRule type="containsText" dxfId="9" priority="799" operator="containsText" text="Загиблі">
      <formula>NOT(ISERROR(SEARCH(("Загиблі"),(U1289))))</formula>
    </cfRule>
  </conditionalFormatting>
  <conditionalFormatting sqref="U1289:U1291">
    <cfRule type="containsText" dxfId="10" priority="800" operator="containsText" text="Лікування">
      <formula>NOT(ISERROR(SEARCH(("Лікування"),(U1289))))</formula>
    </cfRule>
  </conditionalFormatting>
  <conditionalFormatting sqref="U1289:U1291">
    <cfRule type="containsText" dxfId="10" priority="801" operator="containsText" text="Лікування">
      <formula>NOT(ISERROR(SEARCH(("Лікування"),(U1289))))</formula>
    </cfRule>
  </conditionalFormatting>
  <conditionalFormatting sqref="U1289:U1291">
    <cfRule type="containsText" dxfId="9" priority="802" operator="containsText" text="Загиблі">
      <formula>NOT(ISERROR(SEARCH(("Загиблі"),(U1289))))</formula>
    </cfRule>
  </conditionalFormatting>
  <conditionalFormatting sqref="U1289:U1291">
    <cfRule type="containsText" dxfId="8" priority="803" operator="containsText" text="Відком. за межі ПБ">
      <formula>NOT(ISERROR(SEARCH(("Відком. за межі ПБ"),(U1289))))</formula>
    </cfRule>
  </conditionalFormatting>
  <conditionalFormatting sqref="U1289:U1291">
    <cfRule type="containsText" dxfId="7" priority="804" operator="containsText" text="Від-ні навчання">
      <formula>NOT(ISERROR(SEARCH(("Від-ні навчання"),(U1289))))</formula>
    </cfRule>
  </conditionalFormatting>
  <conditionalFormatting sqref="U1289:U1291">
    <cfRule type="containsText" dxfId="6" priority="805" operator="containsText" text="Зниклі безвісти">
      <formula>NOT(ISERROR(SEARCH(("Зниклі безвісти"),(U1289))))</formula>
    </cfRule>
  </conditionalFormatting>
  <conditionalFormatting sqref="U1289:U1291">
    <cfRule type="containsText" dxfId="5" priority="806" operator="containsText" text="СЗЧ">
      <formula>NOT(ISERROR(SEARCH(("СЗЧ"),(U1289))))</formula>
    </cfRule>
  </conditionalFormatting>
  <conditionalFormatting sqref="U1289:U1291">
    <cfRule type="containsText" dxfId="4" priority="807" operator="containsText" text="Відпустка">
      <formula>NOT(ISERROR(SEARCH(("Відпустка"),(U1289))))</formula>
    </cfRule>
  </conditionalFormatting>
  <conditionalFormatting sqref="U1289:U1291">
    <cfRule type="containsText" dxfId="3" priority="808" operator="containsText" text="В строю">
      <formula>NOT(ISERROR(SEARCH(("В строю"),(U1289))))</formula>
    </cfRule>
  </conditionalFormatting>
  <conditionalFormatting sqref="U1289:U1291">
    <cfRule type="containsText" dxfId="10" priority="809" operator="containsText" text="Лікування">
      <formula>NOT(ISERROR(SEARCH(("Лікування"),(U1289))))</formula>
    </cfRule>
  </conditionalFormatting>
  <conditionalFormatting sqref="U1289:U1291">
    <cfRule type="containsText" dxfId="9" priority="810" operator="containsText" text="Загиблі">
      <formula>NOT(ISERROR(SEARCH(("Загиблі"),(U1289))))</formula>
    </cfRule>
  </conditionalFormatting>
  <conditionalFormatting sqref="U1289:U1291">
    <cfRule type="containsText" dxfId="8" priority="811" operator="containsText" text="Відком. за межі ПБ">
      <formula>NOT(ISERROR(SEARCH(("Відком. за межі ПБ"),(U1289))))</formula>
    </cfRule>
  </conditionalFormatting>
  <conditionalFormatting sqref="U1289:U1291">
    <cfRule type="containsText" dxfId="7" priority="812" operator="containsText" text="Від-ні навчання">
      <formula>NOT(ISERROR(SEARCH(("Від-ні навчання"),(U1289))))</formula>
    </cfRule>
  </conditionalFormatting>
  <conditionalFormatting sqref="U1289:U1291">
    <cfRule type="containsText" dxfId="6" priority="813" operator="containsText" text="Зниклі безвісти">
      <formula>NOT(ISERROR(SEARCH(("Зниклі безвісти"),(U1289))))</formula>
    </cfRule>
  </conditionalFormatting>
  <conditionalFormatting sqref="U1289:U1291">
    <cfRule type="containsText" dxfId="5" priority="814" operator="containsText" text="СЗЧ">
      <formula>NOT(ISERROR(SEARCH(("СЗЧ"),(U1289))))</formula>
    </cfRule>
  </conditionalFormatting>
  <conditionalFormatting sqref="U1289:U1291">
    <cfRule type="containsText" dxfId="4" priority="815" operator="containsText" text="Відпустка">
      <formula>NOT(ISERROR(SEARCH(("Відпустка"),(U1289))))</formula>
    </cfRule>
  </conditionalFormatting>
  <conditionalFormatting sqref="U1289:U1291">
    <cfRule type="containsText" dxfId="3" priority="816" operator="containsText" text="В строю">
      <formula>NOT(ISERROR(SEARCH(("В строю"),(U1289))))</formula>
    </cfRule>
  </conditionalFormatting>
  <conditionalFormatting sqref="U1289:U1291">
    <cfRule type="containsText" dxfId="10" priority="817" operator="containsText" text="Лікування">
      <formula>NOT(ISERROR(SEARCH(("Лікування"),(U1289))))</formula>
    </cfRule>
  </conditionalFormatting>
  <conditionalFormatting sqref="U1289:U1291">
    <cfRule type="containsText" dxfId="9" priority="818" operator="containsText" text="Загиблі">
      <formula>NOT(ISERROR(SEARCH(("Загиблі"),(U1289))))</formula>
    </cfRule>
  </conditionalFormatting>
  <conditionalFormatting sqref="U1289:U1291">
    <cfRule type="containsText" dxfId="8" priority="819" operator="containsText" text="Відком. за межі ПБ">
      <formula>NOT(ISERROR(SEARCH(("Відком. за межі ПБ"),(U1289))))</formula>
    </cfRule>
  </conditionalFormatting>
  <conditionalFormatting sqref="U1289:U1291">
    <cfRule type="containsText" dxfId="7" priority="820" operator="containsText" text="Від-ні навчання">
      <formula>NOT(ISERROR(SEARCH(("Від-ні навчання"),(U1289))))</formula>
    </cfRule>
  </conditionalFormatting>
  <conditionalFormatting sqref="U1289:U1291">
    <cfRule type="containsText" dxfId="6" priority="821" operator="containsText" text="Зниклі безвісти">
      <formula>NOT(ISERROR(SEARCH(("Зниклі безвісти"),(U1289))))</formula>
    </cfRule>
  </conditionalFormatting>
  <conditionalFormatting sqref="U1289:U1291">
    <cfRule type="containsText" dxfId="5" priority="822" operator="containsText" text="СЗЧ">
      <formula>NOT(ISERROR(SEARCH(("СЗЧ"),(U1289))))</formula>
    </cfRule>
  </conditionalFormatting>
  <conditionalFormatting sqref="U1289:U1291">
    <cfRule type="containsText" dxfId="4" priority="823" operator="containsText" text="Відпустка">
      <formula>NOT(ISERROR(SEARCH(("Відпустка"),(U1289))))</formula>
    </cfRule>
  </conditionalFormatting>
  <conditionalFormatting sqref="U1289:U1291">
    <cfRule type="containsText" dxfId="3" priority="824" operator="containsText" text="В строю">
      <formula>NOT(ISERROR(SEARCH(("В строю"),(U1289))))</formula>
    </cfRule>
  </conditionalFormatting>
  <conditionalFormatting sqref="N1289:N1291">
    <cfRule type="expression" dxfId="0" priority="825">
      <formula>COUNTIF(#REF!, N1289) &gt; 1</formula>
    </cfRule>
  </conditionalFormatting>
  <conditionalFormatting sqref="N1289:N1291">
    <cfRule type="expression" dxfId="0" priority="826">
      <formula>COUNTIF(#REF!, N1289) &gt; 1</formula>
    </cfRule>
  </conditionalFormatting>
  <conditionalFormatting sqref="U1289:U1291">
    <cfRule type="containsText" dxfId="3" priority="827" operator="containsText" text="В строю">
      <formula>NOT(ISERROR(SEARCH(("В строю"),(U1289))))</formula>
    </cfRule>
  </conditionalFormatting>
  <conditionalFormatting sqref="U1289:U1291">
    <cfRule type="containsText" dxfId="4" priority="828" operator="containsText" text="Відпустка">
      <formula>NOT(ISERROR(SEARCH(("Відпустка"),(U1289))))</formula>
    </cfRule>
  </conditionalFormatting>
  <conditionalFormatting sqref="U1289:U1291">
    <cfRule type="containsText" dxfId="5" priority="829" operator="containsText" text="СЗЧ">
      <formula>NOT(ISERROR(SEARCH(("СЗЧ"),(U1289))))</formula>
    </cfRule>
  </conditionalFormatting>
  <conditionalFormatting sqref="U1289:U1291">
    <cfRule type="containsText" dxfId="6" priority="830" operator="containsText" text="Зниклі безвісти">
      <formula>NOT(ISERROR(SEARCH(("Зниклі безвісти"),(U1289))))</formula>
    </cfRule>
  </conditionalFormatting>
  <conditionalFormatting sqref="U1289:U1291">
    <cfRule type="containsText" dxfId="7" priority="831" operator="containsText" text="Від-ні навчання">
      <formula>NOT(ISERROR(SEARCH(("Від-ні навчання"),(U1289))))</formula>
    </cfRule>
  </conditionalFormatting>
  <conditionalFormatting sqref="U1289:U1291">
    <cfRule type="containsText" dxfId="8" priority="832" operator="containsText" text="Відком. за межі ПБ">
      <formula>NOT(ISERROR(SEARCH(("Відком. за межі ПБ"),(U1289))))</formula>
    </cfRule>
  </conditionalFormatting>
  <conditionalFormatting sqref="U1289:U1291">
    <cfRule type="containsText" dxfId="9" priority="833" operator="containsText" text="Загиблі">
      <formula>NOT(ISERROR(SEARCH(("Загиблі"),(U1289))))</formula>
    </cfRule>
  </conditionalFormatting>
  <conditionalFormatting sqref="U1289:U1291">
    <cfRule type="containsText" dxfId="10" priority="834" operator="containsText" text="Лікування">
      <formula>NOT(ISERROR(SEARCH(("Лікування"),(U1289))))</formula>
    </cfRule>
  </conditionalFormatting>
  <conditionalFormatting sqref="N1282:N1284 O1282">
    <cfRule type="expression" dxfId="0" priority="835">
      <formula>COUNTIF(#REF!, N1282) &gt; 1</formula>
    </cfRule>
  </conditionalFormatting>
  <conditionalFormatting sqref="Q1282:Q1284">
    <cfRule type="cellIs" dxfId="9" priority="836" operator="notEqual">
      <formula>P1282</formula>
    </cfRule>
  </conditionalFormatting>
  <conditionalFormatting sqref="Q1282:Q1284">
    <cfRule type="cellIs" dxfId="3" priority="837" operator="equal">
      <formula>P1282</formula>
    </cfRule>
  </conditionalFormatting>
  <conditionalFormatting sqref="U1282">
    <cfRule type="containsText" dxfId="3" priority="838" operator="containsText" text="В строю">
      <formula>NOT(ISERROR(SEARCH(("В строю"),(U1282))))</formula>
    </cfRule>
  </conditionalFormatting>
  <conditionalFormatting sqref="U1282">
    <cfRule type="containsText" dxfId="4" priority="839" operator="containsText" text="Відпустка">
      <formula>NOT(ISERROR(SEARCH(("Відпустка"),(U1282))))</formula>
    </cfRule>
  </conditionalFormatting>
  <conditionalFormatting sqref="U1282">
    <cfRule type="containsText" dxfId="5" priority="840" operator="containsText" text="СЗЧ">
      <formula>NOT(ISERROR(SEARCH(("СЗЧ"),(U1282))))</formula>
    </cfRule>
  </conditionalFormatting>
  <conditionalFormatting sqref="U1282">
    <cfRule type="containsText" dxfId="6" priority="841" operator="containsText" text="Зниклі безвісти">
      <formula>NOT(ISERROR(SEARCH(("Зниклі безвісти"),(U1282))))</formula>
    </cfRule>
  </conditionalFormatting>
  <conditionalFormatting sqref="U1282">
    <cfRule type="containsText" dxfId="7" priority="842" operator="containsText" text="Від-ні навчання">
      <formula>NOT(ISERROR(SEARCH(("Від-ні навчання"),(U1282))))</formula>
    </cfRule>
  </conditionalFormatting>
  <conditionalFormatting sqref="U1282">
    <cfRule type="containsText" dxfId="8" priority="843" operator="containsText" text="Відком. за межі ПБ">
      <formula>NOT(ISERROR(SEARCH(("Відком. за межі ПБ"),(U1282))))</formula>
    </cfRule>
  </conditionalFormatting>
  <conditionalFormatting sqref="U1282">
    <cfRule type="containsText" dxfId="9" priority="844" operator="containsText" text="Загиблі">
      <formula>NOT(ISERROR(SEARCH(("Загиблі"),(U1282))))</formula>
    </cfRule>
  </conditionalFormatting>
  <conditionalFormatting sqref="U1282">
    <cfRule type="containsText" dxfId="10" priority="845" operator="containsText" text="Лікування">
      <formula>NOT(ISERROR(SEARCH(("Лікування"),(U1282))))</formula>
    </cfRule>
  </conditionalFormatting>
  <conditionalFormatting sqref="U1282:U1284">
    <cfRule type="containsText" dxfId="10" priority="846" operator="containsText" text="Лікування">
      <formula>NOT(ISERROR(SEARCH(("Лікування"),(U1282))))</formula>
    </cfRule>
  </conditionalFormatting>
  <conditionalFormatting sqref="U1282:U1284">
    <cfRule type="containsText" dxfId="9" priority="847" operator="containsText" text="Загиблі">
      <formula>NOT(ISERROR(SEARCH(("Загиблі"),(U1282))))</formula>
    </cfRule>
  </conditionalFormatting>
  <conditionalFormatting sqref="U1282:U1284">
    <cfRule type="containsText" dxfId="8" priority="848" operator="containsText" text="Відком. за межі ПБ">
      <formula>NOT(ISERROR(SEARCH(("Відком. за межі ПБ"),(U1282))))</formula>
    </cfRule>
  </conditionalFormatting>
  <conditionalFormatting sqref="U1282:U1284">
    <cfRule type="containsText" dxfId="7" priority="849" operator="containsText" text="Від-ні навчання">
      <formula>NOT(ISERROR(SEARCH(("Від-ні навчання"),(U1282))))</formula>
    </cfRule>
  </conditionalFormatting>
  <conditionalFormatting sqref="U1282:U1284">
    <cfRule type="containsText" dxfId="6" priority="850" operator="containsText" text="Зниклі безвісти">
      <formula>NOT(ISERROR(SEARCH(("Зниклі безвісти"),(U1282))))</formula>
    </cfRule>
  </conditionalFormatting>
  <conditionalFormatting sqref="U1282:U1284">
    <cfRule type="containsText" dxfId="5" priority="851" operator="containsText" text="СЗЧ">
      <formula>NOT(ISERROR(SEARCH(("СЗЧ"),(U1282))))</formula>
    </cfRule>
  </conditionalFormatting>
  <conditionalFormatting sqref="U1282:U1284">
    <cfRule type="containsText" dxfId="4" priority="852" operator="containsText" text="Відпустка">
      <formula>NOT(ISERROR(SEARCH(("Відпустка"),(U1282))))</formula>
    </cfRule>
  </conditionalFormatting>
  <conditionalFormatting sqref="U1282:U1284">
    <cfRule type="containsText" dxfId="3" priority="853" operator="containsText" text="В строю">
      <formula>NOT(ISERROR(SEARCH(("В строю"),(U1282))))</formula>
    </cfRule>
  </conditionalFormatting>
  <conditionalFormatting sqref="U1283:U1284">
    <cfRule type="containsText" dxfId="3" priority="854" operator="containsText" text="В строю">
      <formula>NOT(ISERROR(SEARCH(("В строю"),(U1283))))</formula>
    </cfRule>
  </conditionalFormatting>
  <conditionalFormatting sqref="U1283:U1284">
    <cfRule type="containsText" dxfId="4" priority="855" operator="containsText" text="Відпустка">
      <formula>NOT(ISERROR(SEARCH(("Відпустка"),(U1283))))</formula>
    </cfRule>
  </conditionalFormatting>
  <conditionalFormatting sqref="U1283:U1284">
    <cfRule type="containsText" dxfId="5" priority="856" operator="containsText" text="СЗЧ">
      <formula>NOT(ISERROR(SEARCH(("СЗЧ"),(U1283))))</formula>
    </cfRule>
  </conditionalFormatting>
  <conditionalFormatting sqref="U1283:U1284">
    <cfRule type="containsText" dxfId="6" priority="857" operator="containsText" text="Зниклі безвісти">
      <formula>NOT(ISERROR(SEARCH(("Зниклі безвісти"),(U1283))))</formula>
    </cfRule>
  </conditionalFormatting>
  <conditionalFormatting sqref="U1283:U1284">
    <cfRule type="containsText" dxfId="7" priority="858" operator="containsText" text="Від-ні навчання">
      <formula>NOT(ISERROR(SEARCH(("Від-ні навчання"),(U1283))))</formula>
    </cfRule>
  </conditionalFormatting>
  <conditionalFormatting sqref="U1283:U1284">
    <cfRule type="containsText" dxfId="8" priority="859" operator="containsText" text="Відком. за межі ПБ">
      <formula>NOT(ISERROR(SEARCH(("Відком. за межі ПБ"),(U1283))))</formula>
    </cfRule>
  </conditionalFormatting>
  <conditionalFormatting sqref="U1283:U1284">
    <cfRule type="containsText" dxfId="9" priority="860" operator="containsText" text="Загиблі">
      <formula>NOT(ISERROR(SEARCH(("Загиблі"),(U1283))))</formula>
    </cfRule>
  </conditionalFormatting>
  <conditionalFormatting sqref="U1283:U1284">
    <cfRule type="containsText" dxfId="10" priority="861" operator="containsText" text="Лікування">
      <formula>NOT(ISERROR(SEARCH(("Лікування"),(U1283))))</formula>
    </cfRule>
  </conditionalFormatting>
  <conditionalFormatting sqref="Q1282">
    <cfRule type="cellIs" dxfId="3" priority="862" operator="equal">
      <formula>P1282</formula>
    </cfRule>
  </conditionalFormatting>
  <conditionalFormatting sqref="Q1282">
    <cfRule type="cellIs" dxfId="9" priority="863" operator="notEqual">
      <formula>P1282</formula>
    </cfRule>
  </conditionalFormatting>
  <conditionalFormatting sqref="N1282:O1282">
    <cfRule type="expression" dxfId="0" priority="864">
      <formula>COUNTIF(#REF!, N1282) &gt; 1</formula>
    </cfRule>
  </conditionalFormatting>
  <conditionalFormatting sqref="N1282:O1282">
    <cfRule type="expression" dxfId="0" priority="865">
      <formula>COUNTIF(#REF!, N1282) &gt; 1</formula>
    </cfRule>
  </conditionalFormatting>
  <conditionalFormatting sqref="N1256:N1271 N1273:N1281 J1274:K1274 O1276:P1281 N1285:P1288 N1292:P1296 N1300:P1302 N1304:P1304 N1314:P1383 Q1377 N1428:P1509 N1511:P1522 N1528:P1530 N1532:P1545 N1547:P1558 N1560:P1625 M1565 Q1598">
    <cfRule type="expression" dxfId="0" priority="866">
      <formula>COUNTIF(#REF!, N1256) &gt; 1</formula>
    </cfRule>
  </conditionalFormatting>
  <conditionalFormatting sqref="U1256:U1271 U1273:U1281 U1285:U1288 U1292:U1296 U1300:U1302 U1304 U1314:U1383 U1428:U1509 T1478 U1511:U1522 U1528:U1530 U1532:U1545 U1547:U1558 U1560:U1625 N1586 O1616">
    <cfRule type="containsText" dxfId="3" priority="867" operator="containsText" text="В строю">
      <formula>NOT(ISERROR(SEARCH(("В строю"),(U1256))))</formula>
    </cfRule>
  </conditionalFormatting>
  <conditionalFormatting sqref="U1256:U1271 U1273:U1281 U1285:U1288 U1292:U1296 U1300:U1302 U1304 U1314:U1383 U1428:U1509 T1478 U1511:U1522 U1528:U1530 U1532:U1545 U1547:U1558 U1560:U1625 N1586 O1616">
    <cfRule type="containsText" dxfId="4" priority="868" operator="containsText" text="Відпустка">
      <formula>NOT(ISERROR(SEARCH(("Відпустка"),(U1256))))</formula>
    </cfRule>
  </conditionalFormatting>
  <conditionalFormatting sqref="U1256:U1271 U1273:U1281 U1285:U1288 U1292:U1296 U1300:U1302 U1304 U1314:U1383 U1428:U1509 T1478 U1511:U1522 U1528:U1530 U1532:U1545 U1547:U1558 U1560:U1625 N1586 O1616">
    <cfRule type="containsText" dxfId="5" priority="869" operator="containsText" text="СЗЧ">
      <formula>NOT(ISERROR(SEARCH(("СЗЧ"),(U1256))))</formula>
    </cfRule>
  </conditionalFormatting>
  <conditionalFormatting sqref="U1256:U1271 U1273:U1281 U1285:U1288 U1292:U1296 U1300:U1302 U1304 U1314:U1383 U1428:U1509 T1478 U1511:U1522 U1528:U1530 U1532:U1545 U1547:U1558 U1560:U1625 N1586 O1616">
    <cfRule type="containsText" dxfId="6" priority="870" operator="containsText" text="Зниклі безвісти">
      <formula>NOT(ISERROR(SEARCH(("Зниклі безвісти"),(U1256))))</formula>
    </cfRule>
  </conditionalFormatting>
  <conditionalFormatting sqref="U1256:U1271 U1273:U1281 U1285:U1288 U1292:U1296 U1300:U1302 U1304 U1314:U1383 U1428:U1509 T1478 U1511:U1522 U1528:U1530 U1532:U1545 U1547:U1558 U1560:U1625 N1586 O1616">
    <cfRule type="containsText" dxfId="7" priority="871" operator="containsText" text="Від-ні навчання">
      <formula>NOT(ISERROR(SEARCH(("Від-ні навчання"),(U1256))))</formula>
    </cfRule>
  </conditionalFormatting>
  <conditionalFormatting sqref="U1256:U1271 U1273:U1281 U1285:U1288 U1292:U1296 U1300:U1302 U1304 U1314:U1383 U1428:U1509 T1478 U1511:U1522 U1528:U1530 U1532:U1545 U1547:U1558 U1560:U1625 N1586 O1616">
    <cfRule type="containsText" dxfId="8" priority="872" operator="containsText" text="Відком. за межі ПБ">
      <formula>NOT(ISERROR(SEARCH(("Відком. за межі ПБ"),(U1256))))</formula>
    </cfRule>
  </conditionalFormatting>
  <conditionalFormatting sqref="U1256:U1271 U1273:U1281 U1285:U1288 U1292:U1296 U1300:U1302 U1304 U1314:U1383 U1428:U1509 T1478 U1511:U1522 U1528:U1530 U1532:U1545 U1547:U1558 U1560:U1625 N1586 O1616">
    <cfRule type="containsText" dxfId="9" priority="873" operator="containsText" text="Загиблі">
      <formula>NOT(ISERROR(SEARCH(("Загиблі"),(U1256))))</formula>
    </cfRule>
  </conditionalFormatting>
  <conditionalFormatting sqref="U1256:U1271 U1273:U1281 U1285:U1288 U1292:U1296 U1300:U1302 U1304 U1314:U1383 U1428:U1509 T1478 U1511:U1522 U1528:U1530 U1532:U1545 U1547:U1558 U1560:U1625 N1586 O1616">
    <cfRule type="containsText" dxfId="10" priority="874" operator="containsText" text="Лікування">
      <formula>NOT(ISERROR(SEARCH(("Лікування"),(U1256))))</formula>
    </cfRule>
  </conditionalFormatting>
  <conditionalFormatting sqref="U1256:U1271 U1273:U1281 U1285:U1288 U1292:U1296 U1300:U1302 U1304 U1314:U1383 U1428:U1509 U1511:U1522 U1528:U1530 U1532:U1545 U1547:U1558 U1560:U1625">
    <cfRule type="containsText" dxfId="10" priority="875" operator="containsText" text="Лікування">
      <formula>NOT(ISERROR(SEARCH(("Лікування"),(U1256))))</formula>
    </cfRule>
  </conditionalFormatting>
  <conditionalFormatting sqref="U1256:U1271 U1273:U1281 U1285:U1288 U1292:U1296 U1300:U1302 U1304 U1314:U1383 U1428:U1509 U1511:U1522 U1528:U1530 U1532:U1545 U1547:U1558 U1560:U1625">
    <cfRule type="containsText" dxfId="9" priority="876" operator="containsText" text="Загиблі">
      <formula>NOT(ISERROR(SEARCH(("Загиблі"),(U1256))))</formula>
    </cfRule>
  </conditionalFormatting>
  <conditionalFormatting sqref="U1256:U1271 U1273:U1281 U1285:U1288 U1292:U1296 U1300:U1302 U1304 U1314:U1383 U1428:U1509 U1511:U1522 U1528:U1530 U1532:U1545 U1547:U1558 U1560:U1625">
    <cfRule type="containsText" dxfId="8" priority="877" operator="containsText" text="Відком. за межі ПБ">
      <formula>NOT(ISERROR(SEARCH(("Відком. за межі ПБ"),(U1256))))</formula>
    </cfRule>
  </conditionalFormatting>
  <conditionalFormatting sqref="U1256:U1271 U1273:U1281 U1285:U1288 U1292:U1296 U1300:U1302 U1304 U1314:U1383 U1428:U1509 U1511:U1522 U1528:U1530 U1532:U1545 U1547:U1558 U1560:U1625">
    <cfRule type="containsText" dxfId="7" priority="878" operator="containsText" text="Від-ні навчання">
      <formula>NOT(ISERROR(SEARCH(("Від-ні навчання"),(U1256))))</formula>
    </cfRule>
  </conditionalFormatting>
  <conditionalFormatting sqref="U1256:U1271 U1273:U1281 U1285:U1288 U1292:U1296 U1300:U1302 U1304 U1314:U1383 U1428:U1509 U1511:U1522 U1528:U1530 U1532:U1545 U1547:U1558 U1560:U1625">
    <cfRule type="containsText" dxfId="6" priority="879" operator="containsText" text="Зниклі безвісти">
      <formula>NOT(ISERROR(SEARCH(("Зниклі безвісти"),(U1256))))</formula>
    </cfRule>
  </conditionalFormatting>
  <conditionalFormatting sqref="U1256:U1271 U1273:U1281 U1285:U1288 U1292:U1296 U1300:U1302 U1304 U1314:U1383 U1428:U1509 U1511:U1522 U1528:U1530 U1532:U1545 U1547:U1558 U1560:U1625">
    <cfRule type="containsText" dxfId="5" priority="880" operator="containsText" text="СЗЧ">
      <formula>NOT(ISERROR(SEARCH(("СЗЧ"),(U1256))))</formula>
    </cfRule>
  </conditionalFormatting>
  <conditionalFormatting sqref="U1256:U1271 U1273:U1281 U1285:U1288 U1292:U1296 U1300:U1302 U1304 U1314:U1383 U1428:U1509 U1511:U1522 U1528:U1530 U1532:U1545 U1547:U1558 U1560:U1625">
    <cfRule type="containsText" dxfId="4" priority="881" operator="containsText" text="Відпустка">
      <formula>NOT(ISERROR(SEARCH(("Відпустка"),(U1256))))</formula>
    </cfRule>
  </conditionalFormatting>
  <conditionalFormatting sqref="U1256:U1271 U1273:U1281 U1285:U1288 U1292:U1296 U1300:U1302 U1304 U1314:U1383 U1428:U1509 U1511:U1522 U1528:U1530 U1532:U1545 U1547:U1558 U1560:U1625">
    <cfRule type="containsText" dxfId="3" priority="882" operator="containsText" text="В строю">
      <formula>NOT(ISERROR(SEARCH(("В строю"),(U1256))))</formula>
    </cfRule>
  </conditionalFormatting>
  <conditionalFormatting sqref="Q1256:Q1271 Q1273:Q1281 Q1285:Q1288 Q1292:Q1296 Q1300:Q1302 Q1304 Q1314:Q1383 Q1428:Q1509 Q1511:Q1522 Q1528:Q1530 Q1532:Q1545 Q1547:Q1558 Q1560:Q1625">
    <cfRule type="cellIs" dxfId="3" priority="883" operator="equal">
      <formula>P1256</formula>
    </cfRule>
  </conditionalFormatting>
  <conditionalFormatting sqref="Q1256:Q1271 Q1273:Q1281 Q1285:Q1288 Q1292:Q1296 Q1300:Q1302 Q1304 Q1314:Q1383 Q1428:Q1509 Q1511:Q1522 Q1528:Q1530 Q1532:Q1545 Q1547:Q1558 Q1560:Q1625">
    <cfRule type="cellIs" dxfId="9" priority="884" operator="notEqual">
      <formula>P1256</formula>
    </cfRule>
  </conditionalFormatting>
  <conditionalFormatting sqref="U1256:U1271 U1273:U1281 U1285:U1288 U1292:U1296 U1300:U1302 U1304 U1314:U1383 U1428:U1509 U1511:U1522 U1528:U1530 U1532:U1545 U1547:U1558 U1560:U1625">
    <cfRule type="containsText" dxfId="10" priority="885" operator="containsText" text="Лікування">
      <formula>NOT(ISERROR(SEARCH(("Лікування"),(U1256))))</formula>
    </cfRule>
  </conditionalFormatting>
  <conditionalFormatting sqref="U1256:U1271 U1273:U1281 U1285:U1288 U1292:U1296 U1300:U1302 U1304 U1314:U1383 U1428:U1509 U1511:U1522 U1528:U1530 U1532:U1545 U1547:U1558 U1560:U1625">
    <cfRule type="containsText" dxfId="9" priority="886" operator="containsText" text="Загиблі">
      <formula>NOT(ISERROR(SEARCH(("Загиблі"),(U1256))))</formula>
    </cfRule>
  </conditionalFormatting>
  <conditionalFormatting sqref="U1256:U1271 U1273:U1281 U1285:U1288 U1292:U1296 U1300:U1302 U1304 U1314:U1383 U1428:U1509 U1511:U1522 U1528:U1530 U1532:U1545 U1547:U1558 U1560:U1625">
    <cfRule type="containsText" dxfId="8" priority="887" operator="containsText" text="Відком. за межі ПБ">
      <formula>NOT(ISERROR(SEARCH(("Відком. за межі ПБ"),(U1256))))</formula>
    </cfRule>
  </conditionalFormatting>
  <conditionalFormatting sqref="U1256:U1271 U1273:U1281 U1285:U1288 U1292:U1296 U1300:U1302 U1304 U1314:U1383 U1428:U1509 U1511:U1522 U1528:U1530 U1532:U1545 U1547:U1558 U1560:U1625">
    <cfRule type="containsText" dxfId="7" priority="888" operator="containsText" text="Від-ні навчання">
      <formula>NOT(ISERROR(SEARCH(("Від-ні навчання"),(U1256))))</formula>
    </cfRule>
  </conditionalFormatting>
  <conditionalFormatting sqref="U1256:U1271 U1273:U1281 U1285:U1288 U1292:U1296 U1300:U1302 U1304 U1314:U1383 U1428:U1509 U1511:U1522 U1528:U1530 U1532:U1545 U1547:U1558 U1560:U1625">
    <cfRule type="containsText" dxfId="6" priority="889" operator="containsText" text="Зниклі безвісти">
      <formula>NOT(ISERROR(SEARCH(("Зниклі безвісти"),(U1256))))</formula>
    </cfRule>
  </conditionalFormatting>
  <conditionalFormatting sqref="U1256:U1271 U1273:U1281 U1285:U1288 U1292:U1296 U1300:U1302 U1304 U1314:U1383 U1428:U1509 U1511:U1522 U1528:U1530 U1532:U1545 U1547:U1558 U1560:U1625">
    <cfRule type="containsText" dxfId="5" priority="890" operator="containsText" text="СЗЧ">
      <formula>NOT(ISERROR(SEARCH(("СЗЧ"),(U1256))))</formula>
    </cfRule>
  </conditionalFormatting>
  <conditionalFormatting sqref="U1256:U1271 U1273:U1281 U1285:U1288 U1292:U1296 U1300:U1302 U1304 U1314:U1383 U1428:U1509 U1511:U1522 U1528:U1530 U1532:U1545 U1547:U1558 U1560:U1625">
    <cfRule type="containsText" dxfId="4" priority="891" operator="containsText" text="Відпустка">
      <formula>NOT(ISERROR(SEARCH(("Відпустка"),(U1256))))</formula>
    </cfRule>
  </conditionalFormatting>
  <conditionalFormatting sqref="U1256:U1271 U1273:U1281 U1285:U1288 U1292:U1296 U1300:U1302 U1304 U1314:U1383 U1428:U1509 U1511:U1522 U1528:U1530 U1532:U1545 U1547:U1558 U1560:U1625">
    <cfRule type="containsText" dxfId="3" priority="892" operator="containsText" text="В строю">
      <formula>NOT(ISERROR(SEARCH(("В строю"),(U1256))))</formula>
    </cfRule>
  </conditionalFormatting>
  <conditionalFormatting sqref="N1255">
    <cfRule type="expression" dxfId="0" priority="893">
      <formula>COUNTIF(#REF!, N1255) &gt; 1</formula>
    </cfRule>
  </conditionalFormatting>
  <conditionalFormatting sqref="U1255">
    <cfRule type="containsText" dxfId="3" priority="894" operator="containsText" text="В строю">
      <formula>NOT(ISERROR(SEARCH(("В строю"),(U1255))))</formula>
    </cfRule>
  </conditionalFormatting>
  <conditionalFormatting sqref="U1255">
    <cfRule type="containsText" dxfId="4" priority="895" operator="containsText" text="Відпустка">
      <formula>NOT(ISERROR(SEARCH(("Відпустка"),(U1255))))</formula>
    </cfRule>
  </conditionalFormatting>
  <conditionalFormatting sqref="U1255">
    <cfRule type="containsText" dxfId="5" priority="896" operator="containsText" text="СЗЧ">
      <formula>NOT(ISERROR(SEARCH(("СЗЧ"),(U1255))))</formula>
    </cfRule>
  </conditionalFormatting>
  <conditionalFormatting sqref="U1255">
    <cfRule type="containsText" dxfId="6" priority="897" operator="containsText" text="Зниклі безвісти">
      <formula>NOT(ISERROR(SEARCH(("Зниклі безвісти"),(U1255))))</formula>
    </cfRule>
  </conditionalFormatting>
  <conditionalFormatting sqref="U1255">
    <cfRule type="containsText" dxfId="7" priority="898" operator="containsText" text="Від-ні навчання">
      <formula>NOT(ISERROR(SEARCH(("Від-ні навчання"),(U1255))))</formula>
    </cfRule>
  </conditionalFormatting>
  <conditionalFormatting sqref="U1255">
    <cfRule type="containsText" dxfId="8" priority="899" operator="containsText" text="Відком. за межі ПБ">
      <formula>NOT(ISERROR(SEARCH(("Відком. за межі ПБ"),(U1255))))</formula>
    </cfRule>
  </conditionalFormatting>
  <conditionalFormatting sqref="U1255">
    <cfRule type="containsText" dxfId="9" priority="900" operator="containsText" text="Загиблі">
      <formula>NOT(ISERROR(SEARCH(("Загиблі"),(U1255))))</formula>
    </cfRule>
  </conditionalFormatting>
  <conditionalFormatting sqref="U1255">
    <cfRule type="containsText" dxfId="10" priority="901" operator="containsText" text="Лікування">
      <formula>NOT(ISERROR(SEARCH(("Лікування"),(U1255))))</formula>
    </cfRule>
  </conditionalFormatting>
  <conditionalFormatting sqref="U1255">
    <cfRule type="containsText" dxfId="10" priority="902" operator="containsText" text="Лікування">
      <formula>NOT(ISERROR(SEARCH(("Лікування"),(U1255))))</formula>
    </cfRule>
  </conditionalFormatting>
  <conditionalFormatting sqref="U1255">
    <cfRule type="containsText" dxfId="9" priority="903" operator="containsText" text="Загиблі">
      <formula>NOT(ISERROR(SEARCH(("Загиблі"),(U1255))))</formula>
    </cfRule>
  </conditionalFormatting>
  <conditionalFormatting sqref="U1255">
    <cfRule type="containsText" dxfId="8" priority="904" operator="containsText" text="Відком. за межі ПБ">
      <formula>NOT(ISERROR(SEARCH(("Відком. за межі ПБ"),(U1255))))</formula>
    </cfRule>
  </conditionalFormatting>
  <conditionalFormatting sqref="U1255">
    <cfRule type="containsText" dxfId="7" priority="905" operator="containsText" text="Від-ні навчання">
      <formula>NOT(ISERROR(SEARCH(("Від-ні навчання"),(U1255))))</formula>
    </cfRule>
  </conditionalFormatting>
  <conditionalFormatting sqref="U1255">
    <cfRule type="containsText" dxfId="6" priority="906" operator="containsText" text="Зниклі безвісти">
      <formula>NOT(ISERROR(SEARCH(("Зниклі безвісти"),(U1255))))</formula>
    </cfRule>
  </conditionalFormatting>
  <conditionalFormatting sqref="U1255">
    <cfRule type="containsText" dxfId="5" priority="907" operator="containsText" text="СЗЧ">
      <formula>NOT(ISERROR(SEARCH(("СЗЧ"),(U1255))))</formula>
    </cfRule>
  </conditionalFormatting>
  <conditionalFormatting sqref="U1255">
    <cfRule type="containsText" dxfId="4" priority="908" operator="containsText" text="Відпустка">
      <formula>NOT(ISERROR(SEARCH(("Відпустка"),(U1255))))</formula>
    </cfRule>
  </conditionalFormatting>
  <conditionalFormatting sqref="U1255">
    <cfRule type="containsText" dxfId="3" priority="909" operator="containsText" text="В строю">
      <formula>NOT(ISERROR(SEARCH(("В строю"),(U1255))))</formula>
    </cfRule>
  </conditionalFormatting>
  <conditionalFormatting sqref="Q1255">
    <cfRule type="cellIs" dxfId="3" priority="910" operator="equal">
      <formula>P1255</formula>
    </cfRule>
  </conditionalFormatting>
  <conditionalFormatting sqref="Q1255">
    <cfRule type="cellIs" dxfId="9" priority="911" operator="notEqual">
      <formula>P1255</formula>
    </cfRule>
  </conditionalFormatting>
  <conditionalFormatting sqref="U1255">
    <cfRule type="containsText" dxfId="10" priority="912" operator="containsText" text="Лікування">
      <formula>NOT(ISERROR(SEARCH(("Лікування"),(U1255))))</formula>
    </cfRule>
  </conditionalFormatting>
  <conditionalFormatting sqref="U1255">
    <cfRule type="containsText" dxfId="9" priority="913" operator="containsText" text="Загиблі">
      <formula>NOT(ISERROR(SEARCH(("Загиблі"),(U1255))))</formula>
    </cfRule>
  </conditionalFormatting>
  <conditionalFormatting sqref="U1255">
    <cfRule type="containsText" dxfId="8" priority="914" operator="containsText" text="Відком. за межі ПБ">
      <formula>NOT(ISERROR(SEARCH(("Відком. за межі ПБ"),(U1255))))</formula>
    </cfRule>
  </conditionalFormatting>
  <conditionalFormatting sqref="U1255">
    <cfRule type="containsText" dxfId="7" priority="915" operator="containsText" text="Від-ні навчання">
      <formula>NOT(ISERROR(SEARCH(("Від-ні навчання"),(U1255))))</formula>
    </cfRule>
  </conditionalFormatting>
  <conditionalFormatting sqref="U1255">
    <cfRule type="containsText" dxfId="6" priority="916" operator="containsText" text="Зниклі безвісти">
      <formula>NOT(ISERROR(SEARCH(("Зниклі безвісти"),(U1255))))</formula>
    </cfRule>
  </conditionalFormatting>
  <conditionalFormatting sqref="U1255">
    <cfRule type="containsText" dxfId="5" priority="917" operator="containsText" text="СЗЧ">
      <formula>NOT(ISERROR(SEARCH(("СЗЧ"),(U1255))))</formula>
    </cfRule>
  </conditionalFormatting>
  <conditionalFormatting sqref="U1255">
    <cfRule type="containsText" dxfId="4" priority="918" operator="containsText" text="Відпустка">
      <formula>NOT(ISERROR(SEARCH(("Відпустка"),(U1255))))</formula>
    </cfRule>
  </conditionalFormatting>
  <conditionalFormatting sqref="U1255">
    <cfRule type="containsText" dxfId="3" priority="919" operator="containsText" text="В строю">
      <formula>NOT(ISERROR(SEARCH(("В строю"),(U1255))))</formula>
    </cfRule>
  </conditionalFormatting>
  <conditionalFormatting sqref="U1254">
    <cfRule type="containsText" dxfId="10" priority="920" operator="containsText" text="Лікування">
      <formula>NOT(ISERROR(SEARCH(("Лікування"),(U1254))))</formula>
    </cfRule>
  </conditionalFormatting>
  <conditionalFormatting sqref="U1254">
    <cfRule type="containsText" dxfId="9" priority="921" operator="containsText" text="Загиблі">
      <formula>NOT(ISERROR(SEARCH(("Загиблі"),(U1254))))</formula>
    </cfRule>
  </conditionalFormatting>
  <conditionalFormatting sqref="U1254">
    <cfRule type="containsText" dxfId="8" priority="922" operator="containsText" text="Відком. за межі ПБ">
      <formula>NOT(ISERROR(SEARCH(("Відком. за межі ПБ"),(U1254))))</formula>
    </cfRule>
  </conditionalFormatting>
  <conditionalFormatting sqref="U1254">
    <cfRule type="containsText" dxfId="7" priority="923" operator="containsText" text="Від-ні навчання">
      <formula>NOT(ISERROR(SEARCH(("Від-ні навчання"),(U1254))))</formula>
    </cfRule>
  </conditionalFormatting>
  <conditionalFormatting sqref="U1254">
    <cfRule type="containsText" dxfId="6" priority="924" operator="containsText" text="Зниклі безвісти">
      <formula>NOT(ISERROR(SEARCH(("Зниклі безвісти"),(U1254))))</formula>
    </cfRule>
  </conditionalFormatting>
  <conditionalFormatting sqref="U1254">
    <cfRule type="containsText" dxfId="5" priority="925" operator="containsText" text="СЗЧ">
      <formula>NOT(ISERROR(SEARCH(("СЗЧ"),(U1254))))</formula>
    </cfRule>
  </conditionalFormatting>
  <conditionalFormatting sqref="U1254">
    <cfRule type="containsText" dxfId="4" priority="926" operator="containsText" text="Відпустка">
      <formula>NOT(ISERROR(SEARCH(("Відпустка"),(U1254))))</formula>
    </cfRule>
  </conditionalFormatting>
  <conditionalFormatting sqref="U1254">
    <cfRule type="containsText" dxfId="3" priority="927" operator="containsText" text="В строю">
      <formula>NOT(ISERROR(SEARCH(("В строю"),(U1254))))</formula>
    </cfRule>
  </conditionalFormatting>
  <conditionalFormatting sqref="N1254">
    <cfRule type="expression" dxfId="0" priority="928">
      <formula>COUNTIF(#REF!, N1254) &gt; 1</formula>
    </cfRule>
  </conditionalFormatting>
  <conditionalFormatting sqref="Q1254">
    <cfRule type="cellIs" dxfId="3" priority="929" operator="equal">
      <formula>P1254</formula>
    </cfRule>
  </conditionalFormatting>
  <conditionalFormatting sqref="Q1254">
    <cfRule type="cellIs" dxfId="9" priority="930" operator="notEqual">
      <formula>P1254</formula>
    </cfRule>
  </conditionalFormatting>
  <conditionalFormatting sqref="U1254">
    <cfRule type="containsText" dxfId="3" priority="931" operator="containsText" text="В строю">
      <formula>NOT(ISERROR(SEARCH(("В строю"),(U1254))))</formula>
    </cfRule>
  </conditionalFormatting>
  <conditionalFormatting sqref="U1254">
    <cfRule type="containsText" dxfId="4" priority="932" operator="containsText" text="Відпустка">
      <formula>NOT(ISERROR(SEARCH(("Відпустка"),(U1254))))</formula>
    </cfRule>
  </conditionalFormatting>
  <conditionalFormatting sqref="U1254">
    <cfRule type="containsText" dxfId="5" priority="933" operator="containsText" text="СЗЧ">
      <formula>NOT(ISERROR(SEARCH(("СЗЧ"),(U1254))))</formula>
    </cfRule>
  </conditionalFormatting>
  <conditionalFormatting sqref="U1254">
    <cfRule type="containsText" dxfId="6" priority="934" operator="containsText" text="Зниклі безвісти">
      <formula>NOT(ISERROR(SEARCH(("Зниклі безвісти"),(U1254))))</formula>
    </cfRule>
  </conditionalFormatting>
  <conditionalFormatting sqref="U1254">
    <cfRule type="containsText" dxfId="7" priority="935" operator="containsText" text="Від-ні навчання">
      <formula>NOT(ISERROR(SEARCH(("Від-ні навчання"),(U1254))))</formula>
    </cfRule>
  </conditionalFormatting>
  <conditionalFormatting sqref="U1254">
    <cfRule type="containsText" dxfId="8" priority="936" operator="containsText" text="Відком. за межі ПБ">
      <formula>NOT(ISERROR(SEARCH(("Відком. за межі ПБ"),(U1254))))</formula>
    </cfRule>
  </conditionalFormatting>
  <conditionalFormatting sqref="U1254">
    <cfRule type="containsText" dxfId="9" priority="937" operator="containsText" text="Загиблі">
      <formula>NOT(ISERROR(SEARCH(("Загиблі"),(U1254))))</formula>
    </cfRule>
  </conditionalFormatting>
  <conditionalFormatting sqref="U1254">
    <cfRule type="containsText" dxfId="10" priority="938" operator="containsText" text="Лікування">
      <formula>NOT(ISERROR(SEARCH(("Лікування"),(U1254))))</formula>
    </cfRule>
  </conditionalFormatting>
  <conditionalFormatting sqref="U1254">
    <cfRule type="containsText" dxfId="10" priority="939" operator="containsText" text="Лікування">
      <formula>NOT(ISERROR(SEARCH(("Лікування"),(U1254))))</formula>
    </cfRule>
  </conditionalFormatting>
  <conditionalFormatting sqref="U1254">
    <cfRule type="containsText" dxfId="9" priority="940" operator="containsText" text="Загиблі">
      <formula>NOT(ISERROR(SEARCH(("Загиблі"),(U1254))))</formula>
    </cfRule>
  </conditionalFormatting>
  <conditionalFormatting sqref="U1254">
    <cfRule type="containsText" dxfId="8" priority="941" operator="containsText" text="Відком. за межі ПБ">
      <formula>NOT(ISERROR(SEARCH(("Відком. за межі ПБ"),(U1254))))</formula>
    </cfRule>
  </conditionalFormatting>
  <conditionalFormatting sqref="U1254">
    <cfRule type="containsText" dxfId="7" priority="942" operator="containsText" text="Від-ні навчання">
      <formula>NOT(ISERROR(SEARCH(("Від-ні навчання"),(U1254))))</formula>
    </cfRule>
  </conditionalFormatting>
  <conditionalFormatting sqref="U1254">
    <cfRule type="containsText" dxfId="6" priority="943" operator="containsText" text="Зниклі безвісти">
      <formula>NOT(ISERROR(SEARCH(("Зниклі безвісти"),(U1254))))</formula>
    </cfRule>
  </conditionalFormatting>
  <conditionalFormatting sqref="U1254">
    <cfRule type="containsText" dxfId="5" priority="944" operator="containsText" text="СЗЧ">
      <formula>NOT(ISERROR(SEARCH(("СЗЧ"),(U1254))))</formula>
    </cfRule>
  </conditionalFormatting>
  <conditionalFormatting sqref="U1254">
    <cfRule type="containsText" dxfId="4" priority="945" operator="containsText" text="Відпустка">
      <formula>NOT(ISERROR(SEARCH(("Відпустка"),(U1254))))</formula>
    </cfRule>
  </conditionalFormatting>
  <conditionalFormatting sqref="U1254">
    <cfRule type="containsText" dxfId="3" priority="946" operator="containsText" text="В строю">
      <formula>NOT(ISERROR(SEARCH(("В строю"),(U1254))))</formula>
    </cfRule>
  </conditionalFormatting>
  <conditionalFormatting sqref="U1253">
    <cfRule type="containsText" dxfId="3" priority="947" operator="containsText" text="В строю">
      <formula>NOT(ISERROR(SEARCH(("В строю"),(U1253))))</formula>
    </cfRule>
  </conditionalFormatting>
  <conditionalFormatting sqref="U1253">
    <cfRule type="containsText" dxfId="4" priority="948" operator="containsText" text="Відпустка">
      <formula>NOT(ISERROR(SEARCH(("Відпустка"),(U1253))))</formula>
    </cfRule>
  </conditionalFormatting>
  <conditionalFormatting sqref="U1253">
    <cfRule type="containsText" dxfId="5" priority="949" operator="containsText" text="СЗЧ">
      <formula>NOT(ISERROR(SEARCH(("СЗЧ"),(U1253))))</formula>
    </cfRule>
  </conditionalFormatting>
  <conditionalFormatting sqref="U1253">
    <cfRule type="containsText" dxfId="6" priority="950" operator="containsText" text="Зниклі безвісти">
      <formula>NOT(ISERROR(SEARCH(("Зниклі безвісти"),(U1253))))</formula>
    </cfRule>
  </conditionalFormatting>
  <conditionalFormatting sqref="U1253">
    <cfRule type="containsText" dxfId="7" priority="951" operator="containsText" text="Від-ні навчання">
      <formula>NOT(ISERROR(SEARCH(("Від-ні навчання"),(U1253))))</formula>
    </cfRule>
  </conditionalFormatting>
  <conditionalFormatting sqref="U1253">
    <cfRule type="containsText" dxfId="8" priority="952" operator="containsText" text="Відком. за межі ПБ">
      <formula>NOT(ISERROR(SEARCH(("Відком. за межі ПБ"),(U1253))))</formula>
    </cfRule>
  </conditionalFormatting>
  <conditionalFormatting sqref="U1253">
    <cfRule type="containsText" dxfId="9" priority="953" operator="containsText" text="Загиблі">
      <formula>NOT(ISERROR(SEARCH(("Загиблі"),(U1253))))</formula>
    </cfRule>
  </conditionalFormatting>
  <conditionalFormatting sqref="U1253">
    <cfRule type="containsText" dxfId="10" priority="954" operator="containsText" text="Лікування">
      <formula>NOT(ISERROR(SEARCH(("Лікування"),(U1253))))</formula>
    </cfRule>
  </conditionalFormatting>
  <conditionalFormatting sqref="Q1253">
    <cfRule type="cellIs" dxfId="3" priority="955" operator="equal">
      <formula>P1253</formula>
    </cfRule>
  </conditionalFormatting>
  <conditionalFormatting sqref="Q1253">
    <cfRule type="cellIs" dxfId="9" priority="956" operator="notEqual">
      <formula>P1253</formula>
    </cfRule>
  </conditionalFormatting>
  <conditionalFormatting sqref="N1253">
    <cfRule type="expression" dxfId="0" priority="957">
      <formula>COUNTIF(#REF!, N1253) &gt; 1</formula>
    </cfRule>
  </conditionalFormatting>
  <conditionalFormatting sqref="U1253">
    <cfRule type="containsText" dxfId="10" priority="958" operator="containsText" text="Лікування">
      <formula>NOT(ISERROR(SEARCH(("Лікування"),(U1253))))</formula>
    </cfRule>
  </conditionalFormatting>
  <conditionalFormatting sqref="U1253">
    <cfRule type="containsText" dxfId="9" priority="959" operator="containsText" text="Загиблі">
      <formula>NOT(ISERROR(SEARCH(("Загиблі"),(U1253))))</formula>
    </cfRule>
  </conditionalFormatting>
  <conditionalFormatting sqref="U1253">
    <cfRule type="containsText" dxfId="8" priority="960" operator="containsText" text="Відком. за межі ПБ">
      <formula>NOT(ISERROR(SEARCH(("Відком. за межі ПБ"),(U1253))))</formula>
    </cfRule>
  </conditionalFormatting>
  <conditionalFormatting sqref="U1253">
    <cfRule type="containsText" dxfId="7" priority="961" operator="containsText" text="Від-ні навчання">
      <formula>NOT(ISERROR(SEARCH(("Від-ні навчання"),(U1253))))</formula>
    </cfRule>
  </conditionalFormatting>
  <conditionalFormatting sqref="U1253">
    <cfRule type="containsText" dxfId="6" priority="962" operator="containsText" text="Зниклі безвісти">
      <formula>NOT(ISERROR(SEARCH(("Зниклі безвісти"),(U1253))))</formula>
    </cfRule>
  </conditionalFormatting>
  <conditionalFormatting sqref="U1253">
    <cfRule type="containsText" dxfId="5" priority="963" operator="containsText" text="СЗЧ">
      <formula>NOT(ISERROR(SEARCH(("СЗЧ"),(U1253))))</formula>
    </cfRule>
  </conditionalFormatting>
  <conditionalFormatting sqref="U1253">
    <cfRule type="containsText" dxfId="4" priority="964" operator="containsText" text="Відпустка">
      <formula>NOT(ISERROR(SEARCH(("Відпустка"),(U1253))))</formula>
    </cfRule>
  </conditionalFormatting>
  <conditionalFormatting sqref="U1253">
    <cfRule type="containsText" dxfId="3" priority="965" operator="containsText" text="В строю">
      <formula>NOT(ISERROR(SEARCH(("В строю"),(U1253))))</formula>
    </cfRule>
  </conditionalFormatting>
  <conditionalFormatting sqref="U1253">
    <cfRule type="containsText" dxfId="10" priority="966" operator="containsText" text="Лікування">
      <formula>NOT(ISERROR(SEARCH(("Лікування"),(U1253))))</formula>
    </cfRule>
  </conditionalFormatting>
  <conditionalFormatting sqref="U1253">
    <cfRule type="containsText" dxfId="9" priority="967" operator="containsText" text="Загиблі">
      <formula>NOT(ISERROR(SEARCH(("Загиблі"),(U1253))))</formula>
    </cfRule>
  </conditionalFormatting>
  <conditionalFormatting sqref="U1253">
    <cfRule type="containsText" dxfId="8" priority="968" operator="containsText" text="Відком. за межі ПБ">
      <formula>NOT(ISERROR(SEARCH(("Відком. за межі ПБ"),(U1253))))</formula>
    </cfRule>
  </conditionalFormatting>
  <conditionalFormatting sqref="U1253">
    <cfRule type="containsText" dxfId="7" priority="969" operator="containsText" text="Від-ні навчання">
      <formula>NOT(ISERROR(SEARCH(("Від-ні навчання"),(U1253))))</formula>
    </cfRule>
  </conditionalFormatting>
  <conditionalFormatting sqref="U1253">
    <cfRule type="containsText" dxfId="6" priority="970" operator="containsText" text="Зниклі безвісти">
      <formula>NOT(ISERROR(SEARCH(("Зниклі безвісти"),(U1253))))</formula>
    </cfRule>
  </conditionalFormatting>
  <conditionalFormatting sqref="U1253">
    <cfRule type="containsText" dxfId="5" priority="971" operator="containsText" text="СЗЧ">
      <formula>NOT(ISERROR(SEARCH(("СЗЧ"),(U1253))))</formula>
    </cfRule>
  </conditionalFormatting>
  <conditionalFormatting sqref="U1253">
    <cfRule type="containsText" dxfId="4" priority="972" operator="containsText" text="Відпустка">
      <formula>NOT(ISERROR(SEARCH(("Відпустка"),(U1253))))</formula>
    </cfRule>
  </conditionalFormatting>
  <conditionalFormatting sqref="U1253">
    <cfRule type="containsText" dxfId="3" priority="973" operator="containsText" text="В строю">
      <formula>NOT(ISERROR(SEARCH(("В строю"),(U1253))))</formula>
    </cfRule>
  </conditionalFormatting>
  <conditionalFormatting sqref="U1252">
    <cfRule type="containsText" dxfId="3" priority="974" operator="containsText" text="В строю">
      <formula>NOT(ISERROR(SEARCH(("В строю"),(U1252))))</formula>
    </cfRule>
  </conditionalFormatting>
  <conditionalFormatting sqref="U1252">
    <cfRule type="containsText" dxfId="4" priority="975" operator="containsText" text="Відпустка">
      <formula>NOT(ISERROR(SEARCH(("Відпустка"),(U1252))))</formula>
    </cfRule>
  </conditionalFormatting>
  <conditionalFormatting sqref="U1252">
    <cfRule type="containsText" dxfId="5" priority="976" operator="containsText" text="СЗЧ">
      <formula>NOT(ISERROR(SEARCH(("СЗЧ"),(U1252))))</formula>
    </cfRule>
  </conditionalFormatting>
  <conditionalFormatting sqref="U1252">
    <cfRule type="containsText" dxfId="6" priority="977" operator="containsText" text="Зниклі безвісти">
      <formula>NOT(ISERROR(SEARCH(("Зниклі безвісти"),(U1252))))</formula>
    </cfRule>
  </conditionalFormatting>
  <conditionalFormatting sqref="U1252">
    <cfRule type="containsText" dxfId="7" priority="978" operator="containsText" text="Від-ні навчання">
      <formula>NOT(ISERROR(SEARCH(("Від-ні навчання"),(U1252))))</formula>
    </cfRule>
  </conditionalFormatting>
  <conditionalFormatting sqref="U1252">
    <cfRule type="containsText" dxfId="8" priority="979" operator="containsText" text="Відком. за межі ПБ">
      <formula>NOT(ISERROR(SEARCH(("Відком. за межі ПБ"),(U1252))))</formula>
    </cfRule>
  </conditionalFormatting>
  <conditionalFormatting sqref="U1252">
    <cfRule type="containsText" dxfId="9" priority="980" operator="containsText" text="Загиблі">
      <formula>NOT(ISERROR(SEARCH(("Загиблі"),(U1252))))</formula>
    </cfRule>
  </conditionalFormatting>
  <conditionalFormatting sqref="U1252">
    <cfRule type="containsText" dxfId="10" priority="981" operator="containsText" text="Лікування">
      <formula>NOT(ISERROR(SEARCH(("Лікування"),(U1252))))</formula>
    </cfRule>
  </conditionalFormatting>
  <conditionalFormatting sqref="Q1252">
    <cfRule type="cellIs" dxfId="3" priority="982" operator="equal">
      <formula>P1252</formula>
    </cfRule>
  </conditionalFormatting>
  <conditionalFormatting sqref="Q1252">
    <cfRule type="cellIs" dxfId="9" priority="983" operator="notEqual">
      <formula>P1252</formula>
    </cfRule>
  </conditionalFormatting>
  <conditionalFormatting sqref="N1252">
    <cfRule type="expression" dxfId="0" priority="984">
      <formula>COUNTIF(#REF!, N1252) &gt; 1</formula>
    </cfRule>
  </conditionalFormatting>
  <conditionalFormatting sqref="U1252">
    <cfRule type="containsText" dxfId="10" priority="985" operator="containsText" text="Лікування">
      <formula>NOT(ISERROR(SEARCH(("Лікування"),(U1252))))</formula>
    </cfRule>
  </conditionalFormatting>
  <conditionalFormatting sqref="U1252">
    <cfRule type="containsText" dxfId="9" priority="986" operator="containsText" text="Загиблі">
      <formula>NOT(ISERROR(SEARCH(("Загиблі"),(U1252))))</formula>
    </cfRule>
  </conditionalFormatting>
  <conditionalFormatting sqref="U1252">
    <cfRule type="containsText" dxfId="8" priority="987" operator="containsText" text="Відком. за межі ПБ">
      <formula>NOT(ISERROR(SEARCH(("Відком. за межі ПБ"),(U1252))))</formula>
    </cfRule>
  </conditionalFormatting>
  <conditionalFormatting sqref="U1252">
    <cfRule type="containsText" dxfId="7" priority="988" operator="containsText" text="Від-ні навчання">
      <formula>NOT(ISERROR(SEARCH(("Від-ні навчання"),(U1252))))</formula>
    </cfRule>
  </conditionalFormatting>
  <conditionalFormatting sqref="U1252">
    <cfRule type="containsText" dxfId="6" priority="989" operator="containsText" text="Зниклі безвісти">
      <formula>NOT(ISERROR(SEARCH(("Зниклі безвісти"),(U1252))))</formula>
    </cfRule>
  </conditionalFormatting>
  <conditionalFormatting sqref="U1252">
    <cfRule type="containsText" dxfId="5" priority="990" operator="containsText" text="СЗЧ">
      <formula>NOT(ISERROR(SEARCH(("СЗЧ"),(U1252))))</formula>
    </cfRule>
  </conditionalFormatting>
  <conditionalFormatting sqref="U1252">
    <cfRule type="containsText" dxfId="4" priority="991" operator="containsText" text="Відпустка">
      <formula>NOT(ISERROR(SEARCH(("Відпустка"),(U1252))))</formula>
    </cfRule>
  </conditionalFormatting>
  <conditionalFormatting sqref="U1252">
    <cfRule type="containsText" dxfId="3" priority="992" operator="containsText" text="В строю">
      <formula>NOT(ISERROR(SEARCH(("В строю"),(U1252))))</formula>
    </cfRule>
  </conditionalFormatting>
  <conditionalFormatting sqref="U1252">
    <cfRule type="containsText" dxfId="10" priority="993" operator="containsText" text="Лікування">
      <formula>NOT(ISERROR(SEARCH(("Лікування"),(U1252))))</formula>
    </cfRule>
  </conditionalFormatting>
  <conditionalFormatting sqref="U1252">
    <cfRule type="containsText" dxfId="9" priority="994" operator="containsText" text="Загиблі">
      <formula>NOT(ISERROR(SEARCH(("Загиблі"),(U1252))))</formula>
    </cfRule>
  </conditionalFormatting>
  <conditionalFormatting sqref="U1252">
    <cfRule type="containsText" dxfId="8" priority="995" operator="containsText" text="Відком. за межі ПБ">
      <formula>NOT(ISERROR(SEARCH(("Відком. за межі ПБ"),(U1252))))</formula>
    </cfRule>
  </conditionalFormatting>
  <conditionalFormatting sqref="U1252">
    <cfRule type="containsText" dxfId="7" priority="996" operator="containsText" text="Від-ні навчання">
      <formula>NOT(ISERROR(SEARCH(("Від-ні навчання"),(U1252))))</formula>
    </cfRule>
  </conditionalFormatting>
  <conditionalFormatting sqref="U1252">
    <cfRule type="containsText" dxfId="6" priority="997" operator="containsText" text="Зниклі безвісти">
      <formula>NOT(ISERROR(SEARCH(("Зниклі безвісти"),(U1252))))</formula>
    </cfRule>
  </conditionalFormatting>
  <conditionalFormatting sqref="U1252">
    <cfRule type="containsText" dxfId="5" priority="998" operator="containsText" text="СЗЧ">
      <formula>NOT(ISERROR(SEARCH(("СЗЧ"),(U1252))))</formula>
    </cfRule>
  </conditionalFormatting>
  <conditionalFormatting sqref="U1252">
    <cfRule type="containsText" dxfId="4" priority="999" operator="containsText" text="Відпустка">
      <formula>NOT(ISERROR(SEARCH(("Відпустка"),(U1252))))</formula>
    </cfRule>
  </conditionalFormatting>
  <conditionalFormatting sqref="U1252">
    <cfRule type="containsText" dxfId="3" priority="1000" operator="containsText" text="В строю">
      <formula>NOT(ISERROR(SEARCH(("В строю"),(U1252))))</formula>
    </cfRule>
  </conditionalFormatting>
  <conditionalFormatting sqref="Q1250:Q1251">
    <cfRule type="cellIs" dxfId="9" priority="1001" operator="notEqual">
      <formula>P1250</formula>
    </cfRule>
  </conditionalFormatting>
  <conditionalFormatting sqref="Q1250:Q1251">
    <cfRule type="cellIs" dxfId="3" priority="1002" operator="equal">
      <formula>P1250</formula>
    </cfRule>
  </conditionalFormatting>
  <conditionalFormatting sqref="N1250:N1251">
    <cfRule type="expression" dxfId="0" priority="1003">
      <formula>COUNTIF(#REF!, N1250) &gt; 1</formula>
    </cfRule>
  </conditionalFormatting>
  <conditionalFormatting sqref="U1250:U1251">
    <cfRule type="containsText" dxfId="10" priority="1004" operator="containsText" text="Лікування">
      <formula>NOT(ISERROR(SEARCH(("Лікування"),(U1250))))</formula>
    </cfRule>
  </conditionalFormatting>
  <conditionalFormatting sqref="U1250:U1251">
    <cfRule type="containsText" dxfId="9" priority="1005" operator="containsText" text="Загиблі">
      <formula>NOT(ISERROR(SEARCH(("Загиблі"),(U1250))))</formula>
    </cfRule>
  </conditionalFormatting>
  <conditionalFormatting sqref="U1250:U1251">
    <cfRule type="containsText" dxfId="8" priority="1006" operator="containsText" text="Відком. за межі ПБ">
      <formula>NOT(ISERROR(SEARCH(("Відком. за межі ПБ"),(U1250))))</formula>
    </cfRule>
  </conditionalFormatting>
  <conditionalFormatting sqref="U1250:U1251">
    <cfRule type="containsText" dxfId="7" priority="1007" operator="containsText" text="Від-ні навчання">
      <formula>NOT(ISERROR(SEARCH(("Від-ні навчання"),(U1250))))</formula>
    </cfRule>
  </conditionalFormatting>
  <conditionalFormatting sqref="U1250:U1251">
    <cfRule type="containsText" dxfId="6" priority="1008" operator="containsText" text="Зниклі безвісти">
      <formula>NOT(ISERROR(SEARCH(("Зниклі безвісти"),(U1250))))</formula>
    </cfRule>
  </conditionalFormatting>
  <conditionalFormatting sqref="U1250:U1251">
    <cfRule type="containsText" dxfId="5" priority="1009" operator="containsText" text="СЗЧ">
      <formula>NOT(ISERROR(SEARCH(("СЗЧ"),(U1250))))</formula>
    </cfRule>
  </conditionalFormatting>
  <conditionalFormatting sqref="U1250:U1251">
    <cfRule type="containsText" dxfId="4" priority="1010" operator="containsText" text="Відпустка">
      <formula>NOT(ISERROR(SEARCH(("Відпустка"),(U1250))))</formula>
    </cfRule>
  </conditionalFormatting>
  <conditionalFormatting sqref="U1250:U1251">
    <cfRule type="containsText" dxfId="3" priority="1011" operator="containsText" text="В строю">
      <formula>NOT(ISERROR(SEARCH(("В строю"),(U1250))))</formula>
    </cfRule>
  </conditionalFormatting>
  <conditionalFormatting sqref="Q1178:Q1183 Q1244">
    <cfRule type="cellIs" dxfId="9" priority="1012" operator="notEqual">
      <formula>P1178</formula>
    </cfRule>
  </conditionalFormatting>
  <conditionalFormatting sqref="Q1178:Q1183 Q1244">
    <cfRule type="cellIs" dxfId="3" priority="1013" operator="equal">
      <formula>P1178</formula>
    </cfRule>
  </conditionalFormatting>
  <conditionalFormatting sqref="U1178:U1183 U1244">
    <cfRule type="containsText" dxfId="10" priority="1014" operator="containsText" text="Лікування">
      <formula>NOT(ISERROR(SEARCH(("Лікування"),(U1178))))</formula>
    </cfRule>
  </conditionalFormatting>
  <conditionalFormatting sqref="U1178:U1183 U1244">
    <cfRule type="containsText" dxfId="9" priority="1015" operator="containsText" text="Загиблі">
      <formula>NOT(ISERROR(SEARCH(("Загиблі"),(U1178))))</formula>
    </cfRule>
  </conditionalFormatting>
  <conditionalFormatting sqref="U1178:U1183 U1244">
    <cfRule type="containsText" dxfId="8" priority="1016" operator="containsText" text="Відком. за межі ПБ">
      <formula>NOT(ISERROR(SEARCH(("Відком. за межі ПБ"),(U1178))))</formula>
    </cfRule>
  </conditionalFormatting>
  <conditionalFormatting sqref="U1178:U1183 U1244">
    <cfRule type="containsText" dxfId="7" priority="1017" operator="containsText" text="Від-ні навчання">
      <formula>NOT(ISERROR(SEARCH(("Від-ні навчання"),(U1178))))</formula>
    </cfRule>
  </conditionalFormatting>
  <conditionalFormatting sqref="U1178:U1183 U1244">
    <cfRule type="containsText" dxfId="6" priority="1018" operator="containsText" text="Зниклі безвісти">
      <formula>NOT(ISERROR(SEARCH(("Зниклі безвісти"),(U1178))))</formula>
    </cfRule>
  </conditionalFormatting>
  <conditionalFormatting sqref="U1178:U1183 U1244">
    <cfRule type="containsText" dxfId="5" priority="1019" operator="containsText" text="СЗЧ">
      <formula>NOT(ISERROR(SEARCH(("СЗЧ"),(U1178))))</formula>
    </cfRule>
  </conditionalFormatting>
  <conditionalFormatting sqref="U1178:U1183 U1244">
    <cfRule type="containsText" dxfId="4" priority="1020" operator="containsText" text="Відпустка">
      <formula>NOT(ISERROR(SEARCH(("Відпустка"),(U1178))))</formula>
    </cfRule>
  </conditionalFormatting>
  <conditionalFormatting sqref="U1178:U1183 U1244">
    <cfRule type="containsText" dxfId="3" priority="1021" operator="containsText" text="В строю">
      <formula>NOT(ISERROR(SEARCH(("В строю"),(U1178))))</formula>
    </cfRule>
  </conditionalFormatting>
  <conditionalFormatting sqref="N1140">
    <cfRule type="expression" dxfId="0" priority="1022">
      <formula>COUNTIF(#REF!, N1140) &gt; 1</formula>
    </cfRule>
  </conditionalFormatting>
  <conditionalFormatting sqref="U1140">
    <cfRule type="containsText" dxfId="3" priority="1023" operator="containsText" text="В строю">
      <formula>NOT(ISERROR(SEARCH(("В строю"),(U1140))))</formula>
    </cfRule>
  </conditionalFormatting>
  <conditionalFormatting sqref="U1140">
    <cfRule type="containsText" dxfId="4" priority="1024" operator="containsText" text="Відпустка">
      <formula>NOT(ISERROR(SEARCH(("Відпустка"),(U1140))))</formula>
    </cfRule>
  </conditionalFormatting>
  <conditionalFormatting sqref="U1140">
    <cfRule type="containsText" dxfId="5" priority="1025" operator="containsText" text="СЗЧ">
      <formula>NOT(ISERROR(SEARCH(("СЗЧ"),(U1140))))</formula>
    </cfRule>
  </conditionalFormatting>
  <conditionalFormatting sqref="U1140">
    <cfRule type="containsText" dxfId="6" priority="1026" operator="containsText" text="Зниклі безвісти">
      <formula>NOT(ISERROR(SEARCH(("Зниклі безвісти"),(U1140))))</formula>
    </cfRule>
  </conditionalFormatting>
  <conditionalFormatting sqref="U1140">
    <cfRule type="containsText" dxfId="7" priority="1027" operator="containsText" text="Від-ні навчання">
      <formula>NOT(ISERROR(SEARCH(("Від-ні навчання"),(U1140))))</formula>
    </cfRule>
  </conditionalFormatting>
  <conditionalFormatting sqref="U1140">
    <cfRule type="containsText" dxfId="8" priority="1028" operator="containsText" text="Відком. за межі ПБ">
      <formula>NOT(ISERROR(SEARCH(("Відком. за межі ПБ"),(U1140))))</formula>
    </cfRule>
  </conditionalFormatting>
  <conditionalFormatting sqref="U1140">
    <cfRule type="containsText" dxfId="9" priority="1029" operator="containsText" text="Загиблі">
      <formula>NOT(ISERROR(SEARCH(("Загиблі"),(U1140))))</formula>
    </cfRule>
  </conditionalFormatting>
  <conditionalFormatting sqref="U1140">
    <cfRule type="containsText" dxfId="10" priority="1030" operator="containsText" text="Лікування">
      <formula>NOT(ISERROR(SEARCH(("Лікування"),(U1140))))</formula>
    </cfRule>
  </conditionalFormatting>
  <conditionalFormatting sqref="U1140">
    <cfRule type="containsText" dxfId="3" priority="1031" operator="containsText" text="В строю">
      <formula>NOT(ISERROR(SEARCH(("В строю"),(U1140))))</formula>
    </cfRule>
  </conditionalFormatting>
  <conditionalFormatting sqref="U1140">
    <cfRule type="containsText" dxfId="4" priority="1032" operator="containsText" text="Відпустка">
      <formula>NOT(ISERROR(SEARCH(("Відпустка"),(U1140))))</formula>
    </cfRule>
  </conditionalFormatting>
  <conditionalFormatting sqref="U1140">
    <cfRule type="containsText" dxfId="5" priority="1033" operator="containsText" text="СЗЧ">
      <formula>NOT(ISERROR(SEARCH(("СЗЧ"),(U1140))))</formula>
    </cfRule>
  </conditionalFormatting>
  <conditionalFormatting sqref="U1140">
    <cfRule type="containsText" dxfId="6" priority="1034" operator="containsText" text="Зниклі безвісти">
      <formula>NOT(ISERROR(SEARCH(("Зниклі безвісти"),(U1140))))</formula>
    </cfRule>
  </conditionalFormatting>
  <conditionalFormatting sqref="U1140">
    <cfRule type="containsText" dxfId="7" priority="1035" operator="containsText" text="Від-ні навчання">
      <formula>NOT(ISERROR(SEARCH(("Від-ні навчання"),(U1140))))</formula>
    </cfRule>
  </conditionalFormatting>
  <conditionalFormatting sqref="U1140">
    <cfRule type="containsText" dxfId="8" priority="1036" operator="containsText" text="Відком. за межі ПБ">
      <formula>NOT(ISERROR(SEARCH(("Відком. за межі ПБ"),(U1140))))</formula>
    </cfRule>
  </conditionalFormatting>
  <conditionalFormatting sqref="U1140">
    <cfRule type="containsText" dxfId="9" priority="1037" operator="containsText" text="Загиблі">
      <formula>NOT(ISERROR(SEARCH(("Загиблі"),(U1140))))</formula>
    </cfRule>
  </conditionalFormatting>
  <conditionalFormatting sqref="U1140">
    <cfRule type="containsText" dxfId="10" priority="1038" operator="containsText" text="Лікування">
      <formula>NOT(ISERROR(SEARCH(("Лікування"),(U1140))))</formula>
    </cfRule>
  </conditionalFormatting>
  <conditionalFormatting sqref="Q1140">
    <cfRule type="cellIs" dxfId="3" priority="1039" operator="equal">
      <formula>P1140</formula>
    </cfRule>
  </conditionalFormatting>
  <conditionalFormatting sqref="Q1140">
    <cfRule type="cellIs" dxfId="9" priority="1040" operator="notEqual">
      <formula>P1140</formula>
    </cfRule>
  </conditionalFormatting>
  <conditionalFormatting sqref="U1135">
    <cfRule type="containsText" dxfId="10" priority="1041" operator="containsText" text="Лікування">
      <formula>NOT(ISERROR(SEARCH(("Лікування"),(U1135))))</formula>
    </cfRule>
  </conditionalFormatting>
  <conditionalFormatting sqref="U1135">
    <cfRule type="containsText" dxfId="9" priority="1042" operator="containsText" text="Загиблі">
      <formula>NOT(ISERROR(SEARCH(("Загиблі"),(U1135))))</formula>
    </cfRule>
  </conditionalFormatting>
  <conditionalFormatting sqref="U1135">
    <cfRule type="containsText" dxfId="8" priority="1043" operator="containsText" text="Відком. за межі ПБ">
      <formula>NOT(ISERROR(SEARCH(("Відком. за межі ПБ"),(U1135))))</formula>
    </cfRule>
  </conditionalFormatting>
  <conditionalFormatting sqref="U1135">
    <cfRule type="containsText" dxfId="7" priority="1044" operator="containsText" text="Від-ні навчання">
      <formula>NOT(ISERROR(SEARCH(("Від-ні навчання"),(U1135))))</formula>
    </cfRule>
  </conditionalFormatting>
  <conditionalFormatting sqref="U1135">
    <cfRule type="containsText" dxfId="6" priority="1045" operator="containsText" text="Зниклі безвісти">
      <formula>NOT(ISERROR(SEARCH(("Зниклі безвісти"),(U1135))))</formula>
    </cfRule>
  </conditionalFormatting>
  <conditionalFormatting sqref="U1135">
    <cfRule type="containsText" dxfId="5" priority="1046" operator="containsText" text="СЗЧ">
      <formula>NOT(ISERROR(SEARCH(("СЗЧ"),(U1135))))</formula>
    </cfRule>
  </conditionalFormatting>
  <conditionalFormatting sqref="U1135">
    <cfRule type="containsText" dxfId="4" priority="1047" operator="containsText" text="Відпустка">
      <formula>NOT(ISERROR(SEARCH(("Відпустка"),(U1135))))</formula>
    </cfRule>
  </conditionalFormatting>
  <conditionalFormatting sqref="U1135">
    <cfRule type="containsText" dxfId="3" priority="1048" operator="containsText" text="В строю">
      <formula>NOT(ISERROR(SEARCH(("В строю"),(U1135))))</formula>
    </cfRule>
  </conditionalFormatting>
  <conditionalFormatting sqref="U1135">
    <cfRule type="containsText" dxfId="3" priority="1049" operator="containsText" text="В строю">
      <formula>NOT(ISERROR(SEARCH(("В строю"),(U1135))))</formula>
    </cfRule>
  </conditionalFormatting>
  <conditionalFormatting sqref="U1135">
    <cfRule type="containsText" dxfId="4" priority="1050" operator="containsText" text="Відпустка">
      <formula>NOT(ISERROR(SEARCH(("Відпустка"),(U1135))))</formula>
    </cfRule>
  </conditionalFormatting>
  <conditionalFormatting sqref="U1135">
    <cfRule type="containsText" dxfId="5" priority="1051" operator="containsText" text="СЗЧ">
      <formula>NOT(ISERROR(SEARCH(("СЗЧ"),(U1135))))</formula>
    </cfRule>
  </conditionalFormatting>
  <conditionalFormatting sqref="U1135">
    <cfRule type="containsText" dxfId="6" priority="1052" operator="containsText" text="Зниклі безвісти">
      <formula>NOT(ISERROR(SEARCH(("Зниклі безвісти"),(U1135))))</formula>
    </cfRule>
  </conditionalFormatting>
  <conditionalFormatting sqref="U1135">
    <cfRule type="containsText" dxfId="7" priority="1053" operator="containsText" text="Від-ні навчання">
      <formula>NOT(ISERROR(SEARCH(("Від-ні навчання"),(U1135))))</formula>
    </cfRule>
  </conditionalFormatting>
  <conditionalFormatting sqref="U1135">
    <cfRule type="containsText" dxfId="8" priority="1054" operator="containsText" text="Відком. за межі ПБ">
      <formula>NOT(ISERROR(SEARCH(("Відком. за межі ПБ"),(U1135))))</formula>
    </cfRule>
  </conditionalFormatting>
  <conditionalFormatting sqref="U1135">
    <cfRule type="containsText" dxfId="9" priority="1055" operator="containsText" text="Загиблі">
      <formula>NOT(ISERROR(SEARCH(("Загиблі"),(U1135))))</formula>
    </cfRule>
  </conditionalFormatting>
  <conditionalFormatting sqref="U1135">
    <cfRule type="containsText" dxfId="10" priority="1056" operator="containsText" text="Лікування">
      <formula>NOT(ISERROR(SEARCH(("Лікування"),(U1135))))</formula>
    </cfRule>
  </conditionalFormatting>
  <conditionalFormatting sqref="Q1135">
    <cfRule type="cellIs" dxfId="9" priority="1057" operator="notEqual">
      <formula>P1135</formula>
    </cfRule>
  </conditionalFormatting>
  <conditionalFormatting sqref="Q1135">
    <cfRule type="cellIs" dxfId="3" priority="1058" operator="equal">
      <formula>P1135</formula>
    </cfRule>
  </conditionalFormatting>
  <conditionalFormatting sqref="N1135">
    <cfRule type="expression" dxfId="0" priority="1059">
      <formula>COUNTIF(#REF!, N1135) &gt; 1</formula>
    </cfRule>
  </conditionalFormatting>
  <conditionalFormatting sqref="N1134">
    <cfRule type="expression" dxfId="0" priority="1060">
      <formula>COUNTIF(#REF!, N1134) &gt; 1</formula>
    </cfRule>
  </conditionalFormatting>
  <conditionalFormatting sqref="U1134">
    <cfRule type="containsText" dxfId="10" priority="1061" operator="containsText" text="Лікування">
      <formula>NOT(ISERROR(SEARCH(("Лікування"),(U1134))))</formula>
    </cfRule>
  </conditionalFormatting>
  <conditionalFormatting sqref="U1134">
    <cfRule type="containsText" dxfId="9" priority="1062" operator="containsText" text="Загиблі">
      <formula>NOT(ISERROR(SEARCH(("Загиблі"),(U1134))))</formula>
    </cfRule>
  </conditionalFormatting>
  <conditionalFormatting sqref="U1134">
    <cfRule type="containsText" dxfId="8" priority="1063" operator="containsText" text="Відком. за межі ПБ">
      <formula>NOT(ISERROR(SEARCH(("Відком. за межі ПБ"),(U1134))))</formula>
    </cfRule>
  </conditionalFormatting>
  <conditionalFormatting sqref="U1134">
    <cfRule type="containsText" dxfId="7" priority="1064" operator="containsText" text="Від-ні навчання">
      <formula>NOT(ISERROR(SEARCH(("Від-ні навчання"),(U1134))))</formula>
    </cfRule>
  </conditionalFormatting>
  <conditionalFormatting sqref="U1134">
    <cfRule type="containsText" dxfId="6" priority="1065" operator="containsText" text="Зниклі безвісти">
      <formula>NOT(ISERROR(SEARCH(("Зниклі безвісти"),(U1134))))</formula>
    </cfRule>
  </conditionalFormatting>
  <conditionalFormatting sqref="U1134">
    <cfRule type="containsText" dxfId="5" priority="1066" operator="containsText" text="СЗЧ">
      <formula>NOT(ISERROR(SEARCH(("СЗЧ"),(U1134))))</formula>
    </cfRule>
  </conditionalFormatting>
  <conditionalFormatting sqref="U1134">
    <cfRule type="containsText" dxfId="4" priority="1067" operator="containsText" text="Відпустка">
      <formula>NOT(ISERROR(SEARCH(("Відпустка"),(U1134))))</formula>
    </cfRule>
  </conditionalFormatting>
  <conditionalFormatting sqref="U1134">
    <cfRule type="containsText" dxfId="3" priority="1068" operator="containsText" text="В строю">
      <formula>NOT(ISERROR(SEARCH(("В строю"),(U1134))))</formula>
    </cfRule>
  </conditionalFormatting>
  <conditionalFormatting sqref="Q1134">
    <cfRule type="cellIs" dxfId="3" priority="1069" operator="equal">
      <formula>P1134</formula>
    </cfRule>
  </conditionalFormatting>
  <conditionalFormatting sqref="Q1134">
    <cfRule type="cellIs" dxfId="9" priority="1070" operator="notEqual">
      <formula>P1134</formula>
    </cfRule>
  </conditionalFormatting>
  <conditionalFormatting sqref="U1133">
    <cfRule type="containsText" dxfId="3" priority="1071" operator="containsText" text="В строю">
      <formula>NOT(ISERROR(SEARCH(("В строю"),(U1133))))</formula>
    </cfRule>
  </conditionalFormatting>
  <conditionalFormatting sqref="U1133">
    <cfRule type="containsText" dxfId="4" priority="1072" operator="containsText" text="Відпустка">
      <formula>NOT(ISERROR(SEARCH(("Відпустка"),(U1133))))</formula>
    </cfRule>
  </conditionalFormatting>
  <conditionalFormatting sqref="U1133">
    <cfRule type="containsText" dxfId="5" priority="1073" operator="containsText" text="СЗЧ">
      <formula>NOT(ISERROR(SEARCH(("СЗЧ"),(U1133))))</formula>
    </cfRule>
  </conditionalFormatting>
  <conditionalFormatting sqref="U1133">
    <cfRule type="containsText" dxfId="6" priority="1074" operator="containsText" text="Зниклі безвісти">
      <formula>NOT(ISERROR(SEARCH(("Зниклі безвісти"),(U1133))))</formula>
    </cfRule>
  </conditionalFormatting>
  <conditionalFormatting sqref="U1133">
    <cfRule type="containsText" dxfId="7" priority="1075" operator="containsText" text="Від-ні навчання">
      <formula>NOT(ISERROR(SEARCH(("Від-ні навчання"),(U1133))))</formula>
    </cfRule>
  </conditionalFormatting>
  <conditionalFormatting sqref="U1133">
    <cfRule type="containsText" dxfId="8" priority="1076" operator="containsText" text="Відком. за межі ПБ">
      <formula>NOT(ISERROR(SEARCH(("Відком. за межі ПБ"),(U1133))))</formula>
    </cfRule>
  </conditionalFormatting>
  <conditionalFormatting sqref="U1133">
    <cfRule type="containsText" dxfId="9" priority="1077" operator="containsText" text="Загиблі">
      <formula>NOT(ISERROR(SEARCH(("Загиблі"),(U1133))))</formula>
    </cfRule>
  </conditionalFormatting>
  <conditionalFormatting sqref="U1133">
    <cfRule type="containsText" dxfId="10" priority="1078" operator="containsText" text="Лікування">
      <formula>NOT(ISERROR(SEARCH(("Лікування"),(U1133))))</formula>
    </cfRule>
  </conditionalFormatting>
  <conditionalFormatting sqref="Q1133">
    <cfRule type="cellIs" dxfId="3" priority="1079" operator="equal">
      <formula>P1133</formula>
    </cfRule>
  </conditionalFormatting>
  <conditionalFormatting sqref="Q1133">
    <cfRule type="cellIs" dxfId="9" priority="1080" operator="notEqual">
      <formula>P1133</formula>
    </cfRule>
  </conditionalFormatting>
  <conditionalFormatting sqref="E1133 N1133">
    <cfRule type="expression" dxfId="0" priority="1081">
      <formula>COUNTIF(#REF!, E1133) &gt; 1</formula>
    </cfRule>
  </conditionalFormatting>
  <conditionalFormatting sqref="U1133">
    <cfRule type="containsText" dxfId="10" priority="1082" operator="containsText" text="Лікування">
      <formula>NOT(ISERROR(SEARCH(("Лікування"),(U1133))))</formula>
    </cfRule>
  </conditionalFormatting>
  <conditionalFormatting sqref="U1133">
    <cfRule type="containsText" dxfId="9" priority="1083" operator="containsText" text="Загиблі">
      <formula>NOT(ISERROR(SEARCH(("Загиблі"),(U1133))))</formula>
    </cfRule>
  </conditionalFormatting>
  <conditionalFormatting sqref="U1133">
    <cfRule type="containsText" dxfId="8" priority="1084" operator="containsText" text="Відком. за межі ПБ">
      <formula>NOT(ISERROR(SEARCH(("Відком. за межі ПБ"),(U1133))))</formula>
    </cfRule>
  </conditionalFormatting>
  <conditionalFormatting sqref="U1133">
    <cfRule type="containsText" dxfId="7" priority="1085" operator="containsText" text="Від-ні навчання">
      <formula>NOT(ISERROR(SEARCH(("Від-ні навчання"),(U1133))))</formula>
    </cfRule>
  </conditionalFormatting>
  <conditionalFormatting sqref="U1133">
    <cfRule type="containsText" dxfId="6" priority="1086" operator="containsText" text="Зниклі безвісти">
      <formula>NOT(ISERROR(SEARCH(("Зниклі безвісти"),(U1133))))</formula>
    </cfRule>
  </conditionalFormatting>
  <conditionalFormatting sqref="U1133">
    <cfRule type="containsText" dxfId="5" priority="1087" operator="containsText" text="СЗЧ">
      <formula>NOT(ISERROR(SEARCH(("СЗЧ"),(U1133))))</formula>
    </cfRule>
  </conditionalFormatting>
  <conditionalFormatting sqref="U1133">
    <cfRule type="containsText" dxfId="4" priority="1088" operator="containsText" text="Відпустка">
      <formula>NOT(ISERROR(SEARCH(("Відпустка"),(U1133))))</formula>
    </cfRule>
  </conditionalFormatting>
  <conditionalFormatting sqref="U1133">
    <cfRule type="containsText" dxfId="3" priority="1089" operator="containsText" text="В строю">
      <formula>NOT(ISERROR(SEARCH(("В строю"),(U1133))))</formula>
    </cfRule>
  </conditionalFormatting>
  <conditionalFormatting sqref="AH1130">
    <cfRule type="expression" dxfId="0" priority="1090">
      <formula>COUNTIF(#REF!, AH1130) &gt; 1</formula>
    </cfRule>
  </conditionalFormatting>
  <conditionalFormatting sqref="U1130">
    <cfRule type="containsText" dxfId="10" priority="1091" operator="containsText" text="Лікування">
      <formula>NOT(ISERROR(SEARCH(("Лікування"),(U1130))))</formula>
    </cfRule>
  </conditionalFormatting>
  <conditionalFormatting sqref="U1130">
    <cfRule type="containsText" dxfId="9" priority="1092" operator="containsText" text="Загиблі">
      <formula>NOT(ISERROR(SEARCH(("Загиблі"),(U1130))))</formula>
    </cfRule>
  </conditionalFormatting>
  <conditionalFormatting sqref="U1130">
    <cfRule type="containsText" dxfId="8" priority="1093" operator="containsText" text="Відком. за межі ПБ">
      <formula>NOT(ISERROR(SEARCH(("Відком. за межі ПБ"),(U1130))))</formula>
    </cfRule>
  </conditionalFormatting>
  <conditionalFormatting sqref="U1130">
    <cfRule type="containsText" dxfId="7" priority="1094" operator="containsText" text="Від-ні навчання">
      <formula>NOT(ISERROR(SEARCH(("Від-ні навчання"),(U1130))))</formula>
    </cfRule>
  </conditionalFormatting>
  <conditionalFormatting sqref="U1130">
    <cfRule type="containsText" dxfId="6" priority="1095" operator="containsText" text="Зниклі безвісти">
      <formula>NOT(ISERROR(SEARCH(("Зниклі безвісти"),(U1130))))</formula>
    </cfRule>
  </conditionalFormatting>
  <conditionalFormatting sqref="U1130">
    <cfRule type="containsText" dxfId="5" priority="1096" operator="containsText" text="СЗЧ">
      <formula>NOT(ISERROR(SEARCH(("СЗЧ"),(U1130))))</formula>
    </cfRule>
  </conditionalFormatting>
  <conditionalFormatting sqref="U1130">
    <cfRule type="containsText" dxfId="4" priority="1097" operator="containsText" text="Відпустка">
      <formula>NOT(ISERROR(SEARCH(("Відпустка"),(U1130))))</formula>
    </cfRule>
  </conditionalFormatting>
  <conditionalFormatting sqref="U1130">
    <cfRule type="containsText" dxfId="3" priority="1098" operator="containsText" text="В строю">
      <formula>NOT(ISERROR(SEARCH(("В строю"),(U1130))))</formula>
    </cfRule>
  </conditionalFormatting>
  <conditionalFormatting sqref="Q1130">
    <cfRule type="cellIs" dxfId="9" priority="1099" operator="notEqual">
      <formula>P1130</formula>
    </cfRule>
  </conditionalFormatting>
  <conditionalFormatting sqref="Q1130">
    <cfRule type="cellIs" dxfId="3" priority="1100" operator="equal">
      <formula>P1130</formula>
    </cfRule>
  </conditionalFormatting>
  <conditionalFormatting sqref="U1118">
    <cfRule type="containsText" dxfId="3" priority="1101" operator="containsText" text="В строю">
      <formula>NOT(ISERROR(SEARCH(("В строю"),(U1118))))</formula>
    </cfRule>
  </conditionalFormatting>
  <conditionalFormatting sqref="U1118">
    <cfRule type="containsText" dxfId="4" priority="1102" operator="containsText" text="Відпустка">
      <formula>NOT(ISERROR(SEARCH(("Відпустка"),(U1118))))</formula>
    </cfRule>
  </conditionalFormatting>
  <conditionalFormatting sqref="U1118">
    <cfRule type="containsText" dxfId="5" priority="1103" operator="containsText" text="СЗЧ">
      <formula>NOT(ISERROR(SEARCH(("СЗЧ"),(U1118))))</formula>
    </cfRule>
  </conditionalFormatting>
  <conditionalFormatting sqref="U1118">
    <cfRule type="containsText" dxfId="6" priority="1104" operator="containsText" text="Зниклі безвісти">
      <formula>NOT(ISERROR(SEARCH(("Зниклі безвісти"),(U1118))))</formula>
    </cfRule>
  </conditionalFormatting>
  <conditionalFormatting sqref="U1118">
    <cfRule type="containsText" dxfId="7" priority="1105" operator="containsText" text="Від-ні навчання">
      <formula>NOT(ISERROR(SEARCH(("Від-ні навчання"),(U1118))))</formula>
    </cfRule>
  </conditionalFormatting>
  <conditionalFormatting sqref="U1118">
    <cfRule type="containsText" dxfId="8" priority="1106" operator="containsText" text="Відком. за межі ПБ">
      <formula>NOT(ISERROR(SEARCH(("Відком. за межі ПБ"),(U1118))))</formula>
    </cfRule>
  </conditionalFormatting>
  <conditionalFormatting sqref="U1118">
    <cfRule type="containsText" dxfId="9" priority="1107" operator="containsText" text="Загиблі">
      <formula>NOT(ISERROR(SEARCH(("Загиблі"),(U1118))))</formula>
    </cfRule>
  </conditionalFormatting>
  <conditionalFormatting sqref="U1118">
    <cfRule type="containsText" dxfId="10" priority="1108" operator="containsText" text="Лікування">
      <formula>NOT(ISERROR(SEARCH(("Лікування"),(U1118))))</formula>
    </cfRule>
  </conditionalFormatting>
  <conditionalFormatting sqref="U1118">
    <cfRule type="containsText" dxfId="10" priority="1109" operator="containsText" text="Лікування">
      <formula>NOT(ISERROR(SEARCH(("Лікування"),(U1118))))</formula>
    </cfRule>
  </conditionalFormatting>
  <conditionalFormatting sqref="U1118">
    <cfRule type="containsText" dxfId="9" priority="1110" operator="containsText" text="Загиблі">
      <formula>NOT(ISERROR(SEARCH(("Загиблі"),(U1118))))</formula>
    </cfRule>
  </conditionalFormatting>
  <conditionalFormatting sqref="U1118">
    <cfRule type="containsText" dxfId="8" priority="1111" operator="containsText" text="Відком. за межі ПБ">
      <formula>NOT(ISERROR(SEARCH(("Відком. за межі ПБ"),(U1118))))</formula>
    </cfRule>
  </conditionalFormatting>
  <conditionalFormatting sqref="U1118">
    <cfRule type="containsText" dxfId="7" priority="1112" operator="containsText" text="Від-ні навчання">
      <formula>NOT(ISERROR(SEARCH(("Від-ні навчання"),(U1118))))</formula>
    </cfRule>
  </conditionalFormatting>
  <conditionalFormatting sqref="U1118">
    <cfRule type="containsText" dxfId="6" priority="1113" operator="containsText" text="Зниклі безвісти">
      <formula>NOT(ISERROR(SEARCH(("Зниклі безвісти"),(U1118))))</formula>
    </cfRule>
  </conditionalFormatting>
  <conditionalFormatting sqref="U1118">
    <cfRule type="containsText" dxfId="5" priority="1114" operator="containsText" text="СЗЧ">
      <formula>NOT(ISERROR(SEARCH(("СЗЧ"),(U1118))))</formula>
    </cfRule>
  </conditionalFormatting>
  <conditionalFormatting sqref="U1118">
    <cfRule type="containsText" dxfId="4" priority="1115" operator="containsText" text="Відпустка">
      <formula>NOT(ISERROR(SEARCH(("Відпустка"),(U1118))))</formula>
    </cfRule>
  </conditionalFormatting>
  <conditionalFormatting sqref="U1118">
    <cfRule type="containsText" dxfId="3" priority="1116" operator="containsText" text="В строю">
      <formula>NOT(ISERROR(SEARCH(("В строю"),(U1118))))</formula>
    </cfRule>
  </conditionalFormatting>
  <conditionalFormatting sqref="U1118">
    <cfRule type="containsText" dxfId="10" priority="1117" operator="containsText" text="Лікування">
      <formula>NOT(ISERROR(SEARCH(("Лікування"),(U1118))))</formula>
    </cfRule>
  </conditionalFormatting>
  <conditionalFormatting sqref="U1118">
    <cfRule type="containsText" dxfId="9" priority="1118" operator="containsText" text="Загиблі">
      <formula>NOT(ISERROR(SEARCH(("Загиблі"),(U1118))))</formula>
    </cfRule>
  </conditionalFormatting>
  <conditionalFormatting sqref="U1118">
    <cfRule type="containsText" dxfId="8" priority="1119" operator="containsText" text="Відком. за межі ПБ">
      <formula>NOT(ISERROR(SEARCH(("Відком. за межі ПБ"),(U1118))))</formula>
    </cfRule>
  </conditionalFormatting>
  <conditionalFormatting sqref="U1118">
    <cfRule type="containsText" dxfId="7" priority="1120" operator="containsText" text="Від-ні навчання">
      <formula>NOT(ISERROR(SEARCH(("Від-ні навчання"),(U1118))))</formula>
    </cfRule>
  </conditionalFormatting>
  <conditionalFormatting sqref="U1118">
    <cfRule type="containsText" dxfId="6" priority="1121" operator="containsText" text="Зниклі безвісти">
      <formula>NOT(ISERROR(SEARCH(("Зниклі безвісти"),(U1118))))</formula>
    </cfRule>
  </conditionalFormatting>
  <conditionalFormatting sqref="U1118">
    <cfRule type="containsText" dxfId="5" priority="1122" operator="containsText" text="СЗЧ">
      <formula>NOT(ISERROR(SEARCH(("СЗЧ"),(U1118))))</formula>
    </cfRule>
  </conditionalFormatting>
  <conditionalFormatting sqref="U1118">
    <cfRule type="containsText" dxfId="4" priority="1123" operator="containsText" text="Відпустка">
      <formula>NOT(ISERROR(SEARCH(("Відпустка"),(U1118))))</formula>
    </cfRule>
  </conditionalFormatting>
  <conditionalFormatting sqref="U1118">
    <cfRule type="containsText" dxfId="3" priority="1124" operator="containsText" text="В строю">
      <formula>NOT(ISERROR(SEARCH(("В строю"),(U1118))))</formula>
    </cfRule>
  </conditionalFormatting>
  <conditionalFormatting sqref="N1118">
    <cfRule type="expression" dxfId="0" priority="1125">
      <formula>COUNTIF(#REF!, N1118) &gt; 1</formula>
    </cfRule>
  </conditionalFormatting>
  <conditionalFormatting sqref="Q1118">
    <cfRule type="cellIs" dxfId="9" priority="1126" operator="notEqual">
      <formula>P1118</formula>
    </cfRule>
  </conditionalFormatting>
  <conditionalFormatting sqref="Q1118">
    <cfRule type="cellIs" dxfId="3" priority="1127" operator="equal">
      <formula>P1118</formula>
    </cfRule>
  </conditionalFormatting>
  <conditionalFormatting sqref="Q1118">
    <cfRule type="cellIs" dxfId="3" priority="1128" operator="equal">
      <formula>P1118</formula>
    </cfRule>
  </conditionalFormatting>
  <conditionalFormatting sqref="Q1118">
    <cfRule type="cellIs" dxfId="9" priority="1129" operator="notEqual">
      <formula>P1118</formula>
    </cfRule>
  </conditionalFormatting>
  <conditionalFormatting sqref="U1117">
    <cfRule type="containsText" dxfId="3" priority="1130" operator="containsText" text="В строю">
      <formula>NOT(ISERROR(SEARCH(("В строю"),(U1117))))</formula>
    </cfRule>
  </conditionalFormatting>
  <conditionalFormatting sqref="U1117">
    <cfRule type="containsText" dxfId="4" priority="1131" operator="containsText" text="Відпустка">
      <formula>NOT(ISERROR(SEARCH(("Відпустка"),(U1117))))</formula>
    </cfRule>
  </conditionalFormatting>
  <conditionalFormatting sqref="U1117">
    <cfRule type="containsText" dxfId="5" priority="1132" operator="containsText" text="СЗЧ">
      <formula>NOT(ISERROR(SEARCH(("СЗЧ"),(U1117))))</formula>
    </cfRule>
  </conditionalFormatting>
  <conditionalFormatting sqref="U1117">
    <cfRule type="containsText" dxfId="6" priority="1133" operator="containsText" text="Зниклі безвісти">
      <formula>NOT(ISERROR(SEARCH(("Зниклі безвісти"),(U1117))))</formula>
    </cfRule>
  </conditionalFormatting>
  <conditionalFormatting sqref="U1117">
    <cfRule type="containsText" dxfId="7" priority="1134" operator="containsText" text="Від-ні навчання">
      <formula>NOT(ISERROR(SEARCH(("Від-ні навчання"),(U1117))))</formula>
    </cfRule>
  </conditionalFormatting>
  <conditionalFormatting sqref="U1117">
    <cfRule type="containsText" dxfId="8" priority="1135" operator="containsText" text="Відком. за межі ПБ">
      <formula>NOT(ISERROR(SEARCH(("Відком. за межі ПБ"),(U1117))))</formula>
    </cfRule>
  </conditionalFormatting>
  <conditionalFormatting sqref="U1117">
    <cfRule type="containsText" dxfId="9" priority="1136" operator="containsText" text="Загиблі">
      <formula>NOT(ISERROR(SEARCH(("Загиблі"),(U1117))))</formula>
    </cfRule>
  </conditionalFormatting>
  <conditionalFormatting sqref="U1117">
    <cfRule type="containsText" dxfId="10" priority="1137" operator="containsText" text="Лікування">
      <formula>NOT(ISERROR(SEARCH(("Лікування"),(U1117))))</formula>
    </cfRule>
  </conditionalFormatting>
  <conditionalFormatting sqref="U1117">
    <cfRule type="containsText" dxfId="10" priority="1138" operator="containsText" text="Лікування">
      <formula>NOT(ISERROR(SEARCH(("Лікування"),(U1117))))</formula>
    </cfRule>
  </conditionalFormatting>
  <conditionalFormatting sqref="U1117">
    <cfRule type="containsText" dxfId="9" priority="1139" operator="containsText" text="Загиблі">
      <formula>NOT(ISERROR(SEARCH(("Загиблі"),(U1117))))</formula>
    </cfRule>
  </conditionalFormatting>
  <conditionalFormatting sqref="U1117">
    <cfRule type="containsText" dxfId="8" priority="1140" operator="containsText" text="Відком. за межі ПБ">
      <formula>NOT(ISERROR(SEARCH(("Відком. за межі ПБ"),(U1117))))</formula>
    </cfRule>
  </conditionalFormatting>
  <conditionalFormatting sqref="U1117">
    <cfRule type="containsText" dxfId="7" priority="1141" operator="containsText" text="Від-ні навчання">
      <formula>NOT(ISERROR(SEARCH(("Від-ні навчання"),(U1117))))</formula>
    </cfRule>
  </conditionalFormatting>
  <conditionalFormatting sqref="U1117">
    <cfRule type="containsText" dxfId="6" priority="1142" operator="containsText" text="Зниклі безвісти">
      <formula>NOT(ISERROR(SEARCH(("Зниклі безвісти"),(U1117))))</formula>
    </cfRule>
  </conditionalFormatting>
  <conditionalFormatting sqref="U1117">
    <cfRule type="containsText" dxfId="5" priority="1143" operator="containsText" text="СЗЧ">
      <formula>NOT(ISERROR(SEARCH(("СЗЧ"),(U1117))))</formula>
    </cfRule>
  </conditionalFormatting>
  <conditionalFormatting sqref="U1117">
    <cfRule type="containsText" dxfId="4" priority="1144" operator="containsText" text="Відпустка">
      <formula>NOT(ISERROR(SEARCH(("Відпустка"),(U1117))))</formula>
    </cfRule>
  </conditionalFormatting>
  <conditionalFormatting sqref="U1117">
    <cfRule type="containsText" dxfId="3" priority="1145" operator="containsText" text="В строю">
      <formula>NOT(ISERROR(SEARCH(("В строю"),(U1117))))</formula>
    </cfRule>
  </conditionalFormatting>
  <conditionalFormatting sqref="U1117">
    <cfRule type="containsText" dxfId="10" priority="1146" operator="containsText" text="Лікування">
      <formula>NOT(ISERROR(SEARCH(("Лікування"),(U1117))))</formula>
    </cfRule>
  </conditionalFormatting>
  <conditionalFormatting sqref="U1117">
    <cfRule type="containsText" dxfId="9" priority="1147" operator="containsText" text="Загиблі">
      <formula>NOT(ISERROR(SEARCH(("Загиблі"),(U1117))))</formula>
    </cfRule>
  </conditionalFormatting>
  <conditionalFormatting sqref="U1117">
    <cfRule type="containsText" dxfId="8" priority="1148" operator="containsText" text="Відком. за межі ПБ">
      <formula>NOT(ISERROR(SEARCH(("Відком. за межі ПБ"),(U1117))))</formula>
    </cfRule>
  </conditionalFormatting>
  <conditionalFormatting sqref="U1117">
    <cfRule type="containsText" dxfId="7" priority="1149" operator="containsText" text="Від-ні навчання">
      <formula>NOT(ISERROR(SEARCH(("Від-ні навчання"),(U1117))))</formula>
    </cfRule>
  </conditionalFormatting>
  <conditionalFormatting sqref="U1117">
    <cfRule type="containsText" dxfId="6" priority="1150" operator="containsText" text="Зниклі безвісти">
      <formula>NOT(ISERROR(SEARCH(("Зниклі безвісти"),(U1117))))</formula>
    </cfRule>
  </conditionalFormatting>
  <conditionalFormatting sqref="U1117">
    <cfRule type="containsText" dxfId="5" priority="1151" operator="containsText" text="СЗЧ">
      <formula>NOT(ISERROR(SEARCH(("СЗЧ"),(U1117))))</formula>
    </cfRule>
  </conditionalFormatting>
  <conditionalFormatting sqref="U1117">
    <cfRule type="containsText" dxfId="4" priority="1152" operator="containsText" text="Відпустка">
      <formula>NOT(ISERROR(SEARCH(("Відпустка"),(U1117))))</formula>
    </cfRule>
  </conditionalFormatting>
  <conditionalFormatting sqref="U1117">
    <cfRule type="containsText" dxfId="3" priority="1153" operator="containsText" text="В строю">
      <formula>NOT(ISERROR(SEARCH(("В строю"),(U1117))))</formula>
    </cfRule>
  </conditionalFormatting>
  <conditionalFormatting sqref="Q1117">
    <cfRule type="cellIs" dxfId="9" priority="1154" operator="notEqual">
      <formula>P1117</formula>
    </cfRule>
  </conditionalFormatting>
  <conditionalFormatting sqref="Q1117">
    <cfRule type="cellIs" dxfId="3" priority="1155" operator="equal">
      <formula>P1117</formula>
    </cfRule>
  </conditionalFormatting>
  <conditionalFormatting sqref="N1117">
    <cfRule type="expression" dxfId="0" priority="1156">
      <formula>COUNTIF(#REF!, N1117) &gt; 1</formula>
    </cfRule>
  </conditionalFormatting>
  <conditionalFormatting sqref="Q1117">
    <cfRule type="cellIs" dxfId="3" priority="1157" operator="equal">
      <formula>P1117</formula>
    </cfRule>
  </conditionalFormatting>
  <conditionalFormatting sqref="Q1117">
    <cfRule type="cellIs" dxfId="9" priority="1158" operator="notEqual">
      <formula>P1117</formula>
    </cfRule>
  </conditionalFormatting>
  <conditionalFormatting sqref="Q1116">
    <cfRule type="cellIs" dxfId="3" priority="1159" operator="equal">
      <formula>P1116</formula>
    </cfRule>
  </conditionalFormatting>
  <conditionalFormatting sqref="Q1116">
    <cfRule type="cellIs" dxfId="9" priority="1160" operator="notEqual">
      <formula>P1116</formula>
    </cfRule>
  </conditionalFormatting>
  <conditionalFormatting sqref="Q1116">
    <cfRule type="cellIs" dxfId="9" priority="1161" operator="notEqual">
      <formula>P1116</formula>
    </cfRule>
  </conditionalFormatting>
  <conditionalFormatting sqref="Q1116">
    <cfRule type="cellIs" dxfId="3" priority="1162" operator="equal">
      <formula>P1116</formula>
    </cfRule>
  </conditionalFormatting>
  <conditionalFormatting sqref="U1116">
    <cfRule type="containsText" dxfId="3" priority="1163" operator="containsText" text="В строю">
      <formula>NOT(ISERROR(SEARCH(("В строю"),(U1116))))</formula>
    </cfRule>
  </conditionalFormatting>
  <conditionalFormatting sqref="U1116">
    <cfRule type="containsText" dxfId="4" priority="1164" operator="containsText" text="Відпустка">
      <formula>NOT(ISERROR(SEARCH(("Відпустка"),(U1116))))</formula>
    </cfRule>
  </conditionalFormatting>
  <conditionalFormatting sqref="U1116">
    <cfRule type="containsText" dxfId="5" priority="1165" operator="containsText" text="СЗЧ">
      <formula>NOT(ISERROR(SEARCH(("СЗЧ"),(U1116))))</formula>
    </cfRule>
  </conditionalFormatting>
  <conditionalFormatting sqref="U1116">
    <cfRule type="containsText" dxfId="6" priority="1166" operator="containsText" text="Зниклі безвісти">
      <formula>NOT(ISERROR(SEARCH(("Зниклі безвісти"),(U1116))))</formula>
    </cfRule>
  </conditionalFormatting>
  <conditionalFormatting sqref="U1116">
    <cfRule type="containsText" dxfId="7" priority="1167" operator="containsText" text="Від-ні навчання">
      <formula>NOT(ISERROR(SEARCH(("Від-ні навчання"),(U1116))))</formula>
    </cfRule>
  </conditionalFormatting>
  <conditionalFormatting sqref="U1116">
    <cfRule type="containsText" dxfId="8" priority="1168" operator="containsText" text="Відком. за межі ПБ">
      <formula>NOT(ISERROR(SEARCH(("Відком. за межі ПБ"),(U1116))))</formula>
    </cfRule>
  </conditionalFormatting>
  <conditionalFormatting sqref="U1116">
    <cfRule type="containsText" dxfId="9" priority="1169" operator="containsText" text="Загиблі">
      <formula>NOT(ISERROR(SEARCH(("Загиблі"),(U1116))))</formula>
    </cfRule>
  </conditionalFormatting>
  <conditionalFormatting sqref="U1116">
    <cfRule type="containsText" dxfId="10" priority="1170" operator="containsText" text="Лікування">
      <formula>NOT(ISERROR(SEARCH(("Лікування"),(U1116))))</formula>
    </cfRule>
  </conditionalFormatting>
  <conditionalFormatting sqref="U1116">
    <cfRule type="containsText" dxfId="10" priority="1171" operator="containsText" text="Лікування">
      <formula>NOT(ISERROR(SEARCH(("Лікування"),(U1116))))</formula>
    </cfRule>
  </conditionalFormatting>
  <conditionalFormatting sqref="U1116">
    <cfRule type="containsText" dxfId="9" priority="1172" operator="containsText" text="Загиблі">
      <formula>NOT(ISERROR(SEARCH(("Загиблі"),(U1116))))</formula>
    </cfRule>
  </conditionalFormatting>
  <conditionalFormatting sqref="U1116">
    <cfRule type="containsText" dxfId="8" priority="1173" operator="containsText" text="Відком. за межі ПБ">
      <formula>NOT(ISERROR(SEARCH(("Відком. за межі ПБ"),(U1116))))</formula>
    </cfRule>
  </conditionalFormatting>
  <conditionalFormatting sqref="U1116">
    <cfRule type="containsText" dxfId="7" priority="1174" operator="containsText" text="Від-ні навчання">
      <formula>NOT(ISERROR(SEARCH(("Від-ні навчання"),(U1116))))</formula>
    </cfRule>
  </conditionalFormatting>
  <conditionalFormatting sqref="U1116">
    <cfRule type="containsText" dxfId="6" priority="1175" operator="containsText" text="Зниклі безвісти">
      <formula>NOT(ISERROR(SEARCH(("Зниклі безвісти"),(U1116))))</formula>
    </cfRule>
  </conditionalFormatting>
  <conditionalFormatting sqref="U1116">
    <cfRule type="containsText" dxfId="5" priority="1176" operator="containsText" text="СЗЧ">
      <formula>NOT(ISERROR(SEARCH(("СЗЧ"),(U1116))))</formula>
    </cfRule>
  </conditionalFormatting>
  <conditionalFormatting sqref="U1116">
    <cfRule type="containsText" dxfId="4" priority="1177" operator="containsText" text="Відпустка">
      <formula>NOT(ISERROR(SEARCH(("Відпустка"),(U1116))))</formula>
    </cfRule>
  </conditionalFormatting>
  <conditionalFormatting sqref="U1116">
    <cfRule type="containsText" dxfId="3" priority="1178" operator="containsText" text="В строю">
      <formula>NOT(ISERROR(SEARCH(("В строю"),(U1116))))</formula>
    </cfRule>
  </conditionalFormatting>
  <conditionalFormatting sqref="U1116">
    <cfRule type="containsText" dxfId="10" priority="1179" operator="containsText" text="Лікування">
      <formula>NOT(ISERROR(SEARCH(("Лікування"),(U1116))))</formula>
    </cfRule>
  </conditionalFormatting>
  <conditionalFormatting sqref="U1116">
    <cfRule type="containsText" dxfId="9" priority="1180" operator="containsText" text="Загиблі">
      <formula>NOT(ISERROR(SEARCH(("Загиблі"),(U1116))))</formula>
    </cfRule>
  </conditionalFormatting>
  <conditionalFormatting sqref="U1116">
    <cfRule type="containsText" dxfId="8" priority="1181" operator="containsText" text="Відком. за межі ПБ">
      <formula>NOT(ISERROR(SEARCH(("Відком. за межі ПБ"),(U1116))))</formula>
    </cfRule>
  </conditionalFormatting>
  <conditionalFormatting sqref="U1116">
    <cfRule type="containsText" dxfId="7" priority="1182" operator="containsText" text="Від-ні навчання">
      <formula>NOT(ISERROR(SEARCH(("Від-ні навчання"),(U1116))))</formula>
    </cfRule>
  </conditionalFormatting>
  <conditionalFormatting sqref="U1116">
    <cfRule type="containsText" dxfId="6" priority="1183" operator="containsText" text="Зниклі безвісти">
      <formula>NOT(ISERROR(SEARCH(("Зниклі безвісти"),(U1116))))</formula>
    </cfRule>
  </conditionalFormatting>
  <conditionalFormatting sqref="U1116">
    <cfRule type="containsText" dxfId="5" priority="1184" operator="containsText" text="СЗЧ">
      <formula>NOT(ISERROR(SEARCH(("СЗЧ"),(U1116))))</formula>
    </cfRule>
  </conditionalFormatting>
  <conditionalFormatting sqref="U1116">
    <cfRule type="containsText" dxfId="4" priority="1185" operator="containsText" text="Відпустка">
      <formula>NOT(ISERROR(SEARCH(("Відпустка"),(U1116))))</formula>
    </cfRule>
  </conditionalFormatting>
  <conditionalFormatting sqref="U1116">
    <cfRule type="containsText" dxfId="3" priority="1186" operator="containsText" text="В строю">
      <formula>NOT(ISERROR(SEARCH(("В строю"),(U1116))))</formula>
    </cfRule>
  </conditionalFormatting>
  <conditionalFormatting sqref="N1116">
    <cfRule type="expression" dxfId="0" priority="1187">
      <formula>COUNTIF(#REF!, N1116) &gt; 1</formula>
    </cfRule>
  </conditionalFormatting>
  <conditionalFormatting sqref="U1112">
    <cfRule type="containsText" dxfId="3" priority="1188" operator="containsText" text="В строю">
      <formula>NOT(ISERROR(SEARCH(("В строю"),(U1112))))</formula>
    </cfRule>
  </conditionalFormatting>
  <conditionalFormatting sqref="U1112">
    <cfRule type="containsText" dxfId="4" priority="1189" operator="containsText" text="Відпустка">
      <formula>NOT(ISERROR(SEARCH(("Відпустка"),(U1112))))</formula>
    </cfRule>
  </conditionalFormatting>
  <conditionalFormatting sqref="U1112">
    <cfRule type="containsText" dxfId="5" priority="1190" operator="containsText" text="СЗЧ">
      <formula>NOT(ISERROR(SEARCH(("СЗЧ"),(U1112))))</formula>
    </cfRule>
  </conditionalFormatting>
  <conditionalFormatting sqref="U1112">
    <cfRule type="containsText" dxfId="6" priority="1191" operator="containsText" text="Зниклі безвісти">
      <formula>NOT(ISERROR(SEARCH(("Зниклі безвісти"),(U1112))))</formula>
    </cfRule>
  </conditionalFormatting>
  <conditionalFormatting sqref="U1112">
    <cfRule type="containsText" dxfId="7" priority="1192" operator="containsText" text="Від-ні навчання">
      <formula>NOT(ISERROR(SEARCH(("Від-ні навчання"),(U1112))))</formula>
    </cfRule>
  </conditionalFormatting>
  <conditionalFormatting sqref="U1112">
    <cfRule type="containsText" dxfId="8" priority="1193" operator="containsText" text="Відком. за межі ПБ">
      <formula>NOT(ISERROR(SEARCH(("Відком. за межі ПБ"),(U1112))))</formula>
    </cfRule>
  </conditionalFormatting>
  <conditionalFormatting sqref="U1112">
    <cfRule type="containsText" dxfId="9" priority="1194" operator="containsText" text="Загиблі">
      <formula>NOT(ISERROR(SEARCH(("Загиблі"),(U1112))))</formula>
    </cfRule>
  </conditionalFormatting>
  <conditionalFormatting sqref="U1112">
    <cfRule type="containsText" dxfId="10" priority="1195" operator="containsText" text="Лікування">
      <formula>NOT(ISERROR(SEARCH(("Лікування"),(U1112))))</formula>
    </cfRule>
  </conditionalFormatting>
  <conditionalFormatting sqref="U1112">
    <cfRule type="containsText" dxfId="10" priority="1196" operator="containsText" text="Лікування">
      <formula>NOT(ISERROR(SEARCH(("Лікування"),(U1112))))</formula>
    </cfRule>
  </conditionalFormatting>
  <conditionalFormatting sqref="U1112">
    <cfRule type="containsText" dxfId="9" priority="1197" operator="containsText" text="Загиблі">
      <formula>NOT(ISERROR(SEARCH(("Загиблі"),(U1112))))</formula>
    </cfRule>
  </conditionalFormatting>
  <conditionalFormatting sqref="U1112">
    <cfRule type="containsText" dxfId="8" priority="1198" operator="containsText" text="Відком. за межі ПБ">
      <formula>NOT(ISERROR(SEARCH(("Відком. за межі ПБ"),(U1112))))</formula>
    </cfRule>
  </conditionalFormatting>
  <conditionalFormatting sqref="U1112">
    <cfRule type="containsText" dxfId="7" priority="1199" operator="containsText" text="Від-ні навчання">
      <formula>NOT(ISERROR(SEARCH(("Від-ні навчання"),(U1112))))</formula>
    </cfRule>
  </conditionalFormatting>
  <conditionalFormatting sqref="U1112">
    <cfRule type="containsText" dxfId="6" priority="1200" operator="containsText" text="Зниклі безвісти">
      <formula>NOT(ISERROR(SEARCH(("Зниклі безвісти"),(U1112))))</formula>
    </cfRule>
  </conditionalFormatting>
  <conditionalFormatting sqref="U1112">
    <cfRule type="containsText" dxfId="5" priority="1201" operator="containsText" text="СЗЧ">
      <formula>NOT(ISERROR(SEARCH(("СЗЧ"),(U1112))))</formula>
    </cfRule>
  </conditionalFormatting>
  <conditionalFormatting sqref="U1112">
    <cfRule type="containsText" dxfId="4" priority="1202" operator="containsText" text="Відпустка">
      <formula>NOT(ISERROR(SEARCH(("Відпустка"),(U1112))))</formula>
    </cfRule>
  </conditionalFormatting>
  <conditionalFormatting sqref="U1112">
    <cfRule type="containsText" dxfId="3" priority="1203" operator="containsText" text="В строю">
      <formula>NOT(ISERROR(SEARCH(("В строю"),(U1112))))</formula>
    </cfRule>
  </conditionalFormatting>
  <conditionalFormatting sqref="Q1112">
    <cfRule type="cellIs" dxfId="9" priority="1204" operator="notEqual">
      <formula>P1112</formula>
    </cfRule>
  </conditionalFormatting>
  <conditionalFormatting sqref="Q1112">
    <cfRule type="cellIs" dxfId="3" priority="1205" operator="equal">
      <formula>P1112</formula>
    </cfRule>
  </conditionalFormatting>
  <conditionalFormatting sqref="N1112">
    <cfRule type="expression" dxfId="0" priority="1206">
      <formula>COUNTIF(#REF!, N1112) &gt; 1</formula>
    </cfRule>
  </conditionalFormatting>
  <conditionalFormatting sqref="U1111">
    <cfRule type="containsText" dxfId="10" priority="1207" operator="containsText" text="Лікування">
      <formula>NOT(ISERROR(SEARCH(("Лікування"),(U1111))))</formula>
    </cfRule>
  </conditionalFormatting>
  <conditionalFormatting sqref="U1111">
    <cfRule type="containsText" dxfId="9" priority="1208" operator="containsText" text="Загиблі">
      <formula>NOT(ISERROR(SEARCH(("Загиблі"),(U1111))))</formula>
    </cfRule>
  </conditionalFormatting>
  <conditionalFormatting sqref="U1111">
    <cfRule type="containsText" dxfId="8" priority="1209" operator="containsText" text="Відком. за межі ПБ">
      <formula>NOT(ISERROR(SEARCH(("Відком. за межі ПБ"),(U1111))))</formula>
    </cfRule>
  </conditionalFormatting>
  <conditionalFormatting sqref="U1111">
    <cfRule type="containsText" dxfId="7" priority="1210" operator="containsText" text="Від-ні навчання">
      <formula>NOT(ISERROR(SEARCH(("Від-ні навчання"),(U1111))))</formula>
    </cfRule>
  </conditionalFormatting>
  <conditionalFormatting sqref="U1111">
    <cfRule type="containsText" dxfId="6" priority="1211" operator="containsText" text="Зниклі безвісти">
      <formula>NOT(ISERROR(SEARCH(("Зниклі безвісти"),(U1111))))</formula>
    </cfRule>
  </conditionalFormatting>
  <conditionalFormatting sqref="U1111">
    <cfRule type="containsText" dxfId="5" priority="1212" operator="containsText" text="СЗЧ">
      <formula>NOT(ISERROR(SEARCH(("СЗЧ"),(U1111))))</formula>
    </cfRule>
  </conditionalFormatting>
  <conditionalFormatting sqref="U1111">
    <cfRule type="containsText" dxfId="4" priority="1213" operator="containsText" text="Відпустка">
      <formula>NOT(ISERROR(SEARCH(("Відпустка"),(U1111))))</formula>
    </cfRule>
  </conditionalFormatting>
  <conditionalFormatting sqref="U1111">
    <cfRule type="containsText" dxfId="3" priority="1214" operator="containsText" text="В строю">
      <formula>NOT(ISERROR(SEARCH(("В строю"),(U1111))))</formula>
    </cfRule>
  </conditionalFormatting>
  <conditionalFormatting sqref="U1111">
    <cfRule type="containsText" dxfId="3" priority="1215" operator="containsText" text="В строю">
      <formula>NOT(ISERROR(SEARCH(("В строю"),(U1111))))</formula>
    </cfRule>
  </conditionalFormatting>
  <conditionalFormatting sqref="U1111">
    <cfRule type="containsText" dxfId="4" priority="1216" operator="containsText" text="Відпустка">
      <formula>NOT(ISERROR(SEARCH(("Відпустка"),(U1111))))</formula>
    </cfRule>
  </conditionalFormatting>
  <conditionalFormatting sqref="U1111">
    <cfRule type="containsText" dxfId="5" priority="1217" operator="containsText" text="СЗЧ">
      <formula>NOT(ISERROR(SEARCH(("СЗЧ"),(U1111))))</formula>
    </cfRule>
  </conditionalFormatting>
  <conditionalFormatting sqref="U1111">
    <cfRule type="containsText" dxfId="6" priority="1218" operator="containsText" text="Зниклі безвісти">
      <formula>NOT(ISERROR(SEARCH(("Зниклі безвісти"),(U1111))))</formula>
    </cfRule>
  </conditionalFormatting>
  <conditionalFormatting sqref="U1111">
    <cfRule type="containsText" dxfId="7" priority="1219" operator="containsText" text="Від-ні навчання">
      <formula>NOT(ISERROR(SEARCH(("Від-ні навчання"),(U1111))))</formula>
    </cfRule>
  </conditionalFormatting>
  <conditionalFormatting sqref="U1111">
    <cfRule type="containsText" dxfId="8" priority="1220" operator="containsText" text="Відком. за межі ПБ">
      <formula>NOT(ISERROR(SEARCH(("Відком. за межі ПБ"),(U1111))))</formula>
    </cfRule>
  </conditionalFormatting>
  <conditionalFormatting sqref="U1111">
    <cfRule type="containsText" dxfId="9" priority="1221" operator="containsText" text="Загиблі">
      <formula>NOT(ISERROR(SEARCH(("Загиблі"),(U1111))))</formula>
    </cfRule>
  </conditionalFormatting>
  <conditionalFormatting sqref="U1111">
    <cfRule type="containsText" dxfId="10" priority="1222" operator="containsText" text="Лікування">
      <formula>NOT(ISERROR(SEARCH(("Лікування"),(U1111))))</formula>
    </cfRule>
  </conditionalFormatting>
  <conditionalFormatting sqref="Q1111">
    <cfRule type="cellIs" dxfId="9" priority="1223" operator="notEqual">
      <formula>P1111</formula>
    </cfRule>
  </conditionalFormatting>
  <conditionalFormatting sqref="Q1111">
    <cfRule type="cellIs" dxfId="3" priority="1224" operator="equal">
      <formula>P1111</formula>
    </cfRule>
  </conditionalFormatting>
  <conditionalFormatting sqref="N1111">
    <cfRule type="expression" dxfId="0" priority="1225">
      <formula>COUNTIF(#REF!, N1111) &gt; 1</formula>
    </cfRule>
  </conditionalFormatting>
  <conditionalFormatting sqref="U1110">
    <cfRule type="containsText" dxfId="10" priority="1226" operator="containsText" text="Лікування">
      <formula>NOT(ISERROR(SEARCH(("Лікування"),(U1110))))</formula>
    </cfRule>
  </conditionalFormatting>
  <conditionalFormatting sqref="U1110">
    <cfRule type="containsText" dxfId="9" priority="1227" operator="containsText" text="Загиблі">
      <formula>NOT(ISERROR(SEARCH(("Загиблі"),(U1110))))</formula>
    </cfRule>
  </conditionalFormatting>
  <conditionalFormatting sqref="U1110">
    <cfRule type="containsText" dxfId="8" priority="1228" operator="containsText" text="Відком. за межі ПБ">
      <formula>NOT(ISERROR(SEARCH(("Відком. за межі ПБ"),(U1110))))</formula>
    </cfRule>
  </conditionalFormatting>
  <conditionalFormatting sqref="U1110">
    <cfRule type="containsText" dxfId="7" priority="1229" operator="containsText" text="Від-ні навчання">
      <formula>NOT(ISERROR(SEARCH(("Від-ні навчання"),(U1110))))</formula>
    </cfRule>
  </conditionalFormatting>
  <conditionalFormatting sqref="U1110">
    <cfRule type="containsText" dxfId="6" priority="1230" operator="containsText" text="Зниклі безвісти">
      <formula>NOT(ISERROR(SEARCH(("Зниклі безвісти"),(U1110))))</formula>
    </cfRule>
  </conditionalFormatting>
  <conditionalFormatting sqref="U1110">
    <cfRule type="containsText" dxfId="5" priority="1231" operator="containsText" text="СЗЧ">
      <formula>NOT(ISERROR(SEARCH(("СЗЧ"),(U1110))))</formula>
    </cfRule>
  </conditionalFormatting>
  <conditionalFormatting sqref="U1110">
    <cfRule type="containsText" dxfId="4" priority="1232" operator="containsText" text="Відпустка">
      <formula>NOT(ISERROR(SEARCH(("Відпустка"),(U1110))))</formula>
    </cfRule>
  </conditionalFormatting>
  <conditionalFormatting sqref="U1110">
    <cfRule type="containsText" dxfId="3" priority="1233" operator="containsText" text="В строю">
      <formula>NOT(ISERROR(SEARCH(("В строю"),(U1110))))</formula>
    </cfRule>
  </conditionalFormatting>
  <conditionalFormatting sqref="Q1110">
    <cfRule type="cellIs" dxfId="9" priority="1234" operator="notEqual">
      <formula>P1110</formula>
    </cfRule>
  </conditionalFormatting>
  <conditionalFormatting sqref="Q1110">
    <cfRule type="cellIs" dxfId="3" priority="1235" operator="equal">
      <formula>P1110</formula>
    </cfRule>
  </conditionalFormatting>
  <conditionalFormatting sqref="N1110">
    <cfRule type="expression" dxfId="0" priority="1236">
      <formula>COUNTIF(#REF!, N1110) &gt; 1</formula>
    </cfRule>
  </conditionalFormatting>
  <conditionalFormatting sqref="U1110">
    <cfRule type="containsText" dxfId="3" priority="1237" operator="containsText" text="В строю">
      <formula>NOT(ISERROR(SEARCH(("В строю"),(U1110))))</formula>
    </cfRule>
  </conditionalFormatting>
  <conditionalFormatting sqref="U1110">
    <cfRule type="containsText" dxfId="4" priority="1238" operator="containsText" text="Відпустка">
      <formula>NOT(ISERROR(SEARCH(("Відпустка"),(U1110))))</formula>
    </cfRule>
  </conditionalFormatting>
  <conditionalFormatting sqref="U1110">
    <cfRule type="containsText" dxfId="5" priority="1239" operator="containsText" text="СЗЧ">
      <formula>NOT(ISERROR(SEARCH(("СЗЧ"),(U1110))))</formula>
    </cfRule>
  </conditionalFormatting>
  <conditionalFormatting sqref="U1110">
    <cfRule type="containsText" dxfId="6" priority="1240" operator="containsText" text="Зниклі безвісти">
      <formula>NOT(ISERROR(SEARCH(("Зниклі безвісти"),(U1110))))</formula>
    </cfRule>
  </conditionalFormatting>
  <conditionalFormatting sqref="U1110">
    <cfRule type="containsText" dxfId="7" priority="1241" operator="containsText" text="Від-ні навчання">
      <formula>NOT(ISERROR(SEARCH(("Від-ні навчання"),(U1110))))</formula>
    </cfRule>
  </conditionalFormatting>
  <conditionalFormatting sqref="U1110">
    <cfRule type="containsText" dxfId="8" priority="1242" operator="containsText" text="Відком. за межі ПБ">
      <formula>NOT(ISERROR(SEARCH(("Відком. за межі ПБ"),(U1110))))</formula>
    </cfRule>
  </conditionalFormatting>
  <conditionalFormatting sqref="U1110">
    <cfRule type="containsText" dxfId="9" priority="1243" operator="containsText" text="Загиблі">
      <formula>NOT(ISERROR(SEARCH(("Загиблі"),(U1110))))</formula>
    </cfRule>
  </conditionalFormatting>
  <conditionalFormatting sqref="U1110">
    <cfRule type="containsText" dxfId="10" priority="1244" operator="containsText" text="Лікування">
      <formula>NOT(ISERROR(SEARCH(("Лікування"),(U1110))))</formula>
    </cfRule>
  </conditionalFormatting>
  <conditionalFormatting sqref="Q1109">
    <cfRule type="cellIs" dxfId="9" priority="1245" operator="notEqual">
      <formula>P1109</formula>
    </cfRule>
  </conditionalFormatting>
  <conditionalFormatting sqref="Q1109">
    <cfRule type="cellIs" dxfId="3" priority="1246" operator="equal">
      <formula>P1109</formula>
    </cfRule>
  </conditionalFormatting>
  <conditionalFormatting sqref="N1109">
    <cfRule type="expression" dxfId="0" priority="1247">
      <formula>COUNTIF(#REF!, N1109) &gt; 1</formula>
    </cfRule>
  </conditionalFormatting>
  <conditionalFormatting sqref="U1109">
    <cfRule type="containsText" dxfId="3" priority="1248" operator="containsText" text="В строю">
      <formula>NOT(ISERROR(SEARCH(("В строю"),(U1109))))</formula>
    </cfRule>
  </conditionalFormatting>
  <conditionalFormatting sqref="U1109">
    <cfRule type="containsText" dxfId="4" priority="1249" operator="containsText" text="Відпустка">
      <formula>NOT(ISERROR(SEARCH(("Відпустка"),(U1109))))</formula>
    </cfRule>
  </conditionalFormatting>
  <conditionalFormatting sqref="U1109">
    <cfRule type="containsText" dxfId="5" priority="1250" operator="containsText" text="СЗЧ">
      <formula>NOT(ISERROR(SEARCH(("СЗЧ"),(U1109))))</formula>
    </cfRule>
  </conditionalFormatting>
  <conditionalFormatting sqref="U1109">
    <cfRule type="containsText" dxfId="6" priority="1251" operator="containsText" text="Зниклі безвісти">
      <formula>NOT(ISERROR(SEARCH(("Зниклі безвісти"),(U1109))))</formula>
    </cfRule>
  </conditionalFormatting>
  <conditionalFormatting sqref="U1109">
    <cfRule type="containsText" dxfId="7" priority="1252" operator="containsText" text="Від-ні навчання">
      <formula>NOT(ISERROR(SEARCH(("Від-ні навчання"),(U1109))))</formula>
    </cfRule>
  </conditionalFormatting>
  <conditionalFormatting sqref="U1109">
    <cfRule type="containsText" dxfId="8" priority="1253" operator="containsText" text="Відком. за межі ПБ">
      <formula>NOT(ISERROR(SEARCH(("Відком. за межі ПБ"),(U1109))))</formula>
    </cfRule>
  </conditionalFormatting>
  <conditionalFormatting sqref="U1109">
    <cfRule type="containsText" dxfId="9" priority="1254" operator="containsText" text="Загиблі">
      <formula>NOT(ISERROR(SEARCH(("Загиблі"),(U1109))))</formula>
    </cfRule>
  </conditionalFormatting>
  <conditionalFormatting sqref="U1109">
    <cfRule type="containsText" dxfId="10" priority="1255" operator="containsText" text="Лікування">
      <formula>NOT(ISERROR(SEARCH(("Лікування"),(U1109))))</formula>
    </cfRule>
  </conditionalFormatting>
  <conditionalFormatting sqref="U1109">
    <cfRule type="containsText" dxfId="10" priority="1256" operator="containsText" text="Лікування">
      <formula>NOT(ISERROR(SEARCH(("Лікування"),(U1109))))</formula>
    </cfRule>
  </conditionalFormatting>
  <conditionalFormatting sqref="U1109">
    <cfRule type="containsText" dxfId="9" priority="1257" operator="containsText" text="Загиблі">
      <formula>NOT(ISERROR(SEARCH(("Загиблі"),(U1109))))</formula>
    </cfRule>
  </conditionalFormatting>
  <conditionalFormatting sqref="U1109">
    <cfRule type="containsText" dxfId="8" priority="1258" operator="containsText" text="Відком. за межі ПБ">
      <formula>NOT(ISERROR(SEARCH(("Відком. за межі ПБ"),(U1109))))</formula>
    </cfRule>
  </conditionalFormatting>
  <conditionalFormatting sqref="U1109">
    <cfRule type="containsText" dxfId="7" priority="1259" operator="containsText" text="Від-ні навчання">
      <formula>NOT(ISERROR(SEARCH(("Від-ні навчання"),(U1109))))</formula>
    </cfRule>
  </conditionalFormatting>
  <conditionalFormatting sqref="U1109">
    <cfRule type="containsText" dxfId="6" priority="1260" operator="containsText" text="Зниклі безвісти">
      <formula>NOT(ISERROR(SEARCH(("Зниклі безвісти"),(U1109))))</formula>
    </cfRule>
  </conditionalFormatting>
  <conditionalFormatting sqref="U1109">
    <cfRule type="containsText" dxfId="5" priority="1261" operator="containsText" text="СЗЧ">
      <formula>NOT(ISERROR(SEARCH(("СЗЧ"),(U1109))))</formula>
    </cfRule>
  </conditionalFormatting>
  <conditionalFormatting sqref="U1109">
    <cfRule type="containsText" dxfId="4" priority="1262" operator="containsText" text="Відпустка">
      <formula>NOT(ISERROR(SEARCH(("Відпустка"),(U1109))))</formula>
    </cfRule>
  </conditionalFormatting>
  <conditionalFormatting sqref="U1109">
    <cfRule type="containsText" dxfId="3" priority="1263" operator="containsText" text="В строю">
      <formula>NOT(ISERROR(SEARCH(("В строю"),(U1109))))</formula>
    </cfRule>
  </conditionalFormatting>
  <conditionalFormatting sqref="U1108">
    <cfRule type="containsText" dxfId="3" priority="1264" operator="containsText" text="В строю">
      <formula>NOT(ISERROR(SEARCH(("В строю"),(U1108))))</formula>
    </cfRule>
  </conditionalFormatting>
  <conditionalFormatting sqref="U1108">
    <cfRule type="containsText" dxfId="4" priority="1265" operator="containsText" text="Відпустка">
      <formula>NOT(ISERROR(SEARCH(("Відпустка"),(U1108))))</formula>
    </cfRule>
  </conditionalFormatting>
  <conditionalFormatting sqref="U1108">
    <cfRule type="containsText" dxfId="5" priority="1266" operator="containsText" text="СЗЧ">
      <formula>NOT(ISERROR(SEARCH(("СЗЧ"),(U1108))))</formula>
    </cfRule>
  </conditionalFormatting>
  <conditionalFormatting sqref="U1108">
    <cfRule type="containsText" dxfId="6" priority="1267" operator="containsText" text="Зниклі безвісти">
      <formula>NOT(ISERROR(SEARCH(("Зниклі безвісти"),(U1108))))</formula>
    </cfRule>
  </conditionalFormatting>
  <conditionalFormatting sqref="U1108">
    <cfRule type="containsText" dxfId="7" priority="1268" operator="containsText" text="Від-ні навчання">
      <formula>NOT(ISERROR(SEARCH(("Від-ні навчання"),(U1108))))</formula>
    </cfRule>
  </conditionalFormatting>
  <conditionalFormatting sqref="U1108">
    <cfRule type="containsText" dxfId="8" priority="1269" operator="containsText" text="Відком. за межі ПБ">
      <formula>NOT(ISERROR(SEARCH(("Відком. за межі ПБ"),(U1108))))</formula>
    </cfRule>
  </conditionalFormatting>
  <conditionalFormatting sqref="U1108">
    <cfRule type="containsText" dxfId="9" priority="1270" operator="containsText" text="Загиблі">
      <formula>NOT(ISERROR(SEARCH(("Загиблі"),(U1108))))</formula>
    </cfRule>
  </conditionalFormatting>
  <conditionalFormatting sqref="U1108">
    <cfRule type="containsText" dxfId="10" priority="1271" operator="containsText" text="Лікування">
      <formula>NOT(ISERROR(SEARCH(("Лікування"),(U1108))))</formula>
    </cfRule>
  </conditionalFormatting>
  <conditionalFormatting sqref="U1108">
    <cfRule type="containsText" dxfId="10" priority="1272" operator="containsText" text="Лікування">
      <formula>NOT(ISERROR(SEARCH(("Лікування"),(U1108))))</formula>
    </cfRule>
  </conditionalFormatting>
  <conditionalFormatting sqref="U1108">
    <cfRule type="containsText" dxfId="9" priority="1273" operator="containsText" text="Загиблі">
      <formula>NOT(ISERROR(SEARCH(("Загиблі"),(U1108))))</formula>
    </cfRule>
  </conditionalFormatting>
  <conditionalFormatting sqref="U1108">
    <cfRule type="containsText" dxfId="8" priority="1274" operator="containsText" text="Відком. за межі ПБ">
      <formula>NOT(ISERROR(SEARCH(("Відком. за межі ПБ"),(U1108))))</formula>
    </cfRule>
  </conditionalFormatting>
  <conditionalFormatting sqref="U1108">
    <cfRule type="containsText" dxfId="7" priority="1275" operator="containsText" text="Від-ні навчання">
      <formula>NOT(ISERROR(SEARCH(("Від-ні навчання"),(U1108))))</formula>
    </cfRule>
  </conditionalFormatting>
  <conditionalFormatting sqref="U1108">
    <cfRule type="containsText" dxfId="6" priority="1276" operator="containsText" text="Зниклі безвісти">
      <formula>NOT(ISERROR(SEARCH(("Зниклі безвісти"),(U1108))))</formula>
    </cfRule>
  </conditionalFormatting>
  <conditionalFormatting sqref="U1108">
    <cfRule type="containsText" dxfId="5" priority="1277" operator="containsText" text="СЗЧ">
      <formula>NOT(ISERROR(SEARCH(("СЗЧ"),(U1108))))</formula>
    </cfRule>
  </conditionalFormatting>
  <conditionalFormatting sqref="U1108">
    <cfRule type="containsText" dxfId="4" priority="1278" operator="containsText" text="Відпустка">
      <formula>NOT(ISERROR(SEARCH(("Відпустка"),(U1108))))</formula>
    </cfRule>
  </conditionalFormatting>
  <conditionalFormatting sqref="U1108">
    <cfRule type="containsText" dxfId="3" priority="1279" operator="containsText" text="В строю">
      <formula>NOT(ISERROR(SEARCH(("В строю"),(U1108))))</formula>
    </cfRule>
  </conditionalFormatting>
  <conditionalFormatting sqref="Q1108">
    <cfRule type="cellIs" dxfId="9" priority="1280" operator="notEqual">
      <formula>P1108</formula>
    </cfRule>
  </conditionalFormatting>
  <conditionalFormatting sqref="Q1108">
    <cfRule type="cellIs" dxfId="3" priority="1281" operator="equal">
      <formula>P1108</formula>
    </cfRule>
  </conditionalFormatting>
  <conditionalFormatting sqref="N1108">
    <cfRule type="expression" dxfId="0" priority="1282">
      <formula>COUNTIF(#REF!, N1108) &gt; 1</formula>
    </cfRule>
  </conditionalFormatting>
  <conditionalFormatting sqref="N1106 U1106">
    <cfRule type="containsText" dxfId="10" priority="1283" operator="containsText" text="Лікування">
      <formula>NOT(ISERROR(SEARCH(("Лікування"),(N1106))))</formula>
    </cfRule>
  </conditionalFormatting>
  <conditionalFormatting sqref="N1106 U1106">
    <cfRule type="containsText" dxfId="9" priority="1284" operator="containsText" text="Загиблі">
      <formula>NOT(ISERROR(SEARCH(("Загиблі"),(N1106))))</formula>
    </cfRule>
  </conditionalFormatting>
  <conditionalFormatting sqref="N1106 U1106">
    <cfRule type="containsText" dxfId="8" priority="1285" operator="containsText" text="Відком. за межі ПБ">
      <formula>NOT(ISERROR(SEARCH(("Відком. за межі ПБ"),(N1106))))</formula>
    </cfRule>
  </conditionalFormatting>
  <conditionalFormatting sqref="N1106 U1106">
    <cfRule type="containsText" dxfId="7" priority="1286" operator="containsText" text="Від-ні навчання">
      <formula>NOT(ISERROR(SEARCH(("Від-ні навчання"),(N1106))))</formula>
    </cfRule>
  </conditionalFormatting>
  <conditionalFormatting sqref="N1106 U1106">
    <cfRule type="containsText" dxfId="6" priority="1287" operator="containsText" text="Зниклі безвісти">
      <formula>NOT(ISERROR(SEARCH(("Зниклі безвісти"),(N1106))))</formula>
    </cfRule>
  </conditionalFormatting>
  <conditionalFormatting sqref="N1106 U1106">
    <cfRule type="containsText" dxfId="5" priority="1288" operator="containsText" text="СЗЧ">
      <formula>NOT(ISERROR(SEARCH(("СЗЧ"),(N1106))))</formula>
    </cfRule>
  </conditionalFormatting>
  <conditionalFormatting sqref="N1106 U1106">
    <cfRule type="containsText" dxfId="4" priority="1289" operator="containsText" text="Відпустка">
      <formula>NOT(ISERROR(SEARCH(("Відпустка"),(N1106))))</formula>
    </cfRule>
  </conditionalFormatting>
  <conditionalFormatting sqref="N1106 U1106">
    <cfRule type="containsText" dxfId="3" priority="1290" operator="containsText" text="В строю">
      <formula>NOT(ISERROR(SEARCH(("В строю"),(N1106))))</formula>
    </cfRule>
  </conditionalFormatting>
  <conditionalFormatting sqref="N1106 U1106">
    <cfRule type="containsText" dxfId="10" priority="1291" operator="containsText" text="Лікування">
      <formula>NOT(ISERROR(SEARCH(("Лікування"),(N1106))))</formula>
    </cfRule>
  </conditionalFormatting>
  <conditionalFormatting sqref="N1106 U1106">
    <cfRule type="containsText" dxfId="9" priority="1292" operator="containsText" text="Загиблі">
      <formula>NOT(ISERROR(SEARCH(("Загиблі"),(N1106))))</formula>
    </cfRule>
  </conditionalFormatting>
  <conditionalFormatting sqref="N1106 U1106">
    <cfRule type="containsText" dxfId="8" priority="1293" operator="containsText" text="Відком. за межі ПБ">
      <formula>NOT(ISERROR(SEARCH(("Відком. за межі ПБ"),(N1106))))</formula>
    </cfRule>
  </conditionalFormatting>
  <conditionalFormatting sqref="N1106 U1106">
    <cfRule type="containsText" dxfId="7" priority="1294" operator="containsText" text="Від-ні навчання">
      <formula>NOT(ISERROR(SEARCH(("Від-ні навчання"),(N1106))))</formula>
    </cfRule>
  </conditionalFormatting>
  <conditionalFormatting sqref="N1106 U1106">
    <cfRule type="containsText" dxfId="6" priority="1295" operator="containsText" text="Зниклі безвісти">
      <formula>NOT(ISERROR(SEARCH(("Зниклі безвісти"),(N1106))))</formula>
    </cfRule>
  </conditionalFormatting>
  <conditionalFormatting sqref="N1106 U1106">
    <cfRule type="containsText" dxfId="5" priority="1296" operator="containsText" text="СЗЧ">
      <formula>NOT(ISERROR(SEARCH(("СЗЧ"),(N1106))))</formula>
    </cfRule>
  </conditionalFormatting>
  <conditionalFormatting sqref="N1106 U1106">
    <cfRule type="containsText" dxfId="4" priority="1297" operator="containsText" text="Відпустка">
      <formula>NOT(ISERROR(SEARCH(("Відпустка"),(N1106))))</formula>
    </cfRule>
  </conditionalFormatting>
  <conditionalFormatting sqref="N1106 U1106">
    <cfRule type="containsText" dxfId="3" priority="1298" operator="containsText" text="В строю">
      <formula>NOT(ISERROR(SEARCH(("В строю"),(N1106))))</formula>
    </cfRule>
  </conditionalFormatting>
  <conditionalFormatting sqref="AK1106 AK1122:AK1124 AK1126:AK1129 AK1136:AK1139 AK1141:AK1177 AK1184:AK1251 AK1287 AK1292:AK1296">
    <cfRule type="containsText" dxfId="18" priority="1299" operator="containsText" text="В строю">
      <formula>NOT(ISERROR(SEARCH(("В строю"),(AK1106))))</formula>
    </cfRule>
  </conditionalFormatting>
  <conditionalFormatting sqref="AK1106 AK1122:AK1124 AK1126:AK1129 AK1136:AK1139 AK1141:AK1177 AK1184:AK1251 AK1287 AK1292:AK1296">
    <cfRule type="containsText" dxfId="8" priority="1300" operator="containsText" text="Від-ні за межі бату">
      <formula>NOT(ISERROR(SEARCH(("Від-ні за межі бату"),(AK1106))))</formula>
    </cfRule>
  </conditionalFormatting>
  <conditionalFormatting sqref="AK1106 AK1122:AK1124 AK1126:AK1129 AK1136:AK1139 AK1141:AK1177 AK1184:AK1251 AK1287 AK1292:AK1296">
    <cfRule type="containsText" dxfId="17" priority="1301" operator="containsText" text="Відпустка">
      <formula>NOT(ISERROR(SEARCH(("Відпустка"),(AK1106))))</formula>
    </cfRule>
  </conditionalFormatting>
  <conditionalFormatting sqref="AK1106 AK1122:AK1124 AK1126:AK1129 AK1136:AK1139 AK1141:AK1177 AK1184:AK1251 AK1287 AK1292:AK1296">
    <cfRule type="containsText" dxfId="16" priority="1302" operator="containsText" text="Мед.пункт">
      <formula>NOT(ISERROR(SEARCH(("Мед.пункт"),(AK1106))))</formula>
    </cfRule>
  </conditionalFormatting>
  <conditionalFormatting sqref="AK1106 AK1122:AK1124 AK1126:AK1129 AK1136:AK1139 AK1141:AK1177 AK1184:AK1251 AK1287 AK1292:AK1296">
    <cfRule type="containsText" dxfId="15" priority="1303" operator="containsText" text="СТАТУС">
      <formula>NOT(ISERROR(SEARCH(("СТАТУС"),(AK1106))))</formula>
    </cfRule>
  </conditionalFormatting>
  <conditionalFormatting sqref="AK1106 AK1122:AK1124 AK1126:AK1129 AK1136:AK1139 AK1141:AK1177 AK1184:AK1251 AK1287 AK1292:AK1296">
    <cfRule type="containsText" dxfId="14" priority="1304" operator="containsText" text="Лікування">
      <formula>NOT(ISERROR(SEARCH(("Лікування"),(AK1106))))</formula>
    </cfRule>
  </conditionalFormatting>
  <conditionalFormatting sqref="AK1106 AK1122:AK1124 AK1126:AK1129 AK1136:AK1139 AK1141:AK1177 AK1184:AK1251 AK1287 AK1292:AK1296">
    <cfRule type="containsText" dxfId="13" priority="1305" operator="containsText" text="СЗЧ">
      <formula>NOT(ISERROR(SEARCH(("СЗЧ"),(AK1106))))</formula>
    </cfRule>
  </conditionalFormatting>
  <conditionalFormatting sqref="AK1106">
    <cfRule type="cellIs" dxfId="12" priority="1306" operator="equal">
      <formula>SUM(#REF!)</formula>
    </cfRule>
  </conditionalFormatting>
  <conditionalFormatting sqref="AK1106 AK1122:AK1124 AK1126:AK1129 AK1136:AK1139 AK1141:AK1177 AK1184:AK1251 AK1287 AK1292:AK1296">
    <cfRule type="containsText" dxfId="11" priority="1307" operator="containsText" text="Зниклі безвісти">
      <formula>NOT(ISERROR(SEARCH(("Зниклі безвісти"),(AK1106))))</formula>
    </cfRule>
  </conditionalFormatting>
  <conditionalFormatting sqref="N1106:O1106">
    <cfRule type="expression" dxfId="0" priority="1308">
      <formula>COUNTIF(#REF!, N1106) &gt; 1</formula>
    </cfRule>
  </conditionalFormatting>
  <conditionalFormatting sqref="N1106">
    <cfRule type="expression" dxfId="0" priority="1309">
      <formula>COUNTIF(#REF!, N1106) &gt; 1</formula>
    </cfRule>
  </conditionalFormatting>
  <conditionalFormatting sqref="Q1106">
    <cfRule type="cellIs" dxfId="3" priority="1310" operator="equal">
      <formula>P1106</formula>
    </cfRule>
  </conditionalFormatting>
  <conditionalFormatting sqref="Q1106">
    <cfRule type="cellIs" dxfId="9" priority="1311" operator="notEqual">
      <formula>P1106</formula>
    </cfRule>
  </conditionalFormatting>
  <conditionalFormatting sqref="Q1106">
    <cfRule type="cellIs" dxfId="9" priority="1312" operator="notEqual">
      <formula>P1106</formula>
    </cfRule>
  </conditionalFormatting>
  <conditionalFormatting sqref="Q1106">
    <cfRule type="cellIs" dxfId="3" priority="1313" operator="equal">
      <formula>P1106</formula>
    </cfRule>
  </conditionalFormatting>
  <conditionalFormatting sqref="N1106:O1106">
    <cfRule type="expression" dxfId="0" priority="1314">
      <formula>COUNTIF(#REF!, N1106) &gt; 1</formula>
    </cfRule>
  </conditionalFormatting>
  <conditionalFormatting sqref="N1106:O1106">
    <cfRule type="expression" dxfId="0" priority="1315">
      <formula>COUNTIF(#REF!, N1106) &gt; 1</formula>
    </cfRule>
  </conditionalFormatting>
  <conditionalFormatting sqref="N1105:P1105">
    <cfRule type="expression" dxfId="0" priority="1316">
      <formula>COUNTIF(#REF!, O1105) &gt; 1</formula>
    </cfRule>
  </conditionalFormatting>
  <conditionalFormatting sqref="N1105:P1105">
    <cfRule type="expression" dxfId="0" priority="1317">
      <formula>COUNTIF(#REF!, O1105) &gt; 1</formula>
    </cfRule>
  </conditionalFormatting>
  <conditionalFormatting sqref="N1105:P1105">
    <cfRule type="expression" dxfId="0" priority="1318">
      <formula>COUNTIF(#REF!, O1105) &gt; 1</formula>
    </cfRule>
  </conditionalFormatting>
  <conditionalFormatting sqref="N1105">
    <cfRule type="expression" dxfId="0" priority="1319">
      <formula>COUNTIF(#REF!, N1105) &gt; 1</formula>
    </cfRule>
  </conditionalFormatting>
  <conditionalFormatting sqref="U1105">
    <cfRule type="containsText" dxfId="10" priority="1320" operator="containsText" text="Лікування">
      <formula>NOT(ISERROR(SEARCH(("Лікування"),(U1105))))</formula>
    </cfRule>
  </conditionalFormatting>
  <conditionalFormatting sqref="U1105">
    <cfRule type="containsText" dxfId="9" priority="1321" operator="containsText" text="Загиблі">
      <formula>NOT(ISERROR(SEARCH(("Загиблі"),(U1105))))</formula>
    </cfRule>
  </conditionalFormatting>
  <conditionalFormatting sqref="U1105">
    <cfRule type="containsText" dxfId="8" priority="1322" operator="containsText" text="Відком. за межі ПБ">
      <formula>NOT(ISERROR(SEARCH(("Відком. за межі ПБ"),(U1105))))</formula>
    </cfRule>
  </conditionalFormatting>
  <conditionalFormatting sqref="U1105">
    <cfRule type="containsText" dxfId="7" priority="1323" operator="containsText" text="Від-ні навчання">
      <formula>NOT(ISERROR(SEARCH(("Від-ні навчання"),(U1105))))</formula>
    </cfRule>
  </conditionalFormatting>
  <conditionalFormatting sqref="U1105">
    <cfRule type="containsText" dxfId="6" priority="1324" operator="containsText" text="Зниклі безвісти">
      <formula>NOT(ISERROR(SEARCH(("Зниклі безвісти"),(U1105))))</formula>
    </cfRule>
  </conditionalFormatting>
  <conditionalFormatting sqref="U1105">
    <cfRule type="containsText" dxfId="5" priority="1325" operator="containsText" text="СЗЧ">
      <formula>NOT(ISERROR(SEARCH(("СЗЧ"),(U1105))))</formula>
    </cfRule>
  </conditionalFormatting>
  <conditionalFormatting sqref="U1105">
    <cfRule type="containsText" dxfId="4" priority="1326" operator="containsText" text="Відпустка">
      <formula>NOT(ISERROR(SEARCH(("Відпустка"),(U1105))))</formula>
    </cfRule>
  </conditionalFormatting>
  <conditionalFormatting sqref="U1105">
    <cfRule type="containsText" dxfId="3" priority="1327" operator="containsText" text="В строю">
      <formula>NOT(ISERROR(SEARCH(("В строю"),(U1105))))</formula>
    </cfRule>
  </conditionalFormatting>
  <conditionalFormatting sqref="Q1105">
    <cfRule type="cellIs" dxfId="3" priority="1328" operator="equal">
      <formula>P1105</formula>
    </cfRule>
  </conditionalFormatting>
  <conditionalFormatting sqref="Q1105">
    <cfRule type="cellIs" dxfId="9" priority="1329" operator="notEqual">
      <formula>P1105</formula>
    </cfRule>
  </conditionalFormatting>
  <conditionalFormatting sqref="U1105">
    <cfRule type="containsText" dxfId="10" priority="1330" operator="containsText" text="Лікування">
      <formula>NOT(ISERROR(SEARCH(("Лікування"),(U1105))))</formula>
    </cfRule>
  </conditionalFormatting>
  <conditionalFormatting sqref="U1105">
    <cfRule type="containsText" dxfId="9" priority="1331" operator="containsText" text="Загиблі">
      <formula>NOT(ISERROR(SEARCH(("Загиблі"),(U1105))))</formula>
    </cfRule>
  </conditionalFormatting>
  <conditionalFormatting sqref="U1105">
    <cfRule type="containsText" dxfId="8" priority="1332" operator="containsText" text="Відком. за межі ПБ">
      <formula>NOT(ISERROR(SEARCH(("Відком. за межі ПБ"),(U1105))))</formula>
    </cfRule>
  </conditionalFormatting>
  <conditionalFormatting sqref="U1105">
    <cfRule type="containsText" dxfId="7" priority="1333" operator="containsText" text="Від-ні навчання">
      <formula>NOT(ISERROR(SEARCH(("Від-ні навчання"),(U1105))))</formula>
    </cfRule>
  </conditionalFormatting>
  <conditionalFormatting sqref="U1105">
    <cfRule type="containsText" dxfId="6" priority="1334" operator="containsText" text="Зниклі безвісти">
      <formula>NOT(ISERROR(SEARCH(("Зниклі безвісти"),(U1105))))</formula>
    </cfRule>
  </conditionalFormatting>
  <conditionalFormatting sqref="U1105">
    <cfRule type="containsText" dxfId="5" priority="1335" operator="containsText" text="СЗЧ">
      <formula>NOT(ISERROR(SEARCH(("СЗЧ"),(U1105))))</formula>
    </cfRule>
  </conditionalFormatting>
  <conditionalFormatting sqref="U1105">
    <cfRule type="containsText" dxfId="4" priority="1336" operator="containsText" text="Відпустка">
      <formula>NOT(ISERROR(SEARCH(("Відпустка"),(U1105))))</formula>
    </cfRule>
  </conditionalFormatting>
  <conditionalFormatting sqref="U1105">
    <cfRule type="containsText" dxfId="3" priority="1337" operator="containsText" text="В строю">
      <formula>NOT(ISERROR(SEARCH(("В строю"),(U1105))))</formula>
    </cfRule>
  </conditionalFormatting>
  <conditionalFormatting sqref="Q1105">
    <cfRule type="cellIs" dxfId="9" priority="1338" operator="notEqual">
      <formula>P1105</formula>
    </cfRule>
  </conditionalFormatting>
  <conditionalFormatting sqref="Q1105">
    <cfRule type="cellIs" dxfId="3" priority="1339" operator="equal">
      <formula>P1105</formula>
    </cfRule>
  </conditionalFormatting>
  <conditionalFormatting sqref="U1104">
    <cfRule type="containsText" dxfId="3" priority="1340" operator="containsText" text="В строю">
      <formula>NOT(ISERROR(SEARCH(("В строю"),(U1104))))</formula>
    </cfRule>
  </conditionalFormatting>
  <conditionalFormatting sqref="U1104">
    <cfRule type="containsText" dxfId="4" priority="1341" operator="containsText" text="Відпустка">
      <formula>NOT(ISERROR(SEARCH(("Відпустка"),(U1104))))</formula>
    </cfRule>
  </conditionalFormatting>
  <conditionalFormatting sqref="U1104">
    <cfRule type="containsText" dxfId="5" priority="1342" operator="containsText" text="СЗЧ">
      <formula>NOT(ISERROR(SEARCH(("СЗЧ"),(U1104))))</formula>
    </cfRule>
  </conditionalFormatting>
  <conditionalFormatting sqref="U1104">
    <cfRule type="containsText" dxfId="6" priority="1343" operator="containsText" text="Зниклі безвісти">
      <formula>NOT(ISERROR(SEARCH(("Зниклі безвісти"),(U1104))))</formula>
    </cfRule>
  </conditionalFormatting>
  <conditionalFormatting sqref="U1104">
    <cfRule type="containsText" dxfId="7" priority="1344" operator="containsText" text="Від-ні навчання">
      <formula>NOT(ISERROR(SEARCH(("Від-ні навчання"),(U1104))))</formula>
    </cfRule>
  </conditionalFormatting>
  <conditionalFormatting sqref="U1104">
    <cfRule type="containsText" dxfId="8" priority="1345" operator="containsText" text="Відком. за межі ПБ">
      <formula>NOT(ISERROR(SEARCH(("Відком. за межі ПБ"),(U1104))))</formula>
    </cfRule>
  </conditionalFormatting>
  <conditionalFormatting sqref="U1104">
    <cfRule type="containsText" dxfId="9" priority="1346" operator="containsText" text="Загиблі">
      <formula>NOT(ISERROR(SEARCH(("Загиблі"),(U1104))))</formula>
    </cfRule>
  </conditionalFormatting>
  <conditionalFormatting sqref="U1104">
    <cfRule type="containsText" dxfId="10" priority="1347" operator="containsText" text="Лікування">
      <formula>NOT(ISERROR(SEARCH(("Лікування"),(U1104))))</formula>
    </cfRule>
  </conditionalFormatting>
  <conditionalFormatting sqref="N1104">
    <cfRule type="expression" dxfId="0" priority="1348">
      <formula>COUNTIF(#REF!, N1104) &gt; 1</formula>
    </cfRule>
  </conditionalFormatting>
  <conditionalFormatting sqref="U1104">
    <cfRule type="containsText" dxfId="3" priority="1349" operator="containsText" text="В строю">
      <formula>NOT(ISERROR(SEARCH(("В строю"),(U1104))))</formula>
    </cfRule>
  </conditionalFormatting>
  <conditionalFormatting sqref="U1104">
    <cfRule type="containsText" dxfId="4" priority="1350" operator="containsText" text="Відпустка">
      <formula>NOT(ISERROR(SEARCH(("Відпустка"),(U1104))))</formula>
    </cfRule>
  </conditionalFormatting>
  <conditionalFormatting sqref="U1104">
    <cfRule type="containsText" dxfId="5" priority="1351" operator="containsText" text="СЗЧ">
      <formula>NOT(ISERROR(SEARCH(("СЗЧ"),(U1104))))</formula>
    </cfRule>
  </conditionalFormatting>
  <conditionalFormatting sqref="U1104">
    <cfRule type="containsText" dxfId="6" priority="1352" operator="containsText" text="Зниклі безвісти">
      <formula>NOT(ISERROR(SEARCH(("Зниклі безвісти"),(U1104))))</formula>
    </cfRule>
  </conditionalFormatting>
  <conditionalFormatting sqref="U1104">
    <cfRule type="containsText" dxfId="7" priority="1353" operator="containsText" text="Від-ні навчання">
      <formula>NOT(ISERROR(SEARCH(("Від-ні навчання"),(U1104))))</formula>
    </cfRule>
  </conditionalFormatting>
  <conditionalFormatting sqref="U1104">
    <cfRule type="containsText" dxfId="8" priority="1354" operator="containsText" text="Відком. за межі ПБ">
      <formula>NOT(ISERROR(SEARCH(("Відком. за межі ПБ"),(U1104))))</formula>
    </cfRule>
  </conditionalFormatting>
  <conditionalFormatting sqref="U1104">
    <cfRule type="containsText" dxfId="9" priority="1355" operator="containsText" text="Загиблі">
      <formula>NOT(ISERROR(SEARCH(("Загиблі"),(U1104))))</formula>
    </cfRule>
  </conditionalFormatting>
  <conditionalFormatting sqref="U1104">
    <cfRule type="containsText" dxfId="10" priority="1356" operator="containsText" text="Лікування">
      <formula>NOT(ISERROR(SEARCH(("Лікування"),(U1104))))</formula>
    </cfRule>
  </conditionalFormatting>
  <conditionalFormatting sqref="Q1104">
    <cfRule type="cellIs" dxfId="9" priority="1357" operator="notEqual">
      <formula>P1104</formula>
    </cfRule>
  </conditionalFormatting>
  <conditionalFormatting sqref="Q1104">
    <cfRule type="cellIs" dxfId="3" priority="1358" operator="equal">
      <formula>P1104</formula>
    </cfRule>
  </conditionalFormatting>
  <conditionalFormatting sqref="N1103">
    <cfRule type="expression" dxfId="0" priority="1359">
      <formula>COUNTIF(#REF!, N1103) &gt; 1</formula>
    </cfRule>
  </conditionalFormatting>
  <conditionalFormatting sqref="U1103">
    <cfRule type="containsText" dxfId="10" priority="1360" operator="containsText" text="Лікування">
      <formula>NOT(ISERROR(SEARCH(("Лікування"),(U1103))))</formula>
    </cfRule>
  </conditionalFormatting>
  <conditionalFormatting sqref="U1103">
    <cfRule type="containsText" dxfId="9" priority="1361" operator="containsText" text="Загиблі">
      <formula>NOT(ISERROR(SEARCH(("Загиблі"),(U1103))))</formula>
    </cfRule>
  </conditionalFormatting>
  <conditionalFormatting sqref="U1103">
    <cfRule type="containsText" dxfId="8" priority="1362" operator="containsText" text="Відком. за межі ПБ">
      <formula>NOT(ISERROR(SEARCH(("Відком. за межі ПБ"),(U1103))))</formula>
    </cfRule>
  </conditionalFormatting>
  <conditionalFormatting sqref="U1103">
    <cfRule type="containsText" dxfId="7" priority="1363" operator="containsText" text="Від-ні навчання">
      <formula>NOT(ISERROR(SEARCH(("Від-ні навчання"),(U1103))))</formula>
    </cfRule>
  </conditionalFormatting>
  <conditionalFormatting sqref="U1103">
    <cfRule type="containsText" dxfId="6" priority="1364" operator="containsText" text="Зниклі безвісти">
      <formula>NOT(ISERROR(SEARCH(("Зниклі безвісти"),(U1103))))</formula>
    </cfRule>
  </conditionalFormatting>
  <conditionalFormatting sqref="U1103">
    <cfRule type="containsText" dxfId="5" priority="1365" operator="containsText" text="СЗЧ">
      <formula>NOT(ISERROR(SEARCH(("СЗЧ"),(U1103))))</formula>
    </cfRule>
  </conditionalFormatting>
  <conditionalFormatting sqref="U1103">
    <cfRule type="containsText" dxfId="4" priority="1366" operator="containsText" text="Відпустка">
      <formula>NOT(ISERROR(SEARCH(("Відпустка"),(U1103))))</formula>
    </cfRule>
  </conditionalFormatting>
  <conditionalFormatting sqref="U1103">
    <cfRule type="containsText" dxfId="3" priority="1367" operator="containsText" text="В строю">
      <formula>NOT(ISERROR(SEARCH(("В строю"),(U1103))))</formula>
    </cfRule>
  </conditionalFormatting>
  <conditionalFormatting sqref="U1103">
    <cfRule type="containsText" dxfId="3" priority="1368" operator="containsText" text="В строю">
      <formula>NOT(ISERROR(SEARCH(("В строю"),(U1103))))</formula>
    </cfRule>
  </conditionalFormatting>
  <conditionalFormatting sqref="U1103">
    <cfRule type="containsText" dxfId="4" priority="1369" operator="containsText" text="Відпустка">
      <formula>NOT(ISERROR(SEARCH(("Відпустка"),(U1103))))</formula>
    </cfRule>
  </conditionalFormatting>
  <conditionalFormatting sqref="U1103">
    <cfRule type="containsText" dxfId="5" priority="1370" operator="containsText" text="СЗЧ">
      <formula>NOT(ISERROR(SEARCH(("СЗЧ"),(U1103))))</formula>
    </cfRule>
  </conditionalFormatting>
  <conditionalFormatting sqref="U1103">
    <cfRule type="containsText" dxfId="6" priority="1371" operator="containsText" text="Зниклі безвісти">
      <formula>NOT(ISERROR(SEARCH(("Зниклі безвісти"),(U1103))))</formula>
    </cfRule>
  </conditionalFormatting>
  <conditionalFormatting sqref="U1103">
    <cfRule type="containsText" dxfId="7" priority="1372" operator="containsText" text="Від-ні навчання">
      <formula>NOT(ISERROR(SEARCH(("Від-ні навчання"),(U1103))))</formula>
    </cfRule>
  </conditionalFormatting>
  <conditionalFormatting sqref="U1103">
    <cfRule type="containsText" dxfId="8" priority="1373" operator="containsText" text="Відком. за межі ПБ">
      <formula>NOT(ISERROR(SEARCH(("Відком. за межі ПБ"),(U1103))))</formula>
    </cfRule>
  </conditionalFormatting>
  <conditionalFormatting sqref="U1103">
    <cfRule type="containsText" dxfId="9" priority="1374" operator="containsText" text="Загиблі">
      <formula>NOT(ISERROR(SEARCH(("Загиблі"),(U1103))))</formula>
    </cfRule>
  </conditionalFormatting>
  <conditionalFormatting sqref="U1103">
    <cfRule type="containsText" dxfId="10" priority="1375" operator="containsText" text="Лікування">
      <formula>NOT(ISERROR(SEARCH(("Лікування"),(U1103))))</formula>
    </cfRule>
  </conditionalFormatting>
  <conditionalFormatting sqref="Q1103">
    <cfRule type="cellIs" dxfId="3" priority="1376" operator="equal">
      <formula>P1103</formula>
    </cfRule>
  </conditionalFormatting>
  <conditionalFormatting sqref="Q1103">
    <cfRule type="cellIs" dxfId="9" priority="1377" operator="notEqual">
      <formula>P1103</formula>
    </cfRule>
  </conditionalFormatting>
  <conditionalFormatting sqref="Q1092">
    <cfRule type="cellIs" dxfId="9" priority="1378" operator="notEqual">
      <formula>P1092</formula>
    </cfRule>
  </conditionalFormatting>
  <conditionalFormatting sqref="Q1092">
    <cfRule type="cellIs" dxfId="3" priority="1379" operator="equal">
      <formula>P1092</formula>
    </cfRule>
  </conditionalFormatting>
  <conditionalFormatting sqref="N1092">
    <cfRule type="expression" dxfId="0" priority="1380">
      <formula>COUNTIF(#REF!, N1092) &gt; 1</formula>
    </cfRule>
  </conditionalFormatting>
  <conditionalFormatting sqref="U1092">
    <cfRule type="containsText" dxfId="3" priority="1381" operator="containsText" text="В строю">
      <formula>NOT(ISERROR(SEARCH(("В строю"),(U1092))))</formula>
    </cfRule>
  </conditionalFormatting>
  <conditionalFormatting sqref="U1092">
    <cfRule type="containsText" dxfId="4" priority="1382" operator="containsText" text="Відпустка">
      <formula>NOT(ISERROR(SEARCH(("Відпустка"),(U1092))))</formula>
    </cfRule>
  </conditionalFormatting>
  <conditionalFormatting sqref="U1092">
    <cfRule type="containsText" dxfId="5" priority="1383" operator="containsText" text="СЗЧ">
      <formula>NOT(ISERROR(SEARCH(("СЗЧ"),(U1092))))</formula>
    </cfRule>
  </conditionalFormatting>
  <conditionalFormatting sqref="U1092">
    <cfRule type="containsText" dxfId="6" priority="1384" operator="containsText" text="Зниклі безвісти">
      <formula>NOT(ISERROR(SEARCH(("Зниклі безвісти"),(U1092))))</formula>
    </cfRule>
  </conditionalFormatting>
  <conditionalFormatting sqref="U1092">
    <cfRule type="containsText" dxfId="7" priority="1385" operator="containsText" text="Від-ні навчання">
      <formula>NOT(ISERROR(SEARCH(("Від-ні навчання"),(U1092))))</formula>
    </cfRule>
  </conditionalFormatting>
  <conditionalFormatting sqref="U1092">
    <cfRule type="containsText" dxfId="8" priority="1386" operator="containsText" text="Відком. за межі ПБ">
      <formula>NOT(ISERROR(SEARCH(("Відком. за межі ПБ"),(U1092))))</formula>
    </cfRule>
  </conditionalFormatting>
  <conditionalFormatting sqref="U1092">
    <cfRule type="containsText" dxfId="9" priority="1387" operator="containsText" text="Загиблі">
      <formula>NOT(ISERROR(SEARCH(("Загиблі"),(U1092))))</formula>
    </cfRule>
  </conditionalFormatting>
  <conditionalFormatting sqref="U1092">
    <cfRule type="containsText" dxfId="10" priority="1388" operator="containsText" text="Лікування">
      <formula>NOT(ISERROR(SEARCH(("Лікування"),(U1092))))</formula>
    </cfRule>
  </conditionalFormatting>
  <conditionalFormatting sqref="U1092">
    <cfRule type="containsText" dxfId="10" priority="1389" operator="containsText" text="Лікування">
      <formula>NOT(ISERROR(SEARCH(("Лікування"),(U1092))))</formula>
    </cfRule>
  </conditionalFormatting>
  <conditionalFormatting sqref="U1092">
    <cfRule type="containsText" dxfId="9" priority="1390" operator="containsText" text="Загиблі">
      <formula>NOT(ISERROR(SEARCH(("Загиблі"),(U1092))))</formula>
    </cfRule>
  </conditionalFormatting>
  <conditionalFormatting sqref="U1092">
    <cfRule type="containsText" dxfId="8" priority="1391" operator="containsText" text="Відком. за межі ПБ">
      <formula>NOT(ISERROR(SEARCH(("Відком. за межі ПБ"),(U1092))))</formula>
    </cfRule>
  </conditionalFormatting>
  <conditionalFormatting sqref="U1092">
    <cfRule type="containsText" dxfId="7" priority="1392" operator="containsText" text="Від-ні навчання">
      <formula>NOT(ISERROR(SEARCH(("Від-ні навчання"),(U1092))))</formula>
    </cfRule>
  </conditionalFormatting>
  <conditionalFormatting sqref="U1092">
    <cfRule type="containsText" dxfId="6" priority="1393" operator="containsText" text="Зниклі безвісти">
      <formula>NOT(ISERROR(SEARCH(("Зниклі безвісти"),(U1092))))</formula>
    </cfRule>
  </conditionalFormatting>
  <conditionalFormatting sqref="U1092">
    <cfRule type="containsText" dxfId="5" priority="1394" operator="containsText" text="СЗЧ">
      <formula>NOT(ISERROR(SEARCH(("СЗЧ"),(U1092))))</formula>
    </cfRule>
  </conditionalFormatting>
  <conditionalFormatting sqref="U1092">
    <cfRule type="containsText" dxfId="4" priority="1395" operator="containsText" text="Відпустка">
      <formula>NOT(ISERROR(SEARCH(("Відпустка"),(U1092))))</formula>
    </cfRule>
  </conditionalFormatting>
  <conditionalFormatting sqref="U1092">
    <cfRule type="containsText" dxfId="3" priority="1396" operator="containsText" text="В строю">
      <formula>NOT(ISERROR(SEARCH(("В строю"),(U1092))))</formula>
    </cfRule>
  </conditionalFormatting>
  <conditionalFormatting sqref="U1091">
    <cfRule type="containsText" dxfId="10" priority="1397" operator="containsText" text="Лікування">
      <formula>NOT(ISERROR(SEARCH(("Лікування"),(U1091))))</formula>
    </cfRule>
  </conditionalFormatting>
  <conditionalFormatting sqref="U1091">
    <cfRule type="containsText" dxfId="9" priority="1398" operator="containsText" text="Загиблі">
      <formula>NOT(ISERROR(SEARCH(("Загиблі"),(U1091))))</formula>
    </cfRule>
  </conditionalFormatting>
  <conditionalFormatting sqref="U1091">
    <cfRule type="containsText" dxfId="8" priority="1399" operator="containsText" text="Відком. за межі ПБ">
      <formula>NOT(ISERROR(SEARCH(("Відком. за межі ПБ"),(U1091))))</formula>
    </cfRule>
  </conditionalFormatting>
  <conditionalFormatting sqref="U1091">
    <cfRule type="containsText" dxfId="7" priority="1400" operator="containsText" text="Від-ні навчання">
      <formula>NOT(ISERROR(SEARCH(("Від-ні навчання"),(U1091))))</formula>
    </cfRule>
  </conditionalFormatting>
  <conditionalFormatting sqref="U1091">
    <cfRule type="containsText" dxfId="6" priority="1401" operator="containsText" text="Зниклі безвісти">
      <formula>NOT(ISERROR(SEARCH(("Зниклі безвісти"),(U1091))))</formula>
    </cfRule>
  </conditionalFormatting>
  <conditionalFormatting sqref="U1091">
    <cfRule type="containsText" dxfId="5" priority="1402" operator="containsText" text="СЗЧ">
      <formula>NOT(ISERROR(SEARCH(("СЗЧ"),(U1091))))</formula>
    </cfRule>
  </conditionalFormatting>
  <conditionalFormatting sqref="U1091">
    <cfRule type="containsText" dxfId="4" priority="1403" operator="containsText" text="Відпустка">
      <formula>NOT(ISERROR(SEARCH(("Відпустка"),(U1091))))</formula>
    </cfRule>
  </conditionalFormatting>
  <conditionalFormatting sqref="U1091">
    <cfRule type="containsText" dxfId="3" priority="1404" operator="containsText" text="В строю">
      <formula>NOT(ISERROR(SEARCH(("В строю"),(U1091))))</formula>
    </cfRule>
  </conditionalFormatting>
  <conditionalFormatting sqref="U1091">
    <cfRule type="containsText" dxfId="3" priority="1405" operator="containsText" text="В строю">
      <formula>NOT(ISERROR(SEARCH(("В строю"),(U1091))))</formula>
    </cfRule>
  </conditionalFormatting>
  <conditionalFormatting sqref="U1091">
    <cfRule type="containsText" dxfId="4" priority="1406" operator="containsText" text="Відпустка">
      <formula>NOT(ISERROR(SEARCH(("Відпустка"),(U1091))))</formula>
    </cfRule>
  </conditionalFormatting>
  <conditionalFormatting sqref="U1091">
    <cfRule type="containsText" dxfId="5" priority="1407" operator="containsText" text="СЗЧ">
      <formula>NOT(ISERROR(SEARCH(("СЗЧ"),(U1091))))</formula>
    </cfRule>
  </conditionalFormatting>
  <conditionalFormatting sqref="U1091">
    <cfRule type="containsText" dxfId="6" priority="1408" operator="containsText" text="Зниклі безвісти">
      <formula>NOT(ISERROR(SEARCH(("Зниклі безвісти"),(U1091))))</formula>
    </cfRule>
  </conditionalFormatting>
  <conditionalFormatting sqref="U1091">
    <cfRule type="containsText" dxfId="7" priority="1409" operator="containsText" text="Від-ні навчання">
      <formula>NOT(ISERROR(SEARCH(("Від-ні навчання"),(U1091))))</formula>
    </cfRule>
  </conditionalFormatting>
  <conditionalFormatting sqref="U1091">
    <cfRule type="containsText" dxfId="8" priority="1410" operator="containsText" text="Відком. за межі ПБ">
      <formula>NOT(ISERROR(SEARCH(("Відком. за межі ПБ"),(U1091))))</formula>
    </cfRule>
  </conditionalFormatting>
  <conditionalFormatting sqref="U1091">
    <cfRule type="containsText" dxfId="9" priority="1411" operator="containsText" text="Загиблі">
      <formula>NOT(ISERROR(SEARCH(("Загиблі"),(U1091))))</formula>
    </cfRule>
  </conditionalFormatting>
  <conditionalFormatting sqref="U1091">
    <cfRule type="containsText" dxfId="10" priority="1412" operator="containsText" text="Лікування">
      <formula>NOT(ISERROR(SEARCH(("Лікування"),(U1091))))</formula>
    </cfRule>
  </conditionalFormatting>
  <conditionalFormatting sqref="N1091:P1091">
    <cfRule type="expression" dxfId="0" priority="1413">
      <formula>COUNTIF(#REF!, O1091) &gt; 1</formula>
    </cfRule>
  </conditionalFormatting>
  <conditionalFormatting sqref="N1091:P1091">
    <cfRule type="expression" dxfId="0" priority="1414">
      <formula>COUNTIF(#REF!, O1091) &gt; 1</formula>
    </cfRule>
  </conditionalFormatting>
  <conditionalFormatting sqref="N1091:P1091">
    <cfRule type="expression" dxfId="0" priority="1415">
      <formula>COUNTIF(#REF!, O1091) &gt; 1</formula>
    </cfRule>
  </conditionalFormatting>
  <conditionalFormatting sqref="N1091">
    <cfRule type="expression" dxfId="0" priority="1416">
      <formula>COUNTIF(#REF!, N1091) &gt; 1</formula>
    </cfRule>
  </conditionalFormatting>
  <conditionalFormatting sqref="Q1091">
    <cfRule type="cellIs" dxfId="9" priority="1417" operator="notEqual">
      <formula>P1091</formula>
    </cfRule>
  </conditionalFormatting>
  <conditionalFormatting sqref="Q1091">
    <cfRule type="cellIs" dxfId="3" priority="1418" operator="equal">
      <formula>P1091</formula>
    </cfRule>
  </conditionalFormatting>
  <conditionalFormatting sqref="Q1091">
    <cfRule type="cellIs" dxfId="3" priority="1419" operator="equal">
      <formula>P1091</formula>
    </cfRule>
  </conditionalFormatting>
  <conditionalFormatting sqref="Q1091">
    <cfRule type="cellIs" dxfId="9" priority="1420" operator="notEqual">
      <formula>P1091</formula>
    </cfRule>
  </conditionalFormatting>
  <conditionalFormatting sqref="N1069">
    <cfRule type="expression" dxfId="0" priority="1421">
      <formula>COUNTIF(#REF!, N1069) &gt; 1</formula>
    </cfRule>
  </conditionalFormatting>
  <conditionalFormatting sqref="U1069">
    <cfRule type="containsText" dxfId="10" priority="1422" operator="containsText" text="Лікування">
      <formula>NOT(ISERROR(SEARCH(("Лікування"),(U1069))))</formula>
    </cfRule>
  </conditionalFormatting>
  <conditionalFormatting sqref="U1069">
    <cfRule type="containsText" dxfId="9" priority="1423" operator="containsText" text="Загиблі">
      <formula>NOT(ISERROR(SEARCH(("Загиблі"),(U1069))))</formula>
    </cfRule>
  </conditionalFormatting>
  <conditionalFormatting sqref="U1069">
    <cfRule type="containsText" dxfId="8" priority="1424" operator="containsText" text="Відком. за межі ПБ">
      <formula>NOT(ISERROR(SEARCH(("Відком. за межі ПБ"),(U1069))))</formula>
    </cfRule>
  </conditionalFormatting>
  <conditionalFormatting sqref="U1069">
    <cfRule type="containsText" dxfId="7" priority="1425" operator="containsText" text="Від-ні навчання">
      <formula>NOT(ISERROR(SEARCH(("Від-ні навчання"),(U1069))))</formula>
    </cfRule>
  </conditionalFormatting>
  <conditionalFormatting sqref="U1069">
    <cfRule type="containsText" dxfId="6" priority="1426" operator="containsText" text="Зниклі безвісти">
      <formula>NOT(ISERROR(SEARCH(("Зниклі безвісти"),(U1069))))</formula>
    </cfRule>
  </conditionalFormatting>
  <conditionalFormatting sqref="U1069">
    <cfRule type="containsText" dxfId="5" priority="1427" operator="containsText" text="СЗЧ">
      <formula>NOT(ISERROR(SEARCH(("СЗЧ"),(U1069))))</formula>
    </cfRule>
  </conditionalFormatting>
  <conditionalFormatting sqref="U1069">
    <cfRule type="containsText" dxfId="4" priority="1428" operator="containsText" text="Відпустка">
      <formula>NOT(ISERROR(SEARCH(("Відпустка"),(U1069))))</formula>
    </cfRule>
  </conditionalFormatting>
  <conditionalFormatting sqref="U1069">
    <cfRule type="containsText" dxfId="3" priority="1429" operator="containsText" text="В строю">
      <formula>NOT(ISERROR(SEARCH(("В строю"),(U1069))))</formula>
    </cfRule>
  </conditionalFormatting>
  <conditionalFormatting sqref="U1069">
    <cfRule type="containsText" dxfId="3" priority="1430" operator="containsText" text="В строю">
      <formula>NOT(ISERROR(SEARCH(("В строю"),(U1069))))</formula>
    </cfRule>
  </conditionalFormatting>
  <conditionalFormatting sqref="U1069">
    <cfRule type="containsText" dxfId="4" priority="1431" operator="containsText" text="Відпустка">
      <formula>NOT(ISERROR(SEARCH(("Відпустка"),(U1069))))</formula>
    </cfRule>
  </conditionalFormatting>
  <conditionalFormatting sqref="U1069">
    <cfRule type="containsText" dxfId="5" priority="1432" operator="containsText" text="СЗЧ">
      <formula>NOT(ISERROR(SEARCH(("СЗЧ"),(U1069))))</formula>
    </cfRule>
  </conditionalFormatting>
  <conditionalFormatting sqref="U1069">
    <cfRule type="containsText" dxfId="6" priority="1433" operator="containsText" text="Зниклі безвісти">
      <formula>NOT(ISERROR(SEARCH(("Зниклі безвісти"),(U1069))))</formula>
    </cfRule>
  </conditionalFormatting>
  <conditionalFormatting sqref="U1069">
    <cfRule type="containsText" dxfId="7" priority="1434" operator="containsText" text="Від-ні навчання">
      <formula>NOT(ISERROR(SEARCH(("Від-ні навчання"),(U1069))))</formula>
    </cfRule>
  </conditionalFormatting>
  <conditionalFormatting sqref="U1069">
    <cfRule type="containsText" dxfId="8" priority="1435" operator="containsText" text="Відком. за межі ПБ">
      <formula>NOT(ISERROR(SEARCH(("Відком. за межі ПБ"),(U1069))))</formula>
    </cfRule>
  </conditionalFormatting>
  <conditionalFormatting sqref="U1069">
    <cfRule type="containsText" dxfId="9" priority="1436" operator="containsText" text="Загиблі">
      <formula>NOT(ISERROR(SEARCH(("Загиблі"),(U1069))))</formula>
    </cfRule>
  </conditionalFormatting>
  <conditionalFormatting sqref="U1069">
    <cfRule type="containsText" dxfId="10" priority="1437" operator="containsText" text="Лікування">
      <formula>NOT(ISERROR(SEARCH(("Лікування"),(U1069))))</formula>
    </cfRule>
  </conditionalFormatting>
  <conditionalFormatting sqref="Q1069">
    <cfRule type="cellIs" dxfId="9" priority="1438" operator="notEqual">
      <formula>P1069</formula>
    </cfRule>
  </conditionalFormatting>
  <conditionalFormatting sqref="Q1069">
    <cfRule type="cellIs" dxfId="3" priority="1439" operator="equal">
      <formula>P1069</formula>
    </cfRule>
  </conditionalFormatting>
  <conditionalFormatting sqref="N1090">
    <cfRule type="expression" dxfId="0" priority="1440">
      <formula>COUNTIF(#REF!, N1090) &gt; 1</formula>
    </cfRule>
  </conditionalFormatting>
  <conditionalFormatting sqref="Q1090">
    <cfRule type="cellIs" dxfId="9" priority="1441" operator="notEqual">
      <formula>P1090</formula>
    </cfRule>
  </conditionalFormatting>
  <conditionalFormatting sqref="Q1090">
    <cfRule type="cellIs" dxfId="3" priority="1442" operator="equal">
      <formula>P1090</formula>
    </cfRule>
  </conditionalFormatting>
  <conditionalFormatting sqref="U1090">
    <cfRule type="containsText" dxfId="10" priority="1443" operator="containsText" text="Лікування">
      <formula>NOT(ISERROR(SEARCH(("Лікування"),(U1090))))</formula>
    </cfRule>
  </conditionalFormatting>
  <conditionalFormatting sqref="U1090">
    <cfRule type="containsText" dxfId="9" priority="1444" operator="containsText" text="Загиблі">
      <formula>NOT(ISERROR(SEARCH(("Загиблі"),(U1090))))</formula>
    </cfRule>
  </conditionalFormatting>
  <conditionalFormatting sqref="U1090">
    <cfRule type="containsText" dxfId="8" priority="1445" operator="containsText" text="Відком. за межі ПБ">
      <formula>NOT(ISERROR(SEARCH(("Відком. за межі ПБ"),(U1090))))</formula>
    </cfRule>
  </conditionalFormatting>
  <conditionalFormatting sqref="U1090">
    <cfRule type="containsText" dxfId="7" priority="1446" operator="containsText" text="Від-ні навчання">
      <formula>NOT(ISERROR(SEARCH(("Від-ні навчання"),(U1090))))</formula>
    </cfRule>
  </conditionalFormatting>
  <conditionalFormatting sqref="U1090">
    <cfRule type="containsText" dxfId="6" priority="1447" operator="containsText" text="Зниклі безвісти">
      <formula>NOT(ISERROR(SEARCH(("Зниклі безвісти"),(U1090))))</formula>
    </cfRule>
  </conditionalFormatting>
  <conditionalFormatting sqref="U1090">
    <cfRule type="containsText" dxfId="5" priority="1448" operator="containsText" text="СЗЧ">
      <formula>NOT(ISERROR(SEARCH(("СЗЧ"),(U1090))))</formula>
    </cfRule>
  </conditionalFormatting>
  <conditionalFormatting sqref="U1090">
    <cfRule type="containsText" dxfId="4" priority="1449" operator="containsText" text="Відпустка">
      <formula>NOT(ISERROR(SEARCH(("Відпустка"),(U1090))))</formula>
    </cfRule>
  </conditionalFormatting>
  <conditionalFormatting sqref="U1090">
    <cfRule type="containsText" dxfId="3" priority="1450" operator="containsText" text="В строю">
      <formula>NOT(ISERROR(SEARCH(("В строю"),(U1090))))</formula>
    </cfRule>
  </conditionalFormatting>
  <conditionalFormatting sqref="U1090">
    <cfRule type="containsText" dxfId="3" priority="1451" operator="containsText" text="В строю">
      <formula>NOT(ISERROR(SEARCH(("В строю"),(U1090))))</formula>
    </cfRule>
  </conditionalFormatting>
  <conditionalFormatting sqref="U1090">
    <cfRule type="containsText" dxfId="4" priority="1452" operator="containsText" text="Відпустка">
      <formula>NOT(ISERROR(SEARCH(("Відпустка"),(U1090))))</formula>
    </cfRule>
  </conditionalFormatting>
  <conditionalFormatting sqref="U1090">
    <cfRule type="containsText" dxfId="5" priority="1453" operator="containsText" text="СЗЧ">
      <formula>NOT(ISERROR(SEARCH(("СЗЧ"),(U1090))))</formula>
    </cfRule>
  </conditionalFormatting>
  <conditionalFormatting sqref="U1090">
    <cfRule type="containsText" dxfId="6" priority="1454" operator="containsText" text="Зниклі безвісти">
      <formula>NOT(ISERROR(SEARCH(("Зниклі безвісти"),(U1090))))</formula>
    </cfRule>
  </conditionalFormatting>
  <conditionalFormatting sqref="U1090">
    <cfRule type="containsText" dxfId="7" priority="1455" operator="containsText" text="Від-ні навчання">
      <formula>NOT(ISERROR(SEARCH(("Від-ні навчання"),(U1090))))</formula>
    </cfRule>
  </conditionalFormatting>
  <conditionalFormatting sqref="U1090">
    <cfRule type="containsText" dxfId="8" priority="1456" operator="containsText" text="Відком. за межі ПБ">
      <formula>NOT(ISERROR(SEARCH(("Відком. за межі ПБ"),(U1090))))</formula>
    </cfRule>
  </conditionalFormatting>
  <conditionalFormatting sqref="U1090">
    <cfRule type="containsText" dxfId="9" priority="1457" operator="containsText" text="Загиблі">
      <formula>NOT(ISERROR(SEARCH(("Загиблі"),(U1090))))</formula>
    </cfRule>
  </conditionalFormatting>
  <conditionalFormatting sqref="U1090">
    <cfRule type="containsText" dxfId="10" priority="1458" operator="containsText" text="Лікування">
      <formula>NOT(ISERROR(SEARCH(("Лікування"),(U1090))))</formula>
    </cfRule>
  </conditionalFormatting>
  <conditionalFormatting sqref="U1089">
    <cfRule type="containsText" dxfId="10" priority="1459" operator="containsText" text="Лікування">
      <formula>NOT(ISERROR(SEARCH(("Лікування"),(U1089))))</formula>
    </cfRule>
  </conditionalFormatting>
  <conditionalFormatting sqref="U1089">
    <cfRule type="containsText" dxfId="9" priority="1460" operator="containsText" text="Загиблі">
      <formula>NOT(ISERROR(SEARCH(("Загиблі"),(U1089))))</formula>
    </cfRule>
  </conditionalFormatting>
  <conditionalFormatting sqref="U1089">
    <cfRule type="containsText" dxfId="8" priority="1461" operator="containsText" text="Відком. за межі ПБ">
      <formula>NOT(ISERROR(SEARCH(("Відком. за межі ПБ"),(U1089))))</formula>
    </cfRule>
  </conditionalFormatting>
  <conditionalFormatting sqref="U1089">
    <cfRule type="containsText" dxfId="7" priority="1462" operator="containsText" text="Від-ні навчання">
      <formula>NOT(ISERROR(SEARCH(("Від-ні навчання"),(U1089))))</formula>
    </cfRule>
  </conditionalFormatting>
  <conditionalFormatting sqref="U1089">
    <cfRule type="containsText" dxfId="6" priority="1463" operator="containsText" text="Зниклі безвісти">
      <formula>NOT(ISERROR(SEARCH(("Зниклі безвісти"),(U1089))))</formula>
    </cfRule>
  </conditionalFormatting>
  <conditionalFormatting sqref="U1089">
    <cfRule type="containsText" dxfId="5" priority="1464" operator="containsText" text="СЗЧ">
      <formula>NOT(ISERROR(SEARCH(("СЗЧ"),(U1089))))</formula>
    </cfRule>
  </conditionalFormatting>
  <conditionalFormatting sqref="U1089">
    <cfRule type="containsText" dxfId="4" priority="1465" operator="containsText" text="Відпустка">
      <formula>NOT(ISERROR(SEARCH(("Відпустка"),(U1089))))</formula>
    </cfRule>
  </conditionalFormatting>
  <conditionalFormatting sqref="U1089">
    <cfRule type="containsText" dxfId="3" priority="1466" operator="containsText" text="В строю">
      <formula>NOT(ISERROR(SEARCH(("В строю"),(U1089))))</formula>
    </cfRule>
  </conditionalFormatting>
  <conditionalFormatting sqref="U1089">
    <cfRule type="containsText" dxfId="3" priority="1467" operator="containsText" text="В строю">
      <formula>NOT(ISERROR(SEARCH(("В строю"),(U1089))))</formula>
    </cfRule>
  </conditionalFormatting>
  <conditionalFormatting sqref="U1089">
    <cfRule type="containsText" dxfId="4" priority="1468" operator="containsText" text="Відпустка">
      <formula>NOT(ISERROR(SEARCH(("Відпустка"),(U1089))))</formula>
    </cfRule>
  </conditionalFormatting>
  <conditionalFormatting sqref="U1089">
    <cfRule type="containsText" dxfId="5" priority="1469" operator="containsText" text="СЗЧ">
      <formula>NOT(ISERROR(SEARCH(("СЗЧ"),(U1089))))</formula>
    </cfRule>
  </conditionalFormatting>
  <conditionalFormatting sqref="U1089">
    <cfRule type="containsText" dxfId="6" priority="1470" operator="containsText" text="Зниклі безвісти">
      <formula>NOT(ISERROR(SEARCH(("Зниклі безвісти"),(U1089))))</formula>
    </cfRule>
  </conditionalFormatting>
  <conditionalFormatting sqref="U1089">
    <cfRule type="containsText" dxfId="7" priority="1471" operator="containsText" text="Від-ні навчання">
      <formula>NOT(ISERROR(SEARCH(("Від-ні навчання"),(U1089))))</formula>
    </cfRule>
  </conditionalFormatting>
  <conditionalFormatting sqref="U1089">
    <cfRule type="containsText" dxfId="8" priority="1472" operator="containsText" text="Відком. за межі ПБ">
      <formula>NOT(ISERROR(SEARCH(("Відком. за межі ПБ"),(U1089))))</formula>
    </cfRule>
  </conditionalFormatting>
  <conditionalFormatting sqref="U1089">
    <cfRule type="containsText" dxfId="9" priority="1473" operator="containsText" text="Загиблі">
      <formula>NOT(ISERROR(SEARCH(("Загиблі"),(U1089))))</formula>
    </cfRule>
  </conditionalFormatting>
  <conditionalFormatting sqref="U1089">
    <cfRule type="containsText" dxfId="10" priority="1474" operator="containsText" text="Лікування">
      <formula>NOT(ISERROR(SEARCH(("Лікування"),(U1089))))</formula>
    </cfRule>
  </conditionalFormatting>
  <conditionalFormatting sqref="Q1089">
    <cfRule type="cellIs" dxfId="9" priority="1475" operator="notEqual">
      <formula>P1089</formula>
    </cfRule>
  </conditionalFormatting>
  <conditionalFormatting sqref="Q1089">
    <cfRule type="cellIs" dxfId="3" priority="1476" operator="equal">
      <formula>P1089</formula>
    </cfRule>
  </conditionalFormatting>
  <conditionalFormatting sqref="N1089">
    <cfRule type="expression" dxfId="0" priority="1477">
      <formula>COUNTIF(#REF!, N1089) &gt; 1</formula>
    </cfRule>
  </conditionalFormatting>
  <conditionalFormatting sqref="U1088">
    <cfRule type="containsText" dxfId="10" priority="1478" operator="containsText" text="Лікування">
      <formula>NOT(ISERROR(SEARCH(("Лікування"),(U1088))))</formula>
    </cfRule>
  </conditionalFormatting>
  <conditionalFormatting sqref="U1088">
    <cfRule type="containsText" dxfId="9" priority="1479" operator="containsText" text="Загиблі">
      <formula>NOT(ISERROR(SEARCH(("Загиблі"),(U1088))))</formula>
    </cfRule>
  </conditionalFormatting>
  <conditionalFormatting sqref="U1088">
    <cfRule type="containsText" dxfId="8" priority="1480" operator="containsText" text="Відком. за межі ПБ">
      <formula>NOT(ISERROR(SEARCH(("Відком. за межі ПБ"),(U1088))))</formula>
    </cfRule>
  </conditionalFormatting>
  <conditionalFormatting sqref="U1088">
    <cfRule type="containsText" dxfId="7" priority="1481" operator="containsText" text="Від-ні навчання">
      <formula>NOT(ISERROR(SEARCH(("Від-ні навчання"),(U1088))))</formula>
    </cfRule>
  </conditionalFormatting>
  <conditionalFormatting sqref="U1088">
    <cfRule type="containsText" dxfId="6" priority="1482" operator="containsText" text="Зниклі безвісти">
      <formula>NOT(ISERROR(SEARCH(("Зниклі безвісти"),(U1088))))</formula>
    </cfRule>
  </conditionalFormatting>
  <conditionalFormatting sqref="U1088">
    <cfRule type="containsText" dxfId="5" priority="1483" operator="containsText" text="СЗЧ">
      <formula>NOT(ISERROR(SEARCH(("СЗЧ"),(U1088))))</formula>
    </cfRule>
  </conditionalFormatting>
  <conditionalFormatting sqref="U1088">
    <cfRule type="containsText" dxfId="4" priority="1484" operator="containsText" text="Відпустка">
      <formula>NOT(ISERROR(SEARCH(("Відпустка"),(U1088))))</formula>
    </cfRule>
  </conditionalFormatting>
  <conditionalFormatting sqref="U1088">
    <cfRule type="containsText" dxfId="3" priority="1485" operator="containsText" text="В строю">
      <formula>NOT(ISERROR(SEARCH(("В строю"),(U1088))))</formula>
    </cfRule>
  </conditionalFormatting>
  <conditionalFormatting sqref="U1088">
    <cfRule type="containsText" dxfId="3" priority="1486" operator="containsText" text="В строю">
      <formula>NOT(ISERROR(SEARCH(("В строю"),(U1088))))</formula>
    </cfRule>
  </conditionalFormatting>
  <conditionalFormatting sqref="U1088">
    <cfRule type="containsText" dxfId="4" priority="1487" operator="containsText" text="Відпустка">
      <formula>NOT(ISERROR(SEARCH(("Відпустка"),(U1088))))</formula>
    </cfRule>
  </conditionalFormatting>
  <conditionalFormatting sqref="U1088">
    <cfRule type="containsText" dxfId="5" priority="1488" operator="containsText" text="СЗЧ">
      <formula>NOT(ISERROR(SEARCH(("СЗЧ"),(U1088))))</formula>
    </cfRule>
  </conditionalFormatting>
  <conditionalFormatting sqref="U1088">
    <cfRule type="containsText" dxfId="6" priority="1489" operator="containsText" text="Зниклі безвісти">
      <formula>NOT(ISERROR(SEARCH(("Зниклі безвісти"),(U1088))))</formula>
    </cfRule>
  </conditionalFormatting>
  <conditionalFormatting sqref="U1088">
    <cfRule type="containsText" dxfId="7" priority="1490" operator="containsText" text="Від-ні навчання">
      <formula>NOT(ISERROR(SEARCH(("Від-ні навчання"),(U1088))))</formula>
    </cfRule>
  </conditionalFormatting>
  <conditionalFormatting sqref="U1088">
    <cfRule type="containsText" dxfId="8" priority="1491" operator="containsText" text="Відком. за межі ПБ">
      <formula>NOT(ISERROR(SEARCH(("Відком. за межі ПБ"),(U1088))))</formula>
    </cfRule>
  </conditionalFormatting>
  <conditionalFormatting sqref="U1088">
    <cfRule type="containsText" dxfId="9" priority="1492" operator="containsText" text="Загиблі">
      <formula>NOT(ISERROR(SEARCH(("Загиблі"),(U1088))))</formula>
    </cfRule>
  </conditionalFormatting>
  <conditionalFormatting sqref="U1088">
    <cfRule type="containsText" dxfId="10" priority="1493" operator="containsText" text="Лікування">
      <formula>NOT(ISERROR(SEARCH(("Лікування"),(U1088))))</formula>
    </cfRule>
  </conditionalFormatting>
  <conditionalFormatting sqref="Q1088">
    <cfRule type="cellIs" dxfId="9" priority="1494" operator="notEqual">
      <formula>P1088</formula>
    </cfRule>
  </conditionalFormatting>
  <conditionalFormatting sqref="Q1088">
    <cfRule type="cellIs" dxfId="3" priority="1495" operator="equal">
      <formula>P1088</formula>
    </cfRule>
  </conditionalFormatting>
  <conditionalFormatting sqref="N1088">
    <cfRule type="expression" dxfId="0" priority="1496">
      <formula>COUNTIF(#REF!, N1088) &gt; 1</formula>
    </cfRule>
  </conditionalFormatting>
  <conditionalFormatting sqref="U1087">
    <cfRule type="containsText" dxfId="10" priority="1497" operator="containsText" text="Лікування">
      <formula>NOT(ISERROR(SEARCH(("Лікування"),(U1087))))</formula>
    </cfRule>
  </conditionalFormatting>
  <conditionalFormatting sqref="U1087">
    <cfRule type="containsText" dxfId="9" priority="1498" operator="containsText" text="Загиблі">
      <formula>NOT(ISERROR(SEARCH(("Загиблі"),(U1087))))</formula>
    </cfRule>
  </conditionalFormatting>
  <conditionalFormatting sqref="U1087">
    <cfRule type="containsText" dxfId="8" priority="1499" operator="containsText" text="Відком. за межі ПБ">
      <formula>NOT(ISERROR(SEARCH(("Відком. за межі ПБ"),(U1087))))</formula>
    </cfRule>
  </conditionalFormatting>
  <conditionalFormatting sqref="U1087">
    <cfRule type="containsText" dxfId="7" priority="1500" operator="containsText" text="Від-ні навчання">
      <formula>NOT(ISERROR(SEARCH(("Від-ні навчання"),(U1087))))</formula>
    </cfRule>
  </conditionalFormatting>
  <conditionalFormatting sqref="U1087">
    <cfRule type="containsText" dxfId="6" priority="1501" operator="containsText" text="Зниклі безвісти">
      <formula>NOT(ISERROR(SEARCH(("Зниклі безвісти"),(U1087))))</formula>
    </cfRule>
  </conditionalFormatting>
  <conditionalFormatting sqref="U1087">
    <cfRule type="containsText" dxfId="5" priority="1502" operator="containsText" text="СЗЧ">
      <formula>NOT(ISERROR(SEARCH(("СЗЧ"),(U1087))))</formula>
    </cfRule>
  </conditionalFormatting>
  <conditionalFormatting sqref="U1087">
    <cfRule type="containsText" dxfId="4" priority="1503" operator="containsText" text="Відпустка">
      <formula>NOT(ISERROR(SEARCH(("Відпустка"),(U1087))))</formula>
    </cfRule>
  </conditionalFormatting>
  <conditionalFormatting sqref="U1087">
    <cfRule type="containsText" dxfId="3" priority="1504" operator="containsText" text="В строю">
      <formula>NOT(ISERROR(SEARCH(("В строю"),(U1087))))</formula>
    </cfRule>
  </conditionalFormatting>
  <conditionalFormatting sqref="U1087">
    <cfRule type="containsText" dxfId="3" priority="1505" operator="containsText" text="В строю">
      <formula>NOT(ISERROR(SEARCH(("В строю"),(U1087))))</formula>
    </cfRule>
  </conditionalFormatting>
  <conditionalFormatting sqref="U1087">
    <cfRule type="containsText" dxfId="4" priority="1506" operator="containsText" text="Відпустка">
      <formula>NOT(ISERROR(SEARCH(("Відпустка"),(U1087))))</formula>
    </cfRule>
  </conditionalFormatting>
  <conditionalFormatting sqref="U1087">
    <cfRule type="containsText" dxfId="5" priority="1507" operator="containsText" text="СЗЧ">
      <formula>NOT(ISERROR(SEARCH(("СЗЧ"),(U1087))))</formula>
    </cfRule>
  </conditionalFormatting>
  <conditionalFormatting sqref="U1087">
    <cfRule type="containsText" dxfId="6" priority="1508" operator="containsText" text="Зниклі безвісти">
      <formula>NOT(ISERROR(SEARCH(("Зниклі безвісти"),(U1087))))</formula>
    </cfRule>
  </conditionalFormatting>
  <conditionalFormatting sqref="U1087">
    <cfRule type="containsText" dxfId="7" priority="1509" operator="containsText" text="Від-ні навчання">
      <formula>NOT(ISERROR(SEARCH(("Від-ні навчання"),(U1087))))</formula>
    </cfRule>
  </conditionalFormatting>
  <conditionalFormatting sqref="U1087">
    <cfRule type="containsText" dxfId="8" priority="1510" operator="containsText" text="Відком. за межі ПБ">
      <formula>NOT(ISERROR(SEARCH(("Відком. за межі ПБ"),(U1087))))</formula>
    </cfRule>
  </conditionalFormatting>
  <conditionalFormatting sqref="U1087">
    <cfRule type="containsText" dxfId="9" priority="1511" operator="containsText" text="Загиблі">
      <formula>NOT(ISERROR(SEARCH(("Загиблі"),(U1087))))</formula>
    </cfRule>
  </conditionalFormatting>
  <conditionalFormatting sqref="U1087">
    <cfRule type="containsText" dxfId="10" priority="1512" operator="containsText" text="Лікування">
      <formula>NOT(ISERROR(SEARCH(("Лікування"),(U1087))))</formula>
    </cfRule>
  </conditionalFormatting>
  <conditionalFormatting sqref="Q1087">
    <cfRule type="cellIs" dxfId="9" priority="1513" operator="notEqual">
      <formula>P1087</formula>
    </cfRule>
  </conditionalFormatting>
  <conditionalFormatting sqref="Q1087">
    <cfRule type="cellIs" dxfId="3" priority="1514" operator="equal">
      <formula>P1087</formula>
    </cfRule>
  </conditionalFormatting>
  <conditionalFormatting sqref="N1087">
    <cfRule type="expression" dxfId="0" priority="1515">
      <formula>COUNTIF(#REF!, N1087) &gt; 1</formula>
    </cfRule>
  </conditionalFormatting>
  <conditionalFormatting sqref="U1085:U1086 U1093:U1102 U1113:U1115 N1119 U1119:U1120 U1122:U1129 U1131:U1132 U1136:U1139 U1141:U1177 U1184:U1243 O1240 U1245:U1249">
    <cfRule type="containsText" dxfId="10" priority="1516" operator="containsText" text="Лікування">
      <formula>NOT(ISERROR(SEARCH(("Лікування"),(U1085))))</formula>
    </cfRule>
  </conditionalFormatting>
  <conditionalFormatting sqref="U1085:U1086 U1093:U1102 U1113:U1115 N1119 U1119:U1120 U1122:U1129 U1131:U1132 U1136:U1139 U1141:U1177 U1184:U1243 O1240 U1245:U1249">
    <cfRule type="containsText" dxfId="9" priority="1517" operator="containsText" text="Загиблі">
      <formula>NOT(ISERROR(SEARCH(("Загиблі"),(U1085))))</formula>
    </cfRule>
  </conditionalFormatting>
  <conditionalFormatting sqref="U1085:U1086 U1093:U1102 U1113:U1115 N1119 U1119:U1120 U1122:U1129 U1131:U1132 U1136:U1139 U1141:U1177 U1184:U1243 O1240 U1245:U1249">
    <cfRule type="containsText" dxfId="8" priority="1518" operator="containsText" text="Відком. за межі ПБ">
      <formula>NOT(ISERROR(SEARCH(("Відком. за межі ПБ"),(U1085))))</formula>
    </cfRule>
  </conditionalFormatting>
  <conditionalFormatting sqref="U1085:U1086 U1093:U1102 U1113:U1115 N1119 U1119:U1120 U1122:U1129 U1131:U1132 U1136:U1139 U1141:U1177 U1184:U1243 O1240 U1245:U1249">
    <cfRule type="containsText" dxfId="7" priority="1519" operator="containsText" text="Від-ні навчання">
      <formula>NOT(ISERROR(SEARCH(("Від-ні навчання"),(U1085))))</formula>
    </cfRule>
  </conditionalFormatting>
  <conditionalFormatting sqref="U1085:U1086 U1093:U1102 U1113:U1115 N1119 U1119:U1120 U1122:U1129 U1131:U1132 U1136:U1139 U1141:U1177 U1184:U1243 O1240 U1245:U1249">
    <cfRule type="containsText" dxfId="6" priority="1520" operator="containsText" text="Зниклі безвісти">
      <formula>NOT(ISERROR(SEARCH(("Зниклі безвісти"),(U1085))))</formula>
    </cfRule>
  </conditionalFormatting>
  <conditionalFormatting sqref="U1085:U1086 U1093:U1102 U1113:U1115 N1119 U1119:U1120 U1122:U1129 U1131:U1132 U1136:U1139 U1141:U1177 U1184:U1243 O1240 U1245:U1249">
    <cfRule type="containsText" dxfId="5" priority="1521" operator="containsText" text="СЗЧ">
      <formula>NOT(ISERROR(SEARCH(("СЗЧ"),(U1085))))</formula>
    </cfRule>
  </conditionalFormatting>
  <conditionalFormatting sqref="U1085:U1086 U1093:U1102 U1113:U1115 N1119 U1119:U1120 U1122:U1129 U1131:U1132 U1136:U1139 U1141:U1177 U1184:U1243 O1240 U1245:U1249">
    <cfRule type="containsText" dxfId="4" priority="1522" operator="containsText" text="Відпустка">
      <formula>NOT(ISERROR(SEARCH(("Відпустка"),(U1085))))</formula>
    </cfRule>
  </conditionalFormatting>
  <conditionalFormatting sqref="U1085:U1086 U1093:U1102 U1113:U1115 N1119 U1119:U1120 U1122:U1129 U1131:U1132 U1136:U1139 U1141:U1177 U1184:U1243 O1240 U1245:U1249">
    <cfRule type="containsText" dxfId="3" priority="1523" operator="containsText" text="В строю">
      <formula>NOT(ISERROR(SEARCH(("В строю"),(U1085))))</formula>
    </cfRule>
  </conditionalFormatting>
  <conditionalFormatting sqref="N1085:N1086 N1093:N1102 N1113:N1115 N1119:N1120 N1122:N1129 O1123 N1131:N1132 N1136:N1139 O1137 N1141:O1177 N1184:O1243 P1189 P1232 N1245:O1249 P1245">
    <cfRule type="expression" dxfId="0" priority="1524">
      <formula>COUNTIF(#REF!, N1085) &gt; 1</formula>
    </cfRule>
  </conditionalFormatting>
  <conditionalFormatting sqref="U1085:U1086 U1093:U1102 U1113:U1115 U1119:U1120 U1122:U1129 U1131:U1132 U1136:U1139 U1141:U1177 U1184:U1243 U1245:U1249">
    <cfRule type="containsText" dxfId="3" priority="1525" operator="containsText" text="В строю">
      <formula>NOT(ISERROR(SEARCH(("В строю"),(U1085))))</formula>
    </cfRule>
  </conditionalFormatting>
  <conditionalFormatting sqref="U1085:U1086 U1093:U1102 U1113:U1115 U1119:U1120 U1122:U1129 U1131:U1132 U1136:U1139 U1141:U1177 U1184:U1243 U1245:U1249">
    <cfRule type="containsText" dxfId="4" priority="1526" operator="containsText" text="Відпустка">
      <formula>NOT(ISERROR(SEARCH(("Відпустка"),(U1085))))</formula>
    </cfRule>
  </conditionalFormatting>
  <conditionalFormatting sqref="U1085:U1086 U1093:U1102 U1113:U1115 U1119:U1120 U1122:U1129 U1131:U1132 U1136:U1139 U1141:U1177 U1184:U1243 U1245:U1249">
    <cfRule type="containsText" dxfId="5" priority="1527" operator="containsText" text="СЗЧ">
      <formula>NOT(ISERROR(SEARCH(("СЗЧ"),(U1085))))</formula>
    </cfRule>
  </conditionalFormatting>
  <conditionalFormatting sqref="U1085:U1086 U1093:U1102 U1113:U1115 U1119:U1120 U1122:U1129 U1131:U1132 U1136:U1139 U1141:U1177 U1184:U1243 U1245:U1249">
    <cfRule type="containsText" dxfId="6" priority="1528" operator="containsText" text="Зниклі безвісти">
      <formula>NOT(ISERROR(SEARCH(("Зниклі безвісти"),(U1085))))</formula>
    </cfRule>
  </conditionalFormatting>
  <conditionalFormatting sqref="U1085:U1086 U1093:U1102 U1113:U1115 U1119:U1120 U1122:U1129 U1131:U1132 U1136:U1139 U1141:U1177 U1184:U1243 U1245:U1249">
    <cfRule type="containsText" dxfId="7" priority="1529" operator="containsText" text="Від-ні навчання">
      <formula>NOT(ISERROR(SEARCH(("Від-ні навчання"),(U1085))))</formula>
    </cfRule>
  </conditionalFormatting>
  <conditionalFormatting sqref="U1085:U1086 U1093:U1102 U1113:U1115 U1119:U1120 U1122:U1129 U1131:U1132 U1136:U1139 U1141:U1177 U1184:U1243 U1245:U1249">
    <cfRule type="containsText" dxfId="8" priority="1530" operator="containsText" text="Відком. за межі ПБ">
      <formula>NOT(ISERROR(SEARCH(("Відком. за межі ПБ"),(U1085))))</formula>
    </cfRule>
  </conditionalFormatting>
  <conditionalFormatting sqref="U1085:U1086 U1093:U1102 U1113:U1115 U1119:U1120 U1122:U1129 U1131:U1132 U1136:U1139 U1141:U1177 U1184:U1243 U1245:U1249">
    <cfRule type="containsText" dxfId="9" priority="1531" operator="containsText" text="Загиблі">
      <formula>NOT(ISERROR(SEARCH(("Загиблі"),(U1085))))</formula>
    </cfRule>
  </conditionalFormatting>
  <conditionalFormatting sqref="U1085:U1086 U1093:U1102 U1113:U1115 U1119:U1120 U1122:U1129 U1131:U1132 U1136:U1139 U1141:U1177 U1184:U1243 U1245:U1249">
    <cfRule type="containsText" dxfId="10" priority="1532" operator="containsText" text="Лікування">
      <formula>NOT(ISERROR(SEARCH(("Лікування"),(U1085))))</formula>
    </cfRule>
  </conditionalFormatting>
  <conditionalFormatting sqref="Q1085:Q1086 Q1093:Q1102 Q1113:Q1115 Q1119:Q1120 Q1122:Q1129 Q1131:Q1132 Q1136:Q1139 Q1141:Q1177 Q1184:Q1243 Q1245:Q1249">
    <cfRule type="cellIs" dxfId="9" priority="1533" operator="notEqual">
      <formula>P1085</formula>
    </cfRule>
  </conditionalFormatting>
  <conditionalFormatting sqref="Q1085:Q1086 Q1093:Q1102 Q1113:Q1115 Q1119:Q1120 Q1122:Q1129 Q1131:Q1132 Q1136:Q1139 Q1141:Q1177 Q1184:Q1243 Q1245:Q1249">
    <cfRule type="cellIs" dxfId="3" priority="1534" operator="equal">
      <formula>P1085</formula>
    </cfRule>
  </conditionalFormatting>
  <conditionalFormatting sqref="N1084">
    <cfRule type="expression" dxfId="0" priority="1535">
      <formula>COUNTIF(#REF!, N1084) &gt; 1</formula>
    </cfRule>
  </conditionalFormatting>
  <conditionalFormatting sqref="AK1084">
    <cfRule type="containsText" dxfId="18" priority="1536" operator="containsText" text="В строю">
      <formula>NOT(ISERROR(SEARCH(("В строю"),(AK1084))))</formula>
    </cfRule>
  </conditionalFormatting>
  <conditionalFormatting sqref="AK1084">
    <cfRule type="containsText" dxfId="8" priority="1537" operator="containsText" text="Від-ні за межі бату">
      <formula>NOT(ISERROR(SEARCH(("Від-ні за межі бату"),(AK1084))))</formula>
    </cfRule>
  </conditionalFormatting>
  <conditionalFormatting sqref="AK1084">
    <cfRule type="containsText" dxfId="17" priority="1538" operator="containsText" text="Відпустка">
      <formula>NOT(ISERROR(SEARCH(("Відпустка"),(AK1084))))</formula>
    </cfRule>
  </conditionalFormatting>
  <conditionalFormatting sqref="AK1084">
    <cfRule type="containsText" dxfId="16" priority="1539" operator="containsText" text="Мед.пункт">
      <formula>NOT(ISERROR(SEARCH(("Мед.пункт"),(AK1084))))</formula>
    </cfRule>
  </conditionalFormatting>
  <conditionalFormatting sqref="AK1084">
    <cfRule type="containsText" dxfId="15" priority="1540" operator="containsText" text="СТАТУС">
      <formula>NOT(ISERROR(SEARCH(("СТАТУС"),(AK1084))))</formula>
    </cfRule>
  </conditionalFormatting>
  <conditionalFormatting sqref="AK1084">
    <cfRule type="containsText" dxfId="14" priority="1541" operator="containsText" text="Лікування">
      <formula>NOT(ISERROR(SEARCH(("Лікування"),(AK1084))))</formula>
    </cfRule>
  </conditionalFormatting>
  <conditionalFormatting sqref="AK1084">
    <cfRule type="containsText" dxfId="13" priority="1542" operator="containsText" text="СЗЧ">
      <formula>NOT(ISERROR(SEARCH(("СЗЧ"),(AK1084))))</formula>
    </cfRule>
  </conditionalFormatting>
  <conditionalFormatting sqref="AK1084">
    <cfRule type="containsText" dxfId="11" priority="1543" operator="containsText" text="Зниклі безвісти">
      <formula>NOT(ISERROR(SEARCH(("Зниклі безвісти"),(AK1084))))</formula>
    </cfRule>
  </conditionalFormatting>
  <conditionalFormatting sqref="AK1084">
    <cfRule type="cellIs" dxfId="12" priority="1544" operator="equal">
      <formula>SUM(#REF!)</formula>
    </cfRule>
  </conditionalFormatting>
  <conditionalFormatting sqref="U1084">
    <cfRule type="containsText" dxfId="3" priority="1545" operator="containsText" text="В строю">
      <formula>NOT(ISERROR(SEARCH(("В строю"),(U1084))))</formula>
    </cfRule>
  </conditionalFormatting>
  <conditionalFormatting sqref="U1084">
    <cfRule type="containsText" dxfId="4" priority="1546" operator="containsText" text="Відпустка">
      <formula>NOT(ISERROR(SEARCH(("Відпустка"),(U1084))))</formula>
    </cfRule>
  </conditionalFormatting>
  <conditionalFormatting sqref="U1084">
    <cfRule type="containsText" dxfId="5" priority="1547" operator="containsText" text="СЗЧ">
      <formula>NOT(ISERROR(SEARCH(("СЗЧ"),(U1084))))</formula>
    </cfRule>
  </conditionalFormatting>
  <conditionalFormatting sqref="U1084">
    <cfRule type="containsText" dxfId="6" priority="1548" operator="containsText" text="Зниклі безвісти">
      <formula>NOT(ISERROR(SEARCH(("Зниклі безвісти"),(U1084))))</formula>
    </cfRule>
  </conditionalFormatting>
  <conditionalFormatting sqref="U1084">
    <cfRule type="containsText" dxfId="7" priority="1549" operator="containsText" text="Від-ні навчання">
      <formula>NOT(ISERROR(SEARCH(("Від-ні навчання"),(U1084))))</formula>
    </cfRule>
  </conditionalFormatting>
  <conditionalFormatting sqref="U1084">
    <cfRule type="containsText" dxfId="8" priority="1550" operator="containsText" text="Відком. за межі ПБ">
      <formula>NOT(ISERROR(SEARCH(("Відком. за межі ПБ"),(U1084))))</formula>
    </cfRule>
  </conditionalFormatting>
  <conditionalFormatting sqref="U1084">
    <cfRule type="containsText" dxfId="9" priority="1551" operator="containsText" text="Загиблі">
      <formula>NOT(ISERROR(SEARCH(("Загиблі"),(U1084))))</formula>
    </cfRule>
  </conditionalFormatting>
  <conditionalFormatting sqref="U1084">
    <cfRule type="containsText" dxfId="10" priority="1552" operator="containsText" text="Лікування">
      <formula>NOT(ISERROR(SEARCH(("Лікування"),(U1084))))</formula>
    </cfRule>
  </conditionalFormatting>
  <conditionalFormatting sqref="U1084">
    <cfRule type="containsText" dxfId="10" priority="1553" operator="containsText" text="Лікування">
      <formula>NOT(ISERROR(SEARCH(("Лікування"),(U1084))))</formula>
    </cfRule>
  </conditionalFormatting>
  <conditionalFormatting sqref="U1084">
    <cfRule type="containsText" dxfId="9" priority="1554" operator="containsText" text="Загиблі">
      <formula>NOT(ISERROR(SEARCH(("Загиблі"),(U1084))))</formula>
    </cfRule>
  </conditionalFormatting>
  <conditionalFormatting sqref="U1084">
    <cfRule type="containsText" dxfId="8" priority="1555" operator="containsText" text="Відком. за межі ПБ">
      <formula>NOT(ISERROR(SEARCH(("Відком. за межі ПБ"),(U1084))))</formula>
    </cfRule>
  </conditionalFormatting>
  <conditionalFormatting sqref="U1084">
    <cfRule type="containsText" dxfId="7" priority="1556" operator="containsText" text="Від-ні навчання">
      <formula>NOT(ISERROR(SEARCH(("Від-ні навчання"),(U1084))))</formula>
    </cfRule>
  </conditionalFormatting>
  <conditionalFormatting sqref="U1084">
    <cfRule type="containsText" dxfId="6" priority="1557" operator="containsText" text="Зниклі безвісти">
      <formula>NOT(ISERROR(SEARCH(("Зниклі безвісти"),(U1084))))</formula>
    </cfRule>
  </conditionalFormatting>
  <conditionalFormatting sqref="U1084">
    <cfRule type="containsText" dxfId="5" priority="1558" operator="containsText" text="СЗЧ">
      <formula>NOT(ISERROR(SEARCH(("СЗЧ"),(U1084))))</formula>
    </cfRule>
  </conditionalFormatting>
  <conditionalFormatting sqref="U1084">
    <cfRule type="containsText" dxfId="4" priority="1559" operator="containsText" text="Відпустка">
      <formula>NOT(ISERROR(SEARCH(("Відпустка"),(U1084))))</formula>
    </cfRule>
  </conditionalFormatting>
  <conditionalFormatting sqref="U1084">
    <cfRule type="containsText" dxfId="3" priority="1560" operator="containsText" text="В строю">
      <formula>NOT(ISERROR(SEARCH(("В строю"),(U1084))))</formula>
    </cfRule>
  </conditionalFormatting>
  <conditionalFormatting sqref="N1084:O1084">
    <cfRule type="expression" dxfId="0" priority="1561">
      <formula>COUNTIF(#REF!, O1084) &gt; 1</formula>
    </cfRule>
  </conditionalFormatting>
  <conditionalFormatting sqref="N1084:O1084">
    <cfRule type="expression" dxfId="0" priority="1562">
      <formula>COUNTIF(#REF!, O1084) &gt; 1</formula>
    </cfRule>
  </conditionalFormatting>
  <conditionalFormatting sqref="N1084:O1084">
    <cfRule type="expression" dxfId="0" priority="1563">
      <formula>COUNTIF(#REF!, O1084) &gt; 1</formula>
    </cfRule>
  </conditionalFormatting>
  <conditionalFormatting sqref="Q1084">
    <cfRule type="cellIs" dxfId="3" priority="1564" operator="equal">
      <formula>P1084</formula>
    </cfRule>
  </conditionalFormatting>
  <conditionalFormatting sqref="Q1084">
    <cfRule type="cellIs" dxfId="9" priority="1565" operator="notEqual">
      <formula>P1084</formula>
    </cfRule>
  </conditionalFormatting>
  <conditionalFormatting sqref="Q1084">
    <cfRule type="cellIs" dxfId="9" priority="1566" operator="notEqual">
      <formula>P1084</formula>
    </cfRule>
  </conditionalFormatting>
  <conditionalFormatting sqref="Q1084">
    <cfRule type="cellIs" dxfId="3" priority="1567" operator="equal">
      <formula>P1084</formula>
    </cfRule>
  </conditionalFormatting>
  <conditionalFormatting sqref="U1083">
    <cfRule type="containsText" dxfId="10" priority="1568" operator="containsText" text="Лікування">
      <formula>NOT(ISERROR(SEARCH(("Лікування"),(U1083))))</formula>
    </cfRule>
  </conditionalFormatting>
  <conditionalFormatting sqref="U1083">
    <cfRule type="containsText" dxfId="9" priority="1569" operator="containsText" text="Загиблі">
      <formula>NOT(ISERROR(SEARCH(("Загиблі"),(U1083))))</formula>
    </cfRule>
  </conditionalFormatting>
  <conditionalFormatting sqref="U1083">
    <cfRule type="containsText" dxfId="8" priority="1570" operator="containsText" text="Відком. за межі ПБ">
      <formula>NOT(ISERROR(SEARCH(("Відком. за межі ПБ"),(U1083))))</formula>
    </cfRule>
  </conditionalFormatting>
  <conditionalFormatting sqref="U1083">
    <cfRule type="containsText" dxfId="7" priority="1571" operator="containsText" text="Від-ні навчання">
      <formula>NOT(ISERROR(SEARCH(("Від-ні навчання"),(U1083))))</formula>
    </cfRule>
  </conditionalFormatting>
  <conditionalFormatting sqref="U1083">
    <cfRule type="containsText" dxfId="6" priority="1572" operator="containsText" text="Зниклі безвісти">
      <formula>NOT(ISERROR(SEARCH(("Зниклі безвісти"),(U1083))))</formula>
    </cfRule>
  </conditionalFormatting>
  <conditionalFormatting sqref="U1083">
    <cfRule type="containsText" dxfId="5" priority="1573" operator="containsText" text="СЗЧ">
      <formula>NOT(ISERROR(SEARCH(("СЗЧ"),(U1083))))</formula>
    </cfRule>
  </conditionalFormatting>
  <conditionalFormatting sqref="U1083">
    <cfRule type="containsText" dxfId="4" priority="1574" operator="containsText" text="Відпустка">
      <formula>NOT(ISERROR(SEARCH(("Відпустка"),(U1083))))</formula>
    </cfRule>
  </conditionalFormatting>
  <conditionalFormatting sqref="U1083">
    <cfRule type="containsText" dxfId="3" priority="1575" operator="containsText" text="В строю">
      <formula>NOT(ISERROR(SEARCH(("В строю"),(U1083))))</formula>
    </cfRule>
  </conditionalFormatting>
  <conditionalFormatting sqref="U1083">
    <cfRule type="containsText" dxfId="3" priority="1576" operator="containsText" text="В строю">
      <formula>NOT(ISERROR(SEARCH(("В строю"),(U1083))))</formula>
    </cfRule>
  </conditionalFormatting>
  <conditionalFormatting sqref="U1083">
    <cfRule type="containsText" dxfId="4" priority="1577" operator="containsText" text="Відпустка">
      <formula>NOT(ISERROR(SEARCH(("Відпустка"),(U1083))))</formula>
    </cfRule>
  </conditionalFormatting>
  <conditionalFormatting sqref="U1083">
    <cfRule type="containsText" dxfId="5" priority="1578" operator="containsText" text="СЗЧ">
      <formula>NOT(ISERROR(SEARCH(("СЗЧ"),(U1083))))</formula>
    </cfRule>
  </conditionalFormatting>
  <conditionalFormatting sqref="U1083">
    <cfRule type="containsText" dxfId="6" priority="1579" operator="containsText" text="Зниклі безвісти">
      <formula>NOT(ISERROR(SEARCH(("Зниклі безвісти"),(U1083))))</formula>
    </cfRule>
  </conditionalFormatting>
  <conditionalFormatting sqref="U1083">
    <cfRule type="containsText" dxfId="7" priority="1580" operator="containsText" text="Від-ні навчання">
      <formula>NOT(ISERROR(SEARCH(("Від-ні навчання"),(U1083))))</formula>
    </cfRule>
  </conditionalFormatting>
  <conditionalFormatting sqref="U1083">
    <cfRule type="containsText" dxfId="8" priority="1581" operator="containsText" text="Відком. за межі ПБ">
      <formula>NOT(ISERROR(SEARCH(("Відком. за межі ПБ"),(U1083))))</formula>
    </cfRule>
  </conditionalFormatting>
  <conditionalFormatting sqref="U1083">
    <cfRule type="containsText" dxfId="9" priority="1582" operator="containsText" text="Загиблі">
      <formula>NOT(ISERROR(SEARCH(("Загиблі"),(U1083))))</formula>
    </cfRule>
  </conditionalFormatting>
  <conditionalFormatting sqref="U1083">
    <cfRule type="containsText" dxfId="10" priority="1583" operator="containsText" text="Лікування">
      <formula>NOT(ISERROR(SEARCH(("Лікування"),(U1083))))</formula>
    </cfRule>
  </conditionalFormatting>
  <conditionalFormatting sqref="Q1083">
    <cfRule type="cellIs" dxfId="9" priority="1584" operator="notEqual">
      <formula>P1083</formula>
    </cfRule>
  </conditionalFormatting>
  <conditionalFormatting sqref="Q1083">
    <cfRule type="cellIs" dxfId="3" priority="1585" operator="equal">
      <formula>P1083</formula>
    </cfRule>
  </conditionalFormatting>
  <conditionalFormatting sqref="N1083">
    <cfRule type="expression" dxfId="0" priority="1586">
      <formula>COUNTIF(#REF!, N1083) &gt; 1</formula>
    </cfRule>
  </conditionalFormatting>
  <conditionalFormatting sqref="Q1082">
    <cfRule type="cellIs" dxfId="9" priority="1587" operator="notEqual">
      <formula>P1082</formula>
    </cfRule>
  </conditionalFormatting>
  <conditionalFormatting sqref="Q1082">
    <cfRule type="cellIs" dxfId="3" priority="1588" operator="equal">
      <formula>P1082</formula>
    </cfRule>
  </conditionalFormatting>
  <conditionalFormatting sqref="U1082">
    <cfRule type="containsText" dxfId="10" priority="1589" operator="containsText" text="Лікування">
      <formula>NOT(ISERROR(SEARCH(("Лікування"),(U1082))))</formula>
    </cfRule>
  </conditionalFormatting>
  <conditionalFormatting sqref="U1082">
    <cfRule type="containsText" dxfId="9" priority="1590" operator="containsText" text="Загиблі">
      <formula>NOT(ISERROR(SEARCH(("Загиблі"),(U1082))))</formula>
    </cfRule>
  </conditionalFormatting>
  <conditionalFormatting sqref="U1082">
    <cfRule type="containsText" dxfId="8" priority="1591" operator="containsText" text="Відком. за межі ПБ">
      <formula>NOT(ISERROR(SEARCH(("Відком. за межі ПБ"),(U1082))))</formula>
    </cfRule>
  </conditionalFormatting>
  <conditionalFormatting sqref="U1082">
    <cfRule type="containsText" dxfId="7" priority="1592" operator="containsText" text="Від-ні навчання">
      <formula>NOT(ISERROR(SEARCH(("Від-ні навчання"),(U1082))))</formula>
    </cfRule>
  </conditionalFormatting>
  <conditionalFormatting sqref="U1082">
    <cfRule type="containsText" dxfId="6" priority="1593" operator="containsText" text="Зниклі безвісти">
      <formula>NOT(ISERROR(SEARCH(("Зниклі безвісти"),(U1082))))</formula>
    </cfRule>
  </conditionalFormatting>
  <conditionalFormatting sqref="U1082">
    <cfRule type="containsText" dxfId="5" priority="1594" operator="containsText" text="СЗЧ">
      <formula>NOT(ISERROR(SEARCH(("СЗЧ"),(U1082))))</formula>
    </cfRule>
  </conditionalFormatting>
  <conditionalFormatting sqref="U1082">
    <cfRule type="containsText" dxfId="4" priority="1595" operator="containsText" text="Відпустка">
      <formula>NOT(ISERROR(SEARCH(("Відпустка"),(U1082))))</formula>
    </cfRule>
  </conditionalFormatting>
  <conditionalFormatting sqref="U1082">
    <cfRule type="containsText" dxfId="3" priority="1596" operator="containsText" text="В строю">
      <formula>NOT(ISERROR(SEARCH(("В строю"),(U1082))))</formula>
    </cfRule>
  </conditionalFormatting>
  <conditionalFormatting sqref="U1082">
    <cfRule type="containsText" dxfId="3" priority="1597" operator="containsText" text="В строю">
      <formula>NOT(ISERROR(SEARCH(("В строю"),(U1082))))</formula>
    </cfRule>
  </conditionalFormatting>
  <conditionalFormatting sqref="U1082">
    <cfRule type="containsText" dxfId="4" priority="1598" operator="containsText" text="Відпустка">
      <formula>NOT(ISERROR(SEARCH(("Відпустка"),(U1082))))</formula>
    </cfRule>
  </conditionalFormatting>
  <conditionalFormatting sqref="U1082">
    <cfRule type="containsText" dxfId="5" priority="1599" operator="containsText" text="СЗЧ">
      <formula>NOT(ISERROR(SEARCH(("СЗЧ"),(U1082))))</formula>
    </cfRule>
  </conditionalFormatting>
  <conditionalFormatting sqref="U1082">
    <cfRule type="containsText" dxfId="6" priority="1600" operator="containsText" text="Зниклі безвісти">
      <formula>NOT(ISERROR(SEARCH(("Зниклі безвісти"),(U1082))))</formula>
    </cfRule>
  </conditionalFormatting>
  <conditionalFormatting sqref="U1082">
    <cfRule type="containsText" dxfId="7" priority="1601" operator="containsText" text="Від-ні навчання">
      <formula>NOT(ISERROR(SEARCH(("Від-ні навчання"),(U1082))))</formula>
    </cfRule>
  </conditionalFormatting>
  <conditionalFormatting sqref="U1082">
    <cfRule type="containsText" dxfId="8" priority="1602" operator="containsText" text="Відком. за межі ПБ">
      <formula>NOT(ISERROR(SEARCH(("Відком. за межі ПБ"),(U1082))))</formula>
    </cfRule>
  </conditionalFormatting>
  <conditionalFormatting sqref="U1082">
    <cfRule type="containsText" dxfId="9" priority="1603" operator="containsText" text="Загиблі">
      <formula>NOT(ISERROR(SEARCH(("Загиблі"),(U1082))))</formula>
    </cfRule>
  </conditionalFormatting>
  <conditionalFormatting sqref="U1082">
    <cfRule type="containsText" dxfId="10" priority="1604" operator="containsText" text="Лікування">
      <formula>NOT(ISERROR(SEARCH(("Лікування"),(U1082))))</formula>
    </cfRule>
  </conditionalFormatting>
  <conditionalFormatting sqref="N1082">
    <cfRule type="expression" dxfId="0" priority="1605">
      <formula>COUNTIF(#REF!, N1082) &gt; 1</formula>
    </cfRule>
  </conditionalFormatting>
  <conditionalFormatting sqref="U1081">
    <cfRule type="containsText" dxfId="10" priority="1606" operator="containsText" text="Лікування">
      <formula>NOT(ISERROR(SEARCH(("Лікування"),(U1081))))</formula>
    </cfRule>
  </conditionalFormatting>
  <conditionalFormatting sqref="U1081">
    <cfRule type="containsText" dxfId="9" priority="1607" operator="containsText" text="Загиблі">
      <formula>NOT(ISERROR(SEARCH(("Загиблі"),(U1081))))</formula>
    </cfRule>
  </conditionalFormatting>
  <conditionalFormatting sqref="U1081">
    <cfRule type="containsText" dxfId="8" priority="1608" operator="containsText" text="Відком. за межі ПБ">
      <formula>NOT(ISERROR(SEARCH(("Відком. за межі ПБ"),(U1081))))</formula>
    </cfRule>
  </conditionalFormatting>
  <conditionalFormatting sqref="U1081">
    <cfRule type="containsText" dxfId="7" priority="1609" operator="containsText" text="Від-ні навчання">
      <formula>NOT(ISERROR(SEARCH(("Від-ні навчання"),(U1081))))</formula>
    </cfRule>
  </conditionalFormatting>
  <conditionalFormatting sqref="U1081">
    <cfRule type="containsText" dxfId="6" priority="1610" operator="containsText" text="Зниклі безвісти">
      <formula>NOT(ISERROR(SEARCH(("Зниклі безвісти"),(U1081))))</formula>
    </cfRule>
  </conditionalFormatting>
  <conditionalFormatting sqref="U1081">
    <cfRule type="containsText" dxfId="5" priority="1611" operator="containsText" text="СЗЧ">
      <formula>NOT(ISERROR(SEARCH(("СЗЧ"),(U1081))))</formula>
    </cfRule>
  </conditionalFormatting>
  <conditionalFormatting sqref="U1081">
    <cfRule type="containsText" dxfId="4" priority="1612" operator="containsText" text="Відпустка">
      <formula>NOT(ISERROR(SEARCH(("Відпустка"),(U1081))))</formula>
    </cfRule>
  </conditionalFormatting>
  <conditionalFormatting sqref="U1081">
    <cfRule type="containsText" dxfId="3" priority="1613" operator="containsText" text="В строю">
      <formula>NOT(ISERROR(SEARCH(("В строю"),(U1081))))</formula>
    </cfRule>
  </conditionalFormatting>
  <conditionalFormatting sqref="K1081 N1081">
    <cfRule type="expression" dxfId="0" priority="1614">
      <formula>COUNTIF(#REF!, K1081) &gt; 1</formula>
    </cfRule>
  </conditionalFormatting>
  <conditionalFormatting sqref="Q1081">
    <cfRule type="cellIs" dxfId="9" priority="1615" operator="notEqual">
      <formula>P1081</formula>
    </cfRule>
  </conditionalFormatting>
  <conditionalFormatting sqref="Q1081">
    <cfRule type="cellIs" dxfId="3" priority="1616" operator="equal">
      <formula>P1081</formula>
    </cfRule>
  </conditionalFormatting>
  <conditionalFormatting sqref="U1080">
    <cfRule type="containsText" dxfId="10" priority="1617" operator="containsText" text="Лікування">
      <formula>NOT(ISERROR(SEARCH(("Лікування"),(U1080))))</formula>
    </cfRule>
  </conditionalFormatting>
  <conditionalFormatting sqref="U1080">
    <cfRule type="containsText" dxfId="9" priority="1618" operator="containsText" text="Загиблі">
      <formula>NOT(ISERROR(SEARCH(("Загиблі"),(U1080))))</formula>
    </cfRule>
  </conditionalFormatting>
  <conditionalFormatting sqref="U1080">
    <cfRule type="containsText" dxfId="8" priority="1619" operator="containsText" text="Відком. за межі ПБ">
      <formula>NOT(ISERROR(SEARCH(("Відком. за межі ПБ"),(U1080))))</formula>
    </cfRule>
  </conditionalFormatting>
  <conditionalFormatting sqref="U1080">
    <cfRule type="containsText" dxfId="7" priority="1620" operator="containsText" text="Від-ні навчання">
      <formula>NOT(ISERROR(SEARCH(("Від-ні навчання"),(U1080))))</formula>
    </cfRule>
  </conditionalFormatting>
  <conditionalFormatting sqref="U1080">
    <cfRule type="containsText" dxfId="6" priority="1621" operator="containsText" text="Зниклі безвісти">
      <formula>NOT(ISERROR(SEARCH(("Зниклі безвісти"),(U1080))))</formula>
    </cfRule>
  </conditionalFormatting>
  <conditionalFormatting sqref="U1080">
    <cfRule type="containsText" dxfId="5" priority="1622" operator="containsText" text="СЗЧ">
      <formula>NOT(ISERROR(SEARCH(("СЗЧ"),(U1080))))</formula>
    </cfRule>
  </conditionalFormatting>
  <conditionalFormatting sqref="U1080">
    <cfRule type="containsText" dxfId="4" priority="1623" operator="containsText" text="Відпустка">
      <formula>NOT(ISERROR(SEARCH(("Відпустка"),(U1080))))</formula>
    </cfRule>
  </conditionalFormatting>
  <conditionalFormatting sqref="U1080">
    <cfRule type="containsText" dxfId="3" priority="1624" operator="containsText" text="В строю">
      <formula>NOT(ISERROR(SEARCH(("В строю"),(U1080))))</formula>
    </cfRule>
  </conditionalFormatting>
  <conditionalFormatting sqref="Q1080">
    <cfRule type="cellIs" dxfId="9" priority="1625" operator="notEqual">
      <formula>P1080</formula>
    </cfRule>
  </conditionalFormatting>
  <conditionalFormatting sqref="Q1080">
    <cfRule type="cellIs" dxfId="3" priority="1626" operator="equal">
      <formula>P1080</formula>
    </cfRule>
  </conditionalFormatting>
  <conditionalFormatting sqref="U1079">
    <cfRule type="containsText" dxfId="3" priority="1627" operator="containsText" text="В строю">
      <formula>NOT(ISERROR(SEARCH(("В строю"),(U1079))))</formula>
    </cfRule>
  </conditionalFormatting>
  <conditionalFormatting sqref="U1079">
    <cfRule type="containsText" dxfId="4" priority="1628" operator="containsText" text="Відпустка">
      <formula>NOT(ISERROR(SEARCH(("Відпустка"),(U1079))))</formula>
    </cfRule>
  </conditionalFormatting>
  <conditionalFormatting sqref="U1079">
    <cfRule type="containsText" dxfId="5" priority="1629" operator="containsText" text="СЗЧ">
      <formula>NOT(ISERROR(SEARCH(("СЗЧ"),(U1079))))</formula>
    </cfRule>
  </conditionalFormatting>
  <conditionalFormatting sqref="U1079">
    <cfRule type="containsText" dxfId="6" priority="1630" operator="containsText" text="Зниклі безвісти">
      <formula>NOT(ISERROR(SEARCH(("Зниклі безвісти"),(U1079))))</formula>
    </cfRule>
  </conditionalFormatting>
  <conditionalFormatting sqref="U1079">
    <cfRule type="containsText" dxfId="7" priority="1631" operator="containsText" text="Від-ні навчання">
      <formula>NOT(ISERROR(SEARCH(("Від-ні навчання"),(U1079))))</formula>
    </cfRule>
  </conditionalFormatting>
  <conditionalFormatting sqref="U1079">
    <cfRule type="containsText" dxfId="8" priority="1632" operator="containsText" text="Відком. за межі ПБ">
      <formula>NOT(ISERROR(SEARCH(("Відком. за межі ПБ"),(U1079))))</formula>
    </cfRule>
  </conditionalFormatting>
  <conditionalFormatting sqref="U1079">
    <cfRule type="containsText" dxfId="9" priority="1633" operator="containsText" text="Загиблі">
      <formula>NOT(ISERROR(SEARCH(("Загиблі"),(U1079))))</formula>
    </cfRule>
  </conditionalFormatting>
  <conditionalFormatting sqref="U1079">
    <cfRule type="containsText" dxfId="10" priority="1634" operator="containsText" text="Лікування">
      <formula>NOT(ISERROR(SEARCH(("Лікування"),(U1079))))</formula>
    </cfRule>
  </conditionalFormatting>
  <conditionalFormatting sqref="U1079">
    <cfRule type="containsText" dxfId="10" priority="1635" operator="containsText" text="Лікування">
      <formula>NOT(ISERROR(SEARCH(("Лікування"),(U1079))))</formula>
    </cfRule>
  </conditionalFormatting>
  <conditionalFormatting sqref="U1079">
    <cfRule type="containsText" dxfId="9" priority="1636" operator="containsText" text="Загиблі">
      <formula>NOT(ISERROR(SEARCH(("Загиблі"),(U1079))))</formula>
    </cfRule>
  </conditionalFormatting>
  <conditionalFormatting sqref="U1079">
    <cfRule type="containsText" dxfId="8" priority="1637" operator="containsText" text="Відком. за межі ПБ">
      <formula>NOT(ISERROR(SEARCH(("Відком. за межі ПБ"),(U1079))))</formula>
    </cfRule>
  </conditionalFormatting>
  <conditionalFormatting sqref="U1079">
    <cfRule type="containsText" dxfId="7" priority="1638" operator="containsText" text="Від-ні навчання">
      <formula>NOT(ISERROR(SEARCH(("Від-ні навчання"),(U1079))))</formula>
    </cfRule>
  </conditionalFormatting>
  <conditionalFormatting sqref="U1079">
    <cfRule type="containsText" dxfId="6" priority="1639" operator="containsText" text="Зниклі безвісти">
      <formula>NOT(ISERROR(SEARCH(("Зниклі безвісти"),(U1079))))</formula>
    </cfRule>
  </conditionalFormatting>
  <conditionalFormatting sqref="U1079">
    <cfRule type="containsText" dxfId="5" priority="1640" operator="containsText" text="СЗЧ">
      <formula>NOT(ISERROR(SEARCH(("СЗЧ"),(U1079))))</formula>
    </cfRule>
  </conditionalFormatting>
  <conditionalFormatting sqref="U1079">
    <cfRule type="containsText" dxfId="4" priority="1641" operator="containsText" text="Відпустка">
      <formula>NOT(ISERROR(SEARCH(("Відпустка"),(U1079))))</formula>
    </cfRule>
  </conditionalFormatting>
  <conditionalFormatting sqref="U1079">
    <cfRule type="containsText" dxfId="3" priority="1642" operator="containsText" text="В строю">
      <formula>NOT(ISERROR(SEARCH(("В строю"),(U1079))))</formula>
    </cfRule>
  </conditionalFormatting>
  <conditionalFormatting sqref="E1079 N1079">
    <cfRule type="expression" dxfId="0" priority="1643">
      <formula>COUNTIF(#REF!, E1079) &gt; 1</formula>
    </cfRule>
  </conditionalFormatting>
  <conditionalFormatting sqref="Q1079">
    <cfRule type="cellIs" dxfId="9" priority="1644" operator="notEqual">
      <formula>P1079</formula>
    </cfRule>
  </conditionalFormatting>
  <conditionalFormatting sqref="Q1079">
    <cfRule type="cellIs" dxfId="3" priority="1645" operator="equal">
      <formula>P1079</formula>
    </cfRule>
  </conditionalFormatting>
  <conditionalFormatting sqref="U1078">
    <cfRule type="containsText" dxfId="10" priority="1646" operator="containsText" text="Лікування">
      <formula>NOT(ISERROR(SEARCH(("Лікування"),(U1078))))</formula>
    </cfRule>
  </conditionalFormatting>
  <conditionalFormatting sqref="U1078">
    <cfRule type="containsText" dxfId="9" priority="1647" operator="containsText" text="Загиблі">
      <formula>NOT(ISERROR(SEARCH(("Загиблі"),(U1078))))</formula>
    </cfRule>
  </conditionalFormatting>
  <conditionalFormatting sqref="U1078">
    <cfRule type="containsText" dxfId="8" priority="1648" operator="containsText" text="Відком. за межі ПБ">
      <formula>NOT(ISERROR(SEARCH(("Відком. за межі ПБ"),(U1078))))</formula>
    </cfRule>
  </conditionalFormatting>
  <conditionalFormatting sqref="U1078">
    <cfRule type="containsText" dxfId="7" priority="1649" operator="containsText" text="Від-ні навчання">
      <formula>NOT(ISERROR(SEARCH(("Від-ні навчання"),(U1078))))</formula>
    </cfRule>
  </conditionalFormatting>
  <conditionalFormatting sqref="U1078">
    <cfRule type="containsText" dxfId="6" priority="1650" operator="containsText" text="Зниклі безвісти">
      <formula>NOT(ISERROR(SEARCH(("Зниклі безвісти"),(U1078))))</formula>
    </cfRule>
  </conditionalFormatting>
  <conditionalFormatting sqref="U1078">
    <cfRule type="containsText" dxfId="5" priority="1651" operator="containsText" text="СЗЧ">
      <formula>NOT(ISERROR(SEARCH(("СЗЧ"),(U1078))))</formula>
    </cfRule>
  </conditionalFormatting>
  <conditionalFormatting sqref="U1078">
    <cfRule type="containsText" dxfId="4" priority="1652" operator="containsText" text="Відпустка">
      <formula>NOT(ISERROR(SEARCH(("Відпустка"),(U1078))))</formula>
    </cfRule>
  </conditionalFormatting>
  <conditionalFormatting sqref="U1078">
    <cfRule type="containsText" dxfId="3" priority="1653" operator="containsText" text="В строю">
      <formula>NOT(ISERROR(SEARCH(("В строю"),(U1078))))</formula>
    </cfRule>
  </conditionalFormatting>
  <conditionalFormatting sqref="U1078">
    <cfRule type="containsText" dxfId="3" priority="1654" operator="containsText" text="В строю">
      <formula>NOT(ISERROR(SEARCH(("В строю"),(U1078))))</formula>
    </cfRule>
  </conditionalFormatting>
  <conditionalFormatting sqref="U1078">
    <cfRule type="containsText" dxfId="4" priority="1655" operator="containsText" text="Відпустка">
      <formula>NOT(ISERROR(SEARCH(("Відпустка"),(U1078))))</formula>
    </cfRule>
  </conditionalFormatting>
  <conditionalFormatting sqref="U1078">
    <cfRule type="containsText" dxfId="5" priority="1656" operator="containsText" text="СЗЧ">
      <formula>NOT(ISERROR(SEARCH(("СЗЧ"),(U1078))))</formula>
    </cfRule>
  </conditionalFormatting>
  <conditionalFormatting sqref="U1078">
    <cfRule type="containsText" dxfId="6" priority="1657" operator="containsText" text="Зниклі безвісти">
      <formula>NOT(ISERROR(SEARCH(("Зниклі безвісти"),(U1078))))</formula>
    </cfRule>
  </conditionalFormatting>
  <conditionalFormatting sqref="U1078">
    <cfRule type="containsText" dxfId="7" priority="1658" operator="containsText" text="Від-ні навчання">
      <formula>NOT(ISERROR(SEARCH(("Від-ні навчання"),(U1078))))</formula>
    </cfRule>
  </conditionalFormatting>
  <conditionalFormatting sqref="U1078">
    <cfRule type="containsText" dxfId="8" priority="1659" operator="containsText" text="Відком. за межі ПБ">
      <formula>NOT(ISERROR(SEARCH(("Відком. за межі ПБ"),(U1078))))</formula>
    </cfRule>
  </conditionalFormatting>
  <conditionalFormatting sqref="U1078">
    <cfRule type="containsText" dxfId="9" priority="1660" operator="containsText" text="Загиблі">
      <formula>NOT(ISERROR(SEARCH(("Загиблі"),(U1078))))</formula>
    </cfRule>
  </conditionalFormatting>
  <conditionalFormatting sqref="U1078">
    <cfRule type="containsText" dxfId="10" priority="1661" operator="containsText" text="Лікування">
      <formula>NOT(ISERROR(SEARCH(("Лікування"),(U1078))))</formula>
    </cfRule>
  </conditionalFormatting>
  <conditionalFormatting sqref="Q1078">
    <cfRule type="cellIs" dxfId="9" priority="1662" operator="notEqual">
      <formula>P1078</formula>
    </cfRule>
  </conditionalFormatting>
  <conditionalFormatting sqref="Q1078">
    <cfRule type="cellIs" dxfId="3" priority="1663" operator="equal">
      <formula>P1078</formula>
    </cfRule>
  </conditionalFormatting>
  <conditionalFormatting sqref="E1078 N1078">
    <cfRule type="expression" dxfId="0" priority="1664">
      <formula>COUNTIF(#REF!, E1078) &gt; 1</formula>
    </cfRule>
  </conditionalFormatting>
  <conditionalFormatting sqref="U1077">
    <cfRule type="containsText" dxfId="10" priority="1665" operator="containsText" text="Лікування">
      <formula>NOT(ISERROR(SEARCH(("Лікування"),(U1077))))</formula>
    </cfRule>
  </conditionalFormatting>
  <conditionalFormatting sqref="U1077">
    <cfRule type="containsText" dxfId="9" priority="1666" operator="containsText" text="Загиблі">
      <formula>NOT(ISERROR(SEARCH(("Загиблі"),(U1077))))</formula>
    </cfRule>
  </conditionalFormatting>
  <conditionalFormatting sqref="U1077">
    <cfRule type="containsText" dxfId="8" priority="1667" operator="containsText" text="Відком. за межі ПБ">
      <formula>NOT(ISERROR(SEARCH(("Відком. за межі ПБ"),(U1077))))</formula>
    </cfRule>
  </conditionalFormatting>
  <conditionalFormatting sqref="U1077">
    <cfRule type="containsText" dxfId="7" priority="1668" operator="containsText" text="Від-ні навчання">
      <formula>NOT(ISERROR(SEARCH(("Від-ні навчання"),(U1077))))</formula>
    </cfRule>
  </conditionalFormatting>
  <conditionalFormatting sqref="U1077">
    <cfRule type="containsText" dxfId="6" priority="1669" operator="containsText" text="Зниклі безвісти">
      <formula>NOT(ISERROR(SEARCH(("Зниклі безвісти"),(U1077))))</formula>
    </cfRule>
  </conditionalFormatting>
  <conditionalFormatting sqref="U1077">
    <cfRule type="containsText" dxfId="5" priority="1670" operator="containsText" text="СЗЧ">
      <formula>NOT(ISERROR(SEARCH(("СЗЧ"),(U1077))))</formula>
    </cfRule>
  </conditionalFormatting>
  <conditionalFormatting sqref="U1077">
    <cfRule type="containsText" dxfId="4" priority="1671" operator="containsText" text="Відпустка">
      <formula>NOT(ISERROR(SEARCH(("Відпустка"),(U1077))))</formula>
    </cfRule>
  </conditionalFormatting>
  <conditionalFormatting sqref="U1077">
    <cfRule type="containsText" dxfId="3" priority="1672" operator="containsText" text="В строю">
      <formula>NOT(ISERROR(SEARCH(("В строю"),(U1077))))</formula>
    </cfRule>
  </conditionalFormatting>
  <conditionalFormatting sqref="U1077">
    <cfRule type="containsText" dxfId="3" priority="1673" operator="containsText" text="В строю">
      <formula>NOT(ISERROR(SEARCH(("В строю"),(U1077))))</formula>
    </cfRule>
  </conditionalFormatting>
  <conditionalFormatting sqref="U1077">
    <cfRule type="containsText" dxfId="4" priority="1674" operator="containsText" text="Відпустка">
      <formula>NOT(ISERROR(SEARCH(("Відпустка"),(U1077))))</formula>
    </cfRule>
  </conditionalFormatting>
  <conditionalFormatting sqref="U1077">
    <cfRule type="containsText" dxfId="5" priority="1675" operator="containsText" text="СЗЧ">
      <formula>NOT(ISERROR(SEARCH(("СЗЧ"),(U1077))))</formula>
    </cfRule>
  </conditionalFormatting>
  <conditionalFormatting sqref="U1077">
    <cfRule type="containsText" dxfId="6" priority="1676" operator="containsText" text="Зниклі безвісти">
      <formula>NOT(ISERROR(SEARCH(("Зниклі безвісти"),(U1077))))</formula>
    </cfRule>
  </conditionalFormatting>
  <conditionalFormatting sqref="U1077">
    <cfRule type="containsText" dxfId="7" priority="1677" operator="containsText" text="Від-ні навчання">
      <formula>NOT(ISERROR(SEARCH(("Від-ні навчання"),(U1077))))</formula>
    </cfRule>
  </conditionalFormatting>
  <conditionalFormatting sqref="U1077">
    <cfRule type="containsText" dxfId="8" priority="1678" operator="containsText" text="Відком. за межі ПБ">
      <formula>NOT(ISERROR(SEARCH(("Відком. за межі ПБ"),(U1077))))</formula>
    </cfRule>
  </conditionalFormatting>
  <conditionalFormatting sqref="U1077">
    <cfRule type="containsText" dxfId="9" priority="1679" operator="containsText" text="Загиблі">
      <formula>NOT(ISERROR(SEARCH(("Загиблі"),(U1077))))</formula>
    </cfRule>
  </conditionalFormatting>
  <conditionalFormatting sqref="U1077">
    <cfRule type="containsText" dxfId="10" priority="1680" operator="containsText" text="Лікування">
      <formula>NOT(ISERROR(SEARCH(("Лікування"),(U1077))))</formula>
    </cfRule>
  </conditionalFormatting>
  <conditionalFormatting sqref="Q1077">
    <cfRule type="cellIs" dxfId="9" priority="1681" operator="notEqual">
      <formula>P1077</formula>
    </cfRule>
  </conditionalFormatting>
  <conditionalFormatting sqref="Q1077">
    <cfRule type="cellIs" dxfId="3" priority="1682" operator="equal">
      <formula>P1077</formula>
    </cfRule>
  </conditionalFormatting>
  <conditionalFormatting sqref="E1077 N1077">
    <cfRule type="expression" dxfId="0" priority="1683">
      <formula>COUNTIF(#REF!, E1077) &gt; 1</formula>
    </cfRule>
  </conditionalFormatting>
  <conditionalFormatting sqref="U1076">
    <cfRule type="containsText" dxfId="3" priority="1684" operator="containsText" text="В строю">
      <formula>NOT(ISERROR(SEARCH(("В строю"),(U1076))))</formula>
    </cfRule>
  </conditionalFormatting>
  <conditionalFormatting sqref="U1076">
    <cfRule type="containsText" dxfId="4" priority="1685" operator="containsText" text="Відпустка">
      <formula>NOT(ISERROR(SEARCH(("Відпустка"),(U1076))))</formula>
    </cfRule>
  </conditionalFormatting>
  <conditionalFormatting sqref="U1076">
    <cfRule type="containsText" dxfId="5" priority="1686" operator="containsText" text="СЗЧ">
      <formula>NOT(ISERROR(SEARCH(("СЗЧ"),(U1076))))</formula>
    </cfRule>
  </conditionalFormatting>
  <conditionalFormatting sqref="U1076">
    <cfRule type="containsText" dxfId="6" priority="1687" operator="containsText" text="Зниклі безвісти">
      <formula>NOT(ISERROR(SEARCH(("Зниклі безвісти"),(U1076))))</formula>
    </cfRule>
  </conditionalFormatting>
  <conditionalFormatting sqref="U1076">
    <cfRule type="containsText" dxfId="7" priority="1688" operator="containsText" text="Від-ні навчання">
      <formula>NOT(ISERROR(SEARCH(("Від-ні навчання"),(U1076))))</formula>
    </cfRule>
  </conditionalFormatting>
  <conditionalFormatting sqref="U1076">
    <cfRule type="containsText" dxfId="8" priority="1689" operator="containsText" text="Відком. за межі ПБ">
      <formula>NOT(ISERROR(SEARCH(("Відком. за межі ПБ"),(U1076))))</formula>
    </cfRule>
  </conditionalFormatting>
  <conditionalFormatting sqref="U1076">
    <cfRule type="containsText" dxfId="9" priority="1690" operator="containsText" text="Загиблі">
      <formula>NOT(ISERROR(SEARCH(("Загиблі"),(U1076))))</formula>
    </cfRule>
  </conditionalFormatting>
  <conditionalFormatting sqref="U1076">
    <cfRule type="containsText" dxfId="10" priority="1691" operator="containsText" text="Лікування">
      <formula>NOT(ISERROR(SEARCH(("Лікування"),(U1076))))</formula>
    </cfRule>
  </conditionalFormatting>
  <conditionalFormatting sqref="U1076">
    <cfRule type="containsText" dxfId="10" priority="1692" operator="containsText" text="Лікування">
      <formula>NOT(ISERROR(SEARCH(("Лікування"),(U1076))))</formula>
    </cfRule>
  </conditionalFormatting>
  <conditionalFormatting sqref="U1076">
    <cfRule type="containsText" dxfId="9" priority="1693" operator="containsText" text="Загиблі">
      <formula>NOT(ISERROR(SEARCH(("Загиблі"),(U1076))))</formula>
    </cfRule>
  </conditionalFormatting>
  <conditionalFormatting sqref="U1076">
    <cfRule type="containsText" dxfId="8" priority="1694" operator="containsText" text="Відком. за межі ПБ">
      <formula>NOT(ISERROR(SEARCH(("Відком. за межі ПБ"),(U1076))))</formula>
    </cfRule>
  </conditionalFormatting>
  <conditionalFormatting sqref="U1076">
    <cfRule type="containsText" dxfId="7" priority="1695" operator="containsText" text="Від-ні навчання">
      <formula>NOT(ISERROR(SEARCH(("Від-ні навчання"),(U1076))))</formula>
    </cfRule>
  </conditionalFormatting>
  <conditionalFormatting sqref="U1076">
    <cfRule type="containsText" dxfId="6" priority="1696" operator="containsText" text="Зниклі безвісти">
      <formula>NOT(ISERROR(SEARCH(("Зниклі безвісти"),(U1076))))</formula>
    </cfRule>
  </conditionalFormatting>
  <conditionalFormatting sqref="U1076">
    <cfRule type="containsText" dxfId="5" priority="1697" operator="containsText" text="СЗЧ">
      <formula>NOT(ISERROR(SEARCH(("СЗЧ"),(U1076))))</formula>
    </cfRule>
  </conditionalFormatting>
  <conditionalFormatting sqref="U1076">
    <cfRule type="containsText" dxfId="4" priority="1698" operator="containsText" text="Відпустка">
      <formula>NOT(ISERROR(SEARCH(("Відпустка"),(U1076))))</formula>
    </cfRule>
  </conditionalFormatting>
  <conditionalFormatting sqref="U1076">
    <cfRule type="containsText" dxfId="3" priority="1699" operator="containsText" text="В строю">
      <formula>NOT(ISERROR(SEARCH(("В строю"),(U1076))))</formula>
    </cfRule>
  </conditionalFormatting>
  <conditionalFormatting sqref="Q1076">
    <cfRule type="cellIs" dxfId="9" priority="1700" operator="notEqual">
      <formula>P1076</formula>
    </cfRule>
  </conditionalFormatting>
  <conditionalFormatting sqref="Q1076">
    <cfRule type="cellIs" dxfId="3" priority="1701" operator="equal">
      <formula>P1076</formula>
    </cfRule>
  </conditionalFormatting>
  <conditionalFormatting sqref="N1076">
    <cfRule type="expression" dxfId="0" priority="1702">
      <formula>COUNTIF(#REF!, N1076) &gt; 1</formula>
    </cfRule>
  </conditionalFormatting>
  <conditionalFormatting sqref="U1075">
    <cfRule type="containsText" dxfId="3" priority="1703" operator="containsText" text="В строю">
      <formula>NOT(ISERROR(SEARCH(("В строю"),(U1075))))</formula>
    </cfRule>
  </conditionalFormatting>
  <conditionalFormatting sqref="U1075">
    <cfRule type="containsText" dxfId="4" priority="1704" operator="containsText" text="Відпустка">
      <formula>NOT(ISERROR(SEARCH(("Відпустка"),(U1075))))</formula>
    </cfRule>
  </conditionalFormatting>
  <conditionalFormatting sqref="U1075">
    <cfRule type="containsText" dxfId="5" priority="1705" operator="containsText" text="СЗЧ">
      <formula>NOT(ISERROR(SEARCH(("СЗЧ"),(U1075))))</formula>
    </cfRule>
  </conditionalFormatting>
  <conditionalFormatting sqref="U1075">
    <cfRule type="containsText" dxfId="6" priority="1706" operator="containsText" text="Зниклі безвісти">
      <formula>NOT(ISERROR(SEARCH(("Зниклі безвісти"),(U1075))))</formula>
    </cfRule>
  </conditionalFormatting>
  <conditionalFormatting sqref="U1075">
    <cfRule type="containsText" dxfId="7" priority="1707" operator="containsText" text="Від-ні навчання">
      <formula>NOT(ISERROR(SEARCH(("Від-ні навчання"),(U1075))))</formula>
    </cfRule>
  </conditionalFormatting>
  <conditionalFormatting sqref="U1075">
    <cfRule type="containsText" dxfId="8" priority="1708" operator="containsText" text="Відком. за межі ПБ">
      <formula>NOT(ISERROR(SEARCH(("Відком. за межі ПБ"),(U1075))))</formula>
    </cfRule>
  </conditionalFormatting>
  <conditionalFormatting sqref="U1075">
    <cfRule type="containsText" dxfId="9" priority="1709" operator="containsText" text="Загиблі">
      <formula>NOT(ISERROR(SEARCH(("Загиблі"),(U1075))))</formula>
    </cfRule>
  </conditionalFormatting>
  <conditionalFormatting sqref="U1075">
    <cfRule type="containsText" dxfId="10" priority="1710" operator="containsText" text="Лікування">
      <formula>NOT(ISERROR(SEARCH(("Лікування"),(U1075))))</formula>
    </cfRule>
  </conditionalFormatting>
  <conditionalFormatting sqref="U1075">
    <cfRule type="containsText" dxfId="10" priority="1711" operator="containsText" text="Лікування">
      <formula>NOT(ISERROR(SEARCH(("Лікування"),(U1075))))</formula>
    </cfRule>
  </conditionalFormatting>
  <conditionalFormatting sqref="U1075">
    <cfRule type="containsText" dxfId="9" priority="1712" operator="containsText" text="Загиблі">
      <formula>NOT(ISERROR(SEARCH(("Загиблі"),(U1075))))</formula>
    </cfRule>
  </conditionalFormatting>
  <conditionalFormatting sqref="U1075">
    <cfRule type="containsText" dxfId="8" priority="1713" operator="containsText" text="Відком. за межі ПБ">
      <formula>NOT(ISERROR(SEARCH(("Відком. за межі ПБ"),(U1075))))</formula>
    </cfRule>
  </conditionalFormatting>
  <conditionalFormatting sqref="U1075">
    <cfRule type="containsText" dxfId="7" priority="1714" operator="containsText" text="Від-ні навчання">
      <formula>NOT(ISERROR(SEARCH(("Від-ні навчання"),(U1075))))</formula>
    </cfRule>
  </conditionalFormatting>
  <conditionalFormatting sqref="U1075">
    <cfRule type="containsText" dxfId="6" priority="1715" operator="containsText" text="Зниклі безвісти">
      <formula>NOT(ISERROR(SEARCH(("Зниклі безвісти"),(U1075))))</formula>
    </cfRule>
  </conditionalFormatting>
  <conditionalFormatting sqref="U1075">
    <cfRule type="containsText" dxfId="5" priority="1716" operator="containsText" text="СЗЧ">
      <formula>NOT(ISERROR(SEARCH(("СЗЧ"),(U1075))))</formula>
    </cfRule>
  </conditionalFormatting>
  <conditionalFormatting sqref="U1075">
    <cfRule type="containsText" dxfId="4" priority="1717" operator="containsText" text="Відпустка">
      <formula>NOT(ISERROR(SEARCH(("Відпустка"),(U1075))))</formula>
    </cfRule>
  </conditionalFormatting>
  <conditionalFormatting sqref="U1075">
    <cfRule type="containsText" dxfId="3" priority="1718" operator="containsText" text="В строю">
      <formula>NOT(ISERROR(SEARCH(("В строю"),(U1075))))</formula>
    </cfRule>
  </conditionalFormatting>
  <conditionalFormatting sqref="Q1075">
    <cfRule type="cellIs" dxfId="9" priority="1719" operator="notEqual">
      <formula>P1075</formula>
    </cfRule>
  </conditionalFormatting>
  <conditionalFormatting sqref="Q1075">
    <cfRule type="cellIs" dxfId="3" priority="1720" operator="equal">
      <formula>P1075</formula>
    </cfRule>
  </conditionalFormatting>
  <conditionalFormatting sqref="N1075">
    <cfRule type="expression" dxfId="0" priority="1721">
      <formula>COUNTIF(#REF!, N1075) &gt; 1</formula>
    </cfRule>
  </conditionalFormatting>
  <conditionalFormatting sqref="U1074">
    <cfRule type="containsText" dxfId="3" priority="1722" operator="containsText" text="В строю">
      <formula>NOT(ISERROR(SEARCH(("В строю"),(U1074))))</formula>
    </cfRule>
  </conditionalFormatting>
  <conditionalFormatting sqref="U1074">
    <cfRule type="containsText" dxfId="4" priority="1723" operator="containsText" text="Відпустка">
      <formula>NOT(ISERROR(SEARCH(("Відпустка"),(U1074))))</formula>
    </cfRule>
  </conditionalFormatting>
  <conditionalFormatting sqref="U1074">
    <cfRule type="containsText" dxfId="5" priority="1724" operator="containsText" text="СЗЧ">
      <formula>NOT(ISERROR(SEARCH(("СЗЧ"),(U1074))))</formula>
    </cfRule>
  </conditionalFormatting>
  <conditionalFormatting sqref="U1074">
    <cfRule type="containsText" dxfId="6" priority="1725" operator="containsText" text="Зниклі безвісти">
      <formula>NOT(ISERROR(SEARCH(("Зниклі безвісти"),(U1074))))</formula>
    </cfRule>
  </conditionalFormatting>
  <conditionalFormatting sqref="U1074">
    <cfRule type="containsText" dxfId="7" priority="1726" operator="containsText" text="Від-ні навчання">
      <formula>NOT(ISERROR(SEARCH(("Від-ні навчання"),(U1074))))</formula>
    </cfRule>
  </conditionalFormatting>
  <conditionalFormatting sqref="U1074">
    <cfRule type="containsText" dxfId="8" priority="1727" operator="containsText" text="Відком. за межі ПБ">
      <formula>NOT(ISERROR(SEARCH(("Відком. за межі ПБ"),(U1074))))</formula>
    </cfRule>
  </conditionalFormatting>
  <conditionalFormatting sqref="U1074">
    <cfRule type="containsText" dxfId="9" priority="1728" operator="containsText" text="Загиблі">
      <formula>NOT(ISERROR(SEARCH(("Загиблі"),(U1074))))</formula>
    </cfRule>
  </conditionalFormatting>
  <conditionalFormatting sqref="U1074">
    <cfRule type="containsText" dxfId="10" priority="1729" operator="containsText" text="Лікування">
      <formula>NOT(ISERROR(SEARCH(("Лікування"),(U1074))))</formula>
    </cfRule>
  </conditionalFormatting>
  <conditionalFormatting sqref="U1074">
    <cfRule type="containsText" dxfId="10" priority="1730" operator="containsText" text="Лікування">
      <formula>NOT(ISERROR(SEARCH(("Лікування"),(U1074))))</formula>
    </cfRule>
  </conditionalFormatting>
  <conditionalFormatting sqref="U1074">
    <cfRule type="containsText" dxfId="9" priority="1731" operator="containsText" text="Загиблі">
      <formula>NOT(ISERROR(SEARCH(("Загиблі"),(U1074))))</formula>
    </cfRule>
  </conditionalFormatting>
  <conditionalFormatting sqref="U1074">
    <cfRule type="containsText" dxfId="8" priority="1732" operator="containsText" text="Відком. за межі ПБ">
      <formula>NOT(ISERROR(SEARCH(("Відком. за межі ПБ"),(U1074))))</formula>
    </cfRule>
  </conditionalFormatting>
  <conditionalFormatting sqref="U1074">
    <cfRule type="containsText" dxfId="7" priority="1733" operator="containsText" text="Від-ні навчання">
      <formula>NOT(ISERROR(SEARCH(("Від-ні навчання"),(U1074))))</formula>
    </cfRule>
  </conditionalFormatting>
  <conditionalFormatting sqref="U1074">
    <cfRule type="containsText" dxfId="6" priority="1734" operator="containsText" text="Зниклі безвісти">
      <formula>NOT(ISERROR(SEARCH(("Зниклі безвісти"),(U1074))))</formula>
    </cfRule>
  </conditionalFormatting>
  <conditionalFormatting sqref="U1074">
    <cfRule type="containsText" dxfId="5" priority="1735" operator="containsText" text="СЗЧ">
      <formula>NOT(ISERROR(SEARCH(("СЗЧ"),(U1074))))</formula>
    </cfRule>
  </conditionalFormatting>
  <conditionalFormatting sqref="U1074">
    <cfRule type="containsText" dxfId="4" priority="1736" operator="containsText" text="Відпустка">
      <formula>NOT(ISERROR(SEARCH(("Відпустка"),(U1074))))</formula>
    </cfRule>
  </conditionalFormatting>
  <conditionalFormatting sqref="U1074">
    <cfRule type="containsText" dxfId="3" priority="1737" operator="containsText" text="В строю">
      <formula>NOT(ISERROR(SEARCH(("В строю"),(U1074))))</formula>
    </cfRule>
  </conditionalFormatting>
  <conditionalFormatting sqref="Q1074">
    <cfRule type="cellIs" dxfId="9" priority="1738" operator="notEqual">
      <formula>P1074</formula>
    </cfRule>
  </conditionalFormatting>
  <conditionalFormatting sqref="Q1074">
    <cfRule type="cellIs" dxfId="3" priority="1739" operator="equal">
      <formula>P1074</formula>
    </cfRule>
  </conditionalFormatting>
  <conditionalFormatting sqref="N1074">
    <cfRule type="expression" dxfId="0" priority="1740">
      <formula>COUNTIF(#REF!, N1074) &gt; 1</formula>
    </cfRule>
  </conditionalFormatting>
  <conditionalFormatting sqref="U1073">
    <cfRule type="containsText" dxfId="3" priority="1741" operator="containsText" text="В строю">
      <formula>NOT(ISERROR(SEARCH(("В строю"),(U1073))))</formula>
    </cfRule>
  </conditionalFormatting>
  <conditionalFormatting sqref="U1073">
    <cfRule type="containsText" dxfId="4" priority="1742" operator="containsText" text="Відпустка">
      <formula>NOT(ISERROR(SEARCH(("Відпустка"),(U1073))))</formula>
    </cfRule>
  </conditionalFormatting>
  <conditionalFormatting sqref="U1073">
    <cfRule type="containsText" dxfId="5" priority="1743" operator="containsText" text="СЗЧ">
      <formula>NOT(ISERROR(SEARCH(("СЗЧ"),(U1073))))</formula>
    </cfRule>
  </conditionalFormatting>
  <conditionalFormatting sqref="U1073">
    <cfRule type="containsText" dxfId="6" priority="1744" operator="containsText" text="Зниклі безвісти">
      <formula>NOT(ISERROR(SEARCH(("Зниклі безвісти"),(U1073))))</formula>
    </cfRule>
  </conditionalFormatting>
  <conditionalFormatting sqref="U1073">
    <cfRule type="containsText" dxfId="7" priority="1745" operator="containsText" text="Від-ні навчання">
      <formula>NOT(ISERROR(SEARCH(("Від-ні навчання"),(U1073))))</formula>
    </cfRule>
  </conditionalFormatting>
  <conditionalFormatting sqref="U1073">
    <cfRule type="containsText" dxfId="8" priority="1746" operator="containsText" text="Відком. за межі ПБ">
      <formula>NOT(ISERROR(SEARCH(("Відком. за межі ПБ"),(U1073))))</formula>
    </cfRule>
  </conditionalFormatting>
  <conditionalFormatting sqref="U1073">
    <cfRule type="containsText" dxfId="9" priority="1747" operator="containsText" text="Загиблі">
      <formula>NOT(ISERROR(SEARCH(("Загиблі"),(U1073))))</formula>
    </cfRule>
  </conditionalFormatting>
  <conditionalFormatting sqref="U1073">
    <cfRule type="containsText" dxfId="10" priority="1748" operator="containsText" text="Лікування">
      <formula>NOT(ISERROR(SEARCH(("Лікування"),(U1073))))</formula>
    </cfRule>
  </conditionalFormatting>
  <conditionalFormatting sqref="U1073">
    <cfRule type="containsText" dxfId="10" priority="1749" operator="containsText" text="Лікування">
      <formula>NOT(ISERROR(SEARCH(("Лікування"),(U1073))))</formula>
    </cfRule>
  </conditionalFormatting>
  <conditionalFormatting sqref="U1073">
    <cfRule type="containsText" dxfId="9" priority="1750" operator="containsText" text="Загиблі">
      <formula>NOT(ISERROR(SEARCH(("Загиблі"),(U1073))))</formula>
    </cfRule>
  </conditionalFormatting>
  <conditionalFormatting sqref="U1073">
    <cfRule type="containsText" dxfId="8" priority="1751" operator="containsText" text="Відком. за межі ПБ">
      <formula>NOT(ISERROR(SEARCH(("Відком. за межі ПБ"),(U1073))))</formula>
    </cfRule>
  </conditionalFormatting>
  <conditionalFormatting sqref="U1073">
    <cfRule type="containsText" dxfId="7" priority="1752" operator="containsText" text="Від-ні навчання">
      <formula>NOT(ISERROR(SEARCH(("Від-ні навчання"),(U1073))))</formula>
    </cfRule>
  </conditionalFormatting>
  <conditionalFormatting sqref="U1073">
    <cfRule type="containsText" dxfId="6" priority="1753" operator="containsText" text="Зниклі безвісти">
      <formula>NOT(ISERROR(SEARCH(("Зниклі безвісти"),(U1073))))</formula>
    </cfRule>
  </conditionalFormatting>
  <conditionalFormatting sqref="U1073">
    <cfRule type="containsText" dxfId="5" priority="1754" operator="containsText" text="СЗЧ">
      <formula>NOT(ISERROR(SEARCH(("СЗЧ"),(U1073))))</formula>
    </cfRule>
  </conditionalFormatting>
  <conditionalFormatting sqref="U1073">
    <cfRule type="containsText" dxfId="4" priority="1755" operator="containsText" text="Відпустка">
      <formula>NOT(ISERROR(SEARCH(("Відпустка"),(U1073))))</formula>
    </cfRule>
  </conditionalFormatting>
  <conditionalFormatting sqref="U1073">
    <cfRule type="containsText" dxfId="3" priority="1756" operator="containsText" text="В строю">
      <formula>NOT(ISERROR(SEARCH(("В строю"),(U1073))))</formula>
    </cfRule>
  </conditionalFormatting>
  <conditionalFormatting sqref="Q1073">
    <cfRule type="cellIs" dxfId="9" priority="1757" operator="notEqual">
      <formula>P1073</formula>
    </cfRule>
  </conditionalFormatting>
  <conditionalFormatting sqref="Q1073">
    <cfRule type="cellIs" dxfId="3" priority="1758" operator="equal">
      <formula>P1073</formula>
    </cfRule>
  </conditionalFormatting>
  <conditionalFormatting sqref="N1073">
    <cfRule type="expression" dxfId="0" priority="1759">
      <formula>COUNTIF(#REF!, N1073) &gt; 1</formula>
    </cfRule>
  </conditionalFormatting>
  <conditionalFormatting sqref="U1072">
    <cfRule type="containsText" dxfId="3" priority="1760" operator="containsText" text="В строю">
      <formula>NOT(ISERROR(SEARCH(("В строю"),(U1072))))</formula>
    </cfRule>
  </conditionalFormatting>
  <conditionalFormatting sqref="U1072">
    <cfRule type="containsText" dxfId="4" priority="1761" operator="containsText" text="Відпустка">
      <formula>NOT(ISERROR(SEARCH(("Відпустка"),(U1072))))</formula>
    </cfRule>
  </conditionalFormatting>
  <conditionalFormatting sqref="U1072">
    <cfRule type="containsText" dxfId="5" priority="1762" operator="containsText" text="СЗЧ">
      <formula>NOT(ISERROR(SEARCH(("СЗЧ"),(U1072))))</formula>
    </cfRule>
  </conditionalFormatting>
  <conditionalFormatting sqref="U1072">
    <cfRule type="containsText" dxfId="6" priority="1763" operator="containsText" text="Зниклі безвісти">
      <formula>NOT(ISERROR(SEARCH(("Зниклі безвісти"),(U1072))))</formula>
    </cfRule>
  </conditionalFormatting>
  <conditionalFormatting sqref="U1072">
    <cfRule type="containsText" dxfId="7" priority="1764" operator="containsText" text="Від-ні навчання">
      <formula>NOT(ISERROR(SEARCH(("Від-ні навчання"),(U1072))))</formula>
    </cfRule>
  </conditionalFormatting>
  <conditionalFormatting sqref="U1072">
    <cfRule type="containsText" dxfId="8" priority="1765" operator="containsText" text="Відком. за межі ПБ">
      <formula>NOT(ISERROR(SEARCH(("Відком. за межі ПБ"),(U1072))))</formula>
    </cfRule>
  </conditionalFormatting>
  <conditionalFormatting sqref="U1072">
    <cfRule type="containsText" dxfId="9" priority="1766" operator="containsText" text="Загиблі">
      <formula>NOT(ISERROR(SEARCH(("Загиблі"),(U1072))))</formula>
    </cfRule>
  </conditionalFormatting>
  <conditionalFormatting sqref="U1072">
    <cfRule type="containsText" dxfId="10" priority="1767" operator="containsText" text="Лікування">
      <formula>NOT(ISERROR(SEARCH(("Лікування"),(U1072))))</formula>
    </cfRule>
  </conditionalFormatting>
  <conditionalFormatting sqref="U1072">
    <cfRule type="containsText" dxfId="10" priority="1768" operator="containsText" text="Лікування">
      <formula>NOT(ISERROR(SEARCH(("Лікування"),(U1072))))</formula>
    </cfRule>
  </conditionalFormatting>
  <conditionalFormatting sqref="U1072">
    <cfRule type="containsText" dxfId="9" priority="1769" operator="containsText" text="Загиблі">
      <formula>NOT(ISERROR(SEARCH(("Загиблі"),(U1072))))</formula>
    </cfRule>
  </conditionalFormatting>
  <conditionalFormatting sqref="U1072">
    <cfRule type="containsText" dxfId="8" priority="1770" operator="containsText" text="Відком. за межі ПБ">
      <formula>NOT(ISERROR(SEARCH(("Відком. за межі ПБ"),(U1072))))</formula>
    </cfRule>
  </conditionalFormatting>
  <conditionalFormatting sqref="U1072">
    <cfRule type="containsText" dxfId="7" priority="1771" operator="containsText" text="Від-ні навчання">
      <formula>NOT(ISERROR(SEARCH(("Від-ні навчання"),(U1072))))</formula>
    </cfRule>
  </conditionalFormatting>
  <conditionalFormatting sqref="U1072">
    <cfRule type="containsText" dxfId="6" priority="1772" operator="containsText" text="Зниклі безвісти">
      <formula>NOT(ISERROR(SEARCH(("Зниклі безвісти"),(U1072))))</formula>
    </cfRule>
  </conditionalFormatting>
  <conditionalFormatting sqref="U1072">
    <cfRule type="containsText" dxfId="5" priority="1773" operator="containsText" text="СЗЧ">
      <formula>NOT(ISERROR(SEARCH(("СЗЧ"),(U1072))))</formula>
    </cfRule>
  </conditionalFormatting>
  <conditionalFormatting sqref="U1072">
    <cfRule type="containsText" dxfId="4" priority="1774" operator="containsText" text="Відпустка">
      <formula>NOT(ISERROR(SEARCH(("Відпустка"),(U1072))))</formula>
    </cfRule>
  </conditionalFormatting>
  <conditionalFormatting sqref="U1072">
    <cfRule type="containsText" dxfId="3" priority="1775" operator="containsText" text="В строю">
      <formula>NOT(ISERROR(SEARCH(("В строю"),(U1072))))</formula>
    </cfRule>
  </conditionalFormatting>
  <conditionalFormatting sqref="Q1072">
    <cfRule type="cellIs" dxfId="9" priority="1776" operator="notEqual">
      <formula>P1072</formula>
    </cfRule>
  </conditionalFormatting>
  <conditionalFormatting sqref="Q1072">
    <cfRule type="cellIs" dxfId="3" priority="1777" operator="equal">
      <formula>P1072</formula>
    </cfRule>
  </conditionalFormatting>
  <conditionalFormatting sqref="N1072">
    <cfRule type="expression" dxfId="0" priority="1778">
      <formula>COUNTIF(#REF!, N1072) &gt; 1</formula>
    </cfRule>
  </conditionalFormatting>
  <conditionalFormatting sqref="U1071">
    <cfRule type="containsText" dxfId="3" priority="1779" operator="containsText" text="В строю">
      <formula>NOT(ISERROR(SEARCH(("В строю"),(U1071))))</formula>
    </cfRule>
  </conditionalFormatting>
  <conditionalFormatting sqref="U1071">
    <cfRule type="containsText" dxfId="4" priority="1780" operator="containsText" text="Відпустка">
      <formula>NOT(ISERROR(SEARCH(("Відпустка"),(U1071))))</formula>
    </cfRule>
  </conditionalFormatting>
  <conditionalFormatting sqref="U1071">
    <cfRule type="containsText" dxfId="5" priority="1781" operator="containsText" text="СЗЧ">
      <formula>NOT(ISERROR(SEARCH(("СЗЧ"),(U1071))))</formula>
    </cfRule>
  </conditionalFormatting>
  <conditionalFormatting sqref="U1071">
    <cfRule type="containsText" dxfId="6" priority="1782" operator="containsText" text="Зниклі безвісти">
      <formula>NOT(ISERROR(SEARCH(("Зниклі безвісти"),(U1071))))</formula>
    </cfRule>
  </conditionalFormatting>
  <conditionalFormatting sqref="U1071">
    <cfRule type="containsText" dxfId="7" priority="1783" operator="containsText" text="Від-ні навчання">
      <formula>NOT(ISERROR(SEARCH(("Від-ні навчання"),(U1071))))</formula>
    </cfRule>
  </conditionalFormatting>
  <conditionalFormatting sqref="U1071">
    <cfRule type="containsText" dxfId="8" priority="1784" operator="containsText" text="Відком. за межі ПБ">
      <formula>NOT(ISERROR(SEARCH(("Відком. за межі ПБ"),(U1071))))</formula>
    </cfRule>
  </conditionalFormatting>
  <conditionalFormatting sqref="U1071">
    <cfRule type="containsText" dxfId="9" priority="1785" operator="containsText" text="Загиблі">
      <formula>NOT(ISERROR(SEARCH(("Загиблі"),(U1071))))</formula>
    </cfRule>
  </conditionalFormatting>
  <conditionalFormatting sqref="U1071">
    <cfRule type="containsText" dxfId="10" priority="1786" operator="containsText" text="Лікування">
      <formula>NOT(ISERROR(SEARCH(("Лікування"),(U1071))))</formula>
    </cfRule>
  </conditionalFormatting>
  <conditionalFormatting sqref="U1071">
    <cfRule type="containsText" dxfId="10" priority="1787" operator="containsText" text="Лікування">
      <formula>NOT(ISERROR(SEARCH(("Лікування"),(U1071))))</formula>
    </cfRule>
  </conditionalFormatting>
  <conditionalFormatting sqref="U1071">
    <cfRule type="containsText" dxfId="9" priority="1788" operator="containsText" text="Загиблі">
      <formula>NOT(ISERROR(SEARCH(("Загиблі"),(U1071))))</formula>
    </cfRule>
  </conditionalFormatting>
  <conditionalFormatting sqref="U1071">
    <cfRule type="containsText" dxfId="8" priority="1789" operator="containsText" text="Відком. за межі ПБ">
      <formula>NOT(ISERROR(SEARCH(("Відком. за межі ПБ"),(U1071))))</formula>
    </cfRule>
  </conditionalFormatting>
  <conditionalFormatting sqref="U1071">
    <cfRule type="containsText" dxfId="7" priority="1790" operator="containsText" text="Від-ні навчання">
      <formula>NOT(ISERROR(SEARCH(("Від-ні навчання"),(U1071))))</formula>
    </cfRule>
  </conditionalFormatting>
  <conditionalFormatting sqref="U1071">
    <cfRule type="containsText" dxfId="6" priority="1791" operator="containsText" text="Зниклі безвісти">
      <formula>NOT(ISERROR(SEARCH(("Зниклі безвісти"),(U1071))))</formula>
    </cfRule>
  </conditionalFormatting>
  <conditionalFormatting sqref="U1071">
    <cfRule type="containsText" dxfId="5" priority="1792" operator="containsText" text="СЗЧ">
      <formula>NOT(ISERROR(SEARCH(("СЗЧ"),(U1071))))</formula>
    </cfRule>
  </conditionalFormatting>
  <conditionalFormatting sqref="U1071">
    <cfRule type="containsText" dxfId="4" priority="1793" operator="containsText" text="Відпустка">
      <formula>NOT(ISERROR(SEARCH(("Відпустка"),(U1071))))</formula>
    </cfRule>
  </conditionalFormatting>
  <conditionalFormatting sqref="U1071">
    <cfRule type="containsText" dxfId="3" priority="1794" operator="containsText" text="В строю">
      <formula>NOT(ISERROR(SEARCH(("В строю"),(U1071))))</formula>
    </cfRule>
  </conditionalFormatting>
  <conditionalFormatting sqref="Q1071">
    <cfRule type="cellIs" dxfId="9" priority="1795" operator="notEqual">
      <formula>P1071</formula>
    </cfRule>
  </conditionalFormatting>
  <conditionalFormatting sqref="Q1071">
    <cfRule type="cellIs" dxfId="3" priority="1796" operator="equal">
      <formula>P1071</formula>
    </cfRule>
  </conditionalFormatting>
  <conditionalFormatting sqref="N1071">
    <cfRule type="expression" dxfId="0" priority="1797">
      <formula>COUNTIF(#REF!, N1071) &gt; 1</formula>
    </cfRule>
  </conditionalFormatting>
  <conditionalFormatting sqref="U1070">
    <cfRule type="containsText" dxfId="3" priority="1798" operator="containsText" text="В строю">
      <formula>NOT(ISERROR(SEARCH(("В строю"),(U1070))))</formula>
    </cfRule>
  </conditionalFormatting>
  <conditionalFormatting sqref="U1070">
    <cfRule type="containsText" dxfId="4" priority="1799" operator="containsText" text="Відпустка">
      <formula>NOT(ISERROR(SEARCH(("Відпустка"),(U1070))))</formula>
    </cfRule>
  </conditionalFormatting>
  <conditionalFormatting sqref="U1070">
    <cfRule type="containsText" dxfId="5" priority="1800" operator="containsText" text="СЗЧ">
      <formula>NOT(ISERROR(SEARCH(("СЗЧ"),(U1070))))</formula>
    </cfRule>
  </conditionalFormatting>
  <conditionalFormatting sqref="U1070">
    <cfRule type="containsText" dxfId="6" priority="1801" operator="containsText" text="Зниклі безвісти">
      <formula>NOT(ISERROR(SEARCH(("Зниклі безвісти"),(U1070))))</formula>
    </cfRule>
  </conditionalFormatting>
  <conditionalFormatting sqref="U1070">
    <cfRule type="containsText" dxfId="7" priority="1802" operator="containsText" text="Від-ні навчання">
      <formula>NOT(ISERROR(SEARCH(("Від-ні навчання"),(U1070))))</formula>
    </cfRule>
  </conditionalFormatting>
  <conditionalFormatting sqref="U1070">
    <cfRule type="containsText" dxfId="8" priority="1803" operator="containsText" text="Відком. за межі ПБ">
      <formula>NOT(ISERROR(SEARCH(("Відком. за межі ПБ"),(U1070))))</formula>
    </cfRule>
  </conditionalFormatting>
  <conditionalFormatting sqref="U1070">
    <cfRule type="containsText" dxfId="9" priority="1804" operator="containsText" text="Загиблі">
      <formula>NOT(ISERROR(SEARCH(("Загиблі"),(U1070))))</formula>
    </cfRule>
  </conditionalFormatting>
  <conditionalFormatting sqref="U1070">
    <cfRule type="containsText" dxfId="10" priority="1805" operator="containsText" text="Лікування">
      <formula>NOT(ISERROR(SEARCH(("Лікування"),(U1070))))</formula>
    </cfRule>
  </conditionalFormatting>
  <conditionalFormatting sqref="U1070">
    <cfRule type="containsText" dxfId="10" priority="1806" operator="containsText" text="Лікування">
      <formula>NOT(ISERROR(SEARCH(("Лікування"),(U1070))))</formula>
    </cfRule>
  </conditionalFormatting>
  <conditionalFormatting sqref="U1070">
    <cfRule type="containsText" dxfId="9" priority="1807" operator="containsText" text="Загиблі">
      <formula>NOT(ISERROR(SEARCH(("Загиблі"),(U1070))))</formula>
    </cfRule>
  </conditionalFormatting>
  <conditionalFormatting sqref="U1070">
    <cfRule type="containsText" dxfId="8" priority="1808" operator="containsText" text="Відком. за межі ПБ">
      <formula>NOT(ISERROR(SEARCH(("Відком. за межі ПБ"),(U1070))))</formula>
    </cfRule>
  </conditionalFormatting>
  <conditionalFormatting sqref="U1070">
    <cfRule type="containsText" dxfId="7" priority="1809" operator="containsText" text="Від-ні навчання">
      <formula>NOT(ISERROR(SEARCH(("Від-ні навчання"),(U1070))))</formula>
    </cfRule>
  </conditionalFormatting>
  <conditionalFormatting sqref="U1070">
    <cfRule type="containsText" dxfId="6" priority="1810" operator="containsText" text="Зниклі безвісти">
      <formula>NOT(ISERROR(SEARCH(("Зниклі безвісти"),(U1070))))</formula>
    </cfRule>
  </conditionalFormatting>
  <conditionalFormatting sqref="U1070">
    <cfRule type="containsText" dxfId="5" priority="1811" operator="containsText" text="СЗЧ">
      <formula>NOT(ISERROR(SEARCH(("СЗЧ"),(U1070))))</formula>
    </cfRule>
  </conditionalFormatting>
  <conditionalFormatting sqref="U1070">
    <cfRule type="containsText" dxfId="4" priority="1812" operator="containsText" text="Відпустка">
      <formula>NOT(ISERROR(SEARCH(("Відпустка"),(U1070))))</formula>
    </cfRule>
  </conditionalFormatting>
  <conditionalFormatting sqref="U1070">
    <cfRule type="containsText" dxfId="3" priority="1813" operator="containsText" text="В строю">
      <formula>NOT(ISERROR(SEARCH(("В строю"),(U1070))))</formula>
    </cfRule>
  </conditionalFormatting>
  <conditionalFormatting sqref="Q1070">
    <cfRule type="cellIs" dxfId="9" priority="1814" operator="notEqual">
      <formula>P1070</formula>
    </cfRule>
  </conditionalFormatting>
  <conditionalFormatting sqref="Q1070">
    <cfRule type="cellIs" dxfId="3" priority="1815" operator="equal">
      <formula>P1070</formula>
    </cfRule>
  </conditionalFormatting>
  <conditionalFormatting sqref="N1070">
    <cfRule type="expression" dxfId="0" priority="1816">
      <formula>COUNTIF(#REF!, N1070) &gt; 1</formula>
    </cfRule>
  </conditionalFormatting>
  <conditionalFormatting sqref="U1066:U1068">
    <cfRule type="containsText" dxfId="3" priority="1817" operator="containsText" text="В строю">
      <formula>NOT(ISERROR(SEARCH(("В строю"),(U1066))))</formula>
    </cfRule>
  </conditionalFormatting>
  <conditionalFormatting sqref="U1066:U1068">
    <cfRule type="containsText" dxfId="4" priority="1818" operator="containsText" text="Відпустка">
      <formula>NOT(ISERROR(SEARCH(("Відпустка"),(U1066))))</formula>
    </cfRule>
  </conditionalFormatting>
  <conditionalFormatting sqref="U1066:U1068">
    <cfRule type="containsText" dxfId="5" priority="1819" operator="containsText" text="СЗЧ">
      <formula>NOT(ISERROR(SEARCH(("СЗЧ"),(U1066))))</formula>
    </cfRule>
  </conditionalFormatting>
  <conditionalFormatting sqref="U1066:U1068">
    <cfRule type="containsText" dxfId="6" priority="1820" operator="containsText" text="Зниклі безвісти">
      <formula>NOT(ISERROR(SEARCH(("Зниклі безвісти"),(U1066))))</formula>
    </cfRule>
  </conditionalFormatting>
  <conditionalFormatting sqref="U1066:U1068">
    <cfRule type="containsText" dxfId="7" priority="1821" operator="containsText" text="Від-ні навчання">
      <formula>NOT(ISERROR(SEARCH(("Від-ні навчання"),(U1066))))</formula>
    </cfRule>
  </conditionalFormatting>
  <conditionalFormatting sqref="U1066:U1068">
    <cfRule type="containsText" dxfId="8" priority="1822" operator="containsText" text="Відком. за межі ПБ">
      <formula>NOT(ISERROR(SEARCH(("Відком. за межі ПБ"),(U1066))))</formula>
    </cfRule>
  </conditionalFormatting>
  <conditionalFormatting sqref="U1066:U1068">
    <cfRule type="containsText" dxfId="9" priority="1823" operator="containsText" text="Загиблі">
      <formula>NOT(ISERROR(SEARCH(("Загиблі"),(U1066))))</formula>
    </cfRule>
  </conditionalFormatting>
  <conditionalFormatting sqref="U1066:U1068">
    <cfRule type="containsText" dxfId="10" priority="1824" operator="containsText" text="Лікування">
      <formula>NOT(ISERROR(SEARCH(("Лікування"),(U1066))))</formula>
    </cfRule>
  </conditionalFormatting>
  <conditionalFormatting sqref="Q1066:Q1068">
    <cfRule type="cellIs" dxfId="9" priority="1825" operator="notEqual">
      <formula>P1066</formula>
    </cfRule>
  </conditionalFormatting>
  <conditionalFormatting sqref="Q1066:Q1068">
    <cfRule type="cellIs" dxfId="3" priority="1826" operator="equal">
      <formula>P1066</formula>
    </cfRule>
  </conditionalFormatting>
  <conditionalFormatting sqref="N1066:N1068">
    <cfRule type="expression" dxfId="0" priority="1827">
      <formula>COUNTIF(#REF!, N1066) &gt; 1</formula>
    </cfRule>
  </conditionalFormatting>
  <conditionalFormatting sqref="U1066:U1068">
    <cfRule type="containsText" dxfId="10" priority="1828" operator="containsText" text="Лікування">
      <formula>NOT(ISERROR(SEARCH(("Лікування"),(U1066))))</formula>
    </cfRule>
  </conditionalFormatting>
  <conditionalFormatting sqref="U1066:U1068">
    <cfRule type="containsText" dxfId="9" priority="1829" operator="containsText" text="Загиблі">
      <formula>NOT(ISERROR(SEARCH(("Загиблі"),(U1066))))</formula>
    </cfRule>
  </conditionalFormatting>
  <conditionalFormatting sqref="U1066:U1068">
    <cfRule type="containsText" dxfId="8" priority="1830" operator="containsText" text="Відком. за межі ПБ">
      <formula>NOT(ISERROR(SEARCH(("Відком. за межі ПБ"),(U1066))))</formula>
    </cfRule>
  </conditionalFormatting>
  <conditionalFormatting sqref="U1066:U1068">
    <cfRule type="containsText" dxfId="7" priority="1831" operator="containsText" text="Від-ні навчання">
      <formula>NOT(ISERROR(SEARCH(("Від-ні навчання"),(U1066))))</formula>
    </cfRule>
  </conditionalFormatting>
  <conditionalFormatting sqref="U1066:U1068">
    <cfRule type="containsText" dxfId="6" priority="1832" operator="containsText" text="Зниклі безвісти">
      <formula>NOT(ISERROR(SEARCH(("Зниклі безвісти"),(U1066))))</formula>
    </cfRule>
  </conditionalFormatting>
  <conditionalFormatting sqref="U1066:U1068">
    <cfRule type="containsText" dxfId="5" priority="1833" operator="containsText" text="СЗЧ">
      <formula>NOT(ISERROR(SEARCH(("СЗЧ"),(U1066))))</formula>
    </cfRule>
  </conditionalFormatting>
  <conditionalFormatting sqref="U1066:U1068">
    <cfRule type="containsText" dxfId="4" priority="1834" operator="containsText" text="Відпустка">
      <formula>NOT(ISERROR(SEARCH(("Відпустка"),(U1066))))</formula>
    </cfRule>
  </conditionalFormatting>
  <conditionalFormatting sqref="U1066:U1068">
    <cfRule type="containsText" dxfId="3" priority="1835" operator="containsText" text="В строю">
      <formula>NOT(ISERROR(SEARCH(("В строю"),(U1066))))</formula>
    </cfRule>
  </conditionalFormatting>
  <conditionalFormatting sqref="U1065">
    <cfRule type="containsText" dxfId="10" priority="1836" operator="containsText" text="Лікування">
      <formula>NOT(ISERROR(SEARCH(("Лікування"),(U1065))))</formula>
    </cfRule>
  </conditionalFormatting>
  <conditionalFormatting sqref="U1065">
    <cfRule type="containsText" dxfId="9" priority="1837" operator="containsText" text="Загиблі">
      <formula>NOT(ISERROR(SEARCH(("Загиблі"),(U1065))))</formula>
    </cfRule>
  </conditionalFormatting>
  <conditionalFormatting sqref="U1065">
    <cfRule type="containsText" dxfId="8" priority="1838" operator="containsText" text="Відком. за межі ПБ">
      <formula>NOT(ISERROR(SEARCH(("Відком. за межі ПБ"),(U1065))))</formula>
    </cfRule>
  </conditionalFormatting>
  <conditionalFormatting sqref="U1065">
    <cfRule type="containsText" dxfId="7" priority="1839" operator="containsText" text="Від-ні навчання">
      <formula>NOT(ISERROR(SEARCH(("Від-ні навчання"),(U1065))))</formula>
    </cfRule>
  </conditionalFormatting>
  <conditionalFormatting sqref="U1065">
    <cfRule type="containsText" dxfId="6" priority="1840" operator="containsText" text="Зниклі безвісти">
      <formula>NOT(ISERROR(SEARCH(("Зниклі безвісти"),(U1065))))</formula>
    </cfRule>
  </conditionalFormatting>
  <conditionalFormatting sqref="U1065">
    <cfRule type="containsText" dxfId="5" priority="1841" operator="containsText" text="СЗЧ">
      <formula>NOT(ISERROR(SEARCH(("СЗЧ"),(U1065))))</formula>
    </cfRule>
  </conditionalFormatting>
  <conditionalFormatting sqref="U1065">
    <cfRule type="containsText" dxfId="4" priority="1842" operator="containsText" text="Відпустка">
      <formula>NOT(ISERROR(SEARCH(("Відпустка"),(U1065))))</formula>
    </cfRule>
  </conditionalFormatting>
  <conditionalFormatting sqref="U1065">
    <cfRule type="containsText" dxfId="3" priority="1843" operator="containsText" text="В строю">
      <formula>NOT(ISERROR(SEARCH(("В строю"),(U1065))))</formula>
    </cfRule>
  </conditionalFormatting>
  <conditionalFormatting sqref="Q1065">
    <cfRule type="cellIs" dxfId="9" priority="1844" operator="notEqual">
      <formula>P1065</formula>
    </cfRule>
  </conditionalFormatting>
  <conditionalFormatting sqref="Q1065">
    <cfRule type="cellIs" dxfId="3" priority="1845" operator="equal">
      <formula>P1065</formula>
    </cfRule>
  </conditionalFormatting>
  <conditionalFormatting sqref="Q1052 Q1058:Q1059 Q1064">
    <cfRule type="cellIs" dxfId="9" priority="1846" operator="notEqual">
      <formula>P1052</formula>
    </cfRule>
  </conditionalFormatting>
  <conditionalFormatting sqref="Q1052 Q1058:Q1059 Q1064">
    <cfRule type="cellIs" dxfId="3" priority="1847" operator="equal">
      <formula>P1052</formula>
    </cfRule>
  </conditionalFormatting>
  <conditionalFormatting sqref="U1052 U1058:U1059 U1064">
    <cfRule type="containsText" dxfId="10" priority="1848" operator="containsText" text="Лікування">
      <formula>NOT(ISERROR(SEARCH(("Лікування"),(U1052))))</formula>
    </cfRule>
  </conditionalFormatting>
  <conditionalFormatting sqref="U1052 U1058:U1059 U1064">
    <cfRule type="containsText" dxfId="9" priority="1849" operator="containsText" text="Загиблі">
      <formula>NOT(ISERROR(SEARCH(("Загиблі"),(U1052))))</formula>
    </cfRule>
  </conditionalFormatting>
  <conditionalFormatting sqref="U1052 U1058:U1059 U1064">
    <cfRule type="containsText" dxfId="8" priority="1850" operator="containsText" text="Відком. за межі ПБ">
      <formula>NOT(ISERROR(SEARCH(("Відком. за межі ПБ"),(U1052))))</formula>
    </cfRule>
  </conditionalFormatting>
  <conditionalFormatting sqref="U1052 U1058:U1059 U1064">
    <cfRule type="containsText" dxfId="7" priority="1851" operator="containsText" text="Від-ні навчання">
      <formula>NOT(ISERROR(SEARCH(("Від-ні навчання"),(U1052))))</formula>
    </cfRule>
  </conditionalFormatting>
  <conditionalFormatting sqref="U1052 U1058:U1059 U1064">
    <cfRule type="containsText" dxfId="6" priority="1852" operator="containsText" text="Зниклі безвісти">
      <formula>NOT(ISERROR(SEARCH(("Зниклі безвісти"),(U1052))))</formula>
    </cfRule>
  </conditionalFormatting>
  <conditionalFormatting sqref="U1052 U1058:U1059 U1064">
    <cfRule type="containsText" dxfId="5" priority="1853" operator="containsText" text="СЗЧ">
      <formula>NOT(ISERROR(SEARCH(("СЗЧ"),(U1052))))</formula>
    </cfRule>
  </conditionalFormatting>
  <conditionalFormatting sqref="U1052 U1058:U1059 U1064">
    <cfRule type="containsText" dxfId="4" priority="1854" operator="containsText" text="Відпустка">
      <formula>NOT(ISERROR(SEARCH(("Відпустка"),(U1052))))</formula>
    </cfRule>
  </conditionalFormatting>
  <conditionalFormatting sqref="U1052 U1058:U1059 U1064">
    <cfRule type="containsText" dxfId="3" priority="1855" operator="containsText" text="В строю">
      <formula>NOT(ISERROR(SEARCH(("В строю"),(U1052))))</formula>
    </cfRule>
  </conditionalFormatting>
  <conditionalFormatting sqref="U1052">
    <cfRule type="containsText" dxfId="3" priority="1856" operator="containsText" text="В строю">
      <formula>NOT(ISERROR(SEARCH(("В строю"),(U1052))))</formula>
    </cfRule>
  </conditionalFormatting>
  <conditionalFormatting sqref="U1052">
    <cfRule type="containsText" dxfId="4" priority="1857" operator="containsText" text="Відпустка">
      <formula>NOT(ISERROR(SEARCH(("Відпустка"),(U1052))))</formula>
    </cfRule>
  </conditionalFormatting>
  <conditionalFormatting sqref="U1052">
    <cfRule type="containsText" dxfId="5" priority="1858" operator="containsText" text="СЗЧ">
      <formula>NOT(ISERROR(SEARCH(("СЗЧ"),(U1052))))</formula>
    </cfRule>
  </conditionalFormatting>
  <conditionalFormatting sqref="U1052">
    <cfRule type="containsText" dxfId="6" priority="1859" operator="containsText" text="Зниклі безвісти">
      <formula>NOT(ISERROR(SEARCH(("Зниклі безвісти"),(U1052))))</formula>
    </cfRule>
  </conditionalFormatting>
  <conditionalFormatting sqref="U1052">
    <cfRule type="containsText" dxfId="7" priority="1860" operator="containsText" text="Від-ні навчання">
      <formula>NOT(ISERROR(SEARCH(("Від-ні навчання"),(U1052))))</formula>
    </cfRule>
  </conditionalFormatting>
  <conditionalFormatting sqref="U1052">
    <cfRule type="containsText" dxfId="8" priority="1861" operator="containsText" text="Відком. за межі ПБ">
      <formula>NOT(ISERROR(SEARCH(("Відком. за межі ПБ"),(U1052))))</formula>
    </cfRule>
  </conditionalFormatting>
  <conditionalFormatting sqref="U1052">
    <cfRule type="containsText" dxfId="9" priority="1862" operator="containsText" text="Загиблі">
      <formula>NOT(ISERROR(SEARCH(("Загиблі"),(U1052))))</formula>
    </cfRule>
  </conditionalFormatting>
  <conditionalFormatting sqref="U1052">
    <cfRule type="containsText" dxfId="10" priority="1863" operator="containsText" text="Лікування">
      <formula>NOT(ISERROR(SEARCH(("Лікування"),(U1052))))</formula>
    </cfRule>
  </conditionalFormatting>
  <conditionalFormatting sqref="N1052 N1064">
    <cfRule type="expression" dxfId="0" priority="1864">
      <formula>COUNTIF(#REF!, N1052) &gt; 1</formula>
    </cfRule>
  </conditionalFormatting>
  <conditionalFormatting sqref="N1016 N1019 N1022 N1024 N1034:N1051 N1053:N1057 N1060:N1063">
    <cfRule type="expression" dxfId="0" priority="1865">
      <formula>COUNTIF(#REF!, N1016) &gt; 1</formula>
    </cfRule>
  </conditionalFormatting>
  <conditionalFormatting sqref="U1016:U1031 U1033:U1051 U1053:U1057 U1060:U1063">
    <cfRule type="containsText" dxfId="10" priority="1866" operator="containsText" text="Лікування">
      <formula>NOT(ISERROR(SEARCH(("Лікування"),(U1016))))</formula>
    </cfRule>
  </conditionalFormatting>
  <conditionalFormatting sqref="U1016:U1031 U1033:U1051 U1053:U1057 U1060:U1063">
    <cfRule type="containsText" dxfId="9" priority="1867" operator="containsText" text="Загиблі">
      <formula>NOT(ISERROR(SEARCH(("Загиблі"),(U1016))))</formula>
    </cfRule>
  </conditionalFormatting>
  <conditionalFormatting sqref="U1016:U1031 U1033:U1051 U1053:U1057 U1060:U1063">
    <cfRule type="containsText" dxfId="8" priority="1868" operator="containsText" text="Відком. за межі ПБ">
      <formula>NOT(ISERROR(SEARCH(("Відком. за межі ПБ"),(U1016))))</formula>
    </cfRule>
  </conditionalFormatting>
  <conditionalFormatting sqref="U1016:U1031 U1033:U1051 U1053:U1057 U1060:U1063">
    <cfRule type="containsText" dxfId="7" priority="1869" operator="containsText" text="Від-ні навчання">
      <formula>NOT(ISERROR(SEARCH(("Від-ні навчання"),(U1016))))</formula>
    </cfRule>
  </conditionalFormatting>
  <conditionalFormatting sqref="U1016:U1031 U1033:U1051 U1053:U1057 U1060:U1063">
    <cfRule type="containsText" dxfId="6" priority="1870" operator="containsText" text="Зниклі безвісти">
      <formula>NOT(ISERROR(SEARCH(("Зниклі безвісти"),(U1016))))</formula>
    </cfRule>
  </conditionalFormatting>
  <conditionalFormatting sqref="U1016:U1031 U1033:U1051 U1053:U1057 U1060:U1063">
    <cfRule type="containsText" dxfId="5" priority="1871" operator="containsText" text="СЗЧ">
      <formula>NOT(ISERROR(SEARCH(("СЗЧ"),(U1016))))</formula>
    </cfRule>
  </conditionalFormatting>
  <conditionalFormatting sqref="U1016:U1031 U1033:U1051 U1053:U1057 U1060:U1063">
    <cfRule type="containsText" dxfId="4" priority="1872" operator="containsText" text="Відпустка">
      <formula>NOT(ISERROR(SEARCH(("Відпустка"),(U1016))))</formula>
    </cfRule>
  </conditionalFormatting>
  <conditionalFormatting sqref="U1016:U1031 U1033:U1051 U1053:U1057 U1060:U1063">
    <cfRule type="containsText" dxfId="3" priority="1873" operator="containsText" text="В строю">
      <formula>NOT(ISERROR(SEARCH(("В строю"),(U1016))))</formula>
    </cfRule>
  </conditionalFormatting>
  <conditionalFormatting sqref="U1016">
    <cfRule type="containsText" dxfId="3" priority="1874" operator="containsText" text="В строю">
      <formula>NOT(ISERROR(SEARCH(("В строю"),(U1016))))</formula>
    </cfRule>
  </conditionalFormatting>
  <conditionalFormatting sqref="U1016">
    <cfRule type="containsText" dxfId="4" priority="1875" operator="containsText" text="Відпустка">
      <formula>NOT(ISERROR(SEARCH(("Відпустка"),(U1016))))</formula>
    </cfRule>
  </conditionalFormatting>
  <conditionalFormatting sqref="U1016">
    <cfRule type="containsText" dxfId="5" priority="1876" operator="containsText" text="СЗЧ">
      <formula>NOT(ISERROR(SEARCH(("СЗЧ"),(U1016))))</formula>
    </cfRule>
  </conditionalFormatting>
  <conditionalFormatting sqref="U1016">
    <cfRule type="containsText" dxfId="6" priority="1877" operator="containsText" text="Зниклі безвісти">
      <formula>NOT(ISERROR(SEARCH(("Зниклі безвісти"),(U1016))))</formula>
    </cfRule>
  </conditionalFormatting>
  <conditionalFormatting sqref="U1016">
    <cfRule type="containsText" dxfId="7" priority="1878" operator="containsText" text="Від-ні навчання">
      <formula>NOT(ISERROR(SEARCH(("Від-ні навчання"),(U1016))))</formula>
    </cfRule>
  </conditionalFormatting>
  <conditionalFormatting sqref="U1016">
    <cfRule type="containsText" dxfId="8" priority="1879" operator="containsText" text="Відком. за межі ПБ">
      <formula>NOT(ISERROR(SEARCH(("Відком. за межі ПБ"),(U1016))))</formula>
    </cfRule>
  </conditionalFormatting>
  <conditionalFormatting sqref="U1016">
    <cfRule type="containsText" dxfId="9" priority="1880" operator="containsText" text="Загиблі">
      <formula>NOT(ISERROR(SEARCH(("Загиблі"),(U1016))))</formula>
    </cfRule>
  </conditionalFormatting>
  <conditionalFormatting sqref="U1016">
    <cfRule type="containsText" dxfId="10" priority="1881" operator="containsText" text="Лікування">
      <formula>NOT(ISERROR(SEARCH(("Лікування"),(U1016))))</formula>
    </cfRule>
  </conditionalFormatting>
  <conditionalFormatting sqref="Q1016:Q1027 Q1029:Q1031 Q1033:Q1051 Q1053:Q1057 Q1060:Q1063">
    <cfRule type="cellIs" dxfId="9" priority="1882" operator="notEqual">
      <formula>P1016</formula>
    </cfRule>
  </conditionalFormatting>
  <conditionalFormatting sqref="Q1016:Q1027 Q1029:Q1031 Q1033:Q1051 Q1053:Q1057 Q1060:Q1063">
    <cfRule type="cellIs" dxfId="3" priority="1883" operator="equal">
      <formula>P1016</formula>
    </cfRule>
  </conditionalFormatting>
  <conditionalFormatting sqref="U1015">
    <cfRule type="containsText" dxfId="3" priority="1884" operator="containsText" text="В строю">
      <formula>NOT(ISERROR(SEARCH(("В строю"),(U1015))))</formula>
    </cfRule>
  </conditionalFormatting>
  <conditionalFormatting sqref="U1015">
    <cfRule type="containsText" dxfId="4" priority="1885" operator="containsText" text="Відпустка">
      <formula>NOT(ISERROR(SEARCH(("Відпустка"),(U1015))))</formula>
    </cfRule>
  </conditionalFormatting>
  <conditionalFormatting sqref="U1015">
    <cfRule type="containsText" dxfId="5" priority="1886" operator="containsText" text="СЗЧ">
      <formula>NOT(ISERROR(SEARCH(("СЗЧ"),(U1015))))</formula>
    </cfRule>
  </conditionalFormatting>
  <conditionalFormatting sqref="U1015">
    <cfRule type="containsText" dxfId="6" priority="1887" operator="containsText" text="Зниклі безвісти">
      <formula>NOT(ISERROR(SEARCH(("Зниклі безвісти"),(U1015))))</formula>
    </cfRule>
  </conditionalFormatting>
  <conditionalFormatting sqref="U1015">
    <cfRule type="containsText" dxfId="7" priority="1888" operator="containsText" text="Від-ні навчання">
      <formula>NOT(ISERROR(SEARCH(("Від-ні навчання"),(U1015))))</formula>
    </cfRule>
  </conditionalFormatting>
  <conditionalFormatting sqref="U1015">
    <cfRule type="containsText" dxfId="8" priority="1889" operator="containsText" text="Відком. за межі ПБ">
      <formula>NOT(ISERROR(SEARCH(("Відком. за межі ПБ"),(U1015))))</formula>
    </cfRule>
  </conditionalFormatting>
  <conditionalFormatting sqref="U1015">
    <cfRule type="containsText" dxfId="9" priority="1890" operator="containsText" text="Загиблі">
      <formula>NOT(ISERROR(SEARCH(("Загиблі"),(U1015))))</formula>
    </cfRule>
  </conditionalFormatting>
  <conditionalFormatting sqref="U1015">
    <cfRule type="containsText" dxfId="10" priority="1891" operator="containsText" text="Лікування">
      <formula>NOT(ISERROR(SEARCH(("Лікування"),(U1015))))</formula>
    </cfRule>
  </conditionalFormatting>
  <conditionalFormatting sqref="U1015">
    <cfRule type="containsText" dxfId="10" priority="1892" operator="containsText" text="Лікування">
      <formula>NOT(ISERROR(SEARCH(("Лікування"),(U1015))))</formula>
    </cfRule>
  </conditionalFormatting>
  <conditionalFormatting sqref="U1015">
    <cfRule type="containsText" dxfId="9" priority="1893" operator="containsText" text="Загиблі">
      <formula>NOT(ISERROR(SEARCH(("Загиблі"),(U1015))))</formula>
    </cfRule>
  </conditionalFormatting>
  <conditionalFormatting sqref="U1015">
    <cfRule type="containsText" dxfId="8" priority="1894" operator="containsText" text="Відком. за межі ПБ">
      <formula>NOT(ISERROR(SEARCH(("Відком. за межі ПБ"),(U1015))))</formula>
    </cfRule>
  </conditionalFormatting>
  <conditionalFormatting sqref="U1015">
    <cfRule type="containsText" dxfId="7" priority="1895" operator="containsText" text="Від-ні навчання">
      <formula>NOT(ISERROR(SEARCH(("Від-ні навчання"),(U1015))))</formula>
    </cfRule>
  </conditionalFormatting>
  <conditionalFormatting sqref="U1015">
    <cfRule type="containsText" dxfId="6" priority="1896" operator="containsText" text="Зниклі безвісти">
      <formula>NOT(ISERROR(SEARCH(("Зниклі безвісти"),(U1015))))</formula>
    </cfRule>
  </conditionalFormatting>
  <conditionalFormatting sqref="U1015">
    <cfRule type="containsText" dxfId="5" priority="1897" operator="containsText" text="СЗЧ">
      <formula>NOT(ISERROR(SEARCH(("СЗЧ"),(U1015))))</formula>
    </cfRule>
  </conditionalFormatting>
  <conditionalFormatting sqref="U1015">
    <cfRule type="containsText" dxfId="4" priority="1898" operator="containsText" text="Відпустка">
      <formula>NOT(ISERROR(SEARCH(("Відпустка"),(U1015))))</formula>
    </cfRule>
  </conditionalFormatting>
  <conditionalFormatting sqref="U1015">
    <cfRule type="containsText" dxfId="3" priority="1899" operator="containsText" text="В строю">
      <formula>NOT(ISERROR(SEARCH(("В строю"),(U1015))))</formula>
    </cfRule>
  </conditionalFormatting>
  <conditionalFormatting sqref="Q1015">
    <cfRule type="cellIs" dxfId="3" priority="1900" operator="equal">
      <formula>P1015</formula>
    </cfRule>
  </conditionalFormatting>
  <conditionalFormatting sqref="Q1015">
    <cfRule type="cellIs" dxfId="9" priority="1901" operator="notEqual">
      <formula>P1015</formula>
    </cfRule>
  </conditionalFormatting>
  <conditionalFormatting sqref="N1015">
    <cfRule type="expression" dxfId="0" priority="1902">
      <formula>COUNTIF(#REF!, N1015) &gt; 1</formula>
    </cfRule>
  </conditionalFormatting>
  <conditionalFormatting sqref="U1014">
    <cfRule type="containsText" dxfId="3" priority="1903" operator="containsText" text="В строю">
      <formula>NOT(ISERROR(SEARCH(("В строю"),(U1014))))</formula>
    </cfRule>
  </conditionalFormatting>
  <conditionalFormatting sqref="U1014">
    <cfRule type="containsText" dxfId="4" priority="1904" operator="containsText" text="Відпустка">
      <formula>NOT(ISERROR(SEARCH(("Відпустка"),(U1014))))</formula>
    </cfRule>
  </conditionalFormatting>
  <conditionalFormatting sqref="U1014">
    <cfRule type="containsText" dxfId="5" priority="1905" operator="containsText" text="СЗЧ">
      <formula>NOT(ISERROR(SEARCH(("СЗЧ"),(U1014))))</formula>
    </cfRule>
  </conditionalFormatting>
  <conditionalFormatting sqref="U1014">
    <cfRule type="containsText" dxfId="6" priority="1906" operator="containsText" text="Зниклі безвісти">
      <formula>NOT(ISERROR(SEARCH(("Зниклі безвісти"),(U1014))))</formula>
    </cfRule>
  </conditionalFormatting>
  <conditionalFormatting sqref="U1014">
    <cfRule type="containsText" dxfId="7" priority="1907" operator="containsText" text="Від-ні навчання">
      <formula>NOT(ISERROR(SEARCH(("Від-ні навчання"),(U1014))))</formula>
    </cfRule>
  </conditionalFormatting>
  <conditionalFormatting sqref="U1014">
    <cfRule type="containsText" dxfId="8" priority="1908" operator="containsText" text="Відком. за межі ПБ">
      <formula>NOT(ISERROR(SEARCH(("Відком. за межі ПБ"),(U1014))))</formula>
    </cfRule>
  </conditionalFormatting>
  <conditionalFormatting sqref="U1014">
    <cfRule type="containsText" dxfId="9" priority="1909" operator="containsText" text="Загиблі">
      <formula>NOT(ISERROR(SEARCH(("Загиблі"),(U1014))))</formula>
    </cfRule>
  </conditionalFormatting>
  <conditionalFormatting sqref="U1014">
    <cfRule type="containsText" dxfId="10" priority="1910" operator="containsText" text="Лікування">
      <formula>NOT(ISERROR(SEARCH(("Лікування"),(U1014))))</formula>
    </cfRule>
  </conditionalFormatting>
  <conditionalFormatting sqref="U1014">
    <cfRule type="containsText" dxfId="10" priority="1911" operator="containsText" text="Лікування">
      <formula>NOT(ISERROR(SEARCH(("Лікування"),(U1014))))</formula>
    </cfRule>
  </conditionalFormatting>
  <conditionalFormatting sqref="U1014">
    <cfRule type="containsText" dxfId="9" priority="1912" operator="containsText" text="Загиблі">
      <formula>NOT(ISERROR(SEARCH(("Загиблі"),(U1014))))</formula>
    </cfRule>
  </conditionalFormatting>
  <conditionalFormatting sqref="U1014">
    <cfRule type="containsText" dxfId="8" priority="1913" operator="containsText" text="Відком. за межі ПБ">
      <formula>NOT(ISERROR(SEARCH(("Відком. за межі ПБ"),(U1014))))</formula>
    </cfRule>
  </conditionalFormatting>
  <conditionalFormatting sqref="U1014">
    <cfRule type="containsText" dxfId="7" priority="1914" operator="containsText" text="Від-ні навчання">
      <formula>NOT(ISERROR(SEARCH(("Від-ні навчання"),(U1014))))</formula>
    </cfRule>
  </conditionalFormatting>
  <conditionalFormatting sqref="U1014">
    <cfRule type="containsText" dxfId="6" priority="1915" operator="containsText" text="Зниклі безвісти">
      <formula>NOT(ISERROR(SEARCH(("Зниклі безвісти"),(U1014))))</formula>
    </cfRule>
  </conditionalFormatting>
  <conditionalFormatting sqref="U1014">
    <cfRule type="containsText" dxfId="5" priority="1916" operator="containsText" text="СЗЧ">
      <formula>NOT(ISERROR(SEARCH(("СЗЧ"),(U1014))))</formula>
    </cfRule>
  </conditionalFormatting>
  <conditionalFormatting sqref="U1014">
    <cfRule type="containsText" dxfId="4" priority="1917" operator="containsText" text="Відпустка">
      <formula>NOT(ISERROR(SEARCH(("Відпустка"),(U1014))))</formula>
    </cfRule>
  </conditionalFormatting>
  <conditionalFormatting sqref="U1014">
    <cfRule type="containsText" dxfId="3" priority="1918" operator="containsText" text="В строю">
      <formula>NOT(ISERROR(SEARCH(("В строю"),(U1014))))</formula>
    </cfRule>
  </conditionalFormatting>
  <conditionalFormatting sqref="N1014">
    <cfRule type="expression" dxfId="0" priority="1919">
      <formula>COUNTIF(#REF!, N1014) &gt; 1</formula>
    </cfRule>
  </conditionalFormatting>
  <conditionalFormatting sqref="Q1014">
    <cfRule type="cellIs" dxfId="3" priority="1920" operator="equal">
      <formula>P1014</formula>
    </cfRule>
  </conditionalFormatting>
  <conditionalFormatting sqref="Q1014">
    <cfRule type="cellIs" dxfId="9" priority="1921" operator="notEqual">
      <formula>P1014</formula>
    </cfRule>
  </conditionalFormatting>
  <conditionalFormatting sqref="U1013">
    <cfRule type="containsText" dxfId="10" priority="1922" operator="containsText" text="Лікування">
      <formula>NOT(ISERROR(SEARCH(("Лікування"),(U1013))))</formula>
    </cfRule>
  </conditionalFormatting>
  <conditionalFormatting sqref="U1013">
    <cfRule type="containsText" dxfId="9" priority="1923" operator="containsText" text="Загиблі">
      <formula>NOT(ISERROR(SEARCH(("Загиблі"),(U1013))))</formula>
    </cfRule>
  </conditionalFormatting>
  <conditionalFormatting sqref="U1013">
    <cfRule type="containsText" dxfId="8" priority="1924" operator="containsText" text="Відком. за межі ПБ">
      <formula>NOT(ISERROR(SEARCH(("Відком. за межі ПБ"),(U1013))))</formula>
    </cfRule>
  </conditionalFormatting>
  <conditionalFormatting sqref="U1013">
    <cfRule type="containsText" dxfId="7" priority="1925" operator="containsText" text="Від-ні навчання">
      <formula>NOT(ISERROR(SEARCH(("Від-ні навчання"),(U1013))))</formula>
    </cfRule>
  </conditionalFormatting>
  <conditionalFormatting sqref="U1013">
    <cfRule type="containsText" dxfId="6" priority="1926" operator="containsText" text="Зниклі безвісти">
      <formula>NOT(ISERROR(SEARCH(("Зниклі безвісти"),(U1013))))</formula>
    </cfRule>
  </conditionalFormatting>
  <conditionalFormatting sqref="U1013">
    <cfRule type="containsText" dxfId="5" priority="1927" operator="containsText" text="СЗЧ">
      <formula>NOT(ISERROR(SEARCH(("СЗЧ"),(U1013))))</formula>
    </cfRule>
  </conditionalFormatting>
  <conditionalFormatting sqref="U1013">
    <cfRule type="containsText" dxfId="4" priority="1928" operator="containsText" text="Відпустка">
      <formula>NOT(ISERROR(SEARCH(("Відпустка"),(U1013))))</formula>
    </cfRule>
  </conditionalFormatting>
  <conditionalFormatting sqref="U1013">
    <cfRule type="containsText" dxfId="3" priority="1929" operator="containsText" text="В строю">
      <formula>NOT(ISERROR(SEARCH(("В строю"),(U1013))))</formula>
    </cfRule>
  </conditionalFormatting>
  <conditionalFormatting sqref="U1013">
    <cfRule type="containsText" dxfId="3" priority="1930" operator="containsText" text="В строю">
      <formula>NOT(ISERROR(SEARCH(("В строю"),(U1013))))</formula>
    </cfRule>
  </conditionalFormatting>
  <conditionalFormatting sqref="U1013">
    <cfRule type="containsText" dxfId="4" priority="1931" operator="containsText" text="Відпустка">
      <formula>NOT(ISERROR(SEARCH(("Відпустка"),(U1013))))</formula>
    </cfRule>
  </conditionalFormatting>
  <conditionalFormatting sqref="U1013">
    <cfRule type="containsText" dxfId="5" priority="1932" operator="containsText" text="СЗЧ">
      <formula>NOT(ISERROR(SEARCH(("СЗЧ"),(U1013))))</formula>
    </cfRule>
  </conditionalFormatting>
  <conditionalFormatting sqref="U1013">
    <cfRule type="containsText" dxfId="6" priority="1933" operator="containsText" text="Зниклі безвісти">
      <formula>NOT(ISERROR(SEARCH(("Зниклі безвісти"),(U1013))))</formula>
    </cfRule>
  </conditionalFormatting>
  <conditionalFormatting sqref="U1013">
    <cfRule type="containsText" dxfId="7" priority="1934" operator="containsText" text="Від-ні навчання">
      <formula>NOT(ISERROR(SEARCH(("Від-ні навчання"),(U1013))))</formula>
    </cfRule>
  </conditionalFormatting>
  <conditionalFormatting sqref="U1013">
    <cfRule type="containsText" dxfId="8" priority="1935" operator="containsText" text="Відком. за межі ПБ">
      <formula>NOT(ISERROR(SEARCH(("Відком. за межі ПБ"),(U1013))))</formula>
    </cfRule>
  </conditionalFormatting>
  <conditionalFormatting sqref="U1013">
    <cfRule type="containsText" dxfId="9" priority="1936" operator="containsText" text="Загиблі">
      <formula>NOT(ISERROR(SEARCH(("Загиблі"),(U1013))))</formula>
    </cfRule>
  </conditionalFormatting>
  <conditionalFormatting sqref="U1013">
    <cfRule type="containsText" dxfId="10" priority="1937" operator="containsText" text="Лікування">
      <formula>NOT(ISERROR(SEARCH(("Лікування"),(U1013))))</formula>
    </cfRule>
  </conditionalFormatting>
  <conditionalFormatting sqref="N1013">
    <cfRule type="expression" dxfId="0" priority="1938">
      <formula>COUNTIF(#REF!, N1013) &gt; 1</formula>
    </cfRule>
  </conditionalFormatting>
  <conditionalFormatting sqref="Q1013">
    <cfRule type="cellIs" dxfId="9" priority="1939" operator="notEqual">
      <formula>P1013</formula>
    </cfRule>
  </conditionalFormatting>
  <conditionalFormatting sqref="Q1013">
    <cfRule type="cellIs" dxfId="3" priority="1940" operator="equal">
      <formula>P1013</formula>
    </cfRule>
  </conditionalFormatting>
  <conditionalFormatting sqref="Q1012">
    <cfRule type="cellIs" dxfId="3" priority="1941" operator="equal">
      <formula>P1012</formula>
    </cfRule>
  </conditionalFormatting>
  <conditionalFormatting sqref="Q1012">
    <cfRule type="cellIs" dxfId="9" priority="1942" operator="notEqual">
      <formula>P1012</formula>
    </cfRule>
  </conditionalFormatting>
  <conditionalFormatting sqref="N1012:O1012">
    <cfRule type="expression" dxfId="0" priority="1943">
      <formula>COUNTIF(#REF!, N1012) &gt; 1</formula>
    </cfRule>
  </conditionalFormatting>
  <conditionalFormatting sqref="AK1012">
    <cfRule type="containsText" dxfId="11" priority="1944" operator="containsText" text="Зниклі безвісти">
      <formula>NOT(ISERROR(SEARCH(("Зниклі безвісти"),(AK1012))))</formula>
    </cfRule>
  </conditionalFormatting>
  <conditionalFormatting sqref="AK1012">
    <cfRule type="cellIs" dxfId="12" priority="1945" operator="equal">
      <formula>SUM(#REF!)</formula>
    </cfRule>
  </conditionalFormatting>
  <conditionalFormatting sqref="AK1012">
    <cfRule type="containsText" dxfId="13" priority="1946" operator="containsText" text="СЗЧ">
      <formula>NOT(ISERROR(SEARCH(("СЗЧ"),(AK1012))))</formula>
    </cfRule>
  </conditionalFormatting>
  <conditionalFormatting sqref="AK1012">
    <cfRule type="containsText" dxfId="14" priority="1947" operator="containsText" text="Лікування">
      <formula>NOT(ISERROR(SEARCH(("Лікування"),(AK1012))))</formula>
    </cfRule>
  </conditionalFormatting>
  <conditionalFormatting sqref="AK1012">
    <cfRule type="containsText" dxfId="15" priority="1948" operator="containsText" text="СТАТУС">
      <formula>NOT(ISERROR(SEARCH(("СТАТУС"),(AK1012))))</formula>
    </cfRule>
  </conditionalFormatting>
  <conditionalFormatting sqref="AK1012">
    <cfRule type="containsText" dxfId="16" priority="1949" operator="containsText" text="Мед.пункт">
      <formula>NOT(ISERROR(SEARCH(("Мед.пункт"),(AK1012))))</formula>
    </cfRule>
  </conditionalFormatting>
  <conditionalFormatting sqref="AK1012">
    <cfRule type="containsText" dxfId="17" priority="1950" operator="containsText" text="Відпустка">
      <formula>NOT(ISERROR(SEARCH(("Відпустка"),(AK1012))))</formula>
    </cfRule>
  </conditionalFormatting>
  <conditionalFormatting sqref="AK1012">
    <cfRule type="containsText" dxfId="8" priority="1951" operator="containsText" text="Від-ні за межі бату">
      <formula>NOT(ISERROR(SEARCH(("Від-ні за межі бату"),(AK1012))))</formula>
    </cfRule>
  </conditionalFormatting>
  <conditionalFormatting sqref="AK1012">
    <cfRule type="containsText" dxfId="18" priority="1952" operator="containsText" text="В строю">
      <formula>NOT(ISERROR(SEARCH(("В строю"),(AK1012))))</formula>
    </cfRule>
  </conditionalFormatting>
  <conditionalFormatting sqref="N1012">
    <cfRule type="expression" dxfId="0" priority="1953">
      <formula>COUNTIF(#REF!, N1012) &gt; 1</formula>
    </cfRule>
  </conditionalFormatting>
  <conditionalFormatting sqref="N1012:O1012">
    <cfRule type="expression" dxfId="0" priority="1954">
      <formula>COUNTIF(#REF!, N1012) &gt; 1</formula>
    </cfRule>
  </conditionalFormatting>
  <conditionalFormatting sqref="N1012:O1012">
    <cfRule type="expression" dxfId="0" priority="1955">
      <formula>COUNTIF(#REF!, N1012) &gt; 1</formula>
    </cfRule>
  </conditionalFormatting>
  <conditionalFormatting sqref="Q1012">
    <cfRule type="cellIs" dxfId="9" priority="1956" operator="notEqual">
      <formula>P1012</formula>
    </cfRule>
  </conditionalFormatting>
  <conditionalFormatting sqref="Q1012">
    <cfRule type="cellIs" dxfId="3" priority="1957" operator="equal">
      <formula>P1012</formula>
    </cfRule>
  </conditionalFormatting>
  <conditionalFormatting sqref="U1012">
    <cfRule type="containsText" dxfId="10" priority="1958" operator="containsText" text="Лікування">
      <formula>NOT(ISERROR(SEARCH(("Лікування"),(U1012))))</formula>
    </cfRule>
  </conditionalFormatting>
  <conditionalFormatting sqref="U1012">
    <cfRule type="containsText" dxfId="9" priority="1959" operator="containsText" text="Загиблі">
      <formula>NOT(ISERROR(SEARCH(("Загиблі"),(U1012))))</formula>
    </cfRule>
  </conditionalFormatting>
  <conditionalFormatting sqref="U1012">
    <cfRule type="containsText" dxfId="8" priority="1960" operator="containsText" text="Відком. за межі ПБ">
      <formula>NOT(ISERROR(SEARCH(("Відком. за межі ПБ"),(U1012))))</formula>
    </cfRule>
  </conditionalFormatting>
  <conditionalFormatting sqref="U1012">
    <cfRule type="containsText" dxfId="7" priority="1961" operator="containsText" text="Від-ні навчання">
      <formula>NOT(ISERROR(SEARCH(("Від-ні навчання"),(U1012))))</formula>
    </cfRule>
  </conditionalFormatting>
  <conditionalFormatting sqref="U1012">
    <cfRule type="containsText" dxfId="6" priority="1962" operator="containsText" text="Зниклі безвісти">
      <formula>NOT(ISERROR(SEARCH(("Зниклі безвісти"),(U1012))))</formula>
    </cfRule>
  </conditionalFormatting>
  <conditionalFormatting sqref="U1012">
    <cfRule type="containsText" dxfId="5" priority="1963" operator="containsText" text="СЗЧ">
      <formula>NOT(ISERROR(SEARCH(("СЗЧ"),(U1012))))</formula>
    </cfRule>
  </conditionalFormatting>
  <conditionalFormatting sqref="U1012">
    <cfRule type="containsText" dxfId="4" priority="1964" operator="containsText" text="Відпустка">
      <formula>NOT(ISERROR(SEARCH(("Відпустка"),(U1012))))</formula>
    </cfRule>
  </conditionalFormatting>
  <conditionalFormatting sqref="U1012">
    <cfRule type="containsText" dxfId="3" priority="1965" operator="containsText" text="В строю">
      <formula>NOT(ISERROR(SEARCH(("В строю"),(U1012))))</formula>
    </cfRule>
  </conditionalFormatting>
  <conditionalFormatting sqref="U1012">
    <cfRule type="containsText" dxfId="3" priority="1966" operator="containsText" text="В строю">
      <formula>NOT(ISERROR(SEARCH(("В строю"),(U1012))))</formula>
    </cfRule>
  </conditionalFormatting>
  <conditionalFormatting sqref="U1012">
    <cfRule type="containsText" dxfId="4" priority="1967" operator="containsText" text="Відпустка">
      <formula>NOT(ISERROR(SEARCH(("Відпустка"),(U1012))))</formula>
    </cfRule>
  </conditionalFormatting>
  <conditionalFormatting sqref="U1012">
    <cfRule type="containsText" dxfId="5" priority="1968" operator="containsText" text="СЗЧ">
      <formula>NOT(ISERROR(SEARCH(("СЗЧ"),(U1012))))</formula>
    </cfRule>
  </conditionalFormatting>
  <conditionalFormatting sqref="U1012">
    <cfRule type="containsText" dxfId="6" priority="1969" operator="containsText" text="Зниклі безвісти">
      <formula>NOT(ISERROR(SEARCH(("Зниклі безвісти"),(U1012))))</formula>
    </cfRule>
  </conditionalFormatting>
  <conditionalFormatting sqref="U1012">
    <cfRule type="containsText" dxfId="7" priority="1970" operator="containsText" text="Від-ні навчання">
      <formula>NOT(ISERROR(SEARCH(("Від-ні навчання"),(U1012))))</formula>
    </cfRule>
  </conditionalFormatting>
  <conditionalFormatting sqref="U1012">
    <cfRule type="containsText" dxfId="8" priority="1971" operator="containsText" text="Відком. за межі ПБ">
      <formula>NOT(ISERROR(SEARCH(("Відком. за межі ПБ"),(U1012))))</formula>
    </cfRule>
  </conditionalFormatting>
  <conditionalFormatting sqref="U1012">
    <cfRule type="containsText" dxfId="9" priority="1972" operator="containsText" text="Загиблі">
      <formula>NOT(ISERROR(SEARCH(("Загиблі"),(U1012))))</formula>
    </cfRule>
  </conditionalFormatting>
  <conditionalFormatting sqref="U1012">
    <cfRule type="containsText" dxfId="10" priority="1973" operator="containsText" text="Лікування">
      <formula>NOT(ISERROR(SEARCH(("Лікування"),(U1012))))</formula>
    </cfRule>
  </conditionalFormatting>
  <conditionalFormatting sqref="N1007">
    <cfRule type="expression" dxfId="0" priority="1974">
      <formula>COUNTIF(#REF!, N1007) &gt; 1</formula>
    </cfRule>
  </conditionalFormatting>
  <conditionalFormatting sqref="Q1007:Q1011">
    <cfRule type="cellIs" dxfId="3" priority="1975" operator="equal">
      <formula>P1007</formula>
    </cfRule>
  </conditionalFormatting>
  <conditionalFormatting sqref="Q1007:Q1011">
    <cfRule type="cellIs" dxfId="9" priority="1976" operator="notEqual">
      <formula>P1007</formula>
    </cfRule>
  </conditionalFormatting>
  <conditionalFormatting sqref="U1007:U1011">
    <cfRule type="containsText" dxfId="10" priority="1977" operator="containsText" text="Лікування">
      <formula>NOT(ISERROR(SEARCH(("Лікування"),(U1007))))</formula>
    </cfRule>
  </conditionalFormatting>
  <conditionalFormatting sqref="U1007:U1011">
    <cfRule type="containsText" dxfId="9" priority="1978" operator="containsText" text="Загиблі">
      <formula>NOT(ISERROR(SEARCH(("Загиблі"),(U1007))))</formula>
    </cfRule>
  </conditionalFormatting>
  <conditionalFormatting sqref="U1007:U1011">
    <cfRule type="containsText" dxfId="8" priority="1979" operator="containsText" text="Відком. за межі ПБ">
      <formula>NOT(ISERROR(SEARCH(("Відком. за межі ПБ"),(U1007))))</formula>
    </cfRule>
  </conditionalFormatting>
  <conditionalFormatting sqref="U1007:U1011">
    <cfRule type="containsText" dxfId="7" priority="1980" operator="containsText" text="Від-ні навчання">
      <formula>NOT(ISERROR(SEARCH(("Від-ні навчання"),(U1007))))</formula>
    </cfRule>
  </conditionalFormatting>
  <conditionalFormatting sqref="U1007:U1011">
    <cfRule type="containsText" dxfId="6" priority="1981" operator="containsText" text="Зниклі безвісти">
      <formula>NOT(ISERROR(SEARCH(("Зниклі безвісти"),(U1007))))</formula>
    </cfRule>
  </conditionalFormatting>
  <conditionalFormatting sqref="U1007:U1011">
    <cfRule type="containsText" dxfId="5" priority="1982" operator="containsText" text="СЗЧ">
      <formula>NOT(ISERROR(SEARCH(("СЗЧ"),(U1007))))</formula>
    </cfRule>
  </conditionalFormatting>
  <conditionalFormatting sqref="U1007:U1011">
    <cfRule type="containsText" dxfId="4" priority="1983" operator="containsText" text="Відпустка">
      <formula>NOT(ISERROR(SEARCH(("Відпустка"),(U1007))))</formula>
    </cfRule>
  </conditionalFormatting>
  <conditionalFormatting sqref="U1007:U1011">
    <cfRule type="containsText" dxfId="3" priority="1984" operator="containsText" text="В строю">
      <formula>NOT(ISERROR(SEARCH(("В строю"),(U1007))))</formula>
    </cfRule>
  </conditionalFormatting>
  <conditionalFormatting sqref="U1007">
    <cfRule type="containsText" dxfId="3" priority="1985" operator="containsText" text="В строю">
      <formula>NOT(ISERROR(SEARCH(("В строю"),(U1007))))</formula>
    </cfRule>
  </conditionalFormatting>
  <conditionalFormatting sqref="U1007">
    <cfRule type="containsText" dxfId="4" priority="1986" operator="containsText" text="Відпустка">
      <formula>NOT(ISERROR(SEARCH(("Відпустка"),(U1007))))</formula>
    </cfRule>
  </conditionalFormatting>
  <conditionalFormatting sqref="U1007">
    <cfRule type="containsText" dxfId="5" priority="1987" operator="containsText" text="СЗЧ">
      <formula>NOT(ISERROR(SEARCH(("СЗЧ"),(U1007))))</formula>
    </cfRule>
  </conditionalFormatting>
  <conditionalFormatting sqref="U1007">
    <cfRule type="containsText" dxfId="6" priority="1988" operator="containsText" text="Зниклі безвісти">
      <formula>NOT(ISERROR(SEARCH(("Зниклі безвісти"),(U1007))))</formula>
    </cfRule>
  </conditionalFormatting>
  <conditionalFormatting sqref="U1007">
    <cfRule type="containsText" dxfId="7" priority="1989" operator="containsText" text="Від-ні навчання">
      <formula>NOT(ISERROR(SEARCH(("Від-ні навчання"),(U1007))))</formula>
    </cfRule>
  </conditionalFormatting>
  <conditionalFormatting sqref="U1007">
    <cfRule type="containsText" dxfId="8" priority="1990" operator="containsText" text="Відком. за межі ПБ">
      <formula>NOT(ISERROR(SEARCH(("Відком. за межі ПБ"),(U1007))))</formula>
    </cfRule>
  </conditionalFormatting>
  <conditionalFormatting sqref="U1007">
    <cfRule type="containsText" dxfId="9" priority="1991" operator="containsText" text="Загиблі">
      <formula>NOT(ISERROR(SEARCH(("Загиблі"),(U1007))))</formula>
    </cfRule>
  </conditionalFormatting>
  <conditionalFormatting sqref="U1007">
    <cfRule type="containsText" dxfId="10" priority="1992" operator="containsText" text="Лікування">
      <formula>NOT(ISERROR(SEARCH(("Лікування"),(U1007))))</formula>
    </cfRule>
  </conditionalFormatting>
  <conditionalFormatting sqref="U1004:U1006">
    <cfRule type="containsText" dxfId="3" priority="1993" operator="containsText" text="В строю">
      <formula>NOT(ISERROR(SEARCH(("В строю"),(U1004))))</formula>
    </cfRule>
  </conditionalFormatting>
  <conditionalFormatting sqref="U1004:U1006">
    <cfRule type="containsText" dxfId="4" priority="1994" operator="containsText" text="Відпустка">
      <formula>NOT(ISERROR(SEARCH(("Відпустка"),(U1004))))</formula>
    </cfRule>
  </conditionalFormatting>
  <conditionalFormatting sqref="U1004:U1006">
    <cfRule type="containsText" dxfId="5" priority="1995" operator="containsText" text="СЗЧ">
      <formula>NOT(ISERROR(SEARCH(("СЗЧ"),(U1004))))</formula>
    </cfRule>
  </conditionalFormatting>
  <conditionalFormatting sqref="U1004:U1006">
    <cfRule type="containsText" dxfId="6" priority="1996" operator="containsText" text="Зниклі безвісти">
      <formula>NOT(ISERROR(SEARCH(("Зниклі безвісти"),(U1004))))</formula>
    </cfRule>
  </conditionalFormatting>
  <conditionalFormatting sqref="U1004:U1006">
    <cfRule type="containsText" dxfId="7" priority="1997" operator="containsText" text="Від-ні навчання">
      <formula>NOT(ISERROR(SEARCH(("Від-ні навчання"),(U1004))))</formula>
    </cfRule>
  </conditionalFormatting>
  <conditionalFormatting sqref="U1004:U1006">
    <cfRule type="containsText" dxfId="8" priority="1998" operator="containsText" text="Відком. за межі ПБ">
      <formula>NOT(ISERROR(SEARCH(("Відком. за межі ПБ"),(U1004))))</formula>
    </cfRule>
  </conditionalFormatting>
  <conditionalFormatting sqref="U1004:U1006">
    <cfRule type="containsText" dxfId="9" priority="1999" operator="containsText" text="Загиблі">
      <formula>NOT(ISERROR(SEARCH(("Загиблі"),(U1004))))</formula>
    </cfRule>
  </conditionalFormatting>
  <conditionalFormatting sqref="U1004:U1006">
    <cfRule type="containsText" dxfId="10" priority="2000" operator="containsText" text="Лікування">
      <formula>NOT(ISERROR(SEARCH(("Лікування"),(U1004))))</formula>
    </cfRule>
  </conditionalFormatting>
  <conditionalFormatting sqref="Q1004:Q1006">
    <cfRule type="cellIs" dxfId="3" priority="2001" operator="equal">
      <formula>P1004</formula>
    </cfRule>
  </conditionalFormatting>
  <conditionalFormatting sqref="Q1004:Q1006">
    <cfRule type="cellIs" dxfId="9" priority="2002" operator="notEqual">
      <formula>P1004</formula>
    </cfRule>
  </conditionalFormatting>
  <conditionalFormatting sqref="N1004:N1006">
    <cfRule type="expression" dxfId="0" priority="2003">
      <formula>COUNTIF(#REF!, N1004) &gt; 1</formula>
    </cfRule>
  </conditionalFormatting>
  <conditionalFormatting sqref="N1003">
    <cfRule type="expression" dxfId="0" priority="2004">
      <formula>COUNTIF(#REF!, N1003) &gt; 1</formula>
    </cfRule>
  </conditionalFormatting>
  <conditionalFormatting sqref="N1003">
    <cfRule type="expression" dxfId="0" priority="2005">
      <formula>COUNTIF(#REF!, N1003) &gt; 1</formula>
    </cfRule>
  </conditionalFormatting>
  <conditionalFormatting sqref="Q1003">
    <cfRule type="cellIs" dxfId="3" priority="2006" operator="equal">
      <formula>P1003</formula>
    </cfRule>
  </conditionalFormatting>
  <conditionalFormatting sqref="Q1003">
    <cfRule type="cellIs" dxfId="9" priority="2007" operator="notEqual">
      <formula>P1003</formula>
    </cfRule>
  </conditionalFormatting>
  <conditionalFormatting sqref="U1003">
    <cfRule type="containsText" dxfId="10" priority="2008" operator="containsText" text="Лікування">
      <formula>NOT(ISERROR(SEARCH(("Лікування"),(U1003))))</formula>
    </cfRule>
  </conditionalFormatting>
  <conditionalFormatting sqref="U1003">
    <cfRule type="containsText" dxfId="9" priority="2009" operator="containsText" text="Загиблі">
      <formula>NOT(ISERROR(SEARCH(("Загиблі"),(U1003))))</formula>
    </cfRule>
  </conditionalFormatting>
  <conditionalFormatting sqref="U1003">
    <cfRule type="containsText" dxfId="8" priority="2010" operator="containsText" text="Відком. за межі ПБ">
      <formula>NOT(ISERROR(SEARCH(("Відком. за межі ПБ"),(U1003))))</formula>
    </cfRule>
  </conditionalFormatting>
  <conditionalFormatting sqref="U1003">
    <cfRule type="containsText" dxfId="7" priority="2011" operator="containsText" text="Від-ні навчання">
      <formula>NOT(ISERROR(SEARCH(("Від-ні навчання"),(U1003))))</formula>
    </cfRule>
  </conditionalFormatting>
  <conditionalFormatting sqref="U1003">
    <cfRule type="containsText" dxfId="6" priority="2012" operator="containsText" text="Зниклі безвісти">
      <formula>NOT(ISERROR(SEARCH(("Зниклі безвісти"),(U1003))))</formula>
    </cfRule>
  </conditionalFormatting>
  <conditionalFormatting sqref="U1003">
    <cfRule type="containsText" dxfId="5" priority="2013" operator="containsText" text="СЗЧ">
      <formula>NOT(ISERROR(SEARCH(("СЗЧ"),(U1003))))</formula>
    </cfRule>
  </conditionalFormatting>
  <conditionalFormatting sqref="U1003">
    <cfRule type="containsText" dxfId="4" priority="2014" operator="containsText" text="Відпустка">
      <formula>NOT(ISERROR(SEARCH(("Відпустка"),(U1003))))</formula>
    </cfRule>
  </conditionalFormatting>
  <conditionalFormatting sqref="U1003">
    <cfRule type="containsText" dxfId="3" priority="2015" operator="containsText" text="В строю">
      <formula>NOT(ISERROR(SEARCH(("В строю"),(U1003))))</formula>
    </cfRule>
  </conditionalFormatting>
  <conditionalFormatting sqref="U1003">
    <cfRule type="containsText" dxfId="3" priority="2016" operator="containsText" text="В строю">
      <formula>NOT(ISERROR(SEARCH(("В строю"),(U1003))))</formula>
    </cfRule>
  </conditionalFormatting>
  <conditionalFormatting sqref="U1003">
    <cfRule type="containsText" dxfId="4" priority="2017" operator="containsText" text="Відпустка">
      <formula>NOT(ISERROR(SEARCH(("Відпустка"),(U1003))))</formula>
    </cfRule>
  </conditionalFormatting>
  <conditionalFormatting sqref="U1003">
    <cfRule type="containsText" dxfId="5" priority="2018" operator="containsText" text="СЗЧ">
      <formula>NOT(ISERROR(SEARCH(("СЗЧ"),(U1003))))</formula>
    </cfRule>
  </conditionalFormatting>
  <conditionalFormatting sqref="U1003">
    <cfRule type="containsText" dxfId="6" priority="2019" operator="containsText" text="Зниклі безвісти">
      <formula>NOT(ISERROR(SEARCH(("Зниклі безвісти"),(U1003))))</formula>
    </cfRule>
  </conditionalFormatting>
  <conditionalFormatting sqref="U1003">
    <cfRule type="containsText" dxfId="7" priority="2020" operator="containsText" text="Від-ні навчання">
      <formula>NOT(ISERROR(SEARCH(("Від-ні навчання"),(U1003))))</formula>
    </cfRule>
  </conditionalFormatting>
  <conditionalFormatting sqref="U1003">
    <cfRule type="containsText" dxfId="8" priority="2021" operator="containsText" text="Відком. за межі ПБ">
      <formula>NOT(ISERROR(SEARCH(("Відком. за межі ПБ"),(U1003))))</formula>
    </cfRule>
  </conditionalFormatting>
  <conditionalFormatting sqref="U1003">
    <cfRule type="containsText" dxfId="9" priority="2022" operator="containsText" text="Загиблі">
      <formula>NOT(ISERROR(SEARCH(("Загиблі"),(U1003))))</formula>
    </cfRule>
  </conditionalFormatting>
  <conditionalFormatting sqref="U1003">
    <cfRule type="containsText" dxfId="10" priority="2023" operator="containsText" text="Лікування">
      <formula>NOT(ISERROR(SEARCH(("Лікування"),(U1003))))</formula>
    </cfRule>
  </conditionalFormatting>
  <conditionalFormatting sqref="U986:U1002">
    <cfRule type="containsText" dxfId="3" priority="2024" operator="containsText" text="В строю">
      <formula>NOT(ISERROR(SEARCH(("В строю"),(U986))))</formula>
    </cfRule>
  </conditionalFormatting>
  <conditionalFormatting sqref="U986:U1002">
    <cfRule type="containsText" dxfId="4" priority="2025" operator="containsText" text="Відпустка">
      <formula>NOT(ISERROR(SEARCH(("Відпустка"),(U986))))</formula>
    </cfRule>
  </conditionalFormatting>
  <conditionalFormatting sqref="U986:U1002">
    <cfRule type="containsText" dxfId="5" priority="2026" operator="containsText" text="СЗЧ">
      <formula>NOT(ISERROR(SEARCH(("СЗЧ"),(U986))))</formula>
    </cfRule>
  </conditionalFormatting>
  <conditionalFormatting sqref="U986:U1002">
    <cfRule type="containsText" dxfId="6" priority="2027" operator="containsText" text="Зниклі безвісти">
      <formula>NOT(ISERROR(SEARCH(("Зниклі безвісти"),(U986))))</formula>
    </cfRule>
  </conditionalFormatting>
  <conditionalFormatting sqref="U986:U1002">
    <cfRule type="containsText" dxfId="7" priority="2028" operator="containsText" text="Від-ні навчання">
      <formula>NOT(ISERROR(SEARCH(("Від-ні навчання"),(U986))))</formula>
    </cfRule>
  </conditionalFormatting>
  <conditionalFormatting sqref="U986:U1002">
    <cfRule type="containsText" dxfId="8" priority="2029" operator="containsText" text="Відком. за межі ПБ">
      <formula>NOT(ISERROR(SEARCH(("Відком. за межі ПБ"),(U986))))</formula>
    </cfRule>
  </conditionalFormatting>
  <conditionalFormatting sqref="U986:U1002">
    <cfRule type="containsText" dxfId="9" priority="2030" operator="containsText" text="Загиблі">
      <formula>NOT(ISERROR(SEARCH(("Загиблі"),(U986))))</formula>
    </cfRule>
  </conditionalFormatting>
  <conditionalFormatting sqref="U986:U1002">
    <cfRule type="containsText" dxfId="10" priority="2031" operator="containsText" text="Лікування">
      <formula>NOT(ISERROR(SEARCH(("Лікування"),(U986))))</formula>
    </cfRule>
  </conditionalFormatting>
  <conditionalFormatting sqref="Q986:Q1002">
    <cfRule type="cellIs" dxfId="3" priority="2032" operator="equal">
      <formula>P986</formula>
    </cfRule>
  </conditionalFormatting>
  <conditionalFormatting sqref="Q986:Q1002">
    <cfRule type="cellIs" dxfId="9" priority="2033" operator="notEqual">
      <formula>P986</formula>
    </cfRule>
  </conditionalFormatting>
  <conditionalFormatting sqref="U986">
    <cfRule type="containsText" dxfId="10" priority="2034" operator="containsText" text="Лікування">
      <formula>NOT(ISERROR(SEARCH(("Лікування"),(U986))))</formula>
    </cfRule>
  </conditionalFormatting>
  <conditionalFormatting sqref="U986">
    <cfRule type="containsText" dxfId="9" priority="2035" operator="containsText" text="Загиблі">
      <formula>NOT(ISERROR(SEARCH(("Загиблі"),(U986))))</formula>
    </cfRule>
  </conditionalFormatting>
  <conditionalFormatting sqref="U986">
    <cfRule type="containsText" dxfId="8" priority="2036" operator="containsText" text="Відком. за межі ПБ">
      <formula>NOT(ISERROR(SEARCH(("Відком. за межі ПБ"),(U986))))</formula>
    </cfRule>
  </conditionalFormatting>
  <conditionalFormatting sqref="U986">
    <cfRule type="containsText" dxfId="7" priority="2037" operator="containsText" text="Від-ні навчання">
      <formula>NOT(ISERROR(SEARCH(("Від-ні навчання"),(U986))))</formula>
    </cfRule>
  </conditionalFormatting>
  <conditionalFormatting sqref="U986">
    <cfRule type="containsText" dxfId="6" priority="2038" operator="containsText" text="Зниклі безвісти">
      <formula>NOT(ISERROR(SEARCH(("Зниклі безвісти"),(U986))))</formula>
    </cfRule>
  </conditionalFormatting>
  <conditionalFormatting sqref="U986">
    <cfRule type="containsText" dxfId="5" priority="2039" operator="containsText" text="СЗЧ">
      <formula>NOT(ISERROR(SEARCH(("СЗЧ"),(U986))))</formula>
    </cfRule>
  </conditionalFormatting>
  <conditionalFormatting sqref="U986">
    <cfRule type="containsText" dxfId="4" priority="2040" operator="containsText" text="Відпустка">
      <formula>NOT(ISERROR(SEARCH(("Відпустка"),(U986))))</formula>
    </cfRule>
  </conditionalFormatting>
  <conditionalFormatting sqref="U986">
    <cfRule type="containsText" dxfId="3" priority="2041" operator="containsText" text="В строю">
      <formula>NOT(ISERROR(SEARCH(("В строю"),(U986))))</formula>
    </cfRule>
  </conditionalFormatting>
  <conditionalFormatting sqref="N986 N988:N989 N991 N996 N998">
    <cfRule type="expression" dxfId="0" priority="2042">
      <formula>COUNTIF(#REF!, N986) &gt; 1</formula>
    </cfRule>
  </conditionalFormatting>
  <conditionalFormatting sqref="N985">
    <cfRule type="expression" dxfId="0" priority="2043">
      <formula>COUNTIF(#REF!, N985) &gt; 1</formula>
    </cfRule>
  </conditionalFormatting>
  <conditionalFormatting sqref="U985">
    <cfRule type="containsText" dxfId="10" priority="2044" operator="containsText" text="Лікування">
      <formula>NOT(ISERROR(SEARCH(("Лікування"),(U985))))</formula>
    </cfRule>
  </conditionalFormatting>
  <conditionalFormatting sqref="U985">
    <cfRule type="containsText" dxfId="9" priority="2045" operator="containsText" text="Загиблі">
      <formula>NOT(ISERROR(SEARCH(("Загиблі"),(U985))))</formula>
    </cfRule>
  </conditionalFormatting>
  <conditionalFormatting sqref="U985">
    <cfRule type="containsText" dxfId="8" priority="2046" operator="containsText" text="Відком. за межі ПБ">
      <formula>NOT(ISERROR(SEARCH(("Відком. за межі ПБ"),(U985))))</formula>
    </cfRule>
  </conditionalFormatting>
  <conditionalFormatting sqref="U985">
    <cfRule type="containsText" dxfId="7" priority="2047" operator="containsText" text="Від-ні навчання">
      <formula>NOT(ISERROR(SEARCH(("Від-ні навчання"),(U985))))</formula>
    </cfRule>
  </conditionalFormatting>
  <conditionalFormatting sqref="U985">
    <cfRule type="containsText" dxfId="6" priority="2048" operator="containsText" text="Зниклі безвісти">
      <formula>NOT(ISERROR(SEARCH(("Зниклі безвісти"),(U985))))</formula>
    </cfRule>
  </conditionalFormatting>
  <conditionalFormatting sqref="U985">
    <cfRule type="containsText" dxfId="5" priority="2049" operator="containsText" text="СЗЧ">
      <formula>NOT(ISERROR(SEARCH(("СЗЧ"),(U985))))</formula>
    </cfRule>
  </conditionalFormatting>
  <conditionalFormatting sqref="U985">
    <cfRule type="containsText" dxfId="4" priority="2050" operator="containsText" text="Відпустка">
      <formula>NOT(ISERROR(SEARCH(("Відпустка"),(U985))))</formula>
    </cfRule>
  </conditionalFormatting>
  <conditionalFormatting sqref="U985">
    <cfRule type="containsText" dxfId="3" priority="2051" operator="containsText" text="В строю">
      <formula>NOT(ISERROR(SEARCH(("В строю"),(U985))))</formula>
    </cfRule>
  </conditionalFormatting>
  <conditionalFormatting sqref="U985">
    <cfRule type="containsText" dxfId="3" priority="2052" operator="containsText" text="В строю">
      <formula>NOT(ISERROR(SEARCH(("В строю"),(U985))))</formula>
    </cfRule>
  </conditionalFormatting>
  <conditionalFormatting sqref="U985">
    <cfRule type="containsText" dxfId="4" priority="2053" operator="containsText" text="Відпустка">
      <formula>NOT(ISERROR(SEARCH(("Відпустка"),(U985))))</formula>
    </cfRule>
  </conditionalFormatting>
  <conditionalFormatting sqref="U985">
    <cfRule type="containsText" dxfId="5" priority="2054" operator="containsText" text="СЗЧ">
      <formula>NOT(ISERROR(SEARCH(("СЗЧ"),(U985))))</formula>
    </cfRule>
  </conditionalFormatting>
  <conditionalFormatting sqref="U985">
    <cfRule type="containsText" dxfId="6" priority="2055" operator="containsText" text="Зниклі безвісти">
      <formula>NOT(ISERROR(SEARCH(("Зниклі безвісти"),(U985))))</formula>
    </cfRule>
  </conditionalFormatting>
  <conditionalFormatting sqref="U985">
    <cfRule type="containsText" dxfId="7" priority="2056" operator="containsText" text="Від-ні навчання">
      <formula>NOT(ISERROR(SEARCH(("Від-ні навчання"),(U985))))</formula>
    </cfRule>
  </conditionalFormatting>
  <conditionalFormatting sqref="U985">
    <cfRule type="containsText" dxfId="8" priority="2057" operator="containsText" text="Відком. за межі ПБ">
      <formula>NOT(ISERROR(SEARCH(("Відком. за межі ПБ"),(U985))))</formula>
    </cfRule>
  </conditionalFormatting>
  <conditionalFormatting sqref="U985">
    <cfRule type="containsText" dxfId="9" priority="2058" operator="containsText" text="Загиблі">
      <formula>NOT(ISERROR(SEARCH(("Загиблі"),(U985))))</formula>
    </cfRule>
  </conditionalFormatting>
  <conditionalFormatting sqref="U985">
    <cfRule type="containsText" dxfId="10" priority="2059" operator="containsText" text="Лікування">
      <formula>NOT(ISERROR(SEARCH(("Лікування"),(U985))))</formula>
    </cfRule>
  </conditionalFormatting>
  <conditionalFormatting sqref="Q985">
    <cfRule type="cellIs" dxfId="9" priority="2060" operator="notEqual">
      <formula>P985</formula>
    </cfRule>
  </conditionalFormatting>
  <conditionalFormatting sqref="Q985">
    <cfRule type="cellIs" dxfId="3" priority="2061" operator="equal">
      <formula>P985</formula>
    </cfRule>
  </conditionalFormatting>
  <conditionalFormatting sqref="U984">
    <cfRule type="containsText" dxfId="3" priority="2062" operator="containsText" text="В строю">
      <formula>NOT(ISERROR(SEARCH(("В строю"),(U984))))</formula>
    </cfRule>
  </conditionalFormatting>
  <conditionalFormatting sqref="U984">
    <cfRule type="containsText" dxfId="4" priority="2063" operator="containsText" text="Відпустка">
      <formula>NOT(ISERROR(SEARCH(("Відпустка"),(U984))))</formula>
    </cfRule>
  </conditionalFormatting>
  <conditionalFormatting sqref="U984">
    <cfRule type="containsText" dxfId="5" priority="2064" operator="containsText" text="СЗЧ">
      <formula>NOT(ISERROR(SEARCH(("СЗЧ"),(U984))))</formula>
    </cfRule>
  </conditionalFormatting>
  <conditionalFormatting sqref="U984">
    <cfRule type="containsText" dxfId="6" priority="2065" operator="containsText" text="Зниклі безвісти">
      <formula>NOT(ISERROR(SEARCH(("Зниклі безвісти"),(U984))))</formula>
    </cfRule>
  </conditionalFormatting>
  <conditionalFormatting sqref="U984">
    <cfRule type="containsText" dxfId="7" priority="2066" operator="containsText" text="Від-ні навчання">
      <formula>NOT(ISERROR(SEARCH(("Від-ні навчання"),(U984))))</formula>
    </cfRule>
  </conditionalFormatting>
  <conditionalFormatting sqref="U984">
    <cfRule type="containsText" dxfId="8" priority="2067" operator="containsText" text="Відком. за межі ПБ">
      <formula>NOT(ISERROR(SEARCH(("Відком. за межі ПБ"),(U984))))</formula>
    </cfRule>
  </conditionalFormatting>
  <conditionalFormatting sqref="U984">
    <cfRule type="containsText" dxfId="9" priority="2068" operator="containsText" text="Загиблі">
      <formula>NOT(ISERROR(SEARCH(("Загиблі"),(U984))))</formula>
    </cfRule>
  </conditionalFormatting>
  <conditionalFormatting sqref="U984">
    <cfRule type="containsText" dxfId="10" priority="2069" operator="containsText" text="Лікування">
      <formula>NOT(ISERROR(SEARCH(("Лікування"),(U984))))</formula>
    </cfRule>
  </conditionalFormatting>
  <conditionalFormatting sqref="U984">
    <cfRule type="containsText" dxfId="3" priority="2070" operator="containsText" text="В строю">
      <formula>NOT(ISERROR(SEARCH(("В строю"),(U984))))</formula>
    </cfRule>
  </conditionalFormatting>
  <conditionalFormatting sqref="U984">
    <cfRule type="containsText" dxfId="4" priority="2071" operator="containsText" text="Відпустка">
      <formula>NOT(ISERROR(SEARCH(("Відпустка"),(U984))))</formula>
    </cfRule>
  </conditionalFormatting>
  <conditionalFormatting sqref="U984">
    <cfRule type="containsText" dxfId="5" priority="2072" operator="containsText" text="СЗЧ">
      <formula>NOT(ISERROR(SEARCH(("СЗЧ"),(U984))))</formula>
    </cfRule>
  </conditionalFormatting>
  <conditionalFormatting sqref="U984">
    <cfRule type="containsText" dxfId="6" priority="2073" operator="containsText" text="Зниклі безвісти">
      <formula>NOT(ISERROR(SEARCH(("Зниклі безвісти"),(U984))))</formula>
    </cfRule>
  </conditionalFormatting>
  <conditionalFormatting sqref="U984">
    <cfRule type="containsText" dxfId="7" priority="2074" operator="containsText" text="Від-ні навчання">
      <formula>NOT(ISERROR(SEARCH(("Від-ні навчання"),(U984))))</formula>
    </cfRule>
  </conditionalFormatting>
  <conditionalFormatting sqref="U984">
    <cfRule type="containsText" dxfId="8" priority="2075" operator="containsText" text="Відком. за межі ПБ">
      <formula>NOT(ISERROR(SEARCH(("Відком. за межі ПБ"),(U984))))</formula>
    </cfRule>
  </conditionalFormatting>
  <conditionalFormatting sqref="U984">
    <cfRule type="containsText" dxfId="9" priority="2076" operator="containsText" text="Загиблі">
      <formula>NOT(ISERROR(SEARCH(("Загиблі"),(U984))))</formula>
    </cfRule>
  </conditionalFormatting>
  <conditionalFormatting sqref="U984">
    <cfRule type="containsText" dxfId="10" priority="2077" operator="containsText" text="Лікування">
      <formula>NOT(ISERROR(SEARCH(("Лікування"),(U984))))</formula>
    </cfRule>
  </conditionalFormatting>
  <conditionalFormatting sqref="N984">
    <cfRule type="expression" dxfId="0" priority="2078">
      <formula>COUNTIF(#REF!, N984) &gt; 1</formula>
    </cfRule>
  </conditionalFormatting>
  <conditionalFormatting sqref="Q984">
    <cfRule type="cellIs" dxfId="9" priority="2079" operator="notEqual">
      <formula>P984</formula>
    </cfRule>
  </conditionalFormatting>
  <conditionalFormatting sqref="Q984">
    <cfRule type="cellIs" dxfId="3" priority="2080" operator="equal">
      <formula>P984</formula>
    </cfRule>
  </conditionalFormatting>
  <conditionalFormatting sqref="U982:U983">
    <cfRule type="containsText" dxfId="10" priority="2081" operator="containsText" text="Лікування">
      <formula>NOT(ISERROR(SEARCH(("Лікування"),(U982))))</formula>
    </cfRule>
  </conditionalFormatting>
  <conditionalFormatting sqref="U982:U983">
    <cfRule type="containsText" dxfId="9" priority="2082" operator="containsText" text="Загиблі">
      <formula>NOT(ISERROR(SEARCH(("Загиблі"),(U982))))</formula>
    </cfRule>
  </conditionalFormatting>
  <conditionalFormatting sqref="U982:U983">
    <cfRule type="containsText" dxfId="8" priority="2083" operator="containsText" text="Відком. за межі ПБ">
      <formula>NOT(ISERROR(SEARCH(("Відком. за межі ПБ"),(U982))))</formula>
    </cfRule>
  </conditionalFormatting>
  <conditionalFormatting sqref="U982:U983">
    <cfRule type="containsText" dxfId="7" priority="2084" operator="containsText" text="Від-ні навчання">
      <formula>NOT(ISERROR(SEARCH(("Від-ні навчання"),(U982))))</formula>
    </cfRule>
  </conditionalFormatting>
  <conditionalFormatting sqref="U982:U983">
    <cfRule type="containsText" dxfId="6" priority="2085" operator="containsText" text="Зниклі безвісти">
      <formula>NOT(ISERROR(SEARCH(("Зниклі безвісти"),(U982))))</formula>
    </cfRule>
  </conditionalFormatting>
  <conditionalFormatting sqref="U982:U983">
    <cfRule type="containsText" dxfId="5" priority="2086" operator="containsText" text="СЗЧ">
      <formula>NOT(ISERROR(SEARCH(("СЗЧ"),(U982))))</formula>
    </cfRule>
  </conditionalFormatting>
  <conditionalFormatting sqref="U982:U983">
    <cfRule type="containsText" dxfId="4" priority="2087" operator="containsText" text="Відпустка">
      <formula>NOT(ISERROR(SEARCH(("Відпустка"),(U982))))</formula>
    </cfRule>
  </conditionalFormatting>
  <conditionalFormatting sqref="U982:U983">
    <cfRule type="containsText" dxfId="3" priority="2088" operator="containsText" text="В строю">
      <formula>NOT(ISERROR(SEARCH(("В строю"),(U982))))</formula>
    </cfRule>
  </conditionalFormatting>
  <conditionalFormatting sqref="AK982">
    <cfRule type="containsText" dxfId="18" priority="2089" operator="containsText" text="В строю">
      <formula>NOT(ISERROR(SEARCH(("В строю"),(AK982))))</formula>
    </cfRule>
  </conditionalFormatting>
  <conditionalFormatting sqref="AK982">
    <cfRule type="containsText" dxfId="8" priority="2090" operator="containsText" text="Від-ні за межі бату">
      <formula>NOT(ISERROR(SEARCH(("Від-ні за межі бату"),(AK982))))</formula>
    </cfRule>
  </conditionalFormatting>
  <conditionalFormatting sqref="AK982">
    <cfRule type="containsText" dxfId="17" priority="2091" operator="containsText" text="Відпустка">
      <formula>NOT(ISERROR(SEARCH(("Відпустка"),(AK982))))</formula>
    </cfRule>
  </conditionalFormatting>
  <conditionalFormatting sqref="AK982">
    <cfRule type="containsText" dxfId="16" priority="2092" operator="containsText" text="Мед.пункт">
      <formula>NOT(ISERROR(SEARCH(("Мед.пункт"),(AK982))))</formula>
    </cfRule>
  </conditionalFormatting>
  <conditionalFormatting sqref="AK982">
    <cfRule type="containsText" dxfId="15" priority="2093" operator="containsText" text="СТАТУС">
      <formula>NOT(ISERROR(SEARCH(("СТАТУС"),(AK982))))</formula>
    </cfRule>
  </conditionalFormatting>
  <conditionalFormatting sqref="AK982">
    <cfRule type="containsText" dxfId="14" priority="2094" operator="containsText" text="Лікування">
      <formula>NOT(ISERROR(SEARCH(("Лікування"),(AK982))))</formula>
    </cfRule>
  </conditionalFormatting>
  <conditionalFormatting sqref="AK982">
    <cfRule type="containsText" dxfId="13" priority="2095" operator="containsText" text="СЗЧ">
      <formula>NOT(ISERROR(SEARCH(("СЗЧ"),(AK982))))</formula>
    </cfRule>
  </conditionalFormatting>
  <conditionalFormatting sqref="AK982">
    <cfRule type="cellIs" dxfId="12" priority="2096" operator="equal">
      <formula>SUM(#REF!)</formula>
    </cfRule>
  </conditionalFormatting>
  <conditionalFormatting sqref="AK982">
    <cfRule type="containsText" dxfId="11" priority="2097" operator="containsText" text="Зниклі безвісти">
      <formula>NOT(ISERROR(SEARCH(("Зниклі безвісти"),(AK982))))</formula>
    </cfRule>
  </conditionalFormatting>
  <conditionalFormatting sqref="U982">
    <cfRule type="containsText" dxfId="3" priority="2098" operator="containsText" text="В строю">
      <formula>NOT(ISERROR(SEARCH(("В строю"),(U982))))</formula>
    </cfRule>
  </conditionalFormatting>
  <conditionalFormatting sqref="U982">
    <cfRule type="containsText" dxfId="4" priority="2099" operator="containsText" text="Відпустка">
      <formula>NOT(ISERROR(SEARCH(("Відпустка"),(U982))))</formula>
    </cfRule>
  </conditionalFormatting>
  <conditionalFormatting sqref="U982">
    <cfRule type="containsText" dxfId="5" priority="2100" operator="containsText" text="СЗЧ">
      <formula>NOT(ISERROR(SEARCH(("СЗЧ"),(U982))))</formula>
    </cfRule>
  </conditionalFormatting>
  <conditionalFormatting sqref="U982">
    <cfRule type="containsText" dxfId="6" priority="2101" operator="containsText" text="Зниклі безвісти">
      <formula>NOT(ISERROR(SEARCH(("Зниклі безвісти"),(U982))))</formula>
    </cfRule>
  </conditionalFormatting>
  <conditionalFormatting sqref="U982">
    <cfRule type="containsText" dxfId="7" priority="2102" operator="containsText" text="Від-ні навчання">
      <formula>NOT(ISERROR(SEARCH(("Від-ні навчання"),(U982))))</formula>
    </cfRule>
  </conditionalFormatting>
  <conditionalFormatting sqref="U982">
    <cfRule type="containsText" dxfId="8" priority="2103" operator="containsText" text="Відком. за межі ПБ">
      <formula>NOT(ISERROR(SEARCH(("Відком. за межі ПБ"),(U982))))</formula>
    </cfRule>
  </conditionalFormatting>
  <conditionalFormatting sqref="U982">
    <cfRule type="containsText" dxfId="9" priority="2104" operator="containsText" text="Загиблі">
      <formula>NOT(ISERROR(SEARCH(("Загиблі"),(U982))))</formula>
    </cfRule>
  </conditionalFormatting>
  <conditionalFormatting sqref="U982">
    <cfRule type="containsText" dxfId="10" priority="2105" operator="containsText" text="Лікування">
      <formula>NOT(ISERROR(SEARCH(("Лікування"),(U982))))</formula>
    </cfRule>
  </conditionalFormatting>
  <conditionalFormatting sqref="N982:N983">
    <cfRule type="expression" dxfId="0" priority="2106">
      <formula>COUNTIF(#REF!, N982) &gt; 1</formula>
    </cfRule>
  </conditionalFormatting>
  <conditionalFormatting sqref="Q982">
    <cfRule type="cellIs" dxfId="9" priority="2107" operator="notEqual">
      <formula>P982</formula>
    </cfRule>
  </conditionalFormatting>
  <conditionalFormatting sqref="Q982">
    <cfRule type="cellIs" dxfId="3" priority="2108" operator="equal">
      <formula>P982</formula>
    </cfRule>
  </conditionalFormatting>
  <conditionalFormatting sqref="N982">
    <cfRule type="expression" dxfId="0" priority="2109">
      <formula>COUNTIF(#REF!, N982) &gt; 1</formula>
    </cfRule>
  </conditionalFormatting>
  <conditionalFormatting sqref="Q981">
    <cfRule type="cellIs" dxfId="9" priority="2110" operator="notEqual">
      <formula>P981</formula>
    </cfRule>
  </conditionalFormatting>
  <conditionalFormatting sqref="Q981">
    <cfRule type="cellIs" dxfId="3" priority="2111" operator="equal">
      <formula>P981</formula>
    </cfRule>
  </conditionalFormatting>
  <conditionalFormatting sqref="N981">
    <cfRule type="expression" dxfId="0" priority="2112">
      <formula>COUNTIF(#REF!, N981) &gt; 1</formula>
    </cfRule>
  </conditionalFormatting>
  <conditionalFormatting sqref="U981">
    <cfRule type="containsText" dxfId="10" priority="2113" operator="containsText" text="Лікування">
      <formula>NOT(ISERROR(SEARCH(("Лікування"),(U981))))</formula>
    </cfRule>
  </conditionalFormatting>
  <conditionalFormatting sqref="U981">
    <cfRule type="containsText" dxfId="9" priority="2114" operator="containsText" text="Загиблі">
      <formula>NOT(ISERROR(SEARCH(("Загиблі"),(U981))))</formula>
    </cfRule>
  </conditionalFormatting>
  <conditionalFormatting sqref="U981">
    <cfRule type="containsText" dxfId="8" priority="2115" operator="containsText" text="Відком. за межі ПБ">
      <formula>NOT(ISERROR(SEARCH(("Відком. за межі ПБ"),(U981))))</formula>
    </cfRule>
  </conditionalFormatting>
  <conditionalFormatting sqref="U981">
    <cfRule type="containsText" dxfId="7" priority="2116" operator="containsText" text="Від-ні навчання">
      <formula>NOT(ISERROR(SEARCH(("Від-ні навчання"),(U981))))</formula>
    </cfRule>
  </conditionalFormatting>
  <conditionalFormatting sqref="U981">
    <cfRule type="containsText" dxfId="6" priority="2117" operator="containsText" text="Зниклі безвісти">
      <formula>NOT(ISERROR(SEARCH(("Зниклі безвісти"),(U981))))</formula>
    </cfRule>
  </conditionalFormatting>
  <conditionalFormatting sqref="U981">
    <cfRule type="containsText" dxfId="5" priority="2118" operator="containsText" text="СЗЧ">
      <formula>NOT(ISERROR(SEARCH(("СЗЧ"),(U981))))</formula>
    </cfRule>
  </conditionalFormatting>
  <conditionalFormatting sqref="U981">
    <cfRule type="containsText" dxfId="4" priority="2119" operator="containsText" text="Відпустка">
      <formula>NOT(ISERROR(SEARCH(("Відпустка"),(U981))))</formula>
    </cfRule>
  </conditionalFormatting>
  <conditionalFormatting sqref="U981">
    <cfRule type="containsText" dxfId="3" priority="2120" operator="containsText" text="В строю">
      <formula>NOT(ISERROR(SEARCH(("В строю"),(U981))))</formula>
    </cfRule>
  </conditionalFormatting>
  <conditionalFormatting sqref="N980">
    <cfRule type="expression" dxfId="0" priority="2121">
      <formula>COUNTIF(#REF!, N980) &gt; 1</formula>
    </cfRule>
  </conditionalFormatting>
  <conditionalFormatting sqref="U979:U980">
    <cfRule type="containsText" dxfId="3" priority="2122" operator="containsText" text="В строю">
      <formula>NOT(ISERROR(SEARCH(("В строю"),(U979))))</formula>
    </cfRule>
  </conditionalFormatting>
  <conditionalFormatting sqref="U979:U980">
    <cfRule type="containsText" dxfId="4" priority="2123" operator="containsText" text="Відпустка">
      <formula>NOT(ISERROR(SEARCH(("Відпустка"),(U979))))</formula>
    </cfRule>
  </conditionalFormatting>
  <conditionalFormatting sqref="U979:U980">
    <cfRule type="containsText" dxfId="5" priority="2124" operator="containsText" text="СЗЧ">
      <formula>NOT(ISERROR(SEARCH(("СЗЧ"),(U979))))</formula>
    </cfRule>
  </conditionalFormatting>
  <conditionalFormatting sqref="U979:U980">
    <cfRule type="containsText" dxfId="6" priority="2125" operator="containsText" text="Зниклі безвісти">
      <formula>NOT(ISERROR(SEARCH(("Зниклі безвісти"),(U979))))</formula>
    </cfRule>
  </conditionalFormatting>
  <conditionalFormatting sqref="U979:U980">
    <cfRule type="containsText" dxfId="7" priority="2126" operator="containsText" text="Від-ні навчання">
      <formula>NOT(ISERROR(SEARCH(("Від-ні навчання"),(U979))))</formula>
    </cfRule>
  </conditionalFormatting>
  <conditionalFormatting sqref="U979:U980">
    <cfRule type="containsText" dxfId="8" priority="2127" operator="containsText" text="Відком. за межі ПБ">
      <formula>NOT(ISERROR(SEARCH(("Відком. за межі ПБ"),(U979))))</formula>
    </cfRule>
  </conditionalFormatting>
  <conditionalFormatting sqref="U979:U980">
    <cfRule type="containsText" dxfId="9" priority="2128" operator="containsText" text="Загиблі">
      <formula>NOT(ISERROR(SEARCH(("Загиблі"),(U979))))</formula>
    </cfRule>
  </conditionalFormatting>
  <conditionalFormatting sqref="U979:U980">
    <cfRule type="containsText" dxfId="10" priority="2129" operator="containsText" text="Лікування">
      <formula>NOT(ISERROR(SEARCH(("Лікування"),(U979))))</formula>
    </cfRule>
  </conditionalFormatting>
  <conditionalFormatting sqref="Q979:Q980">
    <cfRule type="cellIs" dxfId="3" priority="2130" operator="equal">
      <formula>P979</formula>
    </cfRule>
  </conditionalFormatting>
  <conditionalFormatting sqref="Q979:Q980">
    <cfRule type="cellIs" dxfId="9" priority="2131" operator="notEqual">
      <formula>P979</formula>
    </cfRule>
  </conditionalFormatting>
  <conditionalFormatting sqref="U951:U978">
    <cfRule type="containsText" dxfId="10" priority="2132" operator="containsText" text="Лікування">
      <formula>NOT(ISERROR(SEARCH(("Лікування"),(U951))))</formula>
    </cfRule>
  </conditionalFormatting>
  <conditionalFormatting sqref="U951:U978">
    <cfRule type="containsText" dxfId="9" priority="2133" operator="containsText" text="Загиблі">
      <formula>NOT(ISERROR(SEARCH(("Загиблі"),(U951))))</formula>
    </cfRule>
  </conditionalFormatting>
  <conditionalFormatting sqref="U951:U978">
    <cfRule type="containsText" dxfId="8" priority="2134" operator="containsText" text="Відком. за межі ПБ">
      <formula>NOT(ISERROR(SEARCH(("Відком. за межі ПБ"),(U951))))</formula>
    </cfRule>
  </conditionalFormatting>
  <conditionalFormatting sqref="U951:U978">
    <cfRule type="containsText" dxfId="7" priority="2135" operator="containsText" text="Від-ні навчання">
      <formula>NOT(ISERROR(SEARCH(("Від-ні навчання"),(U951))))</formula>
    </cfRule>
  </conditionalFormatting>
  <conditionalFormatting sqref="U951:U978">
    <cfRule type="containsText" dxfId="6" priority="2136" operator="containsText" text="Зниклі безвісти">
      <formula>NOT(ISERROR(SEARCH(("Зниклі безвісти"),(U951))))</formula>
    </cfRule>
  </conditionalFormatting>
  <conditionalFormatting sqref="U951:U978">
    <cfRule type="containsText" dxfId="5" priority="2137" operator="containsText" text="СЗЧ">
      <formula>NOT(ISERROR(SEARCH(("СЗЧ"),(U951))))</formula>
    </cfRule>
  </conditionalFormatting>
  <conditionalFormatting sqref="U951:U978">
    <cfRule type="containsText" dxfId="4" priority="2138" operator="containsText" text="Відпустка">
      <formula>NOT(ISERROR(SEARCH(("Відпустка"),(U951))))</formula>
    </cfRule>
  </conditionalFormatting>
  <conditionalFormatting sqref="U951:U978">
    <cfRule type="containsText" dxfId="3" priority="2139" operator="containsText" text="В строю">
      <formula>NOT(ISERROR(SEARCH(("В строю"),(U951))))</formula>
    </cfRule>
  </conditionalFormatting>
  <conditionalFormatting sqref="Q951:Q968 Q970:Q978">
    <cfRule type="cellIs" dxfId="9" priority="2140" operator="notEqual">
      <formula>P951</formula>
    </cfRule>
  </conditionalFormatting>
  <conditionalFormatting sqref="Q951:Q968 Q970:Q978">
    <cfRule type="cellIs" dxfId="3" priority="2141" operator="equal">
      <formula>P951</formula>
    </cfRule>
  </conditionalFormatting>
  <conditionalFormatting sqref="N950 N952 N955:N957 N959 N963:N965 N968 N970:N971 N973:N975">
    <cfRule type="expression" dxfId="0" priority="2142">
      <formula>COUNTIF(#REF!, N950) &gt; 1</formula>
    </cfRule>
  </conditionalFormatting>
  <conditionalFormatting sqref="U950">
    <cfRule type="containsText" dxfId="10" priority="2143" operator="containsText" text="Лікування">
      <formula>NOT(ISERROR(SEARCH(("Лікування"),(U950))))</formula>
    </cfRule>
  </conditionalFormatting>
  <conditionalFormatting sqref="U950">
    <cfRule type="containsText" dxfId="9" priority="2144" operator="containsText" text="Загиблі">
      <formula>NOT(ISERROR(SEARCH(("Загиблі"),(U950))))</formula>
    </cfRule>
  </conditionalFormatting>
  <conditionalFormatting sqref="U950">
    <cfRule type="containsText" dxfId="8" priority="2145" operator="containsText" text="Відком. за межі ПБ">
      <formula>NOT(ISERROR(SEARCH(("Відком. за межі ПБ"),(U950))))</formula>
    </cfRule>
  </conditionalFormatting>
  <conditionalFormatting sqref="U950">
    <cfRule type="containsText" dxfId="7" priority="2146" operator="containsText" text="Від-ні навчання">
      <formula>NOT(ISERROR(SEARCH(("Від-ні навчання"),(U950))))</formula>
    </cfRule>
  </conditionalFormatting>
  <conditionalFormatting sqref="U950">
    <cfRule type="containsText" dxfId="6" priority="2147" operator="containsText" text="Зниклі безвісти">
      <formula>NOT(ISERROR(SEARCH(("Зниклі безвісти"),(U950))))</formula>
    </cfRule>
  </conditionalFormatting>
  <conditionalFormatting sqref="U950">
    <cfRule type="containsText" dxfId="5" priority="2148" operator="containsText" text="СЗЧ">
      <formula>NOT(ISERROR(SEARCH(("СЗЧ"),(U950))))</formula>
    </cfRule>
  </conditionalFormatting>
  <conditionalFormatting sqref="U950">
    <cfRule type="containsText" dxfId="4" priority="2149" operator="containsText" text="Відпустка">
      <formula>NOT(ISERROR(SEARCH(("Відпустка"),(U950))))</formula>
    </cfRule>
  </conditionalFormatting>
  <conditionalFormatting sqref="U950">
    <cfRule type="containsText" dxfId="3" priority="2150" operator="containsText" text="В строю">
      <formula>NOT(ISERROR(SEARCH(("В строю"),(U950))))</formula>
    </cfRule>
  </conditionalFormatting>
  <conditionalFormatting sqref="N949">
    <cfRule type="expression" dxfId="0" priority="2151">
      <formula>COUNTIF(#REF!, N949) &gt; 1</formula>
    </cfRule>
  </conditionalFormatting>
  <conditionalFormatting sqref="Q949">
    <cfRule type="cellIs" dxfId="9" priority="2152" operator="notEqual">
      <formula>P949</formula>
    </cfRule>
  </conditionalFormatting>
  <conditionalFormatting sqref="Q949">
    <cfRule type="cellIs" dxfId="3" priority="2153" operator="equal">
      <formula>P949</formula>
    </cfRule>
  </conditionalFormatting>
  <conditionalFormatting sqref="U949">
    <cfRule type="containsText" dxfId="10" priority="2154" operator="containsText" text="Лікування">
      <formula>NOT(ISERROR(SEARCH(("Лікування"),(U949))))</formula>
    </cfRule>
  </conditionalFormatting>
  <conditionalFormatting sqref="U949">
    <cfRule type="containsText" dxfId="9" priority="2155" operator="containsText" text="Загиблі">
      <formula>NOT(ISERROR(SEARCH(("Загиблі"),(U949))))</formula>
    </cfRule>
  </conditionalFormatting>
  <conditionalFormatting sqref="U949">
    <cfRule type="containsText" dxfId="8" priority="2156" operator="containsText" text="Відком. за межі ПБ">
      <formula>NOT(ISERROR(SEARCH(("Відком. за межі ПБ"),(U949))))</formula>
    </cfRule>
  </conditionalFormatting>
  <conditionalFormatting sqref="U949">
    <cfRule type="containsText" dxfId="7" priority="2157" operator="containsText" text="Від-ні навчання">
      <formula>NOT(ISERROR(SEARCH(("Від-ні навчання"),(U949))))</formula>
    </cfRule>
  </conditionalFormatting>
  <conditionalFormatting sqref="U949">
    <cfRule type="containsText" dxfId="6" priority="2158" operator="containsText" text="Зниклі безвісти">
      <formula>NOT(ISERROR(SEARCH(("Зниклі безвісти"),(U949))))</formula>
    </cfRule>
  </conditionalFormatting>
  <conditionalFormatting sqref="U949">
    <cfRule type="containsText" dxfId="5" priority="2159" operator="containsText" text="СЗЧ">
      <formula>NOT(ISERROR(SEARCH(("СЗЧ"),(U949))))</formula>
    </cfRule>
  </conditionalFormatting>
  <conditionalFormatting sqref="U949">
    <cfRule type="containsText" dxfId="4" priority="2160" operator="containsText" text="Відпустка">
      <formula>NOT(ISERROR(SEARCH(("Відпустка"),(U949))))</formula>
    </cfRule>
  </conditionalFormatting>
  <conditionalFormatting sqref="U949">
    <cfRule type="containsText" dxfId="3" priority="2161" operator="containsText" text="В строю">
      <formula>NOT(ISERROR(SEARCH(("В строю"),(U949))))</formula>
    </cfRule>
  </conditionalFormatting>
  <conditionalFormatting sqref="N948">
    <cfRule type="expression" dxfId="0" priority="2162">
      <formula>COUNTIF(#REF!, N948) &gt; 1</formula>
    </cfRule>
  </conditionalFormatting>
  <conditionalFormatting sqref="U948">
    <cfRule type="containsText" dxfId="10" priority="2163" operator="containsText" text="Лікування">
      <formula>NOT(ISERROR(SEARCH(("Лікування"),(U948))))</formula>
    </cfRule>
  </conditionalFormatting>
  <conditionalFormatting sqref="U948">
    <cfRule type="containsText" dxfId="9" priority="2164" operator="containsText" text="Загиблі">
      <formula>NOT(ISERROR(SEARCH(("Загиблі"),(U948))))</formula>
    </cfRule>
  </conditionalFormatting>
  <conditionalFormatting sqref="U948">
    <cfRule type="containsText" dxfId="8" priority="2165" operator="containsText" text="Відком. за межі ПБ">
      <formula>NOT(ISERROR(SEARCH(("Відком. за межі ПБ"),(U948))))</formula>
    </cfRule>
  </conditionalFormatting>
  <conditionalFormatting sqref="U948">
    <cfRule type="containsText" dxfId="7" priority="2166" operator="containsText" text="Від-ні навчання">
      <formula>NOT(ISERROR(SEARCH(("Від-ні навчання"),(U948))))</formula>
    </cfRule>
  </conditionalFormatting>
  <conditionalFormatting sqref="U948">
    <cfRule type="containsText" dxfId="6" priority="2167" operator="containsText" text="Зниклі безвісти">
      <formula>NOT(ISERROR(SEARCH(("Зниклі безвісти"),(U948))))</formula>
    </cfRule>
  </conditionalFormatting>
  <conditionalFormatting sqref="U948">
    <cfRule type="containsText" dxfId="5" priority="2168" operator="containsText" text="СЗЧ">
      <formula>NOT(ISERROR(SEARCH(("СЗЧ"),(U948))))</formula>
    </cfRule>
  </conditionalFormatting>
  <conditionalFormatting sqref="U948">
    <cfRule type="containsText" dxfId="4" priority="2169" operator="containsText" text="Відпустка">
      <formula>NOT(ISERROR(SEARCH(("Відпустка"),(U948))))</formula>
    </cfRule>
  </conditionalFormatting>
  <conditionalFormatting sqref="U948">
    <cfRule type="containsText" dxfId="3" priority="2170" operator="containsText" text="В строю">
      <formula>NOT(ISERROR(SEARCH(("В строю"),(U948))))</formula>
    </cfRule>
  </conditionalFormatting>
  <conditionalFormatting sqref="Q948">
    <cfRule type="cellIs" dxfId="9" priority="2171" operator="notEqual">
      <formula>P948</formula>
    </cfRule>
  </conditionalFormatting>
  <conditionalFormatting sqref="Q948">
    <cfRule type="cellIs" dxfId="3" priority="2172" operator="equal">
      <formula>P948</formula>
    </cfRule>
  </conditionalFormatting>
  <conditionalFormatting sqref="U947">
    <cfRule type="containsText" dxfId="10" priority="2173" operator="containsText" text="Лікування">
      <formula>NOT(ISERROR(SEARCH(("Лікування"),(U947))))</formula>
    </cfRule>
  </conditionalFormatting>
  <conditionalFormatting sqref="U947">
    <cfRule type="containsText" dxfId="9" priority="2174" operator="containsText" text="Загиблі">
      <formula>NOT(ISERROR(SEARCH(("Загиблі"),(U947))))</formula>
    </cfRule>
  </conditionalFormatting>
  <conditionalFormatting sqref="U947">
    <cfRule type="containsText" dxfId="8" priority="2175" operator="containsText" text="Відком. за межі ПБ">
      <formula>NOT(ISERROR(SEARCH(("Відком. за межі ПБ"),(U947))))</formula>
    </cfRule>
  </conditionalFormatting>
  <conditionalFormatting sqref="U947">
    <cfRule type="containsText" dxfId="7" priority="2176" operator="containsText" text="Від-ні навчання">
      <formula>NOT(ISERROR(SEARCH(("Від-ні навчання"),(U947))))</formula>
    </cfRule>
  </conditionalFormatting>
  <conditionalFormatting sqref="U947">
    <cfRule type="containsText" dxfId="6" priority="2177" operator="containsText" text="Зниклі безвісти">
      <formula>NOT(ISERROR(SEARCH(("Зниклі безвісти"),(U947))))</formula>
    </cfRule>
  </conditionalFormatting>
  <conditionalFormatting sqref="U947">
    <cfRule type="containsText" dxfId="5" priority="2178" operator="containsText" text="СЗЧ">
      <formula>NOT(ISERROR(SEARCH(("СЗЧ"),(U947))))</formula>
    </cfRule>
  </conditionalFormatting>
  <conditionalFormatting sqref="U947">
    <cfRule type="containsText" dxfId="4" priority="2179" operator="containsText" text="Відпустка">
      <formula>NOT(ISERROR(SEARCH(("Відпустка"),(U947))))</formula>
    </cfRule>
  </conditionalFormatting>
  <conditionalFormatting sqref="U947">
    <cfRule type="containsText" dxfId="3" priority="2180" operator="containsText" text="В строю">
      <formula>NOT(ISERROR(SEARCH(("В строю"),(U947))))</formula>
    </cfRule>
  </conditionalFormatting>
  <conditionalFormatting sqref="U947">
    <cfRule type="containsText" dxfId="3" priority="2181" operator="containsText" text="В строю">
      <formula>NOT(ISERROR(SEARCH(("В строю"),(U947))))</formula>
    </cfRule>
  </conditionalFormatting>
  <conditionalFormatting sqref="U947">
    <cfRule type="containsText" dxfId="4" priority="2182" operator="containsText" text="Відпустка">
      <formula>NOT(ISERROR(SEARCH(("Відпустка"),(U947))))</formula>
    </cfRule>
  </conditionalFormatting>
  <conditionalFormatting sqref="U947">
    <cfRule type="containsText" dxfId="5" priority="2183" operator="containsText" text="СЗЧ">
      <formula>NOT(ISERROR(SEARCH(("СЗЧ"),(U947))))</formula>
    </cfRule>
  </conditionalFormatting>
  <conditionalFormatting sqref="U947">
    <cfRule type="containsText" dxfId="6" priority="2184" operator="containsText" text="Зниклі безвісти">
      <formula>NOT(ISERROR(SEARCH(("Зниклі безвісти"),(U947))))</formula>
    </cfRule>
  </conditionalFormatting>
  <conditionalFormatting sqref="U947">
    <cfRule type="containsText" dxfId="7" priority="2185" operator="containsText" text="Від-ні навчання">
      <formula>NOT(ISERROR(SEARCH(("Від-ні навчання"),(U947))))</formula>
    </cfRule>
  </conditionalFormatting>
  <conditionalFormatting sqref="U947">
    <cfRule type="containsText" dxfId="8" priority="2186" operator="containsText" text="Відком. за межі ПБ">
      <formula>NOT(ISERROR(SEARCH(("Відком. за межі ПБ"),(U947))))</formula>
    </cfRule>
  </conditionalFormatting>
  <conditionalFormatting sqref="U947">
    <cfRule type="containsText" dxfId="9" priority="2187" operator="containsText" text="Загиблі">
      <formula>NOT(ISERROR(SEARCH(("Загиблі"),(U947))))</formula>
    </cfRule>
  </conditionalFormatting>
  <conditionalFormatting sqref="U947">
    <cfRule type="containsText" dxfId="10" priority="2188" operator="containsText" text="Лікування">
      <formula>NOT(ISERROR(SEARCH(("Лікування"),(U947))))</formula>
    </cfRule>
  </conditionalFormatting>
  <conditionalFormatting sqref="Q947">
    <cfRule type="cellIs" dxfId="9" priority="2189" operator="notEqual">
      <formula>P947</formula>
    </cfRule>
  </conditionalFormatting>
  <conditionalFormatting sqref="Q947">
    <cfRule type="cellIs" dxfId="3" priority="2190" operator="equal">
      <formula>P947</formula>
    </cfRule>
  </conditionalFormatting>
  <conditionalFormatting sqref="N947">
    <cfRule type="expression" dxfId="0" priority="2191">
      <formula>COUNTIF(#REF!, N947) &gt; 1</formula>
    </cfRule>
  </conditionalFormatting>
  <conditionalFormatting sqref="U946">
    <cfRule type="containsText" dxfId="3" priority="2192" operator="containsText" text="В строю">
      <formula>NOT(ISERROR(SEARCH(("В строю"),(U946))))</formula>
    </cfRule>
  </conditionalFormatting>
  <conditionalFormatting sqref="U946">
    <cfRule type="containsText" dxfId="4" priority="2193" operator="containsText" text="Відпустка">
      <formula>NOT(ISERROR(SEARCH(("Відпустка"),(U946))))</formula>
    </cfRule>
  </conditionalFormatting>
  <conditionalFormatting sqref="U946">
    <cfRule type="containsText" dxfId="5" priority="2194" operator="containsText" text="СЗЧ">
      <formula>NOT(ISERROR(SEARCH(("СЗЧ"),(U946))))</formula>
    </cfRule>
  </conditionalFormatting>
  <conditionalFormatting sqref="U946">
    <cfRule type="containsText" dxfId="6" priority="2195" operator="containsText" text="Зниклі безвісти">
      <formula>NOT(ISERROR(SEARCH(("Зниклі безвісти"),(U946))))</formula>
    </cfRule>
  </conditionalFormatting>
  <conditionalFormatting sqref="U946">
    <cfRule type="containsText" dxfId="7" priority="2196" operator="containsText" text="Від-ні навчання">
      <formula>NOT(ISERROR(SEARCH(("Від-ні навчання"),(U946))))</formula>
    </cfRule>
  </conditionalFormatting>
  <conditionalFormatting sqref="U946">
    <cfRule type="containsText" dxfId="8" priority="2197" operator="containsText" text="Відком. за межі ПБ">
      <formula>NOT(ISERROR(SEARCH(("Відком. за межі ПБ"),(U946))))</formula>
    </cfRule>
  </conditionalFormatting>
  <conditionalFormatting sqref="U946">
    <cfRule type="containsText" dxfId="9" priority="2198" operator="containsText" text="Загиблі">
      <formula>NOT(ISERROR(SEARCH(("Загиблі"),(U946))))</formula>
    </cfRule>
  </conditionalFormatting>
  <conditionalFormatting sqref="U946">
    <cfRule type="containsText" dxfId="10" priority="2199" operator="containsText" text="Лікування">
      <formula>NOT(ISERROR(SEARCH(("Лікування"),(U946))))</formula>
    </cfRule>
  </conditionalFormatting>
  <conditionalFormatting sqref="N946">
    <cfRule type="expression" dxfId="0" priority="2200">
      <formula>COUNTIF(#REF!, N946) &gt; 1</formula>
    </cfRule>
  </conditionalFormatting>
  <conditionalFormatting sqref="Q946">
    <cfRule type="cellIs" dxfId="9" priority="2201" operator="notEqual">
      <formula>P946</formula>
    </cfRule>
  </conditionalFormatting>
  <conditionalFormatting sqref="Q946">
    <cfRule type="cellIs" dxfId="3" priority="2202" operator="equal">
      <formula>P946</formula>
    </cfRule>
  </conditionalFormatting>
  <conditionalFormatting sqref="Q944:Q945">
    <cfRule type="cellIs" dxfId="9" priority="2203" operator="notEqual">
      <formula>P944</formula>
    </cfRule>
  </conditionalFormatting>
  <conditionalFormatting sqref="Q944:Q945">
    <cfRule type="cellIs" dxfId="3" priority="2204" operator="equal">
      <formula>P944</formula>
    </cfRule>
  </conditionalFormatting>
  <conditionalFormatting sqref="U944:U945">
    <cfRule type="containsText" dxfId="3" priority="2205" operator="containsText" text="В строю">
      <formula>NOT(ISERROR(SEARCH(("В строю"),(U944))))</formula>
    </cfRule>
  </conditionalFormatting>
  <conditionalFormatting sqref="U944:U945">
    <cfRule type="containsText" dxfId="4" priority="2206" operator="containsText" text="Відпустка">
      <formula>NOT(ISERROR(SEARCH(("Відпустка"),(U944))))</formula>
    </cfRule>
  </conditionalFormatting>
  <conditionalFormatting sqref="U944:U945">
    <cfRule type="containsText" dxfId="5" priority="2207" operator="containsText" text="СЗЧ">
      <formula>NOT(ISERROR(SEARCH(("СЗЧ"),(U944))))</formula>
    </cfRule>
  </conditionalFormatting>
  <conditionalFormatting sqref="U944:U945">
    <cfRule type="containsText" dxfId="6" priority="2208" operator="containsText" text="Зниклі безвісти">
      <formula>NOT(ISERROR(SEARCH(("Зниклі безвісти"),(U944))))</formula>
    </cfRule>
  </conditionalFormatting>
  <conditionalFormatting sqref="U944:U945">
    <cfRule type="containsText" dxfId="7" priority="2209" operator="containsText" text="Від-ні навчання">
      <formula>NOT(ISERROR(SEARCH(("Від-ні навчання"),(U944))))</formula>
    </cfRule>
  </conditionalFormatting>
  <conditionalFormatting sqref="U944:U945">
    <cfRule type="containsText" dxfId="8" priority="2210" operator="containsText" text="Відком. за межі ПБ">
      <formula>NOT(ISERROR(SEARCH(("Відком. за межі ПБ"),(U944))))</formula>
    </cfRule>
  </conditionalFormatting>
  <conditionalFormatting sqref="U944:U945">
    <cfRule type="containsText" dxfId="9" priority="2211" operator="containsText" text="Загиблі">
      <formula>NOT(ISERROR(SEARCH(("Загиблі"),(U944))))</formula>
    </cfRule>
  </conditionalFormatting>
  <conditionalFormatting sqref="U944:U945">
    <cfRule type="containsText" dxfId="10" priority="2212" operator="containsText" text="Лікування">
      <formula>NOT(ISERROR(SEARCH(("Лікування"),(U944))))</formula>
    </cfRule>
  </conditionalFormatting>
  <conditionalFormatting sqref="U944">
    <cfRule type="containsText" dxfId="3" priority="2213" operator="containsText" text="В строю">
      <formula>NOT(ISERROR(SEARCH(("В строю"),(U944))))</formula>
    </cfRule>
  </conditionalFormatting>
  <conditionalFormatting sqref="U944">
    <cfRule type="containsText" dxfId="4" priority="2214" operator="containsText" text="Відпустка">
      <formula>NOT(ISERROR(SEARCH(("Відпустка"),(U944))))</formula>
    </cfRule>
  </conditionalFormatting>
  <conditionalFormatting sqref="U944">
    <cfRule type="containsText" dxfId="5" priority="2215" operator="containsText" text="СЗЧ">
      <formula>NOT(ISERROR(SEARCH(("СЗЧ"),(U944))))</formula>
    </cfRule>
  </conditionalFormatting>
  <conditionalFormatting sqref="U944">
    <cfRule type="containsText" dxfId="6" priority="2216" operator="containsText" text="Зниклі безвісти">
      <formula>NOT(ISERROR(SEARCH(("Зниклі безвісти"),(U944))))</formula>
    </cfRule>
  </conditionalFormatting>
  <conditionalFormatting sqref="U944">
    <cfRule type="containsText" dxfId="7" priority="2217" operator="containsText" text="Від-ні навчання">
      <formula>NOT(ISERROR(SEARCH(("Від-ні навчання"),(U944))))</formula>
    </cfRule>
  </conditionalFormatting>
  <conditionalFormatting sqref="U944">
    <cfRule type="containsText" dxfId="8" priority="2218" operator="containsText" text="Відком. за межі ПБ">
      <formula>NOT(ISERROR(SEARCH(("Відком. за межі ПБ"),(U944))))</formula>
    </cfRule>
  </conditionalFormatting>
  <conditionalFormatting sqref="U944">
    <cfRule type="containsText" dxfId="9" priority="2219" operator="containsText" text="Загиблі">
      <formula>NOT(ISERROR(SEARCH(("Загиблі"),(U944))))</formula>
    </cfRule>
  </conditionalFormatting>
  <conditionalFormatting sqref="U944">
    <cfRule type="containsText" dxfId="10" priority="2220" operator="containsText" text="Лікування">
      <formula>NOT(ISERROR(SEARCH(("Лікування"),(U944))))</formula>
    </cfRule>
  </conditionalFormatting>
  <conditionalFormatting sqref="N944">
    <cfRule type="expression" dxfId="0" priority="2221">
      <formula>COUNTIF(#REF!, N944) &gt; 1</formula>
    </cfRule>
  </conditionalFormatting>
  <conditionalFormatting sqref="Q942:Q943">
    <cfRule type="cellIs" dxfId="9" priority="2222" operator="notEqual">
      <formula>P942</formula>
    </cfRule>
  </conditionalFormatting>
  <conditionalFormatting sqref="Q942:Q943">
    <cfRule type="cellIs" dxfId="3" priority="2223" operator="equal">
      <formula>P942</formula>
    </cfRule>
  </conditionalFormatting>
  <conditionalFormatting sqref="N942">
    <cfRule type="expression" dxfId="0" priority="2224">
      <formula>COUNTIF(#REF!, N942) &gt; 1</formula>
    </cfRule>
  </conditionalFormatting>
  <conditionalFormatting sqref="U942:U943">
    <cfRule type="containsText" dxfId="10" priority="2225" operator="containsText" text="Лікування">
      <formula>NOT(ISERROR(SEARCH(("Лікування"),(U942))))</formula>
    </cfRule>
  </conditionalFormatting>
  <conditionalFormatting sqref="U942:U943">
    <cfRule type="containsText" dxfId="9" priority="2226" operator="containsText" text="Загиблі">
      <formula>NOT(ISERROR(SEARCH(("Загиблі"),(U942))))</formula>
    </cfRule>
  </conditionalFormatting>
  <conditionalFormatting sqref="U942:U943">
    <cfRule type="containsText" dxfId="8" priority="2227" operator="containsText" text="Відком. за межі ПБ">
      <formula>NOT(ISERROR(SEARCH(("Відком. за межі ПБ"),(U942))))</formula>
    </cfRule>
  </conditionalFormatting>
  <conditionalFormatting sqref="U942:U943">
    <cfRule type="containsText" dxfId="7" priority="2228" operator="containsText" text="Від-ні навчання">
      <formula>NOT(ISERROR(SEARCH(("Від-ні навчання"),(U942))))</formula>
    </cfRule>
  </conditionalFormatting>
  <conditionalFormatting sqref="U942:U943">
    <cfRule type="containsText" dxfId="6" priority="2229" operator="containsText" text="Зниклі безвісти">
      <formula>NOT(ISERROR(SEARCH(("Зниклі безвісти"),(U942))))</formula>
    </cfRule>
  </conditionalFormatting>
  <conditionalFormatting sqref="U942:U943">
    <cfRule type="containsText" dxfId="5" priority="2230" operator="containsText" text="СЗЧ">
      <formula>NOT(ISERROR(SEARCH(("СЗЧ"),(U942))))</formula>
    </cfRule>
  </conditionalFormatting>
  <conditionalFormatting sqref="U942:U943">
    <cfRule type="containsText" dxfId="4" priority="2231" operator="containsText" text="Відпустка">
      <formula>NOT(ISERROR(SEARCH(("Відпустка"),(U942))))</formula>
    </cfRule>
  </conditionalFormatting>
  <conditionalFormatting sqref="U942:U943">
    <cfRule type="containsText" dxfId="3" priority="2232" operator="containsText" text="В строю">
      <formula>NOT(ISERROR(SEARCH(("В строю"),(U942))))</formula>
    </cfRule>
  </conditionalFormatting>
  <conditionalFormatting sqref="U942">
    <cfRule type="containsText" dxfId="3" priority="2233" operator="containsText" text="В строю">
      <formula>NOT(ISERROR(SEARCH(("В строю"),(U942))))</formula>
    </cfRule>
  </conditionalFormatting>
  <conditionalFormatting sqref="U942">
    <cfRule type="containsText" dxfId="4" priority="2234" operator="containsText" text="Відпустка">
      <formula>NOT(ISERROR(SEARCH(("Відпустка"),(U942))))</formula>
    </cfRule>
  </conditionalFormatting>
  <conditionalFormatting sqref="U942">
    <cfRule type="containsText" dxfId="5" priority="2235" operator="containsText" text="СЗЧ">
      <formula>NOT(ISERROR(SEARCH(("СЗЧ"),(U942))))</formula>
    </cfRule>
  </conditionalFormatting>
  <conditionalFormatting sqref="U942">
    <cfRule type="containsText" dxfId="6" priority="2236" operator="containsText" text="Зниклі безвісти">
      <formula>NOT(ISERROR(SEARCH(("Зниклі безвісти"),(U942))))</formula>
    </cfRule>
  </conditionalFormatting>
  <conditionalFormatting sqref="U942">
    <cfRule type="containsText" dxfId="7" priority="2237" operator="containsText" text="Від-ні навчання">
      <formula>NOT(ISERROR(SEARCH(("Від-ні навчання"),(U942))))</formula>
    </cfRule>
  </conditionalFormatting>
  <conditionalFormatting sqref="U942">
    <cfRule type="containsText" dxfId="8" priority="2238" operator="containsText" text="Відком. за межі ПБ">
      <formula>NOT(ISERROR(SEARCH(("Відком. за межі ПБ"),(U942))))</formula>
    </cfRule>
  </conditionalFormatting>
  <conditionalFormatting sqref="U942">
    <cfRule type="containsText" dxfId="9" priority="2239" operator="containsText" text="Загиблі">
      <formula>NOT(ISERROR(SEARCH(("Загиблі"),(U942))))</formula>
    </cfRule>
  </conditionalFormatting>
  <conditionalFormatting sqref="U942">
    <cfRule type="containsText" dxfId="10" priority="2240" operator="containsText" text="Лікування">
      <formula>NOT(ISERROR(SEARCH(("Лікування"),(U942))))</formula>
    </cfRule>
  </conditionalFormatting>
  <conditionalFormatting sqref="U941">
    <cfRule type="containsText" dxfId="10" priority="2241" operator="containsText" text="Лікування">
      <formula>NOT(ISERROR(SEARCH(("Лікування"),(U941))))</formula>
    </cfRule>
  </conditionalFormatting>
  <conditionalFormatting sqref="U941">
    <cfRule type="containsText" dxfId="9" priority="2242" operator="containsText" text="Загиблі">
      <formula>NOT(ISERROR(SEARCH(("Загиблі"),(U941))))</formula>
    </cfRule>
  </conditionalFormatting>
  <conditionalFormatting sqref="U941">
    <cfRule type="containsText" dxfId="8" priority="2243" operator="containsText" text="Відком. за межі ПБ">
      <formula>NOT(ISERROR(SEARCH(("Відком. за межі ПБ"),(U941))))</formula>
    </cfRule>
  </conditionalFormatting>
  <conditionalFormatting sqref="U941">
    <cfRule type="containsText" dxfId="7" priority="2244" operator="containsText" text="Від-ні навчання">
      <formula>NOT(ISERROR(SEARCH(("Від-ні навчання"),(U941))))</formula>
    </cfRule>
  </conditionalFormatting>
  <conditionalFormatting sqref="U941">
    <cfRule type="containsText" dxfId="6" priority="2245" operator="containsText" text="Зниклі безвісти">
      <formula>NOT(ISERROR(SEARCH(("Зниклі безвісти"),(U941))))</formula>
    </cfRule>
  </conditionalFormatting>
  <conditionalFormatting sqref="U941">
    <cfRule type="containsText" dxfId="5" priority="2246" operator="containsText" text="СЗЧ">
      <formula>NOT(ISERROR(SEARCH(("СЗЧ"),(U941))))</formula>
    </cfRule>
  </conditionalFormatting>
  <conditionalFormatting sqref="U941">
    <cfRule type="containsText" dxfId="4" priority="2247" operator="containsText" text="Відпустка">
      <formula>NOT(ISERROR(SEARCH(("Відпустка"),(U941))))</formula>
    </cfRule>
  </conditionalFormatting>
  <conditionalFormatting sqref="U941">
    <cfRule type="containsText" dxfId="3" priority="2248" operator="containsText" text="В строю">
      <formula>NOT(ISERROR(SEARCH(("В строю"),(U941))))</formula>
    </cfRule>
  </conditionalFormatting>
  <conditionalFormatting sqref="U941">
    <cfRule type="containsText" dxfId="3" priority="2249" operator="containsText" text="В строю">
      <formula>NOT(ISERROR(SEARCH(("В строю"),(U941))))</formula>
    </cfRule>
  </conditionalFormatting>
  <conditionalFormatting sqref="U941">
    <cfRule type="containsText" dxfId="4" priority="2250" operator="containsText" text="Відпустка">
      <formula>NOT(ISERROR(SEARCH(("Відпустка"),(U941))))</formula>
    </cfRule>
  </conditionalFormatting>
  <conditionalFormatting sqref="U941">
    <cfRule type="containsText" dxfId="5" priority="2251" operator="containsText" text="СЗЧ">
      <formula>NOT(ISERROR(SEARCH(("СЗЧ"),(U941))))</formula>
    </cfRule>
  </conditionalFormatting>
  <conditionalFormatting sqref="U941">
    <cfRule type="containsText" dxfId="6" priority="2252" operator="containsText" text="Зниклі безвісти">
      <formula>NOT(ISERROR(SEARCH(("Зниклі безвісти"),(U941))))</formula>
    </cfRule>
  </conditionalFormatting>
  <conditionalFormatting sqref="U941">
    <cfRule type="containsText" dxfId="7" priority="2253" operator="containsText" text="Від-ні навчання">
      <formula>NOT(ISERROR(SEARCH(("Від-ні навчання"),(U941))))</formula>
    </cfRule>
  </conditionalFormatting>
  <conditionalFormatting sqref="U941">
    <cfRule type="containsText" dxfId="8" priority="2254" operator="containsText" text="Відком. за межі ПБ">
      <formula>NOT(ISERROR(SEARCH(("Відком. за межі ПБ"),(U941))))</formula>
    </cfRule>
  </conditionalFormatting>
  <conditionalFormatting sqref="U941">
    <cfRule type="containsText" dxfId="9" priority="2255" operator="containsText" text="Загиблі">
      <formula>NOT(ISERROR(SEARCH(("Загиблі"),(U941))))</formula>
    </cfRule>
  </conditionalFormatting>
  <conditionalFormatting sqref="U941">
    <cfRule type="containsText" dxfId="10" priority="2256" operator="containsText" text="Лікування">
      <formula>NOT(ISERROR(SEARCH(("Лікування"),(U941))))</formula>
    </cfRule>
  </conditionalFormatting>
  <conditionalFormatting sqref="N941">
    <cfRule type="expression" dxfId="0" priority="2257">
      <formula>COUNTIF(#REF!, N941) &gt; 1</formula>
    </cfRule>
  </conditionalFormatting>
  <conditionalFormatting sqref="Q941">
    <cfRule type="cellIs" dxfId="9" priority="2258" operator="notEqual">
      <formula>P941</formula>
    </cfRule>
  </conditionalFormatting>
  <conditionalFormatting sqref="Q941">
    <cfRule type="cellIs" dxfId="3" priority="2259" operator="equal">
      <formula>P941</formula>
    </cfRule>
  </conditionalFormatting>
  <conditionalFormatting sqref="U940">
    <cfRule type="containsText" dxfId="3" priority="2260" operator="containsText" text="В строю">
      <formula>NOT(ISERROR(SEARCH(("В строю"),(U940))))</formula>
    </cfRule>
  </conditionalFormatting>
  <conditionalFormatting sqref="U940">
    <cfRule type="containsText" dxfId="4" priority="2261" operator="containsText" text="Відпустка">
      <formula>NOT(ISERROR(SEARCH(("Відпустка"),(U940))))</formula>
    </cfRule>
  </conditionalFormatting>
  <conditionalFormatting sqref="U940">
    <cfRule type="containsText" dxfId="5" priority="2262" operator="containsText" text="СЗЧ">
      <formula>NOT(ISERROR(SEARCH(("СЗЧ"),(U940))))</formula>
    </cfRule>
  </conditionalFormatting>
  <conditionalFormatting sqref="U940">
    <cfRule type="containsText" dxfId="6" priority="2263" operator="containsText" text="Зниклі безвісти">
      <formula>NOT(ISERROR(SEARCH(("Зниклі безвісти"),(U940))))</formula>
    </cfRule>
  </conditionalFormatting>
  <conditionalFormatting sqref="U940">
    <cfRule type="containsText" dxfId="7" priority="2264" operator="containsText" text="Від-ні навчання">
      <formula>NOT(ISERROR(SEARCH(("Від-ні навчання"),(U940))))</formula>
    </cfRule>
  </conditionalFormatting>
  <conditionalFormatting sqref="U940">
    <cfRule type="containsText" dxfId="8" priority="2265" operator="containsText" text="Відком. за межі ПБ">
      <formula>NOT(ISERROR(SEARCH(("Відком. за межі ПБ"),(U940))))</formula>
    </cfRule>
  </conditionalFormatting>
  <conditionalFormatting sqref="U940">
    <cfRule type="containsText" dxfId="9" priority="2266" operator="containsText" text="Загиблі">
      <formula>NOT(ISERROR(SEARCH(("Загиблі"),(U940))))</formula>
    </cfRule>
  </conditionalFormatting>
  <conditionalFormatting sqref="U940">
    <cfRule type="containsText" dxfId="10" priority="2267" operator="containsText" text="Лікування">
      <formula>NOT(ISERROR(SEARCH(("Лікування"),(U940))))</formula>
    </cfRule>
  </conditionalFormatting>
  <conditionalFormatting sqref="Q940">
    <cfRule type="cellIs" dxfId="9" priority="2268" operator="notEqual">
      <formula>P940</formula>
    </cfRule>
  </conditionalFormatting>
  <conditionalFormatting sqref="Q940">
    <cfRule type="cellIs" dxfId="3" priority="2269" operator="equal">
      <formula>P940</formula>
    </cfRule>
  </conditionalFormatting>
  <conditionalFormatting sqref="U940">
    <cfRule type="containsText" dxfId="10" priority="2270" operator="containsText" text="Лікування">
      <formula>NOT(ISERROR(SEARCH(("Лікування"),(U940))))</formula>
    </cfRule>
  </conditionalFormatting>
  <conditionalFormatting sqref="U940">
    <cfRule type="containsText" dxfId="9" priority="2271" operator="containsText" text="Загиблі">
      <formula>NOT(ISERROR(SEARCH(("Загиблі"),(U940))))</formula>
    </cfRule>
  </conditionalFormatting>
  <conditionalFormatting sqref="U940">
    <cfRule type="containsText" dxfId="8" priority="2272" operator="containsText" text="Відком. за межі ПБ">
      <formula>NOT(ISERROR(SEARCH(("Відком. за межі ПБ"),(U940))))</formula>
    </cfRule>
  </conditionalFormatting>
  <conditionalFormatting sqref="U940">
    <cfRule type="containsText" dxfId="7" priority="2273" operator="containsText" text="Від-ні навчання">
      <formula>NOT(ISERROR(SEARCH(("Від-ні навчання"),(U940))))</formula>
    </cfRule>
  </conditionalFormatting>
  <conditionalFormatting sqref="U940">
    <cfRule type="containsText" dxfId="6" priority="2274" operator="containsText" text="Зниклі безвісти">
      <formula>NOT(ISERROR(SEARCH(("Зниклі безвісти"),(U940))))</formula>
    </cfRule>
  </conditionalFormatting>
  <conditionalFormatting sqref="U940">
    <cfRule type="containsText" dxfId="5" priority="2275" operator="containsText" text="СЗЧ">
      <formula>NOT(ISERROR(SEARCH(("СЗЧ"),(U940))))</formula>
    </cfRule>
  </conditionalFormatting>
  <conditionalFormatting sqref="U940">
    <cfRule type="containsText" dxfId="4" priority="2276" operator="containsText" text="Відпустка">
      <formula>NOT(ISERROR(SEARCH(("Відпустка"),(U940))))</formula>
    </cfRule>
  </conditionalFormatting>
  <conditionalFormatting sqref="U940">
    <cfRule type="containsText" dxfId="3" priority="2277" operator="containsText" text="В строю">
      <formula>NOT(ISERROR(SEARCH(("В строю"),(U940))))</formula>
    </cfRule>
  </conditionalFormatting>
  <conditionalFormatting sqref="N940">
    <cfRule type="expression" dxfId="0" priority="2278">
      <formula>COUNTIF(#REF!, N940) &gt; 1</formula>
    </cfRule>
  </conditionalFormatting>
  <conditionalFormatting sqref="U939">
    <cfRule type="containsText" dxfId="3" priority="2279" operator="containsText" text="В строю">
      <formula>NOT(ISERROR(SEARCH(("В строю"),(U939))))</formula>
    </cfRule>
  </conditionalFormatting>
  <conditionalFormatting sqref="U939">
    <cfRule type="containsText" dxfId="4" priority="2280" operator="containsText" text="Відпустка">
      <formula>NOT(ISERROR(SEARCH(("Відпустка"),(U939))))</formula>
    </cfRule>
  </conditionalFormatting>
  <conditionalFormatting sqref="U939">
    <cfRule type="containsText" dxfId="5" priority="2281" operator="containsText" text="СЗЧ">
      <formula>NOT(ISERROR(SEARCH(("СЗЧ"),(U939))))</formula>
    </cfRule>
  </conditionalFormatting>
  <conditionalFormatting sqref="U939">
    <cfRule type="containsText" dxfId="6" priority="2282" operator="containsText" text="Зниклі безвісти">
      <formula>NOT(ISERROR(SEARCH(("Зниклі безвісти"),(U939))))</formula>
    </cfRule>
  </conditionalFormatting>
  <conditionalFormatting sqref="U939">
    <cfRule type="containsText" dxfId="7" priority="2283" operator="containsText" text="Від-ні навчання">
      <formula>NOT(ISERROR(SEARCH(("Від-ні навчання"),(U939))))</formula>
    </cfRule>
  </conditionalFormatting>
  <conditionalFormatting sqref="U939">
    <cfRule type="containsText" dxfId="8" priority="2284" operator="containsText" text="Відком. за межі ПБ">
      <formula>NOT(ISERROR(SEARCH(("Відком. за межі ПБ"),(U939))))</formula>
    </cfRule>
  </conditionalFormatting>
  <conditionalFormatting sqref="U939">
    <cfRule type="containsText" dxfId="9" priority="2285" operator="containsText" text="Загиблі">
      <formula>NOT(ISERROR(SEARCH(("Загиблі"),(U939))))</formula>
    </cfRule>
  </conditionalFormatting>
  <conditionalFormatting sqref="U939">
    <cfRule type="containsText" dxfId="10" priority="2286" operator="containsText" text="Лікування">
      <formula>NOT(ISERROR(SEARCH(("Лікування"),(U939))))</formula>
    </cfRule>
  </conditionalFormatting>
  <conditionalFormatting sqref="N939">
    <cfRule type="expression" dxfId="0" priority="2287">
      <formula>COUNTIF(#REF!, N939) &gt; 1</formula>
    </cfRule>
  </conditionalFormatting>
  <conditionalFormatting sqref="Q939">
    <cfRule type="cellIs" dxfId="3" priority="2288" operator="equal">
      <formula>P939</formula>
    </cfRule>
  </conditionalFormatting>
  <conditionalFormatting sqref="Q939">
    <cfRule type="cellIs" dxfId="9" priority="2289" operator="notEqual">
      <formula>P939</formula>
    </cfRule>
  </conditionalFormatting>
  <conditionalFormatting sqref="U939">
    <cfRule type="containsText" dxfId="10" priority="2290" operator="containsText" text="Лікування">
      <formula>NOT(ISERROR(SEARCH(("Лікування"),(U939))))</formula>
    </cfRule>
  </conditionalFormatting>
  <conditionalFormatting sqref="U939">
    <cfRule type="containsText" dxfId="9" priority="2291" operator="containsText" text="Загиблі">
      <formula>NOT(ISERROR(SEARCH(("Загиблі"),(U939))))</formula>
    </cfRule>
  </conditionalFormatting>
  <conditionalFormatting sqref="U939">
    <cfRule type="containsText" dxfId="8" priority="2292" operator="containsText" text="Відком. за межі ПБ">
      <formula>NOT(ISERROR(SEARCH(("Відком. за межі ПБ"),(U939))))</formula>
    </cfRule>
  </conditionalFormatting>
  <conditionalFormatting sqref="U939">
    <cfRule type="containsText" dxfId="7" priority="2293" operator="containsText" text="Від-ні навчання">
      <formula>NOT(ISERROR(SEARCH(("Від-ні навчання"),(U939))))</formula>
    </cfRule>
  </conditionalFormatting>
  <conditionalFormatting sqref="U939">
    <cfRule type="containsText" dxfId="6" priority="2294" operator="containsText" text="Зниклі безвісти">
      <formula>NOT(ISERROR(SEARCH(("Зниклі безвісти"),(U939))))</formula>
    </cfRule>
  </conditionalFormatting>
  <conditionalFormatting sqref="U939">
    <cfRule type="containsText" dxfId="5" priority="2295" operator="containsText" text="СЗЧ">
      <formula>NOT(ISERROR(SEARCH(("СЗЧ"),(U939))))</formula>
    </cfRule>
  </conditionalFormatting>
  <conditionalFormatting sqref="U939">
    <cfRule type="containsText" dxfId="4" priority="2296" operator="containsText" text="Відпустка">
      <formula>NOT(ISERROR(SEARCH(("Відпустка"),(U939))))</formula>
    </cfRule>
  </conditionalFormatting>
  <conditionalFormatting sqref="U939">
    <cfRule type="containsText" dxfId="3" priority="2297" operator="containsText" text="В строю">
      <formula>NOT(ISERROR(SEARCH(("В строю"),(U939))))</formula>
    </cfRule>
  </conditionalFormatting>
  <conditionalFormatting sqref="Q938">
    <cfRule type="cellIs" dxfId="9" priority="2298" operator="notEqual">
      <formula>P938</formula>
    </cfRule>
  </conditionalFormatting>
  <conditionalFormatting sqref="Q938">
    <cfRule type="cellIs" dxfId="3" priority="2299" operator="equal">
      <formula>P938</formula>
    </cfRule>
  </conditionalFormatting>
  <conditionalFormatting sqref="U938">
    <cfRule type="containsText" dxfId="10" priority="2300" operator="containsText" text="Лікування">
      <formula>NOT(ISERROR(SEARCH(("Лікування"),(U938))))</formula>
    </cfRule>
  </conditionalFormatting>
  <conditionalFormatting sqref="U938">
    <cfRule type="containsText" dxfId="9" priority="2301" operator="containsText" text="Загиблі">
      <formula>NOT(ISERROR(SEARCH(("Загиблі"),(U938))))</formula>
    </cfRule>
  </conditionalFormatting>
  <conditionalFormatting sqref="U938">
    <cfRule type="containsText" dxfId="8" priority="2302" operator="containsText" text="Відком. за межі ПБ">
      <formula>NOT(ISERROR(SEARCH(("Відком. за межі ПБ"),(U938))))</formula>
    </cfRule>
  </conditionalFormatting>
  <conditionalFormatting sqref="U938">
    <cfRule type="containsText" dxfId="7" priority="2303" operator="containsText" text="Від-ні навчання">
      <formula>NOT(ISERROR(SEARCH(("Від-ні навчання"),(U938))))</formula>
    </cfRule>
  </conditionalFormatting>
  <conditionalFormatting sqref="U938">
    <cfRule type="containsText" dxfId="6" priority="2304" operator="containsText" text="Зниклі безвісти">
      <formula>NOT(ISERROR(SEARCH(("Зниклі безвісти"),(U938))))</formula>
    </cfRule>
  </conditionalFormatting>
  <conditionalFormatting sqref="U938">
    <cfRule type="containsText" dxfId="5" priority="2305" operator="containsText" text="СЗЧ">
      <formula>NOT(ISERROR(SEARCH(("СЗЧ"),(U938))))</formula>
    </cfRule>
  </conditionalFormatting>
  <conditionalFormatting sqref="U938">
    <cfRule type="containsText" dxfId="4" priority="2306" operator="containsText" text="Відпустка">
      <formula>NOT(ISERROR(SEARCH(("Відпустка"),(U938))))</formula>
    </cfRule>
  </conditionalFormatting>
  <conditionalFormatting sqref="U938">
    <cfRule type="containsText" dxfId="3" priority="2307" operator="containsText" text="В строю">
      <formula>NOT(ISERROR(SEARCH(("В строю"),(U938))))</formula>
    </cfRule>
  </conditionalFormatting>
  <conditionalFormatting sqref="N938">
    <cfRule type="expression" dxfId="0" priority="2308">
      <formula>COUNTIF(#REF!, N938) &gt; 1</formula>
    </cfRule>
  </conditionalFormatting>
  <conditionalFormatting sqref="E936 N936:N937">
    <cfRule type="expression" dxfId="0" priority="2309">
      <formula>COUNTIF(#REF!, E936) &gt; 1</formula>
    </cfRule>
  </conditionalFormatting>
  <conditionalFormatting sqref="U936:U937">
    <cfRule type="containsText" dxfId="10" priority="2310" operator="containsText" text="Лікування">
      <formula>NOT(ISERROR(SEARCH(("Лікування"),(U936))))</formula>
    </cfRule>
  </conditionalFormatting>
  <conditionalFormatting sqref="U936:U937">
    <cfRule type="containsText" dxfId="9" priority="2311" operator="containsText" text="Загиблі">
      <formula>NOT(ISERROR(SEARCH(("Загиблі"),(U936))))</formula>
    </cfRule>
  </conditionalFormatting>
  <conditionalFormatting sqref="U936:U937">
    <cfRule type="containsText" dxfId="8" priority="2312" operator="containsText" text="Відком. за межі ПБ">
      <formula>NOT(ISERROR(SEARCH(("Відком. за межі ПБ"),(U936))))</formula>
    </cfRule>
  </conditionalFormatting>
  <conditionalFormatting sqref="U936:U937">
    <cfRule type="containsText" dxfId="7" priority="2313" operator="containsText" text="Від-ні навчання">
      <formula>NOT(ISERROR(SEARCH(("Від-ні навчання"),(U936))))</formula>
    </cfRule>
  </conditionalFormatting>
  <conditionalFormatting sqref="U936:U937">
    <cfRule type="containsText" dxfId="6" priority="2314" operator="containsText" text="Зниклі безвісти">
      <formula>NOT(ISERROR(SEARCH(("Зниклі безвісти"),(U936))))</formula>
    </cfRule>
  </conditionalFormatting>
  <conditionalFormatting sqref="U936:U937">
    <cfRule type="containsText" dxfId="5" priority="2315" operator="containsText" text="СЗЧ">
      <formula>NOT(ISERROR(SEARCH(("СЗЧ"),(U936))))</formula>
    </cfRule>
  </conditionalFormatting>
  <conditionalFormatting sqref="U936:U937">
    <cfRule type="containsText" dxfId="4" priority="2316" operator="containsText" text="Відпустка">
      <formula>NOT(ISERROR(SEARCH(("Відпустка"),(U936))))</formula>
    </cfRule>
  </conditionalFormatting>
  <conditionalFormatting sqref="U936:U937">
    <cfRule type="containsText" dxfId="3" priority="2317" operator="containsText" text="В строю">
      <formula>NOT(ISERROR(SEARCH(("В строю"),(U936))))</formula>
    </cfRule>
  </conditionalFormatting>
  <conditionalFormatting sqref="U936">
    <cfRule type="containsText" dxfId="3" priority="2318" operator="containsText" text="В строю">
      <formula>NOT(ISERROR(SEARCH(("В строю"),(U936))))</formula>
    </cfRule>
  </conditionalFormatting>
  <conditionalFormatting sqref="U936">
    <cfRule type="containsText" dxfId="4" priority="2319" operator="containsText" text="Відпустка">
      <formula>NOT(ISERROR(SEARCH(("Відпустка"),(U936))))</formula>
    </cfRule>
  </conditionalFormatting>
  <conditionalFormatting sqref="U936">
    <cfRule type="containsText" dxfId="5" priority="2320" operator="containsText" text="СЗЧ">
      <formula>NOT(ISERROR(SEARCH(("СЗЧ"),(U936))))</formula>
    </cfRule>
  </conditionalFormatting>
  <conditionalFormatting sqref="U936">
    <cfRule type="containsText" dxfId="6" priority="2321" operator="containsText" text="Зниклі безвісти">
      <formula>NOT(ISERROR(SEARCH(("Зниклі безвісти"),(U936))))</formula>
    </cfRule>
  </conditionalFormatting>
  <conditionalFormatting sqref="U936">
    <cfRule type="containsText" dxfId="7" priority="2322" operator="containsText" text="Від-ні навчання">
      <formula>NOT(ISERROR(SEARCH(("Від-ні навчання"),(U936))))</formula>
    </cfRule>
  </conditionalFormatting>
  <conditionalFormatting sqref="U936">
    <cfRule type="containsText" dxfId="8" priority="2323" operator="containsText" text="Відком. за межі ПБ">
      <formula>NOT(ISERROR(SEARCH(("Відком. за межі ПБ"),(U936))))</formula>
    </cfRule>
  </conditionalFormatting>
  <conditionalFormatting sqref="U936">
    <cfRule type="containsText" dxfId="9" priority="2324" operator="containsText" text="Загиблі">
      <formula>NOT(ISERROR(SEARCH(("Загиблі"),(U936))))</formula>
    </cfRule>
  </conditionalFormatting>
  <conditionalFormatting sqref="U936">
    <cfRule type="containsText" dxfId="10" priority="2325" operator="containsText" text="Лікування">
      <formula>NOT(ISERROR(SEARCH(("Лікування"),(U936))))</formula>
    </cfRule>
  </conditionalFormatting>
  <conditionalFormatting sqref="Q936:Q937">
    <cfRule type="cellIs" dxfId="9" priority="2326" operator="notEqual">
      <formula>P936</formula>
    </cfRule>
  </conditionalFormatting>
  <conditionalFormatting sqref="Q936:Q937">
    <cfRule type="cellIs" dxfId="3" priority="2327" operator="equal">
      <formula>P936</formula>
    </cfRule>
  </conditionalFormatting>
  <conditionalFormatting sqref="U935">
    <cfRule type="containsText" dxfId="3" priority="2328" operator="containsText" text="В строю">
      <formula>NOT(ISERROR(SEARCH(("В строю"),(U935))))</formula>
    </cfRule>
  </conditionalFormatting>
  <conditionalFormatting sqref="U935">
    <cfRule type="containsText" dxfId="4" priority="2329" operator="containsText" text="Відпустка">
      <formula>NOT(ISERROR(SEARCH(("Відпустка"),(U935))))</formula>
    </cfRule>
  </conditionalFormatting>
  <conditionalFormatting sqref="U935">
    <cfRule type="containsText" dxfId="5" priority="2330" operator="containsText" text="СЗЧ">
      <formula>NOT(ISERROR(SEARCH(("СЗЧ"),(U935))))</formula>
    </cfRule>
  </conditionalFormatting>
  <conditionalFormatting sqref="U935">
    <cfRule type="containsText" dxfId="6" priority="2331" operator="containsText" text="Зниклі безвісти">
      <formula>NOT(ISERROR(SEARCH(("Зниклі безвісти"),(U935))))</formula>
    </cfRule>
  </conditionalFormatting>
  <conditionalFormatting sqref="U935">
    <cfRule type="containsText" dxfId="7" priority="2332" operator="containsText" text="Від-ні навчання">
      <formula>NOT(ISERROR(SEARCH(("Від-ні навчання"),(U935))))</formula>
    </cfRule>
  </conditionalFormatting>
  <conditionalFormatting sqref="U935">
    <cfRule type="containsText" dxfId="8" priority="2333" operator="containsText" text="Відком. за межі ПБ">
      <formula>NOT(ISERROR(SEARCH(("Відком. за межі ПБ"),(U935))))</formula>
    </cfRule>
  </conditionalFormatting>
  <conditionalFormatting sqref="U935">
    <cfRule type="containsText" dxfId="9" priority="2334" operator="containsText" text="Загиблі">
      <formula>NOT(ISERROR(SEARCH(("Загиблі"),(U935))))</formula>
    </cfRule>
  </conditionalFormatting>
  <conditionalFormatting sqref="U935">
    <cfRule type="containsText" dxfId="10" priority="2335" operator="containsText" text="Лікування">
      <formula>NOT(ISERROR(SEARCH(("Лікування"),(U935))))</formula>
    </cfRule>
  </conditionalFormatting>
  <conditionalFormatting sqref="N935">
    <cfRule type="expression" dxfId="0" priority="2336">
      <formula>COUNTIF(#REF!, N935) &gt; 1</formula>
    </cfRule>
  </conditionalFormatting>
  <conditionalFormatting sqref="U935">
    <cfRule type="containsText" dxfId="10" priority="2337" operator="containsText" text="Лікування">
      <formula>NOT(ISERROR(SEARCH(("Лікування"),(U935))))</formula>
    </cfRule>
  </conditionalFormatting>
  <conditionalFormatting sqref="U935">
    <cfRule type="containsText" dxfId="9" priority="2338" operator="containsText" text="Загиблі">
      <formula>NOT(ISERROR(SEARCH(("Загиблі"),(U935))))</formula>
    </cfRule>
  </conditionalFormatting>
  <conditionalFormatting sqref="U935">
    <cfRule type="containsText" dxfId="8" priority="2339" operator="containsText" text="Відком. за межі ПБ">
      <formula>NOT(ISERROR(SEARCH(("Відком. за межі ПБ"),(U935))))</formula>
    </cfRule>
  </conditionalFormatting>
  <conditionalFormatting sqref="U935">
    <cfRule type="containsText" dxfId="7" priority="2340" operator="containsText" text="Від-ні навчання">
      <formula>NOT(ISERROR(SEARCH(("Від-ні навчання"),(U935))))</formula>
    </cfRule>
  </conditionalFormatting>
  <conditionalFormatting sqref="U935">
    <cfRule type="containsText" dxfId="6" priority="2341" operator="containsText" text="Зниклі безвісти">
      <formula>NOT(ISERROR(SEARCH(("Зниклі безвісти"),(U935))))</formula>
    </cfRule>
  </conditionalFormatting>
  <conditionalFormatting sqref="U935">
    <cfRule type="containsText" dxfId="5" priority="2342" operator="containsText" text="СЗЧ">
      <formula>NOT(ISERROR(SEARCH(("СЗЧ"),(U935))))</formula>
    </cfRule>
  </conditionalFormatting>
  <conditionalFormatting sqref="U935">
    <cfRule type="containsText" dxfId="4" priority="2343" operator="containsText" text="Відпустка">
      <formula>NOT(ISERROR(SEARCH(("Відпустка"),(U935))))</formula>
    </cfRule>
  </conditionalFormatting>
  <conditionalFormatting sqref="U935">
    <cfRule type="containsText" dxfId="3" priority="2344" operator="containsText" text="В строю">
      <formula>NOT(ISERROR(SEARCH(("В строю"),(U935))))</formula>
    </cfRule>
  </conditionalFormatting>
  <conditionalFormatting sqref="Q935">
    <cfRule type="cellIs" dxfId="9" priority="2345" operator="notEqual">
      <formula>P935</formula>
    </cfRule>
  </conditionalFormatting>
  <conditionalFormatting sqref="Q935">
    <cfRule type="cellIs" dxfId="3" priority="2346" operator="equal">
      <formula>P935</formula>
    </cfRule>
  </conditionalFormatting>
  <conditionalFormatting sqref="Q934">
    <cfRule type="cellIs" dxfId="9" priority="2347" operator="notEqual">
      <formula>P934</formula>
    </cfRule>
  </conditionalFormatting>
  <conditionalFormatting sqref="Q934">
    <cfRule type="cellIs" dxfId="3" priority="2348" operator="equal">
      <formula>P934</formula>
    </cfRule>
  </conditionalFormatting>
  <conditionalFormatting sqref="U934">
    <cfRule type="containsText" dxfId="3" priority="2349" operator="containsText" text="В строю">
      <formula>NOT(ISERROR(SEARCH(("В строю"),(U934))))</formula>
    </cfRule>
  </conditionalFormatting>
  <conditionalFormatting sqref="U934">
    <cfRule type="containsText" dxfId="4" priority="2350" operator="containsText" text="Відпустка">
      <formula>NOT(ISERROR(SEARCH(("Відпустка"),(U934))))</formula>
    </cfRule>
  </conditionalFormatting>
  <conditionalFormatting sqref="U934">
    <cfRule type="containsText" dxfId="5" priority="2351" operator="containsText" text="СЗЧ">
      <formula>NOT(ISERROR(SEARCH(("СЗЧ"),(U934))))</formula>
    </cfRule>
  </conditionalFormatting>
  <conditionalFormatting sqref="U934">
    <cfRule type="containsText" dxfId="6" priority="2352" operator="containsText" text="Зниклі безвісти">
      <formula>NOT(ISERROR(SEARCH(("Зниклі безвісти"),(U934))))</formula>
    </cfRule>
  </conditionalFormatting>
  <conditionalFormatting sqref="U934">
    <cfRule type="containsText" dxfId="7" priority="2353" operator="containsText" text="Від-ні навчання">
      <formula>NOT(ISERROR(SEARCH(("Від-ні навчання"),(U934))))</formula>
    </cfRule>
  </conditionalFormatting>
  <conditionalFormatting sqref="U934">
    <cfRule type="containsText" dxfId="8" priority="2354" operator="containsText" text="Відком. за межі ПБ">
      <formula>NOT(ISERROR(SEARCH(("Відком. за межі ПБ"),(U934))))</formula>
    </cfRule>
  </conditionalFormatting>
  <conditionalFormatting sqref="U934">
    <cfRule type="containsText" dxfId="9" priority="2355" operator="containsText" text="Загиблі">
      <formula>NOT(ISERROR(SEARCH(("Загиблі"),(U934))))</formula>
    </cfRule>
  </conditionalFormatting>
  <conditionalFormatting sqref="U934">
    <cfRule type="containsText" dxfId="10" priority="2356" operator="containsText" text="Лікування">
      <formula>NOT(ISERROR(SEARCH(("Лікування"),(U934))))</formula>
    </cfRule>
  </conditionalFormatting>
  <conditionalFormatting sqref="N934">
    <cfRule type="expression" dxfId="0" priority="2357">
      <formula>COUNTIF(#REF!, N934) &gt; 1</formula>
    </cfRule>
  </conditionalFormatting>
  <conditionalFormatting sqref="U934">
    <cfRule type="containsText" dxfId="10" priority="2358" operator="containsText" text="Лікування">
      <formula>NOT(ISERROR(SEARCH(("Лікування"),(U934))))</formula>
    </cfRule>
  </conditionalFormatting>
  <conditionalFormatting sqref="U934">
    <cfRule type="containsText" dxfId="9" priority="2359" operator="containsText" text="Загиблі">
      <formula>NOT(ISERROR(SEARCH(("Загиблі"),(U934))))</formula>
    </cfRule>
  </conditionalFormatting>
  <conditionalFormatting sqref="U934">
    <cfRule type="containsText" dxfId="8" priority="2360" operator="containsText" text="Відком. за межі ПБ">
      <formula>NOT(ISERROR(SEARCH(("Відком. за межі ПБ"),(U934))))</formula>
    </cfRule>
  </conditionalFormatting>
  <conditionalFormatting sqref="U934">
    <cfRule type="containsText" dxfId="7" priority="2361" operator="containsText" text="Від-ні навчання">
      <formula>NOT(ISERROR(SEARCH(("Від-ні навчання"),(U934))))</formula>
    </cfRule>
  </conditionalFormatting>
  <conditionalFormatting sqref="U934">
    <cfRule type="containsText" dxfId="6" priority="2362" operator="containsText" text="Зниклі безвісти">
      <formula>NOT(ISERROR(SEARCH(("Зниклі безвісти"),(U934))))</formula>
    </cfRule>
  </conditionalFormatting>
  <conditionalFormatting sqref="U934">
    <cfRule type="containsText" dxfId="5" priority="2363" operator="containsText" text="СЗЧ">
      <formula>NOT(ISERROR(SEARCH(("СЗЧ"),(U934))))</formula>
    </cfRule>
  </conditionalFormatting>
  <conditionalFormatting sqref="U934">
    <cfRule type="containsText" dxfId="4" priority="2364" operator="containsText" text="Відпустка">
      <formula>NOT(ISERROR(SEARCH(("Відпустка"),(U934))))</formula>
    </cfRule>
  </conditionalFormatting>
  <conditionalFormatting sqref="U934">
    <cfRule type="containsText" dxfId="3" priority="2365" operator="containsText" text="В строю">
      <formula>NOT(ISERROR(SEARCH(("В строю"),(U934))))</formula>
    </cfRule>
  </conditionalFormatting>
  <conditionalFormatting sqref="N924:N925 O924 N927:N928 N933:O933">
    <cfRule type="expression" dxfId="0" priority="2366">
      <formula>COUNTIF(#REF!, N924) &gt; 1</formula>
    </cfRule>
  </conditionalFormatting>
  <conditionalFormatting sqref="U924:U933">
    <cfRule type="containsText" dxfId="3" priority="2367" operator="containsText" text="В строю">
      <formula>NOT(ISERROR(SEARCH(("В строю"),(U924))))</formula>
    </cfRule>
  </conditionalFormatting>
  <conditionalFormatting sqref="U924:U933">
    <cfRule type="containsText" dxfId="4" priority="2368" operator="containsText" text="Відпустка">
      <formula>NOT(ISERROR(SEARCH(("Відпустка"),(U924))))</formula>
    </cfRule>
  </conditionalFormatting>
  <conditionalFormatting sqref="U924:U933">
    <cfRule type="containsText" dxfId="5" priority="2369" operator="containsText" text="СЗЧ">
      <formula>NOT(ISERROR(SEARCH(("СЗЧ"),(U924))))</formula>
    </cfRule>
  </conditionalFormatting>
  <conditionalFormatting sqref="U924:U933">
    <cfRule type="containsText" dxfId="6" priority="2370" operator="containsText" text="Зниклі безвісти">
      <formula>NOT(ISERROR(SEARCH(("Зниклі безвісти"),(U924))))</formula>
    </cfRule>
  </conditionalFormatting>
  <conditionalFormatting sqref="U924:U933">
    <cfRule type="containsText" dxfId="7" priority="2371" operator="containsText" text="Від-ні навчання">
      <formula>NOT(ISERROR(SEARCH(("Від-ні навчання"),(U924))))</formula>
    </cfRule>
  </conditionalFormatting>
  <conditionalFormatting sqref="U924:U933">
    <cfRule type="containsText" dxfId="8" priority="2372" operator="containsText" text="Відком. за межі ПБ">
      <formula>NOT(ISERROR(SEARCH(("Відком. за межі ПБ"),(U924))))</formula>
    </cfRule>
  </conditionalFormatting>
  <conditionalFormatting sqref="U924:U933">
    <cfRule type="containsText" dxfId="9" priority="2373" operator="containsText" text="Загиблі">
      <formula>NOT(ISERROR(SEARCH(("Загиблі"),(U924))))</formula>
    </cfRule>
  </conditionalFormatting>
  <conditionalFormatting sqref="U924:U933">
    <cfRule type="containsText" dxfId="10" priority="2374" operator="containsText" text="Лікування">
      <formula>NOT(ISERROR(SEARCH(("Лікування"),(U924))))</formula>
    </cfRule>
  </conditionalFormatting>
  <conditionalFormatting sqref="U924">
    <cfRule type="containsText" dxfId="10" priority="2375" operator="containsText" text="Лікування">
      <formula>NOT(ISERROR(SEARCH(("Лікування"),(U924))))</formula>
    </cfRule>
  </conditionalFormatting>
  <conditionalFormatting sqref="U924">
    <cfRule type="containsText" dxfId="9" priority="2376" operator="containsText" text="Загиблі">
      <formula>NOT(ISERROR(SEARCH(("Загиблі"),(U924))))</formula>
    </cfRule>
  </conditionalFormatting>
  <conditionalFormatting sqref="U924">
    <cfRule type="containsText" dxfId="8" priority="2377" operator="containsText" text="Відком. за межі ПБ">
      <formula>NOT(ISERROR(SEARCH(("Відком. за межі ПБ"),(U924))))</formula>
    </cfRule>
  </conditionalFormatting>
  <conditionalFormatting sqref="U924">
    <cfRule type="containsText" dxfId="7" priority="2378" operator="containsText" text="Від-ні навчання">
      <formula>NOT(ISERROR(SEARCH(("Від-ні навчання"),(U924))))</formula>
    </cfRule>
  </conditionalFormatting>
  <conditionalFormatting sqref="U924">
    <cfRule type="containsText" dxfId="6" priority="2379" operator="containsText" text="Зниклі безвісти">
      <formula>NOT(ISERROR(SEARCH(("Зниклі безвісти"),(U924))))</formula>
    </cfRule>
  </conditionalFormatting>
  <conditionalFormatting sqref="U924">
    <cfRule type="containsText" dxfId="5" priority="2380" operator="containsText" text="СЗЧ">
      <formula>NOT(ISERROR(SEARCH(("СЗЧ"),(U924))))</formula>
    </cfRule>
  </conditionalFormatting>
  <conditionalFormatting sqref="U924">
    <cfRule type="containsText" dxfId="4" priority="2381" operator="containsText" text="Відпустка">
      <formula>NOT(ISERROR(SEARCH(("Відпустка"),(U924))))</formula>
    </cfRule>
  </conditionalFormatting>
  <conditionalFormatting sqref="U924">
    <cfRule type="containsText" dxfId="3" priority="2382" operator="containsText" text="В строю">
      <formula>NOT(ISERROR(SEARCH(("В строю"),(U924))))</formula>
    </cfRule>
  </conditionalFormatting>
  <conditionalFormatting sqref="N924:O924">
    <cfRule type="expression" dxfId="0" priority="2383">
      <formula>COUNTIF(#REF!, N924) &gt; 1</formula>
    </cfRule>
  </conditionalFormatting>
  <conditionalFormatting sqref="Q924:Q933">
    <cfRule type="cellIs" dxfId="3" priority="2384" operator="equal">
      <formula>P924</formula>
    </cfRule>
  </conditionalFormatting>
  <conditionalFormatting sqref="Q924:Q933">
    <cfRule type="cellIs" dxfId="9" priority="2385" operator="notEqual">
      <formula>P924</formula>
    </cfRule>
  </conditionalFormatting>
  <conditionalFormatting sqref="N924:O924">
    <cfRule type="expression" dxfId="0" priority="2386">
      <formula>COUNTIF(#REF!, N924) &gt; 1</formula>
    </cfRule>
  </conditionalFormatting>
  <conditionalFormatting sqref="Q924">
    <cfRule type="cellIs" dxfId="9" priority="2387" operator="notEqual">
      <formula>P924</formula>
    </cfRule>
  </conditionalFormatting>
  <conditionalFormatting sqref="Q924">
    <cfRule type="cellIs" dxfId="3" priority="2388" operator="equal">
      <formula>P924</formula>
    </cfRule>
  </conditionalFormatting>
  <conditionalFormatting sqref="AK924">
    <cfRule type="containsText" dxfId="18" priority="2389" operator="containsText" text="В строю">
      <formula>NOT(ISERROR(SEARCH(("В строю"),(AK924))))</formula>
    </cfRule>
  </conditionalFormatting>
  <conditionalFormatting sqref="AK924">
    <cfRule type="containsText" dxfId="8" priority="2390" operator="containsText" text="Від-ні за межі бату">
      <formula>NOT(ISERROR(SEARCH(("Від-ні за межі бату"),(AK924))))</formula>
    </cfRule>
  </conditionalFormatting>
  <conditionalFormatting sqref="AK924">
    <cfRule type="containsText" dxfId="17" priority="2391" operator="containsText" text="Відпустка">
      <formula>NOT(ISERROR(SEARCH(("Відпустка"),(AK924))))</formula>
    </cfRule>
  </conditionalFormatting>
  <conditionalFormatting sqref="AK924">
    <cfRule type="containsText" dxfId="16" priority="2392" operator="containsText" text="Мед.пункт">
      <formula>NOT(ISERROR(SEARCH(("Мед.пункт"),(AK924))))</formula>
    </cfRule>
  </conditionalFormatting>
  <conditionalFormatting sqref="AK924">
    <cfRule type="containsText" dxfId="15" priority="2393" operator="containsText" text="СТАТУС">
      <formula>NOT(ISERROR(SEARCH(("СТАТУС"),(AK924))))</formula>
    </cfRule>
  </conditionalFormatting>
  <conditionalFormatting sqref="AK924">
    <cfRule type="containsText" dxfId="14" priority="2394" operator="containsText" text="Лікування">
      <formula>NOT(ISERROR(SEARCH(("Лікування"),(AK924))))</formula>
    </cfRule>
  </conditionalFormatting>
  <conditionalFormatting sqref="AK924">
    <cfRule type="containsText" dxfId="13" priority="2395" operator="containsText" text="СЗЧ">
      <formula>NOT(ISERROR(SEARCH(("СЗЧ"),(AK924))))</formula>
    </cfRule>
  </conditionalFormatting>
  <conditionalFormatting sqref="AK924">
    <cfRule type="cellIs" dxfId="12" priority="2396" operator="equal">
      <formula>SUM(#REF!)</formula>
    </cfRule>
  </conditionalFormatting>
  <conditionalFormatting sqref="AK924">
    <cfRule type="containsText" dxfId="11" priority="2397" operator="containsText" text="Зниклі безвісти">
      <formula>NOT(ISERROR(SEARCH(("Зниклі безвісти"),(AK924))))</formula>
    </cfRule>
  </conditionalFormatting>
  <conditionalFormatting sqref="Q922:Q923">
    <cfRule type="cellIs" dxfId="9" priority="2398" operator="notEqual">
      <formula>P922</formula>
    </cfRule>
  </conditionalFormatting>
  <conditionalFormatting sqref="Q922:Q923">
    <cfRule type="cellIs" dxfId="3" priority="2399" operator="equal">
      <formula>P922</formula>
    </cfRule>
  </conditionalFormatting>
  <conditionalFormatting sqref="U922:U923">
    <cfRule type="containsText" dxfId="10" priority="2400" operator="containsText" text="Лікування">
      <formula>NOT(ISERROR(SEARCH(("Лікування"),(U922))))</formula>
    </cfRule>
  </conditionalFormatting>
  <conditionalFormatting sqref="U922:U923">
    <cfRule type="containsText" dxfId="9" priority="2401" operator="containsText" text="Загиблі">
      <formula>NOT(ISERROR(SEARCH(("Загиблі"),(U922))))</formula>
    </cfRule>
  </conditionalFormatting>
  <conditionalFormatting sqref="U922:U923">
    <cfRule type="containsText" dxfId="8" priority="2402" operator="containsText" text="Відком. за межі ПБ">
      <formula>NOT(ISERROR(SEARCH(("Відком. за межі ПБ"),(U922))))</formula>
    </cfRule>
  </conditionalFormatting>
  <conditionalFormatting sqref="U922:U923">
    <cfRule type="containsText" dxfId="7" priority="2403" operator="containsText" text="Від-ні навчання">
      <formula>NOT(ISERROR(SEARCH(("Від-ні навчання"),(U922))))</formula>
    </cfRule>
  </conditionalFormatting>
  <conditionalFormatting sqref="U922:U923">
    <cfRule type="containsText" dxfId="6" priority="2404" operator="containsText" text="Зниклі безвісти">
      <formula>NOT(ISERROR(SEARCH(("Зниклі безвісти"),(U922))))</formula>
    </cfRule>
  </conditionalFormatting>
  <conditionalFormatting sqref="U922:U923">
    <cfRule type="containsText" dxfId="5" priority="2405" operator="containsText" text="СЗЧ">
      <formula>NOT(ISERROR(SEARCH(("СЗЧ"),(U922))))</formula>
    </cfRule>
  </conditionalFormatting>
  <conditionalFormatting sqref="U922:U923">
    <cfRule type="containsText" dxfId="4" priority="2406" operator="containsText" text="Відпустка">
      <formula>NOT(ISERROR(SEARCH(("Відпустка"),(U922))))</formula>
    </cfRule>
  </conditionalFormatting>
  <conditionalFormatting sqref="U922:U923">
    <cfRule type="containsText" dxfId="3" priority="2407" operator="containsText" text="В строю">
      <formula>NOT(ISERROR(SEARCH(("В строю"),(U922))))</formula>
    </cfRule>
  </conditionalFormatting>
  <conditionalFormatting sqref="N921:O921 N923">
    <cfRule type="expression" dxfId="0" priority="2408">
      <formula>COUNTIF(#REF!, N921) &gt; 1</formula>
    </cfRule>
  </conditionalFormatting>
  <conditionalFormatting sqref="Q921">
    <cfRule type="cellIs" dxfId="9" priority="2409" operator="notEqual">
      <formula>P921</formula>
    </cfRule>
  </conditionalFormatting>
  <conditionalFormatting sqref="Q921">
    <cfRule type="cellIs" dxfId="3" priority="2410" operator="equal">
      <formula>P921</formula>
    </cfRule>
  </conditionalFormatting>
  <conditionalFormatting sqref="U921">
    <cfRule type="containsText" dxfId="3" priority="2411" operator="containsText" text="В строю">
      <formula>NOT(ISERROR(SEARCH(("В строю"),(U921))))</formula>
    </cfRule>
  </conditionalFormatting>
  <conditionalFormatting sqref="U921">
    <cfRule type="containsText" dxfId="4" priority="2412" operator="containsText" text="Відпустка">
      <formula>NOT(ISERROR(SEARCH(("Відпустка"),(U921))))</formula>
    </cfRule>
  </conditionalFormatting>
  <conditionalFormatting sqref="U921">
    <cfRule type="containsText" dxfId="5" priority="2413" operator="containsText" text="СЗЧ">
      <formula>NOT(ISERROR(SEARCH(("СЗЧ"),(U921))))</formula>
    </cfRule>
  </conditionalFormatting>
  <conditionalFormatting sqref="U921">
    <cfRule type="containsText" dxfId="6" priority="2414" operator="containsText" text="Зниклі безвісти">
      <formula>NOT(ISERROR(SEARCH(("Зниклі безвісти"),(U921))))</formula>
    </cfRule>
  </conditionalFormatting>
  <conditionalFormatting sqref="U921">
    <cfRule type="containsText" dxfId="7" priority="2415" operator="containsText" text="Від-ні навчання">
      <formula>NOT(ISERROR(SEARCH(("Від-ні навчання"),(U921))))</formula>
    </cfRule>
  </conditionalFormatting>
  <conditionalFormatting sqref="U921">
    <cfRule type="containsText" dxfId="8" priority="2416" operator="containsText" text="Відком. за межі ПБ">
      <formula>NOT(ISERROR(SEARCH(("Відком. за межі ПБ"),(U921))))</formula>
    </cfRule>
  </conditionalFormatting>
  <conditionalFormatting sqref="U921">
    <cfRule type="containsText" dxfId="9" priority="2417" operator="containsText" text="Загиблі">
      <formula>NOT(ISERROR(SEARCH(("Загиблі"),(U921))))</formula>
    </cfRule>
  </conditionalFormatting>
  <conditionalFormatting sqref="U921">
    <cfRule type="containsText" dxfId="10" priority="2418" operator="containsText" text="Лікування">
      <formula>NOT(ISERROR(SEARCH(("Лікування"),(U921))))</formula>
    </cfRule>
  </conditionalFormatting>
  <conditionalFormatting sqref="U920">
    <cfRule type="containsText" dxfId="3" priority="2419" operator="containsText" text="В строю">
      <formula>NOT(ISERROR(SEARCH(("В строю"),(U920))))</formula>
    </cfRule>
  </conditionalFormatting>
  <conditionalFormatting sqref="U920">
    <cfRule type="containsText" dxfId="4" priority="2420" operator="containsText" text="Відпустка">
      <formula>NOT(ISERROR(SEARCH(("Відпустка"),(U920))))</formula>
    </cfRule>
  </conditionalFormatting>
  <conditionalFormatting sqref="U920">
    <cfRule type="containsText" dxfId="5" priority="2421" operator="containsText" text="СЗЧ">
      <formula>NOT(ISERROR(SEARCH(("СЗЧ"),(U920))))</formula>
    </cfRule>
  </conditionalFormatting>
  <conditionalFormatting sqref="U920">
    <cfRule type="containsText" dxfId="6" priority="2422" operator="containsText" text="Зниклі безвісти">
      <formula>NOT(ISERROR(SEARCH(("Зниклі безвісти"),(U920))))</formula>
    </cfRule>
  </conditionalFormatting>
  <conditionalFormatting sqref="U920">
    <cfRule type="containsText" dxfId="7" priority="2423" operator="containsText" text="Від-ні навчання">
      <formula>NOT(ISERROR(SEARCH(("Від-ні навчання"),(U920))))</formula>
    </cfRule>
  </conditionalFormatting>
  <conditionalFormatting sqref="U920">
    <cfRule type="containsText" dxfId="8" priority="2424" operator="containsText" text="Відком. за межі ПБ">
      <formula>NOT(ISERROR(SEARCH(("Відком. за межі ПБ"),(U920))))</formula>
    </cfRule>
  </conditionalFormatting>
  <conditionalFormatting sqref="U920">
    <cfRule type="containsText" dxfId="9" priority="2425" operator="containsText" text="Загиблі">
      <formula>NOT(ISERROR(SEARCH(("Загиблі"),(U920))))</formula>
    </cfRule>
  </conditionalFormatting>
  <conditionalFormatting sqref="U920">
    <cfRule type="containsText" dxfId="10" priority="2426" operator="containsText" text="Лікування">
      <formula>NOT(ISERROR(SEARCH(("Лікування"),(U920))))</formula>
    </cfRule>
  </conditionalFormatting>
  <conditionalFormatting sqref="Q920">
    <cfRule type="cellIs" dxfId="9" priority="2427" operator="notEqual">
      <formula>P920</formula>
    </cfRule>
  </conditionalFormatting>
  <conditionalFormatting sqref="Q920">
    <cfRule type="cellIs" dxfId="3" priority="2428" operator="equal">
      <formula>P920</formula>
    </cfRule>
  </conditionalFormatting>
  <conditionalFormatting sqref="N919">
    <cfRule type="expression" dxfId="0" priority="2429">
      <formula>COUNTIF(#REF!, N919) &gt; 1</formula>
    </cfRule>
  </conditionalFormatting>
  <conditionalFormatting sqref="U919">
    <cfRule type="containsText" dxfId="10" priority="2430" operator="containsText" text="Лікування">
      <formula>NOT(ISERROR(SEARCH(("Лікування"),(U919))))</formula>
    </cfRule>
  </conditionalFormatting>
  <conditionalFormatting sqref="U919">
    <cfRule type="containsText" dxfId="9" priority="2431" operator="containsText" text="Загиблі">
      <formula>NOT(ISERROR(SEARCH(("Загиблі"),(U919))))</formula>
    </cfRule>
  </conditionalFormatting>
  <conditionalFormatting sqref="U919">
    <cfRule type="containsText" dxfId="8" priority="2432" operator="containsText" text="Відком. за межі ПБ">
      <formula>NOT(ISERROR(SEARCH(("Відком. за межі ПБ"),(U919))))</formula>
    </cfRule>
  </conditionalFormatting>
  <conditionalFormatting sqref="U919">
    <cfRule type="containsText" dxfId="7" priority="2433" operator="containsText" text="Від-ні навчання">
      <formula>NOT(ISERROR(SEARCH(("Від-ні навчання"),(U919))))</formula>
    </cfRule>
  </conditionalFormatting>
  <conditionalFormatting sqref="U919">
    <cfRule type="containsText" dxfId="6" priority="2434" operator="containsText" text="Зниклі безвісти">
      <formula>NOT(ISERROR(SEARCH(("Зниклі безвісти"),(U919))))</formula>
    </cfRule>
  </conditionalFormatting>
  <conditionalFormatting sqref="U919">
    <cfRule type="containsText" dxfId="5" priority="2435" operator="containsText" text="СЗЧ">
      <formula>NOT(ISERROR(SEARCH(("СЗЧ"),(U919))))</formula>
    </cfRule>
  </conditionalFormatting>
  <conditionalFormatting sqref="U919">
    <cfRule type="containsText" dxfId="4" priority="2436" operator="containsText" text="Відпустка">
      <formula>NOT(ISERROR(SEARCH(("Відпустка"),(U919))))</formula>
    </cfRule>
  </conditionalFormatting>
  <conditionalFormatting sqref="U919">
    <cfRule type="containsText" dxfId="3" priority="2437" operator="containsText" text="В строю">
      <formula>NOT(ISERROR(SEARCH(("В строю"),(U919))))</formula>
    </cfRule>
  </conditionalFormatting>
  <conditionalFormatting sqref="Q919">
    <cfRule type="cellIs" dxfId="9" priority="2438" operator="notEqual">
      <formula>P919</formula>
    </cfRule>
  </conditionalFormatting>
  <conditionalFormatting sqref="Q919">
    <cfRule type="cellIs" dxfId="3" priority="2439" operator="equal">
      <formula>P919</formula>
    </cfRule>
  </conditionalFormatting>
  <conditionalFormatting sqref="U918">
    <cfRule type="containsText" dxfId="3" priority="2440" operator="containsText" text="В строю">
      <formula>NOT(ISERROR(SEARCH(("В строю"),(U918))))</formula>
    </cfRule>
  </conditionalFormatting>
  <conditionalFormatting sqref="U918">
    <cfRule type="containsText" dxfId="4" priority="2441" operator="containsText" text="Відпустка">
      <formula>NOT(ISERROR(SEARCH(("Відпустка"),(U918))))</formula>
    </cfRule>
  </conditionalFormatting>
  <conditionalFormatting sqref="U918">
    <cfRule type="containsText" dxfId="5" priority="2442" operator="containsText" text="СЗЧ">
      <formula>NOT(ISERROR(SEARCH(("СЗЧ"),(U918))))</formula>
    </cfRule>
  </conditionalFormatting>
  <conditionalFormatting sqref="U918">
    <cfRule type="containsText" dxfId="6" priority="2443" operator="containsText" text="Зниклі безвісти">
      <formula>NOT(ISERROR(SEARCH(("Зниклі безвісти"),(U918))))</formula>
    </cfRule>
  </conditionalFormatting>
  <conditionalFormatting sqref="U918">
    <cfRule type="containsText" dxfId="7" priority="2444" operator="containsText" text="Від-ні навчання">
      <formula>NOT(ISERROR(SEARCH(("Від-ні навчання"),(U918))))</formula>
    </cfRule>
  </conditionalFormatting>
  <conditionalFormatting sqref="U918">
    <cfRule type="containsText" dxfId="8" priority="2445" operator="containsText" text="Відком. за межі ПБ">
      <formula>NOT(ISERROR(SEARCH(("Відком. за межі ПБ"),(U918))))</formula>
    </cfRule>
  </conditionalFormatting>
  <conditionalFormatting sqref="U918">
    <cfRule type="containsText" dxfId="9" priority="2446" operator="containsText" text="Загиблі">
      <formula>NOT(ISERROR(SEARCH(("Загиблі"),(U918))))</formula>
    </cfRule>
  </conditionalFormatting>
  <conditionalFormatting sqref="U918">
    <cfRule type="containsText" dxfId="10" priority="2447" operator="containsText" text="Лікування">
      <formula>NOT(ISERROR(SEARCH(("Лікування"),(U918))))</formula>
    </cfRule>
  </conditionalFormatting>
  <conditionalFormatting sqref="U918">
    <cfRule type="containsText" dxfId="10" priority="2448" operator="containsText" text="Лікування">
      <formula>NOT(ISERROR(SEARCH(("Лікування"),(U918))))</formula>
    </cfRule>
  </conditionalFormatting>
  <conditionalFormatting sqref="U918">
    <cfRule type="containsText" dxfId="9" priority="2449" operator="containsText" text="Загиблі">
      <formula>NOT(ISERROR(SEARCH(("Загиблі"),(U918))))</formula>
    </cfRule>
  </conditionalFormatting>
  <conditionalFormatting sqref="U918">
    <cfRule type="containsText" dxfId="8" priority="2450" operator="containsText" text="Відком. за межі ПБ">
      <formula>NOT(ISERROR(SEARCH(("Відком. за межі ПБ"),(U918))))</formula>
    </cfRule>
  </conditionalFormatting>
  <conditionalFormatting sqref="U918">
    <cfRule type="containsText" dxfId="7" priority="2451" operator="containsText" text="Від-ні навчання">
      <formula>NOT(ISERROR(SEARCH(("Від-ні навчання"),(U918))))</formula>
    </cfRule>
  </conditionalFormatting>
  <conditionalFormatting sqref="U918">
    <cfRule type="containsText" dxfId="6" priority="2452" operator="containsText" text="Зниклі безвісти">
      <formula>NOT(ISERROR(SEARCH(("Зниклі безвісти"),(U918))))</formula>
    </cfRule>
  </conditionalFormatting>
  <conditionalFormatting sqref="U918">
    <cfRule type="containsText" dxfId="5" priority="2453" operator="containsText" text="СЗЧ">
      <formula>NOT(ISERROR(SEARCH(("СЗЧ"),(U918))))</formula>
    </cfRule>
  </conditionalFormatting>
  <conditionalFormatting sqref="U918">
    <cfRule type="containsText" dxfId="4" priority="2454" operator="containsText" text="Відпустка">
      <formula>NOT(ISERROR(SEARCH(("Відпустка"),(U918))))</formula>
    </cfRule>
  </conditionalFormatting>
  <conditionalFormatting sqref="U918">
    <cfRule type="containsText" dxfId="3" priority="2455" operator="containsText" text="В строю">
      <formula>NOT(ISERROR(SEARCH(("В строю"),(U918))))</formula>
    </cfRule>
  </conditionalFormatting>
  <conditionalFormatting sqref="AK918">
    <cfRule type="containsText" dxfId="18" priority="2456" operator="containsText" text="В строю">
      <formula>NOT(ISERROR(SEARCH(("В строю"),(AK918))))</formula>
    </cfRule>
  </conditionalFormatting>
  <conditionalFormatting sqref="AK918">
    <cfRule type="containsText" dxfId="8" priority="2457" operator="containsText" text="Від-ні за межі бату">
      <formula>NOT(ISERROR(SEARCH(("Від-ні за межі бату"),(AK918))))</formula>
    </cfRule>
  </conditionalFormatting>
  <conditionalFormatting sqref="AK918">
    <cfRule type="containsText" dxfId="17" priority="2458" operator="containsText" text="Відпустка">
      <formula>NOT(ISERROR(SEARCH(("Відпустка"),(AK918))))</formula>
    </cfRule>
  </conditionalFormatting>
  <conditionalFormatting sqref="AK918">
    <cfRule type="containsText" dxfId="16" priority="2459" operator="containsText" text="Мед.пункт">
      <formula>NOT(ISERROR(SEARCH(("Мед.пункт"),(AK918))))</formula>
    </cfRule>
  </conditionalFormatting>
  <conditionalFormatting sqref="AK918">
    <cfRule type="containsText" dxfId="15" priority="2460" operator="containsText" text="СТАТУС">
      <formula>NOT(ISERROR(SEARCH(("СТАТУС"),(AK918))))</formula>
    </cfRule>
  </conditionalFormatting>
  <conditionalFormatting sqref="AK918">
    <cfRule type="containsText" dxfId="14" priority="2461" operator="containsText" text="Лікування">
      <formula>NOT(ISERROR(SEARCH(("Лікування"),(AK918))))</formula>
    </cfRule>
  </conditionalFormatting>
  <conditionalFormatting sqref="AK918">
    <cfRule type="containsText" dxfId="13" priority="2462" operator="containsText" text="СЗЧ">
      <formula>NOT(ISERROR(SEARCH(("СЗЧ"),(AK918))))</formula>
    </cfRule>
  </conditionalFormatting>
  <conditionalFormatting sqref="AK918">
    <cfRule type="cellIs" dxfId="12" priority="2463" operator="equal">
      <formula>SUM(#REF!)</formula>
    </cfRule>
  </conditionalFormatting>
  <conditionalFormatting sqref="AK918">
    <cfRule type="containsText" dxfId="11" priority="2464" operator="containsText" text="Зниклі безвісти">
      <formula>NOT(ISERROR(SEARCH(("Зниклі безвісти"),(AK918))))</formula>
    </cfRule>
  </conditionalFormatting>
  <conditionalFormatting sqref="Q918">
    <cfRule type="cellIs" dxfId="9" priority="2465" operator="notEqual">
      <formula>P918</formula>
    </cfRule>
  </conditionalFormatting>
  <conditionalFormatting sqref="Q918">
    <cfRule type="cellIs" dxfId="3" priority="2466" operator="equal">
      <formula>P918</formula>
    </cfRule>
  </conditionalFormatting>
  <conditionalFormatting sqref="Q918">
    <cfRule type="cellIs" dxfId="3" priority="2467" operator="equal">
      <formula>P918</formula>
    </cfRule>
  </conditionalFormatting>
  <conditionalFormatting sqref="Q918">
    <cfRule type="cellIs" dxfId="9" priority="2468" operator="notEqual">
      <formula>P918</formula>
    </cfRule>
  </conditionalFormatting>
  <conditionalFormatting sqref="N918:O918">
    <cfRule type="expression" dxfId="0" priority="2469">
      <formula>COUNTIF(#REF!, N918) &gt; 1</formula>
    </cfRule>
  </conditionalFormatting>
  <conditionalFormatting sqref="N918:O918">
    <cfRule type="expression" dxfId="0" priority="2470">
      <formula>COUNTIF(#REF!, N918) &gt; 1</formula>
    </cfRule>
  </conditionalFormatting>
  <conditionalFormatting sqref="N918:O918">
    <cfRule type="expression" dxfId="0" priority="2471">
      <formula>COUNTIF(#REF!, N918) &gt; 1</formula>
    </cfRule>
  </conditionalFormatting>
  <conditionalFormatting sqref="U917">
    <cfRule type="containsText" dxfId="3" priority="2472" operator="containsText" text="В строю">
      <formula>NOT(ISERROR(SEARCH(("В строю"),(U917))))</formula>
    </cfRule>
  </conditionalFormatting>
  <conditionalFormatting sqref="U917">
    <cfRule type="containsText" dxfId="4" priority="2473" operator="containsText" text="Відпустка">
      <formula>NOT(ISERROR(SEARCH(("Відпустка"),(U917))))</formula>
    </cfRule>
  </conditionalFormatting>
  <conditionalFormatting sqref="U917">
    <cfRule type="containsText" dxfId="5" priority="2474" operator="containsText" text="СЗЧ">
      <formula>NOT(ISERROR(SEARCH(("СЗЧ"),(U917))))</formula>
    </cfRule>
  </conditionalFormatting>
  <conditionalFormatting sqref="U917">
    <cfRule type="containsText" dxfId="6" priority="2475" operator="containsText" text="Зниклі безвісти">
      <formula>NOT(ISERROR(SEARCH(("Зниклі безвісти"),(U917))))</formula>
    </cfRule>
  </conditionalFormatting>
  <conditionalFormatting sqref="U917">
    <cfRule type="containsText" dxfId="7" priority="2476" operator="containsText" text="Від-ні навчання">
      <formula>NOT(ISERROR(SEARCH(("Від-ні навчання"),(U917))))</formula>
    </cfRule>
  </conditionalFormatting>
  <conditionalFormatting sqref="U917">
    <cfRule type="containsText" dxfId="8" priority="2477" operator="containsText" text="Відком. за межі ПБ">
      <formula>NOT(ISERROR(SEARCH(("Відком. за межі ПБ"),(U917))))</formula>
    </cfRule>
  </conditionalFormatting>
  <conditionalFormatting sqref="U917">
    <cfRule type="containsText" dxfId="9" priority="2478" operator="containsText" text="Загиблі">
      <formula>NOT(ISERROR(SEARCH(("Загиблі"),(U917))))</formula>
    </cfRule>
  </conditionalFormatting>
  <conditionalFormatting sqref="U917">
    <cfRule type="containsText" dxfId="10" priority="2479" operator="containsText" text="Лікування">
      <formula>NOT(ISERROR(SEARCH(("Лікування"),(U917))))</formula>
    </cfRule>
  </conditionalFormatting>
  <conditionalFormatting sqref="U917">
    <cfRule type="containsText" dxfId="10" priority="2480" operator="containsText" text="Лікування">
      <formula>NOT(ISERROR(SEARCH(("Лікування"),(U917))))</formula>
    </cfRule>
  </conditionalFormatting>
  <conditionalFormatting sqref="U917">
    <cfRule type="containsText" dxfId="9" priority="2481" operator="containsText" text="Загиблі">
      <formula>NOT(ISERROR(SEARCH(("Загиблі"),(U917))))</formula>
    </cfRule>
  </conditionalFormatting>
  <conditionalFormatting sqref="U917">
    <cfRule type="containsText" dxfId="8" priority="2482" operator="containsText" text="Відком. за межі ПБ">
      <formula>NOT(ISERROR(SEARCH(("Відком. за межі ПБ"),(U917))))</formula>
    </cfRule>
  </conditionalFormatting>
  <conditionalFormatting sqref="U917">
    <cfRule type="containsText" dxfId="7" priority="2483" operator="containsText" text="Від-ні навчання">
      <formula>NOT(ISERROR(SEARCH(("Від-ні навчання"),(U917))))</formula>
    </cfRule>
  </conditionalFormatting>
  <conditionalFormatting sqref="U917">
    <cfRule type="containsText" dxfId="6" priority="2484" operator="containsText" text="Зниклі безвісти">
      <formula>NOT(ISERROR(SEARCH(("Зниклі безвісти"),(U917))))</formula>
    </cfRule>
  </conditionalFormatting>
  <conditionalFormatting sqref="U917">
    <cfRule type="containsText" dxfId="5" priority="2485" operator="containsText" text="СЗЧ">
      <formula>NOT(ISERROR(SEARCH(("СЗЧ"),(U917))))</formula>
    </cfRule>
  </conditionalFormatting>
  <conditionalFormatting sqref="U917">
    <cfRule type="containsText" dxfId="4" priority="2486" operator="containsText" text="Відпустка">
      <formula>NOT(ISERROR(SEARCH(("Відпустка"),(U917))))</formula>
    </cfRule>
  </conditionalFormatting>
  <conditionalFormatting sqref="U917">
    <cfRule type="containsText" dxfId="3" priority="2487" operator="containsText" text="В строю">
      <formula>NOT(ISERROR(SEARCH(("В строю"),(U917))))</formula>
    </cfRule>
  </conditionalFormatting>
  <conditionalFormatting sqref="Q917">
    <cfRule type="cellIs" dxfId="9" priority="2488" operator="notEqual">
      <formula>P917</formula>
    </cfRule>
  </conditionalFormatting>
  <conditionalFormatting sqref="Q917">
    <cfRule type="cellIs" dxfId="3" priority="2489" operator="equal">
      <formula>P917</formula>
    </cfRule>
  </conditionalFormatting>
  <conditionalFormatting sqref="N917">
    <cfRule type="expression" dxfId="0" priority="2490">
      <formula>COUNTIF(#REF!, N917) &gt; 1</formula>
    </cfRule>
  </conditionalFormatting>
  <conditionalFormatting sqref="U916">
    <cfRule type="containsText" dxfId="3" priority="2491" operator="containsText" text="В строю">
      <formula>NOT(ISERROR(SEARCH(("В строю"),(U916))))</formula>
    </cfRule>
  </conditionalFormatting>
  <conditionalFormatting sqref="U916">
    <cfRule type="containsText" dxfId="4" priority="2492" operator="containsText" text="Відпустка">
      <formula>NOT(ISERROR(SEARCH(("Відпустка"),(U916))))</formula>
    </cfRule>
  </conditionalFormatting>
  <conditionalFormatting sqref="U916">
    <cfRule type="containsText" dxfId="5" priority="2493" operator="containsText" text="СЗЧ">
      <formula>NOT(ISERROR(SEARCH(("СЗЧ"),(U916))))</formula>
    </cfRule>
  </conditionalFormatting>
  <conditionalFormatting sqref="U916">
    <cfRule type="containsText" dxfId="6" priority="2494" operator="containsText" text="Зниклі безвісти">
      <formula>NOT(ISERROR(SEARCH(("Зниклі безвісти"),(U916))))</formula>
    </cfRule>
  </conditionalFormatting>
  <conditionalFormatting sqref="U916">
    <cfRule type="containsText" dxfId="7" priority="2495" operator="containsText" text="Від-ні навчання">
      <formula>NOT(ISERROR(SEARCH(("Від-ні навчання"),(U916))))</formula>
    </cfRule>
  </conditionalFormatting>
  <conditionalFormatting sqref="U916">
    <cfRule type="containsText" dxfId="8" priority="2496" operator="containsText" text="Відком. за межі ПБ">
      <formula>NOT(ISERROR(SEARCH(("Відком. за межі ПБ"),(U916))))</formula>
    </cfRule>
  </conditionalFormatting>
  <conditionalFormatting sqref="U916">
    <cfRule type="containsText" dxfId="9" priority="2497" operator="containsText" text="Загиблі">
      <formula>NOT(ISERROR(SEARCH(("Загиблі"),(U916))))</formula>
    </cfRule>
  </conditionalFormatting>
  <conditionalFormatting sqref="U916">
    <cfRule type="containsText" dxfId="10" priority="2498" operator="containsText" text="Лікування">
      <formula>NOT(ISERROR(SEARCH(("Лікування"),(U916))))</formula>
    </cfRule>
  </conditionalFormatting>
  <conditionalFormatting sqref="U916">
    <cfRule type="containsText" dxfId="10" priority="2499" operator="containsText" text="Лікування">
      <formula>NOT(ISERROR(SEARCH(("Лікування"),(U916))))</formula>
    </cfRule>
  </conditionalFormatting>
  <conditionalFormatting sqref="U916">
    <cfRule type="containsText" dxfId="9" priority="2500" operator="containsText" text="Загиблі">
      <formula>NOT(ISERROR(SEARCH(("Загиблі"),(U916))))</formula>
    </cfRule>
  </conditionalFormatting>
  <conditionalFormatting sqref="U916">
    <cfRule type="containsText" dxfId="8" priority="2501" operator="containsText" text="Відком. за межі ПБ">
      <formula>NOT(ISERROR(SEARCH(("Відком. за межі ПБ"),(U916))))</formula>
    </cfRule>
  </conditionalFormatting>
  <conditionalFormatting sqref="U916">
    <cfRule type="containsText" dxfId="7" priority="2502" operator="containsText" text="Від-ні навчання">
      <formula>NOT(ISERROR(SEARCH(("Від-ні навчання"),(U916))))</formula>
    </cfRule>
  </conditionalFormatting>
  <conditionalFormatting sqref="U916">
    <cfRule type="containsText" dxfId="6" priority="2503" operator="containsText" text="Зниклі безвісти">
      <formula>NOT(ISERROR(SEARCH(("Зниклі безвісти"),(U916))))</formula>
    </cfRule>
  </conditionalFormatting>
  <conditionalFormatting sqref="U916">
    <cfRule type="containsText" dxfId="5" priority="2504" operator="containsText" text="СЗЧ">
      <formula>NOT(ISERROR(SEARCH(("СЗЧ"),(U916))))</formula>
    </cfRule>
  </conditionalFormatting>
  <conditionalFormatting sqref="U916">
    <cfRule type="containsText" dxfId="4" priority="2505" operator="containsText" text="Відпустка">
      <formula>NOT(ISERROR(SEARCH(("Відпустка"),(U916))))</formula>
    </cfRule>
  </conditionalFormatting>
  <conditionalFormatting sqref="U916">
    <cfRule type="containsText" dxfId="3" priority="2506" operator="containsText" text="В строю">
      <formula>NOT(ISERROR(SEARCH(("В строю"),(U916))))</formula>
    </cfRule>
  </conditionalFormatting>
  <conditionalFormatting sqref="Q916">
    <cfRule type="cellIs" dxfId="9" priority="2507" operator="notEqual">
      <formula>P916</formula>
    </cfRule>
  </conditionalFormatting>
  <conditionalFormatting sqref="Q916">
    <cfRule type="cellIs" dxfId="3" priority="2508" operator="equal">
      <formula>P916</formula>
    </cfRule>
  </conditionalFormatting>
  <conditionalFormatting sqref="N916">
    <cfRule type="expression" dxfId="0" priority="2509">
      <formula>COUNTIF(#REF!, N916) &gt; 1</formula>
    </cfRule>
  </conditionalFormatting>
  <conditionalFormatting sqref="U915">
    <cfRule type="containsText" dxfId="3" priority="2510" operator="containsText" text="В строю">
      <formula>NOT(ISERROR(SEARCH(("В строю"),(U915))))</formula>
    </cfRule>
  </conditionalFormatting>
  <conditionalFormatting sqref="U915">
    <cfRule type="containsText" dxfId="4" priority="2511" operator="containsText" text="Відпустка">
      <formula>NOT(ISERROR(SEARCH(("Відпустка"),(U915))))</formula>
    </cfRule>
  </conditionalFormatting>
  <conditionalFormatting sqref="U915">
    <cfRule type="containsText" dxfId="5" priority="2512" operator="containsText" text="СЗЧ">
      <formula>NOT(ISERROR(SEARCH(("СЗЧ"),(U915))))</formula>
    </cfRule>
  </conditionalFormatting>
  <conditionalFormatting sqref="U915">
    <cfRule type="containsText" dxfId="6" priority="2513" operator="containsText" text="Зниклі безвісти">
      <formula>NOT(ISERROR(SEARCH(("Зниклі безвісти"),(U915))))</formula>
    </cfRule>
  </conditionalFormatting>
  <conditionalFormatting sqref="U915">
    <cfRule type="containsText" dxfId="7" priority="2514" operator="containsText" text="Від-ні навчання">
      <formula>NOT(ISERROR(SEARCH(("Від-ні навчання"),(U915))))</formula>
    </cfRule>
  </conditionalFormatting>
  <conditionalFormatting sqref="U915">
    <cfRule type="containsText" dxfId="8" priority="2515" operator="containsText" text="Відком. за межі ПБ">
      <formula>NOT(ISERROR(SEARCH(("Відком. за межі ПБ"),(U915))))</formula>
    </cfRule>
  </conditionalFormatting>
  <conditionalFormatting sqref="U915">
    <cfRule type="containsText" dxfId="9" priority="2516" operator="containsText" text="Загиблі">
      <formula>NOT(ISERROR(SEARCH(("Загиблі"),(U915))))</formula>
    </cfRule>
  </conditionalFormatting>
  <conditionalFormatting sqref="U915">
    <cfRule type="containsText" dxfId="10" priority="2517" operator="containsText" text="Лікування">
      <formula>NOT(ISERROR(SEARCH(("Лікування"),(U915))))</formula>
    </cfRule>
  </conditionalFormatting>
  <conditionalFormatting sqref="U915">
    <cfRule type="containsText" dxfId="10" priority="2518" operator="containsText" text="Лікування">
      <formula>NOT(ISERROR(SEARCH(("Лікування"),(U915))))</formula>
    </cfRule>
  </conditionalFormatting>
  <conditionalFormatting sqref="U915">
    <cfRule type="containsText" dxfId="9" priority="2519" operator="containsText" text="Загиблі">
      <formula>NOT(ISERROR(SEARCH(("Загиблі"),(U915))))</formula>
    </cfRule>
  </conditionalFormatting>
  <conditionalFormatting sqref="U915">
    <cfRule type="containsText" dxfId="8" priority="2520" operator="containsText" text="Відком. за межі ПБ">
      <formula>NOT(ISERROR(SEARCH(("Відком. за межі ПБ"),(U915))))</formula>
    </cfRule>
  </conditionalFormatting>
  <conditionalFormatting sqref="U915">
    <cfRule type="containsText" dxfId="7" priority="2521" operator="containsText" text="Від-ні навчання">
      <formula>NOT(ISERROR(SEARCH(("Від-ні навчання"),(U915))))</formula>
    </cfRule>
  </conditionalFormatting>
  <conditionalFormatting sqref="U915">
    <cfRule type="containsText" dxfId="6" priority="2522" operator="containsText" text="Зниклі безвісти">
      <formula>NOT(ISERROR(SEARCH(("Зниклі безвісти"),(U915))))</formula>
    </cfRule>
  </conditionalFormatting>
  <conditionalFormatting sqref="U915">
    <cfRule type="containsText" dxfId="5" priority="2523" operator="containsText" text="СЗЧ">
      <formula>NOT(ISERROR(SEARCH(("СЗЧ"),(U915))))</formula>
    </cfRule>
  </conditionalFormatting>
  <conditionalFormatting sqref="U915">
    <cfRule type="containsText" dxfId="4" priority="2524" operator="containsText" text="Відпустка">
      <formula>NOT(ISERROR(SEARCH(("Відпустка"),(U915))))</formula>
    </cfRule>
  </conditionalFormatting>
  <conditionalFormatting sqref="U915">
    <cfRule type="containsText" dxfId="3" priority="2525" operator="containsText" text="В строю">
      <formula>NOT(ISERROR(SEARCH(("В строю"),(U915))))</formula>
    </cfRule>
  </conditionalFormatting>
  <conditionalFormatting sqref="Q915">
    <cfRule type="cellIs" dxfId="9" priority="2526" operator="notEqual">
      <formula>P915</formula>
    </cfRule>
  </conditionalFormatting>
  <conditionalFormatting sqref="Q915">
    <cfRule type="cellIs" dxfId="3" priority="2527" operator="equal">
      <formula>P915</formula>
    </cfRule>
  </conditionalFormatting>
  <conditionalFormatting sqref="N915">
    <cfRule type="expression" dxfId="0" priority="2528">
      <formula>COUNTIF(#REF!, N915) &gt; 1</formula>
    </cfRule>
  </conditionalFormatting>
  <conditionalFormatting sqref="N914">
    <cfRule type="expression" dxfId="0" priority="2529">
      <formula>COUNTIF(#REF!, N914) &gt; 1</formula>
    </cfRule>
  </conditionalFormatting>
  <conditionalFormatting sqref="Q914">
    <cfRule type="cellIs" dxfId="3" priority="2530" operator="equal">
      <formula>P914</formula>
    </cfRule>
  </conditionalFormatting>
  <conditionalFormatting sqref="Q914">
    <cfRule type="cellIs" dxfId="9" priority="2531" operator="notEqual">
      <formula>P914</formula>
    </cfRule>
  </conditionalFormatting>
  <conditionalFormatting sqref="U914">
    <cfRule type="containsText" dxfId="3" priority="2532" operator="containsText" text="В строю">
      <formula>NOT(ISERROR(SEARCH(("В строю"),(U914))))</formula>
    </cfRule>
  </conditionalFormatting>
  <conditionalFormatting sqref="U914">
    <cfRule type="containsText" dxfId="4" priority="2533" operator="containsText" text="Відпустка">
      <formula>NOT(ISERROR(SEARCH(("Відпустка"),(U914))))</formula>
    </cfRule>
  </conditionalFormatting>
  <conditionalFormatting sqref="U914">
    <cfRule type="containsText" dxfId="5" priority="2534" operator="containsText" text="СЗЧ">
      <formula>NOT(ISERROR(SEARCH(("СЗЧ"),(U914))))</formula>
    </cfRule>
  </conditionalFormatting>
  <conditionalFormatting sqref="U914">
    <cfRule type="containsText" dxfId="6" priority="2535" operator="containsText" text="Зниклі безвісти">
      <formula>NOT(ISERROR(SEARCH(("Зниклі безвісти"),(U914))))</formula>
    </cfRule>
  </conditionalFormatting>
  <conditionalFormatting sqref="U914">
    <cfRule type="containsText" dxfId="7" priority="2536" operator="containsText" text="Від-ні навчання">
      <formula>NOT(ISERROR(SEARCH(("Від-ні навчання"),(U914))))</formula>
    </cfRule>
  </conditionalFormatting>
  <conditionalFormatting sqref="U914">
    <cfRule type="containsText" dxfId="8" priority="2537" operator="containsText" text="Відком. за межі ПБ">
      <formula>NOT(ISERROR(SEARCH(("Відком. за межі ПБ"),(U914))))</formula>
    </cfRule>
  </conditionalFormatting>
  <conditionalFormatting sqref="U914">
    <cfRule type="containsText" dxfId="9" priority="2538" operator="containsText" text="Загиблі">
      <formula>NOT(ISERROR(SEARCH(("Загиблі"),(U914))))</formula>
    </cfRule>
  </conditionalFormatting>
  <conditionalFormatting sqref="U914">
    <cfRule type="containsText" dxfId="10" priority="2539" operator="containsText" text="Лікування">
      <formula>NOT(ISERROR(SEARCH(("Лікування"),(U914))))</formula>
    </cfRule>
  </conditionalFormatting>
  <conditionalFormatting sqref="U914">
    <cfRule type="containsText" dxfId="10" priority="2540" operator="containsText" text="Лікування">
      <formula>NOT(ISERROR(SEARCH(("Лікування"),(U914))))</formula>
    </cfRule>
  </conditionalFormatting>
  <conditionalFormatting sqref="U914">
    <cfRule type="containsText" dxfId="9" priority="2541" operator="containsText" text="Загиблі">
      <formula>NOT(ISERROR(SEARCH(("Загиблі"),(U914))))</formula>
    </cfRule>
  </conditionalFormatting>
  <conditionalFormatting sqref="U914">
    <cfRule type="containsText" dxfId="8" priority="2542" operator="containsText" text="Відком. за межі ПБ">
      <formula>NOT(ISERROR(SEARCH(("Відком. за межі ПБ"),(U914))))</formula>
    </cfRule>
  </conditionalFormatting>
  <conditionalFormatting sqref="U914">
    <cfRule type="containsText" dxfId="7" priority="2543" operator="containsText" text="Від-ні навчання">
      <formula>NOT(ISERROR(SEARCH(("Від-ні навчання"),(U914))))</formula>
    </cfRule>
  </conditionalFormatting>
  <conditionalFormatting sqref="U914">
    <cfRule type="containsText" dxfId="6" priority="2544" operator="containsText" text="Зниклі безвісти">
      <formula>NOT(ISERROR(SEARCH(("Зниклі безвісти"),(U914))))</formula>
    </cfRule>
  </conditionalFormatting>
  <conditionalFormatting sqref="U914">
    <cfRule type="containsText" dxfId="5" priority="2545" operator="containsText" text="СЗЧ">
      <formula>NOT(ISERROR(SEARCH(("СЗЧ"),(U914))))</formula>
    </cfRule>
  </conditionalFormatting>
  <conditionalFormatting sqref="U914">
    <cfRule type="containsText" dxfId="4" priority="2546" operator="containsText" text="Відпустка">
      <formula>NOT(ISERROR(SEARCH(("Відпустка"),(U914))))</formula>
    </cfRule>
  </conditionalFormatting>
  <conditionalFormatting sqref="U914">
    <cfRule type="containsText" dxfId="3" priority="2547" operator="containsText" text="В строю">
      <formula>NOT(ISERROR(SEARCH(("В строю"),(U914))))</formula>
    </cfRule>
  </conditionalFormatting>
  <conditionalFormatting sqref="N913">
    <cfRule type="expression" dxfId="0" priority="2548">
      <formula>COUNTIF(#REF!, N913) &gt; 1</formula>
    </cfRule>
  </conditionalFormatting>
  <conditionalFormatting sqref="Q913">
    <cfRule type="cellIs" dxfId="3" priority="2549" operator="equal">
      <formula>P913</formula>
    </cfRule>
  </conditionalFormatting>
  <conditionalFormatting sqref="Q913">
    <cfRule type="cellIs" dxfId="9" priority="2550" operator="notEqual">
      <formula>P913</formula>
    </cfRule>
  </conditionalFormatting>
  <conditionalFormatting sqref="U913">
    <cfRule type="containsText" dxfId="10" priority="2551" operator="containsText" text="Лікування">
      <formula>NOT(ISERROR(SEARCH(("Лікування"),(U913))))</formula>
    </cfRule>
  </conditionalFormatting>
  <conditionalFormatting sqref="U913">
    <cfRule type="containsText" dxfId="9" priority="2552" operator="containsText" text="Загиблі">
      <formula>NOT(ISERROR(SEARCH(("Загиблі"),(U913))))</formula>
    </cfRule>
  </conditionalFormatting>
  <conditionalFormatting sqref="U913">
    <cfRule type="containsText" dxfId="8" priority="2553" operator="containsText" text="Відком. за межі ПБ">
      <formula>NOT(ISERROR(SEARCH(("Відком. за межі ПБ"),(U913))))</formula>
    </cfRule>
  </conditionalFormatting>
  <conditionalFormatting sqref="U913">
    <cfRule type="containsText" dxfId="7" priority="2554" operator="containsText" text="Від-ні навчання">
      <formula>NOT(ISERROR(SEARCH(("Від-ні навчання"),(U913))))</formula>
    </cfRule>
  </conditionalFormatting>
  <conditionalFormatting sqref="U913">
    <cfRule type="containsText" dxfId="6" priority="2555" operator="containsText" text="Зниклі безвісти">
      <formula>NOT(ISERROR(SEARCH(("Зниклі безвісти"),(U913))))</formula>
    </cfRule>
  </conditionalFormatting>
  <conditionalFormatting sqref="U913">
    <cfRule type="containsText" dxfId="5" priority="2556" operator="containsText" text="СЗЧ">
      <formula>NOT(ISERROR(SEARCH(("СЗЧ"),(U913))))</formula>
    </cfRule>
  </conditionalFormatting>
  <conditionalFormatting sqref="U913">
    <cfRule type="containsText" dxfId="4" priority="2557" operator="containsText" text="Відпустка">
      <formula>NOT(ISERROR(SEARCH(("Відпустка"),(U913))))</formula>
    </cfRule>
  </conditionalFormatting>
  <conditionalFormatting sqref="U913">
    <cfRule type="containsText" dxfId="3" priority="2558" operator="containsText" text="В строю">
      <formula>NOT(ISERROR(SEARCH(("В строю"),(U913))))</formula>
    </cfRule>
  </conditionalFormatting>
  <conditionalFormatting sqref="U913">
    <cfRule type="containsText" dxfId="3" priority="2559" operator="containsText" text="В строю">
      <formula>NOT(ISERROR(SEARCH(("В строю"),(U913))))</formula>
    </cfRule>
  </conditionalFormatting>
  <conditionalFormatting sqref="U913">
    <cfRule type="containsText" dxfId="4" priority="2560" operator="containsText" text="Відпустка">
      <formula>NOT(ISERROR(SEARCH(("Відпустка"),(U913))))</formula>
    </cfRule>
  </conditionalFormatting>
  <conditionalFormatting sqref="U913">
    <cfRule type="containsText" dxfId="5" priority="2561" operator="containsText" text="СЗЧ">
      <formula>NOT(ISERROR(SEARCH(("СЗЧ"),(U913))))</formula>
    </cfRule>
  </conditionalFormatting>
  <conditionalFormatting sqref="U913">
    <cfRule type="containsText" dxfId="6" priority="2562" operator="containsText" text="Зниклі безвісти">
      <formula>NOT(ISERROR(SEARCH(("Зниклі безвісти"),(U913))))</formula>
    </cfRule>
  </conditionalFormatting>
  <conditionalFormatting sqref="U913">
    <cfRule type="containsText" dxfId="7" priority="2563" operator="containsText" text="Від-ні навчання">
      <formula>NOT(ISERROR(SEARCH(("Від-ні навчання"),(U913))))</formula>
    </cfRule>
  </conditionalFormatting>
  <conditionalFormatting sqref="U913">
    <cfRule type="containsText" dxfId="8" priority="2564" operator="containsText" text="Відком. за межі ПБ">
      <formula>NOT(ISERROR(SEARCH(("Відком. за межі ПБ"),(U913))))</formula>
    </cfRule>
  </conditionalFormatting>
  <conditionalFormatting sqref="U913">
    <cfRule type="containsText" dxfId="9" priority="2565" operator="containsText" text="Загиблі">
      <formula>NOT(ISERROR(SEARCH(("Загиблі"),(U913))))</formula>
    </cfRule>
  </conditionalFormatting>
  <conditionalFormatting sqref="U913">
    <cfRule type="containsText" dxfId="10" priority="2566" operator="containsText" text="Лікування">
      <formula>NOT(ISERROR(SEARCH(("Лікування"),(U913))))</formula>
    </cfRule>
  </conditionalFormatting>
  <conditionalFormatting sqref="Q912">
    <cfRule type="cellIs" dxfId="3" priority="2567" operator="equal">
      <formula>P912</formula>
    </cfRule>
  </conditionalFormatting>
  <conditionalFormatting sqref="Q912">
    <cfRule type="cellIs" dxfId="9" priority="2568" operator="notEqual">
      <formula>P912</formula>
    </cfRule>
  </conditionalFormatting>
  <conditionalFormatting sqref="U912">
    <cfRule type="containsText" dxfId="3" priority="2569" operator="containsText" text="В строю">
      <formula>NOT(ISERROR(SEARCH(("В строю"),(U912))))</formula>
    </cfRule>
  </conditionalFormatting>
  <conditionalFormatting sqref="U912">
    <cfRule type="containsText" dxfId="4" priority="2570" operator="containsText" text="Відпустка">
      <formula>NOT(ISERROR(SEARCH(("Відпустка"),(U912))))</formula>
    </cfRule>
  </conditionalFormatting>
  <conditionalFormatting sqref="U912">
    <cfRule type="containsText" dxfId="5" priority="2571" operator="containsText" text="СЗЧ">
      <formula>NOT(ISERROR(SEARCH(("СЗЧ"),(U912))))</formula>
    </cfRule>
  </conditionalFormatting>
  <conditionalFormatting sqref="U912">
    <cfRule type="containsText" dxfId="6" priority="2572" operator="containsText" text="Зниклі безвісти">
      <formula>NOT(ISERROR(SEARCH(("Зниклі безвісти"),(U912))))</formula>
    </cfRule>
  </conditionalFormatting>
  <conditionalFormatting sqref="U912">
    <cfRule type="containsText" dxfId="7" priority="2573" operator="containsText" text="Від-ні навчання">
      <formula>NOT(ISERROR(SEARCH(("Від-ні навчання"),(U912))))</formula>
    </cfRule>
  </conditionalFormatting>
  <conditionalFormatting sqref="U912">
    <cfRule type="containsText" dxfId="8" priority="2574" operator="containsText" text="Відком. за межі ПБ">
      <formula>NOT(ISERROR(SEARCH(("Відком. за межі ПБ"),(U912))))</formula>
    </cfRule>
  </conditionalFormatting>
  <conditionalFormatting sqref="U912">
    <cfRule type="containsText" dxfId="9" priority="2575" operator="containsText" text="Загиблі">
      <formula>NOT(ISERROR(SEARCH(("Загиблі"),(U912))))</formula>
    </cfRule>
  </conditionalFormatting>
  <conditionalFormatting sqref="U912">
    <cfRule type="containsText" dxfId="10" priority="2576" operator="containsText" text="Лікування">
      <formula>NOT(ISERROR(SEARCH(("Лікування"),(U912))))</formula>
    </cfRule>
  </conditionalFormatting>
  <conditionalFormatting sqref="U912">
    <cfRule type="containsText" dxfId="10" priority="2577" operator="containsText" text="Лікування">
      <formula>NOT(ISERROR(SEARCH(("Лікування"),(U912))))</formula>
    </cfRule>
  </conditionalFormatting>
  <conditionalFormatting sqref="U912">
    <cfRule type="containsText" dxfId="9" priority="2578" operator="containsText" text="Загиблі">
      <formula>NOT(ISERROR(SEARCH(("Загиблі"),(U912))))</formula>
    </cfRule>
  </conditionalFormatting>
  <conditionalFormatting sqref="U912">
    <cfRule type="containsText" dxfId="8" priority="2579" operator="containsText" text="Відком. за межі ПБ">
      <formula>NOT(ISERROR(SEARCH(("Відком. за межі ПБ"),(U912))))</formula>
    </cfRule>
  </conditionalFormatting>
  <conditionalFormatting sqref="U912">
    <cfRule type="containsText" dxfId="7" priority="2580" operator="containsText" text="Від-ні навчання">
      <formula>NOT(ISERROR(SEARCH(("Від-ні навчання"),(U912))))</formula>
    </cfRule>
  </conditionalFormatting>
  <conditionalFormatting sqref="U912">
    <cfRule type="containsText" dxfId="6" priority="2581" operator="containsText" text="Зниклі безвісти">
      <formula>NOT(ISERROR(SEARCH(("Зниклі безвісти"),(U912))))</formula>
    </cfRule>
  </conditionalFormatting>
  <conditionalFormatting sqref="U912">
    <cfRule type="containsText" dxfId="5" priority="2582" operator="containsText" text="СЗЧ">
      <formula>NOT(ISERROR(SEARCH(("СЗЧ"),(U912))))</formula>
    </cfRule>
  </conditionalFormatting>
  <conditionalFormatting sqref="U912">
    <cfRule type="containsText" dxfId="4" priority="2583" operator="containsText" text="Відпустка">
      <formula>NOT(ISERROR(SEARCH(("Відпустка"),(U912))))</formula>
    </cfRule>
  </conditionalFormatting>
  <conditionalFormatting sqref="U912">
    <cfRule type="containsText" dxfId="3" priority="2584" operator="containsText" text="В строю">
      <formula>NOT(ISERROR(SEARCH(("В строю"),(U912))))</formula>
    </cfRule>
  </conditionalFormatting>
  <conditionalFormatting sqref="Q911">
    <cfRule type="cellIs" dxfId="3" priority="2585" operator="equal">
      <formula>P911</formula>
    </cfRule>
  </conditionalFormatting>
  <conditionalFormatting sqref="Q911">
    <cfRule type="cellIs" dxfId="9" priority="2586" operator="notEqual">
      <formula>P911</formula>
    </cfRule>
  </conditionalFormatting>
  <conditionalFormatting sqref="U911">
    <cfRule type="containsText" dxfId="3" priority="2587" operator="containsText" text="В строю">
      <formula>NOT(ISERROR(SEARCH(("В строю"),(U911))))</formula>
    </cfRule>
  </conditionalFormatting>
  <conditionalFormatting sqref="U911">
    <cfRule type="containsText" dxfId="4" priority="2588" operator="containsText" text="Відпустка">
      <formula>NOT(ISERROR(SEARCH(("Відпустка"),(U911))))</formula>
    </cfRule>
  </conditionalFormatting>
  <conditionalFormatting sqref="U911">
    <cfRule type="containsText" dxfId="5" priority="2589" operator="containsText" text="СЗЧ">
      <formula>NOT(ISERROR(SEARCH(("СЗЧ"),(U911))))</formula>
    </cfRule>
  </conditionalFormatting>
  <conditionalFormatting sqref="U911">
    <cfRule type="containsText" dxfId="6" priority="2590" operator="containsText" text="Зниклі безвісти">
      <formula>NOT(ISERROR(SEARCH(("Зниклі безвісти"),(U911))))</formula>
    </cfRule>
  </conditionalFormatting>
  <conditionalFormatting sqref="U911">
    <cfRule type="containsText" dxfId="7" priority="2591" operator="containsText" text="Від-ні навчання">
      <formula>NOT(ISERROR(SEARCH(("Від-ні навчання"),(U911))))</formula>
    </cfRule>
  </conditionalFormatting>
  <conditionalFormatting sqref="U911">
    <cfRule type="containsText" dxfId="8" priority="2592" operator="containsText" text="Відком. за межі ПБ">
      <formula>NOT(ISERROR(SEARCH(("Відком. за межі ПБ"),(U911))))</formula>
    </cfRule>
  </conditionalFormatting>
  <conditionalFormatting sqref="U911">
    <cfRule type="containsText" dxfId="9" priority="2593" operator="containsText" text="Загиблі">
      <formula>NOT(ISERROR(SEARCH(("Загиблі"),(U911))))</formula>
    </cfRule>
  </conditionalFormatting>
  <conditionalFormatting sqref="U911">
    <cfRule type="containsText" dxfId="10" priority="2594" operator="containsText" text="Лікування">
      <formula>NOT(ISERROR(SEARCH(("Лікування"),(U911))))</formula>
    </cfRule>
  </conditionalFormatting>
  <conditionalFormatting sqref="U911">
    <cfRule type="containsText" dxfId="10" priority="2595" operator="containsText" text="Лікування">
      <formula>NOT(ISERROR(SEARCH(("Лікування"),(U911))))</formula>
    </cfRule>
  </conditionalFormatting>
  <conditionalFormatting sqref="U911">
    <cfRule type="containsText" dxfId="9" priority="2596" operator="containsText" text="Загиблі">
      <formula>NOT(ISERROR(SEARCH(("Загиблі"),(U911))))</formula>
    </cfRule>
  </conditionalFormatting>
  <conditionalFormatting sqref="U911">
    <cfRule type="containsText" dxfId="8" priority="2597" operator="containsText" text="Відком. за межі ПБ">
      <formula>NOT(ISERROR(SEARCH(("Відком. за межі ПБ"),(U911))))</formula>
    </cfRule>
  </conditionalFormatting>
  <conditionalFormatting sqref="U911">
    <cfRule type="containsText" dxfId="7" priority="2598" operator="containsText" text="Від-ні навчання">
      <formula>NOT(ISERROR(SEARCH(("Від-ні навчання"),(U911))))</formula>
    </cfRule>
  </conditionalFormatting>
  <conditionalFormatting sqref="U911">
    <cfRule type="containsText" dxfId="6" priority="2599" operator="containsText" text="Зниклі безвісти">
      <formula>NOT(ISERROR(SEARCH(("Зниклі безвісти"),(U911))))</formula>
    </cfRule>
  </conditionalFormatting>
  <conditionalFormatting sqref="U911">
    <cfRule type="containsText" dxfId="5" priority="2600" operator="containsText" text="СЗЧ">
      <formula>NOT(ISERROR(SEARCH(("СЗЧ"),(U911))))</formula>
    </cfRule>
  </conditionalFormatting>
  <conditionalFormatting sqref="U911">
    <cfRule type="containsText" dxfId="4" priority="2601" operator="containsText" text="Відпустка">
      <formula>NOT(ISERROR(SEARCH(("Відпустка"),(U911))))</formula>
    </cfRule>
  </conditionalFormatting>
  <conditionalFormatting sqref="U911">
    <cfRule type="containsText" dxfId="3" priority="2602" operator="containsText" text="В строю">
      <formula>NOT(ISERROR(SEARCH(("В строю"),(U911))))</formula>
    </cfRule>
  </conditionalFormatting>
  <conditionalFormatting sqref="U911">
    <cfRule type="containsText" dxfId="3" priority="2603" operator="containsText" text="В строю">
      <formula>NOT(ISERROR(SEARCH(("В строю"),(U911))))</formula>
    </cfRule>
  </conditionalFormatting>
  <conditionalFormatting sqref="U911">
    <cfRule type="containsText" dxfId="4" priority="2604" operator="containsText" text="Відпустка">
      <formula>NOT(ISERROR(SEARCH(("Відпустка"),(U911))))</formula>
    </cfRule>
  </conditionalFormatting>
  <conditionalFormatting sqref="U911">
    <cfRule type="containsText" dxfId="5" priority="2605" operator="containsText" text="СЗЧ">
      <formula>NOT(ISERROR(SEARCH(("СЗЧ"),(U911))))</formula>
    </cfRule>
  </conditionalFormatting>
  <conditionalFormatting sqref="U911">
    <cfRule type="containsText" dxfId="6" priority="2606" operator="containsText" text="Зниклі безвісти">
      <formula>NOT(ISERROR(SEARCH(("Зниклі безвісти"),(U911))))</formula>
    </cfRule>
  </conditionalFormatting>
  <conditionalFormatting sqref="U911">
    <cfRule type="containsText" dxfId="7" priority="2607" operator="containsText" text="Від-ні навчання">
      <formula>NOT(ISERROR(SEARCH(("Від-ні навчання"),(U911))))</formula>
    </cfRule>
  </conditionalFormatting>
  <conditionalFormatting sqref="U911">
    <cfRule type="containsText" dxfId="8" priority="2608" operator="containsText" text="Відком. за межі ПБ">
      <formula>NOT(ISERROR(SEARCH(("Відком. за межі ПБ"),(U911))))</formula>
    </cfRule>
  </conditionalFormatting>
  <conditionalFormatting sqref="U911">
    <cfRule type="containsText" dxfId="9" priority="2609" operator="containsText" text="Загиблі">
      <formula>NOT(ISERROR(SEARCH(("Загиблі"),(U911))))</formula>
    </cfRule>
  </conditionalFormatting>
  <conditionalFormatting sqref="U911">
    <cfRule type="containsText" dxfId="10" priority="2610" operator="containsText" text="Лікування">
      <formula>NOT(ISERROR(SEARCH(("Лікування"),(U911))))</formula>
    </cfRule>
  </conditionalFormatting>
  <conditionalFormatting sqref="N911">
    <cfRule type="expression" dxfId="0" priority="2611">
      <formula>COUNTIF(#REF!, N911) &gt; 1</formula>
    </cfRule>
  </conditionalFormatting>
  <conditionalFormatting sqref="Q910">
    <cfRule type="cellIs" dxfId="3" priority="2612" operator="equal">
      <formula>P910</formula>
    </cfRule>
  </conditionalFormatting>
  <conditionalFormatting sqref="Q910">
    <cfRule type="cellIs" dxfId="9" priority="2613" operator="notEqual">
      <formula>P910</formula>
    </cfRule>
  </conditionalFormatting>
  <conditionalFormatting sqref="N910">
    <cfRule type="expression" dxfId="0" priority="2614">
      <formula>COUNTIF(#REF!, N910) &gt; 1</formula>
    </cfRule>
  </conditionalFormatting>
  <conditionalFormatting sqref="U910">
    <cfRule type="containsText" dxfId="10" priority="2615" operator="containsText" text="Лікування">
      <formula>NOT(ISERROR(SEARCH(("Лікування"),(U910))))</formula>
    </cfRule>
  </conditionalFormatting>
  <conditionalFormatting sqref="U910">
    <cfRule type="containsText" dxfId="9" priority="2616" operator="containsText" text="Загиблі">
      <formula>NOT(ISERROR(SEARCH(("Загиблі"),(U910))))</formula>
    </cfRule>
  </conditionalFormatting>
  <conditionalFormatting sqref="U910">
    <cfRule type="containsText" dxfId="8" priority="2617" operator="containsText" text="Відком. за межі ПБ">
      <formula>NOT(ISERROR(SEARCH(("Відком. за межі ПБ"),(U910))))</formula>
    </cfRule>
  </conditionalFormatting>
  <conditionalFormatting sqref="U910">
    <cfRule type="containsText" dxfId="7" priority="2618" operator="containsText" text="Від-ні навчання">
      <formula>NOT(ISERROR(SEARCH(("Від-ні навчання"),(U910))))</formula>
    </cfRule>
  </conditionalFormatting>
  <conditionalFormatting sqref="U910">
    <cfRule type="containsText" dxfId="6" priority="2619" operator="containsText" text="Зниклі безвісти">
      <formula>NOT(ISERROR(SEARCH(("Зниклі безвісти"),(U910))))</formula>
    </cfRule>
  </conditionalFormatting>
  <conditionalFormatting sqref="U910">
    <cfRule type="containsText" dxfId="5" priority="2620" operator="containsText" text="СЗЧ">
      <formula>NOT(ISERROR(SEARCH(("СЗЧ"),(U910))))</formula>
    </cfRule>
  </conditionalFormatting>
  <conditionalFormatting sqref="U910">
    <cfRule type="containsText" dxfId="4" priority="2621" operator="containsText" text="Відпустка">
      <formula>NOT(ISERROR(SEARCH(("Відпустка"),(U910))))</formula>
    </cfRule>
  </conditionalFormatting>
  <conditionalFormatting sqref="U910">
    <cfRule type="containsText" dxfId="3" priority="2622" operator="containsText" text="В строю">
      <formula>NOT(ISERROR(SEARCH(("В строю"),(U910))))</formula>
    </cfRule>
  </conditionalFormatting>
  <conditionalFormatting sqref="U910">
    <cfRule type="containsText" dxfId="3" priority="2623" operator="containsText" text="В строю">
      <formula>NOT(ISERROR(SEARCH(("В строю"),(U910))))</formula>
    </cfRule>
  </conditionalFormatting>
  <conditionalFormatting sqref="U910">
    <cfRule type="containsText" dxfId="4" priority="2624" operator="containsText" text="Відпустка">
      <formula>NOT(ISERROR(SEARCH(("Відпустка"),(U910))))</formula>
    </cfRule>
  </conditionalFormatting>
  <conditionalFormatting sqref="U910">
    <cfRule type="containsText" dxfId="5" priority="2625" operator="containsText" text="СЗЧ">
      <formula>NOT(ISERROR(SEARCH(("СЗЧ"),(U910))))</formula>
    </cfRule>
  </conditionalFormatting>
  <conditionalFormatting sqref="U910">
    <cfRule type="containsText" dxfId="6" priority="2626" operator="containsText" text="Зниклі безвісти">
      <formula>NOT(ISERROR(SEARCH(("Зниклі безвісти"),(U910))))</formula>
    </cfRule>
  </conditionalFormatting>
  <conditionalFormatting sqref="U910">
    <cfRule type="containsText" dxfId="7" priority="2627" operator="containsText" text="Від-ні навчання">
      <formula>NOT(ISERROR(SEARCH(("Від-ні навчання"),(U910))))</formula>
    </cfRule>
  </conditionalFormatting>
  <conditionalFormatting sqref="U910">
    <cfRule type="containsText" dxfId="8" priority="2628" operator="containsText" text="Відком. за межі ПБ">
      <formula>NOT(ISERROR(SEARCH(("Відком. за межі ПБ"),(U910))))</formula>
    </cfRule>
  </conditionalFormatting>
  <conditionalFormatting sqref="U910">
    <cfRule type="containsText" dxfId="9" priority="2629" operator="containsText" text="Загиблі">
      <formula>NOT(ISERROR(SEARCH(("Загиблі"),(U910))))</formula>
    </cfRule>
  </conditionalFormatting>
  <conditionalFormatting sqref="U910">
    <cfRule type="containsText" dxfId="10" priority="2630" operator="containsText" text="Лікування">
      <formula>NOT(ISERROR(SEARCH(("Лікування"),(U910))))</formula>
    </cfRule>
  </conditionalFormatting>
  <conditionalFormatting sqref="U910">
    <cfRule type="containsText" dxfId="3" priority="2631" operator="containsText" text="В строю">
      <formula>NOT(ISERROR(SEARCH(("В строю"),(U910))))</formula>
    </cfRule>
  </conditionalFormatting>
  <conditionalFormatting sqref="U910">
    <cfRule type="containsText" dxfId="4" priority="2632" operator="containsText" text="Відпустка">
      <formula>NOT(ISERROR(SEARCH(("Відпустка"),(U910))))</formula>
    </cfRule>
  </conditionalFormatting>
  <conditionalFormatting sqref="U910">
    <cfRule type="containsText" dxfId="5" priority="2633" operator="containsText" text="СЗЧ">
      <formula>NOT(ISERROR(SEARCH(("СЗЧ"),(U910))))</formula>
    </cfRule>
  </conditionalFormatting>
  <conditionalFormatting sqref="U910">
    <cfRule type="containsText" dxfId="6" priority="2634" operator="containsText" text="Зниклі безвісти">
      <formula>NOT(ISERROR(SEARCH(("Зниклі безвісти"),(U910))))</formula>
    </cfRule>
  </conditionalFormatting>
  <conditionalFormatting sqref="U910">
    <cfRule type="containsText" dxfId="7" priority="2635" operator="containsText" text="Від-ні навчання">
      <formula>NOT(ISERROR(SEARCH(("Від-ні навчання"),(U910))))</formula>
    </cfRule>
  </conditionalFormatting>
  <conditionalFormatting sqref="U910">
    <cfRule type="containsText" dxfId="8" priority="2636" operator="containsText" text="Відком. за межі ПБ">
      <formula>NOT(ISERROR(SEARCH(("Відком. за межі ПБ"),(U910))))</formula>
    </cfRule>
  </conditionalFormatting>
  <conditionalFormatting sqref="U910">
    <cfRule type="containsText" dxfId="9" priority="2637" operator="containsText" text="Загиблі">
      <formula>NOT(ISERROR(SEARCH(("Загиблі"),(U910))))</formula>
    </cfRule>
  </conditionalFormatting>
  <conditionalFormatting sqref="U910">
    <cfRule type="containsText" dxfId="10" priority="2638" operator="containsText" text="Лікування">
      <formula>NOT(ISERROR(SEARCH(("Лікування"),(U910))))</formula>
    </cfRule>
  </conditionalFormatting>
  <conditionalFormatting sqref="U909">
    <cfRule type="containsText" dxfId="3" priority="2639" operator="containsText" text="В строю">
      <formula>NOT(ISERROR(SEARCH(("В строю"),(U909))))</formula>
    </cfRule>
  </conditionalFormatting>
  <conditionalFormatting sqref="U909">
    <cfRule type="containsText" dxfId="4" priority="2640" operator="containsText" text="Відпустка">
      <formula>NOT(ISERROR(SEARCH(("Відпустка"),(U909))))</formula>
    </cfRule>
  </conditionalFormatting>
  <conditionalFormatting sqref="U909">
    <cfRule type="containsText" dxfId="5" priority="2641" operator="containsText" text="СЗЧ">
      <formula>NOT(ISERROR(SEARCH(("СЗЧ"),(U909))))</formula>
    </cfRule>
  </conditionalFormatting>
  <conditionalFormatting sqref="U909">
    <cfRule type="containsText" dxfId="6" priority="2642" operator="containsText" text="Зниклі безвісти">
      <formula>NOT(ISERROR(SEARCH(("Зниклі безвісти"),(U909))))</formula>
    </cfRule>
  </conditionalFormatting>
  <conditionalFormatting sqref="U909">
    <cfRule type="containsText" dxfId="7" priority="2643" operator="containsText" text="Від-ні навчання">
      <formula>NOT(ISERROR(SEARCH(("Від-ні навчання"),(U909))))</formula>
    </cfRule>
  </conditionalFormatting>
  <conditionalFormatting sqref="U909">
    <cfRule type="containsText" dxfId="8" priority="2644" operator="containsText" text="Відком. за межі ПБ">
      <formula>NOT(ISERROR(SEARCH(("Відком. за межі ПБ"),(U909))))</formula>
    </cfRule>
  </conditionalFormatting>
  <conditionalFormatting sqref="U909">
    <cfRule type="containsText" dxfId="9" priority="2645" operator="containsText" text="Загиблі">
      <formula>NOT(ISERROR(SEARCH(("Загиблі"),(U909))))</formula>
    </cfRule>
  </conditionalFormatting>
  <conditionalFormatting sqref="U909">
    <cfRule type="containsText" dxfId="10" priority="2646" operator="containsText" text="Лікування">
      <formula>NOT(ISERROR(SEARCH(("Лікування"),(U909))))</formula>
    </cfRule>
  </conditionalFormatting>
  <conditionalFormatting sqref="U909">
    <cfRule type="containsText" dxfId="10" priority="2647" operator="containsText" text="Лікування">
      <formula>NOT(ISERROR(SEARCH(("Лікування"),(U909))))</formula>
    </cfRule>
  </conditionalFormatting>
  <conditionalFormatting sqref="U909">
    <cfRule type="containsText" dxfId="9" priority="2648" operator="containsText" text="Загиблі">
      <formula>NOT(ISERROR(SEARCH(("Загиблі"),(U909))))</formula>
    </cfRule>
  </conditionalFormatting>
  <conditionalFormatting sqref="U909">
    <cfRule type="containsText" dxfId="8" priority="2649" operator="containsText" text="Відком. за межі ПБ">
      <formula>NOT(ISERROR(SEARCH(("Відком. за межі ПБ"),(U909))))</formula>
    </cfRule>
  </conditionalFormatting>
  <conditionalFormatting sqref="U909">
    <cfRule type="containsText" dxfId="7" priority="2650" operator="containsText" text="Від-ні навчання">
      <formula>NOT(ISERROR(SEARCH(("Від-ні навчання"),(U909))))</formula>
    </cfRule>
  </conditionalFormatting>
  <conditionalFormatting sqref="U909">
    <cfRule type="containsText" dxfId="6" priority="2651" operator="containsText" text="Зниклі безвісти">
      <formula>NOT(ISERROR(SEARCH(("Зниклі безвісти"),(U909))))</formula>
    </cfRule>
  </conditionalFormatting>
  <conditionalFormatting sqref="U909">
    <cfRule type="containsText" dxfId="5" priority="2652" operator="containsText" text="СЗЧ">
      <formula>NOT(ISERROR(SEARCH(("СЗЧ"),(U909))))</formula>
    </cfRule>
  </conditionalFormatting>
  <conditionalFormatting sqref="U909">
    <cfRule type="containsText" dxfId="4" priority="2653" operator="containsText" text="Відпустка">
      <formula>NOT(ISERROR(SEARCH(("Відпустка"),(U909))))</formula>
    </cfRule>
  </conditionalFormatting>
  <conditionalFormatting sqref="U909">
    <cfRule type="containsText" dxfId="3" priority="2654" operator="containsText" text="В строю">
      <formula>NOT(ISERROR(SEARCH(("В строю"),(U909))))</formula>
    </cfRule>
  </conditionalFormatting>
  <conditionalFormatting sqref="Q909">
    <cfRule type="cellIs" dxfId="3" priority="2655" operator="equal">
      <formula>P909</formula>
    </cfRule>
  </conditionalFormatting>
  <conditionalFormatting sqref="Q909">
    <cfRule type="cellIs" dxfId="9" priority="2656" operator="notEqual">
      <formula>P909</formula>
    </cfRule>
  </conditionalFormatting>
  <conditionalFormatting sqref="N909">
    <cfRule type="expression" dxfId="0" priority="2657">
      <formula>COUNTIF(#REF!, N909) &gt; 1</formula>
    </cfRule>
  </conditionalFormatting>
  <conditionalFormatting sqref="N909">
    <cfRule type="expression" dxfId="0" priority="2658">
      <formula>COUNTIF(#REF!, N909) &gt; 1</formula>
    </cfRule>
  </conditionalFormatting>
  <conditionalFormatting sqref="N909">
    <cfRule type="expression" dxfId="0" priority="2659">
      <formula>COUNTIF(#REF!, N909) &gt; 1</formula>
    </cfRule>
  </conditionalFormatting>
  <conditionalFormatting sqref="U909">
    <cfRule type="containsText" dxfId="3" priority="2660" operator="containsText" text="В строю">
      <formula>NOT(ISERROR(SEARCH(("В строю"),(U909))))</formula>
    </cfRule>
  </conditionalFormatting>
  <conditionalFormatting sqref="U909">
    <cfRule type="containsText" dxfId="4" priority="2661" operator="containsText" text="Відпустка">
      <formula>NOT(ISERROR(SEARCH(("Відпустка"),(U909))))</formula>
    </cfRule>
  </conditionalFormatting>
  <conditionalFormatting sqref="U909">
    <cfRule type="containsText" dxfId="5" priority="2662" operator="containsText" text="СЗЧ">
      <formula>NOT(ISERROR(SEARCH(("СЗЧ"),(U909))))</formula>
    </cfRule>
  </conditionalFormatting>
  <conditionalFormatting sqref="U909">
    <cfRule type="containsText" dxfId="6" priority="2663" operator="containsText" text="Зниклі безвісти">
      <formula>NOT(ISERROR(SEARCH(("Зниклі безвісти"),(U909))))</formula>
    </cfRule>
  </conditionalFormatting>
  <conditionalFormatting sqref="U909">
    <cfRule type="containsText" dxfId="7" priority="2664" operator="containsText" text="Від-ні навчання">
      <formula>NOT(ISERROR(SEARCH(("Від-ні навчання"),(U909))))</formula>
    </cfRule>
  </conditionalFormatting>
  <conditionalFormatting sqref="U909">
    <cfRule type="containsText" dxfId="8" priority="2665" operator="containsText" text="Відком. за межі ПБ">
      <formula>NOT(ISERROR(SEARCH(("Відком. за межі ПБ"),(U909))))</formula>
    </cfRule>
  </conditionalFormatting>
  <conditionalFormatting sqref="U909">
    <cfRule type="containsText" dxfId="9" priority="2666" operator="containsText" text="Загиблі">
      <formula>NOT(ISERROR(SEARCH(("Загиблі"),(U909))))</formula>
    </cfRule>
  </conditionalFormatting>
  <conditionalFormatting sqref="U909">
    <cfRule type="containsText" dxfId="10" priority="2667" operator="containsText" text="Лікування">
      <formula>NOT(ISERROR(SEARCH(("Лікування"),(U909))))</formula>
    </cfRule>
  </conditionalFormatting>
  <conditionalFormatting sqref="Q909">
    <cfRule type="cellIs" dxfId="9" priority="2668" operator="notEqual">
      <formula>P909</formula>
    </cfRule>
  </conditionalFormatting>
  <conditionalFormatting sqref="Q909">
    <cfRule type="cellIs" dxfId="3" priority="2669" operator="equal">
      <formula>P909</formula>
    </cfRule>
  </conditionalFormatting>
  <conditionalFormatting sqref="AK909">
    <cfRule type="containsText" dxfId="18" priority="2670" operator="containsText" text="В строю">
      <formula>NOT(ISERROR(SEARCH(("В строю"),(AK909))))</formula>
    </cfRule>
  </conditionalFormatting>
  <conditionalFormatting sqref="AK909">
    <cfRule type="containsText" dxfId="8" priority="2671" operator="containsText" text="Від-ні за межі бату">
      <formula>NOT(ISERROR(SEARCH(("Від-ні за межі бату"),(AK909))))</formula>
    </cfRule>
  </conditionalFormatting>
  <conditionalFormatting sqref="AK909">
    <cfRule type="containsText" dxfId="17" priority="2672" operator="containsText" text="Відпустка">
      <formula>NOT(ISERROR(SEARCH(("Відпустка"),(AK909))))</formula>
    </cfRule>
  </conditionalFormatting>
  <conditionalFormatting sqref="AK909">
    <cfRule type="containsText" dxfId="16" priority="2673" operator="containsText" text="Мед.пункт">
      <formula>NOT(ISERROR(SEARCH(("Мед.пункт"),(AK909))))</formula>
    </cfRule>
  </conditionalFormatting>
  <conditionalFormatting sqref="AK909">
    <cfRule type="containsText" dxfId="15" priority="2674" operator="containsText" text="СТАТУС">
      <formula>NOT(ISERROR(SEARCH(("СТАТУС"),(AK909))))</formula>
    </cfRule>
  </conditionalFormatting>
  <conditionalFormatting sqref="AK909">
    <cfRule type="containsText" dxfId="14" priority="2675" operator="containsText" text="Лікування">
      <formula>NOT(ISERROR(SEARCH(("Лікування"),(AK909))))</formula>
    </cfRule>
  </conditionalFormatting>
  <conditionalFormatting sqref="AK909">
    <cfRule type="containsText" dxfId="13" priority="2676" operator="containsText" text="СЗЧ">
      <formula>NOT(ISERROR(SEARCH(("СЗЧ"),(AK909))))</formula>
    </cfRule>
  </conditionalFormatting>
  <conditionalFormatting sqref="AK909">
    <cfRule type="cellIs" dxfId="12" priority="2677" operator="equal">
      <formula>SUM(#REF!)</formula>
    </cfRule>
  </conditionalFormatting>
  <conditionalFormatting sqref="AK909">
    <cfRule type="containsText" dxfId="11" priority="2678" operator="containsText" text="Зниклі безвісти">
      <formula>NOT(ISERROR(SEARCH(("Зниклі безвісти"),(AK909))))</formula>
    </cfRule>
  </conditionalFormatting>
  <conditionalFormatting sqref="N908:O908">
    <cfRule type="expression" dxfId="0" priority="2679">
      <formula>COUNTIF(#REF!, N908) &gt; 1</formula>
    </cfRule>
  </conditionalFormatting>
  <conditionalFormatting sqref="N908:O908">
    <cfRule type="expression" dxfId="0" priority="2680">
      <formula>COUNTIF(#REF!, N908) &gt; 1</formula>
    </cfRule>
  </conditionalFormatting>
  <conditionalFormatting sqref="U908">
    <cfRule type="containsText" dxfId="3" priority="2681" operator="containsText" text="В строю">
      <formula>NOT(ISERROR(SEARCH(("В строю"),(U908))))</formula>
    </cfRule>
  </conditionalFormatting>
  <conditionalFormatting sqref="U908">
    <cfRule type="containsText" dxfId="4" priority="2682" operator="containsText" text="Відпустка">
      <formula>NOT(ISERROR(SEARCH(("Відпустка"),(U908))))</formula>
    </cfRule>
  </conditionalFormatting>
  <conditionalFormatting sqref="U908">
    <cfRule type="containsText" dxfId="5" priority="2683" operator="containsText" text="СЗЧ">
      <formula>NOT(ISERROR(SEARCH(("СЗЧ"),(U908))))</formula>
    </cfRule>
  </conditionalFormatting>
  <conditionalFormatting sqref="U908">
    <cfRule type="containsText" dxfId="6" priority="2684" operator="containsText" text="Зниклі безвісти">
      <formula>NOT(ISERROR(SEARCH(("Зниклі безвісти"),(U908))))</formula>
    </cfRule>
  </conditionalFormatting>
  <conditionalFormatting sqref="U908">
    <cfRule type="containsText" dxfId="7" priority="2685" operator="containsText" text="Від-ні навчання">
      <formula>NOT(ISERROR(SEARCH(("Від-ні навчання"),(U908))))</formula>
    </cfRule>
  </conditionalFormatting>
  <conditionalFormatting sqref="U908">
    <cfRule type="containsText" dxfId="8" priority="2686" operator="containsText" text="Відком. за межі ПБ">
      <formula>NOT(ISERROR(SEARCH(("Відком. за межі ПБ"),(U908))))</formula>
    </cfRule>
  </conditionalFormatting>
  <conditionalFormatting sqref="U908">
    <cfRule type="containsText" dxfId="9" priority="2687" operator="containsText" text="Загиблі">
      <formula>NOT(ISERROR(SEARCH(("Загиблі"),(U908))))</formula>
    </cfRule>
  </conditionalFormatting>
  <conditionalFormatting sqref="U908">
    <cfRule type="containsText" dxfId="10" priority="2688" operator="containsText" text="Лікування">
      <formula>NOT(ISERROR(SEARCH(("Лікування"),(U908))))</formula>
    </cfRule>
  </conditionalFormatting>
  <conditionalFormatting sqref="Q908">
    <cfRule type="cellIs" dxfId="9" priority="2689" operator="notEqual">
      <formula>P908</formula>
    </cfRule>
  </conditionalFormatting>
  <conditionalFormatting sqref="Q908">
    <cfRule type="cellIs" dxfId="3" priority="2690" operator="equal">
      <formula>P908</formula>
    </cfRule>
  </conditionalFormatting>
  <conditionalFormatting sqref="U908">
    <cfRule type="containsText" dxfId="10" priority="2691" operator="containsText" text="Лікування">
      <formula>NOT(ISERROR(SEARCH(("Лікування"),(U908))))</formula>
    </cfRule>
  </conditionalFormatting>
  <conditionalFormatting sqref="U908">
    <cfRule type="containsText" dxfId="9" priority="2692" operator="containsText" text="Загиблі">
      <formula>NOT(ISERROR(SEARCH(("Загиблі"),(U908))))</formula>
    </cfRule>
  </conditionalFormatting>
  <conditionalFormatting sqref="U908">
    <cfRule type="containsText" dxfId="8" priority="2693" operator="containsText" text="Відком. за межі ПБ">
      <formula>NOT(ISERROR(SEARCH(("Відком. за межі ПБ"),(U908))))</formula>
    </cfRule>
  </conditionalFormatting>
  <conditionalFormatting sqref="U908">
    <cfRule type="containsText" dxfId="7" priority="2694" operator="containsText" text="Від-ні навчання">
      <formula>NOT(ISERROR(SEARCH(("Від-ні навчання"),(U908))))</formula>
    </cfRule>
  </conditionalFormatting>
  <conditionalFormatting sqref="U908">
    <cfRule type="containsText" dxfId="6" priority="2695" operator="containsText" text="Зниклі безвісти">
      <formula>NOT(ISERROR(SEARCH(("Зниклі безвісти"),(U908))))</formula>
    </cfRule>
  </conditionalFormatting>
  <conditionalFormatting sqref="U908">
    <cfRule type="containsText" dxfId="5" priority="2696" operator="containsText" text="СЗЧ">
      <formula>NOT(ISERROR(SEARCH(("СЗЧ"),(U908))))</formula>
    </cfRule>
  </conditionalFormatting>
  <conditionalFormatting sqref="U908">
    <cfRule type="containsText" dxfId="4" priority="2697" operator="containsText" text="Відпустка">
      <formula>NOT(ISERROR(SEARCH(("Відпустка"),(U908))))</formula>
    </cfRule>
  </conditionalFormatting>
  <conditionalFormatting sqref="U908">
    <cfRule type="containsText" dxfId="3" priority="2698" operator="containsText" text="В строю">
      <formula>NOT(ISERROR(SEARCH(("В строю"),(U908))))</formula>
    </cfRule>
  </conditionalFormatting>
  <conditionalFormatting sqref="Q908">
    <cfRule type="cellIs" dxfId="3" priority="2699" operator="equal">
      <formula>P908</formula>
    </cfRule>
  </conditionalFormatting>
  <conditionalFormatting sqref="Q908">
    <cfRule type="cellIs" dxfId="9" priority="2700" operator="notEqual">
      <formula>P908</formula>
    </cfRule>
  </conditionalFormatting>
  <conditionalFormatting sqref="N908:O908">
    <cfRule type="expression" dxfId="0" priority="2701">
      <formula>COUNTIF(#REF!, N908) &gt; 1</formula>
    </cfRule>
  </conditionalFormatting>
  <conditionalFormatting sqref="AK908">
    <cfRule type="containsText" dxfId="18" priority="2702" operator="containsText" text="В строю">
      <formula>NOT(ISERROR(SEARCH(("В строю"),(AK908))))</formula>
    </cfRule>
  </conditionalFormatting>
  <conditionalFormatting sqref="AK908">
    <cfRule type="containsText" dxfId="8" priority="2703" operator="containsText" text="Від-ні за межі бату">
      <formula>NOT(ISERROR(SEARCH(("Від-ні за межі бату"),(AK908))))</formula>
    </cfRule>
  </conditionalFormatting>
  <conditionalFormatting sqref="AK908">
    <cfRule type="containsText" dxfId="17" priority="2704" operator="containsText" text="Відпустка">
      <formula>NOT(ISERROR(SEARCH(("Відпустка"),(AK908))))</formula>
    </cfRule>
  </conditionalFormatting>
  <conditionalFormatting sqref="AK908">
    <cfRule type="containsText" dxfId="16" priority="2705" operator="containsText" text="Мед.пункт">
      <formula>NOT(ISERROR(SEARCH(("Мед.пункт"),(AK908))))</formula>
    </cfRule>
  </conditionalFormatting>
  <conditionalFormatting sqref="AK908">
    <cfRule type="containsText" dxfId="15" priority="2706" operator="containsText" text="СТАТУС">
      <formula>NOT(ISERROR(SEARCH(("СТАТУС"),(AK908))))</formula>
    </cfRule>
  </conditionalFormatting>
  <conditionalFormatting sqref="AK908">
    <cfRule type="containsText" dxfId="14" priority="2707" operator="containsText" text="Лікування">
      <formula>NOT(ISERROR(SEARCH(("Лікування"),(AK908))))</formula>
    </cfRule>
  </conditionalFormatting>
  <conditionalFormatting sqref="AK908">
    <cfRule type="containsText" dxfId="13" priority="2708" operator="containsText" text="СЗЧ">
      <formula>NOT(ISERROR(SEARCH(("СЗЧ"),(AK908))))</formula>
    </cfRule>
  </conditionalFormatting>
  <conditionalFormatting sqref="AK908">
    <cfRule type="cellIs" dxfId="12" priority="2709" operator="equal">
      <formula>SUM(#REF!)</formula>
    </cfRule>
  </conditionalFormatting>
  <conditionalFormatting sqref="AK908">
    <cfRule type="containsText" dxfId="11" priority="2710" operator="containsText" text="Зниклі безвісти">
      <formula>NOT(ISERROR(SEARCH(("Зниклі безвісти"),(AK908))))</formula>
    </cfRule>
  </conditionalFormatting>
  <conditionalFormatting sqref="U889:U907 N900">
    <cfRule type="containsText" dxfId="3" priority="2711" operator="containsText" text="В строю">
      <formula>NOT(ISERROR(SEARCH(("В строю"),(U889))))</formula>
    </cfRule>
  </conditionalFormatting>
  <conditionalFormatting sqref="U889:U907 N900">
    <cfRule type="containsText" dxfId="4" priority="2712" operator="containsText" text="Відпустка">
      <formula>NOT(ISERROR(SEARCH(("Відпустка"),(U889))))</formula>
    </cfRule>
  </conditionalFormatting>
  <conditionalFormatting sqref="U889:U907 N900">
    <cfRule type="containsText" dxfId="5" priority="2713" operator="containsText" text="СЗЧ">
      <formula>NOT(ISERROR(SEARCH(("СЗЧ"),(U889))))</formula>
    </cfRule>
  </conditionalFormatting>
  <conditionalFormatting sqref="U889:U907 N900">
    <cfRule type="containsText" dxfId="6" priority="2714" operator="containsText" text="Зниклі безвісти">
      <formula>NOT(ISERROR(SEARCH(("Зниклі безвісти"),(U889))))</formula>
    </cfRule>
  </conditionalFormatting>
  <conditionalFormatting sqref="U889:U907 N900">
    <cfRule type="containsText" dxfId="7" priority="2715" operator="containsText" text="Від-ні навчання">
      <formula>NOT(ISERROR(SEARCH(("Від-ні навчання"),(U889))))</formula>
    </cfRule>
  </conditionalFormatting>
  <conditionalFormatting sqref="U889:U907 N900">
    <cfRule type="containsText" dxfId="8" priority="2716" operator="containsText" text="Відком. за межі ПБ">
      <formula>NOT(ISERROR(SEARCH(("Відком. за межі ПБ"),(U889))))</formula>
    </cfRule>
  </conditionalFormatting>
  <conditionalFormatting sqref="U889:U907 N900">
    <cfRule type="containsText" dxfId="9" priority="2717" operator="containsText" text="Загиблі">
      <formula>NOT(ISERROR(SEARCH(("Загиблі"),(U889))))</formula>
    </cfRule>
  </conditionalFormatting>
  <conditionalFormatting sqref="U889:U907 N900">
    <cfRule type="containsText" dxfId="10" priority="2718" operator="containsText" text="Лікування">
      <formula>NOT(ISERROR(SEARCH(("Лікування"),(U889))))</formula>
    </cfRule>
  </conditionalFormatting>
  <conditionalFormatting sqref="Q889:Q907">
    <cfRule type="cellIs" dxfId="3" priority="2719" operator="equal">
      <formula>P889</formula>
    </cfRule>
  </conditionalFormatting>
  <conditionalFormatting sqref="Q889:Q907">
    <cfRule type="cellIs" dxfId="9" priority="2720" operator="notEqual">
      <formula>P889</formula>
    </cfRule>
  </conditionalFormatting>
  <conditionalFormatting sqref="N889:N891 N893:N894 N897:N898 N903:N904">
    <cfRule type="expression" dxfId="0" priority="2721">
      <formula>COUNTIF(#REF!, N889) &gt; 1</formula>
    </cfRule>
  </conditionalFormatting>
  <conditionalFormatting sqref="U889">
    <cfRule type="containsText" dxfId="10" priority="2722" operator="containsText" text="Лікування">
      <formula>NOT(ISERROR(SEARCH(("Лікування"),(U889))))</formula>
    </cfRule>
  </conditionalFormatting>
  <conditionalFormatting sqref="U889">
    <cfRule type="containsText" dxfId="9" priority="2723" operator="containsText" text="Загиблі">
      <formula>NOT(ISERROR(SEARCH(("Загиблі"),(U889))))</formula>
    </cfRule>
  </conditionalFormatting>
  <conditionalFormatting sqref="U889">
    <cfRule type="containsText" dxfId="8" priority="2724" operator="containsText" text="Відком. за межі ПБ">
      <formula>NOT(ISERROR(SEARCH(("Відком. за межі ПБ"),(U889))))</formula>
    </cfRule>
  </conditionalFormatting>
  <conditionalFormatting sqref="U889">
    <cfRule type="containsText" dxfId="7" priority="2725" operator="containsText" text="Від-ні навчання">
      <formula>NOT(ISERROR(SEARCH(("Від-ні навчання"),(U889))))</formula>
    </cfRule>
  </conditionalFormatting>
  <conditionalFormatting sqref="U889">
    <cfRule type="containsText" dxfId="6" priority="2726" operator="containsText" text="Зниклі безвісти">
      <formula>NOT(ISERROR(SEARCH(("Зниклі безвісти"),(U889))))</formula>
    </cfRule>
  </conditionalFormatting>
  <conditionalFormatting sqref="U889">
    <cfRule type="containsText" dxfId="5" priority="2727" operator="containsText" text="СЗЧ">
      <formula>NOT(ISERROR(SEARCH(("СЗЧ"),(U889))))</formula>
    </cfRule>
  </conditionalFormatting>
  <conditionalFormatting sqref="U889">
    <cfRule type="containsText" dxfId="4" priority="2728" operator="containsText" text="Відпустка">
      <formula>NOT(ISERROR(SEARCH(("Відпустка"),(U889))))</formula>
    </cfRule>
  </conditionalFormatting>
  <conditionalFormatting sqref="U889">
    <cfRule type="containsText" dxfId="3" priority="2729" operator="containsText" text="В строю">
      <formula>NOT(ISERROR(SEARCH(("В строю"),(U889))))</formula>
    </cfRule>
  </conditionalFormatting>
  <conditionalFormatting sqref="N887">
    <cfRule type="expression" dxfId="0" priority="2730">
      <formula>COUNTIF(#REF!, N887) &gt; 1</formula>
    </cfRule>
  </conditionalFormatting>
  <conditionalFormatting sqref="U887:U888">
    <cfRule type="containsText" dxfId="10" priority="2731" operator="containsText" text="Лікування">
      <formula>NOT(ISERROR(SEARCH(("Лікування"),(U887))))</formula>
    </cfRule>
  </conditionalFormatting>
  <conditionalFormatting sqref="U887:U888">
    <cfRule type="containsText" dxfId="9" priority="2732" operator="containsText" text="Загиблі">
      <formula>NOT(ISERROR(SEARCH(("Загиблі"),(U887))))</formula>
    </cfRule>
  </conditionalFormatting>
  <conditionalFormatting sqref="U887:U888">
    <cfRule type="containsText" dxfId="8" priority="2733" operator="containsText" text="Відком. за межі ПБ">
      <formula>NOT(ISERROR(SEARCH(("Відком. за межі ПБ"),(U887))))</formula>
    </cfRule>
  </conditionalFormatting>
  <conditionalFormatting sqref="U887:U888">
    <cfRule type="containsText" dxfId="7" priority="2734" operator="containsText" text="Від-ні навчання">
      <formula>NOT(ISERROR(SEARCH(("Від-ні навчання"),(U887))))</formula>
    </cfRule>
  </conditionalFormatting>
  <conditionalFormatting sqref="U887:U888">
    <cfRule type="containsText" dxfId="6" priority="2735" operator="containsText" text="Зниклі безвісти">
      <formula>NOT(ISERROR(SEARCH(("Зниклі безвісти"),(U887))))</formula>
    </cfRule>
  </conditionalFormatting>
  <conditionalFormatting sqref="U887:U888">
    <cfRule type="containsText" dxfId="5" priority="2736" operator="containsText" text="СЗЧ">
      <formula>NOT(ISERROR(SEARCH(("СЗЧ"),(U887))))</formula>
    </cfRule>
  </conditionalFormatting>
  <conditionalFormatting sqref="U887:U888">
    <cfRule type="containsText" dxfId="4" priority="2737" operator="containsText" text="Відпустка">
      <formula>NOT(ISERROR(SEARCH(("Відпустка"),(U887))))</formula>
    </cfRule>
  </conditionalFormatting>
  <conditionalFormatting sqref="U887:U888">
    <cfRule type="containsText" dxfId="3" priority="2738" operator="containsText" text="В строю">
      <formula>NOT(ISERROR(SEARCH(("В строю"),(U887))))</formula>
    </cfRule>
  </conditionalFormatting>
  <conditionalFormatting sqref="U887">
    <cfRule type="containsText" dxfId="3" priority="2739" operator="containsText" text="В строю">
      <formula>NOT(ISERROR(SEARCH(("В строю"),(U887))))</formula>
    </cfRule>
  </conditionalFormatting>
  <conditionalFormatting sqref="U887">
    <cfRule type="containsText" dxfId="4" priority="2740" operator="containsText" text="Відпустка">
      <formula>NOT(ISERROR(SEARCH(("Відпустка"),(U887))))</formula>
    </cfRule>
  </conditionalFormatting>
  <conditionalFormatting sqref="U887">
    <cfRule type="containsText" dxfId="5" priority="2741" operator="containsText" text="СЗЧ">
      <formula>NOT(ISERROR(SEARCH(("СЗЧ"),(U887))))</formula>
    </cfRule>
  </conditionalFormatting>
  <conditionalFormatting sqref="U887">
    <cfRule type="containsText" dxfId="6" priority="2742" operator="containsText" text="Зниклі безвісти">
      <formula>NOT(ISERROR(SEARCH(("Зниклі безвісти"),(U887))))</formula>
    </cfRule>
  </conditionalFormatting>
  <conditionalFormatting sqref="U887">
    <cfRule type="containsText" dxfId="7" priority="2743" operator="containsText" text="Від-ні навчання">
      <formula>NOT(ISERROR(SEARCH(("Від-ні навчання"),(U887))))</formula>
    </cfRule>
  </conditionalFormatting>
  <conditionalFormatting sqref="U887">
    <cfRule type="containsText" dxfId="8" priority="2744" operator="containsText" text="Відком. за межі ПБ">
      <formula>NOT(ISERROR(SEARCH(("Відком. за межі ПБ"),(U887))))</formula>
    </cfRule>
  </conditionalFormatting>
  <conditionalFormatting sqref="U887">
    <cfRule type="containsText" dxfId="9" priority="2745" operator="containsText" text="Загиблі">
      <formula>NOT(ISERROR(SEARCH(("Загиблі"),(U887))))</formula>
    </cfRule>
  </conditionalFormatting>
  <conditionalFormatting sqref="U887">
    <cfRule type="containsText" dxfId="10" priority="2746" operator="containsText" text="Лікування">
      <formula>NOT(ISERROR(SEARCH(("Лікування"),(U887))))</formula>
    </cfRule>
  </conditionalFormatting>
  <conditionalFormatting sqref="Q887:Q888">
    <cfRule type="cellIs" dxfId="9" priority="2747" operator="notEqual">
      <formula>P887</formula>
    </cfRule>
  </conditionalFormatting>
  <conditionalFormatting sqref="Q887:Q888">
    <cfRule type="cellIs" dxfId="3" priority="2748" operator="equal">
      <formula>P887</formula>
    </cfRule>
  </conditionalFormatting>
  <conditionalFormatting sqref="U886">
    <cfRule type="containsText" dxfId="10" priority="2749" operator="containsText" text="Лікування">
      <formula>NOT(ISERROR(SEARCH(("Лікування"),(U886))))</formula>
    </cfRule>
  </conditionalFormatting>
  <conditionalFormatting sqref="U886">
    <cfRule type="containsText" dxfId="9" priority="2750" operator="containsText" text="Загиблі">
      <formula>NOT(ISERROR(SEARCH(("Загиблі"),(U886))))</formula>
    </cfRule>
  </conditionalFormatting>
  <conditionalFormatting sqref="U886">
    <cfRule type="containsText" dxfId="8" priority="2751" operator="containsText" text="Відком. за межі ПБ">
      <formula>NOT(ISERROR(SEARCH(("Відком. за межі ПБ"),(U886))))</formula>
    </cfRule>
  </conditionalFormatting>
  <conditionalFormatting sqref="U886">
    <cfRule type="containsText" dxfId="7" priority="2752" operator="containsText" text="Від-ні навчання">
      <formula>NOT(ISERROR(SEARCH(("Від-ні навчання"),(U886))))</formula>
    </cfRule>
  </conditionalFormatting>
  <conditionalFormatting sqref="U886">
    <cfRule type="containsText" dxfId="6" priority="2753" operator="containsText" text="Зниклі безвісти">
      <formula>NOT(ISERROR(SEARCH(("Зниклі безвісти"),(U886))))</formula>
    </cfRule>
  </conditionalFormatting>
  <conditionalFormatting sqref="U886">
    <cfRule type="containsText" dxfId="5" priority="2754" operator="containsText" text="СЗЧ">
      <formula>NOT(ISERROR(SEARCH(("СЗЧ"),(U886))))</formula>
    </cfRule>
  </conditionalFormatting>
  <conditionalFormatting sqref="U886">
    <cfRule type="containsText" dxfId="4" priority="2755" operator="containsText" text="Відпустка">
      <formula>NOT(ISERROR(SEARCH(("Відпустка"),(U886))))</formula>
    </cfRule>
  </conditionalFormatting>
  <conditionalFormatting sqref="U886">
    <cfRule type="containsText" dxfId="3" priority="2756" operator="containsText" text="В строю">
      <formula>NOT(ISERROR(SEARCH(("В строю"),(U886))))</formula>
    </cfRule>
  </conditionalFormatting>
  <conditionalFormatting sqref="N886">
    <cfRule type="expression" dxfId="0" priority="2757">
      <formula>COUNTIF(#REF!, N886) &gt; 1</formula>
    </cfRule>
  </conditionalFormatting>
  <conditionalFormatting sqref="Q886">
    <cfRule type="cellIs" dxfId="9" priority="2758" operator="notEqual">
      <formula>P886</formula>
    </cfRule>
  </conditionalFormatting>
  <conditionalFormatting sqref="Q886">
    <cfRule type="cellIs" dxfId="3" priority="2759" operator="equal">
      <formula>P886</formula>
    </cfRule>
  </conditionalFormatting>
  <conditionalFormatting sqref="U885">
    <cfRule type="containsText" dxfId="10" priority="2760" operator="containsText" text="Лікування">
      <formula>NOT(ISERROR(SEARCH(("Лікування"),(U885))))</formula>
    </cfRule>
  </conditionalFormatting>
  <conditionalFormatting sqref="U885">
    <cfRule type="containsText" dxfId="9" priority="2761" operator="containsText" text="Загиблі">
      <formula>NOT(ISERROR(SEARCH(("Загиблі"),(U885))))</formula>
    </cfRule>
  </conditionalFormatting>
  <conditionalFormatting sqref="U885">
    <cfRule type="containsText" dxfId="8" priority="2762" operator="containsText" text="Відком. за межі ПБ">
      <formula>NOT(ISERROR(SEARCH(("Відком. за межі ПБ"),(U885))))</formula>
    </cfRule>
  </conditionalFormatting>
  <conditionalFormatting sqref="U885">
    <cfRule type="containsText" dxfId="7" priority="2763" operator="containsText" text="Від-ні навчання">
      <formula>NOT(ISERROR(SEARCH(("Від-ні навчання"),(U885))))</formula>
    </cfRule>
  </conditionalFormatting>
  <conditionalFormatting sqref="U885">
    <cfRule type="containsText" dxfId="6" priority="2764" operator="containsText" text="Зниклі безвісти">
      <formula>NOT(ISERROR(SEARCH(("Зниклі безвісти"),(U885))))</formula>
    </cfRule>
  </conditionalFormatting>
  <conditionalFormatting sqref="U885">
    <cfRule type="containsText" dxfId="5" priority="2765" operator="containsText" text="СЗЧ">
      <formula>NOT(ISERROR(SEARCH(("СЗЧ"),(U885))))</formula>
    </cfRule>
  </conditionalFormatting>
  <conditionalFormatting sqref="U885">
    <cfRule type="containsText" dxfId="4" priority="2766" operator="containsText" text="Відпустка">
      <formula>NOT(ISERROR(SEARCH(("Відпустка"),(U885))))</formula>
    </cfRule>
  </conditionalFormatting>
  <conditionalFormatting sqref="U885">
    <cfRule type="containsText" dxfId="3" priority="2767" operator="containsText" text="В строю">
      <formula>NOT(ISERROR(SEARCH(("В строю"),(U885))))</formula>
    </cfRule>
  </conditionalFormatting>
  <conditionalFormatting sqref="U885">
    <cfRule type="containsText" dxfId="3" priority="2768" operator="containsText" text="В строю">
      <formula>NOT(ISERROR(SEARCH(("В строю"),(U885))))</formula>
    </cfRule>
  </conditionalFormatting>
  <conditionalFormatting sqref="U885">
    <cfRule type="containsText" dxfId="4" priority="2769" operator="containsText" text="Відпустка">
      <formula>NOT(ISERROR(SEARCH(("Відпустка"),(U885))))</formula>
    </cfRule>
  </conditionalFormatting>
  <conditionalFormatting sqref="U885">
    <cfRule type="containsText" dxfId="5" priority="2770" operator="containsText" text="СЗЧ">
      <formula>NOT(ISERROR(SEARCH(("СЗЧ"),(U885))))</formula>
    </cfRule>
  </conditionalFormatting>
  <conditionalFormatting sqref="U885">
    <cfRule type="containsText" dxfId="6" priority="2771" operator="containsText" text="Зниклі безвісти">
      <formula>NOT(ISERROR(SEARCH(("Зниклі безвісти"),(U885))))</formula>
    </cfRule>
  </conditionalFormatting>
  <conditionalFormatting sqref="U885">
    <cfRule type="containsText" dxfId="7" priority="2772" operator="containsText" text="Від-ні навчання">
      <formula>NOT(ISERROR(SEARCH(("Від-ні навчання"),(U885))))</formula>
    </cfRule>
  </conditionalFormatting>
  <conditionalFormatting sqref="U885">
    <cfRule type="containsText" dxfId="8" priority="2773" operator="containsText" text="Відком. за межі ПБ">
      <formula>NOT(ISERROR(SEARCH(("Відком. за межі ПБ"),(U885))))</formula>
    </cfRule>
  </conditionalFormatting>
  <conditionalFormatting sqref="U885">
    <cfRule type="containsText" dxfId="9" priority="2774" operator="containsText" text="Загиблі">
      <formula>NOT(ISERROR(SEARCH(("Загиблі"),(U885))))</formula>
    </cfRule>
  </conditionalFormatting>
  <conditionalFormatting sqref="U885">
    <cfRule type="containsText" dxfId="10" priority="2775" operator="containsText" text="Лікування">
      <formula>NOT(ISERROR(SEARCH(("Лікування"),(U885))))</formula>
    </cfRule>
  </conditionalFormatting>
  <conditionalFormatting sqref="N885">
    <cfRule type="expression" dxfId="0" priority="2776">
      <formula>COUNTIF(#REF!, N885) &gt; 1</formula>
    </cfRule>
  </conditionalFormatting>
  <conditionalFormatting sqref="Q885">
    <cfRule type="cellIs" dxfId="9" priority="2777" operator="notEqual">
      <formula>P885</formula>
    </cfRule>
  </conditionalFormatting>
  <conditionalFormatting sqref="Q885">
    <cfRule type="cellIs" dxfId="3" priority="2778" operator="equal">
      <formula>P885</formula>
    </cfRule>
  </conditionalFormatting>
  <conditionalFormatting sqref="N884">
    <cfRule type="expression" dxfId="0" priority="2779">
      <formula>COUNTIF(#REF!, N884) &gt; 1</formula>
    </cfRule>
  </conditionalFormatting>
  <conditionalFormatting sqref="Q884">
    <cfRule type="cellIs" dxfId="9" priority="2780" operator="notEqual">
      <formula>P884</formula>
    </cfRule>
  </conditionalFormatting>
  <conditionalFormatting sqref="Q884">
    <cfRule type="cellIs" dxfId="3" priority="2781" operator="equal">
      <formula>P884</formula>
    </cfRule>
  </conditionalFormatting>
  <conditionalFormatting sqref="U884">
    <cfRule type="containsText" dxfId="10" priority="2782" operator="containsText" text="Лікування">
      <formula>NOT(ISERROR(SEARCH(("Лікування"),(U884))))</formula>
    </cfRule>
  </conditionalFormatting>
  <conditionalFormatting sqref="U884">
    <cfRule type="containsText" dxfId="9" priority="2783" operator="containsText" text="Загиблі">
      <formula>NOT(ISERROR(SEARCH(("Загиблі"),(U884))))</formula>
    </cfRule>
  </conditionalFormatting>
  <conditionalFormatting sqref="U884">
    <cfRule type="containsText" dxfId="8" priority="2784" operator="containsText" text="Відком. за межі ПБ">
      <formula>NOT(ISERROR(SEARCH(("Відком. за межі ПБ"),(U884))))</formula>
    </cfRule>
  </conditionalFormatting>
  <conditionalFormatting sqref="U884">
    <cfRule type="containsText" dxfId="7" priority="2785" operator="containsText" text="Від-ні навчання">
      <formula>NOT(ISERROR(SEARCH(("Від-ні навчання"),(U884))))</formula>
    </cfRule>
  </conditionalFormatting>
  <conditionalFormatting sqref="U884">
    <cfRule type="containsText" dxfId="6" priority="2786" operator="containsText" text="Зниклі безвісти">
      <formula>NOT(ISERROR(SEARCH(("Зниклі безвісти"),(U884))))</formula>
    </cfRule>
  </conditionalFormatting>
  <conditionalFormatting sqref="U884">
    <cfRule type="containsText" dxfId="5" priority="2787" operator="containsText" text="СЗЧ">
      <formula>NOT(ISERROR(SEARCH(("СЗЧ"),(U884))))</formula>
    </cfRule>
  </conditionalFormatting>
  <conditionalFormatting sqref="U884">
    <cfRule type="containsText" dxfId="4" priority="2788" operator="containsText" text="Відпустка">
      <formula>NOT(ISERROR(SEARCH(("Відпустка"),(U884))))</formula>
    </cfRule>
  </conditionalFormatting>
  <conditionalFormatting sqref="U884">
    <cfRule type="containsText" dxfId="3" priority="2789" operator="containsText" text="В строю">
      <formula>NOT(ISERROR(SEARCH(("В строю"),(U884))))</formula>
    </cfRule>
  </conditionalFormatting>
  <conditionalFormatting sqref="U884">
    <cfRule type="containsText" dxfId="3" priority="2790" operator="containsText" text="В строю">
      <formula>NOT(ISERROR(SEARCH(("В строю"),(U884))))</formula>
    </cfRule>
  </conditionalFormatting>
  <conditionalFormatting sqref="U884">
    <cfRule type="containsText" dxfId="4" priority="2791" operator="containsText" text="Відпустка">
      <formula>NOT(ISERROR(SEARCH(("Відпустка"),(U884))))</formula>
    </cfRule>
  </conditionalFormatting>
  <conditionalFormatting sqref="U884">
    <cfRule type="containsText" dxfId="5" priority="2792" operator="containsText" text="СЗЧ">
      <formula>NOT(ISERROR(SEARCH(("СЗЧ"),(U884))))</formula>
    </cfRule>
  </conditionalFormatting>
  <conditionalFormatting sqref="U884">
    <cfRule type="containsText" dxfId="6" priority="2793" operator="containsText" text="Зниклі безвісти">
      <formula>NOT(ISERROR(SEARCH(("Зниклі безвісти"),(U884))))</formula>
    </cfRule>
  </conditionalFormatting>
  <conditionalFormatting sqref="U884">
    <cfRule type="containsText" dxfId="7" priority="2794" operator="containsText" text="Від-ні навчання">
      <formula>NOT(ISERROR(SEARCH(("Від-ні навчання"),(U884))))</formula>
    </cfRule>
  </conditionalFormatting>
  <conditionalFormatting sqref="U884">
    <cfRule type="containsText" dxfId="8" priority="2795" operator="containsText" text="Відком. за межі ПБ">
      <formula>NOT(ISERROR(SEARCH(("Відком. за межі ПБ"),(U884))))</formula>
    </cfRule>
  </conditionalFormatting>
  <conditionalFormatting sqref="U884">
    <cfRule type="containsText" dxfId="9" priority="2796" operator="containsText" text="Загиблі">
      <formula>NOT(ISERROR(SEARCH(("Загиблі"),(U884))))</formula>
    </cfRule>
  </conditionalFormatting>
  <conditionalFormatting sqref="U884">
    <cfRule type="containsText" dxfId="10" priority="2797" operator="containsText" text="Лікування">
      <formula>NOT(ISERROR(SEARCH(("Лікування"),(U884))))</formula>
    </cfRule>
  </conditionalFormatting>
  <conditionalFormatting sqref="N883">
    <cfRule type="expression" dxfId="0" priority="2798">
      <formula>COUNTIF(#REF!, N883) &gt; 1</formula>
    </cfRule>
  </conditionalFormatting>
  <conditionalFormatting sqref="U883">
    <cfRule type="containsText" dxfId="10" priority="2799" operator="containsText" text="Лікування">
      <formula>NOT(ISERROR(SEARCH(("Лікування"),(U883))))</formula>
    </cfRule>
  </conditionalFormatting>
  <conditionalFormatting sqref="U883">
    <cfRule type="containsText" dxfId="9" priority="2800" operator="containsText" text="Загиблі">
      <formula>NOT(ISERROR(SEARCH(("Загиблі"),(U883))))</formula>
    </cfRule>
  </conditionalFormatting>
  <conditionalFormatting sqref="U883">
    <cfRule type="containsText" dxfId="8" priority="2801" operator="containsText" text="Відком. за межі ПБ">
      <formula>NOT(ISERROR(SEARCH(("Відком. за межі ПБ"),(U883))))</formula>
    </cfRule>
  </conditionalFormatting>
  <conditionalFormatting sqref="U883">
    <cfRule type="containsText" dxfId="7" priority="2802" operator="containsText" text="Від-ні навчання">
      <formula>NOT(ISERROR(SEARCH(("Від-ні навчання"),(U883))))</formula>
    </cfRule>
  </conditionalFormatting>
  <conditionalFormatting sqref="U883">
    <cfRule type="containsText" dxfId="6" priority="2803" operator="containsText" text="Зниклі безвісти">
      <formula>NOT(ISERROR(SEARCH(("Зниклі безвісти"),(U883))))</formula>
    </cfRule>
  </conditionalFormatting>
  <conditionalFormatting sqref="U883">
    <cfRule type="containsText" dxfId="5" priority="2804" operator="containsText" text="СЗЧ">
      <formula>NOT(ISERROR(SEARCH(("СЗЧ"),(U883))))</formula>
    </cfRule>
  </conditionalFormatting>
  <conditionalFormatting sqref="U883">
    <cfRule type="containsText" dxfId="4" priority="2805" operator="containsText" text="Відпустка">
      <formula>NOT(ISERROR(SEARCH(("Відпустка"),(U883))))</formula>
    </cfRule>
  </conditionalFormatting>
  <conditionalFormatting sqref="U883">
    <cfRule type="containsText" dxfId="3" priority="2806" operator="containsText" text="В строю">
      <formula>NOT(ISERROR(SEARCH(("В строю"),(U883))))</formula>
    </cfRule>
  </conditionalFormatting>
  <conditionalFormatting sqref="Q883">
    <cfRule type="cellIs" dxfId="9" priority="2807" operator="notEqual">
      <formula>P883</formula>
    </cfRule>
  </conditionalFormatting>
  <conditionalFormatting sqref="Q883">
    <cfRule type="cellIs" dxfId="3" priority="2808" operator="equal">
      <formula>P883</formula>
    </cfRule>
  </conditionalFormatting>
  <conditionalFormatting sqref="U883">
    <cfRule type="containsText" dxfId="3" priority="2809" operator="containsText" text="В строю">
      <formula>NOT(ISERROR(SEARCH(("В строю"),(U883))))</formula>
    </cfRule>
  </conditionalFormatting>
  <conditionalFormatting sqref="U883">
    <cfRule type="containsText" dxfId="4" priority="2810" operator="containsText" text="Відпустка">
      <formula>NOT(ISERROR(SEARCH(("Відпустка"),(U883))))</formula>
    </cfRule>
  </conditionalFormatting>
  <conditionalFormatting sqref="U883">
    <cfRule type="containsText" dxfId="5" priority="2811" operator="containsText" text="СЗЧ">
      <formula>NOT(ISERROR(SEARCH(("СЗЧ"),(U883))))</formula>
    </cfRule>
  </conditionalFormatting>
  <conditionalFormatting sqref="U883">
    <cfRule type="containsText" dxfId="6" priority="2812" operator="containsText" text="Зниклі безвісти">
      <formula>NOT(ISERROR(SEARCH(("Зниклі безвісти"),(U883))))</formula>
    </cfRule>
  </conditionalFormatting>
  <conditionalFormatting sqref="U883">
    <cfRule type="containsText" dxfId="7" priority="2813" operator="containsText" text="Від-ні навчання">
      <formula>NOT(ISERROR(SEARCH(("Від-ні навчання"),(U883))))</formula>
    </cfRule>
  </conditionalFormatting>
  <conditionalFormatting sqref="U883">
    <cfRule type="containsText" dxfId="8" priority="2814" operator="containsText" text="Відком. за межі ПБ">
      <formula>NOT(ISERROR(SEARCH(("Відком. за межі ПБ"),(U883))))</formula>
    </cfRule>
  </conditionalFormatting>
  <conditionalFormatting sqref="U883">
    <cfRule type="containsText" dxfId="9" priority="2815" operator="containsText" text="Загиблі">
      <formula>NOT(ISERROR(SEARCH(("Загиблі"),(U883))))</formula>
    </cfRule>
  </conditionalFormatting>
  <conditionalFormatting sqref="U883">
    <cfRule type="containsText" dxfId="10" priority="2816" operator="containsText" text="Лікування">
      <formula>NOT(ISERROR(SEARCH(("Лікування"),(U883))))</formula>
    </cfRule>
  </conditionalFormatting>
  <conditionalFormatting sqref="N882">
    <cfRule type="expression" dxfId="0" priority="2817">
      <formula>COUNTIF(#REF!, N882) &gt; 1</formula>
    </cfRule>
  </conditionalFormatting>
  <conditionalFormatting sqref="Q882">
    <cfRule type="cellIs" dxfId="9" priority="2818" operator="notEqual">
      <formula>P882</formula>
    </cfRule>
  </conditionalFormatting>
  <conditionalFormatting sqref="Q882">
    <cfRule type="cellIs" dxfId="3" priority="2819" operator="equal">
      <formula>P882</formula>
    </cfRule>
  </conditionalFormatting>
  <conditionalFormatting sqref="U882">
    <cfRule type="containsText" dxfId="10" priority="2820" operator="containsText" text="Лікування">
      <formula>NOT(ISERROR(SEARCH(("Лікування"),(U882))))</formula>
    </cfRule>
  </conditionalFormatting>
  <conditionalFormatting sqref="U882">
    <cfRule type="containsText" dxfId="9" priority="2821" operator="containsText" text="Загиблі">
      <formula>NOT(ISERROR(SEARCH(("Загиблі"),(U882))))</formula>
    </cfRule>
  </conditionalFormatting>
  <conditionalFormatting sqref="U882">
    <cfRule type="containsText" dxfId="8" priority="2822" operator="containsText" text="Відком. за межі ПБ">
      <formula>NOT(ISERROR(SEARCH(("Відком. за межі ПБ"),(U882))))</formula>
    </cfRule>
  </conditionalFormatting>
  <conditionalFormatting sqref="U882">
    <cfRule type="containsText" dxfId="7" priority="2823" operator="containsText" text="Від-ні навчання">
      <formula>NOT(ISERROR(SEARCH(("Від-ні навчання"),(U882))))</formula>
    </cfRule>
  </conditionalFormatting>
  <conditionalFormatting sqref="U882">
    <cfRule type="containsText" dxfId="6" priority="2824" operator="containsText" text="Зниклі безвісти">
      <formula>NOT(ISERROR(SEARCH(("Зниклі безвісти"),(U882))))</formula>
    </cfRule>
  </conditionalFormatting>
  <conditionalFormatting sqref="U882">
    <cfRule type="containsText" dxfId="5" priority="2825" operator="containsText" text="СЗЧ">
      <formula>NOT(ISERROR(SEARCH(("СЗЧ"),(U882))))</formula>
    </cfRule>
  </conditionalFormatting>
  <conditionalFormatting sqref="U882">
    <cfRule type="containsText" dxfId="4" priority="2826" operator="containsText" text="Відпустка">
      <formula>NOT(ISERROR(SEARCH(("Відпустка"),(U882))))</formula>
    </cfRule>
  </conditionalFormatting>
  <conditionalFormatting sqref="U882">
    <cfRule type="containsText" dxfId="3" priority="2827" operator="containsText" text="В строю">
      <formula>NOT(ISERROR(SEARCH(("В строю"),(U882))))</formula>
    </cfRule>
  </conditionalFormatting>
  <conditionalFormatting sqref="U882">
    <cfRule type="containsText" dxfId="3" priority="2828" operator="containsText" text="В строю">
      <formula>NOT(ISERROR(SEARCH(("В строю"),(U882))))</formula>
    </cfRule>
  </conditionalFormatting>
  <conditionalFormatting sqref="U882">
    <cfRule type="containsText" dxfId="4" priority="2829" operator="containsText" text="Відпустка">
      <formula>NOT(ISERROR(SEARCH(("Відпустка"),(U882))))</formula>
    </cfRule>
  </conditionalFormatting>
  <conditionalFormatting sqref="U882">
    <cfRule type="containsText" dxfId="5" priority="2830" operator="containsText" text="СЗЧ">
      <formula>NOT(ISERROR(SEARCH(("СЗЧ"),(U882))))</formula>
    </cfRule>
  </conditionalFormatting>
  <conditionalFormatting sqref="U882">
    <cfRule type="containsText" dxfId="6" priority="2831" operator="containsText" text="Зниклі безвісти">
      <formula>NOT(ISERROR(SEARCH(("Зниклі безвісти"),(U882))))</formula>
    </cfRule>
  </conditionalFormatting>
  <conditionalFormatting sqref="U882">
    <cfRule type="containsText" dxfId="7" priority="2832" operator="containsText" text="Від-ні навчання">
      <formula>NOT(ISERROR(SEARCH(("Від-ні навчання"),(U882))))</formula>
    </cfRule>
  </conditionalFormatting>
  <conditionalFormatting sqref="U882">
    <cfRule type="containsText" dxfId="8" priority="2833" operator="containsText" text="Відком. за межі ПБ">
      <formula>NOT(ISERROR(SEARCH(("Відком. за межі ПБ"),(U882))))</formula>
    </cfRule>
  </conditionalFormatting>
  <conditionalFormatting sqref="U882">
    <cfRule type="containsText" dxfId="9" priority="2834" operator="containsText" text="Загиблі">
      <formula>NOT(ISERROR(SEARCH(("Загиблі"),(U882))))</formula>
    </cfRule>
  </conditionalFormatting>
  <conditionalFormatting sqref="U882">
    <cfRule type="containsText" dxfId="10" priority="2835" operator="containsText" text="Лікування">
      <formula>NOT(ISERROR(SEARCH(("Лікування"),(U882))))</formula>
    </cfRule>
  </conditionalFormatting>
  <conditionalFormatting sqref="Q881">
    <cfRule type="cellIs" dxfId="3" priority="2836" operator="equal">
      <formula>P881</formula>
    </cfRule>
  </conditionalFormatting>
  <conditionalFormatting sqref="Q881">
    <cfRule type="cellIs" dxfId="9" priority="2837" operator="notEqual">
      <formula>P881</formula>
    </cfRule>
  </conditionalFormatting>
  <conditionalFormatting sqref="U881">
    <cfRule type="containsText" dxfId="10" priority="2838" operator="containsText" text="Лікування">
      <formula>NOT(ISERROR(SEARCH(("Лікування"),(U881))))</formula>
    </cfRule>
  </conditionalFormatting>
  <conditionalFormatting sqref="U881">
    <cfRule type="containsText" dxfId="9" priority="2839" operator="containsText" text="Загиблі">
      <formula>NOT(ISERROR(SEARCH(("Загиблі"),(U881))))</formula>
    </cfRule>
  </conditionalFormatting>
  <conditionalFormatting sqref="U881">
    <cfRule type="containsText" dxfId="8" priority="2840" operator="containsText" text="Відком. за межі ПБ">
      <formula>NOT(ISERROR(SEARCH(("Відком. за межі ПБ"),(U881))))</formula>
    </cfRule>
  </conditionalFormatting>
  <conditionalFormatting sqref="U881">
    <cfRule type="containsText" dxfId="7" priority="2841" operator="containsText" text="Від-ні навчання">
      <formula>NOT(ISERROR(SEARCH(("Від-ні навчання"),(U881))))</formula>
    </cfRule>
  </conditionalFormatting>
  <conditionalFormatting sqref="U881">
    <cfRule type="containsText" dxfId="6" priority="2842" operator="containsText" text="Зниклі безвісти">
      <formula>NOT(ISERROR(SEARCH(("Зниклі безвісти"),(U881))))</formula>
    </cfRule>
  </conditionalFormatting>
  <conditionalFormatting sqref="U881">
    <cfRule type="containsText" dxfId="5" priority="2843" operator="containsText" text="СЗЧ">
      <formula>NOT(ISERROR(SEARCH(("СЗЧ"),(U881))))</formula>
    </cfRule>
  </conditionalFormatting>
  <conditionalFormatting sqref="U881">
    <cfRule type="containsText" dxfId="4" priority="2844" operator="containsText" text="Відпустка">
      <formula>NOT(ISERROR(SEARCH(("Відпустка"),(U881))))</formula>
    </cfRule>
  </conditionalFormatting>
  <conditionalFormatting sqref="U881">
    <cfRule type="containsText" dxfId="3" priority="2845" operator="containsText" text="В строю">
      <formula>NOT(ISERROR(SEARCH(("В строю"),(U881))))</formula>
    </cfRule>
  </conditionalFormatting>
  <conditionalFormatting sqref="N881">
    <cfRule type="expression" dxfId="0" priority="2846">
      <formula>COUNTIF(#REF!, N881) &gt; 1</formula>
    </cfRule>
  </conditionalFormatting>
  <conditionalFormatting sqref="U880">
    <cfRule type="containsText" dxfId="3" priority="2847" operator="containsText" text="В строю">
      <formula>NOT(ISERROR(SEARCH(("В строю"),(U880))))</formula>
    </cfRule>
  </conditionalFormatting>
  <conditionalFormatting sqref="U880">
    <cfRule type="containsText" dxfId="4" priority="2848" operator="containsText" text="Відпустка">
      <formula>NOT(ISERROR(SEARCH(("Відпустка"),(U880))))</formula>
    </cfRule>
  </conditionalFormatting>
  <conditionalFormatting sqref="U880">
    <cfRule type="containsText" dxfId="5" priority="2849" operator="containsText" text="СЗЧ">
      <formula>NOT(ISERROR(SEARCH(("СЗЧ"),(U880))))</formula>
    </cfRule>
  </conditionalFormatting>
  <conditionalFormatting sqref="U880">
    <cfRule type="containsText" dxfId="6" priority="2850" operator="containsText" text="Зниклі безвісти">
      <formula>NOT(ISERROR(SEARCH(("Зниклі безвісти"),(U880))))</formula>
    </cfRule>
  </conditionalFormatting>
  <conditionalFormatting sqref="U880">
    <cfRule type="containsText" dxfId="7" priority="2851" operator="containsText" text="Від-ні навчання">
      <formula>NOT(ISERROR(SEARCH(("Від-ні навчання"),(U880))))</formula>
    </cfRule>
  </conditionalFormatting>
  <conditionalFormatting sqref="U880">
    <cfRule type="containsText" dxfId="8" priority="2852" operator="containsText" text="Відком. за межі ПБ">
      <formula>NOT(ISERROR(SEARCH(("Відком. за межі ПБ"),(U880))))</formula>
    </cfRule>
  </conditionalFormatting>
  <conditionalFormatting sqref="U880">
    <cfRule type="containsText" dxfId="9" priority="2853" operator="containsText" text="Загиблі">
      <formula>NOT(ISERROR(SEARCH(("Загиблі"),(U880))))</formula>
    </cfRule>
  </conditionalFormatting>
  <conditionalFormatting sqref="U880">
    <cfRule type="containsText" dxfId="10" priority="2854" operator="containsText" text="Лікування">
      <formula>NOT(ISERROR(SEARCH(("Лікування"),(U880))))</formula>
    </cfRule>
  </conditionalFormatting>
  <conditionalFormatting sqref="U880">
    <cfRule type="containsText" dxfId="10" priority="2855" operator="containsText" text="Лікування">
      <formula>NOT(ISERROR(SEARCH(("Лікування"),(U880))))</formula>
    </cfRule>
  </conditionalFormatting>
  <conditionalFormatting sqref="U880">
    <cfRule type="containsText" dxfId="9" priority="2856" operator="containsText" text="Загиблі">
      <formula>NOT(ISERROR(SEARCH(("Загиблі"),(U880))))</formula>
    </cfRule>
  </conditionalFormatting>
  <conditionalFormatting sqref="U880">
    <cfRule type="containsText" dxfId="8" priority="2857" operator="containsText" text="Відком. за межі ПБ">
      <formula>NOT(ISERROR(SEARCH(("Відком. за межі ПБ"),(U880))))</formula>
    </cfRule>
  </conditionalFormatting>
  <conditionalFormatting sqref="U880">
    <cfRule type="containsText" dxfId="7" priority="2858" operator="containsText" text="Від-ні навчання">
      <formula>NOT(ISERROR(SEARCH(("Від-ні навчання"),(U880))))</formula>
    </cfRule>
  </conditionalFormatting>
  <conditionalFormatting sqref="U880">
    <cfRule type="containsText" dxfId="6" priority="2859" operator="containsText" text="Зниклі безвісти">
      <formula>NOT(ISERROR(SEARCH(("Зниклі безвісти"),(U880))))</formula>
    </cfRule>
  </conditionalFormatting>
  <conditionalFormatting sqref="U880">
    <cfRule type="containsText" dxfId="5" priority="2860" operator="containsText" text="СЗЧ">
      <formula>NOT(ISERROR(SEARCH(("СЗЧ"),(U880))))</formula>
    </cfRule>
  </conditionalFormatting>
  <conditionalFormatting sqref="U880">
    <cfRule type="containsText" dxfId="4" priority="2861" operator="containsText" text="Відпустка">
      <formula>NOT(ISERROR(SEARCH(("Відпустка"),(U880))))</formula>
    </cfRule>
  </conditionalFormatting>
  <conditionalFormatting sqref="U880">
    <cfRule type="containsText" dxfId="3" priority="2862" operator="containsText" text="В строю">
      <formula>NOT(ISERROR(SEARCH(("В строю"),(U880))))</formula>
    </cfRule>
  </conditionalFormatting>
  <conditionalFormatting sqref="Q880">
    <cfRule type="cellIs" dxfId="3" priority="2863" operator="equal">
      <formula>P880</formula>
    </cfRule>
  </conditionalFormatting>
  <conditionalFormatting sqref="Q880">
    <cfRule type="cellIs" dxfId="9" priority="2864" operator="notEqual">
      <formula>P880</formula>
    </cfRule>
  </conditionalFormatting>
  <conditionalFormatting sqref="N880">
    <cfRule type="expression" dxfId="0" priority="2865">
      <formula>COUNTIF(#REF!, N880) &gt; 1</formula>
    </cfRule>
  </conditionalFormatting>
  <conditionalFormatting sqref="U879">
    <cfRule type="containsText" dxfId="3" priority="2866" operator="containsText" text="В строю">
      <formula>NOT(ISERROR(SEARCH(("В строю"),(U879))))</formula>
    </cfRule>
  </conditionalFormatting>
  <conditionalFormatting sqref="U879">
    <cfRule type="containsText" dxfId="4" priority="2867" operator="containsText" text="Відпустка">
      <formula>NOT(ISERROR(SEARCH(("Відпустка"),(U879))))</formula>
    </cfRule>
  </conditionalFormatting>
  <conditionalFormatting sqref="U879">
    <cfRule type="containsText" dxfId="5" priority="2868" operator="containsText" text="СЗЧ">
      <formula>NOT(ISERROR(SEARCH(("СЗЧ"),(U879))))</formula>
    </cfRule>
  </conditionalFormatting>
  <conditionalFormatting sqref="U879">
    <cfRule type="containsText" dxfId="6" priority="2869" operator="containsText" text="Зниклі безвісти">
      <formula>NOT(ISERROR(SEARCH(("Зниклі безвісти"),(U879))))</formula>
    </cfRule>
  </conditionalFormatting>
  <conditionalFormatting sqref="U879">
    <cfRule type="containsText" dxfId="7" priority="2870" operator="containsText" text="Від-ні навчання">
      <formula>NOT(ISERROR(SEARCH(("Від-ні навчання"),(U879))))</formula>
    </cfRule>
  </conditionalFormatting>
  <conditionalFormatting sqref="U879">
    <cfRule type="containsText" dxfId="8" priority="2871" operator="containsText" text="Відком. за межі ПБ">
      <formula>NOT(ISERROR(SEARCH(("Відком. за межі ПБ"),(U879))))</formula>
    </cfRule>
  </conditionalFormatting>
  <conditionalFormatting sqref="U879">
    <cfRule type="containsText" dxfId="9" priority="2872" operator="containsText" text="Загиблі">
      <formula>NOT(ISERROR(SEARCH(("Загиблі"),(U879))))</formula>
    </cfRule>
  </conditionalFormatting>
  <conditionalFormatting sqref="U879">
    <cfRule type="containsText" dxfId="10" priority="2873" operator="containsText" text="Лікування">
      <formula>NOT(ISERROR(SEARCH(("Лікування"),(U879))))</formula>
    </cfRule>
  </conditionalFormatting>
  <conditionalFormatting sqref="U879">
    <cfRule type="containsText" dxfId="10" priority="2874" operator="containsText" text="Лікування">
      <formula>NOT(ISERROR(SEARCH(("Лікування"),(U879))))</formula>
    </cfRule>
  </conditionalFormatting>
  <conditionalFormatting sqref="U879">
    <cfRule type="containsText" dxfId="9" priority="2875" operator="containsText" text="Загиблі">
      <formula>NOT(ISERROR(SEARCH(("Загиблі"),(U879))))</formula>
    </cfRule>
  </conditionalFormatting>
  <conditionalFormatting sqref="U879">
    <cfRule type="containsText" dxfId="8" priority="2876" operator="containsText" text="Відком. за межі ПБ">
      <formula>NOT(ISERROR(SEARCH(("Відком. за межі ПБ"),(U879))))</formula>
    </cfRule>
  </conditionalFormatting>
  <conditionalFormatting sqref="U879">
    <cfRule type="containsText" dxfId="7" priority="2877" operator="containsText" text="Від-ні навчання">
      <formula>NOT(ISERROR(SEARCH(("Від-ні навчання"),(U879))))</formula>
    </cfRule>
  </conditionalFormatting>
  <conditionalFormatting sqref="U879">
    <cfRule type="containsText" dxfId="6" priority="2878" operator="containsText" text="Зниклі безвісти">
      <formula>NOT(ISERROR(SEARCH(("Зниклі безвісти"),(U879))))</formula>
    </cfRule>
  </conditionalFormatting>
  <conditionalFormatting sqref="U879">
    <cfRule type="containsText" dxfId="5" priority="2879" operator="containsText" text="СЗЧ">
      <formula>NOT(ISERROR(SEARCH(("СЗЧ"),(U879))))</formula>
    </cfRule>
  </conditionalFormatting>
  <conditionalFormatting sqref="U879">
    <cfRule type="containsText" dxfId="4" priority="2880" operator="containsText" text="Відпустка">
      <formula>NOT(ISERROR(SEARCH(("Відпустка"),(U879))))</formula>
    </cfRule>
  </conditionalFormatting>
  <conditionalFormatting sqref="U879">
    <cfRule type="containsText" dxfId="3" priority="2881" operator="containsText" text="В строю">
      <formula>NOT(ISERROR(SEARCH(("В строю"),(U879))))</formula>
    </cfRule>
  </conditionalFormatting>
  <conditionalFormatting sqref="Q879">
    <cfRule type="cellIs" dxfId="3" priority="2882" operator="equal">
      <formula>P879</formula>
    </cfRule>
  </conditionalFormatting>
  <conditionalFormatting sqref="Q879">
    <cfRule type="cellIs" dxfId="9" priority="2883" operator="notEqual">
      <formula>P879</formula>
    </cfRule>
  </conditionalFormatting>
  <conditionalFormatting sqref="N879">
    <cfRule type="expression" dxfId="0" priority="2884">
      <formula>COUNTIF(#REF!, N879) &gt; 1</formula>
    </cfRule>
  </conditionalFormatting>
  <conditionalFormatting sqref="U878">
    <cfRule type="containsText" dxfId="3" priority="2885" operator="containsText" text="В строю">
      <formula>NOT(ISERROR(SEARCH(("В строю"),(U878))))</formula>
    </cfRule>
  </conditionalFormatting>
  <conditionalFormatting sqref="U878">
    <cfRule type="containsText" dxfId="4" priority="2886" operator="containsText" text="Відпустка">
      <formula>NOT(ISERROR(SEARCH(("Відпустка"),(U878))))</formula>
    </cfRule>
  </conditionalFormatting>
  <conditionalFormatting sqref="U878">
    <cfRule type="containsText" dxfId="5" priority="2887" operator="containsText" text="СЗЧ">
      <formula>NOT(ISERROR(SEARCH(("СЗЧ"),(U878))))</formula>
    </cfRule>
  </conditionalFormatting>
  <conditionalFormatting sqref="U878">
    <cfRule type="containsText" dxfId="6" priority="2888" operator="containsText" text="Зниклі безвісти">
      <formula>NOT(ISERROR(SEARCH(("Зниклі безвісти"),(U878))))</formula>
    </cfRule>
  </conditionalFormatting>
  <conditionalFormatting sqref="U878">
    <cfRule type="containsText" dxfId="7" priority="2889" operator="containsText" text="Від-ні навчання">
      <formula>NOT(ISERROR(SEARCH(("Від-ні навчання"),(U878))))</formula>
    </cfRule>
  </conditionalFormatting>
  <conditionalFormatting sqref="U878">
    <cfRule type="containsText" dxfId="8" priority="2890" operator="containsText" text="Відком. за межі ПБ">
      <formula>NOT(ISERROR(SEARCH(("Відком. за межі ПБ"),(U878))))</formula>
    </cfRule>
  </conditionalFormatting>
  <conditionalFormatting sqref="U878">
    <cfRule type="containsText" dxfId="9" priority="2891" operator="containsText" text="Загиблі">
      <formula>NOT(ISERROR(SEARCH(("Загиблі"),(U878))))</formula>
    </cfRule>
  </conditionalFormatting>
  <conditionalFormatting sqref="U878">
    <cfRule type="containsText" dxfId="10" priority="2892" operator="containsText" text="Лікування">
      <formula>NOT(ISERROR(SEARCH(("Лікування"),(U878))))</formula>
    </cfRule>
  </conditionalFormatting>
  <conditionalFormatting sqref="U878">
    <cfRule type="containsText" dxfId="10" priority="2893" operator="containsText" text="Лікування">
      <formula>NOT(ISERROR(SEARCH(("Лікування"),(U878))))</formula>
    </cfRule>
  </conditionalFormatting>
  <conditionalFormatting sqref="U878">
    <cfRule type="containsText" dxfId="9" priority="2894" operator="containsText" text="Загиблі">
      <formula>NOT(ISERROR(SEARCH(("Загиблі"),(U878))))</formula>
    </cfRule>
  </conditionalFormatting>
  <conditionalFormatting sqref="U878">
    <cfRule type="containsText" dxfId="8" priority="2895" operator="containsText" text="Відком. за межі ПБ">
      <formula>NOT(ISERROR(SEARCH(("Відком. за межі ПБ"),(U878))))</formula>
    </cfRule>
  </conditionalFormatting>
  <conditionalFormatting sqref="U878">
    <cfRule type="containsText" dxfId="7" priority="2896" operator="containsText" text="Від-ні навчання">
      <formula>NOT(ISERROR(SEARCH(("Від-ні навчання"),(U878))))</formula>
    </cfRule>
  </conditionalFormatting>
  <conditionalFormatting sqref="U878">
    <cfRule type="containsText" dxfId="6" priority="2897" operator="containsText" text="Зниклі безвісти">
      <formula>NOT(ISERROR(SEARCH(("Зниклі безвісти"),(U878))))</formula>
    </cfRule>
  </conditionalFormatting>
  <conditionalFormatting sqref="U878">
    <cfRule type="containsText" dxfId="5" priority="2898" operator="containsText" text="СЗЧ">
      <formula>NOT(ISERROR(SEARCH(("СЗЧ"),(U878))))</formula>
    </cfRule>
  </conditionalFormatting>
  <conditionalFormatting sqref="U878">
    <cfRule type="containsText" dxfId="4" priority="2899" operator="containsText" text="Відпустка">
      <formula>NOT(ISERROR(SEARCH(("Відпустка"),(U878))))</formula>
    </cfRule>
  </conditionalFormatting>
  <conditionalFormatting sqref="U878">
    <cfRule type="containsText" dxfId="3" priority="2900" operator="containsText" text="В строю">
      <formula>NOT(ISERROR(SEARCH(("В строю"),(U878))))</formula>
    </cfRule>
  </conditionalFormatting>
  <conditionalFormatting sqref="N878">
    <cfRule type="expression" dxfId="0" priority="2901">
      <formula>COUNTIF(#REF!, N878) &gt; 1</formula>
    </cfRule>
  </conditionalFormatting>
  <conditionalFormatting sqref="Q878">
    <cfRule type="cellIs" dxfId="3" priority="2902" operator="equal">
      <formula>P878</formula>
    </cfRule>
  </conditionalFormatting>
  <conditionalFormatting sqref="Q878">
    <cfRule type="cellIs" dxfId="9" priority="2903" operator="notEqual">
      <formula>P878</formula>
    </cfRule>
  </conditionalFormatting>
  <conditionalFormatting sqref="N877">
    <cfRule type="expression" dxfId="0" priority="2904">
      <formula>COUNTIF(#REF!, N877) &gt; 1</formula>
    </cfRule>
  </conditionalFormatting>
  <conditionalFormatting sqref="Q877">
    <cfRule type="cellIs" dxfId="3" priority="2905" operator="equal">
      <formula>P877</formula>
    </cfRule>
  </conditionalFormatting>
  <conditionalFormatting sqref="Q877">
    <cfRule type="cellIs" dxfId="9" priority="2906" operator="notEqual">
      <formula>P877</formula>
    </cfRule>
  </conditionalFormatting>
  <conditionalFormatting sqref="U877">
    <cfRule type="containsText" dxfId="3" priority="2907" operator="containsText" text="В строю">
      <formula>NOT(ISERROR(SEARCH(("В строю"),(U877))))</formula>
    </cfRule>
  </conditionalFormatting>
  <conditionalFormatting sqref="U877">
    <cfRule type="containsText" dxfId="4" priority="2908" operator="containsText" text="Відпустка">
      <formula>NOT(ISERROR(SEARCH(("Відпустка"),(U877))))</formula>
    </cfRule>
  </conditionalFormatting>
  <conditionalFormatting sqref="U877">
    <cfRule type="containsText" dxfId="5" priority="2909" operator="containsText" text="СЗЧ">
      <formula>NOT(ISERROR(SEARCH(("СЗЧ"),(U877))))</formula>
    </cfRule>
  </conditionalFormatting>
  <conditionalFormatting sqref="U877">
    <cfRule type="containsText" dxfId="6" priority="2910" operator="containsText" text="Зниклі безвісти">
      <formula>NOT(ISERROR(SEARCH(("Зниклі безвісти"),(U877))))</formula>
    </cfRule>
  </conditionalFormatting>
  <conditionalFormatting sqref="U877">
    <cfRule type="containsText" dxfId="7" priority="2911" operator="containsText" text="Від-ні навчання">
      <formula>NOT(ISERROR(SEARCH(("Від-ні навчання"),(U877))))</formula>
    </cfRule>
  </conditionalFormatting>
  <conditionalFormatting sqref="U877">
    <cfRule type="containsText" dxfId="8" priority="2912" operator="containsText" text="Відком. за межі ПБ">
      <formula>NOT(ISERROR(SEARCH(("Відком. за межі ПБ"),(U877))))</formula>
    </cfRule>
  </conditionalFormatting>
  <conditionalFormatting sqref="U877">
    <cfRule type="containsText" dxfId="9" priority="2913" operator="containsText" text="Загиблі">
      <formula>NOT(ISERROR(SEARCH(("Загиблі"),(U877))))</formula>
    </cfRule>
  </conditionalFormatting>
  <conditionalFormatting sqref="U877">
    <cfRule type="containsText" dxfId="10" priority="2914" operator="containsText" text="Лікування">
      <formula>NOT(ISERROR(SEARCH(("Лікування"),(U877))))</formula>
    </cfRule>
  </conditionalFormatting>
  <conditionalFormatting sqref="U877">
    <cfRule type="containsText" dxfId="10" priority="2915" operator="containsText" text="Лікування">
      <formula>NOT(ISERROR(SEARCH(("Лікування"),(U877))))</formula>
    </cfRule>
  </conditionalFormatting>
  <conditionalFormatting sqref="U877">
    <cfRule type="containsText" dxfId="9" priority="2916" operator="containsText" text="Загиблі">
      <formula>NOT(ISERROR(SEARCH(("Загиблі"),(U877))))</formula>
    </cfRule>
  </conditionalFormatting>
  <conditionalFormatting sqref="U877">
    <cfRule type="containsText" dxfId="8" priority="2917" operator="containsText" text="Відком. за межі ПБ">
      <formula>NOT(ISERROR(SEARCH(("Відком. за межі ПБ"),(U877))))</formula>
    </cfRule>
  </conditionalFormatting>
  <conditionalFormatting sqref="U877">
    <cfRule type="containsText" dxfId="7" priority="2918" operator="containsText" text="Від-ні навчання">
      <formula>NOT(ISERROR(SEARCH(("Від-ні навчання"),(U877))))</formula>
    </cfRule>
  </conditionalFormatting>
  <conditionalFormatting sqref="U877">
    <cfRule type="containsText" dxfId="6" priority="2919" operator="containsText" text="Зниклі безвісти">
      <formula>NOT(ISERROR(SEARCH(("Зниклі безвісти"),(U877))))</formula>
    </cfRule>
  </conditionalFormatting>
  <conditionalFormatting sqref="U877">
    <cfRule type="containsText" dxfId="5" priority="2920" operator="containsText" text="СЗЧ">
      <formula>NOT(ISERROR(SEARCH(("СЗЧ"),(U877))))</formula>
    </cfRule>
  </conditionalFormatting>
  <conditionalFormatting sqref="U877">
    <cfRule type="containsText" dxfId="4" priority="2921" operator="containsText" text="Відпустка">
      <formula>NOT(ISERROR(SEARCH(("Відпустка"),(U877))))</formula>
    </cfRule>
  </conditionalFormatting>
  <conditionalFormatting sqref="U877">
    <cfRule type="containsText" dxfId="3" priority="2922" operator="containsText" text="В строю">
      <formula>NOT(ISERROR(SEARCH(("В строю"),(U877))))</formula>
    </cfRule>
  </conditionalFormatting>
  <conditionalFormatting sqref="U876">
    <cfRule type="containsText" dxfId="3" priority="2923" operator="containsText" text="В строю">
      <formula>NOT(ISERROR(SEARCH(("В строю"),(U876))))</formula>
    </cfRule>
  </conditionalFormatting>
  <conditionalFormatting sqref="U876">
    <cfRule type="containsText" dxfId="4" priority="2924" operator="containsText" text="Відпустка">
      <formula>NOT(ISERROR(SEARCH(("Відпустка"),(U876))))</formula>
    </cfRule>
  </conditionalFormatting>
  <conditionalFormatting sqref="U876">
    <cfRule type="containsText" dxfId="5" priority="2925" operator="containsText" text="СЗЧ">
      <formula>NOT(ISERROR(SEARCH(("СЗЧ"),(U876))))</formula>
    </cfRule>
  </conditionalFormatting>
  <conditionalFormatting sqref="U876">
    <cfRule type="containsText" dxfId="6" priority="2926" operator="containsText" text="Зниклі безвісти">
      <formula>NOT(ISERROR(SEARCH(("Зниклі безвісти"),(U876))))</formula>
    </cfRule>
  </conditionalFormatting>
  <conditionalFormatting sqref="U876">
    <cfRule type="containsText" dxfId="7" priority="2927" operator="containsText" text="Від-ні навчання">
      <formula>NOT(ISERROR(SEARCH(("Від-ні навчання"),(U876))))</formula>
    </cfRule>
  </conditionalFormatting>
  <conditionalFormatting sqref="U876">
    <cfRule type="containsText" dxfId="8" priority="2928" operator="containsText" text="Відком. за межі ПБ">
      <formula>NOT(ISERROR(SEARCH(("Відком. за межі ПБ"),(U876))))</formula>
    </cfRule>
  </conditionalFormatting>
  <conditionalFormatting sqref="U876">
    <cfRule type="containsText" dxfId="9" priority="2929" operator="containsText" text="Загиблі">
      <formula>NOT(ISERROR(SEARCH(("Загиблі"),(U876))))</formula>
    </cfRule>
  </conditionalFormatting>
  <conditionalFormatting sqref="U876">
    <cfRule type="containsText" dxfId="10" priority="2930" operator="containsText" text="Лікування">
      <formula>NOT(ISERROR(SEARCH(("Лікування"),(U876))))</formula>
    </cfRule>
  </conditionalFormatting>
  <conditionalFormatting sqref="U876">
    <cfRule type="containsText" dxfId="10" priority="2931" operator="containsText" text="Лікування">
      <formula>NOT(ISERROR(SEARCH(("Лікування"),(U876))))</formula>
    </cfRule>
  </conditionalFormatting>
  <conditionalFormatting sqref="U876">
    <cfRule type="containsText" dxfId="9" priority="2932" operator="containsText" text="Загиблі">
      <formula>NOT(ISERROR(SEARCH(("Загиблі"),(U876))))</formula>
    </cfRule>
  </conditionalFormatting>
  <conditionalFormatting sqref="U876">
    <cfRule type="containsText" dxfId="8" priority="2933" operator="containsText" text="Відком. за межі ПБ">
      <formula>NOT(ISERROR(SEARCH(("Відком. за межі ПБ"),(U876))))</formula>
    </cfRule>
  </conditionalFormatting>
  <conditionalFormatting sqref="U876">
    <cfRule type="containsText" dxfId="7" priority="2934" operator="containsText" text="Від-ні навчання">
      <formula>NOT(ISERROR(SEARCH(("Від-ні навчання"),(U876))))</formula>
    </cfRule>
  </conditionalFormatting>
  <conditionalFormatting sqref="U876">
    <cfRule type="containsText" dxfId="6" priority="2935" operator="containsText" text="Зниклі безвісти">
      <formula>NOT(ISERROR(SEARCH(("Зниклі безвісти"),(U876))))</formula>
    </cfRule>
  </conditionalFormatting>
  <conditionalFormatting sqref="U876">
    <cfRule type="containsText" dxfId="5" priority="2936" operator="containsText" text="СЗЧ">
      <formula>NOT(ISERROR(SEARCH(("СЗЧ"),(U876))))</formula>
    </cfRule>
  </conditionalFormatting>
  <conditionalFormatting sqref="U876">
    <cfRule type="containsText" dxfId="4" priority="2937" operator="containsText" text="Відпустка">
      <formula>NOT(ISERROR(SEARCH(("Відпустка"),(U876))))</formula>
    </cfRule>
  </conditionalFormatting>
  <conditionalFormatting sqref="U876">
    <cfRule type="containsText" dxfId="3" priority="2938" operator="containsText" text="В строю">
      <formula>NOT(ISERROR(SEARCH(("В строю"),(U876))))</formula>
    </cfRule>
  </conditionalFormatting>
  <conditionalFormatting sqref="Q876">
    <cfRule type="cellIs" dxfId="3" priority="2939" operator="equal">
      <formula>P876</formula>
    </cfRule>
  </conditionalFormatting>
  <conditionalFormatting sqref="Q876">
    <cfRule type="cellIs" dxfId="9" priority="2940" operator="notEqual">
      <formula>P876</formula>
    </cfRule>
  </conditionalFormatting>
  <conditionalFormatting sqref="N876">
    <cfRule type="expression" dxfId="0" priority="2941">
      <formula>COUNTIF(#REF!, N876) &gt; 1</formula>
    </cfRule>
  </conditionalFormatting>
  <conditionalFormatting sqref="Q875">
    <cfRule type="cellIs" dxfId="3" priority="2942" operator="equal">
      <formula>P875</formula>
    </cfRule>
  </conditionalFormatting>
  <conditionalFormatting sqref="Q875">
    <cfRule type="cellIs" dxfId="9" priority="2943" operator="notEqual">
      <formula>P875</formula>
    </cfRule>
  </conditionalFormatting>
  <conditionalFormatting sqref="N875">
    <cfRule type="expression" dxfId="0" priority="2944">
      <formula>COUNTIF(#REF!, N875) &gt; 1</formula>
    </cfRule>
  </conditionalFormatting>
  <conditionalFormatting sqref="U875">
    <cfRule type="containsText" dxfId="3" priority="2945" operator="containsText" text="В строю">
      <formula>NOT(ISERROR(SEARCH(("В строю"),(U875))))</formula>
    </cfRule>
  </conditionalFormatting>
  <conditionalFormatting sqref="U875">
    <cfRule type="containsText" dxfId="4" priority="2946" operator="containsText" text="Відпустка">
      <formula>NOT(ISERROR(SEARCH(("Відпустка"),(U875))))</formula>
    </cfRule>
  </conditionalFormatting>
  <conditionalFormatting sqref="U875">
    <cfRule type="containsText" dxfId="5" priority="2947" operator="containsText" text="СЗЧ">
      <formula>NOT(ISERROR(SEARCH(("СЗЧ"),(U875))))</formula>
    </cfRule>
  </conditionalFormatting>
  <conditionalFormatting sqref="U875">
    <cfRule type="containsText" dxfId="6" priority="2948" operator="containsText" text="Зниклі безвісти">
      <formula>NOT(ISERROR(SEARCH(("Зниклі безвісти"),(U875))))</formula>
    </cfRule>
  </conditionalFormatting>
  <conditionalFormatting sqref="U875">
    <cfRule type="containsText" dxfId="7" priority="2949" operator="containsText" text="Від-ні навчання">
      <formula>NOT(ISERROR(SEARCH(("Від-ні навчання"),(U875))))</formula>
    </cfRule>
  </conditionalFormatting>
  <conditionalFormatting sqref="U875">
    <cfRule type="containsText" dxfId="8" priority="2950" operator="containsText" text="Відком. за межі ПБ">
      <formula>NOT(ISERROR(SEARCH(("Відком. за межі ПБ"),(U875))))</formula>
    </cfRule>
  </conditionalFormatting>
  <conditionalFormatting sqref="U875">
    <cfRule type="containsText" dxfId="9" priority="2951" operator="containsText" text="Загиблі">
      <formula>NOT(ISERROR(SEARCH(("Загиблі"),(U875))))</formula>
    </cfRule>
  </conditionalFormatting>
  <conditionalFormatting sqref="U875">
    <cfRule type="containsText" dxfId="10" priority="2952" operator="containsText" text="Лікування">
      <formula>NOT(ISERROR(SEARCH(("Лікування"),(U875))))</formula>
    </cfRule>
  </conditionalFormatting>
  <conditionalFormatting sqref="U875">
    <cfRule type="containsText" dxfId="10" priority="2953" operator="containsText" text="Лікування">
      <formula>NOT(ISERROR(SEARCH(("Лікування"),(U875))))</formula>
    </cfRule>
  </conditionalFormatting>
  <conditionalFormatting sqref="U875">
    <cfRule type="containsText" dxfId="9" priority="2954" operator="containsText" text="Загиблі">
      <formula>NOT(ISERROR(SEARCH(("Загиблі"),(U875))))</formula>
    </cfRule>
  </conditionalFormatting>
  <conditionalFormatting sqref="U875">
    <cfRule type="containsText" dxfId="8" priority="2955" operator="containsText" text="Відком. за межі ПБ">
      <formula>NOT(ISERROR(SEARCH(("Відком. за межі ПБ"),(U875))))</formula>
    </cfRule>
  </conditionalFormatting>
  <conditionalFormatting sqref="U875">
    <cfRule type="containsText" dxfId="7" priority="2956" operator="containsText" text="Від-ні навчання">
      <formula>NOT(ISERROR(SEARCH(("Від-ні навчання"),(U875))))</formula>
    </cfRule>
  </conditionalFormatting>
  <conditionalFormatting sqref="U875">
    <cfRule type="containsText" dxfId="6" priority="2957" operator="containsText" text="Зниклі безвісти">
      <formula>NOT(ISERROR(SEARCH(("Зниклі безвісти"),(U875))))</formula>
    </cfRule>
  </conditionalFormatting>
  <conditionalFormatting sqref="U875">
    <cfRule type="containsText" dxfId="5" priority="2958" operator="containsText" text="СЗЧ">
      <formula>NOT(ISERROR(SEARCH(("СЗЧ"),(U875))))</formula>
    </cfRule>
  </conditionalFormatting>
  <conditionalFormatting sqref="U875">
    <cfRule type="containsText" dxfId="4" priority="2959" operator="containsText" text="Відпустка">
      <formula>NOT(ISERROR(SEARCH(("Відпустка"),(U875))))</formula>
    </cfRule>
  </conditionalFormatting>
  <conditionalFormatting sqref="U875">
    <cfRule type="containsText" dxfId="3" priority="2960" operator="containsText" text="В строю">
      <formula>NOT(ISERROR(SEARCH(("В строю"),(U875))))</formula>
    </cfRule>
  </conditionalFormatting>
  <conditionalFormatting sqref="U873:U874">
    <cfRule type="containsText" dxfId="3" priority="2961" operator="containsText" text="В строю">
      <formula>NOT(ISERROR(SEARCH(("В строю"),(U873))))</formula>
    </cfRule>
  </conditionalFormatting>
  <conditionalFormatting sqref="U873:U874">
    <cfRule type="containsText" dxfId="4" priority="2962" operator="containsText" text="Відпустка">
      <formula>NOT(ISERROR(SEARCH(("Відпустка"),(U873))))</formula>
    </cfRule>
  </conditionalFormatting>
  <conditionalFormatting sqref="U873:U874">
    <cfRule type="containsText" dxfId="5" priority="2963" operator="containsText" text="СЗЧ">
      <formula>NOT(ISERROR(SEARCH(("СЗЧ"),(U873))))</formula>
    </cfRule>
  </conditionalFormatting>
  <conditionalFormatting sqref="U873:U874">
    <cfRule type="containsText" dxfId="6" priority="2964" operator="containsText" text="Зниклі безвісти">
      <formula>NOT(ISERROR(SEARCH(("Зниклі безвісти"),(U873))))</formula>
    </cfRule>
  </conditionalFormatting>
  <conditionalFormatting sqref="U873:U874">
    <cfRule type="containsText" dxfId="7" priority="2965" operator="containsText" text="Від-ні навчання">
      <formula>NOT(ISERROR(SEARCH(("Від-ні навчання"),(U873))))</formula>
    </cfRule>
  </conditionalFormatting>
  <conditionalFormatting sqref="U873:U874">
    <cfRule type="containsText" dxfId="8" priority="2966" operator="containsText" text="Відком. за межі ПБ">
      <formula>NOT(ISERROR(SEARCH(("Відком. за межі ПБ"),(U873))))</formula>
    </cfRule>
  </conditionalFormatting>
  <conditionalFormatting sqref="U873:U874">
    <cfRule type="containsText" dxfId="9" priority="2967" operator="containsText" text="Загиблі">
      <formula>NOT(ISERROR(SEARCH(("Загиблі"),(U873))))</formula>
    </cfRule>
  </conditionalFormatting>
  <conditionalFormatting sqref="U873:U874">
    <cfRule type="containsText" dxfId="10" priority="2968" operator="containsText" text="Лікування">
      <formula>NOT(ISERROR(SEARCH(("Лікування"),(U873))))</formula>
    </cfRule>
  </conditionalFormatting>
  <conditionalFormatting sqref="U873:U874">
    <cfRule type="containsText" dxfId="10" priority="2969" operator="containsText" text="Лікування">
      <formula>NOT(ISERROR(SEARCH(("Лікування"),(U873))))</formula>
    </cfRule>
  </conditionalFormatting>
  <conditionalFormatting sqref="U873:U874">
    <cfRule type="containsText" dxfId="9" priority="2970" operator="containsText" text="Загиблі">
      <formula>NOT(ISERROR(SEARCH(("Загиблі"),(U873))))</formula>
    </cfRule>
  </conditionalFormatting>
  <conditionalFormatting sqref="U873:U874">
    <cfRule type="containsText" dxfId="8" priority="2971" operator="containsText" text="Відком. за межі ПБ">
      <formula>NOT(ISERROR(SEARCH(("Відком. за межі ПБ"),(U873))))</formula>
    </cfRule>
  </conditionalFormatting>
  <conditionalFormatting sqref="U873:U874">
    <cfRule type="containsText" dxfId="7" priority="2972" operator="containsText" text="Від-ні навчання">
      <formula>NOT(ISERROR(SEARCH(("Від-ні навчання"),(U873))))</formula>
    </cfRule>
  </conditionalFormatting>
  <conditionalFormatting sqref="U873:U874">
    <cfRule type="containsText" dxfId="6" priority="2973" operator="containsText" text="Зниклі безвісти">
      <formula>NOT(ISERROR(SEARCH(("Зниклі безвісти"),(U873))))</formula>
    </cfRule>
  </conditionalFormatting>
  <conditionalFormatting sqref="U873:U874">
    <cfRule type="containsText" dxfId="5" priority="2974" operator="containsText" text="СЗЧ">
      <formula>NOT(ISERROR(SEARCH(("СЗЧ"),(U873))))</formula>
    </cfRule>
  </conditionalFormatting>
  <conditionalFormatting sqref="U873:U874">
    <cfRule type="containsText" dxfId="4" priority="2975" operator="containsText" text="Відпустка">
      <formula>NOT(ISERROR(SEARCH(("Відпустка"),(U873))))</formula>
    </cfRule>
  </conditionalFormatting>
  <conditionalFormatting sqref="U873:U874">
    <cfRule type="containsText" dxfId="3" priority="2976" operator="containsText" text="В строю">
      <formula>NOT(ISERROR(SEARCH(("В строю"),(U873))))</formula>
    </cfRule>
  </conditionalFormatting>
  <conditionalFormatting sqref="N873:N874">
    <cfRule type="expression" dxfId="0" priority="2977">
      <formula>COUNTIF(#REF!, N873) &gt; 1</formula>
    </cfRule>
  </conditionalFormatting>
  <conditionalFormatting sqref="Q873:Q874">
    <cfRule type="cellIs" dxfId="3" priority="2978" operator="equal">
      <formula>P873</formula>
    </cfRule>
  </conditionalFormatting>
  <conditionalFormatting sqref="Q873:Q874">
    <cfRule type="cellIs" dxfId="9" priority="2979" operator="notEqual">
      <formula>P873</formula>
    </cfRule>
  </conditionalFormatting>
  <conditionalFormatting sqref="Q872">
    <cfRule type="cellIs" dxfId="3" priority="2980" operator="equal">
      <formula>P872</formula>
    </cfRule>
  </conditionalFormatting>
  <conditionalFormatting sqref="Q872">
    <cfRule type="cellIs" dxfId="9" priority="2981" operator="notEqual">
      <formula>P872</formula>
    </cfRule>
  </conditionalFormatting>
  <conditionalFormatting sqref="N872">
    <cfRule type="expression" dxfId="0" priority="2982">
      <formula>COUNTIF(#REF!, N872) &gt; 1</formula>
    </cfRule>
  </conditionalFormatting>
  <conditionalFormatting sqref="U872">
    <cfRule type="containsText" dxfId="3" priority="2983" operator="containsText" text="В строю">
      <formula>NOT(ISERROR(SEARCH(("В строю"),(U872))))</formula>
    </cfRule>
  </conditionalFormatting>
  <conditionalFormatting sqref="U872">
    <cfRule type="containsText" dxfId="4" priority="2984" operator="containsText" text="Відпустка">
      <formula>NOT(ISERROR(SEARCH(("Відпустка"),(U872))))</formula>
    </cfRule>
  </conditionalFormatting>
  <conditionalFormatting sqref="U872">
    <cfRule type="containsText" dxfId="5" priority="2985" operator="containsText" text="СЗЧ">
      <formula>NOT(ISERROR(SEARCH(("СЗЧ"),(U872))))</formula>
    </cfRule>
  </conditionalFormatting>
  <conditionalFormatting sqref="U872">
    <cfRule type="containsText" dxfId="6" priority="2986" operator="containsText" text="Зниклі безвісти">
      <formula>NOT(ISERROR(SEARCH(("Зниклі безвісти"),(U872))))</formula>
    </cfRule>
  </conditionalFormatting>
  <conditionalFormatting sqref="U872">
    <cfRule type="containsText" dxfId="7" priority="2987" operator="containsText" text="Від-ні навчання">
      <formula>NOT(ISERROR(SEARCH(("Від-ні навчання"),(U872))))</formula>
    </cfRule>
  </conditionalFormatting>
  <conditionalFormatting sqref="U872">
    <cfRule type="containsText" dxfId="8" priority="2988" operator="containsText" text="Відком. за межі ПБ">
      <formula>NOT(ISERROR(SEARCH(("Відком. за межі ПБ"),(U872))))</formula>
    </cfRule>
  </conditionalFormatting>
  <conditionalFormatting sqref="U872">
    <cfRule type="containsText" dxfId="9" priority="2989" operator="containsText" text="Загиблі">
      <formula>NOT(ISERROR(SEARCH(("Загиблі"),(U872))))</formula>
    </cfRule>
  </conditionalFormatting>
  <conditionalFormatting sqref="U872">
    <cfRule type="containsText" dxfId="10" priority="2990" operator="containsText" text="Лікування">
      <formula>NOT(ISERROR(SEARCH(("Лікування"),(U872))))</formula>
    </cfRule>
  </conditionalFormatting>
  <conditionalFormatting sqref="U872">
    <cfRule type="containsText" dxfId="10" priority="2991" operator="containsText" text="Лікування">
      <formula>NOT(ISERROR(SEARCH(("Лікування"),(U872))))</formula>
    </cfRule>
  </conditionalFormatting>
  <conditionalFormatting sqref="U872">
    <cfRule type="containsText" dxfId="9" priority="2992" operator="containsText" text="Загиблі">
      <formula>NOT(ISERROR(SEARCH(("Загиблі"),(U872))))</formula>
    </cfRule>
  </conditionalFormatting>
  <conditionalFormatting sqref="U872">
    <cfRule type="containsText" dxfId="8" priority="2993" operator="containsText" text="Відком. за межі ПБ">
      <formula>NOT(ISERROR(SEARCH(("Відком. за межі ПБ"),(U872))))</formula>
    </cfRule>
  </conditionalFormatting>
  <conditionalFormatting sqref="U872">
    <cfRule type="containsText" dxfId="7" priority="2994" operator="containsText" text="Від-ні навчання">
      <formula>NOT(ISERROR(SEARCH(("Від-ні навчання"),(U872))))</formula>
    </cfRule>
  </conditionalFormatting>
  <conditionalFormatting sqref="U872">
    <cfRule type="containsText" dxfId="6" priority="2995" operator="containsText" text="Зниклі безвісти">
      <formula>NOT(ISERROR(SEARCH(("Зниклі безвісти"),(U872))))</formula>
    </cfRule>
  </conditionalFormatting>
  <conditionalFormatting sqref="U872">
    <cfRule type="containsText" dxfId="5" priority="2996" operator="containsText" text="СЗЧ">
      <formula>NOT(ISERROR(SEARCH(("СЗЧ"),(U872))))</formula>
    </cfRule>
  </conditionalFormatting>
  <conditionalFormatting sqref="U872">
    <cfRule type="containsText" dxfId="4" priority="2997" operator="containsText" text="Відпустка">
      <formula>NOT(ISERROR(SEARCH(("Відпустка"),(U872))))</formula>
    </cfRule>
  </conditionalFormatting>
  <conditionalFormatting sqref="U872">
    <cfRule type="containsText" dxfId="3" priority="2998" operator="containsText" text="В строю">
      <formula>NOT(ISERROR(SEARCH(("В строю"),(U872))))</formula>
    </cfRule>
  </conditionalFormatting>
  <conditionalFormatting sqref="N871">
    <cfRule type="expression" dxfId="0" priority="2999">
      <formula>COUNTIF(#REF!, N871) &gt; 1</formula>
    </cfRule>
  </conditionalFormatting>
  <conditionalFormatting sqref="Q871">
    <cfRule type="cellIs" dxfId="3" priority="3000" operator="equal">
      <formula>P871</formula>
    </cfRule>
  </conditionalFormatting>
  <conditionalFormatting sqref="Q871">
    <cfRule type="cellIs" dxfId="9" priority="3001" operator="notEqual">
      <formula>P871</formula>
    </cfRule>
  </conditionalFormatting>
  <conditionalFormatting sqref="U871">
    <cfRule type="containsText" dxfId="3" priority="3002" operator="containsText" text="В строю">
      <formula>NOT(ISERROR(SEARCH(("В строю"),(U871))))</formula>
    </cfRule>
  </conditionalFormatting>
  <conditionalFormatting sqref="U871">
    <cfRule type="containsText" dxfId="4" priority="3003" operator="containsText" text="Відпустка">
      <formula>NOT(ISERROR(SEARCH(("Відпустка"),(U871))))</formula>
    </cfRule>
  </conditionalFormatting>
  <conditionalFormatting sqref="U871">
    <cfRule type="containsText" dxfId="5" priority="3004" operator="containsText" text="СЗЧ">
      <formula>NOT(ISERROR(SEARCH(("СЗЧ"),(U871))))</formula>
    </cfRule>
  </conditionalFormatting>
  <conditionalFormatting sqref="U871">
    <cfRule type="containsText" dxfId="6" priority="3005" operator="containsText" text="Зниклі безвісти">
      <formula>NOT(ISERROR(SEARCH(("Зниклі безвісти"),(U871))))</formula>
    </cfRule>
  </conditionalFormatting>
  <conditionalFormatting sqref="U871">
    <cfRule type="containsText" dxfId="7" priority="3006" operator="containsText" text="Від-ні навчання">
      <formula>NOT(ISERROR(SEARCH(("Від-ні навчання"),(U871))))</formula>
    </cfRule>
  </conditionalFormatting>
  <conditionalFormatting sqref="U871">
    <cfRule type="containsText" dxfId="8" priority="3007" operator="containsText" text="Відком. за межі ПБ">
      <formula>NOT(ISERROR(SEARCH(("Відком. за межі ПБ"),(U871))))</formula>
    </cfRule>
  </conditionalFormatting>
  <conditionalFormatting sqref="U871">
    <cfRule type="containsText" dxfId="9" priority="3008" operator="containsText" text="Загиблі">
      <formula>NOT(ISERROR(SEARCH(("Загиблі"),(U871))))</formula>
    </cfRule>
  </conditionalFormatting>
  <conditionalFormatting sqref="U871">
    <cfRule type="containsText" dxfId="10" priority="3009" operator="containsText" text="Лікування">
      <formula>NOT(ISERROR(SEARCH(("Лікування"),(U871))))</formula>
    </cfRule>
  </conditionalFormatting>
  <conditionalFormatting sqref="U871">
    <cfRule type="containsText" dxfId="10" priority="3010" operator="containsText" text="Лікування">
      <formula>NOT(ISERROR(SEARCH(("Лікування"),(U871))))</formula>
    </cfRule>
  </conditionalFormatting>
  <conditionalFormatting sqref="U871">
    <cfRule type="containsText" dxfId="9" priority="3011" operator="containsText" text="Загиблі">
      <formula>NOT(ISERROR(SEARCH(("Загиблі"),(U871))))</formula>
    </cfRule>
  </conditionalFormatting>
  <conditionalFormatting sqref="U871">
    <cfRule type="containsText" dxfId="8" priority="3012" operator="containsText" text="Відком. за межі ПБ">
      <formula>NOT(ISERROR(SEARCH(("Відком. за межі ПБ"),(U871))))</formula>
    </cfRule>
  </conditionalFormatting>
  <conditionalFormatting sqref="U871">
    <cfRule type="containsText" dxfId="7" priority="3013" operator="containsText" text="Від-ні навчання">
      <formula>NOT(ISERROR(SEARCH(("Від-ні навчання"),(U871))))</formula>
    </cfRule>
  </conditionalFormatting>
  <conditionalFormatting sqref="U871">
    <cfRule type="containsText" dxfId="6" priority="3014" operator="containsText" text="Зниклі безвісти">
      <formula>NOT(ISERROR(SEARCH(("Зниклі безвісти"),(U871))))</formula>
    </cfRule>
  </conditionalFormatting>
  <conditionalFormatting sqref="U871">
    <cfRule type="containsText" dxfId="5" priority="3015" operator="containsText" text="СЗЧ">
      <formula>NOT(ISERROR(SEARCH(("СЗЧ"),(U871))))</formula>
    </cfRule>
  </conditionalFormatting>
  <conditionalFormatting sqref="U871">
    <cfRule type="containsText" dxfId="4" priority="3016" operator="containsText" text="Відпустка">
      <formula>NOT(ISERROR(SEARCH(("Відпустка"),(U871))))</formula>
    </cfRule>
  </conditionalFormatting>
  <conditionalFormatting sqref="U871">
    <cfRule type="containsText" dxfId="3" priority="3017" operator="containsText" text="В строю">
      <formula>NOT(ISERROR(SEARCH(("В строю"),(U871))))</formula>
    </cfRule>
  </conditionalFormatting>
  <conditionalFormatting sqref="N870">
    <cfRule type="expression" dxfId="0" priority="3018">
      <formula>COUNTIF(#REF!, N870) &gt; 1</formula>
    </cfRule>
  </conditionalFormatting>
  <conditionalFormatting sqref="U870">
    <cfRule type="containsText" dxfId="3" priority="3019" operator="containsText" text="В строю">
      <formula>NOT(ISERROR(SEARCH(("В строю"),(U870))))</formula>
    </cfRule>
  </conditionalFormatting>
  <conditionalFormatting sqref="U870">
    <cfRule type="containsText" dxfId="4" priority="3020" operator="containsText" text="Відпустка">
      <formula>NOT(ISERROR(SEARCH(("Відпустка"),(U870))))</formula>
    </cfRule>
  </conditionalFormatting>
  <conditionalFormatting sqref="U870">
    <cfRule type="containsText" dxfId="5" priority="3021" operator="containsText" text="СЗЧ">
      <formula>NOT(ISERROR(SEARCH(("СЗЧ"),(U870))))</formula>
    </cfRule>
  </conditionalFormatting>
  <conditionalFormatting sqref="U870">
    <cfRule type="containsText" dxfId="6" priority="3022" operator="containsText" text="Зниклі безвісти">
      <formula>NOT(ISERROR(SEARCH(("Зниклі безвісти"),(U870))))</formula>
    </cfRule>
  </conditionalFormatting>
  <conditionalFormatting sqref="U870">
    <cfRule type="containsText" dxfId="7" priority="3023" operator="containsText" text="Від-ні навчання">
      <formula>NOT(ISERROR(SEARCH(("Від-ні навчання"),(U870))))</formula>
    </cfRule>
  </conditionalFormatting>
  <conditionalFormatting sqref="U870">
    <cfRule type="containsText" dxfId="8" priority="3024" operator="containsText" text="Відком. за межі ПБ">
      <formula>NOT(ISERROR(SEARCH(("Відком. за межі ПБ"),(U870))))</formula>
    </cfRule>
  </conditionalFormatting>
  <conditionalFormatting sqref="U870">
    <cfRule type="containsText" dxfId="9" priority="3025" operator="containsText" text="Загиблі">
      <formula>NOT(ISERROR(SEARCH(("Загиблі"),(U870))))</formula>
    </cfRule>
  </conditionalFormatting>
  <conditionalFormatting sqref="U870">
    <cfRule type="containsText" dxfId="10" priority="3026" operator="containsText" text="Лікування">
      <formula>NOT(ISERROR(SEARCH(("Лікування"),(U870))))</formula>
    </cfRule>
  </conditionalFormatting>
  <conditionalFormatting sqref="Q870">
    <cfRule type="cellIs" dxfId="3" priority="3027" operator="equal">
      <formula>P870</formula>
    </cfRule>
  </conditionalFormatting>
  <conditionalFormatting sqref="Q870">
    <cfRule type="cellIs" dxfId="9" priority="3028" operator="notEqual">
      <formula>P870</formula>
    </cfRule>
  </conditionalFormatting>
  <conditionalFormatting sqref="U870">
    <cfRule type="containsText" dxfId="10" priority="3029" operator="containsText" text="Лікування">
      <formula>NOT(ISERROR(SEARCH(("Лікування"),(U870))))</formula>
    </cfRule>
  </conditionalFormatting>
  <conditionalFormatting sqref="U870">
    <cfRule type="containsText" dxfId="9" priority="3030" operator="containsText" text="Загиблі">
      <formula>NOT(ISERROR(SEARCH(("Загиблі"),(U870))))</formula>
    </cfRule>
  </conditionalFormatting>
  <conditionalFormatting sqref="U870">
    <cfRule type="containsText" dxfId="8" priority="3031" operator="containsText" text="Відком. за межі ПБ">
      <formula>NOT(ISERROR(SEARCH(("Відком. за межі ПБ"),(U870))))</formula>
    </cfRule>
  </conditionalFormatting>
  <conditionalFormatting sqref="U870">
    <cfRule type="containsText" dxfId="7" priority="3032" operator="containsText" text="Від-ні навчання">
      <formula>NOT(ISERROR(SEARCH(("Від-ні навчання"),(U870))))</formula>
    </cfRule>
  </conditionalFormatting>
  <conditionalFormatting sqref="U870">
    <cfRule type="containsText" dxfId="6" priority="3033" operator="containsText" text="Зниклі безвісти">
      <formula>NOT(ISERROR(SEARCH(("Зниклі безвісти"),(U870))))</formula>
    </cfRule>
  </conditionalFormatting>
  <conditionalFormatting sqref="U870">
    <cfRule type="containsText" dxfId="5" priority="3034" operator="containsText" text="СЗЧ">
      <formula>NOT(ISERROR(SEARCH(("СЗЧ"),(U870))))</formula>
    </cfRule>
  </conditionalFormatting>
  <conditionalFormatting sqref="U870">
    <cfRule type="containsText" dxfId="4" priority="3035" operator="containsText" text="Відпустка">
      <formula>NOT(ISERROR(SEARCH(("Відпустка"),(U870))))</formula>
    </cfRule>
  </conditionalFormatting>
  <conditionalFormatting sqref="U870">
    <cfRule type="containsText" dxfId="3" priority="3036" operator="containsText" text="В строю">
      <formula>NOT(ISERROR(SEARCH(("В строю"),(U870))))</formula>
    </cfRule>
  </conditionalFormatting>
  <conditionalFormatting sqref="N869">
    <cfRule type="expression" dxfId="0" priority="3037">
      <formula>COUNTIF(#REF!, N869) &gt; 1</formula>
    </cfRule>
  </conditionalFormatting>
  <conditionalFormatting sqref="U869">
    <cfRule type="containsText" dxfId="10" priority="3038" operator="containsText" text="Лікування">
      <formula>NOT(ISERROR(SEARCH(("Лікування"),(U869))))</formula>
    </cfRule>
  </conditionalFormatting>
  <conditionalFormatting sqref="U869">
    <cfRule type="containsText" dxfId="9" priority="3039" operator="containsText" text="Загиблі">
      <formula>NOT(ISERROR(SEARCH(("Загиблі"),(U869))))</formula>
    </cfRule>
  </conditionalFormatting>
  <conditionalFormatting sqref="U869">
    <cfRule type="containsText" dxfId="8" priority="3040" operator="containsText" text="Відком. за межі ПБ">
      <formula>NOT(ISERROR(SEARCH(("Відком. за межі ПБ"),(U869))))</formula>
    </cfRule>
  </conditionalFormatting>
  <conditionalFormatting sqref="U869">
    <cfRule type="containsText" dxfId="7" priority="3041" operator="containsText" text="Від-ні навчання">
      <formula>NOT(ISERROR(SEARCH(("Від-ні навчання"),(U869))))</formula>
    </cfRule>
  </conditionalFormatting>
  <conditionalFormatting sqref="U869">
    <cfRule type="containsText" dxfId="6" priority="3042" operator="containsText" text="Зниклі безвісти">
      <formula>NOT(ISERROR(SEARCH(("Зниклі безвісти"),(U869))))</formula>
    </cfRule>
  </conditionalFormatting>
  <conditionalFormatting sqref="U869">
    <cfRule type="containsText" dxfId="5" priority="3043" operator="containsText" text="СЗЧ">
      <formula>NOT(ISERROR(SEARCH(("СЗЧ"),(U869))))</formula>
    </cfRule>
  </conditionalFormatting>
  <conditionalFormatting sqref="U869">
    <cfRule type="containsText" dxfId="4" priority="3044" operator="containsText" text="Відпустка">
      <formula>NOT(ISERROR(SEARCH(("Відпустка"),(U869))))</formula>
    </cfRule>
  </conditionalFormatting>
  <conditionalFormatting sqref="U869">
    <cfRule type="containsText" dxfId="3" priority="3045" operator="containsText" text="В строю">
      <formula>NOT(ISERROR(SEARCH(("В строю"),(U869))))</formula>
    </cfRule>
  </conditionalFormatting>
  <conditionalFormatting sqref="U869">
    <cfRule type="containsText" dxfId="3" priority="3046" operator="containsText" text="В строю">
      <formula>NOT(ISERROR(SEARCH(("В строю"),(U869))))</formula>
    </cfRule>
  </conditionalFormatting>
  <conditionalFormatting sqref="U869">
    <cfRule type="containsText" dxfId="4" priority="3047" operator="containsText" text="Відпустка">
      <formula>NOT(ISERROR(SEARCH(("Відпустка"),(U869))))</formula>
    </cfRule>
  </conditionalFormatting>
  <conditionalFormatting sqref="U869">
    <cfRule type="containsText" dxfId="5" priority="3048" operator="containsText" text="СЗЧ">
      <formula>NOT(ISERROR(SEARCH(("СЗЧ"),(U869))))</formula>
    </cfRule>
  </conditionalFormatting>
  <conditionalFormatting sqref="U869">
    <cfRule type="containsText" dxfId="6" priority="3049" operator="containsText" text="Зниклі безвісти">
      <formula>NOT(ISERROR(SEARCH(("Зниклі безвісти"),(U869))))</formula>
    </cfRule>
  </conditionalFormatting>
  <conditionalFormatting sqref="U869">
    <cfRule type="containsText" dxfId="7" priority="3050" operator="containsText" text="Від-ні навчання">
      <formula>NOT(ISERROR(SEARCH(("Від-ні навчання"),(U869))))</formula>
    </cfRule>
  </conditionalFormatting>
  <conditionalFormatting sqref="U869">
    <cfRule type="containsText" dxfId="8" priority="3051" operator="containsText" text="Відком. за межі ПБ">
      <formula>NOT(ISERROR(SEARCH(("Відком. за межі ПБ"),(U869))))</formula>
    </cfRule>
  </conditionalFormatting>
  <conditionalFormatting sqref="U869">
    <cfRule type="containsText" dxfId="9" priority="3052" operator="containsText" text="Загиблі">
      <formula>NOT(ISERROR(SEARCH(("Загиблі"),(U869))))</formula>
    </cfRule>
  </conditionalFormatting>
  <conditionalFormatting sqref="U869">
    <cfRule type="containsText" dxfId="10" priority="3053" operator="containsText" text="Лікування">
      <formula>NOT(ISERROR(SEARCH(("Лікування"),(U869))))</formula>
    </cfRule>
  </conditionalFormatting>
  <conditionalFormatting sqref="Q869">
    <cfRule type="cellIs" dxfId="3" priority="3054" operator="equal">
      <formula>P869</formula>
    </cfRule>
  </conditionalFormatting>
  <conditionalFormatting sqref="Q869">
    <cfRule type="cellIs" dxfId="9" priority="3055" operator="notEqual">
      <formula>P869</formula>
    </cfRule>
  </conditionalFormatting>
  <conditionalFormatting sqref="U868">
    <cfRule type="containsText" dxfId="10" priority="3056" operator="containsText" text="Лікування">
      <formula>NOT(ISERROR(SEARCH(("Лікування"),(U868))))</formula>
    </cfRule>
  </conditionalFormatting>
  <conditionalFormatting sqref="U868">
    <cfRule type="containsText" dxfId="9" priority="3057" operator="containsText" text="Загиблі">
      <formula>NOT(ISERROR(SEARCH(("Загиблі"),(U868))))</formula>
    </cfRule>
  </conditionalFormatting>
  <conditionalFormatting sqref="U868">
    <cfRule type="containsText" dxfId="8" priority="3058" operator="containsText" text="Відком. за межі ПБ">
      <formula>NOT(ISERROR(SEARCH(("Відком. за межі ПБ"),(U868))))</formula>
    </cfRule>
  </conditionalFormatting>
  <conditionalFormatting sqref="U868">
    <cfRule type="containsText" dxfId="7" priority="3059" operator="containsText" text="Від-ні навчання">
      <formula>NOT(ISERROR(SEARCH(("Від-ні навчання"),(U868))))</formula>
    </cfRule>
  </conditionalFormatting>
  <conditionalFormatting sqref="U868">
    <cfRule type="containsText" dxfId="6" priority="3060" operator="containsText" text="Зниклі безвісти">
      <formula>NOT(ISERROR(SEARCH(("Зниклі безвісти"),(U868))))</formula>
    </cfRule>
  </conditionalFormatting>
  <conditionalFormatting sqref="U868">
    <cfRule type="containsText" dxfId="5" priority="3061" operator="containsText" text="СЗЧ">
      <formula>NOT(ISERROR(SEARCH(("СЗЧ"),(U868))))</formula>
    </cfRule>
  </conditionalFormatting>
  <conditionalFormatting sqref="U868">
    <cfRule type="containsText" dxfId="4" priority="3062" operator="containsText" text="Відпустка">
      <formula>NOT(ISERROR(SEARCH(("Відпустка"),(U868))))</formula>
    </cfRule>
  </conditionalFormatting>
  <conditionalFormatting sqref="U868">
    <cfRule type="containsText" dxfId="3" priority="3063" operator="containsText" text="В строю">
      <formula>NOT(ISERROR(SEARCH(("В строю"),(U868))))</formula>
    </cfRule>
  </conditionalFormatting>
  <conditionalFormatting sqref="N868">
    <cfRule type="expression" dxfId="0" priority="3064">
      <formula>COUNTIF(#REF!, N868) &gt; 1</formula>
    </cfRule>
  </conditionalFormatting>
  <conditionalFormatting sqref="Q868">
    <cfRule type="cellIs" dxfId="9" priority="3065" operator="notEqual">
      <formula>P868</formula>
    </cfRule>
  </conditionalFormatting>
  <conditionalFormatting sqref="Q868">
    <cfRule type="cellIs" dxfId="3" priority="3066" operator="equal">
      <formula>P868</formula>
    </cfRule>
  </conditionalFormatting>
  <conditionalFormatting sqref="U868">
    <cfRule type="containsText" dxfId="3" priority="3067" operator="containsText" text="В строю">
      <formula>NOT(ISERROR(SEARCH(("В строю"),(U868))))</formula>
    </cfRule>
  </conditionalFormatting>
  <conditionalFormatting sqref="U868">
    <cfRule type="containsText" dxfId="4" priority="3068" operator="containsText" text="Відпустка">
      <formula>NOT(ISERROR(SEARCH(("Відпустка"),(U868))))</formula>
    </cfRule>
  </conditionalFormatting>
  <conditionalFormatting sqref="U868">
    <cfRule type="containsText" dxfId="5" priority="3069" operator="containsText" text="СЗЧ">
      <formula>NOT(ISERROR(SEARCH(("СЗЧ"),(U868))))</formula>
    </cfRule>
  </conditionalFormatting>
  <conditionalFormatting sqref="U868">
    <cfRule type="containsText" dxfId="6" priority="3070" operator="containsText" text="Зниклі безвісти">
      <formula>NOT(ISERROR(SEARCH(("Зниклі безвісти"),(U868))))</formula>
    </cfRule>
  </conditionalFormatting>
  <conditionalFormatting sqref="U868">
    <cfRule type="containsText" dxfId="7" priority="3071" operator="containsText" text="Від-ні навчання">
      <formula>NOT(ISERROR(SEARCH(("Від-ні навчання"),(U868))))</formula>
    </cfRule>
  </conditionalFormatting>
  <conditionalFormatting sqref="U868">
    <cfRule type="containsText" dxfId="8" priority="3072" operator="containsText" text="Відком. за межі ПБ">
      <formula>NOT(ISERROR(SEARCH(("Відком. за межі ПБ"),(U868))))</formula>
    </cfRule>
  </conditionalFormatting>
  <conditionalFormatting sqref="U868">
    <cfRule type="containsText" dxfId="9" priority="3073" operator="containsText" text="Загиблі">
      <formula>NOT(ISERROR(SEARCH(("Загиблі"),(U868))))</formula>
    </cfRule>
  </conditionalFormatting>
  <conditionalFormatting sqref="U868">
    <cfRule type="containsText" dxfId="10" priority="3074" operator="containsText" text="Лікування">
      <formula>NOT(ISERROR(SEARCH(("Лікування"),(U868))))</formula>
    </cfRule>
  </conditionalFormatting>
  <conditionalFormatting sqref="N867">
    <cfRule type="expression" dxfId="0" priority="3075">
      <formula>COUNTIF(#REF!, N867) &gt; 1</formula>
    </cfRule>
  </conditionalFormatting>
  <conditionalFormatting sqref="U867">
    <cfRule type="containsText" dxfId="3" priority="3076" operator="containsText" text="В строю">
      <formula>NOT(ISERROR(SEARCH(("В строю"),(U867))))</formula>
    </cfRule>
  </conditionalFormatting>
  <conditionalFormatting sqref="U867">
    <cfRule type="containsText" dxfId="4" priority="3077" operator="containsText" text="Відпустка">
      <formula>NOT(ISERROR(SEARCH(("Відпустка"),(U867))))</formula>
    </cfRule>
  </conditionalFormatting>
  <conditionalFormatting sqref="U867">
    <cfRule type="containsText" dxfId="5" priority="3078" operator="containsText" text="СЗЧ">
      <formula>NOT(ISERROR(SEARCH(("СЗЧ"),(U867))))</formula>
    </cfRule>
  </conditionalFormatting>
  <conditionalFormatting sqref="U867">
    <cfRule type="containsText" dxfId="6" priority="3079" operator="containsText" text="Зниклі безвісти">
      <formula>NOT(ISERROR(SEARCH(("Зниклі безвісти"),(U867))))</formula>
    </cfRule>
  </conditionalFormatting>
  <conditionalFormatting sqref="U867">
    <cfRule type="containsText" dxfId="7" priority="3080" operator="containsText" text="Від-ні навчання">
      <formula>NOT(ISERROR(SEARCH(("Від-ні навчання"),(U867))))</formula>
    </cfRule>
  </conditionalFormatting>
  <conditionalFormatting sqref="U867">
    <cfRule type="containsText" dxfId="8" priority="3081" operator="containsText" text="Відком. за межі ПБ">
      <formula>NOT(ISERROR(SEARCH(("Відком. за межі ПБ"),(U867))))</formula>
    </cfRule>
  </conditionalFormatting>
  <conditionalFormatting sqref="U867">
    <cfRule type="containsText" dxfId="9" priority="3082" operator="containsText" text="Загиблі">
      <formula>NOT(ISERROR(SEARCH(("Загиблі"),(U867))))</formula>
    </cfRule>
  </conditionalFormatting>
  <conditionalFormatting sqref="U867">
    <cfRule type="containsText" dxfId="10" priority="3083" operator="containsText" text="Лікування">
      <formula>NOT(ISERROR(SEARCH(("Лікування"),(U867))))</formula>
    </cfRule>
  </conditionalFormatting>
  <conditionalFormatting sqref="U867">
    <cfRule type="containsText" dxfId="10" priority="3084" operator="containsText" text="Лікування">
      <formula>NOT(ISERROR(SEARCH(("Лікування"),(U867))))</formula>
    </cfRule>
  </conditionalFormatting>
  <conditionalFormatting sqref="U867">
    <cfRule type="containsText" dxfId="9" priority="3085" operator="containsText" text="Загиблі">
      <formula>NOT(ISERROR(SEARCH(("Загиблі"),(U867))))</formula>
    </cfRule>
  </conditionalFormatting>
  <conditionalFormatting sqref="U867">
    <cfRule type="containsText" dxfId="8" priority="3086" operator="containsText" text="Відком. за межі ПБ">
      <formula>NOT(ISERROR(SEARCH(("Відком. за межі ПБ"),(U867))))</formula>
    </cfRule>
  </conditionalFormatting>
  <conditionalFormatting sqref="U867">
    <cfRule type="containsText" dxfId="7" priority="3087" operator="containsText" text="Від-ні навчання">
      <formula>NOT(ISERROR(SEARCH(("Від-ні навчання"),(U867))))</formula>
    </cfRule>
  </conditionalFormatting>
  <conditionalFormatting sqref="U867">
    <cfRule type="containsText" dxfId="6" priority="3088" operator="containsText" text="Зниклі безвісти">
      <formula>NOT(ISERROR(SEARCH(("Зниклі безвісти"),(U867))))</formula>
    </cfRule>
  </conditionalFormatting>
  <conditionalFormatting sqref="U867">
    <cfRule type="containsText" dxfId="5" priority="3089" operator="containsText" text="СЗЧ">
      <formula>NOT(ISERROR(SEARCH(("СЗЧ"),(U867))))</formula>
    </cfRule>
  </conditionalFormatting>
  <conditionalFormatting sqref="U867">
    <cfRule type="containsText" dxfId="4" priority="3090" operator="containsText" text="Відпустка">
      <formula>NOT(ISERROR(SEARCH(("Відпустка"),(U867))))</formula>
    </cfRule>
  </conditionalFormatting>
  <conditionalFormatting sqref="U867">
    <cfRule type="containsText" dxfId="3" priority="3091" operator="containsText" text="В строю">
      <formula>NOT(ISERROR(SEARCH(("В строю"),(U867))))</formula>
    </cfRule>
  </conditionalFormatting>
  <conditionalFormatting sqref="Q867">
    <cfRule type="cellIs" dxfId="9" priority="3092" operator="notEqual">
      <formula>P867</formula>
    </cfRule>
  </conditionalFormatting>
  <conditionalFormatting sqref="Q867">
    <cfRule type="cellIs" dxfId="3" priority="3093" operator="equal">
      <formula>P867</formula>
    </cfRule>
  </conditionalFormatting>
  <conditionalFormatting sqref="N865:N866">
    <cfRule type="expression" dxfId="0" priority="3094">
      <formula>COUNTIF(#REF!, N865) &gt; 1</formula>
    </cfRule>
  </conditionalFormatting>
  <conditionalFormatting sqref="U865:U866">
    <cfRule type="containsText" dxfId="3" priority="3095" operator="containsText" text="В строю">
      <formula>NOT(ISERROR(SEARCH(("В строю"),(U865))))</formula>
    </cfRule>
  </conditionalFormatting>
  <conditionalFormatting sqref="U865:U866">
    <cfRule type="containsText" dxfId="4" priority="3096" operator="containsText" text="Відпустка">
      <formula>NOT(ISERROR(SEARCH(("Відпустка"),(U865))))</formula>
    </cfRule>
  </conditionalFormatting>
  <conditionalFormatting sqref="U865:U866">
    <cfRule type="containsText" dxfId="5" priority="3097" operator="containsText" text="СЗЧ">
      <formula>NOT(ISERROR(SEARCH(("СЗЧ"),(U865))))</formula>
    </cfRule>
  </conditionalFormatting>
  <conditionalFormatting sqref="U865:U866">
    <cfRule type="containsText" dxfId="6" priority="3098" operator="containsText" text="Зниклі безвісти">
      <formula>NOT(ISERROR(SEARCH(("Зниклі безвісти"),(U865))))</formula>
    </cfRule>
  </conditionalFormatting>
  <conditionalFormatting sqref="U865:U866">
    <cfRule type="containsText" dxfId="7" priority="3099" operator="containsText" text="Від-ні навчання">
      <formula>NOT(ISERROR(SEARCH(("Від-ні навчання"),(U865))))</formula>
    </cfRule>
  </conditionalFormatting>
  <conditionalFormatting sqref="U865:U866">
    <cfRule type="containsText" dxfId="8" priority="3100" operator="containsText" text="Відком. за межі ПБ">
      <formula>NOT(ISERROR(SEARCH(("Відком. за межі ПБ"),(U865))))</formula>
    </cfRule>
  </conditionalFormatting>
  <conditionalFormatting sqref="U865:U866">
    <cfRule type="containsText" dxfId="9" priority="3101" operator="containsText" text="Загиблі">
      <formula>NOT(ISERROR(SEARCH(("Загиблі"),(U865))))</formula>
    </cfRule>
  </conditionalFormatting>
  <conditionalFormatting sqref="U865:U866">
    <cfRule type="containsText" dxfId="10" priority="3102" operator="containsText" text="Лікування">
      <formula>NOT(ISERROR(SEARCH(("Лікування"),(U865))))</formula>
    </cfRule>
  </conditionalFormatting>
  <conditionalFormatting sqref="U865:U866">
    <cfRule type="containsText" dxfId="10" priority="3103" operator="containsText" text="Лікування">
      <formula>NOT(ISERROR(SEARCH(("Лікування"),(U865))))</formula>
    </cfRule>
  </conditionalFormatting>
  <conditionalFormatting sqref="U865:U866">
    <cfRule type="containsText" dxfId="9" priority="3104" operator="containsText" text="Загиблі">
      <formula>NOT(ISERROR(SEARCH(("Загиблі"),(U865))))</formula>
    </cfRule>
  </conditionalFormatting>
  <conditionalFormatting sqref="U865:U866">
    <cfRule type="containsText" dxfId="8" priority="3105" operator="containsText" text="Відком. за межі ПБ">
      <formula>NOT(ISERROR(SEARCH(("Відком. за межі ПБ"),(U865))))</formula>
    </cfRule>
  </conditionalFormatting>
  <conditionalFormatting sqref="U865:U866">
    <cfRule type="containsText" dxfId="7" priority="3106" operator="containsText" text="Від-ні навчання">
      <formula>NOT(ISERROR(SEARCH(("Від-ні навчання"),(U865))))</formula>
    </cfRule>
  </conditionalFormatting>
  <conditionalFormatting sqref="U865:U866">
    <cfRule type="containsText" dxfId="6" priority="3107" operator="containsText" text="Зниклі безвісти">
      <formula>NOT(ISERROR(SEARCH(("Зниклі безвісти"),(U865))))</formula>
    </cfRule>
  </conditionalFormatting>
  <conditionalFormatting sqref="U865:U866">
    <cfRule type="containsText" dxfId="5" priority="3108" operator="containsText" text="СЗЧ">
      <formula>NOT(ISERROR(SEARCH(("СЗЧ"),(U865))))</formula>
    </cfRule>
  </conditionalFormatting>
  <conditionalFormatting sqref="U865:U866">
    <cfRule type="containsText" dxfId="4" priority="3109" operator="containsText" text="Відпустка">
      <formula>NOT(ISERROR(SEARCH(("Відпустка"),(U865))))</formula>
    </cfRule>
  </conditionalFormatting>
  <conditionalFormatting sqref="U865:U866">
    <cfRule type="containsText" dxfId="3" priority="3110" operator="containsText" text="В строю">
      <formula>NOT(ISERROR(SEARCH(("В строю"),(U865))))</formula>
    </cfRule>
  </conditionalFormatting>
  <conditionalFormatting sqref="Q865:Q866">
    <cfRule type="cellIs" dxfId="9" priority="3111" operator="notEqual">
      <formula>P865</formula>
    </cfRule>
  </conditionalFormatting>
  <conditionalFormatting sqref="Q865:Q866">
    <cfRule type="cellIs" dxfId="3" priority="3112" operator="equal">
      <formula>P865</formula>
    </cfRule>
  </conditionalFormatting>
  <conditionalFormatting sqref="E864 N864">
    <cfRule type="expression" dxfId="0" priority="3113">
      <formula>COUNTIF(#REF!, E864) &gt; 1</formula>
    </cfRule>
  </conditionalFormatting>
  <conditionalFormatting sqref="U864">
    <cfRule type="containsText" dxfId="10" priority="3114" operator="containsText" text="Лікування">
      <formula>NOT(ISERROR(SEARCH(("Лікування"),(U864))))</formula>
    </cfRule>
  </conditionalFormatting>
  <conditionalFormatting sqref="U864">
    <cfRule type="containsText" dxfId="9" priority="3115" operator="containsText" text="Загиблі">
      <formula>NOT(ISERROR(SEARCH(("Загиблі"),(U864))))</formula>
    </cfRule>
  </conditionalFormatting>
  <conditionalFormatting sqref="U864">
    <cfRule type="containsText" dxfId="8" priority="3116" operator="containsText" text="Відком. за межі ПБ">
      <formula>NOT(ISERROR(SEARCH(("Відком. за межі ПБ"),(U864))))</formula>
    </cfRule>
  </conditionalFormatting>
  <conditionalFormatting sqref="U864">
    <cfRule type="containsText" dxfId="7" priority="3117" operator="containsText" text="Від-ні навчання">
      <formula>NOT(ISERROR(SEARCH(("Від-ні навчання"),(U864))))</formula>
    </cfRule>
  </conditionalFormatting>
  <conditionalFormatting sqref="U864">
    <cfRule type="containsText" dxfId="6" priority="3118" operator="containsText" text="Зниклі безвісти">
      <formula>NOT(ISERROR(SEARCH(("Зниклі безвісти"),(U864))))</formula>
    </cfRule>
  </conditionalFormatting>
  <conditionalFormatting sqref="U864">
    <cfRule type="containsText" dxfId="5" priority="3119" operator="containsText" text="СЗЧ">
      <formula>NOT(ISERROR(SEARCH(("СЗЧ"),(U864))))</formula>
    </cfRule>
  </conditionalFormatting>
  <conditionalFormatting sqref="U864">
    <cfRule type="containsText" dxfId="4" priority="3120" operator="containsText" text="Відпустка">
      <formula>NOT(ISERROR(SEARCH(("Відпустка"),(U864))))</formula>
    </cfRule>
  </conditionalFormatting>
  <conditionalFormatting sqref="U864">
    <cfRule type="containsText" dxfId="3" priority="3121" operator="containsText" text="В строю">
      <formula>NOT(ISERROR(SEARCH(("В строю"),(U864))))</formula>
    </cfRule>
  </conditionalFormatting>
  <conditionalFormatting sqref="U864">
    <cfRule type="containsText" dxfId="3" priority="3122" operator="containsText" text="В строю">
      <formula>NOT(ISERROR(SEARCH(("В строю"),(U864))))</formula>
    </cfRule>
  </conditionalFormatting>
  <conditionalFormatting sqref="U864">
    <cfRule type="containsText" dxfId="4" priority="3123" operator="containsText" text="Відпустка">
      <formula>NOT(ISERROR(SEARCH(("Відпустка"),(U864))))</formula>
    </cfRule>
  </conditionalFormatting>
  <conditionalFormatting sqref="U864">
    <cfRule type="containsText" dxfId="5" priority="3124" operator="containsText" text="СЗЧ">
      <formula>NOT(ISERROR(SEARCH(("СЗЧ"),(U864))))</formula>
    </cfRule>
  </conditionalFormatting>
  <conditionalFormatting sqref="U864">
    <cfRule type="containsText" dxfId="6" priority="3125" operator="containsText" text="Зниклі безвісти">
      <formula>NOT(ISERROR(SEARCH(("Зниклі безвісти"),(U864))))</formula>
    </cfRule>
  </conditionalFormatting>
  <conditionalFormatting sqref="U864">
    <cfRule type="containsText" dxfId="7" priority="3126" operator="containsText" text="Від-ні навчання">
      <formula>NOT(ISERROR(SEARCH(("Від-ні навчання"),(U864))))</formula>
    </cfRule>
  </conditionalFormatting>
  <conditionalFormatting sqref="U864">
    <cfRule type="containsText" dxfId="8" priority="3127" operator="containsText" text="Відком. за межі ПБ">
      <formula>NOT(ISERROR(SEARCH(("Відком. за межі ПБ"),(U864))))</formula>
    </cfRule>
  </conditionalFormatting>
  <conditionalFormatting sqref="U864">
    <cfRule type="containsText" dxfId="9" priority="3128" operator="containsText" text="Загиблі">
      <formula>NOT(ISERROR(SEARCH(("Загиблі"),(U864))))</formula>
    </cfRule>
  </conditionalFormatting>
  <conditionalFormatting sqref="U864">
    <cfRule type="containsText" dxfId="10" priority="3129" operator="containsText" text="Лікування">
      <formula>NOT(ISERROR(SEARCH(("Лікування"),(U864))))</formula>
    </cfRule>
  </conditionalFormatting>
  <conditionalFormatting sqref="Q864">
    <cfRule type="cellIs" dxfId="9" priority="3130" operator="notEqual">
      <formula>P864</formula>
    </cfRule>
  </conditionalFormatting>
  <conditionalFormatting sqref="Q864">
    <cfRule type="cellIs" dxfId="3" priority="3131" operator="equal">
      <formula>P864</formula>
    </cfRule>
  </conditionalFormatting>
  <conditionalFormatting sqref="Q862:Q863">
    <cfRule type="cellIs" dxfId="9" priority="3132" operator="notEqual">
      <formula>P862</formula>
    </cfRule>
  </conditionalFormatting>
  <conditionalFormatting sqref="Q862:Q863">
    <cfRule type="cellIs" dxfId="3" priority="3133" operator="equal">
      <formula>P862</formula>
    </cfRule>
  </conditionalFormatting>
  <conditionalFormatting sqref="E862:E863 N862:N863">
    <cfRule type="expression" dxfId="0" priority="3134">
      <formula>COUNTIF(#REF!, E862) &gt; 1</formula>
    </cfRule>
  </conditionalFormatting>
  <conditionalFormatting sqref="U862:U863">
    <cfRule type="containsText" dxfId="10" priority="3135" operator="containsText" text="Лікування">
      <formula>NOT(ISERROR(SEARCH(("Лікування"),(U862))))</formula>
    </cfRule>
  </conditionalFormatting>
  <conditionalFormatting sqref="U862:U863">
    <cfRule type="containsText" dxfId="9" priority="3136" operator="containsText" text="Загиблі">
      <formula>NOT(ISERROR(SEARCH(("Загиблі"),(U862))))</formula>
    </cfRule>
  </conditionalFormatting>
  <conditionalFormatting sqref="U862:U863">
    <cfRule type="containsText" dxfId="8" priority="3137" operator="containsText" text="Відком. за межі ПБ">
      <formula>NOT(ISERROR(SEARCH(("Відком. за межі ПБ"),(U862))))</formula>
    </cfRule>
  </conditionalFormatting>
  <conditionalFormatting sqref="U862:U863">
    <cfRule type="containsText" dxfId="7" priority="3138" operator="containsText" text="Від-ні навчання">
      <formula>NOT(ISERROR(SEARCH(("Від-ні навчання"),(U862))))</formula>
    </cfRule>
  </conditionalFormatting>
  <conditionalFormatting sqref="U862:U863">
    <cfRule type="containsText" dxfId="6" priority="3139" operator="containsText" text="Зниклі безвісти">
      <formula>NOT(ISERROR(SEARCH(("Зниклі безвісти"),(U862))))</formula>
    </cfRule>
  </conditionalFormatting>
  <conditionalFormatting sqref="U862:U863">
    <cfRule type="containsText" dxfId="5" priority="3140" operator="containsText" text="СЗЧ">
      <formula>NOT(ISERROR(SEARCH(("СЗЧ"),(U862))))</formula>
    </cfRule>
  </conditionalFormatting>
  <conditionalFormatting sqref="U862:U863">
    <cfRule type="containsText" dxfId="4" priority="3141" operator="containsText" text="Відпустка">
      <formula>NOT(ISERROR(SEARCH(("Відпустка"),(U862))))</formula>
    </cfRule>
  </conditionalFormatting>
  <conditionalFormatting sqref="U862:U863">
    <cfRule type="containsText" dxfId="3" priority="3142" operator="containsText" text="В строю">
      <formula>NOT(ISERROR(SEARCH(("В строю"),(U862))))</formula>
    </cfRule>
  </conditionalFormatting>
  <conditionalFormatting sqref="U862:U863">
    <cfRule type="containsText" dxfId="3" priority="3143" operator="containsText" text="В строю">
      <formula>NOT(ISERROR(SEARCH(("В строю"),(U862))))</formula>
    </cfRule>
  </conditionalFormatting>
  <conditionalFormatting sqref="U862:U863">
    <cfRule type="containsText" dxfId="4" priority="3144" operator="containsText" text="Відпустка">
      <formula>NOT(ISERROR(SEARCH(("Відпустка"),(U862))))</formula>
    </cfRule>
  </conditionalFormatting>
  <conditionalFormatting sqref="U862:U863">
    <cfRule type="containsText" dxfId="5" priority="3145" operator="containsText" text="СЗЧ">
      <formula>NOT(ISERROR(SEARCH(("СЗЧ"),(U862))))</formula>
    </cfRule>
  </conditionalFormatting>
  <conditionalFormatting sqref="U862:U863">
    <cfRule type="containsText" dxfId="6" priority="3146" operator="containsText" text="Зниклі безвісти">
      <formula>NOT(ISERROR(SEARCH(("Зниклі безвісти"),(U862))))</formula>
    </cfRule>
  </conditionalFormatting>
  <conditionalFormatting sqref="U862:U863">
    <cfRule type="containsText" dxfId="7" priority="3147" operator="containsText" text="Від-ні навчання">
      <formula>NOT(ISERROR(SEARCH(("Від-ні навчання"),(U862))))</formula>
    </cfRule>
  </conditionalFormatting>
  <conditionalFormatting sqref="U862:U863">
    <cfRule type="containsText" dxfId="8" priority="3148" operator="containsText" text="Відком. за межі ПБ">
      <formula>NOT(ISERROR(SEARCH(("Відком. за межі ПБ"),(U862))))</formula>
    </cfRule>
  </conditionalFormatting>
  <conditionalFormatting sqref="U862:U863">
    <cfRule type="containsText" dxfId="9" priority="3149" operator="containsText" text="Загиблі">
      <formula>NOT(ISERROR(SEARCH(("Загиблі"),(U862))))</formula>
    </cfRule>
  </conditionalFormatting>
  <conditionalFormatting sqref="U862:U863">
    <cfRule type="containsText" dxfId="10" priority="3150" operator="containsText" text="Лікування">
      <formula>NOT(ISERROR(SEARCH(("Лікування"),(U862))))</formula>
    </cfRule>
  </conditionalFormatting>
  <conditionalFormatting sqref="U860:U861">
    <cfRule type="containsText" dxfId="3" priority="3151" operator="containsText" text="В строю">
      <formula>NOT(ISERROR(SEARCH(("В строю"),(U860))))</formula>
    </cfRule>
  </conditionalFormatting>
  <conditionalFormatting sqref="U860:U861">
    <cfRule type="containsText" dxfId="4" priority="3152" operator="containsText" text="Відпустка">
      <formula>NOT(ISERROR(SEARCH(("Відпустка"),(U860))))</formula>
    </cfRule>
  </conditionalFormatting>
  <conditionalFormatting sqref="U860:U861">
    <cfRule type="containsText" dxfId="5" priority="3153" operator="containsText" text="СЗЧ">
      <formula>NOT(ISERROR(SEARCH(("СЗЧ"),(U860))))</formula>
    </cfRule>
  </conditionalFormatting>
  <conditionalFormatting sqref="U860:U861">
    <cfRule type="containsText" dxfId="6" priority="3154" operator="containsText" text="Зниклі безвісти">
      <formula>NOT(ISERROR(SEARCH(("Зниклі безвісти"),(U860))))</formula>
    </cfRule>
  </conditionalFormatting>
  <conditionalFormatting sqref="U860:U861">
    <cfRule type="containsText" dxfId="7" priority="3155" operator="containsText" text="Від-ні навчання">
      <formula>NOT(ISERROR(SEARCH(("Від-ні навчання"),(U860))))</formula>
    </cfRule>
  </conditionalFormatting>
  <conditionalFormatting sqref="U860:U861">
    <cfRule type="containsText" dxfId="8" priority="3156" operator="containsText" text="Відком. за межі ПБ">
      <formula>NOT(ISERROR(SEARCH(("Відком. за межі ПБ"),(U860))))</formula>
    </cfRule>
  </conditionalFormatting>
  <conditionalFormatting sqref="U860:U861">
    <cfRule type="containsText" dxfId="9" priority="3157" operator="containsText" text="Загиблі">
      <formula>NOT(ISERROR(SEARCH(("Загиблі"),(U860))))</formula>
    </cfRule>
  </conditionalFormatting>
  <conditionalFormatting sqref="U860:U861">
    <cfRule type="containsText" dxfId="10" priority="3158" operator="containsText" text="Лікування">
      <formula>NOT(ISERROR(SEARCH(("Лікування"),(U860))))</formula>
    </cfRule>
  </conditionalFormatting>
  <conditionalFormatting sqref="U860:U861">
    <cfRule type="containsText" dxfId="10" priority="3159" operator="containsText" text="Лікування">
      <formula>NOT(ISERROR(SEARCH(("Лікування"),(U860))))</formula>
    </cfRule>
  </conditionalFormatting>
  <conditionalFormatting sqref="U860:U861">
    <cfRule type="containsText" dxfId="9" priority="3160" operator="containsText" text="Загиблі">
      <formula>NOT(ISERROR(SEARCH(("Загиблі"),(U860))))</formula>
    </cfRule>
  </conditionalFormatting>
  <conditionalFormatting sqref="U860:U861">
    <cfRule type="containsText" dxfId="8" priority="3161" operator="containsText" text="Відком. за межі ПБ">
      <formula>NOT(ISERROR(SEARCH(("Відком. за межі ПБ"),(U860))))</formula>
    </cfRule>
  </conditionalFormatting>
  <conditionalFormatting sqref="U860:U861">
    <cfRule type="containsText" dxfId="7" priority="3162" operator="containsText" text="Від-ні навчання">
      <formula>NOT(ISERROR(SEARCH(("Від-ні навчання"),(U860))))</formula>
    </cfRule>
  </conditionalFormatting>
  <conditionalFormatting sqref="U860:U861">
    <cfRule type="containsText" dxfId="6" priority="3163" operator="containsText" text="Зниклі безвісти">
      <formula>NOT(ISERROR(SEARCH(("Зниклі безвісти"),(U860))))</formula>
    </cfRule>
  </conditionalFormatting>
  <conditionalFormatting sqref="U860:U861">
    <cfRule type="containsText" dxfId="5" priority="3164" operator="containsText" text="СЗЧ">
      <formula>NOT(ISERROR(SEARCH(("СЗЧ"),(U860))))</formula>
    </cfRule>
  </conditionalFormatting>
  <conditionalFormatting sqref="U860:U861">
    <cfRule type="containsText" dxfId="4" priority="3165" operator="containsText" text="Відпустка">
      <formula>NOT(ISERROR(SEARCH(("Відпустка"),(U860))))</formula>
    </cfRule>
  </conditionalFormatting>
  <conditionalFormatting sqref="U860:U861">
    <cfRule type="containsText" dxfId="3" priority="3166" operator="containsText" text="В строю">
      <formula>NOT(ISERROR(SEARCH(("В строю"),(U860))))</formula>
    </cfRule>
  </conditionalFormatting>
  <conditionalFormatting sqref="E860:E861 N860:N861">
    <cfRule type="expression" dxfId="0" priority="3167">
      <formula>COUNTIF(#REF!, E860) &gt; 1</formula>
    </cfRule>
  </conditionalFormatting>
  <conditionalFormatting sqref="Q860:Q861">
    <cfRule type="cellIs" dxfId="9" priority="3168" operator="notEqual">
      <formula>P860</formula>
    </cfRule>
  </conditionalFormatting>
  <conditionalFormatting sqref="Q860:Q861">
    <cfRule type="cellIs" dxfId="3" priority="3169" operator="equal">
      <formula>P860</formula>
    </cfRule>
  </conditionalFormatting>
  <conditionalFormatting sqref="U859">
    <cfRule type="containsText" dxfId="10" priority="3170" operator="containsText" text="Лікування">
      <formula>NOT(ISERROR(SEARCH(("Лікування"),(U859))))</formula>
    </cfRule>
  </conditionalFormatting>
  <conditionalFormatting sqref="U859">
    <cfRule type="containsText" dxfId="9" priority="3171" operator="containsText" text="Загиблі">
      <formula>NOT(ISERROR(SEARCH(("Загиблі"),(U859))))</formula>
    </cfRule>
  </conditionalFormatting>
  <conditionalFormatting sqref="U859">
    <cfRule type="containsText" dxfId="8" priority="3172" operator="containsText" text="Відком. за межі ПБ">
      <formula>NOT(ISERROR(SEARCH(("Відком. за межі ПБ"),(U859))))</formula>
    </cfRule>
  </conditionalFormatting>
  <conditionalFormatting sqref="U859">
    <cfRule type="containsText" dxfId="7" priority="3173" operator="containsText" text="Від-ні навчання">
      <formula>NOT(ISERROR(SEARCH(("Від-ні навчання"),(U859))))</formula>
    </cfRule>
  </conditionalFormatting>
  <conditionalFormatting sqref="U859">
    <cfRule type="containsText" dxfId="6" priority="3174" operator="containsText" text="Зниклі безвісти">
      <formula>NOT(ISERROR(SEARCH(("Зниклі безвісти"),(U859))))</formula>
    </cfRule>
  </conditionalFormatting>
  <conditionalFormatting sqref="U859">
    <cfRule type="containsText" dxfId="5" priority="3175" operator="containsText" text="СЗЧ">
      <formula>NOT(ISERROR(SEARCH(("СЗЧ"),(U859))))</formula>
    </cfRule>
  </conditionalFormatting>
  <conditionalFormatting sqref="U859">
    <cfRule type="containsText" dxfId="4" priority="3176" operator="containsText" text="Відпустка">
      <formula>NOT(ISERROR(SEARCH(("Відпустка"),(U859))))</formula>
    </cfRule>
  </conditionalFormatting>
  <conditionalFormatting sqref="U859">
    <cfRule type="containsText" dxfId="3" priority="3177" operator="containsText" text="В строю">
      <formula>NOT(ISERROR(SEARCH(("В строю"),(U859))))</formula>
    </cfRule>
  </conditionalFormatting>
  <conditionalFormatting sqref="K859 N859">
    <cfRule type="expression" dxfId="0" priority="3178">
      <formula>COUNTIF(#REF!, N859) &gt; 1</formula>
    </cfRule>
  </conditionalFormatting>
  <conditionalFormatting sqref="Q859">
    <cfRule type="cellIs" dxfId="9" priority="3179" operator="notEqual">
      <formula>P859</formula>
    </cfRule>
  </conditionalFormatting>
  <conditionalFormatting sqref="Q859">
    <cfRule type="cellIs" dxfId="3" priority="3180" operator="equal">
      <formula>P859</formula>
    </cfRule>
  </conditionalFormatting>
  <conditionalFormatting sqref="N858">
    <cfRule type="expression" dxfId="0" priority="3181">
      <formula>COUNTIF(#REF!, N858) &gt; 1</formula>
    </cfRule>
  </conditionalFormatting>
  <conditionalFormatting sqref="U858">
    <cfRule type="containsText" dxfId="10" priority="3182" operator="containsText" text="Лікування">
      <formula>NOT(ISERROR(SEARCH(("Лікування"),(U858))))</formula>
    </cfRule>
  </conditionalFormatting>
  <conditionalFormatting sqref="U858">
    <cfRule type="containsText" dxfId="9" priority="3183" operator="containsText" text="Загиблі">
      <formula>NOT(ISERROR(SEARCH(("Загиблі"),(U858))))</formula>
    </cfRule>
  </conditionalFormatting>
  <conditionalFormatting sqref="U858">
    <cfRule type="containsText" dxfId="8" priority="3184" operator="containsText" text="Відком. за межі ПБ">
      <formula>NOT(ISERROR(SEARCH(("Відком. за межі ПБ"),(U858))))</formula>
    </cfRule>
  </conditionalFormatting>
  <conditionalFormatting sqref="U858">
    <cfRule type="containsText" dxfId="7" priority="3185" operator="containsText" text="Від-ні навчання">
      <formula>NOT(ISERROR(SEARCH(("Від-ні навчання"),(U858))))</formula>
    </cfRule>
  </conditionalFormatting>
  <conditionalFormatting sqref="U858">
    <cfRule type="containsText" dxfId="6" priority="3186" operator="containsText" text="Зниклі безвісти">
      <formula>NOT(ISERROR(SEARCH(("Зниклі безвісти"),(U858))))</formula>
    </cfRule>
  </conditionalFormatting>
  <conditionalFormatting sqref="U858">
    <cfRule type="containsText" dxfId="5" priority="3187" operator="containsText" text="СЗЧ">
      <formula>NOT(ISERROR(SEARCH(("СЗЧ"),(U858))))</formula>
    </cfRule>
  </conditionalFormatting>
  <conditionalFormatting sqref="U858">
    <cfRule type="containsText" dxfId="4" priority="3188" operator="containsText" text="Відпустка">
      <formula>NOT(ISERROR(SEARCH(("Відпустка"),(U858))))</formula>
    </cfRule>
  </conditionalFormatting>
  <conditionalFormatting sqref="U858">
    <cfRule type="containsText" dxfId="3" priority="3189" operator="containsText" text="В строю">
      <formula>NOT(ISERROR(SEARCH(("В строю"),(U858))))</formula>
    </cfRule>
  </conditionalFormatting>
  <conditionalFormatting sqref="N857">
    <cfRule type="expression" dxfId="0" priority="3190">
      <formula>COUNTIF(#REF!, N857) &gt; 1</formula>
    </cfRule>
  </conditionalFormatting>
  <conditionalFormatting sqref="U857">
    <cfRule type="containsText" dxfId="10" priority="3191" operator="containsText" text="Лікування">
      <formula>NOT(ISERROR(SEARCH(("Лікування"),(U857))))</formula>
    </cfRule>
  </conditionalFormatting>
  <conditionalFormatting sqref="U857">
    <cfRule type="containsText" dxfId="9" priority="3192" operator="containsText" text="Загиблі">
      <formula>NOT(ISERROR(SEARCH(("Загиблі"),(U857))))</formula>
    </cfRule>
  </conditionalFormatting>
  <conditionalFormatting sqref="U857">
    <cfRule type="containsText" dxfId="8" priority="3193" operator="containsText" text="Відком. за межі ПБ">
      <formula>NOT(ISERROR(SEARCH(("Відком. за межі ПБ"),(U857))))</formula>
    </cfRule>
  </conditionalFormatting>
  <conditionalFormatting sqref="U857">
    <cfRule type="containsText" dxfId="7" priority="3194" operator="containsText" text="Від-ні навчання">
      <formula>NOT(ISERROR(SEARCH(("Від-ні навчання"),(U857))))</formula>
    </cfRule>
  </conditionalFormatting>
  <conditionalFormatting sqref="U857">
    <cfRule type="containsText" dxfId="6" priority="3195" operator="containsText" text="Зниклі безвісти">
      <formula>NOT(ISERROR(SEARCH(("Зниклі безвісти"),(U857))))</formula>
    </cfRule>
  </conditionalFormatting>
  <conditionalFormatting sqref="U857">
    <cfRule type="containsText" dxfId="5" priority="3196" operator="containsText" text="СЗЧ">
      <formula>NOT(ISERROR(SEARCH(("СЗЧ"),(U857))))</formula>
    </cfRule>
  </conditionalFormatting>
  <conditionalFormatting sqref="U857">
    <cfRule type="containsText" dxfId="4" priority="3197" operator="containsText" text="Відпустка">
      <formula>NOT(ISERROR(SEARCH(("Відпустка"),(U857))))</formula>
    </cfRule>
  </conditionalFormatting>
  <conditionalFormatting sqref="U857">
    <cfRule type="containsText" dxfId="3" priority="3198" operator="containsText" text="В строю">
      <formula>NOT(ISERROR(SEARCH(("В строю"),(U857))))</formula>
    </cfRule>
  </conditionalFormatting>
  <conditionalFormatting sqref="Q857">
    <cfRule type="cellIs" dxfId="9" priority="3199" operator="notEqual">
      <formula>P857</formula>
    </cfRule>
  </conditionalFormatting>
  <conditionalFormatting sqref="Q857">
    <cfRule type="cellIs" dxfId="3" priority="3200" operator="equal">
      <formula>P857</formula>
    </cfRule>
  </conditionalFormatting>
  <conditionalFormatting sqref="U856">
    <cfRule type="containsText" dxfId="10" priority="3201" operator="containsText" text="Лікування">
      <formula>NOT(ISERROR(SEARCH(("Лікування"),(U856))))</formula>
    </cfRule>
  </conditionalFormatting>
  <conditionalFormatting sqref="U856">
    <cfRule type="containsText" dxfId="9" priority="3202" operator="containsText" text="Загиблі">
      <formula>NOT(ISERROR(SEARCH(("Загиблі"),(U856))))</formula>
    </cfRule>
  </conditionalFormatting>
  <conditionalFormatting sqref="U856">
    <cfRule type="containsText" dxfId="8" priority="3203" operator="containsText" text="Відком. за межі ПБ">
      <formula>NOT(ISERROR(SEARCH(("Відком. за межі ПБ"),(U856))))</formula>
    </cfRule>
  </conditionalFormatting>
  <conditionalFormatting sqref="U856">
    <cfRule type="containsText" dxfId="7" priority="3204" operator="containsText" text="Від-ні навчання">
      <formula>NOT(ISERROR(SEARCH(("Від-ні навчання"),(U856))))</formula>
    </cfRule>
  </conditionalFormatting>
  <conditionalFormatting sqref="U856">
    <cfRule type="containsText" dxfId="6" priority="3205" operator="containsText" text="Зниклі безвісти">
      <formula>NOT(ISERROR(SEARCH(("Зниклі безвісти"),(U856))))</formula>
    </cfRule>
  </conditionalFormatting>
  <conditionalFormatting sqref="U856">
    <cfRule type="containsText" dxfId="5" priority="3206" operator="containsText" text="СЗЧ">
      <formula>NOT(ISERROR(SEARCH(("СЗЧ"),(U856))))</formula>
    </cfRule>
  </conditionalFormatting>
  <conditionalFormatting sqref="U856">
    <cfRule type="containsText" dxfId="4" priority="3207" operator="containsText" text="Відпустка">
      <formula>NOT(ISERROR(SEARCH(("Відпустка"),(U856))))</formula>
    </cfRule>
  </conditionalFormatting>
  <conditionalFormatting sqref="U856">
    <cfRule type="containsText" dxfId="3" priority="3208" operator="containsText" text="В строю">
      <formula>NOT(ISERROR(SEARCH(("В строю"),(U856))))</formula>
    </cfRule>
  </conditionalFormatting>
  <conditionalFormatting sqref="Q856">
    <cfRule type="cellIs" dxfId="9" priority="3209" operator="notEqual">
      <formula>P856</formula>
    </cfRule>
  </conditionalFormatting>
  <conditionalFormatting sqref="Q856">
    <cfRule type="cellIs" dxfId="3" priority="3210" operator="equal">
      <formula>P856</formula>
    </cfRule>
  </conditionalFormatting>
  <conditionalFormatting sqref="N855">
    <cfRule type="expression" dxfId="0" priority="3211">
      <formula>COUNTIF(#REF!, N855) &gt; 1</formula>
    </cfRule>
  </conditionalFormatting>
  <conditionalFormatting sqref="U855">
    <cfRule type="containsText" dxfId="10" priority="3212" operator="containsText" text="Лікування">
      <formula>NOT(ISERROR(SEARCH(("Лікування"),(U855))))</formula>
    </cfRule>
  </conditionalFormatting>
  <conditionalFormatting sqref="U855">
    <cfRule type="containsText" dxfId="9" priority="3213" operator="containsText" text="Загиблі">
      <formula>NOT(ISERROR(SEARCH(("Загиблі"),(U855))))</formula>
    </cfRule>
  </conditionalFormatting>
  <conditionalFormatting sqref="U855">
    <cfRule type="containsText" dxfId="8" priority="3214" operator="containsText" text="Відком. за межі ПБ">
      <formula>NOT(ISERROR(SEARCH(("Відком. за межі ПБ"),(U855))))</formula>
    </cfRule>
  </conditionalFormatting>
  <conditionalFormatting sqref="U855">
    <cfRule type="containsText" dxfId="7" priority="3215" operator="containsText" text="Від-ні навчання">
      <formula>NOT(ISERROR(SEARCH(("Від-ні навчання"),(U855))))</formula>
    </cfRule>
  </conditionalFormatting>
  <conditionalFormatting sqref="U855">
    <cfRule type="containsText" dxfId="6" priority="3216" operator="containsText" text="Зниклі безвісти">
      <formula>NOT(ISERROR(SEARCH(("Зниклі безвісти"),(U855))))</formula>
    </cfRule>
  </conditionalFormatting>
  <conditionalFormatting sqref="U855">
    <cfRule type="containsText" dxfId="5" priority="3217" operator="containsText" text="СЗЧ">
      <formula>NOT(ISERROR(SEARCH(("СЗЧ"),(U855))))</formula>
    </cfRule>
  </conditionalFormatting>
  <conditionalFormatting sqref="U855">
    <cfRule type="containsText" dxfId="4" priority="3218" operator="containsText" text="Відпустка">
      <formula>NOT(ISERROR(SEARCH(("Відпустка"),(U855))))</formula>
    </cfRule>
  </conditionalFormatting>
  <conditionalFormatting sqref="U855">
    <cfRule type="containsText" dxfId="3" priority="3219" operator="containsText" text="В строю">
      <formula>NOT(ISERROR(SEARCH(("В строю"),(U855))))</formula>
    </cfRule>
  </conditionalFormatting>
  <conditionalFormatting sqref="Q855">
    <cfRule type="cellIs" dxfId="9" priority="3220" operator="notEqual">
      <formula>P855</formula>
    </cfRule>
  </conditionalFormatting>
  <conditionalFormatting sqref="Q855">
    <cfRule type="cellIs" dxfId="3" priority="3221" operator="equal">
      <formula>P855</formula>
    </cfRule>
  </conditionalFormatting>
  <conditionalFormatting sqref="Q854">
    <cfRule type="cellIs" dxfId="9" priority="3222" operator="notEqual">
      <formula>P854</formula>
    </cfRule>
  </conditionalFormatting>
  <conditionalFormatting sqref="Q854">
    <cfRule type="cellIs" dxfId="3" priority="3223" operator="equal">
      <formula>P854</formula>
    </cfRule>
  </conditionalFormatting>
  <conditionalFormatting sqref="U854">
    <cfRule type="containsText" dxfId="10" priority="3224" operator="containsText" text="Лікування">
      <formula>NOT(ISERROR(SEARCH(("Лікування"),(U854))))</formula>
    </cfRule>
  </conditionalFormatting>
  <conditionalFormatting sqref="U854">
    <cfRule type="containsText" dxfId="9" priority="3225" operator="containsText" text="Загиблі">
      <formula>NOT(ISERROR(SEARCH(("Загиблі"),(U854))))</formula>
    </cfRule>
  </conditionalFormatting>
  <conditionalFormatting sqref="U854">
    <cfRule type="containsText" dxfId="8" priority="3226" operator="containsText" text="Відком. за межі ПБ">
      <formula>NOT(ISERROR(SEARCH(("Відком. за межі ПБ"),(U854))))</formula>
    </cfRule>
  </conditionalFormatting>
  <conditionalFormatting sqref="U854">
    <cfRule type="containsText" dxfId="7" priority="3227" operator="containsText" text="Від-ні навчання">
      <formula>NOT(ISERROR(SEARCH(("Від-ні навчання"),(U854))))</formula>
    </cfRule>
  </conditionalFormatting>
  <conditionalFormatting sqref="U854">
    <cfRule type="containsText" dxfId="6" priority="3228" operator="containsText" text="Зниклі безвісти">
      <formula>NOT(ISERROR(SEARCH(("Зниклі безвісти"),(U854))))</formula>
    </cfRule>
  </conditionalFormatting>
  <conditionalFormatting sqref="U854">
    <cfRule type="containsText" dxfId="5" priority="3229" operator="containsText" text="СЗЧ">
      <formula>NOT(ISERROR(SEARCH(("СЗЧ"),(U854))))</formula>
    </cfRule>
  </conditionalFormatting>
  <conditionalFormatting sqref="U854">
    <cfRule type="containsText" dxfId="4" priority="3230" operator="containsText" text="Відпустка">
      <formula>NOT(ISERROR(SEARCH(("Відпустка"),(U854))))</formula>
    </cfRule>
  </conditionalFormatting>
  <conditionalFormatting sqref="U854">
    <cfRule type="containsText" dxfId="3" priority="3231" operator="containsText" text="В строю">
      <formula>NOT(ISERROR(SEARCH(("В строю"),(U854))))</formula>
    </cfRule>
  </conditionalFormatting>
  <conditionalFormatting sqref="N854:O854">
    <cfRule type="expression" dxfId="0" priority="3232">
      <formula>COUNTIF(#REF!, N854) &gt; 1</formula>
    </cfRule>
  </conditionalFormatting>
  <conditionalFormatting sqref="U853">
    <cfRule type="containsText" dxfId="10" priority="3233" operator="containsText" text="Лікування">
      <formula>NOT(ISERROR(SEARCH(("Лікування"),(U853))))</formula>
    </cfRule>
  </conditionalFormatting>
  <conditionalFormatting sqref="U853">
    <cfRule type="containsText" dxfId="9" priority="3234" operator="containsText" text="Загиблі">
      <formula>NOT(ISERROR(SEARCH(("Загиблі"),(U853))))</formula>
    </cfRule>
  </conditionalFormatting>
  <conditionalFormatting sqref="U853">
    <cfRule type="containsText" dxfId="8" priority="3235" operator="containsText" text="Відком. за межі ПБ">
      <formula>NOT(ISERROR(SEARCH(("Відком. за межі ПБ"),(U853))))</formula>
    </cfRule>
  </conditionalFormatting>
  <conditionalFormatting sqref="U853">
    <cfRule type="containsText" dxfId="7" priority="3236" operator="containsText" text="Від-ні навчання">
      <formula>NOT(ISERROR(SEARCH(("Від-ні навчання"),(U853))))</formula>
    </cfRule>
  </conditionalFormatting>
  <conditionalFormatting sqref="U853">
    <cfRule type="containsText" dxfId="6" priority="3237" operator="containsText" text="Зниклі безвісти">
      <formula>NOT(ISERROR(SEARCH(("Зниклі безвісти"),(U853))))</formula>
    </cfRule>
  </conditionalFormatting>
  <conditionalFormatting sqref="U853">
    <cfRule type="containsText" dxfId="5" priority="3238" operator="containsText" text="СЗЧ">
      <formula>NOT(ISERROR(SEARCH(("СЗЧ"),(U853))))</formula>
    </cfRule>
  </conditionalFormatting>
  <conditionalFormatting sqref="U853">
    <cfRule type="containsText" dxfId="4" priority="3239" operator="containsText" text="Відпустка">
      <formula>NOT(ISERROR(SEARCH(("Відпустка"),(U853))))</formula>
    </cfRule>
  </conditionalFormatting>
  <conditionalFormatting sqref="U853">
    <cfRule type="containsText" dxfId="3" priority="3240" operator="containsText" text="В строю">
      <formula>NOT(ISERROR(SEARCH(("В строю"),(U853))))</formula>
    </cfRule>
  </conditionalFormatting>
  <conditionalFormatting sqref="U853">
    <cfRule type="containsText" dxfId="3" priority="3241" operator="containsText" text="В строю">
      <formula>NOT(ISERROR(SEARCH(("В строю"),(U853))))</formula>
    </cfRule>
  </conditionalFormatting>
  <conditionalFormatting sqref="U853">
    <cfRule type="containsText" dxfId="4" priority="3242" operator="containsText" text="Відпустка">
      <formula>NOT(ISERROR(SEARCH(("Відпустка"),(U853))))</formula>
    </cfRule>
  </conditionalFormatting>
  <conditionalFormatting sqref="U853">
    <cfRule type="containsText" dxfId="5" priority="3243" operator="containsText" text="СЗЧ">
      <formula>NOT(ISERROR(SEARCH(("СЗЧ"),(U853))))</formula>
    </cfRule>
  </conditionalFormatting>
  <conditionalFormatting sqref="U853">
    <cfRule type="containsText" dxfId="6" priority="3244" operator="containsText" text="Зниклі безвісти">
      <formula>NOT(ISERROR(SEARCH(("Зниклі безвісти"),(U853))))</formula>
    </cfRule>
  </conditionalFormatting>
  <conditionalFormatting sqref="U853">
    <cfRule type="containsText" dxfId="7" priority="3245" operator="containsText" text="Від-ні навчання">
      <formula>NOT(ISERROR(SEARCH(("Від-ні навчання"),(U853))))</formula>
    </cfRule>
  </conditionalFormatting>
  <conditionalFormatting sqref="U853">
    <cfRule type="containsText" dxfId="8" priority="3246" operator="containsText" text="Відком. за межі ПБ">
      <formula>NOT(ISERROR(SEARCH(("Відком. за межі ПБ"),(U853))))</formula>
    </cfRule>
  </conditionalFormatting>
  <conditionalFormatting sqref="U853">
    <cfRule type="containsText" dxfId="9" priority="3247" operator="containsText" text="Загиблі">
      <formula>NOT(ISERROR(SEARCH(("Загиблі"),(U853))))</formula>
    </cfRule>
  </conditionalFormatting>
  <conditionalFormatting sqref="U853">
    <cfRule type="containsText" dxfId="10" priority="3248" operator="containsText" text="Лікування">
      <formula>NOT(ISERROR(SEARCH(("Лікування"),(U853))))</formula>
    </cfRule>
  </conditionalFormatting>
  <conditionalFormatting sqref="N853">
    <cfRule type="expression" dxfId="0" priority="3249">
      <formula>COUNTIF(#REF!, N853) &gt; 1</formula>
    </cfRule>
  </conditionalFormatting>
  <conditionalFormatting sqref="N853">
    <cfRule type="expression" dxfId="0" priority="3250">
      <formula>COUNTIF(#REF!, N853) &gt; 1</formula>
    </cfRule>
  </conditionalFormatting>
  <conditionalFormatting sqref="Q853">
    <cfRule type="cellIs" dxfId="3" priority="3251" operator="equal">
      <formula>P853</formula>
    </cfRule>
  </conditionalFormatting>
  <conditionalFormatting sqref="Q853">
    <cfRule type="cellIs" dxfId="9" priority="3252" operator="notEqual">
      <formula>P853</formula>
    </cfRule>
  </conditionalFormatting>
  <conditionalFormatting sqref="U833:U852">
    <cfRule type="containsText" dxfId="10" priority="3253" operator="containsText" text="Лікування">
      <formula>NOT(ISERROR(SEARCH(("Лікування"),(U833))))</formula>
    </cfRule>
  </conditionalFormatting>
  <conditionalFormatting sqref="U833:U852">
    <cfRule type="containsText" dxfId="9" priority="3254" operator="containsText" text="Загиблі">
      <formula>NOT(ISERROR(SEARCH(("Загиблі"),(U833))))</formula>
    </cfRule>
  </conditionalFormatting>
  <conditionalFormatting sqref="U833:U852">
    <cfRule type="containsText" dxfId="8" priority="3255" operator="containsText" text="Відком. за межі ПБ">
      <formula>NOT(ISERROR(SEARCH(("Відком. за межі ПБ"),(U833))))</formula>
    </cfRule>
  </conditionalFormatting>
  <conditionalFormatting sqref="U833:U852">
    <cfRule type="containsText" dxfId="7" priority="3256" operator="containsText" text="Від-ні навчання">
      <formula>NOT(ISERROR(SEARCH(("Від-ні навчання"),(U833))))</formula>
    </cfRule>
  </conditionalFormatting>
  <conditionalFormatting sqref="U833:U852">
    <cfRule type="containsText" dxfId="6" priority="3257" operator="containsText" text="Зниклі безвісти">
      <formula>NOT(ISERROR(SEARCH(("Зниклі безвісти"),(U833))))</formula>
    </cfRule>
  </conditionalFormatting>
  <conditionalFormatting sqref="U833:U852">
    <cfRule type="containsText" dxfId="5" priority="3258" operator="containsText" text="СЗЧ">
      <formula>NOT(ISERROR(SEARCH(("СЗЧ"),(U833))))</formula>
    </cfRule>
  </conditionalFormatting>
  <conditionalFormatting sqref="U833:U852">
    <cfRule type="containsText" dxfId="4" priority="3259" operator="containsText" text="Відпустка">
      <formula>NOT(ISERROR(SEARCH(("Відпустка"),(U833))))</formula>
    </cfRule>
  </conditionalFormatting>
  <conditionalFormatting sqref="U833:U852">
    <cfRule type="containsText" dxfId="3" priority="3260" operator="containsText" text="В строю">
      <formula>NOT(ISERROR(SEARCH(("В строю"),(U833))))</formula>
    </cfRule>
  </conditionalFormatting>
  <conditionalFormatting sqref="Q833:Q852">
    <cfRule type="cellIs" dxfId="9" priority="3261" operator="notEqual">
      <formula>P833</formula>
    </cfRule>
  </conditionalFormatting>
  <conditionalFormatting sqref="Q833:Q852">
    <cfRule type="cellIs" dxfId="3" priority="3262" operator="equal">
      <formula>P833</formula>
    </cfRule>
  </conditionalFormatting>
  <conditionalFormatting sqref="N832 N834:N835 N837 N839 N842:N843 N847:N848 N850">
    <cfRule type="expression" dxfId="0" priority="3263">
      <formula>COUNTIF(#REF!, N832) &gt; 1</formula>
    </cfRule>
  </conditionalFormatting>
  <conditionalFormatting sqref="U832">
    <cfRule type="containsText" dxfId="10" priority="3264" operator="containsText" text="Лікування">
      <formula>NOT(ISERROR(SEARCH(("Лікування"),(U832))))</formula>
    </cfRule>
  </conditionalFormatting>
  <conditionalFormatting sqref="U832">
    <cfRule type="containsText" dxfId="9" priority="3265" operator="containsText" text="Загиблі">
      <formula>NOT(ISERROR(SEARCH(("Загиблі"),(U832))))</formula>
    </cfRule>
  </conditionalFormatting>
  <conditionalFormatting sqref="U832">
    <cfRule type="containsText" dxfId="8" priority="3266" operator="containsText" text="Відком. за межі ПБ">
      <formula>NOT(ISERROR(SEARCH(("Відком. за межі ПБ"),(U832))))</formula>
    </cfRule>
  </conditionalFormatting>
  <conditionalFormatting sqref="U832">
    <cfRule type="containsText" dxfId="7" priority="3267" operator="containsText" text="Від-ні навчання">
      <formula>NOT(ISERROR(SEARCH(("Від-ні навчання"),(U832))))</formula>
    </cfRule>
  </conditionalFormatting>
  <conditionalFormatting sqref="U832">
    <cfRule type="containsText" dxfId="6" priority="3268" operator="containsText" text="Зниклі безвісти">
      <formula>NOT(ISERROR(SEARCH(("Зниклі безвісти"),(U832))))</formula>
    </cfRule>
  </conditionalFormatting>
  <conditionalFormatting sqref="U832">
    <cfRule type="containsText" dxfId="5" priority="3269" operator="containsText" text="СЗЧ">
      <formula>NOT(ISERROR(SEARCH(("СЗЧ"),(U832))))</formula>
    </cfRule>
  </conditionalFormatting>
  <conditionalFormatting sqref="U832">
    <cfRule type="containsText" dxfId="4" priority="3270" operator="containsText" text="Відпустка">
      <formula>NOT(ISERROR(SEARCH(("Відпустка"),(U832))))</formula>
    </cfRule>
  </conditionalFormatting>
  <conditionalFormatting sqref="U832">
    <cfRule type="containsText" dxfId="3" priority="3271" operator="containsText" text="В строю">
      <formula>NOT(ISERROR(SEARCH(("В строю"),(U832))))</formula>
    </cfRule>
  </conditionalFormatting>
  <conditionalFormatting sqref="U832">
    <cfRule type="containsText" dxfId="3" priority="3272" operator="containsText" text="В строю">
      <formula>NOT(ISERROR(SEARCH(("В строю"),(U832))))</formula>
    </cfRule>
  </conditionalFormatting>
  <conditionalFormatting sqref="U832">
    <cfRule type="containsText" dxfId="4" priority="3273" operator="containsText" text="Відпустка">
      <formula>NOT(ISERROR(SEARCH(("Відпустка"),(U832))))</formula>
    </cfRule>
  </conditionalFormatting>
  <conditionalFormatting sqref="U832">
    <cfRule type="containsText" dxfId="5" priority="3274" operator="containsText" text="СЗЧ">
      <formula>NOT(ISERROR(SEARCH(("СЗЧ"),(U832))))</formula>
    </cfRule>
  </conditionalFormatting>
  <conditionalFormatting sqref="U832">
    <cfRule type="containsText" dxfId="6" priority="3275" operator="containsText" text="Зниклі безвісти">
      <formula>NOT(ISERROR(SEARCH(("Зниклі безвісти"),(U832))))</formula>
    </cfRule>
  </conditionalFormatting>
  <conditionalFormatting sqref="U832">
    <cfRule type="containsText" dxfId="7" priority="3276" operator="containsText" text="Від-ні навчання">
      <formula>NOT(ISERROR(SEARCH(("Від-ні навчання"),(U832))))</formula>
    </cfRule>
  </conditionalFormatting>
  <conditionalFormatting sqref="U832">
    <cfRule type="containsText" dxfId="8" priority="3277" operator="containsText" text="Відком. за межі ПБ">
      <formula>NOT(ISERROR(SEARCH(("Відком. за межі ПБ"),(U832))))</formula>
    </cfRule>
  </conditionalFormatting>
  <conditionalFormatting sqref="U832">
    <cfRule type="containsText" dxfId="9" priority="3278" operator="containsText" text="Загиблі">
      <formula>NOT(ISERROR(SEARCH(("Загиблі"),(U832))))</formula>
    </cfRule>
  </conditionalFormatting>
  <conditionalFormatting sqref="U832">
    <cfRule type="containsText" dxfId="10" priority="3279" operator="containsText" text="Лікування">
      <formula>NOT(ISERROR(SEARCH(("Лікування"),(U832))))</formula>
    </cfRule>
  </conditionalFormatting>
  <conditionalFormatting sqref="Q832">
    <cfRule type="cellIs" dxfId="9" priority="3280" operator="notEqual">
      <formula>P832</formula>
    </cfRule>
  </conditionalFormatting>
  <conditionalFormatting sqref="Q832">
    <cfRule type="cellIs" dxfId="3" priority="3281" operator="equal">
      <formula>P832</formula>
    </cfRule>
  </conditionalFormatting>
  <conditionalFormatting sqref="N831">
    <cfRule type="expression" dxfId="0" priority="3282">
      <formula>COUNTIF(#REF!, N831) &gt; 1</formula>
    </cfRule>
  </conditionalFormatting>
  <conditionalFormatting sqref="U831">
    <cfRule type="containsText" dxfId="10" priority="3283" operator="containsText" text="Лікування">
      <formula>NOT(ISERROR(SEARCH(("Лікування"),(U831))))</formula>
    </cfRule>
  </conditionalFormatting>
  <conditionalFormatting sqref="U831">
    <cfRule type="containsText" dxfId="9" priority="3284" operator="containsText" text="Загиблі">
      <formula>NOT(ISERROR(SEARCH(("Загиблі"),(U831))))</formula>
    </cfRule>
  </conditionalFormatting>
  <conditionalFormatting sqref="U831">
    <cfRule type="containsText" dxfId="8" priority="3285" operator="containsText" text="Відком. за межі ПБ">
      <formula>NOT(ISERROR(SEARCH(("Відком. за межі ПБ"),(U831))))</formula>
    </cfRule>
  </conditionalFormatting>
  <conditionalFormatting sqref="U831">
    <cfRule type="containsText" dxfId="7" priority="3286" operator="containsText" text="Від-ні навчання">
      <formula>NOT(ISERROR(SEARCH(("Від-ні навчання"),(U831))))</formula>
    </cfRule>
  </conditionalFormatting>
  <conditionalFormatting sqref="U831">
    <cfRule type="containsText" dxfId="6" priority="3287" operator="containsText" text="Зниклі безвісти">
      <formula>NOT(ISERROR(SEARCH(("Зниклі безвісти"),(U831))))</formula>
    </cfRule>
  </conditionalFormatting>
  <conditionalFormatting sqref="U831">
    <cfRule type="containsText" dxfId="5" priority="3288" operator="containsText" text="СЗЧ">
      <formula>NOT(ISERROR(SEARCH(("СЗЧ"),(U831))))</formula>
    </cfRule>
  </conditionalFormatting>
  <conditionalFormatting sqref="U831">
    <cfRule type="containsText" dxfId="4" priority="3289" operator="containsText" text="Відпустка">
      <formula>NOT(ISERROR(SEARCH(("Відпустка"),(U831))))</formula>
    </cfRule>
  </conditionalFormatting>
  <conditionalFormatting sqref="U831">
    <cfRule type="containsText" dxfId="3" priority="3290" operator="containsText" text="В строю">
      <formula>NOT(ISERROR(SEARCH(("В строю"),(U831))))</formula>
    </cfRule>
  </conditionalFormatting>
  <conditionalFormatting sqref="U831">
    <cfRule type="containsText" dxfId="3" priority="3291" operator="containsText" text="В строю">
      <formula>NOT(ISERROR(SEARCH(("В строю"),(U831))))</formula>
    </cfRule>
  </conditionalFormatting>
  <conditionalFormatting sqref="U831">
    <cfRule type="containsText" dxfId="4" priority="3292" operator="containsText" text="Відпустка">
      <formula>NOT(ISERROR(SEARCH(("Відпустка"),(U831))))</formula>
    </cfRule>
  </conditionalFormatting>
  <conditionalFormatting sqref="U831">
    <cfRule type="containsText" dxfId="5" priority="3293" operator="containsText" text="СЗЧ">
      <formula>NOT(ISERROR(SEARCH(("СЗЧ"),(U831))))</formula>
    </cfRule>
  </conditionalFormatting>
  <conditionalFormatting sqref="U831">
    <cfRule type="containsText" dxfId="6" priority="3294" operator="containsText" text="Зниклі безвісти">
      <formula>NOT(ISERROR(SEARCH(("Зниклі безвісти"),(U831))))</formula>
    </cfRule>
  </conditionalFormatting>
  <conditionalFormatting sqref="U831">
    <cfRule type="containsText" dxfId="7" priority="3295" operator="containsText" text="Від-ні навчання">
      <formula>NOT(ISERROR(SEARCH(("Від-ні навчання"),(U831))))</formula>
    </cfRule>
  </conditionalFormatting>
  <conditionalFormatting sqref="U831">
    <cfRule type="containsText" dxfId="8" priority="3296" operator="containsText" text="Відком. за межі ПБ">
      <formula>NOT(ISERROR(SEARCH(("Відком. за межі ПБ"),(U831))))</formula>
    </cfRule>
  </conditionalFormatting>
  <conditionalFormatting sqref="U831">
    <cfRule type="containsText" dxfId="9" priority="3297" operator="containsText" text="Загиблі">
      <formula>NOT(ISERROR(SEARCH(("Загиблі"),(U831))))</formula>
    </cfRule>
  </conditionalFormatting>
  <conditionalFormatting sqref="U831">
    <cfRule type="containsText" dxfId="10" priority="3298" operator="containsText" text="Лікування">
      <formula>NOT(ISERROR(SEARCH(("Лікування"),(U831))))</formula>
    </cfRule>
  </conditionalFormatting>
  <conditionalFormatting sqref="Q830">
    <cfRule type="cellIs" dxfId="3" priority="3299" operator="equal">
      <formula>P830</formula>
    </cfRule>
  </conditionalFormatting>
  <conditionalFormatting sqref="Q830">
    <cfRule type="cellIs" dxfId="9" priority="3300" operator="notEqual">
      <formula>P830</formula>
    </cfRule>
  </conditionalFormatting>
  <conditionalFormatting sqref="U830">
    <cfRule type="containsText" dxfId="10" priority="3301" operator="containsText" text="Лікування">
      <formula>NOT(ISERROR(SEARCH(("Лікування"),(U830))))</formula>
    </cfRule>
  </conditionalFormatting>
  <conditionalFormatting sqref="U830">
    <cfRule type="containsText" dxfId="9" priority="3302" operator="containsText" text="Загиблі">
      <formula>NOT(ISERROR(SEARCH(("Загиблі"),(U830))))</formula>
    </cfRule>
  </conditionalFormatting>
  <conditionalFormatting sqref="U830">
    <cfRule type="containsText" dxfId="8" priority="3303" operator="containsText" text="Відком. за межі ПБ">
      <formula>NOT(ISERROR(SEARCH(("Відком. за межі ПБ"),(U830))))</formula>
    </cfRule>
  </conditionalFormatting>
  <conditionalFormatting sqref="U830">
    <cfRule type="containsText" dxfId="7" priority="3304" operator="containsText" text="Від-ні навчання">
      <formula>NOT(ISERROR(SEARCH(("Від-ні навчання"),(U830))))</formula>
    </cfRule>
  </conditionalFormatting>
  <conditionalFormatting sqref="U830">
    <cfRule type="containsText" dxfId="6" priority="3305" operator="containsText" text="Зниклі безвісти">
      <formula>NOT(ISERROR(SEARCH(("Зниклі безвісти"),(U830))))</formula>
    </cfRule>
  </conditionalFormatting>
  <conditionalFormatting sqref="U830">
    <cfRule type="containsText" dxfId="5" priority="3306" operator="containsText" text="СЗЧ">
      <formula>NOT(ISERROR(SEARCH(("СЗЧ"),(U830))))</formula>
    </cfRule>
  </conditionalFormatting>
  <conditionalFormatting sqref="U830">
    <cfRule type="containsText" dxfId="4" priority="3307" operator="containsText" text="Відпустка">
      <formula>NOT(ISERROR(SEARCH(("Відпустка"),(U830))))</formula>
    </cfRule>
  </conditionalFormatting>
  <conditionalFormatting sqref="U830">
    <cfRule type="containsText" dxfId="3" priority="3308" operator="containsText" text="В строю">
      <formula>NOT(ISERROR(SEARCH(("В строю"),(U830))))</formula>
    </cfRule>
  </conditionalFormatting>
  <conditionalFormatting sqref="N830">
    <cfRule type="expression" dxfId="0" priority="3309">
      <formula>COUNTIF(#REF!, N830) &gt; 1</formula>
    </cfRule>
  </conditionalFormatting>
  <conditionalFormatting sqref="U830">
    <cfRule type="containsText" dxfId="3" priority="3310" operator="containsText" text="В строю">
      <formula>NOT(ISERROR(SEARCH(("В строю"),(U830))))</formula>
    </cfRule>
  </conditionalFormatting>
  <conditionalFormatting sqref="U830">
    <cfRule type="containsText" dxfId="4" priority="3311" operator="containsText" text="Відпустка">
      <formula>NOT(ISERROR(SEARCH(("Відпустка"),(U830))))</formula>
    </cfRule>
  </conditionalFormatting>
  <conditionalFormatting sqref="U830">
    <cfRule type="containsText" dxfId="5" priority="3312" operator="containsText" text="СЗЧ">
      <formula>NOT(ISERROR(SEARCH(("СЗЧ"),(U830))))</formula>
    </cfRule>
  </conditionalFormatting>
  <conditionalFormatting sqref="U830">
    <cfRule type="containsText" dxfId="6" priority="3313" operator="containsText" text="Зниклі безвісти">
      <formula>NOT(ISERROR(SEARCH(("Зниклі безвісти"),(U830))))</formula>
    </cfRule>
  </conditionalFormatting>
  <conditionalFormatting sqref="U830">
    <cfRule type="containsText" dxfId="7" priority="3314" operator="containsText" text="Від-ні навчання">
      <formula>NOT(ISERROR(SEARCH(("Від-ні навчання"),(U830))))</formula>
    </cfRule>
  </conditionalFormatting>
  <conditionalFormatting sqref="U830">
    <cfRule type="containsText" dxfId="8" priority="3315" operator="containsText" text="Відком. за межі ПБ">
      <formula>NOT(ISERROR(SEARCH(("Відком. за межі ПБ"),(U830))))</formula>
    </cfRule>
  </conditionalFormatting>
  <conditionalFormatting sqref="U830">
    <cfRule type="containsText" dxfId="9" priority="3316" operator="containsText" text="Загиблі">
      <formula>NOT(ISERROR(SEARCH(("Загиблі"),(U830))))</formula>
    </cfRule>
  </conditionalFormatting>
  <conditionalFormatting sqref="U830">
    <cfRule type="containsText" dxfId="10" priority="3317" operator="containsText" text="Лікування">
      <formula>NOT(ISERROR(SEARCH(("Лікування"),(U830))))</formula>
    </cfRule>
  </conditionalFormatting>
  <conditionalFormatting sqref="U829">
    <cfRule type="containsText" dxfId="10" priority="3318" operator="containsText" text="Лікування">
      <formula>NOT(ISERROR(SEARCH(("Лікування"),(U829))))</formula>
    </cfRule>
  </conditionalFormatting>
  <conditionalFormatting sqref="U829">
    <cfRule type="containsText" dxfId="9" priority="3319" operator="containsText" text="Загиблі">
      <formula>NOT(ISERROR(SEARCH(("Загиблі"),(U829))))</formula>
    </cfRule>
  </conditionalFormatting>
  <conditionalFormatting sqref="U829">
    <cfRule type="containsText" dxfId="8" priority="3320" operator="containsText" text="Відком. за межі ПБ">
      <formula>NOT(ISERROR(SEARCH(("Відком. за межі ПБ"),(U829))))</formula>
    </cfRule>
  </conditionalFormatting>
  <conditionalFormatting sqref="U829">
    <cfRule type="containsText" dxfId="7" priority="3321" operator="containsText" text="Від-ні навчання">
      <formula>NOT(ISERROR(SEARCH(("Від-ні навчання"),(U829))))</formula>
    </cfRule>
  </conditionalFormatting>
  <conditionalFormatting sqref="U829">
    <cfRule type="containsText" dxfId="6" priority="3322" operator="containsText" text="Зниклі безвісти">
      <formula>NOT(ISERROR(SEARCH(("Зниклі безвісти"),(U829))))</formula>
    </cfRule>
  </conditionalFormatting>
  <conditionalFormatting sqref="U829">
    <cfRule type="containsText" dxfId="5" priority="3323" operator="containsText" text="СЗЧ">
      <formula>NOT(ISERROR(SEARCH(("СЗЧ"),(U829))))</formula>
    </cfRule>
  </conditionalFormatting>
  <conditionalFormatting sqref="U829">
    <cfRule type="containsText" dxfId="4" priority="3324" operator="containsText" text="Відпустка">
      <formula>NOT(ISERROR(SEARCH(("Відпустка"),(U829))))</formula>
    </cfRule>
  </conditionalFormatting>
  <conditionalFormatting sqref="U829">
    <cfRule type="containsText" dxfId="3" priority="3325" operator="containsText" text="В строю">
      <formula>NOT(ISERROR(SEARCH(("В строю"),(U829))))</formula>
    </cfRule>
  </conditionalFormatting>
  <conditionalFormatting sqref="E829 N829">
    <cfRule type="expression" dxfId="0" priority="3326">
      <formula>COUNTIF(#REF!, E829) &gt; 1</formula>
    </cfRule>
  </conditionalFormatting>
  <conditionalFormatting sqref="Q829">
    <cfRule type="cellIs" dxfId="9" priority="3327" operator="notEqual">
      <formula>P829</formula>
    </cfRule>
  </conditionalFormatting>
  <conditionalFormatting sqref="Q829">
    <cfRule type="cellIs" dxfId="3" priority="3328" operator="equal">
      <formula>P829</formula>
    </cfRule>
  </conditionalFormatting>
  <conditionalFormatting sqref="U829">
    <cfRule type="containsText" dxfId="3" priority="3329" operator="containsText" text="В строю">
      <formula>NOT(ISERROR(SEARCH(("В строю"),(U829))))</formula>
    </cfRule>
  </conditionalFormatting>
  <conditionalFormatting sqref="U829">
    <cfRule type="containsText" dxfId="4" priority="3330" operator="containsText" text="Відпустка">
      <formula>NOT(ISERROR(SEARCH(("Відпустка"),(U829))))</formula>
    </cfRule>
  </conditionalFormatting>
  <conditionalFormatting sqref="U829">
    <cfRule type="containsText" dxfId="5" priority="3331" operator="containsText" text="СЗЧ">
      <formula>NOT(ISERROR(SEARCH(("СЗЧ"),(U829))))</formula>
    </cfRule>
  </conditionalFormatting>
  <conditionalFormatting sqref="U829">
    <cfRule type="containsText" dxfId="6" priority="3332" operator="containsText" text="Зниклі безвісти">
      <formula>NOT(ISERROR(SEARCH(("Зниклі безвісти"),(U829))))</formula>
    </cfRule>
  </conditionalFormatting>
  <conditionalFormatting sqref="U829">
    <cfRule type="containsText" dxfId="7" priority="3333" operator="containsText" text="Від-ні навчання">
      <formula>NOT(ISERROR(SEARCH(("Від-ні навчання"),(U829))))</formula>
    </cfRule>
  </conditionalFormatting>
  <conditionalFormatting sqref="U829">
    <cfRule type="containsText" dxfId="8" priority="3334" operator="containsText" text="Відком. за межі ПБ">
      <formula>NOT(ISERROR(SEARCH(("Відком. за межі ПБ"),(U829))))</formula>
    </cfRule>
  </conditionalFormatting>
  <conditionalFormatting sqref="U829">
    <cfRule type="containsText" dxfId="9" priority="3335" operator="containsText" text="Загиблі">
      <formula>NOT(ISERROR(SEARCH(("Загиблі"),(U829))))</formula>
    </cfRule>
  </conditionalFormatting>
  <conditionalFormatting sqref="U829">
    <cfRule type="containsText" dxfId="10" priority="3336" operator="containsText" text="Лікування">
      <formula>NOT(ISERROR(SEARCH(("Лікування"),(U829))))</formula>
    </cfRule>
  </conditionalFormatting>
  <conditionalFormatting sqref="U828">
    <cfRule type="containsText" dxfId="10" priority="3337" operator="containsText" text="Лікування">
      <formula>NOT(ISERROR(SEARCH(("Лікування"),(U828))))</formula>
    </cfRule>
  </conditionalFormatting>
  <conditionalFormatting sqref="U828">
    <cfRule type="containsText" dxfId="9" priority="3338" operator="containsText" text="Загиблі">
      <formula>NOT(ISERROR(SEARCH(("Загиблі"),(U828))))</formula>
    </cfRule>
  </conditionalFormatting>
  <conditionalFormatting sqref="U828">
    <cfRule type="containsText" dxfId="8" priority="3339" operator="containsText" text="Відком. за межі ПБ">
      <formula>NOT(ISERROR(SEARCH(("Відком. за межі ПБ"),(U828))))</formula>
    </cfRule>
  </conditionalFormatting>
  <conditionalFormatting sqref="U828">
    <cfRule type="containsText" dxfId="7" priority="3340" operator="containsText" text="Від-ні навчання">
      <formula>NOT(ISERROR(SEARCH(("Від-ні навчання"),(U828))))</formula>
    </cfRule>
  </conditionalFormatting>
  <conditionalFormatting sqref="U828">
    <cfRule type="containsText" dxfId="6" priority="3341" operator="containsText" text="Зниклі безвісти">
      <formula>NOT(ISERROR(SEARCH(("Зниклі безвісти"),(U828))))</formula>
    </cfRule>
  </conditionalFormatting>
  <conditionalFormatting sqref="U828">
    <cfRule type="containsText" dxfId="5" priority="3342" operator="containsText" text="СЗЧ">
      <formula>NOT(ISERROR(SEARCH(("СЗЧ"),(U828))))</formula>
    </cfRule>
  </conditionalFormatting>
  <conditionalFormatting sqref="U828">
    <cfRule type="containsText" dxfId="4" priority="3343" operator="containsText" text="Відпустка">
      <formula>NOT(ISERROR(SEARCH(("Відпустка"),(U828))))</formula>
    </cfRule>
  </conditionalFormatting>
  <conditionalFormatting sqref="U828">
    <cfRule type="containsText" dxfId="3" priority="3344" operator="containsText" text="В строю">
      <formula>NOT(ISERROR(SEARCH(("В строю"),(U828))))</formula>
    </cfRule>
  </conditionalFormatting>
  <conditionalFormatting sqref="U828">
    <cfRule type="containsText" dxfId="3" priority="3345" operator="containsText" text="В строю">
      <formula>NOT(ISERROR(SEARCH(("В строю"),(U828))))</formula>
    </cfRule>
  </conditionalFormatting>
  <conditionalFormatting sqref="U828">
    <cfRule type="containsText" dxfId="4" priority="3346" operator="containsText" text="Відпустка">
      <formula>NOT(ISERROR(SEARCH(("Відпустка"),(U828))))</formula>
    </cfRule>
  </conditionalFormatting>
  <conditionalFormatting sqref="U828">
    <cfRule type="containsText" dxfId="5" priority="3347" operator="containsText" text="СЗЧ">
      <formula>NOT(ISERROR(SEARCH(("СЗЧ"),(U828))))</formula>
    </cfRule>
  </conditionalFormatting>
  <conditionalFormatting sqref="U828">
    <cfRule type="containsText" dxfId="6" priority="3348" operator="containsText" text="Зниклі безвісти">
      <formula>NOT(ISERROR(SEARCH(("Зниклі безвісти"),(U828))))</formula>
    </cfRule>
  </conditionalFormatting>
  <conditionalFormatting sqref="U828">
    <cfRule type="containsText" dxfId="7" priority="3349" operator="containsText" text="Від-ні навчання">
      <formula>NOT(ISERROR(SEARCH(("Від-ні навчання"),(U828))))</formula>
    </cfRule>
  </conditionalFormatting>
  <conditionalFormatting sqref="U828">
    <cfRule type="containsText" dxfId="8" priority="3350" operator="containsText" text="Відком. за межі ПБ">
      <formula>NOT(ISERROR(SEARCH(("Відком. за межі ПБ"),(U828))))</formula>
    </cfRule>
  </conditionalFormatting>
  <conditionalFormatting sqref="U828">
    <cfRule type="containsText" dxfId="9" priority="3351" operator="containsText" text="Загиблі">
      <formula>NOT(ISERROR(SEARCH(("Загиблі"),(U828))))</formula>
    </cfRule>
  </conditionalFormatting>
  <conditionalFormatting sqref="U828">
    <cfRule type="containsText" dxfId="10" priority="3352" operator="containsText" text="Лікування">
      <formula>NOT(ISERROR(SEARCH(("Лікування"),(U828))))</formula>
    </cfRule>
  </conditionalFormatting>
  <conditionalFormatting sqref="N828">
    <cfRule type="expression" dxfId="0" priority="3353">
      <formula>COUNTIF(#REF!, N828) &gt; 1</formula>
    </cfRule>
  </conditionalFormatting>
  <conditionalFormatting sqref="Q828">
    <cfRule type="cellIs" dxfId="9" priority="3354" operator="notEqual">
      <formula>P828</formula>
    </cfRule>
  </conditionalFormatting>
  <conditionalFormatting sqref="Q828">
    <cfRule type="cellIs" dxfId="3" priority="3355" operator="equal">
      <formula>P828</formula>
    </cfRule>
  </conditionalFormatting>
  <conditionalFormatting sqref="N827">
    <cfRule type="expression" dxfId="0" priority="3356">
      <formula>COUNTIF(#REF!, N827) &gt; 1</formula>
    </cfRule>
  </conditionalFormatting>
  <conditionalFormatting sqref="U827">
    <cfRule type="containsText" dxfId="10" priority="3357" operator="containsText" text="Лікування">
      <formula>NOT(ISERROR(SEARCH(("Лікування"),(U827))))</formula>
    </cfRule>
  </conditionalFormatting>
  <conditionalFormatting sqref="U827">
    <cfRule type="containsText" dxfId="9" priority="3358" operator="containsText" text="Загиблі">
      <formula>NOT(ISERROR(SEARCH(("Загиблі"),(U827))))</formula>
    </cfRule>
  </conditionalFormatting>
  <conditionalFormatting sqref="U827">
    <cfRule type="containsText" dxfId="8" priority="3359" operator="containsText" text="Відком. за межі ПБ">
      <formula>NOT(ISERROR(SEARCH(("Відком. за межі ПБ"),(U827))))</formula>
    </cfRule>
  </conditionalFormatting>
  <conditionalFormatting sqref="U827">
    <cfRule type="containsText" dxfId="7" priority="3360" operator="containsText" text="Від-ні навчання">
      <formula>NOT(ISERROR(SEARCH(("Від-ні навчання"),(U827))))</formula>
    </cfRule>
  </conditionalFormatting>
  <conditionalFormatting sqref="U827">
    <cfRule type="containsText" dxfId="6" priority="3361" operator="containsText" text="Зниклі безвісти">
      <formula>NOT(ISERROR(SEARCH(("Зниклі безвісти"),(U827))))</formula>
    </cfRule>
  </conditionalFormatting>
  <conditionalFormatting sqref="U827">
    <cfRule type="containsText" dxfId="5" priority="3362" operator="containsText" text="СЗЧ">
      <formula>NOT(ISERROR(SEARCH(("СЗЧ"),(U827))))</formula>
    </cfRule>
  </conditionalFormatting>
  <conditionalFormatting sqref="U827">
    <cfRule type="containsText" dxfId="4" priority="3363" operator="containsText" text="Відпустка">
      <formula>NOT(ISERROR(SEARCH(("Відпустка"),(U827))))</formula>
    </cfRule>
  </conditionalFormatting>
  <conditionalFormatting sqref="U827">
    <cfRule type="containsText" dxfId="3" priority="3364" operator="containsText" text="В строю">
      <formula>NOT(ISERROR(SEARCH(("В строю"),(U827))))</formula>
    </cfRule>
  </conditionalFormatting>
  <conditionalFormatting sqref="Q827">
    <cfRule type="cellIs" dxfId="9" priority="3365" operator="notEqual">
      <formula>P827</formula>
    </cfRule>
  </conditionalFormatting>
  <conditionalFormatting sqref="Q827">
    <cfRule type="cellIs" dxfId="3" priority="3366" operator="equal">
      <formula>P827</formula>
    </cfRule>
  </conditionalFormatting>
  <conditionalFormatting sqref="U827">
    <cfRule type="containsText" dxfId="3" priority="3367" operator="containsText" text="В строю">
      <formula>NOT(ISERROR(SEARCH(("В строю"),(U827))))</formula>
    </cfRule>
  </conditionalFormatting>
  <conditionalFormatting sqref="U827">
    <cfRule type="containsText" dxfId="4" priority="3368" operator="containsText" text="Відпустка">
      <formula>NOT(ISERROR(SEARCH(("Відпустка"),(U827))))</formula>
    </cfRule>
  </conditionalFormatting>
  <conditionalFormatting sqref="U827">
    <cfRule type="containsText" dxfId="5" priority="3369" operator="containsText" text="СЗЧ">
      <formula>NOT(ISERROR(SEARCH(("СЗЧ"),(U827))))</formula>
    </cfRule>
  </conditionalFormatting>
  <conditionalFormatting sqref="U827">
    <cfRule type="containsText" dxfId="6" priority="3370" operator="containsText" text="Зниклі безвісти">
      <formula>NOT(ISERROR(SEARCH(("Зниклі безвісти"),(U827))))</formula>
    </cfRule>
  </conditionalFormatting>
  <conditionalFormatting sqref="U827">
    <cfRule type="containsText" dxfId="7" priority="3371" operator="containsText" text="Від-ні навчання">
      <formula>NOT(ISERROR(SEARCH(("Від-ні навчання"),(U827))))</formula>
    </cfRule>
  </conditionalFormatting>
  <conditionalFormatting sqref="U827">
    <cfRule type="containsText" dxfId="8" priority="3372" operator="containsText" text="Відком. за межі ПБ">
      <formula>NOT(ISERROR(SEARCH(("Відком. за межі ПБ"),(U827))))</formula>
    </cfRule>
  </conditionalFormatting>
  <conditionalFormatting sqref="U827">
    <cfRule type="containsText" dxfId="9" priority="3373" operator="containsText" text="Загиблі">
      <formula>NOT(ISERROR(SEARCH(("Загиблі"),(U827))))</formula>
    </cfRule>
  </conditionalFormatting>
  <conditionalFormatting sqref="U827">
    <cfRule type="containsText" dxfId="10" priority="3374" operator="containsText" text="Лікування">
      <formula>NOT(ISERROR(SEARCH(("Лікування"),(U827))))</formula>
    </cfRule>
  </conditionalFormatting>
  <conditionalFormatting sqref="N826">
    <cfRule type="expression" dxfId="0" priority="3375">
      <formula>COUNTIF(#REF!, N826) &gt; 1</formula>
    </cfRule>
  </conditionalFormatting>
  <conditionalFormatting sqref="U826">
    <cfRule type="containsText" dxfId="3" priority="3376" operator="containsText" text="В строю">
      <formula>NOT(ISERROR(SEARCH(("В строю"),(U826))))</formula>
    </cfRule>
  </conditionalFormatting>
  <conditionalFormatting sqref="U826">
    <cfRule type="containsText" dxfId="4" priority="3377" operator="containsText" text="Відпустка">
      <formula>NOT(ISERROR(SEARCH(("Відпустка"),(U826))))</formula>
    </cfRule>
  </conditionalFormatting>
  <conditionalFormatting sqref="U826">
    <cfRule type="containsText" dxfId="5" priority="3378" operator="containsText" text="СЗЧ">
      <formula>NOT(ISERROR(SEARCH(("СЗЧ"),(U826))))</formula>
    </cfRule>
  </conditionalFormatting>
  <conditionalFormatting sqref="U826">
    <cfRule type="containsText" dxfId="6" priority="3379" operator="containsText" text="Зниклі безвісти">
      <formula>NOT(ISERROR(SEARCH(("Зниклі безвісти"),(U826))))</formula>
    </cfRule>
  </conditionalFormatting>
  <conditionalFormatting sqref="U826">
    <cfRule type="containsText" dxfId="7" priority="3380" operator="containsText" text="Від-ні навчання">
      <formula>NOT(ISERROR(SEARCH(("Від-ні навчання"),(U826))))</formula>
    </cfRule>
  </conditionalFormatting>
  <conditionalFormatting sqref="U826">
    <cfRule type="containsText" dxfId="8" priority="3381" operator="containsText" text="Відком. за межі ПБ">
      <formula>NOT(ISERROR(SEARCH(("Відком. за межі ПБ"),(U826))))</formula>
    </cfRule>
  </conditionalFormatting>
  <conditionalFormatting sqref="U826">
    <cfRule type="containsText" dxfId="9" priority="3382" operator="containsText" text="Загиблі">
      <formula>NOT(ISERROR(SEARCH(("Загиблі"),(U826))))</formula>
    </cfRule>
  </conditionalFormatting>
  <conditionalFormatting sqref="U826">
    <cfRule type="containsText" dxfId="10" priority="3383" operator="containsText" text="Лікування">
      <formula>NOT(ISERROR(SEARCH(("Лікування"),(U826))))</formula>
    </cfRule>
  </conditionalFormatting>
  <conditionalFormatting sqref="Q826">
    <cfRule type="cellIs" dxfId="9" priority="3384" operator="notEqual">
      <formula>P826</formula>
    </cfRule>
  </conditionalFormatting>
  <conditionalFormatting sqref="Q826">
    <cfRule type="cellIs" dxfId="3" priority="3385" operator="equal">
      <formula>P826</formula>
    </cfRule>
  </conditionalFormatting>
  <conditionalFormatting sqref="U826">
    <cfRule type="containsText" dxfId="10" priority="3386" operator="containsText" text="Лікування">
      <formula>NOT(ISERROR(SEARCH(("Лікування"),(U826))))</formula>
    </cfRule>
  </conditionalFormatting>
  <conditionalFormatting sqref="U826">
    <cfRule type="containsText" dxfId="9" priority="3387" operator="containsText" text="Загиблі">
      <formula>NOT(ISERROR(SEARCH(("Загиблі"),(U826))))</formula>
    </cfRule>
  </conditionalFormatting>
  <conditionalFormatting sqref="U826">
    <cfRule type="containsText" dxfId="8" priority="3388" operator="containsText" text="Відком. за межі ПБ">
      <formula>NOT(ISERROR(SEARCH(("Відком. за межі ПБ"),(U826))))</formula>
    </cfRule>
  </conditionalFormatting>
  <conditionalFormatting sqref="U826">
    <cfRule type="containsText" dxfId="7" priority="3389" operator="containsText" text="Від-ні навчання">
      <formula>NOT(ISERROR(SEARCH(("Від-ні навчання"),(U826))))</formula>
    </cfRule>
  </conditionalFormatting>
  <conditionalFormatting sqref="U826">
    <cfRule type="containsText" dxfId="6" priority="3390" operator="containsText" text="Зниклі безвісти">
      <formula>NOT(ISERROR(SEARCH(("Зниклі безвісти"),(U826))))</formula>
    </cfRule>
  </conditionalFormatting>
  <conditionalFormatting sqref="U826">
    <cfRule type="containsText" dxfId="5" priority="3391" operator="containsText" text="СЗЧ">
      <formula>NOT(ISERROR(SEARCH(("СЗЧ"),(U826))))</formula>
    </cfRule>
  </conditionalFormatting>
  <conditionalFormatting sqref="U826">
    <cfRule type="containsText" dxfId="4" priority="3392" operator="containsText" text="Відпустка">
      <formula>NOT(ISERROR(SEARCH(("Відпустка"),(U826))))</formula>
    </cfRule>
  </conditionalFormatting>
  <conditionalFormatting sqref="U826">
    <cfRule type="containsText" dxfId="3" priority="3393" operator="containsText" text="В строю">
      <formula>NOT(ISERROR(SEARCH(("В строю"),(U826))))</formula>
    </cfRule>
  </conditionalFormatting>
  <conditionalFormatting sqref="N825">
    <cfRule type="expression" dxfId="0" priority="3394">
      <formula>COUNTIF(#REF!, N825) &gt; 1</formula>
    </cfRule>
  </conditionalFormatting>
  <conditionalFormatting sqref="U825">
    <cfRule type="containsText" dxfId="10" priority="3395" operator="containsText" text="Лікування">
      <formula>NOT(ISERROR(SEARCH(("Лікування"),(U825))))</formula>
    </cfRule>
  </conditionalFormatting>
  <conditionalFormatting sqref="U825">
    <cfRule type="containsText" dxfId="9" priority="3396" operator="containsText" text="Загиблі">
      <formula>NOT(ISERROR(SEARCH(("Загиблі"),(U825))))</formula>
    </cfRule>
  </conditionalFormatting>
  <conditionalFormatting sqref="U825">
    <cfRule type="containsText" dxfId="8" priority="3397" operator="containsText" text="Відком. за межі ПБ">
      <formula>NOT(ISERROR(SEARCH(("Відком. за межі ПБ"),(U825))))</formula>
    </cfRule>
  </conditionalFormatting>
  <conditionalFormatting sqref="U825">
    <cfRule type="containsText" dxfId="7" priority="3398" operator="containsText" text="Від-ні навчання">
      <formula>NOT(ISERROR(SEARCH(("Від-ні навчання"),(U825))))</formula>
    </cfRule>
  </conditionalFormatting>
  <conditionalFormatting sqref="U825">
    <cfRule type="containsText" dxfId="6" priority="3399" operator="containsText" text="Зниклі безвісти">
      <formula>NOT(ISERROR(SEARCH(("Зниклі безвісти"),(U825))))</formula>
    </cfRule>
  </conditionalFormatting>
  <conditionalFormatting sqref="U825">
    <cfRule type="containsText" dxfId="5" priority="3400" operator="containsText" text="СЗЧ">
      <formula>NOT(ISERROR(SEARCH(("СЗЧ"),(U825))))</formula>
    </cfRule>
  </conditionalFormatting>
  <conditionalFormatting sqref="U825">
    <cfRule type="containsText" dxfId="4" priority="3401" operator="containsText" text="Відпустка">
      <formula>NOT(ISERROR(SEARCH(("Відпустка"),(U825))))</formula>
    </cfRule>
  </conditionalFormatting>
  <conditionalFormatting sqref="U825">
    <cfRule type="containsText" dxfId="3" priority="3402" operator="containsText" text="В строю">
      <formula>NOT(ISERROR(SEARCH(("В строю"),(U825))))</formula>
    </cfRule>
  </conditionalFormatting>
  <conditionalFormatting sqref="U825">
    <cfRule type="containsText" dxfId="3" priority="3403" operator="containsText" text="В строю">
      <formula>NOT(ISERROR(SEARCH(("В строю"),(U825))))</formula>
    </cfRule>
  </conditionalFormatting>
  <conditionalFormatting sqref="U825">
    <cfRule type="containsText" dxfId="4" priority="3404" operator="containsText" text="Відпустка">
      <formula>NOT(ISERROR(SEARCH(("Відпустка"),(U825))))</formula>
    </cfRule>
  </conditionalFormatting>
  <conditionalFormatting sqref="U825">
    <cfRule type="containsText" dxfId="5" priority="3405" operator="containsText" text="СЗЧ">
      <formula>NOT(ISERROR(SEARCH(("СЗЧ"),(U825))))</formula>
    </cfRule>
  </conditionalFormatting>
  <conditionalFormatting sqref="U825">
    <cfRule type="containsText" dxfId="6" priority="3406" operator="containsText" text="Зниклі безвісти">
      <formula>NOT(ISERROR(SEARCH(("Зниклі безвісти"),(U825))))</formula>
    </cfRule>
  </conditionalFormatting>
  <conditionalFormatting sqref="U825">
    <cfRule type="containsText" dxfId="7" priority="3407" operator="containsText" text="Від-ні навчання">
      <formula>NOT(ISERROR(SEARCH(("Від-ні навчання"),(U825))))</formula>
    </cfRule>
  </conditionalFormatting>
  <conditionalFormatting sqref="U825">
    <cfRule type="containsText" dxfId="8" priority="3408" operator="containsText" text="Відком. за межі ПБ">
      <formula>NOT(ISERROR(SEARCH(("Відком. за межі ПБ"),(U825))))</formula>
    </cfRule>
  </conditionalFormatting>
  <conditionalFormatting sqref="U825">
    <cfRule type="containsText" dxfId="9" priority="3409" operator="containsText" text="Загиблі">
      <formula>NOT(ISERROR(SEARCH(("Загиблі"),(U825))))</formula>
    </cfRule>
  </conditionalFormatting>
  <conditionalFormatting sqref="U825">
    <cfRule type="containsText" dxfId="10" priority="3410" operator="containsText" text="Лікування">
      <formula>NOT(ISERROR(SEARCH(("Лікування"),(U825))))</formula>
    </cfRule>
  </conditionalFormatting>
  <conditionalFormatting sqref="Q825">
    <cfRule type="cellIs" dxfId="9" priority="3411" operator="notEqual">
      <formula>P825</formula>
    </cfRule>
  </conditionalFormatting>
  <conditionalFormatting sqref="Q825">
    <cfRule type="cellIs" dxfId="3" priority="3412" operator="equal">
      <formula>P825</formula>
    </cfRule>
  </conditionalFormatting>
  <conditionalFormatting sqref="U824">
    <cfRule type="containsText" dxfId="3" priority="3413" operator="containsText" text="В строю">
      <formula>NOT(ISERROR(SEARCH(("В строю"),(U824))))</formula>
    </cfRule>
  </conditionalFormatting>
  <conditionalFormatting sqref="U824">
    <cfRule type="containsText" dxfId="4" priority="3414" operator="containsText" text="Відпустка">
      <formula>NOT(ISERROR(SEARCH(("Відпустка"),(U824))))</formula>
    </cfRule>
  </conditionalFormatting>
  <conditionalFormatting sqref="U824">
    <cfRule type="containsText" dxfId="5" priority="3415" operator="containsText" text="СЗЧ">
      <formula>NOT(ISERROR(SEARCH(("СЗЧ"),(U824))))</formula>
    </cfRule>
  </conditionalFormatting>
  <conditionalFormatting sqref="U824">
    <cfRule type="containsText" dxfId="6" priority="3416" operator="containsText" text="Зниклі безвісти">
      <formula>NOT(ISERROR(SEARCH(("Зниклі безвісти"),(U824))))</formula>
    </cfRule>
  </conditionalFormatting>
  <conditionalFormatting sqref="U824">
    <cfRule type="containsText" dxfId="7" priority="3417" operator="containsText" text="Від-ні навчання">
      <formula>NOT(ISERROR(SEARCH(("Від-ні навчання"),(U824))))</formula>
    </cfRule>
  </conditionalFormatting>
  <conditionalFormatting sqref="U824">
    <cfRule type="containsText" dxfId="8" priority="3418" operator="containsText" text="Відком. за межі ПБ">
      <formula>NOT(ISERROR(SEARCH(("Відком. за межі ПБ"),(U824))))</formula>
    </cfRule>
  </conditionalFormatting>
  <conditionalFormatting sqref="U824">
    <cfRule type="containsText" dxfId="9" priority="3419" operator="containsText" text="Загиблі">
      <formula>NOT(ISERROR(SEARCH(("Загиблі"),(U824))))</formula>
    </cfRule>
  </conditionalFormatting>
  <conditionalFormatting sqref="U824">
    <cfRule type="containsText" dxfId="10" priority="3420" operator="containsText" text="Лікування">
      <formula>NOT(ISERROR(SEARCH(("Лікування"),(U824))))</formula>
    </cfRule>
  </conditionalFormatting>
  <conditionalFormatting sqref="U824">
    <cfRule type="containsText" dxfId="10" priority="3421" operator="containsText" text="Лікування">
      <formula>NOT(ISERROR(SEARCH(("Лікування"),(U824))))</formula>
    </cfRule>
  </conditionalFormatting>
  <conditionalFormatting sqref="U824">
    <cfRule type="containsText" dxfId="9" priority="3422" operator="containsText" text="Загиблі">
      <formula>NOT(ISERROR(SEARCH(("Загиблі"),(U824))))</formula>
    </cfRule>
  </conditionalFormatting>
  <conditionalFormatting sqref="U824">
    <cfRule type="containsText" dxfId="8" priority="3423" operator="containsText" text="Відком. за межі ПБ">
      <formula>NOT(ISERROR(SEARCH(("Відком. за межі ПБ"),(U824))))</formula>
    </cfRule>
  </conditionalFormatting>
  <conditionalFormatting sqref="U824">
    <cfRule type="containsText" dxfId="7" priority="3424" operator="containsText" text="Від-ні навчання">
      <formula>NOT(ISERROR(SEARCH(("Від-ні навчання"),(U824))))</formula>
    </cfRule>
  </conditionalFormatting>
  <conditionalFormatting sqref="U824">
    <cfRule type="containsText" dxfId="6" priority="3425" operator="containsText" text="Зниклі безвісти">
      <formula>NOT(ISERROR(SEARCH(("Зниклі безвісти"),(U824))))</formula>
    </cfRule>
  </conditionalFormatting>
  <conditionalFormatting sqref="U824">
    <cfRule type="containsText" dxfId="5" priority="3426" operator="containsText" text="СЗЧ">
      <formula>NOT(ISERROR(SEARCH(("СЗЧ"),(U824))))</formula>
    </cfRule>
  </conditionalFormatting>
  <conditionalFormatting sqref="U824">
    <cfRule type="containsText" dxfId="4" priority="3427" operator="containsText" text="Відпустка">
      <formula>NOT(ISERROR(SEARCH(("Відпустка"),(U824))))</formula>
    </cfRule>
  </conditionalFormatting>
  <conditionalFormatting sqref="U824">
    <cfRule type="containsText" dxfId="3" priority="3428" operator="containsText" text="В строю">
      <formula>NOT(ISERROR(SEARCH(("В строю"),(U824))))</formula>
    </cfRule>
  </conditionalFormatting>
  <conditionalFormatting sqref="N824">
    <cfRule type="expression" dxfId="0" priority="3429">
      <formula>COUNTIF(#REF!, N824) &gt; 1</formula>
    </cfRule>
  </conditionalFormatting>
  <conditionalFormatting sqref="Q824">
    <cfRule type="cellIs" dxfId="9" priority="3430" operator="notEqual">
      <formula>P824</formula>
    </cfRule>
  </conditionalFormatting>
  <conditionalFormatting sqref="Q824">
    <cfRule type="cellIs" dxfId="3" priority="3431" operator="equal">
      <formula>P824</formula>
    </cfRule>
  </conditionalFormatting>
  <conditionalFormatting sqref="N823">
    <cfRule type="expression" dxfId="0" priority="3432">
      <formula>COUNTIF(#REF!, N823) &gt; 1</formula>
    </cfRule>
  </conditionalFormatting>
  <conditionalFormatting sqref="U823">
    <cfRule type="containsText" dxfId="3" priority="3433" operator="containsText" text="В строю">
      <formula>NOT(ISERROR(SEARCH(("В строю"),(U823))))</formula>
    </cfRule>
  </conditionalFormatting>
  <conditionalFormatting sqref="U823">
    <cfRule type="containsText" dxfId="4" priority="3434" operator="containsText" text="Відпустка">
      <formula>NOT(ISERROR(SEARCH(("Відпустка"),(U823))))</formula>
    </cfRule>
  </conditionalFormatting>
  <conditionalFormatting sqref="U823">
    <cfRule type="containsText" dxfId="5" priority="3435" operator="containsText" text="СЗЧ">
      <formula>NOT(ISERROR(SEARCH(("СЗЧ"),(U823))))</formula>
    </cfRule>
  </conditionalFormatting>
  <conditionalFormatting sqref="U823">
    <cfRule type="containsText" dxfId="6" priority="3436" operator="containsText" text="Зниклі безвісти">
      <formula>NOT(ISERROR(SEARCH(("Зниклі безвісти"),(U823))))</formula>
    </cfRule>
  </conditionalFormatting>
  <conditionalFormatting sqref="U823">
    <cfRule type="containsText" dxfId="7" priority="3437" operator="containsText" text="Від-ні навчання">
      <formula>NOT(ISERROR(SEARCH(("Від-ні навчання"),(U823))))</formula>
    </cfRule>
  </conditionalFormatting>
  <conditionalFormatting sqref="U823">
    <cfRule type="containsText" dxfId="8" priority="3438" operator="containsText" text="Відком. за межі ПБ">
      <formula>NOT(ISERROR(SEARCH(("Відком. за межі ПБ"),(U823))))</formula>
    </cfRule>
  </conditionalFormatting>
  <conditionalFormatting sqref="U823">
    <cfRule type="containsText" dxfId="9" priority="3439" operator="containsText" text="Загиблі">
      <formula>NOT(ISERROR(SEARCH(("Загиблі"),(U823))))</formula>
    </cfRule>
  </conditionalFormatting>
  <conditionalFormatting sqref="U823">
    <cfRule type="containsText" dxfId="10" priority="3440" operator="containsText" text="Лікування">
      <formula>NOT(ISERROR(SEARCH(("Лікування"),(U823))))</formula>
    </cfRule>
  </conditionalFormatting>
  <conditionalFormatting sqref="U823">
    <cfRule type="containsText" dxfId="10" priority="3441" operator="containsText" text="Лікування">
      <formula>NOT(ISERROR(SEARCH(("Лікування"),(U823))))</formula>
    </cfRule>
  </conditionalFormatting>
  <conditionalFormatting sqref="U823">
    <cfRule type="containsText" dxfId="9" priority="3442" operator="containsText" text="Загиблі">
      <formula>NOT(ISERROR(SEARCH(("Загиблі"),(U823))))</formula>
    </cfRule>
  </conditionalFormatting>
  <conditionalFormatting sqref="U823">
    <cfRule type="containsText" dxfId="8" priority="3443" operator="containsText" text="Відком. за межі ПБ">
      <formula>NOT(ISERROR(SEARCH(("Відком. за межі ПБ"),(U823))))</formula>
    </cfRule>
  </conditionalFormatting>
  <conditionalFormatting sqref="U823">
    <cfRule type="containsText" dxfId="7" priority="3444" operator="containsText" text="Від-ні навчання">
      <formula>NOT(ISERROR(SEARCH(("Від-ні навчання"),(U823))))</formula>
    </cfRule>
  </conditionalFormatting>
  <conditionalFormatting sqref="U823">
    <cfRule type="containsText" dxfId="6" priority="3445" operator="containsText" text="Зниклі безвісти">
      <formula>NOT(ISERROR(SEARCH(("Зниклі безвісти"),(U823))))</formula>
    </cfRule>
  </conditionalFormatting>
  <conditionalFormatting sqref="U823">
    <cfRule type="containsText" dxfId="5" priority="3446" operator="containsText" text="СЗЧ">
      <formula>NOT(ISERROR(SEARCH(("СЗЧ"),(U823))))</formula>
    </cfRule>
  </conditionalFormatting>
  <conditionalFormatting sqref="U823">
    <cfRule type="containsText" dxfId="4" priority="3447" operator="containsText" text="Відпустка">
      <formula>NOT(ISERROR(SEARCH(("Відпустка"),(U823))))</formula>
    </cfRule>
  </conditionalFormatting>
  <conditionalFormatting sqref="U823">
    <cfRule type="containsText" dxfId="3" priority="3448" operator="containsText" text="В строю">
      <formula>NOT(ISERROR(SEARCH(("В строю"),(U823))))</formula>
    </cfRule>
  </conditionalFormatting>
  <conditionalFormatting sqref="Q823">
    <cfRule type="cellIs" dxfId="9" priority="3449" operator="notEqual">
      <formula>P823</formula>
    </cfRule>
  </conditionalFormatting>
  <conditionalFormatting sqref="Q823">
    <cfRule type="cellIs" dxfId="3" priority="3450" operator="equal">
      <formula>P823</formula>
    </cfRule>
  </conditionalFormatting>
  <conditionalFormatting sqref="N822">
    <cfRule type="expression" dxfId="0" priority="3451">
      <formula>COUNTIF(#REF!, N822) &gt; 1</formula>
    </cfRule>
  </conditionalFormatting>
  <conditionalFormatting sqref="U822">
    <cfRule type="containsText" dxfId="10" priority="3452" operator="containsText" text="Лікування">
      <formula>NOT(ISERROR(SEARCH(("Лікування"),(U822))))</formula>
    </cfRule>
  </conditionalFormatting>
  <conditionalFormatting sqref="U822">
    <cfRule type="containsText" dxfId="9" priority="3453" operator="containsText" text="Загиблі">
      <formula>NOT(ISERROR(SEARCH(("Загиблі"),(U822))))</formula>
    </cfRule>
  </conditionalFormatting>
  <conditionalFormatting sqref="U822">
    <cfRule type="containsText" dxfId="8" priority="3454" operator="containsText" text="Відком. за межі ПБ">
      <formula>NOT(ISERROR(SEARCH(("Відком. за межі ПБ"),(U822))))</formula>
    </cfRule>
  </conditionalFormatting>
  <conditionalFormatting sqref="U822">
    <cfRule type="containsText" dxfId="7" priority="3455" operator="containsText" text="Від-ні навчання">
      <formula>NOT(ISERROR(SEARCH(("Від-ні навчання"),(U822))))</formula>
    </cfRule>
  </conditionalFormatting>
  <conditionalFormatting sqref="U822">
    <cfRule type="containsText" dxfId="6" priority="3456" operator="containsText" text="Зниклі безвісти">
      <formula>NOT(ISERROR(SEARCH(("Зниклі безвісти"),(U822))))</formula>
    </cfRule>
  </conditionalFormatting>
  <conditionalFormatting sqref="U822">
    <cfRule type="containsText" dxfId="5" priority="3457" operator="containsText" text="СЗЧ">
      <formula>NOT(ISERROR(SEARCH(("СЗЧ"),(U822))))</formula>
    </cfRule>
  </conditionalFormatting>
  <conditionalFormatting sqref="U822">
    <cfRule type="containsText" dxfId="4" priority="3458" operator="containsText" text="Відпустка">
      <formula>NOT(ISERROR(SEARCH(("Відпустка"),(U822))))</formula>
    </cfRule>
  </conditionalFormatting>
  <conditionalFormatting sqref="U822">
    <cfRule type="containsText" dxfId="3" priority="3459" operator="containsText" text="В строю">
      <formula>NOT(ISERROR(SEARCH(("В строю"),(U822))))</formula>
    </cfRule>
  </conditionalFormatting>
  <conditionalFormatting sqref="Q822">
    <cfRule type="cellIs" dxfId="9" priority="3460" operator="notEqual">
      <formula>P822</formula>
    </cfRule>
  </conditionalFormatting>
  <conditionalFormatting sqref="Q822">
    <cfRule type="cellIs" dxfId="3" priority="3461" operator="equal">
      <formula>P822</formula>
    </cfRule>
  </conditionalFormatting>
  <conditionalFormatting sqref="U822">
    <cfRule type="containsText" dxfId="3" priority="3462" operator="containsText" text="В строю">
      <formula>NOT(ISERROR(SEARCH(("В строю"),(U822))))</formula>
    </cfRule>
  </conditionalFormatting>
  <conditionalFormatting sqref="U822">
    <cfRule type="containsText" dxfId="4" priority="3463" operator="containsText" text="Відпустка">
      <formula>NOT(ISERROR(SEARCH(("Відпустка"),(U822))))</formula>
    </cfRule>
  </conditionalFormatting>
  <conditionalFormatting sqref="U822">
    <cfRule type="containsText" dxfId="5" priority="3464" operator="containsText" text="СЗЧ">
      <formula>NOT(ISERROR(SEARCH(("СЗЧ"),(U822))))</formula>
    </cfRule>
  </conditionalFormatting>
  <conditionalFormatting sqref="U822">
    <cfRule type="containsText" dxfId="6" priority="3465" operator="containsText" text="Зниклі безвісти">
      <formula>NOT(ISERROR(SEARCH(("Зниклі безвісти"),(U822))))</formula>
    </cfRule>
  </conditionalFormatting>
  <conditionalFormatting sqref="U822">
    <cfRule type="containsText" dxfId="7" priority="3466" operator="containsText" text="Від-ні навчання">
      <formula>NOT(ISERROR(SEARCH(("Від-ні навчання"),(U822))))</formula>
    </cfRule>
  </conditionalFormatting>
  <conditionalFormatting sqref="U822">
    <cfRule type="containsText" dxfId="8" priority="3467" operator="containsText" text="Відком. за межі ПБ">
      <formula>NOT(ISERROR(SEARCH(("Відком. за межі ПБ"),(U822))))</formula>
    </cfRule>
  </conditionalFormatting>
  <conditionalFormatting sqref="U822">
    <cfRule type="containsText" dxfId="9" priority="3468" operator="containsText" text="Загиблі">
      <formula>NOT(ISERROR(SEARCH(("Загиблі"),(U822))))</formula>
    </cfRule>
  </conditionalFormatting>
  <conditionalFormatting sqref="U822">
    <cfRule type="containsText" dxfId="10" priority="3469" operator="containsText" text="Лікування">
      <formula>NOT(ISERROR(SEARCH(("Лікування"),(U822))))</formula>
    </cfRule>
  </conditionalFormatting>
  <conditionalFormatting sqref="N821">
    <cfRule type="expression" dxfId="0" priority="3470">
      <formula>COUNTIF(#REF!, N821) &gt; 1</formula>
    </cfRule>
  </conditionalFormatting>
  <conditionalFormatting sqref="N821">
    <cfRule type="expression" dxfId="0" priority="3471">
      <formula>COUNTIF(#REF!, N821) &gt; 1</formula>
    </cfRule>
  </conditionalFormatting>
  <conditionalFormatting sqref="AK821">
    <cfRule type="containsText" dxfId="18" priority="3472" operator="containsText" text="В строю">
      <formula>NOT(ISERROR(SEARCH(("В строю"),(AK821))))</formula>
    </cfRule>
  </conditionalFormatting>
  <conditionalFormatting sqref="AK821">
    <cfRule type="containsText" dxfId="8" priority="3473" operator="containsText" text="Від-ні за межі бату">
      <formula>NOT(ISERROR(SEARCH(("Від-ні за межі бату"),(AK821))))</formula>
    </cfRule>
  </conditionalFormatting>
  <conditionalFormatting sqref="AK821">
    <cfRule type="containsText" dxfId="17" priority="3474" operator="containsText" text="Відпустка">
      <formula>NOT(ISERROR(SEARCH(("Відпустка"),(AK821))))</formula>
    </cfRule>
  </conditionalFormatting>
  <conditionalFormatting sqref="AK821">
    <cfRule type="containsText" dxfId="16" priority="3475" operator="containsText" text="Мед.пункт">
      <formula>NOT(ISERROR(SEARCH(("Мед.пункт"),(AK821))))</formula>
    </cfRule>
  </conditionalFormatting>
  <conditionalFormatting sqref="AK821">
    <cfRule type="containsText" dxfId="15" priority="3476" operator="containsText" text="СТАТУС">
      <formula>NOT(ISERROR(SEARCH(("СТАТУС"),(AK821))))</formula>
    </cfRule>
  </conditionalFormatting>
  <conditionalFormatting sqref="AK821">
    <cfRule type="containsText" dxfId="14" priority="3477" operator="containsText" text="Лікування">
      <formula>NOT(ISERROR(SEARCH(("Лікування"),(AK821))))</formula>
    </cfRule>
  </conditionalFormatting>
  <conditionalFormatting sqref="AK821">
    <cfRule type="containsText" dxfId="13" priority="3478" operator="containsText" text="СЗЧ">
      <formula>NOT(ISERROR(SEARCH(("СЗЧ"),(AK821))))</formula>
    </cfRule>
  </conditionalFormatting>
  <conditionalFormatting sqref="AK821">
    <cfRule type="cellIs" dxfId="12" priority="3479" operator="equal">
      <formula>SUM(#REF!)</formula>
    </cfRule>
  </conditionalFormatting>
  <conditionalFormatting sqref="AK821">
    <cfRule type="containsText" dxfId="11" priority="3480" operator="containsText" text="Зниклі безвісти">
      <formula>NOT(ISERROR(SEARCH(("Зниклі безвісти"),(AK821))))</formula>
    </cfRule>
  </conditionalFormatting>
  <conditionalFormatting sqref="U821">
    <cfRule type="containsText" dxfId="10" priority="3481" operator="containsText" text="Лікування">
      <formula>NOT(ISERROR(SEARCH(("Лікування"),(U821))))</formula>
    </cfRule>
  </conditionalFormatting>
  <conditionalFormatting sqref="U821">
    <cfRule type="containsText" dxfId="9" priority="3482" operator="containsText" text="Загиблі">
      <formula>NOT(ISERROR(SEARCH(("Загиблі"),(U821))))</formula>
    </cfRule>
  </conditionalFormatting>
  <conditionalFormatting sqref="U821">
    <cfRule type="containsText" dxfId="8" priority="3483" operator="containsText" text="Відком. за межі ПБ">
      <formula>NOT(ISERROR(SEARCH(("Відком. за межі ПБ"),(U821))))</formula>
    </cfRule>
  </conditionalFormatting>
  <conditionalFormatting sqref="U821">
    <cfRule type="containsText" dxfId="7" priority="3484" operator="containsText" text="Від-ні навчання">
      <formula>NOT(ISERROR(SEARCH(("Від-ні навчання"),(U821))))</formula>
    </cfRule>
  </conditionalFormatting>
  <conditionalFormatting sqref="U821">
    <cfRule type="containsText" dxfId="6" priority="3485" operator="containsText" text="Зниклі безвісти">
      <formula>NOT(ISERROR(SEARCH(("Зниклі безвісти"),(U821))))</formula>
    </cfRule>
  </conditionalFormatting>
  <conditionalFormatting sqref="U821">
    <cfRule type="containsText" dxfId="5" priority="3486" operator="containsText" text="СЗЧ">
      <formula>NOT(ISERROR(SEARCH(("СЗЧ"),(U821))))</formula>
    </cfRule>
  </conditionalFormatting>
  <conditionalFormatting sqref="U821">
    <cfRule type="containsText" dxfId="4" priority="3487" operator="containsText" text="Відпустка">
      <formula>NOT(ISERROR(SEARCH(("Відпустка"),(U821))))</formula>
    </cfRule>
  </conditionalFormatting>
  <conditionalFormatting sqref="U821">
    <cfRule type="containsText" dxfId="3" priority="3488" operator="containsText" text="В строю">
      <formula>NOT(ISERROR(SEARCH(("В строю"),(U821))))</formula>
    </cfRule>
  </conditionalFormatting>
  <conditionalFormatting sqref="U821">
    <cfRule type="containsText" dxfId="3" priority="3489" operator="containsText" text="В строю">
      <formula>NOT(ISERROR(SEARCH(("В строю"),(U821))))</formula>
    </cfRule>
  </conditionalFormatting>
  <conditionalFormatting sqref="U821">
    <cfRule type="containsText" dxfId="4" priority="3490" operator="containsText" text="Відпустка">
      <formula>NOT(ISERROR(SEARCH(("Відпустка"),(U821))))</formula>
    </cfRule>
  </conditionalFormatting>
  <conditionalFormatting sqref="U821">
    <cfRule type="containsText" dxfId="5" priority="3491" operator="containsText" text="СЗЧ">
      <formula>NOT(ISERROR(SEARCH(("СЗЧ"),(U821))))</formula>
    </cfRule>
  </conditionalFormatting>
  <conditionalFormatting sqref="U821">
    <cfRule type="containsText" dxfId="6" priority="3492" operator="containsText" text="Зниклі безвісти">
      <formula>NOT(ISERROR(SEARCH(("Зниклі безвісти"),(U821))))</formula>
    </cfRule>
  </conditionalFormatting>
  <conditionalFormatting sqref="U821">
    <cfRule type="containsText" dxfId="7" priority="3493" operator="containsText" text="Від-ні навчання">
      <formula>NOT(ISERROR(SEARCH(("Від-ні навчання"),(U821))))</formula>
    </cfRule>
  </conditionalFormatting>
  <conditionalFormatting sqref="U821">
    <cfRule type="containsText" dxfId="8" priority="3494" operator="containsText" text="Відком. за межі ПБ">
      <formula>NOT(ISERROR(SEARCH(("Відком. за межі ПБ"),(U821))))</formula>
    </cfRule>
  </conditionalFormatting>
  <conditionalFormatting sqref="U821">
    <cfRule type="containsText" dxfId="9" priority="3495" operator="containsText" text="Загиблі">
      <formula>NOT(ISERROR(SEARCH(("Загиблі"),(U821))))</formula>
    </cfRule>
  </conditionalFormatting>
  <conditionalFormatting sqref="U821">
    <cfRule type="containsText" dxfId="10" priority="3496" operator="containsText" text="Лікування">
      <formula>NOT(ISERROR(SEARCH(("Лікування"),(U821))))</formula>
    </cfRule>
  </conditionalFormatting>
  <conditionalFormatting sqref="Q821">
    <cfRule type="cellIs" dxfId="9" priority="3497" operator="notEqual">
      <formula>P821</formula>
    </cfRule>
  </conditionalFormatting>
  <conditionalFormatting sqref="Q821">
    <cfRule type="cellIs" dxfId="3" priority="3498" operator="equal">
      <formula>P821</formula>
    </cfRule>
  </conditionalFormatting>
  <conditionalFormatting sqref="Q821">
    <cfRule type="cellIs" dxfId="3" priority="3499" operator="equal">
      <formula>P821</formula>
    </cfRule>
  </conditionalFormatting>
  <conditionalFormatting sqref="Q821">
    <cfRule type="cellIs" dxfId="9" priority="3500" operator="notEqual">
      <formula>P821</formula>
    </cfRule>
  </conditionalFormatting>
  <conditionalFormatting sqref="N821">
    <cfRule type="expression" dxfId="0" priority="3501">
      <formula>COUNTIF(#REF!, N821) &gt; 1</formula>
    </cfRule>
  </conditionalFormatting>
  <conditionalFormatting sqref="U820">
    <cfRule type="containsText" dxfId="3" priority="3502" operator="containsText" text="В строю">
      <formula>NOT(ISERROR(SEARCH(("В строю"),(U820))))</formula>
    </cfRule>
  </conditionalFormatting>
  <conditionalFormatting sqref="U820">
    <cfRule type="containsText" dxfId="4" priority="3503" operator="containsText" text="Відпустка">
      <formula>NOT(ISERROR(SEARCH(("Відпустка"),(U820))))</formula>
    </cfRule>
  </conditionalFormatting>
  <conditionalFormatting sqref="U820">
    <cfRule type="containsText" dxfId="5" priority="3504" operator="containsText" text="СЗЧ">
      <formula>NOT(ISERROR(SEARCH(("СЗЧ"),(U820))))</formula>
    </cfRule>
  </conditionalFormatting>
  <conditionalFormatting sqref="U820">
    <cfRule type="containsText" dxfId="6" priority="3505" operator="containsText" text="Зниклі безвісти">
      <formula>NOT(ISERROR(SEARCH(("Зниклі безвісти"),(U820))))</formula>
    </cfRule>
  </conditionalFormatting>
  <conditionalFormatting sqref="U820">
    <cfRule type="containsText" dxfId="7" priority="3506" operator="containsText" text="Від-ні навчання">
      <formula>NOT(ISERROR(SEARCH(("Від-ні навчання"),(U820))))</formula>
    </cfRule>
  </conditionalFormatting>
  <conditionalFormatting sqref="U820">
    <cfRule type="containsText" dxfId="8" priority="3507" operator="containsText" text="Відком. за межі ПБ">
      <formula>NOT(ISERROR(SEARCH(("Відком. за межі ПБ"),(U820))))</formula>
    </cfRule>
  </conditionalFormatting>
  <conditionalFormatting sqref="U820">
    <cfRule type="containsText" dxfId="9" priority="3508" operator="containsText" text="Загиблі">
      <formula>NOT(ISERROR(SEARCH(("Загиблі"),(U820))))</formula>
    </cfRule>
  </conditionalFormatting>
  <conditionalFormatting sqref="U820">
    <cfRule type="containsText" dxfId="10" priority="3509" operator="containsText" text="Лікування">
      <formula>NOT(ISERROR(SEARCH(("Лікування"),(U820))))</formula>
    </cfRule>
  </conditionalFormatting>
  <conditionalFormatting sqref="Q820">
    <cfRule type="cellIs" dxfId="9" priority="3510" operator="notEqual">
      <formula>P820</formula>
    </cfRule>
  </conditionalFormatting>
  <conditionalFormatting sqref="Q820">
    <cfRule type="cellIs" dxfId="3" priority="3511" operator="equal">
      <formula>P820</formula>
    </cfRule>
  </conditionalFormatting>
  <conditionalFormatting sqref="N820">
    <cfRule type="expression" dxfId="0" priority="3512">
      <formula>COUNTIF(#REF!, N820) &gt; 1</formula>
    </cfRule>
  </conditionalFormatting>
  <conditionalFormatting sqref="U820">
    <cfRule type="containsText" dxfId="10" priority="3513" operator="containsText" text="Лікування">
      <formula>NOT(ISERROR(SEARCH(("Лікування"),(U820))))</formula>
    </cfRule>
  </conditionalFormatting>
  <conditionalFormatting sqref="U820">
    <cfRule type="containsText" dxfId="9" priority="3514" operator="containsText" text="Загиблі">
      <formula>NOT(ISERROR(SEARCH(("Загиблі"),(U820))))</formula>
    </cfRule>
  </conditionalFormatting>
  <conditionalFormatting sqref="U820">
    <cfRule type="containsText" dxfId="8" priority="3515" operator="containsText" text="Відком. за межі ПБ">
      <formula>NOT(ISERROR(SEARCH(("Відком. за межі ПБ"),(U820))))</formula>
    </cfRule>
  </conditionalFormatting>
  <conditionalFormatting sqref="U820">
    <cfRule type="containsText" dxfId="7" priority="3516" operator="containsText" text="Від-ні навчання">
      <formula>NOT(ISERROR(SEARCH(("Від-ні навчання"),(U820))))</formula>
    </cfRule>
  </conditionalFormatting>
  <conditionalFormatting sqref="U820">
    <cfRule type="containsText" dxfId="6" priority="3517" operator="containsText" text="Зниклі безвісти">
      <formula>NOT(ISERROR(SEARCH(("Зниклі безвісти"),(U820))))</formula>
    </cfRule>
  </conditionalFormatting>
  <conditionalFormatting sqref="U820">
    <cfRule type="containsText" dxfId="5" priority="3518" operator="containsText" text="СЗЧ">
      <formula>NOT(ISERROR(SEARCH(("СЗЧ"),(U820))))</formula>
    </cfRule>
  </conditionalFormatting>
  <conditionalFormatting sqref="U820">
    <cfRule type="containsText" dxfId="4" priority="3519" operator="containsText" text="Відпустка">
      <formula>NOT(ISERROR(SEARCH(("Відпустка"),(U820))))</formula>
    </cfRule>
  </conditionalFormatting>
  <conditionalFormatting sqref="U820">
    <cfRule type="containsText" dxfId="3" priority="3520" operator="containsText" text="В строю">
      <formula>NOT(ISERROR(SEARCH(("В строю"),(U820))))</formula>
    </cfRule>
  </conditionalFormatting>
  <conditionalFormatting sqref="U819">
    <cfRule type="containsText" dxfId="3" priority="3521" operator="containsText" text="В строю">
      <formula>NOT(ISERROR(SEARCH(("В строю"),(U819))))</formula>
    </cfRule>
  </conditionalFormatting>
  <conditionalFormatting sqref="U819">
    <cfRule type="containsText" dxfId="4" priority="3522" operator="containsText" text="Відпустка">
      <formula>NOT(ISERROR(SEARCH(("Відпустка"),(U819))))</formula>
    </cfRule>
  </conditionalFormatting>
  <conditionalFormatting sqref="U819">
    <cfRule type="containsText" dxfId="5" priority="3523" operator="containsText" text="СЗЧ">
      <formula>NOT(ISERROR(SEARCH(("СЗЧ"),(U819))))</formula>
    </cfRule>
  </conditionalFormatting>
  <conditionalFormatting sqref="U819">
    <cfRule type="containsText" dxfId="6" priority="3524" operator="containsText" text="Зниклі безвісти">
      <formula>NOT(ISERROR(SEARCH(("Зниклі безвісти"),(U819))))</formula>
    </cfRule>
  </conditionalFormatting>
  <conditionalFormatting sqref="U819">
    <cfRule type="containsText" dxfId="7" priority="3525" operator="containsText" text="Від-ні навчання">
      <formula>NOT(ISERROR(SEARCH(("Від-ні навчання"),(U819))))</formula>
    </cfRule>
  </conditionalFormatting>
  <conditionalFormatting sqref="U819">
    <cfRule type="containsText" dxfId="8" priority="3526" operator="containsText" text="Відком. за межі ПБ">
      <formula>NOT(ISERROR(SEARCH(("Відком. за межі ПБ"),(U819))))</formula>
    </cfRule>
  </conditionalFormatting>
  <conditionalFormatting sqref="U819">
    <cfRule type="containsText" dxfId="9" priority="3527" operator="containsText" text="Загиблі">
      <formula>NOT(ISERROR(SEARCH(("Загиблі"),(U819))))</formula>
    </cfRule>
  </conditionalFormatting>
  <conditionalFormatting sqref="U819">
    <cfRule type="containsText" dxfId="10" priority="3528" operator="containsText" text="Лікування">
      <formula>NOT(ISERROR(SEARCH(("Лікування"),(U819))))</formula>
    </cfRule>
  </conditionalFormatting>
  <conditionalFormatting sqref="Q819">
    <cfRule type="cellIs" dxfId="9" priority="3529" operator="notEqual">
      <formula>P819</formula>
    </cfRule>
  </conditionalFormatting>
  <conditionalFormatting sqref="Q819">
    <cfRule type="cellIs" dxfId="3" priority="3530" operator="equal">
      <formula>P819</formula>
    </cfRule>
  </conditionalFormatting>
  <conditionalFormatting sqref="U819">
    <cfRule type="containsText" dxfId="10" priority="3531" operator="containsText" text="Лікування">
      <formula>NOT(ISERROR(SEARCH(("Лікування"),(U819))))</formula>
    </cfRule>
  </conditionalFormatting>
  <conditionalFormatting sqref="U819">
    <cfRule type="containsText" dxfId="9" priority="3532" operator="containsText" text="Загиблі">
      <formula>NOT(ISERROR(SEARCH(("Загиблі"),(U819))))</formula>
    </cfRule>
  </conditionalFormatting>
  <conditionalFormatting sqref="U819">
    <cfRule type="containsText" dxfId="8" priority="3533" operator="containsText" text="Відком. за межі ПБ">
      <formula>NOT(ISERROR(SEARCH(("Відком. за межі ПБ"),(U819))))</formula>
    </cfRule>
  </conditionalFormatting>
  <conditionalFormatting sqref="U819">
    <cfRule type="containsText" dxfId="7" priority="3534" operator="containsText" text="Від-ні навчання">
      <formula>NOT(ISERROR(SEARCH(("Від-ні навчання"),(U819))))</formula>
    </cfRule>
  </conditionalFormatting>
  <conditionalFormatting sqref="U819">
    <cfRule type="containsText" dxfId="6" priority="3535" operator="containsText" text="Зниклі безвісти">
      <formula>NOT(ISERROR(SEARCH(("Зниклі безвісти"),(U819))))</formula>
    </cfRule>
  </conditionalFormatting>
  <conditionalFormatting sqref="U819">
    <cfRule type="containsText" dxfId="5" priority="3536" operator="containsText" text="СЗЧ">
      <formula>NOT(ISERROR(SEARCH(("СЗЧ"),(U819))))</formula>
    </cfRule>
  </conditionalFormatting>
  <conditionalFormatting sqref="U819">
    <cfRule type="containsText" dxfId="4" priority="3537" operator="containsText" text="Відпустка">
      <formula>NOT(ISERROR(SEARCH(("Відпустка"),(U819))))</formula>
    </cfRule>
  </conditionalFormatting>
  <conditionalFormatting sqref="U819">
    <cfRule type="containsText" dxfId="3" priority="3538" operator="containsText" text="В строю">
      <formula>NOT(ISERROR(SEARCH(("В строю"),(U819))))</formula>
    </cfRule>
  </conditionalFormatting>
  <conditionalFormatting sqref="N819">
    <cfRule type="expression" dxfId="0" priority="3539">
      <formula>COUNTIF(#REF!, N819) &gt; 1</formula>
    </cfRule>
  </conditionalFormatting>
  <conditionalFormatting sqref="E818 N818">
    <cfRule type="expression" dxfId="0" priority="3540">
      <formula>COUNTIF(#REF!, E818) &gt; 1</formula>
    </cfRule>
  </conditionalFormatting>
  <conditionalFormatting sqref="U818">
    <cfRule type="containsText" dxfId="3" priority="3541" operator="containsText" text="В строю">
      <formula>NOT(ISERROR(SEARCH(("В строю"),(U818))))</formula>
    </cfRule>
  </conditionalFormatting>
  <conditionalFormatting sqref="U818">
    <cfRule type="containsText" dxfId="4" priority="3542" operator="containsText" text="Відпустка">
      <formula>NOT(ISERROR(SEARCH(("Відпустка"),(U818))))</formula>
    </cfRule>
  </conditionalFormatting>
  <conditionalFormatting sqref="U818">
    <cfRule type="containsText" dxfId="5" priority="3543" operator="containsText" text="СЗЧ">
      <formula>NOT(ISERROR(SEARCH(("СЗЧ"),(U818))))</formula>
    </cfRule>
  </conditionalFormatting>
  <conditionalFormatting sqref="U818">
    <cfRule type="containsText" dxfId="6" priority="3544" operator="containsText" text="Зниклі безвісти">
      <formula>NOT(ISERROR(SEARCH(("Зниклі безвісти"),(U818))))</formula>
    </cfRule>
  </conditionalFormatting>
  <conditionalFormatting sqref="U818">
    <cfRule type="containsText" dxfId="7" priority="3545" operator="containsText" text="Від-ні навчання">
      <formula>NOT(ISERROR(SEARCH(("Від-ні навчання"),(U818))))</formula>
    </cfRule>
  </conditionalFormatting>
  <conditionalFormatting sqref="U818">
    <cfRule type="containsText" dxfId="8" priority="3546" operator="containsText" text="Відком. за межі ПБ">
      <formula>NOT(ISERROR(SEARCH(("Відком. за межі ПБ"),(U818))))</formula>
    </cfRule>
  </conditionalFormatting>
  <conditionalFormatting sqref="U818">
    <cfRule type="containsText" dxfId="9" priority="3547" operator="containsText" text="Загиблі">
      <formula>NOT(ISERROR(SEARCH(("Загиблі"),(U818))))</formula>
    </cfRule>
  </conditionalFormatting>
  <conditionalFormatting sqref="U818">
    <cfRule type="containsText" dxfId="10" priority="3548" operator="containsText" text="Лікування">
      <formula>NOT(ISERROR(SEARCH(("Лікування"),(U818))))</formula>
    </cfRule>
  </conditionalFormatting>
  <conditionalFormatting sqref="U818">
    <cfRule type="containsText" dxfId="10" priority="3549" operator="containsText" text="Лікування">
      <formula>NOT(ISERROR(SEARCH(("Лікування"),(U818))))</formula>
    </cfRule>
  </conditionalFormatting>
  <conditionalFormatting sqref="U818">
    <cfRule type="containsText" dxfId="9" priority="3550" operator="containsText" text="Загиблі">
      <formula>NOT(ISERROR(SEARCH(("Загиблі"),(U818))))</formula>
    </cfRule>
  </conditionalFormatting>
  <conditionalFormatting sqref="U818">
    <cfRule type="containsText" dxfId="8" priority="3551" operator="containsText" text="Відком. за межі ПБ">
      <formula>NOT(ISERROR(SEARCH(("Відком. за межі ПБ"),(U818))))</formula>
    </cfRule>
  </conditionalFormatting>
  <conditionalFormatting sqref="U818">
    <cfRule type="containsText" dxfId="7" priority="3552" operator="containsText" text="Від-ні навчання">
      <formula>NOT(ISERROR(SEARCH(("Від-ні навчання"),(U818))))</formula>
    </cfRule>
  </conditionalFormatting>
  <conditionalFormatting sqref="U818">
    <cfRule type="containsText" dxfId="6" priority="3553" operator="containsText" text="Зниклі безвісти">
      <formula>NOT(ISERROR(SEARCH(("Зниклі безвісти"),(U818))))</formula>
    </cfRule>
  </conditionalFormatting>
  <conditionalFormatting sqref="U818">
    <cfRule type="containsText" dxfId="5" priority="3554" operator="containsText" text="СЗЧ">
      <formula>NOT(ISERROR(SEARCH(("СЗЧ"),(U818))))</formula>
    </cfRule>
  </conditionalFormatting>
  <conditionalFormatting sqref="U818">
    <cfRule type="containsText" dxfId="4" priority="3555" operator="containsText" text="Відпустка">
      <formula>NOT(ISERROR(SEARCH(("Відпустка"),(U818))))</formula>
    </cfRule>
  </conditionalFormatting>
  <conditionalFormatting sqref="U818">
    <cfRule type="containsText" dxfId="3" priority="3556" operator="containsText" text="В строю">
      <formula>NOT(ISERROR(SEARCH(("В строю"),(U818))))</formula>
    </cfRule>
  </conditionalFormatting>
  <conditionalFormatting sqref="Q818">
    <cfRule type="cellIs" dxfId="9" priority="3557" operator="notEqual">
      <formula>P818</formula>
    </cfRule>
  </conditionalFormatting>
  <conditionalFormatting sqref="Q818">
    <cfRule type="cellIs" dxfId="3" priority="3558" operator="equal">
      <formula>P818</formula>
    </cfRule>
  </conditionalFormatting>
  <conditionalFormatting sqref="U816:U817">
    <cfRule type="containsText" dxfId="3" priority="3559" operator="containsText" text="В строю">
      <formula>NOT(ISERROR(SEARCH(("В строю"),(U816))))</formula>
    </cfRule>
  </conditionalFormatting>
  <conditionalFormatting sqref="U816:U817">
    <cfRule type="containsText" dxfId="4" priority="3560" operator="containsText" text="Відпустка">
      <formula>NOT(ISERROR(SEARCH(("Відпустка"),(U816))))</formula>
    </cfRule>
  </conditionalFormatting>
  <conditionalFormatting sqref="U816:U817">
    <cfRule type="containsText" dxfId="5" priority="3561" operator="containsText" text="СЗЧ">
      <formula>NOT(ISERROR(SEARCH(("СЗЧ"),(U816))))</formula>
    </cfRule>
  </conditionalFormatting>
  <conditionalFormatting sqref="U816:U817">
    <cfRule type="containsText" dxfId="6" priority="3562" operator="containsText" text="Зниклі безвісти">
      <formula>NOT(ISERROR(SEARCH(("Зниклі безвісти"),(U816))))</formula>
    </cfRule>
  </conditionalFormatting>
  <conditionalFormatting sqref="U816:U817">
    <cfRule type="containsText" dxfId="7" priority="3563" operator="containsText" text="Від-ні навчання">
      <formula>NOT(ISERROR(SEARCH(("Від-ні навчання"),(U816))))</formula>
    </cfRule>
  </conditionalFormatting>
  <conditionalFormatting sqref="U816:U817">
    <cfRule type="containsText" dxfId="8" priority="3564" operator="containsText" text="Відком. за межі ПБ">
      <formula>NOT(ISERROR(SEARCH(("Відком. за межі ПБ"),(U816))))</formula>
    </cfRule>
  </conditionalFormatting>
  <conditionalFormatting sqref="U816:U817">
    <cfRule type="containsText" dxfId="9" priority="3565" operator="containsText" text="Загиблі">
      <formula>NOT(ISERROR(SEARCH(("Загиблі"),(U816))))</formula>
    </cfRule>
  </conditionalFormatting>
  <conditionalFormatting sqref="U816:U817">
    <cfRule type="containsText" dxfId="10" priority="3566" operator="containsText" text="Лікування">
      <formula>NOT(ISERROR(SEARCH(("Лікування"),(U816))))</formula>
    </cfRule>
  </conditionalFormatting>
  <conditionalFormatting sqref="N816:N817">
    <cfRule type="expression" dxfId="0" priority="3567">
      <formula>COUNTIF(#REF!, N816) &gt; 1</formula>
    </cfRule>
  </conditionalFormatting>
  <conditionalFormatting sqref="Q816:Q817">
    <cfRule type="cellIs" dxfId="9" priority="3568" operator="notEqual">
      <formula>P816</formula>
    </cfRule>
  </conditionalFormatting>
  <conditionalFormatting sqref="Q816:Q817">
    <cfRule type="cellIs" dxfId="3" priority="3569" operator="equal">
      <formula>P816</formula>
    </cfRule>
  </conditionalFormatting>
  <conditionalFormatting sqref="U816:U817">
    <cfRule type="containsText" dxfId="10" priority="3570" operator="containsText" text="Лікування">
      <formula>NOT(ISERROR(SEARCH(("Лікування"),(U816))))</formula>
    </cfRule>
  </conditionalFormatting>
  <conditionalFormatting sqref="U816:U817">
    <cfRule type="containsText" dxfId="9" priority="3571" operator="containsText" text="Загиблі">
      <formula>NOT(ISERROR(SEARCH(("Загиблі"),(U816))))</formula>
    </cfRule>
  </conditionalFormatting>
  <conditionalFormatting sqref="U816:U817">
    <cfRule type="containsText" dxfId="8" priority="3572" operator="containsText" text="Відком. за межі ПБ">
      <formula>NOT(ISERROR(SEARCH(("Відком. за межі ПБ"),(U816))))</formula>
    </cfRule>
  </conditionalFormatting>
  <conditionalFormatting sqref="U816:U817">
    <cfRule type="containsText" dxfId="7" priority="3573" operator="containsText" text="Від-ні навчання">
      <formula>NOT(ISERROR(SEARCH(("Від-ні навчання"),(U816))))</formula>
    </cfRule>
  </conditionalFormatting>
  <conditionalFormatting sqref="U816:U817">
    <cfRule type="containsText" dxfId="6" priority="3574" operator="containsText" text="Зниклі безвісти">
      <formula>NOT(ISERROR(SEARCH(("Зниклі безвісти"),(U816))))</formula>
    </cfRule>
  </conditionalFormatting>
  <conditionalFormatting sqref="U816:U817">
    <cfRule type="containsText" dxfId="5" priority="3575" operator="containsText" text="СЗЧ">
      <formula>NOT(ISERROR(SEARCH(("СЗЧ"),(U816))))</formula>
    </cfRule>
  </conditionalFormatting>
  <conditionalFormatting sqref="U816:U817">
    <cfRule type="containsText" dxfId="4" priority="3576" operator="containsText" text="Відпустка">
      <formula>NOT(ISERROR(SEARCH(("Відпустка"),(U816))))</formula>
    </cfRule>
  </conditionalFormatting>
  <conditionalFormatting sqref="U816:U817">
    <cfRule type="containsText" dxfId="3" priority="3577" operator="containsText" text="В строю">
      <formula>NOT(ISERROR(SEARCH(("В строю"),(U816))))</formula>
    </cfRule>
  </conditionalFormatting>
  <conditionalFormatting sqref="U815">
    <cfRule type="containsText" dxfId="3" priority="3578" operator="containsText" text="В строю">
      <formula>NOT(ISERROR(SEARCH(("В строю"),(U815))))</formula>
    </cfRule>
  </conditionalFormatting>
  <conditionalFormatting sqref="U815">
    <cfRule type="containsText" dxfId="4" priority="3579" operator="containsText" text="Відпустка">
      <formula>NOT(ISERROR(SEARCH(("Відпустка"),(U815))))</formula>
    </cfRule>
  </conditionalFormatting>
  <conditionalFormatting sqref="U815">
    <cfRule type="containsText" dxfId="5" priority="3580" operator="containsText" text="СЗЧ">
      <formula>NOT(ISERROR(SEARCH(("СЗЧ"),(U815))))</formula>
    </cfRule>
  </conditionalFormatting>
  <conditionalFormatting sqref="U815">
    <cfRule type="containsText" dxfId="6" priority="3581" operator="containsText" text="Зниклі безвісти">
      <formula>NOT(ISERROR(SEARCH(("Зниклі безвісти"),(U815))))</formula>
    </cfRule>
  </conditionalFormatting>
  <conditionalFormatting sqref="U815">
    <cfRule type="containsText" dxfId="7" priority="3582" operator="containsText" text="Від-ні навчання">
      <formula>NOT(ISERROR(SEARCH(("Від-ні навчання"),(U815))))</formula>
    </cfRule>
  </conditionalFormatting>
  <conditionalFormatting sqref="U815">
    <cfRule type="containsText" dxfId="8" priority="3583" operator="containsText" text="Відком. за межі ПБ">
      <formula>NOT(ISERROR(SEARCH(("Відком. за межі ПБ"),(U815))))</formula>
    </cfRule>
  </conditionalFormatting>
  <conditionalFormatting sqref="U815">
    <cfRule type="containsText" dxfId="9" priority="3584" operator="containsText" text="Загиблі">
      <formula>NOT(ISERROR(SEARCH(("Загиблі"),(U815))))</formula>
    </cfRule>
  </conditionalFormatting>
  <conditionalFormatting sqref="U815">
    <cfRule type="containsText" dxfId="10" priority="3585" operator="containsText" text="Лікування">
      <formula>NOT(ISERROR(SEARCH(("Лікування"),(U815))))</formula>
    </cfRule>
  </conditionalFormatting>
  <conditionalFormatting sqref="N815">
    <cfRule type="expression" dxfId="0" priority="3586">
      <formula>COUNTIF(#REF!, N815) &gt; 1</formula>
    </cfRule>
  </conditionalFormatting>
  <conditionalFormatting sqref="Q815">
    <cfRule type="cellIs" dxfId="9" priority="3587" operator="notEqual">
      <formula>P815</formula>
    </cfRule>
  </conditionalFormatting>
  <conditionalFormatting sqref="Q815">
    <cfRule type="cellIs" dxfId="3" priority="3588" operator="equal">
      <formula>P815</formula>
    </cfRule>
  </conditionalFormatting>
  <conditionalFormatting sqref="U815">
    <cfRule type="containsText" dxfId="10" priority="3589" operator="containsText" text="Лікування">
      <formula>NOT(ISERROR(SEARCH(("Лікування"),(U815))))</formula>
    </cfRule>
  </conditionalFormatting>
  <conditionalFormatting sqref="U815">
    <cfRule type="containsText" dxfId="9" priority="3590" operator="containsText" text="Загиблі">
      <formula>NOT(ISERROR(SEARCH(("Загиблі"),(U815))))</formula>
    </cfRule>
  </conditionalFormatting>
  <conditionalFormatting sqref="U815">
    <cfRule type="containsText" dxfId="8" priority="3591" operator="containsText" text="Відком. за межі ПБ">
      <formula>NOT(ISERROR(SEARCH(("Відком. за межі ПБ"),(U815))))</formula>
    </cfRule>
  </conditionalFormatting>
  <conditionalFormatting sqref="U815">
    <cfRule type="containsText" dxfId="7" priority="3592" operator="containsText" text="Від-ні навчання">
      <formula>NOT(ISERROR(SEARCH(("Від-ні навчання"),(U815))))</formula>
    </cfRule>
  </conditionalFormatting>
  <conditionalFormatting sqref="U815">
    <cfRule type="containsText" dxfId="6" priority="3593" operator="containsText" text="Зниклі безвісти">
      <formula>NOT(ISERROR(SEARCH(("Зниклі безвісти"),(U815))))</formula>
    </cfRule>
  </conditionalFormatting>
  <conditionalFormatting sqref="U815">
    <cfRule type="containsText" dxfId="5" priority="3594" operator="containsText" text="СЗЧ">
      <formula>NOT(ISERROR(SEARCH(("СЗЧ"),(U815))))</formula>
    </cfRule>
  </conditionalFormatting>
  <conditionalFormatting sqref="U815">
    <cfRule type="containsText" dxfId="4" priority="3595" operator="containsText" text="Відпустка">
      <formula>NOT(ISERROR(SEARCH(("Відпустка"),(U815))))</formula>
    </cfRule>
  </conditionalFormatting>
  <conditionalFormatting sqref="U815">
    <cfRule type="containsText" dxfId="3" priority="3596" operator="containsText" text="В строю">
      <formula>NOT(ISERROR(SEARCH(("В строю"),(U815))))</formula>
    </cfRule>
  </conditionalFormatting>
  <conditionalFormatting sqref="U814">
    <cfRule type="containsText" dxfId="3" priority="3597" operator="containsText" text="В строю">
      <formula>NOT(ISERROR(SEARCH(("В строю"),(U814))))</formula>
    </cfRule>
  </conditionalFormatting>
  <conditionalFormatting sqref="U814">
    <cfRule type="containsText" dxfId="4" priority="3598" operator="containsText" text="Відпустка">
      <formula>NOT(ISERROR(SEARCH(("Відпустка"),(U814))))</formula>
    </cfRule>
  </conditionalFormatting>
  <conditionalFormatting sqref="U814">
    <cfRule type="containsText" dxfId="5" priority="3599" operator="containsText" text="СЗЧ">
      <formula>NOT(ISERROR(SEARCH(("СЗЧ"),(U814))))</formula>
    </cfRule>
  </conditionalFormatting>
  <conditionalFormatting sqref="U814">
    <cfRule type="containsText" dxfId="6" priority="3600" operator="containsText" text="Зниклі безвісти">
      <formula>NOT(ISERROR(SEARCH(("Зниклі безвісти"),(U814))))</formula>
    </cfRule>
  </conditionalFormatting>
  <conditionalFormatting sqref="U814">
    <cfRule type="containsText" dxfId="7" priority="3601" operator="containsText" text="Від-ні навчання">
      <formula>NOT(ISERROR(SEARCH(("Від-ні навчання"),(U814))))</formula>
    </cfRule>
  </conditionalFormatting>
  <conditionalFormatting sqref="U814">
    <cfRule type="containsText" dxfId="8" priority="3602" operator="containsText" text="Відком. за межі ПБ">
      <formula>NOT(ISERROR(SEARCH(("Відком. за межі ПБ"),(U814))))</formula>
    </cfRule>
  </conditionalFormatting>
  <conditionalFormatting sqref="U814">
    <cfRule type="containsText" dxfId="9" priority="3603" operator="containsText" text="Загиблі">
      <formula>NOT(ISERROR(SEARCH(("Загиблі"),(U814))))</formula>
    </cfRule>
  </conditionalFormatting>
  <conditionalFormatting sqref="U814">
    <cfRule type="containsText" dxfId="10" priority="3604" operator="containsText" text="Лікування">
      <formula>NOT(ISERROR(SEARCH(("Лікування"),(U814))))</formula>
    </cfRule>
  </conditionalFormatting>
  <conditionalFormatting sqref="N814">
    <cfRule type="expression" dxfId="0" priority="3605">
      <formula>COUNTIF(#REF!, N814) &gt; 1</formula>
    </cfRule>
  </conditionalFormatting>
  <conditionalFormatting sqref="U814">
    <cfRule type="containsText" dxfId="10" priority="3606" operator="containsText" text="Лікування">
      <formula>NOT(ISERROR(SEARCH(("Лікування"),(U814))))</formula>
    </cfRule>
  </conditionalFormatting>
  <conditionalFormatting sqref="U814">
    <cfRule type="containsText" dxfId="9" priority="3607" operator="containsText" text="Загиблі">
      <formula>NOT(ISERROR(SEARCH(("Загиблі"),(U814))))</formula>
    </cfRule>
  </conditionalFormatting>
  <conditionalFormatting sqref="U814">
    <cfRule type="containsText" dxfId="8" priority="3608" operator="containsText" text="Відком. за межі ПБ">
      <formula>NOT(ISERROR(SEARCH(("Відком. за межі ПБ"),(U814))))</formula>
    </cfRule>
  </conditionalFormatting>
  <conditionalFormatting sqref="U814">
    <cfRule type="containsText" dxfId="7" priority="3609" operator="containsText" text="Від-ні навчання">
      <formula>NOT(ISERROR(SEARCH(("Від-ні навчання"),(U814))))</formula>
    </cfRule>
  </conditionalFormatting>
  <conditionalFormatting sqref="U814">
    <cfRule type="containsText" dxfId="6" priority="3610" operator="containsText" text="Зниклі безвісти">
      <formula>NOT(ISERROR(SEARCH(("Зниклі безвісти"),(U814))))</formula>
    </cfRule>
  </conditionalFormatting>
  <conditionalFormatting sqref="U814">
    <cfRule type="containsText" dxfId="5" priority="3611" operator="containsText" text="СЗЧ">
      <formula>NOT(ISERROR(SEARCH(("СЗЧ"),(U814))))</formula>
    </cfRule>
  </conditionalFormatting>
  <conditionalFormatting sqref="U814">
    <cfRule type="containsText" dxfId="4" priority="3612" operator="containsText" text="Відпустка">
      <formula>NOT(ISERROR(SEARCH(("Відпустка"),(U814))))</formula>
    </cfRule>
  </conditionalFormatting>
  <conditionalFormatting sqref="U814">
    <cfRule type="containsText" dxfId="3" priority="3613" operator="containsText" text="В строю">
      <formula>NOT(ISERROR(SEARCH(("В строю"),(U814))))</formula>
    </cfRule>
  </conditionalFormatting>
  <conditionalFormatting sqref="Q814">
    <cfRule type="cellIs" dxfId="9" priority="3614" operator="notEqual">
      <formula>P814</formula>
    </cfRule>
  </conditionalFormatting>
  <conditionalFormatting sqref="Q814">
    <cfRule type="cellIs" dxfId="3" priority="3615" operator="equal">
      <formula>P814</formula>
    </cfRule>
  </conditionalFormatting>
  <conditionalFormatting sqref="U813">
    <cfRule type="containsText" dxfId="3" priority="3616" operator="containsText" text="В строю">
      <formula>NOT(ISERROR(SEARCH(("В строю"),(U813))))</formula>
    </cfRule>
  </conditionalFormatting>
  <conditionalFormatting sqref="U813">
    <cfRule type="containsText" dxfId="4" priority="3617" operator="containsText" text="Відпустка">
      <formula>NOT(ISERROR(SEARCH(("Відпустка"),(U813))))</formula>
    </cfRule>
  </conditionalFormatting>
  <conditionalFormatting sqref="U813">
    <cfRule type="containsText" dxfId="5" priority="3618" operator="containsText" text="СЗЧ">
      <formula>NOT(ISERROR(SEARCH(("СЗЧ"),(U813))))</formula>
    </cfRule>
  </conditionalFormatting>
  <conditionalFormatting sqref="U813">
    <cfRule type="containsText" dxfId="6" priority="3619" operator="containsText" text="Зниклі безвісти">
      <formula>NOT(ISERROR(SEARCH(("Зниклі безвісти"),(U813))))</formula>
    </cfRule>
  </conditionalFormatting>
  <conditionalFormatting sqref="U813">
    <cfRule type="containsText" dxfId="7" priority="3620" operator="containsText" text="Від-ні навчання">
      <formula>NOT(ISERROR(SEARCH(("Від-ні навчання"),(U813))))</formula>
    </cfRule>
  </conditionalFormatting>
  <conditionalFormatting sqref="U813">
    <cfRule type="containsText" dxfId="8" priority="3621" operator="containsText" text="Відком. за межі ПБ">
      <formula>NOT(ISERROR(SEARCH(("Відком. за межі ПБ"),(U813))))</formula>
    </cfRule>
  </conditionalFormatting>
  <conditionalFormatting sqref="U813">
    <cfRule type="containsText" dxfId="9" priority="3622" operator="containsText" text="Загиблі">
      <formula>NOT(ISERROR(SEARCH(("Загиблі"),(U813))))</formula>
    </cfRule>
  </conditionalFormatting>
  <conditionalFormatting sqref="U813">
    <cfRule type="containsText" dxfId="10" priority="3623" operator="containsText" text="Лікування">
      <formula>NOT(ISERROR(SEARCH(("Лікування"),(U813))))</formula>
    </cfRule>
  </conditionalFormatting>
  <conditionalFormatting sqref="N813">
    <cfRule type="expression" dxfId="0" priority="3624">
      <formula>COUNTIF(#REF!, N813) &gt; 1</formula>
    </cfRule>
  </conditionalFormatting>
  <conditionalFormatting sqref="U813">
    <cfRule type="containsText" dxfId="10" priority="3625" operator="containsText" text="Лікування">
      <formula>NOT(ISERROR(SEARCH(("Лікування"),(U813))))</formula>
    </cfRule>
  </conditionalFormatting>
  <conditionalFormatting sqref="U813">
    <cfRule type="containsText" dxfId="9" priority="3626" operator="containsText" text="Загиблі">
      <formula>NOT(ISERROR(SEARCH(("Загиблі"),(U813))))</formula>
    </cfRule>
  </conditionalFormatting>
  <conditionalFormatting sqref="U813">
    <cfRule type="containsText" dxfId="8" priority="3627" operator="containsText" text="Відком. за межі ПБ">
      <formula>NOT(ISERROR(SEARCH(("Відком. за межі ПБ"),(U813))))</formula>
    </cfRule>
  </conditionalFormatting>
  <conditionalFormatting sqref="U813">
    <cfRule type="containsText" dxfId="7" priority="3628" operator="containsText" text="Від-ні навчання">
      <formula>NOT(ISERROR(SEARCH(("Від-ні навчання"),(U813))))</formula>
    </cfRule>
  </conditionalFormatting>
  <conditionalFormatting sqref="U813">
    <cfRule type="containsText" dxfId="6" priority="3629" operator="containsText" text="Зниклі безвісти">
      <formula>NOT(ISERROR(SEARCH(("Зниклі безвісти"),(U813))))</formula>
    </cfRule>
  </conditionalFormatting>
  <conditionalFormatting sqref="U813">
    <cfRule type="containsText" dxfId="5" priority="3630" operator="containsText" text="СЗЧ">
      <formula>NOT(ISERROR(SEARCH(("СЗЧ"),(U813))))</formula>
    </cfRule>
  </conditionalFormatting>
  <conditionalFormatting sqref="U813">
    <cfRule type="containsText" dxfId="4" priority="3631" operator="containsText" text="Відпустка">
      <formula>NOT(ISERROR(SEARCH(("Відпустка"),(U813))))</formula>
    </cfRule>
  </conditionalFormatting>
  <conditionalFormatting sqref="U813">
    <cfRule type="containsText" dxfId="3" priority="3632" operator="containsText" text="В строю">
      <formula>NOT(ISERROR(SEARCH(("В строю"),(U813))))</formula>
    </cfRule>
  </conditionalFormatting>
  <conditionalFormatting sqref="Q813">
    <cfRule type="cellIs" dxfId="9" priority="3633" operator="notEqual">
      <formula>P813</formula>
    </cfRule>
  </conditionalFormatting>
  <conditionalFormatting sqref="Q813">
    <cfRule type="cellIs" dxfId="3" priority="3634" operator="equal">
      <formula>P813</formula>
    </cfRule>
  </conditionalFormatting>
  <conditionalFormatting sqref="N729:N812">
    <cfRule type="expression" dxfId="0" priority="3635">
      <formula>COUNTIF(#REF!, N729) &gt; 1</formula>
    </cfRule>
  </conditionalFormatting>
  <conditionalFormatting sqref="U727:U812">
    <cfRule type="containsText" dxfId="10" priority="3636" operator="containsText" text="Лікування">
      <formula>NOT(ISERROR(SEARCH(("Лікування"),(U727))))</formula>
    </cfRule>
  </conditionalFormatting>
  <conditionalFormatting sqref="U727:U812">
    <cfRule type="containsText" dxfId="9" priority="3637" operator="containsText" text="Загиблі">
      <formula>NOT(ISERROR(SEARCH(("Загиблі"),(U727))))</formula>
    </cfRule>
  </conditionalFormatting>
  <conditionalFormatting sqref="U727:U812">
    <cfRule type="containsText" dxfId="8" priority="3638" operator="containsText" text="Відком. за межі ПБ">
      <formula>NOT(ISERROR(SEARCH(("Відком. за межі ПБ"),(U727))))</formula>
    </cfRule>
  </conditionalFormatting>
  <conditionalFormatting sqref="U727:U812">
    <cfRule type="containsText" dxfId="7" priority="3639" operator="containsText" text="Від-ні навчання">
      <formula>NOT(ISERROR(SEARCH(("Від-ні навчання"),(U727))))</formula>
    </cfRule>
  </conditionalFormatting>
  <conditionalFormatting sqref="U727:U812">
    <cfRule type="containsText" dxfId="6" priority="3640" operator="containsText" text="Зниклі безвісти">
      <formula>NOT(ISERROR(SEARCH(("Зниклі безвісти"),(U727))))</formula>
    </cfRule>
  </conditionalFormatting>
  <conditionalFormatting sqref="U727:U812">
    <cfRule type="containsText" dxfId="5" priority="3641" operator="containsText" text="СЗЧ">
      <formula>NOT(ISERROR(SEARCH(("СЗЧ"),(U727))))</formula>
    </cfRule>
  </conditionalFormatting>
  <conditionalFormatting sqref="U727:U812">
    <cfRule type="containsText" dxfId="4" priority="3642" operator="containsText" text="Відпустка">
      <formula>NOT(ISERROR(SEARCH(("Відпустка"),(U727))))</formula>
    </cfRule>
  </conditionalFormatting>
  <conditionalFormatting sqref="U727:U812">
    <cfRule type="containsText" dxfId="3" priority="3643" operator="containsText" text="В строю">
      <formula>NOT(ISERROR(SEARCH(("В строю"),(U727))))</formula>
    </cfRule>
  </conditionalFormatting>
  <conditionalFormatting sqref="U723:U726">
    <cfRule type="containsText" dxfId="10" priority="3644" operator="containsText" text="Лікування">
      <formula>NOT(ISERROR(SEARCH(("Лікування"),(U723))))</formula>
    </cfRule>
  </conditionalFormatting>
  <conditionalFormatting sqref="U723:U726">
    <cfRule type="containsText" dxfId="9" priority="3645" operator="containsText" text="Загиблі">
      <formula>NOT(ISERROR(SEARCH(("Загиблі"),(U723))))</formula>
    </cfRule>
  </conditionalFormatting>
  <conditionalFormatting sqref="U723:U726">
    <cfRule type="containsText" dxfId="8" priority="3646" operator="containsText" text="Відком. за межі ПБ">
      <formula>NOT(ISERROR(SEARCH(("Відком. за межі ПБ"),(U723))))</formula>
    </cfRule>
  </conditionalFormatting>
  <conditionalFormatting sqref="U723:U726">
    <cfRule type="containsText" dxfId="7" priority="3647" operator="containsText" text="Від-ні навчання">
      <formula>NOT(ISERROR(SEARCH(("Від-ні навчання"),(U723))))</formula>
    </cfRule>
  </conditionalFormatting>
  <conditionalFormatting sqref="U723:U726">
    <cfRule type="containsText" dxfId="6" priority="3648" operator="containsText" text="Зниклі безвісти">
      <formula>NOT(ISERROR(SEARCH(("Зниклі безвісти"),(U723))))</formula>
    </cfRule>
  </conditionalFormatting>
  <conditionalFormatting sqref="U723:U726">
    <cfRule type="containsText" dxfId="5" priority="3649" operator="containsText" text="СЗЧ">
      <formula>NOT(ISERROR(SEARCH(("СЗЧ"),(U723))))</formula>
    </cfRule>
  </conditionalFormatting>
  <conditionalFormatting sqref="U723:U726">
    <cfRule type="containsText" dxfId="4" priority="3650" operator="containsText" text="Відпустка">
      <formula>NOT(ISERROR(SEARCH(("Відпустка"),(U723))))</formula>
    </cfRule>
  </conditionalFormatting>
  <conditionalFormatting sqref="U723:U726">
    <cfRule type="containsText" dxfId="3" priority="3651" operator="containsText" text="В строю">
      <formula>NOT(ISERROR(SEARCH(("В строю"),(U723))))</formula>
    </cfRule>
  </conditionalFormatting>
  <conditionalFormatting sqref="U723">
    <cfRule type="containsText" dxfId="3" priority="3652" operator="containsText" text="В строю">
      <formula>NOT(ISERROR(SEARCH(("В строю"),(U723))))</formula>
    </cfRule>
  </conditionalFormatting>
  <conditionalFormatting sqref="U723">
    <cfRule type="containsText" dxfId="4" priority="3653" operator="containsText" text="Відпустка">
      <formula>NOT(ISERROR(SEARCH(("Відпустка"),(U723))))</formula>
    </cfRule>
  </conditionalFormatting>
  <conditionalFormatting sqref="U723">
    <cfRule type="containsText" dxfId="5" priority="3654" operator="containsText" text="СЗЧ">
      <formula>NOT(ISERROR(SEARCH(("СЗЧ"),(U723))))</formula>
    </cfRule>
  </conditionalFormatting>
  <conditionalFormatting sqref="U723">
    <cfRule type="containsText" dxfId="6" priority="3655" operator="containsText" text="Зниклі безвісти">
      <formula>NOT(ISERROR(SEARCH(("Зниклі безвісти"),(U723))))</formula>
    </cfRule>
  </conditionalFormatting>
  <conditionalFormatting sqref="U723">
    <cfRule type="containsText" dxfId="7" priority="3656" operator="containsText" text="Від-ні навчання">
      <formula>NOT(ISERROR(SEARCH(("Від-ні навчання"),(U723))))</formula>
    </cfRule>
  </conditionalFormatting>
  <conditionalFormatting sqref="U723">
    <cfRule type="containsText" dxfId="8" priority="3657" operator="containsText" text="Відком. за межі ПБ">
      <formula>NOT(ISERROR(SEARCH(("Відком. за межі ПБ"),(U723))))</formula>
    </cfRule>
  </conditionalFormatting>
  <conditionalFormatting sqref="U723">
    <cfRule type="containsText" dxfId="9" priority="3658" operator="containsText" text="Загиблі">
      <formula>NOT(ISERROR(SEARCH(("Загиблі"),(U723))))</formula>
    </cfRule>
  </conditionalFormatting>
  <conditionalFormatting sqref="U723">
    <cfRule type="containsText" dxfId="10" priority="3659" operator="containsText" text="Лікування">
      <formula>NOT(ISERROR(SEARCH(("Лікування"),(U723))))</formula>
    </cfRule>
  </conditionalFormatting>
  <conditionalFormatting sqref="Q723:Q726">
    <cfRule type="cellIs" dxfId="9" priority="3660" operator="notEqual">
      <formula>P723</formula>
    </cfRule>
  </conditionalFormatting>
  <conditionalFormatting sqref="Q723:Q726">
    <cfRule type="cellIs" dxfId="3" priority="3661" operator="equal">
      <formula>P723</formula>
    </cfRule>
  </conditionalFormatting>
  <conditionalFormatting sqref="N723 N725">
    <cfRule type="expression" dxfId="0" priority="3662">
      <formula>COUNTIF(#REF!, N723) &gt; 1</formula>
    </cfRule>
  </conditionalFormatting>
  <conditionalFormatting sqref="N722">
    <cfRule type="expression" dxfId="0" priority="3663">
      <formula>COUNTIF(#REF!, N722) &gt; 1</formula>
    </cfRule>
  </conditionalFormatting>
  <conditionalFormatting sqref="Q722">
    <cfRule type="cellIs" dxfId="3" priority="3664" operator="equal">
      <formula>P722</formula>
    </cfRule>
  </conditionalFormatting>
  <conditionalFormatting sqref="Q722">
    <cfRule type="cellIs" dxfId="9" priority="3665" operator="notEqual">
      <formula>P722</formula>
    </cfRule>
  </conditionalFormatting>
  <conditionalFormatting sqref="U722">
    <cfRule type="containsText" dxfId="10" priority="3666" operator="containsText" text="Лікування">
      <formula>NOT(ISERROR(SEARCH(("Лікування"),(U722))))</formula>
    </cfRule>
  </conditionalFormatting>
  <conditionalFormatting sqref="U722">
    <cfRule type="containsText" dxfId="9" priority="3667" operator="containsText" text="Загиблі">
      <formula>NOT(ISERROR(SEARCH(("Загиблі"),(U722))))</formula>
    </cfRule>
  </conditionalFormatting>
  <conditionalFormatting sqref="U722">
    <cfRule type="containsText" dxfId="8" priority="3668" operator="containsText" text="Відком. за межі ПБ">
      <formula>NOT(ISERROR(SEARCH(("Відком. за межі ПБ"),(U722))))</formula>
    </cfRule>
  </conditionalFormatting>
  <conditionalFormatting sqref="U722">
    <cfRule type="containsText" dxfId="7" priority="3669" operator="containsText" text="Від-ні навчання">
      <formula>NOT(ISERROR(SEARCH(("Від-ні навчання"),(U722))))</formula>
    </cfRule>
  </conditionalFormatting>
  <conditionalFormatting sqref="U722">
    <cfRule type="containsText" dxfId="6" priority="3670" operator="containsText" text="Зниклі безвісти">
      <formula>NOT(ISERROR(SEARCH(("Зниклі безвісти"),(U722))))</formula>
    </cfRule>
  </conditionalFormatting>
  <conditionalFormatting sqref="U722">
    <cfRule type="containsText" dxfId="5" priority="3671" operator="containsText" text="СЗЧ">
      <formula>NOT(ISERROR(SEARCH(("СЗЧ"),(U722))))</formula>
    </cfRule>
  </conditionalFormatting>
  <conditionalFormatting sqref="U722">
    <cfRule type="containsText" dxfId="4" priority="3672" operator="containsText" text="Відпустка">
      <formula>NOT(ISERROR(SEARCH(("Відпустка"),(U722))))</formula>
    </cfRule>
  </conditionalFormatting>
  <conditionalFormatting sqref="U722">
    <cfRule type="containsText" dxfId="3" priority="3673" operator="containsText" text="В строю">
      <formula>NOT(ISERROR(SEARCH(("В строю"),(U722))))</formula>
    </cfRule>
  </conditionalFormatting>
  <conditionalFormatting sqref="U722">
    <cfRule type="containsText" dxfId="3" priority="3674" operator="containsText" text="В строю">
      <formula>NOT(ISERROR(SEARCH(("В строю"),(U722))))</formula>
    </cfRule>
  </conditionalFormatting>
  <conditionalFormatting sqref="U722">
    <cfRule type="containsText" dxfId="4" priority="3675" operator="containsText" text="Відпустка">
      <formula>NOT(ISERROR(SEARCH(("Відпустка"),(U722))))</formula>
    </cfRule>
  </conditionalFormatting>
  <conditionalFormatting sqref="U722">
    <cfRule type="containsText" dxfId="5" priority="3676" operator="containsText" text="СЗЧ">
      <formula>NOT(ISERROR(SEARCH(("СЗЧ"),(U722))))</formula>
    </cfRule>
  </conditionalFormatting>
  <conditionalFormatting sqref="U722">
    <cfRule type="containsText" dxfId="6" priority="3677" operator="containsText" text="Зниклі безвісти">
      <formula>NOT(ISERROR(SEARCH(("Зниклі безвісти"),(U722))))</formula>
    </cfRule>
  </conditionalFormatting>
  <conditionalFormatting sqref="U722">
    <cfRule type="containsText" dxfId="7" priority="3678" operator="containsText" text="Від-ні навчання">
      <formula>NOT(ISERROR(SEARCH(("Від-ні навчання"),(U722))))</formula>
    </cfRule>
  </conditionalFormatting>
  <conditionalFormatting sqref="U722">
    <cfRule type="containsText" dxfId="8" priority="3679" operator="containsText" text="Відком. за межі ПБ">
      <formula>NOT(ISERROR(SEARCH(("Відком. за межі ПБ"),(U722))))</formula>
    </cfRule>
  </conditionalFormatting>
  <conditionalFormatting sqref="U722">
    <cfRule type="containsText" dxfId="9" priority="3680" operator="containsText" text="Загиблі">
      <formula>NOT(ISERROR(SEARCH(("Загиблі"),(U722))))</formula>
    </cfRule>
  </conditionalFormatting>
  <conditionalFormatting sqref="U722">
    <cfRule type="containsText" dxfId="10" priority="3681" operator="containsText" text="Лікування">
      <formula>NOT(ISERROR(SEARCH(("Лікування"),(U722))))</formula>
    </cfRule>
  </conditionalFormatting>
  <conditionalFormatting sqref="N721">
    <cfRule type="expression" dxfId="0" priority="3682">
      <formula>COUNTIF(#REF!, N721) &gt; 1</formula>
    </cfRule>
  </conditionalFormatting>
  <conditionalFormatting sqref="Q721">
    <cfRule type="cellIs" dxfId="3" priority="3683" operator="equal">
      <formula>P721</formula>
    </cfRule>
  </conditionalFormatting>
  <conditionalFormatting sqref="Q721">
    <cfRule type="cellIs" dxfId="9" priority="3684" operator="notEqual">
      <formula>P721</formula>
    </cfRule>
  </conditionalFormatting>
  <conditionalFormatting sqref="U721">
    <cfRule type="containsText" dxfId="10" priority="3685" operator="containsText" text="Лікування">
      <formula>NOT(ISERROR(SEARCH(("Лікування"),(U721))))</formula>
    </cfRule>
  </conditionalFormatting>
  <conditionalFormatting sqref="U721">
    <cfRule type="containsText" dxfId="9" priority="3686" operator="containsText" text="Загиблі">
      <formula>NOT(ISERROR(SEARCH(("Загиблі"),(U721))))</formula>
    </cfRule>
  </conditionalFormatting>
  <conditionalFormatting sqref="U721">
    <cfRule type="containsText" dxfId="8" priority="3687" operator="containsText" text="Відком. за межі ПБ">
      <formula>NOT(ISERROR(SEARCH(("Відком. за межі ПБ"),(U721))))</formula>
    </cfRule>
  </conditionalFormatting>
  <conditionalFormatting sqref="U721">
    <cfRule type="containsText" dxfId="7" priority="3688" operator="containsText" text="Від-ні навчання">
      <formula>NOT(ISERROR(SEARCH(("Від-ні навчання"),(U721))))</formula>
    </cfRule>
  </conditionalFormatting>
  <conditionalFormatting sqref="U721">
    <cfRule type="containsText" dxfId="6" priority="3689" operator="containsText" text="Зниклі безвісти">
      <formula>NOT(ISERROR(SEARCH(("Зниклі безвісти"),(U721))))</formula>
    </cfRule>
  </conditionalFormatting>
  <conditionalFormatting sqref="U721">
    <cfRule type="containsText" dxfId="5" priority="3690" operator="containsText" text="СЗЧ">
      <formula>NOT(ISERROR(SEARCH(("СЗЧ"),(U721))))</formula>
    </cfRule>
  </conditionalFormatting>
  <conditionalFormatting sqref="U721">
    <cfRule type="containsText" dxfId="4" priority="3691" operator="containsText" text="Відпустка">
      <formula>NOT(ISERROR(SEARCH(("Відпустка"),(U721))))</formula>
    </cfRule>
  </conditionalFormatting>
  <conditionalFormatting sqref="U721">
    <cfRule type="containsText" dxfId="3" priority="3692" operator="containsText" text="В строю">
      <formula>NOT(ISERROR(SEARCH(("В строю"),(U721))))</formula>
    </cfRule>
  </conditionalFormatting>
  <conditionalFormatting sqref="U721">
    <cfRule type="containsText" dxfId="3" priority="3693" operator="containsText" text="В строю">
      <formula>NOT(ISERROR(SEARCH(("В строю"),(U721))))</formula>
    </cfRule>
  </conditionalFormatting>
  <conditionalFormatting sqref="U721">
    <cfRule type="containsText" dxfId="4" priority="3694" operator="containsText" text="Відпустка">
      <formula>NOT(ISERROR(SEARCH(("Відпустка"),(U721))))</formula>
    </cfRule>
  </conditionalFormatting>
  <conditionalFormatting sqref="U721">
    <cfRule type="containsText" dxfId="5" priority="3695" operator="containsText" text="СЗЧ">
      <formula>NOT(ISERROR(SEARCH(("СЗЧ"),(U721))))</formula>
    </cfRule>
  </conditionalFormatting>
  <conditionalFormatting sqref="U721">
    <cfRule type="containsText" dxfId="6" priority="3696" operator="containsText" text="Зниклі безвісти">
      <formula>NOT(ISERROR(SEARCH(("Зниклі безвісти"),(U721))))</formula>
    </cfRule>
  </conditionalFormatting>
  <conditionalFormatting sqref="U721">
    <cfRule type="containsText" dxfId="7" priority="3697" operator="containsText" text="Від-ні навчання">
      <formula>NOT(ISERROR(SEARCH(("Від-ні навчання"),(U721))))</formula>
    </cfRule>
  </conditionalFormatting>
  <conditionalFormatting sqref="U721">
    <cfRule type="containsText" dxfId="8" priority="3698" operator="containsText" text="Відком. за межі ПБ">
      <formula>NOT(ISERROR(SEARCH(("Відком. за межі ПБ"),(U721))))</formula>
    </cfRule>
  </conditionalFormatting>
  <conditionalFormatting sqref="U721">
    <cfRule type="containsText" dxfId="9" priority="3699" operator="containsText" text="Загиблі">
      <formula>NOT(ISERROR(SEARCH(("Загиблі"),(U721))))</formula>
    </cfRule>
  </conditionalFormatting>
  <conditionalFormatting sqref="U721">
    <cfRule type="containsText" dxfId="10" priority="3700" operator="containsText" text="Лікування">
      <formula>NOT(ISERROR(SEARCH(("Лікування"),(U721))))</formula>
    </cfRule>
  </conditionalFormatting>
  <conditionalFormatting sqref="P713">
    <cfRule type="expression" dxfId="0" priority="3701">
      <formula>COUNTIF($O$1:$O1625, P713) &gt; 1</formula>
    </cfRule>
  </conditionalFormatting>
  <conditionalFormatting sqref="U696:U714 T713 U716:U720">
    <cfRule type="containsText" dxfId="10" priority="3702" operator="containsText" text="Лікування">
      <formula>NOT(ISERROR(SEARCH(("Лікування"),(U696))))</formula>
    </cfRule>
  </conditionalFormatting>
  <conditionalFormatting sqref="U696:U714 T713 U716:U720">
    <cfRule type="containsText" dxfId="9" priority="3703" operator="containsText" text="Загиблі">
      <formula>NOT(ISERROR(SEARCH(("Загиблі"),(U696))))</formula>
    </cfRule>
  </conditionalFormatting>
  <conditionalFormatting sqref="U696:U714 T713 U716:U720">
    <cfRule type="containsText" dxfId="8" priority="3704" operator="containsText" text="Відком. за межі ПБ">
      <formula>NOT(ISERROR(SEARCH(("Відком. за межі ПБ"),(U696))))</formula>
    </cfRule>
  </conditionalFormatting>
  <conditionalFormatting sqref="U696:U714 T713 U716:U720">
    <cfRule type="containsText" dxfId="7" priority="3705" operator="containsText" text="Від-ні навчання">
      <formula>NOT(ISERROR(SEARCH(("Від-ні навчання"),(U696))))</formula>
    </cfRule>
  </conditionalFormatting>
  <conditionalFormatting sqref="U696:U714 T713 U716:U720">
    <cfRule type="containsText" dxfId="6" priority="3706" operator="containsText" text="Зниклі безвісти">
      <formula>NOT(ISERROR(SEARCH(("Зниклі безвісти"),(U696))))</formula>
    </cfRule>
  </conditionalFormatting>
  <conditionalFormatting sqref="U696:U714 T713 U716:U720">
    <cfRule type="containsText" dxfId="5" priority="3707" operator="containsText" text="СЗЧ">
      <formula>NOT(ISERROR(SEARCH(("СЗЧ"),(U696))))</formula>
    </cfRule>
  </conditionalFormatting>
  <conditionalFormatting sqref="U696:U714 T713 U716:U720">
    <cfRule type="containsText" dxfId="4" priority="3708" operator="containsText" text="Відпустка">
      <formula>NOT(ISERROR(SEARCH(("Відпустка"),(U696))))</formula>
    </cfRule>
  </conditionalFormatting>
  <conditionalFormatting sqref="U696:U714 T713 U716:U720">
    <cfRule type="containsText" dxfId="3" priority="3709" operator="containsText" text="В строю">
      <formula>NOT(ISERROR(SEARCH(("В строю"),(U696))))</formula>
    </cfRule>
  </conditionalFormatting>
  <conditionalFormatting sqref="U696">
    <cfRule type="containsText" dxfId="10" priority="3710" operator="containsText" text="Лікування">
      <formula>NOT(ISERROR(SEARCH(("Лікування"),(U696))))</formula>
    </cfRule>
  </conditionalFormatting>
  <conditionalFormatting sqref="U696">
    <cfRule type="containsText" dxfId="9" priority="3711" operator="containsText" text="Загиблі">
      <formula>NOT(ISERROR(SEARCH(("Загиблі"),(U696))))</formula>
    </cfRule>
  </conditionalFormatting>
  <conditionalFormatting sqref="U696">
    <cfRule type="containsText" dxfId="8" priority="3712" operator="containsText" text="Відком. за межі ПБ">
      <formula>NOT(ISERROR(SEARCH(("Відком. за межі ПБ"),(U696))))</formula>
    </cfRule>
  </conditionalFormatting>
  <conditionalFormatting sqref="U696">
    <cfRule type="containsText" dxfId="7" priority="3713" operator="containsText" text="Від-ні навчання">
      <formula>NOT(ISERROR(SEARCH(("Від-ні навчання"),(U696))))</formula>
    </cfRule>
  </conditionalFormatting>
  <conditionalFormatting sqref="U696">
    <cfRule type="containsText" dxfId="6" priority="3714" operator="containsText" text="Зниклі безвісти">
      <formula>NOT(ISERROR(SEARCH(("Зниклі безвісти"),(U696))))</formula>
    </cfRule>
  </conditionalFormatting>
  <conditionalFormatting sqref="U696">
    <cfRule type="containsText" dxfId="5" priority="3715" operator="containsText" text="СЗЧ">
      <formula>NOT(ISERROR(SEARCH(("СЗЧ"),(U696))))</formula>
    </cfRule>
  </conditionalFormatting>
  <conditionalFormatting sqref="U696">
    <cfRule type="containsText" dxfId="4" priority="3716" operator="containsText" text="Відпустка">
      <formula>NOT(ISERROR(SEARCH(("Відпустка"),(U696))))</formula>
    </cfRule>
  </conditionalFormatting>
  <conditionalFormatting sqref="U696">
    <cfRule type="containsText" dxfId="3" priority="3717" operator="containsText" text="В строю">
      <formula>NOT(ISERROR(SEARCH(("В строю"),(U696))))</formula>
    </cfRule>
  </conditionalFormatting>
  <conditionalFormatting sqref="N696 N700:N701 N703 N707:N708 N711:N712 N716 N718">
    <cfRule type="expression" dxfId="0" priority="3718">
      <formula>COUNTIF(#REF!, N696) &gt; 1</formula>
    </cfRule>
  </conditionalFormatting>
  <conditionalFormatting sqref="Q696:Q714 Q716:Q719">
    <cfRule type="cellIs" dxfId="9" priority="3719" operator="notEqual">
      <formula>P696</formula>
    </cfRule>
  </conditionalFormatting>
  <conditionalFormatting sqref="Q696:Q714 Q716:Q719">
    <cfRule type="cellIs" dxfId="3" priority="3720" operator="equal">
      <formula>P696</formula>
    </cfRule>
  </conditionalFormatting>
  <conditionalFormatting sqref="U695">
    <cfRule type="containsText" dxfId="3" priority="3721" operator="containsText" text="В строю">
      <formula>NOT(ISERROR(SEARCH(("В строю"),(U695))))</formula>
    </cfRule>
  </conditionalFormatting>
  <conditionalFormatting sqref="U695">
    <cfRule type="containsText" dxfId="4" priority="3722" operator="containsText" text="Відпустка">
      <formula>NOT(ISERROR(SEARCH(("Відпустка"),(U695))))</formula>
    </cfRule>
  </conditionalFormatting>
  <conditionalFormatting sqref="U695">
    <cfRule type="containsText" dxfId="5" priority="3723" operator="containsText" text="СЗЧ">
      <formula>NOT(ISERROR(SEARCH(("СЗЧ"),(U695))))</formula>
    </cfRule>
  </conditionalFormatting>
  <conditionalFormatting sqref="U695">
    <cfRule type="containsText" dxfId="6" priority="3724" operator="containsText" text="Зниклі безвісти">
      <formula>NOT(ISERROR(SEARCH(("Зниклі безвісти"),(U695))))</formula>
    </cfRule>
  </conditionalFormatting>
  <conditionalFormatting sqref="U695">
    <cfRule type="containsText" dxfId="7" priority="3725" operator="containsText" text="Від-ні навчання">
      <formula>NOT(ISERROR(SEARCH(("Від-ні навчання"),(U695))))</formula>
    </cfRule>
  </conditionalFormatting>
  <conditionalFormatting sqref="U695">
    <cfRule type="containsText" dxfId="8" priority="3726" operator="containsText" text="Відком. за межі ПБ">
      <formula>NOT(ISERROR(SEARCH(("Відком. за межі ПБ"),(U695))))</formula>
    </cfRule>
  </conditionalFormatting>
  <conditionalFormatting sqref="U695">
    <cfRule type="containsText" dxfId="9" priority="3727" operator="containsText" text="Загиблі">
      <formula>NOT(ISERROR(SEARCH(("Загиблі"),(U695))))</formula>
    </cfRule>
  </conditionalFormatting>
  <conditionalFormatting sqref="U695">
    <cfRule type="containsText" dxfId="10" priority="3728" operator="containsText" text="Лікування">
      <formula>NOT(ISERROR(SEARCH(("Лікування"),(U695))))</formula>
    </cfRule>
  </conditionalFormatting>
  <conditionalFormatting sqref="N695">
    <cfRule type="expression" dxfId="0" priority="3729">
      <formula>COUNTIF(#REF!, N695) &gt; 1</formula>
    </cfRule>
  </conditionalFormatting>
  <conditionalFormatting sqref="Q695">
    <cfRule type="cellIs" dxfId="3" priority="3730" operator="equal">
      <formula>P695</formula>
    </cfRule>
  </conditionalFormatting>
  <conditionalFormatting sqref="Q695">
    <cfRule type="cellIs" dxfId="9" priority="3731" operator="notEqual">
      <formula>P695</formula>
    </cfRule>
  </conditionalFormatting>
  <conditionalFormatting sqref="U686:U694">
    <cfRule type="containsText" dxfId="3" priority="3732" operator="containsText" text="В строю">
      <formula>NOT(ISERROR(SEARCH(("В строю"),(U686))))</formula>
    </cfRule>
  </conditionalFormatting>
  <conditionalFormatting sqref="U686:U694">
    <cfRule type="containsText" dxfId="4" priority="3733" operator="containsText" text="Відпустка">
      <formula>NOT(ISERROR(SEARCH(("Відпустка"),(U686))))</formula>
    </cfRule>
  </conditionalFormatting>
  <conditionalFormatting sqref="U686:U694">
    <cfRule type="containsText" dxfId="5" priority="3734" operator="containsText" text="СЗЧ">
      <formula>NOT(ISERROR(SEARCH(("СЗЧ"),(U686))))</formula>
    </cfRule>
  </conditionalFormatting>
  <conditionalFormatting sqref="U686:U694">
    <cfRule type="containsText" dxfId="6" priority="3735" operator="containsText" text="Зниклі безвісти">
      <formula>NOT(ISERROR(SEARCH(("Зниклі безвісти"),(U686))))</formula>
    </cfRule>
  </conditionalFormatting>
  <conditionalFormatting sqref="U686:U694">
    <cfRule type="containsText" dxfId="7" priority="3736" operator="containsText" text="Від-ні навчання">
      <formula>NOT(ISERROR(SEARCH(("Від-ні навчання"),(U686))))</formula>
    </cfRule>
  </conditionalFormatting>
  <conditionalFormatting sqref="U686:U694">
    <cfRule type="containsText" dxfId="8" priority="3737" operator="containsText" text="Відком. за межі ПБ">
      <formula>NOT(ISERROR(SEARCH(("Відком. за межі ПБ"),(U686))))</formula>
    </cfRule>
  </conditionalFormatting>
  <conditionalFormatting sqref="U686:U694">
    <cfRule type="containsText" dxfId="9" priority="3738" operator="containsText" text="Загиблі">
      <formula>NOT(ISERROR(SEARCH(("Загиблі"),(U686))))</formula>
    </cfRule>
  </conditionalFormatting>
  <conditionalFormatting sqref="U686:U694">
    <cfRule type="containsText" dxfId="10" priority="3739" operator="containsText" text="Лікування">
      <formula>NOT(ISERROR(SEARCH(("Лікування"),(U686))))</formula>
    </cfRule>
  </conditionalFormatting>
  <conditionalFormatting sqref="Q686:Q694">
    <cfRule type="cellIs" dxfId="9" priority="3740" operator="notEqual">
      <formula>P686</formula>
    </cfRule>
  </conditionalFormatting>
  <conditionalFormatting sqref="Q686:Q694">
    <cfRule type="cellIs" dxfId="3" priority="3741" operator="equal">
      <formula>P686</formula>
    </cfRule>
  </conditionalFormatting>
  <conditionalFormatting sqref="N686:N687 N689 N693">
    <cfRule type="expression" dxfId="0" priority="3742">
      <formula>COUNTIF(#REF!, N686) &gt; 1</formula>
    </cfRule>
  </conditionalFormatting>
  <conditionalFormatting sqref="U686:U687">
    <cfRule type="containsText" dxfId="10" priority="3743" operator="containsText" text="Лікування">
      <formula>NOT(ISERROR(SEARCH(("Лікування"),(U686))))</formula>
    </cfRule>
  </conditionalFormatting>
  <conditionalFormatting sqref="U686:U687">
    <cfRule type="containsText" dxfId="9" priority="3744" operator="containsText" text="Загиблі">
      <formula>NOT(ISERROR(SEARCH(("Загиблі"),(U686))))</formula>
    </cfRule>
  </conditionalFormatting>
  <conditionalFormatting sqref="U686:U687">
    <cfRule type="containsText" dxfId="8" priority="3745" operator="containsText" text="Відком. за межі ПБ">
      <formula>NOT(ISERROR(SEARCH(("Відком. за межі ПБ"),(U686))))</formula>
    </cfRule>
  </conditionalFormatting>
  <conditionalFormatting sqref="U686:U687">
    <cfRule type="containsText" dxfId="7" priority="3746" operator="containsText" text="Від-ні навчання">
      <formula>NOT(ISERROR(SEARCH(("Від-ні навчання"),(U686))))</formula>
    </cfRule>
  </conditionalFormatting>
  <conditionalFormatting sqref="U686:U687">
    <cfRule type="containsText" dxfId="6" priority="3747" operator="containsText" text="Зниклі безвісти">
      <formula>NOT(ISERROR(SEARCH(("Зниклі безвісти"),(U686))))</formula>
    </cfRule>
  </conditionalFormatting>
  <conditionalFormatting sqref="U686:U687">
    <cfRule type="containsText" dxfId="5" priority="3748" operator="containsText" text="СЗЧ">
      <formula>NOT(ISERROR(SEARCH(("СЗЧ"),(U686))))</formula>
    </cfRule>
  </conditionalFormatting>
  <conditionalFormatting sqref="U686:U687">
    <cfRule type="containsText" dxfId="4" priority="3749" operator="containsText" text="Відпустка">
      <formula>NOT(ISERROR(SEARCH(("Відпустка"),(U686))))</formula>
    </cfRule>
  </conditionalFormatting>
  <conditionalFormatting sqref="U686:U687">
    <cfRule type="containsText" dxfId="3" priority="3750" operator="containsText" text="В строю">
      <formula>NOT(ISERROR(SEARCH(("В строю"),(U686))))</formula>
    </cfRule>
  </conditionalFormatting>
  <conditionalFormatting sqref="Q684:Q685">
    <cfRule type="cellIs" dxfId="9" priority="3751" operator="notEqual">
      <formula>P684</formula>
    </cfRule>
  </conditionalFormatting>
  <conditionalFormatting sqref="Q684:Q685">
    <cfRule type="cellIs" dxfId="3" priority="3752" operator="equal">
      <formula>P684</formula>
    </cfRule>
  </conditionalFormatting>
  <conditionalFormatting sqref="U684:U685">
    <cfRule type="containsText" dxfId="3" priority="3753" operator="containsText" text="В строю">
      <formula>NOT(ISERROR(SEARCH(("В строю"),(U684))))</formula>
    </cfRule>
  </conditionalFormatting>
  <conditionalFormatting sqref="U684:U685">
    <cfRule type="containsText" dxfId="4" priority="3754" operator="containsText" text="Відпустка">
      <formula>NOT(ISERROR(SEARCH(("Відпустка"),(U684))))</formula>
    </cfRule>
  </conditionalFormatting>
  <conditionalFormatting sqref="U684:U685">
    <cfRule type="containsText" dxfId="5" priority="3755" operator="containsText" text="СЗЧ">
      <formula>NOT(ISERROR(SEARCH(("СЗЧ"),(U684))))</formula>
    </cfRule>
  </conditionalFormatting>
  <conditionalFormatting sqref="U684:U685">
    <cfRule type="containsText" dxfId="6" priority="3756" operator="containsText" text="Зниклі безвісти">
      <formula>NOT(ISERROR(SEARCH(("Зниклі безвісти"),(U684))))</formula>
    </cfRule>
  </conditionalFormatting>
  <conditionalFormatting sqref="U684:U685">
    <cfRule type="containsText" dxfId="7" priority="3757" operator="containsText" text="Від-ні навчання">
      <formula>NOT(ISERROR(SEARCH(("Від-ні навчання"),(U684))))</formula>
    </cfRule>
  </conditionalFormatting>
  <conditionalFormatting sqref="U684:U685">
    <cfRule type="containsText" dxfId="8" priority="3758" operator="containsText" text="Відком. за межі ПБ">
      <formula>NOT(ISERROR(SEARCH(("Відком. за межі ПБ"),(U684))))</formula>
    </cfRule>
  </conditionalFormatting>
  <conditionalFormatting sqref="U684:U685">
    <cfRule type="containsText" dxfId="9" priority="3759" operator="containsText" text="Загиблі">
      <formula>NOT(ISERROR(SEARCH(("Загиблі"),(U684))))</formula>
    </cfRule>
  </conditionalFormatting>
  <conditionalFormatting sqref="U684:U685">
    <cfRule type="containsText" dxfId="10" priority="3760" operator="containsText" text="Лікування">
      <formula>NOT(ISERROR(SEARCH(("Лікування"),(U684))))</formula>
    </cfRule>
  </conditionalFormatting>
  <conditionalFormatting sqref="N684:N685">
    <cfRule type="expression" dxfId="0" priority="3761">
      <formula>COUNTIF(#REF!, N684) &gt; 1</formula>
    </cfRule>
  </conditionalFormatting>
  <conditionalFormatting sqref="U684:U685">
    <cfRule type="containsText" dxfId="10" priority="3762" operator="containsText" text="Лікування">
      <formula>NOT(ISERROR(SEARCH(("Лікування"),(U684))))</formula>
    </cfRule>
  </conditionalFormatting>
  <conditionalFormatting sqref="U684:U685">
    <cfRule type="containsText" dxfId="9" priority="3763" operator="containsText" text="Загиблі">
      <formula>NOT(ISERROR(SEARCH(("Загиблі"),(U684))))</formula>
    </cfRule>
  </conditionalFormatting>
  <conditionalFormatting sqref="U684:U685">
    <cfRule type="containsText" dxfId="8" priority="3764" operator="containsText" text="Відком. за межі ПБ">
      <formula>NOT(ISERROR(SEARCH(("Відком. за межі ПБ"),(U684))))</formula>
    </cfRule>
  </conditionalFormatting>
  <conditionalFormatting sqref="U684:U685">
    <cfRule type="containsText" dxfId="7" priority="3765" operator="containsText" text="Від-ні навчання">
      <formula>NOT(ISERROR(SEARCH(("Від-ні навчання"),(U684))))</formula>
    </cfRule>
  </conditionalFormatting>
  <conditionalFormatting sqref="U684:U685">
    <cfRule type="containsText" dxfId="6" priority="3766" operator="containsText" text="Зниклі безвісти">
      <formula>NOT(ISERROR(SEARCH(("Зниклі безвісти"),(U684))))</formula>
    </cfRule>
  </conditionalFormatting>
  <conditionalFormatting sqref="U684:U685">
    <cfRule type="containsText" dxfId="5" priority="3767" operator="containsText" text="СЗЧ">
      <formula>NOT(ISERROR(SEARCH(("СЗЧ"),(U684))))</formula>
    </cfRule>
  </conditionalFormatting>
  <conditionalFormatting sqref="U684:U685">
    <cfRule type="containsText" dxfId="4" priority="3768" operator="containsText" text="Відпустка">
      <formula>NOT(ISERROR(SEARCH(("Відпустка"),(U684))))</formula>
    </cfRule>
  </conditionalFormatting>
  <conditionalFormatting sqref="U684:U685">
    <cfRule type="containsText" dxfId="3" priority="3769" operator="containsText" text="В строю">
      <formula>NOT(ISERROR(SEARCH(("В строю"),(U684))))</formula>
    </cfRule>
  </conditionalFormatting>
  <conditionalFormatting sqref="Q630:Q633 Q635:Q644 Q646:Q654 Q656:Q677 Q683">
    <cfRule type="cellIs" dxfId="9" priority="3770" operator="notEqual">
      <formula>P630</formula>
    </cfRule>
  </conditionalFormatting>
  <conditionalFormatting sqref="Q630:Q633 Q635:Q644 Q646:Q654 Q656:Q677 Q683">
    <cfRule type="cellIs" dxfId="3" priority="3771" operator="equal">
      <formula>P630</formula>
    </cfRule>
  </conditionalFormatting>
  <conditionalFormatting sqref="U630:U633 U635:U677 O671 U683">
    <cfRule type="containsText" dxfId="10" priority="3772" operator="containsText" text="Лікування">
      <formula>NOT(ISERROR(SEARCH(("Лікування"),(U630))))</formula>
    </cfRule>
  </conditionalFormatting>
  <conditionalFormatting sqref="U630:U633 U635:U677 O671 U683">
    <cfRule type="containsText" dxfId="9" priority="3773" operator="containsText" text="Загиблі">
      <formula>NOT(ISERROR(SEARCH(("Загиблі"),(U630))))</formula>
    </cfRule>
  </conditionalFormatting>
  <conditionalFormatting sqref="U630:U633 U635:U677 O671 U683">
    <cfRule type="containsText" dxfId="8" priority="3774" operator="containsText" text="Відком. за межі ПБ">
      <formula>NOT(ISERROR(SEARCH(("Відком. за межі ПБ"),(U630))))</formula>
    </cfRule>
  </conditionalFormatting>
  <conditionalFormatting sqref="U630:U633 U635:U677 O671 U683">
    <cfRule type="containsText" dxfId="7" priority="3775" operator="containsText" text="Від-ні навчання">
      <formula>NOT(ISERROR(SEARCH(("Від-ні навчання"),(U630))))</formula>
    </cfRule>
  </conditionalFormatting>
  <conditionalFormatting sqref="U630:U633 U635:U677 O671 U683">
    <cfRule type="containsText" dxfId="6" priority="3776" operator="containsText" text="Зниклі безвісти">
      <formula>NOT(ISERROR(SEARCH(("Зниклі безвісти"),(U630))))</formula>
    </cfRule>
  </conditionalFormatting>
  <conditionalFormatting sqref="U630:U633 U635:U677 O671 U683">
    <cfRule type="containsText" dxfId="5" priority="3777" operator="containsText" text="СЗЧ">
      <formula>NOT(ISERROR(SEARCH(("СЗЧ"),(U630))))</formula>
    </cfRule>
  </conditionalFormatting>
  <conditionalFormatting sqref="U630:U633 U635:U677 O671 U683">
    <cfRule type="containsText" dxfId="4" priority="3778" operator="containsText" text="Відпустка">
      <formula>NOT(ISERROR(SEARCH(("Відпустка"),(U630))))</formula>
    </cfRule>
  </conditionalFormatting>
  <conditionalFormatting sqref="U630:U633 U635:U677 O671 U683">
    <cfRule type="containsText" dxfId="3" priority="3779" operator="containsText" text="В строю">
      <formula>NOT(ISERROR(SEARCH(("В строю"),(U630))))</formula>
    </cfRule>
  </conditionalFormatting>
  <conditionalFormatting sqref="N628 N631:N633 N637 N642 N647:N651 N654 N656 N658 N662 N664:N665 N667 N669:N672 N676">
    <cfRule type="expression" dxfId="0" priority="3780">
      <formula>COUNTIF(#REF!, N628) &gt; 1</formula>
    </cfRule>
  </conditionalFormatting>
  <conditionalFormatting sqref="Q628:Q629">
    <cfRule type="cellIs" dxfId="9" priority="3781" operator="notEqual">
      <formula>P628</formula>
    </cfRule>
  </conditionalFormatting>
  <conditionalFormatting sqref="Q628:Q629">
    <cfRule type="cellIs" dxfId="3" priority="3782" operator="equal">
      <formula>P628</formula>
    </cfRule>
  </conditionalFormatting>
  <conditionalFormatting sqref="U628:U629">
    <cfRule type="containsText" dxfId="3" priority="3783" operator="containsText" text="В строю">
      <formula>NOT(ISERROR(SEARCH(("В строю"),(U628))))</formula>
    </cfRule>
  </conditionalFormatting>
  <conditionalFormatting sqref="U628:U629">
    <cfRule type="containsText" dxfId="4" priority="3784" operator="containsText" text="Відпустка">
      <formula>NOT(ISERROR(SEARCH(("Відпустка"),(U628))))</formula>
    </cfRule>
  </conditionalFormatting>
  <conditionalFormatting sqref="U628:U629">
    <cfRule type="containsText" dxfId="5" priority="3785" operator="containsText" text="СЗЧ">
      <formula>NOT(ISERROR(SEARCH(("СЗЧ"),(U628))))</formula>
    </cfRule>
  </conditionalFormatting>
  <conditionalFormatting sqref="U628:U629">
    <cfRule type="containsText" dxfId="6" priority="3786" operator="containsText" text="Зниклі безвісти">
      <formula>NOT(ISERROR(SEARCH(("Зниклі безвісти"),(U628))))</formula>
    </cfRule>
  </conditionalFormatting>
  <conditionalFormatting sqref="U628:U629">
    <cfRule type="containsText" dxfId="7" priority="3787" operator="containsText" text="Від-ні навчання">
      <formula>NOT(ISERROR(SEARCH(("Від-ні навчання"),(U628))))</formula>
    </cfRule>
  </conditionalFormatting>
  <conditionalFormatting sqref="U628:U629">
    <cfRule type="containsText" dxfId="8" priority="3788" operator="containsText" text="Відком. за межі ПБ">
      <formula>NOT(ISERROR(SEARCH(("Відком. за межі ПБ"),(U628))))</formula>
    </cfRule>
  </conditionalFormatting>
  <conditionalFormatting sqref="U628:U629">
    <cfRule type="containsText" dxfId="9" priority="3789" operator="containsText" text="Загиблі">
      <formula>NOT(ISERROR(SEARCH(("Загиблі"),(U628))))</formula>
    </cfRule>
  </conditionalFormatting>
  <conditionalFormatting sqref="U628:U629">
    <cfRule type="containsText" dxfId="10" priority="3790" operator="containsText" text="Лікування">
      <formula>NOT(ISERROR(SEARCH(("Лікування"),(U628))))</formula>
    </cfRule>
  </conditionalFormatting>
  <conditionalFormatting sqref="U628">
    <cfRule type="containsText" dxfId="10" priority="3791" operator="containsText" text="Лікування">
      <formula>NOT(ISERROR(SEARCH(("Лікування"),(U628))))</formula>
    </cfRule>
  </conditionalFormatting>
  <conditionalFormatting sqref="U628">
    <cfRule type="containsText" dxfId="9" priority="3792" operator="containsText" text="Загиблі">
      <formula>NOT(ISERROR(SEARCH(("Загиблі"),(U628))))</formula>
    </cfRule>
  </conditionalFormatting>
  <conditionalFormatting sqref="U628">
    <cfRule type="containsText" dxfId="8" priority="3793" operator="containsText" text="Відком. за межі ПБ">
      <formula>NOT(ISERROR(SEARCH(("Відком. за межі ПБ"),(U628))))</formula>
    </cfRule>
  </conditionalFormatting>
  <conditionalFormatting sqref="U628">
    <cfRule type="containsText" dxfId="7" priority="3794" operator="containsText" text="Від-ні навчання">
      <formula>NOT(ISERROR(SEARCH(("Від-ні навчання"),(U628))))</formula>
    </cfRule>
  </conditionalFormatting>
  <conditionalFormatting sqref="U628">
    <cfRule type="containsText" dxfId="6" priority="3795" operator="containsText" text="Зниклі безвісти">
      <formula>NOT(ISERROR(SEARCH(("Зниклі безвісти"),(U628))))</formula>
    </cfRule>
  </conditionalFormatting>
  <conditionalFormatting sqref="U628">
    <cfRule type="containsText" dxfId="5" priority="3796" operator="containsText" text="СЗЧ">
      <formula>NOT(ISERROR(SEARCH(("СЗЧ"),(U628))))</formula>
    </cfRule>
  </conditionalFormatting>
  <conditionalFormatting sqref="U628">
    <cfRule type="containsText" dxfId="4" priority="3797" operator="containsText" text="Відпустка">
      <formula>NOT(ISERROR(SEARCH(("Відпустка"),(U628))))</formula>
    </cfRule>
  </conditionalFormatting>
  <conditionalFormatting sqref="U628">
    <cfRule type="containsText" dxfId="3" priority="3798" operator="containsText" text="В строю">
      <formula>NOT(ISERROR(SEARCH(("В строю"),(U628))))</formula>
    </cfRule>
  </conditionalFormatting>
  <conditionalFormatting sqref="Q627">
    <cfRule type="cellIs" dxfId="3" priority="3799" operator="equal">
      <formula>P627</formula>
    </cfRule>
  </conditionalFormatting>
  <conditionalFormatting sqref="Q627">
    <cfRule type="cellIs" dxfId="9" priority="3800" operator="notEqual">
      <formula>P627</formula>
    </cfRule>
  </conditionalFormatting>
  <conditionalFormatting sqref="U627">
    <cfRule type="containsText" dxfId="10" priority="3801" operator="containsText" text="Лікування">
      <formula>NOT(ISERROR(SEARCH(("Лікування"),(U627))))</formula>
    </cfRule>
  </conditionalFormatting>
  <conditionalFormatting sqref="U627">
    <cfRule type="containsText" dxfId="9" priority="3802" operator="containsText" text="Загиблі">
      <formula>NOT(ISERROR(SEARCH(("Загиблі"),(U627))))</formula>
    </cfRule>
  </conditionalFormatting>
  <conditionalFormatting sqref="U627">
    <cfRule type="containsText" dxfId="8" priority="3803" operator="containsText" text="Відком. за межі ПБ">
      <formula>NOT(ISERROR(SEARCH(("Відком. за межі ПБ"),(U627))))</formula>
    </cfRule>
  </conditionalFormatting>
  <conditionalFormatting sqref="U627">
    <cfRule type="containsText" dxfId="7" priority="3804" operator="containsText" text="Від-ні навчання">
      <formula>NOT(ISERROR(SEARCH(("Від-ні навчання"),(U627))))</formula>
    </cfRule>
  </conditionalFormatting>
  <conditionalFormatting sqref="U627">
    <cfRule type="containsText" dxfId="6" priority="3805" operator="containsText" text="Зниклі безвісти">
      <formula>NOT(ISERROR(SEARCH(("Зниклі безвісти"),(U627))))</formula>
    </cfRule>
  </conditionalFormatting>
  <conditionalFormatting sqref="U627">
    <cfRule type="containsText" dxfId="5" priority="3806" operator="containsText" text="СЗЧ">
      <formula>NOT(ISERROR(SEARCH(("СЗЧ"),(U627))))</formula>
    </cfRule>
  </conditionalFormatting>
  <conditionalFormatting sqref="U627">
    <cfRule type="containsText" dxfId="4" priority="3807" operator="containsText" text="Відпустка">
      <formula>NOT(ISERROR(SEARCH(("Відпустка"),(U627))))</formula>
    </cfRule>
  </conditionalFormatting>
  <conditionalFormatting sqref="U627">
    <cfRule type="containsText" dxfId="3" priority="3808" operator="containsText" text="В строю">
      <formula>NOT(ISERROR(SEARCH(("В строю"),(U627))))</formula>
    </cfRule>
  </conditionalFormatting>
  <conditionalFormatting sqref="N627">
    <cfRule type="expression" dxfId="0" priority="3809">
      <formula>COUNTIF(#REF!, N627) &gt; 1</formula>
    </cfRule>
  </conditionalFormatting>
  <conditionalFormatting sqref="U627">
    <cfRule type="containsText" dxfId="3" priority="3810" operator="containsText" text="В строю">
      <formula>NOT(ISERROR(SEARCH(("В строю"),(U627))))</formula>
    </cfRule>
  </conditionalFormatting>
  <conditionalFormatting sqref="U627">
    <cfRule type="containsText" dxfId="4" priority="3811" operator="containsText" text="Відпустка">
      <formula>NOT(ISERROR(SEARCH(("Відпустка"),(U627))))</formula>
    </cfRule>
  </conditionalFormatting>
  <conditionalFormatting sqref="U627">
    <cfRule type="containsText" dxfId="5" priority="3812" operator="containsText" text="СЗЧ">
      <formula>NOT(ISERROR(SEARCH(("СЗЧ"),(U627))))</formula>
    </cfRule>
  </conditionalFormatting>
  <conditionalFormatting sqref="U627">
    <cfRule type="containsText" dxfId="6" priority="3813" operator="containsText" text="Зниклі безвісти">
      <formula>NOT(ISERROR(SEARCH(("Зниклі безвісти"),(U627))))</formula>
    </cfRule>
  </conditionalFormatting>
  <conditionalFormatting sqref="U627">
    <cfRule type="containsText" dxfId="7" priority="3814" operator="containsText" text="Від-ні навчання">
      <formula>NOT(ISERROR(SEARCH(("Від-ні навчання"),(U627))))</formula>
    </cfRule>
  </conditionalFormatting>
  <conditionalFormatting sqref="U627">
    <cfRule type="containsText" dxfId="8" priority="3815" operator="containsText" text="Відком. за межі ПБ">
      <formula>NOT(ISERROR(SEARCH(("Відком. за межі ПБ"),(U627))))</formula>
    </cfRule>
  </conditionalFormatting>
  <conditionalFormatting sqref="U627">
    <cfRule type="containsText" dxfId="9" priority="3816" operator="containsText" text="Загиблі">
      <formula>NOT(ISERROR(SEARCH(("Загиблі"),(U627))))</formula>
    </cfRule>
  </conditionalFormatting>
  <conditionalFormatting sqref="U627">
    <cfRule type="containsText" dxfId="10" priority="3817" operator="containsText" text="Лікування">
      <formula>NOT(ISERROR(SEARCH(("Лікування"),(U627))))</formula>
    </cfRule>
  </conditionalFormatting>
  <conditionalFormatting sqref="U626">
    <cfRule type="containsText" dxfId="10" priority="3818" operator="containsText" text="Лікування">
      <formula>NOT(ISERROR(SEARCH(("Лікування"),(U626))))</formula>
    </cfRule>
  </conditionalFormatting>
  <conditionalFormatting sqref="U626">
    <cfRule type="containsText" dxfId="9" priority="3819" operator="containsText" text="Загиблі">
      <formula>NOT(ISERROR(SEARCH(("Загиблі"),(U626))))</formula>
    </cfRule>
  </conditionalFormatting>
  <conditionalFormatting sqref="U626">
    <cfRule type="containsText" dxfId="8" priority="3820" operator="containsText" text="Відком. за межі ПБ">
      <formula>NOT(ISERROR(SEARCH(("Відком. за межі ПБ"),(U626))))</formula>
    </cfRule>
  </conditionalFormatting>
  <conditionalFormatting sqref="U626">
    <cfRule type="containsText" dxfId="7" priority="3821" operator="containsText" text="Від-ні навчання">
      <formula>NOT(ISERROR(SEARCH(("Від-ні навчання"),(U626))))</formula>
    </cfRule>
  </conditionalFormatting>
  <conditionalFormatting sqref="U626">
    <cfRule type="containsText" dxfId="6" priority="3822" operator="containsText" text="Зниклі безвісти">
      <formula>NOT(ISERROR(SEARCH(("Зниклі безвісти"),(U626))))</formula>
    </cfRule>
  </conditionalFormatting>
  <conditionalFormatting sqref="U626">
    <cfRule type="containsText" dxfId="5" priority="3823" operator="containsText" text="СЗЧ">
      <formula>NOT(ISERROR(SEARCH(("СЗЧ"),(U626))))</formula>
    </cfRule>
  </conditionalFormatting>
  <conditionalFormatting sqref="U626">
    <cfRule type="containsText" dxfId="4" priority="3824" operator="containsText" text="Відпустка">
      <formula>NOT(ISERROR(SEARCH(("Відпустка"),(U626))))</formula>
    </cfRule>
  </conditionalFormatting>
  <conditionalFormatting sqref="U626">
    <cfRule type="containsText" dxfId="3" priority="3825" operator="containsText" text="В строю">
      <formula>NOT(ISERROR(SEARCH(("В строю"),(U626))))</formula>
    </cfRule>
  </conditionalFormatting>
  <conditionalFormatting sqref="U626">
    <cfRule type="containsText" dxfId="3" priority="3826" operator="containsText" text="В строю">
      <formula>NOT(ISERROR(SEARCH(("В строю"),(U626))))</formula>
    </cfRule>
  </conditionalFormatting>
  <conditionalFormatting sqref="U626">
    <cfRule type="containsText" dxfId="4" priority="3827" operator="containsText" text="Відпустка">
      <formula>NOT(ISERROR(SEARCH(("Відпустка"),(U626))))</formula>
    </cfRule>
  </conditionalFormatting>
  <conditionalFormatting sqref="U626">
    <cfRule type="containsText" dxfId="5" priority="3828" operator="containsText" text="СЗЧ">
      <formula>NOT(ISERROR(SEARCH(("СЗЧ"),(U626))))</formula>
    </cfRule>
  </conditionalFormatting>
  <conditionalFormatting sqref="U626">
    <cfRule type="containsText" dxfId="6" priority="3829" operator="containsText" text="Зниклі безвісти">
      <formula>NOT(ISERROR(SEARCH(("Зниклі безвісти"),(U626))))</formula>
    </cfRule>
  </conditionalFormatting>
  <conditionalFormatting sqref="U626">
    <cfRule type="containsText" dxfId="7" priority="3830" operator="containsText" text="Від-ні навчання">
      <formula>NOT(ISERROR(SEARCH(("Від-ні навчання"),(U626))))</formula>
    </cfRule>
  </conditionalFormatting>
  <conditionalFormatting sqref="U626">
    <cfRule type="containsText" dxfId="8" priority="3831" operator="containsText" text="Відком. за межі ПБ">
      <formula>NOT(ISERROR(SEARCH(("Відком. за межі ПБ"),(U626))))</formula>
    </cfRule>
  </conditionalFormatting>
  <conditionalFormatting sqref="U626">
    <cfRule type="containsText" dxfId="9" priority="3832" operator="containsText" text="Загиблі">
      <formula>NOT(ISERROR(SEARCH(("Загиблі"),(U626))))</formula>
    </cfRule>
  </conditionalFormatting>
  <conditionalFormatting sqref="U626">
    <cfRule type="containsText" dxfId="10" priority="3833" operator="containsText" text="Лікування">
      <formula>NOT(ISERROR(SEARCH(("Лікування"),(U626))))</formula>
    </cfRule>
  </conditionalFormatting>
  <conditionalFormatting sqref="N626">
    <cfRule type="expression" dxfId="0" priority="3834">
      <formula>COUNTIF(#REF!, N626) &gt; 1</formula>
    </cfRule>
  </conditionalFormatting>
  <conditionalFormatting sqref="Q626">
    <cfRule type="cellIs" dxfId="9" priority="3835" operator="notEqual">
      <formula>P626</formula>
    </cfRule>
  </conditionalFormatting>
  <conditionalFormatting sqref="Q626">
    <cfRule type="cellIs" dxfId="3" priority="3836" operator="equal">
      <formula>P626</formula>
    </cfRule>
  </conditionalFormatting>
  <conditionalFormatting sqref="Q625">
    <cfRule type="cellIs" dxfId="9" priority="3837" operator="notEqual">
      <formula>P625</formula>
    </cfRule>
  </conditionalFormatting>
  <conditionalFormatting sqref="Q625">
    <cfRule type="cellIs" dxfId="3" priority="3838" operator="equal">
      <formula>P625</formula>
    </cfRule>
  </conditionalFormatting>
  <conditionalFormatting sqref="U625">
    <cfRule type="containsText" dxfId="10" priority="3839" operator="containsText" text="Лікування">
      <formula>NOT(ISERROR(SEARCH(("Лікування"),(U625))))</formula>
    </cfRule>
  </conditionalFormatting>
  <conditionalFormatting sqref="U625">
    <cfRule type="containsText" dxfId="9" priority="3840" operator="containsText" text="Загиблі">
      <formula>NOT(ISERROR(SEARCH(("Загиблі"),(U625))))</formula>
    </cfRule>
  </conditionalFormatting>
  <conditionalFormatting sqref="U625">
    <cfRule type="containsText" dxfId="8" priority="3841" operator="containsText" text="Відком. за межі ПБ">
      <formula>NOT(ISERROR(SEARCH(("Відком. за межі ПБ"),(U625))))</formula>
    </cfRule>
  </conditionalFormatting>
  <conditionalFormatting sqref="U625">
    <cfRule type="containsText" dxfId="7" priority="3842" operator="containsText" text="Від-ні навчання">
      <formula>NOT(ISERROR(SEARCH(("Від-ні навчання"),(U625))))</formula>
    </cfRule>
  </conditionalFormatting>
  <conditionalFormatting sqref="U625">
    <cfRule type="containsText" dxfId="6" priority="3843" operator="containsText" text="Зниклі безвісти">
      <formula>NOT(ISERROR(SEARCH(("Зниклі безвісти"),(U625))))</formula>
    </cfRule>
  </conditionalFormatting>
  <conditionalFormatting sqref="U625">
    <cfRule type="containsText" dxfId="5" priority="3844" operator="containsText" text="СЗЧ">
      <formula>NOT(ISERROR(SEARCH(("СЗЧ"),(U625))))</formula>
    </cfRule>
  </conditionalFormatting>
  <conditionalFormatting sqref="U625">
    <cfRule type="containsText" dxfId="4" priority="3845" operator="containsText" text="Відпустка">
      <formula>NOT(ISERROR(SEARCH(("Відпустка"),(U625))))</formula>
    </cfRule>
  </conditionalFormatting>
  <conditionalFormatting sqref="U625">
    <cfRule type="containsText" dxfId="3" priority="3846" operator="containsText" text="В строю">
      <formula>NOT(ISERROR(SEARCH(("В строю"),(U625))))</formula>
    </cfRule>
  </conditionalFormatting>
  <conditionalFormatting sqref="N625">
    <cfRule type="expression" dxfId="0" priority="3847">
      <formula>COUNTIF(#REF!, N625) &gt; 1</formula>
    </cfRule>
  </conditionalFormatting>
  <conditionalFormatting sqref="U625">
    <cfRule type="containsText" dxfId="3" priority="3848" operator="containsText" text="В строю">
      <formula>NOT(ISERROR(SEARCH(("В строю"),(U625))))</formula>
    </cfRule>
  </conditionalFormatting>
  <conditionalFormatting sqref="U625">
    <cfRule type="containsText" dxfId="4" priority="3849" operator="containsText" text="Відпустка">
      <formula>NOT(ISERROR(SEARCH(("Відпустка"),(U625))))</formula>
    </cfRule>
  </conditionalFormatting>
  <conditionalFormatting sqref="U625">
    <cfRule type="containsText" dxfId="5" priority="3850" operator="containsText" text="СЗЧ">
      <formula>NOT(ISERROR(SEARCH(("СЗЧ"),(U625))))</formula>
    </cfRule>
  </conditionalFormatting>
  <conditionalFormatting sqref="U625">
    <cfRule type="containsText" dxfId="6" priority="3851" operator="containsText" text="Зниклі безвісти">
      <formula>NOT(ISERROR(SEARCH(("Зниклі безвісти"),(U625))))</formula>
    </cfRule>
  </conditionalFormatting>
  <conditionalFormatting sqref="U625">
    <cfRule type="containsText" dxfId="7" priority="3852" operator="containsText" text="Від-ні навчання">
      <formula>NOT(ISERROR(SEARCH(("Від-ні навчання"),(U625))))</formula>
    </cfRule>
  </conditionalFormatting>
  <conditionalFormatting sqref="U625">
    <cfRule type="containsText" dxfId="8" priority="3853" operator="containsText" text="Відком. за межі ПБ">
      <formula>NOT(ISERROR(SEARCH(("Відком. за межі ПБ"),(U625))))</formula>
    </cfRule>
  </conditionalFormatting>
  <conditionalFormatting sqref="U625">
    <cfRule type="containsText" dxfId="9" priority="3854" operator="containsText" text="Загиблі">
      <formula>NOT(ISERROR(SEARCH(("Загиблі"),(U625))))</formula>
    </cfRule>
  </conditionalFormatting>
  <conditionalFormatting sqref="U625">
    <cfRule type="containsText" dxfId="10" priority="3855" operator="containsText" text="Лікування">
      <formula>NOT(ISERROR(SEARCH(("Лікування"),(U625))))</formula>
    </cfRule>
  </conditionalFormatting>
  <conditionalFormatting sqref="Q624">
    <cfRule type="cellIs" dxfId="9" priority="3856" operator="notEqual">
      <formula>P624</formula>
    </cfRule>
  </conditionalFormatting>
  <conditionalFormatting sqref="Q624">
    <cfRule type="cellIs" dxfId="3" priority="3857" operator="equal">
      <formula>P624</formula>
    </cfRule>
  </conditionalFormatting>
  <conditionalFormatting sqref="U624">
    <cfRule type="containsText" dxfId="3" priority="3858" operator="containsText" text="В строю">
      <formula>NOT(ISERROR(SEARCH(("В строю"),(U624))))</formula>
    </cfRule>
  </conditionalFormatting>
  <conditionalFormatting sqref="U624">
    <cfRule type="containsText" dxfId="4" priority="3859" operator="containsText" text="Відпустка">
      <formula>NOT(ISERROR(SEARCH(("Відпустка"),(U624))))</formula>
    </cfRule>
  </conditionalFormatting>
  <conditionalFormatting sqref="U624">
    <cfRule type="containsText" dxfId="5" priority="3860" operator="containsText" text="СЗЧ">
      <formula>NOT(ISERROR(SEARCH(("СЗЧ"),(U624))))</formula>
    </cfRule>
  </conditionalFormatting>
  <conditionalFormatting sqref="U624">
    <cfRule type="containsText" dxfId="6" priority="3861" operator="containsText" text="Зниклі безвісти">
      <formula>NOT(ISERROR(SEARCH(("Зниклі безвісти"),(U624))))</formula>
    </cfRule>
  </conditionalFormatting>
  <conditionalFormatting sqref="U624">
    <cfRule type="containsText" dxfId="7" priority="3862" operator="containsText" text="Від-ні навчання">
      <formula>NOT(ISERROR(SEARCH(("Від-ні навчання"),(U624))))</formula>
    </cfRule>
  </conditionalFormatting>
  <conditionalFormatting sqref="U624">
    <cfRule type="containsText" dxfId="8" priority="3863" operator="containsText" text="Відком. за межі ПБ">
      <formula>NOT(ISERROR(SEARCH(("Відком. за межі ПБ"),(U624))))</formula>
    </cfRule>
  </conditionalFormatting>
  <conditionalFormatting sqref="U624">
    <cfRule type="containsText" dxfId="9" priority="3864" operator="containsText" text="Загиблі">
      <formula>NOT(ISERROR(SEARCH(("Загиблі"),(U624))))</formula>
    </cfRule>
  </conditionalFormatting>
  <conditionalFormatting sqref="U624">
    <cfRule type="containsText" dxfId="10" priority="3865" operator="containsText" text="Лікування">
      <formula>NOT(ISERROR(SEARCH(("Лікування"),(U624))))</formula>
    </cfRule>
  </conditionalFormatting>
  <conditionalFormatting sqref="N624">
    <cfRule type="expression" dxfId="0" priority="3866">
      <formula>COUNTIF(#REF!, N624) &gt; 1</formula>
    </cfRule>
  </conditionalFormatting>
  <conditionalFormatting sqref="U624">
    <cfRule type="containsText" dxfId="10" priority="3867" operator="containsText" text="Лікування">
      <formula>NOT(ISERROR(SEARCH(("Лікування"),(U624))))</formula>
    </cfRule>
  </conditionalFormatting>
  <conditionalFormatting sqref="U624">
    <cfRule type="containsText" dxfId="9" priority="3868" operator="containsText" text="Загиблі">
      <formula>NOT(ISERROR(SEARCH(("Загиблі"),(U624))))</formula>
    </cfRule>
  </conditionalFormatting>
  <conditionalFormatting sqref="U624">
    <cfRule type="containsText" dxfId="8" priority="3869" operator="containsText" text="Відком. за межі ПБ">
      <formula>NOT(ISERROR(SEARCH(("Відком. за межі ПБ"),(U624))))</formula>
    </cfRule>
  </conditionalFormatting>
  <conditionalFormatting sqref="U624">
    <cfRule type="containsText" dxfId="7" priority="3870" operator="containsText" text="Від-ні навчання">
      <formula>NOT(ISERROR(SEARCH(("Від-ні навчання"),(U624))))</formula>
    </cfRule>
  </conditionalFormatting>
  <conditionalFormatting sqref="U624">
    <cfRule type="containsText" dxfId="6" priority="3871" operator="containsText" text="Зниклі безвісти">
      <formula>NOT(ISERROR(SEARCH(("Зниклі безвісти"),(U624))))</formula>
    </cfRule>
  </conditionalFormatting>
  <conditionalFormatting sqref="U624">
    <cfRule type="containsText" dxfId="5" priority="3872" operator="containsText" text="СЗЧ">
      <formula>NOT(ISERROR(SEARCH(("СЗЧ"),(U624))))</formula>
    </cfRule>
  </conditionalFormatting>
  <conditionalFormatting sqref="U624">
    <cfRule type="containsText" dxfId="4" priority="3873" operator="containsText" text="Відпустка">
      <formula>NOT(ISERROR(SEARCH(("Відпустка"),(U624))))</formula>
    </cfRule>
  </conditionalFormatting>
  <conditionalFormatting sqref="U624">
    <cfRule type="containsText" dxfId="3" priority="3874" operator="containsText" text="В строю">
      <formula>NOT(ISERROR(SEARCH(("В строю"),(U624))))</formula>
    </cfRule>
  </conditionalFormatting>
  <conditionalFormatting sqref="U623">
    <cfRule type="containsText" dxfId="3" priority="3875" operator="containsText" text="В строю">
      <formula>NOT(ISERROR(SEARCH(("В строю"),(U623))))</formula>
    </cfRule>
  </conditionalFormatting>
  <conditionalFormatting sqref="U623">
    <cfRule type="containsText" dxfId="4" priority="3876" operator="containsText" text="Відпустка">
      <formula>NOT(ISERROR(SEARCH(("Відпустка"),(U623))))</formula>
    </cfRule>
  </conditionalFormatting>
  <conditionalFormatting sqref="U623">
    <cfRule type="containsText" dxfId="5" priority="3877" operator="containsText" text="СЗЧ">
      <formula>NOT(ISERROR(SEARCH(("СЗЧ"),(U623))))</formula>
    </cfRule>
  </conditionalFormatting>
  <conditionalFormatting sqref="U623">
    <cfRule type="containsText" dxfId="6" priority="3878" operator="containsText" text="Зниклі безвісти">
      <formula>NOT(ISERROR(SEARCH(("Зниклі безвісти"),(U623))))</formula>
    </cfRule>
  </conditionalFormatting>
  <conditionalFormatting sqref="U623">
    <cfRule type="containsText" dxfId="7" priority="3879" operator="containsText" text="Від-ні навчання">
      <formula>NOT(ISERROR(SEARCH(("Від-ні навчання"),(U623))))</formula>
    </cfRule>
  </conditionalFormatting>
  <conditionalFormatting sqref="U623">
    <cfRule type="containsText" dxfId="8" priority="3880" operator="containsText" text="Відком. за межі ПБ">
      <formula>NOT(ISERROR(SEARCH(("Відком. за межі ПБ"),(U623))))</formula>
    </cfRule>
  </conditionalFormatting>
  <conditionalFormatting sqref="U623">
    <cfRule type="containsText" dxfId="9" priority="3881" operator="containsText" text="Загиблі">
      <formula>NOT(ISERROR(SEARCH(("Загиблі"),(U623))))</formula>
    </cfRule>
  </conditionalFormatting>
  <conditionalFormatting sqref="U623">
    <cfRule type="containsText" dxfId="10" priority="3882" operator="containsText" text="Лікування">
      <formula>NOT(ISERROR(SEARCH(("Лікування"),(U623))))</formula>
    </cfRule>
  </conditionalFormatting>
  <conditionalFormatting sqref="U623">
    <cfRule type="containsText" dxfId="10" priority="3883" operator="containsText" text="Лікування">
      <formula>NOT(ISERROR(SEARCH(("Лікування"),(U623))))</formula>
    </cfRule>
  </conditionalFormatting>
  <conditionalFormatting sqref="U623">
    <cfRule type="containsText" dxfId="9" priority="3884" operator="containsText" text="Загиблі">
      <formula>NOT(ISERROR(SEARCH(("Загиблі"),(U623))))</formula>
    </cfRule>
  </conditionalFormatting>
  <conditionalFormatting sqref="U623">
    <cfRule type="containsText" dxfId="8" priority="3885" operator="containsText" text="Відком. за межі ПБ">
      <formula>NOT(ISERROR(SEARCH(("Відком. за межі ПБ"),(U623))))</formula>
    </cfRule>
  </conditionalFormatting>
  <conditionalFormatting sqref="U623">
    <cfRule type="containsText" dxfId="7" priority="3886" operator="containsText" text="Від-ні навчання">
      <formula>NOT(ISERROR(SEARCH(("Від-ні навчання"),(U623))))</formula>
    </cfRule>
  </conditionalFormatting>
  <conditionalFormatting sqref="U623">
    <cfRule type="containsText" dxfId="6" priority="3887" operator="containsText" text="Зниклі безвісти">
      <formula>NOT(ISERROR(SEARCH(("Зниклі безвісти"),(U623))))</formula>
    </cfRule>
  </conditionalFormatting>
  <conditionalFormatting sqref="U623">
    <cfRule type="containsText" dxfId="5" priority="3888" operator="containsText" text="СЗЧ">
      <formula>NOT(ISERROR(SEARCH(("СЗЧ"),(U623))))</formula>
    </cfRule>
  </conditionalFormatting>
  <conditionalFormatting sqref="U623">
    <cfRule type="containsText" dxfId="4" priority="3889" operator="containsText" text="Відпустка">
      <formula>NOT(ISERROR(SEARCH(("Відпустка"),(U623))))</formula>
    </cfRule>
  </conditionalFormatting>
  <conditionalFormatting sqref="U623">
    <cfRule type="containsText" dxfId="3" priority="3890" operator="containsText" text="В строю">
      <formula>NOT(ISERROR(SEARCH(("В строю"),(U623))))</formula>
    </cfRule>
  </conditionalFormatting>
  <conditionalFormatting sqref="Q623">
    <cfRule type="cellIs" dxfId="3" priority="3891" operator="equal">
      <formula>P623</formula>
    </cfRule>
  </conditionalFormatting>
  <conditionalFormatting sqref="Q623">
    <cfRule type="cellIs" dxfId="9" priority="3892" operator="notEqual">
      <formula>P623</formula>
    </cfRule>
  </conditionalFormatting>
  <conditionalFormatting sqref="N623">
    <cfRule type="expression" dxfId="0" priority="3893">
      <formula>COUNTIF(#REF!, N623) &gt; 1</formula>
    </cfRule>
  </conditionalFormatting>
  <conditionalFormatting sqref="U614:U622">
    <cfRule type="containsText" dxfId="3" priority="3894" operator="containsText" text="В строю">
      <formula>NOT(ISERROR(SEARCH(("В строю"),(U614))))</formula>
    </cfRule>
  </conditionalFormatting>
  <conditionalFormatting sqref="U614:U622">
    <cfRule type="containsText" dxfId="4" priority="3895" operator="containsText" text="Відпустка">
      <formula>NOT(ISERROR(SEARCH(("Відпустка"),(U614))))</formula>
    </cfRule>
  </conditionalFormatting>
  <conditionalFormatting sqref="U614:U622">
    <cfRule type="containsText" dxfId="5" priority="3896" operator="containsText" text="СЗЧ">
      <formula>NOT(ISERROR(SEARCH(("СЗЧ"),(U614))))</formula>
    </cfRule>
  </conditionalFormatting>
  <conditionalFormatting sqref="U614:U622">
    <cfRule type="containsText" dxfId="6" priority="3897" operator="containsText" text="Зниклі безвісти">
      <formula>NOT(ISERROR(SEARCH(("Зниклі безвісти"),(U614))))</formula>
    </cfRule>
  </conditionalFormatting>
  <conditionalFormatting sqref="U614:U622">
    <cfRule type="containsText" dxfId="7" priority="3898" operator="containsText" text="Від-ні навчання">
      <formula>NOT(ISERROR(SEARCH(("Від-ні навчання"),(U614))))</formula>
    </cfRule>
  </conditionalFormatting>
  <conditionalFormatting sqref="U614:U622">
    <cfRule type="containsText" dxfId="8" priority="3899" operator="containsText" text="Відком. за межі ПБ">
      <formula>NOT(ISERROR(SEARCH(("Відком. за межі ПБ"),(U614))))</formula>
    </cfRule>
  </conditionalFormatting>
  <conditionalFormatting sqref="U614:U622">
    <cfRule type="containsText" dxfId="9" priority="3900" operator="containsText" text="Загиблі">
      <formula>NOT(ISERROR(SEARCH(("Загиблі"),(U614))))</formula>
    </cfRule>
  </conditionalFormatting>
  <conditionalFormatting sqref="U614:U622">
    <cfRule type="containsText" dxfId="10" priority="3901" operator="containsText" text="Лікування">
      <formula>NOT(ISERROR(SEARCH(("Лікування"),(U614))))</formula>
    </cfRule>
  </conditionalFormatting>
  <conditionalFormatting sqref="Q613 Q616:Q622">
    <cfRule type="cellIs" dxfId="9" priority="3902" operator="notEqual">
      <formula>P613</formula>
    </cfRule>
  </conditionalFormatting>
  <conditionalFormatting sqref="Q613 Q616:Q622">
    <cfRule type="cellIs" dxfId="3" priority="3903" operator="equal">
      <formula>P613</formula>
    </cfRule>
  </conditionalFormatting>
  <conditionalFormatting sqref="U613">
    <cfRule type="containsText" dxfId="10" priority="3904" operator="containsText" text="Лікування">
      <formula>NOT(ISERROR(SEARCH(("Лікування"),(U613))))</formula>
    </cfRule>
  </conditionalFormatting>
  <conditionalFormatting sqref="U613">
    <cfRule type="containsText" dxfId="9" priority="3905" operator="containsText" text="Загиблі">
      <formula>NOT(ISERROR(SEARCH(("Загиблі"),(U613))))</formula>
    </cfRule>
  </conditionalFormatting>
  <conditionalFormatting sqref="U613">
    <cfRule type="containsText" dxfId="8" priority="3906" operator="containsText" text="Відком. за межі ПБ">
      <formula>NOT(ISERROR(SEARCH(("Відком. за межі ПБ"),(U613))))</formula>
    </cfRule>
  </conditionalFormatting>
  <conditionalFormatting sqref="U613">
    <cfRule type="containsText" dxfId="7" priority="3907" operator="containsText" text="Від-ні навчання">
      <formula>NOT(ISERROR(SEARCH(("Від-ні навчання"),(U613))))</formula>
    </cfRule>
  </conditionalFormatting>
  <conditionalFormatting sqref="U613">
    <cfRule type="containsText" dxfId="6" priority="3908" operator="containsText" text="Зниклі безвісти">
      <formula>NOT(ISERROR(SEARCH(("Зниклі безвісти"),(U613))))</formula>
    </cfRule>
  </conditionalFormatting>
  <conditionalFormatting sqref="U613">
    <cfRule type="containsText" dxfId="5" priority="3909" operator="containsText" text="СЗЧ">
      <formula>NOT(ISERROR(SEARCH(("СЗЧ"),(U613))))</formula>
    </cfRule>
  </conditionalFormatting>
  <conditionalFormatting sqref="U613">
    <cfRule type="containsText" dxfId="4" priority="3910" operator="containsText" text="Відпустка">
      <formula>NOT(ISERROR(SEARCH(("Відпустка"),(U613))))</formula>
    </cfRule>
  </conditionalFormatting>
  <conditionalFormatting sqref="U613">
    <cfRule type="containsText" dxfId="3" priority="3911" operator="containsText" text="В строю">
      <formula>NOT(ISERROR(SEARCH(("В строю"),(U613))))</formula>
    </cfRule>
  </conditionalFormatting>
  <conditionalFormatting sqref="AK608:AK612 AK617 AK621:AK622 AK632:AK655 AK657:AK658 AK662:AK677 AK688:AK689 AK701 AK707 AK711:AK712 AK715:AK716 AK718:AK719 AK726 AK1122:AK1124 AK1126:AK1129 AK1136:AK1139 AK1141:AK1177 AK1184:AK1251 AK1287 AK1292:AK1296 AK1300:AK1304 AK1311:AK1384 AL1384 AK1428:AK1509 AK1511:AK1522 AK1528:AK1530 AK1532:AK1545 AK1547:AK1558 AK1560:AK1625 AL1563:AL1580 AL1582:AL1623">
    <cfRule type="cellIs" dxfId="12" priority="3912" operator="equal">
      <formula>SUM(AK608:AK619)</formula>
    </cfRule>
  </conditionalFormatting>
  <conditionalFormatting sqref="U606:U612">
    <cfRule type="containsText" dxfId="3" priority="3913" operator="containsText" text="В строю">
      <formula>NOT(ISERROR(SEARCH(("В строю"),(U606))))</formula>
    </cfRule>
  </conditionalFormatting>
  <conditionalFormatting sqref="U606:U612">
    <cfRule type="containsText" dxfId="4" priority="3914" operator="containsText" text="Відпустка">
      <formula>NOT(ISERROR(SEARCH(("Відпустка"),(U606))))</formula>
    </cfRule>
  </conditionalFormatting>
  <conditionalFormatting sqref="U606:U612">
    <cfRule type="containsText" dxfId="5" priority="3915" operator="containsText" text="СЗЧ">
      <formula>NOT(ISERROR(SEARCH(("СЗЧ"),(U606))))</formula>
    </cfRule>
  </conditionalFormatting>
  <conditionalFormatting sqref="U606:U612">
    <cfRule type="containsText" dxfId="6" priority="3916" operator="containsText" text="Зниклі безвісти">
      <formula>NOT(ISERROR(SEARCH(("Зниклі безвісти"),(U606))))</formula>
    </cfRule>
  </conditionalFormatting>
  <conditionalFormatting sqref="U606:U612">
    <cfRule type="containsText" dxfId="7" priority="3917" operator="containsText" text="Від-ні навчання">
      <formula>NOT(ISERROR(SEARCH(("Від-ні навчання"),(U606))))</formula>
    </cfRule>
  </conditionalFormatting>
  <conditionalFormatting sqref="U606:U612">
    <cfRule type="containsText" dxfId="8" priority="3918" operator="containsText" text="Відком. за межі ПБ">
      <formula>NOT(ISERROR(SEARCH(("Відком. за межі ПБ"),(U606))))</formula>
    </cfRule>
  </conditionalFormatting>
  <conditionalFormatting sqref="U606:U612">
    <cfRule type="containsText" dxfId="9" priority="3919" operator="containsText" text="Загиблі">
      <formula>NOT(ISERROR(SEARCH(("Загиблі"),(U606))))</formula>
    </cfRule>
  </conditionalFormatting>
  <conditionalFormatting sqref="U606:U612">
    <cfRule type="containsText" dxfId="10" priority="3920" operator="containsText" text="Лікування">
      <formula>NOT(ISERROR(SEARCH(("Лікування"),(U606))))</formula>
    </cfRule>
  </conditionalFormatting>
  <conditionalFormatting sqref="U606:U607">
    <cfRule type="containsText" dxfId="10" priority="3921" operator="containsText" text="Лікування">
      <formula>NOT(ISERROR(SEARCH(("Лікування"),(U606))))</formula>
    </cfRule>
  </conditionalFormatting>
  <conditionalFormatting sqref="U606:U607">
    <cfRule type="containsText" dxfId="9" priority="3922" operator="containsText" text="Загиблі">
      <formula>NOT(ISERROR(SEARCH(("Загиблі"),(U606))))</formula>
    </cfRule>
  </conditionalFormatting>
  <conditionalFormatting sqref="U606:U607">
    <cfRule type="containsText" dxfId="8" priority="3923" operator="containsText" text="Відком. за межі ПБ">
      <formula>NOT(ISERROR(SEARCH(("Відком. за межі ПБ"),(U606))))</formula>
    </cfRule>
  </conditionalFormatting>
  <conditionalFormatting sqref="U606:U607">
    <cfRule type="containsText" dxfId="7" priority="3924" operator="containsText" text="Від-ні навчання">
      <formula>NOT(ISERROR(SEARCH(("Від-ні навчання"),(U606))))</formula>
    </cfRule>
  </conditionalFormatting>
  <conditionalFormatting sqref="U606:U607">
    <cfRule type="containsText" dxfId="6" priority="3925" operator="containsText" text="Зниклі безвісти">
      <formula>NOT(ISERROR(SEARCH(("Зниклі безвісти"),(U606))))</formula>
    </cfRule>
  </conditionalFormatting>
  <conditionalFormatting sqref="U606:U607">
    <cfRule type="containsText" dxfId="5" priority="3926" operator="containsText" text="СЗЧ">
      <formula>NOT(ISERROR(SEARCH(("СЗЧ"),(U606))))</formula>
    </cfRule>
  </conditionalFormatting>
  <conditionalFormatting sqref="U606:U607">
    <cfRule type="containsText" dxfId="4" priority="3927" operator="containsText" text="Відпустка">
      <formula>NOT(ISERROR(SEARCH(("Відпустка"),(U606))))</formula>
    </cfRule>
  </conditionalFormatting>
  <conditionalFormatting sqref="U606:U607">
    <cfRule type="containsText" dxfId="3" priority="3928" operator="containsText" text="В строю">
      <formula>NOT(ISERROR(SEARCH(("В строю"),(U606))))</formula>
    </cfRule>
  </conditionalFormatting>
  <conditionalFormatting sqref="U606:U607">
    <cfRule type="containsText" dxfId="3" priority="3929" operator="containsText" text="В строю">
      <formula>NOT(ISERROR(SEARCH(("В строю"),(U606))))</formula>
    </cfRule>
  </conditionalFormatting>
  <conditionalFormatting sqref="U606:U607">
    <cfRule type="containsText" dxfId="4" priority="3930" operator="containsText" text="Відпустка">
      <formula>NOT(ISERROR(SEARCH(("Відпустка"),(U606))))</formula>
    </cfRule>
  </conditionalFormatting>
  <conditionalFormatting sqref="U606:U607">
    <cfRule type="containsText" dxfId="5" priority="3931" operator="containsText" text="СЗЧ">
      <formula>NOT(ISERROR(SEARCH(("СЗЧ"),(U606))))</formula>
    </cfRule>
  </conditionalFormatting>
  <conditionalFormatting sqref="U606:U607">
    <cfRule type="containsText" dxfId="6" priority="3932" operator="containsText" text="Зниклі безвісти">
      <formula>NOT(ISERROR(SEARCH(("Зниклі безвісти"),(U606))))</formula>
    </cfRule>
  </conditionalFormatting>
  <conditionalFormatting sqref="U606:U607">
    <cfRule type="containsText" dxfId="7" priority="3933" operator="containsText" text="Від-ні навчання">
      <formula>NOT(ISERROR(SEARCH(("Від-ні навчання"),(U606))))</formula>
    </cfRule>
  </conditionalFormatting>
  <conditionalFormatting sqref="U606:U607">
    <cfRule type="containsText" dxfId="8" priority="3934" operator="containsText" text="Відком. за межі ПБ">
      <formula>NOT(ISERROR(SEARCH(("Відком. за межі ПБ"),(U606))))</formula>
    </cfRule>
  </conditionalFormatting>
  <conditionalFormatting sqref="U606:U607">
    <cfRule type="containsText" dxfId="9" priority="3935" operator="containsText" text="Загиблі">
      <formula>NOT(ISERROR(SEARCH(("Загиблі"),(U606))))</formula>
    </cfRule>
  </conditionalFormatting>
  <conditionalFormatting sqref="U606:U607">
    <cfRule type="containsText" dxfId="10" priority="3936" operator="containsText" text="Лікування">
      <formula>NOT(ISERROR(SEARCH(("Лікування"),(U606))))</formula>
    </cfRule>
  </conditionalFormatting>
  <conditionalFormatting sqref="U607">
    <cfRule type="containsText" dxfId="3" priority="3937" operator="containsText" text="В строю">
      <formula>NOT(ISERROR(SEARCH(("В строю"),(U607))))</formula>
    </cfRule>
  </conditionalFormatting>
  <conditionalFormatting sqref="U607">
    <cfRule type="containsText" dxfId="4" priority="3938" operator="containsText" text="Відпустка">
      <formula>NOT(ISERROR(SEARCH(("Відпустка"),(U607))))</formula>
    </cfRule>
  </conditionalFormatting>
  <conditionalFormatting sqref="U607">
    <cfRule type="containsText" dxfId="5" priority="3939" operator="containsText" text="СЗЧ">
      <formula>NOT(ISERROR(SEARCH(("СЗЧ"),(U607))))</formula>
    </cfRule>
  </conditionalFormatting>
  <conditionalFormatting sqref="U607">
    <cfRule type="containsText" dxfId="6" priority="3940" operator="containsText" text="Зниклі безвісти">
      <formula>NOT(ISERROR(SEARCH(("Зниклі безвісти"),(U607))))</formula>
    </cfRule>
  </conditionalFormatting>
  <conditionalFormatting sqref="U607">
    <cfRule type="containsText" dxfId="7" priority="3941" operator="containsText" text="Від-ні навчання">
      <formula>NOT(ISERROR(SEARCH(("Від-ні навчання"),(U607))))</formula>
    </cfRule>
  </conditionalFormatting>
  <conditionalFormatting sqref="U607">
    <cfRule type="containsText" dxfId="8" priority="3942" operator="containsText" text="Відком. за межі ПБ">
      <formula>NOT(ISERROR(SEARCH(("Відком. за межі ПБ"),(U607))))</formula>
    </cfRule>
  </conditionalFormatting>
  <conditionalFormatting sqref="U607">
    <cfRule type="containsText" dxfId="9" priority="3943" operator="containsText" text="Загиблі">
      <formula>NOT(ISERROR(SEARCH(("Загиблі"),(U607))))</formula>
    </cfRule>
  </conditionalFormatting>
  <conditionalFormatting sqref="U607">
    <cfRule type="containsText" dxfId="10" priority="3944" operator="containsText" text="Лікування">
      <formula>NOT(ISERROR(SEARCH(("Лікування"),(U607))))</formula>
    </cfRule>
  </conditionalFormatting>
  <conditionalFormatting sqref="N606 N609:N610 N618:N621">
    <cfRule type="expression" dxfId="0" priority="3945">
      <formula>COUNTIF(#REF!, N606) &gt; 1</formula>
    </cfRule>
  </conditionalFormatting>
  <conditionalFormatting sqref="Q606 Q608:Q612">
    <cfRule type="cellIs" dxfId="3" priority="3946" operator="equal">
      <formula>P606</formula>
    </cfRule>
  </conditionalFormatting>
  <conditionalFormatting sqref="Q606 Q608:Q612">
    <cfRule type="cellIs" dxfId="9" priority="3947" operator="notEqual">
      <formula>P606</formula>
    </cfRule>
  </conditionalFormatting>
  <conditionalFormatting sqref="Q607">
    <cfRule type="cellIs" dxfId="3" priority="3948" operator="equal">
      <formula>P607</formula>
    </cfRule>
  </conditionalFormatting>
  <conditionalFormatting sqref="Q607">
    <cfRule type="cellIs" dxfId="9" priority="3949" operator="notEqual">
      <formula>P607</formula>
    </cfRule>
  </conditionalFormatting>
  <conditionalFormatting sqref="N604:N605">
    <cfRule type="expression" dxfId="0" priority="3950">
      <formula>COUNTIF(#REF!, N604) &gt; 1</formula>
    </cfRule>
  </conditionalFormatting>
  <conditionalFormatting sqref="Q604:Q605">
    <cfRule type="cellIs" dxfId="9" priority="3951" operator="notEqual">
      <formula>P604</formula>
    </cfRule>
  </conditionalFormatting>
  <conditionalFormatting sqref="Q604:Q605">
    <cfRule type="cellIs" dxfId="3" priority="3952" operator="equal">
      <formula>P604</formula>
    </cfRule>
  </conditionalFormatting>
  <conditionalFormatting sqref="U605 U1492 U1506 U1509">
    <cfRule type="containsText" dxfId="8" priority="3953" operator="containsText" text="Відрядження в ПБ">
      <formula>NOT(ISERROR(SEARCH(("Відрядження в ПБ"),(U605))))</formula>
    </cfRule>
  </conditionalFormatting>
  <conditionalFormatting sqref="U604:U605">
    <cfRule type="containsText" dxfId="10" priority="3954" operator="containsText" text="Лікування">
      <formula>NOT(ISERROR(SEARCH(("Лікування"),(U604))))</formula>
    </cfRule>
  </conditionalFormatting>
  <conditionalFormatting sqref="U604:U605">
    <cfRule type="containsText" dxfId="9" priority="3955" operator="containsText" text="Загиблі">
      <formula>NOT(ISERROR(SEARCH(("Загиблі"),(U604))))</formula>
    </cfRule>
  </conditionalFormatting>
  <conditionalFormatting sqref="U604:U605">
    <cfRule type="containsText" dxfId="8" priority="3956" operator="containsText" text="Відком. за межі ПБ">
      <formula>NOT(ISERROR(SEARCH(("Відком. за межі ПБ"),(U604))))</formula>
    </cfRule>
  </conditionalFormatting>
  <conditionalFormatting sqref="U604:U605">
    <cfRule type="containsText" dxfId="7" priority="3957" operator="containsText" text="Від-ні навчання">
      <formula>NOT(ISERROR(SEARCH(("Від-ні навчання"),(U604))))</formula>
    </cfRule>
  </conditionalFormatting>
  <conditionalFormatting sqref="U604:U605">
    <cfRule type="containsText" dxfId="6" priority="3958" operator="containsText" text="Зниклі безвісти">
      <formula>NOT(ISERROR(SEARCH(("Зниклі безвісти"),(U604))))</formula>
    </cfRule>
  </conditionalFormatting>
  <conditionalFormatting sqref="U604:U605">
    <cfRule type="containsText" dxfId="5" priority="3959" operator="containsText" text="СЗЧ">
      <formula>NOT(ISERROR(SEARCH(("СЗЧ"),(U604))))</formula>
    </cfRule>
  </conditionalFormatting>
  <conditionalFormatting sqref="U604:U605">
    <cfRule type="containsText" dxfId="4" priority="3960" operator="containsText" text="Відпустка">
      <formula>NOT(ISERROR(SEARCH(("Відпустка"),(U604))))</formula>
    </cfRule>
  </conditionalFormatting>
  <conditionalFormatting sqref="U604:U605">
    <cfRule type="containsText" dxfId="3" priority="3961" operator="containsText" text="В строю">
      <formula>NOT(ISERROR(SEARCH(("В строю"),(U604))))</formula>
    </cfRule>
  </conditionalFormatting>
  <conditionalFormatting sqref="N603">
    <cfRule type="expression" dxfId="0" priority="3962">
      <formula>COUNTIF(#REF!, N603) &gt; 1</formula>
    </cfRule>
  </conditionalFormatting>
  <conditionalFormatting sqref="N603">
    <cfRule type="expression" dxfId="0" priority="3963">
      <formula>COUNTIF(#REF!, N603) &gt; 1</formula>
    </cfRule>
  </conditionalFormatting>
  <conditionalFormatting sqref="U603">
    <cfRule type="containsText" dxfId="3" priority="3964" operator="containsText" text="В строю">
      <formula>NOT(ISERROR(SEARCH(("В строю"),(U603))))</formula>
    </cfRule>
  </conditionalFormatting>
  <conditionalFormatting sqref="U603">
    <cfRule type="containsText" dxfId="4" priority="3965" operator="containsText" text="Відпустка">
      <formula>NOT(ISERROR(SEARCH(("Відпустка"),(U603))))</formula>
    </cfRule>
  </conditionalFormatting>
  <conditionalFormatting sqref="U603">
    <cfRule type="containsText" dxfId="5" priority="3966" operator="containsText" text="СЗЧ">
      <formula>NOT(ISERROR(SEARCH(("СЗЧ"),(U603))))</formula>
    </cfRule>
  </conditionalFormatting>
  <conditionalFormatting sqref="U603">
    <cfRule type="containsText" dxfId="6" priority="3967" operator="containsText" text="Зниклі безвісти">
      <formula>NOT(ISERROR(SEARCH(("Зниклі безвісти"),(U603))))</formula>
    </cfRule>
  </conditionalFormatting>
  <conditionalFormatting sqref="U603">
    <cfRule type="containsText" dxfId="7" priority="3968" operator="containsText" text="Від-ні навчання">
      <formula>NOT(ISERROR(SEARCH(("Від-ні навчання"),(U603))))</formula>
    </cfRule>
  </conditionalFormatting>
  <conditionalFormatting sqref="U603">
    <cfRule type="containsText" dxfId="8" priority="3969" operator="containsText" text="Відком. за межі ПБ">
      <formula>NOT(ISERROR(SEARCH(("Відком. за межі ПБ"),(U603))))</formula>
    </cfRule>
  </conditionalFormatting>
  <conditionalFormatting sqref="U603">
    <cfRule type="containsText" dxfId="9" priority="3970" operator="containsText" text="Загиблі">
      <formula>NOT(ISERROR(SEARCH(("Загиблі"),(U603))))</formula>
    </cfRule>
  </conditionalFormatting>
  <conditionalFormatting sqref="U603">
    <cfRule type="containsText" dxfId="10" priority="3971" operator="containsText" text="Лікування">
      <formula>NOT(ISERROR(SEARCH(("Лікування"),(U603))))</formula>
    </cfRule>
  </conditionalFormatting>
  <conditionalFormatting sqref="U603">
    <cfRule type="containsText" dxfId="10" priority="3972" operator="containsText" text="Лікування">
      <formula>NOT(ISERROR(SEARCH(("Лікування"),(U603))))</formula>
    </cfRule>
  </conditionalFormatting>
  <conditionalFormatting sqref="U603">
    <cfRule type="containsText" dxfId="9" priority="3973" operator="containsText" text="Загиблі">
      <formula>NOT(ISERROR(SEARCH(("Загиблі"),(U603))))</formula>
    </cfRule>
  </conditionalFormatting>
  <conditionalFormatting sqref="U603">
    <cfRule type="containsText" dxfId="8" priority="3974" operator="containsText" text="Відком. за межі ПБ">
      <formula>NOT(ISERROR(SEARCH(("Відком. за межі ПБ"),(U603))))</formula>
    </cfRule>
  </conditionalFormatting>
  <conditionalFormatting sqref="U603">
    <cfRule type="containsText" dxfId="7" priority="3975" operator="containsText" text="Від-ні навчання">
      <formula>NOT(ISERROR(SEARCH(("Від-ні навчання"),(U603))))</formula>
    </cfRule>
  </conditionalFormatting>
  <conditionalFormatting sqref="U603">
    <cfRule type="containsText" dxfId="6" priority="3976" operator="containsText" text="Зниклі безвісти">
      <formula>NOT(ISERROR(SEARCH(("Зниклі безвісти"),(U603))))</formula>
    </cfRule>
  </conditionalFormatting>
  <conditionalFormatting sqref="U603">
    <cfRule type="containsText" dxfId="5" priority="3977" operator="containsText" text="СЗЧ">
      <formula>NOT(ISERROR(SEARCH(("СЗЧ"),(U603))))</formula>
    </cfRule>
  </conditionalFormatting>
  <conditionalFormatting sqref="U603">
    <cfRule type="containsText" dxfId="4" priority="3978" operator="containsText" text="Відпустка">
      <formula>NOT(ISERROR(SEARCH(("Відпустка"),(U603))))</formula>
    </cfRule>
  </conditionalFormatting>
  <conditionalFormatting sqref="U603">
    <cfRule type="containsText" dxfId="3" priority="3979" operator="containsText" text="В строю">
      <formula>NOT(ISERROR(SEARCH(("В строю"),(U603))))</formula>
    </cfRule>
  </conditionalFormatting>
  <conditionalFormatting sqref="Q603">
    <cfRule type="cellIs" dxfId="9" priority="3980" operator="notEqual">
      <formula>P603</formula>
    </cfRule>
  </conditionalFormatting>
  <conditionalFormatting sqref="Q603">
    <cfRule type="cellIs" dxfId="3" priority="3981" operator="equal">
      <formula>P603</formula>
    </cfRule>
  </conditionalFormatting>
  <conditionalFormatting sqref="U602">
    <cfRule type="containsText" dxfId="10" priority="3982" operator="containsText" text="Лікування">
      <formula>NOT(ISERROR(SEARCH(("Лікування"),(U602))))</formula>
    </cfRule>
  </conditionalFormatting>
  <conditionalFormatting sqref="U602">
    <cfRule type="containsText" dxfId="9" priority="3983" operator="containsText" text="Загиблі">
      <formula>NOT(ISERROR(SEARCH(("Загиблі"),(U602))))</formula>
    </cfRule>
  </conditionalFormatting>
  <conditionalFormatting sqref="U602">
    <cfRule type="containsText" dxfId="8" priority="3984" operator="containsText" text="Відком. за межі ПБ">
      <formula>NOT(ISERROR(SEARCH(("Відком. за межі ПБ"),(U602))))</formula>
    </cfRule>
  </conditionalFormatting>
  <conditionalFormatting sqref="U602">
    <cfRule type="containsText" dxfId="7" priority="3985" operator="containsText" text="Від-ні навчання">
      <formula>NOT(ISERROR(SEARCH(("Від-ні навчання"),(U602))))</formula>
    </cfRule>
  </conditionalFormatting>
  <conditionalFormatting sqref="U602">
    <cfRule type="containsText" dxfId="6" priority="3986" operator="containsText" text="Зниклі безвісти">
      <formula>NOT(ISERROR(SEARCH(("Зниклі безвісти"),(U602))))</formula>
    </cfRule>
  </conditionalFormatting>
  <conditionalFormatting sqref="U602">
    <cfRule type="containsText" dxfId="5" priority="3987" operator="containsText" text="СЗЧ">
      <formula>NOT(ISERROR(SEARCH(("СЗЧ"),(U602))))</formula>
    </cfRule>
  </conditionalFormatting>
  <conditionalFormatting sqref="U602">
    <cfRule type="containsText" dxfId="4" priority="3988" operator="containsText" text="Відпустка">
      <formula>NOT(ISERROR(SEARCH(("Відпустка"),(U602))))</formula>
    </cfRule>
  </conditionalFormatting>
  <conditionalFormatting sqref="U602">
    <cfRule type="containsText" dxfId="3" priority="3989" operator="containsText" text="В строю">
      <formula>NOT(ISERROR(SEARCH(("В строю"),(U602))))</formula>
    </cfRule>
  </conditionalFormatting>
  <conditionalFormatting sqref="N602">
    <cfRule type="expression" dxfId="0" priority="3990">
      <formula>COUNTIF(#REF!, N602) &gt; 1</formula>
    </cfRule>
  </conditionalFormatting>
  <conditionalFormatting sqref="Q602">
    <cfRule type="cellIs" dxfId="9" priority="3991" operator="notEqual">
      <formula>P602</formula>
    </cfRule>
  </conditionalFormatting>
  <conditionalFormatting sqref="Q602">
    <cfRule type="cellIs" dxfId="3" priority="3992" operator="equal">
      <formula>P602</formula>
    </cfRule>
  </conditionalFormatting>
  <conditionalFormatting sqref="U601">
    <cfRule type="containsText" dxfId="10" priority="3993" operator="containsText" text="Лікування">
      <formula>NOT(ISERROR(SEARCH(("Лікування"),(U601))))</formula>
    </cfRule>
  </conditionalFormatting>
  <conditionalFormatting sqref="U601">
    <cfRule type="containsText" dxfId="9" priority="3994" operator="containsText" text="Загиблі">
      <formula>NOT(ISERROR(SEARCH(("Загиблі"),(U601))))</formula>
    </cfRule>
  </conditionalFormatting>
  <conditionalFormatting sqref="U601">
    <cfRule type="containsText" dxfId="8" priority="3995" operator="containsText" text="Відком. за межі ПБ">
      <formula>NOT(ISERROR(SEARCH(("Відком. за межі ПБ"),(U601))))</formula>
    </cfRule>
  </conditionalFormatting>
  <conditionalFormatting sqref="U601">
    <cfRule type="containsText" dxfId="7" priority="3996" operator="containsText" text="Від-ні навчання">
      <formula>NOT(ISERROR(SEARCH(("Від-ні навчання"),(U601))))</formula>
    </cfRule>
  </conditionalFormatting>
  <conditionalFormatting sqref="U601">
    <cfRule type="containsText" dxfId="6" priority="3997" operator="containsText" text="Зниклі безвісти">
      <formula>NOT(ISERROR(SEARCH(("Зниклі безвісти"),(U601))))</formula>
    </cfRule>
  </conditionalFormatting>
  <conditionalFormatting sqref="U601">
    <cfRule type="containsText" dxfId="5" priority="3998" operator="containsText" text="СЗЧ">
      <formula>NOT(ISERROR(SEARCH(("СЗЧ"),(U601))))</formula>
    </cfRule>
  </conditionalFormatting>
  <conditionalFormatting sqref="U601">
    <cfRule type="containsText" dxfId="4" priority="3999" operator="containsText" text="Відпустка">
      <formula>NOT(ISERROR(SEARCH(("Відпустка"),(U601))))</formula>
    </cfRule>
  </conditionalFormatting>
  <conditionalFormatting sqref="U601">
    <cfRule type="containsText" dxfId="3" priority="4000" operator="containsText" text="В строю">
      <formula>NOT(ISERROR(SEARCH(("В строю"),(U601))))</formula>
    </cfRule>
  </conditionalFormatting>
  <conditionalFormatting sqref="Q601">
    <cfRule type="cellIs" dxfId="9" priority="4001" operator="notEqual">
      <formula>P601</formula>
    </cfRule>
  </conditionalFormatting>
  <conditionalFormatting sqref="Q601">
    <cfRule type="cellIs" dxfId="3" priority="4002" operator="equal">
      <formula>P601</formula>
    </cfRule>
  </conditionalFormatting>
  <conditionalFormatting sqref="N601">
    <cfRule type="expression" dxfId="0" priority="4003">
      <formula>COUNTIF(#REF!, N601) &gt; 1</formula>
    </cfRule>
  </conditionalFormatting>
  <conditionalFormatting sqref="Q600">
    <cfRule type="cellIs" dxfId="9" priority="4004" operator="notEqual">
      <formula>P600</formula>
    </cfRule>
  </conditionalFormatting>
  <conditionalFormatting sqref="Q600">
    <cfRule type="cellIs" dxfId="3" priority="4005" operator="equal">
      <formula>P600</formula>
    </cfRule>
  </conditionalFormatting>
  <conditionalFormatting sqref="U600">
    <cfRule type="containsText" dxfId="10" priority="4006" operator="containsText" text="Лікування">
      <formula>NOT(ISERROR(SEARCH(("Лікування"),(U600))))</formula>
    </cfRule>
  </conditionalFormatting>
  <conditionalFormatting sqref="U600">
    <cfRule type="containsText" dxfId="9" priority="4007" operator="containsText" text="Загиблі">
      <formula>NOT(ISERROR(SEARCH(("Загиблі"),(U600))))</formula>
    </cfRule>
  </conditionalFormatting>
  <conditionalFormatting sqref="U600">
    <cfRule type="containsText" dxfId="8" priority="4008" operator="containsText" text="Відком. за межі ПБ">
      <formula>NOT(ISERROR(SEARCH(("Відком. за межі ПБ"),(U600))))</formula>
    </cfRule>
  </conditionalFormatting>
  <conditionalFormatting sqref="U600">
    <cfRule type="containsText" dxfId="7" priority="4009" operator="containsText" text="Від-ні навчання">
      <formula>NOT(ISERROR(SEARCH(("Від-ні навчання"),(U600))))</formula>
    </cfRule>
  </conditionalFormatting>
  <conditionalFormatting sqref="U600">
    <cfRule type="containsText" dxfId="6" priority="4010" operator="containsText" text="Зниклі безвісти">
      <formula>NOT(ISERROR(SEARCH(("Зниклі безвісти"),(U600))))</formula>
    </cfRule>
  </conditionalFormatting>
  <conditionalFormatting sqref="U600">
    <cfRule type="containsText" dxfId="5" priority="4011" operator="containsText" text="СЗЧ">
      <formula>NOT(ISERROR(SEARCH(("СЗЧ"),(U600))))</formula>
    </cfRule>
  </conditionalFormatting>
  <conditionalFormatting sqref="U600">
    <cfRule type="containsText" dxfId="4" priority="4012" operator="containsText" text="Відпустка">
      <formula>NOT(ISERROR(SEARCH(("Відпустка"),(U600))))</formula>
    </cfRule>
  </conditionalFormatting>
  <conditionalFormatting sqref="U600">
    <cfRule type="containsText" dxfId="3" priority="4013" operator="containsText" text="В строю">
      <formula>NOT(ISERROR(SEARCH(("В строю"),(U600))))</formula>
    </cfRule>
  </conditionalFormatting>
  <conditionalFormatting sqref="U599">
    <cfRule type="containsText" dxfId="10" priority="4014" operator="containsText" text="Лікування">
      <formula>NOT(ISERROR(SEARCH(("Лікування"),(U599))))</formula>
    </cfRule>
  </conditionalFormatting>
  <conditionalFormatting sqref="U599">
    <cfRule type="containsText" dxfId="9" priority="4015" operator="containsText" text="Загиблі">
      <formula>NOT(ISERROR(SEARCH(("Загиблі"),(U599))))</formula>
    </cfRule>
  </conditionalFormatting>
  <conditionalFormatting sqref="U599">
    <cfRule type="containsText" dxfId="8" priority="4016" operator="containsText" text="Відком. за межі ПБ">
      <formula>NOT(ISERROR(SEARCH(("Відком. за межі ПБ"),(U599))))</formula>
    </cfRule>
  </conditionalFormatting>
  <conditionalFormatting sqref="U599">
    <cfRule type="containsText" dxfId="7" priority="4017" operator="containsText" text="Від-ні навчання">
      <formula>NOT(ISERROR(SEARCH(("Від-ні навчання"),(U599))))</formula>
    </cfRule>
  </conditionalFormatting>
  <conditionalFormatting sqref="U599">
    <cfRule type="containsText" dxfId="6" priority="4018" operator="containsText" text="Зниклі безвісти">
      <formula>NOT(ISERROR(SEARCH(("Зниклі безвісти"),(U599))))</formula>
    </cfRule>
  </conditionalFormatting>
  <conditionalFormatting sqref="U599">
    <cfRule type="containsText" dxfId="5" priority="4019" operator="containsText" text="СЗЧ">
      <formula>NOT(ISERROR(SEARCH(("СЗЧ"),(U599))))</formula>
    </cfRule>
  </conditionalFormatting>
  <conditionalFormatting sqref="U599">
    <cfRule type="containsText" dxfId="4" priority="4020" operator="containsText" text="Відпустка">
      <formula>NOT(ISERROR(SEARCH(("Відпустка"),(U599))))</formula>
    </cfRule>
  </conditionalFormatting>
  <conditionalFormatting sqref="U599">
    <cfRule type="containsText" dxfId="3" priority="4021" operator="containsText" text="В строю">
      <formula>NOT(ISERROR(SEARCH(("В строю"),(U599))))</formula>
    </cfRule>
  </conditionalFormatting>
  <conditionalFormatting sqref="N599">
    <cfRule type="expression" dxfId="0" priority="4022">
      <formula>COUNTIF(#REF!, N599) &gt; 1</formula>
    </cfRule>
  </conditionalFormatting>
  <conditionalFormatting sqref="Q599">
    <cfRule type="cellIs" dxfId="9" priority="4023" operator="notEqual">
      <formula>P599</formula>
    </cfRule>
  </conditionalFormatting>
  <conditionalFormatting sqref="Q599">
    <cfRule type="cellIs" dxfId="3" priority="4024" operator="equal">
      <formula>P599</formula>
    </cfRule>
  </conditionalFormatting>
  <conditionalFormatting sqref="N598">
    <cfRule type="expression" dxfId="0" priority="4025">
      <formula>COUNTIF(#REF!, N598) &gt; 1</formula>
    </cfRule>
  </conditionalFormatting>
  <conditionalFormatting sqref="N598">
    <cfRule type="expression" dxfId="0" priority="4026">
      <formula>COUNTIF(#REF!, N598) &gt; 1</formula>
    </cfRule>
  </conditionalFormatting>
  <conditionalFormatting sqref="U598">
    <cfRule type="containsText" dxfId="3" priority="4027" operator="containsText" text="В строю">
      <formula>NOT(ISERROR(SEARCH(("В строю"),(U598))))</formula>
    </cfRule>
  </conditionalFormatting>
  <conditionalFormatting sqref="U598">
    <cfRule type="containsText" dxfId="4" priority="4028" operator="containsText" text="Відпустка">
      <formula>NOT(ISERROR(SEARCH(("Відпустка"),(U598))))</formula>
    </cfRule>
  </conditionalFormatting>
  <conditionalFormatting sqref="U598">
    <cfRule type="containsText" dxfId="5" priority="4029" operator="containsText" text="СЗЧ">
      <formula>NOT(ISERROR(SEARCH(("СЗЧ"),(U598))))</formula>
    </cfRule>
  </conditionalFormatting>
  <conditionalFormatting sqref="U598">
    <cfRule type="containsText" dxfId="6" priority="4030" operator="containsText" text="Зниклі безвісти">
      <formula>NOT(ISERROR(SEARCH(("Зниклі безвісти"),(U598))))</formula>
    </cfRule>
  </conditionalFormatting>
  <conditionalFormatting sqref="U598">
    <cfRule type="containsText" dxfId="7" priority="4031" operator="containsText" text="Від-ні навчання">
      <formula>NOT(ISERROR(SEARCH(("Від-ні навчання"),(U598))))</formula>
    </cfRule>
  </conditionalFormatting>
  <conditionalFormatting sqref="U598">
    <cfRule type="containsText" dxfId="8" priority="4032" operator="containsText" text="Відком. за межі ПБ">
      <formula>NOT(ISERROR(SEARCH(("Відком. за межі ПБ"),(U598))))</formula>
    </cfRule>
  </conditionalFormatting>
  <conditionalFormatting sqref="U598">
    <cfRule type="containsText" dxfId="9" priority="4033" operator="containsText" text="Загиблі">
      <formula>NOT(ISERROR(SEARCH(("Загиблі"),(U598))))</formula>
    </cfRule>
  </conditionalFormatting>
  <conditionalFormatting sqref="U598">
    <cfRule type="containsText" dxfId="10" priority="4034" operator="containsText" text="Лікування">
      <formula>NOT(ISERROR(SEARCH(("Лікування"),(U598))))</formula>
    </cfRule>
  </conditionalFormatting>
  <conditionalFormatting sqref="Q598">
    <cfRule type="cellIs" dxfId="9" priority="4035" operator="notEqual">
      <formula>P598</formula>
    </cfRule>
  </conditionalFormatting>
  <conditionalFormatting sqref="Q598">
    <cfRule type="cellIs" dxfId="3" priority="4036" operator="equal">
      <formula>P598</formula>
    </cfRule>
  </conditionalFormatting>
  <conditionalFormatting sqref="U598">
    <cfRule type="containsText" dxfId="10" priority="4037" operator="containsText" text="Лікування">
      <formula>NOT(ISERROR(SEARCH(("Лікування"),(U598))))</formula>
    </cfRule>
  </conditionalFormatting>
  <conditionalFormatting sqref="U598">
    <cfRule type="containsText" dxfId="9" priority="4038" operator="containsText" text="Загиблі">
      <formula>NOT(ISERROR(SEARCH(("Загиблі"),(U598))))</formula>
    </cfRule>
  </conditionalFormatting>
  <conditionalFormatting sqref="U598">
    <cfRule type="containsText" dxfId="8" priority="4039" operator="containsText" text="Відком. за межі ПБ">
      <formula>NOT(ISERROR(SEARCH(("Відком. за межі ПБ"),(U598))))</formula>
    </cfRule>
  </conditionalFormatting>
  <conditionalFormatting sqref="U598">
    <cfRule type="containsText" dxfId="7" priority="4040" operator="containsText" text="Від-ні навчання">
      <formula>NOT(ISERROR(SEARCH(("Від-ні навчання"),(U598))))</formula>
    </cfRule>
  </conditionalFormatting>
  <conditionalFormatting sqref="U598">
    <cfRule type="containsText" dxfId="6" priority="4041" operator="containsText" text="Зниклі безвісти">
      <formula>NOT(ISERROR(SEARCH(("Зниклі безвісти"),(U598))))</formula>
    </cfRule>
  </conditionalFormatting>
  <conditionalFormatting sqref="U598">
    <cfRule type="containsText" dxfId="5" priority="4042" operator="containsText" text="СЗЧ">
      <formula>NOT(ISERROR(SEARCH(("СЗЧ"),(U598))))</formula>
    </cfRule>
  </conditionalFormatting>
  <conditionalFormatting sqref="U598">
    <cfRule type="containsText" dxfId="4" priority="4043" operator="containsText" text="Відпустка">
      <formula>NOT(ISERROR(SEARCH(("Відпустка"),(U598))))</formula>
    </cfRule>
  </conditionalFormatting>
  <conditionalFormatting sqref="U598">
    <cfRule type="containsText" dxfId="3" priority="4044" operator="containsText" text="В строю">
      <formula>NOT(ISERROR(SEARCH(("В строю"),(U598))))</formula>
    </cfRule>
  </conditionalFormatting>
  <conditionalFormatting sqref="U597">
    <cfRule type="containsText" dxfId="3" priority="4045" operator="containsText" text="В строю">
      <formula>NOT(ISERROR(SEARCH(("В строю"),(U597))))</formula>
    </cfRule>
  </conditionalFormatting>
  <conditionalFormatting sqref="U597">
    <cfRule type="containsText" dxfId="4" priority="4046" operator="containsText" text="Відпустка">
      <formula>NOT(ISERROR(SEARCH(("Відпустка"),(U597))))</formula>
    </cfRule>
  </conditionalFormatting>
  <conditionalFormatting sqref="U597">
    <cfRule type="containsText" dxfId="5" priority="4047" operator="containsText" text="СЗЧ">
      <formula>NOT(ISERROR(SEARCH(("СЗЧ"),(U597))))</formula>
    </cfRule>
  </conditionalFormatting>
  <conditionalFormatting sqref="U597">
    <cfRule type="containsText" dxfId="6" priority="4048" operator="containsText" text="Зниклі безвісти">
      <formula>NOT(ISERROR(SEARCH(("Зниклі безвісти"),(U597))))</formula>
    </cfRule>
  </conditionalFormatting>
  <conditionalFormatting sqref="U597">
    <cfRule type="containsText" dxfId="7" priority="4049" operator="containsText" text="Від-ні навчання">
      <formula>NOT(ISERROR(SEARCH(("Від-ні навчання"),(U597))))</formula>
    </cfRule>
  </conditionalFormatting>
  <conditionalFormatting sqref="U597">
    <cfRule type="containsText" dxfId="8" priority="4050" operator="containsText" text="Відком. за межі ПБ">
      <formula>NOT(ISERROR(SEARCH(("Відком. за межі ПБ"),(U597))))</formula>
    </cfRule>
  </conditionalFormatting>
  <conditionalFormatting sqref="U597">
    <cfRule type="containsText" dxfId="9" priority="4051" operator="containsText" text="Загиблі">
      <formula>NOT(ISERROR(SEARCH(("Загиблі"),(U597))))</formula>
    </cfRule>
  </conditionalFormatting>
  <conditionalFormatting sqref="U597">
    <cfRule type="containsText" dxfId="10" priority="4052" operator="containsText" text="Лікування">
      <formula>NOT(ISERROR(SEARCH(("Лікування"),(U597))))</formula>
    </cfRule>
  </conditionalFormatting>
  <conditionalFormatting sqref="U596">
    <cfRule type="containsText" dxfId="10" priority="4053" operator="containsText" text="Лікування">
      <formula>NOT(ISERROR(SEARCH(("Лікування"),(U596))))</formula>
    </cfRule>
  </conditionalFormatting>
  <conditionalFormatting sqref="U596">
    <cfRule type="containsText" dxfId="9" priority="4054" operator="containsText" text="Загиблі">
      <formula>NOT(ISERROR(SEARCH(("Загиблі"),(U596))))</formula>
    </cfRule>
  </conditionalFormatting>
  <conditionalFormatting sqref="U596">
    <cfRule type="containsText" dxfId="8" priority="4055" operator="containsText" text="Відком. за межі ПБ">
      <formula>NOT(ISERROR(SEARCH(("Відком. за межі ПБ"),(U596))))</formula>
    </cfRule>
  </conditionalFormatting>
  <conditionalFormatting sqref="U596">
    <cfRule type="containsText" dxfId="7" priority="4056" operator="containsText" text="Від-ні навчання">
      <formula>NOT(ISERROR(SEARCH(("Від-ні навчання"),(U596))))</formula>
    </cfRule>
  </conditionalFormatting>
  <conditionalFormatting sqref="U596">
    <cfRule type="containsText" dxfId="6" priority="4057" operator="containsText" text="Зниклі безвісти">
      <formula>NOT(ISERROR(SEARCH(("Зниклі безвісти"),(U596))))</formula>
    </cfRule>
  </conditionalFormatting>
  <conditionalFormatting sqref="U596">
    <cfRule type="containsText" dxfId="5" priority="4058" operator="containsText" text="СЗЧ">
      <formula>NOT(ISERROR(SEARCH(("СЗЧ"),(U596))))</formula>
    </cfRule>
  </conditionalFormatting>
  <conditionalFormatting sqref="U596">
    <cfRule type="containsText" dxfId="4" priority="4059" operator="containsText" text="Відпустка">
      <formula>NOT(ISERROR(SEARCH(("Відпустка"),(U596))))</formula>
    </cfRule>
  </conditionalFormatting>
  <conditionalFormatting sqref="U596">
    <cfRule type="containsText" dxfId="3" priority="4060" operator="containsText" text="В строю">
      <formula>NOT(ISERROR(SEARCH(("В строю"),(U596))))</formula>
    </cfRule>
  </conditionalFormatting>
  <conditionalFormatting sqref="U595:U596">
    <cfRule type="containsText" dxfId="3" priority="4061" operator="containsText" text="В строю">
      <formula>NOT(ISERROR(SEARCH(("В строю"),(U595))))</formula>
    </cfRule>
  </conditionalFormatting>
  <conditionalFormatting sqref="U595:U596">
    <cfRule type="containsText" dxfId="4" priority="4062" operator="containsText" text="Відпустка">
      <formula>NOT(ISERROR(SEARCH(("Відпустка"),(U595))))</formula>
    </cfRule>
  </conditionalFormatting>
  <conditionalFormatting sqref="U595:U596">
    <cfRule type="containsText" dxfId="5" priority="4063" operator="containsText" text="СЗЧ">
      <formula>NOT(ISERROR(SEARCH(("СЗЧ"),(U595))))</formula>
    </cfRule>
  </conditionalFormatting>
  <conditionalFormatting sqref="U595:U596">
    <cfRule type="containsText" dxfId="6" priority="4064" operator="containsText" text="Зниклі безвісти">
      <formula>NOT(ISERROR(SEARCH(("Зниклі безвісти"),(U595))))</formula>
    </cfRule>
  </conditionalFormatting>
  <conditionalFormatting sqref="U595:U596">
    <cfRule type="containsText" dxfId="7" priority="4065" operator="containsText" text="Від-ні навчання">
      <formula>NOT(ISERROR(SEARCH(("Від-ні навчання"),(U595))))</formula>
    </cfRule>
  </conditionalFormatting>
  <conditionalFormatting sqref="U595:U596">
    <cfRule type="containsText" dxfId="8" priority="4066" operator="containsText" text="Відком. за межі ПБ">
      <formula>NOT(ISERROR(SEARCH(("Відком. за межі ПБ"),(U595))))</formula>
    </cfRule>
  </conditionalFormatting>
  <conditionalFormatting sqref="U595:U596">
    <cfRule type="containsText" dxfId="9" priority="4067" operator="containsText" text="Загиблі">
      <formula>NOT(ISERROR(SEARCH(("Загиблі"),(U595))))</formula>
    </cfRule>
  </conditionalFormatting>
  <conditionalFormatting sqref="U595:U596">
    <cfRule type="containsText" dxfId="10" priority="4068" operator="containsText" text="Лікування">
      <formula>NOT(ISERROR(SEARCH(("Лікування"),(U595))))</formula>
    </cfRule>
  </conditionalFormatting>
  <conditionalFormatting sqref="E595 N595">
    <cfRule type="expression" dxfId="0" priority="4069">
      <formula>COUNTIF(#REF!, E595) &gt; 1</formula>
    </cfRule>
  </conditionalFormatting>
  <conditionalFormatting sqref="Q594">
    <cfRule type="cellIs" dxfId="3" priority="4070" operator="equal">
      <formula>P594</formula>
    </cfRule>
  </conditionalFormatting>
  <conditionalFormatting sqref="Q594">
    <cfRule type="cellIs" dxfId="9" priority="4071" operator="notEqual">
      <formula>P594</formula>
    </cfRule>
  </conditionalFormatting>
  <conditionalFormatting sqref="U594">
    <cfRule type="containsText" dxfId="3" priority="4072" operator="containsText" text="В строю">
      <formula>NOT(ISERROR(SEARCH(("В строю"),(U594))))</formula>
    </cfRule>
  </conditionalFormatting>
  <conditionalFormatting sqref="U594">
    <cfRule type="containsText" dxfId="4" priority="4073" operator="containsText" text="Відпустка">
      <formula>NOT(ISERROR(SEARCH(("Відпустка"),(U594))))</formula>
    </cfRule>
  </conditionalFormatting>
  <conditionalFormatting sqref="U594">
    <cfRule type="containsText" dxfId="5" priority="4074" operator="containsText" text="СЗЧ">
      <formula>NOT(ISERROR(SEARCH(("СЗЧ"),(U594))))</formula>
    </cfRule>
  </conditionalFormatting>
  <conditionalFormatting sqref="U594">
    <cfRule type="containsText" dxfId="6" priority="4075" operator="containsText" text="Зниклі безвісти">
      <formula>NOT(ISERROR(SEARCH(("Зниклі безвісти"),(U594))))</formula>
    </cfRule>
  </conditionalFormatting>
  <conditionalFormatting sqref="U594">
    <cfRule type="containsText" dxfId="7" priority="4076" operator="containsText" text="Від-ні навчання">
      <formula>NOT(ISERROR(SEARCH(("Від-ні навчання"),(U594))))</formula>
    </cfRule>
  </conditionalFormatting>
  <conditionalFormatting sqref="U594">
    <cfRule type="containsText" dxfId="8" priority="4077" operator="containsText" text="Відком. за межі ПБ">
      <formula>NOT(ISERROR(SEARCH(("Відком. за межі ПБ"),(U594))))</formula>
    </cfRule>
  </conditionalFormatting>
  <conditionalFormatting sqref="U594">
    <cfRule type="containsText" dxfId="9" priority="4078" operator="containsText" text="Загиблі">
      <formula>NOT(ISERROR(SEARCH(("Загиблі"),(U594))))</formula>
    </cfRule>
  </conditionalFormatting>
  <conditionalFormatting sqref="U594">
    <cfRule type="containsText" dxfId="10" priority="4079" operator="containsText" text="Лікування">
      <formula>NOT(ISERROR(SEARCH(("Лікування"),(U594))))</formula>
    </cfRule>
  </conditionalFormatting>
  <conditionalFormatting sqref="N594">
    <cfRule type="expression" dxfId="0" priority="4080">
      <formula>COUNTIF(#REF!, N594) &gt; 1</formula>
    </cfRule>
  </conditionalFormatting>
  <conditionalFormatting sqref="U594">
    <cfRule type="containsText" dxfId="10" priority="4081" operator="containsText" text="Лікування">
      <formula>NOT(ISERROR(SEARCH(("Лікування"),(U594))))</formula>
    </cfRule>
  </conditionalFormatting>
  <conditionalFormatting sqref="U594">
    <cfRule type="containsText" dxfId="9" priority="4082" operator="containsText" text="Загиблі">
      <formula>NOT(ISERROR(SEARCH(("Загиблі"),(U594))))</formula>
    </cfRule>
  </conditionalFormatting>
  <conditionalFormatting sqref="U594">
    <cfRule type="containsText" dxfId="8" priority="4083" operator="containsText" text="Відком. за межі ПБ">
      <formula>NOT(ISERROR(SEARCH(("Відком. за межі ПБ"),(U594))))</formula>
    </cfRule>
  </conditionalFormatting>
  <conditionalFormatting sqref="U594">
    <cfRule type="containsText" dxfId="7" priority="4084" operator="containsText" text="Від-ні навчання">
      <formula>NOT(ISERROR(SEARCH(("Від-ні навчання"),(U594))))</formula>
    </cfRule>
  </conditionalFormatting>
  <conditionalFormatting sqref="U594">
    <cfRule type="containsText" dxfId="6" priority="4085" operator="containsText" text="Зниклі безвісти">
      <formula>NOT(ISERROR(SEARCH(("Зниклі безвісти"),(U594))))</formula>
    </cfRule>
  </conditionalFormatting>
  <conditionalFormatting sqref="U594">
    <cfRule type="containsText" dxfId="5" priority="4086" operator="containsText" text="СЗЧ">
      <formula>NOT(ISERROR(SEARCH(("СЗЧ"),(U594))))</formula>
    </cfRule>
  </conditionalFormatting>
  <conditionalFormatting sqref="U594">
    <cfRule type="containsText" dxfId="4" priority="4087" operator="containsText" text="Відпустка">
      <formula>NOT(ISERROR(SEARCH(("Відпустка"),(U594))))</formula>
    </cfRule>
  </conditionalFormatting>
  <conditionalFormatting sqref="U594">
    <cfRule type="containsText" dxfId="3" priority="4088" operator="containsText" text="В строю">
      <formula>NOT(ISERROR(SEARCH(("В строю"),(U594))))</formula>
    </cfRule>
  </conditionalFormatting>
  <conditionalFormatting sqref="Q593">
    <cfRule type="cellIs" dxfId="3" priority="4089" operator="equal">
      <formula>P593</formula>
    </cfRule>
  </conditionalFormatting>
  <conditionalFormatting sqref="Q593">
    <cfRule type="cellIs" dxfId="9" priority="4090" operator="notEqual">
      <formula>P593</formula>
    </cfRule>
  </conditionalFormatting>
  <conditionalFormatting sqref="U593">
    <cfRule type="containsText" dxfId="3" priority="4091" operator="containsText" text="В строю">
      <formula>NOT(ISERROR(SEARCH(("В строю"),(U593))))</formula>
    </cfRule>
  </conditionalFormatting>
  <conditionalFormatting sqref="U593">
    <cfRule type="containsText" dxfId="4" priority="4092" operator="containsText" text="Відпустка">
      <formula>NOT(ISERROR(SEARCH(("Відпустка"),(U593))))</formula>
    </cfRule>
  </conditionalFormatting>
  <conditionalFormatting sqref="U593">
    <cfRule type="containsText" dxfId="5" priority="4093" operator="containsText" text="СЗЧ">
      <formula>NOT(ISERROR(SEARCH(("СЗЧ"),(U593))))</formula>
    </cfRule>
  </conditionalFormatting>
  <conditionalFormatting sqref="U593">
    <cfRule type="containsText" dxfId="6" priority="4094" operator="containsText" text="Зниклі безвісти">
      <formula>NOT(ISERROR(SEARCH(("Зниклі безвісти"),(U593))))</formula>
    </cfRule>
  </conditionalFormatting>
  <conditionalFormatting sqref="U593">
    <cfRule type="containsText" dxfId="7" priority="4095" operator="containsText" text="Від-ні навчання">
      <formula>NOT(ISERROR(SEARCH(("Від-ні навчання"),(U593))))</formula>
    </cfRule>
  </conditionalFormatting>
  <conditionalFormatting sqref="U593">
    <cfRule type="containsText" dxfId="8" priority="4096" operator="containsText" text="Відком. за межі ПБ">
      <formula>NOT(ISERROR(SEARCH(("Відком. за межі ПБ"),(U593))))</formula>
    </cfRule>
  </conditionalFormatting>
  <conditionalFormatting sqref="U593">
    <cfRule type="containsText" dxfId="9" priority="4097" operator="containsText" text="Загиблі">
      <formula>NOT(ISERROR(SEARCH(("Загиблі"),(U593))))</formula>
    </cfRule>
  </conditionalFormatting>
  <conditionalFormatting sqref="U593">
    <cfRule type="containsText" dxfId="10" priority="4098" operator="containsText" text="Лікування">
      <formula>NOT(ISERROR(SEARCH(("Лікування"),(U593))))</formula>
    </cfRule>
  </conditionalFormatting>
  <conditionalFormatting sqref="U582">
    <cfRule type="containsText" dxfId="3" priority="4099" operator="containsText" text="В строю">
      <formula>NOT(ISERROR(SEARCH(("В строю"),(U582))))</formula>
    </cfRule>
  </conditionalFormatting>
  <conditionalFormatting sqref="U582">
    <cfRule type="containsText" dxfId="4" priority="4100" operator="containsText" text="Відпустка">
      <formula>NOT(ISERROR(SEARCH(("Відпустка"),(U582))))</formula>
    </cfRule>
  </conditionalFormatting>
  <conditionalFormatting sqref="U582">
    <cfRule type="containsText" dxfId="5" priority="4101" operator="containsText" text="СЗЧ">
      <formula>NOT(ISERROR(SEARCH(("СЗЧ"),(U582))))</formula>
    </cfRule>
  </conditionalFormatting>
  <conditionalFormatting sqref="U582">
    <cfRule type="containsText" dxfId="6" priority="4102" operator="containsText" text="Зниклі безвісти">
      <formula>NOT(ISERROR(SEARCH(("Зниклі безвісти"),(U582))))</formula>
    </cfRule>
  </conditionalFormatting>
  <conditionalFormatting sqref="U582">
    <cfRule type="containsText" dxfId="7" priority="4103" operator="containsText" text="Від-ні навчання">
      <formula>NOT(ISERROR(SEARCH(("Від-ні навчання"),(U582))))</formula>
    </cfRule>
  </conditionalFormatting>
  <conditionalFormatting sqref="U582">
    <cfRule type="containsText" dxfId="8" priority="4104" operator="containsText" text="Відком. за межі ПБ">
      <formula>NOT(ISERROR(SEARCH(("Відком. за межі ПБ"),(U582))))</formula>
    </cfRule>
  </conditionalFormatting>
  <conditionalFormatting sqref="U582">
    <cfRule type="containsText" dxfId="9" priority="4105" operator="containsText" text="Загиблі">
      <formula>NOT(ISERROR(SEARCH(("Загиблі"),(U582))))</formula>
    </cfRule>
  </conditionalFormatting>
  <conditionalFormatting sqref="U582">
    <cfRule type="containsText" dxfId="10" priority="4106" operator="containsText" text="Лікування">
      <formula>NOT(ISERROR(SEARCH(("Лікування"),(U582))))</formula>
    </cfRule>
  </conditionalFormatting>
  <conditionalFormatting sqref="U591:U592">
    <cfRule type="containsText" dxfId="3" priority="4107" operator="containsText" text="В строю">
      <formula>NOT(ISERROR(SEARCH(("В строю"),(U591))))</formula>
    </cfRule>
  </conditionalFormatting>
  <conditionalFormatting sqref="U591:U592">
    <cfRule type="containsText" dxfId="4" priority="4108" operator="containsText" text="Відпустка">
      <formula>NOT(ISERROR(SEARCH(("Відпустка"),(U591))))</formula>
    </cfRule>
  </conditionalFormatting>
  <conditionalFormatting sqref="U591:U592">
    <cfRule type="containsText" dxfId="5" priority="4109" operator="containsText" text="СЗЧ">
      <formula>NOT(ISERROR(SEARCH(("СЗЧ"),(U591))))</formula>
    </cfRule>
  </conditionalFormatting>
  <conditionalFormatting sqref="U591:U592">
    <cfRule type="containsText" dxfId="6" priority="4110" operator="containsText" text="Зниклі безвісти">
      <formula>NOT(ISERROR(SEARCH(("Зниклі безвісти"),(U591))))</formula>
    </cfRule>
  </conditionalFormatting>
  <conditionalFormatting sqref="U591:U592">
    <cfRule type="containsText" dxfId="7" priority="4111" operator="containsText" text="Від-ні навчання">
      <formula>NOT(ISERROR(SEARCH(("Від-ні навчання"),(U591))))</formula>
    </cfRule>
  </conditionalFormatting>
  <conditionalFormatting sqref="U591:U592">
    <cfRule type="containsText" dxfId="8" priority="4112" operator="containsText" text="Відком. за межі ПБ">
      <formula>NOT(ISERROR(SEARCH(("Відком. за межі ПБ"),(U591))))</formula>
    </cfRule>
  </conditionalFormatting>
  <conditionalFormatting sqref="U591:U592">
    <cfRule type="containsText" dxfId="9" priority="4113" operator="containsText" text="Загиблі">
      <formula>NOT(ISERROR(SEARCH(("Загиблі"),(U591))))</formula>
    </cfRule>
  </conditionalFormatting>
  <conditionalFormatting sqref="U591:U592">
    <cfRule type="containsText" dxfId="10" priority="4114" operator="containsText" text="Лікування">
      <formula>NOT(ISERROR(SEARCH(("Лікування"),(U591))))</formula>
    </cfRule>
  </conditionalFormatting>
  <conditionalFormatting sqref="N591:N592">
    <cfRule type="expression" dxfId="0" priority="4115">
      <formula>COUNTIF(#REF!, N591) &gt; 1</formula>
    </cfRule>
  </conditionalFormatting>
  <conditionalFormatting sqref="U590">
    <cfRule type="containsText" dxfId="10" priority="4116" operator="containsText" text="Лікування">
      <formula>NOT(ISERROR(SEARCH(("Лікування"),(U590))))</formula>
    </cfRule>
  </conditionalFormatting>
  <conditionalFormatting sqref="U590">
    <cfRule type="containsText" dxfId="9" priority="4117" operator="containsText" text="Загиблі">
      <formula>NOT(ISERROR(SEARCH(("Загиблі"),(U590))))</formula>
    </cfRule>
  </conditionalFormatting>
  <conditionalFormatting sqref="U590">
    <cfRule type="containsText" dxfId="8" priority="4118" operator="containsText" text="Відком. за межі ПБ">
      <formula>NOT(ISERROR(SEARCH(("Відком. за межі ПБ"),(U590))))</formula>
    </cfRule>
  </conditionalFormatting>
  <conditionalFormatting sqref="U590">
    <cfRule type="containsText" dxfId="7" priority="4119" operator="containsText" text="Від-ні навчання">
      <formula>NOT(ISERROR(SEARCH(("Від-ні навчання"),(U590))))</formula>
    </cfRule>
  </conditionalFormatting>
  <conditionalFormatting sqref="U590">
    <cfRule type="containsText" dxfId="6" priority="4120" operator="containsText" text="Зниклі безвісти">
      <formula>NOT(ISERROR(SEARCH(("Зниклі безвісти"),(U590))))</formula>
    </cfRule>
  </conditionalFormatting>
  <conditionalFormatting sqref="U590">
    <cfRule type="containsText" dxfId="5" priority="4121" operator="containsText" text="СЗЧ">
      <formula>NOT(ISERROR(SEARCH(("СЗЧ"),(U590))))</formula>
    </cfRule>
  </conditionalFormatting>
  <conditionalFormatting sqref="U590">
    <cfRule type="containsText" dxfId="4" priority="4122" operator="containsText" text="Відпустка">
      <formula>NOT(ISERROR(SEARCH(("Відпустка"),(U590))))</formula>
    </cfRule>
  </conditionalFormatting>
  <conditionalFormatting sqref="U590">
    <cfRule type="containsText" dxfId="3" priority="4123" operator="containsText" text="В строю">
      <formula>NOT(ISERROR(SEARCH(("В строю"),(U590))))</formula>
    </cfRule>
  </conditionalFormatting>
  <conditionalFormatting sqref="U590">
    <cfRule type="containsText" dxfId="3" priority="4124" operator="containsText" text="В строю">
      <formula>NOT(ISERROR(SEARCH(("В строю"),(U590))))</formula>
    </cfRule>
  </conditionalFormatting>
  <conditionalFormatting sqref="U590">
    <cfRule type="containsText" dxfId="4" priority="4125" operator="containsText" text="Відпустка">
      <formula>NOT(ISERROR(SEARCH(("Відпустка"),(U590))))</formula>
    </cfRule>
  </conditionalFormatting>
  <conditionalFormatting sqref="U590">
    <cfRule type="containsText" dxfId="5" priority="4126" operator="containsText" text="СЗЧ">
      <formula>NOT(ISERROR(SEARCH(("СЗЧ"),(U590))))</formula>
    </cfRule>
  </conditionalFormatting>
  <conditionalFormatting sqref="U590">
    <cfRule type="containsText" dxfId="6" priority="4127" operator="containsText" text="Зниклі безвісти">
      <formula>NOT(ISERROR(SEARCH(("Зниклі безвісти"),(U590))))</formula>
    </cfRule>
  </conditionalFormatting>
  <conditionalFormatting sqref="U590">
    <cfRule type="containsText" dxfId="7" priority="4128" operator="containsText" text="Від-ні навчання">
      <formula>NOT(ISERROR(SEARCH(("Від-ні навчання"),(U590))))</formula>
    </cfRule>
  </conditionalFormatting>
  <conditionalFormatting sqref="U590">
    <cfRule type="containsText" dxfId="8" priority="4129" operator="containsText" text="Відком. за межі ПБ">
      <formula>NOT(ISERROR(SEARCH(("Відком. за межі ПБ"),(U590))))</formula>
    </cfRule>
  </conditionalFormatting>
  <conditionalFormatting sqref="U590">
    <cfRule type="containsText" dxfId="9" priority="4130" operator="containsText" text="Загиблі">
      <formula>NOT(ISERROR(SEARCH(("Загиблі"),(U590))))</formula>
    </cfRule>
  </conditionalFormatting>
  <conditionalFormatting sqref="U590">
    <cfRule type="containsText" dxfId="10" priority="4131" operator="containsText" text="Лікування">
      <formula>NOT(ISERROR(SEARCH(("Лікування"),(U590))))</formula>
    </cfRule>
  </conditionalFormatting>
  <conditionalFormatting sqref="N590">
    <cfRule type="expression" dxfId="0" priority="4132">
      <formula>COUNTIF(#REF!, N590) &gt; 1</formula>
    </cfRule>
  </conditionalFormatting>
  <conditionalFormatting sqref="Q590">
    <cfRule type="cellIs" dxfId="3" priority="4133" operator="equal">
      <formula>P590</formula>
    </cfRule>
  </conditionalFormatting>
  <conditionalFormatting sqref="Q590">
    <cfRule type="cellIs" dxfId="9" priority="4134" operator="notEqual">
      <formula>P590</formula>
    </cfRule>
  </conditionalFormatting>
  <conditionalFormatting sqref="U589">
    <cfRule type="containsText" dxfId="10" priority="4135" operator="containsText" text="Лікування">
      <formula>NOT(ISERROR(SEARCH(("Лікування"),(U589))))</formula>
    </cfRule>
  </conditionalFormatting>
  <conditionalFormatting sqref="U589">
    <cfRule type="containsText" dxfId="9" priority="4136" operator="containsText" text="Загиблі">
      <formula>NOT(ISERROR(SEARCH(("Загиблі"),(U589))))</formula>
    </cfRule>
  </conditionalFormatting>
  <conditionalFormatting sqref="U589">
    <cfRule type="containsText" dxfId="8" priority="4137" operator="containsText" text="Відком. за межі ПБ">
      <formula>NOT(ISERROR(SEARCH(("Відком. за межі ПБ"),(U589))))</formula>
    </cfRule>
  </conditionalFormatting>
  <conditionalFormatting sqref="U589">
    <cfRule type="containsText" dxfId="7" priority="4138" operator="containsText" text="Від-ні навчання">
      <formula>NOT(ISERROR(SEARCH(("Від-ні навчання"),(U589))))</formula>
    </cfRule>
  </conditionalFormatting>
  <conditionalFormatting sqref="U589">
    <cfRule type="containsText" dxfId="6" priority="4139" operator="containsText" text="Зниклі безвісти">
      <formula>NOT(ISERROR(SEARCH(("Зниклі безвісти"),(U589))))</formula>
    </cfRule>
  </conditionalFormatting>
  <conditionalFormatting sqref="U589">
    <cfRule type="containsText" dxfId="5" priority="4140" operator="containsText" text="СЗЧ">
      <formula>NOT(ISERROR(SEARCH(("СЗЧ"),(U589))))</formula>
    </cfRule>
  </conditionalFormatting>
  <conditionalFormatting sqref="U589">
    <cfRule type="containsText" dxfId="4" priority="4141" operator="containsText" text="Відпустка">
      <formula>NOT(ISERROR(SEARCH(("Відпустка"),(U589))))</formula>
    </cfRule>
  </conditionalFormatting>
  <conditionalFormatting sqref="U589">
    <cfRule type="containsText" dxfId="3" priority="4142" operator="containsText" text="В строю">
      <formula>NOT(ISERROR(SEARCH(("В строю"),(U589))))</formula>
    </cfRule>
  </conditionalFormatting>
  <conditionalFormatting sqref="N589">
    <cfRule type="expression" dxfId="0" priority="4143">
      <formula>COUNTIF(#REF!, N589) &gt; 1</formula>
    </cfRule>
  </conditionalFormatting>
  <conditionalFormatting sqref="N589">
    <cfRule type="expression" dxfId="0" priority="4144">
      <formula>COUNTIF(#REF!, N589) &gt; 1</formula>
    </cfRule>
  </conditionalFormatting>
  <conditionalFormatting sqref="U589">
    <cfRule type="containsText" dxfId="10" priority="4145" operator="containsText" text="Лікування">
      <formula>NOT(ISERROR(SEARCH(("Лікування"),(U589))))</formula>
    </cfRule>
  </conditionalFormatting>
  <conditionalFormatting sqref="U589">
    <cfRule type="containsText" dxfId="9" priority="4146" operator="containsText" text="Загиблі">
      <formula>NOT(ISERROR(SEARCH(("Загиблі"),(U589))))</formula>
    </cfRule>
  </conditionalFormatting>
  <conditionalFormatting sqref="U589">
    <cfRule type="containsText" dxfId="8" priority="4147" operator="containsText" text="Відком. за межі ПБ">
      <formula>NOT(ISERROR(SEARCH(("Відком. за межі ПБ"),(U589))))</formula>
    </cfRule>
  </conditionalFormatting>
  <conditionalFormatting sqref="U589">
    <cfRule type="containsText" dxfId="7" priority="4148" operator="containsText" text="Від-ні навчання">
      <formula>NOT(ISERROR(SEARCH(("Від-ні навчання"),(U589))))</formula>
    </cfRule>
  </conditionalFormatting>
  <conditionalFormatting sqref="U589">
    <cfRule type="containsText" dxfId="6" priority="4149" operator="containsText" text="Зниклі безвісти">
      <formula>NOT(ISERROR(SEARCH(("Зниклі безвісти"),(U589))))</formula>
    </cfRule>
  </conditionalFormatting>
  <conditionalFormatting sqref="U589">
    <cfRule type="containsText" dxfId="5" priority="4150" operator="containsText" text="СЗЧ">
      <formula>NOT(ISERROR(SEARCH(("СЗЧ"),(U589))))</formula>
    </cfRule>
  </conditionalFormatting>
  <conditionalFormatting sqref="U589">
    <cfRule type="containsText" dxfId="4" priority="4151" operator="containsText" text="Відпустка">
      <formula>NOT(ISERROR(SEARCH(("Відпустка"),(U589))))</formula>
    </cfRule>
  </conditionalFormatting>
  <conditionalFormatting sqref="U589">
    <cfRule type="containsText" dxfId="3" priority="4152" operator="containsText" text="В строю">
      <formula>NOT(ISERROR(SEARCH(("В строю"),(U589))))</formula>
    </cfRule>
  </conditionalFormatting>
  <conditionalFormatting sqref="Q589">
    <cfRule type="cellIs" dxfId="3" priority="4153" operator="equal">
      <formula>P589</formula>
    </cfRule>
  </conditionalFormatting>
  <conditionalFormatting sqref="Q589">
    <cfRule type="cellIs" dxfId="9" priority="4154" operator="notEqual">
      <formula>P589</formula>
    </cfRule>
  </conditionalFormatting>
  <conditionalFormatting sqref="U587:U588">
    <cfRule type="containsText" dxfId="3" priority="4155" operator="containsText" text="В строю">
      <formula>NOT(ISERROR(SEARCH(("В строю"),(U587))))</formula>
    </cfRule>
  </conditionalFormatting>
  <conditionalFormatting sqref="U587:U588">
    <cfRule type="containsText" dxfId="4" priority="4156" operator="containsText" text="Відпустка">
      <formula>NOT(ISERROR(SEARCH(("Відпустка"),(U587))))</formula>
    </cfRule>
  </conditionalFormatting>
  <conditionalFormatting sqref="U587:U588">
    <cfRule type="containsText" dxfId="5" priority="4157" operator="containsText" text="СЗЧ">
      <formula>NOT(ISERROR(SEARCH(("СЗЧ"),(U587))))</formula>
    </cfRule>
  </conditionalFormatting>
  <conditionalFormatting sqref="U587:U588">
    <cfRule type="containsText" dxfId="6" priority="4158" operator="containsText" text="Зниклі безвісти">
      <formula>NOT(ISERROR(SEARCH(("Зниклі безвісти"),(U587))))</formula>
    </cfRule>
  </conditionalFormatting>
  <conditionalFormatting sqref="U587:U588">
    <cfRule type="containsText" dxfId="7" priority="4159" operator="containsText" text="Від-ні навчання">
      <formula>NOT(ISERROR(SEARCH(("Від-ні навчання"),(U587))))</formula>
    </cfRule>
  </conditionalFormatting>
  <conditionalFormatting sqref="U587:U588">
    <cfRule type="containsText" dxfId="8" priority="4160" operator="containsText" text="Відком. за межі ПБ">
      <formula>NOT(ISERROR(SEARCH(("Відком. за межі ПБ"),(U587))))</formula>
    </cfRule>
  </conditionalFormatting>
  <conditionalFormatting sqref="U587:U588">
    <cfRule type="containsText" dxfId="9" priority="4161" operator="containsText" text="Загиблі">
      <formula>NOT(ISERROR(SEARCH(("Загиблі"),(U587))))</formula>
    </cfRule>
  </conditionalFormatting>
  <conditionalFormatting sqref="U587:U588">
    <cfRule type="containsText" dxfId="10" priority="4162" operator="containsText" text="Лікування">
      <formula>NOT(ISERROR(SEARCH(("Лікування"),(U587))))</formula>
    </cfRule>
  </conditionalFormatting>
  <conditionalFormatting sqref="N587:N588">
    <cfRule type="expression" dxfId="0" priority="4163">
      <formula>COUNTIF(#REF!, N587) &gt; 1</formula>
    </cfRule>
  </conditionalFormatting>
  <conditionalFormatting sqref="U585:U586">
    <cfRule type="containsText" dxfId="3" priority="4164" operator="containsText" text="В строю">
      <formula>NOT(ISERROR(SEARCH(("В строю"),(U585))))</formula>
    </cfRule>
  </conditionalFormatting>
  <conditionalFormatting sqref="U585:U586">
    <cfRule type="containsText" dxfId="4" priority="4165" operator="containsText" text="Відпустка">
      <formula>NOT(ISERROR(SEARCH(("Відпустка"),(U585))))</formula>
    </cfRule>
  </conditionalFormatting>
  <conditionalFormatting sqref="U585:U586">
    <cfRule type="containsText" dxfId="5" priority="4166" operator="containsText" text="СЗЧ">
      <formula>NOT(ISERROR(SEARCH(("СЗЧ"),(U585))))</formula>
    </cfRule>
  </conditionalFormatting>
  <conditionalFormatting sqref="U585:U586">
    <cfRule type="containsText" dxfId="6" priority="4167" operator="containsText" text="Зниклі безвісти">
      <formula>NOT(ISERROR(SEARCH(("Зниклі безвісти"),(U585))))</formula>
    </cfRule>
  </conditionalFormatting>
  <conditionalFormatting sqref="U585:U586">
    <cfRule type="containsText" dxfId="7" priority="4168" operator="containsText" text="Від-ні навчання">
      <formula>NOT(ISERROR(SEARCH(("Від-ні навчання"),(U585))))</formula>
    </cfRule>
  </conditionalFormatting>
  <conditionalFormatting sqref="U585:U586">
    <cfRule type="containsText" dxfId="8" priority="4169" operator="containsText" text="Відком. за межі ПБ">
      <formula>NOT(ISERROR(SEARCH(("Відком. за межі ПБ"),(U585))))</formula>
    </cfRule>
  </conditionalFormatting>
  <conditionalFormatting sqref="U585:U586">
    <cfRule type="containsText" dxfId="9" priority="4170" operator="containsText" text="Загиблі">
      <formula>NOT(ISERROR(SEARCH(("Загиблі"),(U585))))</formula>
    </cfRule>
  </conditionalFormatting>
  <conditionalFormatting sqref="U585:U586">
    <cfRule type="containsText" dxfId="10" priority="4171" operator="containsText" text="Лікування">
      <formula>NOT(ISERROR(SEARCH(("Лікування"),(U585))))</formula>
    </cfRule>
  </conditionalFormatting>
  <conditionalFormatting sqref="Q585:Q586">
    <cfRule type="cellIs" dxfId="9" priority="4172" operator="notEqual">
      <formula>P585</formula>
    </cfRule>
  </conditionalFormatting>
  <conditionalFormatting sqref="Q585:Q586">
    <cfRule type="cellIs" dxfId="3" priority="4173" operator="equal">
      <formula>P585</formula>
    </cfRule>
  </conditionalFormatting>
  <conditionalFormatting sqref="N585:N586">
    <cfRule type="expression" dxfId="0" priority="4174">
      <formula>COUNTIF(#REF!, N585) &gt; 1</formula>
    </cfRule>
  </conditionalFormatting>
  <conditionalFormatting sqref="N584">
    <cfRule type="expression" dxfId="0" priority="4175">
      <formula>COUNTIF(#REF!, N584) &gt; 1</formula>
    </cfRule>
  </conditionalFormatting>
  <conditionalFormatting sqref="U584">
    <cfRule type="containsText" dxfId="10" priority="4176" operator="containsText" text="Лікування">
      <formula>NOT(ISERROR(SEARCH(("Лікування"),(U584))))</formula>
    </cfRule>
  </conditionalFormatting>
  <conditionalFormatting sqref="U584">
    <cfRule type="containsText" dxfId="9" priority="4177" operator="containsText" text="Загиблі">
      <formula>NOT(ISERROR(SEARCH(("Загиблі"),(U584))))</formula>
    </cfRule>
  </conditionalFormatting>
  <conditionalFormatting sqref="U584">
    <cfRule type="containsText" dxfId="8" priority="4178" operator="containsText" text="Відком. за межі ПБ">
      <formula>NOT(ISERROR(SEARCH(("Відком. за межі ПБ"),(U584))))</formula>
    </cfRule>
  </conditionalFormatting>
  <conditionalFormatting sqref="U584">
    <cfRule type="containsText" dxfId="7" priority="4179" operator="containsText" text="Від-ні навчання">
      <formula>NOT(ISERROR(SEARCH(("Від-ні навчання"),(U584))))</formula>
    </cfRule>
  </conditionalFormatting>
  <conditionalFormatting sqref="U584">
    <cfRule type="containsText" dxfId="6" priority="4180" operator="containsText" text="Зниклі безвісти">
      <formula>NOT(ISERROR(SEARCH(("Зниклі безвісти"),(U584))))</formula>
    </cfRule>
  </conditionalFormatting>
  <conditionalFormatting sqref="U584">
    <cfRule type="containsText" dxfId="5" priority="4181" operator="containsText" text="СЗЧ">
      <formula>NOT(ISERROR(SEARCH(("СЗЧ"),(U584))))</formula>
    </cfRule>
  </conditionalFormatting>
  <conditionalFormatting sqref="U584">
    <cfRule type="containsText" dxfId="4" priority="4182" operator="containsText" text="Відпустка">
      <formula>NOT(ISERROR(SEARCH(("Відпустка"),(U584))))</formula>
    </cfRule>
  </conditionalFormatting>
  <conditionalFormatting sqref="U584">
    <cfRule type="containsText" dxfId="3" priority="4183" operator="containsText" text="В строю">
      <formula>NOT(ISERROR(SEARCH(("В строю"),(U584))))</formula>
    </cfRule>
  </conditionalFormatting>
  <conditionalFormatting sqref="U583">
    <cfRule type="containsText" dxfId="10" priority="4184" operator="containsText" text="Лікування">
      <formula>NOT(ISERROR(SEARCH(("Лікування"),(U583))))</formula>
    </cfRule>
  </conditionalFormatting>
  <conditionalFormatting sqref="U583">
    <cfRule type="containsText" dxfId="9" priority="4185" operator="containsText" text="Загиблі">
      <formula>NOT(ISERROR(SEARCH(("Загиблі"),(U583))))</formula>
    </cfRule>
  </conditionalFormatting>
  <conditionalFormatting sqref="U583">
    <cfRule type="containsText" dxfId="8" priority="4186" operator="containsText" text="Відком. за межі ПБ">
      <formula>NOT(ISERROR(SEARCH(("Відком. за межі ПБ"),(U583))))</formula>
    </cfRule>
  </conditionalFormatting>
  <conditionalFormatting sqref="U583">
    <cfRule type="containsText" dxfId="7" priority="4187" operator="containsText" text="Від-ні навчання">
      <formula>NOT(ISERROR(SEARCH(("Від-ні навчання"),(U583))))</formula>
    </cfRule>
  </conditionalFormatting>
  <conditionalFormatting sqref="U583">
    <cfRule type="containsText" dxfId="6" priority="4188" operator="containsText" text="Зниклі безвісти">
      <formula>NOT(ISERROR(SEARCH(("Зниклі безвісти"),(U583))))</formula>
    </cfRule>
  </conditionalFormatting>
  <conditionalFormatting sqref="U583">
    <cfRule type="containsText" dxfId="5" priority="4189" operator="containsText" text="СЗЧ">
      <formula>NOT(ISERROR(SEARCH(("СЗЧ"),(U583))))</formula>
    </cfRule>
  </conditionalFormatting>
  <conditionalFormatting sqref="U583">
    <cfRule type="containsText" dxfId="4" priority="4190" operator="containsText" text="Відпустка">
      <formula>NOT(ISERROR(SEARCH(("Відпустка"),(U583))))</formula>
    </cfRule>
  </conditionalFormatting>
  <conditionalFormatting sqref="U583">
    <cfRule type="containsText" dxfId="3" priority="4191" operator="containsText" text="В строю">
      <formula>NOT(ISERROR(SEARCH(("В строю"),(U583))))</formula>
    </cfRule>
  </conditionalFormatting>
  <conditionalFormatting sqref="N583">
    <cfRule type="expression" dxfId="0" priority="4192">
      <formula>COUNTIF(#REF!, N583) &gt; 1</formula>
    </cfRule>
  </conditionalFormatting>
  <conditionalFormatting sqref="Q524:Q544">
    <cfRule type="cellIs" dxfId="9" priority="4193" operator="notEqual">
      <formula>P524</formula>
    </cfRule>
  </conditionalFormatting>
  <conditionalFormatting sqref="Q524:Q544">
    <cfRule type="cellIs" dxfId="3" priority="4194" operator="equal">
      <formula>P524</formula>
    </cfRule>
  </conditionalFormatting>
  <conditionalFormatting sqref="U524:U544">
    <cfRule type="containsText" dxfId="10" priority="4195" operator="containsText" text="Лікування">
      <formula>NOT(ISERROR(SEARCH(("Лікування"),(U524))))</formula>
    </cfRule>
  </conditionalFormatting>
  <conditionalFormatting sqref="U524:U544">
    <cfRule type="containsText" dxfId="9" priority="4196" operator="containsText" text="Загиблі">
      <formula>NOT(ISERROR(SEARCH(("Загиблі"),(U524))))</formula>
    </cfRule>
  </conditionalFormatting>
  <conditionalFormatting sqref="U524:U544">
    <cfRule type="containsText" dxfId="8" priority="4197" operator="containsText" text="Відком. за межі ПБ">
      <formula>NOT(ISERROR(SEARCH(("Відком. за межі ПБ"),(U524))))</formula>
    </cfRule>
  </conditionalFormatting>
  <conditionalFormatting sqref="U524:U544">
    <cfRule type="containsText" dxfId="7" priority="4198" operator="containsText" text="Від-ні навчання">
      <formula>NOT(ISERROR(SEARCH(("Від-ні навчання"),(U524))))</formula>
    </cfRule>
  </conditionalFormatting>
  <conditionalFormatting sqref="U524:U544">
    <cfRule type="containsText" dxfId="6" priority="4199" operator="containsText" text="Зниклі безвісти">
      <formula>NOT(ISERROR(SEARCH(("Зниклі безвісти"),(U524))))</formula>
    </cfRule>
  </conditionalFormatting>
  <conditionalFormatting sqref="U524:U544">
    <cfRule type="containsText" dxfId="5" priority="4200" operator="containsText" text="СЗЧ">
      <formula>NOT(ISERROR(SEARCH(("СЗЧ"),(U524))))</formula>
    </cfRule>
  </conditionalFormatting>
  <conditionalFormatting sqref="U524:U544">
    <cfRule type="containsText" dxfId="4" priority="4201" operator="containsText" text="Відпустка">
      <formula>NOT(ISERROR(SEARCH(("Відпустка"),(U524))))</formula>
    </cfRule>
  </conditionalFormatting>
  <conditionalFormatting sqref="U524:U544">
    <cfRule type="containsText" dxfId="3" priority="4202" operator="containsText" text="В строю">
      <formula>NOT(ISERROR(SEARCH(("В строю"),(U524))))</formula>
    </cfRule>
  </conditionalFormatting>
  <conditionalFormatting sqref="U524:U544">
    <cfRule type="containsText" dxfId="3" priority="4203" operator="containsText" text="В строю">
      <formula>NOT(ISERROR(SEARCH(("В строю"),(U524))))</formula>
    </cfRule>
  </conditionalFormatting>
  <conditionalFormatting sqref="U524:U544">
    <cfRule type="containsText" dxfId="4" priority="4204" operator="containsText" text="Відпустка">
      <formula>NOT(ISERROR(SEARCH(("Відпустка"),(U524))))</formula>
    </cfRule>
  </conditionalFormatting>
  <conditionalFormatting sqref="U524:U544">
    <cfRule type="containsText" dxfId="5" priority="4205" operator="containsText" text="СЗЧ">
      <formula>NOT(ISERROR(SEARCH(("СЗЧ"),(U524))))</formula>
    </cfRule>
  </conditionalFormatting>
  <conditionalFormatting sqref="U524:U544">
    <cfRule type="containsText" dxfId="6" priority="4206" operator="containsText" text="Зниклі безвісти">
      <formula>NOT(ISERROR(SEARCH(("Зниклі безвісти"),(U524))))</formula>
    </cfRule>
  </conditionalFormatting>
  <conditionalFormatting sqref="U524:U544">
    <cfRule type="containsText" dxfId="7" priority="4207" operator="containsText" text="Від-ні навчання">
      <formula>NOT(ISERROR(SEARCH(("Від-ні навчання"),(U524))))</formula>
    </cfRule>
  </conditionalFormatting>
  <conditionalFormatting sqref="U524:U544">
    <cfRule type="containsText" dxfId="8" priority="4208" operator="containsText" text="Відком. за межі ПБ">
      <formula>NOT(ISERROR(SEARCH(("Відком. за межі ПБ"),(U524))))</formula>
    </cfRule>
  </conditionalFormatting>
  <conditionalFormatting sqref="U524:U544">
    <cfRule type="containsText" dxfId="9" priority="4209" operator="containsText" text="Загиблі">
      <formula>NOT(ISERROR(SEARCH(("Загиблі"),(U524))))</formula>
    </cfRule>
  </conditionalFormatting>
  <conditionalFormatting sqref="U524:U544">
    <cfRule type="containsText" dxfId="10" priority="4210" operator="containsText" text="Лікування">
      <formula>NOT(ISERROR(SEARCH(("Лікування"),(U524))))</formula>
    </cfRule>
  </conditionalFormatting>
  <conditionalFormatting sqref="N524:N544">
    <cfRule type="expression" dxfId="0" priority="4211">
      <formula>COUNTIF(#REF!, N524) &gt; 1</formula>
    </cfRule>
  </conditionalFormatting>
  <conditionalFormatting sqref="N524:N544">
    <cfRule type="expression" dxfId="0" priority="4212">
      <formula>COUNTIF(#REF!, N524) &gt; 1</formula>
    </cfRule>
  </conditionalFormatting>
  <conditionalFormatting sqref="Q523">
    <cfRule type="cellIs" dxfId="9" priority="4213" operator="notEqual">
      <formula>P523</formula>
    </cfRule>
  </conditionalFormatting>
  <conditionalFormatting sqref="Q523">
    <cfRule type="cellIs" dxfId="3" priority="4214" operator="equal">
      <formula>P523</formula>
    </cfRule>
  </conditionalFormatting>
  <conditionalFormatting sqref="N523">
    <cfRule type="expression" dxfId="0" priority="4215">
      <formula>COUNTIF(#REF!, N523) &gt; 1</formula>
    </cfRule>
  </conditionalFormatting>
  <conditionalFormatting sqref="U523">
    <cfRule type="containsText" dxfId="10" priority="4216" operator="containsText" text="Лікування">
      <formula>NOT(ISERROR(SEARCH(("Лікування"),(U523))))</formula>
    </cfRule>
  </conditionalFormatting>
  <conditionalFormatting sqref="U523">
    <cfRule type="containsText" dxfId="9" priority="4217" operator="containsText" text="Загиблі">
      <formula>NOT(ISERROR(SEARCH(("Загиблі"),(U523))))</formula>
    </cfRule>
  </conditionalFormatting>
  <conditionalFormatting sqref="U523">
    <cfRule type="containsText" dxfId="8" priority="4218" operator="containsText" text="Відком. за межі ПБ">
      <formula>NOT(ISERROR(SEARCH(("Відком. за межі ПБ"),(U523))))</formula>
    </cfRule>
  </conditionalFormatting>
  <conditionalFormatting sqref="U523">
    <cfRule type="containsText" dxfId="7" priority="4219" operator="containsText" text="Від-ні навчання">
      <formula>NOT(ISERROR(SEARCH(("Від-ні навчання"),(U523))))</formula>
    </cfRule>
  </conditionalFormatting>
  <conditionalFormatting sqref="U523">
    <cfRule type="containsText" dxfId="6" priority="4220" operator="containsText" text="Зниклі безвісти">
      <formula>NOT(ISERROR(SEARCH(("Зниклі безвісти"),(U523))))</formula>
    </cfRule>
  </conditionalFormatting>
  <conditionalFormatting sqref="U523">
    <cfRule type="containsText" dxfId="5" priority="4221" operator="containsText" text="СЗЧ">
      <formula>NOT(ISERROR(SEARCH(("СЗЧ"),(U523))))</formula>
    </cfRule>
  </conditionalFormatting>
  <conditionalFormatting sqref="U523">
    <cfRule type="containsText" dxfId="4" priority="4222" operator="containsText" text="Відпустка">
      <formula>NOT(ISERROR(SEARCH(("Відпустка"),(U523))))</formula>
    </cfRule>
  </conditionalFormatting>
  <conditionalFormatting sqref="U523">
    <cfRule type="containsText" dxfId="3" priority="4223" operator="containsText" text="В строю">
      <formula>NOT(ISERROR(SEARCH(("В строю"),(U523))))</formula>
    </cfRule>
  </conditionalFormatting>
  <conditionalFormatting sqref="U523">
    <cfRule type="containsText" dxfId="3" priority="4224" operator="containsText" text="В строю">
      <formula>NOT(ISERROR(SEARCH(("В строю"),(U523))))</formula>
    </cfRule>
  </conditionalFormatting>
  <conditionalFormatting sqref="U523">
    <cfRule type="containsText" dxfId="4" priority="4225" operator="containsText" text="Відпустка">
      <formula>NOT(ISERROR(SEARCH(("Відпустка"),(U523))))</formula>
    </cfRule>
  </conditionalFormatting>
  <conditionalFormatting sqref="U523">
    <cfRule type="containsText" dxfId="5" priority="4226" operator="containsText" text="СЗЧ">
      <formula>NOT(ISERROR(SEARCH(("СЗЧ"),(U523))))</formula>
    </cfRule>
  </conditionalFormatting>
  <conditionalFormatting sqref="U523">
    <cfRule type="containsText" dxfId="6" priority="4227" operator="containsText" text="Зниклі безвісти">
      <formula>NOT(ISERROR(SEARCH(("Зниклі безвісти"),(U523))))</formula>
    </cfRule>
  </conditionalFormatting>
  <conditionalFormatting sqref="U523">
    <cfRule type="containsText" dxfId="7" priority="4228" operator="containsText" text="Від-ні навчання">
      <formula>NOT(ISERROR(SEARCH(("Від-ні навчання"),(U523))))</formula>
    </cfRule>
  </conditionalFormatting>
  <conditionalFormatting sqref="U523">
    <cfRule type="containsText" dxfId="8" priority="4229" operator="containsText" text="Відком. за межі ПБ">
      <formula>NOT(ISERROR(SEARCH(("Відком. за межі ПБ"),(U523))))</formula>
    </cfRule>
  </conditionalFormatting>
  <conditionalFormatting sqref="U523">
    <cfRule type="containsText" dxfId="9" priority="4230" operator="containsText" text="Загиблі">
      <formula>NOT(ISERROR(SEARCH(("Загиблі"),(U523))))</formula>
    </cfRule>
  </conditionalFormatting>
  <conditionalFormatting sqref="U523">
    <cfRule type="containsText" dxfId="10" priority="4231" operator="containsText" text="Лікування">
      <formula>NOT(ISERROR(SEARCH(("Лікування"),(U523))))</formula>
    </cfRule>
  </conditionalFormatting>
  <conditionalFormatting sqref="Q522">
    <cfRule type="cellIs" dxfId="9" priority="4232" operator="notEqual">
      <formula>P522</formula>
    </cfRule>
  </conditionalFormatting>
  <conditionalFormatting sqref="Q522">
    <cfRule type="cellIs" dxfId="3" priority="4233" operator="equal">
      <formula>P522</formula>
    </cfRule>
  </conditionalFormatting>
  <conditionalFormatting sqref="N522">
    <cfRule type="expression" dxfId="0" priority="4234">
      <formula>COUNTIF(#REF!, N522) &gt; 1</formula>
    </cfRule>
  </conditionalFormatting>
  <conditionalFormatting sqref="U522">
    <cfRule type="containsText" dxfId="3" priority="4235" operator="containsText" text="В строю">
      <formula>NOT(ISERROR(SEARCH(("В строю"),(U522))))</formula>
    </cfRule>
  </conditionalFormatting>
  <conditionalFormatting sqref="U522">
    <cfRule type="containsText" dxfId="4" priority="4236" operator="containsText" text="Відпустка">
      <formula>NOT(ISERROR(SEARCH(("Відпустка"),(U522))))</formula>
    </cfRule>
  </conditionalFormatting>
  <conditionalFormatting sqref="U522">
    <cfRule type="containsText" dxfId="5" priority="4237" operator="containsText" text="СЗЧ">
      <formula>NOT(ISERROR(SEARCH(("СЗЧ"),(U522))))</formula>
    </cfRule>
  </conditionalFormatting>
  <conditionalFormatting sqref="U522">
    <cfRule type="containsText" dxfId="6" priority="4238" operator="containsText" text="Зниклі безвісти">
      <formula>NOT(ISERROR(SEARCH(("Зниклі безвісти"),(U522))))</formula>
    </cfRule>
  </conditionalFormatting>
  <conditionalFormatting sqref="U522">
    <cfRule type="containsText" dxfId="7" priority="4239" operator="containsText" text="Від-ні навчання">
      <formula>NOT(ISERROR(SEARCH(("Від-ні навчання"),(U522))))</formula>
    </cfRule>
  </conditionalFormatting>
  <conditionalFormatting sqref="U522">
    <cfRule type="containsText" dxfId="8" priority="4240" operator="containsText" text="Відком. за межі ПБ">
      <formula>NOT(ISERROR(SEARCH(("Відком. за межі ПБ"),(U522))))</formula>
    </cfRule>
  </conditionalFormatting>
  <conditionalFormatting sqref="U522">
    <cfRule type="containsText" dxfId="9" priority="4241" operator="containsText" text="Загиблі">
      <formula>NOT(ISERROR(SEARCH(("Загиблі"),(U522))))</formula>
    </cfRule>
  </conditionalFormatting>
  <conditionalFormatting sqref="U522">
    <cfRule type="containsText" dxfId="10" priority="4242" operator="containsText" text="Лікування">
      <formula>NOT(ISERROR(SEARCH(("Лікування"),(U522))))</formula>
    </cfRule>
  </conditionalFormatting>
  <conditionalFormatting sqref="U522">
    <cfRule type="containsText" dxfId="10" priority="4243" operator="containsText" text="Лікування">
      <formula>NOT(ISERROR(SEARCH(("Лікування"),(U522))))</formula>
    </cfRule>
  </conditionalFormatting>
  <conditionalFormatting sqref="U522">
    <cfRule type="containsText" dxfId="9" priority="4244" operator="containsText" text="Загиблі">
      <formula>NOT(ISERROR(SEARCH(("Загиблі"),(U522))))</formula>
    </cfRule>
  </conditionalFormatting>
  <conditionalFormatting sqref="U522">
    <cfRule type="containsText" dxfId="8" priority="4245" operator="containsText" text="Відком. за межі ПБ">
      <formula>NOT(ISERROR(SEARCH(("Відком. за межі ПБ"),(U522))))</formula>
    </cfRule>
  </conditionalFormatting>
  <conditionalFormatting sqref="U522">
    <cfRule type="containsText" dxfId="7" priority="4246" operator="containsText" text="Від-ні навчання">
      <formula>NOT(ISERROR(SEARCH(("Від-ні навчання"),(U522))))</formula>
    </cfRule>
  </conditionalFormatting>
  <conditionalFormatting sqref="U522">
    <cfRule type="containsText" dxfId="6" priority="4247" operator="containsText" text="Зниклі безвісти">
      <formula>NOT(ISERROR(SEARCH(("Зниклі безвісти"),(U522))))</formula>
    </cfRule>
  </conditionalFormatting>
  <conditionalFormatting sqref="U522">
    <cfRule type="containsText" dxfId="5" priority="4248" operator="containsText" text="СЗЧ">
      <formula>NOT(ISERROR(SEARCH(("СЗЧ"),(U522))))</formula>
    </cfRule>
  </conditionalFormatting>
  <conditionalFormatting sqref="U522">
    <cfRule type="containsText" dxfId="4" priority="4249" operator="containsText" text="Відпустка">
      <formula>NOT(ISERROR(SEARCH(("Відпустка"),(U522))))</formula>
    </cfRule>
  </conditionalFormatting>
  <conditionalFormatting sqref="U522">
    <cfRule type="containsText" dxfId="3" priority="4250" operator="containsText" text="В строю">
      <formula>NOT(ISERROR(SEARCH(("В строю"),(U522))))</formula>
    </cfRule>
  </conditionalFormatting>
  <conditionalFormatting sqref="N521">
    <cfRule type="expression" dxfId="0" priority="4251">
      <formula>COUNTIF(#REF!, N521) &gt; 1</formula>
    </cfRule>
  </conditionalFormatting>
  <conditionalFormatting sqref="Q521">
    <cfRule type="cellIs" dxfId="9" priority="4252" operator="notEqual">
      <formula>P521</formula>
    </cfRule>
  </conditionalFormatting>
  <conditionalFormatting sqref="Q521">
    <cfRule type="cellIs" dxfId="3" priority="4253" operator="equal">
      <formula>P521</formula>
    </cfRule>
  </conditionalFormatting>
  <conditionalFormatting sqref="U521">
    <cfRule type="containsText" dxfId="3" priority="4254" operator="containsText" text="В строю">
      <formula>NOT(ISERROR(SEARCH(("В строю"),(U521))))</formula>
    </cfRule>
  </conditionalFormatting>
  <conditionalFormatting sqref="U521">
    <cfRule type="containsText" dxfId="4" priority="4255" operator="containsText" text="Відпустка">
      <formula>NOT(ISERROR(SEARCH(("Відпустка"),(U521))))</formula>
    </cfRule>
  </conditionalFormatting>
  <conditionalFormatting sqref="U521">
    <cfRule type="containsText" dxfId="5" priority="4256" operator="containsText" text="СЗЧ">
      <formula>NOT(ISERROR(SEARCH(("СЗЧ"),(U521))))</formula>
    </cfRule>
  </conditionalFormatting>
  <conditionalFormatting sqref="U521">
    <cfRule type="containsText" dxfId="6" priority="4257" operator="containsText" text="Зниклі безвісти">
      <formula>NOT(ISERROR(SEARCH(("Зниклі безвісти"),(U521))))</formula>
    </cfRule>
  </conditionalFormatting>
  <conditionalFormatting sqref="U521">
    <cfRule type="containsText" dxfId="7" priority="4258" operator="containsText" text="Від-ні навчання">
      <formula>NOT(ISERROR(SEARCH(("Від-ні навчання"),(U521))))</formula>
    </cfRule>
  </conditionalFormatting>
  <conditionalFormatting sqref="U521">
    <cfRule type="containsText" dxfId="8" priority="4259" operator="containsText" text="Відком. за межі ПБ">
      <formula>NOT(ISERROR(SEARCH(("Відком. за межі ПБ"),(U521))))</formula>
    </cfRule>
  </conditionalFormatting>
  <conditionalFormatting sqref="U521">
    <cfRule type="containsText" dxfId="9" priority="4260" operator="containsText" text="Загиблі">
      <formula>NOT(ISERROR(SEARCH(("Загиблі"),(U521))))</formula>
    </cfRule>
  </conditionalFormatting>
  <conditionalFormatting sqref="U521">
    <cfRule type="containsText" dxfId="10" priority="4261" operator="containsText" text="Лікування">
      <formula>NOT(ISERROR(SEARCH(("Лікування"),(U521))))</formula>
    </cfRule>
  </conditionalFormatting>
  <conditionalFormatting sqref="U521">
    <cfRule type="containsText" dxfId="10" priority="4262" operator="containsText" text="Лікування">
      <formula>NOT(ISERROR(SEARCH(("Лікування"),(U521))))</formula>
    </cfRule>
  </conditionalFormatting>
  <conditionalFormatting sqref="U521">
    <cfRule type="containsText" dxfId="9" priority="4263" operator="containsText" text="Загиблі">
      <formula>NOT(ISERROR(SEARCH(("Загиблі"),(U521))))</formula>
    </cfRule>
  </conditionalFormatting>
  <conditionalFormatting sqref="U521">
    <cfRule type="containsText" dxfId="8" priority="4264" operator="containsText" text="Відком. за межі ПБ">
      <formula>NOT(ISERROR(SEARCH(("Відком. за межі ПБ"),(U521))))</formula>
    </cfRule>
  </conditionalFormatting>
  <conditionalFormatting sqref="U521">
    <cfRule type="containsText" dxfId="7" priority="4265" operator="containsText" text="Від-ні навчання">
      <formula>NOT(ISERROR(SEARCH(("Від-ні навчання"),(U521))))</formula>
    </cfRule>
  </conditionalFormatting>
  <conditionalFormatting sqref="U521">
    <cfRule type="containsText" dxfId="6" priority="4266" operator="containsText" text="Зниклі безвісти">
      <formula>NOT(ISERROR(SEARCH(("Зниклі безвісти"),(U521))))</formula>
    </cfRule>
  </conditionalFormatting>
  <conditionalFormatting sqref="U521">
    <cfRule type="containsText" dxfId="5" priority="4267" operator="containsText" text="СЗЧ">
      <formula>NOT(ISERROR(SEARCH(("СЗЧ"),(U521))))</formula>
    </cfRule>
  </conditionalFormatting>
  <conditionalFormatting sqref="U521">
    <cfRule type="containsText" dxfId="4" priority="4268" operator="containsText" text="Відпустка">
      <formula>NOT(ISERROR(SEARCH(("Відпустка"),(U521))))</formula>
    </cfRule>
  </conditionalFormatting>
  <conditionalFormatting sqref="U521">
    <cfRule type="containsText" dxfId="3" priority="4269" operator="containsText" text="В строю">
      <formula>NOT(ISERROR(SEARCH(("В строю"),(U521))))</formula>
    </cfRule>
  </conditionalFormatting>
  <conditionalFormatting sqref="Q449">
    <cfRule type="cellIs" dxfId="9" priority="4270" operator="notEqual">
      <formula>P449</formula>
    </cfRule>
  </conditionalFormatting>
  <conditionalFormatting sqref="Q449">
    <cfRule type="cellIs" dxfId="3" priority="4271" operator="equal">
      <formula>P449</formula>
    </cfRule>
  </conditionalFormatting>
  <conditionalFormatting sqref="U449">
    <cfRule type="containsText" dxfId="10" priority="4272" operator="containsText" text="Лікування">
      <formula>NOT(ISERROR(SEARCH(("Лікування"),(U449))))</formula>
    </cfRule>
  </conditionalFormatting>
  <conditionalFormatting sqref="U449">
    <cfRule type="containsText" dxfId="9" priority="4273" operator="containsText" text="Загиблі">
      <formula>NOT(ISERROR(SEARCH(("Загиблі"),(U449))))</formula>
    </cfRule>
  </conditionalFormatting>
  <conditionalFormatting sqref="U449">
    <cfRule type="containsText" dxfId="8" priority="4274" operator="containsText" text="Відком. за межі ПБ">
      <formula>NOT(ISERROR(SEARCH(("Відком. за межі ПБ"),(U449))))</formula>
    </cfRule>
  </conditionalFormatting>
  <conditionalFormatting sqref="U449">
    <cfRule type="containsText" dxfId="7" priority="4275" operator="containsText" text="Від-ні навчання">
      <formula>NOT(ISERROR(SEARCH(("Від-ні навчання"),(U449))))</formula>
    </cfRule>
  </conditionalFormatting>
  <conditionalFormatting sqref="U449">
    <cfRule type="containsText" dxfId="6" priority="4276" operator="containsText" text="Зниклі безвісти">
      <formula>NOT(ISERROR(SEARCH(("Зниклі безвісти"),(U449))))</formula>
    </cfRule>
  </conditionalFormatting>
  <conditionalFormatting sqref="U449">
    <cfRule type="containsText" dxfId="5" priority="4277" operator="containsText" text="СЗЧ">
      <formula>NOT(ISERROR(SEARCH(("СЗЧ"),(U449))))</formula>
    </cfRule>
  </conditionalFormatting>
  <conditionalFormatting sqref="U449">
    <cfRule type="containsText" dxfId="4" priority="4278" operator="containsText" text="Відпустка">
      <formula>NOT(ISERROR(SEARCH(("Відпустка"),(U449))))</formula>
    </cfRule>
  </conditionalFormatting>
  <conditionalFormatting sqref="U449">
    <cfRule type="containsText" dxfId="3" priority="4279" operator="containsText" text="В строю">
      <formula>NOT(ISERROR(SEARCH(("В строю"),(U449))))</formula>
    </cfRule>
  </conditionalFormatting>
  <conditionalFormatting sqref="N449">
    <cfRule type="expression" dxfId="0" priority="4280">
      <formula>COUNTIF(#REF!, N449) &gt; 1</formula>
    </cfRule>
  </conditionalFormatting>
  <conditionalFormatting sqref="U581">
    <cfRule type="containsText" dxfId="10" priority="4281" operator="containsText" text="Лікування">
      <formula>NOT(ISERROR(SEARCH(("Лікування"),(U581))))</formula>
    </cfRule>
  </conditionalFormatting>
  <conditionalFormatting sqref="U581">
    <cfRule type="containsText" dxfId="9" priority="4282" operator="containsText" text="Загиблі">
      <formula>NOT(ISERROR(SEARCH(("Загиблі"),(U581))))</formula>
    </cfRule>
  </conditionalFormatting>
  <conditionalFormatting sqref="U581">
    <cfRule type="containsText" dxfId="8" priority="4283" operator="containsText" text="Відком. за межі ПБ">
      <formula>NOT(ISERROR(SEARCH(("Відком. за межі ПБ"),(U581))))</formula>
    </cfRule>
  </conditionalFormatting>
  <conditionalFormatting sqref="U581">
    <cfRule type="containsText" dxfId="7" priority="4284" operator="containsText" text="Від-ні навчання">
      <formula>NOT(ISERROR(SEARCH(("Від-ні навчання"),(U581))))</formula>
    </cfRule>
  </conditionalFormatting>
  <conditionalFormatting sqref="U581">
    <cfRule type="containsText" dxfId="6" priority="4285" operator="containsText" text="Зниклі безвісти">
      <formula>NOT(ISERROR(SEARCH(("Зниклі безвісти"),(U581))))</formula>
    </cfRule>
  </conditionalFormatting>
  <conditionalFormatting sqref="U581">
    <cfRule type="containsText" dxfId="5" priority="4286" operator="containsText" text="СЗЧ">
      <formula>NOT(ISERROR(SEARCH(("СЗЧ"),(U581))))</formula>
    </cfRule>
  </conditionalFormatting>
  <conditionalFormatting sqref="U581">
    <cfRule type="containsText" dxfId="4" priority="4287" operator="containsText" text="Відпустка">
      <formula>NOT(ISERROR(SEARCH(("Відпустка"),(U581))))</formula>
    </cfRule>
  </conditionalFormatting>
  <conditionalFormatting sqref="U581">
    <cfRule type="containsText" dxfId="3" priority="4288" operator="containsText" text="В строю">
      <formula>NOT(ISERROR(SEARCH(("В строю"),(U581))))</formula>
    </cfRule>
  </conditionalFormatting>
  <conditionalFormatting sqref="U579:U581">
    <cfRule type="containsText" dxfId="10" priority="4289" operator="containsText" text="Лікування">
      <formula>NOT(ISERROR(SEARCH(("Лікування"),(U579))))</formula>
    </cfRule>
  </conditionalFormatting>
  <conditionalFormatting sqref="U579:U581">
    <cfRule type="containsText" dxfId="9" priority="4290" operator="containsText" text="Загиблі">
      <formula>NOT(ISERROR(SEARCH(("Загиблі"),(U579))))</formula>
    </cfRule>
  </conditionalFormatting>
  <conditionalFormatting sqref="U579:U581">
    <cfRule type="containsText" dxfId="8" priority="4291" operator="containsText" text="Відком. за межі ПБ">
      <formula>NOT(ISERROR(SEARCH(("Відком. за межі ПБ"),(U579))))</formula>
    </cfRule>
  </conditionalFormatting>
  <conditionalFormatting sqref="U579:U581">
    <cfRule type="containsText" dxfId="7" priority="4292" operator="containsText" text="Від-ні навчання">
      <formula>NOT(ISERROR(SEARCH(("Від-ні навчання"),(U579))))</formula>
    </cfRule>
  </conditionalFormatting>
  <conditionalFormatting sqref="U579:U581">
    <cfRule type="containsText" dxfId="6" priority="4293" operator="containsText" text="Зниклі безвісти">
      <formula>NOT(ISERROR(SEARCH(("Зниклі безвісти"),(U579))))</formula>
    </cfRule>
  </conditionalFormatting>
  <conditionalFormatting sqref="U579:U581">
    <cfRule type="containsText" dxfId="5" priority="4294" operator="containsText" text="СЗЧ">
      <formula>NOT(ISERROR(SEARCH(("СЗЧ"),(U579))))</formula>
    </cfRule>
  </conditionalFormatting>
  <conditionalFormatting sqref="U579:U581">
    <cfRule type="containsText" dxfId="4" priority="4295" operator="containsText" text="Відпустка">
      <formula>NOT(ISERROR(SEARCH(("Відпустка"),(U579))))</formula>
    </cfRule>
  </conditionalFormatting>
  <conditionalFormatting sqref="U579:U581">
    <cfRule type="containsText" dxfId="3" priority="4296" operator="containsText" text="В строю">
      <formula>NOT(ISERROR(SEARCH(("В строю"),(U579))))</formula>
    </cfRule>
  </conditionalFormatting>
  <conditionalFormatting sqref="N577:N578">
    <cfRule type="expression" dxfId="0" priority="4297">
      <formula>COUNTIF(#REF!, N577) &gt; 1</formula>
    </cfRule>
  </conditionalFormatting>
  <conditionalFormatting sqref="U577:U578">
    <cfRule type="containsText" dxfId="3" priority="4298" operator="containsText" text="В строю">
      <formula>NOT(ISERROR(SEARCH(("В строю"),(U577))))</formula>
    </cfRule>
  </conditionalFormatting>
  <conditionalFormatting sqref="U577:U578">
    <cfRule type="containsText" dxfId="4" priority="4299" operator="containsText" text="Відпустка">
      <formula>NOT(ISERROR(SEARCH(("Відпустка"),(U577))))</formula>
    </cfRule>
  </conditionalFormatting>
  <conditionalFormatting sqref="U577:U578">
    <cfRule type="containsText" dxfId="5" priority="4300" operator="containsText" text="СЗЧ">
      <formula>NOT(ISERROR(SEARCH(("СЗЧ"),(U577))))</formula>
    </cfRule>
  </conditionalFormatting>
  <conditionalFormatting sqref="U577:U578">
    <cfRule type="containsText" dxfId="6" priority="4301" operator="containsText" text="Зниклі безвісти">
      <formula>NOT(ISERROR(SEARCH(("Зниклі безвісти"),(U577))))</formula>
    </cfRule>
  </conditionalFormatting>
  <conditionalFormatting sqref="U577:U578">
    <cfRule type="containsText" dxfId="7" priority="4302" operator="containsText" text="Від-ні навчання">
      <formula>NOT(ISERROR(SEARCH(("Від-ні навчання"),(U577))))</formula>
    </cfRule>
  </conditionalFormatting>
  <conditionalFormatting sqref="U577:U578">
    <cfRule type="containsText" dxfId="8" priority="4303" operator="containsText" text="Відком. за межі ПБ">
      <formula>NOT(ISERROR(SEARCH(("Відком. за межі ПБ"),(U577))))</formula>
    </cfRule>
  </conditionalFormatting>
  <conditionalFormatting sqref="U577:U578">
    <cfRule type="containsText" dxfId="9" priority="4304" operator="containsText" text="Загиблі">
      <formula>NOT(ISERROR(SEARCH(("Загиблі"),(U577))))</formula>
    </cfRule>
  </conditionalFormatting>
  <conditionalFormatting sqref="U577:U578">
    <cfRule type="containsText" dxfId="10" priority="4305" operator="containsText" text="Лікування">
      <formula>NOT(ISERROR(SEARCH(("Лікування"),(U577))))</formula>
    </cfRule>
  </conditionalFormatting>
  <conditionalFormatting sqref="Q576">
    <cfRule type="cellIs" dxfId="9" priority="4306" operator="notEqual">
      <formula>P576</formula>
    </cfRule>
  </conditionalFormatting>
  <conditionalFormatting sqref="Q576">
    <cfRule type="cellIs" dxfId="3" priority="4307" operator="equal">
      <formula>P576</formula>
    </cfRule>
  </conditionalFormatting>
  <conditionalFormatting sqref="U576">
    <cfRule type="containsText" dxfId="10" priority="4308" operator="containsText" text="Лікування">
      <formula>NOT(ISERROR(SEARCH(("Лікування"),(U576))))</formula>
    </cfRule>
  </conditionalFormatting>
  <conditionalFormatting sqref="U576">
    <cfRule type="containsText" dxfId="9" priority="4309" operator="containsText" text="Загиблі">
      <formula>NOT(ISERROR(SEARCH(("Загиблі"),(U576))))</formula>
    </cfRule>
  </conditionalFormatting>
  <conditionalFormatting sqref="U576">
    <cfRule type="containsText" dxfId="8" priority="4310" operator="containsText" text="Відком. за межі ПБ">
      <formula>NOT(ISERROR(SEARCH(("Відком. за межі ПБ"),(U576))))</formula>
    </cfRule>
  </conditionalFormatting>
  <conditionalFormatting sqref="U576">
    <cfRule type="containsText" dxfId="7" priority="4311" operator="containsText" text="Від-ні навчання">
      <formula>NOT(ISERROR(SEARCH(("Від-ні навчання"),(U576))))</formula>
    </cfRule>
  </conditionalFormatting>
  <conditionalFormatting sqref="U576">
    <cfRule type="containsText" dxfId="6" priority="4312" operator="containsText" text="Зниклі безвісти">
      <formula>NOT(ISERROR(SEARCH(("Зниклі безвісти"),(U576))))</formula>
    </cfRule>
  </conditionalFormatting>
  <conditionalFormatting sqref="U576">
    <cfRule type="containsText" dxfId="5" priority="4313" operator="containsText" text="СЗЧ">
      <formula>NOT(ISERROR(SEARCH(("СЗЧ"),(U576))))</formula>
    </cfRule>
  </conditionalFormatting>
  <conditionalFormatting sqref="U576">
    <cfRule type="containsText" dxfId="4" priority="4314" operator="containsText" text="Відпустка">
      <formula>NOT(ISERROR(SEARCH(("Відпустка"),(U576))))</formula>
    </cfRule>
  </conditionalFormatting>
  <conditionalFormatting sqref="U576">
    <cfRule type="containsText" dxfId="3" priority="4315" operator="containsText" text="В строю">
      <formula>NOT(ISERROR(SEARCH(("В строю"),(U576))))</formula>
    </cfRule>
  </conditionalFormatting>
  <conditionalFormatting sqref="N575:O575">
    <cfRule type="expression" dxfId="0" priority="4316">
      <formula>COUNTIF(#REF!, N575) &gt; 1</formula>
    </cfRule>
  </conditionalFormatting>
  <conditionalFormatting sqref="Q575">
    <cfRule type="cellIs" dxfId="9" priority="4317" operator="notEqual">
      <formula>P575</formula>
    </cfRule>
  </conditionalFormatting>
  <conditionalFormatting sqref="Q575">
    <cfRule type="cellIs" dxfId="3" priority="4318" operator="equal">
      <formula>P575</formula>
    </cfRule>
  </conditionalFormatting>
  <conditionalFormatting sqref="U575">
    <cfRule type="containsText" dxfId="3" priority="4319" operator="containsText" text="В строю">
      <formula>NOT(ISERROR(SEARCH(("В строю"),(U575))))</formula>
    </cfRule>
  </conditionalFormatting>
  <conditionalFormatting sqref="U575">
    <cfRule type="containsText" dxfId="4" priority="4320" operator="containsText" text="Відпустка">
      <formula>NOT(ISERROR(SEARCH(("Відпустка"),(U575))))</formula>
    </cfRule>
  </conditionalFormatting>
  <conditionalFormatting sqref="U575">
    <cfRule type="containsText" dxfId="5" priority="4321" operator="containsText" text="СЗЧ">
      <formula>NOT(ISERROR(SEARCH(("СЗЧ"),(U575))))</formula>
    </cfRule>
  </conditionalFormatting>
  <conditionalFormatting sqref="U575">
    <cfRule type="containsText" dxfId="6" priority="4322" operator="containsText" text="Зниклі безвісти">
      <formula>NOT(ISERROR(SEARCH(("Зниклі безвісти"),(U575))))</formula>
    </cfRule>
  </conditionalFormatting>
  <conditionalFormatting sqref="U575">
    <cfRule type="containsText" dxfId="7" priority="4323" operator="containsText" text="Від-ні навчання">
      <formula>NOT(ISERROR(SEARCH(("Від-ні навчання"),(U575))))</formula>
    </cfRule>
  </conditionalFormatting>
  <conditionalFormatting sqref="U575">
    <cfRule type="containsText" dxfId="8" priority="4324" operator="containsText" text="Відком. за межі ПБ">
      <formula>NOT(ISERROR(SEARCH(("Відком. за межі ПБ"),(U575))))</formula>
    </cfRule>
  </conditionalFormatting>
  <conditionalFormatting sqref="U575">
    <cfRule type="containsText" dxfId="9" priority="4325" operator="containsText" text="Загиблі">
      <formula>NOT(ISERROR(SEARCH(("Загиблі"),(U575))))</formula>
    </cfRule>
  </conditionalFormatting>
  <conditionalFormatting sqref="U575">
    <cfRule type="containsText" dxfId="10" priority="4326" operator="containsText" text="Лікування">
      <formula>NOT(ISERROR(SEARCH(("Лікування"),(U575))))</formula>
    </cfRule>
  </conditionalFormatting>
  <conditionalFormatting sqref="U574">
    <cfRule type="containsText" dxfId="10" priority="4327" operator="containsText" text="Лікування">
      <formula>NOT(ISERROR(SEARCH(("Лікування"),(U574))))</formula>
    </cfRule>
  </conditionalFormatting>
  <conditionalFormatting sqref="U574">
    <cfRule type="containsText" dxfId="9" priority="4328" operator="containsText" text="Загиблі">
      <formula>NOT(ISERROR(SEARCH(("Загиблі"),(U574))))</formula>
    </cfRule>
  </conditionalFormatting>
  <conditionalFormatting sqref="U574">
    <cfRule type="containsText" dxfId="8" priority="4329" operator="containsText" text="Відком. за межі ПБ">
      <formula>NOT(ISERROR(SEARCH(("Відком. за межі ПБ"),(U574))))</formula>
    </cfRule>
  </conditionalFormatting>
  <conditionalFormatting sqref="U574">
    <cfRule type="containsText" dxfId="7" priority="4330" operator="containsText" text="Від-ні навчання">
      <formula>NOT(ISERROR(SEARCH(("Від-ні навчання"),(U574))))</formula>
    </cfRule>
  </conditionalFormatting>
  <conditionalFormatting sqref="U574">
    <cfRule type="containsText" dxfId="6" priority="4331" operator="containsText" text="Зниклі безвісти">
      <formula>NOT(ISERROR(SEARCH(("Зниклі безвісти"),(U574))))</formula>
    </cfRule>
  </conditionalFormatting>
  <conditionalFormatting sqref="U574">
    <cfRule type="containsText" dxfId="5" priority="4332" operator="containsText" text="СЗЧ">
      <formula>NOT(ISERROR(SEARCH(("СЗЧ"),(U574))))</formula>
    </cfRule>
  </conditionalFormatting>
  <conditionalFormatting sqref="U574">
    <cfRule type="containsText" dxfId="4" priority="4333" operator="containsText" text="Відпустка">
      <formula>NOT(ISERROR(SEARCH(("Відпустка"),(U574))))</formula>
    </cfRule>
  </conditionalFormatting>
  <conditionalFormatting sqref="U574">
    <cfRule type="containsText" dxfId="3" priority="4334" operator="containsText" text="В строю">
      <formula>NOT(ISERROR(SEARCH(("В строю"),(U574))))</formula>
    </cfRule>
  </conditionalFormatting>
  <conditionalFormatting sqref="K571 N571 N573">
    <cfRule type="expression" dxfId="0" priority="4335">
      <formula>COUNTIF(#REF!, K571) &gt; 1</formula>
    </cfRule>
  </conditionalFormatting>
  <conditionalFormatting sqref="U571:U573">
    <cfRule type="containsText" dxfId="3" priority="4336" operator="containsText" text="В строю">
      <formula>NOT(ISERROR(SEARCH(("В строю"),(U571))))</formula>
    </cfRule>
  </conditionalFormatting>
  <conditionalFormatting sqref="U571:U573">
    <cfRule type="containsText" dxfId="4" priority="4337" operator="containsText" text="Відпустка">
      <formula>NOT(ISERROR(SEARCH(("Відпустка"),(U571))))</formula>
    </cfRule>
  </conditionalFormatting>
  <conditionalFormatting sqref="U571:U573">
    <cfRule type="containsText" dxfId="5" priority="4338" operator="containsText" text="СЗЧ">
      <formula>NOT(ISERROR(SEARCH(("СЗЧ"),(U571))))</formula>
    </cfRule>
  </conditionalFormatting>
  <conditionalFormatting sqref="U571:U573">
    <cfRule type="containsText" dxfId="6" priority="4339" operator="containsText" text="Зниклі безвісти">
      <formula>NOT(ISERROR(SEARCH(("Зниклі безвісти"),(U571))))</formula>
    </cfRule>
  </conditionalFormatting>
  <conditionalFormatting sqref="U571:U573">
    <cfRule type="containsText" dxfId="7" priority="4340" operator="containsText" text="Від-ні навчання">
      <formula>NOT(ISERROR(SEARCH(("Від-ні навчання"),(U571))))</formula>
    </cfRule>
  </conditionalFormatting>
  <conditionalFormatting sqref="U571:U573">
    <cfRule type="containsText" dxfId="8" priority="4341" operator="containsText" text="Відком. за межі ПБ">
      <formula>NOT(ISERROR(SEARCH(("Відком. за межі ПБ"),(U571))))</formula>
    </cfRule>
  </conditionalFormatting>
  <conditionalFormatting sqref="U571:U573">
    <cfRule type="containsText" dxfId="9" priority="4342" operator="containsText" text="Загиблі">
      <formula>NOT(ISERROR(SEARCH(("Загиблі"),(U571))))</formula>
    </cfRule>
  </conditionalFormatting>
  <conditionalFormatting sqref="U571:U573">
    <cfRule type="containsText" dxfId="10" priority="4343" operator="containsText" text="Лікування">
      <formula>NOT(ISERROR(SEARCH(("Лікування"),(U571))))</formula>
    </cfRule>
  </conditionalFormatting>
  <conditionalFormatting sqref="Q571:Q573">
    <cfRule type="cellIs" dxfId="9" priority="4344" operator="notEqual">
      <formula>P571</formula>
    </cfRule>
  </conditionalFormatting>
  <conditionalFormatting sqref="Q571:Q573">
    <cfRule type="cellIs" dxfId="3" priority="4345" operator="equal">
      <formula>P571</formula>
    </cfRule>
  </conditionalFormatting>
  <conditionalFormatting sqref="K570 N570">
    <cfRule type="expression" dxfId="0" priority="4346">
      <formula>COUNTIF(#REF!, K570) &gt; 1</formula>
    </cfRule>
  </conditionalFormatting>
  <conditionalFormatting sqref="U570">
    <cfRule type="containsText" dxfId="10" priority="4347" operator="containsText" text="Лікування">
      <formula>NOT(ISERROR(SEARCH(("Лікування"),(U570))))</formula>
    </cfRule>
  </conditionalFormatting>
  <conditionalFormatting sqref="U570">
    <cfRule type="containsText" dxfId="9" priority="4348" operator="containsText" text="Загиблі">
      <formula>NOT(ISERROR(SEARCH(("Загиблі"),(U570))))</formula>
    </cfRule>
  </conditionalFormatting>
  <conditionalFormatting sqref="U570">
    <cfRule type="containsText" dxfId="8" priority="4349" operator="containsText" text="Відком. за межі ПБ">
      <formula>NOT(ISERROR(SEARCH(("Відком. за межі ПБ"),(U570))))</formula>
    </cfRule>
  </conditionalFormatting>
  <conditionalFormatting sqref="U570">
    <cfRule type="containsText" dxfId="7" priority="4350" operator="containsText" text="Від-ні навчання">
      <formula>NOT(ISERROR(SEARCH(("Від-ні навчання"),(U570))))</formula>
    </cfRule>
  </conditionalFormatting>
  <conditionalFormatting sqref="U570">
    <cfRule type="containsText" dxfId="6" priority="4351" operator="containsText" text="Зниклі безвісти">
      <formula>NOT(ISERROR(SEARCH(("Зниклі безвісти"),(U570))))</formula>
    </cfRule>
  </conditionalFormatting>
  <conditionalFormatting sqref="U570">
    <cfRule type="containsText" dxfId="5" priority="4352" operator="containsText" text="СЗЧ">
      <formula>NOT(ISERROR(SEARCH(("СЗЧ"),(U570))))</formula>
    </cfRule>
  </conditionalFormatting>
  <conditionalFormatting sqref="U570">
    <cfRule type="containsText" dxfId="4" priority="4353" operator="containsText" text="Відпустка">
      <formula>NOT(ISERROR(SEARCH(("Відпустка"),(U570))))</formula>
    </cfRule>
  </conditionalFormatting>
  <conditionalFormatting sqref="U570">
    <cfRule type="containsText" dxfId="3" priority="4354" operator="containsText" text="В строю">
      <formula>NOT(ISERROR(SEARCH(("В строю"),(U570))))</formula>
    </cfRule>
  </conditionalFormatting>
  <conditionalFormatting sqref="Q570">
    <cfRule type="cellIs" dxfId="9" priority="4355" operator="notEqual">
      <formula>P570</formula>
    </cfRule>
  </conditionalFormatting>
  <conditionalFormatting sqref="Q570">
    <cfRule type="cellIs" dxfId="3" priority="4356" operator="equal">
      <formula>P570</formula>
    </cfRule>
  </conditionalFormatting>
  <conditionalFormatting sqref="N569">
    <cfRule type="expression" dxfId="0" priority="4357">
      <formula>COUNTIF(#REF!, N569) &gt; 1</formula>
    </cfRule>
  </conditionalFormatting>
  <conditionalFormatting sqref="Q569">
    <cfRule type="cellIs" dxfId="9" priority="4358" operator="notEqual">
      <formula>P569</formula>
    </cfRule>
  </conditionalFormatting>
  <conditionalFormatting sqref="Q569">
    <cfRule type="cellIs" dxfId="3" priority="4359" operator="equal">
      <formula>P569</formula>
    </cfRule>
  </conditionalFormatting>
  <conditionalFormatting sqref="U569">
    <cfRule type="containsText" dxfId="3" priority="4360" operator="containsText" text="В строю">
      <formula>NOT(ISERROR(SEARCH(("В строю"),(U569))))</formula>
    </cfRule>
  </conditionalFormatting>
  <conditionalFormatting sqref="U569">
    <cfRule type="containsText" dxfId="4" priority="4361" operator="containsText" text="Відпустка">
      <formula>NOT(ISERROR(SEARCH(("Відпустка"),(U569))))</formula>
    </cfRule>
  </conditionalFormatting>
  <conditionalFormatting sqref="U569">
    <cfRule type="containsText" dxfId="5" priority="4362" operator="containsText" text="СЗЧ">
      <formula>NOT(ISERROR(SEARCH(("СЗЧ"),(U569))))</formula>
    </cfRule>
  </conditionalFormatting>
  <conditionalFormatting sqref="U569">
    <cfRule type="containsText" dxfId="6" priority="4363" operator="containsText" text="Зниклі безвісти">
      <formula>NOT(ISERROR(SEARCH(("Зниклі безвісти"),(U569))))</formula>
    </cfRule>
  </conditionalFormatting>
  <conditionalFormatting sqref="U569">
    <cfRule type="containsText" dxfId="7" priority="4364" operator="containsText" text="Від-ні навчання">
      <formula>NOT(ISERROR(SEARCH(("Від-ні навчання"),(U569))))</formula>
    </cfRule>
  </conditionalFormatting>
  <conditionalFormatting sqref="U569">
    <cfRule type="containsText" dxfId="8" priority="4365" operator="containsText" text="Відком. за межі ПБ">
      <formula>NOT(ISERROR(SEARCH(("Відком. за межі ПБ"),(U569))))</formula>
    </cfRule>
  </conditionalFormatting>
  <conditionalFormatting sqref="U569">
    <cfRule type="containsText" dxfId="9" priority="4366" operator="containsText" text="Загиблі">
      <formula>NOT(ISERROR(SEARCH(("Загиблі"),(U569))))</formula>
    </cfRule>
  </conditionalFormatting>
  <conditionalFormatting sqref="U569">
    <cfRule type="containsText" dxfId="10" priority="4367" operator="containsText" text="Лікування">
      <formula>NOT(ISERROR(SEARCH(("Лікування"),(U569))))</formula>
    </cfRule>
  </conditionalFormatting>
  <conditionalFormatting sqref="Q568">
    <cfRule type="cellIs" dxfId="9" priority="4368" operator="notEqual">
      <formula>P568</formula>
    </cfRule>
  </conditionalFormatting>
  <conditionalFormatting sqref="Q568">
    <cfRule type="cellIs" dxfId="3" priority="4369" operator="equal">
      <formula>P568</formula>
    </cfRule>
  </conditionalFormatting>
  <conditionalFormatting sqref="U568">
    <cfRule type="containsText" dxfId="10" priority="4370" operator="containsText" text="Лікування">
      <formula>NOT(ISERROR(SEARCH(("Лікування"),(U568))))</formula>
    </cfRule>
  </conditionalFormatting>
  <conditionalFormatting sqref="U568">
    <cfRule type="containsText" dxfId="9" priority="4371" operator="containsText" text="Загиблі">
      <formula>NOT(ISERROR(SEARCH(("Загиблі"),(U568))))</formula>
    </cfRule>
  </conditionalFormatting>
  <conditionalFormatting sqref="U568">
    <cfRule type="containsText" dxfId="8" priority="4372" operator="containsText" text="Відком. за межі ПБ">
      <formula>NOT(ISERROR(SEARCH(("Відком. за межі ПБ"),(U568))))</formula>
    </cfRule>
  </conditionalFormatting>
  <conditionalFormatting sqref="U568">
    <cfRule type="containsText" dxfId="7" priority="4373" operator="containsText" text="Від-ні навчання">
      <formula>NOT(ISERROR(SEARCH(("Від-ні навчання"),(U568))))</formula>
    </cfRule>
  </conditionalFormatting>
  <conditionalFormatting sqref="U568">
    <cfRule type="containsText" dxfId="6" priority="4374" operator="containsText" text="Зниклі безвісти">
      <formula>NOT(ISERROR(SEARCH(("Зниклі безвісти"),(U568))))</formula>
    </cfRule>
  </conditionalFormatting>
  <conditionalFormatting sqref="U568">
    <cfRule type="containsText" dxfId="5" priority="4375" operator="containsText" text="СЗЧ">
      <formula>NOT(ISERROR(SEARCH(("СЗЧ"),(U568))))</formula>
    </cfRule>
  </conditionalFormatting>
  <conditionalFormatting sqref="U568">
    <cfRule type="containsText" dxfId="4" priority="4376" operator="containsText" text="Відпустка">
      <formula>NOT(ISERROR(SEARCH(("Відпустка"),(U568))))</formula>
    </cfRule>
  </conditionalFormatting>
  <conditionalFormatting sqref="U568">
    <cfRule type="containsText" dxfId="3" priority="4377" operator="containsText" text="В строю">
      <formula>NOT(ISERROR(SEARCH(("В строю"),(U568))))</formula>
    </cfRule>
  </conditionalFormatting>
  <conditionalFormatting sqref="N568">
    <cfRule type="expression" dxfId="0" priority="4378">
      <formula>COUNTIF(#REF!, N568) &gt; 1</formula>
    </cfRule>
  </conditionalFormatting>
  <conditionalFormatting sqref="Q567">
    <cfRule type="cellIs" dxfId="9" priority="4379" operator="notEqual">
      <formula>P567</formula>
    </cfRule>
  </conditionalFormatting>
  <conditionalFormatting sqref="Q567">
    <cfRule type="cellIs" dxfId="3" priority="4380" operator="equal">
      <formula>P567</formula>
    </cfRule>
  </conditionalFormatting>
  <conditionalFormatting sqref="U567">
    <cfRule type="containsText" dxfId="10" priority="4381" operator="containsText" text="Лікування">
      <formula>NOT(ISERROR(SEARCH(("Лікування"),(U567))))</formula>
    </cfRule>
  </conditionalFormatting>
  <conditionalFormatting sqref="U567">
    <cfRule type="containsText" dxfId="9" priority="4382" operator="containsText" text="Загиблі">
      <formula>NOT(ISERROR(SEARCH(("Загиблі"),(U567))))</formula>
    </cfRule>
  </conditionalFormatting>
  <conditionalFormatting sqref="U567">
    <cfRule type="containsText" dxfId="8" priority="4383" operator="containsText" text="Відком. за межі ПБ">
      <formula>NOT(ISERROR(SEARCH(("Відком. за межі ПБ"),(U567))))</formula>
    </cfRule>
  </conditionalFormatting>
  <conditionalFormatting sqref="U567">
    <cfRule type="containsText" dxfId="7" priority="4384" operator="containsText" text="Від-ні навчання">
      <formula>NOT(ISERROR(SEARCH(("Від-ні навчання"),(U567))))</formula>
    </cfRule>
  </conditionalFormatting>
  <conditionalFormatting sqref="U567">
    <cfRule type="containsText" dxfId="6" priority="4385" operator="containsText" text="Зниклі безвісти">
      <formula>NOT(ISERROR(SEARCH(("Зниклі безвісти"),(U567))))</formula>
    </cfRule>
  </conditionalFormatting>
  <conditionalFormatting sqref="U567">
    <cfRule type="containsText" dxfId="5" priority="4386" operator="containsText" text="СЗЧ">
      <formula>NOT(ISERROR(SEARCH(("СЗЧ"),(U567))))</formula>
    </cfRule>
  </conditionalFormatting>
  <conditionalFormatting sqref="U567">
    <cfRule type="containsText" dxfId="4" priority="4387" operator="containsText" text="Відпустка">
      <formula>NOT(ISERROR(SEARCH(("Відпустка"),(U567))))</formula>
    </cfRule>
  </conditionalFormatting>
  <conditionalFormatting sqref="U567">
    <cfRule type="containsText" dxfId="3" priority="4388" operator="containsText" text="В строю">
      <formula>NOT(ISERROR(SEARCH(("В строю"),(U567))))</formula>
    </cfRule>
  </conditionalFormatting>
  <conditionalFormatting sqref="U567">
    <cfRule type="containsText" dxfId="3" priority="4389" operator="containsText" text="В строю">
      <formula>NOT(ISERROR(SEARCH(("В строю"),(U567))))</formula>
    </cfRule>
  </conditionalFormatting>
  <conditionalFormatting sqref="U567">
    <cfRule type="containsText" dxfId="4" priority="4390" operator="containsText" text="Відпустка">
      <formula>NOT(ISERROR(SEARCH(("Відпустка"),(U567))))</formula>
    </cfRule>
  </conditionalFormatting>
  <conditionalFormatting sqref="U567">
    <cfRule type="containsText" dxfId="5" priority="4391" operator="containsText" text="СЗЧ">
      <formula>NOT(ISERROR(SEARCH(("СЗЧ"),(U567))))</formula>
    </cfRule>
  </conditionalFormatting>
  <conditionalFormatting sqref="U567">
    <cfRule type="containsText" dxfId="6" priority="4392" operator="containsText" text="Зниклі безвісти">
      <formula>NOT(ISERROR(SEARCH(("Зниклі безвісти"),(U567))))</formula>
    </cfRule>
  </conditionalFormatting>
  <conditionalFormatting sqref="U567">
    <cfRule type="containsText" dxfId="7" priority="4393" operator="containsText" text="Від-ні навчання">
      <formula>NOT(ISERROR(SEARCH(("Від-ні навчання"),(U567))))</formula>
    </cfRule>
  </conditionalFormatting>
  <conditionalFormatting sqref="U567">
    <cfRule type="containsText" dxfId="8" priority="4394" operator="containsText" text="Відком. за межі ПБ">
      <formula>NOT(ISERROR(SEARCH(("Відком. за межі ПБ"),(U567))))</formula>
    </cfRule>
  </conditionalFormatting>
  <conditionalFormatting sqref="U567">
    <cfRule type="containsText" dxfId="9" priority="4395" operator="containsText" text="Загиблі">
      <formula>NOT(ISERROR(SEARCH(("Загиблі"),(U567))))</formula>
    </cfRule>
  </conditionalFormatting>
  <conditionalFormatting sqref="U567">
    <cfRule type="containsText" dxfId="10" priority="4396" operator="containsText" text="Лікування">
      <formula>NOT(ISERROR(SEARCH(("Лікування"),(U567))))</formula>
    </cfRule>
  </conditionalFormatting>
  <conditionalFormatting sqref="N566">
    <cfRule type="expression" dxfId="0" priority="4397">
      <formula>COUNTIF(#REF!, N566) &gt; 1</formula>
    </cfRule>
  </conditionalFormatting>
  <conditionalFormatting sqref="U566">
    <cfRule type="containsText" dxfId="10" priority="4398" operator="containsText" text="Лікування">
      <formula>NOT(ISERROR(SEARCH(("Лікування"),(U566))))</formula>
    </cfRule>
  </conditionalFormatting>
  <conditionalFormatting sqref="U566">
    <cfRule type="containsText" dxfId="9" priority="4399" operator="containsText" text="Загиблі">
      <formula>NOT(ISERROR(SEARCH(("Загиблі"),(U566))))</formula>
    </cfRule>
  </conditionalFormatting>
  <conditionalFormatting sqref="U566">
    <cfRule type="containsText" dxfId="8" priority="4400" operator="containsText" text="Відком. за межі ПБ">
      <formula>NOT(ISERROR(SEARCH(("Відком. за межі ПБ"),(U566))))</formula>
    </cfRule>
  </conditionalFormatting>
  <conditionalFormatting sqref="U566">
    <cfRule type="containsText" dxfId="7" priority="4401" operator="containsText" text="Від-ні навчання">
      <formula>NOT(ISERROR(SEARCH(("Від-ні навчання"),(U566))))</formula>
    </cfRule>
  </conditionalFormatting>
  <conditionalFormatting sqref="U566">
    <cfRule type="containsText" dxfId="6" priority="4402" operator="containsText" text="Зниклі безвісти">
      <formula>NOT(ISERROR(SEARCH(("Зниклі безвісти"),(U566))))</formula>
    </cfRule>
  </conditionalFormatting>
  <conditionalFormatting sqref="U566">
    <cfRule type="containsText" dxfId="5" priority="4403" operator="containsText" text="СЗЧ">
      <formula>NOT(ISERROR(SEARCH(("СЗЧ"),(U566))))</formula>
    </cfRule>
  </conditionalFormatting>
  <conditionalFormatting sqref="U566">
    <cfRule type="containsText" dxfId="4" priority="4404" operator="containsText" text="Відпустка">
      <formula>NOT(ISERROR(SEARCH(("Відпустка"),(U566))))</formula>
    </cfRule>
  </conditionalFormatting>
  <conditionalFormatting sqref="U566">
    <cfRule type="containsText" dxfId="3" priority="4405" operator="containsText" text="В строю">
      <formula>NOT(ISERROR(SEARCH(("В строю"),(U566))))</formula>
    </cfRule>
  </conditionalFormatting>
  <conditionalFormatting sqref="Q566">
    <cfRule type="cellIs" dxfId="9" priority="4406" operator="notEqual">
      <formula>P566</formula>
    </cfRule>
  </conditionalFormatting>
  <conditionalFormatting sqref="Q566">
    <cfRule type="cellIs" dxfId="3" priority="4407" operator="equal">
      <formula>P566</formula>
    </cfRule>
  </conditionalFormatting>
  <conditionalFormatting sqref="U566">
    <cfRule type="containsText" dxfId="3" priority="4408" operator="containsText" text="В строю">
      <formula>NOT(ISERROR(SEARCH(("В строю"),(U566))))</formula>
    </cfRule>
  </conditionalFormatting>
  <conditionalFormatting sqref="U566">
    <cfRule type="containsText" dxfId="4" priority="4409" operator="containsText" text="Відпустка">
      <formula>NOT(ISERROR(SEARCH(("Відпустка"),(U566))))</formula>
    </cfRule>
  </conditionalFormatting>
  <conditionalFormatting sqref="U566">
    <cfRule type="containsText" dxfId="5" priority="4410" operator="containsText" text="СЗЧ">
      <formula>NOT(ISERROR(SEARCH(("СЗЧ"),(U566))))</formula>
    </cfRule>
  </conditionalFormatting>
  <conditionalFormatting sqref="U566">
    <cfRule type="containsText" dxfId="6" priority="4411" operator="containsText" text="Зниклі безвісти">
      <formula>NOT(ISERROR(SEARCH(("Зниклі безвісти"),(U566))))</formula>
    </cfRule>
  </conditionalFormatting>
  <conditionalFormatting sqref="U566">
    <cfRule type="containsText" dxfId="7" priority="4412" operator="containsText" text="Від-ні навчання">
      <formula>NOT(ISERROR(SEARCH(("Від-ні навчання"),(U566))))</formula>
    </cfRule>
  </conditionalFormatting>
  <conditionalFormatting sqref="U566">
    <cfRule type="containsText" dxfId="8" priority="4413" operator="containsText" text="Відком. за межі ПБ">
      <formula>NOT(ISERROR(SEARCH(("Відком. за межі ПБ"),(U566))))</formula>
    </cfRule>
  </conditionalFormatting>
  <conditionalFormatting sqref="U566">
    <cfRule type="containsText" dxfId="9" priority="4414" operator="containsText" text="Загиблі">
      <formula>NOT(ISERROR(SEARCH(("Загиблі"),(U566))))</formula>
    </cfRule>
  </conditionalFormatting>
  <conditionalFormatting sqref="U566">
    <cfRule type="containsText" dxfId="10" priority="4415" operator="containsText" text="Лікування">
      <formula>NOT(ISERROR(SEARCH(("Лікування"),(U566))))</formula>
    </cfRule>
  </conditionalFormatting>
  <conditionalFormatting sqref="E565 N565">
    <cfRule type="expression" dxfId="0" priority="4416">
      <formula>COUNTIF(#REF!, E565) &gt; 1</formula>
    </cfRule>
  </conditionalFormatting>
  <conditionalFormatting sqref="U565">
    <cfRule type="containsText" dxfId="10" priority="4417" operator="containsText" text="Лікування">
      <formula>NOT(ISERROR(SEARCH(("Лікування"),(U565))))</formula>
    </cfRule>
  </conditionalFormatting>
  <conditionalFormatting sqref="U565">
    <cfRule type="containsText" dxfId="9" priority="4418" operator="containsText" text="Загиблі">
      <formula>NOT(ISERROR(SEARCH(("Загиблі"),(U565))))</formula>
    </cfRule>
  </conditionalFormatting>
  <conditionalFormatting sqref="U565">
    <cfRule type="containsText" dxfId="8" priority="4419" operator="containsText" text="Відком. за межі ПБ">
      <formula>NOT(ISERROR(SEARCH(("Відком. за межі ПБ"),(U565))))</formula>
    </cfRule>
  </conditionalFormatting>
  <conditionalFormatting sqref="U565">
    <cfRule type="containsText" dxfId="7" priority="4420" operator="containsText" text="Від-ні навчання">
      <formula>NOT(ISERROR(SEARCH(("Від-ні навчання"),(U565))))</formula>
    </cfRule>
  </conditionalFormatting>
  <conditionalFormatting sqref="U565">
    <cfRule type="containsText" dxfId="6" priority="4421" operator="containsText" text="Зниклі безвісти">
      <formula>NOT(ISERROR(SEARCH(("Зниклі безвісти"),(U565))))</formula>
    </cfRule>
  </conditionalFormatting>
  <conditionalFormatting sqref="U565">
    <cfRule type="containsText" dxfId="5" priority="4422" operator="containsText" text="СЗЧ">
      <formula>NOT(ISERROR(SEARCH(("СЗЧ"),(U565))))</formula>
    </cfRule>
  </conditionalFormatting>
  <conditionalFormatting sqref="U565">
    <cfRule type="containsText" dxfId="4" priority="4423" operator="containsText" text="Відпустка">
      <formula>NOT(ISERROR(SEARCH(("Відпустка"),(U565))))</formula>
    </cfRule>
  </conditionalFormatting>
  <conditionalFormatting sqref="U565">
    <cfRule type="containsText" dxfId="3" priority="4424" operator="containsText" text="В строю">
      <formula>NOT(ISERROR(SEARCH(("В строю"),(U565))))</formula>
    </cfRule>
  </conditionalFormatting>
  <conditionalFormatting sqref="Q565">
    <cfRule type="cellIs" dxfId="9" priority="4425" operator="notEqual">
      <formula>P565</formula>
    </cfRule>
  </conditionalFormatting>
  <conditionalFormatting sqref="Q565">
    <cfRule type="cellIs" dxfId="3" priority="4426" operator="equal">
      <formula>P565</formula>
    </cfRule>
  </conditionalFormatting>
  <conditionalFormatting sqref="U565">
    <cfRule type="containsText" dxfId="3" priority="4427" operator="containsText" text="В строю">
      <formula>NOT(ISERROR(SEARCH(("В строю"),(U565))))</formula>
    </cfRule>
  </conditionalFormatting>
  <conditionalFormatting sqref="U565">
    <cfRule type="containsText" dxfId="4" priority="4428" operator="containsText" text="Відпустка">
      <formula>NOT(ISERROR(SEARCH(("Відпустка"),(U565))))</formula>
    </cfRule>
  </conditionalFormatting>
  <conditionalFormatting sqref="U565">
    <cfRule type="containsText" dxfId="5" priority="4429" operator="containsText" text="СЗЧ">
      <formula>NOT(ISERROR(SEARCH(("СЗЧ"),(U565))))</formula>
    </cfRule>
  </conditionalFormatting>
  <conditionalFormatting sqref="U565">
    <cfRule type="containsText" dxfId="6" priority="4430" operator="containsText" text="Зниклі безвісти">
      <formula>NOT(ISERROR(SEARCH(("Зниклі безвісти"),(U565))))</formula>
    </cfRule>
  </conditionalFormatting>
  <conditionalFormatting sqref="U565">
    <cfRule type="containsText" dxfId="7" priority="4431" operator="containsText" text="Від-ні навчання">
      <formula>NOT(ISERROR(SEARCH(("Від-ні навчання"),(U565))))</formula>
    </cfRule>
  </conditionalFormatting>
  <conditionalFormatting sqref="U565">
    <cfRule type="containsText" dxfId="8" priority="4432" operator="containsText" text="Відком. за межі ПБ">
      <formula>NOT(ISERROR(SEARCH(("Відком. за межі ПБ"),(U565))))</formula>
    </cfRule>
  </conditionalFormatting>
  <conditionalFormatting sqref="U565">
    <cfRule type="containsText" dxfId="9" priority="4433" operator="containsText" text="Загиблі">
      <formula>NOT(ISERROR(SEARCH(("Загиблі"),(U565))))</formula>
    </cfRule>
  </conditionalFormatting>
  <conditionalFormatting sqref="U565">
    <cfRule type="containsText" dxfId="10" priority="4434" operator="containsText" text="Лікування">
      <formula>NOT(ISERROR(SEARCH(("Лікування"),(U565))))</formula>
    </cfRule>
  </conditionalFormatting>
  <conditionalFormatting sqref="E564 N564">
    <cfRule type="expression" dxfId="0" priority="4435">
      <formula>COUNTIF(#REF!, E564) &gt; 1</formula>
    </cfRule>
  </conditionalFormatting>
  <conditionalFormatting sqref="U564">
    <cfRule type="containsText" dxfId="3" priority="4436" operator="containsText" text="В строю">
      <formula>NOT(ISERROR(SEARCH(("В строю"),(U564))))</formula>
    </cfRule>
  </conditionalFormatting>
  <conditionalFormatting sqref="U564">
    <cfRule type="containsText" dxfId="4" priority="4437" operator="containsText" text="Відпустка">
      <formula>NOT(ISERROR(SEARCH(("Відпустка"),(U564))))</formula>
    </cfRule>
  </conditionalFormatting>
  <conditionalFormatting sqref="U564">
    <cfRule type="containsText" dxfId="5" priority="4438" operator="containsText" text="СЗЧ">
      <formula>NOT(ISERROR(SEARCH(("СЗЧ"),(U564))))</formula>
    </cfRule>
  </conditionalFormatting>
  <conditionalFormatting sqref="U564">
    <cfRule type="containsText" dxfId="6" priority="4439" operator="containsText" text="Зниклі безвісти">
      <formula>NOT(ISERROR(SEARCH(("Зниклі безвісти"),(U564))))</formula>
    </cfRule>
  </conditionalFormatting>
  <conditionalFormatting sqref="U564">
    <cfRule type="containsText" dxfId="7" priority="4440" operator="containsText" text="Від-ні навчання">
      <formula>NOT(ISERROR(SEARCH(("Від-ні навчання"),(U564))))</formula>
    </cfRule>
  </conditionalFormatting>
  <conditionalFormatting sqref="U564">
    <cfRule type="containsText" dxfId="8" priority="4441" operator="containsText" text="Відком. за межі ПБ">
      <formula>NOT(ISERROR(SEARCH(("Відком. за межі ПБ"),(U564))))</formula>
    </cfRule>
  </conditionalFormatting>
  <conditionalFormatting sqref="U564">
    <cfRule type="containsText" dxfId="9" priority="4442" operator="containsText" text="Загиблі">
      <formula>NOT(ISERROR(SEARCH(("Загиблі"),(U564))))</formula>
    </cfRule>
  </conditionalFormatting>
  <conditionalFormatting sqref="U564">
    <cfRule type="containsText" dxfId="10" priority="4443" operator="containsText" text="Лікування">
      <formula>NOT(ISERROR(SEARCH(("Лікування"),(U564))))</formula>
    </cfRule>
  </conditionalFormatting>
  <conditionalFormatting sqref="U564">
    <cfRule type="containsText" dxfId="10" priority="4444" operator="containsText" text="Лікування">
      <formula>NOT(ISERROR(SEARCH(("Лікування"),(U564))))</formula>
    </cfRule>
  </conditionalFormatting>
  <conditionalFormatting sqref="U564">
    <cfRule type="containsText" dxfId="9" priority="4445" operator="containsText" text="Загиблі">
      <formula>NOT(ISERROR(SEARCH(("Загиблі"),(U564))))</formula>
    </cfRule>
  </conditionalFormatting>
  <conditionalFormatting sqref="U564">
    <cfRule type="containsText" dxfId="8" priority="4446" operator="containsText" text="Відком. за межі ПБ">
      <formula>NOT(ISERROR(SEARCH(("Відком. за межі ПБ"),(U564))))</formula>
    </cfRule>
  </conditionalFormatting>
  <conditionalFormatting sqref="U564">
    <cfRule type="containsText" dxfId="7" priority="4447" operator="containsText" text="Від-ні навчання">
      <formula>NOT(ISERROR(SEARCH(("Від-ні навчання"),(U564))))</formula>
    </cfRule>
  </conditionalFormatting>
  <conditionalFormatting sqref="U564">
    <cfRule type="containsText" dxfId="6" priority="4448" operator="containsText" text="Зниклі безвісти">
      <formula>NOT(ISERROR(SEARCH(("Зниклі безвісти"),(U564))))</formula>
    </cfRule>
  </conditionalFormatting>
  <conditionalFormatting sqref="U564">
    <cfRule type="containsText" dxfId="5" priority="4449" operator="containsText" text="СЗЧ">
      <formula>NOT(ISERROR(SEARCH(("СЗЧ"),(U564))))</formula>
    </cfRule>
  </conditionalFormatting>
  <conditionalFormatting sqref="U564">
    <cfRule type="containsText" dxfId="4" priority="4450" operator="containsText" text="Відпустка">
      <formula>NOT(ISERROR(SEARCH(("Відпустка"),(U564))))</formula>
    </cfRule>
  </conditionalFormatting>
  <conditionalFormatting sqref="U564">
    <cfRule type="containsText" dxfId="3" priority="4451" operator="containsText" text="В строю">
      <formula>NOT(ISERROR(SEARCH(("В строю"),(U564))))</formula>
    </cfRule>
  </conditionalFormatting>
  <conditionalFormatting sqref="Q564">
    <cfRule type="cellIs" dxfId="9" priority="4452" operator="notEqual">
      <formula>P564</formula>
    </cfRule>
  </conditionalFormatting>
  <conditionalFormatting sqref="Q564">
    <cfRule type="cellIs" dxfId="3" priority="4453" operator="equal">
      <formula>P564</formula>
    </cfRule>
  </conditionalFormatting>
  <conditionalFormatting sqref="E561:E563 N561:N563">
    <cfRule type="expression" dxfId="0" priority="4454">
      <formula>COUNTIF(#REF!, E561) &gt; 1</formula>
    </cfRule>
  </conditionalFormatting>
  <conditionalFormatting sqref="Q561:Q563">
    <cfRule type="cellIs" dxfId="9" priority="4455" operator="notEqual">
      <formula>P561</formula>
    </cfRule>
  </conditionalFormatting>
  <conditionalFormatting sqref="Q561:Q563">
    <cfRule type="cellIs" dxfId="3" priority="4456" operator="equal">
      <formula>P561</formula>
    </cfRule>
  </conditionalFormatting>
  <conditionalFormatting sqref="U561:U563">
    <cfRule type="containsText" dxfId="3" priority="4457" operator="containsText" text="В строю">
      <formula>NOT(ISERROR(SEARCH(("В строю"),(U561))))</formula>
    </cfRule>
  </conditionalFormatting>
  <conditionalFormatting sqref="U561:U563">
    <cfRule type="containsText" dxfId="4" priority="4458" operator="containsText" text="Відпустка">
      <formula>NOT(ISERROR(SEARCH(("Відпустка"),(U561))))</formula>
    </cfRule>
  </conditionalFormatting>
  <conditionalFormatting sqref="U561:U563">
    <cfRule type="containsText" dxfId="5" priority="4459" operator="containsText" text="СЗЧ">
      <formula>NOT(ISERROR(SEARCH(("СЗЧ"),(U561))))</formula>
    </cfRule>
  </conditionalFormatting>
  <conditionalFormatting sqref="U561:U563">
    <cfRule type="containsText" dxfId="6" priority="4460" operator="containsText" text="Зниклі безвісти">
      <formula>NOT(ISERROR(SEARCH(("Зниклі безвісти"),(U561))))</formula>
    </cfRule>
  </conditionalFormatting>
  <conditionalFormatting sqref="U561:U563">
    <cfRule type="containsText" dxfId="7" priority="4461" operator="containsText" text="Від-ні навчання">
      <formula>NOT(ISERROR(SEARCH(("Від-ні навчання"),(U561))))</formula>
    </cfRule>
  </conditionalFormatting>
  <conditionalFormatting sqref="U561:U563">
    <cfRule type="containsText" dxfId="8" priority="4462" operator="containsText" text="Відком. за межі ПБ">
      <formula>NOT(ISERROR(SEARCH(("Відком. за межі ПБ"),(U561))))</formula>
    </cfRule>
  </conditionalFormatting>
  <conditionalFormatting sqref="U561:U563">
    <cfRule type="containsText" dxfId="9" priority="4463" operator="containsText" text="Загиблі">
      <formula>NOT(ISERROR(SEARCH(("Загиблі"),(U561))))</formula>
    </cfRule>
  </conditionalFormatting>
  <conditionalFormatting sqref="U561:U563">
    <cfRule type="containsText" dxfId="10" priority="4464" operator="containsText" text="Лікування">
      <formula>NOT(ISERROR(SEARCH(("Лікування"),(U561))))</formula>
    </cfRule>
  </conditionalFormatting>
  <conditionalFormatting sqref="U561:U563">
    <cfRule type="containsText" dxfId="3" priority="4465" operator="containsText" text="В строю">
      <formula>NOT(ISERROR(SEARCH(("В строю"),(U561))))</formula>
    </cfRule>
  </conditionalFormatting>
  <conditionalFormatting sqref="U561:U563">
    <cfRule type="containsText" dxfId="4" priority="4466" operator="containsText" text="Відпустка">
      <formula>NOT(ISERROR(SEARCH(("Відпустка"),(U561))))</formula>
    </cfRule>
  </conditionalFormatting>
  <conditionalFormatting sqref="U561:U563">
    <cfRule type="containsText" dxfId="5" priority="4467" operator="containsText" text="СЗЧ">
      <formula>NOT(ISERROR(SEARCH(("СЗЧ"),(U561))))</formula>
    </cfRule>
  </conditionalFormatting>
  <conditionalFormatting sqref="U561:U563">
    <cfRule type="containsText" dxfId="6" priority="4468" operator="containsText" text="Зниклі безвісти">
      <formula>NOT(ISERROR(SEARCH(("Зниклі безвісти"),(U561))))</formula>
    </cfRule>
  </conditionalFormatting>
  <conditionalFormatting sqref="U561:U563">
    <cfRule type="containsText" dxfId="7" priority="4469" operator="containsText" text="Від-ні навчання">
      <formula>NOT(ISERROR(SEARCH(("Від-ні навчання"),(U561))))</formula>
    </cfRule>
  </conditionalFormatting>
  <conditionalFormatting sqref="U561:U563">
    <cfRule type="containsText" dxfId="8" priority="4470" operator="containsText" text="Відком. за межі ПБ">
      <formula>NOT(ISERROR(SEARCH(("Відком. за межі ПБ"),(U561))))</formula>
    </cfRule>
  </conditionalFormatting>
  <conditionalFormatting sqref="U561:U563">
    <cfRule type="containsText" dxfId="9" priority="4471" operator="containsText" text="Загиблі">
      <formula>NOT(ISERROR(SEARCH(("Загиблі"),(U561))))</formula>
    </cfRule>
  </conditionalFormatting>
  <conditionalFormatting sqref="U561:U563">
    <cfRule type="containsText" dxfId="10" priority="4472" operator="containsText" text="Лікування">
      <formula>NOT(ISERROR(SEARCH(("Лікування"),(U561))))</formula>
    </cfRule>
  </conditionalFormatting>
  <conditionalFormatting sqref="E560 N560">
    <cfRule type="expression" dxfId="0" priority="4473">
      <formula>COUNTIF(#REF!, E560) &gt; 1</formula>
    </cfRule>
  </conditionalFormatting>
  <conditionalFormatting sqref="U560">
    <cfRule type="containsText" dxfId="3" priority="4474" operator="containsText" text="В строю">
      <formula>NOT(ISERROR(SEARCH(("В строю"),(U560))))</formula>
    </cfRule>
  </conditionalFormatting>
  <conditionalFormatting sqref="U560">
    <cfRule type="containsText" dxfId="4" priority="4475" operator="containsText" text="Відпустка">
      <formula>NOT(ISERROR(SEARCH(("Відпустка"),(U560))))</formula>
    </cfRule>
  </conditionalFormatting>
  <conditionalFormatting sqref="U560">
    <cfRule type="containsText" dxfId="5" priority="4476" operator="containsText" text="СЗЧ">
      <formula>NOT(ISERROR(SEARCH(("СЗЧ"),(U560))))</formula>
    </cfRule>
  </conditionalFormatting>
  <conditionalFormatting sqref="U560">
    <cfRule type="containsText" dxfId="6" priority="4477" operator="containsText" text="Зниклі безвісти">
      <formula>NOT(ISERROR(SEARCH(("Зниклі безвісти"),(U560))))</formula>
    </cfRule>
  </conditionalFormatting>
  <conditionalFormatting sqref="U560">
    <cfRule type="containsText" dxfId="7" priority="4478" operator="containsText" text="Від-ні навчання">
      <formula>NOT(ISERROR(SEARCH(("Від-ні навчання"),(U560))))</formula>
    </cfRule>
  </conditionalFormatting>
  <conditionalFormatting sqref="U560">
    <cfRule type="containsText" dxfId="8" priority="4479" operator="containsText" text="Відком. за межі ПБ">
      <formula>NOT(ISERROR(SEARCH(("Відком. за межі ПБ"),(U560))))</formula>
    </cfRule>
  </conditionalFormatting>
  <conditionalFormatting sqref="U560">
    <cfRule type="containsText" dxfId="9" priority="4480" operator="containsText" text="Загиблі">
      <formula>NOT(ISERROR(SEARCH(("Загиблі"),(U560))))</formula>
    </cfRule>
  </conditionalFormatting>
  <conditionalFormatting sqref="U560">
    <cfRule type="containsText" dxfId="10" priority="4481" operator="containsText" text="Лікування">
      <formula>NOT(ISERROR(SEARCH(("Лікування"),(U560))))</formula>
    </cfRule>
  </conditionalFormatting>
  <conditionalFormatting sqref="U560">
    <cfRule type="containsText" dxfId="3" priority="4482" operator="containsText" text="В строю">
      <formula>NOT(ISERROR(SEARCH(("В строю"),(U560))))</formula>
    </cfRule>
  </conditionalFormatting>
  <conditionalFormatting sqref="U560">
    <cfRule type="containsText" dxfId="4" priority="4483" operator="containsText" text="Відпустка">
      <formula>NOT(ISERROR(SEARCH(("Відпустка"),(U560))))</formula>
    </cfRule>
  </conditionalFormatting>
  <conditionalFormatting sqref="U560">
    <cfRule type="containsText" dxfId="5" priority="4484" operator="containsText" text="СЗЧ">
      <formula>NOT(ISERROR(SEARCH(("СЗЧ"),(U560))))</formula>
    </cfRule>
  </conditionalFormatting>
  <conditionalFormatting sqref="U560">
    <cfRule type="containsText" dxfId="6" priority="4485" operator="containsText" text="Зниклі безвісти">
      <formula>NOT(ISERROR(SEARCH(("Зниклі безвісти"),(U560))))</formula>
    </cfRule>
  </conditionalFormatting>
  <conditionalFormatting sqref="U560">
    <cfRule type="containsText" dxfId="7" priority="4486" operator="containsText" text="Від-ні навчання">
      <formula>NOT(ISERROR(SEARCH(("Від-ні навчання"),(U560))))</formula>
    </cfRule>
  </conditionalFormatting>
  <conditionalFormatting sqref="U560">
    <cfRule type="containsText" dxfId="8" priority="4487" operator="containsText" text="Відком. за межі ПБ">
      <formula>NOT(ISERROR(SEARCH(("Відком. за межі ПБ"),(U560))))</formula>
    </cfRule>
  </conditionalFormatting>
  <conditionalFormatting sqref="U560">
    <cfRule type="containsText" dxfId="9" priority="4488" operator="containsText" text="Загиблі">
      <formula>NOT(ISERROR(SEARCH(("Загиблі"),(U560))))</formula>
    </cfRule>
  </conditionalFormatting>
  <conditionalFormatting sqref="U560">
    <cfRule type="containsText" dxfId="10" priority="4489" operator="containsText" text="Лікування">
      <formula>NOT(ISERROR(SEARCH(("Лікування"),(U560))))</formula>
    </cfRule>
  </conditionalFormatting>
  <conditionalFormatting sqref="Q560">
    <cfRule type="cellIs" dxfId="9" priority="4490" operator="notEqual">
      <formula>P560</formula>
    </cfRule>
  </conditionalFormatting>
  <conditionalFormatting sqref="Q560">
    <cfRule type="cellIs" dxfId="3" priority="4491" operator="equal">
      <formula>P560</formula>
    </cfRule>
  </conditionalFormatting>
  <conditionalFormatting sqref="N559">
    <cfRule type="expression" dxfId="0" priority="4492">
      <formula>COUNTIF(#REF!, N559) &gt; 1</formula>
    </cfRule>
  </conditionalFormatting>
  <conditionalFormatting sqref="U559">
    <cfRule type="containsText" dxfId="10" priority="4493" operator="containsText" text="Лікування">
      <formula>NOT(ISERROR(SEARCH(("Лікування"),(U559))))</formula>
    </cfRule>
  </conditionalFormatting>
  <conditionalFormatting sqref="U559">
    <cfRule type="containsText" dxfId="9" priority="4494" operator="containsText" text="Загиблі">
      <formula>NOT(ISERROR(SEARCH(("Загиблі"),(U559))))</formula>
    </cfRule>
  </conditionalFormatting>
  <conditionalFormatting sqref="U559">
    <cfRule type="containsText" dxfId="8" priority="4495" operator="containsText" text="Відком. за межі ПБ">
      <formula>NOT(ISERROR(SEARCH(("Відком. за межі ПБ"),(U559))))</formula>
    </cfRule>
  </conditionalFormatting>
  <conditionalFormatting sqref="U559">
    <cfRule type="containsText" dxfId="7" priority="4496" operator="containsText" text="Від-ні навчання">
      <formula>NOT(ISERROR(SEARCH(("Від-ні навчання"),(U559))))</formula>
    </cfRule>
  </conditionalFormatting>
  <conditionalFormatting sqref="U559">
    <cfRule type="containsText" dxfId="6" priority="4497" operator="containsText" text="Зниклі безвісти">
      <formula>NOT(ISERROR(SEARCH(("Зниклі безвісти"),(U559))))</formula>
    </cfRule>
  </conditionalFormatting>
  <conditionalFormatting sqref="U559">
    <cfRule type="containsText" dxfId="5" priority="4498" operator="containsText" text="СЗЧ">
      <formula>NOT(ISERROR(SEARCH(("СЗЧ"),(U559))))</formula>
    </cfRule>
  </conditionalFormatting>
  <conditionalFormatting sqref="U559">
    <cfRule type="containsText" dxfId="4" priority="4499" operator="containsText" text="Відпустка">
      <formula>NOT(ISERROR(SEARCH(("Відпустка"),(U559))))</formula>
    </cfRule>
  </conditionalFormatting>
  <conditionalFormatting sqref="U559">
    <cfRule type="containsText" dxfId="3" priority="4500" operator="containsText" text="В строю">
      <formula>NOT(ISERROR(SEARCH(("В строю"),(U559))))</formula>
    </cfRule>
  </conditionalFormatting>
  <conditionalFormatting sqref="Q559">
    <cfRule type="cellIs" dxfId="9" priority="4501" operator="notEqual">
      <formula>P559</formula>
    </cfRule>
  </conditionalFormatting>
  <conditionalFormatting sqref="Q559">
    <cfRule type="cellIs" dxfId="3" priority="4502" operator="equal">
      <formula>P559</formula>
    </cfRule>
  </conditionalFormatting>
  <conditionalFormatting sqref="Q558">
    <cfRule type="cellIs" dxfId="9" priority="4503" operator="notEqual">
      <formula>P558</formula>
    </cfRule>
  </conditionalFormatting>
  <conditionalFormatting sqref="Q558">
    <cfRule type="cellIs" dxfId="3" priority="4504" operator="equal">
      <formula>P558</formula>
    </cfRule>
  </conditionalFormatting>
  <conditionalFormatting sqref="N558">
    <cfRule type="expression" dxfId="0" priority="4505">
      <formula>COUNTIF(#REF!, N558) &gt; 1</formula>
    </cfRule>
  </conditionalFormatting>
  <conditionalFormatting sqref="U558">
    <cfRule type="containsText" dxfId="10" priority="4506" operator="containsText" text="Лікування">
      <formula>NOT(ISERROR(SEARCH(("Лікування"),(U558))))</formula>
    </cfRule>
  </conditionalFormatting>
  <conditionalFormatting sqref="U558">
    <cfRule type="containsText" dxfId="9" priority="4507" operator="containsText" text="Загиблі">
      <formula>NOT(ISERROR(SEARCH(("Загиблі"),(U558))))</formula>
    </cfRule>
  </conditionalFormatting>
  <conditionalFormatting sqref="U558">
    <cfRule type="containsText" dxfId="8" priority="4508" operator="containsText" text="Відком. за межі ПБ">
      <formula>NOT(ISERROR(SEARCH(("Відком. за межі ПБ"),(U558))))</formula>
    </cfRule>
  </conditionalFormatting>
  <conditionalFormatting sqref="U558">
    <cfRule type="containsText" dxfId="7" priority="4509" operator="containsText" text="Від-ні навчання">
      <formula>NOT(ISERROR(SEARCH(("Від-ні навчання"),(U558))))</formula>
    </cfRule>
  </conditionalFormatting>
  <conditionalFormatting sqref="U558">
    <cfRule type="containsText" dxfId="6" priority="4510" operator="containsText" text="Зниклі безвісти">
      <formula>NOT(ISERROR(SEARCH(("Зниклі безвісти"),(U558))))</formula>
    </cfRule>
  </conditionalFormatting>
  <conditionalFormatting sqref="U558">
    <cfRule type="containsText" dxfId="5" priority="4511" operator="containsText" text="СЗЧ">
      <formula>NOT(ISERROR(SEARCH(("СЗЧ"),(U558))))</formula>
    </cfRule>
  </conditionalFormatting>
  <conditionalFormatting sqref="U558">
    <cfRule type="containsText" dxfId="4" priority="4512" operator="containsText" text="Відпустка">
      <formula>NOT(ISERROR(SEARCH(("Відпустка"),(U558))))</formula>
    </cfRule>
  </conditionalFormatting>
  <conditionalFormatting sqref="U558">
    <cfRule type="containsText" dxfId="3" priority="4513" operator="containsText" text="В строю">
      <formula>NOT(ISERROR(SEARCH(("В строю"),(U558))))</formula>
    </cfRule>
  </conditionalFormatting>
  <conditionalFormatting sqref="U557">
    <cfRule type="containsText" dxfId="10" priority="4514" operator="containsText" text="Лікування">
      <formula>NOT(ISERROR(SEARCH(("Лікування"),(U557))))</formula>
    </cfRule>
  </conditionalFormatting>
  <conditionalFormatting sqref="U557">
    <cfRule type="containsText" dxfId="9" priority="4515" operator="containsText" text="Загиблі">
      <formula>NOT(ISERROR(SEARCH(("Загиблі"),(U557))))</formula>
    </cfRule>
  </conditionalFormatting>
  <conditionalFormatting sqref="U557">
    <cfRule type="containsText" dxfId="8" priority="4516" operator="containsText" text="Відком. за межі ПБ">
      <formula>NOT(ISERROR(SEARCH(("Відком. за межі ПБ"),(U557))))</formula>
    </cfRule>
  </conditionalFormatting>
  <conditionalFormatting sqref="U557">
    <cfRule type="containsText" dxfId="7" priority="4517" operator="containsText" text="Від-ні навчання">
      <formula>NOT(ISERROR(SEARCH(("Від-ні навчання"),(U557))))</formula>
    </cfRule>
  </conditionalFormatting>
  <conditionalFormatting sqref="U557">
    <cfRule type="containsText" dxfId="6" priority="4518" operator="containsText" text="Зниклі безвісти">
      <formula>NOT(ISERROR(SEARCH(("Зниклі безвісти"),(U557))))</formula>
    </cfRule>
  </conditionalFormatting>
  <conditionalFormatting sqref="U557">
    <cfRule type="containsText" dxfId="5" priority="4519" operator="containsText" text="СЗЧ">
      <formula>NOT(ISERROR(SEARCH(("СЗЧ"),(U557))))</formula>
    </cfRule>
  </conditionalFormatting>
  <conditionalFormatting sqref="U557">
    <cfRule type="containsText" dxfId="4" priority="4520" operator="containsText" text="Відпустка">
      <formula>NOT(ISERROR(SEARCH(("Відпустка"),(U557))))</formula>
    </cfRule>
  </conditionalFormatting>
  <conditionalFormatting sqref="U557">
    <cfRule type="containsText" dxfId="3" priority="4521" operator="containsText" text="В строю">
      <formula>NOT(ISERROR(SEARCH(("В строю"),(U557))))</formula>
    </cfRule>
  </conditionalFormatting>
  <conditionalFormatting sqref="Q557">
    <cfRule type="cellIs" dxfId="9" priority="4522" operator="notEqual">
      <formula>P557</formula>
    </cfRule>
  </conditionalFormatting>
  <conditionalFormatting sqref="Q557">
    <cfRule type="cellIs" dxfId="3" priority="4523" operator="equal">
      <formula>P557</formula>
    </cfRule>
  </conditionalFormatting>
  <conditionalFormatting sqref="U556">
    <cfRule type="containsText" dxfId="10" priority="4524" operator="containsText" text="Лікування">
      <formula>NOT(ISERROR(SEARCH(("Лікування"),(U556))))</formula>
    </cfRule>
  </conditionalFormatting>
  <conditionalFormatting sqref="U556">
    <cfRule type="containsText" dxfId="9" priority="4525" operator="containsText" text="Загиблі">
      <formula>NOT(ISERROR(SEARCH(("Загиблі"),(U556))))</formula>
    </cfRule>
  </conditionalFormatting>
  <conditionalFormatting sqref="U556">
    <cfRule type="containsText" dxfId="8" priority="4526" operator="containsText" text="Відком. за межі ПБ">
      <formula>NOT(ISERROR(SEARCH(("Відком. за межі ПБ"),(U556))))</formula>
    </cfRule>
  </conditionalFormatting>
  <conditionalFormatting sqref="U556">
    <cfRule type="containsText" dxfId="7" priority="4527" operator="containsText" text="Від-ні навчання">
      <formula>NOT(ISERROR(SEARCH(("Від-ні навчання"),(U556))))</formula>
    </cfRule>
  </conditionalFormatting>
  <conditionalFormatting sqref="U556">
    <cfRule type="containsText" dxfId="6" priority="4528" operator="containsText" text="Зниклі безвісти">
      <formula>NOT(ISERROR(SEARCH(("Зниклі безвісти"),(U556))))</formula>
    </cfRule>
  </conditionalFormatting>
  <conditionalFormatting sqref="U556">
    <cfRule type="containsText" dxfId="5" priority="4529" operator="containsText" text="СЗЧ">
      <formula>NOT(ISERROR(SEARCH(("СЗЧ"),(U556))))</formula>
    </cfRule>
  </conditionalFormatting>
  <conditionalFormatting sqref="U556">
    <cfRule type="containsText" dxfId="4" priority="4530" operator="containsText" text="Відпустка">
      <formula>NOT(ISERROR(SEARCH(("Відпустка"),(U556))))</formula>
    </cfRule>
  </conditionalFormatting>
  <conditionalFormatting sqref="U556">
    <cfRule type="containsText" dxfId="3" priority="4531" operator="containsText" text="В строю">
      <formula>NOT(ISERROR(SEARCH(("В строю"),(U556))))</formula>
    </cfRule>
  </conditionalFormatting>
  <conditionalFormatting sqref="Q556">
    <cfRule type="cellIs" dxfId="9" priority="4532" operator="notEqual">
      <formula>P556</formula>
    </cfRule>
  </conditionalFormatting>
  <conditionalFormatting sqref="Q556">
    <cfRule type="cellIs" dxfId="3" priority="4533" operator="equal">
      <formula>P556</formula>
    </cfRule>
  </conditionalFormatting>
  <conditionalFormatting sqref="U554:U555">
    <cfRule type="containsText" dxfId="10" priority="4534" operator="containsText" text="Лікування">
      <formula>NOT(ISERROR(SEARCH(("Лікування"),(U554))))</formula>
    </cfRule>
  </conditionalFormatting>
  <conditionalFormatting sqref="U554:U555">
    <cfRule type="containsText" dxfId="9" priority="4535" operator="containsText" text="Загиблі">
      <formula>NOT(ISERROR(SEARCH(("Загиблі"),(U554))))</formula>
    </cfRule>
  </conditionalFormatting>
  <conditionalFormatting sqref="U554:U555">
    <cfRule type="containsText" dxfId="8" priority="4536" operator="containsText" text="Відком. за межі ПБ">
      <formula>NOT(ISERROR(SEARCH(("Відком. за межі ПБ"),(U554))))</formula>
    </cfRule>
  </conditionalFormatting>
  <conditionalFormatting sqref="U554:U555">
    <cfRule type="containsText" dxfId="7" priority="4537" operator="containsText" text="Від-ні навчання">
      <formula>NOT(ISERROR(SEARCH(("Від-ні навчання"),(U554))))</formula>
    </cfRule>
  </conditionalFormatting>
  <conditionalFormatting sqref="U554:U555">
    <cfRule type="containsText" dxfId="6" priority="4538" operator="containsText" text="Зниклі безвісти">
      <formula>NOT(ISERROR(SEARCH(("Зниклі безвісти"),(U554))))</formula>
    </cfRule>
  </conditionalFormatting>
  <conditionalFormatting sqref="U554:U555">
    <cfRule type="containsText" dxfId="5" priority="4539" operator="containsText" text="СЗЧ">
      <formula>NOT(ISERROR(SEARCH(("СЗЧ"),(U554))))</formula>
    </cfRule>
  </conditionalFormatting>
  <conditionalFormatting sqref="U554:U555">
    <cfRule type="containsText" dxfId="4" priority="4540" operator="containsText" text="Відпустка">
      <formula>NOT(ISERROR(SEARCH(("Відпустка"),(U554))))</formula>
    </cfRule>
  </conditionalFormatting>
  <conditionalFormatting sqref="U554:U555">
    <cfRule type="containsText" dxfId="3" priority="4541" operator="containsText" text="В строю">
      <formula>NOT(ISERROR(SEARCH(("В строю"),(U554))))</formula>
    </cfRule>
  </conditionalFormatting>
  <conditionalFormatting sqref="N555">
    <cfRule type="expression" dxfId="0" priority="4542">
      <formula>COUNTIF(#REF!, N555) &gt; 1</formula>
    </cfRule>
  </conditionalFormatting>
  <conditionalFormatting sqref="Q554:Q555">
    <cfRule type="cellIs" dxfId="9" priority="4543" operator="notEqual">
      <formula>P554</formula>
    </cfRule>
  </conditionalFormatting>
  <conditionalFormatting sqref="Q554:Q555">
    <cfRule type="cellIs" dxfId="3" priority="4544" operator="equal">
      <formula>P554</formula>
    </cfRule>
  </conditionalFormatting>
  <conditionalFormatting sqref="Q553">
    <cfRule type="cellIs" dxfId="9" priority="4545" operator="notEqual">
      <formula>P553</formula>
    </cfRule>
  </conditionalFormatting>
  <conditionalFormatting sqref="Q553">
    <cfRule type="cellIs" dxfId="3" priority="4546" operator="equal">
      <formula>P553</formula>
    </cfRule>
  </conditionalFormatting>
  <conditionalFormatting sqref="U553">
    <cfRule type="containsText" dxfId="10" priority="4547" operator="containsText" text="Лікування">
      <formula>NOT(ISERROR(SEARCH(("Лікування"),(U553))))</formula>
    </cfRule>
  </conditionalFormatting>
  <conditionalFormatting sqref="U553">
    <cfRule type="containsText" dxfId="9" priority="4548" operator="containsText" text="Загиблі">
      <formula>NOT(ISERROR(SEARCH(("Загиблі"),(U553))))</formula>
    </cfRule>
  </conditionalFormatting>
  <conditionalFormatting sqref="U553">
    <cfRule type="containsText" dxfId="8" priority="4549" operator="containsText" text="Відком. за межі ПБ">
      <formula>NOT(ISERROR(SEARCH(("Відком. за межі ПБ"),(U553))))</formula>
    </cfRule>
  </conditionalFormatting>
  <conditionalFormatting sqref="U553">
    <cfRule type="containsText" dxfId="7" priority="4550" operator="containsText" text="Від-ні навчання">
      <formula>NOT(ISERROR(SEARCH(("Від-ні навчання"),(U553))))</formula>
    </cfRule>
  </conditionalFormatting>
  <conditionalFormatting sqref="U553">
    <cfRule type="containsText" dxfId="6" priority="4551" operator="containsText" text="Зниклі безвісти">
      <formula>NOT(ISERROR(SEARCH(("Зниклі безвісти"),(U553))))</formula>
    </cfRule>
  </conditionalFormatting>
  <conditionalFormatting sqref="U553">
    <cfRule type="containsText" dxfId="5" priority="4552" operator="containsText" text="СЗЧ">
      <formula>NOT(ISERROR(SEARCH(("СЗЧ"),(U553))))</formula>
    </cfRule>
  </conditionalFormatting>
  <conditionalFormatting sqref="U553">
    <cfRule type="containsText" dxfId="4" priority="4553" operator="containsText" text="Відпустка">
      <formula>NOT(ISERROR(SEARCH(("Відпустка"),(U553))))</formula>
    </cfRule>
  </conditionalFormatting>
  <conditionalFormatting sqref="U553">
    <cfRule type="containsText" dxfId="3" priority="4554" operator="containsText" text="В строю">
      <formula>NOT(ISERROR(SEARCH(("В строю"),(U553))))</formula>
    </cfRule>
  </conditionalFormatting>
  <conditionalFormatting sqref="K552 N552">
    <cfRule type="expression" dxfId="0" priority="4555">
      <formula>COUNTIF(#REF!, N552) &gt; 1</formula>
    </cfRule>
  </conditionalFormatting>
  <conditionalFormatting sqref="U552">
    <cfRule type="containsText" dxfId="10" priority="4556" operator="containsText" text="Лікування">
      <formula>NOT(ISERROR(SEARCH(("Лікування"),(U552))))</formula>
    </cfRule>
  </conditionalFormatting>
  <conditionalFormatting sqref="U552">
    <cfRule type="containsText" dxfId="9" priority="4557" operator="containsText" text="Загиблі">
      <formula>NOT(ISERROR(SEARCH(("Загиблі"),(U552))))</formula>
    </cfRule>
  </conditionalFormatting>
  <conditionalFormatting sqref="U552">
    <cfRule type="containsText" dxfId="8" priority="4558" operator="containsText" text="Відком. за межі ПБ">
      <formula>NOT(ISERROR(SEARCH(("Відком. за межі ПБ"),(U552))))</formula>
    </cfRule>
  </conditionalFormatting>
  <conditionalFormatting sqref="U552">
    <cfRule type="containsText" dxfId="7" priority="4559" operator="containsText" text="Від-ні навчання">
      <formula>NOT(ISERROR(SEARCH(("Від-ні навчання"),(U552))))</formula>
    </cfRule>
  </conditionalFormatting>
  <conditionalFormatting sqref="U552">
    <cfRule type="containsText" dxfId="6" priority="4560" operator="containsText" text="Зниклі безвісти">
      <formula>NOT(ISERROR(SEARCH(("Зниклі безвісти"),(U552))))</formula>
    </cfRule>
  </conditionalFormatting>
  <conditionalFormatting sqref="U552">
    <cfRule type="containsText" dxfId="5" priority="4561" operator="containsText" text="СЗЧ">
      <formula>NOT(ISERROR(SEARCH(("СЗЧ"),(U552))))</formula>
    </cfRule>
  </conditionalFormatting>
  <conditionalFormatting sqref="U552">
    <cfRule type="containsText" dxfId="4" priority="4562" operator="containsText" text="Відпустка">
      <formula>NOT(ISERROR(SEARCH(("Відпустка"),(U552))))</formula>
    </cfRule>
  </conditionalFormatting>
  <conditionalFormatting sqref="U552">
    <cfRule type="containsText" dxfId="3" priority="4563" operator="containsText" text="В строю">
      <formula>NOT(ISERROR(SEARCH(("В строю"),(U552))))</formula>
    </cfRule>
  </conditionalFormatting>
  <conditionalFormatting sqref="Q552">
    <cfRule type="cellIs" dxfId="9" priority="4564" operator="notEqual">
      <formula>P552</formula>
    </cfRule>
  </conditionalFormatting>
  <conditionalFormatting sqref="Q552">
    <cfRule type="cellIs" dxfId="3" priority="4565" operator="equal">
      <formula>P552</formula>
    </cfRule>
  </conditionalFormatting>
  <conditionalFormatting sqref="Q551">
    <cfRule type="cellIs" dxfId="3" priority="4566" operator="equal">
      <formula>P551</formula>
    </cfRule>
  </conditionalFormatting>
  <conditionalFormatting sqref="Q551">
    <cfRule type="cellIs" dxfId="9" priority="4567" operator="notEqual">
      <formula>P551</formula>
    </cfRule>
  </conditionalFormatting>
  <conditionalFormatting sqref="U551">
    <cfRule type="containsText" dxfId="3" priority="4568" operator="containsText" text="В строю">
      <formula>NOT(ISERROR(SEARCH(("В строю"),(U551))))</formula>
    </cfRule>
  </conditionalFormatting>
  <conditionalFormatting sqref="U551">
    <cfRule type="containsText" dxfId="4" priority="4569" operator="containsText" text="Відпустка">
      <formula>NOT(ISERROR(SEARCH(("Відпустка"),(U551))))</formula>
    </cfRule>
  </conditionalFormatting>
  <conditionalFormatting sqref="U551">
    <cfRule type="containsText" dxfId="5" priority="4570" operator="containsText" text="СЗЧ">
      <formula>NOT(ISERROR(SEARCH(("СЗЧ"),(U551))))</formula>
    </cfRule>
  </conditionalFormatting>
  <conditionalFormatting sqref="U551">
    <cfRule type="containsText" dxfId="6" priority="4571" operator="containsText" text="Зниклі безвісти">
      <formula>NOT(ISERROR(SEARCH(("Зниклі безвісти"),(U551))))</formula>
    </cfRule>
  </conditionalFormatting>
  <conditionalFormatting sqref="U551">
    <cfRule type="containsText" dxfId="7" priority="4572" operator="containsText" text="Від-ні навчання">
      <formula>NOT(ISERROR(SEARCH(("Від-ні навчання"),(U551))))</formula>
    </cfRule>
  </conditionalFormatting>
  <conditionalFormatting sqref="U551">
    <cfRule type="containsText" dxfId="8" priority="4573" operator="containsText" text="Відком. за межі ПБ">
      <formula>NOT(ISERROR(SEARCH(("Відком. за межі ПБ"),(U551))))</formula>
    </cfRule>
  </conditionalFormatting>
  <conditionalFormatting sqref="U551">
    <cfRule type="containsText" dxfId="9" priority="4574" operator="containsText" text="Загиблі">
      <formula>NOT(ISERROR(SEARCH(("Загиблі"),(U551))))</formula>
    </cfRule>
  </conditionalFormatting>
  <conditionalFormatting sqref="U551">
    <cfRule type="containsText" dxfId="10" priority="4575" operator="containsText" text="Лікування">
      <formula>NOT(ISERROR(SEARCH(("Лікування"),(U551))))</formula>
    </cfRule>
  </conditionalFormatting>
  <conditionalFormatting sqref="Q550">
    <cfRule type="cellIs" dxfId="9" priority="4576" operator="notEqual">
      <formula>P550</formula>
    </cfRule>
  </conditionalFormatting>
  <conditionalFormatting sqref="Q550">
    <cfRule type="cellIs" dxfId="3" priority="4577" operator="equal">
      <formula>P550</formula>
    </cfRule>
  </conditionalFormatting>
  <conditionalFormatting sqref="U550">
    <cfRule type="containsText" dxfId="10" priority="4578" operator="containsText" text="Лікування">
      <formula>NOT(ISERROR(SEARCH(("Лікування"),(U550))))</formula>
    </cfRule>
  </conditionalFormatting>
  <conditionalFormatting sqref="U550">
    <cfRule type="containsText" dxfId="9" priority="4579" operator="containsText" text="Загиблі">
      <formula>NOT(ISERROR(SEARCH(("Загиблі"),(U550))))</formula>
    </cfRule>
  </conditionalFormatting>
  <conditionalFormatting sqref="U550">
    <cfRule type="containsText" dxfId="8" priority="4580" operator="containsText" text="Відком. за межі ПБ">
      <formula>NOT(ISERROR(SEARCH(("Відком. за межі ПБ"),(U550))))</formula>
    </cfRule>
  </conditionalFormatting>
  <conditionalFormatting sqref="U550">
    <cfRule type="containsText" dxfId="7" priority="4581" operator="containsText" text="Від-ні навчання">
      <formula>NOT(ISERROR(SEARCH(("Від-ні навчання"),(U550))))</formula>
    </cfRule>
  </conditionalFormatting>
  <conditionalFormatting sqref="U550">
    <cfRule type="containsText" dxfId="6" priority="4582" operator="containsText" text="Зниклі безвісти">
      <formula>NOT(ISERROR(SEARCH(("Зниклі безвісти"),(U550))))</formula>
    </cfRule>
  </conditionalFormatting>
  <conditionalFormatting sqref="U550">
    <cfRule type="containsText" dxfId="5" priority="4583" operator="containsText" text="СЗЧ">
      <formula>NOT(ISERROR(SEARCH(("СЗЧ"),(U550))))</formula>
    </cfRule>
  </conditionalFormatting>
  <conditionalFormatting sqref="U550">
    <cfRule type="containsText" dxfId="4" priority="4584" operator="containsText" text="Відпустка">
      <formula>NOT(ISERROR(SEARCH(("Відпустка"),(U550))))</formula>
    </cfRule>
  </conditionalFormatting>
  <conditionalFormatting sqref="U550">
    <cfRule type="containsText" dxfId="3" priority="4585" operator="containsText" text="В строю">
      <formula>NOT(ISERROR(SEARCH(("В строю"),(U550))))</formula>
    </cfRule>
  </conditionalFormatting>
  <conditionalFormatting sqref="Q549">
    <cfRule type="cellIs" dxfId="9" priority="4586" operator="notEqual">
      <formula>P549</formula>
    </cfRule>
  </conditionalFormatting>
  <conditionalFormatting sqref="Q549">
    <cfRule type="cellIs" dxfId="3" priority="4587" operator="equal">
      <formula>P549</formula>
    </cfRule>
  </conditionalFormatting>
  <conditionalFormatting sqref="U549">
    <cfRule type="containsText" dxfId="10" priority="4588" operator="containsText" text="Лікування">
      <formula>NOT(ISERROR(SEARCH(("Лікування"),(U549))))</formula>
    </cfRule>
  </conditionalFormatting>
  <conditionalFormatting sqref="U549">
    <cfRule type="containsText" dxfId="9" priority="4589" operator="containsText" text="Загиблі">
      <formula>NOT(ISERROR(SEARCH(("Загиблі"),(U549))))</formula>
    </cfRule>
  </conditionalFormatting>
  <conditionalFormatting sqref="U549">
    <cfRule type="containsText" dxfId="8" priority="4590" operator="containsText" text="Відком. за межі ПБ">
      <formula>NOT(ISERROR(SEARCH(("Відком. за межі ПБ"),(U549))))</formula>
    </cfRule>
  </conditionalFormatting>
  <conditionalFormatting sqref="U549">
    <cfRule type="containsText" dxfId="7" priority="4591" operator="containsText" text="Від-ні навчання">
      <formula>NOT(ISERROR(SEARCH(("Від-ні навчання"),(U549))))</formula>
    </cfRule>
  </conditionalFormatting>
  <conditionalFormatting sqref="U549">
    <cfRule type="containsText" dxfId="6" priority="4592" operator="containsText" text="Зниклі безвісти">
      <formula>NOT(ISERROR(SEARCH(("Зниклі безвісти"),(U549))))</formula>
    </cfRule>
  </conditionalFormatting>
  <conditionalFormatting sqref="U549">
    <cfRule type="containsText" dxfId="5" priority="4593" operator="containsText" text="СЗЧ">
      <formula>NOT(ISERROR(SEARCH(("СЗЧ"),(U549))))</formula>
    </cfRule>
  </conditionalFormatting>
  <conditionalFormatting sqref="U549">
    <cfRule type="containsText" dxfId="4" priority="4594" operator="containsText" text="Відпустка">
      <formula>NOT(ISERROR(SEARCH(("Відпустка"),(U549))))</formula>
    </cfRule>
  </conditionalFormatting>
  <conditionalFormatting sqref="U549">
    <cfRule type="containsText" dxfId="3" priority="4595" operator="containsText" text="В строю">
      <formula>NOT(ISERROR(SEARCH(("В строю"),(U549))))</formula>
    </cfRule>
  </conditionalFormatting>
  <conditionalFormatting sqref="N548">
    <cfRule type="expression" dxfId="0" priority="4596">
      <formula>COUNTIF(#REF!, N548) &gt; 1</formula>
    </cfRule>
  </conditionalFormatting>
  <conditionalFormatting sqref="Q548">
    <cfRule type="cellIs" dxfId="9" priority="4597" operator="notEqual">
      <formula>P548</formula>
    </cfRule>
  </conditionalFormatting>
  <conditionalFormatting sqref="Q548">
    <cfRule type="cellIs" dxfId="3" priority="4598" operator="equal">
      <formula>P548</formula>
    </cfRule>
  </conditionalFormatting>
  <conditionalFormatting sqref="U548">
    <cfRule type="containsText" dxfId="10" priority="4599" operator="containsText" text="Лікування">
      <formula>NOT(ISERROR(SEARCH(("Лікування"),(U548))))</formula>
    </cfRule>
  </conditionalFormatting>
  <conditionalFormatting sqref="U548">
    <cfRule type="containsText" dxfId="9" priority="4600" operator="containsText" text="Загиблі">
      <formula>NOT(ISERROR(SEARCH(("Загиблі"),(U548))))</formula>
    </cfRule>
  </conditionalFormatting>
  <conditionalFormatting sqref="U548">
    <cfRule type="containsText" dxfId="8" priority="4601" operator="containsText" text="Відком. за межі ПБ">
      <formula>NOT(ISERROR(SEARCH(("Відком. за межі ПБ"),(U548))))</formula>
    </cfRule>
  </conditionalFormatting>
  <conditionalFormatting sqref="U548">
    <cfRule type="containsText" dxfId="7" priority="4602" operator="containsText" text="Від-ні навчання">
      <formula>NOT(ISERROR(SEARCH(("Від-ні навчання"),(U548))))</formula>
    </cfRule>
  </conditionalFormatting>
  <conditionalFormatting sqref="U548">
    <cfRule type="containsText" dxfId="6" priority="4603" operator="containsText" text="Зниклі безвісти">
      <formula>NOT(ISERROR(SEARCH(("Зниклі безвісти"),(U548))))</formula>
    </cfRule>
  </conditionalFormatting>
  <conditionalFormatting sqref="U548">
    <cfRule type="containsText" dxfId="5" priority="4604" operator="containsText" text="СЗЧ">
      <formula>NOT(ISERROR(SEARCH(("СЗЧ"),(U548))))</formula>
    </cfRule>
  </conditionalFormatting>
  <conditionalFormatting sqref="U548">
    <cfRule type="containsText" dxfId="4" priority="4605" operator="containsText" text="Відпустка">
      <formula>NOT(ISERROR(SEARCH(("Відпустка"),(U548))))</formula>
    </cfRule>
  </conditionalFormatting>
  <conditionalFormatting sqref="U548">
    <cfRule type="containsText" dxfId="3" priority="4606" operator="containsText" text="В строю">
      <formula>NOT(ISERROR(SEARCH(("В строю"),(U548))))</formula>
    </cfRule>
  </conditionalFormatting>
  <conditionalFormatting sqref="Q547">
    <cfRule type="cellIs" dxfId="3" priority="4607" operator="equal">
      <formula>P547</formula>
    </cfRule>
  </conditionalFormatting>
  <conditionalFormatting sqref="Q547">
    <cfRule type="cellIs" dxfId="9" priority="4608" operator="notEqual">
      <formula>P547</formula>
    </cfRule>
  </conditionalFormatting>
  <conditionalFormatting sqref="N547">
    <cfRule type="expression" dxfId="0" priority="4609">
      <formula>COUNTIF(#REF!, N547) &gt; 1</formula>
    </cfRule>
  </conditionalFormatting>
  <conditionalFormatting sqref="U547">
    <cfRule type="containsText" dxfId="3" priority="4610" operator="containsText" text="В строю">
      <formula>NOT(ISERROR(SEARCH(("В строю"),(U547))))</formula>
    </cfRule>
  </conditionalFormatting>
  <conditionalFormatting sqref="U547">
    <cfRule type="containsText" dxfId="4" priority="4611" operator="containsText" text="Відпустка">
      <formula>NOT(ISERROR(SEARCH(("Відпустка"),(U547))))</formula>
    </cfRule>
  </conditionalFormatting>
  <conditionalFormatting sqref="U547">
    <cfRule type="containsText" dxfId="5" priority="4612" operator="containsText" text="СЗЧ">
      <formula>NOT(ISERROR(SEARCH(("СЗЧ"),(U547))))</formula>
    </cfRule>
  </conditionalFormatting>
  <conditionalFormatting sqref="U547">
    <cfRule type="containsText" dxfId="6" priority="4613" operator="containsText" text="Зниклі безвісти">
      <formula>NOT(ISERROR(SEARCH(("Зниклі безвісти"),(U547))))</formula>
    </cfRule>
  </conditionalFormatting>
  <conditionalFormatting sqref="U547">
    <cfRule type="containsText" dxfId="7" priority="4614" operator="containsText" text="Від-ні навчання">
      <formula>NOT(ISERROR(SEARCH(("Від-ні навчання"),(U547))))</formula>
    </cfRule>
  </conditionalFormatting>
  <conditionalFormatting sqref="U547">
    <cfRule type="containsText" dxfId="8" priority="4615" operator="containsText" text="Відком. за межі ПБ">
      <formula>NOT(ISERROR(SEARCH(("Відком. за межі ПБ"),(U547))))</formula>
    </cfRule>
  </conditionalFormatting>
  <conditionalFormatting sqref="U547">
    <cfRule type="containsText" dxfId="9" priority="4616" operator="containsText" text="Загиблі">
      <formula>NOT(ISERROR(SEARCH(("Загиблі"),(U547))))</formula>
    </cfRule>
  </conditionalFormatting>
  <conditionalFormatting sqref="U547">
    <cfRule type="containsText" dxfId="10" priority="4617" operator="containsText" text="Лікування">
      <formula>NOT(ISERROR(SEARCH(("Лікування"),(U547))))</formula>
    </cfRule>
  </conditionalFormatting>
  <conditionalFormatting sqref="N503:N520 N545:N546">
    <cfRule type="expression" dxfId="0" priority="4618">
      <formula>COUNTIF(#REF!, N503) &gt; 1</formula>
    </cfRule>
  </conditionalFormatting>
  <conditionalFormatting sqref="U503:U520 U545:U546">
    <cfRule type="containsText" dxfId="10" priority="4619" operator="containsText" text="Лікування">
      <formula>NOT(ISERROR(SEARCH(("Лікування"),(U503))))</formula>
    </cfRule>
  </conditionalFormatting>
  <conditionalFormatting sqref="U503:U520 U545:U546">
    <cfRule type="containsText" dxfId="9" priority="4620" operator="containsText" text="Загиблі">
      <formula>NOT(ISERROR(SEARCH(("Загиблі"),(U503))))</formula>
    </cfRule>
  </conditionalFormatting>
  <conditionalFormatting sqref="U503:U520 U545:U546">
    <cfRule type="containsText" dxfId="8" priority="4621" operator="containsText" text="Відком. за межі ПБ">
      <formula>NOT(ISERROR(SEARCH(("Відком. за межі ПБ"),(U503))))</formula>
    </cfRule>
  </conditionalFormatting>
  <conditionalFormatting sqref="U503:U520 U545:U546">
    <cfRule type="containsText" dxfId="7" priority="4622" operator="containsText" text="Від-ні навчання">
      <formula>NOT(ISERROR(SEARCH(("Від-ні навчання"),(U503))))</formula>
    </cfRule>
  </conditionalFormatting>
  <conditionalFormatting sqref="U503:U520 U545:U546">
    <cfRule type="containsText" dxfId="6" priority="4623" operator="containsText" text="Зниклі безвісти">
      <formula>NOT(ISERROR(SEARCH(("Зниклі безвісти"),(U503))))</formula>
    </cfRule>
  </conditionalFormatting>
  <conditionalFormatting sqref="U503:U520 U545:U546">
    <cfRule type="containsText" dxfId="5" priority="4624" operator="containsText" text="СЗЧ">
      <formula>NOT(ISERROR(SEARCH(("СЗЧ"),(U503))))</formula>
    </cfRule>
  </conditionalFormatting>
  <conditionalFormatting sqref="U503:U520 U545:U546">
    <cfRule type="containsText" dxfId="4" priority="4625" operator="containsText" text="Відпустка">
      <formula>NOT(ISERROR(SEARCH(("Відпустка"),(U503))))</formula>
    </cfRule>
  </conditionalFormatting>
  <conditionalFormatting sqref="U503:U520 U545:U546">
    <cfRule type="containsText" dxfId="3" priority="4626" operator="containsText" text="В строю">
      <formula>NOT(ISERROR(SEARCH(("В строю"),(U503))))</formula>
    </cfRule>
  </conditionalFormatting>
  <conditionalFormatting sqref="U490">
    <cfRule type="containsText" dxfId="8" priority="4627" operator="containsText" text="Відрядження в ПБ">
      <formula>NOT(ISERROR(SEARCH(("Відрядження в ПБ"),(U490))))</formula>
    </cfRule>
  </conditionalFormatting>
  <conditionalFormatting sqref="N498">
    <cfRule type="expression" dxfId="0" priority="4628">
      <formula>COUNTIF(#REF!, N498) &gt; 1</formula>
    </cfRule>
  </conditionalFormatting>
  <conditionalFormatting sqref="U498">
    <cfRule type="containsText" dxfId="3" priority="4629" operator="containsText" text="В строю">
      <formula>NOT(ISERROR(SEARCH(("В строю"),(U498))))</formula>
    </cfRule>
  </conditionalFormatting>
  <conditionalFormatting sqref="U498">
    <cfRule type="containsText" dxfId="4" priority="4630" operator="containsText" text="Відпустка">
      <formula>NOT(ISERROR(SEARCH(("Відпустка"),(U498))))</formula>
    </cfRule>
  </conditionalFormatting>
  <conditionalFormatting sqref="U498">
    <cfRule type="containsText" dxfId="5" priority="4631" operator="containsText" text="СЗЧ">
      <formula>NOT(ISERROR(SEARCH(("СЗЧ"),(U498))))</formula>
    </cfRule>
  </conditionalFormatting>
  <conditionalFormatting sqref="U498">
    <cfRule type="containsText" dxfId="6" priority="4632" operator="containsText" text="Зниклі безвісти">
      <formula>NOT(ISERROR(SEARCH(("Зниклі безвісти"),(U498))))</formula>
    </cfRule>
  </conditionalFormatting>
  <conditionalFormatting sqref="U498">
    <cfRule type="containsText" dxfId="7" priority="4633" operator="containsText" text="Від-ні навчання">
      <formula>NOT(ISERROR(SEARCH(("Від-ні навчання"),(U498))))</formula>
    </cfRule>
  </conditionalFormatting>
  <conditionalFormatting sqref="U498">
    <cfRule type="containsText" dxfId="8" priority="4634" operator="containsText" text="Відком. за межі ПБ">
      <formula>NOT(ISERROR(SEARCH(("Відком. за межі ПБ"),(U498))))</formula>
    </cfRule>
  </conditionalFormatting>
  <conditionalFormatting sqref="U498">
    <cfRule type="containsText" dxfId="9" priority="4635" operator="containsText" text="Загиблі">
      <formula>NOT(ISERROR(SEARCH(("Загиблі"),(U498))))</formula>
    </cfRule>
  </conditionalFormatting>
  <conditionalFormatting sqref="U498">
    <cfRule type="containsText" dxfId="10" priority="4636" operator="containsText" text="Лікування">
      <formula>NOT(ISERROR(SEARCH(("Лікування"),(U498))))</formula>
    </cfRule>
  </conditionalFormatting>
  <conditionalFormatting sqref="Q448 Q450:Q499">
    <cfRule type="cellIs" dxfId="9" priority="4637" operator="notEqual">
      <formula>P448</formula>
    </cfRule>
  </conditionalFormatting>
  <conditionalFormatting sqref="Q448 Q450:Q499">
    <cfRule type="cellIs" dxfId="3" priority="4638" operator="equal">
      <formula>P448</formula>
    </cfRule>
  </conditionalFormatting>
  <conditionalFormatting sqref="N448 K450 N450:O450 N452:N470 O456:O457 K459 O460 O464 O470 N472:N497 K474 M474 K496 O497 N499:O499">
    <cfRule type="expression" dxfId="0" priority="4639">
      <formula>COUNTIF(#REF!, N448) &gt; 1</formula>
    </cfRule>
  </conditionalFormatting>
  <conditionalFormatting sqref="AK448 AK608:AK612 AK617 AK621:AK622 AK632:AK655 AK657:AK658 AK662:AK677 AK688:AK689 AK701 AK707 AK711:AK712 AK715:AK716 AK718:AK719 AK726">
    <cfRule type="containsText" dxfId="11" priority="4640" operator="containsText" text="Зниклі безвісти">
      <formula>NOT(ISERROR(SEARCH(("Зниклі безвісти"),(AK448))))</formula>
    </cfRule>
  </conditionalFormatting>
  <conditionalFormatting sqref="AK448">
    <cfRule type="cellIs" dxfId="12" priority="4641" operator="equal">
      <formula>SUM(AK448:AK459)</formula>
    </cfRule>
  </conditionalFormatting>
  <conditionalFormatting sqref="AK448 AK608:AK612 AK617 AK621:AK622 AK632:AK655 AK657:AK658 AK662:AK677 AK688:AK689 AK701 AK707 AK711:AK712 AK715:AK716 AK718:AK719 AK726">
    <cfRule type="containsText" dxfId="13" priority="4642" operator="containsText" text="СЗЧ">
      <formula>NOT(ISERROR(SEARCH(("СЗЧ"),(AK448))))</formula>
    </cfRule>
  </conditionalFormatting>
  <conditionalFormatting sqref="AK448 AK608:AK612 AK617 AK621:AK622 AK632:AK655 AK657:AK658 AK662:AK677 AK688:AK689 AK701 AK707 AK711:AK712 AK715:AK716 AK718:AK719 AK726">
    <cfRule type="containsText" dxfId="14" priority="4643" operator="containsText" text="Лікування">
      <formula>NOT(ISERROR(SEARCH(("Лікування"),(AK448))))</formula>
    </cfRule>
  </conditionalFormatting>
  <conditionalFormatting sqref="AK448 AK608:AK612 AK617 AK621:AK622 AK632:AK655 AK657:AK658 AK662:AK677 AK688:AK689 AK701 AK707 AK711:AK712 AK715:AK716 AK718:AK719 AK726">
    <cfRule type="containsText" dxfId="15" priority="4644" operator="containsText" text="СТАТУС">
      <formula>NOT(ISERROR(SEARCH(("СТАТУС"),(AK448))))</formula>
    </cfRule>
  </conditionalFormatting>
  <conditionalFormatting sqref="AK448 AK608:AK612 AK617 AK621:AK622 AK632:AK655 AK657:AK658 AK662:AK677 AK688:AK689 AK701 AK707 AK711:AK712 AK715:AK716 AK718:AK719 AK726">
    <cfRule type="containsText" dxfId="16" priority="4645" operator="containsText" text="Мед.пункт">
      <formula>NOT(ISERROR(SEARCH(("Мед.пункт"),(AK448))))</formula>
    </cfRule>
  </conditionalFormatting>
  <conditionalFormatting sqref="AK448 AK608:AK612 AK617 AK621:AK622 AK632:AK655 AK657:AK658 AK662:AK677 AK688:AK689 AK701 AK707 AK711:AK712 AK715:AK716 AK718:AK719 AK726">
    <cfRule type="containsText" dxfId="17" priority="4646" operator="containsText" text="Відпустка">
      <formula>NOT(ISERROR(SEARCH(("Відпустка"),(AK448))))</formula>
    </cfRule>
  </conditionalFormatting>
  <conditionalFormatting sqref="AK448 AK608:AK612 AK617 AK621:AK622 AK632:AK655 AK657:AK658 AK662:AK677 AK688:AK689 AK701 AK707 AK711:AK712 AK715:AK716 AK718:AK719 AK726">
    <cfRule type="containsText" dxfId="8" priority="4647" operator="containsText" text="Від-ні за межі бату">
      <formula>NOT(ISERROR(SEARCH(("Від-ні за межі бату"),(AK448))))</formula>
    </cfRule>
  </conditionalFormatting>
  <conditionalFormatting sqref="AK448 AK608:AK612 AK617 AK621:AK622 AK632:AK655 AK657:AK658 AK662:AK677 AK688:AK689 AK701 AK707 AK711:AK712 AK715:AK716 AK718:AK719 AK726">
    <cfRule type="containsText" dxfId="18" priority="4648" operator="containsText" text="В строю">
      <formula>NOT(ISERROR(SEARCH(("В строю"),(AK448))))</formula>
    </cfRule>
  </conditionalFormatting>
  <conditionalFormatting sqref="U448 U450:U502">
    <cfRule type="containsText" dxfId="10" priority="4649" operator="containsText" text="Лікування">
      <formula>NOT(ISERROR(SEARCH(("Лікування"),(U448))))</formula>
    </cfRule>
  </conditionalFormatting>
  <conditionalFormatting sqref="U448 U450:U502">
    <cfRule type="containsText" dxfId="9" priority="4650" operator="containsText" text="Загиблі">
      <formula>NOT(ISERROR(SEARCH(("Загиблі"),(U448))))</formula>
    </cfRule>
  </conditionalFormatting>
  <conditionalFormatting sqref="U448 U450:U502">
    <cfRule type="containsText" dxfId="8" priority="4651" operator="containsText" text="Відком. за межі ПБ">
      <formula>NOT(ISERROR(SEARCH(("Відком. за межі ПБ"),(U448))))</formula>
    </cfRule>
  </conditionalFormatting>
  <conditionalFormatting sqref="U448 U450:U502">
    <cfRule type="containsText" dxfId="7" priority="4652" operator="containsText" text="Від-ні навчання">
      <formula>NOT(ISERROR(SEARCH(("Від-ні навчання"),(U448))))</formula>
    </cfRule>
  </conditionalFormatting>
  <conditionalFormatting sqref="U448 U450:U502">
    <cfRule type="containsText" dxfId="6" priority="4653" operator="containsText" text="Зниклі безвісти">
      <formula>NOT(ISERROR(SEARCH(("Зниклі безвісти"),(U448))))</formula>
    </cfRule>
  </conditionalFormatting>
  <conditionalFormatting sqref="U448 U450:U502">
    <cfRule type="containsText" dxfId="5" priority="4654" operator="containsText" text="СЗЧ">
      <formula>NOT(ISERROR(SEARCH(("СЗЧ"),(U448))))</formula>
    </cfRule>
  </conditionalFormatting>
  <conditionalFormatting sqref="U448 U450:U502">
    <cfRule type="containsText" dxfId="4" priority="4655" operator="containsText" text="Відпустка">
      <formula>NOT(ISERROR(SEARCH(("Відпустка"),(U448))))</formula>
    </cfRule>
  </conditionalFormatting>
  <conditionalFormatting sqref="U448 U450:U502">
    <cfRule type="containsText" dxfId="3" priority="4656" operator="containsText" text="В строю">
      <formula>NOT(ISERROR(SEARCH(("В строю"),(U448))))</formula>
    </cfRule>
  </conditionalFormatting>
  <conditionalFormatting sqref="U447">
    <cfRule type="containsText" dxfId="3" priority="4657" operator="containsText" text="В строю">
      <formula>NOT(ISERROR(SEARCH(("В строю"),(U447))))</formula>
    </cfRule>
  </conditionalFormatting>
  <conditionalFormatting sqref="U447">
    <cfRule type="containsText" dxfId="4" priority="4658" operator="containsText" text="Відпустка">
      <formula>NOT(ISERROR(SEARCH(("Відпустка"),(U447))))</formula>
    </cfRule>
  </conditionalFormatting>
  <conditionalFormatting sqref="U447">
    <cfRule type="containsText" dxfId="5" priority="4659" operator="containsText" text="СЗЧ">
      <formula>NOT(ISERROR(SEARCH(("СЗЧ"),(U447))))</formula>
    </cfRule>
  </conditionalFormatting>
  <conditionalFormatting sqref="U447">
    <cfRule type="containsText" dxfId="6" priority="4660" operator="containsText" text="Зниклі безвісти">
      <formula>NOT(ISERROR(SEARCH(("Зниклі безвісти"),(U447))))</formula>
    </cfRule>
  </conditionalFormatting>
  <conditionalFormatting sqref="U447">
    <cfRule type="containsText" dxfId="7" priority="4661" operator="containsText" text="Від-ні навчання">
      <formula>NOT(ISERROR(SEARCH(("Від-ні навчання"),(U447))))</formula>
    </cfRule>
  </conditionalFormatting>
  <conditionalFormatting sqref="U447">
    <cfRule type="containsText" dxfId="8" priority="4662" operator="containsText" text="Відком. за межі ПБ">
      <formula>NOT(ISERROR(SEARCH(("Відком. за межі ПБ"),(U447))))</formula>
    </cfRule>
  </conditionalFormatting>
  <conditionalFormatting sqref="U447">
    <cfRule type="containsText" dxfId="9" priority="4663" operator="containsText" text="Загиблі">
      <formula>NOT(ISERROR(SEARCH(("Загиблі"),(U447))))</formula>
    </cfRule>
  </conditionalFormatting>
  <conditionalFormatting sqref="U447">
    <cfRule type="containsText" dxfId="10" priority="4664" operator="containsText" text="Лікування">
      <formula>NOT(ISERROR(SEARCH(("Лікування"),(U447))))</formula>
    </cfRule>
  </conditionalFormatting>
  <conditionalFormatting sqref="N447">
    <cfRule type="expression" dxfId="0" priority="4665">
      <formula>COUNTIF(#REF!, N447) &gt; 1</formula>
    </cfRule>
  </conditionalFormatting>
  <conditionalFormatting sqref="U447">
    <cfRule type="containsText" dxfId="3" priority="4666" operator="containsText" text="В строю">
      <formula>NOT(ISERROR(SEARCH(("В строю"),(U447))))</formula>
    </cfRule>
  </conditionalFormatting>
  <conditionalFormatting sqref="U447">
    <cfRule type="containsText" dxfId="4" priority="4667" operator="containsText" text="Відпустка">
      <formula>NOT(ISERROR(SEARCH(("Відпустка"),(U447))))</formula>
    </cfRule>
  </conditionalFormatting>
  <conditionalFormatting sqref="U447">
    <cfRule type="containsText" dxfId="5" priority="4668" operator="containsText" text="СЗЧ">
      <formula>NOT(ISERROR(SEARCH(("СЗЧ"),(U447))))</formula>
    </cfRule>
  </conditionalFormatting>
  <conditionalFormatting sqref="U447">
    <cfRule type="containsText" dxfId="6" priority="4669" operator="containsText" text="Зниклі безвісти">
      <formula>NOT(ISERROR(SEARCH(("Зниклі безвісти"),(U447))))</formula>
    </cfRule>
  </conditionalFormatting>
  <conditionalFormatting sqref="U447">
    <cfRule type="containsText" dxfId="7" priority="4670" operator="containsText" text="Від-ні навчання">
      <formula>NOT(ISERROR(SEARCH(("Від-ні навчання"),(U447))))</formula>
    </cfRule>
  </conditionalFormatting>
  <conditionalFormatting sqref="U447">
    <cfRule type="containsText" dxfId="8" priority="4671" operator="containsText" text="Відком. за межі ПБ">
      <formula>NOT(ISERROR(SEARCH(("Відком. за межі ПБ"),(U447))))</formula>
    </cfRule>
  </conditionalFormatting>
  <conditionalFormatting sqref="U447">
    <cfRule type="containsText" dxfId="9" priority="4672" operator="containsText" text="Загиблі">
      <formula>NOT(ISERROR(SEARCH(("Загиблі"),(U447))))</formula>
    </cfRule>
  </conditionalFormatting>
  <conditionalFormatting sqref="U447">
    <cfRule type="containsText" dxfId="10" priority="4673" operator="containsText" text="Лікування">
      <formula>NOT(ISERROR(SEARCH(("Лікування"),(U447))))</formula>
    </cfRule>
  </conditionalFormatting>
  <conditionalFormatting sqref="Q447">
    <cfRule type="cellIs" dxfId="9" priority="4674" operator="notEqual">
      <formula>P447</formula>
    </cfRule>
  </conditionalFormatting>
  <conditionalFormatting sqref="Q447">
    <cfRule type="cellIs" dxfId="3" priority="4675" operator="equal">
      <formula>P447</formula>
    </cfRule>
  </conditionalFormatting>
  <conditionalFormatting sqref="E446 N446">
    <cfRule type="expression" dxfId="0" priority="4676">
      <formula>COUNTIF(#REF!, E446) &gt; 1</formula>
    </cfRule>
  </conditionalFormatting>
  <conditionalFormatting sqref="U446">
    <cfRule type="containsText" dxfId="3" priority="4677" operator="containsText" text="В строю">
      <formula>NOT(ISERROR(SEARCH(("В строю"),(U446))))</formula>
    </cfRule>
  </conditionalFormatting>
  <conditionalFormatting sqref="U446">
    <cfRule type="containsText" dxfId="4" priority="4678" operator="containsText" text="Відпустка">
      <formula>NOT(ISERROR(SEARCH(("Відпустка"),(U446))))</formula>
    </cfRule>
  </conditionalFormatting>
  <conditionalFormatting sqref="U446">
    <cfRule type="containsText" dxfId="5" priority="4679" operator="containsText" text="СЗЧ">
      <formula>NOT(ISERROR(SEARCH(("СЗЧ"),(U446))))</formula>
    </cfRule>
  </conditionalFormatting>
  <conditionalFormatting sqref="U446">
    <cfRule type="containsText" dxfId="6" priority="4680" operator="containsText" text="Зниклі безвісти">
      <formula>NOT(ISERROR(SEARCH(("Зниклі безвісти"),(U446))))</formula>
    </cfRule>
  </conditionalFormatting>
  <conditionalFormatting sqref="U446">
    <cfRule type="containsText" dxfId="7" priority="4681" operator="containsText" text="Від-ні навчання">
      <formula>NOT(ISERROR(SEARCH(("Від-ні навчання"),(U446))))</formula>
    </cfRule>
  </conditionalFormatting>
  <conditionalFormatting sqref="U446">
    <cfRule type="containsText" dxfId="8" priority="4682" operator="containsText" text="Відком. за межі ПБ">
      <formula>NOT(ISERROR(SEARCH(("Відком. за межі ПБ"),(U446))))</formula>
    </cfRule>
  </conditionalFormatting>
  <conditionalFormatting sqref="U446">
    <cfRule type="containsText" dxfId="9" priority="4683" operator="containsText" text="Загиблі">
      <formula>NOT(ISERROR(SEARCH(("Загиблі"),(U446))))</formula>
    </cfRule>
  </conditionalFormatting>
  <conditionalFormatting sqref="U446">
    <cfRule type="containsText" dxfId="10" priority="4684" operator="containsText" text="Лікування">
      <formula>NOT(ISERROR(SEARCH(("Лікування"),(U446))))</formula>
    </cfRule>
  </conditionalFormatting>
  <conditionalFormatting sqref="Q446">
    <cfRule type="cellIs" dxfId="9" priority="4685" operator="notEqual">
      <formula>P446</formula>
    </cfRule>
  </conditionalFormatting>
  <conditionalFormatting sqref="Q446">
    <cfRule type="cellIs" dxfId="3" priority="4686" operator="equal">
      <formula>P446</formula>
    </cfRule>
  </conditionalFormatting>
  <conditionalFormatting sqref="U446">
    <cfRule type="containsText" dxfId="3" priority="4687" operator="containsText" text="В строю">
      <formula>NOT(ISERROR(SEARCH(("В строю"),(U446))))</formula>
    </cfRule>
  </conditionalFormatting>
  <conditionalFormatting sqref="U446">
    <cfRule type="containsText" dxfId="4" priority="4688" operator="containsText" text="Відпустка">
      <formula>NOT(ISERROR(SEARCH(("Відпустка"),(U446))))</formula>
    </cfRule>
  </conditionalFormatting>
  <conditionalFormatting sqref="U446">
    <cfRule type="containsText" dxfId="5" priority="4689" operator="containsText" text="СЗЧ">
      <formula>NOT(ISERROR(SEARCH(("СЗЧ"),(U446))))</formula>
    </cfRule>
  </conditionalFormatting>
  <conditionalFormatting sqref="U446">
    <cfRule type="containsText" dxfId="6" priority="4690" operator="containsText" text="Зниклі безвісти">
      <formula>NOT(ISERROR(SEARCH(("Зниклі безвісти"),(U446))))</formula>
    </cfRule>
  </conditionalFormatting>
  <conditionalFormatting sqref="U446">
    <cfRule type="containsText" dxfId="7" priority="4691" operator="containsText" text="Від-ні навчання">
      <formula>NOT(ISERROR(SEARCH(("Від-ні навчання"),(U446))))</formula>
    </cfRule>
  </conditionalFormatting>
  <conditionalFormatting sqref="U446">
    <cfRule type="containsText" dxfId="8" priority="4692" operator="containsText" text="Відком. за межі ПБ">
      <formula>NOT(ISERROR(SEARCH(("Відком. за межі ПБ"),(U446))))</formula>
    </cfRule>
  </conditionalFormatting>
  <conditionalFormatting sqref="U446">
    <cfRule type="containsText" dxfId="9" priority="4693" operator="containsText" text="Загиблі">
      <formula>NOT(ISERROR(SEARCH(("Загиблі"),(U446))))</formula>
    </cfRule>
  </conditionalFormatting>
  <conditionalFormatting sqref="U446">
    <cfRule type="containsText" dxfId="10" priority="4694" operator="containsText" text="Лікування">
      <formula>NOT(ISERROR(SEARCH(("Лікування"),(U446))))</formula>
    </cfRule>
  </conditionalFormatting>
  <conditionalFormatting sqref="E445 N445">
    <cfRule type="expression" dxfId="0" priority="4695">
      <formula>COUNTIF(#REF!, E445) &gt; 1</formula>
    </cfRule>
  </conditionalFormatting>
  <conditionalFormatting sqref="U445">
    <cfRule type="containsText" dxfId="3" priority="4696" operator="containsText" text="В строю">
      <formula>NOT(ISERROR(SEARCH(("В строю"),(U445))))</formula>
    </cfRule>
  </conditionalFormatting>
  <conditionalFormatting sqref="U445">
    <cfRule type="containsText" dxfId="4" priority="4697" operator="containsText" text="Відпустка">
      <formula>NOT(ISERROR(SEARCH(("Відпустка"),(U445))))</formula>
    </cfRule>
  </conditionalFormatting>
  <conditionalFormatting sqref="U445">
    <cfRule type="containsText" dxfId="5" priority="4698" operator="containsText" text="СЗЧ">
      <formula>NOT(ISERROR(SEARCH(("СЗЧ"),(U445))))</formula>
    </cfRule>
  </conditionalFormatting>
  <conditionalFormatting sqref="U445">
    <cfRule type="containsText" dxfId="6" priority="4699" operator="containsText" text="Зниклі безвісти">
      <formula>NOT(ISERROR(SEARCH(("Зниклі безвісти"),(U445))))</formula>
    </cfRule>
  </conditionalFormatting>
  <conditionalFormatting sqref="U445">
    <cfRule type="containsText" dxfId="7" priority="4700" operator="containsText" text="Від-ні навчання">
      <formula>NOT(ISERROR(SEARCH(("Від-ні навчання"),(U445))))</formula>
    </cfRule>
  </conditionalFormatting>
  <conditionalFormatting sqref="U445">
    <cfRule type="containsText" dxfId="8" priority="4701" operator="containsText" text="Відком. за межі ПБ">
      <formula>NOT(ISERROR(SEARCH(("Відком. за межі ПБ"),(U445))))</formula>
    </cfRule>
  </conditionalFormatting>
  <conditionalFormatting sqref="U445">
    <cfRule type="containsText" dxfId="9" priority="4702" operator="containsText" text="Загиблі">
      <formula>NOT(ISERROR(SEARCH(("Загиблі"),(U445))))</formula>
    </cfRule>
  </conditionalFormatting>
  <conditionalFormatting sqref="U445">
    <cfRule type="containsText" dxfId="10" priority="4703" operator="containsText" text="Лікування">
      <formula>NOT(ISERROR(SEARCH(("Лікування"),(U445))))</formula>
    </cfRule>
  </conditionalFormatting>
  <conditionalFormatting sqref="Q445">
    <cfRule type="cellIs" dxfId="9" priority="4704" operator="notEqual">
      <formula>P445</formula>
    </cfRule>
  </conditionalFormatting>
  <conditionalFormatting sqref="Q445">
    <cfRule type="cellIs" dxfId="3" priority="4705" operator="equal">
      <formula>P445</formula>
    </cfRule>
  </conditionalFormatting>
  <conditionalFormatting sqref="N444">
    <cfRule type="expression" dxfId="0" priority="4706">
      <formula>COUNTIF(#REF!, N444) &gt; 1</formula>
    </cfRule>
  </conditionalFormatting>
  <conditionalFormatting sqref="U444">
    <cfRule type="containsText" dxfId="3" priority="4707" operator="containsText" text="В строю">
      <formula>NOT(ISERROR(SEARCH(("В строю"),(U444))))</formula>
    </cfRule>
  </conditionalFormatting>
  <conditionalFormatting sqref="U444">
    <cfRule type="containsText" dxfId="4" priority="4708" operator="containsText" text="Відпустка">
      <formula>NOT(ISERROR(SEARCH(("Відпустка"),(U444))))</formula>
    </cfRule>
  </conditionalFormatting>
  <conditionalFormatting sqref="U444">
    <cfRule type="containsText" dxfId="5" priority="4709" operator="containsText" text="СЗЧ">
      <formula>NOT(ISERROR(SEARCH(("СЗЧ"),(U444))))</formula>
    </cfRule>
  </conditionalFormatting>
  <conditionalFormatting sqref="U444">
    <cfRule type="containsText" dxfId="6" priority="4710" operator="containsText" text="Зниклі безвісти">
      <formula>NOT(ISERROR(SEARCH(("Зниклі безвісти"),(U444))))</formula>
    </cfRule>
  </conditionalFormatting>
  <conditionalFormatting sqref="U444">
    <cfRule type="containsText" dxfId="7" priority="4711" operator="containsText" text="Від-ні навчання">
      <formula>NOT(ISERROR(SEARCH(("Від-ні навчання"),(U444))))</formula>
    </cfRule>
  </conditionalFormatting>
  <conditionalFormatting sqref="U444">
    <cfRule type="containsText" dxfId="8" priority="4712" operator="containsText" text="Відком. за межі ПБ">
      <formula>NOT(ISERROR(SEARCH(("Відком. за межі ПБ"),(U444))))</formula>
    </cfRule>
  </conditionalFormatting>
  <conditionalFormatting sqref="U444">
    <cfRule type="containsText" dxfId="9" priority="4713" operator="containsText" text="Загиблі">
      <formula>NOT(ISERROR(SEARCH(("Загиблі"),(U444))))</formula>
    </cfRule>
  </conditionalFormatting>
  <conditionalFormatting sqref="U444">
    <cfRule type="containsText" dxfId="10" priority="4714" operator="containsText" text="Лікування">
      <formula>NOT(ISERROR(SEARCH(("Лікування"),(U444))))</formula>
    </cfRule>
  </conditionalFormatting>
  <conditionalFormatting sqref="U444">
    <cfRule type="containsText" dxfId="10" priority="4715" operator="containsText" text="Лікування">
      <formula>NOT(ISERROR(SEARCH(("Лікування"),(U444))))</formula>
    </cfRule>
  </conditionalFormatting>
  <conditionalFormatting sqref="U444">
    <cfRule type="containsText" dxfId="9" priority="4716" operator="containsText" text="Загиблі">
      <formula>NOT(ISERROR(SEARCH(("Загиблі"),(U444))))</formula>
    </cfRule>
  </conditionalFormatting>
  <conditionalFormatting sqref="U444">
    <cfRule type="containsText" dxfId="8" priority="4717" operator="containsText" text="Відком. за межі ПБ">
      <formula>NOT(ISERROR(SEARCH(("Відком. за межі ПБ"),(U444))))</formula>
    </cfRule>
  </conditionalFormatting>
  <conditionalFormatting sqref="U444">
    <cfRule type="containsText" dxfId="7" priority="4718" operator="containsText" text="Від-ні навчання">
      <formula>NOT(ISERROR(SEARCH(("Від-ні навчання"),(U444))))</formula>
    </cfRule>
  </conditionalFormatting>
  <conditionalFormatting sqref="U444">
    <cfRule type="containsText" dxfId="6" priority="4719" operator="containsText" text="Зниклі безвісти">
      <formula>NOT(ISERROR(SEARCH(("Зниклі безвісти"),(U444))))</formula>
    </cfRule>
  </conditionalFormatting>
  <conditionalFormatting sqref="U444">
    <cfRule type="containsText" dxfId="5" priority="4720" operator="containsText" text="СЗЧ">
      <formula>NOT(ISERROR(SEARCH(("СЗЧ"),(U444))))</formula>
    </cfRule>
  </conditionalFormatting>
  <conditionalFormatting sqref="U444">
    <cfRule type="containsText" dxfId="4" priority="4721" operator="containsText" text="Відпустка">
      <formula>NOT(ISERROR(SEARCH(("Відпустка"),(U444))))</formula>
    </cfRule>
  </conditionalFormatting>
  <conditionalFormatting sqref="U444">
    <cfRule type="containsText" dxfId="3" priority="4722" operator="containsText" text="В строю">
      <formula>NOT(ISERROR(SEARCH(("В строю"),(U444))))</formula>
    </cfRule>
  </conditionalFormatting>
  <conditionalFormatting sqref="U443">
    <cfRule type="containsText" dxfId="3" priority="4723" operator="containsText" text="В строю">
      <formula>NOT(ISERROR(SEARCH(("В строю"),(U443))))</formula>
    </cfRule>
  </conditionalFormatting>
  <conditionalFormatting sqref="U443">
    <cfRule type="containsText" dxfId="4" priority="4724" operator="containsText" text="Відпустка">
      <formula>NOT(ISERROR(SEARCH(("Відпустка"),(U443))))</formula>
    </cfRule>
  </conditionalFormatting>
  <conditionalFormatting sqref="U443">
    <cfRule type="containsText" dxfId="5" priority="4725" operator="containsText" text="СЗЧ">
      <formula>NOT(ISERROR(SEARCH(("СЗЧ"),(U443))))</formula>
    </cfRule>
  </conditionalFormatting>
  <conditionalFormatting sqref="U443">
    <cfRule type="containsText" dxfId="6" priority="4726" operator="containsText" text="Зниклі безвісти">
      <formula>NOT(ISERROR(SEARCH(("Зниклі безвісти"),(U443))))</formula>
    </cfRule>
  </conditionalFormatting>
  <conditionalFormatting sqref="U443">
    <cfRule type="containsText" dxfId="7" priority="4727" operator="containsText" text="Від-ні навчання">
      <formula>NOT(ISERROR(SEARCH(("Від-ні навчання"),(U443))))</formula>
    </cfRule>
  </conditionalFormatting>
  <conditionalFormatting sqref="U443">
    <cfRule type="containsText" dxfId="8" priority="4728" operator="containsText" text="Відком. за межі ПБ">
      <formula>NOT(ISERROR(SEARCH(("Відком. за межі ПБ"),(U443))))</formula>
    </cfRule>
  </conditionalFormatting>
  <conditionalFormatting sqref="U443">
    <cfRule type="containsText" dxfId="9" priority="4729" operator="containsText" text="Загиблі">
      <formula>NOT(ISERROR(SEARCH(("Загиблі"),(U443))))</formula>
    </cfRule>
  </conditionalFormatting>
  <conditionalFormatting sqref="U443">
    <cfRule type="containsText" dxfId="10" priority="4730" operator="containsText" text="Лікування">
      <formula>NOT(ISERROR(SEARCH(("Лікування"),(U443))))</formula>
    </cfRule>
  </conditionalFormatting>
  <conditionalFormatting sqref="N443">
    <cfRule type="expression" dxfId="0" priority="4731">
      <formula>COUNTIF(#REF!, N443) &gt; 1</formula>
    </cfRule>
  </conditionalFormatting>
  <conditionalFormatting sqref="U443">
    <cfRule type="containsText" dxfId="10" priority="4732" operator="containsText" text="Лікування">
      <formula>NOT(ISERROR(SEARCH(("Лікування"),(U443))))</formula>
    </cfRule>
  </conditionalFormatting>
  <conditionalFormatting sqref="U443">
    <cfRule type="containsText" dxfId="9" priority="4733" operator="containsText" text="Загиблі">
      <formula>NOT(ISERROR(SEARCH(("Загиблі"),(U443))))</formula>
    </cfRule>
  </conditionalFormatting>
  <conditionalFormatting sqref="U443">
    <cfRule type="containsText" dxfId="8" priority="4734" operator="containsText" text="Відком. за межі ПБ">
      <formula>NOT(ISERROR(SEARCH(("Відком. за межі ПБ"),(U443))))</formula>
    </cfRule>
  </conditionalFormatting>
  <conditionalFormatting sqref="U443">
    <cfRule type="containsText" dxfId="7" priority="4735" operator="containsText" text="Від-ні навчання">
      <formula>NOT(ISERROR(SEARCH(("Від-ні навчання"),(U443))))</formula>
    </cfRule>
  </conditionalFormatting>
  <conditionalFormatting sqref="U443">
    <cfRule type="containsText" dxfId="6" priority="4736" operator="containsText" text="Зниклі безвісти">
      <formula>NOT(ISERROR(SEARCH(("Зниклі безвісти"),(U443))))</formula>
    </cfRule>
  </conditionalFormatting>
  <conditionalFormatting sqref="U443">
    <cfRule type="containsText" dxfId="5" priority="4737" operator="containsText" text="СЗЧ">
      <formula>NOT(ISERROR(SEARCH(("СЗЧ"),(U443))))</formula>
    </cfRule>
  </conditionalFormatting>
  <conditionalFormatting sqref="U443">
    <cfRule type="containsText" dxfId="4" priority="4738" operator="containsText" text="Відпустка">
      <formula>NOT(ISERROR(SEARCH(("Відпустка"),(U443))))</formula>
    </cfRule>
  </conditionalFormatting>
  <conditionalFormatting sqref="U443">
    <cfRule type="containsText" dxfId="3" priority="4739" operator="containsText" text="В строю">
      <formula>NOT(ISERROR(SEARCH(("В строю"),(U443))))</formula>
    </cfRule>
  </conditionalFormatting>
  <conditionalFormatting sqref="Q443">
    <cfRule type="cellIs" dxfId="9" priority="4740" operator="notEqual">
      <formula>P443</formula>
    </cfRule>
  </conditionalFormatting>
  <conditionalFormatting sqref="Q443">
    <cfRule type="cellIs" dxfId="3" priority="4741" operator="equal">
      <formula>P443</formula>
    </cfRule>
  </conditionalFormatting>
  <conditionalFormatting sqref="U442">
    <cfRule type="containsText" dxfId="10" priority="4742" operator="containsText" text="Лікування">
      <formula>NOT(ISERROR(SEARCH(("Лікування"),(U442))))</formula>
    </cfRule>
  </conditionalFormatting>
  <conditionalFormatting sqref="U442">
    <cfRule type="containsText" dxfId="9" priority="4743" operator="containsText" text="Загиблі">
      <formula>NOT(ISERROR(SEARCH(("Загиблі"),(U442))))</formula>
    </cfRule>
  </conditionalFormatting>
  <conditionalFormatting sqref="U442">
    <cfRule type="containsText" dxfId="8" priority="4744" operator="containsText" text="Відком. за межі ПБ">
      <formula>NOT(ISERROR(SEARCH(("Відком. за межі ПБ"),(U442))))</formula>
    </cfRule>
  </conditionalFormatting>
  <conditionalFormatting sqref="U442">
    <cfRule type="containsText" dxfId="7" priority="4745" operator="containsText" text="Від-ні навчання">
      <formula>NOT(ISERROR(SEARCH(("Від-ні навчання"),(U442))))</formula>
    </cfRule>
  </conditionalFormatting>
  <conditionalFormatting sqref="U442">
    <cfRule type="containsText" dxfId="6" priority="4746" operator="containsText" text="Зниклі безвісти">
      <formula>NOT(ISERROR(SEARCH(("Зниклі безвісти"),(U442))))</formula>
    </cfRule>
  </conditionalFormatting>
  <conditionalFormatting sqref="U442">
    <cfRule type="containsText" dxfId="5" priority="4747" operator="containsText" text="СЗЧ">
      <formula>NOT(ISERROR(SEARCH(("СЗЧ"),(U442))))</formula>
    </cfRule>
  </conditionalFormatting>
  <conditionalFormatting sqref="U442">
    <cfRule type="containsText" dxfId="4" priority="4748" operator="containsText" text="Відпустка">
      <formula>NOT(ISERROR(SEARCH(("Відпустка"),(U442))))</formula>
    </cfRule>
  </conditionalFormatting>
  <conditionalFormatting sqref="U442">
    <cfRule type="containsText" dxfId="3" priority="4749" operator="containsText" text="В строю">
      <formula>NOT(ISERROR(SEARCH(("В строю"),(U442))))</formula>
    </cfRule>
  </conditionalFormatting>
  <conditionalFormatting sqref="U442">
    <cfRule type="containsText" dxfId="3" priority="4750" operator="containsText" text="В строю">
      <formula>NOT(ISERROR(SEARCH(("В строю"),(U442))))</formula>
    </cfRule>
  </conditionalFormatting>
  <conditionalFormatting sqref="U442">
    <cfRule type="containsText" dxfId="4" priority="4751" operator="containsText" text="Відпустка">
      <formula>NOT(ISERROR(SEARCH(("Відпустка"),(U442))))</formula>
    </cfRule>
  </conditionalFormatting>
  <conditionalFormatting sqref="U442">
    <cfRule type="containsText" dxfId="5" priority="4752" operator="containsText" text="СЗЧ">
      <formula>NOT(ISERROR(SEARCH(("СЗЧ"),(U442))))</formula>
    </cfRule>
  </conditionalFormatting>
  <conditionalFormatting sqref="U442">
    <cfRule type="containsText" dxfId="6" priority="4753" operator="containsText" text="Зниклі безвісти">
      <formula>NOT(ISERROR(SEARCH(("Зниклі безвісти"),(U442))))</formula>
    </cfRule>
  </conditionalFormatting>
  <conditionalFormatting sqref="U442">
    <cfRule type="containsText" dxfId="7" priority="4754" operator="containsText" text="Від-ні навчання">
      <formula>NOT(ISERROR(SEARCH(("Від-ні навчання"),(U442))))</formula>
    </cfRule>
  </conditionalFormatting>
  <conditionalFormatting sqref="U442">
    <cfRule type="containsText" dxfId="8" priority="4755" operator="containsText" text="Відком. за межі ПБ">
      <formula>NOT(ISERROR(SEARCH(("Відком. за межі ПБ"),(U442))))</formula>
    </cfRule>
  </conditionalFormatting>
  <conditionalFormatting sqref="U442">
    <cfRule type="containsText" dxfId="9" priority="4756" operator="containsText" text="Загиблі">
      <formula>NOT(ISERROR(SEARCH(("Загиблі"),(U442))))</formula>
    </cfRule>
  </conditionalFormatting>
  <conditionalFormatting sqref="U442">
    <cfRule type="containsText" dxfId="10" priority="4757" operator="containsText" text="Лікування">
      <formula>NOT(ISERROR(SEARCH(("Лікування"),(U442))))</formula>
    </cfRule>
  </conditionalFormatting>
  <conditionalFormatting sqref="E442 N442">
    <cfRule type="expression" dxfId="0" priority="4758">
      <formula>COUNTIF(#REF!, E442) &gt; 1</formula>
    </cfRule>
  </conditionalFormatting>
  <conditionalFormatting sqref="Q442">
    <cfRule type="cellIs" dxfId="9" priority="4759" operator="notEqual">
      <formula>P442</formula>
    </cfRule>
  </conditionalFormatting>
  <conditionalFormatting sqref="Q442">
    <cfRule type="cellIs" dxfId="3" priority="4760" operator="equal">
      <formula>P442</formula>
    </cfRule>
  </conditionalFormatting>
  <conditionalFormatting sqref="Q441">
    <cfRule type="cellIs" dxfId="9" priority="4761" operator="notEqual">
      <formula>P441</formula>
    </cfRule>
  </conditionalFormatting>
  <conditionalFormatting sqref="Q441">
    <cfRule type="cellIs" dxfId="3" priority="4762" operator="equal">
      <formula>P441</formula>
    </cfRule>
  </conditionalFormatting>
  <conditionalFormatting sqref="U441">
    <cfRule type="containsText" dxfId="10" priority="4763" operator="containsText" text="Лікування">
      <formula>NOT(ISERROR(SEARCH(("Лікування"),(U441))))</formula>
    </cfRule>
  </conditionalFormatting>
  <conditionalFormatting sqref="U441">
    <cfRule type="containsText" dxfId="9" priority="4764" operator="containsText" text="Загиблі">
      <formula>NOT(ISERROR(SEARCH(("Загиблі"),(U441))))</formula>
    </cfRule>
  </conditionalFormatting>
  <conditionalFormatting sqref="U441">
    <cfRule type="containsText" dxfId="8" priority="4765" operator="containsText" text="Відком. за межі ПБ">
      <formula>NOT(ISERROR(SEARCH(("Відком. за межі ПБ"),(U441))))</formula>
    </cfRule>
  </conditionalFormatting>
  <conditionalFormatting sqref="U441">
    <cfRule type="containsText" dxfId="7" priority="4766" operator="containsText" text="Від-ні навчання">
      <formula>NOT(ISERROR(SEARCH(("Від-ні навчання"),(U441))))</formula>
    </cfRule>
  </conditionalFormatting>
  <conditionalFormatting sqref="U441">
    <cfRule type="containsText" dxfId="6" priority="4767" operator="containsText" text="Зниклі безвісти">
      <formula>NOT(ISERROR(SEARCH(("Зниклі безвісти"),(U441))))</formula>
    </cfRule>
  </conditionalFormatting>
  <conditionalFormatting sqref="U441">
    <cfRule type="containsText" dxfId="5" priority="4768" operator="containsText" text="СЗЧ">
      <formula>NOT(ISERROR(SEARCH(("СЗЧ"),(U441))))</formula>
    </cfRule>
  </conditionalFormatting>
  <conditionalFormatting sqref="U441">
    <cfRule type="containsText" dxfId="4" priority="4769" operator="containsText" text="Відпустка">
      <formula>NOT(ISERROR(SEARCH(("Відпустка"),(U441))))</formula>
    </cfRule>
  </conditionalFormatting>
  <conditionalFormatting sqref="U441">
    <cfRule type="containsText" dxfId="3" priority="4770" operator="containsText" text="В строю">
      <formula>NOT(ISERROR(SEARCH(("В строю"),(U441))))</formula>
    </cfRule>
  </conditionalFormatting>
  <conditionalFormatting sqref="U441">
    <cfRule type="containsText" dxfId="3" priority="4771" operator="containsText" text="В строю">
      <formula>NOT(ISERROR(SEARCH(("В строю"),(U441))))</formula>
    </cfRule>
  </conditionalFormatting>
  <conditionalFormatting sqref="U441">
    <cfRule type="containsText" dxfId="4" priority="4772" operator="containsText" text="Відпустка">
      <formula>NOT(ISERROR(SEARCH(("Відпустка"),(U441))))</formula>
    </cfRule>
  </conditionalFormatting>
  <conditionalFormatting sqref="U441">
    <cfRule type="containsText" dxfId="5" priority="4773" operator="containsText" text="СЗЧ">
      <formula>NOT(ISERROR(SEARCH(("СЗЧ"),(U441))))</formula>
    </cfRule>
  </conditionalFormatting>
  <conditionalFormatting sqref="U441">
    <cfRule type="containsText" dxfId="6" priority="4774" operator="containsText" text="Зниклі безвісти">
      <formula>NOT(ISERROR(SEARCH(("Зниклі безвісти"),(U441))))</formula>
    </cfRule>
  </conditionalFormatting>
  <conditionalFormatting sqref="U441">
    <cfRule type="containsText" dxfId="7" priority="4775" operator="containsText" text="Від-ні навчання">
      <formula>NOT(ISERROR(SEARCH(("Від-ні навчання"),(U441))))</formula>
    </cfRule>
  </conditionalFormatting>
  <conditionalFormatting sqref="U441">
    <cfRule type="containsText" dxfId="8" priority="4776" operator="containsText" text="Відком. за межі ПБ">
      <formula>NOT(ISERROR(SEARCH(("Відком. за межі ПБ"),(U441))))</formula>
    </cfRule>
  </conditionalFormatting>
  <conditionalFormatting sqref="U441">
    <cfRule type="containsText" dxfId="9" priority="4777" operator="containsText" text="Загиблі">
      <formula>NOT(ISERROR(SEARCH(("Загиблі"),(U441))))</formula>
    </cfRule>
  </conditionalFormatting>
  <conditionalFormatting sqref="U441">
    <cfRule type="containsText" dxfId="10" priority="4778" operator="containsText" text="Лікування">
      <formula>NOT(ISERROR(SEARCH(("Лікування"),(U441))))</formula>
    </cfRule>
  </conditionalFormatting>
  <conditionalFormatting sqref="N441">
    <cfRule type="expression" dxfId="0" priority="4779">
      <formula>COUNTIF(#REF!, N441) &gt; 1</formula>
    </cfRule>
  </conditionalFormatting>
  <conditionalFormatting sqref="Q440">
    <cfRule type="cellIs" dxfId="9" priority="4780" operator="notEqual">
      <formula>P440</formula>
    </cfRule>
  </conditionalFormatting>
  <conditionalFormatting sqref="Q440">
    <cfRule type="cellIs" dxfId="3" priority="4781" operator="equal">
      <formula>P440</formula>
    </cfRule>
  </conditionalFormatting>
  <conditionalFormatting sqref="U440">
    <cfRule type="containsText" dxfId="10" priority="4782" operator="containsText" text="Лікування">
      <formula>NOT(ISERROR(SEARCH(("Лікування"),(U440))))</formula>
    </cfRule>
  </conditionalFormatting>
  <conditionalFormatting sqref="U440">
    <cfRule type="containsText" dxfId="9" priority="4783" operator="containsText" text="Загиблі">
      <formula>NOT(ISERROR(SEARCH(("Загиблі"),(U440))))</formula>
    </cfRule>
  </conditionalFormatting>
  <conditionalFormatting sqref="U440">
    <cfRule type="containsText" dxfId="8" priority="4784" operator="containsText" text="Відком. за межі ПБ">
      <formula>NOT(ISERROR(SEARCH(("Відком. за межі ПБ"),(U440))))</formula>
    </cfRule>
  </conditionalFormatting>
  <conditionalFormatting sqref="U440">
    <cfRule type="containsText" dxfId="7" priority="4785" operator="containsText" text="Від-ні навчання">
      <formula>NOT(ISERROR(SEARCH(("Від-ні навчання"),(U440))))</formula>
    </cfRule>
  </conditionalFormatting>
  <conditionalFormatting sqref="U440">
    <cfRule type="containsText" dxfId="6" priority="4786" operator="containsText" text="Зниклі безвісти">
      <formula>NOT(ISERROR(SEARCH(("Зниклі безвісти"),(U440))))</formula>
    </cfRule>
  </conditionalFormatting>
  <conditionalFormatting sqref="U440">
    <cfRule type="containsText" dxfId="5" priority="4787" operator="containsText" text="СЗЧ">
      <formula>NOT(ISERROR(SEARCH(("СЗЧ"),(U440))))</formula>
    </cfRule>
  </conditionalFormatting>
  <conditionalFormatting sqref="U440">
    <cfRule type="containsText" dxfId="4" priority="4788" operator="containsText" text="Відпустка">
      <formula>NOT(ISERROR(SEARCH(("Відпустка"),(U440))))</formula>
    </cfRule>
  </conditionalFormatting>
  <conditionalFormatting sqref="U440">
    <cfRule type="containsText" dxfId="3" priority="4789" operator="containsText" text="В строю">
      <formula>NOT(ISERROR(SEARCH(("В строю"),(U440))))</formula>
    </cfRule>
  </conditionalFormatting>
  <conditionalFormatting sqref="U437:U439">
    <cfRule type="containsText" dxfId="10" priority="4790" operator="containsText" text="Лікування">
      <formula>NOT(ISERROR(SEARCH(("Лікування"),(U437))))</formula>
    </cfRule>
  </conditionalFormatting>
  <conditionalFormatting sqref="U437:U439">
    <cfRule type="containsText" dxfId="9" priority="4791" operator="containsText" text="Загиблі">
      <formula>NOT(ISERROR(SEARCH(("Загиблі"),(U437))))</formula>
    </cfRule>
  </conditionalFormatting>
  <conditionalFormatting sqref="U437:U439">
    <cfRule type="containsText" dxfId="8" priority="4792" operator="containsText" text="Відком. за межі ПБ">
      <formula>NOT(ISERROR(SEARCH(("Відком. за межі ПБ"),(U437))))</formula>
    </cfRule>
  </conditionalFormatting>
  <conditionalFormatting sqref="U437:U439">
    <cfRule type="containsText" dxfId="7" priority="4793" operator="containsText" text="Від-ні навчання">
      <formula>NOT(ISERROR(SEARCH(("Від-ні навчання"),(U437))))</formula>
    </cfRule>
  </conditionalFormatting>
  <conditionalFormatting sqref="U437:U439">
    <cfRule type="containsText" dxfId="6" priority="4794" operator="containsText" text="Зниклі безвісти">
      <formula>NOT(ISERROR(SEARCH(("Зниклі безвісти"),(U437))))</formula>
    </cfRule>
  </conditionalFormatting>
  <conditionalFormatting sqref="U437:U439">
    <cfRule type="containsText" dxfId="5" priority="4795" operator="containsText" text="СЗЧ">
      <formula>NOT(ISERROR(SEARCH(("СЗЧ"),(U437))))</formula>
    </cfRule>
  </conditionalFormatting>
  <conditionalFormatting sqref="U437:U439">
    <cfRule type="containsText" dxfId="4" priority="4796" operator="containsText" text="Відпустка">
      <formula>NOT(ISERROR(SEARCH(("Відпустка"),(U437))))</formula>
    </cfRule>
  </conditionalFormatting>
  <conditionalFormatting sqref="U437:U439">
    <cfRule type="containsText" dxfId="3" priority="4797" operator="containsText" text="В строю">
      <formula>NOT(ISERROR(SEARCH(("В строю"),(U437))))</formula>
    </cfRule>
  </conditionalFormatting>
  <conditionalFormatting sqref="K437 N437:N439 K439">
    <cfRule type="expression" dxfId="0" priority="4798">
      <formula>COUNTIF(#REF!, N437) &gt; 1</formula>
    </cfRule>
  </conditionalFormatting>
  <conditionalFormatting sqref="Q437:Q439">
    <cfRule type="cellIs" dxfId="9" priority="4799" operator="notEqual">
      <formula>P437</formula>
    </cfRule>
  </conditionalFormatting>
  <conditionalFormatting sqref="Q437:Q439">
    <cfRule type="cellIs" dxfId="3" priority="4800" operator="equal">
      <formula>P437</formula>
    </cfRule>
  </conditionalFormatting>
  <conditionalFormatting sqref="U436">
    <cfRule type="containsText" dxfId="10" priority="4801" operator="containsText" text="Лікування">
      <formula>NOT(ISERROR(SEARCH(("Лікування"),(U436))))</formula>
    </cfRule>
  </conditionalFormatting>
  <conditionalFormatting sqref="U436">
    <cfRule type="containsText" dxfId="9" priority="4802" operator="containsText" text="Загиблі">
      <formula>NOT(ISERROR(SEARCH(("Загиблі"),(U436))))</formula>
    </cfRule>
  </conditionalFormatting>
  <conditionalFormatting sqref="U436">
    <cfRule type="containsText" dxfId="8" priority="4803" operator="containsText" text="Відком. за межі ПБ">
      <formula>NOT(ISERROR(SEARCH(("Відком. за межі ПБ"),(U436))))</formula>
    </cfRule>
  </conditionalFormatting>
  <conditionalFormatting sqref="U436">
    <cfRule type="containsText" dxfId="7" priority="4804" operator="containsText" text="Від-ні навчання">
      <formula>NOT(ISERROR(SEARCH(("Від-ні навчання"),(U436))))</formula>
    </cfRule>
  </conditionalFormatting>
  <conditionalFormatting sqref="U436">
    <cfRule type="containsText" dxfId="6" priority="4805" operator="containsText" text="Зниклі безвісти">
      <formula>NOT(ISERROR(SEARCH(("Зниклі безвісти"),(U436))))</formula>
    </cfRule>
  </conditionalFormatting>
  <conditionalFormatting sqref="U436">
    <cfRule type="containsText" dxfId="5" priority="4806" operator="containsText" text="СЗЧ">
      <formula>NOT(ISERROR(SEARCH(("СЗЧ"),(U436))))</formula>
    </cfRule>
  </conditionalFormatting>
  <conditionalFormatting sqref="U436">
    <cfRule type="containsText" dxfId="4" priority="4807" operator="containsText" text="Відпустка">
      <formula>NOT(ISERROR(SEARCH(("Відпустка"),(U436))))</formula>
    </cfRule>
  </conditionalFormatting>
  <conditionalFormatting sqref="U436">
    <cfRule type="containsText" dxfId="3" priority="4808" operator="containsText" text="В строю">
      <formula>NOT(ISERROR(SEARCH(("В строю"),(U436))))</formula>
    </cfRule>
  </conditionalFormatting>
  <conditionalFormatting sqref="U435">
    <cfRule type="containsText" dxfId="3" priority="4809" operator="containsText" text="В строю">
      <formula>NOT(ISERROR(SEARCH(("В строю"),(U435))))</formula>
    </cfRule>
  </conditionalFormatting>
  <conditionalFormatting sqref="U435">
    <cfRule type="containsText" dxfId="4" priority="4810" operator="containsText" text="Відпустка">
      <formula>NOT(ISERROR(SEARCH(("Відпустка"),(U435))))</formula>
    </cfRule>
  </conditionalFormatting>
  <conditionalFormatting sqref="U435">
    <cfRule type="containsText" dxfId="5" priority="4811" operator="containsText" text="СЗЧ">
      <formula>NOT(ISERROR(SEARCH(("СЗЧ"),(U435))))</formula>
    </cfRule>
  </conditionalFormatting>
  <conditionalFormatting sqref="U435">
    <cfRule type="containsText" dxfId="6" priority="4812" operator="containsText" text="Зниклі безвісти">
      <formula>NOT(ISERROR(SEARCH(("Зниклі безвісти"),(U435))))</formula>
    </cfRule>
  </conditionalFormatting>
  <conditionalFormatting sqref="U435">
    <cfRule type="containsText" dxfId="7" priority="4813" operator="containsText" text="Від-ні навчання">
      <formula>NOT(ISERROR(SEARCH(("Від-ні навчання"),(U435))))</formula>
    </cfRule>
  </conditionalFormatting>
  <conditionalFormatting sqref="U435">
    <cfRule type="containsText" dxfId="8" priority="4814" operator="containsText" text="Відком. за межі ПБ">
      <formula>NOT(ISERROR(SEARCH(("Відком. за межі ПБ"),(U435))))</formula>
    </cfRule>
  </conditionalFormatting>
  <conditionalFormatting sqref="U435">
    <cfRule type="containsText" dxfId="9" priority="4815" operator="containsText" text="Загиблі">
      <formula>NOT(ISERROR(SEARCH(("Загиблі"),(U435))))</formula>
    </cfRule>
  </conditionalFormatting>
  <conditionalFormatting sqref="U435">
    <cfRule type="containsText" dxfId="10" priority="4816" operator="containsText" text="Лікування">
      <formula>NOT(ISERROR(SEARCH(("Лікування"),(U435))))</formula>
    </cfRule>
  </conditionalFormatting>
  <conditionalFormatting sqref="U435">
    <cfRule type="containsText" dxfId="10" priority="4817" operator="containsText" text="Лікування">
      <formula>NOT(ISERROR(SEARCH(("Лікування"),(U435))))</formula>
    </cfRule>
  </conditionalFormatting>
  <conditionalFormatting sqref="U435">
    <cfRule type="containsText" dxfId="9" priority="4818" operator="containsText" text="Загиблі">
      <formula>NOT(ISERROR(SEARCH(("Загиблі"),(U435))))</formula>
    </cfRule>
  </conditionalFormatting>
  <conditionalFormatting sqref="U435">
    <cfRule type="containsText" dxfId="8" priority="4819" operator="containsText" text="Відком. за межі ПБ">
      <formula>NOT(ISERROR(SEARCH(("Відком. за межі ПБ"),(U435))))</formula>
    </cfRule>
  </conditionalFormatting>
  <conditionalFormatting sqref="U435">
    <cfRule type="containsText" dxfId="7" priority="4820" operator="containsText" text="Від-ні навчання">
      <formula>NOT(ISERROR(SEARCH(("Від-ні навчання"),(U435))))</formula>
    </cfRule>
  </conditionalFormatting>
  <conditionalFormatting sqref="U435">
    <cfRule type="containsText" dxfId="6" priority="4821" operator="containsText" text="Зниклі безвісти">
      <formula>NOT(ISERROR(SEARCH(("Зниклі безвісти"),(U435))))</formula>
    </cfRule>
  </conditionalFormatting>
  <conditionalFormatting sqref="U435">
    <cfRule type="containsText" dxfId="5" priority="4822" operator="containsText" text="СЗЧ">
      <formula>NOT(ISERROR(SEARCH(("СЗЧ"),(U435))))</formula>
    </cfRule>
  </conditionalFormatting>
  <conditionalFormatting sqref="U435">
    <cfRule type="containsText" dxfId="4" priority="4823" operator="containsText" text="Відпустка">
      <formula>NOT(ISERROR(SEARCH(("Відпустка"),(U435))))</formula>
    </cfRule>
  </conditionalFormatting>
  <conditionalFormatting sqref="U435">
    <cfRule type="containsText" dxfId="3" priority="4824" operator="containsText" text="В строю">
      <formula>NOT(ISERROR(SEARCH(("В строю"),(U435))))</formula>
    </cfRule>
  </conditionalFormatting>
  <conditionalFormatting sqref="Q435">
    <cfRule type="cellIs" dxfId="9" priority="4825" operator="notEqual">
      <formula>P435</formula>
    </cfRule>
  </conditionalFormatting>
  <conditionalFormatting sqref="Q435">
    <cfRule type="cellIs" dxfId="3" priority="4826" operator="equal">
      <formula>P435</formula>
    </cfRule>
  </conditionalFormatting>
  <conditionalFormatting sqref="E435 N435">
    <cfRule type="expression" dxfId="0" priority="4827">
      <formula>COUNTIF(#REF!, E435) &gt; 1</formula>
    </cfRule>
  </conditionalFormatting>
  <conditionalFormatting sqref="U434">
    <cfRule type="containsText" dxfId="10" priority="4828" operator="containsText" text="Лікування">
      <formula>NOT(ISERROR(SEARCH(("Лікування"),(U434))))</formula>
    </cfRule>
  </conditionalFormatting>
  <conditionalFormatting sqref="U434">
    <cfRule type="containsText" dxfId="9" priority="4829" operator="containsText" text="Загиблі">
      <formula>NOT(ISERROR(SEARCH(("Загиблі"),(U434))))</formula>
    </cfRule>
  </conditionalFormatting>
  <conditionalFormatting sqref="U434">
    <cfRule type="containsText" dxfId="8" priority="4830" operator="containsText" text="Відком. за межі ПБ">
      <formula>NOT(ISERROR(SEARCH(("Відком. за межі ПБ"),(U434))))</formula>
    </cfRule>
  </conditionalFormatting>
  <conditionalFormatting sqref="U434">
    <cfRule type="containsText" dxfId="7" priority="4831" operator="containsText" text="Від-ні навчання">
      <formula>NOT(ISERROR(SEARCH(("Від-ні навчання"),(U434))))</formula>
    </cfRule>
  </conditionalFormatting>
  <conditionalFormatting sqref="U434">
    <cfRule type="containsText" dxfId="6" priority="4832" operator="containsText" text="Зниклі безвісти">
      <formula>NOT(ISERROR(SEARCH(("Зниклі безвісти"),(U434))))</formula>
    </cfRule>
  </conditionalFormatting>
  <conditionalFormatting sqref="U434">
    <cfRule type="containsText" dxfId="5" priority="4833" operator="containsText" text="СЗЧ">
      <formula>NOT(ISERROR(SEARCH(("СЗЧ"),(U434))))</formula>
    </cfRule>
  </conditionalFormatting>
  <conditionalFormatting sqref="U434">
    <cfRule type="containsText" dxfId="4" priority="4834" operator="containsText" text="Відпустка">
      <formula>NOT(ISERROR(SEARCH(("Відпустка"),(U434))))</formula>
    </cfRule>
  </conditionalFormatting>
  <conditionalFormatting sqref="U434">
    <cfRule type="containsText" dxfId="3" priority="4835" operator="containsText" text="В строю">
      <formula>NOT(ISERROR(SEARCH(("В строю"),(U434))))</formula>
    </cfRule>
  </conditionalFormatting>
  <conditionalFormatting sqref="Q434">
    <cfRule type="cellIs" dxfId="9" priority="4836" operator="notEqual">
      <formula>P434</formula>
    </cfRule>
  </conditionalFormatting>
  <conditionalFormatting sqref="Q434">
    <cfRule type="cellIs" dxfId="3" priority="4837" operator="equal">
      <formula>P434</formula>
    </cfRule>
  </conditionalFormatting>
  <conditionalFormatting sqref="K433 N433">
    <cfRule type="expression" dxfId="0" priority="4838">
      <formula>COUNTIF(#REF!, N433) &gt; 1</formula>
    </cfRule>
  </conditionalFormatting>
  <conditionalFormatting sqref="Q433">
    <cfRule type="cellIs" dxfId="9" priority="4839" operator="notEqual">
      <formula>P433</formula>
    </cfRule>
  </conditionalFormatting>
  <conditionalFormatting sqref="Q433">
    <cfRule type="cellIs" dxfId="3" priority="4840" operator="equal">
      <formula>P433</formula>
    </cfRule>
  </conditionalFormatting>
  <conditionalFormatting sqref="U433">
    <cfRule type="containsText" dxfId="10" priority="4841" operator="containsText" text="Лікування">
      <formula>NOT(ISERROR(SEARCH(("Лікування"),(U433))))</formula>
    </cfRule>
  </conditionalFormatting>
  <conditionalFormatting sqref="U433">
    <cfRule type="containsText" dxfId="9" priority="4842" operator="containsText" text="Загиблі">
      <formula>NOT(ISERROR(SEARCH(("Загиблі"),(U433))))</formula>
    </cfRule>
  </conditionalFormatting>
  <conditionalFormatting sqref="U433">
    <cfRule type="containsText" dxfId="8" priority="4843" operator="containsText" text="Відком. за межі ПБ">
      <formula>NOT(ISERROR(SEARCH(("Відком. за межі ПБ"),(U433))))</formula>
    </cfRule>
  </conditionalFormatting>
  <conditionalFormatting sqref="U433">
    <cfRule type="containsText" dxfId="7" priority="4844" operator="containsText" text="Від-ні навчання">
      <formula>NOT(ISERROR(SEARCH(("Від-ні навчання"),(U433))))</formula>
    </cfRule>
  </conditionalFormatting>
  <conditionalFormatting sqref="U433">
    <cfRule type="containsText" dxfId="6" priority="4845" operator="containsText" text="Зниклі безвісти">
      <formula>NOT(ISERROR(SEARCH(("Зниклі безвісти"),(U433))))</formula>
    </cfRule>
  </conditionalFormatting>
  <conditionalFormatting sqref="U433">
    <cfRule type="containsText" dxfId="5" priority="4846" operator="containsText" text="СЗЧ">
      <formula>NOT(ISERROR(SEARCH(("СЗЧ"),(U433))))</formula>
    </cfRule>
  </conditionalFormatting>
  <conditionalFormatting sqref="U433">
    <cfRule type="containsText" dxfId="4" priority="4847" operator="containsText" text="Відпустка">
      <formula>NOT(ISERROR(SEARCH(("Відпустка"),(U433))))</formula>
    </cfRule>
  </conditionalFormatting>
  <conditionalFormatting sqref="U433">
    <cfRule type="containsText" dxfId="3" priority="4848" operator="containsText" text="В строю">
      <formula>NOT(ISERROR(SEARCH(("В строю"),(U433))))</formula>
    </cfRule>
  </conditionalFormatting>
  <conditionalFormatting sqref="U432">
    <cfRule type="containsText" dxfId="10" priority="4849" operator="containsText" text="Лікування">
      <formula>NOT(ISERROR(SEARCH(("Лікування"),(U432))))</formula>
    </cfRule>
  </conditionalFormatting>
  <conditionalFormatting sqref="U432">
    <cfRule type="containsText" dxfId="9" priority="4850" operator="containsText" text="Загиблі">
      <formula>NOT(ISERROR(SEARCH(("Загиблі"),(U432))))</formula>
    </cfRule>
  </conditionalFormatting>
  <conditionalFormatting sqref="U432">
    <cfRule type="containsText" dxfId="8" priority="4851" operator="containsText" text="Відком. за межі ПБ">
      <formula>NOT(ISERROR(SEARCH(("Відком. за межі ПБ"),(U432))))</formula>
    </cfRule>
  </conditionalFormatting>
  <conditionalFormatting sqref="U432">
    <cfRule type="containsText" dxfId="7" priority="4852" operator="containsText" text="Від-ні навчання">
      <formula>NOT(ISERROR(SEARCH(("Від-ні навчання"),(U432))))</formula>
    </cfRule>
  </conditionalFormatting>
  <conditionalFormatting sqref="U432">
    <cfRule type="containsText" dxfId="6" priority="4853" operator="containsText" text="Зниклі безвісти">
      <formula>NOT(ISERROR(SEARCH(("Зниклі безвісти"),(U432))))</formula>
    </cfRule>
  </conditionalFormatting>
  <conditionalFormatting sqref="U432">
    <cfRule type="containsText" dxfId="5" priority="4854" operator="containsText" text="СЗЧ">
      <formula>NOT(ISERROR(SEARCH(("СЗЧ"),(U432))))</formula>
    </cfRule>
  </conditionalFormatting>
  <conditionalFormatting sqref="U432">
    <cfRule type="containsText" dxfId="4" priority="4855" operator="containsText" text="Відпустка">
      <formula>NOT(ISERROR(SEARCH(("Відпустка"),(U432))))</formula>
    </cfRule>
  </conditionalFormatting>
  <conditionalFormatting sqref="U432">
    <cfRule type="containsText" dxfId="3" priority="4856" operator="containsText" text="В строю">
      <formula>NOT(ISERROR(SEARCH(("В строю"),(U432))))</formula>
    </cfRule>
  </conditionalFormatting>
  <conditionalFormatting sqref="Q432">
    <cfRule type="cellIs" dxfId="9" priority="4857" operator="notEqual">
      <formula>P432</formula>
    </cfRule>
  </conditionalFormatting>
  <conditionalFormatting sqref="Q432">
    <cfRule type="cellIs" dxfId="3" priority="4858" operator="equal">
      <formula>P432</formula>
    </cfRule>
  </conditionalFormatting>
  <conditionalFormatting sqref="N432">
    <cfRule type="expression" dxfId="0" priority="4859">
      <formula>COUNTIF(#REF!, N432) &gt; 1</formula>
    </cfRule>
  </conditionalFormatting>
  <conditionalFormatting sqref="N431:O431">
    <cfRule type="expression" dxfId="0" priority="4860">
      <formula>COUNTIF(#REF!, N431) &gt; 1</formula>
    </cfRule>
  </conditionalFormatting>
  <conditionalFormatting sqref="Q431">
    <cfRule type="cellIs" dxfId="9" priority="4861" operator="notEqual">
      <formula>P431</formula>
    </cfRule>
  </conditionalFormatting>
  <conditionalFormatting sqref="Q431">
    <cfRule type="cellIs" dxfId="3" priority="4862" operator="equal">
      <formula>P431</formula>
    </cfRule>
  </conditionalFormatting>
  <conditionalFormatting sqref="U431">
    <cfRule type="containsText" dxfId="10" priority="4863" operator="containsText" text="Лікування">
      <formula>NOT(ISERROR(SEARCH(("Лікування"),(U431))))</formula>
    </cfRule>
  </conditionalFormatting>
  <conditionalFormatting sqref="U431">
    <cfRule type="containsText" dxfId="9" priority="4864" operator="containsText" text="Загиблі">
      <formula>NOT(ISERROR(SEARCH(("Загиблі"),(U431))))</formula>
    </cfRule>
  </conditionalFormatting>
  <conditionalFormatting sqref="U431">
    <cfRule type="containsText" dxfId="8" priority="4865" operator="containsText" text="Відком. за межі ПБ">
      <formula>NOT(ISERROR(SEARCH(("Відком. за межі ПБ"),(U431))))</formula>
    </cfRule>
  </conditionalFormatting>
  <conditionalFormatting sqref="U431">
    <cfRule type="containsText" dxfId="7" priority="4866" operator="containsText" text="Від-ні навчання">
      <formula>NOT(ISERROR(SEARCH(("Від-ні навчання"),(U431))))</formula>
    </cfRule>
  </conditionalFormatting>
  <conditionalFormatting sqref="U431">
    <cfRule type="containsText" dxfId="6" priority="4867" operator="containsText" text="Зниклі безвісти">
      <formula>NOT(ISERROR(SEARCH(("Зниклі безвісти"),(U431))))</formula>
    </cfRule>
  </conditionalFormatting>
  <conditionalFormatting sqref="U431">
    <cfRule type="containsText" dxfId="5" priority="4868" operator="containsText" text="СЗЧ">
      <formula>NOT(ISERROR(SEARCH(("СЗЧ"),(U431))))</formula>
    </cfRule>
  </conditionalFormatting>
  <conditionalFormatting sqref="U431">
    <cfRule type="containsText" dxfId="4" priority="4869" operator="containsText" text="Відпустка">
      <formula>NOT(ISERROR(SEARCH(("Відпустка"),(U431))))</formula>
    </cfRule>
  </conditionalFormatting>
  <conditionalFormatting sqref="U431">
    <cfRule type="containsText" dxfId="3" priority="4870" operator="containsText" text="В строю">
      <formula>NOT(ISERROR(SEARCH(("В строю"),(U431))))</formula>
    </cfRule>
  </conditionalFormatting>
  <conditionalFormatting sqref="U430">
    <cfRule type="containsText" dxfId="3" priority="4871" operator="containsText" text="В строю">
      <formula>NOT(ISERROR(SEARCH(("В строю"),(U430))))</formula>
    </cfRule>
  </conditionalFormatting>
  <conditionalFormatting sqref="U430">
    <cfRule type="containsText" dxfId="4" priority="4872" operator="containsText" text="Відпустка">
      <formula>NOT(ISERROR(SEARCH(("Відпустка"),(U430))))</formula>
    </cfRule>
  </conditionalFormatting>
  <conditionalFormatting sqref="U430">
    <cfRule type="containsText" dxfId="5" priority="4873" operator="containsText" text="СЗЧ">
      <formula>NOT(ISERROR(SEARCH(("СЗЧ"),(U430))))</formula>
    </cfRule>
  </conditionalFormatting>
  <conditionalFormatting sqref="U430">
    <cfRule type="containsText" dxfId="6" priority="4874" operator="containsText" text="Зниклі безвісти">
      <formula>NOT(ISERROR(SEARCH(("Зниклі безвісти"),(U430))))</formula>
    </cfRule>
  </conditionalFormatting>
  <conditionalFormatting sqref="U430">
    <cfRule type="containsText" dxfId="7" priority="4875" operator="containsText" text="Від-ні навчання">
      <formula>NOT(ISERROR(SEARCH(("Від-ні навчання"),(U430))))</formula>
    </cfRule>
  </conditionalFormatting>
  <conditionalFormatting sqref="U430">
    <cfRule type="containsText" dxfId="8" priority="4876" operator="containsText" text="Відком. за межі ПБ">
      <formula>NOT(ISERROR(SEARCH(("Відком. за межі ПБ"),(U430))))</formula>
    </cfRule>
  </conditionalFormatting>
  <conditionalFormatting sqref="U430">
    <cfRule type="containsText" dxfId="9" priority="4877" operator="containsText" text="Загиблі">
      <formula>NOT(ISERROR(SEARCH(("Загиблі"),(U430))))</formula>
    </cfRule>
  </conditionalFormatting>
  <conditionalFormatting sqref="U430">
    <cfRule type="containsText" dxfId="10" priority="4878" operator="containsText" text="Лікування">
      <formula>NOT(ISERROR(SEARCH(("Лікування"),(U430))))</formula>
    </cfRule>
  </conditionalFormatting>
  <conditionalFormatting sqref="Q430">
    <cfRule type="cellIs" dxfId="9" priority="4879" operator="notEqual">
      <formula>P430</formula>
    </cfRule>
  </conditionalFormatting>
  <conditionalFormatting sqref="Q430">
    <cfRule type="cellIs" dxfId="3" priority="4880" operator="equal">
      <formula>P430</formula>
    </cfRule>
  </conditionalFormatting>
  <conditionalFormatting sqref="U429">
    <cfRule type="containsText" dxfId="3" priority="4881" operator="containsText" text="В строю">
      <formula>NOT(ISERROR(SEARCH(("В строю"),(U429))))</formula>
    </cfRule>
  </conditionalFormatting>
  <conditionalFormatting sqref="U429">
    <cfRule type="containsText" dxfId="4" priority="4882" operator="containsText" text="Відпустка">
      <formula>NOT(ISERROR(SEARCH(("Відпустка"),(U429))))</formula>
    </cfRule>
  </conditionalFormatting>
  <conditionalFormatting sqref="U429">
    <cfRule type="containsText" dxfId="5" priority="4883" operator="containsText" text="СЗЧ">
      <formula>NOT(ISERROR(SEARCH(("СЗЧ"),(U429))))</formula>
    </cfRule>
  </conditionalFormatting>
  <conditionalFormatting sqref="U429">
    <cfRule type="containsText" dxfId="6" priority="4884" operator="containsText" text="Зниклі безвісти">
      <formula>NOT(ISERROR(SEARCH(("Зниклі безвісти"),(U429))))</formula>
    </cfRule>
  </conditionalFormatting>
  <conditionalFormatting sqref="U429">
    <cfRule type="containsText" dxfId="7" priority="4885" operator="containsText" text="Від-ні навчання">
      <formula>NOT(ISERROR(SEARCH(("Від-ні навчання"),(U429))))</formula>
    </cfRule>
  </conditionalFormatting>
  <conditionalFormatting sqref="U429">
    <cfRule type="containsText" dxfId="8" priority="4886" operator="containsText" text="Відком. за межі ПБ">
      <formula>NOT(ISERROR(SEARCH(("Відком. за межі ПБ"),(U429))))</formula>
    </cfRule>
  </conditionalFormatting>
  <conditionalFormatting sqref="U429">
    <cfRule type="containsText" dxfId="9" priority="4887" operator="containsText" text="Загиблі">
      <formula>NOT(ISERROR(SEARCH(("Загиблі"),(U429))))</formula>
    </cfRule>
  </conditionalFormatting>
  <conditionalFormatting sqref="U429">
    <cfRule type="containsText" dxfId="10" priority="4888" operator="containsText" text="Лікування">
      <formula>NOT(ISERROR(SEARCH(("Лікування"),(U429))))</formula>
    </cfRule>
  </conditionalFormatting>
  <conditionalFormatting sqref="Q429">
    <cfRule type="cellIs" dxfId="9" priority="4889" operator="notEqual">
      <formula>P429</formula>
    </cfRule>
  </conditionalFormatting>
  <conditionalFormatting sqref="Q429">
    <cfRule type="cellIs" dxfId="3" priority="4890" operator="equal">
      <formula>P429</formula>
    </cfRule>
  </conditionalFormatting>
  <conditionalFormatting sqref="N428">
    <cfRule type="expression" dxfId="0" priority="4891">
      <formula>COUNTIF(#REF!, N428) &gt; 1</formula>
    </cfRule>
  </conditionalFormatting>
  <conditionalFormatting sqref="U428">
    <cfRule type="containsText" dxfId="3" priority="4892" operator="containsText" text="В строю">
      <formula>NOT(ISERROR(SEARCH(("В строю"),(U428))))</formula>
    </cfRule>
  </conditionalFormatting>
  <conditionalFormatting sqref="U428">
    <cfRule type="containsText" dxfId="4" priority="4893" operator="containsText" text="Відпустка">
      <formula>NOT(ISERROR(SEARCH(("Відпустка"),(U428))))</formula>
    </cfRule>
  </conditionalFormatting>
  <conditionalFormatting sqref="U428">
    <cfRule type="containsText" dxfId="5" priority="4894" operator="containsText" text="СЗЧ">
      <formula>NOT(ISERROR(SEARCH(("СЗЧ"),(U428))))</formula>
    </cfRule>
  </conditionalFormatting>
  <conditionalFormatting sqref="U428">
    <cfRule type="containsText" dxfId="6" priority="4895" operator="containsText" text="Зниклі безвісти">
      <formula>NOT(ISERROR(SEARCH(("Зниклі безвісти"),(U428))))</formula>
    </cfRule>
  </conditionalFormatting>
  <conditionalFormatting sqref="U428">
    <cfRule type="containsText" dxfId="7" priority="4896" operator="containsText" text="Від-ні навчання">
      <formula>NOT(ISERROR(SEARCH(("Від-ні навчання"),(U428))))</formula>
    </cfRule>
  </conditionalFormatting>
  <conditionalFormatting sqref="U428">
    <cfRule type="containsText" dxfId="8" priority="4897" operator="containsText" text="Відком. за межі ПБ">
      <formula>NOT(ISERROR(SEARCH(("Відком. за межі ПБ"),(U428))))</formula>
    </cfRule>
  </conditionalFormatting>
  <conditionalFormatting sqref="U428">
    <cfRule type="containsText" dxfId="9" priority="4898" operator="containsText" text="Загиблі">
      <formula>NOT(ISERROR(SEARCH(("Загиблі"),(U428))))</formula>
    </cfRule>
  </conditionalFormatting>
  <conditionalFormatting sqref="U428">
    <cfRule type="containsText" dxfId="10" priority="4899" operator="containsText" text="Лікування">
      <formula>NOT(ISERROR(SEARCH(("Лікування"),(U428))))</formula>
    </cfRule>
  </conditionalFormatting>
  <conditionalFormatting sqref="Q428">
    <cfRule type="cellIs" dxfId="9" priority="4900" operator="notEqual">
      <formula>P428</formula>
    </cfRule>
  </conditionalFormatting>
  <conditionalFormatting sqref="Q428">
    <cfRule type="cellIs" dxfId="3" priority="4901" operator="equal">
      <formula>P428</formula>
    </cfRule>
  </conditionalFormatting>
  <conditionalFormatting sqref="U428">
    <cfRule type="containsText" dxfId="10" priority="4902" operator="containsText" text="Лікування">
      <formula>NOT(ISERROR(SEARCH(("Лікування"),(U428))))</formula>
    </cfRule>
  </conditionalFormatting>
  <conditionalFormatting sqref="U428">
    <cfRule type="containsText" dxfId="9" priority="4903" operator="containsText" text="Загиблі">
      <formula>NOT(ISERROR(SEARCH(("Загиблі"),(U428))))</formula>
    </cfRule>
  </conditionalFormatting>
  <conditionalFormatting sqref="U428">
    <cfRule type="containsText" dxfId="8" priority="4904" operator="containsText" text="Відком. за межі ПБ">
      <formula>NOT(ISERROR(SEARCH(("Відком. за межі ПБ"),(U428))))</formula>
    </cfRule>
  </conditionalFormatting>
  <conditionalFormatting sqref="U428">
    <cfRule type="containsText" dxfId="7" priority="4905" operator="containsText" text="Від-ні навчання">
      <formula>NOT(ISERROR(SEARCH(("Від-ні навчання"),(U428))))</formula>
    </cfRule>
  </conditionalFormatting>
  <conditionalFormatting sqref="U428">
    <cfRule type="containsText" dxfId="6" priority="4906" operator="containsText" text="Зниклі безвісти">
      <formula>NOT(ISERROR(SEARCH(("Зниклі безвісти"),(U428))))</formula>
    </cfRule>
  </conditionalFormatting>
  <conditionalFormatting sqref="U428">
    <cfRule type="containsText" dxfId="5" priority="4907" operator="containsText" text="СЗЧ">
      <formula>NOT(ISERROR(SEARCH(("СЗЧ"),(U428))))</formula>
    </cfRule>
  </conditionalFormatting>
  <conditionalFormatting sqref="U428">
    <cfRule type="containsText" dxfId="4" priority="4908" operator="containsText" text="Відпустка">
      <formula>NOT(ISERROR(SEARCH(("Відпустка"),(U428))))</formula>
    </cfRule>
  </conditionalFormatting>
  <conditionalFormatting sqref="U428">
    <cfRule type="containsText" dxfId="3" priority="4909" operator="containsText" text="В строю">
      <formula>NOT(ISERROR(SEARCH(("В строю"),(U428))))</formula>
    </cfRule>
  </conditionalFormatting>
  <conditionalFormatting sqref="Q427">
    <cfRule type="cellIs" dxfId="9" priority="4910" operator="notEqual">
      <formula>P427</formula>
    </cfRule>
  </conditionalFormatting>
  <conditionalFormatting sqref="Q427">
    <cfRule type="cellIs" dxfId="3" priority="4911" operator="equal">
      <formula>P427</formula>
    </cfRule>
  </conditionalFormatting>
  <conditionalFormatting sqref="U427">
    <cfRule type="containsText" dxfId="10" priority="4912" operator="containsText" text="Лікування">
      <formula>NOT(ISERROR(SEARCH(("Лікування"),(U427))))</formula>
    </cfRule>
  </conditionalFormatting>
  <conditionalFormatting sqref="U427">
    <cfRule type="containsText" dxfId="9" priority="4913" operator="containsText" text="Загиблі">
      <formula>NOT(ISERROR(SEARCH(("Загиблі"),(U427))))</formula>
    </cfRule>
  </conditionalFormatting>
  <conditionalFormatting sqref="U427">
    <cfRule type="containsText" dxfId="8" priority="4914" operator="containsText" text="Відком. за межі ПБ">
      <formula>NOT(ISERROR(SEARCH(("Відком. за межі ПБ"),(U427))))</formula>
    </cfRule>
  </conditionalFormatting>
  <conditionalFormatting sqref="U427">
    <cfRule type="containsText" dxfId="7" priority="4915" operator="containsText" text="Від-ні навчання">
      <formula>NOT(ISERROR(SEARCH(("Від-ні навчання"),(U427))))</formula>
    </cfRule>
  </conditionalFormatting>
  <conditionalFormatting sqref="U427">
    <cfRule type="containsText" dxfId="6" priority="4916" operator="containsText" text="Зниклі безвісти">
      <formula>NOT(ISERROR(SEARCH(("Зниклі безвісти"),(U427))))</formula>
    </cfRule>
  </conditionalFormatting>
  <conditionalFormatting sqref="U427">
    <cfRule type="containsText" dxfId="5" priority="4917" operator="containsText" text="СЗЧ">
      <formula>NOT(ISERROR(SEARCH(("СЗЧ"),(U427))))</formula>
    </cfRule>
  </conditionalFormatting>
  <conditionalFormatting sqref="U427">
    <cfRule type="containsText" dxfId="4" priority="4918" operator="containsText" text="Відпустка">
      <formula>NOT(ISERROR(SEARCH(("Відпустка"),(U427))))</formula>
    </cfRule>
  </conditionalFormatting>
  <conditionalFormatting sqref="U427">
    <cfRule type="containsText" dxfId="3" priority="4919" operator="containsText" text="В строю">
      <formula>NOT(ISERROR(SEARCH(("В строю"),(U427))))</formula>
    </cfRule>
  </conditionalFormatting>
  <conditionalFormatting sqref="Q426">
    <cfRule type="cellIs" dxfId="9" priority="4920" operator="notEqual">
      <formula>P426</formula>
    </cfRule>
  </conditionalFormatting>
  <conditionalFormatting sqref="Q426">
    <cfRule type="cellIs" dxfId="3" priority="4921" operator="equal">
      <formula>P426</formula>
    </cfRule>
  </conditionalFormatting>
  <conditionalFormatting sqref="N426">
    <cfRule type="expression" dxfId="0" priority="4922">
      <formula>COUNTIF(#REF!, N426) &gt; 1</formula>
    </cfRule>
  </conditionalFormatting>
  <conditionalFormatting sqref="U426">
    <cfRule type="containsText" dxfId="10" priority="4923" operator="containsText" text="Лікування">
      <formula>NOT(ISERROR(SEARCH(("Лікування"),(U426))))</formula>
    </cfRule>
  </conditionalFormatting>
  <conditionalFormatting sqref="U426">
    <cfRule type="containsText" dxfId="9" priority="4924" operator="containsText" text="Загиблі">
      <formula>NOT(ISERROR(SEARCH(("Загиблі"),(U426))))</formula>
    </cfRule>
  </conditionalFormatting>
  <conditionalFormatting sqref="U426">
    <cfRule type="containsText" dxfId="8" priority="4925" operator="containsText" text="Відком. за межі ПБ">
      <formula>NOT(ISERROR(SEARCH(("Відком. за межі ПБ"),(U426))))</formula>
    </cfRule>
  </conditionalFormatting>
  <conditionalFormatting sqref="U426">
    <cfRule type="containsText" dxfId="7" priority="4926" operator="containsText" text="Від-ні навчання">
      <formula>NOT(ISERROR(SEARCH(("Від-ні навчання"),(U426))))</formula>
    </cfRule>
  </conditionalFormatting>
  <conditionalFormatting sqref="U426">
    <cfRule type="containsText" dxfId="6" priority="4927" operator="containsText" text="Зниклі безвісти">
      <formula>NOT(ISERROR(SEARCH(("Зниклі безвісти"),(U426))))</formula>
    </cfRule>
  </conditionalFormatting>
  <conditionalFormatting sqref="U426">
    <cfRule type="containsText" dxfId="5" priority="4928" operator="containsText" text="СЗЧ">
      <formula>NOT(ISERROR(SEARCH(("СЗЧ"),(U426))))</formula>
    </cfRule>
  </conditionalFormatting>
  <conditionalFormatting sqref="U426">
    <cfRule type="containsText" dxfId="4" priority="4929" operator="containsText" text="Відпустка">
      <formula>NOT(ISERROR(SEARCH(("Відпустка"),(U426))))</formula>
    </cfRule>
  </conditionalFormatting>
  <conditionalFormatting sqref="U426">
    <cfRule type="containsText" dxfId="3" priority="4930" operator="containsText" text="В строю">
      <formula>NOT(ISERROR(SEARCH(("В строю"),(U426))))</formula>
    </cfRule>
  </conditionalFormatting>
  <conditionalFormatting sqref="N425">
    <cfRule type="expression" dxfId="0" priority="4931">
      <formula>COUNTIF(#REF!, N425) &gt; 1</formula>
    </cfRule>
  </conditionalFormatting>
  <conditionalFormatting sqref="Q425">
    <cfRule type="cellIs" dxfId="9" priority="4932" operator="notEqual">
      <formula>P425</formula>
    </cfRule>
  </conditionalFormatting>
  <conditionalFormatting sqref="Q425">
    <cfRule type="cellIs" dxfId="3" priority="4933" operator="equal">
      <formula>P425</formula>
    </cfRule>
  </conditionalFormatting>
  <conditionalFormatting sqref="U425">
    <cfRule type="containsText" dxfId="10" priority="4934" operator="containsText" text="Лікування">
      <formula>NOT(ISERROR(SEARCH(("Лікування"),(U425))))</formula>
    </cfRule>
  </conditionalFormatting>
  <conditionalFormatting sqref="U425">
    <cfRule type="containsText" dxfId="9" priority="4935" operator="containsText" text="Загиблі">
      <formula>NOT(ISERROR(SEARCH(("Загиблі"),(U425))))</formula>
    </cfRule>
  </conditionalFormatting>
  <conditionalFormatting sqref="U425">
    <cfRule type="containsText" dxfId="8" priority="4936" operator="containsText" text="Відком. за межі ПБ">
      <formula>NOT(ISERROR(SEARCH(("Відком. за межі ПБ"),(U425))))</formula>
    </cfRule>
  </conditionalFormatting>
  <conditionalFormatting sqref="U425">
    <cfRule type="containsText" dxfId="7" priority="4937" operator="containsText" text="Від-ні навчання">
      <formula>NOT(ISERROR(SEARCH(("Від-ні навчання"),(U425))))</formula>
    </cfRule>
  </conditionalFormatting>
  <conditionalFormatting sqref="U425">
    <cfRule type="containsText" dxfId="6" priority="4938" operator="containsText" text="Зниклі безвісти">
      <formula>NOT(ISERROR(SEARCH(("Зниклі безвісти"),(U425))))</formula>
    </cfRule>
  </conditionalFormatting>
  <conditionalFormatting sqref="U425">
    <cfRule type="containsText" dxfId="5" priority="4939" operator="containsText" text="СЗЧ">
      <formula>NOT(ISERROR(SEARCH(("СЗЧ"),(U425))))</formula>
    </cfRule>
  </conditionalFormatting>
  <conditionalFormatting sqref="U425">
    <cfRule type="containsText" dxfId="4" priority="4940" operator="containsText" text="Відпустка">
      <formula>NOT(ISERROR(SEARCH(("Відпустка"),(U425))))</formula>
    </cfRule>
  </conditionalFormatting>
  <conditionalFormatting sqref="U425">
    <cfRule type="containsText" dxfId="3" priority="4941" operator="containsText" text="В строю">
      <formula>NOT(ISERROR(SEARCH(("В строю"),(U425))))</formula>
    </cfRule>
  </conditionalFormatting>
  <conditionalFormatting sqref="Q424">
    <cfRule type="cellIs" dxfId="9" priority="4942" operator="notEqual">
      <formula>P424</formula>
    </cfRule>
  </conditionalFormatting>
  <conditionalFormatting sqref="Q424">
    <cfRule type="cellIs" dxfId="3" priority="4943" operator="equal">
      <formula>P424</formula>
    </cfRule>
  </conditionalFormatting>
  <conditionalFormatting sqref="U424">
    <cfRule type="containsText" dxfId="10" priority="4944" operator="containsText" text="Лікування">
      <formula>NOT(ISERROR(SEARCH(("Лікування"),(U424))))</formula>
    </cfRule>
  </conditionalFormatting>
  <conditionalFormatting sqref="U424">
    <cfRule type="containsText" dxfId="9" priority="4945" operator="containsText" text="Загиблі">
      <formula>NOT(ISERROR(SEARCH(("Загиблі"),(U424))))</formula>
    </cfRule>
  </conditionalFormatting>
  <conditionalFormatting sqref="U424">
    <cfRule type="containsText" dxfId="8" priority="4946" operator="containsText" text="Відком. за межі ПБ">
      <formula>NOT(ISERROR(SEARCH(("Відком. за межі ПБ"),(U424))))</formula>
    </cfRule>
  </conditionalFormatting>
  <conditionalFormatting sqref="U424">
    <cfRule type="containsText" dxfId="7" priority="4947" operator="containsText" text="Від-ні навчання">
      <formula>NOT(ISERROR(SEARCH(("Від-ні навчання"),(U424))))</formula>
    </cfRule>
  </conditionalFormatting>
  <conditionalFormatting sqref="U424">
    <cfRule type="containsText" dxfId="6" priority="4948" operator="containsText" text="Зниклі безвісти">
      <formula>NOT(ISERROR(SEARCH(("Зниклі безвісти"),(U424))))</formula>
    </cfRule>
  </conditionalFormatting>
  <conditionalFormatting sqref="U424">
    <cfRule type="containsText" dxfId="5" priority="4949" operator="containsText" text="СЗЧ">
      <formula>NOT(ISERROR(SEARCH(("СЗЧ"),(U424))))</formula>
    </cfRule>
  </conditionalFormatting>
  <conditionalFormatting sqref="U424">
    <cfRule type="containsText" dxfId="4" priority="4950" operator="containsText" text="Відпустка">
      <formula>NOT(ISERROR(SEARCH(("Відпустка"),(U424))))</formula>
    </cfRule>
  </conditionalFormatting>
  <conditionalFormatting sqref="U424">
    <cfRule type="containsText" dxfId="3" priority="4951" operator="containsText" text="В строю">
      <formula>NOT(ISERROR(SEARCH(("В строю"),(U424))))</formula>
    </cfRule>
  </conditionalFormatting>
  <conditionalFormatting sqref="N424:O424">
    <cfRule type="expression" dxfId="0" priority="4952">
      <formula>COUNTIF(#REF!, N424) &gt; 1</formula>
    </cfRule>
  </conditionalFormatting>
  <conditionalFormatting sqref="N423">
    <cfRule type="expression" dxfId="0" priority="4953">
      <formula>COUNTIF(#REF!, N423) &gt; 1</formula>
    </cfRule>
  </conditionalFormatting>
  <conditionalFormatting sqref="Q423">
    <cfRule type="cellIs" dxfId="9" priority="4954" operator="notEqual">
      <formula>P423</formula>
    </cfRule>
  </conditionalFormatting>
  <conditionalFormatting sqref="Q423">
    <cfRule type="cellIs" dxfId="3" priority="4955" operator="equal">
      <formula>P423</formula>
    </cfRule>
  </conditionalFormatting>
  <conditionalFormatting sqref="U423">
    <cfRule type="containsText" dxfId="10" priority="4956" operator="containsText" text="Лікування">
      <formula>NOT(ISERROR(SEARCH(("Лікування"),(U423))))</formula>
    </cfRule>
  </conditionalFormatting>
  <conditionalFormatting sqref="U423">
    <cfRule type="containsText" dxfId="9" priority="4957" operator="containsText" text="Загиблі">
      <formula>NOT(ISERROR(SEARCH(("Загиблі"),(U423))))</formula>
    </cfRule>
  </conditionalFormatting>
  <conditionalFormatting sqref="U423">
    <cfRule type="containsText" dxfId="8" priority="4958" operator="containsText" text="Відком. за межі ПБ">
      <formula>NOT(ISERROR(SEARCH(("Відком. за межі ПБ"),(U423))))</formula>
    </cfRule>
  </conditionalFormatting>
  <conditionalFormatting sqref="U423">
    <cfRule type="containsText" dxfId="7" priority="4959" operator="containsText" text="Від-ні навчання">
      <formula>NOT(ISERROR(SEARCH(("Від-ні навчання"),(U423))))</formula>
    </cfRule>
  </conditionalFormatting>
  <conditionalFormatting sqref="U423">
    <cfRule type="containsText" dxfId="6" priority="4960" operator="containsText" text="Зниклі безвісти">
      <formula>NOT(ISERROR(SEARCH(("Зниклі безвісти"),(U423))))</formula>
    </cfRule>
  </conditionalFormatting>
  <conditionalFormatting sqref="U423">
    <cfRule type="containsText" dxfId="5" priority="4961" operator="containsText" text="СЗЧ">
      <formula>NOT(ISERROR(SEARCH(("СЗЧ"),(U423))))</formula>
    </cfRule>
  </conditionalFormatting>
  <conditionalFormatting sqref="U423">
    <cfRule type="containsText" dxfId="4" priority="4962" operator="containsText" text="Відпустка">
      <formula>NOT(ISERROR(SEARCH(("Відпустка"),(U423))))</formula>
    </cfRule>
  </conditionalFormatting>
  <conditionalFormatting sqref="U423">
    <cfRule type="containsText" dxfId="3" priority="4963" operator="containsText" text="В строю">
      <formula>NOT(ISERROR(SEARCH(("В строю"),(U423))))</formula>
    </cfRule>
  </conditionalFormatting>
  <conditionalFormatting sqref="U422">
    <cfRule type="containsText" dxfId="3" priority="4964" operator="containsText" text="В строю">
      <formula>NOT(ISERROR(SEARCH(("В строю"),(U422))))</formula>
    </cfRule>
  </conditionalFormatting>
  <conditionalFormatting sqref="U422">
    <cfRule type="containsText" dxfId="4" priority="4965" operator="containsText" text="Відпустка">
      <formula>NOT(ISERROR(SEARCH(("Відпустка"),(U422))))</formula>
    </cfRule>
  </conditionalFormatting>
  <conditionalFormatting sqref="U422">
    <cfRule type="containsText" dxfId="5" priority="4966" operator="containsText" text="СЗЧ">
      <formula>NOT(ISERROR(SEARCH(("СЗЧ"),(U422))))</formula>
    </cfRule>
  </conditionalFormatting>
  <conditionalFormatting sqref="U422">
    <cfRule type="containsText" dxfId="6" priority="4967" operator="containsText" text="Зниклі безвісти">
      <formula>NOT(ISERROR(SEARCH(("Зниклі безвісти"),(U422))))</formula>
    </cfRule>
  </conditionalFormatting>
  <conditionalFormatting sqref="U422">
    <cfRule type="containsText" dxfId="7" priority="4968" operator="containsText" text="Від-ні навчання">
      <formula>NOT(ISERROR(SEARCH(("Від-ні навчання"),(U422))))</formula>
    </cfRule>
  </conditionalFormatting>
  <conditionalFormatting sqref="U422">
    <cfRule type="containsText" dxfId="8" priority="4969" operator="containsText" text="Відком. за межі ПБ">
      <formula>NOT(ISERROR(SEARCH(("Відком. за межі ПБ"),(U422))))</formula>
    </cfRule>
  </conditionalFormatting>
  <conditionalFormatting sqref="U422">
    <cfRule type="containsText" dxfId="9" priority="4970" operator="containsText" text="Загиблі">
      <formula>NOT(ISERROR(SEARCH(("Загиблі"),(U422))))</formula>
    </cfRule>
  </conditionalFormatting>
  <conditionalFormatting sqref="U422">
    <cfRule type="containsText" dxfId="10" priority="4971" operator="containsText" text="Лікування">
      <formula>NOT(ISERROR(SEARCH(("Лікування"),(U422))))</formula>
    </cfRule>
  </conditionalFormatting>
  <conditionalFormatting sqref="Q422">
    <cfRule type="cellIs" dxfId="9" priority="4972" operator="notEqual">
      <formula>P422</formula>
    </cfRule>
  </conditionalFormatting>
  <conditionalFormatting sqref="Q422">
    <cfRule type="cellIs" dxfId="3" priority="4973" operator="equal">
      <formula>P422</formula>
    </cfRule>
  </conditionalFormatting>
  <conditionalFormatting sqref="N422">
    <cfRule type="expression" dxfId="0" priority="4974">
      <formula>COUNTIF(#REF!, N422) &gt; 1</formula>
    </cfRule>
  </conditionalFormatting>
  <conditionalFormatting sqref="U422">
    <cfRule type="containsText" dxfId="10" priority="4975" operator="containsText" text="Лікування">
      <formula>NOT(ISERROR(SEARCH(("Лікування"),(U422))))</formula>
    </cfRule>
  </conditionalFormatting>
  <conditionalFormatting sqref="U422">
    <cfRule type="containsText" dxfId="9" priority="4976" operator="containsText" text="Загиблі">
      <formula>NOT(ISERROR(SEARCH(("Загиблі"),(U422))))</formula>
    </cfRule>
  </conditionalFormatting>
  <conditionalFormatting sqref="U422">
    <cfRule type="containsText" dxfId="8" priority="4977" operator="containsText" text="Відком. за межі ПБ">
      <formula>NOT(ISERROR(SEARCH(("Відком. за межі ПБ"),(U422))))</formula>
    </cfRule>
  </conditionalFormatting>
  <conditionalFormatting sqref="U422">
    <cfRule type="containsText" dxfId="7" priority="4978" operator="containsText" text="Від-ні навчання">
      <formula>NOT(ISERROR(SEARCH(("Від-ні навчання"),(U422))))</formula>
    </cfRule>
  </conditionalFormatting>
  <conditionalFormatting sqref="U422">
    <cfRule type="containsText" dxfId="6" priority="4979" operator="containsText" text="Зниклі безвісти">
      <formula>NOT(ISERROR(SEARCH(("Зниклі безвісти"),(U422))))</formula>
    </cfRule>
  </conditionalFormatting>
  <conditionalFormatting sqref="U422">
    <cfRule type="containsText" dxfId="5" priority="4980" operator="containsText" text="СЗЧ">
      <formula>NOT(ISERROR(SEARCH(("СЗЧ"),(U422))))</formula>
    </cfRule>
  </conditionalFormatting>
  <conditionalFormatting sqref="U422">
    <cfRule type="containsText" dxfId="4" priority="4981" operator="containsText" text="Відпустка">
      <formula>NOT(ISERROR(SEARCH(("Відпустка"),(U422))))</formula>
    </cfRule>
  </conditionalFormatting>
  <conditionalFormatting sqref="U422">
    <cfRule type="containsText" dxfId="3" priority="4982" operator="containsText" text="В строю">
      <formula>NOT(ISERROR(SEARCH(("В строю"),(U422))))</formula>
    </cfRule>
  </conditionalFormatting>
  <conditionalFormatting sqref="U421">
    <cfRule type="containsText" dxfId="10" priority="4983" operator="containsText" text="Лікування">
      <formula>NOT(ISERROR(SEARCH(("Лікування"),(U421))))</formula>
    </cfRule>
  </conditionalFormatting>
  <conditionalFormatting sqref="U421">
    <cfRule type="containsText" dxfId="9" priority="4984" operator="containsText" text="Загиблі">
      <formula>NOT(ISERROR(SEARCH(("Загиблі"),(U421))))</formula>
    </cfRule>
  </conditionalFormatting>
  <conditionalFormatting sqref="U421">
    <cfRule type="containsText" dxfId="8" priority="4985" operator="containsText" text="Відком. за межі ПБ">
      <formula>NOT(ISERROR(SEARCH(("Відком. за межі ПБ"),(U421))))</formula>
    </cfRule>
  </conditionalFormatting>
  <conditionalFormatting sqref="U421">
    <cfRule type="containsText" dxfId="7" priority="4986" operator="containsText" text="Від-ні навчання">
      <formula>NOT(ISERROR(SEARCH(("Від-ні навчання"),(U421))))</formula>
    </cfRule>
  </conditionalFormatting>
  <conditionalFormatting sqref="U421">
    <cfRule type="containsText" dxfId="6" priority="4987" operator="containsText" text="Зниклі безвісти">
      <formula>NOT(ISERROR(SEARCH(("Зниклі безвісти"),(U421))))</formula>
    </cfRule>
  </conditionalFormatting>
  <conditionalFormatting sqref="U421">
    <cfRule type="containsText" dxfId="5" priority="4988" operator="containsText" text="СЗЧ">
      <formula>NOT(ISERROR(SEARCH(("СЗЧ"),(U421))))</formula>
    </cfRule>
  </conditionalFormatting>
  <conditionalFormatting sqref="U421">
    <cfRule type="containsText" dxfId="4" priority="4989" operator="containsText" text="Відпустка">
      <formula>NOT(ISERROR(SEARCH(("Відпустка"),(U421))))</formula>
    </cfRule>
  </conditionalFormatting>
  <conditionalFormatting sqref="U421">
    <cfRule type="containsText" dxfId="3" priority="4990" operator="containsText" text="В строю">
      <formula>NOT(ISERROR(SEARCH(("В строю"),(U421))))</formula>
    </cfRule>
  </conditionalFormatting>
  <conditionalFormatting sqref="Q421">
    <cfRule type="cellIs" dxfId="9" priority="4991" operator="notEqual">
      <formula>P421</formula>
    </cfRule>
  </conditionalFormatting>
  <conditionalFormatting sqref="Q421">
    <cfRule type="cellIs" dxfId="3" priority="4992" operator="equal">
      <formula>P421</formula>
    </cfRule>
  </conditionalFormatting>
  <conditionalFormatting sqref="N419:N420">
    <cfRule type="expression" dxfId="0" priority="4993">
      <formula>COUNTIF(#REF!, N419) &gt; 1</formula>
    </cfRule>
  </conditionalFormatting>
  <conditionalFormatting sqref="U419:U420">
    <cfRule type="containsText" dxfId="10" priority="4994" operator="containsText" text="Лікування">
      <formula>NOT(ISERROR(SEARCH(("Лікування"),(U419))))</formula>
    </cfRule>
  </conditionalFormatting>
  <conditionalFormatting sqref="U419:U420">
    <cfRule type="containsText" dxfId="9" priority="4995" operator="containsText" text="Загиблі">
      <formula>NOT(ISERROR(SEARCH(("Загиблі"),(U419))))</formula>
    </cfRule>
  </conditionalFormatting>
  <conditionalFormatting sqref="U419:U420">
    <cfRule type="containsText" dxfId="8" priority="4996" operator="containsText" text="Відком. за межі ПБ">
      <formula>NOT(ISERROR(SEARCH(("Відком. за межі ПБ"),(U419))))</formula>
    </cfRule>
  </conditionalFormatting>
  <conditionalFormatting sqref="U419:U420">
    <cfRule type="containsText" dxfId="7" priority="4997" operator="containsText" text="Від-ні навчання">
      <formula>NOT(ISERROR(SEARCH(("Від-ні навчання"),(U419))))</formula>
    </cfRule>
  </conditionalFormatting>
  <conditionalFormatting sqref="U419:U420">
    <cfRule type="containsText" dxfId="6" priority="4998" operator="containsText" text="Зниклі безвісти">
      <formula>NOT(ISERROR(SEARCH(("Зниклі безвісти"),(U419))))</formula>
    </cfRule>
  </conditionalFormatting>
  <conditionalFormatting sqref="U419:U420">
    <cfRule type="containsText" dxfId="5" priority="4999" operator="containsText" text="СЗЧ">
      <formula>NOT(ISERROR(SEARCH(("СЗЧ"),(U419))))</formula>
    </cfRule>
  </conditionalFormatting>
  <conditionalFormatting sqref="U419:U420">
    <cfRule type="containsText" dxfId="4" priority="5000" operator="containsText" text="Відпустка">
      <formula>NOT(ISERROR(SEARCH(("Відпустка"),(U419))))</formula>
    </cfRule>
  </conditionalFormatting>
  <conditionalFormatting sqref="U419:U420">
    <cfRule type="containsText" dxfId="3" priority="5001" operator="containsText" text="В строю">
      <formula>NOT(ISERROR(SEARCH(("В строю"),(U419))))</formula>
    </cfRule>
  </conditionalFormatting>
  <conditionalFormatting sqref="U418">
    <cfRule type="containsText" dxfId="10" priority="5002" operator="containsText" text="Лікування">
      <formula>NOT(ISERROR(SEARCH(("Лікування"),(U418))))</formula>
    </cfRule>
  </conditionalFormatting>
  <conditionalFormatting sqref="U418">
    <cfRule type="containsText" dxfId="9" priority="5003" operator="containsText" text="Загиблі">
      <formula>NOT(ISERROR(SEARCH(("Загиблі"),(U418))))</formula>
    </cfRule>
  </conditionalFormatting>
  <conditionalFormatting sqref="U418">
    <cfRule type="containsText" dxfId="8" priority="5004" operator="containsText" text="Відком. за межі ПБ">
      <formula>NOT(ISERROR(SEARCH(("Відком. за межі ПБ"),(U418))))</formula>
    </cfRule>
  </conditionalFormatting>
  <conditionalFormatting sqref="U418">
    <cfRule type="containsText" dxfId="7" priority="5005" operator="containsText" text="Від-ні навчання">
      <formula>NOT(ISERROR(SEARCH(("Від-ні навчання"),(U418))))</formula>
    </cfRule>
  </conditionalFormatting>
  <conditionalFormatting sqref="U418">
    <cfRule type="containsText" dxfId="6" priority="5006" operator="containsText" text="Зниклі безвісти">
      <formula>NOT(ISERROR(SEARCH(("Зниклі безвісти"),(U418))))</formula>
    </cfRule>
  </conditionalFormatting>
  <conditionalFormatting sqref="U418">
    <cfRule type="containsText" dxfId="5" priority="5007" operator="containsText" text="СЗЧ">
      <formula>NOT(ISERROR(SEARCH(("СЗЧ"),(U418))))</formula>
    </cfRule>
  </conditionalFormatting>
  <conditionalFormatting sqref="U418">
    <cfRule type="containsText" dxfId="4" priority="5008" operator="containsText" text="Відпустка">
      <formula>NOT(ISERROR(SEARCH(("Відпустка"),(U418))))</formula>
    </cfRule>
  </conditionalFormatting>
  <conditionalFormatting sqref="U418">
    <cfRule type="containsText" dxfId="3" priority="5009" operator="containsText" text="В строю">
      <formula>NOT(ISERROR(SEARCH(("В строю"),(U418))))</formula>
    </cfRule>
  </conditionalFormatting>
  <conditionalFormatting sqref="U417">
    <cfRule type="containsText" dxfId="10" priority="5010" operator="containsText" text="Лікування">
      <formula>NOT(ISERROR(SEARCH(("Лікування"),(U417))))</formula>
    </cfRule>
  </conditionalFormatting>
  <conditionalFormatting sqref="U417">
    <cfRule type="containsText" dxfId="9" priority="5011" operator="containsText" text="Загиблі">
      <formula>NOT(ISERROR(SEARCH(("Загиблі"),(U417))))</formula>
    </cfRule>
  </conditionalFormatting>
  <conditionalFormatting sqref="U417">
    <cfRule type="containsText" dxfId="8" priority="5012" operator="containsText" text="Відком. за межі ПБ">
      <formula>NOT(ISERROR(SEARCH(("Відком. за межі ПБ"),(U417))))</formula>
    </cfRule>
  </conditionalFormatting>
  <conditionalFormatting sqref="U417">
    <cfRule type="containsText" dxfId="7" priority="5013" operator="containsText" text="Від-ні навчання">
      <formula>NOT(ISERROR(SEARCH(("Від-ні навчання"),(U417))))</formula>
    </cfRule>
  </conditionalFormatting>
  <conditionalFormatting sqref="U417">
    <cfRule type="containsText" dxfId="6" priority="5014" operator="containsText" text="Зниклі безвісти">
      <formula>NOT(ISERROR(SEARCH(("Зниклі безвісти"),(U417))))</formula>
    </cfRule>
  </conditionalFormatting>
  <conditionalFormatting sqref="U417">
    <cfRule type="containsText" dxfId="5" priority="5015" operator="containsText" text="СЗЧ">
      <formula>NOT(ISERROR(SEARCH(("СЗЧ"),(U417))))</formula>
    </cfRule>
  </conditionalFormatting>
  <conditionalFormatting sqref="U417">
    <cfRule type="containsText" dxfId="4" priority="5016" operator="containsText" text="Відпустка">
      <formula>NOT(ISERROR(SEARCH(("Відпустка"),(U417))))</formula>
    </cfRule>
  </conditionalFormatting>
  <conditionalFormatting sqref="U417">
    <cfRule type="containsText" dxfId="3" priority="5017" operator="containsText" text="В строю">
      <formula>NOT(ISERROR(SEARCH(("В строю"),(U417))))</formula>
    </cfRule>
  </conditionalFormatting>
  <conditionalFormatting sqref="U416">
    <cfRule type="containsText" dxfId="10" priority="5018" operator="containsText" text="Лікування">
      <formula>NOT(ISERROR(SEARCH(("Лікування"),(U416))))</formula>
    </cfRule>
  </conditionalFormatting>
  <conditionalFormatting sqref="U416">
    <cfRule type="containsText" dxfId="9" priority="5019" operator="containsText" text="Загиблі">
      <formula>NOT(ISERROR(SEARCH(("Загиблі"),(U416))))</formula>
    </cfRule>
  </conditionalFormatting>
  <conditionalFormatting sqref="U416">
    <cfRule type="containsText" dxfId="8" priority="5020" operator="containsText" text="Відком. за межі ПБ">
      <formula>NOT(ISERROR(SEARCH(("Відком. за межі ПБ"),(U416))))</formula>
    </cfRule>
  </conditionalFormatting>
  <conditionalFormatting sqref="U416">
    <cfRule type="containsText" dxfId="7" priority="5021" operator="containsText" text="Від-ні навчання">
      <formula>NOT(ISERROR(SEARCH(("Від-ні навчання"),(U416))))</formula>
    </cfRule>
  </conditionalFormatting>
  <conditionalFormatting sqref="U416">
    <cfRule type="containsText" dxfId="6" priority="5022" operator="containsText" text="Зниклі безвісти">
      <formula>NOT(ISERROR(SEARCH(("Зниклі безвісти"),(U416))))</formula>
    </cfRule>
  </conditionalFormatting>
  <conditionalFormatting sqref="U416">
    <cfRule type="containsText" dxfId="5" priority="5023" operator="containsText" text="СЗЧ">
      <formula>NOT(ISERROR(SEARCH(("СЗЧ"),(U416))))</formula>
    </cfRule>
  </conditionalFormatting>
  <conditionalFormatting sqref="U416">
    <cfRule type="containsText" dxfId="4" priority="5024" operator="containsText" text="Відпустка">
      <formula>NOT(ISERROR(SEARCH(("Відпустка"),(U416))))</formula>
    </cfRule>
  </conditionalFormatting>
  <conditionalFormatting sqref="U416">
    <cfRule type="containsText" dxfId="3" priority="5025" operator="containsText" text="В строю">
      <formula>NOT(ISERROR(SEARCH(("В строю"),(U416))))</formula>
    </cfRule>
  </conditionalFormatting>
  <conditionalFormatting sqref="U414:U415">
    <cfRule type="containsText" dxfId="3" priority="5026" operator="containsText" text="В строю">
      <formula>NOT(ISERROR(SEARCH(("В строю"),(U414))))</formula>
    </cfRule>
  </conditionalFormatting>
  <conditionalFormatting sqref="U414:U415">
    <cfRule type="containsText" dxfId="4" priority="5027" operator="containsText" text="Відпустка">
      <formula>NOT(ISERROR(SEARCH(("Відпустка"),(U414))))</formula>
    </cfRule>
  </conditionalFormatting>
  <conditionalFormatting sqref="U414:U415">
    <cfRule type="containsText" dxfId="5" priority="5028" operator="containsText" text="СЗЧ">
      <formula>NOT(ISERROR(SEARCH(("СЗЧ"),(U414))))</formula>
    </cfRule>
  </conditionalFormatting>
  <conditionalFormatting sqref="U414:U415">
    <cfRule type="containsText" dxfId="6" priority="5029" operator="containsText" text="Зниклі безвісти">
      <formula>NOT(ISERROR(SEARCH(("Зниклі безвісти"),(U414))))</formula>
    </cfRule>
  </conditionalFormatting>
  <conditionalFormatting sqref="U414:U415">
    <cfRule type="containsText" dxfId="7" priority="5030" operator="containsText" text="Від-ні навчання">
      <formula>NOT(ISERROR(SEARCH(("Від-ні навчання"),(U414))))</formula>
    </cfRule>
  </conditionalFormatting>
  <conditionalFormatting sqref="U414:U415">
    <cfRule type="containsText" dxfId="8" priority="5031" operator="containsText" text="Відком. за межі ПБ">
      <formula>NOT(ISERROR(SEARCH(("Відком. за межі ПБ"),(U414))))</formula>
    </cfRule>
  </conditionalFormatting>
  <conditionalFormatting sqref="U414:U415">
    <cfRule type="containsText" dxfId="9" priority="5032" operator="containsText" text="Загиблі">
      <formula>NOT(ISERROR(SEARCH(("Загиблі"),(U414))))</formula>
    </cfRule>
  </conditionalFormatting>
  <conditionalFormatting sqref="U414:U415">
    <cfRule type="containsText" dxfId="10" priority="5033" operator="containsText" text="Лікування">
      <formula>NOT(ISERROR(SEARCH(("Лікування"),(U414))))</formula>
    </cfRule>
  </conditionalFormatting>
  <conditionalFormatting sqref="N414">
    <cfRule type="expression" dxfId="0" priority="5034">
      <formula>COUNTIF(#REF!, N414) &gt; 1</formula>
    </cfRule>
  </conditionalFormatting>
  <conditionalFormatting sqref="U414">
    <cfRule type="containsText" dxfId="10" priority="5035" operator="containsText" text="Лікування">
      <formula>NOT(ISERROR(SEARCH(("Лікування"),(U414))))</formula>
    </cfRule>
  </conditionalFormatting>
  <conditionalFormatting sqref="U414">
    <cfRule type="containsText" dxfId="9" priority="5036" operator="containsText" text="Загиблі">
      <formula>NOT(ISERROR(SEARCH(("Загиблі"),(U414))))</formula>
    </cfRule>
  </conditionalFormatting>
  <conditionalFormatting sqref="U414">
    <cfRule type="containsText" dxfId="8" priority="5037" operator="containsText" text="Відком. за межі ПБ">
      <formula>NOT(ISERROR(SEARCH(("Відком. за межі ПБ"),(U414))))</formula>
    </cfRule>
  </conditionalFormatting>
  <conditionalFormatting sqref="U414">
    <cfRule type="containsText" dxfId="7" priority="5038" operator="containsText" text="Від-ні навчання">
      <formula>NOT(ISERROR(SEARCH(("Від-ні навчання"),(U414))))</formula>
    </cfRule>
  </conditionalFormatting>
  <conditionalFormatting sqref="U414">
    <cfRule type="containsText" dxfId="6" priority="5039" operator="containsText" text="Зниклі безвісти">
      <formula>NOT(ISERROR(SEARCH(("Зниклі безвісти"),(U414))))</formula>
    </cfRule>
  </conditionalFormatting>
  <conditionalFormatting sqref="U414">
    <cfRule type="containsText" dxfId="5" priority="5040" operator="containsText" text="СЗЧ">
      <formula>NOT(ISERROR(SEARCH(("СЗЧ"),(U414))))</formula>
    </cfRule>
  </conditionalFormatting>
  <conditionalFormatting sqref="U414">
    <cfRule type="containsText" dxfId="4" priority="5041" operator="containsText" text="Відпустка">
      <formula>NOT(ISERROR(SEARCH(("Відпустка"),(U414))))</formula>
    </cfRule>
  </conditionalFormatting>
  <conditionalFormatting sqref="U414">
    <cfRule type="containsText" dxfId="3" priority="5042" operator="containsText" text="В строю">
      <formula>NOT(ISERROR(SEARCH(("В строю"),(U414))))</formula>
    </cfRule>
  </conditionalFormatting>
  <conditionalFormatting sqref="N413">
    <cfRule type="expression" dxfId="0" priority="5043">
      <formula>COUNTIF(#REF!, N413) &gt; 1</formula>
    </cfRule>
  </conditionalFormatting>
  <conditionalFormatting sqref="U413">
    <cfRule type="containsText" dxfId="10" priority="5044" operator="containsText" text="Лікування">
      <formula>NOT(ISERROR(SEARCH(("Лікування"),(U413))))</formula>
    </cfRule>
  </conditionalFormatting>
  <conditionalFormatting sqref="U413">
    <cfRule type="containsText" dxfId="9" priority="5045" operator="containsText" text="Загиблі">
      <formula>NOT(ISERROR(SEARCH(("Загиблі"),(U413))))</formula>
    </cfRule>
  </conditionalFormatting>
  <conditionalFormatting sqref="U413">
    <cfRule type="containsText" dxfId="8" priority="5046" operator="containsText" text="Відком. за межі ПБ">
      <formula>NOT(ISERROR(SEARCH(("Відком. за межі ПБ"),(U413))))</formula>
    </cfRule>
  </conditionalFormatting>
  <conditionalFormatting sqref="U413">
    <cfRule type="containsText" dxfId="7" priority="5047" operator="containsText" text="Від-ні навчання">
      <formula>NOT(ISERROR(SEARCH(("Від-ні навчання"),(U413))))</formula>
    </cfRule>
  </conditionalFormatting>
  <conditionalFormatting sqref="U413">
    <cfRule type="containsText" dxfId="6" priority="5048" operator="containsText" text="Зниклі безвісти">
      <formula>NOT(ISERROR(SEARCH(("Зниклі безвісти"),(U413))))</formula>
    </cfRule>
  </conditionalFormatting>
  <conditionalFormatting sqref="U413">
    <cfRule type="containsText" dxfId="5" priority="5049" operator="containsText" text="СЗЧ">
      <formula>NOT(ISERROR(SEARCH(("СЗЧ"),(U413))))</formula>
    </cfRule>
  </conditionalFormatting>
  <conditionalFormatting sqref="U413">
    <cfRule type="containsText" dxfId="4" priority="5050" operator="containsText" text="Відпустка">
      <formula>NOT(ISERROR(SEARCH(("Відпустка"),(U413))))</formula>
    </cfRule>
  </conditionalFormatting>
  <conditionalFormatting sqref="U413">
    <cfRule type="containsText" dxfId="3" priority="5051" operator="containsText" text="В строю">
      <formula>NOT(ISERROR(SEARCH(("В строю"),(U413))))</formula>
    </cfRule>
  </conditionalFormatting>
  <conditionalFormatting sqref="Q413 Q415">
    <cfRule type="cellIs" dxfId="9" priority="5052" operator="notEqual">
      <formula>P413</formula>
    </cfRule>
  </conditionalFormatting>
  <conditionalFormatting sqref="Q413 Q415">
    <cfRule type="cellIs" dxfId="3" priority="5053" operator="equal">
      <formula>P413</formula>
    </cfRule>
  </conditionalFormatting>
  <conditionalFormatting sqref="Q412">
    <cfRule type="cellIs" dxfId="9" priority="5054" operator="notEqual">
      <formula>P412</formula>
    </cfRule>
  </conditionalFormatting>
  <conditionalFormatting sqref="Q412">
    <cfRule type="cellIs" dxfId="3" priority="5055" operator="equal">
      <formula>P412</formula>
    </cfRule>
  </conditionalFormatting>
  <conditionalFormatting sqref="N412">
    <cfRule type="expression" dxfId="0" priority="5056">
      <formula>COUNTIF(#REF!, N412) &gt; 1</formula>
    </cfRule>
  </conditionalFormatting>
  <conditionalFormatting sqref="U412">
    <cfRule type="containsText" dxfId="10" priority="5057" operator="containsText" text="Лікування">
      <formula>NOT(ISERROR(SEARCH(("Лікування"),(U412))))</formula>
    </cfRule>
  </conditionalFormatting>
  <conditionalFormatting sqref="U412">
    <cfRule type="containsText" dxfId="9" priority="5058" operator="containsText" text="Загиблі">
      <formula>NOT(ISERROR(SEARCH(("Загиблі"),(U412))))</formula>
    </cfRule>
  </conditionalFormatting>
  <conditionalFormatting sqref="U412">
    <cfRule type="containsText" dxfId="8" priority="5059" operator="containsText" text="Відком. за межі ПБ">
      <formula>NOT(ISERROR(SEARCH(("Відком. за межі ПБ"),(U412))))</formula>
    </cfRule>
  </conditionalFormatting>
  <conditionalFormatting sqref="U412">
    <cfRule type="containsText" dxfId="7" priority="5060" operator="containsText" text="Від-ні навчання">
      <formula>NOT(ISERROR(SEARCH(("Від-ні навчання"),(U412))))</formula>
    </cfRule>
  </conditionalFormatting>
  <conditionalFormatting sqref="U412">
    <cfRule type="containsText" dxfId="6" priority="5061" operator="containsText" text="Зниклі безвісти">
      <formula>NOT(ISERROR(SEARCH(("Зниклі безвісти"),(U412))))</formula>
    </cfRule>
  </conditionalFormatting>
  <conditionalFormatting sqref="U412">
    <cfRule type="containsText" dxfId="5" priority="5062" operator="containsText" text="СЗЧ">
      <formula>NOT(ISERROR(SEARCH(("СЗЧ"),(U412))))</formula>
    </cfRule>
  </conditionalFormatting>
  <conditionalFormatting sqref="U412">
    <cfRule type="containsText" dxfId="4" priority="5063" operator="containsText" text="Відпустка">
      <formula>NOT(ISERROR(SEARCH(("Відпустка"),(U412))))</formula>
    </cfRule>
  </conditionalFormatting>
  <conditionalFormatting sqref="U412">
    <cfRule type="containsText" dxfId="3" priority="5064" operator="containsText" text="В строю">
      <formula>NOT(ISERROR(SEARCH(("В строю"),(U412))))</formula>
    </cfRule>
  </conditionalFormatting>
  <conditionalFormatting sqref="N411">
    <cfRule type="expression" dxfId="0" priority="5065">
      <formula>COUNTIF(#REF!, N411) &gt; 1</formula>
    </cfRule>
  </conditionalFormatting>
  <conditionalFormatting sqref="Q411">
    <cfRule type="cellIs" dxfId="9" priority="5066" operator="notEqual">
      <formula>P411</formula>
    </cfRule>
  </conditionalFormatting>
  <conditionalFormatting sqref="Q411">
    <cfRule type="cellIs" dxfId="3" priority="5067" operator="equal">
      <formula>P411</formula>
    </cfRule>
  </conditionalFormatting>
  <conditionalFormatting sqref="U411">
    <cfRule type="containsText" dxfId="10" priority="5068" operator="containsText" text="Лікування">
      <formula>NOT(ISERROR(SEARCH(("Лікування"),(U411))))</formula>
    </cfRule>
  </conditionalFormatting>
  <conditionalFormatting sqref="U411">
    <cfRule type="containsText" dxfId="9" priority="5069" operator="containsText" text="Загиблі">
      <formula>NOT(ISERROR(SEARCH(("Загиблі"),(U411))))</formula>
    </cfRule>
  </conditionalFormatting>
  <conditionalFormatting sqref="U411">
    <cfRule type="containsText" dxfId="8" priority="5070" operator="containsText" text="Відком. за межі ПБ">
      <formula>NOT(ISERROR(SEARCH(("Відком. за межі ПБ"),(U411))))</formula>
    </cfRule>
  </conditionalFormatting>
  <conditionalFormatting sqref="U411">
    <cfRule type="containsText" dxfId="7" priority="5071" operator="containsText" text="Від-ні навчання">
      <formula>NOT(ISERROR(SEARCH(("Від-ні навчання"),(U411))))</formula>
    </cfRule>
  </conditionalFormatting>
  <conditionalFormatting sqref="U411">
    <cfRule type="containsText" dxfId="6" priority="5072" operator="containsText" text="Зниклі безвісти">
      <formula>NOT(ISERROR(SEARCH(("Зниклі безвісти"),(U411))))</formula>
    </cfRule>
  </conditionalFormatting>
  <conditionalFormatting sqref="U411">
    <cfRule type="containsText" dxfId="5" priority="5073" operator="containsText" text="СЗЧ">
      <formula>NOT(ISERROR(SEARCH(("СЗЧ"),(U411))))</formula>
    </cfRule>
  </conditionalFormatting>
  <conditionalFormatting sqref="U411">
    <cfRule type="containsText" dxfId="4" priority="5074" operator="containsText" text="Відпустка">
      <formula>NOT(ISERROR(SEARCH(("Відпустка"),(U411))))</formula>
    </cfRule>
  </conditionalFormatting>
  <conditionalFormatting sqref="U411">
    <cfRule type="containsText" dxfId="3" priority="5075" operator="containsText" text="В строю">
      <formula>NOT(ISERROR(SEARCH(("В строю"),(U411))))</formula>
    </cfRule>
  </conditionalFormatting>
  <conditionalFormatting sqref="N410:O410">
    <cfRule type="expression" dxfId="0" priority="5076">
      <formula>COUNTIF(#REF!, N410) &gt; 1</formula>
    </cfRule>
  </conditionalFormatting>
  <conditionalFormatting sqref="Q410">
    <cfRule type="cellIs" dxfId="9" priority="5077" operator="notEqual">
      <formula>P410</formula>
    </cfRule>
  </conditionalFormatting>
  <conditionalFormatting sqref="Q410">
    <cfRule type="cellIs" dxfId="3" priority="5078" operator="equal">
      <formula>P410</formula>
    </cfRule>
  </conditionalFormatting>
  <conditionalFormatting sqref="U410">
    <cfRule type="containsText" dxfId="10" priority="5079" operator="containsText" text="Лікування">
      <formula>NOT(ISERROR(SEARCH(("Лікування"),(U410))))</formula>
    </cfRule>
  </conditionalFormatting>
  <conditionalFormatting sqref="U410">
    <cfRule type="containsText" dxfId="9" priority="5080" operator="containsText" text="Загиблі">
      <formula>NOT(ISERROR(SEARCH(("Загиблі"),(U410))))</formula>
    </cfRule>
  </conditionalFormatting>
  <conditionalFormatting sqref="U410">
    <cfRule type="containsText" dxfId="8" priority="5081" operator="containsText" text="Відком. за межі ПБ">
      <formula>NOT(ISERROR(SEARCH(("Відком. за межі ПБ"),(U410))))</formula>
    </cfRule>
  </conditionalFormatting>
  <conditionalFormatting sqref="U410">
    <cfRule type="containsText" dxfId="7" priority="5082" operator="containsText" text="Від-ні навчання">
      <formula>NOT(ISERROR(SEARCH(("Від-ні навчання"),(U410))))</formula>
    </cfRule>
  </conditionalFormatting>
  <conditionalFormatting sqref="U410">
    <cfRule type="containsText" dxfId="6" priority="5083" operator="containsText" text="Зниклі безвісти">
      <formula>NOT(ISERROR(SEARCH(("Зниклі безвісти"),(U410))))</formula>
    </cfRule>
  </conditionalFormatting>
  <conditionalFormatting sqref="U410">
    <cfRule type="containsText" dxfId="5" priority="5084" operator="containsText" text="СЗЧ">
      <formula>NOT(ISERROR(SEARCH(("СЗЧ"),(U410))))</formula>
    </cfRule>
  </conditionalFormatting>
  <conditionalFormatting sqref="U410">
    <cfRule type="containsText" dxfId="4" priority="5085" operator="containsText" text="Відпустка">
      <formula>NOT(ISERROR(SEARCH(("Відпустка"),(U410))))</formula>
    </cfRule>
  </conditionalFormatting>
  <conditionalFormatting sqref="U410">
    <cfRule type="containsText" dxfId="3" priority="5086" operator="containsText" text="В строю">
      <formula>NOT(ISERROR(SEARCH(("В строю"),(U410))))</formula>
    </cfRule>
  </conditionalFormatting>
  <conditionalFormatting sqref="Q349:Q367 Q375:Q376 Q379 Q383:Q385 Q389 Q392:Q405 Q407:Q409">
    <cfRule type="cellIs" dxfId="9" priority="5087" operator="notEqual">
      <formula>P349</formula>
    </cfRule>
  </conditionalFormatting>
  <conditionalFormatting sqref="Q349:Q367 Q375:Q376 Q379 Q383:Q385 Q389 Q392:Q405 Q407:Q409">
    <cfRule type="cellIs" dxfId="3" priority="5088" operator="equal">
      <formula>P349</formula>
    </cfRule>
  </conditionalFormatting>
  <conditionalFormatting sqref="U349:U368 U375:U390 U392:U409">
    <cfRule type="containsText" dxfId="10" priority="5089" operator="containsText" text="Лікування">
      <formula>NOT(ISERROR(SEARCH(("Лікування"),(U349))))</formula>
    </cfRule>
  </conditionalFormatting>
  <conditionalFormatting sqref="U349:U368 U375:U390 U392:U409">
    <cfRule type="containsText" dxfId="9" priority="5090" operator="containsText" text="Загиблі">
      <formula>NOT(ISERROR(SEARCH(("Загиблі"),(U349))))</formula>
    </cfRule>
  </conditionalFormatting>
  <conditionalFormatting sqref="U349:U368 U375:U390 U392:U409">
    <cfRule type="containsText" dxfId="8" priority="5091" operator="containsText" text="Відком. за межі ПБ">
      <formula>NOT(ISERROR(SEARCH(("Відком. за межі ПБ"),(U349))))</formula>
    </cfRule>
  </conditionalFormatting>
  <conditionalFormatting sqref="U349:U368 U375:U390 U392:U409">
    <cfRule type="containsText" dxfId="7" priority="5092" operator="containsText" text="Від-ні навчання">
      <formula>NOT(ISERROR(SEARCH(("Від-ні навчання"),(U349))))</formula>
    </cfRule>
  </conditionalFormatting>
  <conditionalFormatting sqref="U349:U368 U375:U390 U392:U409">
    <cfRule type="containsText" dxfId="6" priority="5093" operator="containsText" text="Зниклі безвісти">
      <formula>NOT(ISERROR(SEARCH(("Зниклі безвісти"),(U349))))</formula>
    </cfRule>
  </conditionalFormatting>
  <conditionalFormatting sqref="U349:U368 U375:U390 U392:U409">
    <cfRule type="containsText" dxfId="5" priority="5094" operator="containsText" text="СЗЧ">
      <formula>NOT(ISERROR(SEARCH(("СЗЧ"),(U349))))</formula>
    </cfRule>
  </conditionalFormatting>
  <conditionalFormatting sqref="U349:U368 U375:U390 U392:U409">
    <cfRule type="containsText" dxfId="4" priority="5095" operator="containsText" text="Відпустка">
      <formula>NOT(ISERROR(SEARCH(("Відпустка"),(U349))))</formula>
    </cfRule>
  </conditionalFormatting>
  <conditionalFormatting sqref="U349:U368 U375:U390 U392:U409">
    <cfRule type="containsText" dxfId="3" priority="5096" operator="containsText" text="В строю">
      <formula>NOT(ISERROR(SEARCH(("В строю"),(U349))))</formula>
    </cfRule>
  </conditionalFormatting>
  <conditionalFormatting sqref="N348 N358 N407">
    <cfRule type="expression" dxfId="0" priority="5097">
      <formula>COUNTIF(#REF!, N348) &gt; 1</formula>
    </cfRule>
  </conditionalFormatting>
  <conditionalFormatting sqref="U348">
    <cfRule type="containsText" dxfId="3" priority="5098" operator="containsText" text="В строю">
      <formula>NOT(ISERROR(SEARCH(("В строю"),(U348))))</formula>
    </cfRule>
  </conditionalFormatting>
  <conditionalFormatting sqref="U348">
    <cfRule type="containsText" dxfId="4" priority="5099" operator="containsText" text="Відпустка">
      <formula>NOT(ISERROR(SEARCH(("Відпустка"),(U348))))</formula>
    </cfRule>
  </conditionalFormatting>
  <conditionalFormatting sqref="U348">
    <cfRule type="containsText" dxfId="5" priority="5100" operator="containsText" text="СЗЧ">
      <formula>NOT(ISERROR(SEARCH(("СЗЧ"),(U348))))</formula>
    </cfRule>
  </conditionalFormatting>
  <conditionalFormatting sqref="U348">
    <cfRule type="containsText" dxfId="6" priority="5101" operator="containsText" text="Зниклі безвісти">
      <formula>NOT(ISERROR(SEARCH(("Зниклі безвісти"),(U348))))</formula>
    </cfRule>
  </conditionalFormatting>
  <conditionalFormatting sqref="U348">
    <cfRule type="containsText" dxfId="7" priority="5102" operator="containsText" text="Від-ні навчання">
      <formula>NOT(ISERROR(SEARCH(("Від-ні навчання"),(U348))))</formula>
    </cfRule>
  </conditionalFormatting>
  <conditionalFormatting sqref="U348">
    <cfRule type="containsText" dxfId="8" priority="5103" operator="containsText" text="Відком. за межі ПБ">
      <formula>NOT(ISERROR(SEARCH(("Відком. за межі ПБ"),(U348))))</formula>
    </cfRule>
  </conditionalFormatting>
  <conditionalFormatting sqref="U348">
    <cfRule type="containsText" dxfId="9" priority="5104" operator="containsText" text="Загиблі">
      <formula>NOT(ISERROR(SEARCH(("Загиблі"),(U348))))</formula>
    </cfRule>
  </conditionalFormatting>
  <conditionalFormatting sqref="U348">
    <cfRule type="containsText" dxfId="10" priority="5105" operator="containsText" text="Лікування">
      <formula>NOT(ISERROR(SEARCH(("Лікування"),(U348))))</formula>
    </cfRule>
  </conditionalFormatting>
  <conditionalFormatting sqref="U347">
    <cfRule type="containsText" dxfId="3" priority="5106" operator="containsText" text="В строю">
      <formula>NOT(ISERROR(SEARCH(("В строю"),(U347))))</formula>
    </cfRule>
  </conditionalFormatting>
  <conditionalFormatting sqref="U347">
    <cfRule type="containsText" dxfId="4" priority="5107" operator="containsText" text="Відпустка">
      <formula>NOT(ISERROR(SEARCH(("Відпустка"),(U347))))</formula>
    </cfRule>
  </conditionalFormatting>
  <conditionalFormatting sqref="U347">
    <cfRule type="containsText" dxfId="5" priority="5108" operator="containsText" text="СЗЧ">
      <formula>NOT(ISERROR(SEARCH(("СЗЧ"),(U347))))</formula>
    </cfRule>
  </conditionalFormatting>
  <conditionalFormatting sqref="U347">
    <cfRule type="containsText" dxfId="6" priority="5109" operator="containsText" text="Зниклі безвісти">
      <formula>NOT(ISERROR(SEARCH(("Зниклі безвісти"),(U347))))</formula>
    </cfRule>
  </conditionalFormatting>
  <conditionalFormatting sqref="U347">
    <cfRule type="containsText" dxfId="7" priority="5110" operator="containsText" text="Від-ні навчання">
      <formula>NOT(ISERROR(SEARCH(("Від-ні навчання"),(U347))))</formula>
    </cfRule>
  </conditionalFormatting>
  <conditionalFormatting sqref="U347">
    <cfRule type="containsText" dxfId="8" priority="5111" operator="containsText" text="Відком. за межі ПБ">
      <formula>NOT(ISERROR(SEARCH(("Відком. за межі ПБ"),(U347))))</formula>
    </cfRule>
  </conditionalFormatting>
  <conditionalFormatting sqref="U347">
    <cfRule type="containsText" dxfId="9" priority="5112" operator="containsText" text="Загиблі">
      <formula>NOT(ISERROR(SEARCH(("Загиблі"),(U347))))</formula>
    </cfRule>
  </conditionalFormatting>
  <conditionalFormatting sqref="U347">
    <cfRule type="containsText" dxfId="10" priority="5113" operator="containsText" text="Лікування">
      <formula>NOT(ISERROR(SEARCH(("Лікування"),(U347))))</formula>
    </cfRule>
  </conditionalFormatting>
  <conditionalFormatting sqref="N347">
    <cfRule type="expression" dxfId="0" priority="5114">
      <formula>COUNTIF(#REF!, N347) &gt; 1</formula>
    </cfRule>
  </conditionalFormatting>
  <conditionalFormatting sqref="Q347">
    <cfRule type="cellIs" dxfId="3" priority="5115" operator="equal">
      <formula>P347</formula>
    </cfRule>
  </conditionalFormatting>
  <conditionalFormatting sqref="Q347">
    <cfRule type="cellIs" dxfId="9" priority="5116" operator="notEqual">
      <formula>P347</formula>
    </cfRule>
  </conditionalFormatting>
  <conditionalFormatting sqref="U316:U346">
    <cfRule type="containsText" dxfId="3" priority="5117" operator="containsText" text="В строю">
      <formula>NOT(ISERROR(SEARCH(("В строю"),(U316))))</formula>
    </cfRule>
  </conditionalFormatting>
  <conditionalFormatting sqref="U316:U346">
    <cfRule type="containsText" dxfId="4" priority="5118" operator="containsText" text="Відпустка">
      <formula>NOT(ISERROR(SEARCH(("Відпустка"),(U316))))</formula>
    </cfRule>
  </conditionalFormatting>
  <conditionalFormatting sqref="U316:U346">
    <cfRule type="containsText" dxfId="5" priority="5119" operator="containsText" text="СЗЧ">
      <formula>NOT(ISERROR(SEARCH(("СЗЧ"),(U316))))</formula>
    </cfRule>
  </conditionalFormatting>
  <conditionalFormatting sqref="U316:U346">
    <cfRule type="containsText" dxfId="6" priority="5120" operator="containsText" text="Зниклі безвісти">
      <formula>NOT(ISERROR(SEARCH(("Зниклі безвісти"),(U316))))</formula>
    </cfRule>
  </conditionalFormatting>
  <conditionalFormatting sqref="U316:U346">
    <cfRule type="containsText" dxfId="7" priority="5121" operator="containsText" text="Від-ні навчання">
      <formula>NOT(ISERROR(SEARCH(("Від-ні навчання"),(U316))))</formula>
    </cfRule>
  </conditionalFormatting>
  <conditionalFormatting sqref="U316:U346">
    <cfRule type="containsText" dxfId="8" priority="5122" operator="containsText" text="Відком. за межі ПБ">
      <formula>NOT(ISERROR(SEARCH(("Відком. за межі ПБ"),(U316))))</formula>
    </cfRule>
  </conditionalFormatting>
  <conditionalFormatting sqref="U316:U346">
    <cfRule type="containsText" dxfId="9" priority="5123" operator="containsText" text="Загиблі">
      <formula>NOT(ISERROR(SEARCH(("Загиблі"),(U316))))</formula>
    </cfRule>
  </conditionalFormatting>
  <conditionalFormatting sqref="U316:U346">
    <cfRule type="containsText" dxfId="10" priority="5124" operator="containsText" text="Лікування">
      <formula>NOT(ISERROR(SEARCH(("Лікування"),(U316))))</formula>
    </cfRule>
  </conditionalFormatting>
  <conditionalFormatting sqref="N316">
    <cfRule type="expression" dxfId="0" priority="5125">
      <formula>COUNTIF(#REF!, N316) &gt; 1</formula>
    </cfRule>
  </conditionalFormatting>
  <conditionalFormatting sqref="Q316 Q318:Q346">
    <cfRule type="cellIs" dxfId="3" priority="5126" operator="equal">
      <formula>P316</formula>
    </cfRule>
  </conditionalFormatting>
  <conditionalFormatting sqref="Q316 Q318:Q346">
    <cfRule type="cellIs" dxfId="9" priority="5127" operator="notEqual">
      <formula>P316</formula>
    </cfRule>
  </conditionalFormatting>
  <conditionalFormatting sqref="Q315">
    <cfRule type="cellIs" dxfId="9" priority="5128" operator="notEqual">
      <formula>P315</formula>
    </cfRule>
  </conditionalFormatting>
  <conditionalFormatting sqref="Q315">
    <cfRule type="cellIs" dxfId="3" priority="5129" operator="equal">
      <formula>P315</formula>
    </cfRule>
  </conditionalFormatting>
  <conditionalFormatting sqref="U315">
    <cfRule type="containsText" dxfId="10" priority="5130" operator="containsText" text="Лікування">
      <formula>NOT(ISERROR(SEARCH(("Лікування"),(U315))))</formula>
    </cfRule>
  </conditionalFormatting>
  <conditionalFormatting sqref="U315">
    <cfRule type="containsText" dxfId="9" priority="5131" operator="containsText" text="Загиблі">
      <formula>NOT(ISERROR(SEARCH(("Загиблі"),(U315))))</formula>
    </cfRule>
  </conditionalFormatting>
  <conditionalFormatting sqref="U315">
    <cfRule type="containsText" dxfId="8" priority="5132" operator="containsText" text="Відком. за межі ПБ">
      <formula>NOT(ISERROR(SEARCH(("Відком. за межі ПБ"),(U315))))</formula>
    </cfRule>
  </conditionalFormatting>
  <conditionalFormatting sqref="U315">
    <cfRule type="containsText" dxfId="7" priority="5133" operator="containsText" text="Від-ні навчання">
      <formula>NOT(ISERROR(SEARCH(("Від-ні навчання"),(U315))))</formula>
    </cfRule>
  </conditionalFormatting>
  <conditionalFormatting sqref="U315">
    <cfRule type="containsText" dxfId="6" priority="5134" operator="containsText" text="Зниклі безвісти">
      <formula>NOT(ISERROR(SEARCH(("Зниклі безвісти"),(U315))))</formula>
    </cfRule>
  </conditionalFormatting>
  <conditionalFormatting sqref="U315">
    <cfRule type="containsText" dxfId="5" priority="5135" operator="containsText" text="СЗЧ">
      <formula>NOT(ISERROR(SEARCH(("СЗЧ"),(U315))))</formula>
    </cfRule>
  </conditionalFormatting>
  <conditionalFormatting sqref="U315">
    <cfRule type="containsText" dxfId="4" priority="5136" operator="containsText" text="Відпустка">
      <formula>NOT(ISERROR(SEARCH(("Відпустка"),(U315))))</formula>
    </cfRule>
  </conditionalFormatting>
  <conditionalFormatting sqref="U315">
    <cfRule type="containsText" dxfId="3" priority="5137" operator="containsText" text="В строю">
      <formula>NOT(ISERROR(SEARCH(("В строю"),(U315))))</formula>
    </cfRule>
  </conditionalFormatting>
  <conditionalFormatting sqref="N315">
    <cfRule type="expression" dxfId="0" priority="5138">
      <formula>COUNTIF(#REF!, N315) &gt; 1</formula>
    </cfRule>
  </conditionalFormatting>
  <conditionalFormatting sqref="U314">
    <cfRule type="containsText" dxfId="10" priority="5139" operator="containsText" text="Лікування">
      <formula>NOT(ISERROR(SEARCH(("Лікування"),(U314))))</formula>
    </cfRule>
  </conditionalFormatting>
  <conditionalFormatting sqref="U314">
    <cfRule type="containsText" dxfId="9" priority="5140" operator="containsText" text="Загиблі">
      <formula>NOT(ISERROR(SEARCH(("Загиблі"),(U314))))</formula>
    </cfRule>
  </conditionalFormatting>
  <conditionalFormatting sqref="U314">
    <cfRule type="containsText" dxfId="8" priority="5141" operator="containsText" text="Відком. за межі ПБ">
      <formula>NOT(ISERROR(SEARCH(("Відком. за межі ПБ"),(U314))))</formula>
    </cfRule>
  </conditionalFormatting>
  <conditionalFormatting sqref="U314">
    <cfRule type="containsText" dxfId="7" priority="5142" operator="containsText" text="Від-ні навчання">
      <formula>NOT(ISERROR(SEARCH(("Від-ні навчання"),(U314))))</formula>
    </cfRule>
  </conditionalFormatting>
  <conditionalFormatting sqref="U314">
    <cfRule type="containsText" dxfId="6" priority="5143" operator="containsText" text="Зниклі безвісти">
      <formula>NOT(ISERROR(SEARCH(("Зниклі безвісти"),(U314))))</formula>
    </cfRule>
  </conditionalFormatting>
  <conditionalFormatting sqref="U314">
    <cfRule type="containsText" dxfId="5" priority="5144" operator="containsText" text="СЗЧ">
      <formula>NOT(ISERROR(SEARCH(("СЗЧ"),(U314))))</formula>
    </cfRule>
  </conditionalFormatting>
  <conditionalFormatting sqref="U314">
    <cfRule type="containsText" dxfId="4" priority="5145" operator="containsText" text="Відпустка">
      <formula>NOT(ISERROR(SEARCH(("Відпустка"),(U314))))</formula>
    </cfRule>
  </conditionalFormatting>
  <conditionalFormatting sqref="U314">
    <cfRule type="containsText" dxfId="3" priority="5146" operator="containsText" text="В строю">
      <formula>NOT(ISERROR(SEARCH(("В строю"),(U314))))</formula>
    </cfRule>
  </conditionalFormatting>
  <conditionalFormatting sqref="Q314">
    <cfRule type="cellIs" dxfId="9" priority="5147" operator="notEqual">
      <formula>P314</formula>
    </cfRule>
  </conditionalFormatting>
  <conditionalFormatting sqref="Q314">
    <cfRule type="cellIs" dxfId="3" priority="5148" operator="equal">
      <formula>P314</formula>
    </cfRule>
  </conditionalFormatting>
  <conditionalFormatting sqref="N313">
    <cfRule type="expression" dxfId="0" priority="5149">
      <formula>COUNTIF(#REF!, N313) &gt; 1</formula>
    </cfRule>
  </conditionalFormatting>
  <conditionalFormatting sqref="U313">
    <cfRule type="containsText" dxfId="10" priority="5150" operator="containsText" text="Лікування">
      <formula>NOT(ISERROR(SEARCH(("Лікування"),(U313))))</formula>
    </cfRule>
  </conditionalFormatting>
  <conditionalFormatting sqref="U313">
    <cfRule type="containsText" dxfId="9" priority="5151" operator="containsText" text="Загиблі">
      <formula>NOT(ISERROR(SEARCH(("Загиблі"),(U313))))</formula>
    </cfRule>
  </conditionalFormatting>
  <conditionalFormatting sqref="U313">
    <cfRule type="containsText" dxfId="8" priority="5152" operator="containsText" text="Відком. за межі ПБ">
      <formula>NOT(ISERROR(SEARCH(("Відком. за межі ПБ"),(U313))))</formula>
    </cfRule>
  </conditionalFormatting>
  <conditionalFormatting sqref="U313">
    <cfRule type="containsText" dxfId="7" priority="5153" operator="containsText" text="Від-ні навчання">
      <formula>NOT(ISERROR(SEARCH(("Від-ні навчання"),(U313))))</formula>
    </cfRule>
  </conditionalFormatting>
  <conditionalFormatting sqref="U313">
    <cfRule type="containsText" dxfId="6" priority="5154" operator="containsText" text="Зниклі безвісти">
      <formula>NOT(ISERROR(SEARCH(("Зниклі безвісти"),(U313))))</formula>
    </cfRule>
  </conditionalFormatting>
  <conditionalFormatting sqref="U313">
    <cfRule type="containsText" dxfId="5" priority="5155" operator="containsText" text="СЗЧ">
      <formula>NOT(ISERROR(SEARCH(("СЗЧ"),(U313))))</formula>
    </cfRule>
  </conditionalFormatting>
  <conditionalFormatting sqref="U313">
    <cfRule type="containsText" dxfId="4" priority="5156" operator="containsText" text="Відпустка">
      <formula>NOT(ISERROR(SEARCH(("Відпустка"),(U313))))</formula>
    </cfRule>
  </conditionalFormatting>
  <conditionalFormatting sqref="U313">
    <cfRule type="containsText" dxfId="3" priority="5157" operator="containsText" text="В строю">
      <formula>NOT(ISERROR(SEARCH(("В строю"),(U313))))</formula>
    </cfRule>
  </conditionalFormatting>
  <conditionalFormatting sqref="Q313">
    <cfRule type="cellIs" dxfId="9" priority="5158" operator="notEqual">
      <formula>P313</formula>
    </cfRule>
  </conditionalFormatting>
  <conditionalFormatting sqref="Q313">
    <cfRule type="cellIs" dxfId="3" priority="5159" operator="equal">
      <formula>P313</formula>
    </cfRule>
  </conditionalFormatting>
  <conditionalFormatting sqref="N309:N310">
    <cfRule type="expression" dxfId="0" priority="5160">
      <formula>COUNTIF(#REF!, N309) &gt; 1</formula>
    </cfRule>
  </conditionalFormatting>
  <conditionalFormatting sqref="U309:U310">
    <cfRule type="containsText" dxfId="10" priority="5161" operator="containsText" text="Лікування">
      <formula>NOT(ISERROR(SEARCH(("Лікування"),(U309))))</formula>
    </cfRule>
  </conditionalFormatting>
  <conditionalFormatting sqref="U309:U310">
    <cfRule type="containsText" dxfId="9" priority="5162" operator="containsText" text="Загиблі">
      <formula>NOT(ISERROR(SEARCH(("Загиблі"),(U309))))</formula>
    </cfRule>
  </conditionalFormatting>
  <conditionalFormatting sqref="U309:U310">
    <cfRule type="containsText" dxfId="8" priority="5163" operator="containsText" text="Відком. за межі ПБ">
      <formula>NOT(ISERROR(SEARCH(("Відком. за межі ПБ"),(U309))))</formula>
    </cfRule>
  </conditionalFormatting>
  <conditionalFormatting sqref="U309:U310">
    <cfRule type="containsText" dxfId="7" priority="5164" operator="containsText" text="Від-ні навчання">
      <formula>NOT(ISERROR(SEARCH(("Від-ні навчання"),(U309))))</formula>
    </cfRule>
  </conditionalFormatting>
  <conditionalFormatting sqref="U309:U310">
    <cfRule type="containsText" dxfId="6" priority="5165" operator="containsText" text="Зниклі безвісти">
      <formula>NOT(ISERROR(SEARCH(("Зниклі безвісти"),(U309))))</formula>
    </cfRule>
  </conditionalFormatting>
  <conditionalFormatting sqref="U309:U310">
    <cfRule type="containsText" dxfId="5" priority="5166" operator="containsText" text="СЗЧ">
      <formula>NOT(ISERROR(SEARCH(("СЗЧ"),(U309))))</formula>
    </cfRule>
  </conditionalFormatting>
  <conditionalFormatting sqref="U309:U310">
    <cfRule type="containsText" dxfId="4" priority="5167" operator="containsText" text="Відпустка">
      <formula>NOT(ISERROR(SEARCH(("Відпустка"),(U309))))</formula>
    </cfRule>
  </conditionalFormatting>
  <conditionalFormatting sqref="U309:U310">
    <cfRule type="containsText" dxfId="3" priority="5168" operator="containsText" text="В строю">
      <formula>NOT(ISERROR(SEARCH(("В строю"),(U309))))</formula>
    </cfRule>
  </conditionalFormatting>
  <conditionalFormatting sqref="Q309:Q310">
    <cfRule type="cellIs" dxfId="9" priority="5169" operator="notEqual">
      <formula>P309</formula>
    </cfRule>
  </conditionalFormatting>
  <conditionalFormatting sqref="Q309:Q310">
    <cfRule type="cellIs" dxfId="3" priority="5170" operator="equal">
      <formula>P309</formula>
    </cfRule>
  </conditionalFormatting>
  <conditionalFormatting sqref="M308:O308">
    <cfRule type="expression" dxfId="0" priority="5171">
      <formula>COUNTIF(#REF!, M308) &gt; 1</formula>
    </cfRule>
  </conditionalFormatting>
  <conditionalFormatting sqref="U308">
    <cfRule type="containsText" dxfId="10" priority="5172" operator="containsText" text="Лікування">
      <formula>NOT(ISERROR(SEARCH(("Лікування"),(U308))))</formula>
    </cfRule>
  </conditionalFormatting>
  <conditionalFormatting sqref="U308">
    <cfRule type="containsText" dxfId="9" priority="5173" operator="containsText" text="Загиблі">
      <formula>NOT(ISERROR(SEARCH(("Загиблі"),(U308))))</formula>
    </cfRule>
  </conditionalFormatting>
  <conditionalFormatting sqref="U308">
    <cfRule type="containsText" dxfId="8" priority="5174" operator="containsText" text="Відком. за межі ПБ">
      <formula>NOT(ISERROR(SEARCH(("Відком. за межі ПБ"),(U308))))</formula>
    </cfRule>
  </conditionalFormatting>
  <conditionalFormatting sqref="U308">
    <cfRule type="containsText" dxfId="7" priority="5175" operator="containsText" text="Від-ні навчання">
      <formula>NOT(ISERROR(SEARCH(("Від-ні навчання"),(U308))))</formula>
    </cfRule>
  </conditionalFormatting>
  <conditionalFormatting sqref="U308">
    <cfRule type="containsText" dxfId="6" priority="5176" operator="containsText" text="Зниклі безвісти">
      <formula>NOT(ISERROR(SEARCH(("Зниклі безвісти"),(U308))))</formula>
    </cfRule>
  </conditionalFormatting>
  <conditionalFormatting sqref="U308">
    <cfRule type="containsText" dxfId="5" priority="5177" operator="containsText" text="СЗЧ">
      <formula>NOT(ISERROR(SEARCH(("СЗЧ"),(U308))))</formula>
    </cfRule>
  </conditionalFormatting>
  <conditionalFormatting sqref="U308">
    <cfRule type="containsText" dxfId="4" priority="5178" operator="containsText" text="Відпустка">
      <formula>NOT(ISERROR(SEARCH(("Відпустка"),(U308))))</formula>
    </cfRule>
  </conditionalFormatting>
  <conditionalFormatting sqref="U308">
    <cfRule type="containsText" dxfId="3" priority="5179" operator="containsText" text="В строю">
      <formula>NOT(ISERROR(SEARCH(("В строю"),(U308))))</formula>
    </cfRule>
  </conditionalFormatting>
  <conditionalFormatting sqref="Q308">
    <cfRule type="cellIs" dxfId="9" priority="5180" operator="notEqual">
      <formula>P308</formula>
    </cfRule>
  </conditionalFormatting>
  <conditionalFormatting sqref="Q308">
    <cfRule type="cellIs" dxfId="3" priority="5181" operator="equal">
      <formula>P308</formula>
    </cfRule>
  </conditionalFormatting>
  <conditionalFormatting sqref="Q307">
    <cfRule type="cellIs" dxfId="9" priority="5182" operator="notEqual">
      <formula>P307</formula>
    </cfRule>
  </conditionalFormatting>
  <conditionalFormatting sqref="Q307">
    <cfRule type="cellIs" dxfId="3" priority="5183" operator="equal">
      <formula>P307</formula>
    </cfRule>
  </conditionalFormatting>
  <conditionalFormatting sqref="M307:O307">
    <cfRule type="expression" dxfId="0" priority="5184">
      <formula>COUNTIF(#REF!, M307) &gt; 1</formula>
    </cfRule>
  </conditionalFormatting>
  <conditionalFormatting sqref="U307">
    <cfRule type="containsText" dxfId="10" priority="5185" operator="containsText" text="Лікування">
      <formula>NOT(ISERROR(SEARCH(("Лікування"),(U307))))</formula>
    </cfRule>
  </conditionalFormatting>
  <conditionalFormatting sqref="U307">
    <cfRule type="containsText" dxfId="9" priority="5186" operator="containsText" text="Загиблі">
      <formula>NOT(ISERROR(SEARCH(("Загиблі"),(U307))))</formula>
    </cfRule>
  </conditionalFormatting>
  <conditionalFormatting sqref="U307">
    <cfRule type="containsText" dxfId="8" priority="5187" operator="containsText" text="Відком. за межі ПБ">
      <formula>NOT(ISERROR(SEARCH(("Відком. за межі ПБ"),(U307))))</formula>
    </cfRule>
  </conditionalFormatting>
  <conditionalFormatting sqref="U307">
    <cfRule type="containsText" dxfId="7" priority="5188" operator="containsText" text="Від-ні навчання">
      <formula>NOT(ISERROR(SEARCH(("Від-ні навчання"),(U307))))</formula>
    </cfRule>
  </conditionalFormatting>
  <conditionalFormatting sqref="U307">
    <cfRule type="containsText" dxfId="6" priority="5189" operator="containsText" text="Зниклі безвісти">
      <formula>NOT(ISERROR(SEARCH(("Зниклі безвісти"),(U307))))</formula>
    </cfRule>
  </conditionalFormatting>
  <conditionalFormatting sqref="U307">
    <cfRule type="containsText" dxfId="5" priority="5190" operator="containsText" text="СЗЧ">
      <formula>NOT(ISERROR(SEARCH(("СЗЧ"),(U307))))</formula>
    </cfRule>
  </conditionalFormatting>
  <conditionalFormatting sqref="U307">
    <cfRule type="containsText" dxfId="4" priority="5191" operator="containsText" text="Відпустка">
      <formula>NOT(ISERROR(SEARCH(("Відпустка"),(U307))))</formula>
    </cfRule>
  </conditionalFormatting>
  <conditionalFormatting sqref="U307">
    <cfRule type="containsText" dxfId="3" priority="5192" operator="containsText" text="В строю">
      <formula>NOT(ISERROR(SEARCH(("В строю"),(U307))))</formula>
    </cfRule>
  </conditionalFormatting>
  <conditionalFormatting sqref="U306">
    <cfRule type="containsText" dxfId="10" priority="5193" operator="containsText" text="Лікування">
      <formula>NOT(ISERROR(SEARCH(("Лікування"),(U306))))</formula>
    </cfRule>
  </conditionalFormatting>
  <conditionalFormatting sqref="U306">
    <cfRule type="containsText" dxfId="9" priority="5194" operator="containsText" text="Загиблі">
      <formula>NOT(ISERROR(SEARCH(("Загиблі"),(U306))))</formula>
    </cfRule>
  </conditionalFormatting>
  <conditionalFormatting sqref="U306">
    <cfRule type="containsText" dxfId="8" priority="5195" operator="containsText" text="Відком. за межі ПБ">
      <formula>NOT(ISERROR(SEARCH(("Відком. за межі ПБ"),(U306))))</formula>
    </cfRule>
  </conditionalFormatting>
  <conditionalFormatting sqref="U306">
    <cfRule type="containsText" dxfId="7" priority="5196" operator="containsText" text="Від-ні навчання">
      <formula>NOT(ISERROR(SEARCH(("Від-ні навчання"),(U306))))</formula>
    </cfRule>
  </conditionalFormatting>
  <conditionalFormatting sqref="U306">
    <cfRule type="containsText" dxfId="6" priority="5197" operator="containsText" text="Зниклі безвісти">
      <formula>NOT(ISERROR(SEARCH(("Зниклі безвісти"),(U306))))</formula>
    </cfRule>
  </conditionalFormatting>
  <conditionalFormatting sqref="U306">
    <cfRule type="containsText" dxfId="5" priority="5198" operator="containsText" text="СЗЧ">
      <formula>NOT(ISERROR(SEARCH(("СЗЧ"),(U306))))</formula>
    </cfRule>
  </conditionalFormatting>
  <conditionalFormatting sqref="U306">
    <cfRule type="containsText" dxfId="4" priority="5199" operator="containsText" text="Відпустка">
      <formula>NOT(ISERROR(SEARCH(("Відпустка"),(U306))))</formula>
    </cfRule>
  </conditionalFormatting>
  <conditionalFormatting sqref="U306">
    <cfRule type="containsText" dxfId="3" priority="5200" operator="containsText" text="В строю">
      <formula>NOT(ISERROR(SEARCH(("В строю"),(U306))))</formula>
    </cfRule>
  </conditionalFormatting>
  <conditionalFormatting sqref="Q306">
    <cfRule type="cellIs" dxfId="9" priority="5201" operator="notEqual">
      <formula>P306</formula>
    </cfRule>
  </conditionalFormatting>
  <conditionalFormatting sqref="Q306">
    <cfRule type="cellIs" dxfId="3" priority="5202" operator="equal">
      <formula>P306</formula>
    </cfRule>
  </conditionalFormatting>
  <conditionalFormatting sqref="M306:O306">
    <cfRule type="expression" dxfId="0" priority="5203">
      <formula>COUNTIF(#REF!, M306) &gt; 1</formula>
    </cfRule>
  </conditionalFormatting>
  <conditionalFormatting sqref="M303:O303">
    <cfRule type="expression" dxfId="0" priority="5204">
      <formula>COUNTIF(#REF!, M303) &gt; 1</formula>
    </cfRule>
  </conditionalFormatting>
  <conditionalFormatting sqref="U303">
    <cfRule type="containsText" dxfId="10" priority="5205" operator="containsText" text="Лікування">
      <formula>NOT(ISERROR(SEARCH(("Лікування"),(U303))))</formula>
    </cfRule>
  </conditionalFormatting>
  <conditionalFormatting sqref="U303">
    <cfRule type="containsText" dxfId="9" priority="5206" operator="containsText" text="Загиблі">
      <formula>NOT(ISERROR(SEARCH(("Загиблі"),(U303))))</formula>
    </cfRule>
  </conditionalFormatting>
  <conditionalFormatting sqref="U303">
    <cfRule type="containsText" dxfId="8" priority="5207" operator="containsText" text="Відком. за межі ПБ">
      <formula>NOT(ISERROR(SEARCH(("Відком. за межі ПБ"),(U303))))</formula>
    </cfRule>
  </conditionalFormatting>
  <conditionalFormatting sqref="U303">
    <cfRule type="containsText" dxfId="7" priority="5208" operator="containsText" text="Від-ні навчання">
      <formula>NOT(ISERROR(SEARCH(("Від-ні навчання"),(U303))))</formula>
    </cfRule>
  </conditionalFormatting>
  <conditionalFormatting sqref="U303">
    <cfRule type="containsText" dxfId="6" priority="5209" operator="containsText" text="Зниклі безвісти">
      <formula>NOT(ISERROR(SEARCH(("Зниклі безвісти"),(U303))))</formula>
    </cfRule>
  </conditionalFormatting>
  <conditionalFormatting sqref="U303">
    <cfRule type="containsText" dxfId="5" priority="5210" operator="containsText" text="СЗЧ">
      <formula>NOT(ISERROR(SEARCH(("СЗЧ"),(U303))))</formula>
    </cfRule>
  </conditionalFormatting>
  <conditionalFormatting sqref="U303">
    <cfRule type="containsText" dxfId="4" priority="5211" operator="containsText" text="Відпустка">
      <formula>NOT(ISERROR(SEARCH(("Відпустка"),(U303))))</formula>
    </cfRule>
  </conditionalFormatting>
  <conditionalFormatting sqref="U303">
    <cfRule type="containsText" dxfId="3" priority="5212" operator="containsText" text="В строю">
      <formula>NOT(ISERROR(SEARCH(("В строю"),(U303))))</formula>
    </cfRule>
  </conditionalFormatting>
  <conditionalFormatting sqref="Q303">
    <cfRule type="cellIs" dxfId="9" priority="5213" operator="notEqual">
      <formula>P303</formula>
    </cfRule>
  </conditionalFormatting>
  <conditionalFormatting sqref="Q303">
    <cfRule type="cellIs" dxfId="3" priority="5214" operator="equal">
      <formula>P303</formula>
    </cfRule>
  </conditionalFormatting>
  <conditionalFormatting sqref="M297:O297">
    <cfRule type="expression" dxfId="0" priority="5215">
      <formula>COUNTIF(#REF!, M297) &gt; 1</formula>
    </cfRule>
  </conditionalFormatting>
  <conditionalFormatting sqref="Q297">
    <cfRule type="cellIs" dxfId="9" priority="5216" operator="notEqual">
      <formula>P297</formula>
    </cfRule>
  </conditionalFormatting>
  <conditionalFormatting sqref="Q297">
    <cfRule type="cellIs" dxfId="3" priority="5217" operator="equal">
      <formula>P297</formula>
    </cfRule>
  </conditionalFormatting>
  <conditionalFormatting sqref="U297">
    <cfRule type="containsText" dxfId="10" priority="5218" operator="containsText" text="Лікування">
      <formula>NOT(ISERROR(SEARCH(("Лікування"),(U297))))</formula>
    </cfRule>
  </conditionalFormatting>
  <conditionalFormatting sqref="U297">
    <cfRule type="containsText" dxfId="9" priority="5219" operator="containsText" text="Загиблі">
      <formula>NOT(ISERROR(SEARCH(("Загиблі"),(U297))))</formula>
    </cfRule>
  </conditionalFormatting>
  <conditionalFormatting sqref="U297">
    <cfRule type="containsText" dxfId="8" priority="5220" operator="containsText" text="Відком. за межі ПБ">
      <formula>NOT(ISERROR(SEARCH(("Відком. за межі ПБ"),(U297))))</formula>
    </cfRule>
  </conditionalFormatting>
  <conditionalFormatting sqref="U297">
    <cfRule type="containsText" dxfId="7" priority="5221" operator="containsText" text="Від-ні навчання">
      <formula>NOT(ISERROR(SEARCH(("Від-ні навчання"),(U297))))</formula>
    </cfRule>
  </conditionalFormatting>
  <conditionalFormatting sqref="U297">
    <cfRule type="containsText" dxfId="6" priority="5222" operator="containsText" text="Зниклі безвісти">
      <formula>NOT(ISERROR(SEARCH(("Зниклі безвісти"),(U297))))</formula>
    </cfRule>
  </conditionalFormatting>
  <conditionalFormatting sqref="U297">
    <cfRule type="containsText" dxfId="5" priority="5223" operator="containsText" text="СЗЧ">
      <formula>NOT(ISERROR(SEARCH(("СЗЧ"),(U297))))</formula>
    </cfRule>
  </conditionalFormatting>
  <conditionalFormatting sqref="U297">
    <cfRule type="containsText" dxfId="4" priority="5224" operator="containsText" text="Відпустка">
      <formula>NOT(ISERROR(SEARCH(("Відпустка"),(U297))))</formula>
    </cfRule>
  </conditionalFormatting>
  <conditionalFormatting sqref="U297">
    <cfRule type="containsText" dxfId="3" priority="5225" operator="containsText" text="В строю">
      <formula>NOT(ISERROR(SEARCH(("В строю"),(U297))))</formula>
    </cfRule>
  </conditionalFormatting>
  <conditionalFormatting sqref="Q295:Q296">
    <cfRule type="cellIs" dxfId="9" priority="5226" operator="notEqual">
      <formula>P295</formula>
    </cfRule>
  </conditionalFormatting>
  <conditionalFormatting sqref="Q295:Q296">
    <cfRule type="cellIs" dxfId="3" priority="5227" operator="equal">
      <formula>P295</formula>
    </cfRule>
  </conditionalFormatting>
  <conditionalFormatting sqref="N295:N296">
    <cfRule type="expression" dxfId="0" priority="5228">
      <formula>COUNTIF(#REF!, N295) &gt; 1</formula>
    </cfRule>
  </conditionalFormatting>
  <conditionalFormatting sqref="U295:U296">
    <cfRule type="containsText" dxfId="10" priority="5229" operator="containsText" text="Лікування">
      <formula>NOT(ISERROR(SEARCH(("Лікування"),(U295))))</formula>
    </cfRule>
  </conditionalFormatting>
  <conditionalFormatting sqref="U295:U296">
    <cfRule type="containsText" dxfId="9" priority="5230" operator="containsText" text="Загиблі">
      <formula>NOT(ISERROR(SEARCH(("Загиблі"),(U295))))</formula>
    </cfRule>
  </conditionalFormatting>
  <conditionalFormatting sqref="U295:U296">
    <cfRule type="containsText" dxfId="8" priority="5231" operator="containsText" text="Відком. за межі ПБ">
      <formula>NOT(ISERROR(SEARCH(("Відком. за межі ПБ"),(U295))))</formula>
    </cfRule>
  </conditionalFormatting>
  <conditionalFormatting sqref="U295:U296">
    <cfRule type="containsText" dxfId="7" priority="5232" operator="containsText" text="Від-ні навчання">
      <formula>NOT(ISERROR(SEARCH(("Від-ні навчання"),(U295))))</formula>
    </cfRule>
  </conditionalFormatting>
  <conditionalFormatting sqref="U295:U296">
    <cfRule type="containsText" dxfId="6" priority="5233" operator="containsText" text="Зниклі безвісти">
      <formula>NOT(ISERROR(SEARCH(("Зниклі безвісти"),(U295))))</formula>
    </cfRule>
  </conditionalFormatting>
  <conditionalFormatting sqref="U295:U296">
    <cfRule type="containsText" dxfId="5" priority="5234" operator="containsText" text="СЗЧ">
      <formula>NOT(ISERROR(SEARCH(("СЗЧ"),(U295))))</formula>
    </cfRule>
  </conditionalFormatting>
  <conditionalFormatting sqref="U295:U296">
    <cfRule type="containsText" dxfId="4" priority="5235" operator="containsText" text="Відпустка">
      <formula>NOT(ISERROR(SEARCH(("Відпустка"),(U295))))</formula>
    </cfRule>
  </conditionalFormatting>
  <conditionalFormatting sqref="U295:U296">
    <cfRule type="containsText" dxfId="3" priority="5236" operator="containsText" text="В строю">
      <formula>NOT(ISERROR(SEARCH(("В строю"),(U295))))</formula>
    </cfRule>
  </conditionalFormatting>
  <conditionalFormatting sqref="U294">
    <cfRule type="containsText" dxfId="10" priority="5237" operator="containsText" text="Лікування">
      <formula>NOT(ISERROR(SEARCH(("Лікування"),(U294))))</formula>
    </cfRule>
  </conditionalFormatting>
  <conditionalFormatting sqref="U294">
    <cfRule type="containsText" dxfId="9" priority="5238" operator="containsText" text="Загиблі">
      <formula>NOT(ISERROR(SEARCH(("Загиблі"),(U294))))</formula>
    </cfRule>
  </conditionalFormatting>
  <conditionalFormatting sqref="U294">
    <cfRule type="containsText" dxfId="8" priority="5239" operator="containsText" text="Відком. за межі ПБ">
      <formula>NOT(ISERROR(SEARCH(("Відком. за межі ПБ"),(U294))))</formula>
    </cfRule>
  </conditionalFormatting>
  <conditionalFormatting sqref="U294">
    <cfRule type="containsText" dxfId="7" priority="5240" operator="containsText" text="Від-ні навчання">
      <formula>NOT(ISERROR(SEARCH(("Від-ні навчання"),(U294))))</formula>
    </cfRule>
  </conditionalFormatting>
  <conditionalFormatting sqref="U294">
    <cfRule type="containsText" dxfId="6" priority="5241" operator="containsText" text="Зниклі безвісти">
      <formula>NOT(ISERROR(SEARCH(("Зниклі безвісти"),(U294))))</formula>
    </cfRule>
  </conditionalFormatting>
  <conditionalFormatting sqref="U294">
    <cfRule type="containsText" dxfId="5" priority="5242" operator="containsText" text="СЗЧ">
      <formula>NOT(ISERROR(SEARCH(("СЗЧ"),(U294))))</formula>
    </cfRule>
  </conditionalFormatting>
  <conditionalFormatting sqref="U294">
    <cfRule type="containsText" dxfId="4" priority="5243" operator="containsText" text="Відпустка">
      <formula>NOT(ISERROR(SEARCH(("Відпустка"),(U294))))</formula>
    </cfRule>
  </conditionalFormatting>
  <conditionalFormatting sqref="U294">
    <cfRule type="containsText" dxfId="3" priority="5244" operator="containsText" text="В строю">
      <formula>NOT(ISERROR(SEARCH(("В строю"),(U294))))</formula>
    </cfRule>
  </conditionalFormatting>
  <conditionalFormatting sqref="U285">
    <cfRule type="containsText" dxfId="10" priority="5245" operator="containsText" text="Лікування">
      <formula>NOT(ISERROR(SEARCH(("Лікування"),(U285))))</formula>
    </cfRule>
  </conditionalFormatting>
  <conditionalFormatting sqref="U285">
    <cfRule type="containsText" dxfId="9" priority="5246" operator="containsText" text="Загиблі">
      <formula>NOT(ISERROR(SEARCH(("Загиблі"),(U285))))</formula>
    </cfRule>
  </conditionalFormatting>
  <conditionalFormatting sqref="U285">
    <cfRule type="containsText" dxfId="8" priority="5247" operator="containsText" text="Відком. за межі ПБ">
      <formula>NOT(ISERROR(SEARCH(("Відком. за межі ПБ"),(U285))))</formula>
    </cfRule>
  </conditionalFormatting>
  <conditionalFormatting sqref="U285">
    <cfRule type="containsText" dxfId="7" priority="5248" operator="containsText" text="Від-ні навчання">
      <formula>NOT(ISERROR(SEARCH(("Від-ні навчання"),(U285))))</formula>
    </cfRule>
  </conditionalFormatting>
  <conditionalFormatting sqref="U285">
    <cfRule type="containsText" dxfId="6" priority="5249" operator="containsText" text="Зниклі безвісти">
      <formula>NOT(ISERROR(SEARCH(("Зниклі безвісти"),(U285))))</formula>
    </cfRule>
  </conditionalFormatting>
  <conditionalFormatting sqref="U285">
    <cfRule type="containsText" dxfId="5" priority="5250" operator="containsText" text="СЗЧ">
      <formula>NOT(ISERROR(SEARCH(("СЗЧ"),(U285))))</formula>
    </cfRule>
  </conditionalFormatting>
  <conditionalFormatting sqref="U285">
    <cfRule type="containsText" dxfId="4" priority="5251" operator="containsText" text="Відпустка">
      <formula>NOT(ISERROR(SEARCH(("Відпустка"),(U285))))</formula>
    </cfRule>
  </conditionalFormatting>
  <conditionalFormatting sqref="U285">
    <cfRule type="containsText" dxfId="3" priority="5252" operator="containsText" text="В строю">
      <formula>NOT(ISERROR(SEARCH(("В строю"),(U285))))</formula>
    </cfRule>
  </conditionalFormatting>
  <conditionalFormatting sqref="U282">
    <cfRule type="containsText" dxfId="10" priority="5253" operator="containsText" text="Лікування">
      <formula>NOT(ISERROR(SEARCH(("Лікування"),(U282))))</formula>
    </cfRule>
  </conditionalFormatting>
  <conditionalFormatting sqref="U282">
    <cfRule type="containsText" dxfId="9" priority="5254" operator="containsText" text="Загиблі">
      <formula>NOT(ISERROR(SEARCH(("Загиблі"),(U282))))</formula>
    </cfRule>
  </conditionalFormatting>
  <conditionalFormatting sqref="U282">
    <cfRule type="containsText" dxfId="8" priority="5255" operator="containsText" text="Відком. за межі ПБ">
      <formula>NOT(ISERROR(SEARCH(("Відком. за межі ПБ"),(U282))))</formula>
    </cfRule>
  </conditionalFormatting>
  <conditionalFormatting sqref="U282">
    <cfRule type="containsText" dxfId="7" priority="5256" operator="containsText" text="Від-ні навчання">
      <formula>NOT(ISERROR(SEARCH(("Від-ні навчання"),(U282))))</formula>
    </cfRule>
  </conditionalFormatting>
  <conditionalFormatting sqref="U282">
    <cfRule type="containsText" dxfId="6" priority="5257" operator="containsText" text="Зниклі безвісти">
      <formula>NOT(ISERROR(SEARCH(("Зниклі безвісти"),(U282))))</formula>
    </cfRule>
  </conditionalFormatting>
  <conditionalFormatting sqref="U282">
    <cfRule type="containsText" dxfId="5" priority="5258" operator="containsText" text="СЗЧ">
      <formula>NOT(ISERROR(SEARCH(("СЗЧ"),(U282))))</formula>
    </cfRule>
  </conditionalFormatting>
  <conditionalFormatting sqref="U282">
    <cfRule type="containsText" dxfId="4" priority="5259" operator="containsText" text="Відпустка">
      <formula>NOT(ISERROR(SEARCH(("Відпустка"),(U282))))</formula>
    </cfRule>
  </conditionalFormatting>
  <conditionalFormatting sqref="U282">
    <cfRule type="containsText" dxfId="3" priority="5260" operator="containsText" text="В строю">
      <formula>NOT(ISERROR(SEARCH(("В строю"),(U282))))</formula>
    </cfRule>
  </conditionalFormatting>
  <conditionalFormatting sqref="U278:U279">
    <cfRule type="containsText" dxfId="10" priority="5261" operator="containsText" text="Лікування">
      <formula>NOT(ISERROR(SEARCH(("Лікування"),(U278))))</formula>
    </cfRule>
  </conditionalFormatting>
  <conditionalFormatting sqref="U278:U279">
    <cfRule type="containsText" dxfId="9" priority="5262" operator="containsText" text="Загиблі">
      <formula>NOT(ISERROR(SEARCH(("Загиблі"),(U278))))</formula>
    </cfRule>
  </conditionalFormatting>
  <conditionalFormatting sqref="U278:U279">
    <cfRule type="containsText" dxfId="8" priority="5263" operator="containsText" text="Відком. за межі ПБ">
      <formula>NOT(ISERROR(SEARCH(("Відком. за межі ПБ"),(U278))))</formula>
    </cfRule>
  </conditionalFormatting>
  <conditionalFormatting sqref="U278:U279">
    <cfRule type="containsText" dxfId="7" priority="5264" operator="containsText" text="Від-ні навчання">
      <formula>NOT(ISERROR(SEARCH(("Від-ні навчання"),(U278))))</formula>
    </cfRule>
  </conditionalFormatting>
  <conditionalFormatting sqref="U278:U279">
    <cfRule type="containsText" dxfId="6" priority="5265" operator="containsText" text="Зниклі безвісти">
      <formula>NOT(ISERROR(SEARCH(("Зниклі безвісти"),(U278))))</formula>
    </cfRule>
  </conditionalFormatting>
  <conditionalFormatting sqref="U278:U279">
    <cfRule type="containsText" dxfId="5" priority="5266" operator="containsText" text="СЗЧ">
      <formula>NOT(ISERROR(SEARCH(("СЗЧ"),(U278))))</formula>
    </cfRule>
  </conditionalFormatting>
  <conditionalFormatting sqref="U278:U279">
    <cfRule type="containsText" dxfId="4" priority="5267" operator="containsText" text="Відпустка">
      <formula>NOT(ISERROR(SEARCH(("Відпустка"),(U278))))</formula>
    </cfRule>
  </conditionalFormatting>
  <conditionalFormatting sqref="U278:U279">
    <cfRule type="containsText" dxfId="3" priority="5268" operator="containsText" text="В строю">
      <formula>NOT(ISERROR(SEARCH(("В строю"),(U278))))</formula>
    </cfRule>
  </conditionalFormatting>
  <conditionalFormatting sqref="N254:N267">
    <cfRule type="expression" dxfId="0" priority="5269">
      <formula>COUNTIF(#REF!, N254) &gt; 1</formula>
    </cfRule>
  </conditionalFormatting>
  <conditionalFormatting sqref="U254:U267">
    <cfRule type="containsText" dxfId="10" priority="5270" operator="containsText" text="Лікування">
      <formula>NOT(ISERROR(SEARCH(("Лікування"),(U254))))</formula>
    </cfRule>
  </conditionalFormatting>
  <conditionalFormatting sqref="U254:U267">
    <cfRule type="containsText" dxfId="9" priority="5271" operator="containsText" text="Загиблі">
      <formula>NOT(ISERROR(SEARCH(("Загиблі"),(U254))))</formula>
    </cfRule>
  </conditionalFormatting>
  <conditionalFormatting sqref="U254:U267">
    <cfRule type="containsText" dxfId="8" priority="5272" operator="containsText" text="Відком. за межі ПБ">
      <formula>NOT(ISERROR(SEARCH(("Відком. за межі ПБ"),(U254))))</formula>
    </cfRule>
  </conditionalFormatting>
  <conditionalFormatting sqref="U254:U267">
    <cfRule type="containsText" dxfId="7" priority="5273" operator="containsText" text="Від-ні навчання">
      <formula>NOT(ISERROR(SEARCH(("Від-ні навчання"),(U254))))</formula>
    </cfRule>
  </conditionalFormatting>
  <conditionalFormatting sqref="U254:U267">
    <cfRule type="containsText" dxfId="6" priority="5274" operator="containsText" text="Зниклі безвісти">
      <formula>NOT(ISERROR(SEARCH(("Зниклі безвісти"),(U254))))</formula>
    </cfRule>
  </conditionalFormatting>
  <conditionalFormatting sqref="U254:U267">
    <cfRule type="containsText" dxfId="5" priority="5275" operator="containsText" text="СЗЧ">
      <formula>NOT(ISERROR(SEARCH(("СЗЧ"),(U254))))</formula>
    </cfRule>
  </conditionalFormatting>
  <conditionalFormatting sqref="U254:U267">
    <cfRule type="containsText" dxfId="4" priority="5276" operator="containsText" text="Відпустка">
      <formula>NOT(ISERROR(SEARCH(("Відпустка"),(U254))))</formula>
    </cfRule>
  </conditionalFormatting>
  <conditionalFormatting sqref="U254:U267">
    <cfRule type="containsText" dxfId="3" priority="5277" operator="containsText" text="В строю">
      <formula>NOT(ISERROR(SEARCH(("В строю"),(U254))))</formula>
    </cfRule>
  </conditionalFormatting>
  <conditionalFormatting sqref="N220:N234">
    <cfRule type="expression" dxfId="0" priority="5278">
      <formula>COUNTIF(#REF!, N220) &gt; 1</formula>
    </cfRule>
  </conditionalFormatting>
  <conditionalFormatting sqref="U220:U234">
    <cfRule type="containsText" dxfId="3" priority="5279" operator="containsText" text="В строю">
      <formula>NOT(ISERROR(SEARCH(("В строю"),(U220))))</formula>
    </cfRule>
  </conditionalFormatting>
  <conditionalFormatting sqref="U220:U234">
    <cfRule type="containsText" dxfId="4" priority="5280" operator="containsText" text="Відпустка">
      <formula>NOT(ISERROR(SEARCH(("Відпустка"),(U220))))</formula>
    </cfRule>
  </conditionalFormatting>
  <conditionalFormatting sqref="U220:U234">
    <cfRule type="containsText" dxfId="5" priority="5281" operator="containsText" text="СЗЧ">
      <formula>NOT(ISERROR(SEARCH(("СЗЧ"),(U220))))</formula>
    </cfRule>
  </conditionalFormatting>
  <conditionalFormatting sqref="U220:U234">
    <cfRule type="containsText" dxfId="6" priority="5282" operator="containsText" text="Зниклі безвісти">
      <formula>NOT(ISERROR(SEARCH(("Зниклі безвісти"),(U220))))</formula>
    </cfRule>
  </conditionalFormatting>
  <conditionalFormatting sqref="U220:U234">
    <cfRule type="containsText" dxfId="7" priority="5283" operator="containsText" text="Від-ні навчання">
      <formula>NOT(ISERROR(SEARCH(("Від-ні навчання"),(U220))))</formula>
    </cfRule>
  </conditionalFormatting>
  <conditionalFormatting sqref="U220:U234">
    <cfRule type="containsText" dxfId="8" priority="5284" operator="containsText" text="Відком. за межі ПБ">
      <formula>NOT(ISERROR(SEARCH(("Відком. за межі ПБ"),(U220))))</formula>
    </cfRule>
  </conditionalFormatting>
  <conditionalFormatting sqref="U220:U234">
    <cfRule type="containsText" dxfId="9" priority="5285" operator="containsText" text="Загиблі">
      <formula>NOT(ISERROR(SEARCH(("Загиблі"),(U220))))</formula>
    </cfRule>
  </conditionalFormatting>
  <conditionalFormatting sqref="U220:U234">
    <cfRule type="containsText" dxfId="10" priority="5286" operator="containsText" text="Лікування">
      <formula>NOT(ISERROR(SEARCH(("Лікування"),(U220))))</formula>
    </cfRule>
  </conditionalFormatting>
  <conditionalFormatting sqref="Q187 Q189:Q204 Q206 Q211:Q214 Q216:Q218">
    <cfRule type="cellIs" dxfId="3" priority="5287" operator="equal">
      <formula>P187</formula>
    </cfRule>
  </conditionalFormatting>
  <conditionalFormatting sqref="Q187 Q189:Q204 Q206 Q211:Q214 Q216:Q218">
    <cfRule type="cellIs" dxfId="9" priority="5288" operator="notEqual">
      <formula>P187</formula>
    </cfRule>
  </conditionalFormatting>
  <conditionalFormatting sqref="M186">
    <cfRule type="expression" dxfId="0" priority="5289">
      <formula>COUNTIF(#REF!, M186) &gt; 1</formula>
    </cfRule>
  </conditionalFormatting>
  <conditionalFormatting sqref="S186 U186:U219">
    <cfRule type="containsText" dxfId="10" priority="5290" operator="containsText" text="Лікування">
      <formula>NOT(ISERROR(SEARCH(("Лікування"),(S186))))</formula>
    </cfRule>
  </conditionalFormatting>
  <conditionalFormatting sqref="S186 U186:U219">
    <cfRule type="containsText" dxfId="9" priority="5291" operator="containsText" text="Загиблі">
      <formula>NOT(ISERROR(SEARCH(("Загиблі"),(S186))))</formula>
    </cfRule>
  </conditionalFormatting>
  <conditionalFormatting sqref="S186 U186:U219">
    <cfRule type="containsText" dxfId="8" priority="5292" operator="containsText" text="Відком. за межі ПБ">
      <formula>NOT(ISERROR(SEARCH(("Відком. за межі ПБ"),(S186))))</formula>
    </cfRule>
  </conditionalFormatting>
  <conditionalFormatting sqref="S186 U186:U219">
    <cfRule type="containsText" dxfId="7" priority="5293" operator="containsText" text="Від-ні навчання">
      <formula>NOT(ISERROR(SEARCH(("Від-ні навчання"),(S186))))</formula>
    </cfRule>
  </conditionalFormatting>
  <conditionalFormatting sqref="S186 U186:U219">
    <cfRule type="containsText" dxfId="6" priority="5294" operator="containsText" text="Зниклі безвісти">
      <formula>NOT(ISERROR(SEARCH(("Зниклі безвісти"),(S186))))</formula>
    </cfRule>
  </conditionalFormatting>
  <conditionalFormatting sqref="S186 U186:U219">
    <cfRule type="containsText" dxfId="5" priority="5295" operator="containsText" text="СЗЧ">
      <formula>NOT(ISERROR(SEARCH(("СЗЧ"),(S186))))</formula>
    </cfRule>
  </conditionalFormatting>
  <conditionalFormatting sqref="S186 U186:U219">
    <cfRule type="containsText" dxfId="4" priority="5296" operator="containsText" text="Відпустка">
      <formula>NOT(ISERROR(SEARCH(("Відпустка"),(S186))))</formula>
    </cfRule>
  </conditionalFormatting>
  <conditionalFormatting sqref="S186 U186:U219">
    <cfRule type="containsText" dxfId="3" priority="5297" operator="containsText" text="В строю">
      <formula>NOT(ISERROR(SEARCH(("В строю"),(S186))))</formula>
    </cfRule>
  </conditionalFormatting>
  <conditionalFormatting sqref="M185">
    <cfRule type="expression" dxfId="0" priority="5298">
      <formula>COUNTIF(#REF!, M185) &gt; 1</formula>
    </cfRule>
  </conditionalFormatting>
  <conditionalFormatting sqref="S185 U185">
    <cfRule type="containsText" dxfId="3" priority="5299" operator="containsText" text="В строю">
      <formula>NOT(ISERROR(SEARCH(("В строю"),(S185))))</formula>
    </cfRule>
  </conditionalFormatting>
  <conditionalFormatting sqref="S185 U185">
    <cfRule type="containsText" dxfId="4" priority="5300" operator="containsText" text="Відпустка">
      <formula>NOT(ISERROR(SEARCH(("Відпустка"),(S185))))</formula>
    </cfRule>
  </conditionalFormatting>
  <conditionalFormatting sqref="S185 U185">
    <cfRule type="containsText" dxfId="5" priority="5301" operator="containsText" text="СЗЧ">
      <formula>NOT(ISERROR(SEARCH(("СЗЧ"),(S185))))</formula>
    </cfRule>
  </conditionalFormatting>
  <conditionalFormatting sqref="S185 U185">
    <cfRule type="containsText" dxfId="6" priority="5302" operator="containsText" text="Зниклі безвісти">
      <formula>NOT(ISERROR(SEARCH(("Зниклі безвісти"),(S185))))</formula>
    </cfRule>
  </conditionalFormatting>
  <conditionalFormatting sqref="S185 U185">
    <cfRule type="containsText" dxfId="7" priority="5303" operator="containsText" text="Від-ні навчання">
      <formula>NOT(ISERROR(SEARCH(("Від-ні навчання"),(S185))))</formula>
    </cfRule>
  </conditionalFormatting>
  <conditionalFormatting sqref="S185 U185">
    <cfRule type="containsText" dxfId="8" priority="5304" operator="containsText" text="Відком. за межі ПБ">
      <formula>NOT(ISERROR(SEARCH(("Відком. за межі ПБ"),(S185))))</formula>
    </cfRule>
  </conditionalFormatting>
  <conditionalFormatting sqref="S185 U185">
    <cfRule type="containsText" dxfId="9" priority="5305" operator="containsText" text="Загиблі">
      <formula>NOT(ISERROR(SEARCH(("Загиблі"),(S185))))</formula>
    </cfRule>
  </conditionalFormatting>
  <conditionalFormatting sqref="S185 U185">
    <cfRule type="containsText" dxfId="10" priority="5306" operator="containsText" text="Лікування">
      <formula>NOT(ISERROR(SEARCH(("Лікування"),(S185))))</formula>
    </cfRule>
  </conditionalFormatting>
  <conditionalFormatting sqref="M169">
    <cfRule type="expression" dxfId="0" priority="5307">
      <formula>COUNTIF(#REF!, M169) &gt; 1</formula>
    </cfRule>
  </conditionalFormatting>
  <conditionalFormatting sqref="S169:S184 U169:U184">
    <cfRule type="containsText" dxfId="3" priority="5308" operator="containsText" text="В строю">
      <formula>NOT(ISERROR(SEARCH(("В строю"),(S169))))</formula>
    </cfRule>
  </conditionalFormatting>
  <conditionalFormatting sqref="S169:S184 U169:U184">
    <cfRule type="containsText" dxfId="4" priority="5309" operator="containsText" text="Відпустка">
      <formula>NOT(ISERROR(SEARCH(("Відпустка"),(S169))))</formula>
    </cfRule>
  </conditionalFormatting>
  <conditionalFormatting sqref="S169:S184 U169:U184">
    <cfRule type="containsText" dxfId="5" priority="5310" operator="containsText" text="СЗЧ">
      <formula>NOT(ISERROR(SEARCH(("СЗЧ"),(S169))))</formula>
    </cfRule>
  </conditionalFormatting>
  <conditionalFormatting sqref="S169:S184 U169:U184">
    <cfRule type="containsText" dxfId="6" priority="5311" operator="containsText" text="Зниклі безвісти">
      <formula>NOT(ISERROR(SEARCH(("Зниклі безвісти"),(S169))))</formula>
    </cfRule>
  </conditionalFormatting>
  <conditionalFormatting sqref="S169:S184 U169:U184">
    <cfRule type="containsText" dxfId="7" priority="5312" operator="containsText" text="Від-ні навчання">
      <formula>NOT(ISERROR(SEARCH(("Від-ні навчання"),(S169))))</formula>
    </cfRule>
  </conditionalFormatting>
  <conditionalFormatting sqref="S169:S184 U169:U184">
    <cfRule type="containsText" dxfId="8" priority="5313" operator="containsText" text="Відком. за межі ПБ">
      <formula>NOT(ISERROR(SEARCH(("Відком. за межі ПБ"),(S169))))</formula>
    </cfRule>
  </conditionalFormatting>
  <conditionalFormatting sqref="S169:S184 U169:U184">
    <cfRule type="containsText" dxfId="9" priority="5314" operator="containsText" text="Загиблі">
      <formula>NOT(ISERROR(SEARCH(("Загиблі"),(S169))))</formula>
    </cfRule>
  </conditionalFormatting>
  <conditionalFormatting sqref="S169:S184 U169:U184">
    <cfRule type="containsText" dxfId="10" priority="5315" operator="containsText" text="Лікування">
      <formula>NOT(ISERROR(SEARCH(("Лікування"),(S169))))</formula>
    </cfRule>
  </conditionalFormatting>
  <conditionalFormatting sqref="M147:N147 Q147">
    <cfRule type="expression" dxfId="0" priority="5316">
      <formula>COUNTIF(#REF!, M147) &gt; 1</formula>
    </cfRule>
  </conditionalFormatting>
  <conditionalFormatting sqref="S147:S168 U147:U168">
    <cfRule type="containsText" dxfId="10" priority="5317" operator="containsText" text="Лікування">
      <formula>NOT(ISERROR(SEARCH(("Лікування"),(S147))))</formula>
    </cfRule>
  </conditionalFormatting>
  <conditionalFormatting sqref="S147:S168 U147:U168">
    <cfRule type="containsText" dxfId="9" priority="5318" operator="containsText" text="Загиблі">
      <formula>NOT(ISERROR(SEARCH(("Загиблі"),(S147))))</formula>
    </cfRule>
  </conditionalFormatting>
  <conditionalFormatting sqref="S147:S168 U147:U168">
    <cfRule type="containsText" dxfId="8" priority="5319" operator="containsText" text="Відком. за межі ПБ">
      <formula>NOT(ISERROR(SEARCH(("Відком. за межі ПБ"),(S147))))</formula>
    </cfRule>
  </conditionalFormatting>
  <conditionalFormatting sqref="S147:S168 U147:U168">
    <cfRule type="containsText" dxfId="7" priority="5320" operator="containsText" text="Від-ні навчання">
      <formula>NOT(ISERROR(SEARCH(("Від-ні навчання"),(S147))))</formula>
    </cfRule>
  </conditionalFormatting>
  <conditionalFormatting sqref="S147:S168 U147:U168">
    <cfRule type="containsText" dxfId="6" priority="5321" operator="containsText" text="Зниклі безвісти">
      <formula>NOT(ISERROR(SEARCH(("Зниклі безвісти"),(S147))))</formula>
    </cfRule>
  </conditionalFormatting>
  <conditionalFormatting sqref="S147:S168 U147:U168">
    <cfRule type="containsText" dxfId="5" priority="5322" operator="containsText" text="СЗЧ">
      <formula>NOT(ISERROR(SEARCH(("СЗЧ"),(S147))))</formula>
    </cfRule>
  </conditionalFormatting>
  <conditionalFormatting sqref="S147:S168 U147:U168">
    <cfRule type="containsText" dxfId="4" priority="5323" operator="containsText" text="Відпустка">
      <formula>NOT(ISERROR(SEARCH(("Відпустка"),(S147))))</formula>
    </cfRule>
  </conditionalFormatting>
  <conditionalFormatting sqref="S147:S168 U147:U168">
    <cfRule type="containsText" dxfId="3" priority="5324" operator="containsText" text="В строю">
      <formula>NOT(ISERROR(SEARCH(("В строю"),(S147))))</formula>
    </cfRule>
  </conditionalFormatting>
  <conditionalFormatting sqref="M145:M146">
    <cfRule type="expression" dxfId="0" priority="5325">
      <formula>COUNTIF(#REF!, M145) &gt; 1</formula>
    </cfRule>
  </conditionalFormatting>
  <conditionalFormatting sqref="S145:S146 U145:U146">
    <cfRule type="containsText" dxfId="3" priority="5326" operator="containsText" text="В строю">
      <formula>NOT(ISERROR(SEARCH(("В строю"),(S145))))</formula>
    </cfRule>
  </conditionalFormatting>
  <conditionalFormatting sqref="S145:S146 U145:U146">
    <cfRule type="containsText" dxfId="4" priority="5327" operator="containsText" text="Відпустка">
      <formula>NOT(ISERROR(SEARCH(("Відпустка"),(S145))))</formula>
    </cfRule>
  </conditionalFormatting>
  <conditionalFormatting sqref="S145:S146 U145:U146">
    <cfRule type="containsText" dxfId="5" priority="5328" operator="containsText" text="СЗЧ">
      <formula>NOT(ISERROR(SEARCH(("СЗЧ"),(S145))))</formula>
    </cfRule>
  </conditionalFormatting>
  <conditionalFormatting sqref="S145:S146 U145:U146">
    <cfRule type="containsText" dxfId="6" priority="5329" operator="containsText" text="Зниклі безвісти">
      <formula>NOT(ISERROR(SEARCH(("Зниклі безвісти"),(S145))))</formula>
    </cfRule>
  </conditionalFormatting>
  <conditionalFormatting sqref="S145:S146 U145:U146">
    <cfRule type="containsText" dxfId="7" priority="5330" operator="containsText" text="Від-ні навчання">
      <formula>NOT(ISERROR(SEARCH(("Від-ні навчання"),(S145))))</formula>
    </cfRule>
  </conditionalFormatting>
  <conditionalFormatting sqref="S145:S146 U145:U146">
    <cfRule type="containsText" dxfId="8" priority="5331" operator="containsText" text="Відком. за межі ПБ">
      <formula>NOT(ISERROR(SEARCH(("Відком. за межі ПБ"),(S145))))</formula>
    </cfRule>
  </conditionalFormatting>
  <conditionalFormatting sqref="S145:S146 U145:U146">
    <cfRule type="containsText" dxfId="9" priority="5332" operator="containsText" text="Загиблі">
      <formula>NOT(ISERROR(SEARCH(("Загиблі"),(S145))))</formula>
    </cfRule>
  </conditionalFormatting>
  <conditionalFormatting sqref="S145:S146 U145:U146">
    <cfRule type="containsText" dxfId="10" priority="5333" operator="containsText" text="Лікування">
      <formula>NOT(ISERROR(SEARCH(("Лікування"),(S145))))</formula>
    </cfRule>
  </conditionalFormatting>
  <conditionalFormatting sqref="M142">
    <cfRule type="expression" dxfId="0" priority="5334">
      <formula>COUNTIF(#REF!, M142) &gt; 1</formula>
    </cfRule>
  </conditionalFormatting>
  <conditionalFormatting sqref="S142:S144 U142:U144">
    <cfRule type="containsText" dxfId="3" priority="5335" operator="containsText" text="В строю">
      <formula>NOT(ISERROR(SEARCH(("В строю"),(S142))))</formula>
    </cfRule>
  </conditionalFormatting>
  <conditionalFormatting sqref="S142:S144 U142:U144">
    <cfRule type="containsText" dxfId="4" priority="5336" operator="containsText" text="Відпустка">
      <formula>NOT(ISERROR(SEARCH(("Відпустка"),(S142))))</formula>
    </cfRule>
  </conditionalFormatting>
  <conditionalFormatting sqref="S142:S144 U142:U144">
    <cfRule type="containsText" dxfId="5" priority="5337" operator="containsText" text="СЗЧ">
      <formula>NOT(ISERROR(SEARCH(("СЗЧ"),(S142))))</formula>
    </cfRule>
  </conditionalFormatting>
  <conditionalFormatting sqref="S142:S144 U142:U144">
    <cfRule type="containsText" dxfId="6" priority="5338" operator="containsText" text="Зниклі безвісти">
      <formula>NOT(ISERROR(SEARCH(("Зниклі безвісти"),(S142))))</formula>
    </cfRule>
  </conditionalFormatting>
  <conditionalFormatting sqref="S142:S144 U142:U144">
    <cfRule type="containsText" dxfId="7" priority="5339" operator="containsText" text="Від-ні навчання">
      <formula>NOT(ISERROR(SEARCH(("Від-ні навчання"),(S142))))</formula>
    </cfRule>
  </conditionalFormatting>
  <conditionalFormatting sqref="S142:S144 U142:U144">
    <cfRule type="containsText" dxfId="8" priority="5340" operator="containsText" text="Відком. за межі ПБ">
      <formula>NOT(ISERROR(SEARCH(("Відком. за межі ПБ"),(S142))))</formula>
    </cfRule>
  </conditionalFormatting>
  <conditionalFormatting sqref="S142:S144 U142:U144">
    <cfRule type="containsText" dxfId="9" priority="5341" operator="containsText" text="Загиблі">
      <formula>NOT(ISERROR(SEARCH(("Загиблі"),(S142))))</formula>
    </cfRule>
  </conditionalFormatting>
  <conditionalFormatting sqref="S142:S144 U142:U144">
    <cfRule type="containsText" dxfId="10" priority="5342" operator="containsText" text="Лікування">
      <formula>NOT(ISERROR(SEARCH(("Лікування"),(S142))))</formula>
    </cfRule>
  </conditionalFormatting>
  <conditionalFormatting sqref="S136:S141 U136:U141">
    <cfRule type="containsText" dxfId="10" priority="5343" operator="containsText" text="Лікування">
      <formula>NOT(ISERROR(SEARCH(("Лікування"),(S136))))</formula>
    </cfRule>
  </conditionalFormatting>
  <conditionalFormatting sqref="S136:S141 U136:U141">
    <cfRule type="containsText" dxfId="9" priority="5344" operator="containsText" text="Загиблі">
      <formula>NOT(ISERROR(SEARCH(("Загиблі"),(S136))))</formula>
    </cfRule>
  </conditionalFormatting>
  <conditionalFormatting sqref="S136:S141 U136:U141">
    <cfRule type="containsText" dxfId="8" priority="5345" operator="containsText" text="Відком. за межі ПБ">
      <formula>NOT(ISERROR(SEARCH(("Відком. за межі ПБ"),(S136))))</formula>
    </cfRule>
  </conditionalFormatting>
  <conditionalFormatting sqref="S136:S141 U136:U141">
    <cfRule type="containsText" dxfId="7" priority="5346" operator="containsText" text="Від-ні навчання">
      <formula>NOT(ISERROR(SEARCH(("Від-ні навчання"),(S136))))</formula>
    </cfRule>
  </conditionalFormatting>
  <conditionalFormatting sqref="S136:S141 U136:U141">
    <cfRule type="containsText" dxfId="6" priority="5347" operator="containsText" text="Зниклі безвісти">
      <formula>NOT(ISERROR(SEARCH(("Зниклі безвісти"),(S136))))</formula>
    </cfRule>
  </conditionalFormatting>
  <conditionalFormatting sqref="S136:S141 U136:U141">
    <cfRule type="containsText" dxfId="5" priority="5348" operator="containsText" text="СЗЧ">
      <formula>NOT(ISERROR(SEARCH(("СЗЧ"),(S136))))</formula>
    </cfRule>
  </conditionalFormatting>
  <conditionalFormatting sqref="S136:S141 U136:U141">
    <cfRule type="containsText" dxfId="4" priority="5349" operator="containsText" text="Відпустка">
      <formula>NOT(ISERROR(SEARCH(("Відпустка"),(S136))))</formula>
    </cfRule>
  </conditionalFormatting>
  <conditionalFormatting sqref="S136:S141 U136:U141">
    <cfRule type="containsText" dxfId="3" priority="5350" operator="containsText" text="В строю">
      <formula>NOT(ISERROR(SEARCH(("В строю"),(S136))))</formula>
    </cfRule>
  </conditionalFormatting>
  <conditionalFormatting sqref="E136:E141 M136:N141">
    <cfRule type="expression" dxfId="0" priority="5351">
      <formula>COUNTIF(#REF!, E136) &gt; 1</formula>
    </cfRule>
  </conditionalFormatting>
  <conditionalFormatting sqref="M135 N135 E135">
    <cfRule type="expression" dxfId="0" priority="5352">
      <formula>COUNTIF(#REF!, M135) &gt; 1</formula>
    </cfRule>
  </conditionalFormatting>
  <conditionalFormatting sqref="S135 U135">
    <cfRule type="containsText" dxfId="10" priority="5353" operator="containsText" text="Лікування">
      <formula>NOT(ISERROR(SEARCH(("Лікування"),(S135))))</formula>
    </cfRule>
  </conditionalFormatting>
  <conditionalFormatting sqref="S135 U135">
    <cfRule type="containsText" dxfId="9" priority="5354" operator="containsText" text="Загиблі">
      <formula>NOT(ISERROR(SEARCH(("Загиблі"),(S135))))</formula>
    </cfRule>
  </conditionalFormatting>
  <conditionalFormatting sqref="S135 U135">
    <cfRule type="containsText" dxfId="8" priority="5355" operator="containsText" text="Відком. за межі ПБ">
      <formula>NOT(ISERROR(SEARCH(("Відком. за межі ПБ"),(S135))))</formula>
    </cfRule>
  </conditionalFormatting>
  <conditionalFormatting sqref="S135 U135">
    <cfRule type="containsText" dxfId="7" priority="5356" operator="containsText" text="Від-ні навчання">
      <formula>NOT(ISERROR(SEARCH(("Від-ні навчання"),(S135))))</formula>
    </cfRule>
  </conditionalFormatting>
  <conditionalFormatting sqref="S135 U135">
    <cfRule type="containsText" dxfId="6" priority="5357" operator="containsText" text="Зниклі безвісти">
      <formula>NOT(ISERROR(SEARCH(("Зниклі безвісти"),(S135))))</formula>
    </cfRule>
  </conditionalFormatting>
  <conditionalFormatting sqref="S135 U135">
    <cfRule type="containsText" dxfId="5" priority="5358" operator="containsText" text="СЗЧ">
      <formula>NOT(ISERROR(SEARCH(("СЗЧ"),(S135))))</formula>
    </cfRule>
  </conditionalFormatting>
  <conditionalFormatting sqref="S135 U135">
    <cfRule type="containsText" dxfId="4" priority="5359" operator="containsText" text="Відпустка">
      <formula>NOT(ISERROR(SEARCH(("Відпустка"),(S135))))</formula>
    </cfRule>
  </conditionalFormatting>
  <conditionalFormatting sqref="S135 U135">
    <cfRule type="containsText" dxfId="3" priority="5360" operator="containsText" text="В строю">
      <formula>NOT(ISERROR(SEARCH(("В строю"),(S135))))</formula>
    </cfRule>
  </conditionalFormatting>
  <conditionalFormatting sqref="M131:N134 M143:N144 M148:N168 Q148:Q149 Q154 Q161 Q166 M170:N184 Q171 Q177 Q179:Q180 Q182:Q183 N350:N368 O351:O352 O368 N373 N393:N401 O394 O399 O402 N403:N404 O405:O406 N406 N408:N409 N572:N573 N610:N612 O612 N616:N617 N622 N629 N633 N635:O636 N638:N641 N643:N644 N646 N648 K651 N651:N657 O651:O652 N661 N663:N664 N666:N668 N670 N672 N674 N677 N683 N688 N690:N692 N694 N698 N702 N704:N707 N709 N712 N714 N719 N724 N836 N838 N840:N841 N844:N846 N851:N852 N888 N892 N895:N896 N899 N901:N902 N905:N906 O905 N929:N933 O930 O933 N943 N945 N953:N954 K958 N958:O958 N960:N962 N964:N967 N969:N972 N976:N978 O977 N988:O988 K990 N990 K992 N992:N993 O992 N995:N996 N999 N1001:N1002 N1008:N1011 K1009 N1017:N1018 O1018 N1020:O1020 N1023 N1025:N1026 N1028:N1029 N1031 N1033:N1034 N1039:N1041 N1043:N1048 O1044 N1051 N1056:N1059 N1063:N1064 N1094 N1096:N1102 N1113:N1115 N1119:N1120 N1122:N1129 O1123 N1131:N1132 N1136:N1139 N1141:O1177 K1146 M1157 N1184:N1249 O1184:O1243 P1189 K1192 K1226:K1243 P1232 K1245:K1249 O1245:O1249 P1245 M1257 N1257:N1266 N1268:N1270 O1270 K1274 N1274:N1281 O1276:P1281 K1277 N1285:P1288 N1292:P1296 K1300 N1300:P1302 N1304:P1304 N1314:P1383 M1318 K1341 K1358 K1360 K1372 Q1377 AF1377 K1378 N1428:P1509 M1439 K1473 M1505 N1511:P1522 E1522 N1528:P1530 N1532:P1545 N1547:P1558 N1560:P1625 M1570 K1588 Q1598 AF1598 M1623">
    <cfRule type="expression" dxfId="0" priority="5361">
      <formula>COUNTIF($N$1:$N1625, M131) &gt; 1</formula>
    </cfRule>
  </conditionalFormatting>
  <conditionalFormatting sqref="M130 N130">
    <cfRule type="expression" dxfId="0" priority="5362">
      <formula>COUNTIF(#REF!, M130) &gt; 1</formula>
    </cfRule>
  </conditionalFormatting>
  <conditionalFormatting sqref="S130:S134 U130:U134">
    <cfRule type="containsText" dxfId="3" priority="5363" operator="containsText" text="В строю">
      <formula>NOT(ISERROR(SEARCH(("В строю"),(S130))))</formula>
    </cfRule>
  </conditionalFormatting>
  <conditionalFormatting sqref="S130:S134 U130:U134">
    <cfRule type="containsText" dxfId="4" priority="5364" operator="containsText" text="Відпустка">
      <formula>NOT(ISERROR(SEARCH(("Відпустка"),(S130))))</formula>
    </cfRule>
  </conditionalFormatting>
  <conditionalFormatting sqref="S130:S134 U130:U134">
    <cfRule type="containsText" dxfId="5" priority="5365" operator="containsText" text="СЗЧ">
      <formula>NOT(ISERROR(SEARCH(("СЗЧ"),(S130))))</formula>
    </cfRule>
  </conditionalFormatting>
  <conditionalFormatting sqref="S130:S134 U130:U134">
    <cfRule type="containsText" dxfId="6" priority="5366" operator="containsText" text="Зниклі безвісти">
      <formula>NOT(ISERROR(SEARCH(("Зниклі безвісти"),(S130))))</formula>
    </cfRule>
  </conditionalFormatting>
  <conditionalFormatting sqref="S130:S134 U130:U134">
    <cfRule type="containsText" dxfId="7" priority="5367" operator="containsText" text="Від-ні навчання">
      <formula>NOT(ISERROR(SEARCH(("Від-ні навчання"),(S130))))</formula>
    </cfRule>
  </conditionalFormatting>
  <conditionalFormatting sqref="S130:S134 U130:U134">
    <cfRule type="containsText" dxfId="8" priority="5368" operator="containsText" text="Відком. за межі ПБ">
      <formula>NOT(ISERROR(SEARCH(("Відком. за межі ПБ"),(S130))))</formula>
    </cfRule>
  </conditionalFormatting>
  <conditionalFormatting sqref="S130:S134 U130:U134">
    <cfRule type="containsText" dxfId="9" priority="5369" operator="containsText" text="Загиблі">
      <formula>NOT(ISERROR(SEARCH(("Загиблі"),(S130))))</formula>
    </cfRule>
  </conditionalFormatting>
  <conditionalFormatting sqref="S130:S134 U130:U134">
    <cfRule type="containsText" dxfId="10" priority="5370" operator="containsText" text="Лікування">
      <formula>NOT(ISERROR(SEARCH(("Лікування"),(S130))))</formula>
    </cfRule>
  </conditionalFormatting>
  <conditionalFormatting sqref="M129:N129">
    <cfRule type="expression" dxfId="0" priority="5371">
      <formula>COUNTIF(#REF!, M129) &gt; 1</formula>
    </cfRule>
  </conditionalFormatting>
  <conditionalFormatting sqref="S129 U129">
    <cfRule type="containsText" dxfId="3" priority="5372" operator="containsText" text="В строю">
      <formula>NOT(ISERROR(SEARCH(("В строю"),(S129))))</formula>
    </cfRule>
  </conditionalFormatting>
  <conditionalFormatting sqref="S129 U129">
    <cfRule type="containsText" dxfId="4" priority="5373" operator="containsText" text="Відпустка">
      <formula>NOT(ISERROR(SEARCH(("Відпустка"),(S129))))</formula>
    </cfRule>
  </conditionalFormatting>
  <conditionalFormatting sqref="S129 U129">
    <cfRule type="containsText" dxfId="5" priority="5374" operator="containsText" text="СЗЧ">
      <formula>NOT(ISERROR(SEARCH(("СЗЧ"),(S129))))</formula>
    </cfRule>
  </conditionalFormatting>
  <conditionalFormatting sqref="S129 U129">
    <cfRule type="containsText" dxfId="6" priority="5375" operator="containsText" text="Зниклі безвісти">
      <formula>NOT(ISERROR(SEARCH(("Зниклі безвісти"),(S129))))</formula>
    </cfRule>
  </conditionalFormatting>
  <conditionalFormatting sqref="S129 U129">
    <cfRule type="containsText" dxfId="7" priority="5376" operator="containsText" text="Від-ні навчання">
      <formula>NOT(ISERROR(SEARCH(("Від-ні навчання"),(S129))))</formula>
    </cfRule>
  </conditionalFormatting>
  <conditionalFormatting sqref="S129 U129">
    <cfRule type="containsText" dxfId="8" priority="5377" operator="containsText" text="Відком. за межі ПБ">
      <formula>NOT(ISERROR(SEARCH(("Відком. за межі ПБ"),(S129))))</formula>
    </cfRule>
  </conditionalFormatting>
  <conditionalFormatting sqref="S129 U129">
    <cfRule type="containsText" dxfId="9" priority="5378" operator="containsText" text="Загиблі">
      <formula>NOT(ISERROR(SEARCH(("Загиблі"),(S129))))</formula>
    </cfRule>
  </conditionalFormatting>
  <conditionalFormatting sqref="S129 U129">
    <cfRule type="containsText" dxfId="10" priority="5379" operator="containsText" text="Лікування">
      <formula>NOT(ISERROR(SEARCH(("Лікування"),(S129))))</formula>
    </cfRule>
  </conditionalFormatting>
  <conditionalFormatting sqref="R128">
    <cfRule type="containsText" dxfId="10" priority="5380" operator="containsText" text="Лікування">
      <formula>NOT(ISERROR(SEARCH(("Лікування"),(R128))))</formula>
    </cfRule>
  </conditionalFormatting>
  <conditionalFormatting sqref="R128">
    <cfRule type="containsText" dxfId="9" priority="5381" operator="containsText" text="Загиблі">
      <formula>NOT(ISERROR(SEARCH(("Загиблі"),(R128))))</formula>
    </cfRule>
  </conditionalFormatting>
  <conditionalFormatting sqref="R128">
    <cfRule type="containsText" dxfId="8" priority="5382" operator="containsText" text="Відком. за межі ПБ">
      <formula>NOT(ISERROR(SEARCH(("Відком. за межі ПБ"),(R128))))</formula>
    </cfRule>
  </conditionalFormatting>
  <conditionalFormatting sqref="R128">
    <cfRule type="containsText" dxfId="7" priority="5383" operator="containsText" text="Від-ні навчання">
      <formula>NOT(ISERROR(SEARCH(("Від-ні навчання"),(R128))))</formula>
    </cfRule>
  </conditionalFormatting>
  <conditionalFormatting sqref="R128">
    <cfRule type="containsText" dxfId="6" priority="5384" operator="containsText" text="Зниклі безвісти">
      <formula>NOT(ISERROR(SEARCH(("Зниклі безвісти"),(R128))))</formula>
    </cfRule>
  </conditionalFormatting>
  <conditionalFormatting sqref="R128">
    <cfRule type="containsText" dxfId="5" priority="5385" operator="containsText" text="СЗЧ">
      <formula>NOT(ISERROR(SEARCH(("СЗЧ"),(R128))))</formula>
    </cfRule>
  </conditionalFormatting>
  <conditionalFormatting sqref="R128">
    <cfRule type="containsText" dxfId="4" priority="5386" operator="containsText" text="Відпустка">
      <formula>NOT(ISERROR(SEARCH(("Відпустка"),(R128))))</formula>
    </cfRule>
  </conditionalFormatting>
  <conditionalFormatting sqref="R128">
    <cfRule type="containsText" dxfId="3" priority="5387" operator="containsText" text="В строю">
      <formula>NOT(ISERROR(SEARCH(("В строю"),(R128))))</formula>
    </cfRule>
  </conditionalFormatting>
  <conditionalFormatting sqref="L128:N128">
    <cfRule type="expression" dxfId="0" priority="5388">
      <formula>COUNTIF(#REF!, L128) &gt; 1</formula>
    </cfRule>
  </conditionalFormatting>
  <conditionalFormatting sqref="R127">
    <cfRule type="containsText" dxfId="10" priority="5389" operator="containsText" text="Лікування">
      <formula>NOT(ISERROR(SEARCH(("Лікування"),(R127))))</formula>
    </cfRule>
  </conditionalFormatting>
  <conditionalFormatting sqref="R127">
    <cfRule type="containsText" dxfId="9" priority="5390" operator="containsText" text="Загиблі">
      <formula>NOT(ISERROR(SEARCH(("Загиблі"),(R127))))</formula>
    </cfRule>
  </conditionalFormatting>
  <conditionalFormatting sqref="R127">
    <cfRule type="containsText" dxfId="8" priority="5391" operator="containsText" text="Відком. за межі ПБ">
      <formula>NOT(ISERROR(SEARCH(("Відком. за межі ПБ"),(R127))))</formula>
    </cfRule>
  </conditionalFormatting>
  <conditionalFormatting sqref="R127">
    <cfRule type="containsText" dxfId="7" priority="5392" operator="containsText" text="Від-ні навчання">
      <formula>NOT(ISERROR(SEARCH(("Від-ні навчання"),(R127))))</formula>
    </cfRule>
  </conditionalFormatting>
  <conditionalFormatting sqref="R127">
    <cfRule type="containsText" dxfId="6" priority="5393" operator="containsText" text="Зниклі безвісти">
      <formula>NOT(ISERROR(SEARCH(("Зниклі безвісти"),(R127))))</formula>
    </cfRule>
  </conditionalFormatting>
  <conditionalFormatting sqref="R127">
    <cfRule type="containsText" dxfId="5" priority="5394" operator="containsText" text="СЗЧ">
      <formula>NOT(ISERROR(SEARCH(("СЗЧ"),(R127))))</formula>
    </cfRule>
  </conditionalFormatting>
  <conditionalFormatting sqref="R127">
    <cfRule type="containsText" dxfId="4" priority="5395" operator="containsText" text="Відпустка">
      <formula>NOT(ISERROR(SEARCH(("Відпустка"),(R127))))</formula>
    </cfRule>
  </conditionalFormatting>
  <conditionalFormatting sqref="R127">
    <cfRule type="containsText" dxfId="3" priority="5396" operator="containsText" text="В строю">
      <formula>NOT(ISERROR(SEARCH(("В строю"),(R127))))</formula>
    </cfRule>
  </conditionalFormatting>
  <conditionalFormatting sqref="L127:N127">
    <cfRule type="expression" dxfId="0" priority="5397">
      <formula>COUNTIF(#REF!, L127) &gt; 1</formula>
    </cfRule>
  </conditionalFormatting>
  <conditionalFormatting sqref="R121:R126">
    <cfRule type="containsText" dxfId="3" priority="5398" operator="containsText" text="В строю">
      <formula>NOT(ISERROR(SEARCH(("В строю"),(R121))))</formula>
    </cfRule>
  </conditionalFormatting>
  <conditionalFormatting sqref="R121:R126">
    <cfRule type="containsText" dxfId="4" priority="5399" operator="containsText" text="Відпустка">
      <formula>NOT(ISERROR(SEARCH(("Відпустка"),(R121))))</formula>
    </cfRule>
  </conditionalFormatting>
  <conditionalFormatting sqref="R121:R126">
    <cfRule type="containsText" dxfId="5" priority="5400" operator="containsText" text="СЗЧ">
      <formula>NOT(ISERROR(SEARCH(("СЗЧ"),(R121))))</formula>
    </cfRule>
  </conditionalFormatting>
  <conditionalFormatting sqref="R121:R126">
    <cfRule type="containsText" dxfId="6" priority="5401" operator="containsText" text="Зниклі безвісти">
      <formula>NOT(ISERROR(SEARCH(("Зниклі безвісти"),(R121))))</formula>
    </cfRule>
  </conditionalFormatting>
  <conditionalFormatting sqref="R121:R126">
    <cfRule type="containsText" dxfId="7" priority="5402" operator="containsText" text="Від-ні навчання">
      <formula>NOT(ISERROR(SEARCH(("Від-ні навчання"),(R121))))</formula>
    </cfRule>
  </conditionalFormatting>
  <conditionalFormatting sqref="R121:R126">
    <cfRule type="containsText" dxfId="8" priority="5403" operator="containsText" text="Відком. за межі ПБ">
      <formula>NOT(ISERROR(SEARCH(("Відком. за межі ПБ"),(R121))))</formula>
    </cfRule>
  </conditionalFormatting>
  <conditionalFormatting sqref="R121:R126">
    <cfRule type="containsText" dxfId="9" priority="5404" operator="containsText" text="Загиблі">
      <formula>NOT(ISERROR(SEARCH(("Загиблі"),(R121))))</formula>
    </cfRule>
  </conditionalFormatting>
  <conditionalFormatting sqref="R121:R126">
    <cfRule type="containsText" dxfId="10" priority="5405" operator="containsText" text="Лікування">
      <formula>NOT(ISERROR(SEARCH(("Лікування"),(R121))))</formula>
    </cfRule>
  </conditionalFormatting>
  <conditionalFormatting sqref="R120">
    <cfRule type="containsText" dxfId="10" priority="5406" operator="containsText" text="Лікування">
      <formula>NOT(ISERROR(SEARCH(("Лікування"),(R120))))</formula>
    </cfRule>
  </conditionalFormatting>
  <conditionalFormatting sqref="R120">
    <cfRule type="containsText" dxfId="9" priority="5407" operator="containsText" text="Загиблі">
      <formula>NOT(ISERROR(SEARCH(("Загиблі"),(R120))))</formula>
    </cfRule>
  </conditionalFormatting>
  <conditionalFormatting sqref="R120">
    <cfRule type="containsText" dxfId="8" priority="5408" operator="containsText" text="Відком. за межі ПБ">
      <formula>NOT(ISERROR(SEARCH(("Відком. за межі ПБ"),(R120))))</formula>
    </cfRule>
  </conditionalFormatting>
  <conditionalFormatting sqref="R120">
    <cfRule type="containsText" dxfId="7" priority="5409" operator="containsText" text="Від-ні навчання">
      <formula>NOT(ISERROR(SEARCH(("Від-ні навчання"),(R120))))</formula>
    </cfRule>
  </conditionalFormatting>
  <conditionalFormatting sqref="R120">
    <cfRule type="containsText" dxfId="6" priority="5410" operator="containsText" text="Зниклі безвісти">
      <formula>NOT(ISERROR(SEARCH(("Зниклі безвісти"),(R120))))</formula>
    </cfRule>
  </conditionalFormatting>
  <conditionalFormatting sqref="R120">
    <cfRule type="containsText" dxfId="5" priority="5411" operator="containsText" text="СЗЧ">
      <formula>NOT(ISERROR(SEARCH(("СЗЧ"),(R120))))</formula>
    </cfRule>
  </conditionalFormatting>
  <conditionalFormatting sqref="R120">
    <cfRule type="containsText" dxfId="4" priority="5412" operator="containsText" text="Відпустка">
      <formula>NOT(ISERROR(SEARCH(("Відпустка"),(R120))))</formula>
    </cfRule>
  </conditionalFormatting>
  <conditionalFormatting sqref="R120">
    <cfRule type="containsText" dxfId="3" priority="5413" operator="containsText" text="В строю">
      <formula>NOT(ISERROR(SEARCH(("В строю"),(R120))))</formula>
    </cfRule>
  </conditionalFormatting>
  <conditionalFormatting sqref="R119">
    <cfRule type="containsText" dxfId="3" priority="5414" operator="containsText" text="В строю">
      <formula>NOT(ISERROR(SEARCH(("В строю"),(R119))))</formula>
    </cfRule>
  </conditionalFormatting>
  <conditionalFormatting sqref="R119">
    <cfRule type="containsText" dxfId="4" priority="5415" operator="containsText" text="Відпустка">
      <formula>NOT(ISERROR(SEARCH(("Відпустка"),(R119))))</formula>
    </cfRule>
  </conditionalFormatting>
  <conditionalFormatting sqref="R119">
    <cfRule type="containsText" dxfId="5" priority="5416" operator="containsText" text="СЗЧ">
      <formula>NOT(ISERROR(SEARCH(("СЗЧ"),(R119))))</formula>
    </cfRule>
  </conditionalFormatting>
  <conditionalFormatting sqref="R119">
    <cfRule type="containsText" dxfId="6" priority="5417" operator="containsText" text="Зниклі безвісти">
      <formula>NOT(ISERROR(SEARCH(("Зниклі безвісти"),(R119))))</formula>
    </cfRule>
  </conditionalFormatting>
  <conditionalFormatting sqref="R119">
    <cfRule type="containsText" dxfId="7" priority="5418" operator="containsText" text="Від-ні навчання">
      <formula>NOT(ISERROR(SEARCH(("Від-ні навчання"),(R119))))</formula>
    </cfRule>
  </conditionalFormatting>
  <conditionalFormatting sqref="R119">
    <cfRule type="containsText" dxfId="8" priority="5419" operator="containsText" text="Відком. за межі ПБ">
      <formula>NOT(ISERROR(SEARCH(("Відком. за межі ПБ"),(R119))))</formula>
    </cfRule>
  </conditionalFormatting>
  <conditionalFormatting sqref="R119">
    <cfRule type="containsText" dxfId="9" priority="5420" operator="containsText" text="Загиблі">
      <formula>NOT(ISERROR(SEARCH(("Загиблі"),(R119))))</formula>
    </cfRule>
  </conditionalFormatting>
  <conditionalFormatting sqref="R119">
    <cfRule type="containsText" dxfId="10" priority="5421" operator="containsText" text="Лікування">
      <formula>NOT(ISERROR(SEARCH(("Лікування"),(R119))))</formula>
    </cfRule>
  </conditionalFormatting>
  <conditionalFormatting sqref="L119:N119">
    <cfRule type="expression" dxfId="0" priority="5422">
      <formula>COUNTIF(#REF!, L119) &gt; 1</formula>
    </cfRule>
  </conditionalFormatting>
  <conditionalFormatting sqref="R118">
    <cfRule type="containsText" dxfId="3" priority="5423" operator="containsText" text="В строю">
      <formula>NOT(ISERROR(SEARCH(("В строю"),(R118))))</formula>
    </cfRule>
  </conditionalFormatting>
  <conditionalFormatting sqref="R118">
    <cfRule type="containsText" dxfId="4" priority="5424" operator="containsText" text="Відпустка">
      <formula>NOT(ISERROR(SEARCH(("Відпустка"),(R118))))</formula>
    </cfRule>
  </conditionalFormatting>
  <conditionalFormatting sqref="R118">
    <cfRule type="containsText" dxfId="5" priority="5425" operator="containsText" text="СЗЧ">
      <formula>NOT(ISERROR(SEARCH(("СЗЧ"),(R118))))</formula>
    </cfRule>
  </conditionalFormatting>
  <conditionalFormatting sqref="R118">
    <cfRule type="containsText" dxfId="6" priority="5426" operator="containsText" text="Зниклі безвісти">
      <formula>NOT(ISERROR(SEARCH(("Зниклі безвісти"),(R118))))</formula>
    </cfRule>
  </conditionalFormatting>
  <conditionalFormatting sqref="R118">
    <cfRule type="containsText" dxfId="7" priority="5427" operator="containsText" text="Від-ні навчання">
      <formula>NOT(ISERROR(SEARCH(("Від-ні навчання"),(R118))))</formula>
    </cfRule>
  </conditionalFormatting>
  <conditionalFormatting sqref="R118">
    <cfRule type="containsText" dxfId="8" priority="5428" operator="containsText" text="Відком. за межі ПБ">
      <formula>NOT(ISERROR(SEARCH(("Відком. за межі ПБ"),(R118))))</formula>
    </cfRule>
  </conditionalFormatting>
  <conditionalFormatting sqref="R118">
    <cfRule type="containsText" dxfId="9" priority="5429" operator="containsText" text="Загиблі">
      <formula>NOT(ISERROR(SEARCH(("Загиблі"),(R118))))</formula>
    </cfRule>
  </conditionalFormatting>
  <conditionalFormatting sqref="R118">
    <cfRule type="containsText" dxfId="10" priority="5430" operator="containsText" text="Лікування">
      <formula>NOT(ISERROR(SEARCH(("Лікування"),(R118))))</formula>
    </cfRule>
  </conditionalFormatting>
  <conditionalFormatting sqref="R72 U191 U318">
    <cfRule type="containsText" dxfId="8" priority="5431" operator="containsText" text="Відрядження в ПБ">
      <formula>NOT(ISERROR(SEARCH(("Відрядження в ПБ"),(R72))))</formula>
    </cfRule>
  </conditionalFormatting>
  <conditionalFormatting sqref="L71:N71 L73:N77 O75:Q75 L79:N81 E101:E109 L101:M117 N101:N114 N116:N117 M187:M189 N187:N208 O190:O191 K191 M191:M208 O194 O196 O199 O203 M210:M213 N210:N219 O212:O214 M215 O216 M217:M219 O218 M317:N346 O319 O321 O329 O335:O336 N1136:N1139 N1141:N1177 N1184:N1243 N1245:N1249 O1245 N1276:N1281 N1285:N1288 O1287 N1292:N1296 N1300:N1302 N1304 N1314:N1383 O1325 N1428:N1509 N1511:N1522 N1528:N1530 O1530 N1532:N1545 N1547:N1558 N1560:N1625 O1594 O1614">
    <cfRule type="expression" dxfId="0" priority="5432">
      <formula>COUNTIF($M$1:$M1625, L71) &gt; 1</formula>
    </cfRule>
  </conditionalFormatting>
  <conditionalFormatting sqref="Q70:R81 Q101:R117 S116">
    <cfRule type="containsText" dxfId="10" priority="5433" operator="containsText" text="Лікування">
      <formula>NOT(ISERROR(SEARCH(("Лікування"),(Q70))))</formula>
    </cfRule>
  </conditionalFormatting>
  <conditionalFormatting sqref="Q70:R81 Q101:R117 S116">
    <cfRule type="containsText" dxfId="9" priority="5434" operator="containsText" text="Загиблі">
      <formula>NOT(ISERROR(SEARCH(("Загиблі"),(Q70))))</formula>
    </cfRule>
  </conditionalFormatting>
  <conditionalFormatting sqref="Q70:R81 Q101:R117 S116">
    <cfRule type="containsText" dxfId="8" priority="5435" operator="containsText" text="Відком. за межі ПБ">
      <formula>NOT(ISERROR(SEARCH(("Відком. за межі ПБ"),(Q70))))</formula>
    </cfRule>
  </conditionalFormatting>
  <conditionalFormatting sqref="Q70:R81 Q101:R117 S116">
    <cfRule type="containsText" dxfId="7" priority="5436" operator="containsText" text="Від-ні навчання">
      <formula>NOT(ISERROR(SEARCH(("Від-ні навчання"),(Q70))))</formula>
    </cfRule>
  </conditionalFormatting>
  <conditionalFormatting sqref="Q70:R81 Q101:R117 S116">
    <cfRule type="containsText" dxfId="6" priority="5437" operator="containsText" text="Зниклі безвісти">
      <formula>NOT(ISERROR(SEARCH(("Зниклі безвісти"),(Q70))))</formula>
    </cfRule>
  </conditionalFormatting>
  <conditionalFormatting sqref="Q70:R81 Q101:R117 S116">
    <cfRule type="containsText" dxfId="5" priority="5438" operator="containsText" text="СЗЧ">
      <formula>NOT(ISERROR(SEARCH(("СЗЧ"),(Q70))))</formula>
    </cfRule>
  </conditionalFormatting>
  <conditionalFormatting sqref="Q70:R81 Q101:R117 S116">
    <cfRule type="containsText" dxfId="4" priority="5439" operator="containsText" text="Відпустка">
      <formula>NOT(ISERROR(SEARCH(("Відпустка"),(Q70))))</formula>
    </cfRule>
  </conditionalFormatting>
  <conditionalFormatting sqref="Q70:R81 Q101:R117 S116">
    <cfRule type="containsText" dxfId="3" priority="5440" operator="containsText" text="В строю">
      <formula>NOT(ISERROR(SEARCH(("В строю"),(Q70))))</formula>
    </cfRule>
  </conditionalFormatting>
  <conditionalFormatting sqref="L70:N70">
    <cfRule type="expression" dxfId="0" priority="5441">
      <formula>COUNTIF(#REF!, L70) &gt; 1</formula>
    </cfRule>
  </conditionalFormatting>
  <conditionalFormatting sqref="D69 K69 M69">
    <cfRule type="expression" dxfId="0" priority="5442">
      <formula>COUNTIF(#REF!, D69) &gt; 1</formula>
    </cfRule>
  </conditionalFormatting>
  <conditionalFormatting sqref="R69">
    <cfRule type="containsText" dxfId="3" priority="5443" operator="containsText" text="В строю">
      <formula>NOT(ISERROR(SEARCH(("В строю"),(R69))))</formula>
    </cfRule>
  </conditionalFormatting>
  <conditionalFormatting sqref="R69">
    <cfRule type="containsText" dxfId="4" priority="5444" operator="containsText" text="Відпустка">
      <formula>NOT(ISERROR(SEARCH(("Відпустка"),(R69))))</formula>
    </cfRule>
  </conditionalFormatting>
  <conditionalFormatting sqref="R69">
    <cfRule type="containsText" dxfId="5" priority="5445" operator="containsText" text="СЗЧ">
      <formula>NOT(ISERROR(SEARCH(("СЗЧ"),(R69))))</formula>
    </cfRule>
  </conditionalFormatting>
  <conditionalFormatting sqref="R69">
    <cfRule type="containsText" dxfId="6" priority="5446" operator="containsText" text="Зниклі безвісти">
      <formula>NOT(ISERROR(SEARCH(("Зниклі безвісти"),(R69))))</formula>
    </cfRule>
  </conditionalFormatting>
  <conditionalFormatting sqref="R69">
    <cfRule type="containsText" dxfId="7" priority="5447" operator="containsText" text="Від-ні навчання">
      <formula>NOT(ISERROR(SEARCH(("Від-ні навчання"),(R69))))</formula>
    </cfRule>
  </conditionalFormatting>
  <conditionalFormatting sqref="R69">
    <cfRule type="containsText" dxfId="8" priority="5448" operator="containsText" text="Відком. за межі ПБ">
      <formula>NOT(ISERROR(SEARCH(("Відком. за межі ПБ"),(R69))))</formula>
    </cfRule>
  </conditionalFormatting>
  <conditionalFormatting sqref="R69">
    <cfRule type="containsText" dxfId="9" priority="5449" operator="containsText" text="Загиблі">
      <formula>NOT(ISERROR(SEARCH(("Загиблі"),(R69))))</formula>
    </cfRule>
  </conditionalFormatting>
  <conditionalFormatting sqref="R69">
    <cfRule type="containsText" dxfId="10" priority="5450" operator="containsText" text="Лікування">
      <formula>NOT(ISERROR(SEARCH(("Лікування"),(R69))))</formula>
    </cfRule>
  </conditionalFormatting>
  <conditionalFormatting sqref="M67 Q67">
    <cfRule type="expression" dxfId="0" priority="5451">
      <formula>COUNTIF(#REF!, M67) &gt; 1</formula>
    </cfRule>
  </conditionalFormatting>
  <conditionalFormatting sqref="R67:R68">
    <cfRule type="containsText" dxfId="10" priority="5452" operator="containsText" text="Лікування">
      <formula>NOT(ISERROR(SEARCH(("Лікування"),(R67))))</formula>
    </cfRule>
  </conditionalFormatting>
  <conditionalFormatting sqref="R67:R68">
    <cfRule type="containsText" dxfId="9" priority="5453" operator="containsText" text="Загиблі">
      <formula>NOT(ISERROR(SEARCH(("Загиблі"),(R67))))</formula>
    </cfRule>
  </conditionalFormatting>
  <conditionalFormatting sqref="R67:R68">
    <cfRule type="containsText" dxfId="8" priority="5454" operator="containsText" text="Відком. за межі ПБ">
      <formula>NOT(ISERROR(SEARCH(("Відком. за межі ПБ"),(R67))))</formula>
    </cfRule>
  </conditionalFormatting>
  <conditionalFormatting sqref="R67:R68">
    <cfRule type="containsText" dxfId="7" priority="5455" operator="containsText" text="Від-ні навчання">
      <formula>NOT(ISERROR(SEARCH(("Від-ні навчання"),(R67))))</formula>
    </cfRule>
  </conditionalFormatting>
  <conditionalFormatting sqref="R67:R68">
    <cfRule type="containsText" dxfId="6" priority="5456" operator="containsText" text="Зниклі безвісти">
      <formula>NOT(ISERROR(SEARCH(("Зниклі безвісти"),(R67))))</formula>
    </cfRule>
  </conditionalFormatting>
  <conditionalFormatting sqref="R67:R68">
    <cfRule type="containsText" dxfId="5" priority="5457" operator="containsText" text="СЗЧ">
      <formula>NOT(ISERROR(SEARCH(("СЗЧ"),(R67))))</formula>
    </cfRule>
  </conditionalFormatting>
  <conditionalFormatting sqref="R67:R68">
    <cfRule type="containsText" dxfId="4" priority="5458" operator="containsText" text="Відпустка">
      <formula>NOT(ISERROR(SEARCH(("Відпустка"),(R67))))</formula>
    </cfRule>
  </conditionalFormatting>
  <conditionalFormatting sqref="R67:R68">
    <cfRule type="containsText" dxfId="3" priority="5459" operator="containsText" text="В строю">
      <formula>NOT(ISERROR(SEARCH(("В строю"),(R67))))</formula>
    </cfRule>
  </conditionalFormatting>
  <conditionalFormatting sqref="R56:R57 R62">
    <cfRule type="containsText" dxfId="3" priority="5460" operator="containsText" text="В строю">
      <formula>NOT(ISERROR(SEARCH(("В строю"),(R56))))</formula>
    </cfRule>
  </conditionalFormatting>
  <conditionalFormatting sqref="R56:R57 R62">
    <cfRule type="containsText" dxfId="4" priority="5461" operator="containsText" text="Відпустка">
      <formula>NOT(ISERROR(SEARCH(("Відпустка"),(R56))))</formula>
    </cfRule>
  </conditionalFormatting>
  <conditionalFormatting sqref="R56:R57 R62">
    <cfRule type="containsText" dxfId="5" priority="5462" operator="containsText" text="СЗЧ">
      <formula>NOT(ISERROR(SEARCH(("СЗЧ"),(R56))))</formula>
    </cfRule>
  </conditionalFormatting>
  <conditionalFormatting sqref="R56:R57 R62">
    <cfRule type="containsText" dxfId="6" priority="5463" operator="containsText" text="Зниклі безвісти">
      <formula>NOT(ISERROR(SEARCH(("Зниклі безвісти"),(R56))))</formula>
    </cfRule>
  </conditionalFormatting>
  <conditionalFormatting sqref="R56:R57 R62">
    <cfRule type="containsText" dxfId="7" priority="5464" operator="containsText" text="Від-ні навчання">
      <formula>NOT(ISERROR(SEARCH(("Від-ні навчання"),(R56))))</formula>
    </cfRule>
  </conditionalFormatting>
  <conditionalFormatting sqref="R56:R57 R62">
    <cfRule type="containsText" dxfId="8" priority="5465" operator="containsText" text="Відком. за межі ПБ">
      <formula>NOT(ISERROR(SEARCH(("Відком. за межі ПБ"),(R56))))</formula>
    </cfRule>
  </conditionalFormatting>
  <conditionalFormatting sqref="R56:R57 R62">
    <cfRule type="containsText" dxfId="9" priority="5466" operator="containsText" text="Загиблі">
      <formula>NOT(ISERROR(SEARCH(("Загиблі"),(R56))))</formula>
    </cfRule>
  </conditionalFormatting>
  <conditionalFormatting sqref="R56:R57 R62">
    <cfRule type="containsText" dxfId="10" priority="5467" operator="containsText" text="Лікування">
      <formula>NOT(ISERROR(SEARCH(("Лікування"),(R56))))</formula>
    </cfRule>
  </conditionalFormatting>
  <conditionalFormatting sqref="E56 M56">
    <cfRule type="expression" dxfId="0" priority="5468">
      <formula>COUNTIF(#REF!, E56) &gt; 1</formula>
    </cfRule>
  </conditionalFormatting>
  <conditionalFormatting sqref="R55">
    <cfRule type="containsText" dxfId="3" priority="5469" operator="containsText" text="В строю">
      <formula>NOT(ISERROR(SEARCH(("В строю"),(R55))))</formula>
    </cfRule>
  </conditionalFormatting>
  <conditionalFormatting sqref="R55">
    <cfRule type="containsText" dxfId="4" priority="5470" operator="containsText" text="Відпустка">
      <formula>NOT(ISERROR(SEARCH(("Відпустка"),(R55))))</formula>
    </cfRule>
  </conditionalFormatting>
  <conditionalFormatting sqref="R55">
    <cfRule type="containsText" dxfId="5" priority="5471" operator="containsText" text="СЗЧ">
      <formula>NOT(ISERROR(SEARCH(("СЗЧ"),(R55))))</formula>
    </cfRule>
  </conditionalFormatting>
  <conditionalFormatting sqref="R55">
    <cfRule type="containsText" dxfId="6" priority="5472" operator="containsText" text="Зниклі безвісти">
      <formula>NOT(ISERROR(SEARCH(("Зниклі безвісти"),(R55))))</formula>
    </cfRule>
  </conditionalFormatting>
  <conditionalFormatting sqref="R55">
    <cfRule type="containsText" dxfId="7" priority="5473" operator="containsText" text="Від-ні навчання">
      <formula>NOT(ISERROR(SEARCH(("Від-ні навчання"),(R55))))</formula>
    </cfRule>
  </conditionalFormatting>
  <conditionalFormatting sqref="R55">
    <cfRule type="containsText" dxfId="8" priority="5474" operator="containsText" text="Відком. за межі ПБ">
      <formula>NOT(ISERROR(SEARCH(("Відком. за межі ПБ"),(R55))))</formula>
    </cfRule>
  </conditionalFormatting>
  <conditionalFormatting sqref="R55">
    <cfRule type="containsText" dxfId="9" priority="5475" operator="containsText" text="Загиблі">
      <formula>NOT(ISERROR(SEARCH(("Загиблі"),(R55))))</formula>
    </cfRule>
  </conditionalFormatting>
  <conditionalFormatting sqref="R55">
    <cfRule type="containsText" dxfId="10" priority="5476" operator="containsText" text="Лікування">
      <formula>NOT(ISERROR(SEARCH(("Лікування"),(R55))))</formula>
    </cfRule>
  </conditionalFormatting>
  <conditionalFormatting sqref="M55">
    <cfRule type="expression" dxfId="0" priority="5477">
      <formula>COUNTIF(#REF!, M55) &gt; 1</formula>
    </cfRule>
  </conditionalFormatting>
  <conditionalFormatting sqref="M54 P54">
    <cfRule type="expression" dxfId="0" priority="5478">
      <formula>COUNTIF(#REF!, M54) &gt; 1</formula>
    </cfRule>
  </conditionalFormatting>
  <conditionalFormatting sqref="R54">
    <cfRule type="containsText" dxfId="10" priority="5479" operator="containsText" text="Лікування">
      <formula>NOT(ISERROR(SEARCH(("Лікування"),(R54))))</formula>
    </cfRule>
  </conditionalFormatting>
  <conditionalFormatting sqref="R54">
    <cfRule type="containsText" dxfId="9" priority="5480" operator="containsText" text="Загиблі">
      <formula>NOT(ISERROR(SEARCH(("Загиблі"),(R54))))</formula>
    </cfRule>
  </conditionalFormatting>
  <conditionalFormatting sqref="R54">
    <cfRule type="containsText" dxfId="8" priority="5481" operator="containsText" text="Відком. за межі ПБ">
      <formula>NOT(ISERROR(SEARCH(("Відком. за межі ПБ"),(R54))))</formula>
    </cfRule>
  </conditionalFormatting>
  <conditionalFormatting sqref="R54">
    <cfRule type="containsText" dxfId="7" priority="5482" operator="containsText" text="Від-ні навчання">
      <formula>NOT(ISERROR(SEARCH(("Від-ні навчання"),(R54))))</formula>
    </cfRule>
  </conditionalFormatting>
  <conditionalFormatting sqref="R54">
    <cfRule type="containsText" dxfId="6" priority="5483" operator="containsText" text="Зниклі безвісти">
      <formula>NOT(ISERROR(SEARCH(("Зниклі безвісти"),(R54))))</formula>
    </cfRule>
  </conditionalFormatting>
  <conditionalFormatting sqref="R54">
    <cfRule type="containsText" dxfId="5" priority="5484" operator="containsText" text="СЗЧ">
      <formula>NOT(ISERROR(SEARCH(("СЗЧ"),(R54))))</formula>
    </cfRule>
  </conditionalFormatting>
  <conditionalFormatting sqref="R54">
    <cfRule type="containsText" dxfId="4" priority="5485" operator="containsText" text="Відпустка">
      <formula>NOT(ISERROR(SEARCH(("Відпустка"),(R54))))</formula>
    </cfRule>
  </conditionalFormatting>
  <conditionalFormatting sqref="R54">
    <cfRule type="containsText" dxfId="3" priority="5486" operator="containsText" text="В строю">
      <formula>NOT(ISERROR(SEARCH(("В строю"),(R54))))</formula>
    </cfRule>
  </conditionalFormatting>
  <conditionalFormatting sqref="M53">
    <cfRule type="expression" dxfId="0" priority="5487">
      <formula>COUNTIF(#REF!, M53) &gt; 1</formula>
    </cfRule>
  </conditionalFormatting>
  <conditionalFormatting sqref="R53">
    <cfRule type="containsText" dxfId="3" priority="5488" operator="containsText" text="В строю">
      <formula>NOT(ISERROR(SEARCH(("В строю"),(R53))))</formula>
    </cfRule>
  </conditionalFormatting>
  <conditionalFormatting sqref="R53">
    <cfRule type="containsText" dxfId="4" priority="5489" operator="containsText" text="Відпустка">
      <formula>NOT(ISERROR(SEARCH(("Відпустка"),(R53))))</formula>
    </cfRule>
  </conditionalFormatting>
  <conditionalFormatting sqref="R53">
    <cfRule type="containsText" dxfId="5" priority="5490" operator="containsText" text="СЗЧ">
      <formula>NOT(ISERROR(SEARCH(("СЗЧ"),(R53))))</formula>
    </cfRule>
  </conditionalFormatting>
  <conditionalFormatting sqref="R53">
    <cfRule type="containsText" dxfId="6" priority="5491" operator="containsText" text="Зниклі безвісти">
      <formula>NOT(ISERROR(SEARCH(("Зниклі безвісти"),(R53))))</formula>
    </cfRule>
  </conditionalFormatting>
  <conditionalFormatting sqref="R53">
    <cfRule type="containsText" dxfId="7" priority="5492" operator="containsText" text="Від-ні навчання">
      <formula>NOT(ISERROR(SEARCH(("Від-ні навчання"),(R53))))</formula>
    </cfRule>
  </conditionalFormatting>
  <conditionalFormatting sqref="R53">
    <cfRule type="containsText" dxfId="8" priority="5493" operator="containsText" text="Відком. за межі ПБ">
      <formula>NOT(ISERROR(SEARCH(("Відком. за межі ПБ"),(R53))))</formula>
    </cfRule>
  </conditionalFormatting>
  <conditionalFormatting sqref="R53">
    <cfRule type="containsText" dxfId="9" priority="5494" operator="containsText" text="Загиблі">
      <formula>NOT(ISERROR(SEARCH(("Загиблі"),(R53))))</formula>
    </cfRule>
  </conditionalFormatting>
  <conditionalFormatting sqref="R53">
    <cfRule type="containsText" dxfId="10" priority="5495" operator="containsText" text="Лікування">
      <formula>NOT(ISERROR(SEARCH(("Лікування"),(R53))))</formula>
    </cfRule>
  </conditionalFormatting>
  <conditionalFormatting sqref="M46">
    <cfRule type="expression" dxfId="0" priority="5496">
      <formula>COUNTIF(#REF!, M46) &gt; 1</formula>
    </cfRule>
  </conditionalFormatting>
  <conditionalFormatting sqref="R46">
    <cfRule type="containsText" dxfId="10" priority="5497" operator="containsText" text="Лікування">
      <formula>NOT(ISERROR(SEARCH(("Лікування"),(R46))))</formula>
    </cfRule>
  </conditionalFormatting>
  <conditionalFormatting sqref="R46">
    <cfRule type="containsText" dxfId="9" priority="5498" operator="containsText" text="Загиблі">
      <formula>NOT(ISERROR(SEARCH(("Загиблі"),(R46))))</formula>
    </cfRule>
  </conditionalFormatting>
  <conditionalFormatting sqref="R46">
    <cfRule type="containsText" dxfId="8" priority="5499" operator="containsText" text="Відком. за межі ПБ">
      <formula>NOT(ISERROR(SEARCH(("Відком. за межі ПБ"),(R46))))</formula>
    </cfRule>
  </conditionalFormatting>
  <conditionalFormatting sqref="R46">
    <cfRule type="containsText" dxfId="7" priority="5500" operator="containsText" text="Від-ні навчання">
      <formula>NOT(ISERROR(SEARCH(("Від-ні навчання"),(R46))))</formula>
    </cfRule>
  </conditionalFormatting>
  <conditionalFormatting sqref="R46">
    <cfRule type="containsText" dxfId="6" priority="5501" operator="containsText" text="Зниклі безвісти">
      <formula>NOT(ISERROR(SEARCH(("Зниклі безвісти"),(R46))))</formula>
    </cfRule>
  </conditionalFormatting>
  <conditionalFormatting sqref="R46">
    <cfRule type="containsText" dxfId="5" priority="5502" operator="containsText" text="СЗЧ">
      <formula>NOT(ISERROR(SEARCH(("СЗЧ"),(R46))))</formula>
    </cfRule>
  </conditionalFormatting>
  <conditionalFormatting sqref="R46">
    <cfRule type="containsText" dxfId="4" priority="5503" operator="containsText" text="Відпустка">
      <formula>NOT(ISERROR(SEARCH(("Відпустка"),(R46))))</formula>
    </cfRule>
  </conditionalFormatting>
  <conditionalFormatting sqref="R46">
    <cfRule type="containsText" dxfId="3" priority="5504" operator="containsText" text="В строю">
      <formula>NOT(ISERROR(SEARCH(("В строю"),(R46))))</formula>
    </cfRule>
  </conditionalFormatting>
  <conditionalFormatting sqref="R52">
    <cfRule type="containsText" dxfId="10" priority="5505" operator="containsText" text="Лікування">
      <formula>NOT(ISERROR(SEARCH(("Лікування"),(R52))))</formula>
    </cfRule>
  </conditionalFormatting>
  <conditionalFormatting sqref="R52">
    <cfRule type="containsText" dxfId="9" priority="5506" operator="containsText" text="Загиблі">
      <formula>NOT(ISERROR(SEARCH(("Загиблі"),(R52))))</formula>
    </cfRule>
  </conditionalFormatting>
  <conditionalFormatting sqref="R52">
    <cfRule type="containsText" dxfId="8" priority="5507" operator="containsText" text="Відком. за межі ПБ">
      <formula>NOT(ISERROR(SEARCH(("Відком. за межі ПБ"),(R52))))</formula>
    </cfRule>
  </conditionalFormatting>
  <conditionalFormatting sqref="R52">
    <cfRule type="containsText" dxfId="7" priority="5508" operator="containsText" text="Від-ні навчання">
      <formula>NOT(ISERROR(SEARCH(("Від-ні навчання"),(R52))))</formula>
    </cfRule>
  </conditionalFormatting>
  <conditionalFormatting sqref="R52">
    <cfRule type="containsText" dxfId="6" priority="5509" operator="containsText" text="Зниклі безвісти">
      <formula>NOT(ISERROR(SEARCH(("Зниклі безвісти"),(R52))))</formula>
    </cfRule>
  </conditionalFormatting>
  <conditionalFormatting sqref="R52">
    <cfRule type="containsText" dxfId="5" priority="5510" operator="containsText" text="СЗЧ">
      <formula>NOT(ISERROR(SEARCH(("СЗЧ"),(R52))))</formula>
    </cfRule>
  </conditionalFormatting>
  <conditionalFormatting sqref="R52">
    <cfRule type="containsText" dxfId="4" priority="5511" operator="containsText" text="Відпустка">
      <formula>NOT(ISERROR(SEARCH(("Відпустка"),(R52))))</formula>
    </cfRule>
  </conditionalFormatting>
  <conditionalFormatting sqref="R52">
    <cfRule type="containsText" dxfId="3" priority="5512" operator="containsText" text="В строю">
      <formula>NOT(ISERROR(SEARCH(("В строю"),(R52))))</formula>
    </cfRule>
  </conditionalFormatting>
  <conditionalFormatting sqref="M52 P52">
    <cfRule type="expression" dxfId="0" priority="5513">
      <formula>COUNTIF(#REF!, M52) &gt; 1</formula>
    </cfRule>
  </conditionalFormatting>
  <conditionalFormatting sqref="M51 P51">
    <cfRule type="expression" dxfId="0" priority="5514">
      <formula>COUNTIF(#REF!, M51) &gt; 1</formula>
    </cfRule>
  </conditionalFormatting>
  <conditionalFormatting sqref="R51">
    <cfRule type="containsText" dxfId="10" priority="5515" operator="containsText" text="Лікування">
      <formula>NOT(ISERROR(SEARCH(("Лікування"),(R51))))</formula>
    </cfRule>
  </conditionalFormatting>
  <conditionalFormatting sqref="R51">
    <cfRule type="containsText" dxfId="9" priority="5516" operator="containsText" text="Загиблі">
      <formula>NOT(ISERROR(SEARCH(("Загиблі"),(R51))))</formula>
    </cfRule>
  </conditionalFormatting>
  <conditionalFormatting sqref="R51">
    <cfRule type="containsText" dxfId="8" priority="5517" operator="containsText" text="Відком. за межі ПБ">
      <formula>NOT(ISERROR(SEARCH(("Відком. за межі ПБ"),(R51))))</formula>
    </cfRule>
  </conditionalFormatting>
  <conditionalFormatting sqref="R51">
    <cfRule type="containsText" dxfId="7" priority="5518" operator="containsText" text="Від-ні навчання">
      <formula>NOT(ISERROR(SEARCH(("Від-ні навчання"),(R51))))</formula>
    </cfRule>
  </conditionalFormatting>
  <conditionalFormatting sqref="R51">
    <cfRule type="containsText" dxfId="6" priority="5519" operator="containsText" text="Зниклі безвісти">
      <formula>NOT(ISERROR(SEARCH(("Зниклі безвісти"),(R51))))</formula>
    </cfRule>
  </conditionalFormatting>
  <conditionalFormatting sqref="R51">
    <cfRule type="containsText" dxfId="5" priority="5520" operator="containsText" text="СЗЧ">
      <formula>NOT(ISERROR(SEARCH(("СЗЧ"),(R51))))</formula>
    </cfRule>
  </conditionalFormatting>
  <conditionalFormatting sqref="R51">
    <cfRule type="containsText" dxfId="4" priority="5521" operator="containsText" text="Відпустка">
      <formula>NOT(ISERROR(SEARCH(("Відпустка"),(R51))))</formula>
    </cfRule>
  </conditionalFormatting>
  <conditionalFormatting sqref="R51">
    <cfRule type="containsText" dxfId="3" priority="5522" operator="containsText" text="В строю">
      <formula>NOT(ISERROR(SEARCH(("В строю"),(R51))))</formula>
    </cfRule>
  </conditionalFormatting>
  <conditionalFormatting sqref="M50 P50">
    <cfRule type="expression" dxfId="0" priority="5523">
      <formula>COUNTIF(#REF!, M50) &gt; 1</formula>
    </cfRule>
  </conditionalFormatting>
  <conditionalFormatting sqref="R50">
    <cfRule type="containsText" dxfId="10" priority="5524" operator="containsText" text="Лікування">
      <formula>NOT(ISERROR(SEARCH(("Лікування"),(R50))))</formula>
    </cfRule>
  </conditionalFormatting>
  <conditionalFormatting sqref="R50">
    <cfRule type="containsText" dxfId="9" priority="5525" operator="containsText" text="Загиблі">
      <formula>NOT(ISERROR(SEARCH(("Загиблі"),(R50))))</formula>
    </cfRule>
  </conditionalFormatting>
  <conditionalFormatting sqref="R50">
    <cfRule type="containsText" dxfId="8" priority="5526" operator="containsText" text="Відком. за межі ПБ">
      <formula>NOT(ISERROR(SEARCH(("Відком. за межі ПБ"),(R50))))</formula>
    </cfRule>
  </conditionalFormatting>
  <conditionalFormatting sqref="R50">
    <cfRule type="containsText" dxfId="7" priority="5527" operator="containsText" text="Від-ні навчання">
      <formula>NOT(ISERROR(SEARCH(("Від-ні навчання"),(R50))))</formula>
    </cfRule>
  </conditionalFormatting>
  <conditionalFormatting sqref="R50">
    <cfRule type="containsText" dxfId="6" priority="5528" operator="containsText" text="Зниклі безвісти">
      <formula>NOT(ISERROR(SEARCH(("Зниклі безвісти"),(R50))))</formula>
    </cfRule>
  </conditionalFormatting>
  <conditionalFormatting sqref="R50">
    <cfRule type="containsText" dxfId="5" priority="5529" operator="containsText" text="СЗЧ">
      <formula>NOT(ISERROR(SEARCH(("СЗЧ"),(R50))))</formula>
    </cfRule>
  </conditionalFormatting>
  <conditionalFormatting sqref="R50">
    <cfRule type="containsText" dxfId="4" priority="5530" operator="containsText" text="Відпустка">
      <formula>NOT(ISERROR(SEARCH(("Відпустка"),(R50))))</formula>
    </cfRule>
  </conditionalFormatting>
  <conditionalFormatting sqref="R50">
    <cfRule type="containsText" dxfId="3" priority="5531" operator="containsText" text="В строю">
      <formula>NOT(ISERROR(SEARCH(("В строю"),(R50))))</formula>
    </cfRule>
  </conditionalFormatting>
  <conditionalFormatting sqref="M47:M49 P47:P49">
    <cfRule type="expression" dxfId="0" priority="5532">
      <formula>COUNTIF(#REF!, M47) &gt; 1</formula>
    </cfRule>
  </conditionalFormatting>
  <conditionalFormatting sqref="R47:R49">
    <cfRule type="containsText" dxfId="10" priority="5533" operator="containsText" text="Лікування">
      <formula>NOT(ISERROR(SEARCH(("Лікування"),(R47))))</formula>
    </cfRule>
  </conditionalFormatting>
  <conditionalFormatting sqref="R47:R49">
    <cfRule type="containsText" dxfId="9" priority="5534" operator="containsText" text="Загиблі">
      <formula>NOT(ISERROR(SEARCH(("Загиблі"),(R47))))</formula>
    </cfRule>
  </conditionalFormatting>
  <conditionalFormatting sqref="R47:R49">
    <cfRule type="containsText" dxfId="8" priority="5535" operator="containsText" text="Відком. за межі ПБ">
      <formula>NOT(ISERROR(SEARCH(("Відком. за межі ПБ"),(R47))))</formula>
    </cfRule>
  </conditionalFormatting>
  <conditionalFormatting sqref="R47:R49">
    <cfRule type="containsText" dxfId="7" priority="5536" operator="containsText" text="Від-ні навчання">
      <formula>NOT(ISERROR(SEARCH(("Від-ні навчання"),(R47))))</formula>
    </cfRule>
  </conditionalFormatting>
  <conditionalFormatting sqref="R47:R49">
    <cfRule type="containsText" dxfId="6" priority="5537" operator="containsText" text="Зниклі безвісти">
      <formula>NOT(ISERROR(SEARCH(("Зниклі безвісти"),(R47))))</formula>
    </cfRule>
  </conditionalFormatting>
  <conditionalFormatting sqref="R47:R49">
    <cfRule type="containsText" dxfId="5" priority="5538" operator="containsText" text="СЗЧ">
      <formula>NOT(ISERROR(SEARCH(("СЗЧ"),(R47))))</formula>
    </cfRule>
  </conditionalFormatting>
  <conditionalFormatting sqref="R47:R49">
    <cfRule type="containsText" dxfId="4" priority="5539" operator="containsText" text="Відпустка">
      <formula>NOT(ISERROR(SEARCH(("Відпустка"),(R47))))</formula>
    </cfRule>
  </conditionalFormatting>
  <conditionalFormatting sqref="R47:R49">
    <cfRule type="containsText" dxfId="3" priority="5540" operator="containsText" text="В строю">
      <formula>NOT(ISERROR(SEARCH(("В строю"),(R47))))</formula>
    </cfRule>
  </conditionalFormatting>
  <conditionalFormatting sqref="M2">
    <cfRule type="expression" dxfId="0" priority="5541">
      <formula>COUNTIF(#REF!, M2) &gt; 1</formula>
    </cfRule>
  </conditionalFormatting>
  <conditionalFormatting sqref="R2">
    <cfRule type="containsText" dxfId="10" priority="5542" operator="containsText" text="Лікування">
      <formula>NOT(ISERROR(SEARCH(("Лікування"),(R2))))</formula>
    </cfRule>
  </conditionalFormatting>
  <conditionalFormatting sqref="R2">
    <cfRule type="containsText" dxfId="9" priority="5543" operator="containsText" text="Загиблі">
      <formula>NOT(ISERROR(SEARCH(("Загиблі"),(R2))))</formula>
    </cfRule>
  </conditionalFormatting>
  <conditionalFormatting sqref="R2">
    <cfRule type="containsText" dxfId="8" priority="5544" operator="containsText" text="Відком. за межі ПБ">
      <formula>NOT(ISERROR(SEARCH(("Відком. за межі ПБ"),(R2))))</formula>
    </cfRule>
  </conditionalFormatting>
  <conditionalFormatting sqref="R2">
    <cfRule type="containsText" dxfId="7" priority="5545" operator="containsText" text="Від-ні навчання">
      <formula>NOT(ISERROR(SEARCH(("Від-ні навчання"),(R2))))</formula>
    </cfRule>
  </conditionalFormatting>
  <conditionalFormatting sqref="R2">
    <cfRule type="containsText" dxfId="6" priority="5546" operator="containsText" text="Зниклі безвісти">
      <formula>NOT(ISERROR(SEARCH(("Зниклі безвісти"),(R2))))</formula>
    </cfRule>
  </conditionalFormatting>
  <conditionalFormatting sqref="R2">
    <cfRule type="containsText" dxfId="5" priority="5547" operator="containsText" text="СЗЧ">
      <formula>NOT(ISERROR(SEARCH(("СЗЧ"),(R2))))</formula>
    </cfRule>
  </conditionalFormatting>
  <conditionalFormatting sqref="R2">
    <cfRule type="containsText" dxfId="4" priority="5548" operator="containsText" text="Відпустка">
      <formula>NOT(ISERROR(SEARCH(("Відпустка"),(R2))))</formula>
    </cfRule>
  </conditionalFormatting>
  <conditionalFormatting sqref="R2">
    <cfRule type="containsText" dxfId="3" priority="5549" operator="containsText" text="В строю">
      <formula>NOT(ISERROR(SEARCH(("В строю"),(R2))))</formula>
    </cfRule>
  </conditionalFormatting>
  <conditionalFormatting sqref="M45 P45">
    <cfRule type="expression" dxfId="0" priority="5550">
      <formula>COUNTIF(#REF!, M45) &gt; 1</formula>
    </cfRule>
  </conditionalFormatting>
  <conditionalFormatting sqref="R45">
    <cfRule type="containsText" dxfId="10" priority="5551" operator="containsText" text="Лікування">
      <formula>NOT(ISERROR(SEARCH(("Лікування"),(R45))))</formula>
    </cfRule>
  </conditionalFormatting>
  <conditionalFormatting sqref="R45">
    <cfRule type="containsText" dxfId="9" priority="5552" operator="containsText" text="Загиблі">
      <formula>NOT(ISERROR(SEARCH(("Загиблі"),(R45))))</formula>
    </cfRule>
  </conditionalFormatting>
  <conditionalFormatting sqref="R45">
    <cfRule type="containsText" dxfId="8" priority="5553" operator="containsText" text="Відком. за межі ПБ">
      <formula>NOT(ISERROR(SEARCH(("Відком. за межі ПБ"),(R45))))</formula>
    </cfRule>
  </conditionalFormatting>
  <conditionalFormatting sqref="R45">
    <cfRule type="containsText" dxfId="7" priority="5554" operator="containsText" text="Від-ні навчання">
      <formula>NOT(ISERROR(SEARCH(("Від-ні навчання"),(R45))))</formula>
    </cfRule>
  </conditionalFormatting>
  <conditionalFormatting sqref="R45">
    <cfRule type="containsText" dxfId="6" priority="5555" operator="containsText" text="Зниклі безвісти">
      <formula>NOT(ISERROR(SEARCH(("Зниклі безвісти"),(R45))))</formula>
    </cfRule>
  </conditionalFormatting>
  <conditionalFormatting sqref="R45">
    <cfRule type="containsText" dxfId="5" priority="5556" operator="containsText" text="СЗЧ">
      <formula>NOT(ISERROR(SEARCH(("СЗЧ"),(R45))))</formula>
    </cfRule>
  </conditionalFormatting>
  <conditionalFormatting sqref="R45">
    <cfRule type="containsText" dxfId="4" priority="5557" operator="containsText" text="Відпустка">
      <formula>NOT(ISERROR(SEARCH(("Відпустка"),(R45))))</formula>
    </cfRule>
  </conditionalFormatting>
  <conditionalFormatting sqref="R45">
    <cfRule type="containsText" dxfId="3" priority="5558" operator="containsText" text="В строю">
      <formula>NOT(ISERROR(SEARCH(("В строю"),(R45))))</formula>
    </cfRule>
  </conditionalFormatting>
  <conditionalFormatting sqref="R41:R44">
    <cfRule type="containsText" dxfId="3" priority="5559" operator="containsText" text="В строю">
      <formula>NOT(ISERROR(SEARCH(("В строю"),(R41))))</formula>
    </cfRule>
  </conditionalFormatting>
  <conditionalFormatting sqref="R41:R44">
    <cfRule type="containsText" dxfId="4" priority="5560" operator="containsText" text="Відпустка">
      <formula>NOT(ISERROR(SEARCH(("Відпустка"),(R41))))</formula>
    </cfRule>
  </conditionalFormatting>
  <conditionalFormatting sqref="R41:R44">
    <cfRule type="containsText" dxfId="5" priority="5561" operator="containsText" text="СЗЧ">
      <formula>NOT(ISERROR(SEARCH(("СЗЧ"),(R41))))</formula>
    </cfRule>
  </conditionalFormatting>
  <conditionalFormatting sqref="R41:R44">
    <cfRule type="containsText" dxfId="6" priority="5562" operator="containsText" text="Зниклі безвісти">
      <formula>NOT(ISERROR(SEARCH(("Зниклі безвісти"),(R41))))</formula>
    </cfRule>
  </conditionalFormatting>
  <conditionalFormatting sqref="R41:R44">
    <cfRule type="containsText" dxfId="7" priority="5563" operator="containsText" text="Від-ні навчання">
      <formula>NOT(ISERROR(SEARCH(("Від-ні навчання"),(R41))))</formula>
    </cfRule>
  </conditionalFormatting>
  <conditionalFormatting sqref="R41:R44">
    <cfRule type="containsText" dxfId="8" priority="5564" operator="containsText" text="Відком. за межі ПБ">
      <formula>NOT(ISERROR(SEARCH(("Відком. за межі ПБ"),(R41))))</formula>
    </cfRule>
  </conditionalFormatting>
  <conditionalFormatting sqref="R41:R44">
    <cfRule type="containsText" dxfId="9" priority="5565" operator="containsText" text="Загиблі">
      <formula>NOT(ISERROR(SEARCH(("Загиблі"),(R41))))</formula>
    </cfRule>
  </conditionalFormatting>
  <conditionalFormatting sqref="R41:R44">
    <cfRule type="containsText" dxfId="10" priority="5566" operator="containsText" text="Лікування">
      <formula>NOT(ISERROR(SEARCH(("Лікування"),(R41))))</formula>
    </cfRule>
  </conditionalFormatting>
  <conditionalFormatting sqref="M41:M44">
    <cfRule type="expression" dxfId="0" priority="5567">
      <formula>COUNTIF(#REF!, M41) &gt; 1</formula>
    </cfRule>
  </conditionalFormatting>
  <conditionalFormatting sqref="M40">
    <cfRule type="expression" dxfId="0" priority="5568">
      <formula>COUNTIF(#REF!, M40) &gt; 1</formula>
    </cfRule>
  </conditionalFormatting>
  <conditionalFormatting sqref="R40">
    <cfRule type="containsText" dxfId="3" priority="5569" operator="containsText" text="В строю">
      <formula>NOT(ISERROR(SEARCH(("В строю"),(R40))))</formula>
    </cfRule>
  </conditionalFormatting>
  <conditionalFormatting sqref="R40">
    <cfRule type="containsText" dxfId="4" priority="5570" operator="containsText" text="Відпустка">
      <formula>NOT(ISERROR(SEARCH(("Відпустка"),(R40))))</formula>
    </cfRule>
  </conditionalFormatting>
  <conditionalFormatting sqref="R40">
    <cfRule type="containsText" dxfId="5" priority="5571" operator="containsText" text="СЗЧ">
      <formula>NOT(ISERROR(SEARCH(("СЗЧ"),(R40))))</formula>
    </cfRule>
  </conditionalFormatting>
  <conditionalFormatting sqref="R40">
    <cfRule type="containsText" dxfId="6" priority="5572" operator="containsText" text="Зниклі безвісти">
      <formula>NOT(ISERROR(SEARCH(("Зниклі безвісти"),(R40))))</formula>
    </cfRule>
  </conditionalFormatting>
  <conditionalFormatting sqref="R40">
    <cfRule type="containsText" dxfId="7" priority="5573" operator="containsText" text="Від-ні навчання">
      <formula>NOT(ISERROR(SEARCH(("Від-ні навчання"),(R40))))</formula>
    </cfRule>
  </conditionalFormatting>
  <conditionalFormatting sqref="R40">
    <cfRule type="containsText" dxfId="8" priority="5574" operator="containsText" text="Відком. за межі ПБ">
      <formula>NOT(ISERROR(SEARCH(("Відком. за межі ПБ"),(R40))))</formula>
    </cfRule>
  </conditionalFormatting>
  <conditionalFormatting sqref="R40">
    <cfRule type="containsText" dxfId="9" priority="5575" operator="containsText" text="Загиблі">
      <formula>NOT(ISERROR(SEARCH(("Загиблі"),(R40))))</formula>
    </cfRule>
  </conditionalFormatting>
  <conditionalFormatting sqref="R40">
    <cfRule type="containsText" dxfId="10" priority="5576" operator="containsText" text="Лікування">
      <formula>NOT(ISERROR(SEARCH(("Лікування"),(R40))))</formula>
    </cfRule>
  </conditionalFormatting>
  <conditionalFormatting sqref="R28:R39">
    <cfRule type="containsText" dxfId="3" priority="5577" operator="containsText" text="В строю">
      <formula>NOT(ISERROR(SEARCH(("В строю"),(R28))))</formula>
    </cfRule>
  </conditionalFormatting>
  <conditionalFormatting sqref="R28:R39">
    <cfRule type="containsText" dxfId="4" priority="5578" operator="containsText" text="Відпустка">
      <formula>NOT(ISERROR(SEARCH(("Відпустка"),(R28))))</formula>
    </cfRule>
  </conditionalFormatting>
  <conditionalFormatting sqref="R28:R39">
    <cfRule type="containsText" dxfId="5" priority="5579" operator="containsText" text="СЗЧ">
      <formula>NOT(ISERROR(SEARCH(("СЗЧ"),(R28))))</formula>
    </cfRule>
  </conditionalFormatting>
  <conditionalFormatting sqref="R28:R39">
    <cfRule type="containsText" dxfId="6" priority="5580" operator="containsText" text="Зниклі безвісти">
      <formula>NOT(ISERROR(SEARCH(("Зниклі безвісти"),(R28))))</formula>
    </cfRule>
  </conditionalFormatting>
  <conditionalFormatting sqref="R28:R39">
    <cfRule type="containsText" dxfId="7" priority="5581" operator="containsText" text="Від-ні навчання">
      <formula>NOT(ISERROR(SEARCH(("Від-ні навчання"),(R28))))</formula>
    </cfRule>
  </conditionalFormatting>
  <conditionalFormatting sqref="R28:R39">
    <cfRule type="containsText" dxfId="8" priority="5582" operator="containsText" text="Відком. за межі ПБ">
      <formula>NOT(ISERROR(SEARCH(("Відком. за межі ПБ"),(R28))))</formula>
    </cfRule>
  </conditionalFormatting>
  <conditionalFormatting sqref="R28:R39">
    <cfRule type="containsText" dxfId="9" priority="5583" operator="containsText" text="Загиблі">
      <formula>NOT(ISERROR(SEARCH(("Загиблі"),(R28))))</formula>
    </cfRule>
  </conditionalFormatting>
  <conditionalFormatting sqref="R28:R39">
    <cfRule type="containsText" dxfId="10" priority="5584" operator="containsText" text="Лікування">
      <formula>NOT(ISERROR(SEARCH(("Лікування"),(R28))))</formula>
    </cfRule>
  </conditionalFormatting>
  <conditionalFormatting sqref="M28:M39">
    <cfRule type="expression" dxfId="0" priority="5585">
      <formula>COUNTIF(#REF!, M28) &gt; 1</formula>
    </cfRule>
  </conditionalFormatting>
  <conditionalFormatting sqref="R1">
    <cfRule type="containsText" dxfId="3" priority="5586" operator="containsText" text="В строю">
      <formula>NOT(ISERROR(SEARCH(("В строю"),(R1))))</formula>
    </cfRule>
  </conditionalFormatting>
  <conditionalFormatting sqref="R1">
    <cfRule type="containsText" dxfId="4" priority="5587" operator="containsText" text="Відпустка">
      <formula>NOT(ISERROR(SEARCH(("Відпустка"),(R1))))</formula>
    </cfRule>
  </conditionalFormatting>
  <conditionalFormatting sqref="R1">
    <cfRule type="containsText" dxfId="5" priority="5588" operator="containsText" text="СЗЧ">
      <formula>NOT(ISERROR(SEARCH(("СЗЧ"),(R1))))</formula>
    </cfRule>
  </conditionalFormatting>
  <conditionalFormatting sqref="R1">
    <cfRule type="containsText" dxfId="6" priority="5589" operator="containsText" text="Зниклі безвісти">
      <formula>NOT(ISERROR(SEARCH(("Зниклі безвісти"),(R1))))</formula>
    </cfRule>
  </conditionalFormatting>
  <conditionalFormatting sqref="R1">
    <cfRule type="containsText" dxfId="7" priority="5590" operator="containsText" text="Від-ні навчання">
      <formula>NOT(ISERROR(SEARCH(("Від-ні навчання"),(R1))))</formula>
    </cfRule>
  </conditionalFormatting>
  <conditionalFormatting sqref="R1">
    <cfRule type="containsText" dxfId="8" priority="5591" operator="containsText" text="Відком. за межі ПБ">
      <formula>NOT(ISERROR(SEARCH(("Відком. за межі ПБ"),(R1))))</formula>
    </cfRule>
  </conditionalFormatting>
  <conditionalFormatting sqref="R1">
    <cfRule type="containsText" dxfId="9" priority="5592" operator="containsText" text="Загиблі">
      <formula>NOT(ISERROR(SEARCH(("Загиблі"),(R1))))</formula>
    </cfRule>
  </conditionalFormatting>
  <conditionalFormatting sqref="R1">
    <cfRule type="containsText" dxfId="10" priority="5593" operator="containsText" text="Лікування">
      <formula>NOT(ISERROR(SEARCH(("Лікування"),(R1))))</formula>
    </cfRule>
  </conditionalFormatting>
  <conditionalFormatting sqref="M1 M57 P57 M62 P62 M68 P68">
    <cfRule type="expression" dxfId="0" priority="5594">
      <formula>COUNTIF($L$1:$L1625, M1) &gt; 1</formula>
    </cfRule>
  </conditionalFormatting>
  <dataValidations>
    <dataValidation type="list" allowBlank="1" showErrorMessage="1" sqref="T2 T117:T128 V129 W187:W316 W318:W319 W321 W323:W333 W335:W390 W392:W633 W635:W714 W716 W721:W970 W972:W996 W998:W1031 W1033:W1052 W1054:W1106 W1108:W1120 W1122:W1271 W1273:W1302 W1304:W1385 W1387:W1417 W1419:W1448 W1450:W1511 W1513:W1564 W1566:W1600 W1602:W1625">
      <formula1>'1.ОС Загальний список'!$AQ$2:$AQ$3</formula1>
    </dataValidation>
    <dataValidation type="list" allowBlank="1" showErrorMessage="1" sqref="AB2 Z28:Z44 AA45:AA56 AA63:AA66 AE410:AE633 AE635:AE653 AE655:AE714 AE716 AE721:AE1031 AE1033:AE1106 AE1108:AE1120 AE1122:AE1271 AE1273:AE1302 AE1304:AE1385 AE1387:AE1417 AC1449:AC1450 AC1452 AC1465:AC1466 AC1474 AC1476:AC1477 AC1482:AC1483 AC1489 AC1491:AC1492 AC1494:AC1496 AE1419:AE1496 AC1499 AC1501 AC1504 AC1507 AE1498:AE1511 AE1513:AE1625">
      <formula1>'1.ОС Загальний список'!$AO$2:$AO$39</formula1>
    </dataValidation>
    <dataValidation type="list" allowBlank="1" showErrorMessage="1" sqref="AE187:AE219 AE235:AE253 AE268:AE277 AE280:AE281 AE283:AE284 AE286:AE293 AE298:AE302 AE304:AE305 AE311:AE312">
      <formula1>$AM$2:$AM$34</formula1>
    </dataValidation>
    <dataValidation type="list" allowBlank="1" showErrorMessage="1" sqref="S727:T812">
      <formula1>#REF!</formula1>
    </dataValidation>
    <dataValidation type="list" allowBlank="1" showErrorMessage="1" sqref="S54 V410:V596 V1384">
      <formula1>'1.ОС Загальний список'!$AM$2:$AM$19</formula1>
    </dataValidation>
    <dataValidation type="list" allowBlank="1" showErrorMessage="1" sqref="AA71:AA116 AB117">
      <formula1>$AK$2:$AK$34</formula1>
    </dataValidation>
    <dataValidation type="list" allowBlank="1" showErrorMessage="1" sqref="Q3 Q5:Q12 Q15:Q27">
      <formula1>$AE$25:$AE$35</formula1>
    </dataValidation>
    <dataValidation type="list" allowBlank="1" showErrorMessage="1" sqref="W1449">
      <formula1>#REF!</formula1>
    </dataValidation>
    <dataValidation type="list" allowBlank="1" showErrorMessage="1" sqref="AE350:AE357 AE359:AE390 AE392:AE406 AE408:AE409">
      <formula1>$AN$2:$AN$39</formula1>
    </dataValidation>
    <dataValidation type="list" allowBlank="1" showErrorMessage="1" sqref="Y2 X45:X116 Y117:Y128 Z129:Z186 AB187:AB316 AB318:AB319 AB321 AB323:AB333 AB335:AB390 AB392:AB409 AB1012 AB1084 AB1091 AB1106 AB1136 AB1142 AB1297 AB1302 AB1315:AB1316 AB1528 AB1535 AB1539:AB1540 AB1615">
      <formula1>'1.ОС Загальний список'!$AP$2:$AP$4</formula1>
    </dataValidation>
    <dataValidation type="list" allowBlank="1" showErrorMessage="1" sqref="AA67">
      <formula1>'1.ОС Загальний список'!$AO$2:$AO$40</formula1>
    </dataValidation>
    <dataValidation type="list" allowBlank="1" showErrorMessage="1" sqref="Q73 Q75:Q80 Q82:Q84 Q110:Q114 Q117">
      <formula1>$AH$23:$AH$33</formula1>
    </dataValidation>
    <dataValidation type="list" allowBlank="1" showErrorMessage="1" sqref="T3:T44">
      <formula1>'1.ОС Загальний список'!$AN$2:$AN$4</formula1>
    </dataValidation>
    <dataValidation type="list" allowBlank="1" showErrorMessage="1" sqref="S3:S27">
      <formula1>$AF$4:$AF$19</formula1>
    </dataValidation>
    <dataValidation type="list" allowBlank="1" showErrorMessage="1" sqref="AB1449">
      <formula1>#REF!</formula1>
    </dataValidation>
    <dataValidation type="list" allowBlank="1" showErrorMessage="1" sqref="S55:S115 S117:S128 T129:T186 V187:V316 V318:V319 V321 V323:V333 V335:V390 V392:V409 V597:V633 V635:V714 V716 V721:V970 V972:V996 V998:V1031 V1033:V1106 V1108:V1120 V1122:V1271 V1273:V1302 V1304:V1383 V1385 V1387:V1417 V1419:V1511 V1513:V1564 V1566:V1600 V1602:V1625">
      <formula1>'1.ОС Загальний список'!$AM$2:$AM$20</formula1>
    </dataValidation>
    <dataValidation type="list" allowBlank="1" showErrorMessage="1" sqref="Q2 Q28:Q46 Q54:Q56 Q63:Q66 Q118:Q128 R129:R130 R142 R145:R146 R169 R185:R186">
      <formula1>'1.ОС Загальний список'!$AL$23:$AL$40</formula1>
    </dataValidation>
    <dataValidation type="list" allowBlank="1" showErrorMessage="1" sqref="AC131:AC134 AC143:AC144 AC148:AC168 AC170:AC184">
      <formula1>$AL$2:$AL$34</formula1>
    </dataValidation>
    <dataValidation type="list" allowBlank="1" showErrorMessage="1" sqref="U2 T45:T62 T67:T116 U117:U128 V130:V186 X187:X316 X318:X319 X321 X323:X333 X335:X390 X392:X409 X1136 X1186 X1528">
      <formula1>'1.ОС Загальний список'!$AN$2:$AN$4</formula1>
    </dataValidation>
    <dataValidation type="list" allowBlank="1" showErrorMessage="1" sqref="AE317:AE346">
      <formula1>$AM$2:$AM$39</formula1>
    </dataValidation>
    <dataValidation type="list" allowBlank="1" showErrorMessage="1" sqref="AB410:AB633 AB635:AB714 AB716 AB721:AB726 AB813:AB841 AB843:AB970 AB972:AB996 AB998:AB1011 AB1013:AB1031 AB1033:AB1083 AB1085:AB1090 AB1092:AB1105 AB1108:AB1120 AB1122:AB1126 AB1127:AC1127 AB1128:AB1135 AB1137:AB1141 AB1143:AB1271 AB1273:AB1296 AB1298:AB1301 AB1304:AB1314 AB1317:AB1385 AB1387:AB1417 AB1419:AB1448 AB1450:AB1511 AB1513:AB1527 AB1529:AB1534 AB1536:AB1538 AB1541:AB1549 AB1551:AB1564 AB1566:AB1614 AB1616:AB1625">
      <formula1>'1.ОС Загальний список'!$AP$2:$AP$4</formula1>
    </dataValidation>
    <dataValidation type="list" allowBlank="1" showErrorMessage="1" sqref="Q57:Q60 Q68 Q72">
      <formula1>$AG$23:$AG$33</formula1>
    </dataValidation>
    <dataValidation type="list" allowBlank="1" showErrorMessage="1" sqref="Z3:Z27">
      <formula1>$AH$4:$AH$33</formula1>
    </dataValidation>
    <dataValidation type="list" allowBlank="1" showErrorMessage="1" sqref="AA69:AA70 AB118:AB128 AC129:AC130 AC135:AC142 AC145:AC147 AC169 AC185:AC186 AE220:AE234 AE254:AE267 AE278:AE279 AE282 AE285 AE294:AE297 AE303 AE306:AE310 AE313:AE316 AE347:AE349 AE358 AE407">
      <formula1>'1.ОС Загальний список'!$AO$2:$AO$41</formula1>
    </dataValidation>
    <dataValidation type="list" allowBlank="1" showErrorMessage="1" sqref="S2 S28:S53">
      <formula1>'1.ОС Загальний список'!$AM$2:$AM$15</formula1>
    </dataValidation>
    <dataValidation type="list" allowBlank="1" showErrorMessage="1" sqref="R132:R134 R143:R144 R148:R153 R155:R161 R163:R165 R167:R168 R170:R171 R173:R178 R182 R184">
      <formula1>$AI$23:$AI$33</formula1>
    </dataValidation>
    <dataValidation type="list" allowBlank="1" showErrorMessage="1" sqref="X410:X633 X635:X714 X716 X719 X721:X726 X813:X970 X972:X996 X998:X1031 X1033:X1052 W1053:X1053 X1054:X1106 X1108:X1120 X1122:X1135 X1137:X1185 X1187:X1271 X1273:X1302 X1304:X1385 X1387:X1417 X1419:X1448 X1450:X1485 X1487:X1511 X1513:X1527 X1529:X1564 X1566:X1600 X1602:X1625">
      <formula1>'1.ОС Загальний список'!$AN$2:$AN$4</formula1>
    </dataValidation>
    <dataValidation type="list" allowBlank="1" showErrorMessage="1" sqref="R2:R115 R116:S116 R117:R128 S129:S186 U129:U390 U392:U633 U635:U714 U716:U1031 U1033:U1106 U1108:U1120 U1122:U1271 U1273:U1302 U1304:U1385 U1387:U1417 U1419:U1511 U1513:U1625">
      <formula1>'1.ОС Загальний список'!$AL$2:$AL$13</formula1>
    </dataValidation>
    <dataValidation type="list" allowBlank="1" showErrorMessage="1" sqref="AA57:AA62 AA68">
      <formula1>$AJ$2:$AJ$32</formula1>
    </dataValidation>
    <dataValidation type="list" allowBlank="1" showErrorMessage="1" sqref="X1449">
      <formula1>#REF!</formula1>
    </dataValidation>
    <dataValidation type="list" allowBlank="1" showDropDown="1" showErrorMessage="1" sqref="G4:I4 G11:I14 G16:I19 I20 G24:I68 F69:H69 G70:I109 G111:I111 G113:I114 G116:I314 G316:I316 G317:H318 G319:I319 G320:H320 G321:I321 G322:H322 G323:I325 G326:H326 G327:I333 G334:H334 G335:I336 G337:H338 G339:I340 G341:H341 G342:I346 G350:I368 G391:I417 G419:I436 G438:I438 G440:I565 G567:I716 I717 G719:I810 G813:I864 E921 G867:I1027 G1028:L1028 G1029:I1104 G1105:H1105 G1106:I1106 G1108:I1286 G1287:H1287 G1288:I1417 G1419:I1426 G1427:H1427 G1428:I1509 G1510:H1510 G1511:I1511 G1513:I1625">
      <formula1>#REF!</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4.0"/>
    <col customWidth="1" min="4" max="4" width="33.88"/>
  </cols>
  <sheetData>
    <row r="1">
      <c r="A1" s="1" t="s">
        <v>0</v>
      </c>
      <c r="B1" s="2"/>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5" t="s">
        <v>21</v>
      </c>
      <c r="V1" s="8" t="s">
        <v>23</v>
      </c>
      <c r="W1" s="10" t="s">
        <v>26</v>
      </c>
    </row>
    <row r="2">
      <c r="A2" s="15">
        <v>1.0</v>
      </c>
      <c r="B2" s="18" t="s">
        <v>33</v>
      </c>
      <c r="C2" s="18" t="s">
        <v>36</v>
      </c>
      <c r="D2" s="18" t="s">
        <v>37</v>
      </c>
      <c r="E2" s="18" t="s">
        <v>38</v>
      </c>
      <c r="F2" s="18" t="s">
        <v>39</v>
      </c>
      <c r="G2" s="18" t="s">
        <v>40</v>
      </c>
      <c r="H2" s="23"/>
      <c r="I2" s="25"/>
      <c r="J2" s="28">
        <v>46113.0</v>
      </c>
      <c r="K2" s="28">
        <v>46142.0</v>
      </c>
      <c r="L2" s="32"/>
      <c r="M2" s="35"/>
      <c r="N2" s="36"/>
      <c r="O2" s="38">
        <v>30.0</v>
      </c>
      <c r="P2" s="36"/>
      <c r="Q2" s="38">
        <v>30.0</v>
      </c>
      <c r="R2" s="36"/>
      <c r="S2" s="38" t="s">
        <v>53</v>
      </c>
      <c r="T2" s="42"/>
      <c r="U2" s="38">
        <v>100000.0</v>
      </c>
      <c r="V2" s="46"/>
      <c r="W2" s="42"/>
    </row>
    <row r="3">
      <c r="A3" s="15">
        <v>2.0</v>
      </c>
      <c r="B3" s="18" t="s">
        <v>33</v>
      </c>
      <c r="C3" s="18" t="s">
        <v>62</v>
      </c>
      <c r="D3" s="18" t="s">
        <v>63</v>
      </c>
      <c r="E3" s="18" t="s">
        <v>65</v>
      </c>
      <c r="F3" s="18" t="s">
        <v>68</v>
      </c>
      <c r="G3" s="18" t="s">
        <v>69</v>
      </c>
      <c r="H3" s="51">
        <v>46113.0</v>
      </c>
      <c r="I3" s="51">
        <v>46129.0</v>
      </c>
      <c r="J3" s="28">
        <v>46130.0</v>
      </c>
      <c r="K3" s="28">
        <v>46142.0</v>
      </c>
      <c r="L3" s="32"/>
      <c r="M3" s="35"/>
      <c r="N3" s="38">
        <v>17.0</v>
      </c>
      <c r="O3" s="38">
        <v>13.0</v>
      </c>
      <c r="P3" s="36"/>
      <c r="Q3" s="38">
        <v>30.0</v>
      </c>
      <c r="R3" s="38" t="s">
        <v>74</v>
      </c>
      <c r="S3" s="38" t="s">
        <v>75</v>
      </c>
      <c r="T3" s="42"/>
      <c r="U3" s="38">
        <v>60333.33</v>
      </c>
      <c r="V3" s="46"/>
      <c r="W3" s="42"/>
    </row>
    <row r="4">
      <c r="A4" s="15">
        <v>3.0</v>
      </c>
      <c r="B4" s="18" t="s">
        <v>33</v>
      </c>
      <c r="C4" s="18" t="s">
        <v>36</v>
      </c>
      <c r="D4" s="18" t="s">
        <v>78</v>
      </c>
      <c r="E4" s="18" t="s">
        <v>79</v>
      </c>
      <c r="F4" s="18" t="s">
        <v>81</v>
      </c>
      <c r="G4" s="18" t="s">
        <v>82</v>
      </c>
      <c r="H4" s="51">
        <v>46113.0</v>
      </c>
      <c r="I4" s="51">
        <v>46137.0</v>
      </c>
      <c r="J4" s="28">
        <v>46138.0</v>
      </c>
      <c r="K4" s="28">
        <v>46142.0</v>
      </c>
      <c r="L4" s="32"/>
      <c r="M4" s="35"/>
      <c r="N4" s="38">
        <v>25.0</v>
      </c>
      <c r="O4" s="38">
        <v>5.0</v>
      </c>
      <c r="P4" s="36"/>
      <c r="Q4" s="38">
        <v>30.0</v>
      </c>
      <c r="R4" s="38" t="s">
        <v>83</v>
      </c>
      <c r="S4" s="38" t="s">
        <v>84</v>
      </c>
      <c r="T4" s="42"/>
      <c r="U4" s="38">
        <v>41666.67</v>
      </c>
      <c r="V4" s="46"/>
      <c r="W4" s="42"/>
    </row>
    <row r="5">
      <c r="A5" s="15">
        <v>4.0</v>
      </c>
      <c r="B5" s="18" t="s">
        <v>33</v>
      </c>
      <c r="C5" s="18" t="s">
        <v>62</v>
      </c>
      <c r="D5" s="18" t="s">
        <v>87</v>
      </c>
      <c r="E5" s="18" t="s">
        <v>88</v>
      </c>
      <c r="F5" s="18" t="s">
        <v>89</v>
      </c>
      <c r="G5" s="18" t="s">
        <v>90</v>
      </c>
      <c r="H5" s="51">
        <v>46113.0</v>
      </c>
      <c r="I5" s="51">
        <v>46129.0</v>
      </c>
      <c r="J5" s="28">
        <v>46130.0</v>
      </c>
      <c r="K5" s="28">
        <v>46142.0</v>
      </c>
      <c r="L5" s="32"/>
      <c r="M5" s="35"/>
      <c r="N5" s="38">
        <v>17.0</v>
      </c>
      <c r="O5" s="38">
        <v>13.0</v>
      </c>
      <c r="P5" s="36"/>
      <c r="Q5" s="38">
        <v>30.0</v>
      </c>
      <c r="R5" s="38" t="s">
        <v>74</v>
      </c>
      <c r="S5" s="38" t="s">
        <v>75</v>
      </c>
      <c r="T5" s="42"/>
      <c r="U5" s="38">
        <v>60333.33</v>
      </c>
      <c r="V5" s="46"/>
      <c r="W5" s="42"/>
    </row>
    <row r="6">
      <c r="A6" s="15">
        <v>5.0</v>
      </c>
      <c r="B6" s="18" t="s">
        <v>33</v>
      </c>
      <c r="C6" s="18" t="s">
        <v>96</v>
      </c>
      <c r="D6" s="18" t="s">
        <v>98</v>
      </c>
      <c r="E6" s="18" t="s">
        <v>99</v>
      </c>
      <c r="F6" s="18" t="s">
        <v>100</v>
      </c>
      <c r="G6" s="18" t="s">
        <v>101</v>
      </c>
      <c r="H6" s="51">
        <v>46113.0</v>
      </c>
      <c r="I6" s="51">
        <v>46129.0</v>
      </c>
      <c r="J6" s="28">
        <v>46130.0</v>
      </c>
      <c r="K6" s="28">
        <v>46142.0</v>
      </c>
      <c r="L6" s="32"/>
      <c r="M6" s="35"/>
      <c r="N6" s="38">
        <v>17.0</v>
      </c>
      <c r="O6" s="38">
        <v>13.0</v>
      </c>
      <c r="P6" s="36"/>
      <c r="Q6" s="38">
        <v>30.0</v>
      </c>
      <c r="R6" s="38" t="s">
        <v>74</v>
      </c>
      <c r="S6" s="38" t="s">
        <v>75</v>
      </c>
      <c r="T6" s="42"/>
      <c r="U6" s="38">
        <v>60333.33</v>
      </c>
      <c r="V6" s="46"/>
      <c r="W6" s="42"/>
    </row>
    <row r="7">
      <c r="A7" s="15">
        <v>6.0</v>
      </c>
      <c r="B7" s="18" t="s">
        <v>33</v>
      </c>
      <c r="C7" s="18" t="s">
        <v>102</v>
      </c>
      <c r="D7" s="18" t="s">
        <v>103</v>
      </c>
      <c r="E7" s="18" t="s">
        <v>104</v>
      </c>
      <c r="F7" s="18" t="s">
        <v>106</v>
      </c>
      <c r="G7" s="18" t="s">
        <v>108</v>
      </c>
      <c r="H7" s="51">
        <v>46113.0</v>
      </c>
      <c r="I7" s="51">
        <v>46129.0</v>
      </c>
      <c r="J7" s="28">
        <v>46130.0</v>
      </c>
      <c r="K7" s="28">
        <v>46142.0</v>
      </c>
      <c r="L7" s="32"/>
      <c r="M7" s="35"/>
      <c r="N7" s="38">
        <v>17.0</v>
      </c>
      <c r="O7" s="38">
        <v>13.0</v>
      </c>
      <c r="P7" s="36"/>
      <c r="Q7" s="38">
        <v>30.0</v>
      </c>
      <c r="R7" s="38" t="s">
        <v>74</v>
      </c>
      <c r="S7" s="38" t="s">
        <v>75</v>
      </c>
      <c r="T7" s="42"/>
      <c r="U7" s="38">
        <v>60333.33</v>
      </c>
      <c r="V7" s="46"/>
      <c r="W7" s="42"/>
    </row>
    <row r="8">
      <c r="A8" s="15">
        <v>7.0</v>
      </c>
      <c r="B8" s="18" t="s">
        <v>33</v>
      </c>
      <c r="C8" s="18" t="s">
        <v>36</v>
      </c>
      <c r="D8" s="18" t="s">
        <v>111</v>
      </c>
      <c r="E8" s="18" t="s">
        <v>112</v>
      </c>
      <c r="F8" s="18" t="s">
        <v>81</v>
      </c>
      <c r="G8" s="18" t="s">
        <v>113</v>
      </c>
      <c r="H8" s="51">
        <v>46113.0</v>
      </c>
      <c r="I8" s="51">
        <v>46129.0</v>
      </c>
      <c r="J8" s="28">
        <v>46130.0</v>
      </c>
      <c r="K8" s="28">
        <v>46142.0</v>
      </c>
      <c r="L8" s="32"/>
      <c r="M8" s="35"/>
      <c r="N8" s="38">
        <v>17.0</v>
      </c>
      <c r="O8" s="38">
        <v>13.0</v>
      </c>
      <c r="P8" s="36"/>
      <c r="Q8" s="38">
        <v>30.0</v>
      </c>
      <c r="R8" s="38" t="s">
        <v>74</v>
      </c>
      <c r="S8" s="38" t="s">
        <v>75</v>
      </c>
      <c r="T8" s="42"/>
      <c r="U8" s="38">
        <v>60333.33</v>
      </c>
      <c r="V8" s="46"/>
      <c r="W8" s="42"/>
    </row>
    <row r="9">
      <c r="A9" s="15">
        <v>8.0</v>
      </c>
      <c r="B9" s="18" t="s">
        <v>33</v>
      </c>
      <c r="C9" s="18" t="s">
        <v>102</v>
      </c>
      <c r="D9" s="18" t="s">
        <v>117</v>
      </c>
      <c r="E9" s="18" t="s">
        <v>118</v>
      </c>
      <c r="F9" s="18" t="s">
        <v>119</v>
      </c>
      <c r="G9" s="18" t="s">
        <v>120</v>
      </c>
      <c r="H9" s="23"/>
      <c r="I9" s="25"/>
      <c r="J9" s="28">
        <v>46113.0</v>
      </c>
      <c r="K9" s="28">
        <v>46142.0</v>
      </c>
      <c r="L9" s="32"/>
      <c r="M9" s="35"/>
      <c r="N9" s="36"/>
      <c r="O9" s="38">
        <v>30.0</v>
      </c>
      <c r="P9" s="36"/>
      <c r="Q9" s="38">
        <v>30.0</v>
      </c>
      <c r="R9" s="36"/>
      <c r="S9" s="38" t="s">
        <v>53</v>
      </c>
      <c r="T9" s="42"/>
      <c r="U9" s="38">
        <v>100000.0</v>
      </c>
      <c r="V9" s="79" t="s">
        <v>125</v>
      </c>
      <c r="W9" s="42"/>
    </row>
    <row r="10">
      <c r="A10" s="15">
        <v>9.0</v>
      </c>
      <c r="B10" s="18" t="s">
        <v>33</v>
      </c>
      <c r="C10" s="18" t="s">
        <v>102</v>
      </c>
      <c r="D10" s="18" t="s">
        <v>127</v>
      </c>
      <c r="E10" s="18" t="s">
        <v>128</v>
      </c>
      <c r="F10" s="18" t="s">
        <v>119</v>
      </c>
      <c r="G10" s="18" t="s">
        <v>130</v>
      </c>
      <c r="H10" s="23"/>
      <c r="I10" s="25"/>
      <c r="J10" s="28">
        <v>46113.0</v>
      </c>
      <c r="K10" s="28">
        <v>46142.0</v>
      </c>
      <c r="L10" s="32"/>
      <c r="M10" s="35"/>
      <c r="N10" s="36"/>
      <c r="O10" s="38">
        <v>30.0</v>
      </c>
      <c r="P10" s="36"/>
      <c r="Q10" s="38">
        <v>30.0</v>
      </c>
      <c r="R10" s="36"/>
      <c r="S10" s="38" t="s">
        <v>53</v>
      </c>
      <c r="T10" s="42"/>
      <c r="U10" s="38">
        <v>100000.0</v>
      </c>
      <c r="V10" s="79" t="s">
        <v>125</v>
      </c>
      <c r="W10" s="42"/>
    </row>
    <row r="11">
      <c r="A11" s="15">
        <v>10.0</v>
      </c>
      <c r="B11" s="18" t="s">
        <v>33</v>
      </c>
      <c r="C11" s="18" t="s">
        <v>60</v>
      </c>
      <c r="D11" s="18" t="s">
        <v>137</v>
      </c>
      <c r="E11" s="18" t="s">
        <v>138</v>
      </c>
      <c r="F11" s="18" t="s">
        <v>119</v>
      </c>
      <c r="G11" s="18" t="s">
        <v>141</v>
      </c>
      <c r="H11" s="23"/>
      <c r="I11" s="25"/>
      <c r="J11" s="28">
        <v>46113.0</v>
      </c>
      <c r="K11" s="28">
        <v>46142.0</v>
      </c>
      <c r="L11" s="32"/>
      <c r="M11" s="35"/>
      <c r="N11" s="36"/>
      <c r="O11" s="38">
        <v>30.0</v>
      </c>
      <c r="P11" s="36"/>
      <c r="Q11" s="38">
        <v>30.0</v>
      </c>
      <c r="R11" s="36"/>
      <c r="S11" s="38" t="s">
        <v>53</v>
      </c>
      <c r="T11" s="42"/>
      <c r="U11" s="38">
        <v>100000.0</v>
      </c>
      <c r="V11" s="79" t="s">
        <v>125</v>
      </c>
      <c r="W11" s="42"/>
    </row>
    <row r="12">
      <c r="A12" s="15">
        <v>11.0</v>
      </c>
      <c r="B12" s="18" t="s">
        <v>33</v>
      </c>
      <c r="C12" s="18" t="s">
        <v>60</v>
      </c>
      <c r="D12" s="18" t="s">
        <v>149</v>
      </c>
      <c r="E12" s="18" t="s">
        <v>151</v>
      </c>
      <c r="F12" s="18" t="s">
        <v>152</v>
      </c>
      <c r="G12" s="18" t="s">
        <v>153</v>
      </c>
      <c r="H12" s="51">
        <v>46113.0</v>
      </c>
      <c r="I12" s="51">
        <v>46121.0</v>
      </c>
      <c r="J12" s="28">
        <v>46122.0</v>
      </c>
      <c r="K12" s="28">
        <v>46142.0</v>
      </c>
      <c r="L12" s="32"/>
      <c r="M12" s="35"/>
      <c r="N12" s="38">
        <v>9.0</v>
      </c>
      <c r="O12" s="38">
        <v>21.0</v>
      </c>
      <c r="P12" s="36"/>
      <c r="Q12" s="38">
        <v>30.0</v>
      </c>
      <c r="R12" s="38" t="s">
        <v>156</v>
      </c>
      <c r="S12" s="38" t="s">
        <v>157</v>
      </c>
      <c r="T12" s="42"/>
      <c r="U12" s="38">
        <v>79000.0</v>
      </c>
      <c r="V12" s="46"/>
      <c r="W12" s="42"/>
    </row>
    <row r="13">
      <c r="A13" s="15">
        <v>12.0</v>
      </c>
      <c r="B13" s="18" t="s">
        <v>33</v>
      </c>
      <c r="C13" s="18" t="s">
        <v>102</v>
      </c>
      <c r="D13" s="18" t="s">
        <v>160</v>
      </c>
      <c r="E13" s="18" t="s">
        <v>161</v>
      </c>
      <c r="F13" s="18" t="s">
        <v>163</v>
      </c>
      <c r="G13" s="18" t="s">
        <v>164</v>
      </c>
      <c r="H13" s="51">
        <v>46113.0</v>
      </c>
      <c r="I13" s="51">
        <v>46121.0</v>
      </c>
      <c r="J13" s="28">
        <v>46122.0</v>
      </c>
      <c r="K13" s="28">
        <v>46142.0</v>
      </c>
      <c r="L13" s="32"/>
      <c r="M13" s="35"/>
      <c r="N13" s="38">
        <v>9.0</v>
      </c>
      <c r="O13" s="38">
        <v>21.0</v>
      </c>
      <c r="P13" s="36"/>
      <c r="Q13" s="38">
        <v>30.0</v>
      </c>
      <c r="R13" s="38" t="s">
        <v>156</v>
      </c>
      <c r="S13" s="38" t="s">
        <v>157</v>
      </c>
      <c r="T13" s="42"/>
      <c r="U13" s="38">
        <v>79000.0</v>
      </c>
      <c r="V13" s="46"/>
      <c r="W13" s="42"/>
    </row>
    <row r="14">
      <c r="A14" s="15">
        <v>13.0</v>
      </c>
      <c r="B14" s="18" t="s">
        <v>33</v>
      </c>
      <c r="C14" s="18" t="s">
        <v>102</v>
      </c>
      <c r="D14" s="18" t="s">
        <v>168</v>
      </c>
      <c r="E14" s="18" t="s">
        <v>169</v>
      </c>
      <c r="F14" s="18" t="s">
        <v>170</v>
      </c>
      <c r="G14" s="18" t="s">
        <v>171</v>
      </c>
      <c r="H14" s="23"/>
      <c r="I14" s="25"/>
      <c r="J14" s="28">
        <v>46113.0</v>
      </c>
      <c r="K14" s="28">
        <v>46142.0</v>
      </c>
      <c r="L14" s="32"/>
      <c r="M14" s="35"/>
      <c r="N14" s="36"/>
      <c r="O14" s="38">
        <v>30.0</v>
      </c>
      <c r="P14" s="36"/>
      <c r="Q14" s="38">
        <v>30.0</v>
      </c>
      <c r="R14" s="36"/>
      <c r="S14" s="38" t="s">
        <v>53</v>
      </c>
      <c r="T14" s="42"/>
      <c r="U14" s="38">
        <v>100000.0</v>
      </c>
      <c r="V14" s="46"/>
      <c r="W14" s="42"/>
    </row>
    <row r="15">
      <c r="A15" s="15">
        <v>14.0</v>
      </c>
      <c r="B15" s="18" t="s">
        <v>33</v>
      </c>
      <c r="C15" s="18" t="s">
        <v>102</v>
      </c>
      <c r="D15" s="18" t="s">
        <v>176</v>
      </c>
      <c r="E15" s="18" t="s">
        <v>177</v>
      </c>
      <c r="F15" s="18" t="s">
        <v>178</v>
      </c>
      <c r="G15" s="18" t="s">
        <v>181</v>
      </c>
      <c r="H15" s="23"/>
      <c r="I15" s="25"/>
      <c r="J15" s="28">
        <v>46113.0</v>
      </c>
      <c r="K15" s="28">
        <v>46142.0</v>
      </c>
      <c r="L15" s="32"/>
      <c r="M15" s="35"/>
      <c r="N15" s="36"/>
      <c r="O15" s="38">
        <v>30.0</v>
      </c>
      <c r="P15" s="36"/>
      <c r="Q15" s="38">
        <v>30.0</v>
      </c>
      <c r="R15" s="36"/>
      <c r="S15" s="38" t="s">
        <v>53</v>
      </c>
      <c r="T15" s="42"/>
      <c r="U15" s="38">
        <v>100000.0</v>
      </c>
      <c r="V15" s="46"/>
      <c r="W15" s="42"/>
    </row>
    <row r="16">
      <c r="A16" s="15">
        <v>15.0</v>
      </c>
      <c r="B16" s="18" t="s">
        <v>33</v>
      </c>
      <c r="C16" s="18" t="s">
        <v>60</v>
      </c>
      <c r="D16" s="18" t="s">
        <v>189</v>
      </c>
      <c r="E16" s="18" t="s">
        <v>190</v>
      </c>
      <c r="F16" s="18" t="s">
        <v>194</v>
      </c>
      <c r="G16" s="18" t="s">
        <v>195</v>
      </c>
      <c r="H16" s="23"/>
      <c r="I16" s="25"/>
      <c r="J16" s="28">
        <v>46113.0</v>
      </c>
      <c r="K16" s="28">
        <v>46142.0</v>
      </c>
      <c r="L16" s="32"/>
      <c r="M16" s="35"/>
      <c r="N16" s="36"/>
      <c r="O16" s="38">
        <v>30.0</v>
      </c>
      <c r="P16" s="36"/>
      <c r="Q16" s="38">
        <v>30.0</v>
      </c>
      <c r="R16" s="36"/>
      <c r="S16" s="38" t="s">
        <v>53</v>
      </c>
      <c r="T16" s="42"/>
      <c r="U16" s="38">
        <v>100000.0</v>
      </c>
      <c r="V16" s="79" t="s">
        <v>125</v>
      </c>
      <c r="W16" s="42"/>
    </row>
    <row r="17">
      <c r="A17" s="15">
        <v>16.0</v>
      </c>
      <c r="B17" s="18" t="s">
        <v>33</v>
      </c>
      <c r="C17" s="18" t="s">
        <v>60</v>
      </c>
      <c r="D17" s="18" t="s">
        <v>204</v>
      </c>
      <c r="E17" s="18" t="s">
        <v>205</v>
      </c>
      <c r="F17" s="18" t="s">
        <v>178</v>
      </c>
      <c r="G17" s="18" t="s">
        <v>206</v>
      </c>
      <c r="H17" s="23"/>
      <c r="I17" s="25"/>
      <c r="J17" s="28">
        <v>46113.0</v>
      </c>
      <c r="K17" s="28">
        <v>46142.0</v>
      </c>
      <c r="L17" s="32"/>
      <c r="M17" s="35"/>
      <c r="N17" s="36"/>
      <c r="O17" s="38">
        <v>30.0</v>
      </c>
      <c r="P17" s="36"/>
      <c r="Q17" s="38">
        <v>30.0</v>
      </c>
      <c r="R17" s="36"/>
      <c r="S17" s="38" t="s">
        <v>53</v>
      </c>
      <c r="T17" s="42"/>
      <c r="U17" s="38">
        <v>100000.0</v>
      </c>
      <c r="V17" s="79" t="s">
        <v>125</v>
      </c>
      <c r="W17" s="42"/>
    </row>
    <row r="18">
      <c r="A18" s="15">
        <v>17.0</v>
      </c>
      <c r="B18" s="18" t="s">
        <v>33</v>
      </c>
      <c r="C18" s="18" t="s">
        <v>60</v>
      </c>
      <c r="D18" s="18" t="s">
        <v>210</v>
      </c>
      <c r="E18" s="18" t="s">
        <v>211</v>
      </c>
      <c r="F18" s="18" t="s">
        <v>212</v>
      </c>
      <c r="G18" s="18" t="s">
        <v>214</v>
      </c>
      <c r="H18" s="51">
        <v>46113.0</v>
      </c>
      <c r="I18" s="51">
        <v>46125.0</v>
      </c>
      <c r="J18" s="28">
        <v>46126.0</v>
      </c>
      <c r="K18" s="28">
        <v>46142.0</v>
      </c>
      <c r="L18" s="32"/>
      <c r="M18" s="35"/>
      <c r="N18" s="38">
        <v>13.0</v>
      </c>
      <c r="O18" s="38">
        <v>17.0</v>
      </c>
      <c r="P18" s="36"/>
      <c r="Q18" s="38">
        <v>30.0</v>
      </c>
      <c r="R18" s="38" t="s">
        <v>217</v>
      </c>
      <c r="S18" s="38" t="s">
        <v>218</v>
      </c>
      <c r="T18" s="42"/>
      <c r="U18" s="38">
        <v>69666.67</v>
      </c>
      <c r="V18" s="46"/>
      <c r="W18" s="42"/>
    </row>
    <row r="19">
      <c r="A19" s="15">
        <v>18.0</v>
      </c>
      <c r="B19" s="18" t="s">
        <v>33</v>
      </c>
      <c r="C19" s="18" t="s">
        <v>60</v>
      </c>
      <c r="D19" s="18" t="s">
        <v>222</v>
      </c>
      <c r="E19" s="18" t="s">
        <v>223</v>
      </c>
      <c r="F19" s="18" t="s">
        <v>119</v>
      </c>
      <c r="G19" s="18" t="s">
        <v>224</v>
      </c>
      <c r="H19" s="23"/>
      <c r="I19" s="25"/>
      <c r="J19" s="28">
        <v>46113.0</v>
      </c>
      <c r="K19" s="28">
        <v>46142.0</v>
      </c>
      <c r="L19" s="32"/>
      <c r="M19" s="35"/>
      <c r="N19" s="36"/>
      <c r="O19" s="38">
        <v>30.0</v>
      </c>
      <c r="P19" s="36"/>
      <c r="Q19" s="38">
        <v>30.0</v>
      </c>
      <c r="R19" s="36"/>
      <c r="S19" s="38" t="s">
        <v>53</v>
      </c>
      <c r="T19" s="42"/>
      <c r="U19" s="38">
        <v>100000.0</v>
      </c>
      <c r="V19" s="79" t="s">
        <v>125</v>
      </c>
      <c r="W19" s="42"/>
    </row>
    <row r="20">
      <c r="A20" s="15">
        <v>19.0</v>
      </c>
      <c r="B20" s="18" t="s">
        <v>33</v>
      </c>
      <c r="C20" s="18" t="s">
        <v>102</v>
      </c>
      <c r="D20" s="18" t="s">
        <v>232</v>
      </c>
      <c r="E20" s="18" t="s">
        <v>233</v>
      </c>
      <c r="F20" s="18" t="s">
        <v>119</v>
      </c>
      <c r="G20" s="18" t="s">
        <v>236</v>
      </c>
      <c r="H20" s="23"/>
      <c r="I20" s="25"/>
      <c r="J20" s="28">
        <v>46113.0</v>
      </c>
      <c r="K20" s="28">
        <v>46142.0</v>
      </c>
      <c r="L20" s="32"/>
      <c r="M20" s="35"/>
      <c r="N20" s="36"/>
      <c r="O20" s="38">
        <v>30.0</v>
      </c>
      <c r="P20" s="36"/>
      <c r="Q20" s="38">
        <v>30.0</v>
      </c>
      <c r="R20" s="36"/>
      <c r="S20" s="38" t="s">
        <v>53</v>
      </c>
      <c r="T20" s="42"/>
      <c r="U20" s="38">
        <v>100000.0</v>
      </c>
      <c r="V20" s="46"/>
      <c r="W20" s="42"/>
    </row>
    <row r="21">
      <c r="A21" s="15">
        <v>20.0</v>
      </c>
      <c r="B21" s="18" t="s">
        <v>33</v>
      </c>
      <c r="C21" s="18" t="s">
        <v>102</v>
      </c>
      <c r="D21" s="18" t="s">
        <v>240</v>
      </c>
      <c r="E21" s="18" t="s">
        <v>241</v>
      </c>
      <c r="F21" s="18" t="s">
        <v>178</v>
      </c>
      <c r="G21" s="18" t="s">
        <v>243</v>
      </c>
      <c r="H21" s="23"/>
      <c r="I21" s="25"/>
      <c r="J21" s="28">
        <v>46113.0</v>
      </c>
      <c r="K21" s="28">
        <v>46142.0</v>
      </c>
      <c r="L21" s="32"/>
      <c r="M21" s="35"/>
      <c r="N21" s="36"/>
      <c r="O21" s="38">
        <v>30.0</v>
      </c>
      <c r="P21" s="36"/>
      <c r="Q21" s="38">
        <v>30.0</v>
      </c>
      <c r="R21" s="36"/>
      <c r="S21" s="38" t="s">
        <v>53</v>
      </c>
      <c r="T21" s="42"/>
      <c r="U21" s="38">
        <v>100000.0</v>
      </c>
      <c r="V21" s="79" t="s">
        <v>125</v>
      </c>
      <c r="W21" s="42"/>
    </row>
    <row r="22">
      <c r="A22" s="15">
        <v>21.0</v>
      </c>
      <c r="B22" s="18" t="s">
        <v>33</v>
      </c>
      <c r="C22" s="18" t="s">
        <v>60</v>
      </c>
      <c r="D22" s="18" t="s">
        <v>246</v>
      </c>
      <c r="E22" s="18" t="s">
        <v>247</v>
      </c>
      <c r="F22" s="18" t="s">
        <v>249</v>
      </c>
      <c r="G22" s="18" t="s">
        <v>250</v>
      </c>
      <c r="H22" s="23"/>
      <c r="I22" s="25"/>
      <c r="J22" s="28">
        <v>46113.0</v>
      </c>
      <c r="K22" s="28">
        <v>46142.0</v>
      </c>
      <c r="L22" s="32"/>
      <c r="M22" s="35"/>
      <c r="N22" s="36"/>
      <c r="O22" s="38">
        <v>30.0</v>
      </c>
      <c r="P22" s="36"/>
      <c r="Q22" s="38">
        <v>30.0</v>
      </c>
      <c r="R22" s="36"/>
      <c r="S22" s="38" t="s">
        <v>53</v>
      </c>
      <c r="T22" s="42"/>
      <c r="U22" s="38">
        <v>100000.0</v>
      </c>
      <c r="V22" s="46"/>
      <c r="W22" s="42"/>
    </row>
    <row r="23">
      <c r="A23" s="15">
        <v>22.0</v>
      </c>
      <c r="B23" s="18" t="s">
        <v>33</v>
      </c>
      <c r="C23" s="18" t="s">
        <v>60</v>
      </c>
      <c r="D23" s="18" t="s">
        <v>254</v>
      </c>
      <c r="E23" s="18" t="s">
        <v>255</v>
      </c>
      <c r="F23" s="18" t="s">
        <v>119</v>
      </c>
      <c r="G23" s="18" t="s">
        <v>256</v>
      </c>
      <c r="H23" s="23"/>
      <c r="I23" s="25"/>
      <c r="J23" s="28">
        <v>46113.0</v>
      </c>
      <c r="K23" s="28">
        <v>46142.0</v>
      </c>
      <c r="L23" s="32"/>
      <c r="M23" s="35"/>
      <c r="N23" s="36"/>
      <c r="O23" s="38">
        <v>30.0</v>
      </c>
      <c r="P23" s="36"/>
      <c r="Q23" s="38">
        <v>30.0</v>
      </c>
      <c r="R23" s="36"/>
      <c r="S23" s="38" t="s">
        <v>53</v>
      </c>
      <c r="T23" s="42"/>
      <c r="U23" s="38">
        <v>100000.0</v>
      </c>
      <c r="V23" s="46"/>
      <c r="W23" s="42"/>
    </row>
    <row r="24">
      <c r="A24" s="15">
        <v>23.0</v>
      </c>
      <c r="B24" s="18" t="s">
        <v>33</v>
      </c>
      <c r="C24" s="18" t="s">
        <v>143</v>
      </c>
      <c r="D24" s="18" t="s">
        <v>263</v>
      </c>
      <c r="E24" s="18" t="s">
        <v>265</v>
      </c>
      <c r="F24" s="18" t="s">
        <v>267</v>
      </c>
      <c r="G24" s="18" t="s">
        <v>270</v>
      </c>
      <c r="H24" s="23"/>
      <c r="I24" s="25"/>
      <c r="J24" s="28">
        <v>46113.0</v>
      </c>
      <c r="K24" s="28">
        <v>46142.0</v>
      </c>
      <c r="L24" s="32"/>
      <c r="M24" s="35"/>
      <c r="N24" s="36"/>
      <c r="O24" s="38">
        <v>30.0</v>
      </c>
      <c r="P24" s="36"/>
      <c r="Q24" s="38">
        <v>30.0</v>
      </c>
      <c r="R24" s="36"/>
      <c r="S24" s="38" t="s">
        <v>53</v>
      </c>
      <c r="T24" s="42"/>
      <c r="U24" s="38">
        <v>100000.0</v>
      </c>
      <c r="V24" s="46"/>
      <c r="W24" s="42"/>
    </row>
    <row r="25">
      <c r="A25" s="15">
        <v>24.0</v>
      </c>
      <c r="B25" s="18" t="s">
        <v>33</v>
      </c>
      <c r="C25" s="18" t="s">
        <v>102</v>
      </c>
      <c r="D25" s="18" t="s">
        <v>277</v>
      </c>
      <c r="E25" s="18" t="s">
        <v>279</v>
      </c>
      <c r="F25" s="18" t="s">
        <v>119</v>
      </c>
      <c r="G25" s="18" t="s">
        <v>281</v>
      </c>
      <c r="H25" s="23"/>
      <c r="I25" s="25"/>
      <c r="J25" s="28">
        <v>46113.0</v>
      </c>
      <c r="K25" s="28">
        <v>46142.0</v>
      </c>
      <c r="L25" s="32"/>
      <c r="M25" s="35"/>
      <c r="N25" s="36"/>
      <c r="O25" s="38">
        <v>30.0</v>
      </c>
      <c r="P25" s="36"/>
      <c r="Q25" s="38">
        <v>30.0</v>
      </c>
      <c r="R25" s="36"/>
      <c r="S25" s="38" t="s">
        <v>53</v>
      </c>
      <c r="T25" s="42"/>
      <c r="U25" s="38">
        <v>100000.0</v>
      </c>
      <c r="V25" s="46"/>
      <c r="W25" s="42"/>
    </row>
    <row r="26">
      <c r="A26" s="15">
        <v>25.0</v>
      </c>
      <c r="B26" s="18" t="s">
        <v>33</v>
      </c>
      <c r="C26" s="18" t="s">
        <v>60</v>
      </c>
      <c r="D26" s="18" t="s">
        <v>285</v>
      </c>
      <c r="E26" s="18" t="s">
        <v>286</v>
      </c>
      <c r="F26" s="18" t="s">
        <v>287</v>
      </c>
      <c r="G26" s="18" t="s">
        <v>288</v>
      </c>
      <c r="H26" s="23"/>
      <c r="I26" s="25"/>
      <c r="J26" s="28">
        <v>46113.0</v>
      </c>
      <c r="K26" s="28">
        <v>46142.0</v>
      </c>
      <c r="L26" s="32"/>
      <c r="M26" s="35"/>
      <c r="N26" s="36"/>
      <c r="O26" s="38">
        <v>30.0</v>
      </c>
      <c r="P26" s="36"/>
      <c r="Q26" s="38">
        <v>30.0</v>
      </c>
      <c r="R26" s="36"/>
      <c r="S26" s="38" t="s">
        <v>53</v>
      </c>
      <c r="T26" s="42"/>
      <c r="U26" s="38">
        <v>100000.0</v>
      </c>
      <c r="V26" s="46"/>
      <c r="W26" s="42"/>
    </row>
    <row r="27">
      <c r="A27" s="15">
        <v>26.0</v>
      </c>
      <c r="B27" s="18" t="s">
        <v>33</v>
      </c>
      <c r="C27" s="18" t="s">
        <v>60</v>
      </c>
      <c r="D27" s="18" t="s">
        <v>293</v>
      </c>
      <c r="E27" s="18" t="s">
        <v>294</v>
      </c>
      <c r="F27" s="18" t="s">
        <v>295</v>
      </c>
      <c r="G27" s="18" t="s">
        <v>296</v>
      </c>
      <c r="H27" s="51">
        <v>46113.0</v>
      </c>
      <c r="I27" s="51">
        <v>46125.0</v>
      </c>
      <c r="J27" s="28">
        <v>46126.0</v>
      </c>
      <c r="K27" s="28">
        <v>46142.0</v>
      </c>
      <c r="L27" s="32"/>
      <c r="M27" s="35"/>
      <c r="N27" s="38">
        <v>13.0</v>
      </c>
      <c r="O27" s="38">
        <v>17.0</v>
      </c>
      <c r="P27" s="36"/>
      <c r="Q27" s="38">
        <v>30.0</v>
      </c>
      <c r="R27" s="38" t="s">
        <v>217</v>
      </c>
      <c r="S27" s="38" t="s">
        <v>218</v>
      </c>
      <c r="T27" s="42"/>
      <c r="U27" s="38">
        <v>69666.67</v>
      </c>
      <c r="V27" s="46"/>
      <c r="W27" s="42"/>
    </row>
    <row r="28">
      <c r="A28" s="15">
        <v>27.0</v>
      </c>
      <c r="B28" s="18" t="s">
        <v>33</v>
      </c>
      <c r="C28" s="18" t="s">
        <v>60</v>
      </c>
      <c r="D28" s="18" t="s">
        <v>300</v>
      </c>
      <c r="E28" s="18" t="s">
        <v>301</v>
      </c>
      <c r="F28" s="18" t="s">
        <v>302</v>
      </c>
      <c r="G28" s="18" t="s">
        <v>304</v>
      </c>
      <c r="H28" s="23"/>
      <c r="I28" s="25"/>
      <c r="J28" s="28">
        <v>46113.0</v>
      </c>
      <c r="K28" s="28">
        <v>46142.0</v>
      </c>
      <c r="L28" s="32"/>
      <c r="M28" s="35"/>
      <c r="N28" s="36"/>
      <c r="O28" s="38">
        <v>30.0</v>
      </c>
      <c r="P28" s="36"/>
      <c r="Q28" s="38">
        <v>30.0</v>
      </c>
      <c r="R28" s="36"/>
      <c r="S28" s="38" t="s">
        <v>53</v>
      </c>
      <c r="T28" s="42"/>
      <c r="U28" s="38">
        <v>100000.0</v>
      </c>
      <c r="V28" s="79" t="s">
        <v>125</v>
      </c>
      <c r="W28" s="42"/>
    </row>
    <row r="29">
      <c r="A29" s="15">
        <v>28.0</v>
      </c>
      <c r="B29" s="18" t="s">
        <v>33</v>
      </c>
      <c r="C29" s="18" t="s">
        <v>60</v>
      </c>
      <c r="D29" s="18" t="s">
        <v>309</v>
      </c>
      <c r="E29" s="18" t="s">
        <v>310</v>
      </c>
      <c r="F29" s="18" t="s">
        <v>187</v>
      </c>
      <c r="G29" s="18" t="s">
        <v>313</v>
      </c>
      <c r="H29" s="23"/>
      <c r="I29" s="25"/>
      <c r="J29" s="28">
        <v>46113.0</v>
      </c>
      <c r="K29" s="28">
        <v>46142.0</v>
      </c>
      <c r="L29" s="32"/>
      <c r="M29" s="35"/>
      <c r="N29" s="36"/>
      <c r="O29" s="38">
        <v>30.0</v>
      </c>
      <c r="P29" s="36"/>
      <c r="Q29" s="38">
        <v>30.0</v>
      </c>
      <c r="R29" s="36"/>
      <c r="S29" s="38" t="s">
        <v>53</v>
      </c>
      <c r="T29" s="42"/>
      <c r="U29" s="38">
        <v>100000.0</v>
      </c>
      <c r="V29" s="46"/>
      <c r="W29" s="42"/>
    </row>
    <row r="30">
      <c r="A30" s="15">
        <v>29.0</v>
      </c>
      <c r="B30" s="18" t="s">
        <v>33</v>
      </c>
      <c r="C30" s="18" t="s">
        <v>60</v>
      </c>
      <c r="D30" s="18" t="s">
        <v>318</v>
      </c>
      <c r="E30" s="18" t="s">
        <v>320</v>
      </c>
      <c r="F30" s="18" t="s">
        <v>321</v>
      </c>
      <c r="G30" s="18" t="s">
        <v>322</v>
      </c>
      <c r="H30" s="23"/>
      <c r="I30" s="25"/>
      <c r="J30" s="28">
        <v>46133.0</v>
      </c>
      <c r="K30" s="28">
        <v>46142.0</v>
      </c>
      <c r="L30" s="32"/>
      <c r="M30" s="35"/>
      <c r="N30" s="36"/>
      <c r="O30" s="38">
        <v>10.0</v>
      </c>
      <c r="P30" s="36"/>
      <c r="Q30" s="38">
        <v>10.0</v>
      </c>
      <c r="R30" s="36"/>
      <c r="S30" s="38" t="s">
        <v>324</v>
      </c>
      <c r="T30" s="42"/>
      <c r="U30" s="38">
        <v>33333.33</v>
      </c>
      <c r="V30" s="46"/>
      <c r="W30" s="42"/>
    </row>
    <row r="31">
      <c r="A31" s="15">
        <v>30.0</v>
      </c>
      <c r="B31" s="18" t="s">
        <v>33</v>
      </c>
      <c r="C31" s="18" t="s">
        <v>326</v>
      </c>
      <c r="D31" s="18" t="s">
        <v>328</v>
      </c>
      <c r="E31" s="18" t="s">
        <v>329</v>
      </c>
      <c r="F31" s="18" t="s">
        <v>58</v>
      </c>
      <c r="G31" s="18" t="s">
        <v>330</v>
      </c>
      <c r="H31" s="23"/>
      <c r="I31" s="25"/>
      <c r="J31" s="28">
        <v>46113.0</v>
      </c>
      <c r="K31" s="28">
        <v>46142.0</v>
      </c>
      <c r="L31" s="32"/>
      <c r="M31" s="35"/>
      <c r="N31" s="36"/>
      <c r="O31" s="38">
        <v>30.0</v>
      </c>
      <c r="P31" s="36"/>
      <c r="Q31" s="38">
        <v>30.0</v>
      </c>
      <c r="R31" s="36"/>
      <c r="S31" s="38" t="s">
        <v>53</v>
      </c>
      <c r="T31" s="42"/>
      <c r="U31" s="38">
        <v>100000.0</v>
      </c>
      <c r="V31" s="46"/>
      <c r="W31" s="42"/>
    </row>
    <row r="32">
      <c r="A32" s="15">
        <v>31.0</v>
      </c>
      <c r="B32" s="18" t="s">
        <v>33</v>
      </c>
      <c r="C32" s="18" t="s">
        <v>60</v>
      </c>
      <c r="D32" s="18" t="s">
        <v>333</v>
      </c>
      <c r="E32" s="18" t="s">
        <v>335</v>
      </c>
      <c r="F32" s="18" t="s">
        <v>139</v>
      </c>
      <c r="G32" s="18" t="s">
        <v>337</v>
      </c>
      <c r="H32" s="23"/>
      <c r="I32" s="25"/>
      <c r="J32" s="28">
        <v>46122.0</v>
      </c>
      <c r="K32" s="28">
        <v>46142.0</v>
      </c>
      <c r="L32" s="32"/>
      <c r="M32" s="35"/>
      <c r="N32" s="36"/>
      <c r="O32" s="38">
        <v>21.0</v>
      </c>
      <c r="P32" s="36"/>
      <c r="Q32" s="38">
        <v>21.0</v>
      </c>
      <c r="R32" s="36"/>
      <c r="S32" s="38" t="s">
        <v>157</v>
      </c>
      <c r="T32" s="42"/>
      <c r="U32" s="38">
        <v>70000.0</v>
      </c>
      <c r="V32" s="46"/>
      <c r="W32" s="42"/>
    </row>
    <row r="33">
      <c r="A33" s="15">
        <v>32.0</v>
      </c>
      <c r="B33" s="18" t="s">
        <v>33</v>
      </c>
      <c r="C33" s="18" t="s">
        <v>60</v>
      </c>
      <c r="D33" s="18" t="s">
        <v>342</v>
      </c>
      <c r="E33" s="18" t="s">
        <v>343</v>
      </c>
      <c r="F33" s="18" t="s">
        <v>321</v>
      </c>
      <c r="G33" s="18" t="s">
        <v>346</v>
      </c>
      <c r="H33" s="23"/>
      <c r="I33" s="25"/>
      <c r="J33" s="28">
        <v>46113.0</v>
      </c>
      <c r="K33" s="28">
        <v>46142.0</v>
      </c>
      <c r="L33" s="32"/>
      <c r="M33" s="35"/>
      <c r="N33" s="36"/>
      <c r="O33" s="38">
        <v>30.0</v>
      </c>
      <c r="P33" s="36"/>
      <c r="Q33" s="38">
        <v>30.0</v>
      </c>
      <c r="R33" s="36"/>
      <c r="S33" s="38" t="s">
        <v>53</v>
      </c>
      <c r="T33" s="42"/>
      <c r="U33" s="38">
        <v>100000.0</v>
      </c>
      <c r="V33" s="46"/>
      <c r="W33" s="42"/>
    </row>
    <row r="34">
      <c r="A34" s="15">
        <v>33.0</v>
      </c>
      <c r="B34" s="18" t="s">
        <v>33</v>
      </c>
      <c r="C34" s="18" t="s">
        <v>60</v>
      </c>
      <c r="D34" s="18" t="s">
        <v>355</v>
      </c>
      <c r="E34" s="18" t="s">
        <v>356</v>
      </c>
      <c r="F34" s="18" t="s">
        <v>201</v>
      </c>
      <c r="G34" s="18" t="s">
        <v>357</v>
      </c>
      <c r="H34" s="51">
        <v>46113.0</v>
      </c>
      <c r="I34" s="51">
        <v>46125.0</v>
      </c>
      <c r="J34" s="28">
        <v>46126.0</v>
      </c>
      <c r="K34" s="28">
        <v>46142.0</v>
      </c>
      <c r="L34" s="32"/>
      <c r="M34" s="35"/>
      <c r="N34" s="38">
        <v>13.0</v>
      </c>
      <c r="O34" s="38">
        <v>17.0</v>
      </c>
      <c r="P34" s="36"/>
      <c r="Q34" s="38">
        <v>30.0</v>
      </c>
      <c r="R34" s="38" t="s">
        <v>217</v>
      </c>
      <c r="S34" s="38" t="s">
        <v>218</v>
      </c>
      <c r="T34" s="42"/>
      <c r="U34" s="38">
        <v>69666.67</v>
      </c>
      <c r="V34" s="46"/>
      <c r="W34" s="42"/>
    </row>
    <row r="35">
      <c r="A35" s="15">
        <v>34.0</v>
      </c>
      <c r="B35" s="18" t="s">
        <v>33</v>
      </c>
      <c r="C35" s="18" t="s">
        <v>60</v>
      </c>
      <c r="D35" s="18" t="s">
        <v>366</v>
      </c>
      <c r="E35" s="18" t="s">
        <v>367</v>
      </c>
      <c r="F35" s="18" t="s">
        <v>58</v>
      </c>
      <c r="G35" s="18" t="s">
        <v>369</v>
      </c>
      <c r="H35" s="23"/>
      <c r="I35" s="25"/>
      <c r="J35" s="28">
        <v>46122.0</v>
      </c>
      <c r="K35" s="28">
        <v>46142.0</v>
      </c>
      <c r="L35" s="32"/>
      <c r="M35" s="35"/>
      <c r="N35" s="36"/>
      <c r="O35" s="38">
        <v>21.0</v>
      </c>
      <c r="P35" s="36"/>
      <c r="Q35" s="38">
        <v>21.0</v>
      </c>
      <c r="R35" s="36"/>
      <c r="S35" s="38" t="s">
        <v>157</v>
      </c>
      <c r="T35" s="42"/>
      <c r="U35" s="38">
        <v>70000.0</v>
      </c>
      <c r="V35" s="46"/>
      <c r="W35" s="42"/>
    </row>
    <row r="36">
      <c r="A36" s="15">
        <v>35.0</v>
      </c>
      <c r="B36" s="18" t="s">
        <v>33</v>
      </c>
      <c r="C36" s="18" t="s">
        <v>102</v>
      </c>
      <c r="D36" s="18" t="s">
        <v>373</v>
      </c>
      <c r="E36" s="18" t="s">
        <v>374</v>
      </c>
      <c r="F36" s="18" t="s">
        <v>178</v>
      </c>
      <c r="G36" s="18" t="s">
        <v>376</v>
      </c>
      <c r="H36" s="23"/>
      <c r="I36" s="25"/>
      <c r="J36" s="28">
        <v>46113.0</v>
      </c>
      <c r="K36" s="28">
        <v>46142.0</v>
      </c>
      <c r="L36" s="32"/>
      <c r="M36" s="35"/>
      <c r="N36" s="36"/>
      <c r="O36" s="38">
        <v>30.0</v>
      </c>
      <c r="P36" s="36"/>
      <c r="Q36" s="38">
        <v>30.0</v>
      </c>
      <c r="R36" s="36"/>
      <c r="S36" s="38" t="s">
        <v>53</v>
      </c>
      <c r="T36" s="42"/>
      <c r="U36" s="38">
        <v>100000.0</v>
      </c>
      <c r="V36" s="46"/>
      <c r="W36" s="42"/>
    </row>
    <row r="37">
      <c r="A37" s="15">
        <v>36.0</v>
      </c>
      <c r="B37" s="18" t="s">
        <v>33</v>
      </c>
      <c r="C37" s="18" t="s">
        <v>60</v>
      </c>
      <c r="D37" s="143" t="s">
        <v>382</v>
      </c>
      <c r="E37" s="18" t="s">
        <v>385</v>
      </c>
      <c r="F37" s="18" t="s">
        <v>302</v>
      </c>
      <c r="G37" s="18" t="s">
        <v>392</v>
      </c>
      <c r="H37" s="23"/>
      <c r="I37" s="25"/>
      <c r="J37" s="28">
        <v>46113.0</v>
      </c>
      <c r="K37" s="28">
        <v>46114.0</v>
      </c>
      <c r="L37" s="32"/>
      <c r="M37" s="35"/>
      <c r="N37" s="36"/>
      <c r="O37" s="38">
        <v>2.0</v>
      </c>
      <c r="P37" s="36"/>
      <c r="Q37" s="38">
        <v>2.0</v>
      </c>
      <c r="R37" s="36"/>
      <c r="S37" s="38" t="s">
        <v>396</v>
      </c>
      <c r="T37" s="42"/>
      <c r="U37" s="38">
        <v>6666.67</v>
      </c>
      <c r="V37" s="46"/>
      <c r="W37" s="42"/>
    </row>
    <row r="38">
      <c r="A38" s="15">
        <v>37.0</v>
      </c>
      <c r="B38" s="18" t="s">
        <v>33</v>
      </c>
      <c r="C38" s="18" t="s">
        <v>60</v>
      </c>
      <c r="D38" s="143" t="s">
        <v>382</v>
      </c>
      <c r="E38" s="18" t="s">
        <v>385</v>
      </c>
      <c r="F38" s="18" t="s">
        <v>302</v>
      </c>
      <c r="G38" s="18" t="s">
        <v>392</v>
      </c>
      <c r="H38" s="23"/>
      <c r="I38" s="25"/>
      <c r="J38" s="28">
        <v>46122.0</v>
      </c>
      <c r="K38" s="28">
        <v>46142.0</v>
      </c>
      <c r="L38" s="32"/>
      <c r="M38" s="35"/>
      <c r="N38" s="36"/>
      <c r="O38" s="38">
        <v>21.0</v>
      </c>
      <c r="P38" s="36"/>
      <c r="Q38" s="38">
        <v>21.0</v>
      </c>
      <c r="R38" s="36"/>
      <c r="S38" s="38" t="s">
        <v>157</v>
      </c>
      <c r="T38" s="42"/>
      <c r="U38" s="38">
        <v>70000.0</v>
      </c>
      <c r="V38" s="46"/>
      <c r="W38" s="42"/>
    </row>
    <row r="39">
      <c r="A39" s="15">
        <v>38.0</v>
      </c>
      <c r="B39" s="18" t="s">
        <v>33</v>
      </c>
      <c r="C39" s="18" t="s">
        <v>60</v>
      </c>
      <c r="D39" s="18" t="s">
        <v>406</v>
      </c>
      <c r="E39" s="18" t="s">
        <v>407</v>
      </c>
      <c r="F39" s="18" t="s">
        <v>187</v>
      </c>
      <c r="G39" s="18" t="s">
        <v>410</v>
      </c>
      <c r="H39" s="23"/>
      <c r="I39" s="25"/>
      <c r="J39" s="28">
        <v>46113.0</v>
      </c>
      <c r="K39" s="28">
        <v>46142.0</v>
      </c>
      <c r="L39" s="32"/>
      <c r="M39" s="35"/>
      <c r="N39" s="36"/>
      <c r="O39" s="38">
        <v>30.0</v>
      </c>
      <c r="P39" s="36"/>
      <c r="Q39" s="38">
        <v>30.0</v>
      </c>
      <c r="R39" s="36"/>
      <c r="S39" s="38" t="s">
        <v>53</v>
      </c>
      <c r="T39" s="42"/>
      <c r="U39" s="38">
        <v>100000.0</v>
      </c>
      <c r="V39" s="46"/>
      <c r="W39" s="42"/>
    </row>
    <row r="40">
      <c r="A40" s="15">
        <v>39.0</v>
      </c>
      <c r="B40" s="18" t="s">
        <v>33</v>
      </c>
      <c r="C40" s="18" t="s">
        <v>60</v>
      </c>
      <c r="D40" s="18" t="s">
        <v>412</v>
      </c>
      <c r="E40" s="18" t="s">
        <v>413</v>
      </c>
      <c r="F40" s="18" t="s">
        <v>139</v>
      </c>
      <c r="G40" s="18" t="s">
        <v>415</v>
      </c>
      <c r="H40" s="23"/>
      <c r="I40" s="25"/>
      <c r="J40" s="28">
        <v>46113.0</v>
      </c>
      <c r="K40" s="28">
        <v>46142.0</v>
      </c>
      <c r="L40" s="32"/>
      <c r="M40" s="35"/>
      <c r="N40" s="36"/>
      <c r="O40" s="38">
        <v>30.0</v>
      </c>
      <c r="P40" s="36"/>
      <c r="Q40" s="38">
        <v>30.0</v>
      </c>
      <c r="R40" s="36"/>
      <c r="S40" s="38" t="s">
        <v>53</v>
      </c>
      <c r="T40" s="42"/>
      <c r="U40" s="38">
        <v>100000.0</v>
      </c>
      <c r="V40" s="46"/>
      <c r="W40" s="42"/>
    </row>
    <row r="41">
      <c r="A41" s="15">
        <v>40.0</v>
      </c>
      <c r="B41" s="18" t="s">
        <v>33</v>
      </c>
      <c r="C41" s="18" t="s">
        <v>60</v>
      </c>
      <c r="D41" s="18" t="s">
        <v>419</v>
      </c>
      <c r="E41" s="18" t="s">
        <v>420</v>
      </c>
      <c r="F41" s="18" t="s">
        <v>213</v>
      </c>
      <c r="G41" s="18" t="s">
        <v>422</v>
      </c>
      <c r="H41" s="23"/>
      <c r="I41" s="25"/>
      <c r="J41" s="28">
        <v>46113.0</v>
      </c>
      <c r="K41" s="28">
        <v>46142.0</v>
      </c>
      <c r="L41" s="32"/>
      <c r="M41" s="35"/>
      <c r="N41" s="36"/>
      <c r="O41" s="38">
        <v>30.0</v>
      </c>
      <c r="P41" s="36"/>
      <c r="Q41" s="38">
        <v>30.0</v>
      </c>
      <c r="R41" s="36"/>
      <c r="S41" s="38" t="s">
        <v>53</v>
      </c>
      <c r="T41" s="42"/>
      <c r="U41" s="38">
        <v>100000.0</v>
      </c>
      <c r="V41" s="46"/>
      <c r="W41" s="42"/>
    </row>
    <row r="42">
      <c r="A42" s="15">
        <v>41.0</v>
      </c>
      <c r="B42" s="18" t="s">
        <v>33</v>
      </c>
      <c r="C42" s="18" t="s">
        <v>60</v>
      </c>
      <c r="D42" s="18" t="s">
        <v>427</v>
      </c>
      <c r="E42" s="18" t="s">
        <v>429</v>
      </c>
      <c r="F42" s="18" t="s">
        <v>201</v>
      </c>
      <c r="G42" s="18" t="s">
        <v>431</v>
      </c>
      <c r="H42" s="51">
        <v>46113.0</v>
      </c>
      <c r="I42" s="51">
        <v>46125.0</v>
      </c>
      <c r="J42" s="28">
        <v>46126.0</v>
      </c>
      <c r="K42" s="28">
        <v>46142.0</v>
      </c>
      <c r="L42" s="32"/>
      <c r="M42" s="35"/>
      <c r="N42" s="38">
        <v>13.0</v>
      </c>
      <c r="O42" s="38">
        <v>17.0</v>
      </c>
      <c r="P42" s="36"/>
      <c r="Q42" s="38">
        <v>30.0</v>
      </c>
      <c r="R42" s="38" t="s">
        <v>217</v>
      </c>
      <c r="S42" s="38" t="s">
        <v>218</v>
      </c>
      <c r="T42" s="42"/>
      <c r="U42" s="38">
        <v>69666.67</v>
      </c>
      <c r="V42" s="46"/>
      <c r="W42" s="42"/>
    </row>
    <row r="43">
      <c r="A43" s="15">
        <v>42.0</v>
      </c>
      <c r="B43" s="18" t="s">
        <v>33</v>
      </c>
      <c r="C43" s="18" t="s">
        <v>60</v>
      </c>
      <c r="D43" s="18" t="s">
        <v>436</v>
      </c>
      <c r="E43" s="18" t="s">
        <v>437</v>
      </c>
      <c r="F43" s="18" t="s">
        <v>58</v>
      </c>
      <c r="G43" s="18" t="s">
        <v>438</v>
      </c>
      <c r="H43" s="23"/>
      <c r="I43" s="25"/>
      <c r="J43" s="28">
        <v>46122.0</v>
      </c>
      <c r="K43" s="28">
        <v>46142.0</v>
      </c>
      <c r="L43" s="32"/>
      <c r="M43" s="35"/>
      <c r="N43" s="36"/>
      <c r="O43" s="38">
        <v>21.0</v>
      </c>
      <c r="P43" s="36"/>
      <c r="Q43" s="38">
        <v>21.0</v>
      </c>
      <c r="R43" s="36"/>
      <c r="S43" s="38" t="s">
        <v>157</v>
      </c>
      <c r="T43" s="42"/>
      <c r="U43" s="38">
        <v>70000.0</v>
      </c>
      <c r="V43" s="46"/>
      <c r="W43" s="42"/>
    </row>
    <row r="44">
      <c r="A44" s="15">
        <v>43.0</v>
      </c>
      <c r="B44" s="18" t="s">
        <v>33</v>
      </c>
      <c r="C44" s="18" t="s">
        <v>60</v>
      </c>
      <c r="D44" s="18" t="s">
        <v>445</v>
      </c>
      <c r="E44" s="18" t="s">
        <v>446</v>
      </c>
      <c r="F44" s="18" t="s">
        <v>119</v>
      </c>
      <c r="G44" s="18" t="s">
        <v>120</v>
      </c>
      <c r="H44" s="23"/>
      <c r="I44" s="25"/>
      <c r="J44" s="28">
        <v>46113.0</v>
      </c>
      <c r="K44" s="28">
        <v>46142.0</v>
      </c>
      <c r="L44" s="32"/>
      <c r="M44" s="35"/>
      <c r="N44" s="36"/>
      <c r="O44" s="38">
        <v>30.0</v>
      </c>
      <c r="P44" s="36"/>
      <c r="Q44" s="38">
        <v>30.0</v>
      </c>
      <c r="R44" s="36"/>
      <c r="S44" s="38" t="s">
        <v>53</v>
      </c>
      <c r="T44" s="42"/>
      <c r="U44" s="38">
        <v>100000.0</v>
      </c>
      <c r="V44" s="79" t="s">
        <v>125</v>
      </c>
      <c r="W44" s="18" t="s">
        <v>449</v>
      </c>
    </row>
    <row r="45">
      <c r="A45" s="15">
        <v>44.0</v>
      </c>
      <c r="B45" s="18" t="s">
        <v>33</v>
      </c>
      <c r="C45" s="18" t="s">
        <v>60</v>
      </c>
      <c r="D45" s="18" t="s">
        <v>453</v>
      </c>
      <c r="E45" s="18" t="s">
        <v>454</v>
      </c>
      <c r="F45" s="18" t="s">
        <v>302</v>
      </c>
      <c r="G45" s="18" t="s">
        <v>455</v>
      </c>
      <c r="H45" s="23"/>
      <c r="I45" s="25"/>
      <c r="J45" s="28">
        <v>46113.0</v>
      </c>
      <c r="K45" s="28">
        <v>46142.0</v>
      </c>
      <c r="L45" s="32"/>
      <c r="M45" s="35"/>
      <c r="N45" s="36"/>
      <c r="O45" s="38">
        <v>30.0</v>
      </c>
      <c r="P45" s="36"/>
      <c r="Q45" s="38">
        <v>30.0</v>
      </c>
      <c r="R45" s="36"/>
      <c r="S45" s="38" t="s">
        <v>53</v>
      </c>
      <c r="T45" s="42"/>
      <c r="U45" s="38">
        <v>100000.0</v>
      </c>
      <c r="V45" s="46"/>
      <c r="W45" s="42"/>
    </row>
    <row r="46">
      <c r="A46" s="15">
        <v>45.0</v>
      </c>
      <c r="B46" s="18" t="s">
        <v>33</v>
      </c>
      <c r="C46" s="18" t="s">
        <v>60</v>
      </c>
      <c r="D46" s="18" t="s">
        <v>463</v>
      </c>
      <c r="E46" s="18" t="s">
        <v>466</v>
      </c>
      <c r="F46" s="18" t="s">
        <v>212</v>
      </c>
      <c r="G46" s="18" t="s">
        <v>467</v>
      </c>
      <c r="H46" s="23"/>
      <c r="I46" s="25"/>
      <c r="J46" s="28">
        <v>46133.0</v>
      </c>
      <c r="K46" s="28">
        <v>46142.0</v>
      </c>
      <c r="L46" s="32"/>
      <c r="M46" s="35"/>
      <c r="N46" s="36"/>
      <c r="O46" s="38">
        <v>10.0</v>
      </c>
      <c r="P46" s="36"/>
      <c r="Q46" s="38">
        <v>10.0</v>
      </c>
      <c r="R46" s="36"/>
      <c r="S46" s="38" t="s">
        <v>324</v>
      </c>
      <c r="T46" s="42"/>
      <c r="U46" s="38">
        <v>33333.33</v>
      </c>
      <c r="V46" s="46"/>
      <c r="W46" s="42"/>
    </row>
    <row r="47">
      <c r="A47" s="15">
        <v>46.0</v>
      </c>
      <c r="B47" s="18" t="s">
        <v>33</v>
      </c>
      <c r="C47" s="18" t="s">
        <v>60</v>
      </c>
      <c r="D47" s="18" t="s">
        <v>471</v>
      </c>
      <c r="E47" s="18" t="s">
        <v>472</v>
      </c>
      <c r="F47" s="18" t="s">
        <v>139</v>
      </c>
      <c r="G47" s="18" t="s">
        <v>473</v>
      </c>
      <c r="H47" s="23"/>
      <c r="I47" s="25"/>
      <c r="J47" s="28">
        <v>46119.0</v>
      </c>
      <c r="K47" s="28">
        <v>46142.0</v>
      </c>
      <c r="L47" s="32"/>
      <c r="M47" s="35"/>
      <c r="N47" s="36"/>
      <c r="O47" s="38">
        <v>24.0</v>
      </c>
      <c r="P47" s="36"/>
      <c r="Q47" s="38">
        <v>24.0</v>
      </c>
      <c r="R47" s="36"/>
      <c r="S47" s="38" t="s">
        <v>476</v>
      </c>
      <c r="T47" s="42"/>
      <c r="U47" s="38">
        <v>80000.0</v>
      </c>
      <c r="V47" s="46"/>
      <c r="W47" s="42"/>
    </row>
    <row r="48">
      <c r="A48" s="15">
        <v>47.0</v>
      </c>
      <c r="B48" s="18" t="s">
        <v>33</v>
      </c>
      <c r="C48" s="18" t="s">
        <v>60</v>
      </c>
      <c r="D48" s="18" t="s">
        <v>477</v>
      </c>
      <c r="E48" s="18" t="s">
        <v>478</v>
      </c>
      <c r="F48" s="18" t="s">
        <v>321</v>
      </c>
      <c r="G48" s="18" t="s">
        <v>480</v>
      </c>
      <c r="H48" s="23"/>
      <c r="I48" s="25"/>
      <c r="J48" s="28">
        <v>46133.0</v>
      </c>
      <c r="K48" s="28">
        <v>46142.0</v>
      </c>
      <c r="L48" s="32"/>
      <c r="M48" s="35"/>
      <c r="N48" s="36"/>
      <c r="O48" s="38">
        <v>10.0</v>
      </c>
      <c r="P48" s="36"/>
      <c r="Q48" s="38">
        <v>10.0</v>
      </c>
      <c r="R48" s="36"/>
      <c r="S48" s="38" t="s">
        <v>324</v>
      </c>
      <c r="T48" s="42"/>
      <c r="U48" s="38">
        <v>33333.33</v>
      </c>
      <c r="V48" s="46"/>
      <c r="W48" s="42"/>
    </row>
    <row r="49">
      <c r="A49" s="15">
        <v>48.0</v>
      </c>
      <c r="B49" s="18" t="s">
        <v>33</v>
      </c>
      <c r="C49" s="18" t="s">
        <v>60</v>
      </c>
      <c r="D49" s="18" t="s">
        <v>486</v>
      </c>
      <c r="E49" s="18" t="s">
        <v>483</v>
      </c>
      <c r="F49" s="18" t="s">
        <v>213</v>
      </c>
      <c r="G49" s="18" t="s">
        <v>488</v>
      </c>
      <c r="H49" s="23"/>
      <c r="I49" s="25"/>
      <c r="J49" s="28">
        <v>46113.0</v>
      </c>
      <c r="K49" s="28">
        <v>46142.0</v>
      </c>
      <c r="L49" s="32"/>
      <c r="M49" s="35"/>
      <c r="N49" s="36"/>
      <c r="O49" s="38">
        <v>30.0</v>
      </c>
      <c r="P49" s="36"/>
      <c r="Q49" s="38">
        <v>30.0</v>
      </c>
      <c r="R49" s="36"/>
      <c r="S49" s="38" t="s">
        <v>53</v>
      </c>
      <c r="T49" s="42"/>
      <c r="U49" s="38">
        <v>100000.0</v>
      </c>
      <c r="V49" s="79" t="s">
        <v>125</v>
      </c>
      <c r="W49" s="42"/>
    </row>
    <row r="50">
      <c r="A50" s="15">
        <v>49.0</v>
      </c>
      <c r="B50" s="18" t="s">
        <v>33</v>
      </c>
      <c r="C50" s="18" t="s">
        <v>102</v>
      </c>
      <c r="D50" s="143" t="s">
        <v>492</v>
      </c>
      <c r="E50" s="18" t="s">
        <v>494</v>
      </c>
      <c r="F50" s="18" t="s">
        <v>178</v>
      </c>
      <c r="G50" s="18" t="s">
        <v>495</v>
      </c>
      <c r="H50" s="23"/>
      <c r="I50" s="25"/>
      <c r="J50" s="28">
        <v>46113.0</v>
      </c>
      <c r="K50" s="28">
        <v>46118.0</v>
      </c>
      <c r="L50" s="32"/>
      <c r="M50" s="35"/>
      <c r="N50" s="36"/>
      <c r="O50" s="38">
        <v>6.0</v>
      </c>
      <c r="P50" s="36"/>
      <c r="Q50" s="38">
        <v>6.0</v>
      </c>
      <c r="R50" s="36"/>
      <c r="S50" s="38" t="s">
        <v>502</v>
      </c>
      <c r="T50" s="42"/>
      <c r="U50" s="38">
        <v>20000.0</v>
      </c>
      <c r="V50" s="46"/>
      <c r="W50" s="42"/>
    </row>
    <row r="51">
      <c r="A51" s="15">
        <v>50.0</v>
      </c>
      <c r="B51" s="18" t="s">
        <v>33</v>
      </c>
      <c r="C51" s="18" t="s">
        <v>102</v>
      </c>
      <c r="D51" s="143" t="s">
        <v>492</v>
      </c>
      <c r="E51" s="18" t="s">
        <v>494</v>
      </c>
      <c r="F51" s="18" t="s">
        <v>178</v>
      </c>
      <c r="G51" s="18" t="s">
        <v>495</v>
      </c>
      <c r="H51" s="23"/>
      <c r="I51" s="25"/>
      <c r="J51" s="28">
        <v>46135.0</v>
      </c>
      <c r="K51" s="28">
        <v>46142.0</v>
      </c>
      <c r="L51" s="32"/>
      <c r="M51" s="35"/>
      <c r="N51" s="36"/>
      <c r="O51" s="38">
        <v>8.0</v>
      </c>
      <c r="P51" s="36"/>
      <c r="Q51" s="38">
        <v>8.0</v>
      </c>
      <c r="R51" s="36"/>
      <c r="S51" s="38" t="s">
        <v>507</v>
      </c>
      <c r="T51" s="42"/>
      <c r="U51" s="38">
        <v>26666.67</v>
      </c>
      <c r="V51" s="46"/>
      <c r="W51" s="42"/>
    </row>
    <row r="52">
      <c r="A52" s="15">
        <v>51.0</v>
      </c>
      <c r="B52" s="18" t="s">
        <v>33</v>
      </c>
      <c r="C52" s="18" t="s">
        <v>60</v>
      </c>
      <c r="D52" s="18" t="s">
        <v>512</v>
      </c>
      <c r="E52" s="18" t="s">
        <v>513</v>
      </c>
      <c r="F52" s="18" t="s">
        <v>187</v>
      </c>
      <c r="G52" s="18" t="s">
        <v>514</v>
      </c>
      <c r="H52" s="23"/>
      <c r="I52" s="25"/>
      <c r="J52" s="28">
        <v>46113.0</v>
      </c>
      <c r="K52" s="28">
        <v>46142.0</v>
      </c>
      <c r="L52" s="32"/>
      <c r="M52" s="35"/>
      <c r="N52" s="36"/>
      <c r="O52" s="38">
        <v>30.0</v>
      </c>
      <c r="P52" s="36"/>
      <c r="Q52" s="38">
        <v>30.0</v>
      </c>
      <c r="R52" s="36"/>
      <c r="S52" s="38" t="s">
        <v>53</v>
      </c>
      <c r="T52" s="42"/>
      <c r="U52" s="38">
        <v>100000.0</v>
      </c>
      <c r="V52" s="46"/>
      <c r="W52" s="42"/>
    </row>
    <row r="53">
      <c r="A53" s="15">
        <v>52.0</v>
      </c>
      <c r="B53" s="18" t="s">
        <v>33</v>
      </c>
      <c r="C53" s="18" t="s">
        <v>60</v>
      </c>
      <c r="D53" s="18" t="s">
        <v>517</v>
      </c>
      <c r="E53" s="18" t="s">
        <v>518</v>
      </c>
      <c r="F53" s="18" t="s">
        <v>139</v>
      </c>
      <c r="G53" s="18" t="s">
        <v>519</v>
      </c>
      <c r="H53" s="23"/>
      <c r="I53" s="25"/>
      <c r="J53" s="28">
        <v>46113.0</v>
      </c>
      <c r="K53" s="28">
        <v>46142.0</v>
      </c>
      <c r="L53" s="32"/>
      <c r="M53" s="35"/>
      <c r="N53" s="36"/>
      <c r="O53" s="38">
        <v>30.0</v>
      </c>
      <c r="P53" s="36"/>
      <c r="Q53" s="38">
        <v>30.0</v>
      </c>
      <c r="R53" s="36"/>
      <c r="S53" s="38" t="s">
        <v>53</v>
      </c>
      <c r="T53" s="42"/>
      <c r="U53" s="38">
        <v>100000.0</v>
      </c>
      <c r="V53" s="79" t="s">
        <v>125</v>
      </c>
      <c r="W53" s="18" t="s">
        <v>449</v>
      </c>
    </row>
    <row r="54">
      <c r="A54" s="15">
        <v>53.0</v>
      </c>
      <c r="B54" s="18" t="s">
        <v>33</v>
      </c>
      <c r="C54" s="18" t="s">
        <v>60</v>
      </c>
      <c r="D54" s="18" t="s">
        <v>524</v>
      </c>
      <c r="E54" s="18" t="s">
        <v>526</v>
      </c>
      <c r="F54" s="18" t="s">
        <v>213</v>
      </c>
      <c r="G54" s="18" t="s">
        <v>528</v>
      </c>
      <c r="H54" s="23"/>
      <c r="I54" s="25"/>
      <c r="J54" s="28">
        <v>46117.0</v>
      </c>
      <c r="K54" s="28">
        <v>46142.0</v>
      </c>
      <c r="L54" s="32"/>
      <c r="M54" s="35"/>
      <c r="N54" s="36"/>
      <c r="O54" s="38">
        <v>26.0</v>
      </c>
      <c r="P54" s="36"/>
      <c r="Q54" s="38">
        <v>26.0</v>
      </c>
      <c r="R54" s="36"/>
      <c r="S54" s="38" t="s">
        <v>533</v>
      </c>
      <c r="T54" s="42"/>
      <c r="U54" s="38">
        <v>86666.67</v>
      </c>
      <c r="V54" s="46"/>
      <c r="W54" s="42"/>
    </row>
    <row r="55">
      <c r="A55" s="15">
        <v>54.0</v>
      </c>
      <c r="B55" s="18" t="s">
        <v>33</v>
      </c>
      <c r="C55" s="18" t="s">
        <v>60</v>
      </c>
      <c r="D55" s="18" t="s">
        <v>534</v>
      </c>
      <c r="E55" s="18" t="s">
        <v>535</v>
      </c>
      <c r="F55" s="18" t="s">
        <v>536</v>
      </c>
      <c r="G55" s="18" t="s">
        <v>537</v>
      </c>
      <c r="H55" s="51">
        <v>46113.0</v>
      </c>
      <c r="I55" s="51">
        <v>46125.0</v>
      </c>
      <c r="J55" s="28">
        <v>46126.0</v>
      </c>
      <c r="K55" s="28">
        <v>46142.0</v>
      </c>
      <c r="L55" s="32"/>
      <c r="M55" s="35"/>
      <c r="N55" s="38">
        <v>13.0</v>
      </c>
      <c r="O55" s="38">
        <v>17.0</v>
      </c>
      <c r="P55" s="36"/>
      <c r="Q55" s="38">
        <v>30.0</v>
      </c>
      <c r="R55" s="38" t="s">
        <v>217</v>
      </c>
      <c r="S55" s="38" t="s">
        <v>218</v>
      </c>
      <c r="T55" s="42"/>
      <c r="U55" s="38">
        <v>69666.67</v>
      </c>
      <c r="V55" s="46"/>
      <c r="W55" s="42"/>
    </row>
    <row r="56">
      <c r="A56" s="15">
        <v>55.0</v>
      </c>
      <c r="B56" s="18" t="s">
        <v>33</v>
      </c>
      <c r="C56" s="18" t="s">
        <v>60</v>
      </c>
      <c r="D56" s="18" t="s">
        <v>541</v>
      </c>
      <c r="E56" s="18" t="s">
        <v>203</v>
      </c>
      <c r="F56" s="18" t="s">
        <v>58</v>
      </c>
      <c r="G56" s="18" t="s">
        <v>542</v>
      </c>
      <c r="H56" s="23"/>
      <c r="I56" s="25"/>
      <c r="J56" s="28">
        <v>46133.0</v>
      </c>
      <c r="K56" s="28">
        <v>46142.0</v>
      </c>
      <c r="L56" s="32"/>
      <c r="M56" s="35"/>
      <c r="N56" s="36"/>
      <c r="O56" s="38">
        <v>10.0</v>
      </c>
      <c r="P56" s="36"/>
      <c r="Q56" s="38">
        <v>10.0</v>
      </c>
      <c r="R56" s="36"/>
      <c r="S56" s="38" t="s">
        <v>324</v>
      </c>
      <c r="T56" s="42"/>
      <c r="U56" s="38">
        <v>33333.33</v>
      </c>
      <c r="V56" s="46"/>
      <c r="W56" s="42"/>
    </row>
    <row r="57">
      <c r="A57" s="15">
        <v>56.0</v>
      </c>
      <c r="B57" s="18" t="s">
        <v>33</v>
      </c>
      <c r="C57" s="18" t="s">
        <v>326</v>
      </c>
      <c r="D57" s="18" t="s">
        <v>544</v>
      </c>
      <c r="E57" s="18" t="s">
        <v>545</v>
      </c>
      <c r="F57" s="18" t="s">
        <v>213</v>
      </c>
      <c r="G57" s="18" t="s">
        <v>549</v>
      </c>
      <c r="H57" s="23"/>
      <c r="I57" s="25"/>
      <c r="J57" s="28">
        <v>46113.0</v>
      </c>
      <c r="K57" s="28">
        <v>46142.0</v>
      </c>
      <c r="L57" s="32"/>
      <c r="M57" s="35"/>
      <c r="N57" s="36"/>
      <c r="O57" s="38">
        <v>30.0</v>
      </c>
      <c r="P57" s="36"/>
      <c r="Q57" s="38">
        <v>30.0</v>
      </c>
      <c r="R57" s="36"/>
      <c r="S57" s="38" t="s">
        <v>53</v>
      </c>
      <c r="T57" s="42"/>
      <c r="U57" s="38">
        <v>100000.0</v>
      </c>
      <c r="V57" s="46"/>
      <c r="W57" s="42"/>
    </row>
    <row r="58">
      <c r="A58" s="15">
        <v>57.0</v>
      </c>
      <c r="B58" s="18" t="s">
        <v>33</v>
      </c>
      <c r="C58" s="18" t="s">
        <v>60</v>
      </c>
      <c r="D58" s="18" t="s">
        <v>554</v>
      </c>
      <c r="E58" s="18" t="s">
        <v>555</v>
      </c>
      <c r="F58" s="18" t="s">
        <v>58</v>
      </c>
      <c r="G58" s="18" t="s">
        <v>558</v>
      </c>
      <c r="H58" s="23"/>
      <c r="I58" s="25"/>
      <c r="J58" s="28">
        <v>46113.0</v>
      </c>
      <c r="K58" s="28">
        <v>46142.0</v>
      </c>
      <c r="L58" s="32"/>
      <c r="M58" s="35"/>
      <c r="N58" s="36"/>
      <c r="O58" s="38">
        <v>30.0</v>
      </c>
      <c r="P58" s="36"/>
      <c r="Q58" s="38">
        <v>30.0</v>
      </c>
      <c r="R58" s="36"/>
      <c r="S58" s="38" t="s">
        <v>53</v>
      </c>
      <c r="T58" s="42"/>
      <c r="U58" s="38">
        <v>100000.0</v>
      </c>
      <c r="V58" s="46"/>
      <c r="W58" s="42"/>
    </row>
    <row r="59">
      <c r="A59" s="15">
        <v>58.0</v>
      </c>
      <c r="B59" s="18" t="s">
        <v>33</v>
      </c>
      <c r="C59" s="18" t="s">
        <v>60</v>
      </c>
      <c r="D59" s="18" t="s">
        <v>562</v>
      </c>
      <c r="E59" s="18" t="s">
        <v>563</v>
      </c>
      <c r="F59" s="18" t="s">
        <v>119</v>
      </c>
      <c r="G59" s="18" t="s">
        <v>564</v>
      </c>
      <c r="H59" s="23"/>
      <c r="I59" s="25"/>
      <c r="J59" s="28">
        <v>46113.0</v>
      </c>
      <c r="K59" s="28">
        <v>46142.0</v>
      </c>
      <c r="L59" s="32"/>
      <c r="M59" s="35"/>
      <c r="N59" s="36"/>
      <c r="O59" s="38">
        <v>30.0</v>
      </c>
      <c r="P59" s="36"/>
      <c r="Q59" s="38">
        <v>30.0</v>
      </c>
      <c r="R59" s="36"/>
      <c r="S59" s="38" t="s">
        <v>53</v>
      </c>
      <c r="T59" s="42"/>
      <c r="U59" s="38">
        <v>100000.0</v>
      </c>
      <c r="V59" s="79" t="s">
        <v>125</v>
      </c>
      <c r="W59" s="18" t="s">
        <v>449</v>
      </c>
    </row>
    <row r="60">
      <c r="A60" s="15">
        <v>59.0</v>
      </c>
      <c r="B60" s="18" t="s">
        <v>33</v>
      </c>
      <c r="C60" s="18" t="s">
        <v>60</v>
      </c>
      <c r="D60" s="18" t="s">
        <v>575</v>
      </c>
      <c r="E60" s="18" t="s">
        <v>576</v>
      </c>
      <c r="F60" s="18" t="s">
        <v>331</v>
      </c>
      <c r="G60" s="18" t="s">
        <v>577</v>
      </c>
      <c r="H60" s="23"/>
      <c r="I60" s="25"/>
      <c r="J60" s="28">
        <v>46113.0</v>
      </c>
      <c r="K60" s="28">
        <v>46142.0</v>
      </c>
      <c r="L60" s="32"/>
      <c r="M60" s="35"/>
      <c r="N60" s="36"/>
      <c r="O60" s="38">
        <v>30.0</v>
      </c>
      <c r="P60" s="36"/>
      <c r="Q60" s="38">
        <v>30.0</v>
      </c>
      <c r="R60" s="36"/>
      <c r="S60" s="38" t="s">
        <v>53</v>
      </c>
      <c r="T60" s="42"/>
      <c r="U60" s="38">
        <v>100000.0</v>
      </c>
      <c r="V60" s="46"/>
      <c r="W60" s="42"/>
    </row>
    <row r="61">
      <c r="A61" s="15">
        <v>60.0</v>
      </c>
      <c r="B61" s="18" t="s">
        <v>33</v>
      </c>
      <c r="C61" s="18" t="s">
        <v>60</v>
      </c>
      <c r="D61" s="18" t="s">
        <v>580</v>
      </c>
      <c r="E61" s="18" t="s">
        <v>581</v>
      </c>
      <c r="F61" s="18" t="s">
        <v>302</v>
      </c>
      <c r="G61" s="18" t="s">
        <v>585</v>
      </c>
      <c r="H61" s="23"/>
      <c r="I61" s="25"/>
      <c r="J61" s="28">
        <v>46113.0</v>
      </c>
      <c r="K61" s="28">
        <v>46142.0</v>
      </c>
      <c r="L61" s="32"/>
      <c r="M61" s="35"/>
      <c r="N61" s="36"/>
      <c r="O61" s="38">
        <v>30.0</v>
      </c>
      <c r="P61" s="36"/>
      <c r="Q61" s="38">
        <v>30.0</v>
      </c>
      <c r="R61" s="36"/>
      <c r="S61" s="38" t="s">
        <v>53</v>
      </c>
      <c r="T61" s="42"/>
      <c r="U61" s="38">
        <v>100000.0</v>
      </c>
      <c r="V61" s="46"/>
      <c r="W61" s="42"/>
    </row>
    <row r="62">
      <c r="A62" s="15">
        <v>61.0</v>
      </c>
      <c r="B62" s="18" t="s">
        <v>33</v>
      </c>
      <c r="C62" s="18" t="s">
        <v>60</v>
      </c>
      <c r="D62" s="18" t="s">
        <v>592</v>
      </c>
      <c r="E62" s="18" t="s">
        <v>593</v>
      </c>
      <c r="F62" s="18" t="s">
        <v>187</v>
      </c>
      <c r="G62" s="18" t="s">
        <v>594</v>
      </c>
      <c r="H62" s="23"/>
      <c r="I62" s="25"/>
      <c r="J62" s="28">
        <v>46133.0</v>
      </c>
      <c r="K62" s="28">
        <v>46142.0</v>
      </c>
      <c r="L62" s="32"/>
      <c r="M62" s="35"/>
      <c r="N62" s="36"/>
      <c r="O62" s="38">
        <v>10.0</v>
      </c>
      <c r="P62" s="36"/>
      <c r="Q62" s="38">
        <v>10.0</v>
      </c>
      <c r="R62" s="36"/>
      <c r="S62" s="38" t="s">
        <v>324</v>
      </c>
      <c r="T62" s="42"/>
      <c r="U62" s="38">
        <v>33333.33</v>
      </c>
      <c r="V62" s="46"/>
      <c r="W62" s="42"/>
    </row>
    <row r="63">
      <c r="A63" s="15">
        <v>62.0</v>
      </c>
      <c r="B63" s="18" t="s">
        <v>33</v>
      </c>
      <c r="C63" s="18" t="s">
        <v>60</v>
      </c>
      <c r="D63" s="18" t="s">
        <v>597</v>
      </c>
      <c r="E63" s="18" t="s">
        <v>598</v>
      </c>
      <c r="F63" s="18" t="s">
        <v>58</v>
      </c>
      <c r="G63" s="18" t="s">
        <v>600</v>
      </c>
      <c r="H63" s="23"/>
      <c r="I63" s="25"/>
      <c r="J63" s="28">
        <v>46113.0</v>
      </c>
      <c r="K63" s="28">
        <v>46142.0</v>
      </c>
      <c r="L63" s="32"/>
      <c r="M63" s="35"/>
      <c r="N63" s="36"/>
      <c r="O63" s="38">
        <v>30.0</v>
      </c>
      <c r="P63" s="36"/>
      <c r="Q63" s="38">
        <v>30.0</v>
      </c>
      <c r="R63" s="36"/>
      <c r="S63" s="38" t="s">
        <v>53</v>
      </c>
      <c r="T63" s="42"/>
      <c r="U63" s="38">
        <v>100000.0</v>
      </c>
      <c r="V63" s="46"/>
      <c r="W63" s="42"/>
    </row>
    <row r="64">
      <c r="A64" s="15">
        <v>63.0</v>
      </c>
      <c r="B64" s="18" t="s">
        <v>33</v>
      </c>
      <c r="C64" s="18" t="s">
        <v>60</v>
      </c>
      <c r="D64" s="143" t="s">
        <v>602</v>
      </c>
      <c r="E64" s="18" t="s">
        <v>603</v>
      </c>
      <c r="F64" s="18" t="s">
        <v>178</v>
      </c>
      <c r="G64" s="18" t="s">
        <v>606</v>
      </c>
      <c r="H64" s="23"/>
      <c r="I64" s="25"/>
      <c r="J64" s="28">
        <v>46113.0</v>
      </c>
      <c r="K64" s="28">
        <v>46130.0</v>
      </c>
      <c r="L64" s="32"/>
      <c r="M64" s="35"/>
      <c r="N64" s="36"/>
      <c r="O64" s="38">
        <v>18.0</v>
      </c>
      <c r="P64" s="36"/>
      <c r="Q64" s="38">
        <v>18.0</v>
      </c>
      <c r="R64" s="36"/>
      <c r="S64" s="38" t="s">
        <v>611</v>
      </c>
      <c r="T64" s="42"/>
      <c r="U64" s="38">
        <v>60000.0</v>
      </c>
      <c r="V64" s="46"/>
      <c r="W64" s="42"/>
    </row>
    <row r="65">
      <c r="A65" s="15">
        <v>64.0</v>
      </c>
      <c r="B65" s="18" t="s">
        <v>33</v>
      </c>
      <c r="C65" s="18" t="s">
        <v>60</v>
      </c>
      <c r="D65" s="143" t="s">
        <v>602</v>
      </c>
      <c r="E65" s="18" t="s">
        <v>603</v>
      </c>
      <c r="F65" s="18" t="s">
        <v>178</v>
      </c>
      <c r="G65" s="18" t="s">
        <v>606</v>
      </c>
      <c r="H65" s="23"/>
      <c r="I65" s="25"/>
      <c r="J65" s="28">
        <v>46138.0</v>
      </c>
      <c r="K65" s="28">
        <v>46142.0</v>
      </c>
      <c r="L65" s="32"/>
      <c r="M65" s="35"/>
      <c r="N65" s="36"/>
      <c r="O65" s="38">
        <v>5.0</v>
      </c>
      <c r="P65" s="36"/>
      <c r="Q65" s="38">
        <v>5.0</v>
      </c>
      <c r="R65" s="36"/>
      <c r="S65" s="38" t="s">
        <v>84</v>
      </c>
      <c r="T65" s="42"/>
      <c r="U65" s="38">
        <v>16666.67</v>
      </c>
      <c r="V65" s="46"/>
      <c r="W65" s="42"/>
    </row>
    <row r="66">
      <c r="A66" s="15">
        <v>65.0</v>
      </c>
      <c r="B66" s="18" t="s">
        <v>33</v>
      </c>
      <c r="C66" s="18" t="s">
        <v>60</v>
      </c>
      <c r="D66" s="18" t="s">
        <v>619</v>
      </c>
      <c r="E66" s="18" t="s">
        <v>620</v>
      </c>
      <c r="F66" s="18" t="s">
        <v>302</v>
      </c>
      <c r="G66" s="18" t="s">
        <v>622</v>
      </c>
      <c r="H66" s="23"/>
      <c r="I66" s="25"/>
      <c r="J66" s="28">
        <v>46113.0</v>
      </c>
      <c r="K66" s="28">
        <v>46142.0</v>
      </c>
      <c r="L66" s="32"/>
      <c r="M66" s="35"/>
      <c r="N66" s="36"/>
      <c r="O66" s="38">
        <v>30.0</v>
      </c>
      <c r="P66" s="36"/>
      <c r="Q66" s="38">
        <v>30.0</v>
      </c>
      <c r="R66" s="36"/>
      <c r="S66" s="38" t="s">
        <v>53</v>
      </c>
      <c r="T66" s="42"/>
      <c r="U66" s="38">
        <v>100000.0</v>
      </c>
      <c r="V66" s="46"/>
      <c r="W66" s="42"/>
    </row>
    <row r="67">
      <c r="A67" s="15">
        <v>66.0</v>
      </c>
      <c r="B67" s="18" t="s">
        <v>33</v>
      </c>
      <c r="C67" s="18" t="s">
        <v>60</v>
      </c>
      <c r="D67" s="18" t="s">
        <v>411</v>
      </c>
      <c r="E67" s="18" t="s">
        <v>634</v>
      </c>
      <c r="F67" s="18" t="s">
        <v>187</v>
      </c>
      <c r="G67" s="18" t="s">
        <v>635</v>
      </c>
      <c r="H67" s="23"/>
      <c r="I67" s="25"/>
      <c r="J67" s="28">
        <v>46133.0</v>
      </c>
      <c r="K67" s="28">
        <v>46142.0</v>
      </c>
      <c r="L67" s="32"/>
      <c r="M67" s="35"/>
      <c r="N67" s="36"/>
      <c r="O67" s="38">
        <v>10.0</v>
      </c>
      <c r="P67" s="36"/>
      <c r="Q67" s="38">
        <v>10.0</v>
      </c>
      <c r="R67" s="36"/>
      <c r="S67" s="38" t="s">
        <v>324</v>
      </c>
      <c r="T67" s="42"/>
      <c r="U67" s="38">
        <v>33333.33</v>
      </c>
      <c r="V67" s="46"/>
      <c r="W67" s="42"/>
    </row>
    <row r="68">
      <c r="A68" s="15">
        <v>67.0</v>
      </c>
      <c r="B68" s="18" t="s">
        <v>33</v>
      </c>
      <c r="C68" s="18" t="s">
        <v>60</v>
      </c>
      <c r="D68" s="18" t="s">
        <v>641</v>
      </c>
      <c r="E68" s="18" t="s">
        <v>642</v>
      </c>
      <c r="F68" s="18" t="s">
        <v>139</v>
      </c>
      <c r="G68" s="18" t="s">
        <v>644</v>
      </c>
      <c r="H68" s="23"/>
      <c r="I68" s="25"/>
      <c r="J68" s="28">
        <v>46113.0</v>
      </c>
      <c r="K68" s="28">
        <v>46142.0</v>
      </c>
      <c r="L68" s="32"/>
      <c r="M68" s="35"/>
      <c r="N68" s="36"/>
      <c r="O68" s="38">
        <v>30.0</v>
      </c>
      <c r="P68" s="36"/>
      <c r="Q68" s="38">
        <v>30.0</v>
      </c>
      <c r="R68" s="36"/>
      <c r="S68" s="38" t="s">
        <v>53</v>
      </c>
      <c r="T68" s="42"/>
      <c r="U68" s="38">
        <v>100000.0</v>
      </c>
      <c r="V68" s="46"/>
      <c r="W68" s="42"/>
    </row>
    <row r="69">
      <c r="A69" s="15">
        <v>68.0</v>
      </c>
      <c r="B69" s="18" t="s">
        <v>33</v>
      </c>
      <c r="C69" s="18" t="s">
        <v>60</v>
      </c>
      <c r="D69" s="18" t="s">
        <v>646</v>
      </c>
      <c r="E69" s="18" t="s">
        <v>647</v>
      </c>
      <c r="F69" s="18" t="s">
        <v>321</v>
      </c>
      <c r="G69" s="18" t="s">
        <v>649</v>
      </c>
      <c r="H69" s="23"/>
      <c r="I69" s="25"/>
      <c r="J69" s="28">
        <v>46133.0</v>
      </c>
      <c r="K69" s="28">
        <v>46142.0</v>
      </c>
      <c r="L69" s="32"/>
      <c r="M69" s="35"/>
      <c r="N69" s="36"/>
      <c r="O69" s="38">
        <v>10.0</v>
      </c>
      <c r="P69" s="36"/>
      <c r="Q69" s="38">
        <v>10.0</v>
      </c>
      <c r="R69" s="36"/>
      <c r="S69" s="38" t="s">
        <v>324</v>
      </c>
      <c r="T69" s="42"/>
      <c r="U69" s="38">
        <v>33333.33</v>
      </c>
      <c r="V69" s="46"/>
      <c r="W69" s="42"/>
    </row>
    <row r="70">
      <c r="A70" s="15">
        <v>69.0</v>
      </c>
      <c r="B70" s="18" t="s">
        <v>33</v>
      </c>
      <c r="C70" s="18" t="s">
        <v>656</v>
      </c>
      <c r="D70" s="18" t="s">
        <v>657</v>
      </c>
      <c r="E70" s="18" t="s">
        <v>658</v>
      </c>
      <c r="F70" s="18" t="s">
        <v>536</v>
      </c>
      <c r="G70" s="18" t="s">
        <v>659</v>
      </c>
      <c r="H70" s="51">
        <v>46113.0</v>
      </c>
      <c r="I70" s="51">
        <v>46125.0</v>
      </c>
      <c r="J70" s="28">
        <v>46126.0</v>
      </c>
      <c r="K70" s="28">
        <v>46142.0</v>
      </c>
      <c r="L70" s="32"/>
      <c r="M70" s="35"/>
      <c r="N70" s="38">
        <v>13.0</v>
      </c>
      <c r="O70" s="38">
        <v>17.0</v>
      </c>
      <c r="P70" s="36"/>
      <c r="Q70" s="38">
        <v>30.0</v>
      </c>
      <c r="R70" s="38" t="s">
        <v>217</v>
      </c>
      <c r="S70" s="38" t="s">
        <v>218</v>
      </c>
      <c r="T70" s="42"/>
      <c r="U70" s="38">
        <v>69666.67</v>
      </c>
      <c r="V70" s="46"/>
      <c r="W70" s="42"/>
    </row>
    <row r="71">
      <c r="A71" s="15">
        <v>70.0</v>
      </c>
      <c r="B71" s="18" t="s">
        <v>33</v>
      </c>
      <c r="C71" s="18" t="s">
        <v>60</v>
      </c>
      <c r="D71" s="18" t="s">
        <v>664</v>
      </c>
      <c r="E71" s="18" t="s">
        <v>665</v>
      </c>
      <c r="F71" s="18" t="s">
        <v>178</v>
      </c>
      <c r="G71" s="18" t="s">
        <v>181</v>
      </c>
      <c r="H71" s="23"/>
      <c r="I71" s="25"/>
      <c r="J71" s="28">
        <v>46113.0</v>
      </c>
      <c r="K71" s="28">
        <v>46142.0</v>
      </c>
      <c r="L71" s="32"/>
      <c r="M71" s="35"/>
      <c r="N71" s="36"/>
      <c r="O71" s="38">
        <v>30.0</v>
      </c>
      <c r="P71" s="36"/>
      <c r="Q71" s="38">
        <v>30.0</v>
      </c>
      <c r="R71" s="36"/>
      <c r="S71" s="38" t="s">
        <v>53</v>
      </c>
      <c r="T71" s="42"/>
      <c r="U71" s="38">
        <v>100000.0</v>
      </c>
      <c r="V71" s="46"/>
      <c r="W71" s="42"/>
    </row>
    <row r="72">
      <c r="A72" s="15">
        <v>71.0</v>
      </c>
      <c r="B72" s="18" t="s">
        <v>33</v>
      </c>
      <c r="C72" s="18" t="s">
        <v>60</v>
      </c>
      <c r="D72" s="18" t="s">
        <v>668</v>
      </c>
      <c r="E72" s="18" t="s">
        <v>669</v>
      </c>
      <c r="F72" s="18" t="s">
        <v>302</v>
      </c>
      <c r="G72" s="18" t="s">
        <v>673</v>
      </c>
      <c r="H72" s="23"/>
      <c r="I72" s="25"/>
      <c r="J72" s="28">
        <v>46113.0</v>
      </c>
      <c r="K72" s="28">
        <v>46142.0</v>
      </c>
      <c r="L72" s="32"/>
      <c r="M72" s="35"/>
      <c r="N72" s="36"/>
      <c r="O72" s="38">
        <v>30.0</v>
      </c>
      <c r="P72" s="36"/>
      <c r="Q72" s="38">
        <v>30.0</v>
      </c>
      <c r="R72" s="36"/>
      <c r="S72" s="38" t="s">
        <v>53</v>
      </c>
      <c r="T72" s="42"/>
      <c r="U72" s="38">
        <v>100000.0</v>
      </c>
      <c r="V72" s="46"/>
      <c r="W72" s="42"/>
    </row>
    <row r="73">
      <c r="A73" s="15">
        <v>72.0</v>
      </c>
      <c r="B73" s="18" t="s">
        <v>33</v>
      </c>
      <c r="C73" s="18" t="s">
        <v>60</v>
      </c>
      <c r="D73" s="18" t="s">
        <v>678</v>
      </c>
      <c r="E73" s="18" t="s">
        <v>679</v>
      </c>
      <c r="F73" s="18" t="s">
        <v>139</v>
      </c>
      <c r="G73" s="18" t="s">
        <v>680</v>
      </c>
      <c r="H73" s="23"/>
      <c r="I73" s="25"/>
      <c r="J73" s="28">
        <v>46133.0</v>
      </c>
      <c r="K73" s="28">
        <v>46142.0</v>
      </c>
      <c r="L73" s="32"/>
      <c r="M73" s="35"/>
      <c r="N73" s="36"/>
      <c r="O73" s="38">
        <v>10.0</v>
      </c>
      <c r="P73" s="36"/>
      <c r="Q73" s="38">
        <v>10.0</v>
      </c>
      <c r="R73" s="36"/>
      <c r="S73" s="38" t="s">
        <v>324</v>
      </c>
      <c r="T73" s="42"/>
      <c r="U73" s="38">
        <v>33333.33</v>
      </c>
      <c r="V73" s="46"/>
      <c r="W73" s="42"/>
    </row>
    <row r="74">
      <c r="A74" s="15">
        <v>73.0</v>
      </c>
      <c r="B74" s="18" t="s">
        <v>33</v>
      </c>
      <c r="C74" s="18" t="s">
        <v>60</v>
      </c>
      <c r="D74" s="18" t="s">
        <v>684</v>
      </c>
      <c r="E74" s="18" t="s">
        <v>686</v>
      </c>
      <c r="F74" s="18" t="s">
        <v>213</v>
      </c>
      <c r="G74" s="18" t="s">
        <v>689</v>
      </c>
      <c r="H74" s="23"/>
      <c r="I74" s="25"/>
      <c r="J74" s="28">
        <v>46113.0</v>
      </c>
      <c r="K74" s="28">
        <v>46142.0</v>
      </c>
      <c r="L74" s="32"/>
      <c r="M74" s="35"/>
      <c r="N74" s="36"/>
      <c r="O74" s="38">
        <v>30.0</v>
      </c>
      <c r="P74" s="36"/>
      <c r="Q74" s="38">
        <v>30.0</v>
      </c>
      <c r="R74" s="36"/>
      <c r="S74" s="38" t="s">
        <v>53</v>
      </c>
      <c r="T74" s="42"/>
      <c r="U74" s="38">
        <v>100000.0</v>
      </c>
      <c r="V74" s="46"/>
      <c r="W74" s="42"/>
    </row>
    <row r="75">
      <c r="A75" s="15">
        <v>74.0</v>
      </c>
      <c r="B75" s="18" t="s">
        <v>33</v>
      </c>
      <c r="C75" s="18" t="s">
        <v>60</v>
      </c>
      <c r="D75" s="18" t="s">
        <v>693</v>
      </c>
      <c r="E75" s="18" t="s">
        <v>694</v>
      </c>
      <c r="F75" s="18" t="s">
        <v>201</v>
      </c>
      <c r="G75" s="18" t="s">
        <v>696</v>
      </c>
      <c r="H75" s="23"/>
      <c r="I75" s="25"/>
      <c r="J75" s="28">
        <v>46122.0</v>
      </c>
      <c r="K75" s="28">
        <v>46142.0</v>
      </c>
      <c r="L75" s="32"/>
      <c r="M75" s="35"/>
      <c r="N75" s="36"/>
      <c r="O75" s="38">
        <v>21.0</v>
      </c>
      <c r="P75" s="36"/>
      <c r="Q75" s="38">
        <v>21.0</v>
      </c>
      <c r="R75" s="36"/>
      <c r="S75" s="38" t="s">
        <v>157</v>
      </c>
      <c r="T75" s="42"/>
      <c r="U75" s="38">
        <v>70000.0</v>
      </c>
      <c r="V75" s="46"/>
      <c r="W75" s="42"/>
    </row>
    <row r="76">
      <c r="A76" s="15">
        <v>75.0</v>
      </c>
      <c r="B76" s="18" t="s">
        <v>33</v>
      </c>
      <c r="C76" s="18" t="s">
        <v>60</v>
      </c>
      <c r="D76" s="18" t="s">
        <v>701</v>
      </c>
      <c r="E76" s="18" t="s">
        <v>244</v>
      </c>
      <c r="F76" s="18" t="s">
        <v>58</v>
      </c>
      <c r="G76" s="18" t="s">
        <v>703</v>
      </c>
      <c r="H76" s="23"/>
      <c r="I76" s="25"/>
      <c r="J76" s="28">
        <v>46113.0</v>
      </c>
      <c r="K76" s="28">
        <v>46142.0</v>
      </c>
      <c r="L76" s="32"/>
      <c r="M76" s="35"/>
      <c r="N76" s="36"/>
      <c r="O76" s="38">
        <v>30.0</v>
      </c>
      <c r="P76" s="36"/>
      <c r="Q76" s="38">
        <v>30.0</v>
      </c>
      <c r="R76" s="36"/>
      <c r="S76" s="38" t="s">
        <v>53</v>
      </c>
      <c r="T76" s="42"/>
      <c r="U76" s="38">
        <v>100000.0</v>
      </c>
      <c r="V76" s="46"/>
      <c r="W76" s="42"/>
    </row>
    <row r="77">
      <c r="A77" s="15">
        <v>76.0</v>
      </c>
      <c r="B77" s="18" t="s">
        <v>33</v>
      </c>
      <c r="C77" s="18" t="s">
        <v>60</v>
      </c>
      <c r="D77" s="18" t="s">
        <v>708</v>
      </c>
      <c r="E77" s="18" t="s">
        <v>710</v>
      </c>
      <c r="F77" s="18" t="s">
        <v>178</v>
      </c>
      <c r="G77" s="18" t="s">
        <v>712</v>
      </c>
      <c r="H77" s="23"/>
      <c r="I77" s="25"/>
      <c r="J77" s="28">
        <v>46113.0</v>
      </c>
      <c r="K77" s="28">
        <v>46142.0</v>
      </c>
      <c r="L77" s="32"/>
      <c r="M77" s="35"/>
      <c r="N77" s="36"/>
      <c r="O77" s="38">
        <v>30.0</v>
      </c>
      <c r="P77" s="36"/>
      <c r="Q77" s="38">
        <v>30.0</v>
      </c>
      <c r="R77" s="36"/>
      <c r="S77" s="38" t="s">
        <v>53</v>
      </c>
      <c r="T77" s="42"/>
      <c r="U77" s="38">
        <v>100000.0</v>
      </c>
      <c r="V77" s="46"/>
      <c r="W77" s="42"/>
    </row>
    <row r="78">
      <c r="A78" s="15">
        <v>77.0</v>
      </c>
      <c r="B78" s="18" t="s">
        <v>33</v>
      </c>
      <c r="C78" s="18" t="s">
        <v>60</v>
      </c>
      <c r="D78" s="18" t="s">
        <v>717</v>
      </c>
      <c r="E78" s="18" t="s">
        <v>718</v>
      </c>
      <c r="F78" s="18" t="s">
        <v>201</v>
      </c>
      <c r="G78" s="18" t="s">
        <v>722</v>
      </c>
      <c r="H78" s="23"/>
      <c r="I78" s="25"/>
      <c r="J78" s="28">
        <v>46122.0</v>
      </c>
      <c r="K78" s="28">
        <v>46142.0</v>
      </c>
      <c r="L78" s="32"/>
      <c r="M78" s="35"/>
      <c r="N78" s="36"/>
      <c r="O78" s="38">
        <v>21.0</v>
      </c>
      <c r="P78" s="36"/>
      <c r="Q78" s="38">
        <v>21.0</v>
      </c>
      <c r="R78" s="36"/>
      <c r="S78" s="38" t="s">
        <v>157</v>
      </c>
      <c r="T78" s="42"/>
      <c r="U78" s="38">
        <v>70000.0</v>
      </c>
      <c r="V78" s="46"/>
      <c r="W78" s="42"/>
    </row>
    <row r="79">
      <c r="A79" s="15">
        <v>78.0</v>
      </c>
      <c r="B79" s="18" t="s">
        <v>33</v>
      </c>
      <c r="C79" s="18" t="s">
        <v>60</v>
      </c>
      <c r="D79" s="18" t="s">
        <v>729</v>
      </c>
      <c r="E79" s="18" t="s">
        <v>730</v>
      </c>
      <c r="F79" s="18" t="s">
        <v>201</v>
      </c>
      <c r="G79" s="18" t="s">
        <v>722</v>
      </c>
      <c r="H79" s="51">
        <v>46113.0</v>
      </c>
      <c r="I79" s="51">
        <v>46125.0</v>
      </c>
      <c r="J79" s="28">
        <v>46126.0</v>
      </c>
      <c r="K79" s="28">
        <v>46142.0</v>
      </c>
      <c r="L79" s="32"/>
      <c r="M79" s="35"/>
      <c r="N79" s="38">
        <v>13.0</v>
      </c>
      <c r="O79" s="38">
        <v>17.0</v>
      </c>
      <c r="P79" s="36"/>
      <c r="Q79" s="38">
        <v>30.0</v>
      </c>
      <c r="R79" s="38" t="s">
        <v>217</v>
      </c>
      <c r="S79" s="38" t="s">
        <v>218</v>
      </c>
      <c r="T79" s="42"/>
      <c r="U79" s="38">
        <v>69666.67</v>
      </c>
      <c r="V79" s="46"/>
      <c r="W79" s="42"/>
    </row>
    <row r="80">
      <c r="A80" s="15">
        <v>79.0</v>
      </c>
      <c r="B80" s="18" t="s">
        <v>33</v>
      </c>
      <c r="C80" s="18" t="s">
        <v>60</v>
      </c>
      <c r="D80" s="18" t="s">
        <v>735</v>
      </c>
      <c r="E80" s="18" t="s">
        <v>737</v>
      </c>
      <c r="F80" s="18" t="s">
        <v>287</v>
      </c>
      <c r="G80" s="18" t="s">
        <v>739</v>
      </c>
      <c r="H80" s="23"/>
      <c r="I80" s="25"/>
      <c r="J80" s="28">
        <v>46122.0</v>
      </c>
      <c r="K80" s="28">
        <v>46142.0</v>
      </c>
      <c r="L80" s="32"/>
      <c r="M80" s="35"/>
      <c r="N80" s="36"/>
      <c r="O80" s="38">
        <v>21.0</v>
      </c>
      <c r="P80" s="36"/>
      <c r="Q80" s="38">
        <v>21.0</v>
      </c>
      <c r="R80" s="36"/>
      <c r="S80" s="38" t="s">
        <v>157</v>
      </c>
      <c r="T80" s="42"/>
      <c r="U80" s="38">
        <v>70000.0</v>
      </c>
      <c r="V80" s="46"/>
      <c r="W80" s="42"/>
    </row>
    <row r="81">
      <c r="A81" s="15">
        <v>80.0</v>
      </c>
      <c r="B81" s="18" t="s">
        <v>33</v>
      </c>
      <c r="C81" s="18" t="s">
        <v>60</v>
      </c>
      <c r="D81" s="18" t="s">
        <v>745</v>
      </c>
      <c r="E81" s="18" t="s">
        <v>746</v>
      </c>
      <c r="F81" s="18" t="s">
        <v>287</v>
      </c>
      <c r="G81" s="18" t="s">
        <v>739</v>
      </c>
      <c r="H81" s="23"/>
      <c r="I81" s="25"/>
      <c r="J81" s="28">
        <v>46115.0</v>
      </c>
      <c r="K81" s="28">
        <v>46142.0</v>
      </c>
      <c r="L81" s="32"/>
      <c r="M81" s="35"/>
      <c r="N81" s="36"/>
      <c r="O81" s="38">
        <v>28.0</v>
      </c>
      <c r="P81" s="36"/>
      <c r="Q81" s="38">
        <v>28.0</v>
      </c>
      <c r="R81" s="36"/>
      <c r="S81" s="38" t="s">
        <v>751</v>
      </c>
      <c r="T81" s="42"/>
      <c r="U81" s="38">
        <v>93333.33</v>
      </c>
      <c r="V81" s="46"/>
      <c r="W81" s="42"/>
    </row>
    <row r="82">
      <c r="A82" s="15">
        <v>81.0</v>
      </c>
      <c r="B82" s="18" t="s">
        <v>33</v>
      </c>
      <c r="C82" s="18" t="s">
        <v>60</v>
      </c>
      <c r="D82" s="18" t="s">
        <v>755</v>
      </c>
      <c r="E82" s="18" t="s">
        <v>725</v>
      </c>
      <c r="F82" s="18" t="s">
        <v>287</v>
      </c>
      <c r="G82" s="18" t="s">
        <v>739</v>
      </c>
      <c r="H82" s="23"/>
      <c r="I82" s="25"/>
      <c r="J82" s="28">
        <v>46133.0</v>
      </c>
      <c r="K82" s="28">
        <v>46142.0</v>
      </c>
      <c r="L82" s="32"/>
      <c r="M82" s="35"/>
      <c r="N82" s="36"/>
      <c r="O82" s="38">
        <v>10.0</v>
      </c>
      <c r="P82" s="36"/>
      <c r="Q82" s="38">
        <v>10.0</v>
      </c>
      <c r="R82" s="36"/>
      <c r="S82" s="38" t="s">
        <v>324</v>
      </c>
      <c r="T82" s="42"/>
      <c r="U82" s="38">
        <v>33333.33</v>
      </c>
      <c r="V82" s="46"/>
      <c r="W82" s="42"/>
    </row>
    <row r="83">
      <c r="A83" s="15">
        <v>82.0</v>
      </c>
      <c r="B83" s="18" t="s">
        <v>33</v>
      </c>
      <c r="C83" s="18" t="s">
        <v>326</v>
      </c>
      <c r="D83" s="18" t="s">
        <v>763</v>
      </c>
      <c r="E83" s="18" t="s">
        <v>765</v>
      </c>
      <c r="F83" s="18" t="s">
        <v>331</v>
      </c>
      <c r="G83" s="18" t="s">
        <v>767</v>
      </c>
      <c r="H83" s="23"/>
      <c r="I83" s="25"/>
      <c r="J83" s="28">
        <v>46113.0</v>
      </c>
      <c r="K83" s="28">
        <v>46142.0</v>
      </c>
      <c r="L83" s="32"/>
      <c r="M83" s="35"/>
      <c r="N83" s="36"/>
      <c r="O83" s="38">
        <v>30.0</v>
      </c>
      <c r="P83" s="36"/>
      <c r="Q83" s="38">
        <v>30.0</v>
      </c>
      <c r="R83" s="36"/>
      <c r="S83" s="38" t="s">
        <v>53</v>
      </c>
      <c r="T83" s="42"/>
      <c r="U83" s="38">
        <v>100000.0</v>
      </c>
      <c r="V83" s="46"/>
      <c r="W83" s="42"/>
    </row>
    <row r="84">
      <c r="A84" s="15">
        <v>83.0</v>
      </c>
      <c r="B84" s="18" t="s">
        <v>33</v>
      </c>
      <c r="C84" s="18" t="s">
        <v>60</v>
      </c>
      <c r="D84" s="18" t="s">
        <v>772</v>
      </c>
      <c r="E84" s="18" t="s">
        <v>773</v>
      </c>
      <c r="F84" s="18" t="s">
        <v>331</v>
      </c>
      <c r="G84" s="18" t="s">
        <v>767</v>
      </c>
      <c r="H84" s="23"/>
      <c r="I84" s="25"/>
      <c r="J84" s="28">
        <v>46113.0</v>
      </c>
      <c r="K84" s="28">
        <v>46142.0</v>
      </c>
      <c r="L84" s="32"/>
      <c r="M84" s="35"/>
      <c r="N84" s="36"/>
      <c r="O84" s="38">
        <v>30.0</v>
      </c>
      <c r="P84" s="36"/>
      <c r="Q84" s="38">
        <v>30.0</v>
      </c>
      <c r="R84" s="36"/>
      <c r="S84" s="38" t="s">
        <v>53</v>
      </c>
      <c r="T84" s="42"/>
      <c r="U84" s="38">
        <v>100000.0</v>
      </c>
      <c r="V84" s="46"/>
      <c r="W84" s="42"/>
    </row>
    <row r="85">
      <c r="A85" s="15">
        <v>84.0</v>
      </c>
      <c r="B85" s="18" t="s">
        <v>33</v>
      </c>
      <c r="C85" s="18" t="s">
        <v>363</v>
      </c>
      <c r="D85" s="18" t="s">
        <v>780</v>
      </c>
      <c r="E85" s="18" t="s">
        <v>781</v>
      </c>
      <c r="F85" s="18" t="s">
        <v>267</v>
      </c>
      <c r="G85" s="18" t="s">
        <v>783</v>
      </c>
      <c r="H85" s="23"/>
      <c r="I85" s="25"/>
      <c r="J85" s="28">
        <v>46113.0</v>
      </c>
      <c r="K85" s="28">
        <v>46142.0</v>
      </c>
      <c r="L85" s="32"/>
      <c r="M85" s="35"/>
      <c r="N85" s="36"/>
      <c r="O85" s="38">
        <v>30.0</v>
      </c>
      <c r="P85" s="36"/>
      <c r="Q85" s="38">
        <v>30.0</v>
      </c>
      <c r="R85" s="36"/>
      <c r="S85" s="38" t="s">
        <v>53</v>
      </c>
      <c r="T85" s="42"/>
      <c r="U85" s="38">
        <v>100000.0</v>
      </c>
      <c r="V85" s="46"/>
      <c r="W85" s="42"/>
    </row>
    <row r="86">
      <c r="A86" s="15">
        <v>85.0</v>
      </c>
      <c r="B86" s="18" t="s">
        <v>33</v>
      </c>
      <c r="C86" s="18" t="s">
        <v>656</v>
      </c>
      <c r="D86" s="18" t="s">
        <v>784</v>
      </c>
      <c r="E86" s="18" t="s">
        <v>785</v>
      </c>
      <c r="F86" s="18" t="s">
        <v>786</v>
      </c>
      <c r="G86" s="18" t="s">
        <v>787</v>
      </c>
      <c r="H86" s="23"/>
      <c r="I86" s="25"/>
      <c r="J86" s="28">
        <v>46113.0</v>
      </c>
      <c r="K86" s="28">
        <v>46142.0</v>
      </c>
      <c r="L86" s="32"/>
      <c r="M86" s="35"/>
      <c r="N86" s="36"/>
      <c r="O86" s="38">
        <v>30.0</v>
      </c>
      <c r="P86" s="36"/>
      <c r="Q86" s="38">
        <v>30.0</v>
      </c>
      <c r="R86" s="36"/>
      <c r="S86" s="38" t="s">
        <v>53</v>
      </c>
      <c r="T86" s="42"/>
      <c r="U86" s="38">
        <v>100000.0</v>
      </c>
      <c r="V86" s="46"/>
      <c r="W86" s="42"/>
    </row>
    <row r="87">
      <c r="A87" s="15">
        <v>86.0</v>
      </c>
      <c r="B87" s="18" t="s">
        <v>33</v>
      </c>
      <c r="C87" s="18" t="s">
        <v>610</v>
      </c>
      <c r="D87" s="18" t="s">
        <v>791</v>
      </c>
      <c r="E87" s="18" t="s">
        <v>792</v>
      </c>
      <c r="F87" s="18" t="s">
        <v>178</v>
      </c>
      <c r="G87" s="18" t="s">
        <v>794</v>
      </c>
      <c r="H87" s="23"/>
      <c r="I87" s="25"/>
      <c r="J87" s="28">
        <v>46113.0</v>
      </c>
      <c r="K87" s="28">
        <v>46142.0</v>
      </c>
      <c r="L87" s="32"/>
      <c r="M87" s="35"/>
      <c r="N87" s="36"/>
      <c r="O87" s="38">
        <v>30.0</v>
      </c>
      <c r="P87" s="36"/>
      <c r="Q87" s="38">
        <v>30.0</v>
      </c>
      <c r="R87" s="36"/>
      <c r="S87" s="38" t="s">
        <v>53</v>
      </c>
      <c r="T87" s="42"/>
      <c r="U87" s="38">
        <v>100000.0</v>
      </c>
      <c r="V87" s="46"/>
      <c r="W87" s="42"/>
    </row>
    <row r="88">
      <c r="A88" s="15">
        <v>87.0</v>
      </c>
      <c r="B88" s="18" t="s">
        <v>33</v>
      </c>
      <c r="C88" s="18" t="s">
        <v>60</v>
      </c>
      <c r="D88" s="18" t="s">
        <v>801</v>
      </c>
      <c r="E88" s="18" t="s">
        <v>802</v>
      </c>
      <c r="F88" s="18" t="s">
        <v>460</v>
      </c>
      <c r="G88" s="18" t="s">
        <v>804</v>
      </c>
      <c r="H88" s="23"/>
      <c r="I88" s="25"/>
      <c r="J88" s="28">
        <v>46133.0</v>
      </c>
      <c r="K88" s="28">
        <v>46142.0</v>
      </c>
      <c r="L88" s="32"/>
      <c r="M88" s="35"/>
      <c r="N88" s="36"/>
      <c r="O88" s="38">
        <v>10.0</v>
      </c>
      <c r="P88" s="36"/>
      <c r="Q88" s="38">
        <v>10.0</v>
      </c>
      <c r="R88" s="36"/>
      <c r="S88" s="38" t="s">
        <v>324</v>
      </c>
      <c r="T88" s="42"/>
      <c r="U88" s="38">
        <v>33333.33</v>
      </c>
      <c r="V88" s="46"/>
      <c r="W88" s="42"/>
    </row>
    <row r="89">
      <c r="A89" s="15">
        <v>88.0</v>
      </c>
      <c r="B89" s="18" t="s">
        <v>33</v>
      </c>
      <c r="C89" s="18" t="s">
        <v>60</v>
      </c>
      <c r="D89" s="18" t="s">
        <v>807</v>
      </c>
      <c r="E89" s="18" t="s">
        <v>809</v>
      </c>
      <c r="F89" s="18" t="s">
        <v>187</v>
      </c>
      <c r="G89" s="18" t="s">
        <v>811</v>
      </c>
      <c r="H89" s="23"/>
      <c r="I89" s="25"/>
      <c r="J89" s="28">
        <v>46130.0</v>
      </c>
      <c r="K89" s="28">
        <v>46142.0</v>
      </c>
      <c r="L89" s="32"/>
      <c r="M89" s="35"/>
      <c r="N89" s="36"/>
      <c r="O89" s="38">
        <v>13.0</v>
      </c>
      <c r="P89" s="36"/>
      <c r="Q89" s="38">
        <v>13.0</v>
      </c>
      <c r="R89" s="36"/>
      <c r="S89" s="38" t="s">
        <v>75</v>
      </c>
      <c r="T89" s="42"/>
      <c r="U89" s="38">
        <v>43333.33</v>
      </c>
      <c r="V89" s="46"/>
      <c r="W89" s="42"/>
    </row>
    <row r="90">
      <c r="A90" s="15">
        <v>89.0</v>
      </c>
      <c r="B90" s="18" t="s">
        <v>33</v>
      </c>
      <c r="C90" s="18" t="s">
        <v>60</v>
      </c>
      <c r="D90" s="18" t="s">
        <v>816</v>
      </c>
      <c r="E90" s="18" t="s">
        <v>817</v>
      </c>
      <c r="F90" s="18" t="s">
        <v>321</v>
      </c>
      <c r="G90" s="18" t="s">
        <v>818</v>
      </c>
      <c r="H90" s="23"/>
      <c r="I90" s="25"/>
      <c r="J90" s="28">
        <v>46133.0</v>
      </c>
      <c r="K90" s="28">
        <v>46142.0</v>
      </c>
      <c r="L90" s="32"/>
      <c r="M90" s="35"/>
      <c r="N90" s="36"/>
      <c r="O90" s="38">
        <v>10.0</v>
      </c>
      <c r="P90" s="36"/>
      <c r="Q90" s="38">
        <v>10.0</v>
      </c>
      <c r="R90" s="36"/>
      <c r="S90" s="38" t="s">
        <v>324</v>
      </c>
      <c r="T90" s="42"/>
      <c r="U90" s="38">
        <v>33333.33</v>
      </c>
      <c r="V90" s="46"/>
      <c r="W90" s="42"/>
    </row>
    <row r="91">
      <c r="A91" s="15">
        <v>90.0</v>
      </c>
      <c r="B91" s="18" t="s">
        <v>33</v>
      </c>
      <c r="C91" s="18" t="s">
        <v>326</v>
      </c>
      <c r="D91" s="18" t="s">
        <v>819</v>
      </c>
      <c r="E91" s="18" t="s">
        <v>820</v>
      </c>
      <c r="F91" s="18" t="s">
        <v>213</v>
      </c>
      <c r="G91" s="18" t="s">
        <v>821</v>
      </c>
      <c r="H91" s="23"/>
      <c r="I91" s="25"/>
      <c r="J91" s="28">
        <v>46122.0</v>
      </c>
      <c r="K91" s="28">
        <v>46142.0</v>
      </c>
      <c r="L91" s="32"/>
      <c r="M91" s="35"/>
      <c r="N91" s="36"/>
      <c r="O91" s="38">
        <v>21.0</v>
      </c>
      <c r="P91" s="36"/>
      <c r="Q91" s="38">
        <v>21.0</v>
      </c>
      <c r="R91" s="36"/>
      <c r="S91" s="38" t="s">
        <v>157</v>
      </c>
      <c r="T91" s="42"/>
      <c r="U91" s="38">
        <v>70000.0</v>
      </c>
      <c r="V91" s="46"/>
      <c r="W91" s="42"/>
    </row>
    <row r="92">
      <c r="A92" s="15">
        <v>91.0</v>
      </c>
      <c r="B92" s="18" t="s">
        <v>33</v>
      </c>
      <c r="C92" s="18" t="s">
        <v>60</v>
      </c>
      <c r="D92" s="18" t="s">
        <v>826</v>
      </c>
      <c r="E92" s="18" t="s">
        <v>828</v>
      </c>
      <c r="F92" s="18" t="s">
        <v>178</v>
      </c>
      <c r="G92" s="18" t="s">
        <v>830</v>
      </c>
      <c r="H92" s="23"/>
      <c r="I92" s="25"/>
      <c r="J92" s="28">
        <v>46113.0</v>
      </c>
      <c r="K92" s="28">
        <v>46142.0</v>
      </c>
      <c r="L92" s="32"/>
      <c r="M92" s="35"/>
      <c r="N92" s="36"/>
      <c r="O92" s="38">
        <v>30.0</v>
      </c>
      <c r="P92" s="36"/>
      <c r="Q92" s="38">
        <v>30.0</v>
      </c>
      <c r="R92" s="36"/>
      <c r="S92" s="38" t="s">
        <v>53</v>
      </c>
      <c r="T92" s="42"/>
      <c r="U92" s="38">
        <v>100000.0</v>
      </c>
      <c r="V92" s="46"/>
      <c r="W92" s="42"/>
    </row>
    <row r="93">
      <c r="A93" s="15">
        <v>92.0</v>
      </c>
      <c r="B93" s="18" t="s">
        <v>33</v>
      </c>
      <c r="C93" s="18" t="s">
        <v>60</v>
      </c>
      <c r="D93" s="18" t="s">
        <v>834</v>
      </c>
      <c r="E93" s="18" t="s">
        <v>835</v>
      </c>
      <c r="F93" s="18" t="s">
        <v>302</v>
      </c>
      <c r="G93" s="18" t="s">
        <v>838</v>
      </c>
      <c r="H93" s="23"/>
      <c r="I93" s="25"/>
      <c r="J93" s="28">
        <v>46113.0</v>
      </c>
      <c r="K93" s="28">
        <v>46142.0</v>
      </c>
      <c r="L93" s="32"/>
      <c r="M93" s="35"/>
      <c r="N93" s="36"/>
      <c r="O93" s="38">
        <v>30.0</v>
      </c>
      <c r="P93" s="36"/>
      <c r="Q93" s="38">
        <v>30.0</v>
      </c>
      <c r="R93" s="36"/>
      <c r="S93" s="38" t="s">
        <v>53</v>
      </c>
      <c r="T93" s="42"/>
      <c r="U93" s="38">
        <v>100000.0</v>
      </c>
      <c r="V93" s="46"/>
      <c r="W93" s="42"/>
    </row>
    <row r="94">
      <c r="A94" s="15">
        <v>93.0</v>
      </c>
      <c r="B94" s="18" t="s">
        <v>33</v>
      </c>
      <c r="C94" s="18" t="s">
        <v>60</v>
      </c>
      <c r="D94" s="18" t="s">
        <v>843</v>
      </c>
      <c r="E94" s="18" t="s">
        <v>844</v>
      </c>
      <c r="F94" s="18" t="s">
        <v>139</v>
      </c>
      <c r="G94" s="18" t="s">
        <v>845</v>
      </c>
      <c r="H94" s="23"/>
      <c r="I94" s="25"/>
      <c r="J94" s="28">
        <v>46113.0</v>
      </c>
      <c r="K94" s="28">
        <v>46142.0</v>
      </c>
      <c r="L94" s="32"/>
      <c r="M94" s="35"/>
      <c r="N94" s="36"/>
      <c r="O94" s="38">
        <v>30.0</v>
      </c>
      <c r="P94" s="36"/>
      <c r="Q94" s="38">
        <v>30.0</v>
      </c>
      <c r="R94" s="36"/>
      <c r="S94" s="38" t="s">
        <v>53</v>
      </c>
      <c r="T94" s="42"/>
      <c r="U94" s="38">
        <v>100000.0</v>
      </c>
      <c r="V94" s="46"/>
      <c r="W94" s="42"/>
    </row>
    <row r="95">
      <c r="A95" s="15">
        <v>94.0</v>
      </c>
      <c r="B95" s="18" t="s">
        <v>33</v>
      </c>
      <c r="C95" s="18" t="s">
        <v>60</v>
      </c>
      <c r="D95" s="18" t="s">
        <v>852</v>
      </c>
      <c r="E95" s="18" t="s">
        <v>853</v>
      </c>
      <c r="F95" s="18" t="s">
        <v>321</v>
      </c>
      <c r="G95" s="18" t="s">
        <v>854</v>
      </c>
      <c r="H95" s="23"/>
      <c r="I95" s="25"/>
      <c r="J95" s="28">
        <v>46133.0</v>
      </c>
      <c r="K95" s="28">
        <v>46142.0</v>
      </c>
      <c r="L95" s="32"/>
      <c r="M95" s="35"/>
      <c r="N95" s="36"/>
      <c r="O95" s="38">
        <v>10.0</v>
      </c>
      <c r="P95" s="36"/>
      <c r="Q95" s="38">
        <v>10.0</v>
      </c>
      <c r="R95" s="36"/>
      <c r="S95" s="38" t="s">
        <v>324</v>
      </c>
      <c r="T95" s="42"/>
      <c r="U95" s="38">
        <v>33333.33</v>
      </c>
      <c r="V95" s="46"/>
      <c r="W95" s="42"/>
    </row>
    <row r="96">
      <c r="A96" s="15">
        <v>95.0</v>
      </c>
      <c r="B96" s="18" t="s">
        <v>33</v>
      </c>
      <c r="C96" s="18" t="s">
        <v>60</v>
      </c>
      <c r="D96" s="18" t="s">
        <v>857</v>
      </c>
      <c r="E96" s="18" t="s">
        <v>858</v>
      </c>
      <c r="F96" s="18" t="s">
        <v>213</v>
      </c>
      <c r="G96" s="18" t="s">
        <v>859</v>
      </c>
      <c r="H96" s="23"/>
      <c r="I96" s="25"/>
      <c r="J96" s="28">
        <v>46113.0</v>
      </c>
      <c r="K96" s="28">
        <v>46142.0</v>
      </c>
      <c r="L96" s="32"/>
      <c r="M96" s="35"/>
      <c r="N96" s="36"/>
      <c r="O96" s="38">
        <v>30.0</v>
      </c>
      <c r="P96" s="36"/>
      <c r="Q96" s="38">
        <v>30.0</v>
      </c>
      <c r="R96" s="36"/>
      <c r="S96" s="38" t="s">
        <v>53</v>
      </c>
      <c r="T96" s="42"/>
      <c r="U96" s="38">
        <v>100000.0</v>
      </c>
      <c r="V96" s="46"/>
      <c r="W96" s="42"/>
    </row>
    <row r="97">
      <c r="A97" s="15">
        <v>96.0</v>
      </c>
      <c r="B97" s="18" t="s">
        <v>33</v>
      </c>
      <c r="C97" s="18" t="s">
        <v>360</v>
      </c>
      <c r="D97" s="18" t="s">
        <v>862</v>
      </c>
      <c r="E97" s="18" t="s">
        <v>193</v>
      </c>
      <c r="F97" s="18" t="s">
        <v>178</v>
      </c>
      <c r="G97" s="18" t="s">
        <v>864</v>
      </c>
      <c r="H97" s="23"/>
      <c r="I97" s="25"/>
      <c r="J97" s="28">
        <v>46133.0</v>
      </c>
      <c r="K97" s="28">
        <v>46142.0</v>
      </c>
      <c r="L97" s="32"/>
      <c r="M97" s="35"/>
      <c r="N97" s="36"/>
      <c r="O97" s="38">
        <v>10.0</v>
      </c>
      <c r="P97" s="36"/>
      <c r="Q97" s="38">
        <v>10.0</v>
      </c>
      <c r="R97" s="36"/>
      <c r="S97" s="38" t="s">
        <v>324</v>
      </c>
      <c r="T97" s="42"/>
      <c r="U97" s="38">
        <v>33333.33</v>
      </c>
      <c r="V97" s="46"/>
      <c r="W97" s="42"/>
    </row>
    <row r="98">
      <c r="A98" s="15">
        <v>97.0</v>
      </c>
      <c r="B98" s="18" t="s">
        <v>33</v>
      </c>
      <c r="C98" s="18" t="s">
        <v>60</v>
      </c>
      <c r="D98" s="18" t="s">
        <v>869</v>
      </c>
      <c r="E98" s="18" t="s">
        <v>871</v>
      </c>
      <c r="F98" s="18" t="s">
        <v>187</v>
      </c>
      <c r="G98" s="18" t="s">
        <v>873</v>
      </c>
      <c r="H98" s="23"/>
      <c r="I98" s="25"/>
      <c r="J98" s="28">
        <v>46113.0</v>
      </c>
      <c r="K98" s="28">
        <v>46142.0</v>
      </c>
      <c r="L98" s="32"/>
      <c r="M98" s="35"/>
      <c r="N98" s="36"/>
      <c r="O98" s="38">
        <v>30.0</v>
      </c>
      <c r="P98" s="36"/>
      <c r="Q98" s="38">
        <v>30.0</v>
      </c>
      <c r="R98" s="36"/>
      <c r="S98" s="38" t="s">
        <v>53</v>
      </c>
      <c r="T98" s="42"/>
      <c r="U98" s="38">
        <v>100000.0</v>
      </c>
      <c r="V98" s="46"/>
      <c r="W98" s="42"/>
    </row>
    <row r="99">
      <c r="A99" s="15">
        <v>98.0</v>
      </c>
      <c r="B99" s="18" t="s">
        <v>33</v>
      </c>
      <c r="C99" s="18" t="s">
        <v>60</v>
      </c>
      <c r="D99" s="18" t="s">
        <v>877</v>
      </c>
      <c r="E99" s="18" t="s">
        <v>878</v>
      </c>
      <c r="F99" s="18" t="s">
        <v>321</v>
      </c>
      <c r="G99" s="18" t="s">
        <v>879</v>
      </c>
      <c r="H99" s="23"/>
      <c r="I99" s="25"/>
      <c r="J99" s="28">
        <v>46113.0</v>
      </c>
      <c r="K99" s="28">
        <v>46142.0</v>
      </c>
      <c r="L99" s="32"/>
      <c r="M99" s="35"/>
      <c r="N99" s="36"/>
      <c r="O99" s="38">
        <v>30.0</v>
      </c>
      <c r="P99" s="36"/>
      <c r="Q99" s="38">
        <v>30.0</v>
      </c>
      <c r="R99" s="36"/>
      <c r="S99" s="38" t="s">
        <v>53</v>
      </c>
      <c r="T99" s="42"/>
      <c r="U99" s="38">
        <v>100000.0</v>
      </c>
      <c r="V99" s="46"/>
      <c r="W99" s="42"/>
    </row>
    <row r="100">
      <c r="A100" s="15">
        <v>99.0</v>
      </c>
      <c r="B100" s="18" t="s">
        <v>33</v>
      </c>
      <c r="C100" s="18" t="s">
        <v>60</v>
      </c>
      <c r="D100" s="18" t="s">
        <v>883</v>
      </c>
      <c r="E100" s="18" t="s">
        <v>884</v>
      </c>
      <c r="F100" s="18" t="s">
        <v>213</v>
      </c>
      <c r="G100" s="18" t="s">
        <v>885</v>
      </c>
      <c r="H100" s="23"/>
      <c r="I100" s="25"/>
      <c r="J100" s="28">
        <v>46113.0</v>
      </c>
      <c r="K100" s="28">
        <v>46142.0</v>
      </c>
      <c r="L100" s="32"/>
      <c r="M100" s="35"/>
      <c r="N100" s="36"/>
      <c r="O100" s="38">
        <v>30.0</v>
      </c>
      <c r="P100" s="36"/>
      <c r="Q100" s="38">
        <v>30.0</v>
      </c>
      <c r="R100" s="36"/>
      <c r="S100" s="38" t="s">
        <v>53</v>
      </c>
      <c r="T100" s="42"/>
      <c r="U100" s="38">
        <v>100000.0</v>
      </c>
      <c r="V100" s="46"/>
      <c r="W100" s="42"/>
    </row>
    <row r="101">
      <c r="A101" s="15">
        <v>100.0</v>
      </c>
      <c r="B101" s="18" t="s">
        <v>33</v>
      </c>
      <c r="C101" s="18" t="s">
        <v>60</v>
      </c>
      <c r="D101" s="18" t="s">
        <v>890</v>
      </c>
      <c r="E101" s="18" t="s">
        <v>891</v>
      </c>
      <c r="F101" s="18" t="s">
        <v>58</v>
      </c>
      <c r="G101" s="18" t="s">
        <v>892</v>
      </c>
      <c r="H101" s="23"/>
      <c r="I101" s="25"/>
      <c r="J101" s="28">
        <v>46113.0</v>
      </c>
      <c r="K101" s="28">
        <v>46142.0</v>
      </c>
      <c r="L101" s="32"/>
      <c r="M101" s="35"/>
      <c r="N101" s="36"/>
      <c r="O101" s="38">
        <v>30.0</v>
      </c>
      <c r="P101" s="36"/>
      <c r="Q101" s="38">
        <v>30.0</v>
      </c>
      <c r="R101" s="36"/>
      <c r="S101" s="38" t="s">
        <v>53</v>
      </c>
      <c r="T101" s="42"/>
      <c r="U101" s="38">
        <v>100000.0</v>
      </c>
      <c r="V101" s="46"/>
      <c r="W101" s="42"/>
    </row>
    <row r="102">
      <c r="A102" s="15">
        <v>101.0</v>
      </c>
      <c r="B102" s="18" t="s">
        <v>33</v>
      </c>
      <c r="C102" s="18" t="s">
        <v>60</v>
      </c>
      <c r="D102" s="18" t="s">
        <v>893</v>
      </c>
      <c r="E102" s="18" t="s">
        <v>209</v>
      </c>
      <c r="F102" s="18" t="s">
        <v>119</v>
      </c>
      <c r="G102" s="18" t="s">
        <v>894</v>
      </c>
      <c r="H102" s="23"/>
      <c r="I102" s="25"/>
      <c r="J102" s="28">
        <v>46113.0</v>
      </c>
      <c r="K102" s="28">
        <v>46142.0</v>
      </c>
      <c r="L102" s="32"/>
      <c r="M102" s="35"/>
      <c r="N102" s="36"/>
      <c r="O102" s="38">
        <v>30.0</v>
      </c>
      <c r="P102" s="36"/>
      <c r="Q102" s="38">
        <v>30.0</v>
      </c>
      <c r="R102" s="36"/>
      <c r="S102" s="38" t="s">
        <v>53</v>
      </c>
      <c r="T102" s="42"/>
      <c r="U102" s="38">
        <v>100000.0</v>
      </c>
      <c r="V102" s="46"/>
      <c r="W102" s="42"/>
    </row>
    <row r="103">
      <c r="A103" s="15">
        <v>102.0</v>
      </c>
      <c r="B103" s="18" t="s">
        <v>33</v>
      </c>
      <c r="C103" s="18" t="s">
        <v>60</v>
      </c>
      <c r="D103" s="18" t="s">
        <v>897</v>
      </c>
      <c r="E103" s="18" t="s">
        <v>898</v>
      </c>
      <c r="F103" s="18" t="s">
        <v>295</v>
      </c>
      <c r="G103" s="18" t="s">
        <v>899</v>
      </c>
      <c r="H103" s="23"/>
      <c r="I103" s="25"/>
      <c r="J103" s="28">
        <v>46133.0</v>
      </c>
      <c r="K103" s="28">
        <v>46142.0</v>
      </c>
      <c r="L103" s="32"/>
      <c r="M103" s="35"/>
      <c r="N103" s="36"/>
      <c r="O103" s="38">
        <v>10.0</v>
      </c>
      <c r="P103" s="36"/>
      <c r="Q103" s="38">
        <v>10.0</v>
      </c>
      <c r="R103" s="36"/>
      <c r="S103" s="38" t="s">
        <v>324</v>
      </c>
      <c r="T103" s="42"/>
      <c r="U103" s="38">
        <v>33333.33</v>
      </c>
      <c r="V103" s="46"/>
      <c r="W103" s="42"/>
    </row>
    <row r="104">
      <c r="A104" s="15">
        <v>103.0</v>
      </c>
      <c r="B104" s="18" t="s">
        <v>33</v>
      </c>
      <c r="C104" s="18" t="s">
        <v>60</v>
      </c>
      <c r="D104" s="18" t="s">
        <v>902</v>
      </c>
      <c r="E104" s="18" t="s">
        <v>903</v>
      </c>
      <c r="F104" s="18" t="s">
        <v>178</v>
      </c>
      <c r="G104" s="18" t="s">
        <v>904</v>
      </c>
      <c r="H104" s="23"/>
      <c r="I104" s="25"/>
      <c r="J104" s="28">
        <v>46113.0</v>
      </c>
      <c r="K104" s="28">
        <v>46142.0</v>
      </c>
      <c r="L104" s="32"/>
      <c r="M104" s="35"/>
      <c r="N104" s="36"/>
      <c r="O104" s="38">
        <v>30.0</v>
      </c>
      <c r="P104" s="36"/>
      <c r="Q104" s="38">
        <v>30.0</v>
      </c>
      <c r="R104" s="36"/>
      <c r="S104" s="38" t="s">
        <v>53</v>
      </c>
      <c r="T104" s="42"/>
      <c r="U104" s="38">
        <v>100000.0</v>
      </c>
      <c r="V104" s="46"/>
      <c r="W104" s="42"/>
    </row>
    <row r="105">
      <c r="A105" s="15">
        <v>104.0</v>
      </c>
      <c r="B105" s="18" t="s">
        <v>33</v>
      </c>
      <c r="C105" s="18" t="s">
        <v>60</v>
      </c>
      <c r="D105" s="18" t="s">
        <v>906</v>
      </c>
      <c r="E105" s="18" t="s">
        <v>908</v>
      </c>
      <c r="F105" s="18" t="s">
        <v>139</v>
      </c>
      <c r="G105" s="18" t="s">
        <v>909</v>
      </c>
      <c r="H105" s="23"/>
      <c r="I105" s="25"/>
      <c r="J105" s="28">
        <v>46133.0</v>
      </c>
      <c r="K105" s="28">
        <v>46142.0</v>
      </c>
      <c r="L105" s="32"/>
      <c r="M105" s="35"/>
      <c r="N105" s="36"/>
      <c r="O105" s="38">
        <v>10.0</v>
      </c>
      <c r="P105" s="36"/>
      <c r="Q105" s="38">
        <v>10.0</v>
      </c>
      <c r="R105" s="36"/>
      <c r="S105" s="38" t="s">
        <v>324</v>
      </c>
      <c r="T105" s="42"/>
      <c r="U105" s="38">
        <v>33333.33</v>
      </c>
      <c r="V105" s="46"/>
      <c r="W105" s="42"/>
    </row>
    <row r="106">
      <c r="A106" s="15">
        <v>105.0</v>
      </c>
      <c r="B106" s="18" t="s">
        <v>33</v>
      </c>
      <c r="C106" s="18" t="s">
        <v>60</v>
      </c>
      <c r="D106" s="18" t="s">
        <v>911</v>
      </c>
      <c r="E106" s="18" t="s">
        <v>912</v>
      </c>
      <c r="F106" s="18" t="s">
        <v>58</v>
      </c>
      <c r="G106" s="18" t="s">
        <v>913</v>
      </c>
      <c r="H106" s="23"/>
      <c r="I106" s="25"/>
      <c r="J106" s="28">
        <v>46113.0</v>
      </c>
      <c r="K106" s="28">
        <v>46142.0</v>
      </c>
      <c r="L106" s="32"/>
      <c r="M106" s="35"/>
      <c r="N106" s="36"/>
      <c r="O106" s="38">
        <v>30.0</v>
      </c>
      <c r="P106" s="36"/>
      <c r="Q106" s="38">
        <v>30.0</v>
      </c>
      <c r="R106" s="36"/>
      <c r="S106" s="38" t="s">
        <v>53</v>
      </c>
      <c r="T106" s="42"/>
      <c r="U106" s="38">
        <v>100000.0</v>
      </c>
      <c r="V106" s="46"/>
      <c r="W106" s="42"/>
    </row>
    <row r="107">
      <c r="A107" s="15">
        <v>106.0</v>
      </c>
      <c r="B107" s="18" t="s">
        <v>33</v>
      </c>
      <c r="C107" s="18" t="s">
        <v>102</v>
      </c>
      <c r="D107" s="18" t="s">
        <v>914</v>
      </c>
      <c r="E107" s="18" t="s">
        <v>915</v>
      </c>
      <c r="F107" s="18" t="s">
        <v>178</v>
      </c>
      <c r="G107" s="18" t="s">
        <v>919</v>
      </c>
      <c r="H107" s="23"/>
      <c r="I107" s="25"/>
      <c r="J107" s="28">
        <v>46113.0</v>
      </c>
      <c r="K107" s="28">
        <v>46142.0</v>
      </c>
      <c r="L107" s="32"/>
      <c r="M107" s="35"/>
      <c r="N107" s="36"/>
      <c r="O107" s="38">
        <v>30.0</v>
      </c>
      <c r="P107" s="36"/>
      <c r="Q107" s="38">
        <v>30.0</v>
      </c>
      <c r="R107" s="36"/>
      <c r="S107" s="38" t="s">
        <v>53</v>
      </c>
      <c r="T107" s="42"/>
      <c r="U107" s="38">
        <v>100000.0</v>
      </c>
      <c r="V107" s="46"/>
      <c r="W107" s="42"/>
    </row>
    <row r="108">
      <c r="A108" s="15">
        <v>107.0</v>
      </c>
      <c r="B108" s="18" t="s">
        <v>33</v>
      </c>
      <c r="C108" s="18" t="s">
        <v>60</v>
      </c>
      <c r="D108" s="18" t="s">
        <v>920</v>
      </c>
      <c r="E108" s="18" t="s">
        <v>922</v>
      </c>
      <c r="F108" s="18" t="s">
        <v>302</v>
      </c>
      <c r="G108" s="18" t="s">
        <v>923</v>
      </c>
      <c r="H108" s="23"/>
      <c r="I108" s="25"/>
      <c r="J108" s="28">
        <v>46122.0</v>
      </c>
      <c r="K108" s="28">
        <v>46142.0</v>
      </c>
      <c r="L108" s="32"/>
      <c r="M108" s="35"/>
      <c r="N108" s="36"/>
      <c r="O108" s="38">
        <v>21.0</v>
      </c>
      <c r="P108" s="36"/>
      <c r="Q108" s="38">
        <v>21.0</v>
      </c>
      <c r="R108" s="36"/>
      <c r="S108" s="38" t="s">
        <v>157</v>
      </c>
      <c r="T108" s="42"/>
      <c r="U108" s="38">
        <v>70000.0</v>
      </c>
      <c r="V108" s="46"/>
      <c r="W108" s="42"/>
    </row>
    <row r="109">
      <c r="A109" s="15">
        <v>108.0</v>
      </c>
      <c r="B109" s="18" t="s">
        <v>33</v>
      </c>
      <c r="C109" s="18" t="s">
        <v>60</v>
      </c>
      <c r="D109" s="18" t="s">
        <v>924</v>
      </c>
      <c r="E109" s="18" t="s">
        <v>925</v>
      </c>
      <c r="F109" s="18" t="s">
        <v>139</v>
      </c>
      <c r="G109" s="18" t="s">
        <v>926</v>
      </c>
      <c r="H109" s="23"/>
      <c r="I109" s="25"/>
      <c r="J109" s="28">
        <v>46113.0</v>
      </c>
      <c r="K109" s="28">
        <v>46142.0</v>
      </c>
      <c r="L109" s="32"/>
      <c r="M109" s="35"/>
      <c r="N109" s="36"/>
      <c r="O109" s="38">
        <v>30.0</v>
      </c>
      <c r="P109" s="36"/>
      <c r="Q109" s="38">
        <v>30.0</v>
      </c>
      <c r="R109" s="36"/>
      <c r="S109" s="38" t="s">
        <v>53</v>
      </c>
      <c r="T109" s="42"/>
      <c r="U109" s="38">
        <v>100000.0</v>
      </c>
      <c r="V109" s="46"/>
      <c r="W109" s="42"/>
    </row>
    <row r="110">
      <c r="A110" s="15">
        <v>109.0</v>
      </c>
      <c r="B110" s="18" t="s">
        <v>33</v>
      </c>
      <c r="C110" s="18" t="s">
        <v>60</v>
      </c>
      <c r="D110" s="18" t="s">
        <v>929</v>
      </c>
      <c r="E110" s="18" t="s">
        <v>930</v>
      </c>
      <c r="F110" s="18" t="s">
        <v>321</v>
      </c>
      <c r="G110" s="18" t="s">
        <v>931</v>
      </c>
      <c r="H110" s="23"/>
      <c r="I110" s="25"/>
      <c r="J110" s="28">
        <v>46113.0</v>
      </c>
      <c r="K110" s="28">
        <v>46142.0</v>
      </c>
      <c r="L110" s="32"/>
      <c r="M110" s="35"/>
      <c r="N110" s="36"/>
      <c r="O110" s="38">
        <v>30.0</v>
      </c>
      <c r="P110" s="36"/>
      <c r="Q110" s="38">
        <v>30.0</v>
      </c>
      <c r="R110" s="36"/>
      <c r="S110" s="38" t="s">
        <v>53</v>
      </c>
      <c r="T110" s="42"/>
      <c r="U110" s="38">
        <v>100000.0</v>
      </c>
      <c r="V110" s="46"/>
      <c r="W110" s="42"/>
    </row>
    <row r="111">
      <c r="A111" s="15">
        <v>110.0</v>
      </c>
      <c r="B111" s="18" t="s">
        <v>33</v>
      </c>
      <c r="C111" s="18" t="s">
        <v>610</v>
      </c>
      <c r="D111" s="18" t="s">
        <v>933</v>
      </c>
      <c r="E111" s="18" t="s">
        <v>934</v>
      </c>
      <c r="F111" s="18" t="s">
        <v>213</v>
      </c>
      <c r="G111" s="18" t="s">
        <v>935</v>
      </c>
      <c r="H111" s="23"/>
      <c r="I111" s="25"/>
      <c r="J111" s="28">
        <v>46122.0</v>
      </c>
      <c r="K111" s="28">
        <v>46142.0</v>
      </c>
      <c r="L111" s="32"/>
      <c r="M111" s="35"/>
      <c r="N111" s="36"/>
      <c r="O111" s="38">
        <v>21.0</v>
      </c>
      <c r="P111" s="36"/>
      <c r="Q111" s="38">
        <v>21.0</v>
      </c>
      <c r="R111" s="36"/>
      <c r="S111" s="38" t="s">
        <v>157</v>
      </c>
      <c r="T111" s="42"/>
      <c r="U111" s="38">
        <v>70000.0</v>
      </c>
      <c r="V111" s="46"/>
      <c r="W111" s="42"/>
    </row>
    <row r="112">
      <c r="A112" s="15">
        <v>111.0</v>
      </c>
      <c r="B112" s="18" t="s">
        <v>33</v>
      </c>
      <c r="C112" s="18" t="s">
        <v>102</v>
      </c>
      <c r="D112" s="18" t="s">
        <v>938</v>
      </c>
      <c r="E112" s="18" t="s">
        <v>939</v>
      </c>
      <c r="F112" s="18" t="s">
        <v>178</v>
      </c>
      <c r="G112" s="18" t="s">
        <v>940</v>
      </c>
      <c r="H112" s="23"/>
      <c r="I112" s="25"/>
      <c r="J112" s="28">
        <v>46113.0</v>
      </c>
      <c r="K112" s="28">
        <v>46142.0</v>
      </c>
      <c r="L112" s="32"/>
      <c r="M112" s="35"/>
      <c r="N112" s="36"/>
      <c r="O112" s="38">
        <v>30.0</v>
      </c>
      <c r="P112" s="36"/>
      <c r="Q112" s="38">
        <v>30.0</v>
      </c>
      <c r="R112" s="36"/>
      <c r="S112" s="38" t="s">
        <v>53</v>
      </c>
      <c r="T112" s="42"/>
      <c r="U112" s="38">
        <v>100000.0</v>
      </c>
      <c r="V112" s="46"/>
      <c r="W112" s="42"/>
    </row>
    <row r="113">
      <c r="A113" s="15">
        <v>112.0</v>
      </c>
      <c r="B113" s="18" t="s">
        <v>33</v>
      </c>
      <c r="C113" s="18" t="s">
        <v>60</v>
      </c>
      <c r="D113" s="18" t="s">
        <v>942</v>
      </c>
      <c r="E113" s="18" t="s">
        <v>943</v>
      </c>
      <c r="F113" s="18" t="s">
        <v>139</v>
      </c>
      <c r="G113" s="18" t="s">
        <v>944</v>
      </c>
      <c r="H113" s="23"/>
      <c r="I113" s="25"/>
      <c r="J113" s="28">
        <v>46113.0</v>
      </c>
      <c r="K113" s="28">
        <v>46142.0</v>
      </c>
      <c r="L113" s="32"/>
      <c r="M113" s="35"/>
      <c r="N113" s="36"/>
      <c r="O113" s="38">
        <v>30.0</v>
      </c>
      <c r="P113" s="36"/>
      <c r="Q113" s="38">
        <v>30.0</v>
      </c>
      <c r="R113" s="36"/>
      <c r="S113" s="38" t="s">
        <v>53</v>
      </c>
      <c r="T113" s="42"/>
      <c r="U113" s="38">
        <v>100000.0</v>
      </c>
      <c r="V113" s="46"/>
      <c r="W113" s="42"/>
    </row>
    <row r="114">
      <c r="A114" s="15">
        <v>113.0</v>
      </c>
      <c r="B114" s="18" t="s">
        <v>33</v>
      </c>
      <c r="C114" s="18" t="s">
        <v>60</v>
      </c>
      <c r="D114" s="18" t="s">
        <v>945</v>
      </c>
      <c r="E114" s="18" t="s">
        <v>946</v>
      </c>
      <c r="F114" s="18" t="s">
        <v>321</v>
      </c>
      <c r="G114" s="18" t="s">
        <v>948</v>
      </c>
      <c r="H114" s="23"/>
      <c r="I114" s="25"/>
      <c r="J114" s="28">
        <v>46113.0</v>
      </c>
      <c r="K114" s="28">
        <v>46142.0</v>
      </c>
      <c r="L114" s="32"/>
      <c r="M114" s="35"/>
      <c r="N114" s="36"/>
      <c r="O114" s="38">
        <v>30.0</v>
      </c>
      <c r="P114" s="36"/>
      <c r="Q114" s="38">
        <v>30.0</v>
      </c>
      <c r="R114" s="36"/>
      <c r="S114" s="38" t="s">
        <v>53</v>
      </c>
      <c r="T114" s="42"/>
      <c r="U114" s="38">
        <v>100000.0</v>
      </c>
      <c r="V114" s="46"/>
      <c r="W114" s="42"/>
    </row>
    <row r="115">
      <c r="A115" s="15">
        <v>114.0</v>
      </c>
      <c r="B115" s="18" t="s">
        <v>33</v>
      </c>
      <c r="C115" s="18" t="s">
        <v>326</v>
      </c>
      <c r="D115" s="18" t="s">
        <v>953</v>
      </c>
      <c r="E115" s="18" t="s">
        <v>954</v>
      </c>
      <c r="F115" s="18" t="s">
        <v>213</v>
      </c>
      <c r="G115" s="18" t="s">
        <v>957</v>
      </c>
      <c r="H115" s="23"/>
      <c r="I115" s="25"/>
      <c r="J115" s="28">
        <v>46128.0</v>
      </c>
      <c r="K115" s="28">
        <v>46142.0</v>
      </c>
      <c r="L115" s="32"/>
      <c r="M115" s="35"/>
      <c r="N115" s="36"/>
      <c r="O115" s="38">
        <v>15.0</v>
      </c>
      <c r="P115" s="36"/>
      <c r="Q115" s="38">
        <v>15.0</v>
      </c>
      <c r="R115" s="36"/>
      <c r="S115" s="38" t="s">
        <v>959</v>
      </c>
      <c r="T115" s="42"/>
      <c r="U115" s="38">
        <v>50000.0</v>
      </c>
      <c r="V115" s="46"/>
      <c r="W115" s="42"/>
    </row>
    <row r="116">
      <c r="A116" s="15">
        <v>115.0</v>
      </c>
      <c r="B116" s="18" t="s">
        <v>33</v>
      </c>
      <c r="C116" s="18" t="s">
        <v>60</v>
      </c>
      <c r="D116" s="18" t="s">
        <v>960</v>
      </c>
      <c r="E116" s="18" t="s">
        <v>961</v>
      </c>
      <c r="F116" s="18" t="s">
        <v>58</v>
      </c>
      <c r="G116" s="18" t="s">
        <v>963</v>
      </c>
      <c r="H116" s="23"/>
      <c r="I116" s="25"/>
      <c r="J116" s="28">
        <v>46128.0</v>
      </c>
      <c r="K116" s="28">
        <v>46142.0</v>
      </c>
      <c r="L116" s="32"/>
      <c r="M116" s="35"/>
      <c r="N116" s="36"/>
      <c r="O116" s="38">
        <v>15.0</v>
      </c>
      <c r="P116" s="36"/>
      <c r="Q116" s="38">
        <v>15.0</v>
      </c>
      <c r="R116" s="36"/>
      <c r="S116" s="38" t="s">
        <v>959</v>
      </c>
      <c r="T116" s="42"/>
      <c r="U116" s="38">
        <v>50000.0</v>
      </c>
      <c r="V116" s="46"/>
      <c r="W116" s="42"/>
    </row>
    <row r="117">
      <c r="A117" s="15">
        <v>116.0</v>
      </c>
      <c r="B117" s="18" t="s">
        <v>33</v>
      </c>
      <c r="C117" s="18" t="s">
        <v>60</v>
      </c>
      <c r="D117" s="18" t="s">
        <v>966</v>
      </c>
      <c r="E117" s="18" t="s">
        <v>967</v>
      </c>
      <c r="F117" s="18" t="s">
        <v>119</v>
      </c>
      <c r="G117" s="18" t="s">
        <v>224</v>
      </c>
      <c r="H117" s="23"/>
      <c r="I117" s="25"/>
      <c r="J117" s="28">
        <v>46113.0</v>
      </c>
      <c r="K117" s="28">
        <v>46142.0</v>
      </c>
      <c r="L117" s="32"/>
      <c r="M117" s="35"/>
      <c r="N117" s="36"/>
      <c r="O117" s="38">
        <v>30.0</v>
      </c>
      <c r="P117" s="36"/>
      <c r="Q117" s="38">
        <v>30.0</v>
      </c>
      <c r="R117" s="36"/>
      <c r="S117" s="38" t="s">
        <v>53</v>
      </c>
      <c r="T117" s="42"/>
      <c r="U117" s="38">
        <v>100000.0</v>
      </c>
      <c r="V117" s="79" t="s">
        <v>125</v>
      </c>
      <c r="W117" s="18" t="s">
        <v>449</v>
      </c>
    </row>
    <row r="118">
      <c r="A118" s="15">
        <v>117.0</v>
      </c>
      <c r="B118" s="18" t="s">
        <v>33</v>
      </c>
      <c r="C118" s="18" t="s">
        <v>970</v>
      </c>
      <c r="D118" s="18" t="s">
        <v>971</v>
      </c>
      <c r="E118" s="18" t="s">
        <v>972</v>
      </c>
      <c r="F118" s="18" t="s">
        <v>178</v>
      </c>
      <c r="G118" s="18" t="s">
        <v>973</v>
      </c>
      <c r="H118" s="23"/>
      <c r="I118" s="25"/>
      <c r="J118" s="28">
        <v>46113.0</v>
      </c>
      <c r="K118" s="28">
        <v>46142.0</v>
      </c>
      <c r="L118" s="32"/>
      <c r="M118" s="35"/>
      <c r="N118" s="36"/>
      <c r="O118" s="38">
        <v>30.0</v>
      </c>
      <c r="P118" s="36"/>
      <c r="Q118" s="38">
        <v>30.0</v>
      </c>
      <c r="R118" s="36"/>
      <c r="S118" s="38" t="s">
        <v>53</v>
      </c>
      <c r="T118" s="42"/>
      <c r="U118" s="38">
        <v>100000.0</v>
      </c>
      <c r="V118" s="46"/>
      <c r="W118" s="42"/>
    </row>
    <row r="119">
      <c r="A119" s="15">
        <v>118.0</v>
      </c>
      <c r="B119" s="18" t="s">
        <v>33</v>
      </c>
      <c r="C119" s="18" t="s">
        <v>60</v>
      </c>
      <c r="D119" s="18" t="s">
        <v>979</v>
      </c>
      <c r="E119" s="18" t="s">
        <v>980</v>
      </c>
      <c r="F119" s="18" t="s">
        <v>213</v>
      </c>
      <c r="G119" s="18" t="s">
        <v>982</v>
      </c>
      <c r="H119" s="23"/>
      <c r="I119" s="25"/>
      <c r="J119" s="28">
        <v>46133.0</v>
      </c>
      <c r="K119" s="28">
        <v>46142.0</v>
      </c>
      <c r="L119" s="32"/>
      <c r="M119" s="35"/>
      <c r="N119" s="36"/>
      <c r="O119" s="38">
        <v>10.0</v>
      </c>
      <c r="P119" s="36"/>
      <c r="Q119" s="38">
        <v>10.0</v>
      </c>
      <c r="R119" s="36"/>
      <c r="S119" s="38" t="s">
        <v>324</v>
      </c>
      <c r="T119" s="42"/>
      <c r="U119" s="38">
        <v>33333.33</v>
      </c>
      <c r="V119" s="46"/>
      <c r="W119" s="42"/>
    </row>
    <row r="120">
      <c r="A120" s="15">
        <v>119.0</v>
      </c>
      <c r="B120" s="18" t="s">
        <v>33</v>
      </c>
      <c r="C120" s="18" t="s">
        <v>60</v>
      </c>
      <c r="D120" s="18" t="s">
        <v>985</v>
      </c>
      <c r="E120" s="18" t="s">
        <v>986</v>
      </c>
      <c r="F120" s="18" t="s">
        <v>213</v>
      </c>
      <c r="G120" s="18" t="s">
        <v>982</v>
      </c>
      <c r="H120" s="23"/>
      <c r="I120" s="25"/>
      <c r="J120" s="28">
        <v>46113.0</v>
      </c>
      <c r="K120" s="28">
        <v>46142.0</v>
      </c>
      <c r="L120" s="32"/>
      <c r="M120" s="35"/>
      <c r="N120" s="36"/>
      <c r="O120" s="38">
        <v>30.0</v>
      </c>
      <c r="P120" s="36"/>
      <c r="Q120" s="38">
        <v>30.0</v>
      </c>
      <c r="R120" s="36"/>
      <c r="S120" s="38" t="s">
        <v>53</v>
      </c>
      <c r="T120" s="42"/>
      <c r="U120" s="38">
        <v>100000.0</v>
      </c>
      <c r="V120" s="46"/>
      <c r="W120" s="42"/>
    </row>
    <row r="121">
      <c r="A121" s="15">
        <v>120.0</v>
      </c>
      <c r="B121" s="18" t="s">
        <v>33</v>
      </c>
      <c r="C121" s="18" t="s">
        <v>60</v>
      </c>
      <c r="D121" s="18" t="s">
        <v>988</v>
      </c>
      <c r="E121" s="18" t="s">
        <v>989</v>
      </c>
      <c r="F121" s="18" t="s">
        <v>58</v>
      </c>
      <c r="G121" s="18" t="s">
        <v>990</v>
      </c>
      <c r="H121" s="23"/>
      <c r="I121" s="25"/>
      <c r="J121" s="28">
        <v>46113.0</v>
      </c>
      <c r="K121" s="28">
        <v>46142.0</v>
      </c>
      <c r="L121" s="32"/>
      <c r="M121" s="35"/>
      <c r="N121" s="36"/>
      <c r="O121" s="38">
        <v>30.0</v>
      </c>
      <c r="P121" s="36"/>
      <c r="Q121" s="38">
        <v>30.0</v>
      </c>
      <c r="R121" s="36"/>
      <c r="S121" s="38" t="s">
        <v>53</v>
      </c>
      <c r="T121" s="42"/>
      <c r="U121" s="38">
        <v>100000.0</v>
      </c>
      <c r="V121" s="46"/>
      <c r="W121" s="42"/>
    </row>
    <row r="122">
      <c r="A122" s="15">
        <v>121.0</v>
      </c>
      <c r="B122" s="18" t="s">
        <v>33</v>
      </c>
      <c r="C122" s="18" t="s">
        <v>994</v>
      </c>
      <c r="D122" s="18" t="s">
        <v>995</v>
      </c>
      <c r="E122" s="18" t="s">
        <v>996</v>
      </c>
      <c r="F122" s="18" t="s">
        <v>302</v>
      </c>
      <c r="G122" s="18" t="s">
        <v>997</v>
      </c>
      <c r="H122" s="23"/>
      <c r="I122" s="25"/>
      <c r="J122" s="28">
        <v>46113.0</v>
      </c>
      <c r="K122" s="28">
        <v>46142.0</v>
      </c>
      <c r="L122" s="32"/>
      <c r="M122" s="35"/>
      <c r="N122" s="36"/>
      <c r="O122" s="38">
        <v>30.0</v>
      </c>
      <c r="P122" s="36"/>
      <c r="Q122" s="38">
        <v>30.0</v>
      </c>
      <c r="R122" s="36"/>
      <c r="S122" s="38" t="s">
        <v>53</v>
      </c>
      <c r="T122" s="42"/>
      <c r="U122" s="38">
        <v>100000.0</v>
      </c>
      <c r="V122" s="46"/>
      <c r="W122" s="42"/>
    </row>
    <row r="123">
      <c r="A123" s="15">
        <v>122.0</v>
      </c>
      <c r="B123" s="18" t="s">
        <v>33</v>
      </c>
      <c r="C123" s="18" t="s">
        <v>60</v>
      </c>
      <c r="D123" s="18" t="s">
        <v>999</v>
      </c>
      <c r="E123" s="18" t="s">
        <v>1000</v>
      </c>
      <c r="F123" s="18" t="s">
        <v>187</v>
      </c>
      <c r="G123" s="18" t="s">
        <v>1002</v>
      </c>
      <c r="H123" s="23"/>
      <c r="I123" s="25"/>
      <c r="J123" s="28">
        <v>46113.0</v>
      </c>
      <c r="K123" s="28">
        <v>46142.0</v>
      </c>
      <c r="L123" s="32"/>
      <c r="M123" s="35"/>
      <c r="N123" s="36"/>
      <c r="O123" s="38">
        <v>30.0</v>
      </c>
      <c r="P123" s="36"/>
      <c r="Q123" s="38">
        <v>30.0</v>
      </c>
      <c r="R123" s="36"/>
      <c r="S123" s="38" t="s">
        <v>53</v>
      </c>
      <c r="T123" s="42"/>
      <c r="U123" s="38">
        <v>100000.0</v>
      </c>
      <c r="V123" s="46"/>
      <c r="W123" s="42"/>
    </row>
    <row r="124">
      <c r="A124" s="15">
        <v>123.0</v>
      </c>
      <c r="B124" s="18" t="s">
        <v>33</v>
      </c>
      <c r="C124" s="18" t="s">
        <v>60</v>
      </c>
      <c r="D124" s="18" t="s">
        <v>1006</v>
      </c>
      <c r="E124" s="18" t="s">
        <v>1007</v>
      </c>
      <c r="F124" s="18" t="s">
        <v>139</v>
      </c>
      <c r="G124" s="18" t="s">
        <v>1008</v>
      </c>
      <c r="H124" s="23"/>
      <c r="I124" s="25"/>
      <c r="J124" s="28">
        <v>46133.0</v>
      </c>
      <c r="K124" s="28">
        <v>46142.0</v>
      </c>
      <c r="L124" s="32"/>
      <c r="M124" s="35"/>
      <c r="N124" s="36"/>
      <c r="O124" s="38">
        <v>10.0</v>
      </c>
      <c r="P124" s="36"/>
      <c r="Q124" s="38">
        <v>10.0</v>
      </c>
      <c r="R124" s="36"/>
      <c r="S124" s="38" t="s">
        <v>324</v>
      </c>
      <c r="T124" s="42"/>
      <c r="U124" s="38">
        <v>33333.33</v>
      </c>
      <c r="V124" s="46"/>
      <c r="W124" s="42"/>
    </row>
    <row r="125">
      <c r="A125" s="15">
        <v>124.0</v>
      </c>
      <c r="B125" s="18" t="s">
        <v>33</v>
      </c>
      <c r="C125" s="18" t="s">
        <v>60</v>
      </c>
      <c r="D125" s="18" t="s">
        <v>1012</v>
      </c>
      <c r="E125" s="18" t="s">
        <v>1014</v>
      </c>
      <c r="F125" s="18" t="s">
        <v>213</v>
      </c>
      <c r="G125" s="18" t="s">
        <v>1015</v>
      </c>
      <c r="H125" s="23"/>
      <c r="I125" s="25"/>
      <c r="J125" s="28">
        <v>46113.0</v>
      </c>
      <c r="K125" s="28">
        <v>46142.0</v>
      </c>
      <c r="L125" s="32"/>
      <c r="M125" s="35"/>
      <c r="N125" s="36"/>
      <c r="O125" s="38">
        <v>30.0</v>
      </c>
      <c r="P125" s="36"/>
      <c r="Q125" s="38">
        <v>30.0</v>
      </c>
      <c r="R125" s="36"/>
      <c r="S125" s="38" t="s">
        <v>53</v>
      </c>
      <c r="T125" s="42"/>
      <c r="U125" s="38">
        <v>100000.0</v>
      </c>
      <c r="V125" s="46"/>
      <c r="W125" s="42"/>
    </row>
    <row r="126">
      <c r="A126" s="15">
        <v>125.0</v>
      </c>
      <c r="B126" s="18" t="s">
        <v>33</v>
      </c>
      <c r="C126" s="18" t="s">
        <v>656</v>
      </c>
      <c r="D126" s="18" t="s">
        <v>1017</v>
      </c>
      <c r="E126" s="18" t="s">
        <v>1018</v>
      </c>
      <c r="F126" s="18" t="s">
        <v>58</v>
      </c>
      <c r="G126" s="18" t="s">
        <v>1019</v>
      </c>
      <c r="H126" s="23"/>
      <c r="I126" s="25"/>
      <c r="J126" s="28">
        <v>46113.0</v>
      </c>
      <c r="K126" s="28">
        <v>46142.0</v>
      </c>
      <c r="L126" s="32"/>
      <c r="M126" s="35"/>
      <c r="N126" s="36"/>
      <c r="O126" s="38">
        <v>30.0</v>
      </c>
      <c r="P126" s="36"/>
      <c r="Q126" s="38">
        <v>30.0</v>
      </c>
      <c r="R126" s="36"/>
      <c r="S126" s="38" t="s">
        <v>53</v>
      </c>
      <c r="T126" s="42"/>
      <c r="U126" s="38">
        <v>100000.0</v>
      </c>
      <c r="V126" s="79" t="s">
        <v>125</v>
      </c>
      <c r="W126" s="42"/>
    </row>
    <row r="127">
      <c r="A127" s="15">
        <v>126.0</v>
      </c>
      <c r="B127" s="18" t="s">
        <v>33</v>
      </c>
      <c r="C127" s="18" t="s">
        <v>60</v>
      </c>
      <c r="D127" s="143" t="s">
        <v>1025</v>
      </c>
      <c r="E127" s="18" t="s">
        <v>1026</v>
      </c>
      <c r="F127" s="18" t="s">
        <v>178</v>
      </c>
      <c r="G127" s="18" t="s">
        <v>1027</v>
      </c>
      <c r="H127" s="23"/>
      <c r="I127" s="25"/>
      <c r="J127" s="28">
        <v>46113.0</v>
      </c>
      <c r="K127" s="28">
        <v>46120.0</v>
      </c>
      <c r="L127" s="32"/>
      <c r="M127" s="35"/>
      <c r="N127" s="36"/>
      <c r="O127" s="38">
        <v>8.0</v>
      </c>
      <c r="P127" s="36"/>
      <c r="Q127" s="38">
        <v>8.0</v>
      </c>
      <c r="R127" s="36"/>
      <c r="S127" s="38" t="s">
        <v>507</v>
      </c>
      <c r="T127" s="42"/>
      <c r="U127" s="38">
        <v>26666.67</v>
      </c>
      <c r="V127" s="46"/>
      <c r="W127" s="42"/>
    </row>
    <row r="128">
      <c r="A128" s="15">
        <v>127.0</v>
      </c>
      <c r="B128" s="18" t="s">
        <v>33</v>
      </c>
      <c r="C128" s="18" t="s">
        <v>60</v>
      </c>
      <c r="D128" s="143" t="s">
        <v>1025</v>
      </c>
      <c r="E128" s="18" t="s">
        <v>1026</v>
      </c>
      <c r="F128" s="18" t="s">
        <v>178</v>
      </c>
      <c r="G128" s="18" t="s">
        <v>1027</v>
      </c>
      <c r="H128" s="23"/>
      <c r="I128" s="25"/>
      <c r="J128" s="28">
        <v>46141.0</v>
      </c>
      <c r="K128" s="28">
        <v>46142.0</v>
      </c>
      <c r="L128" s="32"/>
      <c r="M128" s="35"/>
      <c r="N128" s="36"/>
      <c r="O128" s="38">
        <v>2.0</v>
      </c>
      <c r="P128" s="36"/>
      <c r="Q128" s="38">
        <v>2.0</v>
      </c>
      <c r="R128" s="36"/>
      <c r="S128" s="38" t="s">
        <v>396</v>
      </c>
      <c r="T128" s="42"/>
      <c r="U128" s="38">
        <v>6666.67</v>
      </c>
      <c r="V128" s="46"/>
      <c r="W128" s="42"/>
    </row>
    <row r="129">
      <c r="A129" s="15">
        <v>128.0</v>
      </c>
      <c r="B129" s="18" t="s">
        <v>33</v>
      </c>
      <c r="C129" s="18" t="s">
        <v>60</v>
      </c>
      <c r="D129" s="18" t="s">
        <v>1034</v>
      </c>
      <c r="E129" s="18" t="s">
        <v>1035</v>
      </c>
      <c r="F129" s="18" t="s">
        <v>302</v>
      </c>
      <c r="G129" s="18" t="s">
        <v>1038</v>
      </c>
      <c r="H129" s="23"/>
      <c r="I129" s="25"/>
      <c r="J129" s="28">
        <v>46113.0</v>
      </c>
      <c r="K129" s="28">
        <v>46142.0</v>
      </c>
      <c r="L129" s="32"/>
      <c r="M129" s="35"/>
      <c r="N129" s="36"/>
      <c r="O129" s="38">
        <v>30.0</v>
      </c>
      <c r="P129" s="36"/>
      <c r="Q129" s="38">
        <v>30.0</v>
      </c>
      <c r="R129" s="36"/>
      <c r="S129" s="38" t="s">
        <v>53</v>
      </c>
      <c r="T129" s="42"/>
      <c r="U129" s="38">
        <v>100000.0</v>
      </c>
      <c r="V129" s="46"/>
      <c r="W129" s="42"/>
    </row>
    <row r="130">
      <c r="A130" s="15">
        <v>129.0</v>
      </c>
      <c r="B130" s="18" t="s">
        <v>33</v>
      </c>
      <c r="C130" s="18" t="s">
        <v>60</v>
      </c>
      <c r="D130" s="18" t="s">
        <v>1041</v>
      </c>
      <c r="E130" s="18" t="s">
        <v>1042</v>
      </c>
      <c r="F130" s="18" t="s">
        <v>187</v>
      </c>
      <c r="G130" s="18" t="s">
        <v>1043</v>
      </c>
      <c r="H130" s="23"/>
      <c r="I130" s="25"/>
      <c r="J130" s="28">
        <v>46113.0</v>
      </c>
      <c r="K130" s="28">
        <v>46142.0</v>
      </c>
      <c r="L130" s="32"/>
      <c r="M130" s="35"/>
      <c r="N130" s="36"/>
      <c r="O130" s="38">
        <v>30.0</v>
      </c>
      <c r="P130" s="36"/>
      <c r="Q130" s="38">
        <v>30.0</v>
      </c>
      <c r="R130" s="36"/>
      <c r="S130" s="38" t="s">
        <v>53</v>
      </c>
      <c r="T130" s="42"/>
      <c r="U130" s="38">
        <v>100000.0</v>
      </c>
      <c r="V130" s="46"/>
      <c r="W130" s="42"/>
    </row>
    <row r="131">
      <c r="A131" s="15">
        <v>130.0</v>
      </c>
      <c r="B131" s="18" t="s">
        <v>33</v>
      </c>
      <c r="C131" s="18" t="s">
        <v>60</v>
      </c>
      <c r="D131" s="18" t="s">
        <v>1048</v>
      </c>
      <c r="E131" s="18" t="s">
        <v>1049</v>
      </c>
      <c r="F131" s="18" t="s">
        <v>321</v>
      </c>
      <c r="G131" s="18" t="s">
        <v>1050</v>
      </c>
      <c r="H131" s="23"/>
      <c r="I131" s="25"/>
      <c r="J131" s="28">
        <v>46113.0</v>
      </c>
      <c r="K131" s="28">
        <v>46142.0</v>
      </c>
      <c r="L131" s="32"/>
      <c r="M131" s="35"/>
      <c r="N131" s="36"/>
      <c r="O131" s="38">
        <v>30.0</v>
      </c>
      <c r="P131" s="36"/>
      <c r="Q131" s="38">
        <v>30.0</v>
      </c>
      <c r="R131" s="36"/>
      <c r="S131" s="38" t="s">
        <v>53</v>
      </c>
      <c r="T131" s="42"/>
      <c r="U131" s="38">
        <v>100000.0</v>
      </c>
      <c r="V131" s="46"/>
      <c r="W131" s="42"/>
    </row>
    <row r="132">
      <c r="A132" s="15">
        <v>131.0</v>
      </c>
      <c r="B132" s="18" t="s">
        <v>33</v>
      </c>
      <c r="C132" s="18" t="s">
        <v>60</v>
      </c>
      <c r="D132" s="18" t="s">
        <v>1054</v>
      </c>
      <c r="E132" s="18" t="s">
        <v>1055</v>
      </c>
      <c r="F132" s="18" t="s">
        <v>213</v>
      </c>
      <c r="G132" s="18" t="s">
        <v>1056</v>
      </c>
      <c r="H132" s="23"/>
      <c r="I132" s="25"/>
      <c r="J132" s="28">
        <v>46135.0</v>
      </c>
      <c r="K132" s="28">
        <v>46142.0</v>
      </c>
      <c r="L132" s="32"/>
      <c r="M132" s="35"/>
      <c r="N132" s="36"/>
      <c r="O132" s="38">
        <v>8.0</v>
      </c>
      <c r="P132" s="36"/>
      <c r="Q132" s="38">
        <v>8.0</v>
      </c>
      <c r="R132" s="36"/>
      <c r="S132" s="38" t="s">
        <v>507</v>
      </c>
      <c r="T132" s="42"/>
      <c r="U132" s="38">
        <v>26666.67</v>
      </c>
      <c r="V132" s="46"/>
      <c r="W132" s="42"/>
    </row>
    <row r="133">
      <c r="A133" s="15">
        <v>132.0</v>
      </c>
      <c r="B133" s="18" t="s">
        <v>33</v>
      </c>
      <c r="C133" s="18" t="s">
        <v>102</v>
      </c>
      <c r="D133" s="18" t="s">
        <v>1061</v>
      </c>
      <c r="E133" s="18" t="s">
        <v>1062</v>
      </c>
      <c r="F133" s="18" t="s">
        <v>178</v>
      </c>
      <c r="G133" s="18" t="s">
        <v>1065</v>
      </c>
      <c r="H133" s="23"/>
      <c r="I133" s="25"/>
      <c r="J133" s="28">
        <v>46133.0</v>
      </c>
      <c r="K133" s="28">
        <v>46142.0</v>
      </c>
      <c r="L133" s="32"/>
      <c r="M133" s="35"/>
      <c r="N133" s="36"/>
      <c r="O133" s="38">
        <v>10.0</v>
      </c>
      <c r="P133" s="36"/>
      <c r="Q133" s="38">
        <v>10.0</v>
      </c>
      <c r="R133" s="36"/>
      <c r="S133" s="38" t="s">
        <v>324</v>
      </c>
      <c r="T133" s="42"/>
      <c r="U133" s="38">
        <v>33333.33</v>
      </c>
      <c r="V133" s="46"/>
      <c r="W133" s="42"/>
    </row>
    <row r="134">
      <c r="A134" s="15">
        <v>133.0</v>
      </c>
      <c r="B134" s="18" t="s">
        <v>33</v>
      </c>
      <c r="C134" s="18" t="s">
        <v>60</v>
      </c>
      <c r="D134" s="18" t="s">
        <v>1069</v>
      </c>
      <c r="E134" s="18" t="s">
        <v>1070</v>
      </c>
      <c r="F134" s="18" t="s">
        <v>201</v>
      </c>
      <c r="G134" s="18" t="s">
        <v>1072</v>
      </c>
      <c r="H134" s="51">
        <v>46113.0</v>
      </c>
      <c r="I134" s="51">
        <v>46125.0</v>
      </c>
      <c r="J134" s="28">
        <v>46126.0</v>
      </c>
      <c r="K134" s="28">
        <v>46142.0</v>
      </c>
      <c r="L134" s="32"/>
      <c r="M134" s="35"/>
      <c r="N134" s="38">
        <v>13.0</v>
      </c>
      <c r="O134" s="38">
        <v>17.0</v>
      </c>
      <c r="P134" s="36"/>
      <c r="Q134" s="38">
        <v>30.0</v>
      </c>
      <c r="R134" s="38" t="s">
        <v>217</v>
      </c>
      <c r="S134" s="38" t="s">
        <v>218</v>
      </c>
      <c r="T134" s="42"/>
      <c r="U134" s="38">
        <v>69666.67</v>
      </c>
      <c r="V134" s="46"/>
      <c r="W134" s="42"/>
    </row>
    <row r="135">
      <c r="A135" s="15">
        <v>134.0</v>
      </c>
      <c r="B135" s="18" t="s">
        <v>33</v>
      </c>
      <c r="C135" s="18" t="s">
        <v>60</v>
      </c>
      <c r="D135" s="18" t="s">
        <v>1075</v>
      </c>
      <c r="E135" s="18" t="s">
        <v>1076</v>
      </c>
      <c r="F135" s="18" t="s">
        <v>287</v>
      </c>
      <c r="G135" s="18" t="s">
        <v>1077</v>
      </c>
      <c r="H135" s="23"/>
      <c r="I135" s="25"/>
      <c r="J135" s="28">
        <v>46113.0</v>
      </c>
      <c r="K135" s="28">
        <v>46142.0</v>
      </c>
      <c r="L135" s="32"/>
      <c r="M135" s="35"/>
      <c r="N135" s="36"/>
      <c r="O135" s="38">
        <v>30.0</v>
      </c>
      <c r="P135" s="36"/>
      <c r="Q135" s="38">
        <v>30.0</v>
      </c>
      <c r="R135" s="36"/>
      <c r="S135" s="38" t="s">
        <v>53</v>
      </c>
      <c r="T135" s="42"/>
      <c r="U135" s="38">
        <v>100000.0</v>
      </c>
      <c r="V135" s="46"/>
      <c r="W135" s="42"/>
    </row>
    <row r="136">
      <c r="A136" s="15">
        <v>135.0</v>
      </c>
      <c r="B136" s="18" t="s">
        <v>33</v>
      </c>
      <c r="C136" s="18" t="s">
        <v>326</v>
      </c>
      <c r="D136" s="18" t="s">
        <v>1082</v>
      </c>
      <c r="E136" s="18" t="s">
        <v>1083</v>
      </c>
      <c r="F136" s="18" t="s">
        <v>331</v>
      </c>
      <c r="G136" s="18" t="s">
        <v>1084</v>
      </c>
      <c r="H136" s="23"/>
      <c r="I136" s="25"/>
      <c r="J136" s="28">
        <v>46113.0</v>
      </c>
      <c r="K136" s="28">
        <v>46142.0</v>
      </c>
      <c r="L136" s="32"/>
      <c r="M136" s="35"/>
      <c r="N136" s="36"/>
      <c r="O136" s="38">
        <v>30.0</v>
      </c>
      <c r="P136" s="36"/>
      <c r="Q136" s="38">
        <v>30.0</v>
      </c>
      <c r="R136" s="36"/>
      <c r="S136" s="38" t="s">
        <v>53</v>
      </c>
      <c r="T136" s="42"/>
      <c r="U136" s="38">
        <v>100000.0</v>
      </c>
      <c r="V136" s="46"/>
      <c r="W136" s="42"/>
    </row>
    <row r="137">
      <c r="A137" s="15">
        <v>136.0</v>
      </c>
      <c r="B137" s="18" t="s">
        <v>33</v>
      </c>
      <c r="C137" s="18" t="s">
        <v>102</v>
      </c>
      <c r="D137" s="18" t="s">
        <v>1091</v>
      </c>
      <c r="E137" s="18" t="s">
        <v>1092</v>
      </c>
      <c r="F137" s="18" t="s">
        <v>331</v>
      </c>
      <c r="G137" s="18" t="s">
        <v>1084</v>
      </c>
      <c r="H137" s="23"/>
      <c r="I137" s="25"/>
      <c r="J137" s="28">
        <v>46122.0</v>
      </c>
      <c r="K137" s="28">
        <v>46142.0</v>
      </c>
      <c r="L137" s="32"/>
      <c r="M137" s="35"/>
      <c r="N137" s="36"/>
      <c r="O137" s="38">
        <v>21.0</v>
      </c>
      <c r="P137" s="36"/>
      <c r="Q137" s="38">
        <v>21.0</v>
      </c>
      <c r="R137" s="36"/>
      <c r="S137" s="38" t="s">
        <v>157</v>
      </c>
      <c r="T137" s="42"/>
      <c r="U137" s="38">
        <v>70000.0</v>
      </c>
      <c r="V137" s="46"/>
      <c r="W137" s="42"/>
    </row>
    <row r="138">
      <c r="A138" s="15">
        <v>137.0</v>
      </c>
      <c r="B138" s="18" t="s">
        <v>33</v>
      </c>
      <c r="C138" s="18" t="s">
        <v>363</v>
      </c>
      <c r="D138" s="18" t="s">
        <v>1098</v>
      </c>
      <c r="E138" s="18" t="s">
        <v>1099</v>
      </c>
      <c r="F138" s="18" t="s">
        <v>267</v>
      </c>
      <c r="G138" s="18" t="s">
        <v>1101</v>
      </c>
      <c r="H138" s="23"/>
      <c r="I138" s="25"/>
      <c r="J138" s="28">
        <v>46113.0</v>
      </c>
      <c r="K138" s="28">
        <v>46142.0</v>
      </c>
      <c r="L138" s="32"/>
      <c r="M138" s="35"/>
      <c r="N138" s="36"/>
      <c r="O138" s="38">
        <v>30.0</v>
      </c>
      <c r="P138" s="36"/>
      <c r="Q138" s="38">
        <v>30.0</v>
      </c>
      <c r="R138" s="36"/>
      <c r="S138" s="38" t="s">
        <v>53</v>
      </c>
      <c r="T138" s="42"/>
      <c r="U138" s="38">
        <v>100000.0</v>
      </c>
      <c r="V138" s="79" t="s">
        <v>125</v>
      </c>
      <c r="W138" s="42"/>
    </row>
    <row r="139">
      <c r="A139" s="15">
        <v>138.0</v>
      </c>
      <c r="B139" s="18" t="s">
        <v>33</v>
      </c>
      <c r="C139" s="18" t="s">
        <v>102</v>
      </c>
      <c r="D139" s="18" t="s">
        <v>1103</v>
      </c>
      <c r="E139" s="18" t="s">
        <v>1104</v>
      </c>
      <c r="F139" s="18" t="s">
        <v>119</v>
      </c>
      <c r="G139" s="18" t="s">
        <v>1105</v>
      </c>
      <c r="H139" s="23"/>
      <c r="I139" s="25"/>
      <c r="J139" s="28">
        <v>46113.0</v>
      </c>
      <c r="K139" s="28">
        <v>46142.0</v>
      </c>
      <c r="L139" s="32"/>
      <c r="M139" s="35"/>
      <c r="N139" s="36"/>
      <c r="O139" s="38">
        <v>30.0</v>
      </c>
      <c r="P139" s="36"/>
      <c r="Q139" s="38">
        <v>30.0</v>
      </c>
      <c r="R139" s="36"/>
      <c r="S139" s="38" t="s">
        <v>53</v>
      </c>
      <c r="T139" s="42"/>
      <c r="U139" s="38">
        <v>100000.0</v>
      </c>
      <c r="V139" s="46"/>
      <c r="W139" s="42"/>
    </row>
    <row r="140">
      <c r="A140" s="15">
        <v>139.0</v>
      </c>
      <c r="B140" s="18" t="s">
        <v>33</v>
      </c>
      <c r="C140" s="18" t="s">
        <v>60</v>
      </c>
      <c r="D140" s="18" t="s">
        <v>1109</v>
      </c>
      <c r="E140" s="18" t="s">
        <v>1111</v>
      </c>
      <c r="F140" s="18" t="s">
        <v>119</v>
      </c>
      <c r="G140" s="18" t="s">
        <v>1112</v>
      </c>
      <c r="H140" s="23"/>
      <c r="I140" s="25"/>
      <c r="J140" s="28">
        <v>46113.0</v>
      </c>
      <c r="K140" s="28">
        <v>46142.0</v>
      </c>
      <c r="L140" s="32"/>
      <c r="M140" s="35"/>
      <c r="N140" s="36"/>
      <c r="O140" s="38">
        <v>30.0</v>
      </c>
      <c r="P140" s="36"/>
      <c r="Q140" s="38">
        <v>30.0</v>
      </c>
      <c r="R140" s="36"/>
      <c r="S140" s="38" t="s">
        <v>53</v>
      </c>
      <c r="T140" s="42"/>
      <c r="U140" s="38">
        <v>100000.0</v>
      </c>
      <c r="V140" s="79" t="s">
        <v>125</v>
      </c>
      <c r="W140" s="42"/>
    </row>
    <row r="141">
      <c r="A141" s="15">
        <v>140.0</v>
      </c>
      <c r="B141" s="18" t="s">
        <v>33</v>
      </c>
      <c r="C141" s="18" t="s">
        <v>60</v>
      </c>
      <c r="D141" s="18" t="s">
        <v>1117</v>
      </c>
      <c r="E141" s="18" t="s">
        <v>1118</v>
      </c>
      <c r="F141" s="18" t="s">
        <v>295</v>
      </c>
      <c r="G141" s="18" t="s">
        <v>1120</v>
      </c>
      <c r="H141" s="23"/>
      <c r="I141" s="25"/>
      <c r="J141" s="28">
        <v>46133.0</v>
      </c>
      <c r="K141" s="28">
        <v>46142.0</v>
      </c>
      <c r="L141" s="32"/>
      <c r="M141" s="35"/>
      <c r="N141" s="36"/>
      <c r="O141" s="38">
        <v>10.0</v>
      </c>
      <c r="P141" s="36"/>
      <c r="Q141" s="38">
        <v>10.0</v>
      </c>
      <c r="R141" s="36"/>
      <c r="S141" s="38" t="s">
        <v>324</v>
      </c>
      <c r="T141" s="42"/>
      <c r="U141" s="38">
        <v>33333.33</v>
      </c>
      <c r="V141" s="46"/>
      <c r="W141" s="42"/>
    </row>
    <row r="142">
      <c r="A142" s="15">
        <v>141.0</v>
      </c>
      <c r="B142" s="18" t="s">
        <v>33</v>
      </c>
      <c r="C142" s="18" t="s">
        <v>60</v>
      </c>
      <c r="D142" s="18" t="s">
        <v>1124</v>
      </c>
      <c r="E142" s="18" t="s">
        <v>1126</v>
      </c>
      <c r="F142" s="18" t="s">
        <v>178</v>
      </c>
      <c r="G142" s="18" t="s">
        <v>1127</v>
      </c>
      <c r="H142" s="23"/>
      <c r="I142" s="25"/>
      <c r="J142" s="28">
        <v>46113.0</v>
      </c>
      <c r="K142" s="28">
        <v>46142.0</v>
      </c>
      <c r="L142" s="32"/>
      <c r="M142" s="35"/>
      <c r="N142" s="36"/>
      <c r="O142" s="38">
        <v>30.0</v>
      </c>
      <c r="P142" s="36"/>
      <c r="Q142" s="38">
        <v>30.0</v>
      </c>
      <c r="R142" s="36"/>
      <c r="S142" s="38" t="s">
        <v>53</v>
      </c>
      <c r="T142" s="42"/>
      <c r="U142" s="38">
        <v>100000.0</v>
      </c>
      <c r="V142" s="46"/>
      <c r="W142" s="42"/>
    </row>
    <row r="143">
      <c r="A143" s="15">
        <v>142.0</v>
      </c>
      <c r="B143" s="18" t="s">
        <v>33</v>
      </c>
      <c r="C143" s="18" t="s">
        <v>60</v>
      </c>
      <c r="D143" s="18" t="s">
        <v>1129</v>
      </c>
      <c r="E143" s="18" t="s">
        <v>1130</v>
      </c>
      <c r="F143" s="18" t="s">
        <v>302</v>
      </c>
      <c r="G143" s="18" t="s">
        <v>1131</v>
      </c>
      <c r="H143" s="23"/>
      <c r="I143" s="25"/>
      <c r="J143" s="28">
        <v>46122.0</v>
      </c>
      <c r="K143" s="28">
        <v>46142.0</v>
      </c>
      <c r="L143" s="32"/>
      <c r="M143" s="35"/>
      <c r="N143" s="36"/>
      <c r="O143" s="38">
        <v>21.0</v>
      </c>
      <c r="P143" s="36"/>
      <c r="Q143" s="38">
        <v>21.0</v>
      </c>
      <c r="R143" s="36"/>
      <c r="S143" s="38" t="s">
        <v>157</v>
      </c>
      <c r="T143" s="42"/>
      <c r="U143" s="38">
        <v>70000.0</v>
      </c>
      <c r="V143" s="46"/>
      <c r="W143" s="42"/>
    </row>
    <row r="144">
      <c r="A144" s="15">
        <v>143.0</v>
      </c>
      <c r="B144" s="18" t="s">
        <v>33</v>
      </c>
      <c r="C144" s="18" t="s">
        <v>60</v>
      </c>
      <c r="D144" s="18" t="s">
        <v>1137</v>
      </c>
      <c r="E144" s="18" t="s">
        <v>1138</v>
      </c>
      <c r="F144" s="18" t="s">
        <v>187</v>
      </c>
      <c r="G144" s="18" t="s">
        <v>1139</v>
      </c>
      <c r="H144" s="23"/>
      <c r="I144" s="25"/>
      <c r="J144" s="28">
        <v>46133.0</v>
      </c>
      <c r="K144" s="28">
        <v>46142.0</v>
      </c>
      <c r="L144" s="32"/>
      <c r="M144" s="35"/>
      <c r="N144" s="36"/>
      <c r="O144" s="38">
        <v>10.0</v>
      </c>
      <c r="P144" s="36"/>
      <c r="Q144" s="38">
        <v>10.0</v>
      </c>
      <c r="R144" s="36"/>
      <c r="S144" s="38" t="s">
        <v>324</v>
      </c>
      <c r="T144" s="42"/>
      <c r="U144" s="38">
        <v>33333.33</v>
      </c>
      <c r="V144" s="46"/>
      <c r="W144" s="42"/>
    </row>
    <row r="145">
      <c r="A145" s="15">
        <v>144.0</v>
      </c>
      <c r="B145" s="18" t="s">
        <v>33</v>
      </c>
      <c r="C145" s="18" t="s">
        <v>60</v>
      </c>
      <c r="D145" s="143" t="s">
        <v>1147</v>
      </c>
      <c r="E145" s="18" t="s">
        <v>1148</v>
      </c>
      <c r="F145" s="18" t="s">
        <v>213</v>
      </c>
      <c r="G145" s="18" t="s">
        <v>1150</v>
      </c>
      <c r="H145" s="23"/>
      <c r="I145" s="25"/>
      <c r="J145" s="28">
        <v>46113.0</v>
      </c>
      <c r="K145" s="28">
        <v>46114.0</v>
      </c>
      <c r="L145" s="32"/>
      <c r="M145" s="35"/>
      <c r="N145" s="36"/>
      <c r="O145" s="38">
        <v>2.0</v>
      </c>
      <c r="P145" s="36"/>
      <c r="Q145" s="38">
        <v>2.0</v>
      </c>
      <c r="R145" s="36"/>
      <c r="S145" s="38" t="s">
        <v>396</v>
      </c>
      <c r="T145" s="42"/>
      <c r="U145" s="38">
        <v>6666.67</v>
      </c>
      <c r="V145" s="46"/>
      <c r="W145" s="42"/>
    </row>
    <row r="146">
      <c r="A146" s="15">
        <v>145.0</v>
      </c>
      <c r="B146" s="18" t="s">
        <v>33</v>
      </c>
      <c r="C146" s="18" t="s">
        <v>60</v>
      </c>
      <c r="D146" s="143" t="s">
        <v>1147</v>
      </c>
      <c r="E146" s="18" t="s">
        <v>1148</v>
      </c>
      <c r="F146" s="18" t="s">
        <v>213</v>
      </c>
      <c r="G146" s="18" t="s">
        <v>1150</v>
      </c>
      <c r="H146" s="23"/>
      <c r="I146" s="25"/>
      <c r="J146" s="28">
        <v>46130.0</v>
      </c>
      <c r="K146" s="28">
        <v>46142.0</v>
      </c>
      <c r="L146" s="32"/>
      <c r="M146" s="35"/>
      <c r="N146" s="36"/>
      <c r="O146" s="38">
        <v>13.0</v>
      </c>
      <c r="P146" s="36"/>
      <c r="Q146" s="38">
        <v>13.0</v>
      </c>
      <c r="R146" s="36"/>
      <c r="S146" s="38" t="s">
        <v>75</v>
      </c>
      <c r="T146" s="42"/>
      <c r="U146" s="38">
        <v>43333.33</v>
      </c>
      <c r="V146" s="46"/>
      <c r="W146" s="42"/>
    </row>
    <row r="147">
      <c r="A147" s="15">
        <v>146.0</v>
      </c>
      <c r="B147" s="18" t="s">
        <v>33</v>
      </c>
      <c r="C147" s="18" t="s">
        <v>504</v>
      </c>
      <c r="D147" s="18" t="s">
        <v>1162</v>
      </c>
      <c r="E147" s="18" t="s">
        <v>1164</v>
      </c>
      <c r="F147" s="18" t="s">
        <v>178</v>
      </c>
      <c r="G147" s="18" t="s">
        <v>1167</v>
      </c>
      <c r="H147" s="23"/>
      <c r="I147" s="25"/>
      <c r="J147" s="28">
        <v>46122.0</v>
      </c>
      <c r="K147" s="28">
        <v>46142.0</v>
      </c>
      <c r="L147" s="32"/>
      <c r="M147" s="35"/>
      <c r="N147" s="36"/>
      <c r="O147" s="38">
        <v>21.0</v>
      </c>
      <c r="P147" s="36"/>
      <c r="Q147" s="38">
        <v>21.0</v>
      </c>
      <c r="R147" s="36"/>
      <c r="S147" s="38" t="s">
        <v>157</v>
      </c>
      <c r="T147" s="42"/>
      <c r="U147" s="38">
        <v>70000.0</v>
      </c>
      <c r="V147" s="46"/>
      <c r="W147" s="42"/>
    </row>
    <row r="148">
      <c r="A148" s="15">
        <v>147.0</v>
      </c>
      <c r="B148" s="18" t="s">
        <v>33</v>
      </c>
      <c r="C148" s="18" t="s">
        <v>60</v>
      </c>
      <c r="D148" s="18" t="s">
        <v>1171</v>
      </c>
      <c r="E148" s="18" t="s">
        <v>1172</v>
      </c>
      <c r="F148" s="18" t="s">
        <v>302</v>
      </c>
      <c r="G148" s="18" t="s">
        <v>1175</v>
      </c>
      <c r="H148" s="23"/>
      <c r="I148" s="25"/>
      <c r="J148" s="28">
        <v>46113.0</v>
      </c>
      <c r="K148" s="28">
        <v>46142.0</v>
      </c>
      <c r="L148" s="32"/>
      <c r="M148" s="35"/>
      <c r="N148" s="36"/>
      <c r="O148" s="38">
        <v>30.0</v>
      </c>
      <c r="P148" s="36"/>
      <c r="Q148" s="38">
        <v>30.0</v>
      </c>
      <c r="R148" s="36"/>
      <c r="S148" s="38" t="s">
        <v>53</v>
      </c>
      <c r="T148" s="42"/>
      <c r="U148" s="38">
        <v>100000.0</v>
      </c>
      <c r="V148" s="46"/>
      <c r="W148" s="42"/>
    </row>
    <row r="149">
      <c r="A149" s="15">
        <v>148.0</v>
      </c>
      <c r="B149" s="18" t="s">
        <v>33</v>
      </c>
      <c r="C149" s="18" t="s">
        <v>60</v>
      </c>
      <c r="D149" s="18" t="s">
        <v>1179</v>
      </c>
      <c r="E149" s="18" t="s">
        <v>1180</v>
      </c>
      <c r="F149" s="18" t="s">
        <v>321</v>
      </c>
      <c r="G149" s="18" t="s">
        <v>1182</v>
      </c>
      <c r="H149" s="23"/>
      <c r="I149" s="25"/>
      <c r="J149" s="28">
        <v>46113.0</v>
      </c>
      <c r="K149" s="28">
        <v>46142.0</v>
      </c>
      <c r="L149" s="32"/>
      <c r="M149" s="35"/>
      <c r="N149" s="36"/>
      <c r="O149" s="38">
        <v>30.0</v>
      </c>
      <c r="P149" s="36"/>
      <c r="Q149" s="38">
        <v>30.0</v>
      </c>
      <c r="R149" s="36"/>
      <c r="S149" s="38" t="s">
        <v>53</v>
      </c>
      <c r="T149" s="42"/>
      <c r="U149" s="38">
        <v>100000.0</v>
      </c>
      <c r="V149" s="46"/>
      <c r="W149" s="42"/>
    </row>
    <row r="150">
      <c r="A150" s="15">
        <v>149.0</v>
      </c>
      <c r="B150" s="18" t="s">
        <v>33</v>
      </c>
      <c r="C150" s="18" t="s">
        <v>60</v>
      </c>
      <c r="D150" s="18" t="s">
        <v>1189</v>
      </c>
      <c r="E150" s="18" t="s">
        <v>1190</v>
      </c>
      <c r="F150" s="18" t="s">
        <v>213</v>
      </c>
      <c r="G150" s="18" t="s">
        <v>1191</v>
      </c>
      <c r="H150" s="23"/>
      <c r="I150" s="25"/>
      <c r="J150" s="28">
        <v>46113.0</v>
      </c>
      <c r="K150" s="28">
        <v>46142.0</v>
      </c>
      <c r="L150" s="32"/>
      <c r="M150" s="35"/>
      <c r="N150" s="36"/>
      <c r="O150" s="38">
        <v>30.0</v>
      </c>
      <c r="P150" s="36"/>
      <c r="Q150" s="38">
        <v>30.0</v>
      </c>
      <c r="R150" s="36"/>
      <c r="S150" s="38" t="s">
        <v>53</v>
      </c>
      <c r="T150" s="42"/>
      <c r="U150" s="38">
        <v>100000.0</v>
      </c>
      <c r="V150" s="46"/>
      <c r="W150" s="42"/>
    </row>
    <row r="151">
      <c r="A151" s="15">
        <v>150.0</v>
      </c>
      <c r="B151" s="18" t="s">
        <v>33</v>
      </c>
      <c r="C151" s="18" t="s">
        <v>60</v>
      </c>
      <c r="D151" s="18" t="s">
        <v>1198</v>
      </c>
      <c r="E151" s="18" t="s">
        <v>1199</v>
      </c>
      <c r="F151" s="18" t="s">
        <v>213</v>
      </c>
      <c r="G151" s="18" t="s">
        <v>1191</v>
      </c>
      <c r="H151" s="23"/>
      <c r="I151" s="25"/>
      <c r="J151" s="28">
        <v>46133.0</v>
      </c>
      <c r="K151" s="28">
        <v>46142.0</v>
      </c>
      <c r="L151" s="32"/>
      <c r="M151" s="35"/>
      <c r="N151" s="36"/>
      <c r="O151" s="38">
        <v>10.0</v>
      </c>
      <c r="P151" s="36"/>
      <c r="Q151" s="38">
        <v>10.0</v>
      </c>
      <c r="R151" s="36"/>
      <c r="S151" s="38" t="s">
        <v>324</v>
      </c>
      <c r="T151" s="42"/>
      <c r="U151" s="38">
        <v>33333.33</v>
      </c>
      <c r="V151" s="46"/>
      <c r="W151" s="42"/>
    </row>
    <row r="152">
      <c r="A152" s="15">
        <v>151.0</v>
      </c>
      <c r="B152" s="18" t="s">
        <v>33</v>
      </c>
      <c r="C152" s="18" t="s">
        <v>60</v>
      </c>
      <c r="D152" s="18" t="s">
        <v>1205</v>
      </c>
      <c r="E152" s="18" t="s">
        <v>1206</v>
      </c>
      <c r="F152" s="18" t="s">
        <v>58</v>
      </c>
      <c r="G152" s="18" t="s">
        <v>1208</v>
      </c>
      <c r="H152" s="23"/>
      <c r="I152" s="25"/>
      <c r="J152" s="28">
        <v>46122.0</v>
      </c>
      <c r="K152" s="28">
        <v>46142.0</v>
      </c>
      <c r="L152" s="32"/>
      <c r="M152" s="35"/>
      <c r="N152" s="36"/>
      <c r="O152" s="38">
        <v>21.0</v>
      </c>
      <c r="P152" s="36"/>
      <c r="Q152" s="38">
        <v>21.0</v>
      </c>
      <c r="R152" s="36"/>
      <c r="S152" s="38" t="s">
        <v>157</v>
      </c>
      <c r="T152" s="42"/>
      <c r="U152" s="38">
        <v>70000.0</v>
      </c>
      <c r="V152" s="46"/>
      <c r="W152" s="42"/>
    </row>
    <row r="153">
      <c r="A153" s="15">
        <v>152.0</v>
      </c>
      <c r="B153" s="18" t="s">
        <v>33</v>
      </c>
      <c r="C153" s="18" t="s">
        <v>60</v>
      </c>
      <c r="D153" s="18" t="s">
        <v>1211</v>
      </c>
      <c r="E153" s="18" t="s">
        <v>1213</v>
      </c>
      <c r="F153" s="18" t="s">
        <v>321</v>
      </c>
      <c r="G153" s="18" t="s">
        <v>1214</v>
      </c>
      <c r="H153" s="23"/>
      <c r="I153" s="25"/>
      <c r="J153" s="28">
        <v>46113.0</v>
      </c>
      <c r="K153" s="28">
        <v>46142.0</v>
      </c>
      <c r="L153" s="32"/>
      <c r="M153" s="35"/>
      <c r="N153" s="36"/>
      <c r="O153" s="38">
        <v>30.0</v>
      </c>
      <c r="P153" s="36"/>
      <c r="Q153" s="38">
        <v>30.0</v>
      </c>
      <c r="R153" s="36"/>
      <c r="S153" s="38" t="s">
        <v>53</v>
      </c>
      <c r="T153" s="42"/>
      <c r="U153" s="38">
        <v>100000.0</v>
      </c>
      <c r="V153" s="46"/>
      <c r="W153" s="42"/>
    </row>
    <row r="154">
      <c r="A154" s="15">
        <v>153.0</v>
      </c>
      <c r="B154" s="18" t="s">
        <v>33</v>
      </c>
      <c r="C154" s="18" t="s">
        <v>60</v>
      </c>
      <c r="D154" s="18" t="s">
        <v>1219</v>
      </c>
      <c r="E154" s="18" t="s">
        <v>1220</v>
      </c>
      <c r="F154" s="18" t="s">
        <v>213</v>
      </c>
      <c r="G154" s="18" t="s">
        <v>1225</v>
      </c>
      <c r="H154" s="23"/>
      <c r="I154" s="25"/>
      <c r="J154" s="28">
        <v>46122.0</v>
      </c>
      <c r="K154" s="28">
        <v>46142.0</v>
      </c>
      <c r="L154" s="32"/>
      <c r="M154" s="35"/>
      <c r="N154" s="36"/>
      <c r="O154" s="38">
        <v>21.0</v>
      </c>
      <c r="P154" s="36"/>
      <c r="Q154" s="38">
        <v>21.0</v>
      </c>
      <c r="R154" s="36"/>
      <c r="S154" s="38" t="s">
        <v>157</v>
      </c>
      <c r="T154" s="42"/>
      <c r="U154" s="38">
        <v>70000.0</v>
      </c>
      <c r="V154" s="46"/>
      <c r="W154" s="42"/>
    </row>
    <row r="155">
      <c r="A155" s="15">
        <v>154.0</v>
      </c>
      <c r="B155" s="18" t="s">
        <v>33</v>
      </c>
      <c r="C155" s="18" t="s">
        <v>60</v>
      </c>
      <c r="D155" s="18" t="s">
        <v>1228</v>
      </c>
      <c r="E155" s="18" t="s">
        <v>1229</v>
      </c>
      <c r="F155" s="18" t="s">
        <v>201</v>
      </c>
      <c r="G155" s="18" t="s">
        <v>1231</v>
      </c>
      <c r="H155" s="51">
        <v>46113.0</v>
      </c>
      <c r="I155" s="51">
        <v>46125.0</v>
      </c>
      <c r="J155" s="28">
        <v>46126.0</v>
      </c>
      <c r="K155" s="28">
        <v>46142.0</v>
      </c>
      <c r="L155" s="32"/>
      <c r="M155" s="35"/>
      <c r="N155" s="38">
        <v>13.0</v>
      </c>
      <c r="O155" s="38">
        <v>17.0</v>
      </c>
      <c r="P155" s="36"/>
      <c r="Q155" s="38">
        <v>30.0</v>
      </c>
      <c r="R155" s="38" t="s">
        <v>217</v>
      </c>
      <c r="S155" s="38" t="s">
        <v>218</v>
      </c>
      <c r="T155" s="42"/>
      <c r="U155" s="38">
        <v>69666.67</v>
      </c>
      <c r="V155" s="46"/>
      <c r="W155" s="42"/>
    </row>
    <row r="156">
      <c r="A156" s="15">
        <v>155.0</v>
      </c>
      <c r="B156" s="18" t="s">
        <v>33</v>
      </c>
      <c r="C156" s="18" t="s">
        <v>60</v>
      </c>
      <c r="D156" s="18" t="s">
        <v>1234</v>
      </c>
      <c r="E156" s="18" t="s">
        <v>1235</v>
      </c>
      <c r="F156" s="18" t="s">
        <v>295</v>
      </c>
      <c r="G156" s="18" t="s">
        <v>1236</v>
      </c>
      <c r="H156" s="51">
        <v>46113.0</v>
      </c>
      <c r="I156" s="51">
        <v>46125.0</v>
      </c>
      <c r="J156" s="28">
        <v>46126.0</v>
      </c>
      <c r="K156" s="28">
        <v>46142.0</v>
      </c>
      <c r="L156" s="32"/>
      <c r="M156" s="35"/>
      <c r="N156" s="38">
        <v>13.0</v>
      </c>
      <c r="O156" s="38">
        <v>17.0</v>
      </c>
      <c r="P156" s="36"/>
      <c r="Q156" s="38">
        <v>30.0</v>
      </c>
      <c r="R156" s="38" t="s">
        <v>217</v>
      </c>
      <c r="S156" s="38" t="s">
        <v>218</v>
      </c>
      <c r="T156" s="42"/>
      <c r="U156" s="38">
        <v>69666.67</v>
      </c>
      <c r="V156" s="46"/>
      <c r="W156" s="42"/>
    </row>
    <row r="157">
      <c r="A157" s="15">
        <v>156.0</v>
      </c>
      <c r="B157" s="18" t="s">
        <v>33</v>
      </c>
      <c r="C157" s="18" t="s">
        <v>60</v>
      </c>
      <c r="D157" s="18" t="s">
        <v>1242</v>
      </c>
      <c r="E157" s="18" t="s">
        <v>1244</v>
      </c>
      <c r="F157" s="18" t="s">
        <v>178</v>
      </c>
      <c r="G157" s="18" t="s">
        <v>1245</v>
      </c>
      <c r="H157" s="23"/>
      <c r="I157" s="25"/>
      <c r="J157" s="28">
        <v>46113.0</v>
      </c>
      <c r="K157" s="28">
        <v>46142.0</v>
      </c>
      <c r="L157" s="32"/>
      <c r="M157" s="35"/>
      <c r="N157" s="36"/>
      <c r="O157" s="38">
        <v>30.0</v>
      </c>
      <c r="P157" s="36"/>
      <c r="Q157" s="38">
        <v>30.0</v>
      </c>
      <c r="R157" s="36"/>
      <c r="S157" s="38" t="s">
        <v>53</v>
      </c>
      <c r="T157" s="42"/>
      <c r="U157" s="38">
        <v>100000.0</v>
      </c>
      <c r="V157" s="46"/>
      <c r="W157" s="42"/>
    </row>
    <row r="158">
      <c r="A158" s="15">
        <v>157.0</v>
      </c>
      <c r="B158" s="18" t="s">
        <v>33</v>
      </c>
      <c r="C158" s="18" t="s">
        <v>60</v>
      </c>
      <c r="D158" s="143" t="s">
        <v>1249</v>
      </c>
      <c r="E158" s="18" t="s">
        <v>1250</v>
      </c>
      <c r="F158" s="18" t="s">
        <v>178</v>
      </c>
      <c r="G158" s="18" t="s">
        <v>1251</v>
      </c>
      <c r="H158" s="23"/>
      <c r="I158" s="25"/>
      <c r="J158" s="28">
        <v>46113.0</v>
      </c>
      <c r="K158" s="28">
        <v>46127.0</v>
      </c>
      <c r="L158" s="32"/>
      <c r="M158" s="35"/>
      <c r="N158" s="36"/>
      <c r="O158" s="38">
        <v>15.0</v>
      </c>
      <c r="P158" s="36"/>
      <c r="Q158" s="38">
        <v>15.0</v>
      </c>
      <c r="R158" s="36"/>
      <c r="S158" s="38" t="s">
        <v>959</v>
      </c>
      <c r="T158" s="42"/>
      <c r="U158" s="38">
        <v>50000.0</v>
      </c>
      <c r="V158" s="46"/>
      <c r="W158" s="42"/>
    </row>
    <row r="159">
      <c r="A159" s="15">
        <v>158.0</v>
      </c>
      <c r="B159" s="18" t="s">
        <v>33</v>
      </c>
      <c r="C159" s="18" t="s">
        <v>60</v>
      </c>
      <c r="D159" s="143" t="s">
        <v>1249</v>
      </c>
      <c r="E159" s="18" t="s">
        <v>1250</v>
      </c>
      <c r="F159" s="18" t="s">
        <v>178</v>
      </c>
      <c r="G159" s="18" t="s">
        <v>1251</v>
      </c>
      <c r="H159" s="23"/>
      <c r="I159" s="25"/>
      <c r="J159" s="28">
        <v>46137.0</v>
      </c>
      <c r="K159" s="28">
        <v>46142.0</v>
      </c>
      <c r="L159" s="32"/>
      <c r="M159" s="35"/>
      <c r="N159" s="36"/>
      <c r="O159" s="38">
        <v>6.0</v>
      </c>
      <c r="P159" s="36"/>
      <c r="Q159" s="38">
        <v>6.0</v>
      </c>
      <c r="R159" s="36"/>
      <c r="S159" s="38" t="s">
        <v>502</v>
      </c>
      <c r="T159" s="42"/>
      <c r="U159" s="38">
        <v>20000.0</v>
      </c>
      <c r="V159" s="46"/>
      <c r="W159" s="42"/>
    </row>
    <row r="160">
      <c r="A160" s="15">
        <v>159.0</v>
      </c>
      <c r="B160" s="18" t="s">
        <v>33</v>
      </c>
      <c r="C160" s="18" t="s">
        <v>60</v>
      </c>
      <c r="D160" s="18" t="s">
        <v>1260</v>
      </c>
      <c r="E160" s="18" t="s">
        <v>1262</v>
      </c>
      <c r="F160" s="18" t="s">
        <v>187</v>
      </c>
      <c r="G160" s="18" t="s">
        <v>1263</v>
      </c>
      <c r="H160" s="23"/>
      <c r="I160" s="25"/>
      <c r="J160" s="28">
        <v>46113.0</v>
      </c>
      <c r="K160" s="28">
        <v>46142.0</v>
      </c>
      <c r="L160" s="32"/>
      <c r="M160" s="35"/>
      <c r="N160" s="36"/>
      <c r="O160" s="38">
        <v>30.0</v>
      </c>
      <c r="P160" s="36"/>
      <c r="Q160" s="38">
        <v>30.0</v>
      </c>
      <c r="R160" s="36"/>
      <c r="S160" s="38" t="s">
        <v>53</v>
      </c>
      <c r="T160" s="42"/>
      <c r="U160" s="38">
        <v>100000.0</v>
      </c>
      <c r="V160" s="46"/>
      <c r="W160" s="42"/>
    </row>
    <row r="161">
      <c r="A161" s="15">
        <v>160.0</v>
      </c>
      <c r="B161" s="18" t="s">
        <v>33</v>
      </c>
      <c r="C161" s="18" t="s">
        <v>60</v>
      </c>
      <c r="D161" s="18" t="s">
        <v>1268</v>
      </c>
      <c r="E161" s="18" t="s">
        <v>284</v>
      </c>
      <c r="F161" s="18" t="s">
        <v>139</v>
      </c>
      <c r="G161" s="18" t="s">
        <v>1270</v>
      </c>
      <c r="H161" s="23"/>
      <c r="I161" s="25"/>
      <c r="J161" s="28">
        <v>46113.0</v>
      </c>
      <c r="K161" s="28">
        <v>46142.0</v>
      </c>
      <c r="L161" s="32"/>
      <c r="M161" s="35"/>
      <c r="N161" s="36"/>
      <c r="O161" s="38">
        <v>30.0</v>
      </c>
      <c r="P161" s="36"/>
      <c r="Q161" s="38">
        <v>30.0</v>
      </c>
      <c r="R161" s="36"/>
      <c r="S161" s="38" t="s">
        <v>53</v>
      </c>
      <c r="T161" s="42"/>
      <c r="U161" s="38">
        <v>100000.0</v>
      </c>
      <c r="V161" s="46"/>
      <c r="W161" s="42"/>
    </row>
    <row r="162">
      <c r="A162" s="15">
        <v>161.0</v>
      </c>
      <c r="B162" s="18" t="s">
        <v>33</v>
      </c>
      <c r="C162" s="18" t="s">
        <v>60</v>
      </c>
      <c r="D162" s="18" t="s">
        <v>1279</v>
      </c>
      <c r="E162" s="18" t="s">
        <v>1280</v>
      </c>
      <c r="F162" s="18" t="s">
        <v>58</v>
      </c>
      <c r="G162" s="18" t="s">
        <v>1281</v>
      </c>
      <c r="H162" s="23"/>
      <c r="I162" s="25"/>
      <c r="J162" s="28">
        <v>46133.0</v>
      </c>
      <c r="K162" s="28">
        <v>46142.0</v>
      </c>
      <c r="L162" s="32"/>
      <c r="M162" s="35"/>
      <c r="N162" s="36"/>
      <c r="O162" s="38">
        <v>10.0</v>
      </c>
      <c r="P162" s="36"/>
      <c r="Q162" s="38">
        <v>10.0</v>
      </c>
      <c r="R162" s="36"/>
      <c r="S162" s="38" t="s">
        <v>324</v>
      </c>
      <c r="T162" s="42"/>
      <c r="U162" s="38">
        <v>33333.33</v>
      </c>
      <c r="V162" s="46"/>
      <c r="W162" s="42"/>
    </row>
    <row r="163">
      <c r="A163" s="15">
        <v>162.0</v>
      </c>
      <c r="B163" s="18" t="s">
        <v>33</v>
      </c>
      <c r="C163" s="18" t="s">
        <v>60</v>
      </c>
      <c r="D163" s="18" t="s">
        <v>1285</v>
      </c>
      <c r="E163" s="18" t="s">
        <v>1287</v>
      </c>
      <c r="F163" s="18" t="s">
        <v>119</v>
      </c>
      <c r="G163" s="18" t="s">
        <v>1288</v>
      </c>
      <c r="H163" s="23"/>
      <c r="I163" s="25"/>
      <c r="J163" s="28">
        <v>46113.0</v>
      </c>
      <c r="K163" s="28">
        <v>46142.0</v>
      </c>
      <c r="L163" s="32"/>
      <c r="M163" s="35"/>
      <c r="N163" s="36"/>
      <c r="O163" s="38">
        <v>30.0</v>
      </c>
      <c r="P163" s="36"/>
      <c r="Q163" s="38">
        <v>30.0</v>
      </c>
      <c r="R163" s="36"/>
      <c r="S163" s="38" t="s">
        <v>53</v>
      </c>
      <c r="T163" s="42"/>
      <c r="U163" s="38">
        <v>100000.0</v>
      </c>
      <c r="V163" s="79" t="s">
        <v>125</v>
      </c>
      <c r="W163" s="18" t="s">
        <v>449</v>
      </c>
    </row>
    <row r="164">
      <c r="A164" s="15">
        <v>163.0</v>
      </c>
      <c r="B164" s="18" t="s">
        <v>33</v>
      </c>
      <c r="C164" s="18" t="s">
        <v>60</v>
      </c>
      <c r="D164" s="18" t="s">
        <v>1290</v>
      </c>
      <c r="E164" s="18" t="s">
        <v>1291</v>
      </c>
      <c r="F164" s="18" t="s">
        <v>321</v>
      </c>
      <c r="G164" s="18" t="s">
        <v>1294</v>
      </c>
      <c r="H164" s="23"/>
      <c r="I164" s="25"/>
      <c r="J164" s="28">
        <v>46122.0</v>
      </c>
      <c r="K164" s="28">
        <v>46142.0</v>
      </c>
      <c r="L164" s="32"/>
      <c r="M164" s="35"/>
      <c r="N164" s="36"/>
      <c r="O164" s="38">
        <v>21.0</v>
      </c>
      <c r="P164" s="36"/>
      <c r="Q164" s="38">
        <v>21.0</v>
      </c>
      <c r="R164" s="36"/>
      <c r="S164" s="38" t="s">
        <v>157</v>
      </c>
      <c r="T164" s="42"/>
      <c r="U164" s="38">
        <v>70000.0</v>
      </c>
      <c r="V164" s="46"/>
      <c r="W164" s="42"/>
    </row>
    <row r="165">
      <c r="A165" s="15">
        <v>164.0</v>
      </c>
      <c r="B165" s="18" t="s">
        <v>33</v>
      </c>
      <c r="C165" s="18" t="s">
        <v>102</v>
      </c>
      <c r="D165" s="18" t="s">
        <v>1298</v>
      </c>
      <c r="E165" s="18" t="s">
        <v>1299</v>
      </c>
      <c r="F165" s="18" t="s">
        <v>178</v>
      </c>
      <c r="G165" s="18" t="s">
        <v>1300</v>
      </c>
      <c r="H165" s="23"/>
      <c r="I165" s="25"/>
      <c r="J165" s="28">
        <v>46113.0</v>
      </c>
      <c r="K165" s="28">
        <v>46142.0</v>
      </c>
      <c r="L165" s="32"/>
      <c r="M165" s="35"/>
      <c r="N165" s="36"/>
      <c r="O165" s="38">
        <v>30.0</v>
      </c>
      <c r="P165" s="36"/>
      <c r="Q165" s="38">
        <v>30.0</v>
      </c>
      <c r="R165" s="36"/>
      <c r="S165" s="38" t="s">
        <v>53</v>
      </c>
      <c r="T165" s="42"/>
      <c r="U165" s="38">
        <v>100000.0</v>
      </c>
      <c r="V165" s="46"/>
      <c r="W165" s="42"/>
    </row>
    <row r="166">
      <c r="A166" s="15">
        <v>165.0</v>
      </c>
      <c r="B166" s="18" t="s">
        <v>33</v>
      </c>
      <c r="C166" s="18" t="s">
        <v>60</v>
      </c>
      <c r="D166" s="18" t="s">
        <v>1302</v>
      </c>
      <c r="E166" s="18" t="s">
        <v>1303</v>
      </c>
      <c r="F166" s="18" t="s">
        <v>302</v>
      </c>
      <c r="G166" s="18" t="s">
        <v>1305</v>
      </c>
      <c r="H166" s="23"/>
      <c r="I166" s="25"/>
      <c r="J166" s="28">
        <v>46113.0</v>
      </c>
      <c r="K166" s="28">
        <v>46142.0</v>
      </c>
      <c r="L166" s="32"/>
      <c r="M166" s="35"/>
      <c r="N166" s="36"/>
      <c r="O166" s="38">
        <v>30.0</v>
      </c>
      <c r="P166" s="36"/>
      <c r="Q166" s="38">
        <v>30.0</v>
      </c>
      <c r="R166" s="36"/>
      <c r="S166" s="38" t="s">
        <v>53</v>
      </c>
      <c r="T166" s="42"/>
      <c r="U166" s="38">
        <v>100000.0</v>
      </c>
      <c r="V166" s="46"/>
      <c r="W166" s="42"/>
    </row>
    <row r="167">
      <c r="A167" s="15">
        <v>166.0</v>
      </c>
      <c r="B167" s="18" t="s">
        <v>33</v>
      </c>
      <c r="C167" s="18" t="s">
        <v>60</v>
      </c>
      <c r="D167" s="18" t="s">
        <v>1307</v>
      </c>
      <c r="E167" s="18" t="s">
        <v>1308</v>
      </c>
      <c r="F167" s="18" t="s">
        <v>213</v>
      </c>
      <c r="G167" s="18" t="s">
        <v>1309</v>
      </c>
      <c r="H167" s="23"/>
      <c r="I167" s="25"/>
      <c r="J167" s="28">
        <v>46113.0</v>
      </c>
      <c r="K167" s="28">
        <v>46142.0</v>
      </c>
      <c r="L167" s="32"/>
      <c r="M167" s="35"/>
      <c r="N167" s="36"/>
      <c r="O167" s="38">
        <v>30.0</v>
      </c>
      <c r="P167" s="36"/>
      <c r="Q167" s="38">
        <v>30.0</v>
      </c>
      <c r="R167" s="36"/>
      <c r="S167" s="38" t="s">
        <v>53</v>
      </c>
      <c r="T167" s="42"/>
      <c r="U167" s="38">
        <v>100000.0</v>
      </c>
      <c r="V167" s="46"/>
      <c r="W167" s="42"/>
    </row>
    <row r="168">
      <c r="A168" s="15">
        <v>167.0</v>
      </c>
      <c r="B168" s="18" t="s">
        <v>33</v>
      </c>
      <c r="C168" s="18" t="s">
        <v>60</v>
      </c>
      <c r="D168" s="18" t="s">
        <v>1311</v>
      </c>
      <c r="E168" s="18" t="s">
        <v>1312</v>
      </c>
      <c r="F168" s="18" t="s">
        <v>536</v>
      </c>
      <c r="G168" s="18" t="s">
        <v>1314</v>
      </c>
      <c r="H168" s="23"/>
      <c r="I168" s="25"/>
      <c r="J168" s="28">
        <v>46130.0</v>
      </c>
      <c r="K168" s="28">
        <v>46142.0</v>
      </c>
      <c r="L168" s="32"/>
      <c r="M168" s="35"/>
      <c r="N168" s="36"/>
      <c r="O168" s="38">
        <v>13.0</v>
      </c>
      <c r="P168" s="36"/>
      <c r="Q168" s="38">
        <v>13.0</v>
      </c>
      <c r="R168" s="36"/>
      <c r="S168" s="38" t="s">
        <v>75</v>
      </c>
      <c r="T168" s="42"/>
      <c r="U168" s="38">
        <v>43333.33</v>
      </c>
      <c r="V168" s="46"/>
      <c r="W168" s="42"/>
    </row>
    <row r="169">
      <c r="A169" s="15">
        <v>168.0</v>
      </c>
      <c r="B169" s="18" t="s">
        <v>33</v>
      </c>
      <c r="C169" s="18" t="s">
        <v>60</v>
      </c>
      <c r="D169" s="18" t="s">
        <v>1320</v>
      </c>
      <c r="E169" s="18" t="s">
        <v>1321</v>
      </c>
      <c r="F169" s="18" t="s">
        <v>178</v>
      </c>
      <c r="G169" s="18" t="s">
        <v>1323</v>
      </c>
      <c r="H169" s="23"/>
      <c r="I169" s="25"/>
      <c r="J169" s="28">
        <v>46113.0</v>
      </c>
      <c r="K169" s="28">
        <v>46142.0</v>
      </c>
      <c r="L169" s="32"/>
      <c r="M169" s="35"/>
      <c r="N169" s="36"/>
      <c r="O169" s="38">
        <v>30.0</v>
      </c>
      <c r="P169" s="36"/>
      <c r="Q169" s="38">
        <v>30.0</v>
      </c>
      <c r="R169" s="36"/>
      <c r="S169" s="38" t="s">
        <v>53</v>
      </c>
      <c r="T169" s="42"/>
      <c r="U169" s="38">
        <v>100000.0</v>
      </c>
      <c r="V169" s="46"/>
      <c r="W169" s="42"/>
    </row>
    <row r="170">
      <c r="A170" s="15">
        <v>169.0</v>
      </c>
      <c r="B170" s="18" t="s">
        <v>33</v>
      </c>
      <c r="C170" s="18" t="s">
        <v>60</v>
      </c>
      <c r="D170" s="18" t="s">
        <v>1327</v>
      </c>
      <c r="E170" s="18" t="s">
        <v>1329</v>
      </c>
      <c r="F170" s="18" t="s">
        <v>139</v>
      </c>
      <c r="G170" s="18" t="s">
        <v>1331</v>
      </c>
      <c r="H170" s="23"/>
      <c r="I170" s="25"/>
      <c r="J170" s="28">
        <v>46122.0</v>
      </c>
      <c r="K170" s="28">
        <v>46142.0</v>
      </c>
      <c r="L170" s="32"/>
      <c r="M170" s="35"/>
      <c r="N170" s="36"/>
      <c r="O170" s="38">
        <v>21.0</v>
      </c>
      <c r="P170" s="36"/>
      <c r="Q170" s="38">
        <v>21.0</v>
      </c>
      <c r="R170" s="36"/>
      <c r="S170" s="38" t="s">
        <v>157</v>
      </c>
      <c r="T170" s="42"/>
      <c r="U170" s="38">
        <v>70000.0</v>
      </c>
      <c r="V170" s="46"/>
      <c r="W170" s="42"/>
    </row>
    <row r="171">
      <c r="A171" s="15">
        <v>170.0</v>
      </c>
      <c r="B171" s="18" t="s">
        <v>33</v>
      </c>
      <c r="C171" s="18" t="s">
        <v>102</v>
      </c>
      <c r="D171" s="18" t="s">
        <v>1334</v>
      </c>
      <c r="E171" s="18" t="s">
        <v>1335</v>
      </c>
      <c r="F171" s="18" t="s">
        <v>213</v>
      </c>
      <c r="G171" s="18" t="s">
        <v>1336</v>
      </c>
      <c r="H171" s="23"/>
      <c r="I171" s="25"/>
      <c r="J171" s="28">
        <v>46113.0</v>
      </c>
      <c r="K171" s="28">
        <v>46142.0</v>
      </c>
      <c r="L171" s="32"/>
      <c r="M171" s="35"/>
      <c r="N171" s="36"/>
      <c r="O171" s="38">
        <v>30.0</v>
      </c>
      <c r="P171" s="36"/>
      <c r="Q171" s="38">
        <v>30.0</v>
      </c>
      <c r="R171" s="36"/>
      <c r="S171" s="38" t="s">
        <v>53</v>
      </c>
      <c r="T171" s="42"/>
      <c r="U171" s="38">
        <v>100000.0</v>
      </c>
      <c r="V171" s="46"/>
      <c r="W171" s="42"/>
    </row>
    <row r="172">
      <c r="A172" s="15">
        <v>171.0</v>
      </c>
      <c r="B172" s="18" t="s">
        <v>33</v>
      </c>
      <c r="C172" s="18" t="s">
        <v>60</v>
      </c>
      <c r="D172" s="18" t="s">
        <v>1341</v>
      </c>
      <c r="E172" s="18" t="s">
        <v>1343</v>
      </c>
      <c r="F172" s="18" t="s">
        <v>1345</v>
      </c>
      <c r="G172" s="18" t="s">
        <v>1346</v>
      </c>
      <c r="H172" s="23"/>
      <c r="I172" s="25"/>
      <c r="J172" s="28">
        <v>46113.0</v>
      </c>
      <c r="K172" s="28">
        <v>46142.0</v>
      </c>
      <c r="L172" s="32"/>
      <c r="M172" s="35"/>
      <c r="N172" s="36"/>
      <c r="O172" s="38">
        <v>30.0</v>
      </c>
      <c r="P172" s="36"/>
      <c r="Q172" s="38">
        <v>30.0</v>
      </c>
      <c r="R172" s="36"/>
      <c r="S172" s="38" t="s">
        <v>53</v>
      </c>
      <c r="T172" s="42"/>
      <c r="U172" s="38">
        <v>100000.0</v>
      </c>
      <c r="V172" s="79" t="s">
        <v>125</v>
      </c>
      <c r="W172" s="42"/>
    </row>
    <row r="173">
      <c r="A173" s="15">
        <v>172.0</v>
      </c>
      <c r="B173" s="18" t="s">
        <v>33</v>
      </c>
      <c r="C173" s="18" t="s">
        <v>60</v>
      </c>
      <c r="D173" s="18" t="s">
        <v>1348</v>
      </c>
      <c r="E173" s="18" t="s">
        <v>1350</v>
      </c>
      <c r="F173" s="18" t="s">
        <v>178</v>
      </c>
      <c r="G173" s="18" t="s">
        <v>1352</v>
      </c>
      <c r="H173" s="23"/>
      <c r="I173" s="25"/>
      <c r="J173" s="28">
        <v>46113.0</v>
      </c>
      <c r="K173" s="28">
        <v>46142.0</v>
      </c>
      <c r="L173" s="32"/>
      <c r="M173" s="35"/>
      <c r="N173" s="36"/>
      <c r="O173" s="38">
        <v>30.0</v>
      </c>
      <c r="P173" s="36"/>
      <c r="Q173" s="38">
        <v>30.0</v>
      </c>
      <c r="R173" s="36"/>
      <c r="S173" s="38" t="s">
        <v>53</v>
      </c>
      <c r="T173" s="42"/>
      <c r="U173" s="38">
        <v>100000.0</v>
      </c>
      <c r="V173" s="46"/>
      <c r="W173" s="42"/>
    </row>
    <row r="174">
      <c r="A174" s="15">
        <v>173.0</v>
      </c>
      <c r="B174" s="18" t="s">
        <v>33</v>
      </c>
      <c r="C174" s="18" t="s">
        <v>60</v>
      </c>
      <c r="D174" s="18" t="s">
        <v>1356</v>
      </c>
      <c r="E174" s="18" t="s">
        <v>1358</v>
      </c>
      <c r="F174" s="18" t="s">
        <v>178</v>
      </c>
      <c r="G174" s="18" t="s">
        <v>1352</v>
      </c>
      <c r="H174" s="23"/>
      <c r="I174" s="25"/>
      <c r="J174" s="28">
        <v>46113.0</v>
      </c>
      <c r="K174" s="28">
        <v>46142.0</v>
      </c>
      <c r="L174" s="32"/>
      <c r="M174" s="35"/>
      <c r="N174" s="36"/>
      <c r="O174" s="38">
        <v>30.0</v>
      </c>
      <c r="P174" s="36"/>
      <c r="Q174" s="38">
        <v>30.0</v>
      </c>
      <c r="R174" s="36"/>
      <c r="S174" s="38" t="s">
        <v>53</v>
      </c>
      <c r="T174" s="42"/>
      <c r="U174" s="38">
        <v>100000.0</v>
      </c>
      <c r="V174" s="79" t="s">
        <v>125</v>
      </c>
      <c r="W174" s="42"/>
    </row>
    <row r="175">
      <c r="A175" s="15">
        <v>174.0</v>
      </c>
      <c r="B175" s="18" t="s">
        <v>33</v>
      </c>
      <c r="C175" s="18" t="s">
        <v>102</v>
      </c>
      <c r="D175" s="18" t="s">
        <v>1363</v>
      </c>
      <c r="E175" s="18" t="s">
        <v>1365</v>
      </c>
      <c r="F175" s="18" t="s">
        <v>287</v>
      </c>
      <c r="G175" s="18" t="s">
        <v>1367</v>
      </c>
      <c r="H175" s="23"/>
      <c r="I175" s="25"/>
      <c r="J175" s="28">
        <v>46128.0</v>
      </c>
      <c r="K175" s="28">
        <v>46142.0</v>
      </c>
      <c r="L175" s="32"/>
      <c r="M175" s="35"/>
      <c r="N175" s="36"/>
      <c r="O175" s="38">
        <v>15.0</v>
      </c>
      <c r="P175" s="36"/>
      <c r="Q175" s="38">
        <v>15.0</v>
      </c>
      <c r="R175" s="36"/>
      <c r="S175" s="38" t="s">
        <v>959</v>
      </c>
      <c r="T175" s="42"/>
      <c r="U175" s="38">
        <v>50000.0</v>
      </c>
      <c r="V175" s="46"/>
      <c r="W175" s="42"/>
    </row>
    <row r="176">
      <c r="A176" s="15">
        <v>175.0</v>
      </c>
      <c r="B176" s="18" t="s">
        <v>33</v>
      </c>
      <c r="C176" s="18" t="s">
        <v>60</v>
      </c>
      <c r="D176" s="18" t="s">
        <v>1373</v>
      </c>
      <c r="E176" s="18" t="s">
        <v>1229</v>
      </c>
      <c r="F176" s="18" t="s">
        <v>287</v>
      </c>
      <c r="G176" s="18" t="s">
        <v>1367</v>
      </c>
      <c r="H176" s="23"/>
      <c r="I176" s="25"/>
      <c r="J176" s="28">
        <v>46133.0</v>
      </c>
      <c r="K176" s="28">
        <v>46142.0</v>
      </c>
      <c r="L176" s="32"/>
      <c r="M176" s="35"/>
      <c r="N176" s="36"/>
      <c r="O176" s="38">
        <v>10.0</v>
      </c>
      <c r="P176" s="36"/>
      <c r="Q176" s="38">
        <v>10.0</v>
      </c>
      <c r="R176" s="36"/>
      <c r="S176" s="38" t="s">
        <v>324</v>
      </c>
      <c r="T176" s="42"/>
      <c r="U176" s="38">
        <v>33333.33</v>
      </c>
      <c r="V176" s="46"/>
      <c r="W176" s="42"/>
    </row>
    <row r="177">
      <c r="A177" s="15">
        <v>176.0</v>
      </c>
      <c r="B177" s="18" t="s">
        <v>33</v>
      </c>
      <c r="C177" s="18" t="s">
        <v>143</v>
      </c>
      <c r="D177" s="18" t="s">
        <v>1379</v>
      </c>
      <c r="E177" s="18" t="s">
        <v>1381</v>
      </c>
      <c r="F177" s="18" t="s">
        <v>1088</v>
      </c>
      <c r="G177" s="18" t="s">
        <v>1382</v>
      </c>
      <c r="H177" s="23"/>
      <c r="I177" s="25"/>
      <c r="J177" s="28">
        <v>46113.0</v>
      </c>
      <c r="K177" s="28">
        <v>46142.0</v>
      </c>
      <c r="L177" s="32"/>
      <c r="M177" s="35"/>
      <c r="N177" s="36"/>
      <c r="O177" s="38">
        <v>30.0</v>
      </c>
      <c r="P177" s="36"/>
      <c r="Q177" s="38">
        <v>30.0</v>
      </c>
      <c r="R177" s="36"/>
      <c r="S177" s="38" t="s">
        <v>53</v>
      </c>
      <c r="T177" s="42"/>
      <c r="U177" s="38">
        <v>100000.0</v>
      </c>
      <c r="V177" s="46"/>
      <c r="W177" s="42"/>
    </row>
    <row r="178">
      <c r="A178" s="15">
        <v>177.0</v>
      </c>
      <c r="B178" s="18" t="s">
        <v>33</v>
      </c>
      <c r="C178" s="18" t="s">
        <v>102</v>
      </c>
      <c r="D178" s="18" t="s">
        <v>1387</v>
      </c>
      <c r="E178" s="18" t="s">
        <v>1388</v>
      </c>
      <c r="F178" s="18" t="s">
        <v>1157</v>
      </c>
      <c r="G178" s="18" t="s">
        <v>1389</v>
      </c>
      <c r="H178" s="23"/>
      <c r="I178" s="25"/>
      <c r="J178" s="28">
        <v>46113.0</v>
      </c>
      <c r="K178" s="28">
        <v>46142.0</v>
      </c>
      <c r="L178" s="32"/>
      <c r="M178" s="35"/>
      <c r="N178" s="36"/>
      <c r="O178" s="38">
        <v>30.0</v>
      </c>
      <c r="P178" s="36"/>
      <c r="Q178" s="38">
        <v>30.0</v>
      </c>
      <c r="R178" s="36"/>
      <c r="S178" s="38" t="s">
        <v>53</v>
      </c>
      <c r="T178" s="42"/>
      <c r="U178" s="38">
        <v>100000.0</v>
      </c>
      <c r="V178" s="46"/>
      <c r="W178" s="42"/>
    </row>
    <row r="179">
      <c r="A179" s="15">
        <v>178.0</v>
      </c>
      <c r="B179" s="18" t="s">
        <v>33</v>
      </c>
      <c r="C179" s="18" t="s">
        <v>60</v>
      </c>
      <c r="D179" s="18" t="s">
        <v>1392</v>
      </c>
      <c r="E179" s="18" t="s">
        <v>1394</v>
      </c>
      <c r="F179" s="18" t="s">
        <v>119</v>
      </c>
      <c r="G179" s="18" t="s">
        <v>1395</v>
      </c>
      <c r="H179" s="23"/>
      <c r="I179" s="25"/>
      <c r="J179" s="28">
        <v>46113.0</v>
      </c>
      <c r="K179" s="28">
        <v>46142.0</v>
      </c>
      <c r="L179" s="32"/>
      <c r="M179" s="35"/>
      <c r="N179" s="36"/>
      <c r="O179" s="38">
        <v>30.0</v>
      </c>
      <c r="P179" s="36"/>
      <c r="Q179" s="38">
        <v>30.0</v>
      </c>
      <c r="R179" s="36"/>
      <c r="S179" s="38" t="s">
        <v>53</v>
      </c>
      <c r="T179" s="42"/>
      <c r="U179" s="38">
        <v>100000.0</v>
      </c>
      <c r="V179" s="46"/>
      <c r="W179" s="42"/>
    </row>
    <row r="180">
      <c r="A180" s="15">
        <v>179.0</v>
      </c>
      <c r="B180" s="18" t="s">
        <v>33</v>
      </c>
      <c r="C180" s="18" t="s">
        <v>60</v>
      </c>
      <c r="D180" s="18" t="s">
        <v>1399</v>
      </c>
      <c r="E180" s="18" t="s">
        <v>1400</v>
      </c>
      <c r="F180" s="18" t="s">
        <v>1402</v>
      </c>
      <c r="G180" s="18" t="s">
        <v>1403</v>
      </c>
      <c r="H180" s="23"/>
      <c r="I180" s="25"/>
      <c r="J180" s="28">
        <v>46113.0</v>
      </c>
      <c r="K180" s="28">
        <v>46142.0</v>
      </c>
      <c r="L180" s="32"/>
      <c r="M180" s="35"/>
      <c r="N180" s="36"/>
      <c r="O180" s="38">
        <v>30.0</v>
      </c>
      <c r="P180" s="36"/>
      <c r="Q180" s="38">
        <v>30.0</v>
      </c>
      <c r="R180" s="36"/>
      <c r="S180" s="38" t="s">
        <v>53</v>
      </c>
      <c r="T180" s="42"/>
      <c r="U180" s="38">
        <v>100000.0</v>
      </c>
      <c r="V180" s="79" t="s">
        <v>125</v>
      </c>
      <c r="W180" s="18" t="s">
        <v>449</v>
      </c>
    </row>
    <row r="181">
      <c r="A181" s="15">
        <v>180.0</v>
      </c>
      <c r="B181" s="18" t="s">
        <v>33</v>
      </c>
      <c r="C181" s="18" t="s">
        <v>60</v>
      </c>
      <c r="D181" s="18" t="s">
        <v>1408</v>
      </c>
      <c r="E181" s="18" t="s">
        <v>1409</v>
      </c>
      <c r="F181" s="18" t="s">
        <v>152</v>
      </c>
      <c r="G181" s="18" t="s">
        <v>1411</v>
      </c>
      <c r="H181" s="23"/>
      <c r="I181" s="25"/>
      <c r="J181" s="28">
        <v>46122.0</v>
      </c>
      <c r="K181" s="28">
        <v>46142.0</v>
      </c>
      <c r="L181" s="32"/>
      <c r="M181" s="35"/>
      <c r="N181" s="36"/>
      <c r="O181" s="38">
        <v>21.0</v>
      </c>
      <c r="P181" s="36"/>
      <c r="Q181" s="38">
        <v>21.0</v>
      </c>
      <c r="R181" s="36"/>
      <c r="S181" s="38" t="s">
        <v>157</v>
      </c>
      <c r="T181" s="42"/>
      <c r="U181" s="38">
        <v>70000.0</v>
      </c>
      <c r="V181" s="46"/>
      <c r="W181" s="42"/>
    </row>
    <row r="182">
      <c r="A182" s="15">
        <v>181.0</v>
      </c>
      <c r="B182" s="18" t="s">
        <v>33</v>
      </c>
      <c r="C182" s="18" t="s">
        <v>360</v>
      </c>
      <c r="D182" s="18" t="s">
        <v>1413</v>
      </c>
      <c r="E182" s="18" t="s">
        <v>1415</v>
      </c>
      <c r="F182" s="18" t="s">
        <v>1402</v>
      </c>
      <c r="G182" s="18" t="s">
        <v>1417</v>
      </c>
      <c r="H182" s="23"/>
      <c r="I182" s="25"/>
      <c r="J182" s="28">
        <v>46113.0</v>
      </c>
      <c r="K182" s="28">
        <v>46142.0</v>
      </c>
      <c r="L182" s="32"/>
      <c r="M182" s="35"/>
      <c r="N182" s="36"/>
      <c r="O182" s="38">
        <v>30.0</v>
      </c>
      <c r="P182" s="36"/>
      <c r="Q182" s="38">
        <v>30.0</v>
      </c>
      <c r="R182" s="36"/>
      <c r="S182" s="38" t="s">
        <v>53</v>
      </c>
      <c r="T182" s="42"/>
      <c r="U182" s="38">
        <v>100000.0</v>
      </c>
      <c r="V182" s="79" t="s">
        <v>125</v>
      </c>
      <c r="W182" s="18" t="s">
        <v>449</v>
      </c>
    </row>
    <row r="183">
      <c r="A183" s="15">
        <v>182.0</v>
      </c>
      <c r="B183" s="18" t="s">
        <v>33</v>
      </c>
      <c r="C183" s="18" t="s">
        <v>102</v>
      </c>
      <c r="D183" s="18" t="s">
        <v>1421</v>
      </c>
      <c r="E183" s="18" t="s">
        <v>1422</v>
      </c>
      <c r="F183" s="18" t="s">
        <v>1402</v>
      </c>
      <c r="G183" s="18" t="s">
        <v>1424</v>
      </c>
      <c r="H183" s="23"/>
      <c r="I183" s="25"/>
      <c r="J183" s="28">
        <v>46113.0</v>
      </c>
      <c r="K183" s="28">
        <v>46142.0</v>
      </c>
      <c r="L183" s="32"/>
      <c r="M183" s="35"/>
      <c r="N183" s="36"/>
      <c r="O183" s="38">
        <v>30.0</v>
      </c>
      <c r="P183" s="36"/>
      <c r="Q183" s="38">
        <v>30.0</v>
      </c>
      <c r="R183" s="36"/>
      <c r="S183" s="38" t="s">
        <v>53</v>
      </c>
      <c r="T183" s="42"/>
      <c r="U183" s="38">
        <v>100000.0</v>
      </c>
      <c r="V183" s="79" t="s">
        <v>125</v>
      </c>
      <c r="W183" s="42"/>
    </row>
    <row r="184">
      <c r="A184" s="15">
        <v>183.0</v>
      </c>
      <c r="B184" s="18" t="s">
        <v>33</v>
      </c>
      <c r="C184" s="18" t="s">
        <v>60</v>
      </c>
      <c r="D184" s="18" t="s">
        <v>1429</v>
      </c>
      <c r="E184" s="18" t="s">
        <v>1430</v>
      </c>
      <c r="F184" s="18" t="s">
        <v>1431</v>
      </c>
      <c r="G184" s="18" t="s">
        <v>1432</v>
      </c>
      <c r="H184" s="23"/>
      <c r="I184" s="25"/>
      <c r="J184" s="28">
        <v>46133.0</v>
      </c>
      <c r="K184" s="28">
        <v>46142.0</v>
      </c>
      <c r="L184" s="32"/>
      <c r="M184" s="35"/>
      <c r="N184" s="36"/>
      <c r="O184" s="38">
        <v>10.0</v>
      </c>
      <c r="P184" s="36"/>
      <c r="Q184" s="38">
        <v>10.0</v>
      </c>
      <c r="R184" s="36"/>
      <c r="S184" s="38" t="s">
        <v>324</v>
      </c>
      <c r="T184" s="42"/>
      <c r="U184" s="38">
        <v>33333.33</v>
      </c>
      <c r="V184" s="46"/>
      <c r="W184" s="42"/>
    </row>
    <row r="185">
      <c r="A185" s="15">
        <v>184.0</v>
      </c>
      <c r="B185" s="18" t="s">
        <v>33</v>
      </c>
      <c r="C185" s="18" t="s">
        <v>60</v>
      </c>
      <c r="D185" s="18" t="s">
        <v>1438</v>
      </c>
      <c r="E185" s="18" t="s">
        <v>1439</v>
      </c>
      <c r="F185" s="18" t="s">
        <v>119</v>
      </c>
      <c r="G185" s="18" t="s">
        <v>1442</v>
      </c>
      <c r="H185" s="23"/>
      <c r="I185" s="25"/>
      <c r="J185" s="28">
        <v>46113.0</v>
      </c>
      <c r="K185" s="28">
        <v>46142.0</v>
      </c>
      <c r="L185" s="32"/>
      <c r="M185" s="35"/>
      <c r="N185" s="36"/>
      <c r="O185" s="38">
        <v>30.0</v>
      </c>
      <c r="P185" s="36"/>
      <c r="Q185" s="38">
        <v>30.0</v>
      </c>
      <c r="R185" s="36"/>
      <c r="S185" s="38" t="s">
        <v>53</v>
      </c>
      <c r="T185" s="42"/>
      <c r="U185" s="38">
        <v>100000.0</v>
      </c>
      <c r="V185" s="46"/>
      <c r="W185" s="42"/>
    </row>
    <row r="186">
      <c r="A186" s="15">
        <v>185.0</v>
      </c>
      <c r="B186" s="18" t="s">
        <v>33</v>
      </c>
      <c r="C186" s="18" t="s">
        <v>60</v>
      </c>
      <c r="D186" s="143" t="s">
        <v>1449</v>
      </c>
      <c r="E186" s="18" t="s">
        <v>1450</v>
      </c>
      <c r="F186" s="18" t="s">
        <v>249</v>
      </c>
      <c r="G186" s="18" t="s">
        <v>1452</v>
      </c>
      <c r="H186" s="23"/>
      <c r="I186" s="25"/>
      <c r="J186" s="28">
        <v>46113.0</v>
      </c>
      <c r="K186" s="28">
        <v>46114.0</v>
      </c>
      <c r="L186" s="32"/>
      <c r="M186" s="35"/>
      <c r="N186" s="36"/>
      <c r="O186" s="38">
        <v>2.0</v>
      </c>
      <c r="P186" s="36"/>
      <c r="Q186" s="38">
        <v>2.0</v>
      </c>
      <c r="R186" s="36"/>
      <c r="S186" s="38" t="s">
        <v>396</v>
      </c>
      <c r="T186" s="42"/>
      <c r="U186" s="38">
        <v>6666.67</v>
      </c>
      <c r="V186" s="79" t="s">
        <v>125</v>
      </c>
      <c r="W186" s="42"/>
    </row>
    <row r="187">
      <c r="A187" s="15">
        <v>186.0</v>
      </c>
      <c r="B187" s="18" t="s">
        <v>33</v>
      </c>
      <c r="C187" s="18" t="s">
        <v>60</v>
      </c>
      <c r="D187" s="143" t="s">
        <v>1449</v>
      </c>
      <c r="E187" s="18" t="s">
        <v>1450</v>
      </c>
      <c r="F187" s="18" t="s">
        <v>249</v>
      </c>
      <c r="G187" s="18" t="s">
        <v>1452</v>
      </c>
      <c r="H187" s="23"/>
      <c r="I187" s="25"/>
      <c r="J187" s="28">
        <v>46121.0</v>
      </c>
      <c r="K187" s="28">
        <v>46142.0</v>
      </c>
      <c r="L187" s="32"/>
      <c r="M187" s="35"/>
      <c r="N187" s="36"/>
      <c r="O187" s="38">
        <v>22.0</v>
      </c>
      <c r="P187" s="36"/>
      <c r="Q187" s="38">
        <v>22.0</v>
      </c>
      <c r="R187" s="36"/>
      <c r="S187" s="38" t="s">
        <v>1461</v>
      </c>
      <c r="T187" s="42"/>
      <c r="U187" s="38">
        <v>73333.33</v>
      </c>
      <c r="V187" s="79" t="s">
        <v>125</v>
      </c>
      <c r="W187" s="42"/>
    </row>
    <row r="188">
      <c r="A188" s="15">
        <v>187.0</v>
      </c>
      <c r="B188" s="18" t="s">
        <v>33</v>
      </c>
      <c r="C188" s="18" t="s">
        <v>60</v>
      </c>
      <c r="D188" s="18" t="s">
        <v>1463</v>
      </c>
      <c r="E188" s="18" t="s">
        <v>1464</v>
      </c>
      <c r="F188" s="18" t="s">
        <v>786</v>
      </c>
      <c r="G188" s="18" t="s">
        <v>1465</v>
      </c>
      <c r="H188" s="23"/>
      <c r="I188" s="25"/>
      <c r="J188" s="28">
        <v>46122.0</v>
      </c>
      <c r="K188" s="28">
        <v>46142.0</v>
      </c>
      <c r="L188" s="32"/>
      <c r="M188" s="35"/>
      <c r="N188" s="36"/>
      <c r="O188" s="38">
        <v>21.0</v>
      </c>
      <c r="P188" s="36"/>
      <c r="Q188" s="38">
        <v>21.0</v>
      </c>
      <c r="R188" s="36"/>
      <c r="S188" s="38" t="s">
        <v>157</v>
      </c>
      <c r="T188" s="42"/>
      <c r="U188" s="38">
        <v>70000.0</v>
      </c>
      <c r="V188" s="79" t="s">
        <v>125</v>
      </c>
      <c r="W188" s="18" t="s">
        <v>449</v>
      </c>
    </row>
    <row r="189">
      <c r="A189" s="15">
        <v>188.0</v>
      </c>
      <c r="B189" s="18" t="s">
        <v>33</v>
      </c>
      <c r="C189" s="18" t="s">
        <v>60</v>
      </c>
      <c r="D189" s="18" t="s">
        <v>1472</v>
      </c>
      <c r="E189" s="18" t="s">
        <v>1474</v>
      </c>
      <c r="F189" s="18" t="s">
        <v>152</v>
      </c>
      <c r="G189" s="18" t="s">
        <v>1477</v>
      </c>
      <c r="H189" s="23"/>
      <c r="I189" s="25"/>
      <c r="J189" s="28">
        <v>46113.0</v>
      </c>
      <c r="K189" s="28">
        <v>46133.0</v>
      </c>
      <c r="L189" s="32"/>
      <c r="M189" s="35"/>
      <c r="N189" s="36"/>
      <c r="O189" s="38">
        <v>21.0</v>
      </c>
      <c r="P189" s="36"/>
      <c r="Q189" s="38">
        <v>21.0</v>
      </c>
      <c r="R189" s="36"/>
      <c r="S189" s="38" t="s">
        <v>157</v>
      </c>
      <c r="T189" s="42"/>
      <c r="U189" s="38">
        <v>70000.0</v>
      </c>
      <c r="V189" s="46"/>
      <c r="W189" s="42"/>
    </row>
    <row r="190">
      <c r="A190" s="15">
        <v>189.0</v>
      </c>
      <c r="B190" s="18" t="s">
        <v>33</v>
      </c>
      <c r="C190" s="18" t="s">
        <v>60</v>
      </c>
      <c r="D190" s="18" t="s">
        <v>1481</v>
      </c>
      <c r="E190" s="18" t="s">
        <v>1482</v>
      </c>
      <c r="F190" s="18" t="s">
        <v>786</v>
      </c>
      <c r="G190" s="18" t="s">
        <v>1486</v>
      </c>
      <c r="H190" s="23"/>
      <c r="I190" s="25"/>
      <c r="J190" s="28">
        <v>46113.0</v>
      </c>
      <c r="K190" s="28">
        <v>46142.0</v>
      </c>
      <c r="L190" s="32"/>
      <c r="M190" s="35"/>
      <c r="N190" s="36"/>
      <c r="O190" s="38">
        <v>30.0</v>
      </c>
      <c r="P190" s="36"/>
      <c r="Q190" s="38">
        <v>30.0</v>
      </c>
      <c r="R190" s="36"/>
      <c r="S190" s="38" t="s">
        <v>53</v>
      </c>
      <c r="T190" s="42"/>
      <c r="U190" s="38">
        <v>100000.0</v>
      </c>
      <c r="V190" s="46"/>
      <c r="W190" s="42"/>
    </row>
    <row r="191">
      <c r="A191" s="15">
        <v>190.0</v>
      </c>
      <c r="B191" s="18" t="s">
        <v>33</v>
      </c>
      <c r="C191" s="18" t="s">
        <v>102</v>
      </c>
      <c r="D191" s="18" t="s">
        <v>1489</v>
      </c>
      <c r="E191" s="18" t="s">
        <v>1490</v>
      </c>
      <c r="F191" s="18" t="s">
        <v>249</v>
      </c>
      <c r="G191" s="18" t="s">
        <v>1493</v>
      </c>
      <c r="H191" s="23"/>
      <c r="I191" s="25"/>
      <c r="J191" s="28">
        <v>46113.0</v>
      </c>
      <c r="K191" s="28">
        <v>46142.0</v>
      </c>
      <c r="L191" s="32"/>
      <c r="M191" s="35"/>
      <c r="N191" s="36"/>
      <c r="O191" s="38">
        <v>30.0</v>
      </c>
      <c r="P191" s="36"/>
      <c r="Q191" s="38">
        <v>30.0</v>
      </c>
      <c r="R191" s="36"/>
      <c r="S191" s="38" t="s">
        <v>53</v>
      </c>
      <c r="T191" s="42"/>
      <c r="U191" s="38">
        <v>100000.0</v>
      </c>
      <c r="V191" s="79" t="s">
        <v>125</v>
      </c>
      <c r="W191" s="18" t="s">
        <v>449</v>
      </c>
    </row>
    <row r="192">
      <c r="A192" s="15">
        <v>191.0</v>
      </c>
      <c r="B192" s="18" t="s">
        <v>33</v>
      </c>
      <c r="C192" s="18" t="s">
        <v>60</v>
      </c>
      <c r="D192" s="18" t="s">
        <v>1499</v>
      </c>
      <c r="E192" s="18" t="s">
        <v>1500</v>
      </c>
      <c r="F192" s="18" t="s">
        <v>786</v>
      </c>
      <c r="G192" s="18" t="s">
        <v>1501</v>
      </c>
      <c r="H192" s="23"/>
      <c r="I192" s="25"/>
      <c r="J192" s="28">
        <v>46113.0</v>
      </c>
      <c r="K192" s="28">
        <v>46142.0</v>
      </c>
      <c r="L192" s="32"/>
      <c r="M192" s="35"/>
      <c r="N192" s="36"/>
      <c r="O192" s="38">
        <v>30.0</v>
      </c>
      <c r="P192" s="36"/>
      <c r="Q192" s="38">
        <v>30.0</v>
      </c>
      <c r="R192" s="36"/>
      <c r="S192" s="38" t="s">
        <v>53</v>
      </c>
      <c r="T192" s="42"/>
      <c r="U192" s="38">
        <v>100000.0</v>
      </c>
      <c r="V192" s="79" t="s">
        <v>125</v>
      </c>
      <c r="W192" s="18" t="s">
        <v>449</v>
      </c>
    </row>
    <row r="193">
      <c r="A193" s="15">
        <v>192.0</v>
      </c>
      <c r="B193" s="18" t="s">
        <v>33</v>
      </c>
      <c r="C193" s="18" t="s">
        <v>102</v>
      </c>
      <c r="D193" s="18" t="s">
        <v>1504</v>
      </c>
      <c r="E193" s="18" t="s">
        <v>1505</v>
      </c>
      <c r="F193" s="18" t="s">
        <v>119</v>
      </c>
      <c r="G193" s="18" t="s">
        <v>1506</v>
      </c>
      <c r="H193" s="23"/>
      <c r="I193" s="25"/>
      <c r="J193" s="28">
        <v>46113.0</v>
      </c>
      <c r="K193" s="28">
        <v>46142.0</v>
      </c>
      <c r="L193" s="32"/>
      <c r="M193" s="35"/>
      <c r="N193" s="36"/>
      <c r="O193" s="38">
        <v>30.0</v>
      </c>
      <c r="P193" s="36"/>
      <c r="Q193" s="38">
        <v>30.0</v>
      </c>
      <c r="R193" s="36"/>
      <c r="S193" s="38" t="s">
        <v>53</v>
      </c>
      <c r="T193" s="42"/>
      <c r="U193" s="38">
        <v>100000.0</v>
      </c>
      <c r="V193" s="46"/>
      <c r="W193" s="42"/>
    </row>
    <row r="194">
      <c r="A194" s="15">
        <v>193.0</v>
      </c>
      <c r="B194" s="18" t="s">
        <v>33</v>
      </c>
      <c r="C194" s="18" t="s">
        <v>60</v>
      </c>
      <c r="D194" s="18" t="s">
        <v>1512</v>
      </c>
      <c r="E194" s="18" t="s">
        <v>1514</v>
      </c>
      <c r="F194" s="18" t="s">
        <v>1431</v>
      </c>
      <c r="G194" s="18" t="s">
        <v>1516</v>
      </c>
      <c r="H194" s="23"/>
      <c r="I194" s="25"/>
      <c r="J194" s="28">
        <v>46122.0</v>
      </c>
      <c r="K194" s="28">
        <v>46142.0</v>
      </c>
      <c r="L194" s="32"/>
      <c r="M194" s="35"/>
      <c r="N194" s="36"/>
      <c r="O194" s="38">
        <v>21.0</v>
      </c>
      <c r="P194" s="36"/>
      <c r="Q194" s="38">
        <v>21.0</v>
      </c>
      <c r="R194" s="36"/>
      <c r="S194" s="38" t="s">
        <v>157</v>
      </c>
      <c r="T194" s="42"/>
      <c r="U194" s="38">
        <v>70000.0</v>
      </c>
      <c r="V194" s="46"/>
      <c r="W194" s="42"/>
    </row>
    <row r="195">
      <c r="A195" s="15">
        <v>194.0</v>
      </c>
      <c r="B195" s="18" t="s">
        <v>33</v>
      </c>
      <c r="C195" s="18" t="s">
        <v>60</v>
      </c>
      <c r="D195" s="18" t="s">
        <v>1524</v>
      </c>
      <c r="E195" s="18" t="s">
        <v>1526</v>
      </c>
      <c r="F195" s="18" t="s">
        <v>249</v>
      </c>
      <c r="G195" s="18" t="s">
        <v>1529</v>
      </c>
      <c r="H195" s="23"/>
      <c r="I195" s="25"/>
      <c r="J195" s="28">
        <v>46113.0</v>
      </c>
      <c r="K195" s="28">
        <v>46142.0</v>
      </c>
      <c r="L195" s="32"/>
      <c r="M195" s="35"/>
      <c r="N195" s="36"/>
      <c r="O195" s="38">
        <v>30.0</v>
      </c>
      <c r="P195" s="36"/>
      <c r="Q195" s="38">
        <v>30.0</v>
      </c>
      <c r="R195" s="36"/>
      <c r="S195" s="38" t="s">
        <v>53</v>
      </c>
      <c r="T195" s="42"/>
      <c r="U195" s="38">
        <v>100000.0</v>
      </c>
      <c r="V195" s="79" t="s">
        <v>125</v>
      </c>
      <c r="W195" s="18" t="s">
        <v>449</v>
      </c>
    </row>
    <row r="196">
      <c r="A196" s="15">
        <v>195.0</v>
      </c>
      <c r="B196" s="18" t="s">
        <v>33</v>
      </c>
      <c r="C196" s="18" t="s">
        <v>60</v>
      </c>
      <c r="D196" s="18" t="s">
        <v>1534</v>
      </c>
      <c r="E196" s="18" t="s">
        <v>1535</v>
      </c>
      <c r="F196" s="18" t="s">
        <v>249</v>
      </c>
      <c r="G196" s="18" t="s">
        <v>1543</v>
      </c>
      <c r="H196" s="23"/>
      <c r="I196" s="25"/>
      <c r="J196" s="28">
        <v>46113.0</v>
      </c>
      <c r="K196" s="28">
        <v>46142.0</v>
      </c>
      <c r="L196" s="32"/>
      <c r="M196" s="35"/>
      <c r="N196" s="36"/>
      <c r="O196" s="38">
        <v>30.0</v>
      </c>
      <c r="P196" s="36"/>
      <c r="Q196" s="38">
        <v>30.0</v>
      </c>
      <c r="R196" s="36"/>
      <c r="S196" s="38" t="s">
        <v>53</v>
      </c>
      <c r="T196" s="42"/>
      <c r="U196" s="38">
        <v>100000.0</v>
      </c>
      <c r="V196" s="79" t="s">
        <v>125</v>
      </c>
      <c r="W196" s="18" t="s">
        <v>449</v>
      </c>
    </row>
    <row r="197">
      <c r="A197" s="15">
        <v>196.0</v>
      </c>
      <c r="B197" s="18" t="s">
        <v>33</v>
      </c>
      <c r="C197" s="18" t="s">
        <v>60</v>
      </c>
      <c r="D197" s="18" t="s">
        <v>1553</v>
      </c>
      <c r="E197" s="18" t="s">
        <v>912</v>
      </c>
      <c r="F197" s="42"/>
      <c r="G197" s="273"/>
      <c r="H197" s="23"/>
      <c r="I197" s="25"/>
      <c r="J197" s="28">
        <v>46113.0</v>
      </c>
      <c r="K197" s="28">
        <v>46142.0</v>
      </c>
      <c r="L197" s="32"/>
      <c r="M197" s="35"/>
      <c r="N197" s="36"/>
      <c r="O197" s="38">
        <v>30.0</v>
      </c>
      <c r="P197" s="36"/>
      <c r="Q197" s="38">
        <v>30.0</v>
      </c>
      <c r="R197" s="36"/>
      <c r="S197" s="38" t="s">
        <v>53</v>
      </c>
      <c r="T197" s="42"/>
      <c r="U197" s="38">
        <v>100000.0</v>
      </c>
      <c r="V197" s="79" t="s">
        <v>125</v>
      </c>
      <c r="W197" s="18" t="s">
        <v>449</v>
      </c>
    </row>
    <row r="198">
      <c r="A198" s="15">
        <v>197.0</v>
      </c>
      <c r="B198" s="18" t="s">
        <v>33</v>
      </c>
      <c r="C198" s="18" t="s">
        <v>60</v>
      </c>
      <c r="D198" s="143" t="s">
        <v>1562</v>
      </c>
      <c r="E198" s="18" t="s">
        <v>1564</v>
      </c>
      <c r="F198" s="18" t="s">
        <v>786</v>
      </c>
      <c r="G198" s="18" t="s">
        <v>1565</v>
      </c>
      <c r="H198" s="23"/>
      <c r="I198" s="25"/>
      <c r="J198" s="28">
        <v>46113.0</v>
      </c>
      <c r="K198" s="28">
        <v>46117.0</v>
      </c>
      <c r="L198" s="32"/>
      <c r="M198" s="35"/>
      <c r="N198" s="36"/>
      <c r="O198" s="38">
        <v>5.0</v>
      </c>
      <c r="P198" s="36"/>
      <c r="Q198" s="38">
        <v>5.0</v>
      </c>
      <c r="R198" s="36"/>
      <c r="S198" s="38" t="s">
        <v>84</v>
      </c>
      <c r="T198" s="42"/>
      <c r="U198" s="38">
        <v>16666.67</v>
      </c>
      <c r="V198" s="46"/>
      <c r="W198" s="42"/>
    </row>
    <row r="199">
      <c r="A199" s="15">
        <v>198.0</v>
      </c>
      <c r="B199" s="18" t="s">
        <v>33</v>
      </c>
      <c r="C199" s="18" t="s">
        <v>60</v>
      </c>
      <c r="D199" s="143" t="s">
        <v>1562</v>
      </c>
      <c r="E199" s="18" t="s">
        <v>1564</v>
      </c>
      <c r="F199" s="18" t="s">
        <v>786</v>
      </c>
      <c r="G199" s="18" t="s">
        <v>1565</v>
      </c>
      <c r="H199" s="23"/>
      <c r="I199" s="25"/>
      <c r="J199" s="28">
        <v>46134.0</v>
      </c>
      <c r="K199" s="28">
        <v>46142.0</v>
      </c>
      <c r="L199" s="32"/>
      <c r="M199" s="35"/>
      <c r="N199" s="36"/>
      <c r="O199" s="38">
        <v>9.0</v>
      </c>
      <c r="P199" s="36"/>
      <c r="Q199" s="38">
        <v>9.0</v>
      </c>
      <c r="R199" s="36"/>
      <c r="S199" s="38" t="s">
        <v>1577</v>
      </c>
      <c r="T199" s="42"/>
      <c r="U199" s="38">
        <v>30000.0</v>
      </c>
      <c r="V199" s="46"/>
      <c r="W199" s="42"/>
    </row>
    <row r="200">
      <c r="A200" s="15">
        <v>199.0</v>
      </c>
      <c r="B200" s="18" t="s">
        <v>33</v>
      </c>
      <c r="C200" s="18" t="s">
        <v>102</v>
      </c>
      <c r="D200" s="18" t="s">
        <v>1582</v>
      </c>
      <c r="E200" s="18" t="s">
        <v>1583</v>
      </c>
      <c r="F200" s="18" t="s">
        <v>249</v>
      </c>
      <c r="G200" s="18" t="s">
        <v>1584</v>
      </c>
      <c r="H200" s="23"/>
      <c r="I200" s="25"/>
      <c r="J200" s="28">
        <v>46113.0</v>
      </c>
      <c r="K200" s="28">
        <v>46142.0</v>
      </c>
      <c r="L200" s="32"/>
      <c r="M200" s="35"/>
      <c r="N200" s="36"/>
      <c r="O200" s="38">
        <v>30.0</v>
      </c>
      <c r="P200" s="36"/>
      <c r="Q200" s="38">
        <v>30.0</v>
      </c>
      <c r="R200" s="36"/>
      <c r="S200" s="38" t="s">
        <v>53</v>
      </c>
      <c r="T200" s="42"/>
      <c r="U200" s="38">
        <v>100000.0</v>
      </c>
      <c r="V200" s="79" t="s">
        <v>125</v>
      </c>
      <c r="W200" s="18" t="s">
        <v>449</v>
      </c>
    </row>
    <row r="201">
      <c r="A201" s="15">
        <v>200.0</v>
      </c>
      <c r="B201" s="18" t="s">
        <v>33</v>
      </c>
      <c r="C201" s="18" t="s">
        <v>60</v>
      </c>
      <c r="D201" s="18" t="s">
        <v>1589</v>
      </c>
      <c r="E201" s="18" t="s">
        <v>1590</v>
      </c>
      <c r="F201" s="18" t="s">
        <v>786</v>
      </c>
      <c r="G201" s="18" t="s">
        <v>1592</v>
      </c>
      <c r="H201" s="23"/>
      <c r="I201" s="25"/>
      <c r="J201" s="28">
        <v>46141.0</v>
      </c>
      <c r="K201" s="28">
        <v>46142.0</v>
      </c>
      <c r="L201" s="32"/>
      <c r="M201" s="35"/>
      <c r="N201" s="36"/>
      <c r="O201" s="38">
        <v>2.0</v>
      </c>
      <c r="P201" s="36"/>
      <c r="Q201" s="38">
        <v>2.0</v>
      </c>
      <c r="R201" s="36"/>
      <c r="S201" s="38" t="s">
        <v>396</v>
      </c>
      <c r="T201" s="42"/>
      <c r="U201" s="38">
        <v>6666.67</v>
      </c>
      <c r="V201" s="46"/>
      <c r="W201" s="42"/>
    </row>
    <row r="202">
      <c r="A202" s="15">
        <v>201.0</v>
      </c>
      <c r="B202" s="18" t="s">
        <v>33</v>
      </c>
      <c r="C202" s="18" t="s">
        <v>60</v>
      </c>
      <c r="D202" s="18" t="s">
        <v>1597</v>
      </c>
      <c r="E202" s="18" t="s">
        <v>1598</v>
      </c>
      <c r="F202" s="18" t="s">
        <v>786</v>
      </c>
      <c r="G202" s="18" t="s">
        <v>1599</v>
      </c>
      <c r="H202" s="23"/>
      <c r="I202" s="25"/>
      <c r="J202" s="28">
        <v>46124.0</v>
      </c>
      <c r="K202" s="28">
        <v>46142.0</v>
      </c>
      <c r="L202" s="32"/>
      <c r="M202" s="35"/>
      <c r="N202" s="36"/>
      <c r="O202" s="38">
        <v>19.0</v>
      </c>
      <c r="P202" s="36"/>
      <c r="Q202" s="38">
        <v>19.0</v>
      </c>
      <c r="R202" s="36"/>
      <c r="S202" s="38" t="s">
        <v>1601</v>
      </c>
      <c r="T202" s="42"/>
      <c r="U202" s="38">
        <v>63333.33</v>
      </c>
      <c r="V202" s="46"/>
      <c r="W202" s="42"/>
    </row>
    <row r="203">
      <c r="A203" s="15">
        <v>202.0</v>
      </c>
      <c r="B203" s="18" t="s">
        <v>33</v>
      </c>
      <c r="C203" s="18" t="s">
        <v>60</v>
      </c>
      <c r="D203" s="18" t="s">
        <v>1606</v>
      </c>
      <c r="E203" s="18" t="s">
        <v>1607</v>
      </c>
      <c r="F203" s="18" t="s">
        <v>786</v>
      </c>
      <c r="G203" s="18" t="s">
        <v>1610</v>
      </c>
      <c r="H203" s="23"/>
      <c r="I203" s="25"/>
      <c r="J203" s="28">
        <v>46113.0</v>
      </c>
      <c r="K203" s="28">
        <v>46142.0</v>
      </c>
      <c r="L203" s="32"/>
      <c r="M203" s="35"/>
      <c r="N203" s="36"/>
      <c r="O203" s="38">
        <v>30.0</v>
      </c>
      <c r="P203" s="36"/>
      <c r="Q203" s="38">
        <v>30.0</v>
      </c>
      <c r="R203" s="36"/>
      <c r="S203" s="38" t="s">
        <v>53</v>
      </c>
      <c r="T203" s="42"/>
      <c r="U203" s="38">
        <v>100000.0</v>
      </c>
      <c r="V203" s="79" t="s">
        <v>125</v>
      </c>
      <c r="W203" s="18" t="s">
        <v>449</v>
      </c>
    </row>
    <row r="204">
      <c r="A204" s="15">
        <v>203.0</v>
      </c>
      <c r="B204" s="18" t="s">
        <v>33</v>
      </c>
      <c r="C204" s="18" t="s">
        <v>60</v>
      </c>
      <c r="D204" s="18" t="s">
        <v>1615</v>
      </c>
      <c r="E204" s="18" t="s">
        <v>1616</v>
      </c>
      <c r="F204" s="18" t="s">
        <v>786</v>
      </c>
      <c r="G204" s="18" t="s">
        <v>1617</v>
      </c>
      <c r="H204" s="23"/>
      <c r="I204" s="25"/>
      <c r="J204" s="28">
        <v>46113.0</v>
      </c>
      <c r="K204" s="28">
        <v>46142.0</v>
      </c>
      <c r="L204" s="32"/>
      <c r="M204" s="35"/>
      <c r="N204" s="36"/>
      <c r="O204" s="38">
        <v>30.0</v>
      </c>
      <c r="P204" s="36"/>
      <c r="Q204" s="38">
        <v>30.0</v>
      </c>
      <c r="R204" s="36"/>
      <c r="S204" s="38" t="s">
        <v>53</v>
      </c>
      <c r="T204" s="42"/>
      <c r="U204" s="38">
        <v>100000.0</v>
      </c>
      <c r="V204" s="46"/>
      <c r="W204" s="42"/>
    </row>
    <row r="205">
      <c r="A205" s="15">
        <v>204.0</v>
      </c>
      <c r="B205" s="18" t="s">
        <v>33</v>
      </c>
      <c r="C205" s="18" t="s">
        <v>60</v>
      </c>
      <c r="D205" s="18" t="s">
        <v>1621</v>
      </c>
      <c r="E205" s="18" t="s">
        <v>1623</v>
      </c>
      <c r="F205" s="18" t="s">
        <v>786</v>
      </c>
      <c r="G205" s="18" t="s">
        <v>1625</v>
      </c>
      <c r="H205" s="23"/>
      <c r="I205" s="25"/>
      <c r="J205" s="28">
        <v>46113.0</v>
      </c>
      <c r="K205" s="28">
        <v>46142.0</v>
      </c>
      <c r="L205" s="32"/>
      <c r="M205" s="35"/>
      <c r="N205" s="36"/>
      <c r="O205" s="38">
        <v>30.0</v>
      </c>
      <c r="P205" s="36"/>
      <c r="Q205" s="38">
        <v>30.0</v>
      </c>
      <c r="R205" s="36"/>
      <c r="S205" s="38" t="s">
        <v>53</v>
      </c>
      <c r="T205" s="42"/>
      <c r="U205" s="38">
        <v>100000.0</v>
      </c>
      <c r="V205" s="79" t="s">
        <v>125</v>
      </c>
      <c r="W205" s="18" t="s">
        <v>449</v>
      </c>
    </row>
    <row r="206">
      <c r="A206" s="15">
        <v>205.0</v>
      </c>
      <c r="B206" s="18" t="s">
        <v>33</v>
      </c>
      <c r="C206" s="18" t="s">
        <v>60</v>
      </c>
      <c r="D206" s="18" t="s">
        <v>1627</v>
      </c>
      <c r="E206" s="18" t="s">
        <v>1628</v>
      </c>
      <c r="F206" s="18" t="s">
        <v>249</v>
      </c>
      <c r="G206" s="18" t="s">
        <v>1632</v>
      </c>
      <c r="H206" s="23"/>
      <c r="I206" s="25"/>
      <c r="J206" s="28">
        <v>46113.0</v>
      </c>
      <c r="K206" s="28">
        <v>46142.0</v>
      </c>
      <c r="L206" s="32"/>
      <c r="M206" s="35"/>
      <c r="N206" s="36"/>
      <c r="O206" s="38">
        <v>30.0</v>
      </c>
      <c r="P206" s="36"/>
      <c r="Q206" s="38">
        <v>30.0</v>
      </c>
      <c r="R206" s="36"/>
      <c r="S206" s="38" t="s">
        <v>53</v>
      </c>
      <c r="T206" s="42"/>
      <c r="U206" s="38">
        <v>100000.0</v>
      </c>
      <c r="V206" s="46"/>
      <c r="W206" s="42"/>
    </row>
    <row r="207">
      <c r="A207" s="15">
        <v>206.0</v>
      </c>
      <c r="B207" s="18" t="s">
        <v>33</v>
      </c>
      <c r="C207" s="18" t="s">
        <v>60</v>
      </c>
      <c r="D207" s="18" t="s">
        <v>1638</v>
      </c>
      <c r="E207" s="18" t="s">
        <v>1639</v>
      </c>
      <c r="F207" s="18" t="s">
        <v>786</v>
      </c>
      <c r="G207" s="18" t="s">
        <v>1642</v>
      </c>
      <c r="H207" s="23"/>
      <c r="I207" s="25"/>
      <c r="J207" s="28">
        <v>46113.0</v>
      </c>
      <c r="K207" s="28">
        <v>46142.0</v>
      </c>
      <c r="L207" s="32"/>
      <c r="M207" s="35"/>
      <c r="N207" s="36"/>
      <c r="O207" s="38">
        <v>30.0</v>
      </c>
      <c r="P207" s="36"/>
      <c r="Q207" s="38">
        <v>30.0</v>
      </c>
      <c r="R207" s="36"/>
      <c r="S207" s="38" t="s">
        <v>53</v>
      </c>
      <c r="T207" s="42"/>
      <c r="U207" s="38">
        <v>100000.0</v>
      </c>
      <c r="V207" s="46"/>
      <c r="W207" s="42"/>
    </row>
    <row r="208">
      <c r="A208" s="15">
        <v>207.0</v>
      </c>
      <c r="B208" s="18" t="s">
        <v>33</v>
      </c>
      <c r="C208" s="18" t="s">
        <v>60</v>
      </c>
      <c r="D208" s="18" t="s">
        <v>1646</v>
      </c>
      <c r="E208" s="18" t="s">
        <v>1647</v>
      </c>
      <c r="F208" s="18" t="s">
        <v>266</v>
      </c>
      <c r="G208" s="18" t="s">
        <v>1648</v>
      </c>
      <c r="H208" s="23"/>
      <c r="I208" s="25"/>
      <c r="J208" s="28">
        <v>46113.0</v>
      </c>
      <c r="K208" s="28">
        <v>46142.0</v>
      </c>
      <c r="L208" s="32"/>
      <c r="M208" s="35"/>
      <c r="N208" s="36"/>
      <c r="O208" s="38">
        <v>30.0</v>
      </c>
      <c r="P208" s="36"/>
      <c r="Q208" s="38">
        <v>30.0</v>
      </c>
      <c r="R208" s="36"/>
      <c r="S208" s="38" t="s">
        <v>53</v>
      </c>
      <c r="T208" s="42"/>
      <c r="U208" s="38">
        <v>100000.0</v>
      </c>
      <c r="V208" s="46"/>
      <c r="W208" s="42"/>
    </row>
    <row r="209">
      <c r="A209" s="15">
        <v>208.0</v>
      </c>
      <c r="B209" s="18" t="s">
        <v>33</v>
      </c>
      <c r="C209" s="18" t="s">
        <v>60</v>
      </c>
      <c r="D209" s="18" t="s">
        <v>1652</v>
      </c>
      <c r="E209" s="18" t="s">
        <v>1654</v>
      </c>
      <c r="F209" s="18" t="s">
        <v>178</v>
      </c>
      <c r="G209" s="18" t="s">
        <v>1657</v>
      </c>
      <c r="H209" s="23"/>
      <c r="I209" s="25"/>
      <c r="J209" s="28">
        <v>46113.0</v>
      </c>
      <c r="K209" s="28">
        <v>46142.0</v>
      </c>
      <c r="L209" s="32"/>
      <c r="M209" s="35"/>
      <c r="N209" s="36"/>
      <c r="O209" s="38">
        <v>30.0</v>
      </c>
      <c r="P209" s="36"/>
      <c r="Q209" s="38">
        <v>30.0</v>
      </c>
      <c r="R209" s="36"/>
      <c r="S209" s="38" t="s">
        <v>53</v>
      </c>
      <c r="T209" s="42"/>
      <c r="U209" s="38">
        <v>100000.0</v>
      </c>
      <c r="V209" s="46"/>
      <c r="W209" s="42"/>
    </row>
    <row r="210">
      <c r="A210" s="15">
        <v>209.0</v>
      </c>
      <c r="B210" s="18" t="s">
        <v>33</v>
      </c>
      <c r="C210" s="18" t="s">
        <v>326</v>
      </c>
      <c r="D210" s="18" t="s">
        <v>1662</v>
      </c>
      <c r="E210" s="18" t="s">
        <v>1663</v>
      </c>
      <c r="F210" s="18" t="s">
        <v>178</v>
      </c>
      <c r="G210" s="18" t="s">
        <v>1657</v>
      </c>
      <c r="H210" s="23"/>
      <c r="I210" s="25"/>
      <c r="J210" s="28">
        <v>46133.0</v>
      </c>
      <c r="K210" s="28">
        <v>46142.0</v>
      </c>
      <c r="L210" s="32"/>
      <c r="M210" s="35"/>
      <c r="N210" s="36"/>
      <c r="O210" s="38">
        <v>10.0</v>
      </c>
      <c r="P210" s="36"/>
      <c r="Q210" s="38">
        <v>10.0</v>
      </c>
      <c r="R210" s="36"/>
      <c r="S210" s="38" t="s">
        <v>324</v>
      </c>
      <c r="T210" s="42"/>
      <c r="U210" s="38">
        <v>33333.33</v>
      </c>
      <c r="V210" s="46"/>
      <c r="W210" s="42"/>
    </row>
    <row r="211">
      <c r="A211" s="15">
        <v>210.0</v>
      </c>
      <c r="B211" s="18" t="s">
        <v>33</v>
      </c>
      <c r="C211" s="18" t="s">
        <v>60</v>
      </c>
      <c r="D211" s="18" t="s">
        <v>1670</v>
      </c>
      <c r="E211" s="18" t="s">
        <v>1671</v>
      </c>
      <c r="F211" s="18" t="s">
        <v>1466</v>
      </c>
      <c r="G211" s="18" t="s">
        <v>1672</v>
      </c>
      <c r="H211" s="23"/>
      <c r="I211" s="25"/>
      <c r="J211" s="28">
        <v>46113.0</v>
      </c>
      <c r="K211" s="28">
        <v>46142.0</v>
      </c>
      <c r="L211" s="32"/>
      <c r="M211" s="35"/>
      <c r="N211" s="36"/>
      <c r="O211" s="38">
        <v>30.0</v>
      </c>
      <c r="P211" s="36"/>
      <c r="Q211" s="38">
        <v>30.0</v>
      </c>
      <c r="R211" s="36"/>
      <c r="S211" s="38" t="s">
        <v>53</v>
      </c>
      <c r="T211" s="42"/>
      <c r="U211" s="38">
        <v>100000.0</v>
      </c>
      <c r="V211" s="46"/>
      <c r="W211" s="42"/>
    </row>
    <row r="212">
      <c r="A212" s="15">
        <v>211.0</v>
      </c>
      <c r="B212" s="18" t="s">
        <v>33</v>
      </c>
      <c r="C212" s="18" t="s">
        <v>60</v>
      </c>
      <c r="D212" s="18" t="s">
        <v>1675</v>
      </c>
      <c r="E212" s="18" t="s">
        <v>827</v>
      </c>
      <c r="F212" s="18" t="s">
        <v>201</v>
      </c>
      <c r="G212" s="18" t="s">
        <v>1678</v>
      </c>
      <c r="H212" s="51">
        <v>46113.0</v>
      </c>
      <c r="I212" s="51">
        <v>46125.0</v>
      </c>
      <c r="J212" s="28">
        <v>46126.0</v>
      </c>
      <c r="K212" s="28">
        <v>46142.0</v>
      </c>
      <c r="L212" s="32"/>
      <c r="M212" s="35"/>
      <c r="N212" s="38">
        <v>13.0</v>
      </c>
      <c r="O212" s="38">
        <v>17.0</v>
      </c>
      <c r="P212" s="36"/>
      <c r="Q212" s="38">
        <v>30.0</v>
      </c>
      <c r="R212" s="38" t="s">
        <v>217</v>
      </c>
      <c r="S212" s="38" t="s">
        <v>218</v>
      </c>
      <c r="T212" s="42"/>
      <c r="U212" s="38">
        <v>69666.67</v>
      </c>
      <c r="V212" s="46"/>
      <c r="W212" s="42"/>
    </row>
    <row r="213">
      <c r="A213" s="15">
        <v>212.0</v>
      </c>
      <c r="B213" s="18" t="s">
        <v>33</v>
      </c>
      <c r="C213" s="18" t="s">
        <v>60</v>
      </c>
      <c r="D213" s="18" t="s">
        <v>1682</v>
      </c>
      <c r="E213" s="18" t="s">
        <v>1624</v>
      </c>
      <c r="F213" s="18" t="s">
        <v>331</v>
      </c>
      <c r="G213" s="18" t="s">
        <v>1684</v>
      </c>
      <c r="H213" s="23"/>
      <c r="I213" s="25"/>
      <c r="J213" s="28">
        <v>46122.0</v>
      </c>
      <c r="K213" s="28">
        <v>46142.0</v>
      </c>
      <c r="L213" s="32"/>
      <c r="M213" s="35"/>
      <c r="N213" s="36"/>
      <c r="O213" s="38">
        <v>21.0</v>
      </c>
      <c r="P213" s="36"/>
      <c r="Q213" s="38">
        <v>21.0</v>
      </c>
      <c r="R213" s="36"/>
      <c r="S213" s="38" t="s">
        <v>157</v>
      </c>
      <c r="T213" s="42"/>
      <c r="U213" s="38">
        <v>70000.0</v>
      </c>
      <c r="V213" s="46"/>
      <c r="W213" s="42"/>
    </row>
    <row r="214">
      <c r="A214" s="15">
        <v>213.0</v>
      </c>
      <c r="B214" s="18" t="s">
        <v>33</v>
      </c>
      <c r="C214" s="18" t="s">
        <v>656</v>
      </c>
      <c r="D214" s="18" t="s">
        <v>1688</v>
      </c>
      <c r="E214" s="18" t="s">
        <v>1689</v>
      </c>
      <c r="F214" s="18" t="s">
        <v>331</v>
      </c>
      <c r="G214" s="18" t="s">
        <v>1684</v>
      </c>
      <c r="H214" s="23"/>
      <c r="I214" s="25"/>
      <c r="J214" s="28">
        <v>46113.0</v>
      </c>
      <c r="K214" s="28">
        <v>46142.0</v>
      </c>
      <c r="L214" s="32"/>
      <c r="M214" s="35"/>
      <c r="N214" s="36"/>
      <c r="O214" s="38">
        <v>30.0</v>
      </c>
      <c r="P214" s="36"/>
      <c r="Q214" s="38">
        <v>30.0</v>
      </c>
      <c r="R214" s="36"/>
      <c r="S214" s="38" t="s">
        <v>53</v>
      </c>
      <c r="T214" s="42"/>
      <c r="U214" s="38">
        <v>100000.0</v>
      </c>
      <c r="V214" s="46"/>
      <c r="W214" s="42"/>
    </row>
    <row r="215">
      <c r="A215" s="15">
        <v>214.0</v>
      </c>
      <c r="B215" s="18" t="s">
        <v>33</v>
      </c>
      <c r="C215" s="18" t="s">
        <v>60</v>
      </c>
      <c r="D215" s="18" t="s">
        <v>1693</v>
      </c>
      <c r="E215" s="18" t="s">
        <v>1696</v>
      </c>
      <c r="F215" s="18" t="s">
        <v>331</v>
      </c>
      <c r="G215" s="18" t="s">
        <v>1684</v>
      </c>
      <c r="H215" s="23"/>
      <c r="I215" s="25"/>
      <c r="J215" s="28">
        <v>46122.0</v>
      </c>
      <c r="K215" s="28">
        <v>46142.0</v>
      </c>
      <c r="L215" s="32"/>
      <c r="M215" s="35"/>
      <c r="N215" s="36"/>
      <c r="O215" s="38">
        <v>21.0</v>
      </c>
      <c r="P215" s="36"/>
      <c r="Q215" s="38">
        <v>21.0</v>
      </c>
      <c r="R215" s="36"/>
      <c r="S215" s="38" t="s">
        <v>157</v>
      </c>
      <c r="T215" s="42"/>
      <c r="U215" s="38">
        <v>70000.0</v>
      </c>
      <c r="V215" s="46"/>
      <c r="W215" s="42"/>
    </row>
    <row r="216">
      <c r="A216" s="15">
        <v>215.0</v>
      </c>
      <c r="B216" s="18" t="s">
        <v>33</v>
      </c>
      <c r="C216" s="18" t="s">
        <v>60</v>
      </c>
      <c r="D216" s="18" t="s">
        <v>1699</v>
      </c>
      <c r="E216" s="18" t="s">
        <v>1700</v>
      </c>
      <c r="F216" s="18" t="s">
        <v>331</v>
      </c>
      <c r="G216" s="18" t="s">
        <v>1684</v>
      </c>
      <c r="H216" s="23"/>
      <c r="I216" s="25"/>
      <c r="J216" s="28">
        <v>46122.0</v>
      </c>
      <c r="K216" s="28">
        <v>46142.0</v>
      </c>
      <c r="L216" s="32"/>
      <c r="M216" s="35"/>
      <c r="N216" s="36"/>
      <c r="O216" s="38">
        <v>21.0</v>
      </c>
      <c r="P216" s="36"/>
      <c r="Q216" s="38">
        <v>21.0</v>
      </c>
      <c r="R216" s="36"/>
      <c r="S216" s="38" t="s">
        <v>157</v>
      </c>
      <c r="T216" s="42"/>
      <c r="U216" s="38">
        <v>70000.0</v>
      </c>
      <c r="V216" s="46"/>
      <c r="W216" s="42"/>
    </row>
    <row r="217">
      <c r="A217" s="15">
        <v>216.0</v>
      </c>
      <c r="B217" s="18" t="s">
        <v>33</v>
      </c>
      <c r="C217" s="18" t="s">
        <v>60</v>
      </c>
      <c r="D217" s="18" t="s">
        <v>1705</v>
      </c>
      <c r="E217" s="18" t="s">
        <v>1666</v>
      </c>
      <c r="F217" s="18" t="s">
        <v>331</v>
      </c>
      <c r="G217" s="18" t="s">
        <v>1684</v>
      </c>
      <c r="H217" s="23"/>
      <c r="I217" s="25"/>
      <c r="J217" s="28">
        <v>46133.0</v>
      </c>
      <c r="K217" s="28">
        <v>46142.0</v>
      </c>
      <c r="L217" s="32"/>
      <c r="M217" s="35"/>
      <c r="N217" s="36"/>
      <c r="O217" s="38">
        <v>10.0</v>
      </c>
      <c r="P217" s="36"/>
      <c r="Q217" s="38">
        <v>10.0</v>
      </c>
      <c r="R217" s="36"/>
      <c r="S217" s="38" t="s">
        <v>324</v>
      </c>
      <c r="T217" s="42"/>
      <c r="U217" s="38">
        <v>33333.33</v>
      </c>
      <c r="V217" s="46"/>
      <c r="W217" s="42"/>
    </row>
    <row r="218">
      <c r="A218" s="15">
        <v>217.0</v>
      </c>
      <c r="B218" s="18" t="s">
        <v>33</v>
      </c>
      <c r="C218" s="18" t="s">
        <v>60</v>
      </c>
      <c r="D218" s="18" t="s">
        <v>1710</v>
      </c>
      <c r="E218" s="18" t="s">
        <v>1712</v>
      </c>
      <c r="F218" s="18" t="s">
        <v>331</v>
      </c>
      <c r="G218" s="18" t="s">
        <v>1684</v>
      </c>
      <c r="H218" s="23"/>
      <c r="I218" s="25"/>
      <c r="J218" s="28">
        <v>46122.0</v>
      </c>
      <c r="K218" s="28">
        <v>46142.0</v>
      </c>
      <c r="L218" s="32"/>
      <c r="M218" s="35"/>
      <c r="N218" s="36"/>
      <c r="O218" s="38">
        <v>21.0</v>
      </c>
      <c r="P218" s="36"/>
      <c r="Q218" s="38">
        <v>21.0</v>
      </c>
      <c r="R218" s="36"/>
      <c r="S218" s="38" t="s">
        <v>157</v>
      </c>
      <c r="T218" s="42"/>
      <c r="U218" s="38">
        <v>70000.0</v>
      </c>
      <c r="V218" s="46"/>
      <c r="W218" s="42"/>
    </row>
    <row r="219">
      <c r="A219" s="15">
        <v>218.0</v>
      </c>
      <c r="B219" s="18" t="s">
        <v>33</v>
      </c>
      <c r="C219" s="18" t="s">
        <v>60</v>
      </c>
      <c r="D219" s="18" t="s">
        <v>1718</v>
      </c>
      <c r="E219" s="18" t="s">
        <v>1720</v>
      </c>
      <c r="F219" s="18" t="s">
        <v>1466</v>
      </c>
      <c r="G219" s="18" t="s">
        <v>1721</v>
      </c>
      <c r="H219" s="23"/>
      <c r="I219" s="25"/>
      <c r="J219" s="28">
        <v>46122.0</v>
      </c>
      <c r="K219" s="28">
        <v>46142.0</v>
      </c>
      <c r="L219" s="32"/>
      <c r="M219" s="35"/>
      <c r="N219" s="36"/>
      <c r="O219" s="38">
        <v>21.0</v>
      </c>
      <c r="P219" s="36"/>
      <c r="Q219" s="38">
        <v>21.0</v>
      </c>
      <c r="R219" s="36"/>
      <c r="S219" s="38" t="s">
        <v>157</v>
      </c>
      <c r="T219" s="42"/>
      <c r="U219" s="38">
        <v>70000.0</v>
      </c>
      <c r="V219" s="46"/>
      <c r="W219" s="42"/>
    </row>
    <row r="220">
      <c r="A220" s="15">
        <v>219.0</v>
      </c>
      <c r="B220" s="18" t="s">
        <v>33</v>
      </c>
      <c r="C220" s="18" t="s">
        <v>60</v>
      </c>
      <c r="D220" s="18" t="s">
        <v>1724</v>
      </c>
      <c r="E220" s="18" t="s">
        <v>1123</v>
      </c>
      <c r="F220" s="18" t="s">
        <v>1466</v>
      </c>
      <c r="G220" s="18" t="s">
        <v>1721</v>
      </c>
      <c r="H220" s="23"/>
      <c r="I220" s="25"/>
      <c r="J220" s="28">
        <v>46122.0</v>
      </c>
      <c r="K220" s="28">
        <v>46142.0</v>
      </c>
      <c r="L220" s="32"/>
      <c r="M220" s="35"/>
      <c r="N220" s="36"/>
      <c r="O220" s="38">
        <v>21.0</v>
      </c>
      <c r="P220" s="36"/>
      <c r="Q220" s="38">
        <v>21.0</v>
      </c>
      <c r="R220" s="36"/>
      <c r="S220" s="38" t="s">
        <v>157</v>
      </c>
      <c r="T220" s="42"/>
      <c r="U220" s="38">
        <v>70000.0</v>
      </c>
      <c r="V220" s="46"/>
      <c r="W220" s="42"/>
    </row>
    <row r="221">
      <c r="A221" s="15">
        <v>220.0</v>
      </c>
      <c r="B221" s="18" t="s">
        <v>33</v>
      </c>
      <c r="C221" s="18" t="s">
        <v>60</v>
      </c>
      <c r="D221" s="18" t="s">
        <v>1730</v>
      </c>
      <c r="E221" s="18" t="s">
        <v>1733</v>
      </c>
      <c r="F221" s="18" t="s">
        <v>1466</v>
      </c>
      <c r="G221" s="18" t="s">
        <v>1721</v>
      </c>
      <c r="H221" s="23"/>
      <c r="I221" s="25"/>
      <c r="J221" s="28">
        <v>46113.0</v>
      </c>
      <c r="K221" s="28">
        <v>46142.0</v>
      </c>
      <c r="L221" s="32"/>
      <c r="M221" s="35"/>
      <c r="N221" s="36"/>
      <c r="O221" s="38">
        <v>30.0</v>
      </c>
      <c r="P221" s="36"/>
      <c r="Q221" s="38">
        <v>30.0</v>
      </c>
      <c r="R221" s="36"/>
      <c r="S221" s="38" t="s">
        <v>53</v>
      </c>
      <c r="T221" s="42"/>
      <c r="U221" s="38">
        <v>100000.0</v>
      </c>
      <c r="V221" s="46"/>
      <c r="W221" s="42"/>
    </row>
    <row r="222">
      <c r="A222" s="15">
        <v>221.0</v>
      </c>
      <c r="B222" s="18" t="s">
        <v>33</v>
      </c>
      <c r="C222" s="18" t="s">
        <v>60</v>
      </c>
      <c r="D222" s="18" t="s">
        <v>1739</v>
      </c>
      <c r="E222" s="18" t="s">
        <v>1740</v>
      </c>
      <c r="F222" s="18" t="s">
        <v>201</v>
      </c>
      <c r="G222" s="18" t="s">
        <v>1741</v>
      </c>
      <c r="H222" s="23"/>
      <c r="I222" s="25"/>
      <c r="J222" s="28">
        <v>46133.0</v>
      </c>
      <c r="K222" s="28">
        <v>46142.0</v>
      </c>
      <c r="L222" s="32"/>
      <c r="M222" s="35"/>
      <c r="N222" s="36"/>
      <c r="O222" s="38">
        <v>10.0</v>
      </c>
      <c r="P222" s="36"/>
      <c r="Q222" s="38">
        <v>10.0</v>
      </c>
      <c r="R222" s="36"/>
      <c r="S222" s="38" t="s">
        <v>324</v>
      </c>
      <c r="T222" s="42"/>
      <c r="U222" s="38">
        <v>33333.33</v>
      </c>
      <c r="V222" s="46"/>
      <c r="W222" s="42"/>
    </row>
    <row r="223">
      <c r="A223" s="15">
        <v>222.0</v>
      </c>
      <c r="B223" s="18" t="s">
        <v>33</v>
      </c>
      <c r="C223" s="18" t="s">
        <v>60</v>
      </c>
      <c r="D223" s="18" t="s">
        <v>1747</v>
      </c>
      <c r="E223" s="18" t="s">
        <v>1749</v>
      </c>
      <c r="F223" s="18" t="s">
        <v>201</v>
      </c>
      <c r="G223" s="18" t="s">
        <v>1741</v>
      </c>
      <c r="H223" s="51">
        <v>46113.0</v>
      </c>
      <c r="I223" s="51">
        <v>46125.0</v>
      </c>
      <c r="J223" s="28">
        <v>46126.0</v>
      </c>
      <c r="K223" s="28">
        <v>46142.0</v>
      </c>
      <c r="L223" s="32"/>
      <c r="M223" s="35"/>
      <c r="N223" s="38">
        <v>13.0</v>
      </c>
      <c r="O223" s="38">
        <v>17.0</v>
      </c>
      <c r="P223" s="36"/>
      <c r="Q223" s="38">
        <v>30.0</v>
      </c>
      <c r="R223" s="38" t="s">
        <v>217</v>
      </c>
      <c r="S223" s="38" t="s">
        <v>218</v>
      </c>
      <c r="T223" s="42"/>
      <c r="U223" s="38">
        <v>69666.67</v>
      </c>
      <c r="V223" s="46"/>
      <c r="W223" s="42"/>
    </row>
    <row r="224">
      <c r="A224" s="15">
        <v>223.0</v>
      </c>
      <c r="B224" s="18" t="s">
        <v>33</v>
      </c>
      <c r="C224" s="18" t="s">
        <v>60</v>
      </c>
      <c r="D224" s="18" t="s">
        <v>1758</v>
      </c>
      <c r="E224" s="18" t="s">
        <v>1760</v>
      </c>
      <c r="F224" s="18" t="s">
        <v>1761</v>
      </c>
      <c r="G224" s="18" t="s">
        <v>1763</v>
      </c>
      <c r="H224" s="23"/>
      <c r="I224" s="25"/>
      <c r="J224" s="28">
        <v>46113.0</v>
      </c>
      <c r="K224" s="28">
        <v>46142.0</v>
      </c>
      <c r="L224" s="32"/>
      <c r="M224" s="35"/>
      <c r="N224" s="36"/>
      <c r="O224" s="38">
        <v>30.0</v>
      </c>
      <c r="P224" s="36"/>
      <c r="Q224" s="38">
        <v>30.0</v>
      </c>
      <c r="R224" s="36"/>
      <c r="S224" s="38" t="s">
        <v>53</v>
      </c>
      <c r="T224" s="42"/>
      <c r="U224" s="38">
        <v>100000.0</v>
      </c>
      <c r="V224" s="46"/>
      <c r="W224" s="42"/>
    </row>
    <row r="225">
      <c r="A225" s="15">
        <v>224.0</v>
      </c>
      <c r="B225" s="18" t="s">
        <v>33</v>
      </c>
      <c r="C225" s="18" t="s">
        <v>60</v>
      </c>
      <c r="D225" s="18" t="s">
        <v>1768</v>
      </c>
      <c r="E225" s="18" t="s">
        <v>1354</v>
      </c>
      <c r="F225" s="18" t="s">
        <v>1769</v>
      </c>
      <c r="G225" s="18" t="s">
        <v>1770</v>
      </c>
      <c r="H225" s="23"/>
      <c r="I225" s="25"/>
      <c r="J225" s="28">
        <v>46133.0</v>
      </c>
      <c r="K225" s="28">
        <v>46142.0</v>
      </c>
      <c r="L225" s="32"/>
      <c r="M225" s="35"/>
      <c r="N225" s="36"/>
      <c r="O225" s="38">
        <v>10.0</v>
      </c>
      <c r="P225" s="36"/>
      <c r="Q225" s="38">
        <v>10.0</v>
      </c>
      <c r="R225" s="36"/>
      <c r="S225" s="38" t="s">
        <v>324</v>
      </c>
      <c r="T225" s="42"/>
      <c r="U225" s="38">
        <v>33333.33</v>
      </c>
      <c r="V225" s="46"/>
      <c r="W225" s="42"/>
    </row>
    <row r="226">
      <c r="A226" s="15">
        <v>225.0</v>
      </c>
      <c r="B226" s="18" t="s">
        <v>33</v>
      </c>
      <c r="C226" s="18" t="s">
        <v>656</v>
      </c>
      <c r="D226" s="18" t="s">
        <v>1773</v>
      </c>
      <c r="E226" s="18" t="s">
        <v>1775</v>
      </c>
      <c r="F226" s="18" t="s">
        <v>331</v>
      </c>
      <c r="G226" s="18" t="s">
        <v>1777</v>
      </c>
      <c r="H226" s="23"/>
      <c r="I226" s="25"/>
      <c r="J226" s="28">
        <v>46113.0</v>
      </c>
      <c r="K226" s="28">
        <v>46142.0</v>
      </c>
      <c r="L226" s="32"/>
      <c r="M226" s="35"/>
      <c r="N226" s="36"/>
      <c r="O226" s="38">
        <v>30.0</v>
      </c>
      <c r="P226" s="36"/>
      <c r="Q226" s="38">
        <v>30.0</v>
      </c>
      <c r="R226" s="36"/>
      <c r="S226" s="38" t="s">
        <v>53</v>
      </c>
      <c r="T226" s="42"/>
      <c r="U226" s="38">
        <v>100000.0</v>
      </c>
      <c r="V226" s="46"/>
      <c r="W226" s="42"/>
    </row>
    <row r="227">
      <c r="A227" s="15">
        <v>226.0</v>
      </c>
      <c r="B227" s="18" t="s">
        <v>33</v>
      </c>
      <c r="C227" s="18" t="s">
        <v>60</v>
      </c>
      <c r="D227" s="18" t="s">
        <v>1781</v>
      </c>
      <c r="E227" s="18" t="s">
        <v>1782</v>
      </c>
      <c r="F227" s="18" t="s">
        <v>331</v>
      </c>
      <c r="G227" s="18" t="s">
        <v>1777</v>
      </c>
      <c r="H227" s="23"/>
      <c r="I227" s="25"/>
      <c r="J227" s="28">
        <v>46122.0</v>
      </c>
      <c r="K227" s="28">
        <v>46142.0</v>
      </c>
      <c r="L227" s="32"/>
      <c r="M227" s="35"/>
      <c r="N227" s="36"/>
      <c r="O227" s="38">
        <v>21.0</v>
      </c>
      <c r="P227" s="36"/>
      <c r="Q227" s="38">
        <v>21.0</v>
      </c>
      <c r="R227" s="36"/>
      <c r="S227" s="38" t="s">
        <v>157</v>
      </c>
      <c r="T227" s="42"/>
      <c r="U227" s="38">
        <v>70000.0</v>
      </c>
      <c r="V227" s="46"/>
      <c r="W227" s="42"/>
    </row>
    <row r="228">
      <c r="A228" s="15">
        <v>227.0</v>
      </c>
      <c r="B228" s="18" t="s">
        <v>33</v>
      </c>
      <c r="C228" s="18" t="s">
        <v>143</v>
      </c>
      <c r="D228" s="18" t="s">
        <v>1787</v>
      </c>
      <c r="E228" s="18" t="s">
        <v>1788</v>
      </c>
      <c r="F228" s="18" t="s">
        <v>170</v>
      </c>
      <c r="G228" s="18" t="s">
        <v>1790</v>
      </c>
      <c r="H228" s="23"/>
      <c r="I228" s="25"/>
      <c r="J228" s="28">
        <v>46113.0</v>
      </c>
      <c r="K228" s="28">
        <v>46142.0</v>
      </c>
      <c r="L228" s="32"/>
      <c r="M228" s="35"/>
      <c r="N228" s="36"/>
      <c r="O228" s="38">
        <v>30.0</v>
      </c>
      <c r="P228" s="36"/>
      <c r="Q228" s="38">
        <v>30.0</v>
      </c>
      <c r="R228" s="36"/>
      <c r="S228" s="38" t="s">
        <v>53</v>
      </c>
      <c r="T228" s="42"/>
      <c r="U228" s="38">
        <v>100000.0</v>
      </c>
      <c r="V228" s="46"/>
      <c r="W228" s="42"/>
    </row>
    <row r="229">
      <c r="A229" s="15">
        <v>228.0</v>
      </c>
      <c r="B229" s="18" t="s">
        <v>33</v>
      </c>
      <c r="C229" s="18" t="s">
        <v>60</v>
      </c>
      <c r="D229" s="18" t="s">
        <v>1797</v>
      </c>
      <c r="E229" s="18" t="s">
        <v>1275</v>
      </c>
      <c r="F229" s="18" t="s">
        <v>178</v>
      </c>
      <c r="G229" s="18" t="s">
        <v>1799</v>
      </c>
      <c r="H229" s="23"/>
      <c r="I229" s="25"/>
      <c r="J229" s="28">
        <v>46113.0</v>
      </c>
      <c r="K229" s="28">
        <v>46142.0</v>
      </c>
      <c r="L229" s="32"/>
      <c r="M229" s="35"/>
      <c r="N229" s="36"/>
      <c r="O229" s="38">
        <v>30.0</v>
      </c>
      <c r="P229" s="36"/>
      <c r="Q229" s="38">
        <v>30.0</v>
      </c>
      <c r="R229" s="36"/>
      <c r="S229" s="38" t="s">
        <v>53</v>
      </c>
      <c r="T229" s="42"/>
      <c r="U229" s="38">
        <v>100000.0</v>
      </c>
      <c r="V229" s="79" t="s">
        <v>125</v>
      </c>
      <c r="W229" s="42"/>
    </row>
    <row r="230">
      <c r="A230" s="15">
        <v>229.0</v>
      </c>
      <c r="B230" s="18" t="s">
        <v>33</v>
      </c>
      <c r="C230" s="18" t="s">
        <v>60</v>
      </c>
      <c r="D230" s="18" t="s">
        <v>1803</v>
      </c>
      <c r="E230" s="18" t="s">
        <v>1805</v>
      </c>
      <c r="F230" s="18" t="s">
        <v>1488</v>
      </c>
      <c r="G230" s="18" t="s">
        <v>1807</v>
      </c>
      <c r="H230" s="23"/>
      <c r="I230" s="25"/>
      <c r="J230" s="28">
        <v>46113.0</v>
      </c>
      <c r="K230" s="28">
        <v>46142.0</v>
      </c>
      <c r="L230" s="32"/>
      <c r="M230" s="35"/>
      <c r="N230" s="36"/>
      <c r="O230" s="38">
        <v>30.0</v>
      </c>
      <c r="P230" s="36"/>
      <c r="Q230" s="38">
        <v>30.0</v>
      </c>
      <c r="R230" s="36"/>
      <c r="S230" s="38" t="s">
        <v>53</v>
      </c>
      <c r="T230" s="42"/>
      <c r="U230" s="38">
        <v>100000.0</v>
      </c>
      <c r="V230" s="46"/>
      <c r="W230" s="42"/>
    </row>
    <row r="231">
      <c r="A231" s="15">
        <v>230.0</v>
      </c>
      <c r="B231" s="18" t="s">
        <v>33</v>
      </c>
      <c r="C231" s="18" t="s">
        <v>60</v>
      </c>
      <c r="D231" s="18" t="s">
        <v>1812</v>
      </c>
      <c r="E231" s="18" t="s">
        <v>1813</v>
      </c>
      <c r="F231" s="18" t="s">
        <v>1488</v>
      </c>
      <c r="G231" s="18" t="s">
        <v>1807</v>
      </c>
      <c r="H231" s="23"/>
      <c r="I231" s="25"/>
      <c r="J231" s="28">
        <v>46113.0</v>
      </c>
      <c r="K231" s="28">
        <v>46142.0</v>
      </c>
      <c r="L231" s="32"/>
      <c r="M231" s="35"/>
      <c r="N231" s="36"/>
      <c r="O231" s="38">
        <v>30.0</v>
      </c>
      <c r="P231" s="36"/>
      <c r="Q231" s="38">
        <v>30.0</v>
      </c>
      <c r="R231" s="36"/>
      <c r="S231" s="38" t="s">
        <v>53</v>
      </c>
      <c r="T231" s="42"/>
      <c r="U231" s="38">
        <v>100000.0</v>
      </c>
      <c r="V231" s="46"/>
      <c r="W231" s="42"/>
    </row>
    <row r="232">
      <c r="A232" s="15">
        <v>231.0</v>
      </c>
      <c r="B232" s="18" t="s">
        <v>33</v>
      </c>
      <c r="C232" s="18" t="s">
        <v>60</v>
      </c>
      <c r="D232" s="18" t="s">
        <v>1816</v>
      </c>
      <c r="E232" s="18" t="s">
        <v>1817</v>
      </c>
      <c r="F232" s="18" t="s">
        <v>1488</v>
      </c>
      <c r="G232" s="18" t="s">
        <v>1807</v>
      </c>
      <c r="H232" s="23"/>
      <c r="I232" s="25"/>
      <c r="J232" s="28">
        <v>46122.0</v>
      </c>
      <c r="K232" s="28">
        <v>46142.0</v>
      </c>
      <c r="L232" s="32"/>
      <c r="M232" s="35"/>
      <c r="N232" s="36"/>
      <c r="O232" s="38">
        <v>21.0</v>
      </c>
      <c r="P232" s="36"/>
      <c r="Q232" s="38">
        <v>21.0</v>
      </c>
      <c r="R232" s="36"/>
      <c r="S232" s="38" t="s">
        <v>157</v>
      </c>
      <c r="T232" s="42"/>
      <c r="U232" s="38">
        <v>70000.0</v>
      </c>
      <c r="V232" s="46"/>
      <c r="W232" s="42"/>
    </row>
    <row r="233">
      <c r="A233" s="15">
        <v>232.0</v>
      </c>
      <c r="B233" s="18" t="s">
        <v>33</v>
      </c>
      <c r="C233" s="18" t="s">
        <v>60</v>
      </c>
      <c r="D233" s="18" t="s">
        <v>1822</v>
      </c>
      <c r="E233" s="18" t="s">
        <v>1823</v>
      </c>
      <c r="F233" s="18" t="s">
        <v>213</v>
      </c>
      <c r="G233" s="18" t="s">
        <v>1826</v>
      </c>
      <c r="H233" s="23"/>
      <c r="I233" s="25"/>
      <c r="J233" s="28">
        <v>46122.0</v>
      </c>
      <c r="K233" s="28">
        <v>46142.0</v>
      </c>
      <c r="L233" s="32"/>
      <c r="M233" s="35"/>
      <c r="N233" s="36"/>
      <c r="O233" s="38">
        <v>21.0</v>
      </c>
      <c r="P233" s="36"/>
      <c r="Q233" s="38">
        <v>21.0</v>
      </c>
      <c r="R233" s="36"/>
      <c r="S233" s="38" t="s">
        <v>157</v>
      </c>
      <c r="T233" s="42"/>
      <c r="U233" s="38">
        <v>70000.0</v>
      </c>
      <c r="V233" s="46"/>
      <c r="W233" s="42"/>
    </row>
    <row r="234">
      <c r="A234" s="15">
        <v>233.0</v>
      </c>
      <c r="B234" s="18" t="s">
        <v>33</v>
      </c>
      <c r="C234" s="18" t="s">
        <v>60</v>
      </c>
      <c r="D234" s="18" t="s">
        <v>1831</v>
      </c>
      <c r="E234" s="18" t="s">
        <v>1832</v>
      </c>
      <c r="F234" s="18" t="s">
        <v>213</v>
      </c>
      <c r="G234" s="18" t="s">
        <v>1826</v>
      </c>
      <c r="H234" s="23"/>
      <c r="I234" s="25"/>
      <c r="J234" s="28">
        <v>46122.0</v>
      </c>
      <c r="K234" s="28">
        <v>46142.0</v>
      </c>
      <c r="L234" s="32"/>
      <c r="M234" s="35"/>
      <c r="N234" s="36"/>
      <c r="O234" s="38">
        <v>21.0</v>
      </c>
      <c r="P234" s="36"/>
      <c r="Q234" s="38">
        <v>21.0</v>
      </c>
      <c r="R234" s="36"/>
      <c r="S234" s="38" t="s">
        <v>157</v>
      </c>
      <c r="T234" s="42"/>
      <c r="U234" s="38">
        <v>70000.0</v>
      </c>
      <c r="V234" s="46"/>
      <c r="W234" s="42"/>
    </row>
    <row r="235">
      <c r="A235" s="15">
        <v>234.0</v>
      </c>
      <c r="B235" s="18" t="s">
        <v>33</v>
      </c>
      <c r="C235" s="18" t="s">
        <v>60</v>
      </c>
      <c r="D235" s="18" t="s">
        <v>1837</v>
      </c>
      <c r="E235" s="18" t="s">
        <v>1838</v>
      </c>
      <c r="F235" s="18" t="s">
        <v>213</v>
      </c>
      <c r="G235" s="18" t="s">
        <v>1826</v>
      </c>
      <c r="H235" s="23"/>
      <c r="I235" s="25"/>
      <c r="J235" s="28">
        <v>46113.0</v>
      </c>
      <c r="K235" s="28">
        <v>46142.0</v>
      </c>
      <c r="L235" s="32"/>
      <c r="M235" s="35"/>
      <c r="N235" s="36"/>
      <c r="O235" s="38">
        <v>30.0</v>
      </c>
      <c r="P235" s="36"/>
      <c r="Q235" s="38">
        <v>30.0</v>
      </c>
      <c r="R235" s="36"/>
      <c r="S235" s="38" t="s">
        <v>53</v>
      </c>
      <c r="T235" s="42"/>
      <c r="U235" s="38">
        <v>100000.0</v>
      </c>
      <c r="V235" s="46"/>
      <c r="W235" s="42"/>
    </row>
    <row r="236">
      <c r="A236" s="15">
        <v>235.0</v>
      </c>
      <c r="B236" s="18" t="s">
        <v>33</v>
      </c>
      <c r="C236" s="18" t="s">
        <v>60</v>
      </c>
      <c r="D236" s="18" t="s">
        <v>1847</v>
      </c>
      <c r="E236" s="18" t="s">
        <v>1842</v>
      </c>
      <c r="F236" s="18" t="s">
        <v>201</v>
      </c>
      <c r="G236" s="18" t="s">
        <v>1850</v>
      </c>
      <c r="H236" s="23"/>
      <c r="I236" s="25"/>
      <c r="J236" s="28">
        <v>46137.0</v>
      </c>
      <c r="K236" s="28">
        <v>46142.0</v>
      </c>
      <c r="L236" s="32"/>
      <c r="M236" s="35"/>
      <c r="N236" s="36"/>
      <c r="O236" s="38">
        <v>6.0</v>
      </c>
      <c r="P236" s="36"/>
      <c r="Q236" s="38">
        <v>6.0</v>
      </c>
      <c r="R236" s="36"/>
      <c r="S236" s="38" t="s">
        <v>502</v>
      </c>
      <c r="T236" s="42"/>
      <c r="U236" s="38">
        <v>20000.0</v>
      </c>
      <c r="V236" s="46"/>
      <c r="W236" s="42"/>
    </row>
    <row r="237">
      <c r="A237" s="15">
        <v>236.0</v>
      </c>
      <c r="B237" s="18" t="s">
        <v>33</v>
      </c>
      <c r="C237" s="18" t="s">
        <v>60</v>
      </c>
      <c r="D237" s="18" t="s">
        <v>1853</v>
      </c>
      <c r="E237" s="18" t="s">
        <v>1855</v>
      </c>
      <c r="F237" s="18" t="s">
        <v>201</v>
      </c>
      <c r="G237" s="18" t="s">
        <v>1850</v>
      </c>
      <c r="H237" s="23"/>
      <c r="I237" s="25"/>
      <c r="J237" s="28">
        <v>46122.0</v>
      </c>
      <c r="K237" s="28">
        <v>46142.0</v>
      </c>
      <c r="L237" s="32"/>
      <c r="M237" s="35"/>
      <c r="N237" s="36"/>
      <c r="O237" s="38">
        <v>21.0</v>
      </c>
      <c r="P237" s="36"/>
      <c r="Q237" s="38">
        <v>21.0</v>
      </c>
      <c r="R237" s="36"/>
      <c r="S237" s="38" t="s">
        <v>157</v>
      </c>
      <c r="T237" s="42"/>
      <c r="U237" s="38">
        <v>70000.0</v>
      </c>
      <c r="V237" s="46"/>
      <c r="W237" s="42"/>
    </row>
    <row r="238">
      <c r="A238" s="15">
        <v>237.0</v>
      </c>
      <c r="B238" s="18" t="s">
        <v>33</v>
      </c>
      <c r="C238" s="18" t="s">
        <v>60</v>
      </c>
      <c r="D238" s="18" t="s">
        <v>1860</v>
      </c>
      <c r="E238" s="18" t="s">
        <v>1861</v>
      </c>
      <c r="F238" s="18" t="s">
        <v>201</v>
      </c>
      <c r="G238" s="18" t="s">
        <v>1850</v>
      </c>
      <c r="H238" s="23"/>
      <c r="I238" s="25"/>
      <c r="J238" s="28">
        <v>46122.0</v>
      </c>
      <c r="K238" s="28">
        <v>46142.0</v>
      </c>
      <c r="L238" s="32"/>
      <c r="M238" s="35"/>
      <c r="N238" s="36"/>
      <c r="O238" s="38">
        <v>21.0</v>
      </c>
      <c r="P238" s="36"/>
      <c r="Q238" s="38">
        <v>21.0</v>
      </c>
      <c r="R238" s="36"/>
      <c r="S238" s="38" t="s">
        <v>157</v>
      </c>
      <c r="T238" s="42"/>
      <c r="U238" s="38">
        <v>70000.0</v>
      </c>
      <c r="V238" s="46"/>
      <c r="W238" s="42"/>
    </row>
    <row r="239">
      <c r="A239" s="15">
        <v>238.0</v>
      </c>
      <c r="B239" s="18" t="s">
        <v>33</v>
      </c>
      <c r="C239" s="18" t="s">
        <v>60</v>
      </c>
      <c r="D239" s="18" t="s">
        <v>1869</v>
      </c>
      <c r="E239" s="18" t="s">
        <v>1870</v>
      </c>
      <c r="F239" s="18" t="s">
        <v>287</v>
      </c>
      <c r="G239" s="18" t="s">
        <v>288</v>
      </c>
      <c r="H239" s="23"/>
      <c r="I239" s="25"/>
      <c r="J239" s="28">
        <v>46122.0</v>
      </c>
      <c r="K239" s="28">
        <v>46142.0</v>
      </c>
      <c r="L239" s="32"/>
      <c r="M239" s="35"/>
      <c r="N239" s="36"/>
      <c r="O239" s="38">
        <v>21.0</v>
      </c>
      <c r="P239" s="36"/>
      <c r="Q239" s="38">
        <v>21.0</v>
      </c>
      <c r="R239" s="36"/>
      <c r="S239" s="38" t="s">
        <v>157</v>
      </c>
      <c r="T239" s="42"/>
      <c r="U239" s="38">
        <v>70000.0</v>
      </c>
      <c r="V239" s="46"/>
      <c r="W239" s="42"/>
    </row>
    <row r="240">
      <c r="A240" s="15">
        <v>239.0</v>
      </c>
      <c r="B240" s="18" t="s">
        <v>33</v>
      </c>
      <c r="C240" s="18" t="s">
        <v>60</v>
      </c>
      <c r="D240" s="18" t="s">
        <v>1874</v>
      </c>
      <c r="E240" s="18" t="s">
        <v>1875</v>
      </c>
      <c r="F240" s="18" t="s">
        <v>331</v>
      </c>
      <c r="G240" s="18" t="s">
        <v>577</v>
      </c>
      <c r="H240" s="23"/>
      <c r="I240" s="25"/>
      <c r="J240" s="28">
        <v>46122.0</v>
      </c>
      <c r="K240" s="28">
        <v>46142.0</v>
      </c>
      <c r="L240" s="32"/>
      <c r="M240" s="35"/>
      <c r="N240" s="36"/>
      <c r="O240" s="38">
        <v>21.0</v>
      </c>
      <c r="P240" s="36"/>
      <c r="Q240" s="38">
        <v>21.0</v>
      </c>
      <c r="R240" s="36"/>
      <c r="S240" s="38" t="s">
        <v>157</v>
      </c>
      <c r="T240" s="42"/>
      <c r="U240" s="38">
        <v>70000.0</v>
      </c>
      <c r="V240" s="46"/>
      <c r="W240" s="42"/>
    </row>
    <row r="241">
      <c r="A241" s="15">
        <v>240.0</v>
      </c>
      <c r="B241" s="18" t="s">
        <v>33</v>
      </c>
      <c r="C241" s="18" t="s">
        <v>60</v>
      </c>
      <c r="D241" s="18" t="s">
        <v>1880</v>
      </c>
      <c r="E241" s="18" t="s">
        <v>1881</v>
      </c>
      <c r="F241" s="18" t="s">
        <v>331</v>
      </c>
      <c r="G241" s="18" t="s">
        <v>577</v>
      </c>
      <c r="H241" s="23"/>
      <c r="I241" s="25"/>
      <c r="J241" s="28">
        <v>46122.0</v>
      </c>
      <c r="K241" s="28">
        <v>46142.0</v>
      </c>
      <c r="L241" s="32"/>
      <c r="M241" s="35"/>
      <c r="N241" s="36"/>
      <c r="O241" s="38">
        <v>21.0</v>
      </c>
      <c r="P241" s="36"/>
      <c r="Q241" s="38">
        <v>21.0</v>
      </c>
      <c r="R241" s="36"/>
      <c r="S241" s="38" t="s">
        <v>157</v>
      </c>
      <c r="T241" s="42"/>
      <c r="U241" s="38">
        <v>70000.0</v>
      </c>
      <c r="V241" s="46"/>
      <c r="W241" s="42"/>
    </row>
    <row r="242">
      <c r="A242" s="15">
        <v>241.0</v>
      </c>
      <c r="B242" s="18" t="s">
        <v>33</v>
      </c>
      <c r="C242" s="18" t="s">
        <v>102</v>
      </c>
      <c r="D242" s="18" t="s">
        <v>1887</v>
      </c>
      <c r="E242" s="18" t="s">
        <v>1888</v>
      </c>
      <c r="F242" s="18" t="s">
        <v>119</v>
      </c>
      <c r="G242" s="18" t="s">
        <v>1889</v>
      </c>
      <c r="H242" s="23"/>
      <c r="I242" s="25"/>
      <c r="J242" s="28">
        <v>46135.0</v>
      </c>
      <c r="K242" s="28">
        <v>46142.0</v>
      </c>
      <c r="L242" s="32"/>
      <c r="M242" s="35"/>
      <c r="N242" s="36"/>
      <c r="O242" s="38">
        <v>8.0</v>
      </c>
      <c r="P242" s="36"/>
      <c r="Q242" s="38">
        <v>8.0</v>
      </c>
      <c r="R242" s="36"/>
      <c r="S242" s="38" t="s">
        <v>507</v>
      </c>
      <c r="T242" s="42"/>
      <c r="U242" s="38">
        <v>26666.67</v>
      </c>
      <c r="V242" s="46"/>
      <c r="W242" s="42"/>
    </row>
    <row r="243">
      <c r="A243" s="15">
        <v>242.0</v>
      </c>
      <c r="B243" s="18" t="s">
        <v>33</v>
      </c>
      <c r="C243" s="18" t="s">
        <v>60</v>
      </c>
      <c r="D243" s="18" t="s">
        <v>1895</v>
      </c>
      <c r="E243" s="18" t="s">
        <v>1897</v>
      </c>
      <c r="F243" s="18" t="s">
        <v>201</v>
      </c>
      <c r="G243" s="18" t="s">
        <v>1899</v>
      </c>
      <c r="H243" s="23"/>
      <c r="I243" s="25"/>
      <c r="J243" s="28">
        <v>46122.0</v>
      </c>
      <c r="K243" s="28">
        <v>46142.0</v>
      </c>
      <c r="L243" s="32"/>
      <c r="M243" s="35"/>
      <c r="N243" s="36"/>
      <c r="O243" s="38">
        <v>21.0</v>
      </c>
      <c r="P243" s="36"/>
      <c r="Q243" s="38">
        <v>21.0</v>
      </c>
      <c r="R243" s="36"/>
      <c r="S243" s="38" t="s">
        <v>157</v>
      </c>
      <c r="T243" s="42"/>
      <c r="U243" s="38">
        <v>70000.0</v>
      </c>
      <c r="V243" s="46"/>
      <c r="W243" s="42"/>
    </row>
    <row r="244">
      <c r="A244" s="15">
        <v>243.0</v>
      </c>
      <c r="B244" s="18" t="s">
        <v>33</v>
      </c>
      <c r="C244" s="18" t="s">
        <v>60</v>
      </c>
      <c r="D244" s="18" t="s">
        <v>1905</v>
      </c>
      <c r="E244" s="18" t="s">
        <v>1906</v>
      </c>
      <c r="F244" s="18" t="s">
        <v>178</v>
      </c>
      <c r="G244" s="18" t="s">
        <v>1907</v>
      </c>
      <c r="H244" s="23"/>
      <c r="I244" s="25"/>
      <c r="J244" s="28">
        <v>46113.0</v>
      </c>
      <c r="K244" s="28">
        <v>46142.0</v>
      </c>
      <c r="L244" s="32"/>
      <c r="M244" s="35"/>
      <c r="N244" s="36"/>
      <c r="O244" s="38">
        <v>30.0</v>
      </c>
      <c r="P244" s="36"/>
      <c r="Q244" s="38">
        <v>30.0</v>
      </c>
      <c r="R244" s="36"/>
      <c r="S244" s="38" t="s">
        <v>53</v>
      </c>
      <c r="T244" s="42"/>
      <c r="U244" s="38">
        <v>100000.0</v>
      </c>
      <c r="V244" s="46"/>
      <c r="W244" s="42"/>
    </row>
    <row r="245">
      <c r="A245" s="15">
        <v>244.0</v>
      </c>
      <c r="B245" s="18" t="s">
        <v>33</v>
      </c>
      <c r="C245" s="18" t="s">
        <v>60</v>
      </c>
      <c r="D245" s="18" t="s">
        <v>1910</v>
      </c>
      <c r="E245" s="18" t="s">
        <v>1912</v>
      </c>
      <c r="F245" s="18" t="s">
        <v>1536</v>
      </c>
      <c r="G245" s="18" t="s">
        <v>1913</v>
      </c>
      <c r="H245" s="23"/>
      <c r="I245" s="25"/>
      <c r="J245" s="28">
        <v>46113.0</v>
      </c>
      <c r="K245" s="28">
        <v>46142.0</v>
      </c>
      <c r="L245" s="32"/>
      <c r="M245" s="35"/>
      <c r="N245" s="36"/>
      <c r="O245" s="38">
        <v>30.0</v>
      </c>
      <c r="P245" s="36"/>
      <c r="Q245" s="38">
        <v>30.0</v>
      </c>
      <c r="R245" s="36"/>
      <c r="S245" s="38" t="s">
        <v>53</v>
      </c>
      <c r="T245" s="42"/>
      <c r="U245" s="38">
        <v>100000.0</v>
      </c>
      <c r="V245" s="46"/>
      <c r="W245" s="42"/>
    </row>
    <row r="246">
      <c r="A246" s="15">
        <v>245.0</v>
      </c>
      <c r="B246" s="18" t="s">
        <v>33</v>
      </c>
      <c r="C246" s="18" t="s">
        <v>60</v>
      </c>
      <c r="D246" s="143" t="s">
        <v>1919</v>
      </c>
      <c r="E246" s="18" t="s">
        <v>1920</v>
      </c>
      <c r="F246" s="18" t="s">
        <v>178</v>
      </c>
      <c r="G246" s="18" t="s">
        <v>1921</v>
      </c>
      <c r="H246" s="23"/>
      <c r="I246" s="25"/>
      <c r="J246" s="28">
        <v>46113.0</v>
      </c>
      <c r="K246" s="28">
        <v>46122.0</v>
      </c>
      <c r="L246" s="32"/>
      <c r="M246" s="35"/>
      <c r="N246" s="36"/>
      <c r="O246" s="38">
        <v>10.0</v>
      </c>
      <c r="P246" s="36"/>
      <c r="Q246" s="38">
        <v>10.0</v>
      </c>
      <c r="R246" s="36"/>
      <c r="S246" s="38" t="s">
        <v>324</v>
      </c>
      <c r="T246" s="42"/>
      <c r="U246" s="38">
        <v>33333.33</v>
      </c>
      <c r="V246" s="79" t="s">
        <v>125</v>
      </c>
      <c r="W246" s="42"/>
    </row>
    <row r="247">
      <c r="A247" s="15">
        <v>246.0</v>
      </c>
      <c r="B247" s="18" t="s">
        <v>33</v>
      </c>
      <c r="C247" s="18" t="s">
        <v>60</v>
      </c>
      <c r="D247" s="143" t="s">
        <v>1919</v>
      </c>
      <c r="E247" s="18" t="s">
        <v>1920</v>
      </c>
      <c r="F247" s="18" t="s">
        <v>178</v>
      </c>
      <c r="G247" s="18" t="s">
        <v>1921</v>
      </c>
      <c r="H247" s="23"/>
      <c r="I247" s="25"/>
      <c r="J247" s="28">
        <v>46129.0</v>
      </c>
      <c r="K247" s="28">
        <v>46142.0</v>
      </c>
      <c r="L247" s="32"/>
      <c r="M247" s="35"/>
      <c r="N247" s="36"/>
      <c r="O247" s="38">
        <v>14.0</v>
      </c>
      <c r="P247" s="36"/>
      <c r="Q247" s="38">
        <v>14.0</v>
      </c>
      <c r="R247" s="36"/>
      <c r="S247" s="38" t="s">
        <v>1928</v>
      </c>
      <c r="T247" s="42"/>
      <c r="U247" s="38">
        <v>46666.67</v>
      </c>
      <c r="V247" s="79" t="s">
        <v>125</v>
      </c>
      <c r="W247" s="42"/>
    </row>
    <row r="248">
      <c r="A248" s="15">
        <v>247.0</v>
      </c>
      <c r="B248" s="18" t="s">
        <v>33</v>
      </c>
      <c r="C248" s="18" t="s">
        <v>60</v>
      </c>
      <c r="D248" s="18" t="s">
        <v>1930</v>
      </c>
      <c r="E248" s="18" t="s">
        <v>1931</v>
      </c>
      <c r="F248" s="18" t="s">
        <v>1932</v>
      </c>
      <c r="G248" s="18" t="s">
        <v>1934</v>
      </c>
      <c r="H248" s="23"/>
      <c r="I248" s="25"/>
      <c r="J248" s="28">
        <v>46122.0</v>
      </c>
      <c r="K248" s="28">
        <v>46142.0</v>
      </c>
      <c r="L248" s="32"/>
      <c r="M248" s="35"/>
      <c r="N248" s="36"/>
      <c r="O248" s="38">
        <v>21.0</v>
      </c>
      <c r="P248" s="36"/>
      <c r="Q248" s="38">
        <v>21.0</v>
      </c>
      <c r="R248" s="36"/>
      <c r="S248" s="38" t="s">
        <v>157</v>
      </c>
      <c r="T248" s="42"/>
      <c r="U248" s="38">
        <v>70000.0</v>
      </c>
      <c r="V248" s="46"/>
      <c r="W248" s="42"/>
    </row>
    <row r="249">
      <c r="A249" s="15">
        <v>248.0</v>
      </c>
      <c r="B249" s="18" t="s">
        <v>33</v>
      </c>
      <c r="C249" s="18" t="s">
        <v>60</v>
      </c>
      <c r="D249" s="18" t="s">
        <v>1939</v>
      </c>
      <c r="E249" s="18" t="s">
        <v>1940</v>
      </c>
      <c r="F249" s="18" t="s">
        <v>1932</v>
      </c>
      <c r="G249" s="18" t="s">
        <v>1934</v>
      </c>
      <c r="H249" s="23"/>
      <c r="I249" s="25"/>
      <c r="J249" s="28">
        <v>46113.0</v>
      </c>
      <c r="K249" s="28">
        <v>46142.0</v>
      </c>
      <c r="L249" s="32"/>
      <c r="M249" s="35"/>
      <c r="N249" s="36"/>
      <c r="O249" s="38">
        <v>30.0</v>
      </c>
      <c r="P249" s="36"/>
      <c r="Q249" s="38">
        <v>30.0</v>
      </c>
      <c r="R249" s="36"/>
      <c r="S249" s="38" t="s">
        <v>53</v>
      </c>
      <c r="T249" s="42"/>
      <c r="U249" s="38">
        <v>100000.0</v>
      </c>
      <c r="V249" s="46"/>
      <c r="W249" s="42"/>
    </row>
    <row r="250">
      <c r="A250" s="15">
        <v>249.0</v>
      </c>
      <c r="B250" s="18" t="s">
        <v>33</v>
      </c>
      <c r="C250" s="18" t="s">
        <v>60</v>
      </c>
      <c r="D250" s="18" t="s">
        <v>1945</v>
      </c>
      <c r="E250" s="18" t="s">
        <v>1946</v>
      </c>
      <c r="F250" s="18" t="s">
        <v>1536</v>
      </c>
      <c r="G250" s="18" t="s">
        <v>1948</v>
      </c>
      <c r="H250" s="23"/>
      <c r="I250" s="25"/>
      <c r="J250" s="28">
        <v>46113.0</v>
      </c>
      <c r="K250" s="28">
        <v>46142.0</v>
      </c>
      <c r="L250" s="32"/>
      <c r="M250" s="35"/>
      <c r="N250" s="36"/>
      <c r="O250" s="38">
        <v>30.0</v>
      </c>
      <c r="P250" s="36"/>
      <c r="Q250" s="38">
        <v>30.0</v>
      </c>
      <c r="R250" s="36"/>
      <c r="S250" s="38" t="s">
        <v>53</v>
      </c>
      <c r="T250" s="42"/>
      <c r="U250" s="38">
        <v>100000.0</v>
      </c>
      <c r="V250" s="46"/>
      <c r="W250" s="42"/>
    </row>
    <row r="251">
      <c r="A251" s="15">
        <v>250.0</v>
      </c>
      <c r="B251" s="18" t="s">
        <v>33</v>
      </c>
      <c r="C251" s="18" t="s">
        <v>143</v>
      </c>
      <c r="D251" s="143" t="s">
        <v>1951</v>
      </c>
      <c r="E251" s="18" t="s">
        <v>1952</v>
      </c>
      <c r="F251" s="18" t="s">
        <v>170</v>
      </c>
      <c r="G251" s="18" t="s">
        <v>1953</v>
      </c>
      <c r="H251" s="23"/>
      <c r="I251" s="25"/>
      <c r="J251" s="28">
        <v>46113.0</v>
      </c>
      <c r="K251" s="28">
        <v>46118.0</v>
      </c>
      <c r="L251" s="32"/>
      <c r="M251" s="35"/>
      <c r="N251" s="36"/>
      <c r="O251" s="38">
        <v>6.0</v>
      </c>
      <c r="P251" s="36"/>
      <c r="Q251" s="38">
        <v>6.0</v>
      </c>
      <c r="R251" s="36"/>
      <c r="S251" s="38" t="s">
        <v>502</v>
      </c>
      <c r="T251" s="42"/>
      <c r="U251" s="38">
        <v>20000.0</v>
      </c>
      <c r="V251" s="46"/>
      <c r="W251" s="42"/>
    </row>
    <row r="252">
      <c r="A252" s="15">
        <v>251.0</v>
      </c>
      <c r="B252" s="18" t="s">
        <v>33</v>
      </c>
      <c r="C252" s="18" t="s">
        <v>143</v>
      </c>
      <c r="D252" s="143" t="s">
        <v>1951</v>
      </c>
      <c r="E252" s="18" t="s">
        <v>1952</v>
      </c>
      <c r="F252" s="18" t="s">
        <v>170</v>
      </c>
      <c r="G252" s="18" t="s">
        <v>1953</v>
      </c>
      <c r="H252" s="23"/>
      <c r="I252" s="25"/>
      <c r="J252" s="28">
        <v>46135.0</v>
      </c>
      <c r="K252" s="28">
        <v>46142.0</v>
      </c>
      <c r="L252" s="32"/>
      <c r="M252" s="35"/>
      <c r="N252" s="36"/>
      <c r="O252" s="38">
        <v>8.0</v>
      </c>
      <c r="P252" s="36"/>
      <c r="Q252" s="38">
        <v>8.0</v>
      </c>
      <c r="R252" s="36"/>
      <c r="S252" s="38" t="s">
        <v>507</v>
      </c>
      <c r="T252" s="42"/>
      <c r="U252" s="38">
        <v>26666.67</v>
      </c>
      <c r="V252" s="46"/>
      <c r="W252" s="42"/>
    </row>
    <row r="253">
      <c r="A253" s="15">
        <v>252.0</v>
      </c>
      <c r="B253" s="18" t="s">
        <v>33</v>
      </c>
      <c r="C253" s="18" t="s">
        <v>60</v>
      </c>
      <c r="D253" s="18" t="s">
        <v>1959</v>
      </c>
      <c r="E253" s="18" t="s">
        <v>1960</v>
      </c>
      <c r="F253" s="18" t="s">
        <v>1536</v>
      </c>
      <c r="G253" s="18" t="s">
        <v>1963</v>
      </c>
      <c r="H253" s="23"/>
      <c r="I253" s="25"/>
      <c r="J253" s="28">
        <v>46133.0</v>
      </c>
      <c r="K253" s="28">
        <v>46142.0</v>
      </c>
      <c r="L253" s="32"/>
      <c r="M253" s="35"/>
      <c r="N253" s="36"/>
      <c r="O253" s="38">
        <v>10.0</v>
      </c>
      <c r="P253" s="36"/>
      <c r="Q253" s="38">
        <v>10.0</v>
      </c>
      <c r="R253" s="36"/>
      <c r="S253" s="38" t="s">
        <v>324</v>
      </c>
      <c r="T253" s="42"/>
      <c r="U253" s="38">
        <v>33333.33</v>
      </c>
      <c r="V253" s="46"/>
      <c r="W253" s="42"/>
    </row>
    <row r="254">
      <c r="A254" s="15">
        <v>253.0</v>
      </c>
      <c r="B254" s="18" t="s">
        <v>33</v>
      </c>
      <c r="C254" s="18" t="s">
        <v>60</v>
      </c>
      <c r="D254" s="18" t="s">
        <v>1967</v>
      </c>
      <c r="E254" s="18" t="s">
        <v>1970</v>
      </c>
      <c r="F254" s="18" t="s">
        <v>178</v>
      </c>
      <c r="G254" s="18" t="s">
        <v>1971</v>
      </c>
      <c r="H254" s="23"/>
      <c r="I254" s="25"/>
      <c r="J254" s="28">
        <v>46113.0</v>
      </c>
      <c r="K254" s="28">
        <v>46142.0</v>
      </c>
      <c r="L254" s="32"/>
      <c r="M254" s="35"/>
      <c r="N254" s="36"/>
      <c r="O254" s="38">
        <v>30.0</v>
      </c>
      <c r="P254" s="36"/>
      <c r="Q254" s="38">
        <v>30.0</v>
      </c>
      <c r="R254" s="36"/>
      <c r="S254" s="38" t="s">
        <v>53</v>
      </c>
      <c r="T254" s="42"/>
      <c r="U254" s="38">
        <v>100000.0</v>
      </c>
      <c r="V254" s="79" t="s">
        <v>125</v>
      </c>
      <c r="W254" s="42"/>
    </row>
    <row r="255">
      <c r="A255" s="15">
        <v>254.0</v>
      </c>
      <c r="B255" s="18" t="s">
        <v>33</v>
      </c>
      <c r="C255" s="18" t="s">
        <v>102</v>
      </c>
      <c r="D255" s="18" t="s">
        <v>1976</v>
      </c>
      <c r="E255" s="18" t="s">
        <v>1977</v>
      </c>
      <c r="F255" s="18" t="s">
        <v>1978</v>
      </c>
      <c r="G255" s="18" t="s">
        <v>1980</v>
      </c>
      <c r="H255" s="23"/>
      <c r="I255" s="25"/>
      <c r="J255" s="28">
        <v>46133.0</v>
      </c>
      <c r="K255" s="28">
        <v>46142.0</v>
      </c>
      <c r="L255" s="32"/>
      <c r="M255" s="35"/>
      <c r="N255" s="36"/>
      <c r="O255" s="38">
        <v>10.0</v>
      </c>
      <c r="P255" s="36"/>
      <c r="Q255" s="38">
        <v>10.0</v>
      </c>
      <c r="R255" s="36"/>
      <c r="S255" s="38" t="s">
        <v>324</v>
      </c>
      <c r="T255" s="42"/>
      <c r="U255" s="38">
        <v>33333.33</v>
      </c>
      <c r="V255" s="46"/>
      <c r="W255" s="42"/>
    </row>
    <row r="256">
      <c r="A256" s="15">
        <v>255.0</v>
      </c>
      <c r="B256" s="18" t="s">
        <v>33</v>
      </c>
      <c r="C256" s="18" t="s">
        <v>60</v>
      </c>
      <c r="D256" s="18" t="s">
        <v>1985</v>
      </c>
      <c r="E256" s="18" t="s">
        <v>1986</v>
      </c>
      <c r="F256" s="18" t="s">
        <v>786</v>
      </c>
      <c r="G256" s="18" t="s">
        <v>1987</v>
      </c>
      <c r="H256" s="23"/>
      <c r="I256" s="25"/>
      <c r="J256" s="28">
        <v>46113.0</v>
      </c>
      <c r="K256" s="28">
        <v>46142.0</v>
      </c>
      <c r="L256" s="32"/>
      <c r="M256" s="35"/>
      <c r="N256" s="36"/>
      <c r="O256" s="38">
        <v>30.0</v>
      </c>
      <c r="P256" s="36"/>
      <c r="Q256" s="38">
        <v>30.0</v>
      </c>
      <c r="R256" s="36"/>
      <c r="S256" s="38" t="s">
        <v>53</v>
      </c>
      <c r="T256" s="42"/>
      <c r="U256" s="38">
        <v>100000.0</v>
      </c>
      <c r="V256" s="46"/>
      <c r="W256" s="42"/>
    </row>
    <row r="257">
      <c r="A257" s="15">
        <v>256.0</v>
      </c>
      <c r="B257" s="18" t="s">
        <v>33</v>
      </c>
      <c r="C257" s="18" t="s">
        <v>60</v>
      </c>
      <c r="D257" s="143" t="s">
        <v>1990</v>
      </c>
      <c r="E257" s="18" t="s">
        <v>1991</v>
      </c>
      <c r="F257" s="18" t="s">
        <v>178</v>
      </c>
      <c r="G257" s="18" t="s">
        <v>1994</v>
      </c>
      <c r="H257" s="23"/>
      <c r="I257" s="25"/>
      <c r="J257" s="28">
        <v>46113.0</v>
      </c>
      <c r="K257" s="28">
        <v>46114.0</v>
      </c>
      <c r="L257" s="32"/>
      <c r="M257" s="35"/>
      <c r="N257" s="36"/>
      <c r="O257" s="38">
        <v>2.0</v>
      </c>
      <c r="P257" s="36"/>
      <c r="Q257" s="38">
        <v>2.0</v>
      </c>
      <c r="R257" s="36"/>
      <c r="S257" s="38" t="s">
        <v>396</v>
      </c>
      <c r="T257" s="42"/>
      <c r="U257" s="38">
        <v>6666.67</v>
      </c>
      <c r="V257" s="46"/>
      <c r="W257" s="42"/>
    </row>
    <row r="258">
      <c r="A258" s="15">
        <v>257.0</v>
      </c>
      <c r="B258" s="18" t="s">
        <v>33</v>
      </c>
      <c r="C258" s="18" t="s">
        <v>60</v>
      </c>
      <c r="D258" s="143" t="s">
        <v>1990</v>
      </c>
      <c r="E258" s="18" t="s">
        <v>1991</v>
      </c>
      <c r="F258" s="18" t="s">
        <v>178</v>
      </c>
      <c r="G258" s="18" t="s">
        <v>1994</v>
      </c>
      <c r="H258" s="23"/>
      <c r="I258" s="25"/>
      <c r="J258" s="28">
        <v>46121.0</v>
      </c>
      <c r="K258" s="28">
        <v>46142.0</v>
      </c>
      <c r="L258" s="32"/>
      <c r="M258" s="35"/>
      <c r="N258" s="36"/>
      <c r="O258" s="38">
        <v>22.0</v>
      </c>
      <c r="P258" s="36"/>
      <c r="Q258" s="38">
        <v>22.0</v>
      </c>
      <c r="R258" s="36"/>
      <c r="S258" s="38" t="s">
        <v>1461</v>
      </c>
      <c r="T258" s="42"/>
      <c r="U258" s="38">
        <v>73333.33</v>
      </c>
      <c r="V258" s="46"/>
      <c r="W258" s="42"/>
    </row>
    <row r="259">
      <c r="A259" s="15">
        <v>258.0</v>
      </c>
      <c r="B259" s="18" t="s">
        <v>33</v>
      </c>
      <c r="C259" s="18" t="s">
        <v>60</v>
      </c>
      <c r="D259" s="18" t="s">
        <v>2005</v>
      </c>
      <c r="E259" s="18" t="s">
        <v>2006</v>
      </c>
      <c r="F259" s="18" t="s">
        <v>1978</v>
      </c>
      <c r="G259" s="18" t="s">
        <v>2008</v>
      </c>
      <c r="H259" s="23"/>
      <c r="I259" s="25"/>
      <c r="J259" s="28">
        <v>46129.0</v>
      </c>
      <c r="K259" s="28">
        <v>46142.0</v>
      </c>
      <c r="L259" s="32"/>
      <c r="M259" s="35"/>
      <c r="N259" s="36"/>
      <c r="O259" s="38">
        <v>14.0</v>
      </c>
      <c r="P259" s="36"/>
      <c r="Q259" s="38">
        <v>14.0</v>
      </c>
      <c r="R259" s="36"/>
      <c r="S259" s="38" t="s">
        <v>1928</v>
      </c>
      <c r="T259" s="42"/>
      <c r="U259" s="38">
        <v>46666.67</v>
      </c>
      <c r="V259" s="46"/>
      <c r="W259" s="42"/>
    </row>
    <row r="260">
      <c r="A260" s="15">
        <v>259.0</v>
      </c>
      <c r="B260" s="18" t="s">
        <v>33</v>
      </c>
      <c r="C260" s="18" t="s">
        <v>60</v>
      </c>
      <c r="D260" s="18" t="s">
        <v>2011</v>
      </c>
      <c r="E260" s="18" t="s">
        <v>2013</v>
      </c>
      <c r="F260" s="18" t="s">
        <v>2015</v>
      </c>
      <c r="G260" s="18" t="s">
        <v>2016</v>
      </c>
      <c r="H260" s="23"/>
      <c r="I260" s="25"/>
      <c r="J260" s="28">
        <v>46113.0</v>
      </c>
      <c r="K260" s="28">
        <v>46142.0</v>
      </c>
      <c r="L260" s="32"/>
      <c r="M260" s="35"/>
      <c r="N260" s="36"/>
      <c r="O260" s="38">
        <v>30.0</v>
      </c>
      <c r="P260" s="36"/>
      <c r="Q260" s="38">
        <v>30.0</v>
      </c>
      <c r="R260" s="36"/>
      <c r="S260" s="38" t="s">
        <v>53</v>
      </c>
      <c r="T260" s="42"/>
      <c r="U260" s="38">
        <v>100000.0</v>
      </c>
      <c r="V260" s="79" t="s">
        <v>125</v>
      </c>
      <c r="W260" s="42"/>
    </row>
    <row r="261">
      <c r="A261" s="15">
        <v>260.0</v>
      </c>
      <c r="B261" s="18" t="s">
        <v>33</v>
      </c>
      <c r="C261" s="18" t="s">
        <v>60</v>
      </c>
      <c r="D261" s="18" t="s">
        <v>2020</v>
      </c>
      <c r="E261" s="18" t="s">
        <v>624</v>
      </c>
      <c r="F261" s="18" t="s">
        <v>2015</v>
      </c>
      <c r="G261" s="18" t="s">
        <v>2023</v>
      </c>
      <c r="H261" s="23"/>
      <c r="I261" s="25"/>
      <c r="J261" s="28">
        <v>46113.0</v>
      </c>
      <c r="K261" s="28">
        <v>46142.0</v>
      </c>
      <c r="L261" s="32"/>
      <c r="M261" s="35"/>
      <c r="N261" s="36"/>
      <c r="O261" s="38">
        <v>30.0</v>
      </c>
      <c r="P261" s="36"/>
      <c r="Q261" s="38">
        <v>30.0</v>
      </c>
      <c r="R261" s="36"/>
      <c r="S261" s="38" t="s">
        <v>53</v>
      </c>
      <c r="T261" s="42"/>
      <c r="U261" s="38">
        <v>100000.0</v>
      </c>
      <c r="V261" s="46"/>
      <c r="W261" s="42"/>
    </row>
    <row r="262">
      <c r="A262" s="15">
        <v>261.0</v>
      </c>
      <c r="B262" s="18" t="s">
        <v>33</v>
      </c>
      <c r="C262" s="18" t="s">
        <v>60</v>
      </c>
      <c r="D262" s="18" t="s">
        <v>2027</v>
      </c>
      <c r="E262" s="18" t="s">
        <v>2028</v>
      </c>
      <c r="F262" s="18" t="s">
        <v>1431</v>
      </c>
      <c r="G262" s="18" t="s">
        <v>2029</v>
      </c>
      <c r="H262" s="23"/>
      <c r="I262" s="25"/>
      <c r="J262" s="28">
        <v>46122.0</v>
      </c>
      <c r="K262" s="28">
        <v>46142.0</v>
      </c>
      <c r="L262" s="32"/>
      <c r="M262" s="35"/>
      <c r="N262" s="36"/>
      <c r="O262" s="38">
        <v>21.0</v>
      </c>
      <c r="P262" s="36"/>
      <c r="Q262" s="38">
        <v>21.0</v>
      </c>
      <c r="R262" s="36"/>
      <c r="S262" s="38" t="s">
        <v>157</v>
      </c>
      <c r="T262" s="42"/>
      <c r="U262" s="38">
        <v>70000.0</v>
      </c>
      <c r="V262" s="46"/>
      <c r="W262" s="42"/>
    </row>
    <row r="263">
      <c r="A263" s="15">
        <v>262.0</v>
      </c>
      <c r="B263" s="18" t="s">
        <v>33</v>
      </c>
      <c r="C263" s="18" t="s">
        <v>60</v>
      </c>
      <c r="D263" s="18" t="s">
        <v>2032</v>
      </c>
      <c r="E263" s="18" t="s">
        <v>2033</v>
      </c>
      <c r="F263" s="18" t="s">
        <v>178</v>
      </c>
      <c r="G263" s="18" t="s">
        <v>2035</v>
      </c>
      <c r="H263" s="23"/>
      <c r="I263" s="25"/>
      <c r="J263" s="28">
        <v>46113.0</v>
      </c>
      <c r="K263" s="28">
        <v>46142.0</v>
      </c>
      <c r="L263" s="32"/>
      <c r="M263" s="35"/>
      <c r="N263" s="36"/>
      <c r="O263" s="38">
        <v>30.0</v>
      </c>
      <c r="P263" s="36"/>
      <c r="Q263" s="38">
        <v>30.0</v>
      </c>
      <c r="R263" s="36"/>
      <c r="S263" s="38" t="s">
        <v>53</v>
      </c>
      <c r="T263" s="42"/>
      <c r="U263" s="38">
        <v>100000.0</v>
      </c>
      <c r="V263" s="46"/>
      <c r="W263" s="42"/>
    </row>
    <row r="264">
      <c r="A264" s="15">
        <v>263.0</v>
      </c>
      <c r="B264" s="18" t="s">
        <v>33</v>
      </c>
      <c r="C264" s="18" t="s">
        <v>60</v>
      </c>
      <c r="D264" s="18" t="s">
        <v>2040</v>
      </c>
      <c r="E264" s="18" t="s">
        <v>2041</v>
      </c>
      <c r="F264" s="18" t="s">
        <v>1753</v>
      </c>
      <c r="G264" s="18" t="s">
        <v>2044</v>
      </c>
      <c r="H264" s="23"/>
      <c r="I264" s="25"/>
      <c r="J264" s="28">
        <v>46122.0</v>
      </c>
      <c r="K264" s="28">
        <v>46142.0</v>
      </c>
      <c r="L264" s="32"/>
      <c r="M264" s="35"/>
      <c r="N264" s="36"/>
      <c r="O264" s="38">
        <v>21.0</v>
      </c>
      <c r="P264" s="36"/>
      <c r="Q264" s="38">
        <v>21.0</v>
      </c>
      <c r="R264" s="36"/>
      <c r="S264" s="38" t="s">
        <v>157</v>
      </c>
      <c r="T264" s="42"/>
      <c r="U264" s="38">
        <v>70000.0</v>
      </c>
      <c r="V264" s="46"/>
      <c r="W264" s="42"/>
    </row>
    <row r="265">
      <c r="A265" s="15">
        <v>264.0</v>
      </c>
      <c r="B265" s="18" t="s">
        <v>33</v>
      </c>
      <c r="C265" s="18" t="s">
        <v>102</v>
      </c>
      <c r="D265" s="143" t="s">
        <v>2047</v>
      </c>
      <c r="E265" s="18" t="s">
        <v>2049</v>
      </c>
      <c r="F265" s="18" t="s">
        <v>170</v>
      </c>
      <c r="G265" s="18" t="s">
        <v>2052</v>
      </c>
      <c r="H265" s="23"/>
      <c r="I265" s="25"/>
      <c r="J265" s="28">
        <v>46113.0</v>
      </c>
      <c r="K265" s="28">
        <v>46130.0</v>
      </c>
      <c r="L265" s="32"/>
      <c r="M265" s="35"/>
      <c r="N265" s="36"/>
      <c r="O265" s="38">
        <v>18.0</v>
      </c>
      <c r="P265" s="36"/>
      <c r="Q265" s="38">
        <v>18.0</v>
      </c>
      <c r="R265" s="36"/>
      <c r="S265" s="38" t="s">
        <v>611</v>
      </c>
      <c r="T265" s="42"/>
      <c r="U265" s="38">
        <v>60000.0</v>
      </c>
      <c r="V265" s="46"/>
      <c r="W265" s="42"/>
    </row>
    <row r="266">
      <c r="A266" s="15">
        <v>265.0</v>
      </c>
      <c r="B266" s="18" t="s">
        <v>33</v>
      </c>
      <c r="C266" s="18" t="s">
        <v>102</v>
      </c>
      <c r="D266" s="143" t="s">
        <v>2047</v>
      </c>
      <c r="E266" s="18" t="s">
        <v>2049</v>
      </c>
      <c r="F266" s="18" t="s">
        <v>170</v>
      </c>
      <c r="G266" s="18" t="s">
        <v>2052</v>
      </c>
      <c r="H266" s="23"/>
      <c r="I266" s="25"/>
      <c r="J266" s="28">
        <v>46138.0</v>
      </c>
      <c r="K266" s="28">
        <v>46142.0</v>
      </c>
      <c r="L266" s="32"/>
      <c r="M266" s="35"/>
      <c r="N266" s="36"/>
      <c r="O266" s="38">
        <v>5.0</v>
      </c>
      <c r="P266" s="36"/>
      <c r="Q266" s="38">
        <v>5.0</v>
      </c>
      <c r="R266" s="36"/>
      <c r="S266" s="38" t="s">
        <v>84</v>
      </c>
      <c r="T266" s="42"/>
      <c r="U266" s="38">
        <v>16666.67</v>
      </c>
      <c r="V266" s="46"/>
      <c r="W266" s="42"/>
    </row>
    <row r="267">
      <c r="A267" s="15">
        <v>266.0</v>
      </c>
      <c r="B267" s="18" t="s">
        <v>33</v>
      </c>
      <c r="C267" s="18" t="s">
        <v>60</v>
      </c>
      <c r="D267" s="18" t="s">
        <v>2059</v>
      </c>
      <c r="E267" s="18" t="s">
        <v>2061</v>
      </c>
      <c r="F267" s="18" t="s">
        <v>178</v>
      </c>
      <c r="G267" s="18" t="s">
        <v>2062</v>
      </c>
      <c r="H267" s="23"/>
      <c r="I267" s="25"/>
      <c r="J267" s="28">
        <v>46113.0</v>
      </c>
      <c r="K267" s="28">
        <v>46142.0</v>
      </c>
      <c r="L267" s="32"/>
      <c r="M267" s="35"/>
      <c r="N267" s="36"/>
      <c r="O267" s="38">
        <v>30.0</v>
      </c>
      <c r="P267" s="36"/>
      <c r="Q267" s="38">
        <v>30.0</v>
      </c>
      <c r="R267" s="36"/>
      <c r="S267" s="38" t="s">
        <v>53</v>
      </c>
      <c r="T267" s="42"/>
      <c r="U267" s="38">
        <v>100000.0</v>
      </c>
      <c r="V267" s="79" t="s">
        <v>125</v>
      </c>
      <c r="W267" s="42"/>
    </row>
    <row r="268">
      <c r="A268" s="15">
        <v>267.0</v>
      </c>
      <c r="B268" s="18" t="s">
        <v>33</v>
      </c>
      <c r="C268" s="18" t="s">
        <v>60</v>
      </c>
      <c r="D268" s="18" t="s">
        <v>2065</v>
      </c>
      <c r="E268" s="18" t="s">
        <v>2066</v>
      </c>
      <c r="F268" s="18" t="s">
        <v>178</v>
      </c>
      <c r="G268" s="18" t="s">
        <v>2062</v>
      </c>
      <c r="H268" s="23"/>
      <c r="I268" s="25"/>
      <c r="J268" s="28">
        <v>46113.0</v>
      </c>
      <c r="K268" s="28">
        <v>46142.0</v>
      </c>
      <c r="L268" s="32"/>
      <c r="M268" s="35"/>
      <c r="N268" s="36"/>
      <c r="O268" s="38">
        <v>30.0</v>
      </c>
      <c r="P268" s="36"/>
      <c r="Q268" s="38">
        <v>30.0</v>
      </c>
      <c r="R268" s="36"/>
      <c r="S268" s="38" t="s">
        <v>53</v>
      </c>
      <c r="T268" s="42"/>
      <c r="U268" s="38">
        <v>100000.0</v>
      </c>
      <c r="V268" s="79" t="s">
        <v>125</v>
      </c>
      <c r="W268" s="42"/>
    </row>
    <row r="269">
      <c r="A269" s="15">
        <v>268.0</v>
      </c>
      <c r="B269" s="18" t="s">
        <v>33</v>
      </c>
      <c r="C269" s="18" t="s">
        <v>102</v>
      </c>
      <c r="D269" s="18" t="s">
        <v>2070</v>
      </c>
      <c r="E269" s="18" t="s">
        <v>2072</v>
      </c>
      <c r="F269" s="18" t="s">
        <v>212</v>
      </c>
      <c r="G269" s="18" t="s">
        <v>2073</v>
      </c>
      <c r="H269" s="23"/>
      <c r="I269" s="25"/>
      <c r="J269" s="28">
        <v>46133.0</v>
      </c>
      <c r="K269" s="28">
        <v>46142.0</v>
      </c>
      <c r="L269" s="32"/>
      <c r="M269" s="35"/>
      <c r="N269" s="36"/>
      <c r="O269" s="38">
        <v>10.0</v>
      </c>
      <c r="P269" s="36"/>
      <c r="Q269" s="38">
        <v>10.0</v>
      </c>
      <c r="R269" s="36"/>
      <c r="S269" s="38" t="s">
        <v>324</v>
      </c>
      <c r="T269" s="42"/>
      <c r="U269" s="38">
        <v>33333.33</v>
      </c>
      <c r="V269" s="46"/>
      <c r="W269" s="42"/>
    </row>
    <row r="270">
      <c r="A270" s="15">
        <v>269.0</v>
      </c>
      <c r="B270" s="18" t="s">
        <v>33</v>
      </c>
      <c r="C270" s="18" t="s">
        <v>60</v>
      </c>
      <c r="D270" s="18" t="s">
        <v>2080</v>
      </c>
      <c r="E270" s="18" t="s">
        <v>2081</v>
      </c>
      <c r="F270" s="18" t="s">
        <v>1637</v>
      </c>
      <c r="G270" s="18" t="s">
        <v>2082</v>
      </c>
      <c r="H270" s="23"/>
      <c r="I270" s="25"/>
      <c r="J270" s="28">
        <v>46113.0</v>
      </c>
      <c r="K270" s="28">
        <v>46142.0</v>
      </c>
      <c r="L270" s="32"/>
      <c r="M270" s="35"/>
      <c r="N270" s="36"/>
      <c r="O270" s="38">
        <v>30.0</v>
      </c>
      <c r="P270" s="36"/>
      <c r="Q270" s="38">
        <v>30.0</v>
      </c>
      <c r="R270" s="36"/>
      <c r="S270" s="38" t="s">
        <v>53</v>
      </c>
      <c r="T270" s="42"/>
      <c r="U270" s="38">
        <v>100000.0</v>
      </c>
      <c r="V270" s="46"/>
      <c r="W270" s="42"/>
    </row>
    <row r="271">
      <c r="A271" s="15">
        <v>270.0</v>
      </c>
      <c r="B271" s="18" t="s">
        <v>33</v>
      </c>
      <c r="C271" s="18" t="s">
        <v>60</v>
      </c>
      <c r="D271" s="18" t="s">
        <v>2087</v>
      </c>
      <c r="E271" s="18" t="s">
        <v>2088</v>
      </c>
      <c r="F271" s="18" t="s">
        <v>1637</v>
      </c>
      <c r="G271" s="18" t="s">
        <v>2082</v>
      </c>
      <c r="H271" s="23"/>
      <c r="I271" s="25"/>
      <c r="J271" s="28">
        <v>46133.0</v>
      </c>
      <c r="K271" s="28">
        <v>46142.0</v>
      </c>
      <c r="L271" s="32"/>
      <c r="M271" s="35"/>
      <c r="N271" s="36"/>
      <c r="O271" s="38">
        <v>10.0</v>
      </c>
      <c r="P271" s="36"/>
      <c r="Q271" s="38">
        <v>10.0</v>
      </c>
      <c r="R271" s="36"/>
      <c r="S271" s="38" t="s">
        <v>324</v>
      </c>
      <c r="T271" s="42"/>
      <c r="U271" s="38">
        <v>33333.33</v>
      </c>
      <c r="V271" s="46"/>
      <c r="W271" s="42"/>
    </row>
    <row r="272">
      <c r="A272" s="15">
        <v>271.0</v>
      </c>
      <c r="B272" s="18" t="s">
        <v>33</v>
      </c>
      <c r="C272" s="18" t="s">
        <v>60</v>
      </c>
      <c r="D272" s="18" t="s">
        <v>2092</v>
      </c>
      <c r="E272" s="18" t="s">
        <v>2093</v>
      </c>
      <c r="F272" s="18" t="s">
        <v>139</v>
      </c>
      <c r="G272" s="18" t="s">
        <v>2096</v>
      </c>
      <c r="H272" s="23"/>
      <c r="I272" s="25"/>
      <c r="J272" s="28">
        <v>46113.0</v>
      </c>
      <c r="K272" s="28">
        <v>46142.0</v>
      </c>
      <c r="L272" s="32"/>
      <c r="M272" s="35"/>
      <c r="N272" s="36"/>
      <c r="O272" s="38">
        <v>30.0</v>
      </c>
      <c r="P272" s="36"/>
      <c r="Q272" s="38">
        <v>30.0</v>
      </c>
      <c r="R272" s="36"/>
      <c r="S272" s="38" t="s">
        <v>53</v>
      </c>
      <c r="T272" s="42"/>
      <c r="U272" s="38">
        <v>100000.0</v>
      </c>
      <c r="V272" s="46"/>
      <c r="W272" s="42"/>
    </row>
    <row r="273">
      <c r="A273" s="15">
        <v>272.0</v>
      </c>
      <c r="B273" s="18" t="s">
        <v>33</v>
      </c>
      <c r="C273" s="18" t="s">
        <v>60</v>
      </c>
      <c r="D273" s="18" t="s">
        <v>2103</v>
      </c>
      <c r="E273" s="18" t="s">
        <v>2104</v>
      </c>
      <c r="F273" s="18" t="s">
        <v>201</v>
      </c>
      <c r="G273" s="18" t="s">
        <v>2106</v>
      </c>
      <c r="H273" s="51">
        <v>46113.0</v>
      </c>
      <c r="I273" s="51">
        <v>46125.0</v>
      </c>
      <c r="J273" s="28">
        <v>46126.0</v>
      </c>
      <c r="K273" s="28">
        <v>46142.0</v>
      </c>
      <c r="L273" s="32"/>
      <c r="M273" s="35"/>
      <c r="N273" s="38">
        <v>13.0</v>
      </c>
      <c r="O273" s="38">
        <v>17.0</v>
      </c>
      <c r="P273" s="36"/>
      <c r="Q273" s="38">
        <v>30.0</v>
      </c>
      <c r="R273" s="38" t="s">
        <v>217</v>
      </c>
      <c r="S273" s="38" t="s">
        <v>218</v>
      </c>
      <c r="T273" s="42"/>
      <c r="U273" s="38">
        <v>69666.67</v>
      </c>
      <c r="V273" s="46"/>
      <c r="W273" s="42"/>
    </row>
    <row r="274">
      <c r="A274" s="15">
        <v>273.0</v>
      </c>
      <c r="B274" s="18" t="s">
        <v>33</v>
      </c>
      <c r="C274" s="18" t="s">
        <v>102</v>
      </c>
      <c r="D274" s="18" t="s">
        <v>2109</v>
      </c>
      <c r="E274" s="18" t="s">
        <v>949</v>
      </c>
      <c r="F274" s="18" t="s">
        <v>1756</v>
      </c>
      <c r="G274" s="18" t="s">
        <v>2111</v>
      </c>
      <c r="H274" s="23"/>
      <c r="I274" s="25"/>
      <c r="J274" s="28">
        <v>46120.0</v>
      </c>
      <c r="K274" s="28">
        <v>46142.0</v>
      </c>
      <c r="L274" s="32"/>
      <c r="M274" s="35"/>
      <c r="N274" s="36"/>
      <c r="O274" s="38">
        <v>23.0</v>
      </c>
      <c r="P274" s="36"/>
      <c r="Q274" s="38">
        <v>23.0</v>
      </c>
      <c r="R274" s="36"/>
      <c r="S274" s="38" t="s">
        <v>2114</v>
      </c>
      <c r="T274" s="42"/>
      <c r="U274" s="38">
        <v>76666.67</v>
      </c>
      <c r="V274" s="46"/>
      <c r="W274" s="42"/>
    </row>
    <row r="275">
      <c r="A275" s="15">
        <v>274.0</v>
      </c>
      <c r="B275" s="18" t="s">
        <v>33</v>
      </c>
      <c r="C275" s="18" t="s">
        <v>60</v>
      </c>
      <c r="D275" s="18" t="s">
        <v>2116</v>
      </c>
      <c r="E275" s="18" t="s">
        <v>2118</v>
      </c>
      <c r="F275" s="18" t="s">
        <v>1522</v>
      </c>
      <c r="G275" s="18" t="s">
        <v>2119</v>
      </c>
      <c r="H275" s="23"/>
      <c r="I275" s="25"/>
      <c r="J275" s="28">
        <v>46133.0</v>
      </c>
      <c r="K275" s="28">
        <v>46142.0</v>
      </c>
      <c r="L275" s="32"/>
      <c r="M275" s="35"/>
      <c r="N275" s="36"/>
      <c r="O275" s="38">
        <v>10.0</v>
      </c>
      <c r="P275" s="36"/>
      <c r="Q275" s="38">
        <v>10.0</v>
      </c>
      <c r="R275" s="36"/>
      <c r="S275" s="38" t="s">
        <v>324</v>
      </c>
      <c r="T275" s="42"/>
      <c r="U275" s="38">
        <v>33333.33</v>
      </c>
      <c r="V275" s="46"/>
      <c r="W275" s="42"/>
    </row>
    <row r="276">
      <c r="A276" s="15">
        <v>275.0</v>
      </c>
      <c r="B276" s="18" t="s">
        <v>33</v>
      </c>
      <c r="C276" s="18" t="s">
        <v>60</v>
      </c>
      <c r="D276" s="18" t="s">
        <v>2124</v>
      </c>
      <c r="E276" s="18" t="s">
        <v>2125</v>
      </c>
      <c r="F276" s="18" t="s">
        <v>249</v>
      </c>
      <c r="G276" s="18" t="s">
        <v>2126</v>
      </c>
      <c r="H276" s="23"/>
      <c r="I276" s="25"/>
      <c r="J276" s="28">
        <v>46135.0</v>
      </c>
      <c r="K276" s="28">
        <v>46142.0</v>
      </c>
      <c r="L276" s="32"/>
      <c r="M276" s="35"/>
      <c r="N276" s="36"/>
      <c r="O276" s="38">
        <v>8.0</v>
      </c>
      <c r="P276" s="36"/>
      <c r="Q276" s="38">
        <v>8.0</v>
      </c>
      <c r="R276" s="36"/>
      <c r="S276" s="38" t="s">
        <v>507</v>
      </c>
      <c r="T276" s="42"/>
      <c r="U276" s="38">
        <v>26666.67</v>
      </c>
      <c r="V276" s="46"/>
      <c r="W276" s="42"/>
    </row>
    <row r="277">
      <c r="A277" s="15">
        <v>276.0</v>
      </c>
      <c r="B277" s="18" t="s">
        <v>33</v>
      </c>
      <c r="C277" s="18" t="s">
        <v>656</v>
      </c>
      <c r="D277" s="18" t="s">
        <v>2129</v>
      </c>
      <c r="E277" s="18" t="s">
        <v>2131</v>
      </c>
      <c r="F277" s="18" t="s">
        <v>786</v>
      </c>
      <c r="G277" s="18" t="s">
        <v>2132</v>
      </c>
      <c r="H277" s="23"/>
      <c r="I277" s="25"/>
      <c r="J277" s="28">
        <v>46113.0</v>
      </c>
      <c r="K277" s="28">
        <v>46142.0</v>
      </c>
      <c r="L277" s="32"/>
      <c r="M277" s="35"/>
      <c r="N277" s="36"/>
      <c r="O277" s="38">
        <v>30.0</v>
      </c>
      <c r="P277" s="36"/>
      <c r="Q277" s="38">
        <v>30.0</v>
      </c>
      <c r="R277" s="36"/>
      <c r="S277" s="38" t="s">
        <v>53</v>
      </c>
      <c r="T277" s="42"/>
      <c r="U277" s="38">
        <v>100000.0</v>
      </c>
      <c r="V277" s="46"/>
      <c r="W277" s="42"/>
    </row>
    <row r="278">
      <c r="A278" s="15">
        <v>277.0</v>
      </c>
      <c r="B278" s="18" t="s">
        <v>33</v>
      </c>
      <c r="C278" s="18" t="s">
        <v>60</v>
      </c>
      <c r="D278" s="18" t="s">
        <v>2136</v>
      </c>
      <c r="E278" s="18" t="s">
        <v>2137</v>
      </c>
      <c r="F278" s="18" t="s">
        <v>1431</v>
      </c>
      <c r="G278" s="18" t="s">
        <v>2138</v>
      </c>
      <c r="H278" s="51">
        <v>46113.0</v>
      </c>
      <c r="I278" s="51">
        <v>46125.0</v>
      </c>
      <c r="J278" s="28">
        <v>46126.0</v>
      </c>
      <c r="K278" s="28">
        <v>46142.0</v>
      </c>
      <c r="L278" s="32"/>
      <c r="M278" s="35"/>
      <c r="N278" s="38">
        <v>13.0</v>
      </c>
      <c r="O278" s="38">
        <v>17.0</v>
      </c>
      <c r="P278" s="36"/>
      <c r="Q278" s="38">
        <v>30.0</v>
      </c>
      <c r="R278" s="38" t="s">
        <v>217</v>
      </c>
      <c r="S278" s="38" t="s">
        <v>218</v>
      </c>
      <c r="T278" s="42"/>
      <c r="U278" s="38">
        <v>69666.67</v>
      </c>
      <c r="V278" s="46"/>
      <c r="W278" s="42"/>
    </row>
    <row r="279">
      <c r="A279" s="15">
        <v>278.0</v>
      </c>
      <c r="B279" s="18" t="s">
        <v>33</v>
      </c>
      <c r="C279" s="18" t="s">
        <v>60</v>
      </c>
      <c r="D279" s="18" t="s">
        <v>2143</v>
      </c>
      <c r="E279" s="18" t="s">
        <v>2145</v>
      </c>
      <c r="F279" s="18" t="s">
        <v>726</v>
      </c>
      <c r="G279" s="18" t="s">
        <v>2147</v>
      </c>
      <c r="H279" s="23"/>
      <c r="I279" s="25"/>
      <c r="J279" s="28">
        <v>46128.0</v>
      </c>
      <c r="K279" s="28">
        <v>46142.0</v>
      </c>
      <c r="L279" s="32"/>
      <c r="M279" s="35"/>
      <c r="N279" s="36"/>
      <c r="O279" s="38">
        <v>15.0</v>
      </c>
      <c r="P279" s="36"/>
      <c r="Q279" s="38">
        <v>15.0</v>
      </c>
      <c r="R279" s="36"/>
      <c r="S279" s="38" t="s">
        <v>959</v>
      </c>
      <c r="T279" s="42"/>
      <c r="U279" s="38">
        <v>50000.0</v>
      </c>
      <c r="V279" s="46"/>
      <c r="W279" s="42"/>
    </row>
    <row r="280">
      <c r="A280" s="15">
        <v>279.0</v>
      </c>
      <c r="B280" s="18" t="s">
        <v>33</v>
      </c>
      <c r="C280" s="18" t="s">
        <v>60</v>
      </c>
      <c r="D280" s="18" t="s">
        <v>2150</v>
      </c>
      <c r="E280" s="18" t="s">
        <v>2151</v>
      </c>
      <c r="F280" s="18" t="s">
        <v>726</v>
      </c>
      <c r="G280" s="18" t="s">
        <v>2147</v>
      </c>
      <c r="H280" s="23"/>
      <c r="I280" s="25"/>
      <c r="J280" s="28">
        <v>46128.0</v>
      </c>
      <c r="K280" s="28">
        <v>46142.0</v>
      </c>
      <c r="L280" s="32"/>
      <c r="M280" s="35"/>
      <c r="N280" s="36"/>
      <c r="O280" s="38">
        <v>15.0</v>
      </c>
      <c r="P280" s="36"/>
      <c r="Q280" s="38">
        <v>15.0</v>
      </c>
      <c r="R280" s="36"/>
      <c r="S280" s="38" t="s">
        <v>959</v>
      </c>
      <c r="T280" s="42"/>
      <c r="U280" s="38">
        <v>50000.0</v>
      </c>
      <c r="V280" s="46"/>
      <c r="W280" s="42"/>
    </row>
    <row r="281">
      <c r="A281" s="15">
        <v>280.0</v>
      </c>
      <c r="B281" s="18" t="s">
        <v>33</v>
      </c>
      <c r="C281" s="18" t="s">
        <v>656</v>
      </c>
      <c r="D281" s="18" t="s">
        <v>2156</v>
      </c>
      <c r="E281" s="18" t="s">
        <v>2157</v>
      </c>
      <c r="F281" s="18" t="s">
        <v>1536</v>
      </c>
      <c r="G281" s="18" t="s">
        <v>2158</v>
      </c>
      <c r="H281" s="23"/>
      <c r="I281" s="25"/>
      <c r="J281" s="28">
        <v>46113.0</v>
      </c>
      <c r="K281" s="28">
        <v>46142.0</v>
      </c>
      <c r="L281" s="32"/>
      <c r="M281" s="35"/>
      <c r="N281" s="36"/>
      <c r="O281" s="38">
        <v>30.0</v>
      </c>
      <c r="P281" s="36"/>
      <c r="Q281" s="38">
        <v>30.0</v>
      </c>
      <c r="R281" s="36"/>
      <c r="S281" s="38" t="s">
        <v>53</v>
      </c>
      <c r="T281" s="42"/>
      <c r="U281" s="38">
        <v>100000.0</v>
      </c>
      <c r="V281" s="46"/>
      <c r="W281" s="42"/>
    </row>
    <row r="282">
      <c r="A282" s="15">
        <v>281.0</v>
      </c>
      <c r="B282" s="18" t="s">
        <v>33</v>
      </c>
      <c r="C282" s="18" t="s">
        <v>60</v>
      </c>
      <c r="D282" s="18" t="s">
        <v>2161</v>
      </c>
      <c r="E282" s="18" t="s">
        <v>2162</v>
      </c>
      <c r="F282" s="18" t="s">
        <v>1536</v>
      </c>
      <c r="G282" s="18" t="s">
        <v>2158</v>
      </c>
      <c r="H282" s="23"/>
      <c r="I282" s="25"/>
      <c r="J282" s="28">
        <v>46113.0</v>
      </c>
      <c r="K282" s="28">
        <v>46142.0</v>
      </c>
      <c r="L282" s="32"/>
      <c r="M282" s="35"/>
      <c r="N282" s="36"/>
      <c r="O282" s="38">
        <v>30.0</v>
      </c>
      <c r="P282" s="36"/>
      <c r="Q282" s="38">
        <v>30.0</v>
      </c>
      <c r="R282" s="36"/>
      <c r="S282" s="38" t="s">
        <v>53</v>
      </c>
      <c r="T282" s="42"/>
      <c r="U282" s="38">
        <v>100000.0</v>
      </c>
      <c r="V282" s="46"/>
      <c r="W282" s="42"/>
    </row>
    <row r="283">
      <c r="A283" s="15">
        <v>282.0</v>
      </c>
      <c r="B283" s="18" t="s">
        <v>33</v>
      </c>
      <c r="C283" s="18" t="s">
        <v>60</v>
      </c>
      <c r="D283" s="18" t="s">
        <v>2167</v>
      </c>
      <c r="E283" s="18" t="s">
        <v>2168</v>
      </c>
      <c r="F283" s="18" t="s">
        <v>1536</v>
      </c>
      <c r="G283" s="18" t="s">
        <v>2158</v>
      </c>
      <c r="H283" s="23"/>
      <c r="I283" s="25"/>
      <c r="J283" s="28">
        <v>46113.0</v>
      </c>
      <c r="K283" s="28">
        <v>46142.0</v>
      </c>
      <c r="L283" s="32"/>
      <c r="M283" s="35"/>
      <c r="N283" s="36"/>
      <c r="O283" s="38">
        <v>30.0</v>
      </c>
      <c r="P283" s="36"/>
      <c r="Q283" s="38">
        <v>30.0</v>
      </c>
      <c r="R283" s="36"/>
      <c r="S283" s="38" t="s">
        <v>53</v>
      </c>
      <c r="T283" s="42"/>
      <c r="U283" s="38">
        <v>100000.0</v>
      </c>
      <c r="V283" s="79" t="s">
        <v>125</v>
      </c>
      <c r="W283" s="18" t="s">
        <v>449</v>
      </c>
    </row>
    <row r="284">
      <c r="A284" s="15">
        <v>283.0</v>
      </c>
      <c r="B284" s="18" t="s">
        <v>33</v>
      </c>
      <c r="C284" s="18" t="s">
        <v>60</v>
      </c>
      <c r="D284" s="18" t="s">
        <v>2175</v>
      </c>
      <c r="E284" s="18" t="s">
        <v>2176</v>
      </c>
      <c r="F284" s="18" t="s">
        <v>1536</v>
      </c>
      <c r="G284" s="18" t="s">
        <v>2158</v>
      </c>
      <c r="H284" s="23"/>
      <c r="I284" s="25"/>
      <c r="J284" s="28">
        <v>46113.0</v>
      </c>
      <c r="K284" s="28">
        <v>46142.0</v>
      </c>
      <c r="L284" s="32"/>
      <c r="M284" s="35"/>
      <c r="N284" s="36"/>
      <c r="O284" s="38">
        <v>30.0</v>
      </c>
      <c r="P284" s="36"/>
      <c r="Q284" s="38">
        <v>30.0</v>
      </c>
      <c r="R284" s="36"/>
      <c r="S284" s="38" t="s">
        <v>53</v>
      </c>
      <c r="T284" s="42"/>
      <c r="U284" s="38">
        <v>100000.0</v>
      </c>
      <c r="V284" s="46"/>
      <c r="W284" s="42"/>
    </row>
    <row r="285">
      <c r="A285" s="15">
        <v>284.0</v>
      </c>
      <c r="B285" s="18" t="s">
        <v>33</v>
      </c>
      <c r="C285" s="18" t="s">
        <v>102</v>
      </c>
      <c r="D285" s="18" t="s">
        <v>2183</v>
      </c>
      <c r="E285" s="18" t="s">
        <v>2184</v>
      </c>
      <c r="F285" s="18" t="s">
        <v>170</v>
      </c>
      <c r="G285" s="18" t="s">
        <v>2185</v>
      </c>
      <c r="H285" s="23"/>
      <c r="I285" s="25"/>
      <c r="J285" s="28">
        <v>46113.0</v>
      </c>
      <c r="K285" s="28">
        <v>46142.0</v>
      </c>
      <c r="L285" s="32"/>
      <c r="M285" s="35"/>
      <c r="N285" s="36"/>
      <c r="O285" s="38">
        <v>30.0</v>
      </c>
      <c r="P285" s="36"/>
      <c r="Q285" s="38">
        <v>30.0</v>
      </c>
      <c r="R285" s="36"/>
      <c r="S285" s="38" t="s">
        <v>53</v>
      </c>
      <c r="T285" s="42"/>
      <c r="U285" s="38">
        <v>100000.0</v>
      </c>
      <c r="V285" s="79" t="s">
        <v>125</v>
      </c>
      <c r="W285" s="42"/>
    </row>
    <row r="286">
      <c r="A286" s="15">
        <v>285.0</v>
      </c>
      <c r="B286" s="18" t="s">
        <v>33</v>
      </c>
      <c r="C286" s="18" t="s">
        <v>60</v>
      </c>
      <c r="D286" s="18" t="s">
        <v>2188</v>
      </c>
      <c r="E286" s="18" t="s">
        <v>1943</v>
      </c>
      <c r="F286" s="18" t="s">
        <v>1431</v>
      </c>
      <c r="G286" s="18" t="s">
        <v>2191</v>
      </c>
      <c r="H286" s="23"/>
      <c r="I286" s="25"/>
      <c r="J286" s="28">
        <v>46132.0</v>
      </c>
      <c r="K286" s="28">
        <v>46142.0</v>
      </c>
      <c r="L286" s="32"/>
      <c r="M286" s="35"/>
      <c r="N286" s="36"/>
      <c r="O286" s="38">
        <v>11.0</v>
      </c>
      <c r="P286" s="36"/>
      <c r="Q286" s="38">
        <v>11.0</v>
      </c>
      <c r="R286" s="36"/>
      <c r="S286" s="38" t="s">
        <v>2192</v>
      </c>
      <c r="T286" s="42"/>
      <c r="U286" s="38">
        <v>36666.67</v>
      </c>
      <c r="V286" s="46"/>
      <c r="W286" s="42"/>
    </row>
    <row r="287">
      <c r="A287" s="15">
        <v>286.0</v>
      </c>
      <c r="B287" s="18" t="s">
        <v>33</v>
      </c>
      <c r="C287" s="18" t="s">
        <v>60</v>
      </c>
      <c r="D287" s="18" t="s">
        <v>2196</v>
      </c>
      <c r="E287" s="18" t="s">
        <v>1881</v>
      </c>
      <c r="F287" s="18" t="s">
        <v>2197</v>
      </c>
      <c r="G287" s="18" t="s">
        <v>2198</v>
      </c>
      <c r="H287" s="23"/>
      <c r="I287" s="25"/>
      <c r="J287" s="28">
        <v>46128.0</v>
      </c>
      <c r="K287" s="28">
        <v>46142.0</v>
      </c>
      <c r="L287" s="32"/>
      <c r="M287" s="35"/>
      <c r="N287" s="36"/>
      <c r="O287" s="38">
        <v>15.0</v>
      </c>
      <c r="P287" s="36"/>
      <c r="Q287" s="38">
        <v>15.0</v>
      </c>
      <c r="R287" s="36"/>
      <c r="S287" s="38" t="s">
        <v>959</v>
      </c>
      <c r="T287" s="42"/>
      <c r="U287" s="38">
        <v>50000.0</v>
      </c>
      <c r="V287" s="46"/>
      <c r="W287" s="42"/>
    </row>
    <row r="288">
      <c r="A288" s="15">
        <v>287.0</v>
      </c>
      <c r="B288" s="18" t="s">
        <v>33</v>
      </c>
      <c r="C288" s="18" t="s">
        <v>60</v>
      </c>
      <c r="D288" s="18" t="s">
        <v>2204</v>
      </c>
      <c r="E288" s="18" t="s">
        <v>2205</v>
      </c>
      <c r="F288" s="18" t="s">
        <v>295</v>
      </c>
      <c r="G288" s="18" t="s">
        <v>2206</v>
      </c>
      <c r="H288" s="23"/>
      <c r="I288" s="25"/>
      <c r="J288" s="28">
        <v>46122.0</v>
      </c>
      <c r="K288" s="28">
        <v>46142.0</v>
      </c>
      <c r="L288" s="32"/>
      <c r="M288" s="35"/>
      <c r="N288" s="36"/>
      <c r="O288" s="38">
        <v>21.0</v>
      </c>
      <c r="P288" s="36"/>
      <c r="Q288" s="38">
        <v>21.0</v>
      </c>
      <c r="R288" s="36"/>
      <c r="S288" s="38" t="s">
        <v>157</v>
      </c>
      <c r="T288" s="42"/>
      <c r="U288" s="38">
        <v>70000.0</v>
      </c>
      <c r="V288" s="46"/>
      <c r="W288" s="42"/>
    </row>
    <row r="289">
      <c r="A289" s="15">
        <v>288.0</v>
      </c>
      <c r="B289" s="18" t="s">
        <v>33</v>
      </c>
      <c r="C289" s="18" t="s">
        <v>102</v>
      </c>
      <c r="D289" s="312" t="s">
        <v>2209</v>
      </c>
      <c r="E289" s="18" t="s">
        <v>2218</v>
      </c>
      <c r="F289" s="18" t="s">
        <v>178</v>
      </c>
      <c r="G289" s="18" t="s">
        <v>2219</v>
      </c>
      <c r="H289" s="23"/>
      <c r="I289" s="25"/>
      <c r="J289" s="28">
        <v>46113.0</v>
      </c>
      <c r="K289" s="28">
        <v>46142.0</v>
      </c>
      <c r="L289" s="32"/>
      <c r="M289" s="35"/>
      <c r="N289" s="36"/>
      <c r="O289" s="38">
        <v>30.0</v>
      </c>
      <c r="P289" s="36"/>
      <c r="Q289" s="38">
        <v>30.0</v>
      </c>
      <c r="R289" s="36"/>
      <c r="S289" s="38" t="s">
        <v>53</v>
      </c>
      <c r="T289" s="42"/>
      <c r="U289" s="38">
        <v>100000.0</v>
      </c>
      <c r="V289" s="79" t="s">
        <v>125</v>
      </c>
      <c r="W289" s="42"/>
    </row>
    <row r="290">
      <c r="A290" s="15">
        <v>289.0</v>
      </c>
      <c r="B290" s="18" t="s">
        <v>33</v>
      </c>
      <c r="C290" s="18" t="s">
        <v>60</v>
      </c>
      <c r="D290" s="18" t="s">
        <v>2223</v>
      </c>
      <c r="E290" s="18" t="s">
        <v>2225</v>
      </c>
      <c r="F290" s="18" t="s">
        <v>2227</v>
      </c>
      <c r="G290" s="18" t="s">
        <v>2228</v>
      </c>
      <c r="H290" s="51">
        <v>46113.0</v>
      </c>
      <c r="I290" s="51">
        <v>46125.0</v>
      </c>
      <c r="J290" s="28">
        <v>46126.0</v>
      </c>
      <c r="K290" s="28">
        <v>46142.0</v>
      </c>
      <c r="L290" s="32"/>
      <c r="M290" s="35"/>
      <c r="N290" s="38">
        <v>13.0</v>
      </c>
      <c r="O290" s="38">
        <v>17.0</v>
      </c>
      <c r="P290" s="36"/>
      <c r="Q290" s="38">
        <v>30.0</v>
      </c>
      <c r="R290" s="38" t="s">
        <v>217</v>
      </c>
      <c r="S290" s="38" t="s">
        <v>218</v>
      </c>
      <c r="T290" s="42"/>
      <c r="U290" s="38">
        <v>69666.67</v>
      </c>
      <c r="V290" s="46"/>
      <c r="W290" s="42"/>
    </row>
    <row r="291">
      <c r="A291" s="15">
        <v>290.0</v>
      </c>
      <c r="B291" s="18" t="s">
        <v>33</v>
      </c>
      <c r="C291" s="18" t="s">
        <v>60</v>
      </c>
      <c r="D291" s="18" t="s">
        <v>2231</v>
      </c>
      <c r="E291" s="18" t="s">
        <v>2232</v>
      </c>
      <c r="F291" s="18" t="s">
        <v>2233</v>
      </c>
      <c r="G291" s="18" t="s">
        <v>2237</v>
      </c>
      <c r="H291" s="23"/>
      <c r="I291" s="25"/>
      <c r="J291" s="28">
        <v>46122.0</v>
      </c>
      <c r="K291" s="28">
        <v>46142.0</v>
      </c>
      <c r="L291" s="32"/>
      <c r="M291" s="35"/>
      <c r="N291" s="36"/>
      <c r="O291" s="38">
        <v>21.0</v>
      </c>
      <c r="P291" s="36"/>
      <c r="Q291" s="38">
        <v>21.0</v>
      </c>
      <c r="R291" s="36"/>
      <c r="S291" s="38" t="s">
        <v>157</v>
      </c>
      <c r="T291" s="42"/>
      <c r="U291" s="38">
        <v>70000.0</v>
      </c>
      <c r="V291" s="46"/>
      <c r="W291" s="42"/>
    </row>
    <row r="292">
      <c r="A292" s="15">
        <v>291.0</v>
      </c>
      <c r="B292" s="18" t="s">
        <v>33</v>
      </c>
      <c r="C292" s="18" t="s">
        <v>60</v>
      </c>
      <c r="D292" s="18" t="s">
        <v>2241</v>
      </c>
      <c r="E292" s="18" t="s">
        <v>652</v>
      </c>
      <c r="F292" s="18" t="s">
        <v>2242</v>
      </c>
      <c r="G292" s="18" t="s">
        <v>2244</v>
      </c>
      <c r="H292" s="23"/>
      <c r="I292" s="25"/>
      <c r="J292" s="28">
        <v>46113.0</v>
      </c>
      <c r="K292" s="28">
        <v>46142.0</v>
      </c>
      <c r="L292" s="32"/>
      <c r="M292" s="35"/>
      <c r="N292" s="36"/>
      <c r="O292" s="38">
        <v>30.0</v>
      </c>
      <c r="P292" s="36"/>
      <c r="Q292" s="38">
        <v>30.0</v>
      </c>
      <c r="R292" s="36"/>
      <c r="S292" s="38" t="s">
        <v>53</v>
      </c>
      <c r="T292" s="42"/>
      <c r="U292" s="38">
        <v>100000.0</v>
      </c>
      <c r="V292" s="46"/>
      <c r="W292" s="42"/>
    </row>
    <row r="293">
      <c r="A293" s="15">
        <v>292.0</v>
      </c>
      <c r="B293" s="18" t="s">
        <v>33</v>
      </c>
      <c r="C293" s="18" t="s">
        <v>102</v>
      </c>
      <c r="D293" s="18" t="s">
        <v>2247</v>
      </c>
      <c r="E293" s="18" t="s">
        <v>2248</v>
      </c>
      <c r="F293" s="18" t="s">
        <v>170</v>
      </c>
      <c r="G293" s="18" t="s">
        <v>171</v>
      </c>
      <c r="H293" s="23"/>
      <c r="I293" s="25"/>
      <c r="J293" s="28">
        <v>46113.0</v>
      </c>
      <c r="K293" s="28">
        <v>46142.0</v>
      </c>
      <c r="L293" s="32"/>
      <c r="M293" s="35"/>
      <c r="N293" s="36"/>
      <c r="O293" s="38">
        <v>30.0</v>
      </c>
      <c r="P293" s="36"/>
      <c r="Q293" s="38">
        <v>30.0</v>
      </c>
      <c r="R293" s="36"/>
      <c r="S293" s="38" t="s">
        <v>53</v>
      </c>
      <c r="T293" s="42"/>
      <c r="U293" s="38">
        <v>100000.0</v>
      </c>
      <c r="V293" s="79" t="s">
        <v>125</v>
      </c>
      <c r="W293" s="42"/>
    </row>
    <row r="294">
      <c r="A294" s="15">
        <v>293.0</v>
      </c>
      <c r="B294" s="18" t="s">
        <v>33</v>
      </c>
      <c r="C294" s="18" t="s">
        <v>60</v>
      </c>
      <c r="D294" s="18" t="s">
        <v>2255</v>
      </c>
      <c r="E294" s="18" t="s">
        <v>2025</v>
      </c>
      <c r="F294" s="18" t="s">
        <v>119</v>
      </c>
      <c r="G294" s="18" t="s">
        <v>2257</v>
      </c>
      <c r="H294" s="23"/>
      <c r="I294" s="25"/>
      <c r="J294" s="28">
        <v>46113.0</v>
      </c>
      <c r="K294" s="28">
        <v>46142.0</v>
      </c>
      <c r="L294" s="32"/>
      <c r="M294" s="35"/>
      <c r="N294" s="36"/>
      <c r="O294" s="38">
        <v>30.0</v>
      </c>
      <c r="P294" s="36"/>
      <c r="Q294" s="38">
        <v>30.0</v>
      </c>
      <c r="R294" s="36"/>
      <c r="S294" s="38" t="s">
        <v>53</v>
      </c>
      <c r="T294" s="42"/>
      <c r="U294" s="38">
        <v>100000.0</v>
      </c>
      <c r="V294" s="46"/>
      <c r="W294" s="42"/>
    </row>
    <row r="295">
      <c r="A295" s="15">
        <v>294.0</v>
      </c>
      <c r="B295" s="18" t="s">
        <v>33</v>
      </c>
      <c r="C295" s="18" t="s">
        <v>60</v>
      </c>
      <c r="D295" s="18" t="s">
        <v>2258</v>
      </c>
      <c r="E295" s="18" t="s">
        <v>2259</v>
      </c>
      <c r="F295" s="18" t="s">
        <v>201</v>
      </c>
      <c r="G295" s="18" t="s">
        <v>2261</v>
      </c>
      <c r="H295" s="23"/>
      <c r="I295" s="25"/>
      <c r="J295" s="28">
        <v>46128.0</v>
      </c>
      <c r="K295" s="28">
        <v>46142.0</v>
      </c>
      <c r="L295" s="32"/>
      <c r="M295" s="35"/>
      <c r="N295" s="36"/>
      <c r="O295" s="38">
        <v>15.0</v>
      </c>
      <c r="P295" s="36"/>
      <c r="Q295" s="38">
        <v>15.0</v>
      </c>
      <c r="R295" s="36"/>
      <c r="S295" s="38" t="s">
        <v>959</v>
      </c>
      <c r="T295" s="42"/>
      <c r="U295" s="38">
        <v>50000.0</v>
      </c>
      <c r="V295" s="46"/>
      <c r="W295" s="42"/>
    </row>
    <row r="296">
      <c r="A296" s="15">
        <v>295.0</v>
      </c>
      <c r="B296" s="18" t="s">
        <v>33</v>
      </c>
      <c r="C296" s="18" t="s">
        <v>60</v>
      </c>
      <c r="D296" s="18" t="s">
        <v>2266</v>
      </c>
      <c r="E296" s="18" t="s">
        <v>2267</v>
      </c>
      <c r="F296" s="18" t="s">
        <v>178</v>
      </c>
      <c r="G296" s="18" t="s">
        <v>2269</v>
      </c>
      <c r="H296" s="23"/>
      <c r="I296" s="25"/>
      <c r="J296" s="28">
        <v>46113.0</v>
      </c>
      <c r="K296" s="28">
        <v>46142.0</v>
      </c>
      <c r="L296" s="32"/>
      <c r="M296" s="35"/>
      <c r="N296" s="36"/>
      <c r="O296" s="38">
        <v>30.0</v>
      </c>
      <c r="P296" s="36"/>
      <c r="Q296" s="38">
        <v>30.0</v>
      </c>
      <c r="R296" s="36"/>
      <c r="S296" s="38" t="s">
        <v>53</v>
      </c>
      <c r="T296" s="42"/>
      <c r="U296" s="38">
        <v>100000.0</v>
      </c>
      <c r="V296" s="46"/>
      <c r="W296" s="42"/>
    </row>
    <row r="297">
      <c r="A297" s="15">
        <v>296.0</v>
      </c>
      <c r="B297" s="18" t="s">
        <v>33</v>
      </c>
      <c r="C297" s="18" t="s">
        <v>102</v>
      </c>
      <c r="D297" s="18" t="s">
        <v>2272</v>
      </c>
      <c r="E297" s="18" t="s">
        <v>2273</v>
      </c>
      <c r="F297" s="18" t="s">
        <v>178</v>
      </c>
      <c r="G297" s="18" t="s">
        <v>2275</v>
      </c>
      <c r="H297" s="25"/>
      <c r="I297" s="25"/>
      <c r="J297" s="28">
        <v>46113.0</v>
      </c>
      <c r="K297" s="28">
        <v>46142.0</v>
      </c>
      <c r="L297" s="35"/>
      <c r="M297" s="35"/>
      <c r="N297" s="42"/>
      <c r="O297" s="38">
        <v>30.0</v>
      </c>
      <c r="P297" s="42"/>
      <c r="Q297" s="38">
        <v>30.0</v>
      </c>
      <c r="R297" s="42"/>
      <c r="S297" s="38" t="s">
        <v>53</v>
      </c>
      <c r="T297" s="42"/>
      <c r="U297" s="38">
        <v>100000.0</v>
      </c>
      <c r="V297" s="46"/>
      <c r="W297" s="42"/>
    </row>
    <row r="298">
      <c r="A298" s="15">
        <v>297.0</v>
      </c>
      <c r="B298" s="18" t="s">
        <v>33</v>
      </c>
      <c r="C298" s="18" t="s">
        <v>60</v>
      </c>
      <c r="D298" s="18" t="s">
        <v>2278</v>
      </c>
      <c r="E298" s="18" t="s">
        <v>2280</v>
      </c>
      <c r="F298" s="18" t="s">
        <v>2281</v>
      </c>
      <c r="G298" s="18" t="s">
        <v>2282</v>
      </c>
      <c r="H298" s="51">
        <v>46113.0</v>
      </c>
      <c r="I298" s="51">
        <v>46125.0</v>
      </c>
      <c r="J298" s="28">
        <v>46126.0</v>
      </c>
      <c r="K298" s="28">
        <v>46142.0</v>
      </c>
      <c r="L298" s="32"/>
      <c r="M298" s="35"/>
      <c r="N298" s="38">
        <v>13.0</v>
      </c>
      <c r="O298" s="38">
        <v>17.0</v>
      </c>
      <c r="P298" s="36"/>
      <c r="Q298" s="38">
        <v>30.0</v>
      </c>
      <c r="R298" s="38" t="s">
        <v>217</v>
      </c>
      <c r="S298" s="38" t="s">
        <v>218</v>
      </c>
      <c r="T298" s="42"/>
      <c r="U298" s="38">
        <v>69666.67</v>
      </c>
      <c r="V298" s="46"/>
      <c r="W298" s="42"/>
    </row>
    <row r="299">
      <c r="A299" s="15">
        <v>298.0</v>
      </c>
      <c r="B299" s="18" t="s">
        <v>33</v>
      </c>
      <c r="C299" s="18" t="s">
        <v>60</v>
      </c>
      <c r="D299" s="18" t="s">
        <v>2287</v>
      </c>
      <c r="E299" s="18" t="s">
        <v>2288</v>
      </c>
      <c r="F299" s="18" t="s">
        <v>2289</v>
      </c>
      <c r="G299" s="18" t="s">
        <v>2290</v>
      </c>
      <c r="H299" s="51">
        <v>46113.0</v>
      </c>
      <c r="I299" s="51">
        <v>46125.0</v>
      </c>
      <c r="J299" s="28">
        <v>46126.0</v>
      </c>
      <c r="K299" s="28">
        <v>46142.0</v>
      </c>
      <c r="L299" s="32"/>
      <c r="M299" s="35"/>
      <c r="N299" s="38">
        <v>13.0</v>
      </c>
      <c r="O299" s="38">
        <v>17.0</v>
      </c>
      <c r="P299" s="36"/>
      <c r="Q299" s="38">
        <v>30.0</v>
      </c>
      <c r="R299" s="38" t="s">
        <v>217</v>
      </c>
      <c r="S299" s="38" t="s">
        <v>218</v>
      </c>
      <c r="T299" s="42"/>
      <c r="U299" s="38">
        <v>69666.67</v>
      </c>
      <c r="V299" s="46"/>
      <c r="W299" s="42"/>
    </row>
    <row r="300">
      <c r="A300" s="15">
        <v>299.0</v>
      </c>
      <c r="B300" s="18" t="s">
        <v>33</v>
      </c>
      <c r="C300" s="18" t="s">
        <v>60</v>
      </c>
      <c r="D300" s="18" t="s">
        <v>2296</v>
      </c>
      <c r="E300" s="18" t="s">
        <v>2297</v>
      </c>
      <c r="F300" s="18" t="s">
        <v>2289</v>
      </c>
      <c r="G300" s="18" t="s">
        <v>2290</v>
      </c>
      <c r="H300" s="23"/>
      <c r="I300" s="25"/>
      <c r="J300" s="28">
        <v>46122.0</v>
      </c>
      <c r="K300" s="28">
        <v>46142.0</v>
      </c>
      <c r="L300" s="32"/>
      <c r="M300" s="35"/>
      <c r="N300" s="36"/>
      <c r="O300" s="38">
        <v>21.0</v>
      </c>
      <c r="P300" s="36"/>
      <c r="Q300" s="38">
        <v>21.0</v>
      </c>
      <c r="R300" s="36"/>
      <c r="S300" s="38" t="s">
        <v>157</v>
      </c>
      <c r="T300" s="42"/>
      <c r="U300" s="38">
        <v>70000.0</v>
      </c>
      <c r="V300" s="46"/>
      <c r="W300" s="42"/>
    </row>
    <row r="301">
      <c r="A301" s="15">
        <v>300.0</v>
      </c>
      <c r="B301" s="18" t="s">
        <v>33</v>
      </c>
      <c r="C301" s="18" t="s">
        <v>1144</v>
      </c>
      <c r="D301" s="143" t="s">
        <v>2302</v>
      </c>
      <c r="E301" s="18" t="s">
        <v>2303</v>
      </c>
      <c r="F301" s="18" t="s">
        <v>106</v>
      </c>
      <c r="G301" s="18" t="s">
        <v>2304</v>
      </c>
      <c r="H301" s="23"/>
      <c r="I301" s="25"/>
      <c r="J301" s="28">
        <v>46113.0</v>
      </c>
      <c r="K301" s="28">
        <v>46118.0</v>
      </c>
      <c r="L301" s="32"/>
      <c r="M301" s="35"/>
      <c r="N301" s="36"/>
      <c r="O301" s="38">
        <v>6.0</v>
      </c>
      <c r="P301" s="36"/>
      <c r="Q301" s="38">
        <v>6.0</v>
      </c>
      <c r="R301" s="36"/>
      <c r="S301" s="38" t="s">
        <v>502</v>
      </c>
      <c r="T301" s="42"/>
      <c r="U301" s="38">
        <v>20000.0</v>
      </c>
      <c r="V301" s="46"/>
      <c r="W301" s="42"/>
    </row>
    <row r="302">
      <c r="A302" s="15">
        <v>301.0</v>
      </c>
      <c r="B302" s="18" t="s">
        <v>33</v>
      </c>
      <c r="C302" s="18" t="s">
        <v>1144</v>
      </c>
      <c r="D302" s="143" t="s">
        <v>2302</v>
      </c>
      <c r="E302" s="18" t="s">
        <v>2303</v>
      </c>
      <c r="F302" s="18" t="s">
        <v>106</v>
      </c>
      <c r="G302" s="18" t="s">
        <v>2304</v>
      </c>
      <c r="H302" s="23"/>
      <c r="I302" s="25"/>
      <c r="J302" s="28">
        <v>46135.0</v>
      </c>
      <c r="K302" s="28">
        <v>46142.0</v>
      </c>
      <c r="L302" s="32"/>
      <c r="M302" s="35"/>
      <c r="N302" s="36"/>
      <c r="O302" s="38">
        <v>8.0</v>
      </c>
      <c r="P302" s="36"/>
      <c r="Q302" s="38">
        <v>8.0</v>
      </c>
      <c r="R302" s="36"/>
      <c r="S302" s="38" t="s">
        <v>507</v>
      </c>
      <c r="T302" s="42"/>
      <c r="U302" s="38">
        <v>26666.67</v>
      </c>
      <c r="V302" s="46"/>
      <c r="W302" s="42"/>
    </row>
    <row r="303">
      <c r="A303" s="15">
        <v>302.0</v>
      </c>
      <c r="B303" s="18" t="s">
        <v>33</v>
      </c>
      <c r="C303" s="18" t="s">
        <v>60</v>
      </c>
      <c r="D303" s="18" t="s">
        <v>2313</v>
      </c>
      <c r="E303" s="18" t="s">
        <v>2315</v>
      </c>
      <c r="F303" s="18" t="s">
        <v>1536</v>
      </c>
      <c r="G303" s="18" t="s">
        <v>2317</v>
      </c>
      <c r="H303" s="51">
        <v>46113.0</v>
      </c>
      <c r="I303" s="51">
        <v>46138.0</v>
      </c>
      <c r="J303" s="28">
        <v>46139.0</v>
      </c>
      <c r="K303" s="28">
        <v>46142.0</v>
      </c>
      <c r="L303" s="32"/>
      <c r="M303" s="35"/>
      <c r="N303" s="38">
        <v>26.0</v>
      </c>
      <c r="O303" s="38">
        <v>4.0</v>
      </c>
      <c r="P303" s="36"/>
      <c r="Q303" s="38">
        <v>30.0</v>
      </c>
      <c r="R303" s="38" t="s">
        <v>2319</v>
      </c>
      <c r="S303" s="38" t="s">
        <v>2320</v>
      </c>
      <c r="T303" s="42"/>
      <c r="U303" s="38">
        <v>39333.33</v>
      </c>
      <c r="V303" s="46"/>
      <c r="W303" s="42"/>
    </row>
    <row r="304">
      <c r="A304" s="15">
        <v>303.0</v>
      </c>
      <c r="B304" s="18" t="s">
        <v>33</v>
      </c>
      <c r="C304" s="18" t="s">
        <v>2321</v>
      </c>
      <c r="D304" s="18" t="s">
        <v>2322</v>
      </c>
      <c r="E304" s="18" t="s">
        <v>2323</v>
      </c>
      <c r="F304" s="18" t="s">
        <v>2324</v>
      </c>
      <c r="G304" s="18" t="s">
        <v>2325</v>
      </c>
      <c r="H304" s="23"/>
      <c r="I304" s="25"/>
      <c r="J304" s="28">
        <v>46113.0</v>
      </c>
      <c r="K304" s="28">
        <v>46142.0</v>
      </c>
      <c r="L304" s="32"/>
      <c r="M304" s="35"/>
      <c r="N304" s="36"/>
      <c r="O304" s="38">
        <v>30.0</v>
      </c>
      <c r="P304" s="36"/>
      <c r="Q304" s="38">
        <v>30.0</v>
      </c>
      <c r="R304" s="36"/>
      <c r="S304" s="38" t="s">
        <v>53</v>
      </c>
      <c r="T304" s="42"/>
      <c r="U304" s="38">
        <v>100000.0</v>
      </c>
      <c r="V304" s="46"/>
      <c r="W304" s="42"/>
    </row>
    <row r="305">
      <c r="A305" s="15">
        <v>304.0</v>
      </c>
      <c r="B305" s="18" t="s">
        <v>33</v>
      </c>
      <c r="C305" s="18" t="s">
        <v>656</v>
      </c>
      <c r="D305" s="18" t="s">
        <v>2329</v>
      </c>
      <c r="E305" s="18" t="s">
        <v>2330</v>
      </c>
      <c r="F305" s="18" t="s">
        <v>2331</v>
      </c>
      <c r="G305" s="18" t="s">
        <v>2332</v>
      </c>
      <c r="H305" s="23"/>
      <c r="I305" s="25"/>
      <c r="J305" s="28">
        <v>46131.0</v>
      </c>
      <c r="K305" s="28">
        <v>46142.0</v>
      </c>
      <c r="L305" s="32"/>
      <c r="M305" s="35"/>
      <c r="N305" s="36"/>
      <c r="O305" s="38">
        <v>12.0</v>
      </c>
      <c r="P305" s="36"/>
      <c r="Q305" s="38">
        <v>12.0</v>
      </c>
      <c r="R305" s="36"/>
      <c r="S305" s="38" t="s">
        <v>2333</v>
      </c>
      <c r="T305" s="42"/>
      <c r="U305" s="38">
        <v>40000.0</v>
      </c>
      <c r="V305" s="46"/>
      <c r="W305" s="42"/>
    </row>
    <row r="306">
      <c r="A306" s="15">
        <v>305.0</v>
      </c>
      <c r="B306" s="18" t="s">
        <v>33</v>
      </c>
      <c r="C306" s="18" t="s">
        <v>60</v>
      </c>
      <c r="D306" s="18" t="s">
        <v>2337</v>
      </c>
      <c r="E306" s="18" t="s">
        <v>2338</v>
      </c>
      <c r="F306" s="18" t="s">
        <v>2339</v>
      </c>
      <c r="G306" s="18" t="s">
        <v>2340</v>
      </c>
      <c r="H306" s="51">
        <v>46115.0</v>
      </c>
      <c r="I306" s="51">
        <v>46124.0</v>
      </c>
      <c r="J306" s="28">
        <v>46125.0</v>
      </c>
      <c r="K306" s="28">
        <v>46142.0</v>
      </c>
      <c r="L306" s="32"/>
      <c r="M306" s="35"/>
      <c r="N306" s="38">
        <v>10.0</v>
      </c>
      <c r="O306" s="38">
        <v>18.0</v>
      </c>
      <c r="P306" s="36"/>
      <c r="Q306" s="38">
        <v>28.0</v>
      </c>
      <c r="R306" s="38" t="s">
        <v>2343</v>
      </c>
      <c r="S306" s="38" t="s">
        <v>611</v>
      </c>
      <c r="T306" s="42"/>
      <c r="U306" s="38">
        <v>70000.0</v>
      </c>
      <c r="V306" s="46"/>
      <c r="W306" s="42"/>
    </row>
    <row r="307">
      <c r="A307" s="15">
        <v>306.0</v>
      </c>
      <c r="B307" s="18" t="s">
        <v>33</v>
      </c>
      <c r="C307" s="18" t="s">
        <v>102</v>
      </c>
      <c r="D307" s="324" t="s">
        <v>1669</v>
      </c>
      <c r="E307" s="18" t="s">
        <v>748</v>
      </c>
      <c r="F307" s="18" t="s">
        <v>178</v>
      </c>
      <c r="G307" s="18" t="s">
        <v>1664</v>
      </c>
      <c r="H307" s="23"/>
      <c r="I307" s="25"/>
      <c r="J307" s="28">
        <v>46113.0</v>
      </c>
      <c r="K307" s="28">
        <v>46130.0</v>
      </c>
      <c r="L307" s="32"/>
      <c r="M307" s="35"/>
      <c r="N307" s="36"/>
      <c r="O307" s="38">
        <v>18.0</v>
      </c>
      <c r="P307" s="36"/>
      <c r="Q307" s="38">
        <v>18.0</v>
      </c>
      <c r="R307" s="36"/>
      <c r="S307" s="38" t="s">
        <v>611</v>
      </c>
      <c r="T307" s="42"/>
      <c r="U307" s="38">
        <v>60000.0</v>
      </c>
      <c r="V307" s="46"/>
      <c r="W307" s="42"/>
    </row>
    <row r="308">
      <c r="A308" s="15">
        <v>307.0</v>
      </c>
      <c r="B308" s="18" t="s">
        <v>33</v>
      </c>
      <c r="C308" s="18" t="s">
        <v>60</v>
      </c>
      <c r="D308" s="18" t="s">
        <v>2347</v>
      </c>
      <c r="E308" s="18" t="s">
        <v>193</v>
      </c>
      <c r="F308" s="18" t="s">
        <v>1345</v>
      </c>
      <c r="G308" s="18" t="s">
        <v>2348</v>
      </c>
      <c r="H308" s="23"/>
      <c r="I308" s="25"/>
      <c r="J308" s="28">
        <v>46113.0</v>
      </c>
      <c r="K308" s="28">
        <v>46142.0</v>
      </c>
      <c r="L308" s="32"/>
      <c r="M308" s="35"/>
      <c r="N308" s="36"/>
      <c r="O308" s="38">
        <v>30.0</v>
      </c>
      <c r="P308" s="36"/>
      <c r="Q308" s="38">
        <v>30.0</v>
      </c>
      <c r="R308" s="36"/>
      <c r="S308" s="38" t="s">
        <v>53</v>
      </c>
      <c r="T308" s="42"/>
      <c r="U308" s="38">
        <v>100000.0</v>
      </c>
      <c r="V308" s="79" t="s">
        <v>125</v>
      </c>
      <c r="W308" s="42"/>
    </row>
    <row r="309">
      <c r="A309" s="15">
        <v>308.0</v>
      </c>
      <c r="B309" s="18" t="s">
        <v>33</v>
      </c>
      <c r="C309" s="18" t="s">
        <v>60</v>
      </c>
      <c r="D309" s="18" t="s">
        <v>2350</v>
      </c>
      <c r="E309" s="18" t="s">
        <v>2352</v>
      </c>
      <c r="F309" s="18" t="s">
        <v>321</v>
      </c>
      <c r="G309" s="18" t="s">
        <v>2354</v>
      </c>
      <c r="H309" s="25"/>
      <c r="I309" s="25"/>
      <c r="J309" s="28">
        <v>46113.0</v>
      </c>
      <c r="K309" s="28">
        <v>46142.0</v>
      </c>
      <c r="L309" s="35"/>
      <c r="M309" s="35"/>
      <c r="N309" s="42"/>
      <c r="O309" s="38">
        <v>30.0</v>
      </c>
      <c r="P309" s="42"/>
      <c r="Q309" s="38">
        <v>30.0</v>
      </c>
      <c r="R309" s="42"/>
      <c r="S309" s="38" t="s">
        <v>53</v>
      </c>
      <c r="T309" s="42"/>
      <c r="U309" s="38">
        <v>100000.0</v>
      </c>
      <c r="V309" s="46"/>
      <c r="W309" s="42"/>
    </row>
    <row r="310">
      <c r="A310" s="15">
        <v>309.0</v>
      </c>
      <c r="B310" s="18" t="s">
        <v>33</v>
      </c>
      <c r="C310" s="18" t="s">
        <v>60</v>
      </c>
      <c r="D310" s="143" t="s">
        <v>2357</v>
      </c>
      <c r="E310" s="18" t="s">
        <v>2359</v>
      </c>
      <c r="F310" s="18" t="s">
        <v>178</v>
      </c>
      <c r="G310" s="18" t="s">
        <v>1799</v>
      </c>
      <c r="H310" s="23"/>
      <c r="I310" s="25"/>
      <c r="J310" s="28">
        <v>46113.0</v>
      </c>
      <c r="K310" s="28">
        <v>46126.0</v>
      </c>
      <c r="L310" s="32"/>
      <c r="M310" s="35"/>
      <c r="N310" s="36"/>
      <c r="O310" s="38">
        <v>14.0</v>
      </c>
      <c r="P310" s="36"/>
      <c r="Q310" s="38">
        <v>14.0</v>
      </c>
      <c r="R310" s="36"/>
      <c r="S310" s="38" t="s">
        <v>1928</v>
      </c>
      <c r="T310" s="42"/>
      <c r="U310" s="38">
        <v>46666.67</v>
      </c>
      <c r="V310" s="46"/>
      <c r="W310" s="42"/>
    </row>
    <row r="311">
      <c r="A311" s="15">
        <v>310.0</v>
      </c>
      <c r="B311" s="18" t="s">
        <v>33</v>
      </c>
      <c r="C311" s="18" t="s">
        <v>60</v>
      </c>
      <c r="D311" s="143" t="s">
        <v>2357</v>
      </c>
      <c r="E311" s="18" t="s">
        <v>2359</v>
      </c>
      <c r="F311" s="18" t="s">
        <v>178</v>
      </c>
      <c r="G311" s="18" t="s">
        <v>1799</v>
      </c>
      <c r="H311" s="23"/>
      <c r="I311" s="25"/>
      <c r="J311" s="28">
        <v>46130.0</v>
      </c>
      <c r="K311" s="28">
        <v>46135.0</v>
      </c>
      <c r="L311" s="32"/>
      <c r="M311" s="35"/>
      <c r="N311" s="36"/>
      <c r="O311" s="38">
        <v>6.0</v>
      </c>
      <c r="P311" s="36"/>
      <c r="Q311" s="38">
        <v>6.0</v>
      </c>
      <c r="R311" s="36"/>
      <c r="S311" s="38" t="s">
        <v>502</v>
      </c>
      <c r="T311" s="42"/>
      <c r="U311" s="38">
        <v>20000.0</v>
      </c>
      <c r="V311" s="46"/>
      <c r="W311" s="42"/>
    </row>
    <row r="312">
      <c r="A312" s="15">
        <v>311.0</v>
      </c>
      <c r="B312" s="18" t="s">
        <v>33</v>
      </c>
      <c r="C312" s="18" t="s">
        <v>60</v>
      </c>
      <c r="D312" s="143" t="s">
        <v>2357</v>
      </c>
      <c r="E312" s="18" t="s">
        <v>2359</v>
      </c>
      <c r="F312" s="18" t="s">
        <v>178</v>
      </c>
      <c r="G312" s="18" t="s">
        <v>1799</v>
      </c>
      <c r="H312" s="23"/>
      <c r="I312" s="25"/>
      <c r="J312" s="28">
        <v>46141.0</v>
      </c>
      <c r="K312" s="28">
        <v>46142.0</v>
      </c>
      <c r="L312" s="32"/>
      <c r="M312" s="35"/>
      <c r="N312" s="36"/>
      <c r="O312" s="38">
        <v>2.0</v>
      </c>
      <c r="P312" s="36"/>
      <c r="Q312" s="38">
        <v>2.0</v>
      </c>
      <c r="R312" s="36"/>
      <c r="S312" s="38" t="s">
        <v>396</v>
      </c>
      <c r="T312" s="42"/>
      <c r="U312" s="38">
        <v>6666.67</v>
      </c>
      <c r="V312" s="46"/>
      <c r="W312" s="42"/>
    </row>
    <row r="313">
      <c r="A313" s="15">
        <v>312.0</v>
      </c>
      <c r="B313" s="18" t="s">
        <v>33</v>
      </c>
      <c r="C313" s="327" t="s">
        <v>2368</v>
      </c>
      <c r="D313" s="36"/>
      <c r="E313" s="42"/>
      <c r="F313" s="42"/>
      <c r="G313" s="273"/>
      <c r="H313" s="23"/>
      <c r="I313" s="25"/>
      <c r="J313" s="328"/>
      <c r="K313" s="328"/>
      <c r="L313" s="32"/>
      <c r="M313" s="35"/>
      <c r="N313" s="36"/>
      <c r="O313" s="42"/>
      <c r="P313" s="36"/>
      <c r="Q313" s="42"/>
      <c r="R313" s="36"/>
      <c r="S313" s="42"/>
      <c r="T313" s="42"/>
      <c r="U313" s="42"/>
      <c r="V313" s="46"/>
      <c r="W313" s="42"/>
    </row>
    <row r="314">
      <c r="A314" s="15">
        <v>313.0</v>
      </c>
      <c r="B314" s="18" t="s">
        <v>33</v>
      </c>
      <c r="C314" s="18" t="s">
        <v>36</v>
      </c>
      <c r="D314" s="143" t="s">
        <v>2377</v>
      </c>
      <c r="E314" s="18" t="s">
        <v>746</v>
      </c>
      <c r="F314" s="18" t="s">
        <v>170</v>
      </c>
      <c r="G314" s="18" t="s">
        <v>2107</v>
      </c>
      <c r="H314" s="23"/>
      <c r="I314" s="25"/>
      <c r="J314" s="28">
        <v>46113.0</v>
      </c>
      <c r="K314" s="28">
        <v>46133.0</v>
      </c>
      <c r="L314" s="32"/>
      <c r="M314" s="35"/>
      <c r="N314" s="36"/>
      <c r="O314" s="38">
        <v>21.0</v>
      </c>
      <c r="P314" s="36"/>
      <c r="Q314" s="38">
        <v>21.0</v>
      </c>
      <c r="R314" s="36"/>
      <c r="S314" s="38" t="s">
        <v>157</v>
      </c>
      <c r="T314" s="42"/>
      <c r="U314" s="38">
        <v>70000.0</v>
      </c>
      <c r="V314" s="46"/>
      <c r="W314" s="42"/>
    </row>
    <row r="315">
      <c r="A315" s="15">
        <v>314.0</v>
      </c>
      <c r="B315" s="18" t="s">
        <v>33</v>
      </c>
      <c r="C315" s="18" t="s">
        <v>36</v>
      </c>
      <c r="D315" s="143" t="s">
        <v>2377</v>
      </c>
      <c r="E315" s="18" t="s">
        <v>746</v>
      </c>
      <c r="F315" s="18" t="s">
        <v>170</v>
      </c>
      <c r="G315" s="18" t="s">
        <v>2107</v>
      </c>
      <c r="H315" s="23"/>
      <c r="I315" s="25"/>
      <c r="J315" s="28">
        <v>46141.0</v>
      </c>
      <c r="K315" s="28">
        <v>46142.0</v>
      </c>
      <c r="L315" s="32"/>
      <c r="M315" s="35"/>
      <c r="N315" s="36"/>
      <c r="O315" s="38">
        <v>2.0</v>
      </c>
      <c r="P315" s="36"/>
      <c r="Q315" s="38">
        <v>2.0</v>
      </c>
      <c r="R315" s="36"/>
      <c r="S315" s="38" t="s">
        <v>396</v>
      </c>
      <c r="T315" s="42"/>
      <c r="U315" s="38">
        <v>6666.67</v>
      </c>
      <c r="V315" s="46"/>
      <c r="W315" s="42"/>
    </row>
    <row r="316">
      <c r="A316" s="15">
        <v>315.0</v>
      </c>
      <c r="B316" s="18" t="s">
        <v>33</v>
      </c>
      <c r="C316" s="18" t="s">
        <v>60</v>
      </c>
      <c r="D316" s="18" t="s">
        <v>2386</v>
      </c>
      <c r="E316" s="18" t="s">
        <v>2387</v>
      </c>
      <c r="F316" s="18" t="s">
        <v>331</v>
      </c>
      <c r="G316" s="18" t="s">
        <v>767</v>
      </c>
      <c r="H316" s="23"/>
      <c r="I316" s="25"/>
      <c r="J316" s="28">
        <v>46133.0</v>
      </c>
      <c r="K316" s="28">
        <v>46142.0</v>
      </c>
      <c r="L316" s="32"/>
      <c r="M316" s="35"/>
      <c r="N316" s="36"/>
      <c r="O316" s="38">
        <v>10.0</v>
      </c>
      <c r="P316" s="36"/>
      <c r="Q316" s="38">
        <v>10.0</v>
      </c>
      <c r="R316" s="36"/>
      <c r="S316" s="38" t="s">
        <v>324</v>
      </c>
      <c r="T316" s="42"/>
      <c r="U316" s="38">
        <v>33333.33</v>
      </c>
      <c r="V316" s="46"/>
      <c r="W316" s="42"/>
    </row>
    <row r="317">
      <c r="A317" s="15">
        <v>316.0</v>
      </c>
      <c r="B317" s="18" t="s">
        <v>33</v>
      </c>
      <c r="C317" s="18" t="s">
        <v>102</v>
      </c>
      <c r="D317" s="18" t="s">
        <v>2392</v>
      </c>
      <c r="E317" s="18" t="s">
        <v>2394</v>
      </c>
      <c r="F317" s="18" t="s">
        <v>178</v>
      </c>
      <c r="G317" s="18" t="s">
        <v>2397</v>
      </c>
      <c r="H317" s="23"/>
      <c r="I317" s="25"/>
      <c r="J317" s="28">
        <v>46113.0</v>
      </c>
      <c r="K317" s="28">
        <v>46142.0</v>
      </c>
      <c r="L317" s="32"/>
      <c r="M317" s="35"/>
      <c r="N317" s="36"/>
      <c r="O317" s="38">
        <v>30.0</v>
      </c>
      <c r="P317" s="36"/>
      <c r="Q317" s="38">
        <v>30.0</v>
      </c>
      <c r="R317" s="36"/>
      <c r="S317" s="38" t="s">
        <v>53</v>
      </c>
      <c r="T317" s="42"/>
      <c r="U317" s="38">
        <v>100000.0</v>
      </c>
      <c r="V317" s="79" t="s">
        <v>125</v>
      </c>
      <c r="W317" s="42"/>
    </row>
    <row r="318">
      <c r="A318" s="15">
        <v>317.0</v>
      </c>
      <c r="B318" s="18" t="s">
        <v>33</v>
      </c>
      <c r="C318" s="18" t="s">
        <v>102</v>
      </c>
      <c r="D318" s="18" t="s">
        <v>2401</v>
      </c>
      <c r="E318" s="18" t="s">
        <v>2403</v>
      </c>
      <c r="F318" s="18" t="s">
        <v>170</v>
      </c>
      <c r="G318" s="18" t="s">
        <v>2404</v>
      </c>
      <c r="H318" s="23"/>
      <c r="I318" s="25"/>
      <c r="J318" s="28">
        <v>46113.0</v>
      </c>
      <c r="K318" s="28">
        <v>46142.0</v>
      </c>
      <c r="L318" s="32"/>
      <c r="M318" s="35"/>
      <c r="N318" s="36"/>
      <c r="O318" s="38">
        <v>30.0</v>
      </c>
      <c r="P318" s="36"/>
      <c r="Q318" s="38">
        <v>30.0</v>
      </c>
      <c r="R318" s="36"/>
      <c r="S318" s="38" t="s">
        <v>53</v>
      </c>
      <c r="T318" s="42"/>
      <c r="U318" s="38">
        <v>100000.0</v>
      </c>
      <c r="V318" s="46"/>
      <c r="W318" s="42"/>
    </row>
    <row r="319">
      <c r="A319" s="15">
        <v>318.0</v>
      </c>
      <c r="B319" s="18" t="s">
        <v>33</v>
      </c>
      <c r="C319" s="18" t="s">
        <v>60</v>
      </c>
      <c r="D319" s="18" t="s">
        <v>2409</v>
      </c>
      <c r="E319" s="18" t="s">
        <v>2411</v>
      </c>
      <c r="F319" s="18" t="s">
        <v>1924</v>
      </c>
      <c r="G319" s="18" t="s">
        <v>2413</v>
      </c>
      <c r="H319" s="23"/>
      <c r="I319" s="25"/>
      <c r="J319" s="28">
        <v>46113.0</v>
      </c>
      <c r="K319" s="28">
        <v>46142.0</v>
      </c>
      <c r="L319" s="32"/>
      <c r="M319" s="35"/>
      <c r="N319" s="36"/>
      <c r="O319" s="38">
        <v>30.0</v>
      </c>
      <c r="P319" s="36"/>
      <c r="Q319" s="38">
        <v>30.0</v>
      </c>
      <c r="R319" s="36"/>
      <c r="S319" s="38" t="s">
        <v>53</v>
      </c>
      <c r="T319" s="42"/>
      <c r="U319" s="38">
        <v>100000.0</v>
      </c>
      <c r="V319" s="333"/>
      <c r="W319" s="42"/>
    </row>
    <row r="320">
      <c r="A320" s="15">
        <v>319.0</v>
      </c>
      <c r="B320" s="18" t="s">
        <v>33</v>
      </c>
      <c r="C320" s="18" t="s">
        <v>102</v>
      </c>
      <c r="D320" s="18" t="s">
        <v>2420</v>
      </c>
      <c r="E320" s="18" t="s">
        <v>2421</v>
      </c>
      <c r="F320" s="18" t="s">
        <v>178</v>
      </c>
      <c r="G320" s="18" t="s">
        <v>2423</v>
      </c>
      <c r="H320" s="23"/>
      <c r="I320" s="25"/>
      <c r="J320" s="28">
        <v>46113.0</v>
      </c>
      <c r="K320" s="28">
        <v>46142.0</v>
      </c>
      <c r="L320" s="32"/>
      <c r="M320" s="35"/>
      <c r="N320" s="36"/>
      <c r="O320" s="38">
        <v>30.0</v>
      </c>
      <c r="P320" s="36"/>
      <c r="Q320" s="38">
        <v>30.0</v>
      </c>
      <c r="R320" s="36"/>
      <c r="S320" s="38" t="s">
        <v>53</v>
      </c>
      <c r="T320" s="42"/>
      <c r="U320" s="38">
        <v>100000.0</v>
      </c>
      <c r="V320" s="46"/>
      <c r="W320" s="42"/>
    </row>
    <row r="321">
      <c r="A321" s="15">
        <v>320.0</v>
      </c>
      <c r="B321" s="18" t="s">
        <v>33</v>
      </c>
      <c r="C321" s="18" t="s">
        <v>60</v>
      </c>
      <c r="D321" s="18" t="s">
        <v>2428</v>
      </c>
      <c r="E321" s="18" t="s">
        <v>2429</v>
      </c>
      <c r="F321" s="18" t="s">
        <v>266</v>
      </c>
      <c r="G321" s="18" t="s">
        <v>2430</v>
      </c>
      <c r="H321" s="23"/>
      <c r="I321" s="25"/>
      <c r="J321" s="28">
        <v>46113.0</v>
      </c>
      <c r="K321" s="28">
        <v>46142.0</v>
      </c>
      <c r="L321" s="32"/>
      <c r="M321" s="35"/>
      <c r="N321" s="36"/>
      <c r="O321" s="38">
        <v>30.0</v>
      </c>
      <c r="P321" s="36"/>
      <c r="Q321" s="38">
        <v>30.0</v>
      </c>
      <c r="R321" s="36"/>
      <c r="S321" s="38" t="s">
        <v>53</v>
      </c>
      <c r="T321" s="42"/>
      <c r="U321" s="38">
        <v>100000.0</v>
      </c>
      <c r="V321" s="46"/>
      <c r="W321" s="42"/>
    </row>
    <row r="322">
      <c r="A322" s="15">
        <v>321.0</v>
      </c>
      <c r="B322" s="18" t="s">
        <v>33</v>
      </c>
      <c r="C322" s="18" t="s">
        <v>60</v>
      </c>
      <c r="D322" s="18" t="s">
        <v>2434</v>
      </c>
      <c r="E322" s="18" t="s">
        <v>2435</v>
      </c>
      <c r="F322" s="18" t="s">
        <v>2436</v>
      </c>
      <c r="G322" s="18" t="s">
        <v>2437</v>
      </c>
      <c r="H322" s="51">
        <v>46113.0</v>
      </c>
      <c r="I322" s="51">
        <v>46125.0</v>
      </c>
      <c r="J322" s="28">
        <v>46126.0</v>
      </c>
      <c r="K322" s="28">
        <v>46142.0</v>
      </c>
      <c r="L322" s="32"/>
      <c r="M322" s="35"/>
      <c r="N322" s="38">
        <v>13.0</v>
      </c>
      <c r="O322" s="38">
        <v>17.0</v>
      </c>
      <c r="P322" s="36"/>
      <c r="Q322" s="38">
        <v>30.0</v>
      </c>
      <c r="R322" s="38" t="s">
        <v>217</v>
      </c>
      <c r="S322" s="38" t="s">
        <v>218</v>
      </c>
      <c r="T322" s="42"/>
      <c r="U322" s="38">
        <v>69666.67</v>
      </c>
      <c r="V322" s="46"/>
      <c r="W322" s="42"/>
    </row>
    <row r="323">
      <c r="A323" s="15">
        <v>322.0</v>
      </c>
      <c r="B323" s="18" t="s">
        <v>33</v>
      </c>
      <c r="C323" s="18" t="s">
        <v>102</v>
      </c>
      <c r="D323" s="18" t="s">
        <v>2439</v>
      </c>
      <c r="E323" s="18" t="s">
        <v>1406</v>
      </c>
      <c r="F323" s="18" t="s">
        <v>178</v>
      </c>
      <c r="G323" s="18" t="s">
        <v>2441</v>
      </c>
      <c r="H323" s="23"/>
      <c r="I323" s="25"/>
      <c r="J323" s="28">
        <v>46113.0</v>
      </c>
      <c r="K323" s="28">
        <v>46142.0</v>
      </c>
      <c r="L323" s="32"/>
      <c r="M323" s="35"/>
      <c r="N323" s="36"/>
      <c r="O323" s="38">
        <v>30.0</v>
      </c>
      <c r="P323" s="36"/>
      <c r="Q323" s="38">
        <v>30.0</v>
      </c>
      <c r="R323" s="36"/>
      <c r="S323" s="38" t="s">
        <v>53</v>
      </c>
      <c r="T323" s="42"/>
      <c r="U323" s="38">
        <v>100000.0</v>
      </c>
      <c r="V323" s="46"/>
      <c r="W323" s="42"/>
    </row>
    <row r="324">
      <c r="A324" s="15">
        <v>323.0</v>
      </c>
      <c r="B324" s="18" t="s">
        <v>33</v>
      </c>
      <c r="C324" s="18" t="s">
        <v>60</v>
      </c>
      <c r="D324" s="18" t="s">
        <v>2443</v>
      </c>
      <c r="E324" s="18" t="s">
        <v>2444</v>
      </c>
      <c r="F324" s="18" t="s">
        <v>266</v>
      </c>
      <c r="G324" s="18" t="s">
        <v>2445</v>
      </c>
      <c r="H324" s="23"/>
      <c r="I324" s="25"/>
      <c r="J324" s="28">
        <v>46113.0</v>
      </c>
      <c r="K324" s="28">
        <v>46142.0</v>
      </c>
      <c r="L324" s="32"/>
      <c r="M324" s="35"/>
      <c r="N324" s="36"/>
      <c r="O324" s="38">
        <v>30.0</v>
      </c>
      <c r="P324" s="36"/>
      <c r="Q324" s="38">
        <v>30.0</v>
      </c>
      <c r="R324" s="36"/>
      <c r="S324" s="38" t="s">
        <v>53</v>
      </c>
      <c r="T324" s="42"/>
      <c r="U324" s="38">
        <v>100000.0</v>
      </c>
      <c r="V324" s="46"/>
      <c r="W324" s="42"/>
    </row>
    <row r="325">
      <c r="A325" s="15">
        <v>324.0</v>
      </c>
      <c r="B325" s="18" t="s">
        <v>33</v>
      </c>
      <c r="C325" s="327">
        <v>500.0</v>
      </c>
      <c r="D325" s="36"/>
      <c r="E325" s="42"/>
      <c r="F325" s="42"/>
      <c r="G325" s="273"/>
      <c r="H325" s="23"/>
      <c r="I325" s="25"/>
      <c r="J325" s="328"/>
      <c r="K325" s="328"/>
      <c r="L325" s="32"/>
      <c r="M325" s="35"/>
      <c r="N325" s="36"/>
      <c r="O325" s="42"/>
      <c r="P325" s="36"/>
      <c r="Q325" s="42"/>
      <c r="R325" s="36"/>
      <c r="S325" s="42"/>
      <c r="T325" s="42"/>
      <c r="U325" s="42"/>
      <c r="V325" s="46"/>
      <c r="W325" s="42"/>
    </row>
    <row r="326">
      <c r="A326" s="15">
        <v>325.0</v>
      </c>
      <c r="B326" s="18" t="s">
        <v>33</v>
      </c>
      <c r="C326" s="18" t="s">
        <v>656</v>
      </c>
      <c r="D326" s="18" t="s">
        <v>2448</v>
      </c>
      <c r="E326" s="18" t="s">
        <v>2449</v>
      </c>
      <c r="F326" s="18" t="s">
        <v>213</v>
      </c>
      <c r="G326" s="18" t="s">
        <v>1574</v>
      </c>
      <c r="H326" s="23"/>
      <c r="I326" s="25"/>
      <c r="J326" s="28">
        <v>46113.0</v>
      </c>
      <c r="K326" s="28">
        <v>46142.0</v>
      </c>
      <c r="L326" s="32"/>
      <c r="M326" s="35"/>
      <c r="N326" s="36"/>
      <c r="O326" s="38">
        <v>30.0</v>
      </c>
      <c r="P326" s="36"/>
      <c r="Q326" s="38">
        <v>30.0</v>
      </c>
      <c r="R326" s="36"/>
      <c r="S326" s="38" t="s">
        <v>53</v>
      </c>
      <c r="T326" s="42"/>
      <c r="U326" s="38">
        <v>100000.0</v>
      </c>
      <c r="V326" s="46"/>
      <c r="W326" s="42"/>
    </row>
    <row r="327">
      <c r="A327" s="15">
        <v>326.0</v>
      </c>
      <c r="B327" s="18" t="s">
        <v>33</v>
      </c>
      <c r="C327" s="18" t="s">
        <v>102</v>
      </c>
      <c r="D327" s="18" t="s">
        <v>2455</v>
      </c>
      <c r="E327" s="18" t="s">
        <v>2456</v>
      </c>
      <c r="F327" s="18" t="s">
        <v>178</v>
      </c>
      <c r="G327" s="18" t="s">
        <v>2165</v>
      </c>
      <c r="H327" s="23"/>
      <c r="I327" s="25"/>
      <c r="J327" s="28">
        <v>46113.0</v>
      </c>
      <c r="K327" s="28">
        <v>46124.0</v>
      </c>
      <c r="L327" s="32"/>
      <c r="M327" s="35"/>
      <c r="N327" s="36"/>
      <c r="O327" s="38">
        <v>12.0</v>
      </c>
      <c r="P327" s="36"/>
      <c r="Q327" s="38">
        <v>12.0</v>
      </c>
      <c r="R327" s="36"/>
      <c r="S327" s="38" t="s">
        <v>2333</v>
      </c>
      <c r="T327" s="42"/>
      <c r="U327" s="38">
        <v>40000.0</v>
      </c>
      <c r="V327" s="46"/>
      <c r="W327" s="42"/>
    </row>
    <row r="328">
      <c r="A328" s="15">
        <v>327.0</v>
      </c>
      <c r="B328" s="18" t="s">
        <v>33</v>
      </c>
      <c r="C328" s="18" t="s">
        <v>60</v>
      </c>
      <c r="D328" s="18" t="s">
        <v>2463</v>
      </c>
      <c r="E328" s="18" t="s">
        <v>2465</v>
      </c>
      <c r="F328" s="18" t="s">
        <v>201</v>
      </c>
      <c r="G328" s="18" t="s">
        <v>2466</v>
      </c>
      <c r="H328" s="23"/>
      <c r="I328" s="25"/>
      <c r="J328" s="28">
        <v>46113.0</v>
      </c>
      <c r="K328" s="28">
        <v>46140.0</v>
      </c>
      <c r="L328" s="32"/>
      <c r="M328" s="35"/>
      <c r="N328" s="36"/>
      <c r="O328" s="38">
        <v>28.0</v>
      </c>
      <c r="P328" s="36"/>
      <c r="Q328" s="38">
        <v>28.0</v>
      </c>
      <c r="R328" s="36"/>
      <c r="S328" s="38" t="s">
        <v>751</v>
      </c>
      <c r="T328" s="42"/>
      <c r="U328" s="38">
        <v>93333.33</v>
      </c>
      <c r="V328" s="46"/>
      <c r="W328" s="42"/>
    </row>
    <row r="329">
      <c r="A329" s="15">
        <v>328.0</v>
      </c>
      <c r="B329" s="18" t="s">
        <v>33</v>
      </c>
      <c r="C329" s="18" t="s">
        <v>60</v>
      </c>
      <c r="D329" s="18" t="s">
        <v>2471</v>
      </c>
      <c r="E329" s="18" t="s">
        <v>2472</v>
      </c>
      <c r="F329" s="18" t="s">
        <v>321</v>
      </c>
      <c r="G329" s="18" t="s">
        <v>2474</v>
      </c>
      <c r="H329" s="23"/>
      <c r="I329" s="25"/>
      <c r="J329" s="28">
        <v>46113.0</v>
      </c>
      <c r="K329" s="28">
        <v>46124.0</v>
      </c>
      <c r="L329" s="32"/>
      <c r="M329" s="35"/>
      <c r="N329" s="36"/>
      <c r="O329" s="38">
        <v>12.0</v>
      </c>
      <c r="P329" s="36"/>
      <c r="Q329" s="38">
        <v>12.0</v>
      </c>
      <c r="R329" s="36"/>
      <c r="S329" s="38" t="s">
        <v>2333</v>
      </c>
      <c r="T329" s="42"/>
      <c r="U329" s="38">
        <v>40000.0</v>
      </c>
      <c r="V329" s="46"/>
      <c r="W329" s="42"/>
    </row>
    <row r="330">
      <c r="A330" s="15">
        <v>329.0</v>
      </c>
      <c r="B330" s="18" t="s">
        <v>33</v>
      </c>
      <c r="C330" s="18" t="s">
        <v>60</v>
      </c>
      <c r="D330" s="18" t="s">
        <v>2477</v>
      </c>
      <c r="E330" s="18" t="s">
        <v>2478</v>
      </c>
      <c r="F330" s="18" t="s">
        <v>139</v>
      </c>
      <c r="G330" s="18" t="s">
        <v>2480</v>
      </c>
      <c r="H330" s="23"/>
      <c r="I330" s="25"/>
      <c r="J330" s="28">
        <v>46113.0</v>
      </c>
      <c r="K330" s="28">
        <v>46137.0</v>
      </c>
      <c r="L330" s="32"/>
      <c r="M330" s="35"/>
      <c r="N330" s="36"/>
      <c r="O330" s="38">
        <v>25.0</v>
      </c>
      <c r="P330" s="36"/>
      <c r="Q330" s="38">
        <v>25.0</v>
      </c>
      <c r="R330" s="36"/>
      <c r="S330" s="38" t="s">
        <v>2481</v>
      </c>
      <c r="T330" s="42"/>
      <c r="U330" s="38">
        <v>83333.33</v>
      </c>
      <c r="V330" s="46"/>
      <c r="W330" s="42"/>
    </row>
    <row r="331">
      <c r="A331" s="15">
        <v>330.0</v>
      </c>
      <c r="B331" s="18" t="s">
        <v>33</v>
      </c>
      <c r="C331" s="18" t="s">
        <v>60</v>
      </c>
      <c r="D331" s="18" t="s">
        <v>2484</v>
      </c>
      <c r="E331" s="18" t="s">
        <v>2486</v>
      </c>
      <c r="F331" s="18" t="s">
        <v>213</v>
      </c>
      <c r="G331" s="18" t="s">
        <v>2488</v>
      </c>
      <c r="H331" s="25"/>
      <c r="I331" s="25"/>
      <c r="J331" s="28">
        <v>46113.0</v>
      </c>
      <c r="K331" s="28">
        <v>46142.0</v>
      </c>
      <c r="L331" s="35"/>
      <c r="M331" s="35"/>
      <c r="N331" s="42"/>
      <c r="O331" s="38">
        <v>30.0</v>
      </c>
      <c r="P331" s="42"/>
      <c r="Q331" s="38">
        <v>30.0</v>
      </c>
      <c r="R331" s="42"/>
      <c r="S331" s="38" t="s">
        <v>53</v>
      </c>
      <c r="T331" s="42"/>
      <c r="U331" s="38">
        <v>100000.0</v>
      </c>
      <c r="V331" s="46"/>
      <c r="W331" s="42"/>
    </row>
    <row r="332">
      <c r="A332" s="15">
        <v>331.0</v>
      </c>
      <c r="B332" s="18" t="s">
        <v>33</v>
      </c>
      <c r="C332" s="18" t="s">
        <v>60</v>
      </c>
      <c r="D332" s="18" t="s">
        <v>2491</v>
      </c>
      <c r="E332" s="18" t="s">
        <v>654</v>
      </c>
      <c r="F332" s="18" t="s">
        <v>139</v>
      </c>
      <c r="G332" s="18" t="s">
        <v>2493</v>
      </c>
      <c r="H332" s="23"/>
      <c r="I332" s="25"/>
      <c r="J332" s="28">
        <v>46113.0</v>
      </c>
      <c r="K332" s="28">
        <v>46130.0</v>
      </c>
      <c r="L332" s="32"/>
      <c r="M332" s="35"/>
      <c r="N332" s="36"/>
      <c r="O332" s="38">
        <v>18.0</v>
      </c>
      <c r="P332" s="36"/>
      <c r="Q332" s="38">
        <v>18.0</v>
      </c>
      <c r="R332" s="36"/>
      <c r="S332" s="38" t="s">
        <v>611</v>
      </c>
      <c r="T332" s="42"/>
      <c r="U332" s="38">
        <v>60000.0</v>
      </c>
      <c r="V332" s="46"/>
      <c r="W332" s="42"/>
    </row>
    <row r="333">
      <c r="A333" s="15">
        <v>332.0</v>
      </c>
      <c r="B333" s="18" t="s">
        <v>33</v>
      </c>
      <c r="C333" s="18" t="s">
        <v>60</v>
      </c>
      <c r="D333" s="18" t="s">
        <v>2498</v>
      </c>
      <c r="E333" s="18" t="s">
        <v>1180</v>
      </c>
      <c r="F333" s="18" t="s">
        <v>302</v>
      </c>
      <c r="G333" s="18" t="s">
        <v>2501</v>
      </c>
      <c r="H333" s="23"/>
      <c r="I333" s="25"/>
      <c r="J333" s="28">
        <v>46113.0</v>
      </c>
      <c r="K333" s="28">
        <v>46128.0</v>
      </c>
      <c r="L333" s="32"/>
      <c r="M333" s="35"/>
      <c r="N333" s="36"/>
      <c r="O333" s="38">
        <v>16.0</v>
      </c>
      <c r="P333" s="36"/>
      <c r="Q333" s="38">
        <v>16.0</v>
      </c>
      <c r="R333" s="36"/>
      <c r="S333" s="38" t="s">
        <v>2505</v>
      </c>
      <c r="T333" s="42"/>
      <c r="U333" s="38">
        <v>53333.33</v>
      </c>
      <c r="V333" s="46"/>
      <c r="W333" s="42"/>
    </row>
    <row r="334">
      <c r="A334" s="15">
        <v>333.0</v>
      </c>
      <c r="B334" s="18" t="s">
        <v>33</v>
      </c>
      <c r="C334" s="18" t="s">
        <v>60</v>
      </c>
      <c r="D334" s="18" t="s">
        <v>2507</v>
      </c>
      <c r="E334" s="18" t="s">
        <v>2508</v>
      </c>
      <c r="F334" s="18" t="s">
        <v>786</v>
      </c>
      <c r="G334" s="18" t="s">
        <v>1625</v>
      </c>
      <c r="H334" s="23"/>
      <c r="I334" s="25"/>
      <c r="J334" s="28">
        <v>46113.0</v>
      </c>
      <c r="K334" s="28">
        <v>46121.0</v>
      </c>
      <c r="L334" s="32"/>
      <c r="M334" s="35"/>
      <c r="N334" s="36"/>
      <c r="O334" s="38">
        <v>9.0</v>
      </c>
      <c r="P334" s="36"/>
      <c r="Q334" s="38">
        <v>9.0</v>
      </c>
      <c r="R334" s="36"/>
      <c r="S334" s="38" t="s">
        <v>1577</v>
      </c>
      <c r="T334" s="42"/>
      <c r="U334" s="38">
        <v>30000.0</v>
      </c>
      <c r="V334" s="46"/>
      <c r="W334" s="42"/>
    </row>
    <row r="335">
      <c r="A335" s="15">
        <v>334.0</v>
      </c>
      <c r="B335" s="18" t="s">
        <v>33</v>
      </c>
      <c r="C335" s="18" t="s">
        <v>102</v>
      </c>
      <c r="D335" s="18" t="s">
        <v>2512</v>
      </c>
      <c r="E335" s="18" t="s">
        <v>2513</v>
      </c>
      <c r="F335" s="18" t="s">
        <v>1466</v>
      </c>
      <c r="G335" s="18" t="s">
        <v>1672</v>
      </c>
      <c r="H335" s="23"/>
      <c r="I335" s="25"/>
      <c r="J335" s="28">
        <v>46113.0</v>
      </c>
      <c r="K335" s="28">
        <v>46138.0</v>
      </c>
      <c r="L335" s="32"/>
      <c r="M335" s="35"/>
      <c r="N335" s="36"/>
      <c r="O335" s="38">
        <v>26.0</v>
      </c>
      <c r="P335" s="36"/>
      <c r="Q335" s="38">
        <v>26.0</v>
      </c>
      <c r="R335" s="36"/>
      <c r="S335" s="38" t="s">
        <v>533</v>
      </c>
      <c r="T335" s="42"/>
      <c r="U335" s="38">
        <v>86666.67</v>
      </c>
      <c r="V335" s="46"/>
      <c r="W335" s="42"/>
    </row>
    <row r="336">
      <c r="A336" s="15">
        <v>335.0</v>
      </c>
      <c r="B336" s="18" t="s">
        <v>33</v>
      </c>
      <c r="C336" s="18" t="s">
        <v>60</v>
      </c>
      <c r="D336" s="18" t="s">
        <v>2519</v>
      </c>
      <c r="E336" s="18" t="s">
        <v>1180</v>
      </c>
      <c r="F336" s="18" t="s">
        <v>213</v>
      </c>
      <c r="G336" s="18" t="s">
        <v>1826</v>
      </c>
      <c r="H336" s="23"/>
      <c r="I336" s="25"/>
      <c r="J336" s="28">
        <v>46113.0</v>
      </c>
      <c r="K336" s="28">
        <v>46138.0</v>
      </c>
      <c r="L336" s="32"/>
      <c r="M336" s="35"/>
      <c r="N336" s="36"/>
      <c r="O336" s="38">
        <v>26.0</v>
      </c>
      <c r="P336" s="36"/>
      <c r="Q336" s="38">
        <v>26.0</v>
      </c>
      <c r="R336" s="36"/>
      <c r="S336" s="38" t="s">
        <v>533</v>
      </c>
      <c r="T336" s="42"/>
      <c r="U336" s="38">
        <v>86666.67</v>
      </c>
      <c r="V336" s="46"/>
      <c r="W336" s="42"/>
    </row>
    <row r="337">
      <c r="A337" s="15">
        <v>336.0</v>
      </c>
      <c r="B337" s="18" t="s">
        <v>33</v>
      </c>
      <c r="C337" s="18" t="s">
        <v>60</v>
      </c>
      <c r="D337" s="18" t="s">
        <v>2523</v>
      </c>
      <c r="E337" s="18" t="s">
        <v>2524</v>
      </c>
      <c r="F337" s="18" t="s">
        <v>201</v>
      </c>
      <c r="G337" s="18" t="s">
        <v>1850</v>
      </c>
      <c r="H337" s="23"/>
      <c r="I337" s="25"/>
      <c r="J337" s="28">
        <v>46113.0</v>
      </c>
      <c r="K337" s="28">
        <v>46140.0</v>
      </c>
      <c r="L337" s="32"/>
      <c r="M337" s="35"/>
      <c r="N337" s="36"/>
      <c r="O337" s="38">
        <v>28.0</v>
      </c>
      <c r="P337" s="36"/>
      <c r="Q337" s="38">
        <v>28.0</v>
      </c>
      <c r="R337" s="36"/>
      <c r="S337" s="38" t="s">
        <v>751</v>
      </c>
      <c r="T337" s="42"/>
      <c r="U337" s="38">
        <v>93333.33</v>
      </c>
      <c r="V337" s="46"/>
      <c r="W337" s="42"/>
    </row>
    <row r="338">
      <c r="A338" s="15">
        <v>337.0</v>
      </c>
      <c r="B338" s="18" t="s">
        <v>33</v>
      </c>
      <c r="C338" s="18" t="s">
        <v>60</v>
      </c>
      <c r="D338" s="18" t="s">
        <v>2527</v>
      </c>
      <c r="E338" s="18" t="s">
        <v>2528</v>
      </c>
      <c r="F338" s="18" t="s">
        <v>287</v>
      </c>
      <c r="G338" s="18" t="s">
        <v>288</v>
      </c>
      <c r="H338" s="23"/>
      <c r="I338" s="25"/>
      <c r="J338" s="28">
        <v>46113.0</v>
      </c>
      <c r="K338" s="28">
        <v>46129.0</v>
      </c>
      <c r="L338" s="32"/>
      <c r="M338" s="35"/>
      <c r="N338" s="36"/>
      <c r="O338" s="38">
        <v>17.0</v>
      </c>
      <c r="P338" s="36"/>
      <c r="Q338" s="38">
        <v>17.0</v>
      </c>
      <c r="R338" s="36"/>
      <c r="S338" s="38" t="s">
        <v>218</v>
      </c>
      <c r="T338" s="42"/>
      <c r="U338" s="38">
        <v>56666.67</v>
      </c>
      <c r="V338" s="46"/>
      <c r="W338" s="42"/>
    </row>
    <row r="339">
      <c r="A339" s="15">
        <v>338.0</v>
      </c>
      <c r="B339" s="18" t="s">
        <v>33</v>
      </c>
      <c r="C339" s="18" t="s">
        <v>60</v>
      </c>
      <c r="D339" s="18" t="s">
        <v>2532</v>
      </c>
      <c r="E339" s="18" t="s">
        <v>2533</v>
      </c>
      <c r="F339" s="18" t="s">
        <v>331</v>
      </c>
      <c r="G339" s="18" t="s">
        <v>577</v>
      </c>
      <c r="H339" s="23"/>
      <c r="I339" s="25"/>
      <c r="J339" s="28">
        <v>46113.0</v>
      </c>
      <c r="K339" s="28">
        <v>46126.0</v>
      </c>
      <c r="L339" s="32"/>
      <c r="M339" s="35"/>
      <c r="N339" s="36"/>
      <c r="O339" s="38">
        <v>14.0</v>
      </c>
      <c r="P339" s="36"/>
      <c r="Q339" s="38">
        <v>14.0</v>
      </c>
      <c r="R339" s="36"/>
      <c r="S339" s="38" t="s">
        <v>1928</v>
      </c>
      <c r="T339" s="42"/>
      <c r="U339" s="38">
        <v>46666.67</v>
      </c>
      <c r="V339" s="46"/>
      <c r="W339" s="42"/>
    </row>
    <row r="340">
      <c r="A340" s="15">
        <v>339.0</v>
      </c>
      <c r="B340" s="18" t="s">
        <v>33</v>
      </c>
      <c r="C340" s="18" t="s">
        <v>60</v>
      </c>
      <c r="D340" s="18" t="s">
        <v>2536</v>
      </c>
      <c r="E340" s="18" t="s">
        <v>2538</v>
      </c>
      <c r="F340" s="18" t="s">
        <v>178</v>
      </c>
      <c r="G340" s="18" t="s">
        <v>2540</v>
      </c>
      <c r="H340" s="23"/>
      <c r="I340" s="25"/>
      <c r="J340" s="28">
        <v>46113.0</v>
      </c>
      <c r="K340" s="28">
        <v>46119.0</v>
      </c>
      <c r="L340" s="32"/>
      <c r="M340" s="35"/>
      <c r="N340" s="36"/>
      <c r="O340" s="38">
        <v>7.0</v>
      </c>
      <c r="P340" s="36"/>
      <c r="Q340" s="38">
        <v>7.0</v>
      </c>
      <c r="R340" s="36"/>
      <c r="S340" s="38" t="s">
        <v>2543</v>
      </c>
      <c r="T340" s="42"/>
      <c r="U340" s="38">
        <v>23333.33</v>
      </c>
      <c r="V340" s="46"/>
      <c r="W340" s="42"/>
    </row>
    <row r="341">
      <c r="A341" s="15">
        <v>340.0</v>
      </c>
      <c r="B341" s="18" t="s">
        <v>33</v>
      </c>
      <c r="C341" s="18" t="s">
        <v>60</v>
      </c>
      <c r="D341" s="18" t="s">
        <v>2547</v>
      </c>
      <c r="E341" s="18" t="s">
        <v>1624</v>
      </c>
      <c r="F341" s="18" t="s">
        <v>178</v>
      </c>
      <c r="G341" s="18" t="s">
        <v>2549</v>
      </c>
      <c r="H341" s="23"/>
      <c r="I341" s="25"/>
      <c r="J341" s="28">
        <v>46113.0</v>
      </c>
      <c r="K341" s="28">
        <v>46119.0</v>
      </c>
      <c r="L341" s="32"/>
      <c r="M341" s="35"/>
      <c r="N341" s="36"/>
      <c r="O341" s="38">
        <v>7.0</v>
      </c>
      <c r="P341" s="36"/>
      <c r="Q341" s="38">
        <v>7.0</v>
      </c>
      <c r="R341" s="36"/>
      <c r="S341" s="38" t="s">
        <v>2543</v>
      </c>
      <c r="T341" s="42"/>
      <c r="U341" s="38">
        <v>23333.33</v>
      </c>
      <c r="V341" s="46"/>
      <c r="W341" s="42"/>
    </row>
    <row r="342">
      <c r="A342" s="15">
        <v>341.0</v>
      </c>
      <c r="B342" s="18" t="s">
        <v>33</v>
      </c>
      <c r="C342" s="18" t="s">
        <v>60</v>
      </c>
      <c r="D342" s="18" t="s">
        <v>2553</v>
      </c>
      <c r="E342" s="18" t="s">
        <v>2554</v>
      </c>
      <c r="F342" s="18" t="s">
        <v>2331</v>
      </c>
      <c r="G342" s="18" t="s">
        <v>2332</v>
      </c>
      <c r="H342" s="23"/>
      <c r="I342" s="25"/>
      <c r="J342" s="28">
        <v>46113.0</v>
      </c>
      <c r="K342" s="28">
        <v>46137.0</v>
      </c>
      <c r="L342" s="32"/>
      <c r="M342" s="35"/>
      <c r="N342" s="36"/>
      <c r="O342" s="38">
        <v>25.0</v>
      </c>
      <c r="P342" s="36"/>
      <c r="Q342" s="38">
        <v>25.0</v>
      </c>
      <c r="R342" s="36"/>
      <c r="S342" s="38" t="s">
        <v>2481</v>
      </c>
      <c r="T342" s="42"/>
      <c r="U342" s="38">
        <v>83333.33</v>
      </c>
      <c r="V342" s="46"/>
      <c r="W342" s="42"/>
    </row>
    <row r="343">
      <c r="A343" s="15">
        <v>342.0</v>
      </c>
      <c r="B343" s="18" t="s">
        <v>33</v>
      </c>
      <c r="C343" s="18" t="s">
        <v>60</v>
      </c>
      <c r="D343" s="18" t="s">
        <v>2559</v>
      </c>
      <c r="E343" s="18" t="s">
        <v>2561</v>
      </c>
      <c r="F343" s="18" t="s">
        <v>2562</v>
      </c>
      <c r="G343" s="18" t="s">
        <v>2565</v>
      </c>
      <c r="H343" s="23"/>
      <c r="I343" s="25"/>
      <c r="J343" s="28">
        <v>46113.0</v>
      </c>
      <c r="K343" s="28">
        <v>46121.0</v>
      </c>
      <c r="L343" s="32"/>
      <c r="M343" s="35"/>
      <c r="N343" s="36"/>
      <c r="O343" s="38">
        <v>9.0</v>
      </c>
      <c r="P343" s="36"/>
      <c r="Q343" s="38">
        <v>9.0</v>
      </c>
      <c r="R343" s="36"/>
      <c r="S343" s="38" t="s">
        <v>1577</v>
      </c>
      <c r="T343" s="42"/>
      <c r="U343" s="38">
        <v>30000.0</v>
      </c>
      <c r="V343" s="46"/>
      <c r="W343" s="42"/>
    </row>
    <row r="344">
      <c r="A344" s="15">
        <v>343.0</v>
      </c>
      <c r="B344" s="18" t="s">
        <v>33</v>
      </c>
      <c r="C344" s="18" t="s">
        <v>60</v>
      </c>
      <c r="D344" s="18" t="s">
        <v>2569</v>
      </c>
      <c r="E344" s="18" t="s">
        <v>2570</v>
      </c>
      <c r="F344" s="18" t="s">
        <v>2571</v>
      </c>
      <c r="G344" s="18" t="s">
        <v>2574</v>
      </c>
      <c r="H344" s="23"/>
      <c r="I344" s="25"/>
      <c r="J344" s="28">
        <v>46113.0</v>
      </c>
      <c r="K344" s="28">
        <v>46113.0</v>
      </c>
      <c r="L344" s="32"/>
      <c r="M344" s="35"/>
      <c r="N344" s="36"/>
      <c r="O344" s="38">
        <v>1.0</v>
      </c>
      <c r="P344" s="36"/>
      <c r="Q344" s="38">
        <v>1.0</v>
      </c>
      <c r="R344" s="36"/>
      <c r="S344" s="38" t="s">
        <v>2575</v>
      </c>
      <c r="T344" s="42"/>
      <c r="U344" s="38">
        <v>3333.33</v>
      </c>
      <c r="V344" s="46"/>
      <c r="W344" s="42"/>
    </row>
    <row r="345">
      <c r="A345" s="15">
        <v>344.0</v>
      </c>
      <c r="B345" s="18" t="s">
        <v>33</v>
      </c>
      <c r="C345" s="18" t="s">
        <v>60</v>
      </c>
      <c r="D345" s="18" t="s">
        <v>2576</v>
      </c>
      <c r="E345" s="18" t="s">
        <v>2577</v>
      </c>
      <c r="F345" s="18" t="s">
        <v>2571</v>
      </c>
      <c r="G345" s="18" t="s">
        <v>2574</v>
      </c>
      <c r="H345" s="23"/>
      <c r="I345" s="25"/>
      <c r="J345" s="28">
        <v>46113.0</v>
      </c>
      <c r="K345" s="28">
        <v>46113.0</v>
      </c>
      <c r="L345" s="32"/>
      <c r="M345" s="35"/>
      <c r="N345" s="36"/>
      <c r="O345" s="38">
        <v>1.0</v>
      </c>
      <c r="P345" s="36"/>
      <c r="Q345" s="38">
        <v>1.0</v>
      </c>
      <c r="R345" s="36"/>
      <c r="S345" s="38" t="s">
        <v>2575</v>
      </c>
      <c r="T345" s="42"/>
      <c r="U345" s="38">
        <v>3333.33</v>
      </c>
      <c r="V345" s="46"/>
      <c r="W345" s="42"/>
    </row>
    <row r="346">
      <c r="A346" s="15">
        <v>345.0</v>
      </c>
      <c r="B346" s="18" t="s">
        <v>33</v>
      </c>
      <c r="C346" s="18" t="s">
        <v>60</v>
      </c>
      <c r="D346" s="18" t="s">
        <v>2582</v>
      </c>
      <c r="E346" s="18" t="s">
        <v>2583</v>
      </c>
      <c r="F346" s="18" t="s">
        <v>187</v>
      </c>
      <c r="G346" s="18" t="s">
        <v>2584</v>
      </c>
      <c r="H346" s="23"/>
      <c r="I346" s="25"/>
      <c r="J346" s="28">
        <v>46113.0</v>
      </c>
      <c r="K346" s="28">
        <v>46136.0</v>
      </c>
      <c r="L346" s="32"/>
      <c r="M346" s="35"/>
      <c r="N346" s="36"/>
      <c r="O346" s="38">
        <v>24.0</v>
      </c>
      <c r="P346" s="36"/>
      <c r="Q346" s="38">
        <v>24.0</v>
      </c>
      <c r="R346" s="36"/>
      <c r="S346" s="38" t="s">
        <v>476</v>
      </c>
      <c r="T346" s="42"/>
      <c r="U346" s="38">
        <v>80000.0</v>
      </c>
      <c r="V346" s="46"/>
      <c r="W346" s="42"/>
    </row>
    <row r="347">
      <c r="A347" s="15">
        <v>346.0</v>
      </c>
      <c r="B347" s="18" t="s">
        <v>33</v>
      </c>
      <c r="C347" s="327">
        <v>300.0</v>
      </c>
      <c r="D347" s="36"/>
      <c r="E347" s="42"/>
      <c r="F347" s="42"/>
      <c r="G347" s="273"/>
      <c r="H347" s="23"/>
      <c r="I347" s="25"/>
      <c r="J347" s="328"/>
      <c r="K347" s="328"/>
      <c r="L347" s="32"/>
      <c r="M347" s="35"/>
      <c r="N347" s="36"/>
      <c r="O347" s="42"/>
      <c r="P347" s="36"/>
      <c r="Q347" s="42"/>
      <c r="R347" s="36"/>
      <c r="S347" s="42"/>
      <c r="T347" s="42"/>
      <c r="U347" s="42"/>
      <c r="V347" s="46"/>
      <c r="W347" s="42"/>
    </row>
    <row r="348">
      <c r="A348" s="15">
        <v>347.0</v>
      </c>
      <c r="B348" s="18" t="s">
        <v>33</v>
      </c>
      <c r="C348" s="18" t="s">
        <v>60</v>
      </c>
      <c r="D348" s="18" t="s">
        <v>2592</v>
      </c>
      <c r="E348" s="18" t="s">
        <v>2538</v>
      </c>
      <c r="F348" s="18" t="s">
        <v>187</v>
      </c>
      <c r="G348" s="18" t="s">
        <v>1711</v>
      </c>
      <c r="H348" s="23"/>
      <c r="I348" s="25"/>
      <c r="J348" s="28">
        <v>46113.0</v>
      </c>
      <c r="K348" s="28">
        <v>46117.0</v>
      </c>
      <c r="L348" s="32"/>
      <c r="M348" s="35"/>
      <c r="N348" s="36"/>
      <c r="O348" s="38">
        <v>5.0</v>
      </c>
      <c r="P348" s="36"/>
      <c r="Q348" s="38">
        <v>5.0</v>
      </c>
      <c r="R348" s="36"/>
      <c r="S348" s="38" t="s">
        <v>84</v>
      </c>
      <c r="T348" s="42"/>
      <c r="U348" s="38">
        <v>16666.67</v>
      </c>
      <c r="V348" s="46"/>
      <c r="W348" s="42"/>
    </row>
    <row r="349">
      <c r="A349" s="15">
        <v>348.0</v>
      </c>
      <c r="B349" s="18" t="s">
        <v>33</v>
      </c>
      <c r="C349" s="18" t="s">
        <v>60</v>
      </c>
      <c r="D349" s="18" t="s">
        <v>2050</v>
      </c>
      <c r="E349" s="18" t="s">
        <v>2051</v>
      </c>
      <c r="F349" s="18" t="s">
        <v>213</v>
      </c>
      <c r="G349" s="18" t="s">
        <v>422</v>
      </c>
      <c r="H349" s="23"/>
      <c r="I349" s="25"/>
      <c r="J349" s="28">
        <v>46113.0</v>
      </c>
      <c r="K349" s="28">
        <v>46141.0</v>
      </c>
      <c r="L349" s="32"/>
      <c r="M349" s="35"/>
      <c r="N349" s="36"/>
      <c r="O349" s="38">
        <v>29.0</v>
      </c>
      <c r="P349" s="36"/>
      <c r="Q349" s="38">
        <v>29.0</v>
      </c>
      <c r="R349" s="36"/>
      <c r="S349" s="38" t="s">
        <v>2599</v>
      </c>
      <c r="T349" s="42"/>
      <c r="U349" s="38">
        <v>96666.67</v>
      </c>
      <c r="V349" s="46"/>
      <c r="W349" s="42"/>
    </row>
    <row r="350">
      <c r="A350" s="15">
        <v>349.0</v>
      </c>
      <c r="B350" s="18" t="s">
        <v>33</v>
      </c>
      <c r="C350" s="18" t="s">
        <v>326</v>
      </c>
      <c r="D350" s="143" t="s">
        <v>2602</v>
      </c>
      <c r="E350" s="18" t="s">
        <v>634</v>
      </c>
      <c r="F350" s="18" t="s">
        <v>178</v>
      </c>
      <c r="G350" s="18" t="s">
        <v>2494</v>
      </c>
      <c r="H350" s="23"/>
      <c r="I350" s="25"/>
      <c r="J350" s="28">
        <v>46113.0</v>
      </c>
      <c r="K350" s="28">
        <v>46114.0</v>
      </c>
      <c r="L350" s="32"/>
      <c r="M350" s="35"/>
      <c r="N350" s="36"/>
      <c r="O350" s="38">
        <v>2.0</v>
      </c>
      <c r="P350" s="36"/>
      <c r="Q350" s="38">
        <v>2.0</v>
      </c>
      <c r="R350" s="36"/>
      <c r="S350" s="38" t="s">
        <v>396</v>
      </c>
      <c r="T350" s="42"/>
      <c r="U350" s="38">
        <v>6666.67</v>
      </c>
      <c r="V350" s="46"/>
      <c r="W350" s="42"/>
    </row>
    <row r="351">
      <c r="A351" s="15">
        <v>350.0</v>
      </c>
      <c r="B351" s="18" t="s">
        <v>33</v>
      </c>
      <c r="C351" s="18" t="s">
        <v>326</v>
      </c>
      <c r="D351" s="143" t="s">
        <v>2602</v>
      </c>
      <c r="E351" s="18" t="s">
        <v>634</v>
      </c>
      <c r="F351" s="18" t="s">
        <v>178</v>
      </c>
      <c r="G351" s="18" t="s">
        <v>2494</v>
      </c>
      <c r="H351" s="23"/>
      <c r="I351" s="25"/>
      <c r="J351" s="28">
        <v>46128.0</v>
      </c>
      <c r="K351" s="28">
        <v>46129.0</v>
      </c>
      <c r="L351" s="32"/>
      <c r="M351" s="35"/>
      <c r="N351" s="36"/>
      <c r="O351" s="38">
        <v>2.0</v>
      </c>
      <c r="P351" s="36"/>
      <c r="Q351" s="38">
        <v>2.0</v>
      </c>
      <c r="R351" s="36"/>
      <c r="S351" s="38" t="s">
        <v>396</v>
      </c>
      <c r="T351" s="42"/>
      <c r="U351" s="38">
        <v>6666.67</v>
      </c>
      <c r="V351" s="46"/>
      <c r="W351" s="42"/>
    </row>
    <row r="352">
      <c r="A352" s="15">
        <v>351.0</v>
      </c>
      <c r="B352" s="18" t="s">
        <v>33</v>
      </c>
      <c r="C352" s="18" t="s">
        <v>60</v>
      </c>
      <c r="D352" s="18" t="s">
        <v>2608</v>
      </c>
      <c r="E352" s="18" t="s">
        <v>400</v>
      </c>
      <c r="F352" s="18" t="s">
        <v>139</v>
      </c>
      <c r="G352" s="18" t="s">
        <v>2539</v>
      </c>
      <c r="H352" s="23"/>
      <c r="I352" s="25"/>
      <c r="J352" s="28">
        <v>46133.0</v>
      </c>
      <c r="K352" s="28">
        <v>46141.0</v>
      </c>
      <c r="L352" s="32"/>
      <c r="M352" s="35"/>
      <c r="N352" s="36"/>
      <c r="O352" s="38">
        <v>9.0</v>
      </c>
      <c r="P352" s="36"/>
      <c r="Q352" s="38">
        <v>9.0</v>
      </c>
      <c r="R352" s="36"/>
      <c r="S352" s="38" t="s">
        <v>1577</v>
      </c>
      <c r="T352" s="42"/>
      <c r="U352" s="38">
        <v>30000.0</v>
      </c>
      <c r="V352" s="46"/>
      <c r="W352" s="42"/>
    </row>
    <row r="353">
      <c r="A353" s="15">
        <v>352.0</v>
      </c>
      <c r="B353" s="18" t="s">
        <v>33</v>
      </c>
      <c r="C353" s="18" t="s">
        <v>60</v>
      </c>
      <c r="D353" s="18" t="s">
        <v>2612</v>
      </c>
      <c r="E353" s="18" t="s">
        <v>2613</v>
      </c>
      <c r="F353" s="18" t="s">
        <v>212</v>
      </c>
      <c r="G353" s="18" t="s">
        <v>2616</v>
      </c>
      <c r="H353" s="23"/>
      <c r="I353" s="25"/>
      <c r="J353" s="28">
        <v>46113.0</v>
      </c>
      <c r="K353" s="28">
        <v>46114.0</v>
      </c>
      <c r="L353" s="32"/>
      <c r="M353" s="35"/>
      <c r="N353" s="36"/>
      <c r="O353" s="38">
        <v>2.0</v>
      </c>
      <c r="P353" s="36"/>
      <c r="Q353" s="38">
        <v>2.0</v>
      </c>
      <c r="R353" s="36"/>
      <c r="S353" s="38" t="s">
        <v>396</v>
      </c>
      <c r="T353" s="42"/>
      <c r="U353" s="38">
        <v>6666.67</v>
      </c>
      <c r="V353" s="46"/>
      <c r="W353" s="42"/>
    </row>
    <row r="354">
      <c r="A354" s="15">
        <v>353.0</v>
      </c>
      <c r="B354" s="18" t="s">
        <v>33</v>
      </c>
      <c r="C354" s="18" t="s">
        <v>60</v>
      </c>
      <c r="D354" s="18" t="s">
        <v>2619</v>
      </c>
      <c r="E354" s="18" t="s">
        <v>2620</v>
      </c>
      <c r="F354" s="18" t="s">
        <v>201</v>
      </c>
      <c r="G354" s="18" t="s">
        <v>1072</v>
      </c>
      <c r="H354" s="23"/>
      <c r="I354" s="25"/>
      <c r="J354" s="28">
        <v>46113.0</v>
      </c>
      <c r="K354" s="28">
        <v>46141.0</v>
      </c>
      <c r="L354" s="32"/>
      <c r="M354" s="35"/>
      <c r="N354" s="36"/>
      <c r="O354" s="38">
        <v>29.0</v>
      </c>
      <c r="P354" s="36"/>
      <c r="Q354" s="38">
        <v>29.0</v>
      </c>
      <c r="R354" s="36"/>
      <c r="S354" s="38" t="s">
        <v>2599</v>
      </c>
      <c r="T354" s="42"/>
      <c r="U354" s="38">
        <v>96666.67</v>
      </c>
      <c r="V354" s="46"/>
      <c r="W354" s="42"/>
    </row>
    <row r="355">
      <c r="A355" s="15">
        <v>354.0</v>
      </c>
      <c r="B355" s="18" t="s">
        <v>33</v>
      </c>
      <c r="C355" s="18" t="s">
        <v>60</v>
      </c>
      <c r="D355" s="18" t="s">
        <v>2625</v>
      </c>
      <c r="E355" s="18" t="s">
        <v>2626</v>
      </c>
      <c r="F355" s="18" t="s">
        <v>213</v>
      </c>
      <c r="G355" s="18" t="s">
        <v>1225</v>
      </c>
      <c r="H355" s="23"/>
      <c r="I355" s="25"/>
      <c r="J355" s="28">
        <v>46113.0</v>
      </c>
      <c r="K355" s="28">
        <v>46122.0</v>
      </c>
      <c r="L355" s="32"/>
      <c r="M355" s="35"/>
      <c r="N355" s="36"/>
      <c r="O355" s="38">
        <v>10.0</v>
      </c>
      <c r="P355" s="36"/>
      <c r="Q355" s="38">
        <v>10.0</v>
      </c>
      <c r="R355" s="36"/>
      <c r="S355" s="38" t="s">
        <v>324</v>
      </c>
      <c r="T355" s="42"/>
      <c r="U355" s="38">
        <v>33333.33</v>
      </c>
      <c r="V355" s="46"/>
      <c r="W355" s="42"/>
    </row>
    <row r="356">
      <c r="A356" s="15">
        <v>355.0</v>
      </c>
      <c r="B356" s="18" t="s">
        <v>33</v>
      </c>
      <c r="C356" s="18" t="s">
        <v>60</v>
      </c>
      <c r="D356" s="18" t="s">
        <v>2630</v>
      </c>
      <c r="E356" s="18" t="s">
        <v>2631</v>
      </c>
      <c r="F356" s="18" t="s">
        <v>321</v>
      </c>
      <c r="G356" s="18" t="s">
        <v>2632</v>
      </c>
      <c r="H356" s="23"/>
      <c r="I356" s="25"/>
      <c r="J356" s="28">
        <v>46113.0</v>
      </c>
      <c r="K356" s="28">
        <v>46115.0</v>
      </c>
      <c r="L356" s="32"/>
      <c r="M356" s="35"/>
      <c r="N356" s="36"/>
      <c r="O356" s="38">
        <v>3.0</v>
      </c>
      <c r="P356" s="36"/>
      <c r="Q356" s="38">
        <v>3.0</v>
      </c>
      <c r="R356" s="36"/>
      <c r="S356" s="38" t="s">
        <v>2343</v>
      </c>
      <c r="T356" s="42"/>
      <c r="U356" s="38">
        <v>10000.0</v>
      </c>
      <c r="V356" s="46"/>
      <c r="W356" s="42"/>
    </row>
    <row r="357">
      <c r="A357" s="15">
        <v>356.0</v>
      </c>
      <c r="B357" s="18" t="s">
        <v>33</v>
      </c>
      <c r="C357" s="18" t="s">
        <v>60</v>
      </c>
      <c r="D357" s="18" t="s">
        <v>2634</v>
      </c>
      <c r="E357" s="18" t="s">
        <v>2635</v>
      </c>
      <c r="F357" s="18" t="s">
        <v>213</v>
      </c>
      <c r="G357" s="18" t="s">
        <v>2636</v>
      </c>
      <c r="H357" s="23"/>
      <c r="I357" s="25"/>
      <c r="J357" s="28">
        <v>46133.0</v>
      </c>
      <c r="K357" s="28">
        <v>46141.0</v>
      </c>
      <c r="L357" s="32"/>
      <c r="M357" s="35"/>
      <c r="N357" s="36"/>
      <c r="O357" s="38">
        <v>9.0</v>
      </c>
      <c r="P357" s="36"/>
      <c r="Q357" s="38">
        <v>9.0</v>
      </c>
      <c r="R357" s="36"/>
      <c r="S357" s="38" t="s">
        <v>1577</v>
      </c>
      <c r="T357" s="42"/>
      <c r="U357" s="38">
        <v>30000.0</v>
      </c>
      <c r="V357" s="46"/>
      <c r="W357" s="42"/>
    </row>
    <row r="358">
      <c r="A358" s="15">
        <v>357.0</v>
      </c>
      <c r="B358" s="18" t="s">
        <v>33</v>
      </c>
      <c r="C358" s="18" t="s">
        <v>60</v>
      </c>
      <c r="D358" s="18" t="s">
        <v>2640</v>
      </c>
      <c r="E358" s="18" t="s">
        <v>2641</v>
      </c>
      <c r="F358" s="18" t="s">
        <v>187</v>
      </c>
      <c r="G358" s="18" t="s">
        <v>2642</v>
      </c>
      <c r="H358" s="23"/>
      <c r="I358" s="25"/>
      <c r="J358" s="28">
        <v>46122.0</v>
      </c>
      <c r="K358" s="28">
        <v>46122.0</v>
      </c>
      <c r="L358" s="32"/>
      <c r="M358" s="35"/>
      <c r="N358" s="36"/>
      <c r="O358" s="38">
        <v>1.0</v>
      </c>
      <c r="P358" s="36"/>
      <c r="Q358" s="38">
        <v>1.0</v>
      </c>
      <c r="R358" s="36"/>
      <c r="S358" s="38" t="s">
        <v>2575</v>
      </c>
      <c r="T358" s="42"/>
      <c r="U358" s="38">
        <v>3333.33</v>
      </c>
      <c r="V358" s="46"/>
      <c r="W358" s="42"/>
    </row>
    <row r="359">
      <c r="A359" s="15">
        <v>358.0</v>
      </c>
      <c r="B359" s="18" t="s">
        <v>33</v>
      </c>
      <c r="C359" s="18" t="s">
        <v>60</v>
      </c>
      <c r="D359" s="18" t="s">
        <v>2643</v>
      </c>
      <c r="E359" s="18" t="s">
        <v>2644</v>
      </c>
      <c r="F359" s="18" t="s">
        <v>2339</v>
      </c>
      <c r="G359" s="18" t="s">
        <v>2340</v>
      </c>
      <c r="H359" s="23"/>
      <c r="I359" s="25"/>
      <c r="J359" s="28">
        <v>46113.0</v>
      </c>
      <c r="K359" s="28">
        <v>46133.0</v>
      </c>
      <c r="L359" s="32"/>
      <c r="M359" s="35"/>
      <c r="N359" s="36"/>
      <c r="O359" s="38">
        <v>21.0</v>
      </c>
      <c r="P359" s="36"/>
      <c r="Q359" s="38">
        <v>21.0</v>
      </c>
      <c r="R359" s="36"/>
      <c r="S359" s="38" t="s">
        <v>157</v>
      </c>
      <c r="T359" s="42"/>
      <c r="U359" s="38">
        <v>70000.0</v>
      </c>
      <c r="V359" s="46"/>
      <c r="W359" s="42"/>
    </row>
    <row r="360">
      <c r="A360" s="15">
        <v>359.0</v>
      </c>
      <c r="B360" s="18" t="s">
        <v>33</v>
      </c>
      <c r="C360" s="362" t="e">
        <v>#N/A</v>
      </c>
      <c r="D360" s="18" t="s">
        <v>2649</v>
      </c>
      <c r="E360" s="18" t="s">
        <v>2650</v>
      </c>
      <c r="F360" s="362" t="e">
        <v>#N/A</v>
      </c>
      <c r="G360" s="362" t="e">
        <v>#N/A</v>
      </c>
      <c r="H360" s="364" t="s">
        <v>197</v>
      </c>
      <c r="I360" s="25"/>
      <c r="J360" s="28">
        <v>46113.0</v>
      </c>
      <c r="K360" s="28">
        <v>46115.0</v>
      </c>
      <c r="L360" s="32"/>
      <c r="M360" s="35"/>
      <c r="N360" s="36"/>
      <c r="O360" s="38">
        <v>3.0</v>
      </c>
      <c r="P360" s="36"/>
      <c r="Q360" s="38">
        <v>3.0</v>
      </c>
      <c r="R360" s="36"/>
      <c r="S360" s="38" t="s">
        <v>2343</v>
      </c>
      <c r="T360" s="42"/>
      <c r="U360" s="38">
        <v>10000.0</v>
      </c>
      <c r="V360" s="46"/>
      <c r="W360" s="42"/>
    </row>
    <row r="361">
      <c r="A361" s="15">
        <v>360.0</v>
      </c>
      <c r="B361" s="18" t="s">
        <v>33</v>
      </c>
      <c r="C361" s="327" t="s">
        <v>2651</v>
      </c>
      <c r="D361" s="36"/>
      <c r="E361" s="42"/>
      <c r="F361" s="42"/>
      <c r="G361" s="273"/>
      <c r="H361" s="23"/>
      <c r="I361" s="25"/>
      <c r="J361" s="28">
        <v>46122.0</v>
      </c>
      <c r="K361" s="28">
        <v>46142.0</v>
      </c>
      <c r="L361" s="32"/>
      <c r="M361" s="35"/>
      <c r="N361" s="36"/>
      <c r="O361" s="38">
        <v>21.0</v>
      </c>
      <c r="P361" s="36"/>
      <c r="Q361" s="38">
        <v>21.0</v>
      </c>
      <c r="R361" s="36"/>
      <c r="S361" s="38" t="s">
        <v>157</v>
      </c>
      <c r="T361" s="42"/>
      <c r="U361" s="38">
        <v>70000.0</v>
      </c>
      <c r="V361" s="46"/>
      <c r="W361" s="42"/>
    </row>
    <row r="362">
      <c r="A362" s="15">
        <v>361.0</v>
      </c>
      <c r="B362" s="18" t="s">
        <v>33</v>
      </c>
      <c r="C362" s="18" t="s">
        <v>60</v>
      </c>
      <c r="D362" s="18" t="s">
        <v>2658</v>
      </c>
      <c r="E362" s="18" t="s">
        <v>298</v>
      </c>
      <c r="F362" s="18" t="s">
        <v>2660</v>
      </c>
      <c r="G362" s="18" t="s">
        <v>2661</v>
      </c>
      <c r="H362" s="51">
        <v>46113.0</v>
      </c>
      <c r="I362" s="51">
        <v>46125.0</v>
      </c>
      <c r="J362" s="28">
        <v>46126.0</v>
      </c>
      <c r="K362" s="28">
        <v>46142.0</v>
      </c>
      <c r="L362" s="32"/>
      <c r="M362" s="35"/>
      <c r="N362" s="38">
        <v>13.0</v>
      </c>
      <c r="O362" s="38">
        <v>17.0</v>
      </c>
      <c r="P362" s="36"/>
      <c r="Q362" s="38">
        <v>30.0</v>
      </c>
      <c r="R362" s="38" t="s">
        <v>217</v>
      </c>
      <c r="S362" s="38" t="s">
        <v>218</v>
      </c>
      <c r="T362" s="42"/>
      <c r="U362" s="38">
        <v>69666.67</v>
      </c>
      <c r="V362" s="46"/>
      <c r="W362" s="42"/>
    </row>
    <row r="363">
      <c r="A363" s="15">
        <v>362.0</v>
      </c>
      <c r="B363" s="18" t="s">
        <v>33</v>
      </c>
      <c r="C363" s="18" t="s">
        <v>60</v>
      </c>
      <c r="D363" s="18" t="s">
        <v>2664</v>
      </c>
      <c r="E363" s="18" t="s">
        <v>2666</v>
      </c>
      <c r="F363" s="18" t="s">
        <v>321</v>
      </c>
      <c r="G363" s="18" t="s">
        <v>2668</v>
      </c>
      <c r="H363" s="23"/>
      <c r="I363" s="25"/>
      <c r="J363" s="28">
        <v>46113.0</v>
      </c>
      <c r="K363" s="28">
        <v>46142.0</v>
      </c>
      <c r="L363" s="32"/>
      <c r="M363" s="35"/>
      <c r="N363" s="36"/>
      <c r="O363" s="38">
        <v>30.0</v>
      </c>
      <c r="P363" s="36"/>
      <c r="Q363" s="38">
        <v>30.0</v>
      </c>
      <c r="R363" s="36"/>
      <c r="S363" s="38" t="s">
        <v>53</v>
      </c>
      <c r="T363" s="42"/>
      <c r="U363" s="38">
        <v>100000.0</v>
      </c>
      <c r="V363" s="46"/>
      <c r="W363" s="42"/>
    </row>
    <row r="364">
      <c r="A364" s="15">
        <v>363.0</v>
      </c>
      <c r="B364" s="18" t="s">
        <v>33</v>
      </c>
      <c r="C364" s="18" t="s">
        <v>102</v>
      </c>
      <c r="D364" s="18" t="s">
        <v>2669</v>
      </c>
      <c r="E364" s="18" t="s">
        <v>2670</v>
      </c>
      <c r="F364" s="18" t="s">
        <v>170</v>
      </c>
      <c r="G364" s="18" t="s">
        <v>2671</v>
      </c>
      <c r="H364" s="23"/>
      <c r="I364" s="25"/>
      <c r="J364" s="28">
        <v>46113.0</v>
      </c>
      <c r="K364" s="28">
        <v>46142.0</v>
      </c>
      <c r="L364" s="32"/>
      <c r="M364" s="35"/>
      <c r="N364" s="36"/>
      <c r="O364" s="38">
        <v>30.0</v>
      </c>
      <c r="P364" s="36"/>
      <c r="Q364" s="38">
        <v>30.0</v>
      </c>
      <c r="R364" s="36"/>
      <c r="S364" s="38" t="s">
        <v>53</v>
      </c>
      <c r="T364" s="42"/>
      <c r="U364" s="38">
        <v>100000.0</v>
      </c>
      <c r="V364" s="46"/>
      <c r="W364" s="42"/>
    </row>
    <row r="365">
      <c r="A365" s="15">
        <v>364.0</v>
      </c>
      <c r="B365" s="18" t="s">
        <v>33</v>
      </c>
      <c r="C365" s="18" t="s">
        <v>60</v>
      </c>
      <c r="D365" s="18" t="s">
        <v>2674</v>
      </c>
      <c r="E365" s="18" t="s">
        <v>2675</v>
      </c>
      <c r="F365" s="18" t="s">
        <v>213</v>
      </c>
      <c r="G365" s="18" t="s">
        <v>2676</v>
      </c>
      <c r="H365" s="23"/>
      <c r="I365" s="25"/>
      <c r="J365" s="28">
        <v>46113.0</v>
      </c>
      <c r="K365" s="28">
        <v>46142.0</v>
      </c>
      <c r="L365" s="32"/>
      <c r="M365" s="35"/>
      <c r="N365" s="36"/>
      <c r="O365" s="38">
        <v>30.0</v>
      </c>
      <c r="P365" s="36"/>
      <c r="Q365" s="38">
        <v>30.0</v>
      </c>
      <c r="R365" s="36"/>
      <c r="S365" s="38" t="s">
        <v>53</v>
      </c>
      <c r="T365" s="42"/>
      <c r="U365" s="38">
        <v>100000.0</v>
      </c>
      <c r="V365" s="46"/>
      <c r="W365" s="42"/>
    </row>
    <row r="366">
      <c r="A366" s="15">
        <v>365.0</v>
      </c>
      <c r="B366" s="18" t="s">
        <v>33</v>
      </c>
      <c r="C366" s="362" t="e">
        <v>#N/A</v>
      </c>
      <c r="D366" s="18" t="s">
        <v>2678</v>
      </c>
      <c r="E366" s="18" t="s">
        <v>2679</v>
      </c>
      <c r="F366" s="362" t="e">
        <v>#N/A</v>
      </c>
      <c r="G366" s="362" t="e">
        <v>#N/A</v>
      </c>
      <c r="H366" s="23"/>
      <c r="I366" s="25"/>
      <c r="J366" s="28">
        <v>46113.0</v>
      </c>
      <c r="K366" s="28">
        <v>46142.0</v>
      </c>
      <c r="L366" s="32"/>
      <c r="M366" s="35"/>
      <c r="N366" s="36"/>
      <c r="O366" s="38">
        <v>30.0</v>
      </c>
      <c r="P366" s="36"/>
      <c r="Q366" s="38">
        <v>30.0</v>
      </c>
      <c r="R366" s="36"/>
      <c r="S366" s="38" t="s">
        <v>53</v>
      </c>
      <c r="T366" s="42"/>
      <c r="U366" s="38">
        <v>100000.0</v>
      </c>
      <c r="V366" s="46"/>
      <c r="W366" s="42"/>
    </row>
    <row r="367">
      <c r="A367" s="15">
        <v>366.0</v>
      </c>
      <c r="B367" s="18" t="s">
        <v>33</v>
      </c>
      <c r="C367" s="362" t="e">
        <v>#N/A</v>
      </c>
      <c r="D367" s="18" t="s">
        <v>1427</v>
      </c>
      <c r="E367" s="18" t="s">
        <v>1428</v>
      </c>
      <c r="F367" s="362" t="e">
        <v>#N/A</v>
      </c>
      <c r="G367" s="362" t="e">
        <v>#N/A</v>
      </c>
      <c r="H367" s="23"/>
      <c r="I367" s="25"/>
      <c r="J367" s="28">
        <v>46113.0</v>
      </c>
      <c r="K367" s="28">
        <v>46142.0</v>
      </c>
      <c r="L367" s="32"/>
      <c r="M367" s="35"/>
      <c r="N367" s="36"/>
      <c r="O367" s="38">
        <v>30.0</v>
      </c>
      <c r="P367" s="36"/>
      <c r="Q367" s="38">
        <v>30.0</v>
      </c>
      <c r="R367" s="36"/>
      <c r="S367" s="38" t="s">
        <v>53</v>
      </c>
      <c r="T367" s="42"/>
      <c r="U367" s="38">
        <v>100000.0</v>
      </c>
      <c r="V367" s="79" t="s">
        <v>125</v>
      </c>
      <c r="W367" s="42"/>
    </row>
    <row r="368">
      <c r="A368" s="15">
        <v>367.0</v>
      </c>
      <c r="B368" s="18" t="s">
        <v>33</v>
      </c>
      <c r="C368" s="362" t="e">
        <v>#N/A</v>
      </c>
      <c r="D368" s="18" t="s">
        <v>2687</v>
      </c>
      <c r="E368" s="18" t="s">
        <v>2688</v>
      </c>
      <c r="F368" s="362" t="e">
        <v>#N/A</v>
      </c>
      <c r="G368" s="362" t="e">
        <v>#N/A</v>
      </c>
      <c r="H368" s="23"/>
      <c r="I368" s="25"/>
      <c r="J368" s="28">
        <v>46113.0</v>
      </c>
      <c r="K368" s="28">
        <v>46142.0</v>
      </c>
      <c r="L368" s="32"/>
      <c r="M368" s="35"/>
      <c r="N368" s="36"/>
      <c r="O368" s="38">
        <v>30.0</v>
      </c>
      <c r="P368" s="36"/>
      <c r="Q368" s="38">
        <v>30.0</v>
      </c>
      <c r="R368" s="36"/>
      <c r="S368" s="38" t="s">
        <v>53</v>
      </c>
      <c r="T368" s="42"/>
      <c r="U368" s="38">
        <v>100000.0</v>
      </c>
      <c r="V368" s="79" t="s">
        <v>125</v>
      </c>
      <c r="W368" s="42"/>
    </row>
    <row r="369">
      <c r="A369" s="15">
        <v>368.0</v>
      </c>
      <c r="B369" s="18" t="s">
        <v>33</v>
      </c>
      <c r="C369" s="362" t="e">
        <v>#N/A</v>
      </c>
      <c r="D369" s="324" t="s">
        <v>2693</v>
      </c>
      <c r="E369" s="18" t="s">
        <v>2694</v>
      </c>
      <c r="F369" s="362" t="e">
        <v>#N/A</v>
      </c>
      <c r="G369" s="362" t="e">
        <v>#N/A</v>
      </c>
      <c r="H369" s="23"/>
      <c r="I369" s="25"/>
      <c r="J369" s="28">
        <v>46113.0</v>
      </c>
      <c r="K369" s="28">
        <v>46130.0</v>
      </c>
      <c r="L369" s="32"/>
      <c r="M369" s="35"/>
      <c r="N369" s="36"/>
      <c r="O369" s="38">
        <v>18.0</v>
      </c>
      <c r="P369" s="36"/>
      <c r="Q369" s="38">
        <v>18.0</v>
      </c>
      <c r="R369" s="36"/>
      <c r="S369" s="38" t="s">
        <v>611</v>
      </c>
      <c r="T369" s="42"/>
      <c r="U369" s="38">
        <v>60000.0</v>
      </c>
      <c r="V369" s="46"/>
      <c r="W369" s="42"/>
    </row>
    <row r="370">
      <c r="A370" s="15">
        <v>369.0</v>
      </c>
      <c r="B370" s="18" t="s">
        <v>33</v>
      </c>
      <c r="C370" s="362" t="e">
        <v>#N/A</v>
      </c>
      <c r="D370" s="18" t="s">
        <v>2698</v>
      </c>
      <c r="E370" s="18" t="s">
        <v>2701</v>
      </c>
      <c r="F370" s="362" t="e">
        <v>#N/A</v>
      </c>
      <c r="G370" s="362" t="e">
        <v>#N/A</v>
      </c>
      <c r="H370" s="23"/>
      <c r="I370" s="25"/>
      <c r="J370" s="28">
        <v>46113.0</v>
      </c>
      <c r="K370" s="28">
        <v>46142.0</v>
      </c>
      <c r="L370" s="32"/>
      <c r="M370" s="35"/>
      <c r="N370" s="36"/>
      <c r="O370" s="38">
        <v>30.0</v>
      </c>
      <c r="P370" s="36"/>
      <c r="Q370" s="38">
        <v>30.0</v>
      </c>
      <c r="R370" s="36"/>
      <c r="S370" s="38" t="s">
        <v>53</v>
      </c>
      <c r="T370" s="42"/>
      <c r="U370" s="38">
        <v>100000.0</v>
      </c>
      <c r="V370" s="46"/>
      <c r="W370" s="42"/>
    </row>
    <row r="371">
      <c r="A371" s="15">
        <v>370.0</v>
      </c>
      <c r="B371" s="18" t="s">
        <v>33</v>
      </c>
      <c r="C371" s="362" t="e">
        <v>#N/A</v>
      </c>
      <c r="D371" s="18" t="s">
        <v>2704</v>
      </c>
      <c r="E371" s="18" t="s">
        <v>2706</v>
      </c>
      <c r="F371" s="362" t="e">
        <v>#N/A</v>
      </c>
      <c r="G371" s="362" t="e">
        <v>#N/A</v>
      </c>
      <c r="H371" s="23"/>
      <c r="I371" s="25"/>
      <c r="J371" s="28">
        <v>46113.0</v>
      </c>
      <c r="K371" s="28">
        <v>46142.0</v>
      </c>
      <c r="L371" s="32"/>
      <c r="M371" s="35"/>
      <c r="N371" s="36"/>
      <c r="O371" s="38">
        <v>30.0</v>
      </c>
      <c r="P371" s="36"/>
      <c r="Q371" s="38">
        <v>30.0</v>
      </c>
      <c r="R371" s="36"/>
      <c r="S371" s="38" t="s">
        <v>53</v>
      </c>
      <c r="T371" s="42"/>
      <c r="U371" s="38">
        <v>100000.0</v>
      </c>
      <c r="V371" s="46"/>
      <c r="W371" s="42"/>
    </row>
    <row r="372">
      <c r="A372" s="15">
        <v>371.0</v>
      </c>
      <c r="B372" s="18" t="s">
        <v>33</v>
      </c>
      <c r="C372" s="18" t="s">
        <v>60</v>
      </c>
      <c r="D372" s="18" t="s">
        <v>2709</v>
      </c>
      <c r="E372" s="18" t="s">
        <v>2710</v>
      </c>
      <c r="F372" s="18" t="s">
        <v>2711</v>
      </c>
      <c r="G372" s="18" t="s">
        <v>2712</v>
      </c>
      <c r="H372" s="23"/>
      <c r="I372" s="25"/>
      <c r="J372" s="28">
        <v>46113.0</v>
      </c>
      <c r="K372" s="28">
        <v>46142.0</v>
      </c>
      <c r="L372" s="32"/>
      <c r="M372" s="35"/>
      <c r="N372" s="36"/>
      <c r="O372" s="38">
        <v>30.0</v>
      </c>
      <c r="P372" s="36"/>
      <c r="Q372" s="38">
        <v>30.0</v>
      </c>
      <c r="R372" s="36"/>
      <c r="S372" s="38" t="s">
        <v>53</v>
      </c>
      <c r="T372" s="42"/>
      <c r="U372" s="38">
        <v>100000.0</v>
      </c>
      <c r="V372" s="79" t="s">
        <v>125</v>
      </c>
      <c r="W372" s="18" t="s">
        <v>449</v>
      </c>
    </row>
    <row r="373">
      <c r="A373" s="15">
        <v>372.0</v>
      </c>
      <c r="B373" s="18" t="s">
        <v>33</v>
      </c>
      <c r="C373" s="362" t="e">
        <v>#N/A</v>
      </c>
      <c r="D373" s="143" t="s">
        <v>1028</v>
      </c>
      <c r="E373" s="18" t="s">
        <v>2717</v>
      </c>
      <c r="F373" s="362" t="e">
        <v>#N/A</v>
      </c>
      <c r="G373" s="362" t="e">
        <v>#N/A</v>
      </c>
      <c r="H373" s="23"/>
      <c r="I373" s="25"/>
      <c r="J373" s="28">
        <v>46113.0</v>
      </c>
      <c r="K373" s="28">
        <v>46119.0</v>
      </c>
      <c r="L373" s="32"/>
      <c r="M373" s="35"/>
      <c r="N373" s="36"/>
      <c r="O373" s="38">
        <v>7.0</v>
      </c>
      <c r="P373" s="36"/>
      <c r="Q373" s="38">
        <v>7.0</v>
      </c>
      <c r="R373" s="36"/>
      <c r="S373" s="38" t="s">
        <v>2543</v>
      </c>
      <c r="T373" s="42"/>
      <c r="U373" s="38">
        <v>23333.33</v>
      </c>
      <c r="V373" s="46"/>
      <c r="W373" s="42"/>
    </row>
    <row r="374">
      <c r="A374" s="15">
        <v>373.0</v>
      </c>
      <c r="B374" s="18" t="s">
        <v>33</v>
      </c>
      <c r="C374" s="362" t="e">
        <v>#N/A</v>
      </c>
      <c r="D374" s="143" t="s">
        <v>1028</v>
      </c>
      <c r="E374" s="18" t="s">
        <v>2717</v>
      </c>
      <c r="F374" s="362" t="e">
        <v>#N/A</v>
      </c>
      <c r="G374" s="362" t="e">
        <v>#N/A</v>
      </c>
      <c r="H374" s="23"/>
      <c r="I374" s="25"/>
      <c r="J374" s="28">
        <v>46125.0</v>
      </c>
      <c r="K374" s="28">
        <v>46133.0</v>
      </c>
      <c r="L374" s="32"/>
      <c r="M374" s="35"/>
      <c r="N374" s="36"/>
      <c r="O374" s="38">
        <v>9.0</v>
      </c>
      <c r="P374" s="36"/>
      <c r="Q374" s="38">
        <v>9.0</v>
      </c>
      <c r="R374" s="36"/>
      <c r="S374" s="38" t="s">
        <v>1577</v>
      </c>
      <c r="T374" s="42"/>
      <c r="U374" s="38">
        <v>30000.0</v>
      </c>
      <c r="V374" s="46"/>
      <c r="W374" s="42"/>
    </row>
    <row r="375">
      <c r="A375" s="15">
        <v>374.0</v>
      </c>
      <c r="B375" s="18" t="s">
        <v>33</v>
      </c>
      <c r="C375" s="362" t="e">
        <v>#N/A</v>
      </c>
      <c r="D375" s="324" t="s">
        <v>2728</v>
      </c>
      <c r="E375" s="18" t="s">
        <v>2729</v>
      </c>
      <c r="F375" s="362" t="e">
        <v>#N/A</v>
      </c>
      <c r="G375" s="362" t="e">
        <v>#N/A</v>
      </c>
      <c r="H375" s="23"/>
      <c r="I375" s="25"/>
      <c r="J375" s="28">
        <v>46113.0</v>
      </c>
      <c r="K375" s="28">
        <v>46130.0</v>
      </c>
      <c r="L375" s="32"/>
      <c r="M375" s="35"/>
      <c r="N375" s="36"/>
      <c r="O375" s="38">
        <v>18.0</v>
      </c>
      <c r="P375" s="36"/>
      <c r="Q375" s="38">
        <v>18.0</v>
      </c>
      <c r="R375" s="36"/>
      <c r="S375" s="38" t="s">
        <v>611</v>
      </c>
      <c r="T375" s="42"/>
      <c r="U375" s="38">
        <v>60000.0</v>
      </c>
      <c r="V375" s="46"/>
      <c r="W375" s="42"/>
    </row>
    <row r="376">
      <c r="A376" s="15">
        <v>375.0</v>
      </c>
      <c r="B376" s="18" t="s">
        <v>33</v>
      </c>
      <c r="C376" s="18" t="s">
        <v>102</v>
      </c>
      <c r="D376" s="18" t="s">
        <v>2735</v>
      </c>
      <c r="E376" s="18" t="s">
        <v>2736</v>
      </c>
      <c r="F376" s="18" t="s">
        <v>1345</v>
      </c>
      <c r="G376" s="18" t="s">
        <v>2737</v>
      </c>
      <c r="H376" s="23"/>
      <c r="I376" s="25"/>
      <c r="J376" s="28">
        <v>46113.0</v>
      </c>
      <c r="K376" s="28">
        <v>46142.0</v>
      </c>
      <c r="L376" s="32"/>
      <c r="M376" s="35"/>
      <c r="N376" s="36"/>
      <c r="O376" s="38">
        <v>30.0</v>
      </c>
      <c r="P376" s="36"/>
      <c r="Q376" s="38">
        <v>30.0</v>
      </c>
      <c r="R376" s="36"/>
      <c r="S376" s="38" t="s">
        <v>53</v>
      </c>
      <c r="T376" s="42"/>
      <c r="U376" s="38">
        <v>100000.0</v>
      </c>
      <c r="V376" s="46"/>
      <c r="W376" s="42"/>
    </row>
    <row r="377">
      <c r="A377" s="15">
        <v>376.0</v>
      </c>
      <c r="B377" s="18" t="s">
        <v>33</v>
      </c>
      <c r="C377" s="18" t="s">
        <v>102</v>
      </c>
      <c r="D377" s="324" t="s">
        <v>2740</v>
      </c>
      <c r="E377" s="18" t="s">
        <v>2741</v>
      </c>
      <c r="F377" s="18" t="s">
        <v>58</v>
      </c>
      <c r="G377" s="18" t="s">
        <v>2744</v>
      </c>
      <c r="H377" s="23"/>
      <c r="I377" s="25"/>
      <c r="J377" s="28">
        <v>46135.0</v>
      </c>
      <c r="K377" s="28">
        <v>46142.0</v>
      </c>
      <c r="L377" s="32"/>
      <c r="M377" s="35"/>
      <c r="N377" s="36"/>
      <c r="O377" s="38">
        <v>8.0</v>
      </c>
      <c r="P377" s="36"/>
      <c r="Q377" s="38">
        <v>8.0</v>
      </c>
      <c r="R377" s="36"/>
      <c r="S377" s="38" t="s">
        <v>507</v>
      </c>
      <c r="T377" s="42"/>
      <c r="U377" s="38">
        <v>26666.67</v>
      </c>
      <c r="V377" s="46"/>
      <c r="W377" s="42"/>
    </row>
    <row r="378">
      <c r="A378" s="15">
        <v>377.0</v>
      </c>
      <c r="B378" s="18" t="s">
        <v>33</v>
      </c>
      <c r="C378" s="18" t="s">
        <v>60</v>
      </c>
      <c r="D378" s="18" t="s">
        <v>2748</v>
      </c>
      <c r="E378" s="18" t="s">
        <v>1207</v>
      </c>
      <c r="F378" s="18" t="s">
        <v>187</v>
      </c>
      <c r="G378" s="18" t="s">
        <v>2751</v>
      </c>
      <c r="H378" s="23"/>
      <c r="I378" s="25"/>
      <c r="J378" s="28">
        <v>46113.0</v>
      </c>
      <c r="K378" s="28">
        <v>46142.0</v>
      </c>
      <c r="L378" s="32"/>
      <c r="M378" s="35"/>
      <c r="N378" s="36"/>
      <c r="O378" s="38">
        <v>30.0</v>
      </c>
      <c r="P378" s="36"/>
      <c r="Q378" s="38">
        <v>30.0</v>
      </c>
      <c r="R378" s="36"/>
      <c r="S378" s="38" t="s">
        <v>53</v>
      </c>
      <c r="T378" s="42"/>
      <c r="U378" s="38">
        <v>100000.0</v>
      </c>
      <c r="V378" s="46"/>
      <c r="W378" s="42"/>
    </row>
    <row r="379">
      <c r="A379" s="15">
        <v>378.0</v>
      </c>
      <c r="B379" s="18" t="s">
        <v>33</v>
      </c>
      <c r="C379" s="18" t="s">
        <v>102</v>
      </c>
      <c r="D379" s="18" t="s">
        <v>2756</v>
      </c>
      <c r="E379" s="18" t="s">
        <v>2757</v>
      </c>
      <c r="F379" s="18" t="s">
        <v>295</v>
      </c>
      <c r="G379" s="18" t="s">
        <v>2758</v>
      </c>
      <c r="H379" s="51">
        <v>46113.0</v>
      </c>
      <c r="I379" s="51">
        <v>46125.0</v>
      </c>
      <c r="J379" s="28">
        <v>46126.0</v>
      </c>
      <c r="K379" s="28">
        <v>46142.0</v>
      </c>
      <c r="L379" s="32"/>
      <c r="M379" s="35"/>
      <c r="N379" s="38">
        <v>13.0</v>
      </c>
      <c r="O379" s="38">
        <v>17.0</v>
      </c>
      <c r="P379" s="36"/>
      <c r="Q379" s="38">
        <v>30.0</v>
      </c>
      <c r="R379" s="38" t="s">
        <v>217</v>
      </c>
      <c r="S379" s="38" t="s">
        <v>218</v>
      </c>
      <c r="T379" s="42"/>
      <c r="U379" s="38">
        <v>69666.67</v>
      </c>
      <c r="V379" s="46"/>
      <c r="W379" s="42"/>
    </row>
    <row r="380">
      <c r="A380" s="15">
        <v>379.0</v>
      </c>
      <c r="B380" s="18" t="s">
        <v>33</v>
      </c>
      <c r="C380" s="18" t="s">
        <v>102</v>
      </c>
      <c r="D380" s="18" t="s">
        <v>2760</v>
      </c>
      <c r="E380" s="18" t="s">
        <v>2761</v>
      </c>
      <c r="F380" s="18" t="s">
        <v>287</v>
      </c>
      <c r="G380" s="18" t="s">
        <v>2764</v>
      </c>
      <c r="H380" s="23"/>
      <c r="I380" s="25"/>
      <c r="J380" s="28">
        <v>46113.0</v>
      </c>
      <c r="K380" s="28">
        <v>46142.0</v>
      </c>
      <c r="L380" s="32"/>
      <c r="M380" s="35"/>
      <c r="N380" s="36"/>
      <c r="O380" s="38">
        <v>30.0</v>
      </c>
      <c r="P380" s="36"/>
      <c r="Q380" s="38">
        <v>30.0</v>
      </c>
      <c r="R380" s="36"/>
      <c r="S380" s="38" t="s">
        <v>53</v>
      </c>
      <c r="T380" s="42"/>
      <c r="U380" s="38">
        <v>100000.0</v>
      </c>
      <c r="V380" s="46"/>
      <c r="W380" s="42"/>
    </row>
    <row r="381">
      <c r="A381" s="15">
        <v>380.0</v>
      </c>
      <c r="B381" s="18" t="s">
        <v>33</v>
      </c>
      <c r="C381" s="18" t="s">
        <v>60</v>
      </c>
      <c r="D381" s="18" t="s">
        <v>2765</v>
      </c>
      <c r="E381" s="18" t="s">
        <v>2766</v>
      </c>
      <c r="F381" s="18" t="s">
        <v>1431</v>
      </c>
      <c r="G381" s="18" t="s">
        <v>2769</v>
      </c>
      <c r="H381" s="23"/>
      <c r="I381" s="25"/>
      <c r="J381" s="28">
        <v>46113.0</v>
      </c>
      <c r="K381" s="28">
        <v>46142.0</v>
      </c>
      <c r="L381" s="32"/>
      <c r="M381" s="35"/>
      <c r="N381" s="36"/>
      <c r="O381" s="38">
        <v>30.0</v>
      </c>
      <c r="P381" s="36"/>
      <c r="Q381" s="38">
        <v>30.0</v>
      </c>
      <c r="R381" s="36"/>
      <c r="S381" s="38" t="s">
        <v>53</v>
      </c>
      <c r="T381" s="42"/>
      <c r="U381" s="38">
        <v>100000.0</v>
      </c>
      <c r="V381" s="79" t="s">
        <v>125</v>
      </c>
      <c r="W381" s="18" t="s">
        <v>449</v>
      </c>
    </row>
    <row r="382">
      <c r="A382" s="15">
        <v>381.0</v>
      </c>
      <c r="B382" s="18" t="s">
        <v>33</v>
      </c>
      <c r="C382" s="18" t="s">
        <v>60</v>
      </c>
      <c r="D382" s="18" t="s">
        <v>2774</v>
      </c>
      <c r="E382" s="18" t="s">
        <v>2775</v>
      </c>
      <c r="F382" s="18" t="s">
        <v>331</v>
      </c>
      <c r="G382" s="18" t="s">
        <v>2776</v>
      </c>
      <c r="H382" s="23"/>
      <c r="I382" s="25"/>
      <c r="J382" s="28">
        <v>46113.0</v>
      </c>
      <c r="K382" s="28">
        <v>46142.0</v>
      </c>
      <c r="L382" s="32"/>
      <c r="M382" s="35"/>
      <c r="N382" s="36"/>
      <c r="O382" s="38">
        <v>30.0</v>
      </c>
      <c r="P382" s="36"/>
      <c r="Q382" s="38">
        <v>30.0</v>
      </c>
      <c r="R382" s="36"/>
      <c r="S382" s="38" t="s">
        <v>53</v>
      </c>
      <c r="T382" s="42"/>
      <c r="U382" s="38">
        <v>100000.0</v>
      </c>
      <c r="V382" s="46"/>
      <c r="W382" s="42"/>
    </row>
    <row r="383">
      <c r="A383" s="15">
        <v>382.0</v>
      </c>
      <c r="B383" s="18" t="s">
        <v>33</v>
      </c>
      <c r="C383" s="18" t="s">
        <v>60</v>
      </c>
      <c r="D383" s="18" t="s">
        <v>2780</v>
      </c>
      <c r="E383" s="18" t="s">
        <v>2781</v>
      </c>
      <c r="F383" s="18" t="s">
        <v>152</v>
      </c>
      <c r="G383" s="18" t="s">
        <v>2784</v>
      </c>
      <c r="H383" s="51">
        <v>46113.0</v>
      </c>
      <c r="I383" s="51">
        <v>46125.0</v>
      </c>
      <c r="J383" s="28">
        <v>46126.0</v>
      </c>
      <c r="K383" s="28">
        <v>46142.0</v>
      </c>
      <c r="L383" s="32"/>
      <c r="M383" s="35"/>
      <c r="N383" s="38">
        <v>13.0</v>
      </c>
      <c r="O383" s="38">
        <v>17.0</v>
      </c>
      <c r="P383" s="36"/>
      <c r="Q383" s="38">
        <v>30.0</v>
      </c>
      <c r="R383" s="38" t="s">
        <v>217</v>
      </c>
      <c r="S383" s="38" t="s">
        <v>218</v>
      </c>
      <c r="T383" s="42"/>
      <c r="U383" s="38">
        <v>69666.67</v>
      </c>
      <c r="V383" s="46"/>
      <c r="W383" s="42"/>
    </row>
    <row r="384">
      <c r="A384" s="15">
        <v>383.0</v>
      </c>
      <c r="B384" s="18" t="s">
        <v>33</v>
      </c>
      <c r="C384" s="18" t="s">
        <v>60</v>
      </c>
      <c r="D384" s="18" t="s">
        <v>2786</v>
      </c>
      <c r="E384" s="18" t="s">
        <v>2787</v>
      </c>
      <c r="F384" s="18" t="s">
        <v>1536</v>
      </c>
      <c r="G384" s="18" t="s">
        <v>2788</v>
      </c>
      <c r="H384" s="23"/>
      <c r="I384" s="25"/>
      <c r="J384" s="28">
        <v>46113.0</v>
      </c>
      <c r="K384" s="28">
        <v>46142.0</v>
      </c>
      <c r="L384" s="32"/>
      <c r="M384" s="35"/>
      <c r="N384" s="36"/>
      <c r="O384" s="38">
        <v>30.0</v>
      </c>
      <c r="P384" s="36"/>
      <c r="Q384" s="38">
        <v>30.0</v>
      </c>
      <c r="R384" s="36"/>
      <c r="S384" s="38" t="s">
        <v>53</v>
      </c>
      <c r="T384" s="42"/>
      <c r="U384" s="38">
        <v>100000.0</v>
      </c>
      <c r="V384" s="46"/>
      <c r="W384" s="42"/>
    </row>
    <row r="385">
      <c r="A385" s="15">
        <v>384.0</v>
      </c>
      <c r="B385" s="18" t="s">
        <v>33</v>
      </c>
      <c r="C385" s="18" t="s">
        <v>60</v>
      </c>
      <c r="D385" s="18" t="s">
        <v>2791</v>
      </c>
      <c r="E385" s="18" t="s">
        <v>2792</v>
      </c>
      <c r="F385" s="18" t="s">
        <v>2793</v>
      </c>
      <c r="G385" s="18" t="s">
        <v>2794</v>
      </c>
      <c r="H385" s="23"/>
      <c r="I385" s="25"/>
      <c r="J385" s="28">
        <v>46113.0</v>
      </c>
      <c r="K385" s="28">
        <v>46142.0</v>
      </c>
      <c r="L385" s="32"/>
      <c r="M385" s="35"/>
      <c r="N385" s="36"/>
      <c r="O385" s="38">
        <v>30.0</v>
      </c>
      <c r="P385" s="36"/>
      <c r="Q385" s="38">
        <v>30.0</v>
      </c>
      <c r="R385" s="36"/>
      <c r="S385" s="38" t="s">
        <v>53</v>
      </c>
      <c r="T385" s="42"/>
      <c r="U385" s="38">
        <v>100000.0</v>
      </c>
      <c r="V385" s="46"/>
      <c r="W385" s="42"/>
    </row>
    <row r="386">
      <c r="A386" s="15">
        <v>385.0</v>
      </c>
      <c r="B386" s="18" t="s">
        <v>33</v>
      </c>
      <c r="C386" s="362" t="e">
        <v>#N/A</v>
      </c>
      <c r="D386" s="18" t="s">
        <v>2797</v>
      </c>
      <c r="E386" s="18" t="s">
        <v>2799</v>
      </c>
      <c r="F386" s="362" t="e">
        <v>#N/A</v>
      </c>
      <c r="G386" s="362" t="e">
        <v>#N/A</v>
      </c>
      <c r="H386" s="23"/>
      <c r="I386" s="25"/>
      <c r="J386" s="28">
        <v>46113.0</v>
      </c>
      <c r="K386" s="28">
        <v>46142.0</v>
      </c>
      <c r="L386" s="32"/>
      <c r="M386" s="35"/>
      <c r="N386" s="36"/>
      <c r="O386" s="38">
        <v>30.0</v>
      </c>
      <c r="P386" s="36"/>
      <c r="Q386" s="38">
        <v>30.0</v>
      </c>
      <c r="R386" s="36"/>
      <c r="S386" s="38" t="s">
        <v>53</v>
      </c>
      <c r="T386" s="42"/>
      <c r="U386" s="38">
        <v>100000.0</v>
      </c>
      <c r="V386" s="46"/>
      <c r="W386" s="42"/>
    </row>
    <row r="387">
      <c r="A387" s="15">
        <v>386.0</v>
      </c>
      <c r="B387" s="18" t="s">
        <v>33</v>
      </c>
      <c r="C387" s="18" t="s">
        <v>60</v>
      </c>
      <c r="D387" s="18" t="s">
        <v>2801</v>
      </c>
      <c r="E387" s="18" t="s">
        <v>2803</v>
      </c>
      <c r="F387" s="18" t="s">
        <v>187</v>
      </c>
      <c r="G387" s="18" t="s">
        <v>2804</v>
      </c>
      <c r="H387" s="23"/>
      <c r="I387" s="25"/>
      <c r="J387" s="28">
        <v>46113.0</v>
      </c>
      <c r="K387" s="28">
        <v>46142.0</v>
      </c>
      <c r="L387" s="32"/>
      <c r="M387" s="35"/>
      <c r="N387" s="36"/>
      <c r="O387" s="38">
        <v>30.0</v>
      </c>
      <c r="P387" s="36"/>
      <c r="Q387" s="38">
        <v>30.0</v>
      </c>
      <c r="R387" s="36"/>
      <c r="S387" s="38" t="s">
        <v>53</v>
      </c>
      <c r="T387" s="42"/>
      <c r="U387" s="38">
        <v>100000.0</v>
      </c>
      <c r="V387" s="46"/>
      <c r="W387" s="42"/>
    </row>
    <row r="388">
      <c r="A388" s="15">
        <v>387.0</v>
      </c>
      <c r="B388" s="18" t="s">
        <v>33</v>
      </c>
      <c r="C388" s="18" t="s">
        <v>60</v>
      </c>
      <c r="D388" s="18" t="s">
        <v>2806</v>
      </c>
      <c r="E388" s="18" t="s">
        <v>2807</v>
      </c>
      <c r="F388" s="18" t="s">
        <v>187</v>
      </c>
      <c r="G388" s="18" t="s">
        <v>2808</v>
      </c>
      <c r="H388" s="23"/>
      <c r="I388" s="25"/>
      <c r="J388" s="28">
        <v>46113.0</v>
      </c>
      <c r="K388" s="28">
        <v>46142.0</v>
      </c>
      <c r="L388" s="32"/>
      <c r="M388" s="35"/>
      <c r="N388" s="36"/>
      <c r="O388" s="38">
        <v>30.0</v>
      </c>
      <c r="P388" s="36"/>
      <c r="Q388" s="38">
        <v>30.0</v>
      </c>
      <c r="R388" s="36"/>
      <c r="S388" s="38" t="s">
        <v>53</v>
      </c>
      <c r="T388" s="42"/>
      <c r="U388" s="38">
        <v>100000.0</v>
      </c>
      <c r="V388" s="46"/>
      <c r="W388" s="42"/>
    </row>
    <row r="389">
      <c r="A389" s="15">
        <v>388.0</v>
      </c>
      <c r="B389" s="18" t="s">
        <v>33</v>
      </c>
      <c r="C389" s="362" t="e">
        <v>#N/A</v>
      </c>
      <c r="D389" s="18" t="s">
        <v>2813</v>
      </c>
      <c r="E389" s="18" t="s">
        <v>2814</v>
      </c>
      <c r="F389" s="362" t="e">
        <v>#N/A</v>
      </c>
      <c r="G389" s="362" t="e">
        <v>#N/A</v>
      </c>
      <c r="H389" s="23"/>
      <c r="I389" s="25"/>
      <c r="J389" s="28">
        <v>46113.0</v>
      </c>
      <c r="K389" s="28">
        <v>46142.0</v>
      </c>
      <c r="L389" s="32"/>
      <c r="M389" s="35"/>
      <c r="N389" s="36"/>
      <c r="O389" s="38">
        <v>30.0</v>
      </c>
      <c r="P389" s="36"/>
      <c r="Q389" s="38">
        <v>30.0</v>
      </c>
      <c r="R389" s="36"/>
      <c r="S389" s="38" t="s">
        <v>53</v>
      </c>
      <c r="T389" s="42"/>
      <c r="U389" s="38">
        <v>100000.0</v>
      </c>
      <c r="V389" s="79" t="s">
        <v>125</v>
      </c>
      <c r="W389" s="42"/>
    </row>
    <row r="390">
      <c r="A390" s="15">
        <v>389.0</v>
      </c>
      <c r="B390" s="18" t="s">
        <v>33</v>
      </c>
      <c r="C390" s="362" t="e">
        <v>#N/A</v>
      </c>
      <c r="D390" s="18" t="s">
        <v>2817</v>
      </c>
      <c r="E390" s="18" t="s">
        <v>2818</v>
      </c>
      <c r="F390" s="362" t="e">
        <v>#N/A</v>
      </c>
      <c r="G390" s="362" t="e">
        <v>#N/A</v>
      </c>
      <c r="H390" s="23"/>
      <c r="I390" s="25"/>
      <c r="J390" s="28">
        <v>46113.0</v>
      </c>
      <c r="K390" s="28">
        <v>46142.0</v>
      </c>
      <c r="L390" s="32"/>
      <c r="M390" s="35"/>
      <c r="N390" s="36"/>
      <c r="O390" s="38">
        <v>30.0</v>
      </c>
      <c r="P390" s="36"/>
      <c r="Q390" s="38">
        <v>30.0</v>
      </c>
      <c r="R390" s="36"/>
      <c r="S390" s="38" t="s">
        <v>53</v>
      </c>
      <c r="T390" s="42"/>
      <c r="U390" s="38">
        <v>100000.0</v>
      </c>
      <c r="V390" s="46"/>
      <c r="W390" s="42"/>
    </row>
    <row r="391">
      <c r="A391" s="15">
        <v>390.0</v>
      </c>
      <c r="B391" s="18" t="s">
        <v>33</v>
      </c>
      <c r="C391" s="18" t="s">
        <v>60</v>
      </c>
      <c r="D391" s="18" t="s">
        <v>2819</v>
      </c>
      <c r="E391" s="18" t="s">
        <v>2820</v>
      </c>
      <c r="F391" s="18" t="s">
        <v>2821</v>
      </c>
      <c r="G391" s="18" t="s">
        <v>2823</v>
      </c>
      <c r="H391" s="23"/>
      <c r="I391" s="25"/>
      <c r="J391" s="28">
        <v>46113.0</v>
      </c>
      <c r="K391" s="28">
        <v>46142.0</v>
      </c>
      <c r="L391" s="32"/>
      <c r="M391" s="35"/>
      <c r="N391" s="36"/>
      <c r="O391" s="38">
        <v>30.0</v>
      </c>
      <c r="P391" s="36"/>
      <c r="Q391" s="38">
        <v>30.0</v>
      </c>
      <c r="R391" s="36"/>
      <c r="S391" s="38" t="s">
        <v>53</v>
      </c>
      <c r="T391" s="42"/>
      <c r="U391" s="38">
        <v>100000.0</v>
      </c>
      <c r="V391" s="46"/>
      <c r="W391" s="42"/>
    </row>
    <row r="392">
      <c r="A392" s="15">
        <v>391.0</v>
      </c>
      <c r="B392" s="18" t="s">
        <v>33</v>
      </c>
      <c r="C392" s="18" t="s">
        <v>60</v>
      </c>
      <c r="D392" s="18" t="s">
        <v>2827</v>
      </c>
      <c r="E392" s="18" t="s">
        <v>2828</v>
      </c>
      <c r="F392" s="18" t="s">
        <v>1431</v>
      </c>
      <c r="G392" s="18" t="s">
        <v>2829</v>
      </c>
      <c r="H392" s="23"/>
      <c r="I392" s="25"/>
      <c r="J392" s="28">
        <v>46113.0</v>
      </c>
      <c r="K392" s="28">
        <v>46142.0</v>
      </c>
      <c r="L392" s="32"/>
      <c r="M392" s="35"/>
      <c r="N392" s="36"/>
      <c r="O392" s="38">
        <v>30.0</v>
      </c>
      <c r="P392" s="36"/>
      <c r="Q392" s="38">
        <v>30.0</v>
      </c>
      <c r="R392" s="36"/>
      <c r="S392" s="38" t="s">
        <v>53</v>
      </c>
      <c r="T392" s="42"/>
      <c r="U392" s="38">
        <v>100000.0</v>
      </c>
      <c r="V392" s="79" t="s">
        <v>125</v>
      </c>
      <c r="W392" s="18" t="s">
        <v>449</v>
      </c>
    </row>
    <row r="393">
      <c r="A393" s="15">
        <v>392.0</v>
      </c>
      <c r="B393" s="18" t="s">
        <v>33</v>
      </c>
      <c r="C393" s="18" t="s">
        <v>60</v>
      </c>
      <c r="D393" s="18" t="s">
        <v>2835</v>
      </c>
      <c r="E393" s="18" t="s">
        <v>2836</v>
      </c>
      <c r="F393" s="18" t="s">
        <v>2793</v>
      </c>
      <c r="G393" s="18" t="s">
        <v>2839</v>
      </c>
      <c r="H393" s="23"/>
      <c r="I393" s="25"/>
      <c r="J393" s="28">
        <v>46113.0</v>
      </c>
      <c r="K393" s="28">
        <v>46142.0</v>
      </c>
      <c r="L393" s="32"/>
      <c r="M393" s="35"/>
      <c r="N393" s="36"/>
      <c r="O393" s="38">
        <v>30.0</v>
      </c>
      <c r="P393" s="36"/>
      <c r="Q393" s="38">
        <v>30.0</v>
      </c>
      <c r="R393" s="36"/>
      <c r="S393" s="38" t="s">
        <v>53</v>
      </c>
      <c r="T393" s="42"/>
      <c r="U393" s="38">
        <v>100000.0</v>
      </c>
      <c r="V393" s="46"/>
      <c r="W393" s="42"/>
    </row>
    <row r="394">
      <c r="A394" s="15">
        <v>393.0</v>
      </c>
      <c r="B394" s="18" t="s">
        <v>33</v>
      </c>
      <c r="C394" s="18" t="s">
        <v>60</v>
      </c>
      <c r="D394" s="18" t="s">
        <v>2843</v>
      </c>
      <c r="E394" s="18" t="s">
        <v>2844</v>
      </c>
      <c r="F394" s="18" t="s">
        <v>201</v>
      </c>
      <c r="G394" s="18" t="s">
        <v>2845</v>
      </c>
      <c r="H394" s="51">
        <v>46113.0</v>
      </c>
      <c r="I394" s="51">
        <v>46125.0</v>
      </c>
      <c r="J394" s="28">
        <v>46126.0</v>
      </c>
      <c r="K394" s="28">
        <v>46142.0</v>
      </c>
      <c r="L394" s="32"/>
      <c r="M394" s="35"/>
      <c r="N394" s="38">
        <v>13.0</v>
      </c>
      <c r="O394" s="38">
        <v>17.0</v>
      </c>
      <c r="P394" s="36"/>
      <c r="Q394" s="38">
        <v>30.0</v>
      </c>
      <c r="R394" s="38" t="s">
        <v>217</v>
      </c>
      <c r="S394" s="38" t="s">
        <v>218</v>
      </c>
      <c r="T394" s="42"/>
      <c r="U394" s="38">
        <v>69666.67</v>
      </c>
      <c r="V394" s="46"/>
      <c r="W394" s="42"/>
    </row>
    <row r="395">
      <c r="A395" s="15">
        <v>394.0</v>
      </c>
      <c r="B395" s="18" t="s">
        <v>33</v>
      </c>
      <c r="C395" s="18" t="s">
        <v>60</v>
      </c>
      <c r="D395" s="18" t="s">
        <v>2848</v>
      </c>
      <c r="E395" s="18" t="s">
        <v>2849</v>
      </c>
      <c r="F395" s="18" t="s">
        <v>139</v>
      </c>
      <c r="G395" s="18" t="s">
        <v>2851</v>
      </c>
      <c r="H395" s="23"/>
      <c r="I395" s="25"/>
      <c r="J395" s="28">
        <v>46113.0</v>
      </c>
      <c r="K395" s="28">
        <v>46142.0</v>
      </c>
      <c r="L395" s="32"/>
      <c r="M395" s="35"/>
      <c r="N395" s="36"/>
      <c r="O395" s="38">
        <v>30.0</v>
      </c>
      <c r="P395" s="36"/>
      <c r="Q395" s="38">
        <v>30.0</v>
      </c>
      <c r="R395" s="36"/>
      <c r="S395" s="38" t="s">
        <v>53</v>
      </c>
      <c r="T395" s="42"/>
      <c r="U395" s="38">
        <v>100000.0</v>
      </c>
      <c r="V395" s="79" t="s">
        <v>125</v>
      </c>
      <c r="W395" s="42"/>
    </row>
    <row r="396">
      <c r="A396" s="15">
        <v>395.0</v>
      </c>
      <c r="B396" s="18" t="s">
        <v>33</v>
      </c>
      <c r="C396" s="18" t="s">
        <v>60</v>
      </c>
      <c r="D396" s="324" t="s">
        <v>2856</v>
      </c>
      <c r="E396" s="18" t="s">
        <v>2857</v>
      </c>
      <c r="F396" s="18" t="s">
        <v>139</v>
      </c>
      <c r="G396" s="18" t="s">
        <v>2859</v>
      </c>
      <c r="H396" s="23"/>
      <c r="I396" s="25"/>
      <c r="J396" s="28">
        <v>46113.0</v>
      </c>
      <c r="K396" s="28">
        <v>46142.0</v>
      </c>
      <c r="L396" s="32"/>
      <c r="M396" s="35"/>
      <c r="N396" s="36"/>
      <c r="O396" s="38">
        <v>30.0</v>
      </c>
      <c r="P396" s="36"/>
      <c r="Q396" s="38">
        <v>30.0</v>
      </c>
      <c r="R396" s="36"/>
      <c r="S396" s="38" t="s">
        <v>53</v>
      </c>
      <c r="T396" s="42"/>
      <c r="U396" s="38">
        <v>100000.0</v>
      </c>
      <c r="V396" s="46"/>
      <c r="W396" s="42"/>
    </row>
    <row r="397">
      <c r="A397" s="15">
        <v>396.0</v>
      </c>
      <c r="B397" s="18" t="s">
        <v>33</v>
      </c>
      <c r="C397" s="18" t="s">
        <v>60</v>
      </c>
      <c r="D397" s="18" t="s">
        <v>2860</v>
      </c>
      <c r="E397" s="18" t="s">
        <v>2862</v>
      </c>
      <c r="F397" s="18" t="s">
        <v>2660</v>
      </c>
      <c r="G397" s="18" t="s">
        <v>2863</v>
      </c>
      <c r="H397" s="51">
        <v>46113.0</v>
      </c>
      <c r="I397" s="51">
        <v>46125.0</v>
      </c>
      <c r="J397" s="28">
        <v>46126.0</v>
      </c>
      <c r="K397" s="28">
        <v>46142.0</v>
      </c>
      <c r="L397" s="32"/>
      <c r="M397" s="35"/>
      <c r="N397" s="38">
        <v>13.0</v>
      </c>
      <c r="O397" s="38">
        <v>17.0</v>
      </c>
      <c r="P397" s="36"/>
      <c r="Q397" s="38">
        <v>30.0</v>
      </c>
      <c r="R397" s="38" t="s">
        <v>217</v>
      </c>
      <c r="S397" s="38" t="s">
        <v>218</v>
      </c>
      <c r="T397" s="42"/>
      <c r="U397" s="38">
        <v>69666.67</v>
      </c>
      <c r="V397" s="46"/>
      <c r="W397" s="42"/>
    </row>
    <row r="398">
      <c r="A398" s="15">
        <v>397.0</v>
      </c>
      <c r="B398" s="18" t="s">
        <v>33</v>
      </c>
      <c r="C398" s="18" t="s">
        <v>102</v>
      </c>
      <c r="D398" s="18" t="s">
        <v>2864</v>
      </c>
      <c r="E398" s="18" t="s">
        <v>1583</v>
      </c>
      <c r="F398" s="18" t="s">
        <v>1345</v>
      </c>
      <c r="G398" s="18" t="s">
        <v>2865</v>
      </c>
      <c r="H398" s="23"/>
      <c r="I398" s="25"/>
      <c r="J398" s="28">
        <v>46113.0</v>
      </c>
      <c r="K398" s="28">
        <v>46142.0</v>
      </c>
      <c r="L398" s="32"/>
      <c r="M398" s="35"/>
      <c r="N398" s="36"/>
      <c r="O398" s="38">
        <v>30.0</v>
      </c>
      <c r="P398" s="36"/>
      <c r="Q398" s="38">
        <v>30.0</v>
      </c>
      <c r="R398" s="36"/>
      <c r="S398" s="38" t="s">
        <v>53</v>
      </c>
      <c r="T398" s="42"/>
      <c r="U398" s="38">
        <v>100000.0</v>
      </c>
      <c r="V398" s="79" t="s">
        <v>125</v>
      </c>
      <c r="W398" s="42"/>
    </row>
    <row r="399">
      <c r="A399" s="15">
        <v>398.0</v>
      </c>
      <c r="B399" s="18" t="s">
        <v>33</v>
      </c>
      <c r="C399" s="18" t="s">
        <v>60</v>
      </c>
      <c r="D399" s="18" t="s">
        <v>2867</v>
      </c>
      <c r="E399" s="18" t="s">
        <v>2868</v>
      </c>
      <c r="F399" s="18" t="s">
        <v>139</v>
      </c>
      <c r="G399" s="18" t="s">
        <v>2869</v>
      </c>
      <c r="H399" s="23"/>
      <c r="I399" s="25"/>
      <c r="J399" s="28">
        <v>46113.0</v>
      </c>
      <c r="K399" s="28">
        <v>46142.0</v>
      </c>
      <c r="L399" s="32"/>
      <c r="M399" s="35"/>
      <c r="N399" s="36"/>
      <c r="O399" s="38">
        <v>30.0</v>
      </c>
      <c r="P399" s="36"/>
      <c r="Q399" s="38">
        <v>30.0</v>
      </c>
      <c r="R399" s="36"/>
      <c r="S399" s="38" t="s">
        <v>53</v>
      </c>
      <c r="T399" s="42"/>
      <c r="U399" s="38">
        <v>100000.0</v>
      </c>
      <c r="V399" s="46"/>
      <c r="W399" s="42"/>
    </row>
    <row r="400">
      <c r="A400" s="15">
        <v>399.0</v>
      </c>
      <c r="B400" s="18" t="s">
        <v>33</v>
      </c>
      <c r="C400" s="18" t="s">
        <v>60</v>
      </c>
      <c r="D400" s="324" t="s">
        <v>2871</v>
      </c>
      <c r="E400" s="18" t="s">
        <v>2873</v>
      </c>
      <c r="F400" s="18" t="s">
        <v>213</v>
      </c>
      <c r="G400" s="18" t="s">
        <v>2875</v>
      </c>
      <c r="H400" s="23"/>
      <c r="I400" s="25"/>
      <c r="J400" s="28">
        <v>46113.0</v>
      </c>
      <c r="K400" s="28">
        <v>46135.0</v>
      </c>
      <c r="L400" s="32"/>
      <c r="M400" s="35"/>
      <c r="N400" s="36"/>
      <c r="O400" s="38">
        <v>23.0</v>
      </c>
      <c r="P400" s="36"/>
      <c r="Q400" s="38">
        <v>23.0</v>
      </c>
      <c r="R400" s="36"/>
      <c r="S400" s="38" t="s">
        <v>2114</v>
      </c>
      <c r="T400" s="42"/>
      <c r="U400" s="38">
        <v>76666.67</v>
      </c>
      <c r="V400" s="46"/>
      <c r="W400" s="42"/>
    </row>
    <row r="401">
      <c r="A401" s="15">
        <v>400.0</v>
      </c>
      <c r="B401" s="18" t="s">
        <v>33</v>
      </c>
      <c r="C401" s="18" t="s">
        <v>60</v>
      </c>
      <c r="D401" s="18" t="s">
        <v>2877</v>
      </c>
      <c r="E401" s="18" t="s">
        <v>2878</v>
      </c>
      <c r="F401" s="18" t="s">
        <v>287</v>
      </c>
      <c r="G401" s="18" t="s">
        <v>2879</v>
      </c>
      <c r="H401" s="23"/>
      <c r="I401" s="25"/>
      <c r="J401" s="28">
        <v>46113.0</v>
      </c>
      <c r="K401" s="28">
        <v>46142.0</v>
      </c>
      <c r="L401" s="32"/>
      <c r="M401" s="35"/>
      <c r="N401" s="36"/>
      <c r="O401" s="38">
        <v>30.0</v>
      </c>
      <c r="P401" s="36"/>
      <c r="Q401" s="38">
        <v>30.0</v>
      </c>
      <c r="R401" s="36"/>
      <c r="S401" s="38" t="s">
        <v>53</v>
      </c>
      <c r="T401" s="42"/>
      <c r="U401" s="38">
        <v>100000.0</v>
      </c>
      <c r="V401" s="46"/>
      <c r="W401" s="42"/>
    </row>
    <row r="402">
      <c r="A402" s="15">
        <v>401.0</v>
      </c>
      <c r="B402" s="18" t="s">
        <v>33</v>
      </c>
      <c r="C402" s="18" t="s">
        <v>60</v>
      </c>
      <c r="D402" s="18" t="s">
        <v>2881</v>
      </c>
      <c r="E402" s="18" t="s">
        <v>2882</v>
      </c>
      <c r="F402" s="18" t="s">
        <v>201</v>
      </c>
      <c r="G402" s="18" t="s">
        <v>2883</v>
      </c>
      <c r="H402" s="23"/>
      <c r="I402" s="25"/>
      <c r="J402" s="28">
        <v>46125.0</v>
      </c>
      <c r="K402" s="28">
        <v>46142.0</v>
      </c>
      <c r="L402" s="32"/>
      <c r="M402" s="35"/>
      <c r="N402" s="36"/>
      <c r="O402" s="38">
        <v>18.0</v>
      </c>
      <c r="P402" s="36"/>
      <c r="Q402" s="38">
        <v>18.0</v>
      </c>
      <c r="R402" s="36"/>
      <c r="S402" s="38" t="s">
        <v>611</v>
      </c>
      <c r="T402" s="42"/>
      <c r="U402" s="38">
        <v>60000.0</v>
      </c>
      <c r="V402" s="46"/>
      <c r="W402" s="42"/>
    </row>
    <row r="403">
      <c r="A403" s="15">
        <v>402.0</v>
      </c>
      <c r="B403" s="18" t="s">
        <v>33</v>
      </c>
      <c r="C403" s="18" t="s">
        <v>102</v>
      </c>
      <c r="D403" s="18" t="s">
        <v>2887</v>
      </c>
      <c r="E403" s="18" t="s">
        <v>2888</v>
      </c>
      <c r="F403" s="18" t="s">
        <v>119</v>
      </c>
      <c r="G403" s="18" t="s">
        <v>2890</v>
      </c>
      <c r="H403" s="23"/>
      <c r="I403" s="25"/>
      <c r="J403" s="28">
        <v>46113.0</v>
      </c>
      <c r="K403" s="28">
        <v>46142.0</v>
      </c>
      <c r="L403" s="32"/>
      <c r="M403" s="35"/>
      <c r="N403" s="36"/>
      <c r="O403" s="38">
        <v>30.0</v>
      </c>
      <c r="P403" s="36"/>
      <c r="Q403" s="38">
        <v>30.0</v>
      </c>
      <c r="R403" s="36"/>
      <c r="S403" s="38" t="s">
        <v>53</v>
      </c>
      <c r="T403" s="42"/>
      <c r="U403" s="38">
        <v>100000.0</v>
      </c>
      <c r="V403" s="46"/>
      <c r="W403" s="42"/>
    </row>
    <row r="404">
      <c r="A404" s="15">
        <v>403.0</v>
      </c>
      <c r="B404" s="18" t="s">
        <v>33</v>
      </c>
      <c r="C404" s="18" t="s">
        <v>60</v>
      </c>
      <c r="D404" s="18" t="s">
        <v>2892</v>
      </c>
      <c r="E404" s="18" t="s">
        <v>2248</v>
      </c>
      <c r="F404" s="18" t="s">
        <v>786</v>
      </c>
      <c r="G404" s="18" t="s">
        <v>2893</v>
      </c>
      <c r="H404" s="23"/>
      <c r="I404" s="25"/>
      <c r="J404" s="28">
        <v>46113.0</v>
      </c>
      <c r="K404" s="28">
        <v>46142.0</v>
      </c>
      <c r="L404" s="32"/>
      <c r="M404" s="35"/>
      <c r="N404" s="36"/>
      <c r="O404" s="38">
        <v>30.0</v>
      </c>
      <c r="P404" s="36"/>
      <c r="Q404" s="38">
        <v>30.0</v>
      </c>
      <c r="R404" s="36"/>
      <c r="S404" s="38" t="s">
        <v>53</v>
      </c>
      <c r="T404" s="42"/>
      <c r="U404" s="38">
        <v>100000.0</v>
      </c>
      <c r="V404" s="79" t="s">
        <v>125</v>
      </c>
      <c r="W404" s="42"/>
    </row>
    <row r="405">
      <c r="A405" s="15">
        <v>404.0</v>
      </c>
      <c r="B405" s="18" t="s">
        <v>33</v>
      </c>
      <c r="C405" s="18" t="s">
        <v>60</v>
      </c>
      <c r="D405" s="18" t="s">
        <v>2898</v>
      </c>
      <c r="E405" s="18" t="s">
        <v>2899</v>
      </c>
      <c r="F405" s="18" t="s">
        <v>201</v>
      </c>
      <c r="G405" s="18" t="s">
        <v>2901</v>
      </c>
      <c r="H405" s="51">
        <v>46113.0</v>
      </c>
      <c r="I405" s="51">
        <v>46125.0</v>
      </c>
      <c r="J405" s="28">
        <v>46126.0</v>
      </c>
      <c r="K405" s="28">
        <v>46142.0</v>
      </c>
      <c r="L405" s="32"/>
      <c r="M405" s="35"/>
      <c r="N405" s="38">
        <v>13.0</v>
      </c>
      <c r="O405" s="38">
        <v>17.0</v>
      </c>
      <c r="P405" s="36"/>
      <c r="Q405" s="38">
        <v>30.0</v>
      </c>
      <c r="R405" s="38" t="s">
        <v>217</v>
      </c>
      <c r="S405" s="38" t="s">
        <v>218</v>
      </c>
      <c r="T405" s="42"/>
      <c r="U405" s="38">
        <v>69666.67</v>
      </c>
      <c r="V405" s="46"/>
      <c r="W405" s="42"/>
    </row>
    <row r="406">
      <c r="A406" s="15">
        <v>405.0</v>
      </c>
      <c r="B406" s="18" t="s">
        <v>33</v>
      </c>
      <c r="C406" s="362" t="e">
        <v>#N/A</v>
      </c>
      <c r="D406" s="18" t="s">
        <v>2485</v>
      </c>
      <c r="E406" s="18" t="s">
        <v>2487</v>
      </c>
      <c r="F406" s="362" t="e">
        <v>#N/A</v>
      </c>
      <c r="G406" s="362" t="e">
        <v>#N/A</v>
      </c>
      <c r="H406" s="23"/>
      <c r="I406" s="25"/>
      <c r="J406" s="28">
        <v>46113.0</v>
      </c>
      <c r="K406" s="28">
        <v>46142.0</v>
      </c>
      <c r="L406" s="32"/>
      <c r="M406" s="35"/>
      <c r="N406" s="36"/>
      <c r="O406" s="38">
        <v>30.0</v>
      </c>
      <c r="P406" s="36"/>
      <c r="Q406" s="38">
        <v>30.0</v>
      </c>
      <c r="R406" s="36"/>
      <c r="S406" s="38" t="s">
        <v>53</v>
      </c>
      <c r="T406" s="42"/>
      <c r="U406" s="38">
        <v>100000.0</v>
      </c>
      <c r="V406" s="46"/>
      <c r="W406" s="42"/>
    </row>
    <row r="407">
      <c r="A407" s="15">
        <v>406.0</v>
      </c>
      <c r="B407" s="18" t="s">
        <v>33</v>
      </c>
      <c r="C407" s="362" t="e">
        <v>#N/A</v>
      </c>
      <c r="D407" s="18" t="s">
        <v>2909</v>
      </c>
      <c r="E407" s="18" t="s">
        <v>2910</v>
      </c>
      <c r="F407" s="362" t="e">
        <v>#N/A</v>
      </c>
      <c r="G407" s="362" t="e">
        <v>#N/A</v>
      </c>
      <c r="H407" s="23"/>
      <c r="I407" s="25"/>
      <c r="J407" s="28">
        <v>46113.0</v>
      </c>
      <c r="K407" s="28">
        <v>46142.0</v>
      </c>
      <c r="L407" s="32"/>
      <c r="M407" s="35"/>
      <c r="N407" s="36"/>
      <c r="O407" s="38">
        <v>30.0</v>
      </c>
      <c r="P407" s="36"/>
      <c r="Q407" s="38">
        <v>30.0</v>
      </c>
      <c r="R407" s="36"/>
      <c r="S407" s="38" t="s">
        <v>53</v>
      </c>
      <c r="T407" s="42"/>
      <c r="U407" s="38">
        <v>100000.0</v>
      </c>
      <c r="V407" s="46"/>
      <c r="W407" s="42"/>
    </row>
    <row r="408">
      <c r="A408" s="15">
        <v>407.0</v>
      </c>
      <c r="B408" s="18" t="s">
        <v>33</v>
      </c>
      <c r="C408" s="18" t="s">
        <v>360</v>
      </c>
      <c r="D408" s="18" t="s">
        <v>2916</v>
      </c>
      <c r="E408" s="18" t="s">
        <v>2918</v>
      </c>
      <c r="F408" s="18" t="s">
        <v>2919</v>
      </c>
      <c r="G408" s="18" t="s">
        <v>2920</v>
      </c>
      <c r="H408" s="23"/>
      <c r="I408" s="25"/>
      <c r="J408" s="28">
        <v>46113.0</v>
      </c>
      <c r="K408" s="28">
        <v>46142.0</v>
      </c>
      <c r="L408" s="32"/>
      <c r="M408" s="35"/>
      <c r="N408" s="36"/>
      <c r="O408" s="38">
        <v>30.0</v>
      </c>
      <c r="P408" s="36"/>
      <c r="Q408" s="38">
        <v>30.0</v>
      </c>
      <c r="R408" s="36"/>
      <c r="S408" s="38" t="s">
        <v>53</v>
      </c>
      <c r="T408" s="42"/>
      <c r="U408" s="38">
        <v>100000.0</v>
      </c>
      <c r="V408" s="79" t="s">
        <v>125</v>
      </c>
      <c r="W408" s="42"/>
    </row>
    <row r="409">
      <c r="A409" s="15">
        <v>408.0</v>
      </c>
      <c r="B409" s="18" t="s">
        <v>33</v>
      </c>
      <c r="C409" s="18" t="s">
        <v>60</v>
      </c>
      <c r="D409" s="18" t="s">
        <v>2924</v>
      </c>
      <c r="E409" s="18" t="s">
        <v>2926</v>
      </c>
      <c r="F409" s="18" t="s">
        <v>2929</v>
      </c>
      <c r="G409" s="18" t="s">
        <v>2930</v>
      </c>
      <c r="H409" s="23"/>
      <c r="I409" s="25"/>
      <c r="J409" s="28">
        <v>46113.0</v>
      </c>
      <c r="K409" s="28">
        <v>46142.0</v>
      </c>
      <c r="L409" s="32"/>
      <c r="M409" s="35"/>
      <c r="N409" s="36"/>
      <c r="O409" s="38">
        <v>30.0</v>
      </c>
      <c r="P409" s="36"/>
      <c r="Q409" s="38">
        <v>30.0</v>
      </c>
      <c r="R409" s="36"/>
      <c r="S409" s="38" t="s">
        <v>53</v>
      </c>
      <c r="T409" s="42"/>
      <c r="U409" s="38">
        <v>100000.0</v>
      </c>
      <c r="V409" s="46"/>
      <c r="W409" s="42"/>
    </row>
    <row r="410">
      <c r="A410" s="15">
        <v>409.0</v>
      </c>
      <c r="B410" s="18" t="s">
        <v>33</v>
      </c>
      <c r="C410" s="18" t="s">
        <v>60</v>
      </c>
      <c r="D410" s="18" t="s">
        <v>2934</v>
      </c>
      <c r="E410" s="18" t="s">
        <v>2935</v>
      </c>
      <c r="F410" s="18" t="s">
        <v>2936</v>
      </c>
      <c r="G410" s="18" t="s">
        <v>2937</v>
      </c>
      <c r="H410" s="23"/>
      <c r="I410" s="25"/>
      <c r="J410" s="28">
        <v>46113.0</v>
      </c>
      <c r="K410" s="28">
        <v>46142.0</v>
      </c>
      <c r="L410" s="32"/>
      <c r="M410" s="35"/>
      <c r="N410" s="36"/>
      <c r="O410" s="38">
        <v>30.0</v>
      </c>
      <c r="P410" s="36"/>
      <c r="Q410" s="38">
        <v>30.0</v>
      </c>
      <c r="R410" s="36"/>
      <c r="S410" s="38" t="s">
        <v>53</v>
      </c>
      <c r="T410" s="42"/>
      <c r="U410" s="38">
        <v>100000.0</v>
      </c>
      <c r="V410" s="46"/>
      <c r="W410" s="42"/>
    </row>
    <row r="411">
      <c r="A411" s="15">
        <v>410.0</v>
      </c>
      <c r="B411" s="18" t="s">
        <v>33</v>
      </c>
      <c r="C411" s="18" t="s">
        <v>60</v>
      </c>
      <c r="D411" s="18" t="s">
        <v>2943</v>
      </c>
      <c r="E411" s="18" t="s">
        <v>2945</v>
      </c>
      <c r="F411" s="18" t="s">
        <v>58</v>
      </c>
      <c r="G411" s="18" t="s">
        <v>2946</v>
      </c>
      <c r="H411" s="23"/>
      <c r="I411" s="25"/>
      <c r="J411" s="28">
        <v>46113.0</v>
      </c>
      <c r="K411" s="28">
        <v>46142.0</v>
      </c>
      <c r="L411" s="32"/>
      <c r="M411" s="35"/>
      <c r="N411" s="36"/>
      <c r="O411" s="38">
        <v>30.0</v>
      </c>
      <c r="P411" s="36"/>
      <c r="Q411" s="38">
        <v>30.0</v>
      </c>
      <c r="R411" s="36"/>
      <c r="S411" s="38" t="s">
        <v>53</v>
      </c>
      <c r="T411" s="42"/>
      <c r="U411" s="38">
        <v>100000.0</v>
      </c>
      <c r="V411" s="46"/>
      <c r="W411" s="42"/>
    </row>
    <row r="412">
      <c r="A412" s="15">
        <v>411.0</v>
      </c>
      <c r="B412" s="18" t="s">
        <v>33</v>
      </c>
      <c r="C412" s="18" t="s">
        <v>60</v>
      </c>
      <c r="D412" s="18" t="s">
        <v>2950</v>
      </c>
      <c r="E412" s="18" t="s">
        <v>2951</v>
      </c>
      <c r="F412" s="18" t="s">
        <v>201</v>
      </c>
      <c r="G412" s="18" t="s">
        <v>2954</v>
      </c>
      <c r="H412" s="23"/>
      <c r="I412" s="25"/>
      <c r="J412" s="28">
        <v>46133.0</v>
      </c>
      <c r="K412" s="28">
        <v>46142.0</v>
      </c>
      <c r="L412" s="32"/>
      <c r="M412" s="35"/>
      <c r="N412" s="36"/>
      <c r="O412" s="38">
        <v>10.0</v>
      </c>
      <c r="P412" s="36"/>
      <c r="Q412" s="38">
        <v>10.0</v>
      </c>
      <c r="R412" s="36"/>
      <c r="S412" s="38" t="s">
        <v>324</v>
      </c>
      <c r="T412" s="42"/>
      <c r="U412" s="38">
        <v>33333.33</v>
      </c>
      <c r="V412" s="46"/>
      <c r="W412" s="42"/>
    </row>
    <row r="413">
      <c r="A413" s="15">
        <v>412.0</v>
      </c>
      <c r="B413" s="18" t="s">
        <v>33</v>
      </c>
      <c r="C413" s="18" t="s">
        <v>60</v>
      </c>
      <c r="D413" s="18" t="s">
        <v>2956</v>
      </c>
      <c r="E413" s="18" t="s">
        <v>2958</v>
      </c>
      <c r="F413" s="18" t="s">
        <v>58</v>
      </c>
      <c r="G413" s="18" t="s">
        <v>2959</v>
      </c>
      <c r="H413" s="23"/>
      <c r="I413" s="25"/>
      <c r="J413" s="28">
        <v>46133.0</v>
      </c>
      <c r="K413" s="28">
        <v>46142.0</v>
      </c>
      <c r="L413" s="32"/>
      <c r="M413" s="35"/>
      <c r="N413" s="36"/>
      <c r="O413" s="38">
        <v>10.0</v>
      </c>
      <c r="P413" s="36"/>
      <c r="Q413" s="38">
        <v>10.0</v>
      </c>
      <c r="R413" s="36"/>
      <c r="S413" s="38" t="s">
        <v>324</v>
      </c>
      <c r="T413" s="42"/>
      <c r="U413" s="38">
        <v>33333.33</v>
      </c>
      <c r="V413" s="46"/>
      <c r="W413" s="42"/>
    </row>
    <row r="414">
      <c r="A414" s="15">
        <v>413.0</v>
      </c>
      <c r="B414" s="18" t="s">
        <v>33</v>
      </c>
      <c r="C414" s="18" t="s">
        <v>60</v>
      </c>
      <c r="D414" s="18" t="s">
        <v>2964</v>
      </c>
      <c r="E414" s="18" t="s">
        <v>2965</v>
      </c>
      <c r="F414" s="18" t="s">
        <v>331</v>
      </c>
      <c r="G414" s="18" t="s">
        <v>2966</v>
      </c>
      <c r="H414" s="25"/>
      <c r="I414" s="25"/>
      <c r="J414" s="28">
        <v>46133.0</v>
      </c>
      <c r="K414" s="28">
        <v>46142.0</v>
      </c>
      <c r="L414" s="35"/>
      <c r="M414" s="35"/>
      <c r="N414" s="36"/>
      <c r="O414" s="38">
        <v>10.0</v>
      </c>
      <c r="P414" s="42"/>
      <c r="Q414" s="38">
        <v>10.0</v>
      </c>
      <c r="R414" s="36"/>
      <c r="S414" s="38" t="s">
        <v>324</v>
      </c>
      <c r="T414" s="42"/>
      <c r="U414" s="38">
        <v>33333.33</v>
      </c>
      <c r="V414" s="46"/>
      <c r="W414" s="42"/>
    </row>
    <row r="415">
      <c r="A415" s="15">
        <v>414.0</v>
      </c>
      <c r="B415" s="18" t="s">
        <v>33</v>
      </c>
      <c r="C415" s="18" t="s">
        <v>60</v>
      </c>
      <c r="D415" s="18" t="s">
        <v>2970</v>
      </c>
      <c r="E415" s="18" t="s">
        <v>2971</v>
      </c>
      <c r="F415" s="18" t="s">
        <v>2972</v>
      </c>
      <c r="G415" s="18" t="s">
        <v>2974</v>
      </c>
      <c r="H415" s="23"/>
      <c r="I415" s="25"/>
      <c r="J415" s="28">
        <v>46133.0</v>
      </c>
      <c r="K415" s="28">
        <v>46142.0</v>
      </c>
      <c r="L415" s="32"/>
      <c r="M415" s="35"/>
      <c r="N415" s="36"/>
      <c r="O415" s="38">
        <v>10.0</v>
      </c>
      <c r="P415" s="36"/>
      <c r="Q415" s="38">
        <v>10.0</v>
      </c>
      <c r="R415" s="36"/>
      <c r="S415" s="38" t="s">
        <v>324</v>
      </c>
      <c r="T415" s="42"/>
      <c r="U415" s="38">
        <v>33333.33</v>
      </c>
      <c r="V415" s="46"/>
      <c r="W415" s="42"/>
    </row>
    <row r="416">
      <c r="A416" s="15">
        <v>415.0</v>
      </c>
      <c r="B416" s="18" t="s">
        <v>33</v>
      </c>
      <c r="C416" s="18" t="s">
        <v>326</v>
      </c>
      <c r="D416" s="18" t="s">
        <v>2977</v>
      </c>
      <c r="E416" s="18" t="s">
        <v>2978</v>
      </c>
      <c r="F416" s="18" t="s">
        <v>2979</v>
      </c>
      <c r="G416" s="18" t="s">
        <v>2980</v>
      </c>
      <c r="H416" s="23"/>
      <c r="I416" s="25"/>
      <c r="J416" s="28">
        <v>46133.0</v>
      </c>
      <c r="K416" s="28">
        <v>46142.0</v>
      </c>
      <c r="L416" s="32"/>
      <c r="M416" s="35"/>
      <c r="N416" s="36"/>
      <c r="O416" s="38">
        <v>10.0</v>
      </c>
      <c r="P416" s="36"/>
      <c r="Q416" s="38">
        <v>10.0</v>
      </c>
      <c r="R416" s="36"/>
      <c r="S416" s="38" t="s">
        <v>324</v>
      </c>
      <c r="T416" s="42"/>
      <c r="U416" s="38">
        <v>33333.33</v>
      </c>
      <c r="V416" s="46"/>
      <c r="W416" s="42"/>
    </row>
    <row r="417">
      <c r="A417" s="15">
        <v>416.0</v>
      </c>
      <c r="B417" s="18" t="s">
        <v>33</v>
      </c>
      <c r="C417" s="18" t="s">
        <v>60</v>
      </c>
      <c r="D417" s="18" t="s">
        <v>2984</v>
      </c>
      <c r="E417" s="18" t="s">
        <v>2985</v>
      </c>
      <c r="F417" s="18" t="s">
        <v>2986</v>
      </c>
      <c r="G417" s="18" t="s">
        <v>2987</v>
      </c>
      <c r="H417" s="23"/>
      <c r="I417" s="25"/>
      <c r="J417" s="28">
        <v>46133.0</v>
      </c>
      <c r="K417" s="28">
        <v>46142.0</v>
      </c>
      <c r="L417" s="32"/>
      <c r="M417" s="35"/>
      <c r="N417" s="36"/>
      <c r="O417" s="38">
        <v>10.0</v>
      </c>
      <c r="P417" s="36"/>
      <c r="Q417" s="38">
        <v>10.0</v>
      </c>
      <c r="R417" s="36"/>
      <c r="S417" s="38" t="s">
        <v>324</v>
      </c>
      <c r="T417" s="42"/>
      <c r="U417" s="38">
        <v>33333.33</v>
      </c>
      <c r="V417" s="46"/>
      <c r="W417" s="42"/>
    </row>
    <row r="418">
      <c r="A418" s="15">
        <v>417.0</v>
      </c>
      <c r="B418" s="18" t="s">
        <v>33</v>
      </c>
      <c r="C418" s="18" t="s">
        <v>60</v>
      </c>
      <c r="D418" s="18" t="s">
        <v>2989</v>
      </c>
      <c r="E418" s="18" t="s">
        <v>2990</v>
      </c>
      <c r="F418" s="18" t="s">
        <v>201</v>
      </c>
      <c r="G418" s="18" t="s">
        <v>2991</v>
      </c>
      <c r="H418" s="23"/>
      <c r="I418" s="25"/>
      <c r="J418" s="28">
        <v>46133.0</v>
      </c>
      <c r="K418" s="28">
        <v>46142.0</v>
      </c>
      <c r="L418" s="32"/>
      <c r="M418" s="35"/>
      <c r="N418" s="36"/>
      <c r="O418" s="38">
        <v>10.0</v>
      </c>
      <c r="P418" s="36"/>
      <c r="Q418" s="38">
        <v>10.0</v>
      </c>
      <c r="R418" s="36"/>
      <c r="S418" s="38" t="s">
        <v>324</v>
      </c>
      <c r="T418" s="42"/>
      <c r="U418" s="38">
        <v>33333.33</v>
      </c>
      <c r="V418" s="46"/>
      <c r="W418" s="42"/>
    </row>
    <row r="419">
      <c r="A419" s="15">
        <v>418.0</v>
      </c>
      <c r="B419" s="18" t="s">
        <v>33</v>
      </c>
      <c r="C419" s="18" t="s">
        <v>102</v>
      </c>
      <c r="D419" s="18" t="s">
        <v>1337</v>
      </c>
      <c r="E419" s="18" t="s">
        <v>1340</v>
      </c>
      <c r="F419" s="18" t="s">
        <v>119</v>
      </c>
      <c r="G419" s="18" t="s">
        <v>2996</v>
      </c>
      <c r="H419" s="23"/>
      <c r="I419" s="25"/>
      <c r="J419" s="28">
        <v>46133.0</v>
      </c>
      <c r="K419" s="28">
        <v>46142.0</v>
      </c>
      <c r="L419" s="32"/>
      <c r="M419" s="35"/>
      <c r="N419" s="36"/>
      <c r="O419" s="38">
        <v>10.0</v>
      </c>
      <c r="P419" s="36"/>
      <c r="Q419" s="38">
        <v>10.0</v>
      </c>
      <c r="R419" s="36"/>
      <c r="S419" s="38" t="s">
        <v>324</v>
      </c>
      <c r="T419" s="42"/>
      <c r="U419" s="38">
        <v>33333.33</v>
      </c>
      <c r="V419" s="46"/>
      <c r="W419" s="42"/>
    </row>
    <row r="420">
      <c r="A420" s="15">
        <v>419.0</v>
      </c>
      <c r="B420" s="18" t="s">
        <v>33</v>
      </c>
      <c r="C420" s="18" t="s">
        <v>60</v>
      </c>
      <c r="D420" s="18" t="s">
        <v>3002</v>
      </c>
      <c r="E420" s="18" t="s">
        <v>244</v>
      </c>
      <c r="F420" s="18" t="s">
        <v>139</v>
      </c>
      <c r="G420" s="18" t="s">
        <v>3003</v>
      </c>
      <c r="H420" s="23"/>
      <c r="I420" s="25"/>
      <c r="J420" s="28">
        <v>46133.0</v>
      </c>
      <c r="K420" s="28">
        <v>46142.0</v>
      </c>
      <c r="L420" s="32"/>
      <c r="M420" s="35"/>
      <c r="N420" s="36"/>
      <c r="O420" s="38">
        <v>10.0</v>
      </c>
      <c r="P420" s="36"/>
      <c r="Q420" s="38">
        <v>10.0</v>
      </c>
      <c r="R420" s="36"/>
      <c r="S420" s="38" t="s">
        <v>324</v>
      </c>
      <c r="T420" s="42"/>
      <c r="U420" s="38">
        <v>33333.33</v>
      </c>
      <c r="V420" s="46"/>
      <c r="W420" s="42"/>
    </row>
    <row r="421">
      <c r="A421" s="15">
        <v>420.0</v>
      </c>
      <c r="B421" s="18" t="s">
        <v>33</v>
      </c>
      <c r="C421" s="18" t="s">
        <v>60</v>
      </c>
      <c r="D421" s="18" t="s">
        <v>3008</v>
      </c>
      <c r="E421" s="18" t="s">
        <v>3009</v>
      </c>
      <c r="F421" s="18" t="s">
        <v>139</v>
      </c>
      <c r="G421" s="18" t="s">
        <v>3011</v>
      </c>
      <c r="H421" s="23"/>
      <c r="I421" s="25"/>
      <c r="J421" s="28">
        <v>46133.0</v>
      </c>
      <c r="K421" s="28">
        <v>46142.0</v>
      </c>
      <c r="L421" s="32"/>
      <c r="M421" s="35"/>
      <c r="N421" s="36"/>
      <c r="O421" s="38">
        <v>10.0</v>
      </c>
      <c r="P421" s="36"/>
      <c r="Q421" s="38">
        <v>10.0</v>
      </c>
      <c r="R421" s="36"/>
      <c r="S421" s="38" t="s">
        <v>324</v>
      </c>
      <c r="T421" s="42"/>
      <c r="U421" s="38">
        <v>33333.33</v>
      </c>
      <c r="V421" s="46"/>
      <c r="W421" s="42"/>
    </row>
    <row r="422">
      <c r="A422" s="15">
        <v>421.0</v>
      </c>
      <c r="B422" s="18" t="s">
        <v>33</v>
      </c>
      <c r="C422" s="18" t="s">
        <v>60</v>
      </c>
      <c r="D422" s="18" t="s">
        <v>3018</v>
      </c>
      <c r="E422" s="18" t="s">
        <v>3019</v>
      </c>
      <c r="F422" s="18" t="s">
        <v>302</v>
      </c>
      <c r="G422" s="18" t="s">
        <v>3021</v>
      </c>
      <c r="H422" s="23"/>
      <c r="I422" s="25"/>
      <c r="J422" s="28">
        <v>46133.0</v>
      </c>
      <c r="K422" s="28">
        <v>46142.0</v>
      </c>
      <c r="L422" s="32"/>
      <c r="M422" s="35"/>
      <c r="N422" s="36"/>
      <c r="O422" s="38">
        <v>10.0</v>
      </c>
      <c r="P422" s="36"/>
      <c r="Q422" s="38">
        <v>10.0</v>
      </c>
      <c r="R422" s="36"/>
      <c r="S422" s="38" t="s">
        <v>324</v>
      </c>
      <c r="T422" s="42"/>
      <c r="U422" s="38">
        <v>33333.33</v>
      </c>
      <c r="V422" s="46"/>
      <c r="W422" s="42"/>
    </row>
    <row r="423">
      <c r="A423" s="15">
        <v>422.0</v>
      </c>
      <c r="B423" s="18" t="s">
        <v>33</v>
      </c>
      <c r="C423" s="18" t="s">
        <v>60</v>
      </c>
      <c r="D423" s="18" t="s">
        <v>3023</v>
      </c>
      <c r="E423" s="18" t="s">
        <v>1366</v>
      </c>
      <c r="F423" s="18" t="s">
        <v>2929</v>
      </c>
      <c r="G423" s="18" t="s">
        <v>3025</v>
      </c>
      <c r="H423" s="23"/>
      <c r="I423" s="25"/>
      <c r="J423" s="28">
        <v>46133.0</v>
      </c>
      <c r="K423" s="28">
        <v>46142.0</v>
      </c>
      <c r="L423" s="32"/>
      <c r="M423" s="35"/>
      <c r="N423" s="36"/>
      <c r="O423" s="38">
        <v>10.0</v>
      </c>
      <c r="P423" s="36"/>
      <c r="Q423" s="38">
        <v>10.0</v>
      </c>
      <c r="R423" s="36"/>
      <c r="S423" s="38" t="s">
        <v>324</v>
      </c>
      <c r="T423" s="42"/>
      <c r="U423" s="38">
        <v>33333.33</v>
      </c>
      <c r="V423" s="46"/>
      <c r="W423" s="42"/>
    </row>
    <row r="424">
      <c r="A424" s="15">
        <v>423.0</v>
      </c>
      <c r="B424" s="18" t="s">
        <v>33</v>
      </c>
      <c r="C424" s="18" t="s">
        <v>60</v>
      </c>
      <c r="D424" s="18" t="s">
        <v>3027</v>
      </c>
      <c r="E424" s="18" t="s">
        <v>3028</v>
      </c>
      <c r="F424" s="18" t="s">
        <v>2986</v>
      </c>
      <c r="G424" s="18" t="s">
        <v>3030</v>
      </c>
      <c r="H424" s="23"/>
      <c r="I424" s="25"/>
      <c r="J424" s="28">
        <v>46133.0</v>
      </c>
      <c r="K424" s="28">
        <v>46142.0</v>
      </c>
      <c r="L424" s="32"/>
      <c r="M424" s="35"/>
      <c r="N424" s="36"/>
      <c r="O424" s="38">
        <v>10.0</v>
      </c>
      <c r="P424" s="36"/>
      <c r="Q424" s="38">
        <v>10.0</v>
      </c>
      <c r="R424" s="36"/>
      <c r="S424" s="38" t="s">
        <v>324</v>
      </c>
      <c r="T424" s="42"/>
      <c r="U424" s="38">
        <v>33333.33</v>
      </c>
      <c r="V424" s="46"/>
      <c r="W424" s="42"/>
    </row>
    <row r="425">
      <c r="A425" s="15">
        <v>424.0</v>
      </c>
      <c r="B425" s="18" t="s">
        <v>33</v>
      </c>
      <c r="C425" s="362" t="e">
        <v>#N/A</v>
      </c>
      <c r="D425" s="18" t="s">
        <v>3034</v>
      </c>
      <c r="E425" s="18" t="s">
        <v>3036</v>
      </c>
      <c r="F425" s="362" t="e">
        <v>#N/A</v>
      </c>
      <c r="G425" s="362" t="e">
        <v>#N/A</v>
      </c>
      <c r="H425" s="23"/>
      <c r="I425" s="25"/>
      <c r="J425" s="28">
        <v>46113.0</v>
      </c>
      <c r="K425" s="28">
        <v>46120.0</v>
      </c>
      <c r="L425" s="32"/>
      <c r="M425" s="35"/>
      <c r="N425" s="36"/>
      <c r="O425" s="38">
        <v>8.0</v>
      </c>
      <c r="P425" s="36"/>
      <c r="Q425" s="38">
        <v>8.0</v>
      </c>
      <c r="R425" s="36"/>
      <c r="S425" s="38" t="s">
        <v>507</v>
      </c>
      <c r="T425" s="42"/>
      <c r="U425" s="38">
        <v>26666.67</v>
      </c>
      <c r="V425" s="46"/>
      <c r="W425" s="42"/>
    </row>
    <row r="426">
      <c r="A426" s="15">
        <v>425.0</v>
      </c>
      <c r="B426" s="18" t="s">
        <v>33</v>
      </c>
      <c r="C426" s="362" t="e">
        <v>#N/A</v>
      </c>
      <c r="D426" s="18" t="s">
        <v>3041</v>
      </c>
      <c r="E426" s="18" t="s">
        <v>3042</v>
      </c>
      <c r="F426" s="362" t="e">
        <v>#N/A</v>
      </c>
      <c r="G426" s="362" t="e">
        <v>#N/A</v>
      </c>
      <c r="H426" s="23"/>
      <c r="I426" s="25"/>
      <c r="J426" s="28">
        <v>46113.0</v>
      </c>
      <c r="K426" s="28">
        <v>46142.0</v>
      </c>
      <c r="L426" s="32"/>
      <c r="M426" s="35"/>
      <c r="N426" s="36"/>
      <c r="O426" s="38">
        <v>30.0</v>
      </c>
      <c r="P426" s="36"/>
      <c r="Q426" s="38">
        <v>30.0</v>
      </c>
      <c r="R426" s="36"/>
      <c r="S426" s="38" t="s">
        <v>53</v>
      </c>
      <c r="T426" s="42"/>
      <c r="U426" s="38">
        <v>100000.0</v>
      </c>
      <c r="V426" s="46"/>
      <c r="W426" s="42"/>
    </row>
    <row r="427">
      <c r="A427" s="15">
        <v>426.0</v>
      </c>
      <c r="B427" s="18" t="s">
        <v>33</v>
      </c>
      <c r="C427" s="18" t="s">
        <v>360</v>
      </c>
      <c r="D427" s="18" t="s">
        <v>3048</v>
      </c>
      <c r="E427" s="18" t="s">
        <v>3049</v>
      </c>
      <c r="F427" s="18" t="s">
        <v>2289</v>
      </c>
      <c r="G427" s="18" t="s">
        <v>3051</v>
      </c>
      <c r="H427" s="51">
        <v>46113.0</v>
      </c>
      <c r="I427" s="51">
        <v>46125.0</v>
      </c>
      <c r="J427" s="28">
        <v>46126.0</v>
      </c>
      <c r="K427" s="28">
        <v>46142.0</v>
      </c>
      <c r="L427" s="32"/>
      <c r="M427" s="35"/>
      <c r="N427" s="38">
        <v>13.0</v>
      </c>
      <c r="O427" s="38">
        <v>17.0</v>
      </c>
      <c r="P427" s="36"/>
      <c r="Q427" s="38">
        <v>30.0</v>
      </c>
      <c r="R427" s="38" t="s">
        <v>217</v>
      </c>
      <c r="S427" s="38" t="s">
        <v>218</v>
      </c>
      <c r="T427" s="42"/>
      <c r="U427" s="38">
        <v>69666.67</v>
      </c>
      <c r="V427" s="46"/>
      <c r="W427" s="42"/>
    </row>
    <row r="428">
      <c r="A428" s="15">
        <v>427.0</v>
      </c>
      <c r="B428" s="18" t="s">
        <v>33</v>
      </c>
      <c r="C428" s="18" t="s">
        <v>60</v>
      </c>
      <c r="D428" s="18" t="s">
        <v>3055</v>
      </c>
      <c r="E428" s="18" t="s">
        <v>3057</v>
      </c>
      <c r="F428" s="18" t="s">
        <v>302</v>
      </c>
      <c r="G428" s="18" t="s">
        <v>3058</v>
      </c>
      <c r="H428" s="23"/>
      <c r="I428" s="25"/>
      <c r="J428" s="28">
        <v>46113.0</v>
      </c>
      <c r="K428" s="28">
        <v>46142.0</v>
      </c>
      <c r="L428" s="32"/>
      <c r="M428" s="35"/>
      <c r="N428" s="36"/>
      <c r="O428" s="38">
        <v>30.0</v>
      </c>
      <c r="P428" s="36"/>
      <c r="Q428" s="38">
        <v>30.0</v>
      </c>
      <c r="R428" s="36"/>
      <c r="S428" s="38" t="s">
        <v>53</v>
      </c>
      <c r="T428" s="42"/>
      <c r="U428" s="38">
        <v>100000.0</v>
      </c>
      <c r="V428" s="46"/>
      <c r="W428" s="42"/>
    </row>
    <row r="429">
      <c r="A429" s="15">
        <v>428.0</v>
      </c>
      <c r="B429" s="18" t="s">
        <v>33</v>
      </c>
      <c r="C429" s="18" t="s">
        <v>60</v>
      </c>
      <c r="D429" s="18" t="s">
        <v>3064</v>
      </c>
      <c r="E429" s="18" t="s">
        <v>1639</v>
      </c>
      <c r="F429" s="18" t="s">
        <v>201</v>
      </c>
      <c r="G429" s="18" t="s">
        <v>3065</v>
      </c>
      <c r="H429" s="51">
        <v>46118.0</v>
      </c>
      <c r="I429" s="51">
        <v>46123.0</v>
      </c>
      <c r="J429" s="28">
        <v>46124.0</v>
      </c>
      <c r="K429" s="28">
        <v>46142.0</v>
      </c>
      <c r="L429" s="32"/>
      <c r="M429" s="35"/>
      <c r="N429" s="38">
        <v>6.0</v>
      </c>
      <c r="O429" s="38">
        <v>19.0</v>
      </c>
      <c r="P429" s="36"/>
      <c r="Q429" s="38">
        <v>25.0</v>
      </c>
      <c r="R429" s="38" t="s">
        <v>3069</v>
      </c>
      <c r="S429" s="38" t="s">
        <v>1601</v>
      </c>
      <c r="T429" s="42"/>
      <c r="U429" s="38">
        <v>69333.33</v>
      </c>
      <c r="V429" s="46"/>
      <c r="W429" s="42"/>
    </row>
    <row r="430">
      <c r="A430" s="15">
        <v>429.0</v>
      </c>
      <c r="B430" s="18" t="s">
        <v>33</v>
      </c>
      <c r="C430" s="327" t="s">
        <v>3072</v>
      </c>
      <c r="D430" s="36"/>
      <c r="E430" s="42"/>
      <c r="F430" s="42"/>
      <c r="G430" s="273"/>
      <c r="H430" s="23"/>
      <c r="I430" s="25"/>
      <c r="J430" s="328"/>
      <c r="K430" s="328"/>
      <c r="L430" s="32"/>
      <c r="M430" s="35"/>
      <c r="N430" s="36"/>
      <c r="O430" s="42"/>
      <c r="P430" s="36"/>
      <c r="Q430" s="38">
        <v>0.0</v>
      </c>
      <c r="R430" s="36"/>
      <c r="S430" s="42"/>
      <c r="T430" s="42"/>
      <c r="U430" s="38">
        <v>0.0</v>
      </c>
      <c r="V430" s="46"/>
      <c r="W430" s="42"/>
    </row>
    <row r="431">
      <c r="A431" s="15">
        <v>430.0</v>
      </c>
      <c r="B431" s="18" t="s">
        <v>33</v>
      </c>
      <c r="C431" s="18" t="s">
        <v>60</v>
      </c>
      <c r="D431" s="18" t="s">
        <v>3074</v>
      </c>
      <c r="E431" s="18" t="s">
        <v>3075</v>
      </c>
      <c r="F431" s="18" t="s">
        <v>213</v>
      </c>
      <c r="G431" s="18" t="s">
        <v>3076</v>
      </c>
      <c r="H431" s="23"/>
      <c r="I431" s="25"/>
      <c r="J431" s="28">
        <v>46113.0</v>
      </c>
      <c r="K431" s="28">
        <v>46142.0</v>
      </c>
      <c r="L431" s="32"/>
      <c r="M431" s="35"/>
      <c r="N431" s="36"/>
      <c r="O431" s="38">
        <v>30.0</v>
      </c>
      <c r="P431" s="36"/>
      <c r="Q431" s="38">
        <v>30.0</v>
      </c>
      <c r="R431" s="36"/>
      <c r="S431" s="38" t="s">
        <v>53</v>
      </c>
      <c r="T431" s="42"/>
      <c r="U431" s="38">
        <v>100000.0</v>
      </c>
      <c r="V431" s="46"/>
      <c r="W431" s="42"/>
    </row>
    <row r="432">
      <c r="A432" s="15">
        <v>431.0</v>
      </c>
      <c r="B432" s="18" t="s">
        <v>33</v>
      </c>
      <c r="C432" s="18" t="s">
        <v>60</v>
      </c>
      <c r="D432" s="18" t="s">
        <v>3077</v>
      </c>
      <c r="E432" s="18" t="s">
        <v>1021</v>
      </c>
      <c r="F432" s="18" t="s">
        <v>3078</v>
      </c>
      <c r="G432" s="18" t="s">
        <v>3079</v>
      </c>
      <c r="H432" s="23"/>
      <c r="I432" s="25"/>
      <c r="J432" s="28">
        <v>46139.0</v>
      </c>
      <c r="K432" s="28">
        <v>46142.0</v>
      </c>
      <c r="L432" s="32"/>
      <c r="M432" s="35"/>
      <c r="N432" s="36"/>
      <c r="O432" s="38">
        <v>4.0</v>
      </c>
      <c r="P432" s="36"/>
      <c r="Q432" s="38">
        <v>4.0</v>
      </c>
      <c r="R432" s="36"/>
      <c r="S432" s="38" t="s">
        <v>2320</v>
      </c>
      <c r="T432" s="42"/>
      <c r="U432" s="38">
        <v>13333.33</v>
      </c>
      <c r="V432" s="46"/>
      <c r="W432" s="42"/>
    </row>
    <row r="433">
      <c r="A433" s="15">
        <v>432.0</v>
      </c>
      <c r="B433" s="18" t="s">
        <v>33</v>
      </c>
      <c r="C433" s="18" t="s">
        <v>96</v>
      </c>
      <c r="D433" s="18" t="s">
        <v>3081</v>
      </c>
      <c r="E433" s="18" t="s">
        <v>3082</v>
      </c>
      <c r="F433" s="18" t="s">
        <v>170</v>
      </c>
      <c r="G433" s="18" t="s">
        <v>3083</v>
      </c>
      <c r="H433" s="23"/>
      <c r="I433" s="25"/>
      <c r="J433" s="28">
        <v>46113.0</v>
      </c>
      <c r="K433" s="28">
        <v>46142.0</v>
      </c>
      <c r="L433" s="32"/>
      <c r="M433" s="35"/>
      <c r="N433" s="36"/>
      <c r="O433" s="38">
        <v>30.0</v>
      </c>
      <c r="P433" s="36"/>
      <c r="Q433" s="38">
        <v>30.0</v>
      </c>
      <c r="R433" s="36"/>
      <c r="S433" s="38" t="s">
        <v>53</v>
      </c>
      <c r="T433" s="42"/>
      <c r="U433" s="38">
        <v>100000.0</v>
      </c>
      <c r="V433" s="46"/>
      <c r="W433" s="42"/>
    </row>
    <row r="434">
      <c r="A434" s="15">
        <v>433.0</v>
      </c>
      <c r="B434" s="18" t="s">
        <v>33</v>
      </c>
      <c r="C434" s="362" t="e">
        <v>#N/A</v>
      </c>
      <c r="D434" s="18" t="s">
        <v>3084</v>
      </c>
      <c r="E434" s="18" t="s">
        <v>3085</v>
      </c>
      <c r="F434" s="362" t="e">
        <v>#N/A</v>
      </c>
      <c r="G434" s="362" t="e">
        <v>#N/A</v>
      </c>
      <c r="H434" s="23"/>
      <c r="I434" s="25"/>
      <c r="J434" s="28">
        <v>46122.0</v>
      </c>
      <c r="K434" s="28">
        <v>46142.0</v>
      </c>
      <c r="L434" s="32"/>
      <c r="M434" s="35"/>
      <c r="N434" s="36"/>
      <c r="O434" s="38">
        <v>21.0</v>
      </c>
      <c r="P434" s="36"/>
      <c r="Q434" s="38">
        <v>21.0</v>
      </c>
      <c r="R434" s="36"/>
      <c r="S434" s="38" t="s">
        <v>157</v>
      </c>
      <c r="T434" s="42"/>
      <c r="U434" s="38">
        <v>70000.0</v>
      </c>
      <c r="V434" s="46"/>
      <c r="W434" s="42"/>
    </row>
    <row r="435">
      <c r="A435" s="15">
        <v>434.0</v>
      </c>
      <c r="B435" s="18" t="s">
        <v>33</v>
      </c>
      <c r="C435" s="362" t="e">
        <v>#N/A</v>
      </c>
      <c r="D435" s="18" t="s">
        <v>3086</v>
      </c>
      <c r="E435" s="18" t="s">
        <v>3087</v>
      </c>
      <c r="F435" s="362" t="e">
        <v>#N/A</v>
      </c>
      <c r="G435" s="362" t="e">
        <v>#N/A</v>
      </c>
      <c r="H435" s="23"/>
      <c r="I435" s="25"/>
      <c r="J435" s="28">
        <v>46128.0</v>
      </c>
      <c r="K435" s="28">
        <v>46142.0</v>
      </c>
      <c r="L435" s="32"/>
      <c r="M435" s="35"/>
      <c r="N435" s="36"/>
      <c r="O435" s="38">
        <v>15.0</v>
      </c>
      <c r="P435" s="36"/>
      <c r="Q435" s="38">
        <v>15.0</v>
      </c>
      <c r="R435" s="36"/>
      <c r="S435" s="38" t="s">
        <v>959</v>
      </c>
      <c r="T435" s="42"/>
      <c r="U435" s="38">
        <v>50000.0</v>
      </c>
      <c r="V435" s="46"/>
      <c r="W435" s="42"/>
    </row>
    <row r="436">
      <c r="A436" s="15">
        <v>435.0</v>
      </c>
      <c r="B436" s="18" t="s">
        <v>33</v>
      </c>
      <c r="C436" s="18" t="s">
        <v>60</v>
      </c>
      <c r="D436" s="18" t="s">
        <v>3089</v>
      </c>
      <c r="E436" s="18" t="s">
        <v>3090</v>
      </c>
      <c r="F436" s="18" t="s">
        <v>2986</v>
      </c>
      <c r="G436" s="18" t="s">
        <v>3091</v>
      </c>
      <c r="H436" s="23"/>
      <c r="I436" s="25"/>
      <c r="J436" s="28">
        <v>46133.0</v>
      </c>
      <c r="K436" s="28">
        <v>46142.0</v>
      </c>
      <c r="L436" s="32"/>
      <c r="M436" s="35"/>
      <c r="N436" s="36"/>
      <c r="O436" s="38">
        <v>10.0</v>
      </c>
      <c r="P436" s="36"/>
      <c r="Q436" s="38">
        <v>10.0</v>
      </c>
      <c r="R436" s="36"/>
      <c r="S436" s="38" t="s">
        <v>324</v>
      </c>
      <c r="T436" s="42"/>
      <c r="U436" s="38">
        <v>33333.33</v>
      </c>
      <c r="V436" s="46"/>
      <c r="W436" s="42"/>
    </row>
    <row r="437">
      <c r="A437" s="15">
        <v>436.0</v>
      </c>
      <c r="B437" s="18" t="s">
        <v>33</v>
      </c>
      <c r="C437" s="18" t="s">
        <v>60</v>
      </c>
      <c r="D437" s="18" t="s">
        <v>3094</v>
      </c>
      <c r="E437" s="18" t="s">
        <v>3095</v>
      </c>
      <c r="F437" s="18" t="s">
        <v>331</v>
      </c>
      <c r="G437" s="18" t="s">
        <v>2776</v>
      </c>
      <c r="H437" s="23"/>
      <c r="I437" s="25"/>
      <c r="J437" s="28">
        <v>46133.0</v>
      </c>
      <c r="K437" s="28">
        <v>46142.0</v>
      </c>
      <c r="L437" s="32"/>
      <c r="M437" s="35"/>
      <c r="N437" s="36"/>
      <c r="O437" s="38">
        <v>10.0</v>
      </c>
      <c r="P437" s="36"/>
      <c r="Q437" s="38">
        <v>10.0</v>
      </c>
      <c r="R437" s="36"/>
      <c r="S437" s="38" t="s">
        <v>324</v>
      </c>
      <c r="T437" s="42"/>
      <c r="U437" s="38">
        <v>33333.33</v>
      </c>
      <c r="V437" s="46"/>
      <c r="W437" s="42"/>
    </row>
    <row r="438">
      <c r="A438" s="15">
        <v>437.0</v>
      </c>
      <c r="B438" s="18" t="s">
        <v>33</v>
      </c>
      <c r="C438" s="18" t="s">
        <v>60</v>
      </c>
      <c r="D438" s="18" t="s">
        <v>3097</v>
      </c>
      <c r="E438" s="18" t="s">
        <v>3098</v>
      </c>
      <c r="F438" s="18" t="s">
        <v>187</v>
      </c>
      <c r="G438" s="18" t="s">
        <v>3099</v>
      </c>
      <c r="H438" s="23"/>
      <c r="I438" s="25"/>
      <c r="J438" s="28">
        <v>46133.0</v>
      </c>
      <c r="K438" s="28">
        <v>46142.0</v>
      </c>
      <c r="L438" s="32"/>
      <c r="M438" s="35"/>
      <c r="N438" s="36"/>
      <c r="O438" s="38">
        <v>10.0</v>
      </c>
      <c r="P438" s="36"/>
      <c r="Q438" s="38">
        <v>10.0</v>
      </c>
      <c r="R438" s="36"/>
      <c r="S438" s="38" t="s">
        <v>324</v>
      </c>
      <c r="T438" s="42"/>
      <c r="U438" s="38">
        <v>33333.33</v>
      </c>
      <c r="V438" s="46"/>
      <c r="W438" s="42"/>
    </row>
    <row r="439">
      <c r="A439" s="15">
        <v>438.0</v>
      </c>
      <c r="B439" s="18" t="s">
        <v>33</v>
      </c>
      <c r="C439" s="362" t="e">
        <v>#N/A</v>
      </c>
      <c r="D439" s="18" t="s">
        <v>3101</v>
      </c>
      <c r="E439" s="18" t="s">
        <v>3102</v>
      </c>
      <c r="F439" s="362" t="e">
        <v>#N/A</v>
      </c>
      <c r="G439" s="362" t="e">
        <v>#N/A</v>
      </c>
      <c r="H439" s="23"/>
      <c r="I439" s="25"/>
      <c r="J439" s="28">
        <v>46133.0</v>
      </c>
      <c r="K439" s="28">
        <v>46142.0</v>
      </c>
      <c r="L439" s="32"/>
      <c r="M439" s="35"/>
      <c r="N439" s="36"/>
      <c r="O439" s="38">
        <v>10.0</v>
      </c>
      <c r="P439" s="36"/>
      <c r="Q439" s="38">
        <v>10.0</v>
      </c>
      <c r="R439" s="36"/>
      <c r="S439" s="38" t="s">
        <v>324</v>
      </c>
      <c r="T439" s="42"/>
      <c r="U439" s="38">
        <v>33333.33</v>
      </c>
      <c r="V439" s="46"/>
      <c r="W439" s="42"/>
    </row>
    <row r="440">
      <c r="A440" s="15">
        <v>439.0</v>
      </c>
      <c r="B440" s="18" t="s">
        <v>33</v>
      </c>
      <c r="C440" s="18" t="s">
        <v>60</v>
      </c>
      <c r="D440" s="18" t="s">
        <v>3104</v>
      </c>
      <c r="E440" s="18" t="s">
        <v>3105</v>
      </c>
      <c r="F440" s="18" t="s">
        <v>331</v>
      </c>
      <c r="G440" s="18" t="s">
        <v>3106</v>
      </c>
      <c r="H440" s="23"/>
      <c r="I440" s="25"/>
      <c r="J440" s="28">
        <v>46133.0</v>
      </c>
      <c r="K440" s="28">
        <v>46142.0</v>
      </c>
      <c r="L440" s="32"/>
      <c r="M440" s="35"/>
      <c r="N440" s="36"/>
      <c r="O440" s="38">
        <v>10.0</v>
      </c>
      <c r="P440" s="36"/>
      <c r="Q440" s="38">
        <v>10.0</v>
      </c>
      <c r="R440" s="36"/>
      <c r="S440" s="38" t="s">
        <v>324</v>
      </c>
      <c r="T440" s="42"/>
      <c r="U440" s="38">
        <v>33333.33</v>
      </c>
      <c r="V440" s="46"/>
      <c r="W440" s="42"/>
    </row>
    <row r="441">
      <c r="A441" s="15">
        <v>440.0</v>
      </c>
      <c r="B441" s="18" t="s">
        <v>33</v>
      </c>
      <c r="C441" s="18" t="s">
        <v>36</v>
      </c>
      <c r="D441" s="18" t="s">
        <v>3111</v>
      </c>
      <c r="E441" s="18" t="s">
        <v>3112</v>
      </c>
      <c r="F441" s="18" t="s">
        <v>1088</v>
      </c>
      <c r="G441" s="18" t="s">
        <v>3113</v>
      </c>
      <c r="H441" s="23"/>
      <c r="I441" s="25"/>
      <c r="J441" s="28">
        <v>46113.0</v>
      </c>
      <c r="K441" s="28">
        <v>46142.0</v>
      </c>
      <c r="L441" s="32"/>
      <c r="M441" s="35"/>
      <c r="N441" s="36"/>
      <c r="O441" s="38">
        <v>30.0</v>
      </c>
      <c r="P441" s="36"/>
      <c r="Q441" s="38">
        <v>30.0</v>
      </c>
      <c r="R441" s="36"/>
      <c r="S441" s="38" t="s">
        <v>53</v>
      </c>
      <c r="T441" s="42"/>
      <c r="U441" s="38">
        <v>100000.0</v>
      </c>
      <c r="V441" s="46"/>
      <c r="W441" s="42"/>
    </row>
    <row r="442">
      <c r="A442" s="15">
        <v>441.0</v>
      </c>
      <c r="B442" s="18" t="s">
        <v>33</v>
      </c>
      <c r="C442" s="362" t="e">
        <v>#N/A</v>
      </c>
      <c r="D442" s="18" t="s">
        <v>2526</v>
      </c>
      <c r="E442" s="18" t="s">
        <v>1968</v>
      </c>
      <c r="F442" s="362" t="e">
        <v>#N/A</v>
      </c>
      <c r="G442" s="362" t="e">
        <v>#N/A</v>
      </c>
      <c r="H442" s="23"/>
      <c r="I442" s="25"/>
      <c r="J442" s="28">
        <v>46133.0</v>
      </c>
      <c r="K442" s="28">
        <v>46142.0</v>
      </c>
      <c r="L442" s="32"/>
      <c r="M442" s="35"/>
      <c r="N442" s="36"/>
      <c r="O442" s="38">
        <v>10.0</v>
      </c>
      <c r="P442" s="36"/>
      <c r="Q442" s="38">
        <v>10.0</v>
      </c>
      <c r="R442" s="36"/>
      <c r="S442" s="38" t="s">
        <v>324</v>
      </c>
      <c r="T442" s="42"/>
      <c r="U442" s="38">
        <v>33333.33</v>
      </c>
      <c r="V442" s="46"/>
      <c r="W442" s="42"/>
    </row>
    <row r="443">
      <c r="A443" s="15">
        <v>442.0</v>
      </c>
      <c r="B443" s="18" t="s">
        <v>33</v>
      </c>
      <c r="C443" s="18" t="s">
        <v>36</v>
      </c>
      <c r="D443" s="18" t="s">
        <v>3116</v>
      </c>
      <c r="E443" s="18" t="s">
        <v>3117</v>
      </c>
      <c r="F443" s="18" t="s">
        <v>81</v>
      </c>
      <c r="G443" s="18" t="s">
        <v>3118</v>
      </c>
      <c r="H443" s="51">
        <v>46113.0</v>
      </c>
      <c r="I443" s="51">
        <v>46129.0</v>
      </c>
      <c r="J443" s="28">
        <v>46130.0</v>
      </c>
      <c r="K443" s="28">
        <v>46142.0</v>
      </c>
      <c r="L443" s="32"/>
      <c r="M443" s="35"/>
      <c r="N443" s="38">
        <v>17.0</v>
      </c>
      <c r="O443" s="38">
        <v>13.0</v>
      </c>
      <c r="P443" s="36"/>
      <c r="Q443" s="38">
        <v>30.0</v>
      </c>
      <c r="R443" s="38" t="s">
        <v>74</v>
      </c>
      <c r="S443" s="38" t="s">
        <v>75</v>
      </c>
      <c r="T443" s="42"/>
      <c r="U443" s="38">
        <v>60333.33</v>
      </c>
      <c r="V443" s="46"/>
      <c r="W443" s="42"/>
    </row>
    <row r="444">
      <c r="A444" s="15">
        <v>443.0</v>
      </c>
      <c r="B444" s="18" t="s">
        <v>33</v>
      </c>
      <c r="C444" s="18" t="s">
        <v>143</v>
      </c>
      <c r="D444" s="18" t="s">
        <v>3121</v>
      </c>
      <c r="E444" s="18" t="s">
        <v>3122</v>
      </c>
      <c r="F444" s="18" t="s">
        <v>1088</v>
      </c>
      <c r="G444" s="18" t="s">
        <v>3123</v>
      </c>
      <c r="H444" s="23"/>
      <c r="I444" s="25"/>
      <c r="J444" s="28">
        <v>46113.0</v>
      </c>
      <c r="K444" s="28">
        <v>46142.0</v>
      </c>
      <c r="L444" s="32"/>
      <c r="M444" s="35"/>
      <c r="N444" s="36"/>
      <c r="O444" s="38">
        <v>30.0</v>
      </c>
      <c r="P444" s="36"/>
      <c r="Q444" s="38">
        <v>30.0</v>
      </c>
      <c r="R444" s="36"/>
      <c r="S444" s="38" t="s">
        <v>53</v>
      </c>
      <c r="T444" s="42"/>
      <c r="U444" s="38">
        <v>100000.0</v>
      </c>
      <c r="V444" s="46"/>
      <c r="W444" s="42"/>
    </row>
    <row r="445">
      <c r="A445" s="15">
        <v>444.0</v>
      </c>
      <c r="B445" s="18" t="s">
        <v>33</v>
      </c>
      <c r="C445" s="362" t="e">
        <v>#N/A</v>
      </c>
      <c r="D445" s="18" t="s">
        <v>3128</v>
      </c>
      <c r="E445" s="18" t="s">
        <v>934</v>
      </c>
      <c r="F445" s="362" t="e">
        <v>#N/A</v>
      </c>
      <c r="G445" s="362" t="e">
        <v>#N/A</v>
      </c>
      <c r="H445" s="25"/>
      <c r="I445" s="25"/>
      <c r="J445" s="28">
        <v>46135.0</v>
      </c>
      <c r="K445" s="28">
        <v>46142.0</v>
      </c>
      <c r="L445" s="35"/>
      <c r="M445" s="35"/>
      <c r="N445" s="36"/>
      <c r="O445" s="38">
        <v>8.0</v>
      </c>
      <c r="P445" s="42"/>
      <c r="Q445" s="38">
        <v>8.0</v>
      </c>
      <c r="R445" s="36"/>
      <c r="S445" s="38" t="s">
        <v>507</v>
      </c>
      <c r="T445" s="42"/>
      <c r="U445" s="38">
        <v>26666.67</v>
      </c>
      <c r="V445" s="46"/>
      <c r="W445" s="42"/>
    </row>
    <row r="446">
      <c r="A446" s="15">
        <v>445.0</v>
      </c>
      <c r="B446" s="18" t="s">
        <v>33</v>
      </c>
      <c r="C446" s="18" t="s">
        <v>143</v>
      </c>
      <c r="D446" s="18" t="s">
        <v>3131</v>
      </c>
      <c r="E446" s="18" t="s">
        <v>3132</v>
      </c>
      <c r="F446" s="18" t="s">
        <v>3133</v>
      </c>
      <c r="G446" s="18" t="s">
        <v>3134</v>
      </c>
      <c r="H446" s="25"/>
      <c r="I446" s="25"/>
      <c r="J446" s="28">
        <v>46134.0</v>
      </c>
      <c r="K446" s="28">
        <v>46142.0</v>
      </c>
      <c r="L446" s="35"/>
      <c r="M446" s="35"/>
      <c r="N446" s="36"/>
      <c r="O446" s="38">
        <v>9.0</v>
      </c>
      <c r="P446" s="42"/>
      <c r="Q446" s="38">
        <v>9.0</v>
      </c>
      <c r="R446" s="36"/>
      <c r="S446" s="38" t="s">
        <v>1577</v>
      </c>
      <c r="T446" s="42"/>
      <c r="U446" s="38">
        <v>30000.0</v>
      </c>
      <c r="V446" s="46"/>
      <c r="W446" s="42"/>
    </row>
    <row r="447">
      <c r="A447" s="15">
        <v>446.0</v>
      </c>
      <c r="B447" s="18" t="s">
        <v>33</v>
      </c>
      <c r="C447" s="18" t="s">
        <v>60</v>
      </c>
      <c r="D447" s="18" t="s">
        <v>3137</v>
      </c>
      <c r="E447" s="18" t="s">
        <v>2948</v>
      </c>
      <c r="F447" s="18" t="s">
        <v>1756</v>
      </c>
      <c r="G447" s="18" t="s">
        <v>3138</v>
      </c>
      <c r="H447" s="25"/>
      <c r="I447" s="25"/>
      <c r="J447" s="28">
        <v>45389.0</v>
      </c>
      <c r="K447" s="28">
        <v>46142.0</v>
      </c>
      <c r="L447" s="35"/>
      <c r="M447" s="35"/>
      <c r="N447" s="36"/>
      <c r="O447" s="38">
        <v>754.0</v>
      </c>
      <c r="P447" s="42"/>
      <c r="Q447" s="18" t="s">
        <v>3140</v>
      </c>
      <c r="R447" s="36"/>
      <c r="S447" s="362" t="s">
        <v>3141</v>
      </c>
      <c r="T447" s="42"/>
      <c r="U447" s="18" t="s">
        <v>3142</v>
      </c>
      <c r="V447" s="46"/>
      <c r="W447" s="42"/>
    </row>
    <row r="448">
      <c r="A448" s="15">
        <v>447.0</v>
      </c>
      <c r="B448" s="18" t="s">
        <v>33</v>
      </c>
      <c r="C448" s="18" t="s">
        <v>143</v>
      </c>
      <c r="D448" s="18" t="s">
        <v>3144</v>
      </c>
      <c r="E448" s="18" t="s">
        <v>3147</v>
      </c>
      <c r="F448" s="18" t="s">
        <v>3148</v>
      </c>
      <c r="G448" s="18" t="s">
        <v>3149</v>
      </c>
      <c r="H448" s="25"/>
      <c r="I448" s="25"/>
      <c r="J448" s="28">
        <v>46131.0</v>
      </c>
      <c r="K448" s="28">
        <v>46142.0</v>
      </c>
      <c r="L448" s="35"/>
      <c r="M448" s="35"/>
      <c r="N448" s="36"/>
      <c r="O448" s="38">
        <v>12.0</v>
      </c>
      <c r="P448" s="42"/>
      <c r="Q448" s="38">
        <v>12.0</v>
      </c>
      <c r="R448" s="36"/>
      <c r="S448" s="38" t="s">
        <v>2333</v>
      </c>
      <c r="T448" s="42"/>
      <c r="U448" s="38">
        <v>40000.0</v>
      </c>
      <c r="V448" s="46"/>
      <c r="W448" s="42"/>
    </row>
    <row r="449">
      <c r="A449" s="15">
        <v>448.0</v>
      </c>
      <c r="B449" s="18" t="s">
        <v>33</v>
      </c>
      <c r="C449" s="18" t="s">
        <v>36</v>
      </c>
      <c r="D449" s="18" t="s">
        <v>3152</v>
      </c>
      <c r="E449" s="18" t="s">
        <v>3153</v>
      </c>
      <c r="F449" s="18" t="s">
        <v>81</v>
      </c>
      <c r="G449" s="18" t="s">
        <v>3118</v>
      </c>
      <c r="H449" s="51">
        <v>46113.0</v>
      </c>
      <c r="I449" s="51">
        <v>46129.0</v>
      </c>
      <c r="J449" s="28">
        <v>46130.0</v>
      </c>
      <c r="K449" s="28">
        <v>46142.0</v>
      </c>
      <c r="L449" s="35"/>
      <c r="M449" s="35"/>
      <c r="N449" s="38">
        <v>17.0</v>
      </c>
      <c r="O449" s="38">
        <v>13.0</v>
      </c>
      <c r="P449" s="42"/>
      <c r="Q449" s="38">
        <v>30.0</v>
      </c>
      <c r="R449" s="38" t="s">
        <v>74</v>
      </c>
      <c r="S449" s="38" t="s">
        <v>75</v>
      </c>
      <c r="T449" s="42"/>
      <c r="U449" s="38">
        <v>60333.33</v>
      </c>
      <c r="V449" s="46"/>
      <c r="W449" s="42"/>
    </row>
    <row r="450">
      <c r="A450" s="15">
        <v>449.0</v>
      </c>
      <c r="B450" s="18" t="s">
        <v>33</v>
      </c>
      <c r="C450" s="18" t="s">
        <v>96</v>
      </c>
      <c r="D450" s="18" t="s">
        <v>3155</v>
      </c>
      <c r="E450" s="18" t="s">
        <v>3156</v>
      </c>
      <c r="F450" s="18" t="s">
        <v>170</v>
      </c>
      <c r="G450" s="18" t="s">
        <v>3158</v>
      </c>
      <c r="H450" s="25"/>
      <c r="I450" s="25"/>
      <c r="J450" s="28">
        <v>46113.0</v>
      </c>
      <c r="K450" s="28">
        <v>46142.0</v>
      </c>
      <c r="L450" s="35"/>
      <c r="M450" s="35"/>
      <c r="N450" s="36"/>
      <c r="O450" s="38">
        <v>30.0</v>
      </c>
      <c r="P450" s="42"/>
      <c r="Q450" s="38">
        <v>30.0</v>
      </c>
      <c r="R450" s="36"/>
      <c r="S450" s="38" t="s">
        <v>53</v>
      </c>
      <c r="T450" s="42"/>
      <c r="U450" s="38">
        <v>100000.0</v>
      </c>
      <c r="V450" s="46"/>
      <c r="W450" s="42"/>
    </row>
    <row r="451">
      <c r="A451" s="15">
        <v>450.0</v>
      </c>
      <c r="B451" s="18" t="s">
        <v>33</v>
      </c>
      <c r="C451" s="18" t="s">
        <v>143</v>
      </c>
      <c r="D451" s="143" t="s">
        <v>3161</v>
      </c>
      <c r="E451" s="18" t="s">
        <v>2837</v>
      </c>
      <c r="F451" s="18" t="s">
        <v>170</v>
      </c>
      <c r="G451" s="18" t="s">
        <v>3164</v>
      </c>
      <c r="H451" s="25"/>
      <c r="I451" s="25"/>
      <c r="J451" s="28">
        <v>46113.0</v>
      </c>
      <c r="K451" s="28">
        <v>46122.0</v>
      </c>
      <c r="L451" s="35"/>
      <c r="M451" s="35"/>
      <c r="N451" s="36"/>
      <c r="O451" s="38">
        <v>10.0</v>
      </c>
      <c r="P451" s="42"/>
      <c r="Q451" s="38">
        <v>10.0</v>
      </c>
      <c r="R451" s="36"/>
      <c r="S451" s="38" t="s">
        <v>324</v>
      </c>
      <c r="T451" s="42"/>
      <c r="U451" s="38">
        <v>33333.33</v>
      </c>
      <c r="V451" s="46"/>
      <c r="W451" s="42"/>
    </row>
    <row r="452">
      <c r="A452" s="15">
        <v>451.0</v>
      </c>
      <c r="B452" s="18" t="s">
        <v>33</v>
      </c>
      <c r="C452" s="18" t="s">
        <v>143</v>
      </c>
      <c r="D452" s="143" t="s">
        <v>3161</v>
      </c>
      <c r="E452" s="18" t="s">
        <v>2837</v>
      </c>
      <c r="F452" s="18" t="s">
        <v>170</v>
      </c>
      <c r="G452" s="18" t="s">
        <v>3164</v>
      </c>
      <c r="H452" s="25"/>
      <c r="I452" s="25"/>
      <c r="J452" s="28">
        <v>46137.0</v>
      </c>
      <c r="K452" s="28">
        <v>46142.0</v>
      </c>
      <c r="L452" s="35"/>
      <c r="M452" s="35"/>
      <c r="N452" s="36"/>
      <c r="O452" s="38">
        <v>6.0</v>
      </c>
      <c r="P452" s="42"/>
      <c r="Q452" s="38">
        <v>6.0</v>
      </c>
      <c r="R452" s="36"/>
      <c r="S452" s="38" t="s">
        <v>502</v>
      </c>
      <c r="T452" s="42"/>
      <c r="U452" s="38">
        <v>20000.0</v>
      </c>
      <c r="V452" s="46"/>
      <c r="W452" s="42"/>
    </row>
    <row r="453">
      <c r="A453" s="15">
        <v>452.0</v>
      </c>
      <c r="B453" s="18" t="s">
        <v>33</v>
      </c>
      <c r="C453" s="18" t="s">
        <v>60</v>
      </c>
      <c r="D453" s="18" t="s">
        <v>3167</v>
      </c>
      <c r="E453" s="18" t="s">
        <v>1772</v>
      </c>
      <c r="F453" s="18" t="s">
        <v>3168</v>
      </c>
      <c r="G453" s="18" t="s">
        <v>3169</v>
      </c>
      <c r="H453" s="25"/>
      <c r="I453" s="25"/>
      <c r="J453" s="28">
        <v>46133.0</v>
      </c>
      <c r="K453" s="28">
        <v>46142.0</v>
      </c>
      <c r="L453" s="35"/>
      <c r="M453" s="35"/>
      <c r="N453" s="36"/>
      <c r="O453" s="38">
        <v>10.0</v>
      </c>
      <c r="P453" s="42"/>
      <c r="Q453" s="38">
        <v>10.0</v>
      </c>
      <c r="R453" s="36"/>
      <c r="S453" s="38" t="s">
        <v>324</v>
      </c>
      <c r="T453" s="42"/>
      <c r="U453" s="38">
        <v>33333.33</v>
      </c>
      <c r="V453" s="46"/>
      <c r="W453" s="42"/>
    </row>
    <row r="454">
      <c r="A454" s="15">
        <v>453.0</v>
      </c>
      <c r="B454" s="18" t="s">
        <v>33</v>
      </c>
      <c r="C454" s="18" t="s">
        <v>60</v>
      </c>
      <c r="D454" s="18" t="s">
        <v>3173</v>
      </c>
      <c r="E454" s="18" t="s">
        <v>3174</v>
      </c>
      <c r="F454" s="18" t="s">
        <v>295</v>
      </c>
      <c r="G454" s="18" t="s">
        <v>3176</v>
      </c>
      <c r="H454" s="51">
        <v>46113.0</v>
      </c>
      <c r="I454" s="51">
        <v>46125.0</v>
      </c>
      <c r="J454" s="28">
        <v>46126.0</v>
      </c>
      <c r="K454" s="28">
        <v>46142.0</v>
      </c>
      <c r="L454" s="35"/>
      <c r="M454" s="35"/>
      <c r="N454" s="38">
        <v>13.0</v>
      </c>
      <c r="O454" s="38">
        <v>17.0</v>
      </c>
      <c r="P454" s="42"/>
      <c r="Q454" s="38">
        <v>30.0</v>
      </c>
      <c r="R454" s="38" t="s">
        <v>217</v>
      </c>
      <c r="S454" s="38" t="s">
        <v>218</v>
      </c>
      <c r="T454" s="42"/>
      <c r="U454" s="38">
        <v>69666.67</v>
      </c>
      <c r="V454" s="46"/>
      <c r="W454" s="42"/>
    </row>
    <row r="455">
      <c r="A455" s="15">
        <v>454.0</v>
      </c>
      <c r="B455" s="18" t="s">
        <v>33</v>
      </c>
      <c r="C455" s="18" t="s">
        <v>102</v>
      </c>
      <c r="D455" s="18" t="s">
        <v>3182</v>
      </c>
      <c r="E455" s="18" t="s">
        <v>3183</v>
      </c>
      <c r="F455" s="18" t="s">
        <v>636</v>
      </c>
      <c r="G455" s="18" t="s">
        <v>3184</v>
      </c>
      <c r="H455" s="51">
        <v>46113.0</v>
      </c>
      <c r="I455" s="51">
        <v>46138.0</v>
      </c>
      <c r="J455" s="28">
        <v>46139.0</v>
      </c>
      <c r="K455" s="28">
        <v>46142.0</v>
      </c>
      <c r="L455" s="35"/>
      <c r="M455" s="35"/>
      <c r="N455" s="38">
        <v>26.0</v>
      </c>
      <c r="O455" s="38">
        <v>4.0</v>
      </c>
      <c r="P455" s="42"/>
      <c r="Q455" s="38">
        <v>30.0</v>
      </c>
      <c r="R455" s="38" t="s">
        <v>2319</v>
      </c>
      <c r="S455" s="38" t="s">
        <v>2320</v>
      </c>
      <c r="T455" s="42"/>
      <c r="U455" s="38">
        <v>39333.33</v>
      </c>
      <c r="V455" s="46"/>
      <c r="W455" s="42"/>
    </row>
    <row r="456">
      <c r="A456" s="15">
        <v>455.0</v>
      </c>
      <c r="B456" s="18" t="s">
        <v>33</v>
      </c>
      <c r="C456" s="18" t="s">
        <v>60</v>
      </c>
      <c r="D456" s="18" t="s">
        <v>3186</v>
      </c>
      <c r="E456" s="18" t="s">
        <v>3187</v>
      </c>
      <c r="F456" s="18" t="s">
        <v>1431</v>
      </c>
      <c r="G456" s="18" t="s">
        <v>3188</v>
      </c>
      <c r="H456" s="51">
        <v>46113.0</v>
      </c>
      <c r="I456" s="51">
        <v>46125.0</v>
      </c>
      <c r="J456" s="28">
        <v>46126.0</v>
      </c>
      <c r="K456" s="28">
        <v>46142.0</v>
      </c>
      <c r="L456" s="35"/>
      <c r="M456" s="35"/>
      <c r="N456" s="38">
        <v>13.0</v>
      </c>
      <c r="O456" s="38">
        <v>17.0</v>
      </c>
      <c r="P456" s="42"/>
      <c r="Q456" s="38">
        <v>30.0</v>
      </c>
      <c r="R456" s="38" t="s">
        <v>217</v>
      </c>
      <c r="S456" s="38" t="s">
        <v>218</v>
      </c>
      <c r="T456" s="42"/>
      <c r="U456" s="38">
        <v>69666.67</v>
      </c>
      <c r="V456" s="46"/>
      <c r="W456" s="42"/>
    </row>
    <row r="457">
      <c r="A457" s="15">
        <v>456.0</v>
      </c>
      <c r="B457" s="18" t="s">
        <v>33</v>
      </c>
      <c r="C457" s="18" t="s">
        <v>60</v>
      </c>
      <c r="D457" s="18" t="s">
        <v>3191</v>
      </c>
      <c r="E457" s="18" t="s">
        <v>2538</v>
      </c>
      <c r="F457" s="18" t="s">
        <v>2571</v>
      </c>
      <c r="G457" s="18" t="s">
        <v>3192</v>
      </c>
      <c r="H457" s="25"/>
      <c r="I457" s="25"/>
      <c r="J457" s="28">
        <v>46113.0</v>
      </c>
      <c r="K457" s="28">
        <v>46142.0</v>
      </c>
      <c r="L457" s="35"/>
      <c r="M457" s="35"/>
      <c r="N457" s="36"/>
      <c r="O457" s="38">
        <v>30.0</v>
      </c>
      <c r="P457" s="42"/>
      <c r="Q457" s="38">
        <v>30.0</v>
      </c>
      <c r="R457" s="36"/>
      <c r="S457" s="38" t="s">
        <v>53</v>
      </c>
      <c r="T457" s="42"/>
      <c r="U457" s="38">
        <v>100000.0</v>
      </c>
      <c r="V457" s="46"/>
      <c r="W457" s="42"/>
    </row>
    <row r="458">
      <c r="A458" s="15">
        <v>457.0</v>
      </c>
      <c r="B458" s="18" t="s">
        <v>33</v>
      </c>
      <c r="C458" s="18" t="s">
        <v>36</v>
      </c>
      <c r="D458" s="18" t="s">
        <v>3195</v>
      </c>
      <c r="E458" s="18" t="s">
        <v>1021</v>
      </c>
      <c r="F458" s="18" t="s">
        <v>170</v>
      </c>
      <c r="G458" s="18" t="s">
        <v>3196</v>
      </c>
      <c r="H458" s="25"/>
      <c r="I458" s="25"/>
      <c r="J458" s="28">
        <v>46113.0</v>
      </c>
      <c r="K458" s="28">
        <v>46142.0</v>
      </c>
      <c r="L458" s="35"/>
      <c r="M458" s="35"/>
      <c r="N458" s="36"/>
      <c r="O458" s="38">
        <v>30.0</v>
      </c>
      <c r="P458" s="42"/>
      <c r="Q458" s="38">
        <v>30.0</v>
      </c>
      <c r="R458" s="36"/>
      <c r="S458" s="38" t="s">
        <v>53</v>
      </c>
      <c r="T458" s="42"/>
      <c r="U458" s="38">
        <v>100000.0</v>
      </c>
      <c r="V458" s="46"/>
      <c r="W458" s="42"/>
    </row>
    <row r="459">
      <c r="A459" s="15">
        <v>458.0</v>
      </c>
      <c r="B459" s="18" t="s">
        <v>33</v>
      </c>
      <c r="C459" s="18" t="s">
        <v>60</v>
      </c>
      <c r="D459" s="18" t="s">
        <v>3198</v>
      </c>
      <c r="E459" s="18" t="s">
        <v>3200</v>
      </c>
      <c r="F459" s="18" t="s">
        <v>287</v>
      </c>
      <c r="G459" s="18" t="s">
        <v>3201</v>
      </c>
      <c r="H459" s="25"/>
      <c r="I459" s="25"/>
      <c r="J459" s="28">
        <v>46113.0</v>
      </c>
      <c r="K459" s="28">
        <v>46142.0</v>
      </c>
      <c r="L459" s="35"/>
      <c r="M459" s="35"/>
      <c r="N459" s="36"/>
      <c r="O459" s="38">
        <v>30.0</v>
      </c>
      <c r="P459" s="42"/>
      <c r="Q459" s="38">
        <v>30.0</v>
      </c>
      <c r="R459" s="36"/>
      <c r="S459" s="38" t="s">
        <v>53</v>
      </c>
      <c r="T459" s="42"/>
      <c r="U459" s="38">
        <v>100000.0</v>
      </c>
      <c r="V459" s="46"/>
      <c r="W459" s="42"/>
    </row>
    <row r="460">
      <c r="A460" s="15">
        <v>459.0</v>
      </c>
      <c r="B460" s="18" t="s">
        <v>33</v>
      </c>
      <c r="C460" s="18" t="s">
        <v>60</v>
      </c>
      <c r="D460" s="18" t="s">
        <v>3203</v>
      </c>
      <c r="E460" s="18" t="s">
        <v>3204</v>
      </c>
      <c r="F460" s="18" t="s">
        <v>3205</v>
      </c>
      <c r="G460" s="18" t="s">
        <v>3206</v>
      </c>
      <c r="H460" s="25"/>
      <c r="I460" s="25"/>
      <c r="J460" s="28">
        <v>46113.0</v>
      </c>
      <c r="K460" s="28">
        <v>46142.0</v>
      </c>
      <c r="L460" s="35"/>
      <c r="M460" s="35"/>
      <c r="N460" s="36"/>
      <c r="O460" s="38">
        <v>30.0</v>
      </c>
      <c r="P460" s="42"/>
      <c r="Q460" s="38">
        <v>30.0</v>
      </c>
      <c r="R460" s="36"/>
      <c r="S460" s="38" t="s">
        <v>53</v>
      </c>
      <c r="T460" s="42"/>
      <c r="U460" s="38">
        <v>100000.0</v>
      </c>
      <c r="V460" s="46"/>
      <c r="W460" s="42"/>
    </row>
    <row r="461">
      <c r="A461" s="42"/>
      <c r="B461" s="42"/>
      <c r="C461" s="42"/>
      <c r="D461" s="42"/>
      <c r="E461" s="25"/>
      <c r="F461" s="25"/>
      <c r="G461" s="328"/>
      <c r="H461" s="328"/>
      <c r="I461" s="35"/>
      <c r="J461" s="35"/>
      <c r="K461" s="42"/>
      <c r="L461" s="42"/>
      <c r="M461" s="42"/>
      <c r="N461" s="38">
        <v>0.0</v>
      </c>
      <c r="O461" s="42"/>
      <c r="P461" s="42"/>
      <c r="Q461" s="42"/>
      <c r="R461" s="38">
        <v>0.0</v>
      </c>
      <c r="S461" s="46"/>
      <c r="T461" s="42"/>
    </row>
    <row r="462">
      <c r="A462" s="42"/>
      <c r="B462" s="42"/>
      <c r="C462" s="42"/>
      <c r="D462" s="42"/>
      <c r="E462" s="25"/>
      <c r="F462" s="25"/>
      <c r="G462" s="328"/>
      <c r="H462" s="328"/>
      <c r="I462" s="35"/>
      <c r="J462" s="35"/>
      <c r="K462" s="42"/>
      <c r="L462" s="42"/>
      <c r="M462" s="42"/>
      <c r="N462" s="38">
        <v>0.0</v>
      </c>
      <c r="O462" s="42"/>
      <c r="P462" s="42"/>
      <c r="Q462" s="42"/>
      <c r="R462" s="38">
        <v>0.0</v>
      </c>
      <c r="S462" s="46"/>
      <c r="T462" s="42"/>
    </row>
    <row r="463">
      <c r="A463" s="42"/>
      <c r="B463" s="42"/>
      <c r="C463" s="42"/>
      <c r="D463" s="42"/>
      <c r="E463" s="25"/>
      <c r="F463" s="25"/>
      <c r="G463" s="328"/>
      <c r="H463" s="328"/>
      <c r="I463" s="35"/>
      <c r="J463" s="35"/>
      <c r="K463" s="42"/>
      <c r="L463" s="42"/>
      <c r="M463" s="42"/>
      <c r="N463" s="38">
        <v>0.0</v>
      </c>
      <c r="O463" s="42"/>
      <c r="P463" s="42"/>
      <c r="Q463" s="42"/>
      <c r="R463" s="38">
        <v>0.0</v>
      </c>
      <c r="S463" s="46"/>
      <c r="T463" s="42"/>
    </row>
    <row r="464">
      <c r="A464" s="42"/>
      <c r="B464" s="42"/>
      <c r="C464" s="42"/>
      <c r="D464" s="42"/>
      <c r="E464" s="25"/>
      <c r="F464" s="25"/>
      <c r="G464" s="328"/>
      <c r="H464" s="328"/>
      <c r="I464" s="35"/>
      <c r="J464" s="35"/>
      <c r="K464" s="42"/>
      <c r="L464" s="42"/>
      <c r="M464" s="42"/>
      <c r="N464" s="38">
        <v>0.0</v>
      </c>
      <c r="O464" s="42"/>
      <c r="P464" s="42"/>
      <c r="Q464" s="42"/>
      <c r="R464" s="38">
        <v>0.0</v>
      </c>
      <c r="S464" s="46"/>
      <c r="T464" s="42"/>
    </row>
    <row r="465">
      <c r="A465" s="42"/>
      <c r="B465" s="42"/>
      <c r="C465" s="42"/>
      <c r="D465" s="42"/>
      <c r="E465" s="25"/>
      <c r="F465" s="25"/>
      <c r="G465" s="328"/>
      <c r="H465" s="328"/>
      <c r="I465" s="35"/>
      <c r="J465" s="35"/>
      <c r="K465" s="42"/>
      <c r="L465" s="42"/>
      <c r="M465" s="42"/>
      <c r="N465" s="38">
        <v>0.0</v>
      </c>
      <c r="O465" s="42"/>
      <c r="P465" s="42"/>
      <c r="Q465" s="42"/>
      <c r="R465" s="38">
        <v>0.0</v>
      </c>
      <c r="S465" s="46"/>
      <c r="T465" s="42"/>
    </row>
    <row r="466">
      <c r="A466" s="42"/>
      <c r="B466" s="42"/>
      <c r="C466" s="42"/>
      <c r="D466" s="42"/>
      <c r="E466" s="25"/>
      <c r="F466" s="25"/>
      <c r="G466" s="328"/>
      <c r="H466" s="328"/>
      <c r="I466" s="35"/>
      <c r="J466" s="35"/>
      <c r="K466" s="42"/>
      <c r="L466" s="42"/>
      <c r="M466" s="42"/>
      <c r="N466" s="38">
        <v>0.0</v>
      </c>
      <c r="O466" s="42"/>
      <c r="P466" s="42"/>
      <c r="Q466" s="42"/>
      <c r="R466" s="38">
        <v>0.0</v>
      </c>
      <c r="S466" s="46"/>
      <c r="T466" s="42"/>
    </row>
    <row r="467">
      <c r="A467" s="42"/>
      <c r="B467" s="42"/>
      <c r="C467" s="42"/>
      <c r="D467" s="42"/>
      <c r="E467" s="25"/>
      <c r="F467" s="25"/>
      <c r="G467" s="328"/>
      <c r="H467" s="328"/>
      <c r="I467" s="35"/>
      <c r="J467" s="35"/>
      <c r="K467" s="42"/>
      <c r="L467" s="42"/>
      <c r="M467" s="42"/>
      <c r="N467" s="38">
        <v>0.0</v>
      </c>
      <c r="O467" s="42"/>
      <c r="P467" s="42"/>
      <c r="Q467" s="42"/>
      <c r="R467" s="38">
        <v>0.0</v>
      </c>
      <c r="S467" s="46"/>
      <c r="T467" s="42"/>
    </row>
    <row r="468">
      <c r="A468" s="42"/>
      <c r="B468" s="42"/>
      <c r="C468" s="42"/>
      <c r="D468" s="42"/>
      <c r="E468" s="25"/>
      <c r="F468" s="25"/>
      <c r="G468" s="328"/>
      <c r="H468" s="328"/>
      <c r="I468" s="35"/>
      <c r="J468" s="35"/>
      <c r="K468" s="42"/>
      <c r="L468" s="42"/>
      <c r="M468" s="42"/>
      <c r="N468" s="38">
        <v>0.0</v>
      </c>
      <c r="O468" s="42"/>
      <c r="P468" s="42"/>
      <c r="Q468" s="42"/>
      <c r="R468" s="38">
        <v>0.0</v>
      </c>
      <c r="S468" s="46"/>
      <c r="T468" s="42"/>
    </row>
    <row r="469">
      <c r="A469" s="42"/>
      <c r="B469" s="42"/>
      <c r="C469" s="42"/>
      <c r="D469" s="42"/>
      <c r="E469" s="25"/>
      <c r="F469" s="25"/>
      <c r="G469" s="328"/>
      <c r="H469" s="328"/>
      <c r="I469" s="35"/>
      <c r="J469" s="35"/>
      <c r="K469" s="42"/>
      <c r="L469" s="42"/>
      <c r="M469" s="42"/>
      <c r="N469" s="38">
        <v>0.0</v>
      </c>
      <c r="O469" s="42"/>
      <c r="P469" s="42"/>
      <c r="Q469" s="42"/>
      <c r="R469" s="38">
        <v>0.0</v>
      </c>
      <c r="S469" s="46"/>
      <c r="T469" s="42"/>
    </row>
    <row r="470">
      <c r="A470" s="42"/>
      <c r="B470" s="42"/>
      <c r="C470" s="42"/>
      <c r="D470" s="42"/>
      <c r="E470" s="25"/>
      <c r="F470" s="25"/>
      <c r="G470" s="328"/>
      <c r="H470" s="328"/>
      <c r="I470" s="35"/>
      <c r="J470" s="35"/>
      <c r="K470" s="42"/>
      <c r="L470" s="42"/>
      <c r="M470" s="42"/>
      <c r="N470" s="38">
        <v>0.0</v>
      </c>
      <c r="O470" s="42"/>
      <c r="P470" s="42"/>
      <c r="Q470" s="42"/>
      <c r="R470" s="38">
        <v>0.0</v>
      </c>
      <c r="S470" s="46"/>
      <c r="T470" s="42"/>
    </row>
    <row r="471">
      <c r="A471" s="42"/>
      <c r="B471" s="42"/>
      <c r="C471" s="42"/>
      <c r="D471" s="42"/>
      <c r="E471" s="25"/>
      <c r="F471" s="25"/>
      <c r="G471" s="328"/>
      <c r="H471" s="328"/>
      <c r="I471" s="35"/>
      <c r="J471" s="35"/>
      <c r="K471" s="42"/>
      <c r="L471" s="42"/>
      <c r="M471" s="42"/>
      <c r="N471" s="38">
        <v>0.0</v>
      </c>
      <c r="O471" s="42"/>
      <c r="P471" s="42"/>
      <c r="Q471" s="42"/>
      <c r="R471" s="38">
        <v>0.0</v>
      </c>
      <c r="S471" s="46"/>
      <c r="T471" s="42"/>
    </row>
    <row r="472">
      <c r="A472" s="42"/>
      <c r="B472" s="42"/>
      <c r="C472" s="42"/>
      <c r="D472" s="42"/>
      <c r="E472" s="25"/>
      <c r="F472" s="25"/>
      <c r="G472" s="328"/>
      <c r="H472" s="328"/>
      <c r="I472" s="35"/>
      <c r="J472" s="35"/>
      <c r="K472" s="42"/>
      <c r="L472" s="42"/>
      <c r="M472" s="42"/>
      <c r="N472" s="38">
        <v>0.0</v>
      </c>
      <c r="O472" s="42"/>
      <c r="P472" s="42"/>
      <c r="Q472" s="42"/>
      <c r="R472" s="38">
        <v>0.0</v>
      </c>
      <c r="S472" s="46"/>
      <c r="T472" s="42"/>
    </row>
    <row r="473">
      <c r="A473" s="42"/>
      <c r="B473" s="42"/>
      <c r="C473" s="42"/>
      <c r="D473" s="42"/>
      <c r="E473" s="25"/>
      <c r="F473" s="25"/>
      <c r="G473" s="328"/>
      <c r="H473" s="328"/>
      <c r="I473" s="35"/>
      <c r="J473" s="35"/>
      <c r="K473" s="42"/>
      <c r="L473" s="42"/>
      <c r="M473" s="42"/>
      <c r="N473" s="38">
        <v>0.0</v>
      </c>
      <c r="O473" s="42"/>
      <c r="P473" s="42"/>
      <c r="Q473" s="42"/>
      <c r="R473" s="38">
        <v>0.0</v>
      </c>
      <c r="S473" s="46"/>
      <c r="T473" s="42"/>
    </row>
    <row r="474">
      <c r="A474" s="42"/>
      <c r="B474" s="42"/>
      <c r="C474" s="42"/>
      <c r="D474" s="42"/>
      <c r="E474" s="25"/>
      <c r="F474" s="25"/>
      <c r="G474" s="328"/>
      <c r="H474" s="328"/>
      <c r="I474" s="35"/>
      <c r="J474" s="35"/>
      <c r="K474" s="42"/>
      <c r="L474" s="42"/>
      <c r="M474" s="42"/>
      <c r="N474" s="38">
        <v>0.0</v>
      </c>
      <c r="O474" s="42"/>
      <c r="P474" s="42"/>
      <c r="Q474" s="42"/>
      <c r="R474" s="38">
        <v>0.0</v>
      </c>
      <c r="S474" s="46"/>
      <c r="T474" s="42"/>
    </row>
    <row r="475">
      <c r="A475" s="42"/>
      <c r="B475" s="42"/>
      <c r="C475" s="42"/>
      <c r="D475" s="42"/>
      <c r="E475" s="25"/>
      <c r="F475" s="25"/>
      <c r="G475" s="328"/>
      <c r="H475" s="328"/>
      <c r="I475" s="35"/>
      <c r="J475" s="35"/>
      <c r="K475" s="42"/>
      <c r="L475" s="42"/>
      <c r="M475" s="42"/>
      <c r="N475" s="38">
        <v>0.0</v>
      </c>
      <c r="O475" s="42"/>
      <c r="P475" s="42"/>
      <c r="Q475" s="42"/>
      <c r="R475" s="38">
        <v>0.0</v>
      </c>
      <c r="S475" s="46"/>
      <c r="T475" s="42"/>
    </row>
    <row r="476">
      <c r="A476" s="42"/>
      <c r="B476" s="42"/>
      <c r="C476" s="42"/>
      <c r="D476" s="42"/>
      <c r="E476" s="25"/>
      <c r="F476" s="25"/>
      <c r="G476" s="328"/>
      <c r="H476" s="328"/>
      <c r="I476" s="35"/>
      <c r="J476" s="35"/>
      <c r="K476" s="42"/>
      <c r="L476" s="42"/>
      <c r="M476" s="42"/>
      <c r="N476" s="38">
        <v>0.0</v>
      </c>
      <c r="O476" s="42"/>
      <c r="P476" s="42"/>
      <c r="Q476" s="42"/>
      <c r="R476" s="38">
        <v>0.0</v>
      </c>
      <c r="S476" s="46"/>
      <c r="T476" s="42"/>
    </row>
    <row r="477">
      <c r="A477" s="42"/>
      <c r="B477" s="42"/>
      <c r="C477" s="42"/>
      <c r="D477" s="42"/>
      <c r="E477" s="25"/>
      <c r="F477" s="25"/>
      <c r="G477" s="328"/>
      <c r="H477" s="328"/>
      <c r="I477" s="35"/>
      <c r="J477" s="35"/>
      <c r="K477" s="42"/>
      <c r="L477" s="42"/>
      <c r="M477" s="42"/>
      <c r="N477" s="38">
        <v>0.0</v>
      </c>
      <c r="O477" s="42"/>
      <c r="P477" s="42"/>
      <c r="Q477" s="42"/>
      <c r="R477" s="38">
        <v>0.0</v>
      </c>
      <c r="S477" s="46"/>
      <c r="T477" s="42"/>
    </row>
    <row r="478">
      <c r="A478" s="42"/>
      <c r="B478" s="42"/>
      <c r="C478" s="42"/>
      <c r="D478" s="42"/>
      <c r="E478" s="25"/>
      <c r="F478" s="25"/>
      <c r="G478" s="328"/>
      <c r="H478" s="328"/>
      <c r="I478" s="35"/>
      <c r="J478" s="35"/>
      <c r="K478" s="42"/>
      <c r="L478" s="42"/>
      <c r="M478" s="42"/>
      <c r="N478" s="38">
        <v>0.0</v>
      </c>
      <c r="O478" s="42"/>
      <c r="P478" s="42"/>
      <c r="Q478" s="42"/>
      <c r="R478" s="38">
        <v>0.0</v>
      </c>
      <c r="S478" s="46"/>
      <c r="T478" s="42"/>
    </row>
    <row r="479">
      <c r="A479" s="42"/>
      <c r="B479" s="42"/>
      <c r="C479" s="42"/>
      <c r="D479" s="42"/>
      <c r="E479" s="25"/>
      <c r="F479" s="25"/>
      <c r="G479" s="328"/>
      <c r="H479" s="328"/>
      <c r="I479" s="35"/>
      <c r="J479" s="35"/>
      <c r="K479" s="42"/>
      <c r="L479" s="42"/>
      <c r="M479" s="42"/>
      <c r="N479" s="38">
        <v>0.0</v>
      </c>
      <c r="O479" s="42"/>
      <c r="P479" s="42"/>
      <c r="Q479" s="42"/>
      <c r="R479" s="38">
        <v>0.0</v>
      </c>
      <c r="S479" s="46"/>
      <c r="T479" s="42"/>
    </row>
    <row r="480">
      <c r="A480" s="42"/>
      <c r="B480" s="42"/>
      <c r="C480" s="42"/>
      <c r="D480" s="42"/>
      <c r="E480" s="25"/>
      <c r="F480" s="25"/>
      <c r="G480" s="328"/>
      <c r="H480" s="328"/>
      <c r="I480" s="35"/>
      <c r="J480" s="35"/>
      <c r="K480" s="42"/>
      <c r="L480" s="42"/>
      <c r="M480" s="42"/>
      <c r="N480" s="38">
        <v>0.0</v>
      </c>
      <c r="O480" s="42"/>
      <c r="P480" s="42"/>
      <c r="Q480" s="42"/>
      <c r="R480" s="38">
        <v>0.0</v>
      </c>
      <c r="S480" s="46"/>
      <c r="T480" s="42"/>
    </row>
    <row r="481">
      <c r="A481" s="42"/>
      <c r="B481" s="42"/>
      <c r="C481" s="42"/>
      <c r="D481" s="42"/>
      <c r="E481" s="25"/>
      <c r="F481" s="25"/>
      <c r="G481" s="328"/>
      <c r="H481" s="328"/>
      <c r="I481" s="35"/>
      <c r="J481" s="35"/>
      <c r="K481" s="42"/>
      <c r="L481" s="42"/>
      <c r="M481" s="42"/>
      <c r="N481" s="38">
        <v>0.0</v>
      </c>
      <c r="O481" s="42"/>
      <c r="P481" s="42"/>
      <c r="Q481" s="42"/>
      <c r="R481" s="38">
        <v>0.0</v>
      </c>
      <c r="S481" s="46"/>
      <c r="T481" s="42"/>
    </row>
    <row r="482">
      <c r="A482" s="42"/>
      <c r="B482" s="42"/>
      <c r="C482" s="42"/>
      <c r="D482" s="42"/>
      <c r="E482" s="25"/>
      <c r="F482" s="25"/>
      <c r="G482" s="328"/>
      <c r="H482" s="328"/>
      <c r="I482" s="35"/>
      <c r="J482" s="35"/>
      <c r="K482" s="42"/>
      <c r="L482" s="42"/>
      <c r="M482" s="42"/>
      <c r="N482" s="38">
        <v>0.0</v>
      </c>
      <c r="O482" s="42"/>
      <c r="P482" s="42"/>
      <c r="Q482" s="42"/>
      <c r="R482" s="38">
        <v>0.0</v>
      </c>
      <c r="S482" s="46"/>
      <c r="T482" s="42"/>
    </row>
    <row r="483">
      <c r="A483" s="42"/>
      <c r="B483" s="42"/>
      <c r="C483" s="42"/>
      <c r="D483" s="42"/>
      <c r="E483" s="25"/>
      <c r="F483" s="25"/>
      <c r="G483" s="328"/>
      <c r="H483" s="328"/>
      <c r="I483" s="35"/>
      <c r="J483" s="35"/>
      <c r="K483" s="42"/>
      <c r="L483" s="42"/>
      <c r="M483" s="42"/>
      <c r="N483" s="38">
        <v>0.0</v>
      </c>
      <c r="O483" s="42"/>
      <c r="P483" s="42"/>
      <c r="Q483" s="42"/>
      <c r="R483" s="38">
        <v>0.0</v>
      </c>
      <c r="S483" s="46"/>
      <c r="T483" s="42"/>
    </row>
    <row r="484">
      <c r="A484" s="42"/>
      <c r="B484" s="42"/>
      <c r="C484" s="42"/>
      <c r="D484" s="42"/>
      <c r="E484" s="25"/>
      <c r="F484" s="25"/>
      <c r="G484" s="328"/>
      <c r="H484" s="328"/>
      <c r="I484" s="35"/>
      <c r="J484" s="35"/>
      <c r="K484" s="42"/>
      <c r="L484" s="42"/>
      <c r="M484" s="42"/>
      <c r="N484" s="38">
        <v>0.0</v>
      </c>
      <c r="O484" s="42"/>
      <c r="P484" s="42"/>
      <c r="Q484" s="42"/>
      <c r="R484" s="38">
        <v>0.0</v>
      </c>
      <c r="S484" s="46"/>
      <c r="T484" s="42"/>
    </row>
    <row r="485">
      <c r="A485" s="42"/>
      <c r="B485" s="42"/>
      <c r="C485" s="42"/>
      <c r="D485" s="42"/>
      <c r="E485" s="25"/>
      <c r="F485" s="25"/>
      <c r="G485" s="328"/>
      <c r="H485" s="328"/>
      <c r="I485" s="35"/>
      <c r="J485" s="35"/>
      <c r="K485" s="42"/>
      <c r="L485" s="42"/>
      <c r="M485" s="42"/>
      <c r="N485" s="38">
        <v>0.0</v>
      </c>
      <c r="O485" s="42"/>
      <c r="P485" s="42"/>
      <c r="Q485" s="42"/>
      <c r="R485" s="38">
        <v>0.0</v>
      </c>
      <c r="S485" s="46"/>
      <c r="T485" s="42"/>
    </row>
    <row r="486">
      <c r="A486" s="42"/>
      <c r="B486" s="42"/>
      <c r="C486" s="42"/>
      <c r="D486" s="42"/>
      <c r="E486" s="25"/>
      <c r="F486" s="25"/>
      <c r="G486" s="328"/>
      <c r="H486" s="328"/>
      <c r="I486" s="35"/>
      <c r="J486" s="35"/>
      <c r="K486" s="42"/>
      <c r="L486" s="42"/>
      <c r="M486" s="42"/>
      <c r="N486" s="38">
        <v>0.0</v>
      </c>
      <c r="O486" s="42"/>
      <c r="P486" s="42"/>
      <c r="Q486" s="42"/>
      <c r="R486" s="38">
        <v>0.0</v>
      </c>
      <c r="S486" s="46"/>
      <c r="T486" s="42"/>
    </row>
    <row r="487">
      <c r="A487" s="42"/>
      <c r="B487" s="42"/>
      <c r="C487" s="42"/>
      <c r="D487" s="42"/>
      <c r="E487" s="25"/>
      <c r="F487" s="25"/>
      <c r="G487" s="328"/>
      <c r="H487" s="328"/>
      <c r="I487" s="35"/>
      <c r="J487" s="35"/>
      <c r="K487" s="42"/>
      <c r="L487" s="42"/>
      <c r="M487" s="42"/>
      <c r="N487" s="38">
        <v>0.0</v>
      </c>
      <c r="O487" s="42"/>
      <c r="P487" s="42"/>
      <c r="Q487" s="42"/>
      <c r="R487" s="38">
        <v>0.0</v>
      </c>
      <c r="S487" s="46"/>
      <c r="T487" s="42"/>
    </row>
    <row r="488">
      <c r="A488" s="42"/>
      <c r="B488" s="42"/>
      <c r="C488" s="42"/>
      <c r="D488" s="42"/>
      <c r="E488" s="25"/>
      <c r="F488" s="25"/>
      <c r="G488" s="328"/>
      <c r="H488" s="328"/>
      <c r="I488" s="35"/>
      <c r="J488" s="35"/>
      <c r="K488" s="42"/>
      <c r="L488" s="42"/>
      <c r="M488" s="42"/>
      <c r="N488" s="38">
        <v>0.0</v>
      </c>
      <c r="O488" s="42"/>
      <c r="P488" s="42"/>
      <c r="Q488" s="42"/>
      <c r="R488" s="38">
        <v>0.0</v>
      </c>
      <c r="S488" s="46"/>
      <c r="T488" s="42"/>
    </row>
    <row r="489">
      <c r="A489" s="42"/>
      <c r="B489" s="42"/>
      <c r="C489" s="42"/>
      <c r="D489" s="42"/>
      <c r="E489" s="25"/>
      <c r="F489" s="25"/>
      <c r="G489" s="328"/>
      <c r="H489" s="328"/>
      <c r="I489" s="35"/>
      <c r="J489" s="35"/>
      <c r="K489" s="42"/>
      <c r="L489" s="42"/>
      <c r="M489" s="42"/>
      <c r="N489" s="38">
        <v>0.0</v>
      </c>
      <c r="O489" s="42"/>
      <c r="P489" s="42"/>
      <c r="Q489" s="42"/>
      <c r="R489" s="38">
        <v>0.0</v>
      </c>
      <c r="S489" s="46"/>
      <c r="T489" s="42"/>
    </row>
    <row r="490">
      <c r="A490" s="42"/>
      <c r="B490" s="42"/>
      <c r="C490" s="42"/>
      <c r="D490" s="42"/>
      <c r="E490" s="25"/>
      <c r="F490" s="25"/>
      <c r="G490" s="328"/>
      <c r="H490" s="328"/>
      <c r="I490" s="35"/>
      <c r="J490" s="35"/>
      <c r="K490" s="42"/>
      <c r="L490" s="42"/>
      <c r="M490" s="42"/>
      <c r="N490" s="38">
        <v>0.0</v>
      </c>
      <c r="O490" s="42"/>
      <c r="P490" s="42"/>
      <c r="Q490" s="42"/>
      <c r="R490" s="38">
        <v>0.0</v>
      </c>
      <c r="S490" s="46"/>
      <c r="T490" s="42"/>
    </row>
    <row r="491">
      <c r="A491" s="42"/>
      <c r="B491" s="42"/>
      <c r="C491" s="42"/>
      <c r="D491" s="42"/>
      <c r="E491" s="25"/>
      <c r="F491" s="25"/>
      <c r="G491" s="328"/>
      <c r="H491" s="328"/>
      <c r="I491" s="35"/>
      <c r="J491" s="35"/>
      <c r="K491" s="42"/>
      <c r="L491" s="42"/>
      <c r="M491" s="42"/>
      <c r="N491" s="38">
        <v>0.0</v>
      </c>
      <c r="O491" s="42"/>
      <c r="P491" s="42"/>
      <c r="Q491" s="42"/>
      <c r="R491" s="38">
        <v>0.0</v>
      </c>
      <c r="S491" s="46"/>
      <c r="T491" s="42"/>
    </row>
    <row r="492">
      <c r="A492" s="42"/>
      <c r="B492" s="42"/>
      <c r="C492" s="42"/>
      <c r="D492" s="42"/>
      <c r="E492" s="25"/>
      <c r="F492" s="25"/>
      <c r="G492" s="328"/>
      <c r="H492" s="328"/>
      <c r="I492" s="35"/>
      <c r="J492" s="35"/>
      <c r="K492" s="42"/>
      <c r="L492" s="42"/>
      <c r="M492" s="42"/>
      <c r="N492" s="38">
        <v>0.0</v>
      </c>
      <c r="O492" s="42"/>
      <c r="P492" s="42"/>
      <c r="Q492" s="42"/>
      <c r="R492" s="38">
        <v>0.0</v>
      </c>
      <c r="S492" s="46"/>
      <c r="T492" s="42"/>
    </row>
    <row r="493">
      <c r="A493" s="42"/>
      <c r="B493" s="42"/>
      <c r="C493" s="42"/>
      <c r="D493" s="42"/>
      <c r="E493" s="25"/>
      <c r="F493" s="25"/>
      <c r="G493" s="328"/>
      <c r="H493" s="328"/>
      <c r="I493" s="35"/>
      <c r="J493" s="35"/>
      <c r="K493" s="42"/>
      <c r="L493" s="42"/>
      <c r="M493" s="42"/>
      <c r="N493" s="38">
        <v>0.0</v>
      </c>
      <c r="O493" s="42"/>
      <c r="P493" s="42"/>
      <c r="Q493" s="42"/>
      <c r="R493" s="38">
        <v>0.0</v>
      </c>
      <c r="S493" s="46"/>
      <c r="T493" s="42"/>
    </row>
    <row r="494">
      <c r="A494" s="42"/>
      <c r="B494" s="42"/>
      <c r="C494" s="42"/>
      <c r="D494" s="42"/>
      <c r="E494" s="25"/>
      <c r="F494" s="25"/>
      <c r="G494" s="328"/>
      <c r="H494" s="328"/>
      <c r="I494" s="35"/>
      <c r="J494" s="35"/>
      <c r="K494" s="42"/>
      <c r="L494" s="42"/>
      <c r="M494" s="42"/>
      <c r="N494" s="38">
        <v>0.0</v>
      </c>
      <c r="O494" s="42"/>
      <c r="P494" s="42"/>
      <c r="Q494" s="42"/>
      <c r="R494" s="38">
        <v>0.0</v>
      </c>
      <c r="S494" s="46"/>
      <c r="T494" s="42"/>
    </row>
    <row r="495">
      <c r="A495" s="42"/>
      <c r="B495" s="42"/>
      <c r="C495" s="42"/>
      <c r="D495" s="42"/>
      <c r="E495" s="25"/>
      <c r="F495" s="25"/>
      <c r="G495" s="328"/>
      <c r="H495" s="328"/>
      <c r="I495" s="35"/>
      <c r="J495" s="35"/>
      <c r="K495" s="42"/>
      <c r="L495" s="42"/>
      <c r="M495" s="42"/>
      <c r="N495" s="38">
        <v>0.0</v>
      </c>
      <c r="O495" s="42"/>
      <c r="P495" s="42"/>
      <c r="Q495" s="42"/>
      <c r="R495" s="38">
        <v>0.0</v>
      </c>
      <c r="S495" s="46"/>
      <c r="T495" s="42"/>
    </row>
    <row r="496">
      <c r="A496" s="42"/>
      <c r="B496" s="42"/>
      <c r="C496" s="42"/>
      <c r="D496" s="42"/>
      <c r="E496" s="25"/>
      <c r="F496" s="25"/>
      <c r="G496" s="328"/>
      <c r="H496" s="328"/>
      <c r="I496" s="35"/>
      <c r="J496" s="35"/>
      <c r="K496" s="42"/>
      <c r="L496" s="42"/>
      <c r="M496" s="42"/>
      <c r="N496" s="38">
        <v>0.0</v>
      </c>
      <c r="O496" s="42"/>
      <c r="P496" s="42"/>
      <c r="Q496" s="42"/>
      <c r="R496" s="38">
        <v>0.0</v>
      </c>
      <c r="S496" s="46"/>
      <c r="T496" s="42"/>
    </row>
    <row r="497">
      <c r="A497" s="42"/>
      <c r="B497" s="42"/>
      <c r="C497" s="42"/>
      <c r="D497" s="42"/>
      <c r="E497" s="25"/>
      <c r="F497" s="25"/>
      <c r="G497" s="328"/>
      <c r="H497" s="328"/>
      <c r="I497" s="35"/>
      <c r="J497" s="35"/>
      <c r="K497" s="42"/>
      <c r="L497" s="42"/>
      <c r="M497" s="42"/>
      <c r="N497" s="38">
        <v>0.0</v>
      </c>
      <c r="O497" s="42"/>
      <c r="P497" s="42"/>
      <c r="Q497" s="42"/>
      <c r="R497" s="38">
        <v>0.0</v>
      </c>
      <c r="S497" s="46"/>
      <c r="T497" s="42"/>
    </row>
    <row r="498">
      <c r="A498" s="42"/>
      <c r="B498" s="42"/>
      <c r="C498" s="42"/>
      <c r="D498" s="42"/>
      <c r="E498" s="25"/>
      <c r="F498" s="25"/>
      <c r="G498" s="328"/>
      <c r="H498" s="328"/>
      <c r="I498" s="35"/>
      <c r="J498" s="35"/>
      <c r="K498" s="42"/>
      <c r="L498" s="42"/>
      <c r="M498" s="42"/>
      <c r="N498" s="38">
        <v>0.0</v>
      </c>
      <c r="O498" s="42"/>
      <c r="P498" s="42"/>
      <c r="Q498" s="42"/>
      <c r="R498" s="38">
        <v>0.0</v>
      </c>
      <c r="S498" s="46"/>
      <c r="T498" s="42"/>
    </row>
    <row r="499">
      <c r="A499" s="42"/>
      <c r="B499" s="42"/>
      <c r="C499" s="42"/>
      <c r="D499" s="42"/>
      <c r="E499" s="25"/>
      <c r="F499" s="25"/>
      <c r="G499" s="328"/>
      <c r="H499" s="328"/>
      <c r="I499" s="35"/>
      <c r="J499" s="35"/>
      <c r="K499" s="42"/>
      <c r="L499" s="42"/>
      <c r="M499" s="42"/>
      <c r="N499" s="38">
        <v>0.0</v>
      </c>
      <c r="O499" s="42"/>
      <c r="P499" s="42"/>
      <c r="Q499" s="42"/>
      <c r="R499" s="38">
        <v>0.0</v>
      </c>
      <c r="S499" s="46"/>
      <c r="T499" s="42"/>
    </row>
    <row r="500">
      <c r="A500" s="42"/>
      <c r="B500" s="42"/>
      <c r="C500" s="42"/>
      <c r="D500" s="42"/>
      <c r="E500" s="25"/>
      <c r="F500" s="25"/>
      <c r="G500" s="328"/>
      <c r="H500" s="328"/>
      <c r="I500" s="35"/>
      <c r="J500" s="35"/>
      <c r="K500" s="42"/>
      <c r="L500" s="42"/>
      <c r="M500" s="42"/>
      <c r="N500" s="38">
        <v>0.0</v>
      </c>
      <c r="O500" s="42"/>
      <c r="P500" s="42"/>
      <c r="Q500" s="42"/>
      <c r="R500" s="38">
        <v>0.0</v>
      </c>
      <c r="S500" s="46"/>
      <c r="T500" s="42"/>
    </row>
    <row r="501">
      <c r="A501" s="42"/>
      <c r="B501" s="42"/>
      <c r="C501" s="42"/>
      <c r="D501" s="42"/>
      <c r="E501" s="25"/>
      <c r="F501" s="25"/>
      <c r="G501" s="328"/>
      <c r="H501" s="328"/>
      <c r="I501" s="35"/>
      <c r="J501" s="35"/>
      <c r="K501" s="42"/>
      <c r="L501" s="42"/>
      <c r="M501" s="42"/>
      <c r="N501" s="38">
        <v>0.0</v>
      </c>
      <c r="O501" s="42"/>
      <c r="P501" s="42"/>
      <c r="Q501" s="42"/>
      <c r="R501" s="38">
        <v>0.0</v>
      </c>
      <c r="S501" s="46"/>
      <c r="T501" s="42"/>
    </row>
    <row r="502">
      <c r="A502" s="42"/>
      <c r="B502" s="42"/>
      <c r="C502" s="42"/>
      <c r="D502" s="42"/>
      <c r="E502" s="25"/>
      <c r="F502" s="25"/>
      <c r="G502" s="328"/>
      <c r="H502" s="328"/>
      <c r="I502" s="35"/>
      <c r="J502" s="35"/>
      <c r="K502" s="42"/>
      <c r="L502" s="42"/>
      <c r="M502" s="42"/>
      <c r="N502" s="38">
        <v>0.0</v>
      </c>
      <c r="O502" s="42"/>
      <c r="P502" s="42"/>
      <c r="Q502" s="42"/>
      <c r="R502" s="38">
        <v>0.0</v>
      </c>
      <c r="S502" s="46"/>
      <c r="T502" s="42"/>
    </row>
    <row r="503">
      <c r="A503" s="42"/>
      <c r="B503" s="42"/>
      <c r="C503" s="42"/>
      <c r="D503" s="42"/>
      <c r="E503" s="25"/>
      <c r="F503" s="25"/>
      <c r="G503" s="328"/>
      <c r="H503" s="328"/>
      <c r="I503" s="35"/>
      <c r="J503" s="35"/>
      <c r="K503" s="42"/>
      <c r="L503" s="42"/>
      <c r="M503" s="42"/>
      <c r="N503" s="38">
        <v>0.0</v>
      </c>
      <c r="O503" s="42"/>
      <c r="P503" s="42"/>
      <c r="Q503" s="42"/>
      <c r="R503" s="38">
        <v>0.0</v>
      </c>
      <c r="S503" s="46"/>
      <c r="T503" s="42"/>
    </row>
    <row r="504">
      <c r="A504" s="42"/>
      <c r="B504" s="42"/>
      <c r="C504" s="42"/>
      <c r="D504" s="42"/>
      <c r="E504" s="25"/>
      <c r="F504" s="25"/>
      <c r="G504" s="328"/>
      <c r="H504" s="328"/>
      <c r="I504" s="35"/>
      <c r="J504" s="35"/>
      <c r="K504" s="42"/>
      <c r="L504" s="42"/>
      <c r="M504" s="42"/>
      <c r="N504" s="38">
        <v>0.0</v>
      </c>
      <c r="O504" s="42"/>
      <c r="P504" s="42"/>
      <c r="Q504" s="42"/>
      <c r="R504" s="38">
        <v>0.0</v>
      </c>
      <c r="S504" s="46"/>
      <c r="T504" s="42"/>
    </row>
    <row r="505">
      <c r="A505" s="42"/>
      <c r="B505" s="42"/>
      <c r="C505" s="42"/>
      <c r="D505" s="42"/>
      <c r="E505" s="25"/>
      <c r="F505" s="25"/>
      <c r="G505" s="328"/>
      <c r="H505" s="328"/>
      <c r="I505" s="35"/>
      <c r="J505" s="35"/>
      <c r="K505" s="42"/>
      <c r="L505" s="42"/>
      <c r="M505" s="42"/>
      <c r="N505" s="38">
        <v>0.0</v>
      </c>
      <c r="O505" s="42"/>
      <c r="P505" s="42"/>
      <c r="Q505" s="42"/>
      <c r="R505" s="38">
        <v>0.0</v>
      </c>
      <c r="S505" s="46"/>
      <c r="T505" s="42"/>
    </row>
    <row r="506">
      <c r="A506" s="42"/>
      <c r="B506" s="42"/>
      <c r="C506" s="42"/>
      <c r="D506" s="42"/>
      <c r="E506" s="25"/>
      <c r="F506" s="25"/>
      <c r="G506" s="328"/>
      <c r="H506" s="328"/>
      <c r="I506" s="35"/>
      <c r="J506" s="35"/>
      <c r="K506" s="42"/>
      <c r="L506" s="42"/>
      <c r="M506" s="42"/>
      <c r="N506" s="38">
        <v>0.0</v>
      </c>
      <c r="O506" s="42"/>
      <c r="P506" s="42"/>
      <c r="Q506" s="42"/>
      <c r="R506" s="38">
        <v>0.0</v>
      </c>
      <c r="S506" s="46"/>
      <c r="T506" s="42"/>
    </row>
    <row r="507">
      <c r="A507" s="42"/>
      <c r="B507" s="42"/>
      <c r="C507" s="42"/>
      <c r="D507" s="42"/>
      <c r="E507" s="25"/>
      <c r="F507" s="25"/>
      <c r="G507" s="328"/>
      <c r="H507" s="328"/>
      <c r="I507" s="35"/>
      <c r="J507" s="35"/>
      <c r="K507" s="42"/>
      <c r="L507" s="42"/>
      <c r="M507" s="42"/>
      <c r="N507" s="38">
        <v>0.0</v>
      </c>
      <c r="O507" s="42"/>
      <c r="P507" s="42"/>
      <c r="Q507" s="42"/>
      <c r="R507" s="38">
        <v>0.0</v>
      </c>
      <c r="S507" s="46"/>
      <c r="T507" s="42"/>
    </row>
    <row r="508">
      <c r="A508" s="42"/>
      <c r="B508" s="42"/>
      <c r="C508" s="42"/>
      <c r="D508" s="42"/>
      <c r="E508" s="25"/>
      <c r="F508" s="25"/>
      <c r="G508" s="328"/>
      <c r="H508" s="328"/>
      <c r="I508" s="35"/>
      <c r="J508" s="35"/>
      <c r="K508" s="42"/>
      <c r="L508" s="42"/>
      <c r="M508" s="42"/>
      <c r="N508" s="38">
        <v>0.0</v>
      </c>
      <c r="O508" s="42"/>
      <c r="P508" s="42"/>
      <c r="Q508" s="42"/>
      <c r="R508" s="38">
        <v>0.0</v>
      </c>
      <c r="S508" s="46"/>
      <c r="T508" s="42"/>
    </row>
    <row r="509">
      <c r="A509" s="42"/>
      <c r="B509" s="42"/>
      <c r="C509" s="42"/>
      <c r="D509" s="42"/>
      <c r="E509" s="25"/>
      <c r="F509" s="25"/>
      <c r="G509" s="328"/>
      <c r="H509" s="328"/>
      <c r="I509" s="35"/>
      <c r="J509" s="35"/>
      <c r="K509" s="42"/>
      <c r="L509" s="42"/>
      <c r="M509" s="42"/>
      <c r="N509" s="38">
        <v>0.0</v>
      </c>
      <c r="O509" s="42"/>
      <c r="P509" s="42"/>
      <c r="Q509" s="42"/>
      <c r="R509" s="38">
        <v>0.0</v>
      </c>
      <c r="S509" s="46"/>
      <c r="T509" s="42"/>
    </row>
    <row r="510">
      <c r="A510" s="42"/>
      <c r="B510" s="42"/>
      <c r="C510" s="42"/>
      <c r="D510" s="42"/>
      <c r="E510" s="25"/>
      <c r="F510" s="25"/>
      <c r="G510" s="328"/>
      <c r="H510" s="328"/>
      <c r="I510" s="35"/>
      <c r="J510" s="35"/>
      <c r="K510" s="42"/>
      <c r="L510" s="42"/>
      <c r="M510" s="42"/>
      <c r="N510" s="38">
        <v>0.0</v>
      </c>
      <c r="O510" s="42"/>
      <c r="P510" s="42"/>
      <c r="Q510" s="42"/>
      <c r="R510" s="38">
        <v>0.0</v>
      </c>
      <c r="S510" s="46"/>
      <c r="T510" s="42"/>
    </row>
    <row r="511">
      <c r="A511" s="42"/>
      <c r="B511" s="42"/>
      <c r="C511" s="42"/>
      <c r="D511" s="42"/>
      <c r="E511" s="25"/>
      <c r="F511" s="25"/>
      <c r="G511" s="328"/>
      <c r="H511" s="328"/>
      <c r="I511" s="35"/>
      <c r="J511" s="35"/>
      <c r="K511" s="42"/>
      <c r="L511" s="42"/>
      <c r="M511" s="42"/>
      <c r="N511" s="38">
        <v>0.0</v>
      </c>
      <c r="O511" s="42"/>
      <c r="P511" s="42"/>
      <c r="Q511" s="42"/>
      <c r="R511" s="38">
        <v>0.0</v>
      </c>
      <c r="S511" s="46"/>
      <c r="T511" s="42"/>
    </row>
    <row r="512">
      <c r="A512" s="42"/>
      <c r="B512" s="42"/>
      <c r="C512" s="42"/>
      <c r="D512" s="42"/>
      <c r="E512" s="25"/>
      <c r="F512" s="25"/>
      <c r="G512" s="328"/>
      <c r="H512" s="328"/>
      <c r="I512" s="35"/>
      <c r="J512" s="35"/>
      <c r="K512" s="42"/>
      <c r="L512" s="42"/>
      <c r="M512" s="42"/>
      <c r="N512" s="38">
        <v>0.0</v>
      </c>
      <c r="O512" s="42"/>
      <c r="P512" s="42"/>
      <c r="Q512" s="42"/>
      <c r="R512" s="38">
        <v>0.0</v>
      </c>
      <c r="S512" s="46"/>
      <c r="T512" s="42"/>
    </row>
    <row r="513">
      <c r="A513" s="42"/>
      <c r="B513" s="42"/>
      <c r="C513" s="42"/>
      <c r="D513" s="42"/>
      <c r="E513" s="25"/>
      <c r="F513" s="25"/>
      <c r="G513" s="328"/>
      <c r="H513" s="328"/>
      <c r="I513" s="35"/>
      <c r="J513" s="35"/>
      <c r="K513" s="42"/>
      <c r="L513" s="42"/>
      <c r="M513" s="42"/>
      <c r="N513" s="38">
        <v>0.0</v>
      </c>
      <c r="O513" s="42"/>
      <c r="P513" s="42"/>
      <c r="Q513" s="42"/>
      <c r="R513" s="38">
        <v>0.0</v>
      </c>
      <c r="S513" s="46"/>
      <c r="T513" s="42"/>
    </row>
    <row r="514">
      <c r="A514" s="42"/>
      <c r="B514" s="42"/>
      <c r="C514" s="42"/>
      <c r="D514" s="42"/>
      <c r="E514" s="25"/>
      <c r="F514" s="25"/>
      <c r="G514" s="328"/>
      <c r="H514" s="328"/>
      <c r="I514" s="35"/>
      <c r="J514" s="35"/>
      <c r="K514" s="42"/>
      <c r="L514" s="42"/>
      <c r="M514" s="42"/>
      <c r="N514" s="38">
        <v>0.0</v>
      </c>
      <c r="O514" s="42"/>
      <c r="P514" s="42"/>
      <c r="Q514" s="42"/>
      <c r="R514" s="38">
        <v>0.0</v>
      </c>
      <c r="S514" s="46"/>
      <c r="T514" s="42"/>
    </row>
    <row r="515">
      <c r="A515" s="42"/>
      <c r="B515" s="42"/>
      <c r="C515" s="42"/>
      <c r="D515" s="42"/>
      <c r="E515" s="25"/>
      <c r="F515" s="25"/>
      <c r="G515" s="328"/>
      <c r="H515" s="328"/>
      <c r="I515" s="35"/>
      <c r="J515" s="35"/>
      <c r="K515" s="42"/>
      <c r="L515" s="42"/>
      <c r="M515" s="42"/>
      <c r="N515" s="38">
        <v>0.0</v>
      </c>
      <c r="O515" s="42"/>
      <c r="P515" s="42"/>
      <c r="Q515" s="42"/>
      <c r="R515" s="38">
        <v>0.0</v>
      </c>
      <c r="S515" s="46"/>
      <c r="T515" s="42"/>
    </row>
    <row r="516">
      <c r="A516" s="42"/>
      <c r="B516" s="42"/>
      <c r="C516" s="42"/>
      <c r="D516" s="42"/>
      <c r="E516" s="25"/>
      <c r="F516" s="25"/>
      <c r="G516" s="328"/>
      <c r="H516" s="328"/>
      <c r="I516" s="35"/>
      <c r="J516" s="35"/>
      <c r="K516" s="42"/>
      <c r="L516" s="42"/>
      <c r="M516" s="42"/>
      <c r="N516" s="38">
        <v>0.0</v>
      </c>
      <c r="O516" s="42"/>
      <c r="P516" s="42"/>
      <c r="Q516" s="42"/>
      <c r="R516" s="38">
        <v>0.0</v>
      </c>
      <c r="S516" s="46"/>
      <c r="T516" s="42"/>
    </row>
    <row r="517">
      <c r="A517" s="42"/>
      <c r="B517" s="42"/>
      <c r="C517" s="42"/>
      <c r="D517" s="42"/>
      <c r="E517" s="25"/>
      <c r="F517" s="25"/>
      <c r="G517" s="328"/>
      <c r="H517" s="328"/>
      <c r="I517" s="35"/>
      <c r="J517" s="35"/>
      <c r="K517" s="42"/>
      <c r="L517" s="42"/>
      <c r="M517" s="42"/>
      <c r="N517" s="38">
        <v>0.0</v>
      </c>
      <c r="O517" s="42"/>
      <c r="P517" s="42"/>
      <c r="Q517" s="42"/>
      <c r="R517" s="38">
        <v>0.0</v>
      </c>
      <c r="S517" s="46"/>
      <c r="T517" s="42"/>
    </row>
    <row r="518">
      <c r="A518" s="42"/>
      <c r="B518" s="42"/>
      <c r="C518" s="42"/>
      <c r="D518" s="42"/>
      <c r="E518" s="25"/>
      <c r="F518" s="25"/>
      <c r="G518" s="328"/>
      <c r="H518" s="328"/>
      <c r="I518" s="35"/>
      <c r="J518" s="35"/>
      <c r="K518" s="42"/>
      <c r="L518" s="42"/>
      <c r="M518" s="42"/>
      <c r="N518" s="38">
        <v>0.0</v>
      </c>
      <c r="O518" s="42"/>
      <c r="P518" s="42"/>
      <c r="Q518" s="42"/>
      <c r="R518" s="38">
        <v>0.0</v>
      </c>
      <c r="S518" s="46"/>
      <c r="T518" s="42"/>
    </row>
    <row r="519">
      <c r="A519" s="42"/>
      <c r="B519" s="42"/>
      <c r="C519" s="42"/>
      <c r="D519" s="42"/>
      <c r="E519" s="25"/>
      <c r="F519" s="25"/>
      <c r="G519" s="328"/>
      <c r="H519" s="328"/>
      <c r="I519" s="35"/>
      <c r="J519" s="35"/>
      <c r="K519" s="42"/>
      <c r="L519" s="42"/>
      <c r="M519" s="42"/>
      <c r="N519" s="38">
        <v>0.0</v>
      </c>
      <c r="O519" s="42"/>
      <c r="P519" s="42"/>
      <c r="Q519" s="42"/>
      <c r="R519" s="38">
        <v>0.0</v>
      </c>
      <c r="S519" s="46"/>
      <c r="T519" s="42"/>
    </row>
    <row r="520">
      <c r="A520" s="42"/>
      <c r="B520" s="42"/>
      <c r="C520" s="42"/>
      <c r="D520" s="42"/>
      <c r="E520" s="25"/>
      <c r="F520" s="25"/>
      <c r="G520" s="328"/>
      <c r="H520" s="328"/>
      <c r="I520" s="35"/>
      <c r="J520" s="35"/>
      <c r="K520" s="42"/>
      <c r="L520" s="42"/>
      <c r="M520" s="42"/>
      <c r="N520" s="38">
        <v>0.0</v>
      </c>
      <c r="O520" s="42"/>
      <c r="P520" s="42"/>
      <c r="Q520" s="42"/>
      <c r="R520" s="38">
        <v>0.0</v>
      </c>
      <c r="S520" s="46"/>
      <c r="T520" s="42"/>
    </row>
    <row r="521">
      <c r="A521" s="42"/>
      <c r="B521" s="42"/>
      <c r="C521" s="42"/>
      <c r="D521" s="42"/>
      <c r="E521" s="25"/>
      <c r="F521" s="25"/>
      <c r="G521" s="328"/>
      <c r="H521" s="328"/>
      <c r="I521" s="35"/>
      <c r="J521" s="35"/>
      <c r="K521" s="42"/>
      <c r="L521" s="42"/>
      <c r="M521" s="42"/>
      <c r="N521" s="38">
        <v>0.0</v>
      </c>
      <c r="O521" s="42"/>
      <c r="P521" s="42"/>
      <c r="Q521" s="42"/>
      <c r="R521" s="38">
        <v>0.0</v>
      </c>
      <c r="S521" s="46"/>
      <c r="T521" s="42"/>
    </row>
    <row r="522">
      <c r="A522" s="42"/>
      <c r="B522" s="42"/>
      <c r="C522" s="42"/>
      <c r="D522" s="42"/>
      <c r="E522" s="25"/>
      <c r="F522" s="25"/>
      <c r="G522" s="328"/>
      <c r="H522" s="328"/>
      <c r="I522" s="35"/>
      <c r="J522" s="35"/>
      <c r="K522" s="42"/>
      <c r="L522" s="42"/>
      <c r="M522" s="42"/>
      <c r="N522" s="38">
        <v>0.0</v>
      </c>
      <c r="O522" s="42"/>
      <c r="P522" s="42"/>
      <c r="Q522" s="42"/>
      <c r="R522" s="38">
        <v>0.0</v>
      </c>
      <c r="S522" s="46"/>
      <c r="T522" s="42"/>
    </row>
    <row r="523">
      <c r="A523" s="42"/>
      <c r="B523" s="42"/>
      <c r="C523" s="42"/>
      <c r="D523" s="42"/>
      <c r="E523" s="25"/>
      <c r="F523" s="25"/>
      <c r="G523" s="328"/>
      <c r="H523" s="328"/>
      <c r="I523" s="35"/>
      <c r="J523" s="35"/>
      <c r="K523" s="42"/>
      <c r="L523" s="42"/>
      <c r="M523" s="42"/>
      <c r="N523" s="38">
        <v>0.0</v>
      </c>
      <c r="O523" s="42"/>
      <c r="P523" s="42"/>
      <c r="Q523" s="42"/>
      <c r="R523" s="38">
        <v>0.0</v>
      </c>
      <c r="S523" s="46"/>
      <c r="T523" s="42"/>
    </row>
    <row r="524">
      <c r="A524" s="42"/>
      <c r="B524" s="42"/>
      <c r="C524" s="42"/>
      <c r="D524" s="42"/>
      <c r="E524" s="25"/>
      <c r="F524" s="25"/>
      <c r="G524" s="328"/>
      <c r="H524" s="328"/>
      <c r="I524" s="35"/>
      <c r="J524" s="35"/>
      <c r="K524" s="42"/>
      <c r="L524" s="42"/>
      <c r="M524" s="42"/>
      <c r="N524" s="38">
        <v>0.0</v>
      </c>
      <c r="O524" s="42"/>
      <c r="P524" s="42"/>
      <c r="Q524" s="42"/>
      <c r="R524" s="38">
        <v>0.0</v>
      </c>
      <c r="S524" s="46"/>
      <c r="T524" s="42"/>
    </row>
    <row r="525">
      <c r="A525" s="42"/>
      <c r="B525" s="42"/>
      <c r="C525" s="42"/>
      <c r="D525" s="42"/>
      <c r="E525" s="25"/>
      <c r="F525" s="25"/>
      <c r="G525" s="328"/>
      <c r="H525" s="328"/>
      <c r="I525" s="35"/>
      <c r="J525" s="35"/>
      <c r="K525" s="42"/>
      <c r="L525" s="42"/>
      <c r="M525" s="42"/>
      <c r="N525" s="38">
        <v>0.0</v>
      </c>
      <c r="O525" s="42"/>
      <c r="P525" s="42"/>
      <c r="Q525" s="42"/>
      <c r="R525" s="38">
        <v>0.0</v>
      </c>
      <c r="S525" s="46"/>
      <c r="T525" s="42"/>
    </row>
    <row r="526">
      <c r="A526" s="42"/>
      <c r="B526" s="42"/>
      <c r="C526" s="42"/>
      <c r="D526" s="42"/>
      <c r="E526" s="25"/>
      <c r="F526" s="25"/>
      <c r="G526" s="328"/>
      <c r="H526" s="328"/>
      <c r="I526" s="35"/>
      <c r="J526" s="35"/>
      <c r="K526" s="42"/>
      <c r="L526" s="42"/>
      <c r="M526" s="42"/>
      <c r="N526" s="38">
        <v>0.0</v>
      </c>
      <c r="O526" s="42"/>
      <c r="P526" s="42"/>
      <c r="Q526" s="42"/>
      <c r="R526" s="38">
        <v>0.0</v>
      </c>
      <c r="S526" s="46"/>
      <c r="T526" s="42"/>
    </row>
    <row r="527">
      <c r="A527" s="42"/>
      <c r="B527" s="42"/>
      <c r="C527" s="42"/>
      <c r="D527" s="42"/>
      <c r="E527" s="25"/>
      <c r="F527" s="25"/>
      <c r="G527" s="328"/>
      <c r="H527" s="328"/>
      <c r="I527" s="35"/>
      <c r="J527" s="35"/>
      <c r="K527" s="42"/>
      <c r="L527" s="42"/>
      <c r="M527" s="42"/>
      <c r="N527" s="38">
        <v>0.0</v>
      </c>
      <c r="O527" s="42"/>
      <c r="P527" s="42"/>
      <c r="Q527" s="42"/>
      <c r="R527" s="38">
        <v>0.0</v>
      </c>
      <c r="S527" s="46"/>
      <c r="T527" s="42"/>
    </row>
    <row r="528">
      <c r="A528" s="42"/>
      <c r="B528" s="42"/>
      <c r="C528" s="42"/>
      <c r="D528" s="42"/>
      <c r="E528" s="25"/>
      <c r="F528" s="25"/>
      <c r="G528" s="328"/>
      <c r="H528" s="328"/>
      <c r="I528" s="35"/>
      <c r="J528" s="35"/>
      <c r="K528" s="42"/>
      <c r="L528" s="42"/>
      <c r="M528" s="42"/>
      <c r="N528" s="38">
        <v>0.0</v>
      </c>
      <c r="O528" s="42"/>
      <c r="P528" s="42"/>
      <c r="Q528" s="42"/>
      <c r="R528" s="38">
        <v>0.0</v>
      </c>
      <c r="S528" s="46"/>
      <c r="T528" s="42"/>
    </row>
    <row r="529">
      <c r="A529" s="42"/>
      <c r="B529" s="42"/>
      <c r="C529" s="42"/>
      <c r="D529" s="42"/>
      <c r="E529" s="25"/>
      <c r="F529" s="25"/>
      <c r="G529" s="328"/>
      <c r="H529" s="328"/>
      <c r="I529" s="35"/>
      <c r="J529" s="35"/>
      <c r="K529" s="42"/>
      <c r="L529" s="42"/>
      <c r="M529" s="42"/>
      <c r="N529" s="38">
        <v>0.0</v>
      </c>
      <c r="O529" s="42"/>
      <c r="P529" s="42"/>
      <c r="Q529" s="42"/>
      <c r="R529" s="38">
        <v>0.0</v>
      </c>
      <c r="S529" s="46"/>
      <c r="T529" s="42"/>
    </row>
    <row r="530">
      <c r="A530" s="42"/>
      <c r="B530" s="42"/>
      <c r="C530" s="42"/>
      <c r="D530" s="42"/>
      <c r="E530" s="25"/>
      <c r="F530" s="25"/>
      <c r="G530" s="328"/>
      <c r="H530" s="328"/>
      <c r="I530" s="35"/>
      <c r="J530" s="35"/>
      <c r="K530" s="42"/>
      <c r="L530" s="42"/>
      <c r="M530" s="42"/>
      <c r="N530" s="38">
        <v>0.0</v>
      </c>
      <c r="O530" s="42"/>
      <c r="P530" s="42"/>
      <c r="Q530" s="42"/>
      <c r="R530" s="38">
        <v>0.0</v>
      </c>
      <c r="S530" s="46"/>
      <c r="T530" s="42"/>
    </row>
    <row r="531">
      <c r="A531" s="42"/>
      <c r="B531" s="42"/>
      <c r="C531" s="42"/>
      <c r="D531" s="42"/>
      <c r="E531" s="25"/>
      <c r="F531" s="25"/>
      <c r="G531" s="328"/>
      <c r="H531" s="328"/>
      <c r="I531" s="35"/>
      <c r="J531" s="35"/>
      <c r="K531" s="42"/>
      <c r="L531" s="42"/>
      <c r="M531" s="42"/>
      <c r="N531" s="38">
        <v>0.0</v>
      </c>
      <c r="O531" s="42"/>
      <c r="P531" s="42"/>
      <c r="Q531" s="42"/>
      <c r="R531" s="38">
        <v>0.0</v>
      </c>
      <c r="S531" s="46"/>
      <c r="T531" s="42"/>
    </row>
    <row r="532">
      <c r="A532" s="42"/>
      <c r="B532" s="42"/>
      <c r="C532" s="42"/>
      <c r="D532" s="42"/>
      <c r="E532" s="25"/>
      <c r="F532" s="25"/>
      <c r="G532" s="328"/>
      <c r="H532" s="328"/>
      <c r="I532" s="35"/>
      <c r="J532" s="35"/>
      <c r="K532" s="42"/>
      <c r="L532" s="42"/>
      <c r="M532" s="42"/>
      <c r="N532" s="38">
        <v>0.0</v>
      </c>
      <c r="O532" s="42"/>
      <c r="P532" s="42"/>
      <c r="Q532" s="42"/>
      <c r="R532" s="38">
        <v>0.0</v>
      </c>
      <c r="S532" s="46"/>
      <c r="T532" s="42"/>
    </row>
    <row r="533">
      <c r="A533" s="42"/>
      <c r="B533" s="42"/>
      <c r="C533" s="42"/>
      <c r="D533" s="42"/>
      <c r="E533" s="25"/>
      <c r="F533" s="25"/>
      <c r="G533" s="328"/>
      <c r="H533" s="328"/>
      <c r="I533" s="35"/>
      <c r="J533" s="35"/>
      <c r="K533" s="42"/>
      <c r="L533" s="42"/>
      <c r="M533" s="42"/>
      <c r="N533" s="38">
        <v>0.0</v>
      </c>
      <c r="O533" s="42"/>
      <c r="P533" s="42"/>
      <c r="Q533" s="42"/>
      <c r="R533" s="38">
        <v>0.0</v>
      </c>
      <c r="S533" s="46"/>
      <c r="T533" s="42"/>
    </row>
    <row r="534">
      <c r="A534" s="42"/>
      <c r="B534" s="42"/>
      <c r="C534" s="42"/>
      <c r="D534" s="42"/>
      <c r="E534" s="25"/>
      <c r="F534" s="25"/>
      <c r="G534" s="328"/>
      <c r="H534" s="328"/>
      <c r="I534" s="35"/>
      <c r="J534" s="35"/>
      <c r="K534" s="42"/>
      <c r="L534" s="42"/>
      <c r="M534" s="42"/>
      <c r="N534" s="38">
        <v>0.0</v>
      </c>
      <c r="O534" s="42"/>
      <c r="P534" s="42"/>
      <c r="Q534" s="42"/>
      <c r="R534" s="38">
        <v>0.0</v>
      </c>
      <c r="S534" s="46"/>
      <c r="T534" s="42"/>
    </row>
    <row r="535">
      <c r="A535" s="42"/>
      <c r="B535" s="42"/>
      <c r="C535" s="42"/>
      <c r="D535" s="42"/>
      <c r="E535" s="25"/>
      <c r="F535" s="25"/>
      <c r="G535" s="328"/>
      <c r="H535" s="328"/>
      <c r="I535" s="35"/>
      <c r="J535" s="35"/>
      <c r="K535" s="42"/>
      <c r="L535" s="42"/>
      <c r="M535" s="42"/>
      <c r="N535" s="38">
        <v>0.0</v>
      </c>
      <c r="O535" s="42"/>
      <c r="P535" s="42"/>
      <c r="Q535" s="42"/>
      <c r="R535" s="38">
        <v>0.0</v>
      </c>
      <c r="S535" s="46"/>
      <c r="T535" s="42"/>
    </row>
    <row r="536">
      <c r="A536" s="42"/>
      <c r="B536" s="42"/>
      <c r="C536" s="42"/>
      <c r="D536" s="42"/>
      <c r="E536" s="25"/>
      <c r="F536" s="25"/>
      <c r="G536" s="328"/>
      <c r="H536" s="328"/>
      <c r="I536" s="35"/>
      <c r="J536" s="35"/>
      <c r="K536" s="42"/>
      <c r="L536" s="42"/>
      <c r="M536" s="42"/>
      <c r="N536" s="38">
        <v>0.0</v>
      </c>
      <c r="O536" s="42"/>
      <c r="P536" s="42"/>
      <c r="Q536" s="42"/>
      <c r="R536" s="38">
        <v>0.0</v>
      </c>
      <c r="S536" s="46"/>
      <c r="T536" s="42"/>
    </row>
    <row r="537">
      <c r="A537" s="42"/>
      <c r="B537" s="42"/>
      <c r="C537" s="42"/>
      <c r="D537" s="42"/>
      <c r="E537" s="25"/>
      <c r="F537" s="25"/>
      <c r="G537" s="328"/>
      <c r="H537" s="328"/>
      <c r="I537" s="35"/>
      <c r="J537" s="35"/>
      <c r="K537" s="42"/>
      <c r="L537" s="42"/>
      <c r="M537" s="42"/>
      <c r="N537" s="38">
        <v>0.0</v>
      </c>
      <c r="O537" s="42"/>
      <c r="P537" s="42"/>
      <c r="Q537" s="42"/>
      <c r="R537" s="38">
        <v>0.0</v>
      </c>
      <c r="S537" s="46"/>
      <c r="T537" s="42"/>
    </row>
    <row r="538">
      <c r="A538" s="42"/>
      <c r="B538" s="42"/>
      <c r="C538" s="42"/>
      <c r="D538" s="42"/>
      <c r="E538" s="25"/>
      <c r="F538" s="25"/>
      <c r="G538" s="328"/>
      <c r="H538" s="328"/>
      <c r="I538" s="35"/>
      <c r="J538" s="35"/>
      <c r="K538" s="42"/>
      <c r="L538" s="42"/>
      <c r="M538" s="42"/>
      <c r="N538" s="38">
        <v>0.0</v>
      </c>
      <c r="O538" s="42"/>
      <c r="P538" s="42"/>
      <c r="Q538" s="42"/>
      <c r="R538" s="38">
        <v>0.0</v>
      </c>
      <c r="S538" s="46"/>
      <c r="T538" s="42"/>
    </row>
    <row r="539">
      <c r="A539" s="42"/>
      <c r="B539" s="42"/>
      <c r="C539" s="42"/>
      <c r="D539" s="42"/>
      <c r="E539" s="25"/>
      <c r="F539" s="25"/>
      <c r="G539" s="328"/>
      <c r="H539" s="328"/>
      <c r="I539" s="35"/>
      <c r="J539" s="35"/>
      <c r="K539" s="42"/>
      <c r="L539" s="42"/>
      <c r="M539" s="42"/>
      <c r="N539" s="38">
        <v>0.0</v>
      </c>
      <c r="O539" s="42"/>
      <c r="P539" s="42"/>
      <c r="Q539" s="42"/>
      <c r="R539" s="38">
        <v>0.0</v>
      </c>
      <c r="S539" s="46"/>
      <c r="T539" s="42"/>
    </row>
    <row r="540">
      <c r="A540" s="42"/>
      <c r="B540" s="42"/>
      <c r="C540" s="42"/>
      <c r="D540" s="42"/>
      <c r="E540" s="25"/>
      <c r="F540" s="25"/>
      <c r="G540" s="328"/>
      <c r="H540" s="328"/>
      <c r="I540" s="35"/>
      <c r="J540" s="35"/>
      <c r="K540" s="42"/>
      <c r="L540" s="42"/>
      <c r="M540" s="42"/>
      <c r="N540" s="38">
        <v>0.0</v>
      </c>
      <c r="O540" s="42"/>
      <c r="P540" s="42"/>
      <c r="Q540" s="42"/>
      <c r="R540" s="38">
        <v>0.0</v>
      </c>
      <c r="S540" s="46"/>
      <c r="T540" s="42"/>
    </row>
    <row r="541">
      <c r="A541" s="42"/>
      <c r="B541" s="42"/>
      <c r="C541" s="42"/>
      <c r="D541" s="42"/>
      <c r="E541" s="25"/>
      <c r="F541" s="25"/>
      <c r="G541" s="328"/>
      <c r="H541" s="328"/>
      <c r="I541" s="35"/>
      <c r="J541" s="35"/>
      <c r="K541" s="42"/>
      <c r="L541" s="42"/>
      <c r="M541" s="42"/>
      <c r="N541" s="38">
        <v>0.0</v>
      </c>
      <c r="O541" s="42"/>
      <c r="P541" s="42"/>
      <c r="Q541" s="42"/>
      <c r="R541" s="38">
        <v>0.0</v>
      </c>
      <c r="S541" s="46"/>
      <c r="T541" s="42"/>
    </row>
    <row r="542">
      <c r="A542" s="42"/>
      <c r="B542" s="42"/>
      <c r="C542" s="42"/>
      <c r="D542" s="42"/>
      <c r="E542" s="25"/>
      <c r="F542" s="25"/>
      <c r="G542" s="328"/>
      <c r="H542" s="328"/>
      <c r="I542" s="35"/>
      <c r="J542" s="35"/>
      <c r="K542" s="42"/>
      <c r="L542" s="42"/>
      <c r="M542" s="42"/>
      <c r="N542" s="38">
        <v>0.0</v>
      </c>
      <c r="O542" s="42"/>
      <c r="P542" s="42"/>
      <c r="Q542" s="42"/>
      <c r="R542" s="38">
        <v>0.0</v>
      </c>
      <c r="S542" s="46"/>
      <c r="T542" s="42"/>
    </row>
    <row r="543">
      <c r="A543" s="42"/>
      <c r="B543" s="42"/>
      <c r="C543" s="42"/>
      <c r="D543" s="42"/>
      <c r="E543" s="25"/>
      <c r="F543" s="25"/>
      <c r="G543" s="328"/>
      <c r="H543" s="328"/>
      <c r="I543" s="35"/>
      <c r="J543" s="35"/>
      <c r="K543" s="42"/>
      <c r="L543" s="42"/>
      <c r="M543" s="42"/>
      <c r="N543" s="38">
        <v>0.0</v>
      </c>
      <c r="O543" s="42"/>
      <c r="P543" s="42"/>
      <c r="Q543" s="42"/>
      <c r="R543" s="38">
        <v>0.0</v>
      </c>
      <c r="S543" s="46"/>
      <c r="T543" s="42"/>
    </row>
    <row r="544">
      <c r="A544" s="42"/>
      <c r="B544" s="42"/>
      <c r="C544" s="42"/>
      <c r="D544" s="42"/>
      <c r="E544" s="25"/>
      <c r="F544" s="25"/>
      <c r="G544" s="328"/>
      <c r="H544" s="328"/>
      <c r="I544" s="35"/>
      <c r="J544" s="35"/>
      <c r="K544" s="42"/>
      <c r="L544" s="42"/>
      <c r="M544" s="42"/>
      <c r="N544" s="38">
        <v>0.0</v>
      </c>
      <c r="O544" s="42"/>
      <c r="P544" s="42"/>
      <c r="Q544" s="42"/>
      <c r="R544" s="38">
        <v>0.0</v>
      </c>
      <c r="S544" s="46"/>
      <c r="T544" s="42"/>
    </row>
    <row r="545">
      <c r="A545" s="42"/>
      <c r="B545" s="42"/>
      <c r="C545" s="42"/>
      <c r="D545" s="42"/>
      <c r="E545" s="25"/>
      <c r="F545" s="25"/>
      <c r="G545" s="328"/>
      <c r="H545" s="328"/>
      <c r="I545" s="35"/>
      <c r="J545" s="35"/>
      <c r="K545" s="42"/>
      <c r="L545" s="42"/>
      <c r="M545" s="42"/>
      <c r="N545" s="38">
        <v>0.0</v>
      </c>
      <c r="O545" s="42"/>
      <c r="P545" s="42"/>
      <c r="Q545" s="42"/>
      <c r="R545" s="38">
        <v>0.0</v>
      </c>
      <c r="S545" s="46"/>
      <c r="T545" s="42"/>
    </row>
    <row r="546">
      <c r="A546" s="42"/>
      <c r="B546" s="42"/>
      <c r="C546" s="42"/>
      <c r="D546" s="42"/>
      <c r="E546" s="25"/>
      <c r="F546" s="25"/>
      <c r="G546" s="328"/>
      <c r="H546" s="328"/>
      <c r="I546" s="35"/>
      <c r="J546" s="35"/>
      <c r="K546" s="42"/>
      <c r="L546" s="42"/>
      <c r="M546" s="42"/>
      <c r="N546" s="38">
        <v>0.0</v>
      </c>
      <c r="O546" s="42"/>
      <c r="P546" s="42"/>
      <c r="Q546" s="42"/>
      <c r="R546" s="38">
        <v>0.0</v>
      </c>
      <c r="S546" s="46"/>
      <c r="T546" s="42"/>
    </row>
    <row r="547">
      <c r="A547" s="42"/>
      <c r="B547" s="42"/>
      <c r="C547" s="42"/>
      <c r="D547" s="42"/>
      <c r="E547" s="25"/>
      <c r="F547" s="25"/>
      <c r="G547" s="328"/>
      <c r="H547" s="328"/>
      <c r="I547" s="35"/>
      <c r="J547" s="35"/>
      <c r="K547" s="42"/>
      <c r="L547" s="42"/>
      <c r="M547" s="42"/>
      <c r="N547" s="38">
        <v>0.0</v>
      </c>
      <c r="O547" s="42"/>
      <c r="P547" s="42"/>
      <c r="Q547" s="42"/>
      <c r="R547" s="38">
        <v>0.0</v>
      </c>
      <c r="S547" s="46"/>
      <c r="T547" s="42"/>
    </row>
    <row r="548">
      <c r="A548" s="42"/>
      <c r="B548" s="42"/>
      <c r="C548" s="42"/>
      <c r="D548" s="42"/>
      <c r="E548" s="25"/>
      <c r="F548" s="25"/>
      <c r="G548" s="328"/>
      <c r="H548" s="328"/>
      <c r="I548" s="35"/>
      <c r="J548" s="35"/>
      <c r="K548" s="42"/>
      <c r="L548" s="42"/>
      <c r="M548" s="42"/>
      <c r="N548" s="38">
        <v>0.0</v>
      </c>
      <c r="O548" s="42"/>
      <c r="P548" s="42"/>
      <c r="Q548" s="42"/>
      <c r="R548" s="38">
        <v>0.0</v>
      </c>
      <c r="S548" s="46"/>
      <c r="T548" s="42"/>
    </row>
    <row r="549">
      <c r="A549" s="42"/>
      <c r="B549" s="42"/>
      <c r="C549" s="42"/>
      <c r="D549" s="42"/>
      <c r="E549" s="25"/>
      <c r="F549" s="25"/>
      <c r="G549" s="328"/>
      <c r="H549" s="328"/>
      <c r="I549" s="35"/>
      <c r="J549" s="35"/>
      <c r="K549" s="42"/>
      <c r="L549" s="42"/>
      <c r="M549" s="42"/>
      <c r="N549" s="38">
        <v>0.0</v>
      </c>
      <c r="O549" s="42"/>
      <c r="P549" s="42"/>
      <c r="Q549" s="42"/>
      <c r="R549" s="38">
        <v>0.0</v>
      </c>
      <c r="S549" s="46"/>
      <c r="T549" s="42"/>
    </row>
    <row r="550">
      <c r="A550" s="42"/>
      <c r="B550" s="42"/>
      <c r="C550" s="42"/>
      <c r="D550" s="42"/>
      <c r="E550" s="25"/>
      <c r="F550" s="25"/>
      <c r="G550" s="328"/>
      <c r="H550" s="328"/>
      <c r="I550" s="35"/>
      <c r="J550" s="35"/>
      <c r="K550" s="42"/>
      <c r="L550" s="42"/>
      <c r="M550" s="42"/>
      <c r="N550" s="38">
        <v>0.0</v>
      </c>
      <c r="O550" s="42"/>
      <c r="P550" s="42"/>
      <c r="Q550" s="42"/>
      <c r="R550" s="38">
        <v>0.0</v>
      </c>
      <c r="S550" s="46"/>
      <c r="T550" s="42"/>
    </row>
    <row r="551">
      <c r="A551" s="42"/>
      <c r="B551" s="42"/>
      <c r="C551" s="42"/>
      <c r="D551" s="42"/>
      <c r="E551" s="25"/>
      <c r="F551" s="25"/>
      <c r="G551" s="328"/>
      <c r="H551" s="328"/>
      <c r="I551" s="35"/>
      <c r="J551" s="35"/>
      <c r="K551" s="42"/>
      <c r="L551" s="42"/>
      <c r="M551" s="42"/>
      <c r="N551" s="38">
        <v>0.0</v>
      </c>
      <c r="O551" s="42"/>
      <c r="P551" s="42"/>
      <c r="Q551" s="42"/>
      <c r="R551" s="38">
        <v>0.0</v>
      </c>
      <c r="S551" s="46"/>
      <c r="T551" s="42"/>
    </row>
    <row r="552">
      <c r="A552" s="42"/>
      <c r="B552" s="42"/>
      <c r="C552" s="42"/>
      <c r="D552" s="42"/>
      <c r="E552" s="25"/>
      <c r="F552" s="25"/>
      <c r="G552" s="328"/>
      <c r="H552" s="328"/>
      <c r="I552" s="35"/>
      <c r="J552" s="35"/>
      <c r="K552" s="42"/>
      <c r="L552" s="42"/>
      <c r="M552" s="42"/>
      <c r="N552" s="38">
        <v>0.0</v>
      </c>
      <c r="O552" s="42"/>
      <c r="P552" s="42"/>
      <c r="Q552" s="42"/>
      <c r="R552" s="38">
        <v>0.0</v>
      </c>
      <c r="S552" s="46"/>
      <c r="T552" s="42"/>
    </row>
    <row r="553">
      <c r="A553" s="42"/>
      <c r="B553" s="42"/>
      <c r="C553" s="42"/>
      <c r="D553" s="42"/>
      <c r="E553" s="25"/>
      <c r="F553" s="25"/>
      <c r="G553" s="328"/>
      <c r="H553" s="328"/>
      <c r="I553" s="35"/>
      <c r="J553" s="35"/>
      <c r="K553" s="42"/>
      <c r="L553" s="42"/>
      <c r="M553" s="42"/>
      <c r="N553" s="38">
        <v>0.0</v>
      </c>
      <c r="O553" s="42"/>
      <c r="P553" s="42"/>
      <c r="Q553" s="42"/>
      <c r="R553" s="38">
        <v>0.0</v>
      </c>
      <c r="S553" s="46"/>
      <c r="T553" s="42"/>
    </row>
    <row r="554">
      <c r="A554" s="42"/>
      <c r="B554" s="42"/>
      <c r="C554" s="42"/>
      <c r="D554" s="42"/>
      <c r="E554" s="25"/>
      <c r="F554" s="25"/>
      <c r="G554" s="328"/>
      <c r="H554" s="328"/>
      <c r="I554" s="35"/>
      <c r="J554" s="35"/>
      <c r="K554" s="42"/>
      <c r="L554" s="42"/>
      <c r="M554" s="42"/>
      <c r="N554" s="38">
        <v>0.0</v>
      </c>
      <c r="O554" s="42"/>
      <c r="P554" s="42"/>
      <c r="Q554" s="42"/>
      <c r="R554" s="38">
        <v>0.0</v>
      </c>
      <c r="S554" s="46"/>
      <c r="T554" s="42"/>
    </row>
    <row r="555">
      <c r="A555" s="42"/>
      <c r="B555" s="42"/>
      <c r="C555" s="42"/>
      <c r="D555" s="42"/>
      <c r="E555" s="25"/>
      <c r="F555" s="25"/>
      <c r="G555" s="328"/>
      <c r="H555" s="328"/>
      <c r="I555" s="35"/>
      <c r="J555" s="35"/>
      <c r="K555" s="42"/>
      <c r="L555" s="42"/>
      <c r="M555" s="42"/>
      <c r="N555" s="38">
        <v>0.0</v>
      </c>
      <c r="O555" s="42"/>
      <c r="P555" s="42"/>
      <c r="Q555" s="42"/>
      <c r="R555" s="38">
        <v>0.0</v>
      </c>
      <c r="S555" s="46"/>
      <c r="T555" s="42"/>
    </row>
    <row r="556">
      <c r="A556" s="42"/>
      <c r="B556" s="42"/>
      <c r="C556" s="42"/>
      <c r="D556" s="42"/>
      <c r="E556" s="25"/>
      <c r="F556" s="25"/>
      <c r="G556" s="328"/>
      <c r="H556" s="328"/>
      <c r="I556" s="35"/>
      <c r="J556" s="35"/>
      <c r="K556" s="42"/>
      <c r="L556" s="42"/>
      <c r="M556" s="42"/>
      <c r="N556" s="38">
        <v>0.0</v>
      </c>
      <c r="O556" s="42"/>
      <c r="P556" s="42"/>
      <c r="Q556" s="42"/>
      <c r="R556" s="38">
        <v>0.0</v>
      </c>
      <c r="S556" s="46"/>
      <c r="T556" s="42"/>
    </row>
    <row r="557">
      <c r="A557" s="42"/>
      <c r="B557" s="42"/>
      <c r="C557" s="42"/>
      <c r="D557" s="42"/>
      <c r="E557" s="25"/>
      <c r="F557" s="25"/>
      <c r="G557" s="328"/>
      <c r="H557" s="328"/>
      <c r="I557" s="35"/>
      <c r="J557" s="35"/>
      <c r="K557" s="42"/>
      <c r="L557" s="42"/>
      <c r="M557" s="42"/>
      <c r="N557" s="38">
        <v>0.0</v>
      </c>
      <c r="O557" s="42"/>
      <c r="P557" s="42"/>
      <c r="Q557" s="42"/>
      <c r="R557" s="38">
        <v>0.0</v>
      </c>
      <c r="S557" s="46"/>
      <c r="T557" s="42"/>
    </row>
    <row r="558">
      <c r="A558" s="42"/>
      <c r="B558" s="42"/>
      <c r="C558" s="42"/>
      <c r="D558" s="42"/>
      <c r="E558" s="25"/>
      <c r="F558" s="25"/>
      <c r="G558" s="328"/>
      <c r="H558" s="328"/>
      <c r="I558" s="35"/>
      <c r="J558" s="35"/>
      <c r="K558" s="42"/>
      <c r="L558" s="42"/>
      <c r="M558" s="42"/>
      <c r="N558" s="38">
        <v>0.0</v>
      </c>
      <c r="O558" s="42"/>
      <c r="P558" s="42"/>
      <c r="Q558" s="42"/>
      <c r="R558" s="38">
        <v>0.0</v>
      </c>
      <c r="S558" s="46"/>
      <c r="T558" s="42"/>
    </row>
    <row r="559">
      <c r="A559" s="42"/>
      <c r="B559" s="42"/>
      <c r="C559" s="42"/>
      <c r="D559" s="42"/>
      <c r="E559" s="25"/>
      <c r="F559" s="25"/>
      <c r="G559" s="328"/>
      <c r="H559" s="328"/>
      <c r="I559" s="35"/>
      <c r="J559" s="35"/>
      <c r="K559" s="42"/>
      <c r="L559" s="42"/>
      <c r="M559" s="42"/>
      <c r="N559" s="38">
        <v>0.0</v>
      </c>
      <c r="O559" s="42"/>
      <c r="P559" s="42"/>
      <c r="Q559" s="42"/>
      <c r="R559" s="38">
        <v>0.0</v>
      </c>
      <c r="S559" s="46"/>
      <c r="T559" s="42"/>
    </row>
    <row r="560">
      <c r="A560" s="42"/>
      <c r="B560" s="42"/>
      <c r="C560" s="42"/>
      <c r="D560" s="42"/>
      <c r="E560" s="25"/>
      <c r="F560" s="25"/>
      <c r="G560" s="328"/>
      <c r="H560" s="328"/>
      <c r="I560" s="35"/>
      <c r="J560" s="35"/>
      <c r="K560" s="42"/>
      <c r="L560" s="42"/>
      <c r="M560" s="42"/>
      <c r="N560" s="38">
        <v>0.0</v>
      </c>
      <c r="O560" s="42"/>
      <c r="P560" s="42"/>
      <c r="Q560" s="42"/>
      <c r="R560" s="38">
        <v>0.0</v>
      </c>
      <c r="S560" s="46"/>
      <c r="T560" s="42"/>
    </row>
    <row r="561">
      <c r="A561" s="42"/>
      <c r="B561" s="42"/>
      <c r="C561" s="42"/>
      <c r="D561" s="42"/>
      <c r="E561" s="25"/>
      <c r="F561" s="25"/>
      <c r="G561" s="328"/>
      <c r="H561" s="328"/>
      <c r="I561" s="35"/>
      <c r="J561" s="35"/>
      <c r="K561" s="42"/>
      <c r="L561" s="42"/>
      <c r="M561" s="42"/>
      <c r="N561" s="38">
        <v>0.0</v>
      </c>
      <c r="O561" s="42"/>
      <c r="P561" s="42"/>
      <c r="Q561" s="42"/>
      <c r="R561" s="38">
        <v>0.0</v>
      </c>
      <c r="S561" s="46"/>
      <c r="T561" s="42"/>
    </row>
    <row r="562">
      <c r="A562" s="42"/>
      <c r="B562" s="42"/>
      <c r="C562" s="42"/>
      <c r="D562" s="42"/>
      <c r="E562" s="25"/>
      <c r="F562" s="25"/>
      <c r="G562" s="328"/>
      <c r="H562" s="328"/>
      <c r="I562" s="35"/>
      <c r="J562" s="35"/>
      <c r="K562" s="42"/>
      <c r="L562" s="42"/>
      <c r="M562" s="42"/>
      <c r="N562" s="38">
        <v>0.0</v>
      </c>
      <c r="O562" s="42"/>
      <c r="P562" s="42"/>
      <c r="Q562" s="42"/>
      <c r="R562" s="38">
        <v>0.0</v>
      </c>
      <c r="S562" s="46"/>
      <c r="T562" s="42"/>
    </row>
    <row r="563">
      <c r="A563" s="42"/>
      <c r="B563" s="42"/>
      <c r="C563" s="42"/>
      <c r="D563" s="42"/>
      <c r="E563" s="25"/>
      <c r="F563" s="25"/>
      <c r="G563" s="328"/>
      <c r="H563" s="328"/>
      <c r="I563" s="35"/>
      <c r="J563" s="35"/>
      <c r="K563" s="42"/>
      <c r="L563" s="42"/>
      <c r="M563" s="42"/>
      <c r="N563" s="38">
        <v>0.0</v>
      </c>
      <c r="O563" s="42"/>
      <c r="P563" s="42"/>
      <c r="Q563" s="42"/>
      <c r="R563" s="38">
        <v>0.0</v>
      </c>
      <c r="S563" s="46"/>
      <c r="T563" s="42"/>
    </row>
    <row r="564">
      <c r="A564" s="42"/>
      <c r="B564" s="42"/>
      <c r="C564" s="42"/>
      <c r="D564" s="42"/>
      <c r="E564" s="25"/>
      <c r="F564" s="25"/>
      <c r="G564" s="328"/>
      <c r="H564" s="328"/>
      <c r="I564" s="35"/>
      <c r="J564" s="35"/>
      <c r="K564" s="42"/>
      <c r="L564" s="42"/>
      <c r="M564" s="42"/>
      <c r="N564" s="38">
        <v>0.0</v>
      </c>
      <c r="O564" s="42"/>
      <c r="P564" s="42"/>
      <c r="Q564" s="42"/>
      <c r="R564" s="38">
        <v>0.0</v>
      </c>
      <c r="S564" s="46"/>
      <c r="T564" s="42"/>
    </row>
    <row r="565">
      <c r="A565" s="42"/>
      <c r="B565" s="42"/>
      <c r="C565" s="42"/>
      <c r="D565" s="42"/>
      <c r="E565" s="25"/>
      <c r="F565" s="25"/>
      <c r="G565" s="328"/>
      <c r="H565" s="328"/>
      <c r="I565" s="35"/>
      <c r="J565" s="35"/>
      <c r="K565" s="42"/>
      <c r="L565" s="42"/>
      <c r="M565" s="42"/>
      <c r="N565" s="38">
        <v>0.0</v>
      </c>
      <c r="O565" s="42"/>
      <c r="P565" s="42"/>
      <c r="Q565" s="42"/>
      <c r="R565" s="38">
        <v>0.0</v>
      </c>
      <c r="S565" s="46"/>
      <c r="T565" s="42"/>
    </row>
    <row r="566">
      <c r="A566" s="42"/>
      <c r="B566" s="42"/>
      <c r="C566" s="42"/>
      <c r="D566" s="42"/>
      <c r="E566" s="25"/>
      <c r="F566" s="25"/>
      <c r="G566" s="328"/>
      <c r="H566" s="328"/>
      <c r="I566" s="35"/>
      <c r="J566" s="35"/>
      <c r="K566" s="42"/>
      <c r="L566" s="42"/>
      <c r="M566" s="42"/>
      <c r="N566" s="38">
        <v>0.0</v>
      </c>
      <c r="O566" s="42"/>
      <c r="P566" s="42"/>
      <c r="Q566" s="42"/>
      <c r="R566" s="38">
        <v>0.0</v>
      </c>
      <c r="S566" s="46"/>
      <c r="T566" s="42"/>
    </row>
    <row r="567">
      <c r="A567" s="42"/>
      <c r="B567" s="42"/>
      <c r="C567" s="42"/>
      <c r="D567" s="42"/>
      <c r="E567" s="25"/>
      <c r="F567" s="25"/>
      <c r="G567" s="328"/>
      <c r="H567" s="328"/>
      <c r="I567" s="35"/>
      <c r="J567" s="35"/>
      <c r="K567" s="42"/>
      <c r="L567" s="42"/>
      <c r="M567" s="42"/>
      <c r="N567" s="38">
        <v>0.0</v>
      </c>
      <c r="O567" s="42"/>
      <c r="P567" s="42"/>
      <c r="Q567" s="42"/>
      <c r="R567" s="38">
        <v>0.0</v>
      </c>
      <c r="S567" s="46"/>
      <c r="T567" s="42"/>
    </row>
    <row r="568">
      <c r="A568" s="42"/>
      <c r="B568" s="42"/>
      <c r="C568" s="42"/>
      <c r="D568" s="42"/>
      <c r="E568" s="25"/>
      <c r="F568" s="25"/>
      <c r="G568" s="328"/>
      <c r="H568" s="328"/>
      <c r="I568" s="35"/>
      <c r="J568" s="35"/>
      <c r="K568" s="42"/>
      <c r="L568" s="42"/>
      <c r="M568" s="42"/>
      <c r="N568" s="38">
        <v>0.0</v>
      </c>
      <c r="O568" s="42"/>
      <c r="P568" s="42"/>
      <c r="Q568" s="42"/>
      <c r="R568" s="38">
        <v>0.0</v>
      </c>
      <c r="S568" s="46"/>
      <c r="T568" s="42"/>
    </row>
    <row r="569">
      <c r="A569" s="42"/>
      <c r="B569" s="42"/>
      <c r="C569" s="42"/>
      <c r="D569" s="42"/>
      <c r="E569" s="25"/>
      <c r="F569" s="25"/>
      <c r="G569" s="328"/>
      <c r="H569" s="328"/>
      <c r="I569" s="35"/>
      <c r="J569" s="35"/>
      <c r="K569" s="42"/>
      <c r="L569" s="42"/>
      <c r="M569" s="42"/>
      <c r="N569" s="38">
        <v>0.0</v>
      </c>
      <c r="O569" s="42"/>
      <c r="P569" s="42"/>
      <c r="Q569" s="42"/>
      <c r="R569" s="38">
        <v>0.0</v>
      </c>
      <c r="S569" s="46"/>
      <c r="T569" s="42"/>
    </row>
    <row r="570">
      <c r="A570" s="42"/>
      <c r="B570" s="42"/>
      <c r="C570" s="42"/>
      <c r="D570" s="42"/>
      <c r="E570" s="25"/>
      <c r="F570" s="25"/>
      <c r="G570" s="328"/>
      <c r="H570" s="328"/>
      <c r="I570" s="35"/>
      <c r="J570" s="35"/>
      <c r="K570" s="42"/>
      <c r="L570" s="42"/>
      <c r="M570" s="42"/>
      <c r="N570" s="38">
        <v>0.0</v>
      </c>
      <c r="O570" s="42"/>
      <c r="P570" s="42"/>
      <c r="Q570" s="42"/>
      <c r="R570" s="38">
        <v>0.0</v>
      </c>
      <c r="S570" s="46"/>
      <c r="T570" s="42"/>
    </row>
    <row r="571">
      <c r="A571" s="42"/>
      <c r="B571" s="42"/>
      <c r="C571" s="42"/>
      <c r="D571" s="42"/>
      <c r="E571" s="25"/>
      <c r="F571" s="25"/>
      <c r="G571" s="328"/>
      <c r="H571" s="328"/>
      <c r="I571" s="35"/>
      <c r="J571" s="35"/>
      <c r="K571" s="42"/>
      <c r="L571" s="42"/>
      <c r="M571" s="42"/>
      <c r="N571" s="38">
        <v>0.0</v>
      </c>
      <c r="O571" s="42"/>
      <c r="P571" s="42"/>
      <c r="Q571" s="42"/>
      <c r="R571" s="38">
        <v>0.0</v>
      </c>
      <c r="S571" s="46"/>
      <c r="T571" s="42"/>
    </row>
    <row r="572">
      <c r="A572" s="42"/>
      <c r="B572" s="42"/>
      <c r="C572" s="42"/>
      <c r="D572" s="42"/>
      <c r="E572" s="25"/>
      <c r="F572" s="25"/>
      <c r="G572" s="328"/>
      <c r="H572" s="328"/>
      <c r="I572" s="35"/>
      <c r="J572" s="35"/>
      <c r="K572" s="42"/>
      <c r="L572" s="42"/>
      <c r="M572" s="42"/>
      <c r="N572" s="38">
        <v>0.0</v>
      </c>
      <c r="O572" s="42"/>
      <c r="P572" s="42"/>
      <c r="Q572" s="42"/>
      <c r="R572" s="38">
        <v>0.0</v>
      </c>
      <c r="S572" s="46"/>
      <c r="T572" s="42"/>
    </row>
    <row r="573">
      <c r="A573" s="42"/>
      <c r="B573" s="42"/>
      <c r="C573" s="42"/>
      <c r="D573" s="42"/>
      <c r="E573" s="25"/>
      <c r="F573" s="25"/>
      <c r="G573" s="328"/>
      <c r="H573" s="328"/>
      <c r="I573" s="35"/>
      <c r="J573" s="35"/>
      <c r="K573" s="42"/>
      <c r="L573" s="42"/>
      <c r="M573" s="42"/>
      <c r="N573" s="38">
        <v>0.0</v>
      </c>
      <c r="O573" s="42"/>
      <c r="P573" s="42"/>
      <c r="Q573" s="42"/>
      <c r="R573" s="38">
        <v>0.0</v>
      </c>
      <c r="S573" s="46"/>
      <c r="T573" s="42"/>
    </row>
    <row r="574">
      <c r="A574" s="42"/>
      <c r="B574" s="42"/>
      <c r="C574" s="42"/>
      <c r="D574" s="42"/>
      <c r="E574" s="25"/>
      <c r="F574" s="25"/>
      <c r="G574" s="328"/>
      <c r="H574" s="328"/>
      <c r="I574" s="35"/>
      <c r="J574" s="35"/>
      <c r="K574" s="42"/>
      <c r="L574" s="42"/>
      <c r="M574" s="42"/>
      <c r="N574" s="38">
        <v>0.0</v>
      </c>
      <c r="O574" s="42"/>
      <c r="P574" s="42"/>
      <c r="Q574" s="42"/>
      <c r="R574" s="38">
        <v>0.0</v>
      </c>
      <c r="S574" s="46"/>
      <c r="T574" s="42"/>
    </row>
    <row r="575">
      <c r="A575" s="42"/>
      <c r="B575" s="42"/>
      <c r="C575" s="42"/>
      <c r="D575" s="42"/>
      <c r="E575" s="25"/>
      <c r="F575" s="25"/>
      <c r="G575" s="328"/>
      <c r="H575" s="328"/>
      <c r="I575" s="35"/>
      <c r="J575" s="35"/>
      <c r="K575" s="42"/>
      <c r="L575" s="42"/>
      <c r="M575" s="42"/>
      <c r="N575" s="38">
        <v>0.0</v>
      </c>
      <c r="O575" s="42"/>
      <c r="P575" s="42"/>
      <c r="Q575" s="42"/>
      <c r="R575" s="38">
        <v>0.0</v>
      </c>
      <c r="S575" s="46"/>
      <c r="T575" s="42"/>
    </row>
    <row r="576">
      <c r="A576" s="42"/>
      <c r="B576" s="42"/>
      <c r="C576" s="42"/>
      <c r="D576" s="42"/>
      <c r="E576" s="25"/>
      <c r="F576" s="25"/>
      <c r="G576" s="328"/>
      <c r="H576" s="328"/>
      <c r="I576" s="35"/>
      <c r="J576" s="35"/>
      <c r="K576" s="42"/>
      <c r="L576" s="42"/>
      <c r="M576" s="42"/>
      <c r="N576" s="38">
        <v>0.0</v>
      </c>
      <c r="O576" s="42"/>
      <c r="P576" s="42"/>
      <c r="Q576" s="42"/>
      <c r="R576" s="38">
        <v>0.0</v>
      </c>
      <c r="S576" s="46"/>
      <c r="T576" s="42"/>
    </row>
    <row r="577">
      <c r="A577" s="42"/>
      <c r="B577" s="42"/>
      <c r="C577" s="42"/>
      <c r="D577" s="42"/>
      <c r="E577" s="25"/>
      <c r="F577" s="25"/>
      <c r="G577" s="328"/>
      <c r="H577" s="328"/>
      <c r="I577" s="35"/>
      <c r="J577" s="35"/>
      <c r="K577" s="42"/>
      <c r="L577" s="42"/>
      <c r="M577" s="42"/>
      <c r="N577" s="38">
        <v>0.0</v>
      </c>
      <c r="O577" s="42"/>
      <c r="P577" s="42"/>
      <c r="Q577" s="42"/>
      <c r="R577" s="38">
        <v>0.0</v>
      </c>
      <c r="S577" s="46"/>
      <c r="T577" s="42"/>
    </row>
    <row r="578">
      <c r="A578" s="42"/>
      <c r="B578" s="42"/>
      <c r="C578" s="42"/>
      <c r="D578" s="42"/>
      <c r="E578" s="25"/>
      <c r="F578" s="25"/>
      <c r="G578" s="328"/>
      <c r="H578" s="328"/>
      <c r="I578" s="35"/>
      <c r="J578" s="35"/>
      <c r="K578" s="42"/>
      <c r="L578" s="42"/>
      <c r="M578" s="42"/>
      <c r="N578" s="38">
        <v>0.0</v>
      </c>
      <c r="O578" s="42"/>
      <c r="P578" s="42"/>
      <c r="Q578" s="42"/>
      <c r="R578" s="38">
        <v>0.0</v>
      </c>
      <c r="S578" s="46"/>
      <c r="T578" s="42"/>
    </row>
    <row r="579">
      <c r="A579" s="42"/>
      <c r="B579" s="42"/>
      <c r="C579" s="42"/>
      <c r="D579" s="42"/>
      <c r="E579" s="25"/>
      <c r="F579" s="25"/>
      <c r="G579" s="328"/>
      <c r="H579" s="328"/>
      <c r="I579" s="35"/>
      <c r="J579" s="35"/>
      <c r="K579" s="42"/>
      <c r="L579" s="42"/>
      <c r="M579" s="42"/>
      <c r="N579" s="38">
        <v>0.0</v>
      </c>
      <c r="O579" s="42"/>
      <c r="P579" s="42"/>
      <c r="Q579" s="42"/>
      <c r="R579" s="38">
        <v>0.0</v>
      </c>
      <c r="S579" s="46"/>
      <c r="T579" s="42"/>
    </row>
    <row r="580">
      <c r="A580" s="42"/>
      <c r="B580" s="42"/>
      <c r="C580" s="42"/>
      <c r="D580" s="42"/>
      <c r="E580" s="25"/>
      <c r="F580" s="25"/>
      <c r="G580" s="328"/>
      <c r="H580" s="328"/>
      <c r="I580" s="35"/>
      <c r="J580" s="35"/>
      <c r="K580" s="42"/>
      <c r="L580" s="42"/>
      <c r="M580" s="42"/>
      <c r="N580" s="38">
        <v>0.0</v>
      </c>
      <c r="O580" s="42"/>
      <c r="P580" s="42"/>
      <c r="Q580" s="42"/>
      <c r="R580" s="38">
        <v>0.0</v>
      </c>
      <c r="S580" s="46"/>
      <c r="T580" s="42"/>
    </row>
    <row r="581">
      <c r="A581" s="42"/>
      <c r="B581" s="42"/>
      <c r="C581" s="42"/>
      <c r="D581" s="42"/>
      <c r="E581" s="25"/>
      <c r="F581" s="25"/>
      <c r="G581" s="328"/>
      <c r="H581" s="328"/>
      <c r="I581" s="35"/>
      <c r="J581" s="35"/>
      <c r="K581" s="42"/>
      <c r="L581" s="42"/>
      <c r="M581" s="42"/>
      <c r="N581" s="38">
        <v>0.0</v>
      </c>
      <c r="O581" s="42"/>
      <c r="P581" s="42"/>
      <c r="Q581" s="42"/>
      <c r="R581" s="38">
        <v>0.0</v>
      </c>
      <c r="S581" s="46"/>
      <c r="T581" s="42"/>
    </row>
    <row r="582">
      <c r="A582" s="42"/>
      <c r="B582" s="42"/>
      <c r="C582" s="42"/>
      <c r="D582" s="42"/>
      <c r="E582" s="25"/>
      <c r="F582" s="25"/>
      <c r="G582" s="328"/>
      <c r="H582" s="328"/>
      <c r="I582" s="35"/>
      <c r="J582" s="35"/>
      <c r="K582" s="42"/>
      <c r="L582" s="42"/>
      <c r="M582" s="42"/>
      <c r="N582" s="38">
        <v>0.0</v>
      </c>
      <c r="O582" s="42"/>
      <c r="P582" s="42"/>
      <c r="Q582" s="42"/>
      <c r="R582" s="38">
        <v>0.0</v>
      </c>
      <c r="S582" s="46"/>
      <c r="T582" s="42"/>
    </row>
    <row r="583">
      <c r="A583" s="42"/>
      <c r="B583" s="42"/>
      <c r="C583" s="42"/>
      <c r="D583" s="42"/>
      <c r="E583" s="25"/>
      <c r="F583" s="25"/>
      <c r="G583" s="328"/>
      <c r="H583" s="328"/>
      <c r="I583" s="35"/>
      <c r="J583" s="35"/>
      <c r="K583" s="42"/>
      <c r="L583" s="42"/>
      <c r="M583" s="42"/>
      <c r="N583" s="38">
        <v>0.0</v>
      </c>
      <c r="O583" s="42"/>
      <c r="P583" s="42"/>
      <c r="Q583" s="42"/>
      <c r="R583" s="38">
        <v>0.0</v>
      </c>
      <c r="S583" s="46"/>
      <c r="T583" s="42"/>
    </row>
    <row r="584">
      <c r="A584" s="42"/>
      <c r="B584" s="42"/>
      <c r="C584" s="42"/>
      <c r="D584" s="42"/>
      <c r="E584" s="25"/>
      <c r="F584" s="25"/>
      <c r="G584" s="328"/>
      <c r="H584" s="328"/>
      <c r="I584" s="35"/>
      <c r="J584" s="35"/>
      <c r="K584" s="42"/>
      <c r="L584" s="42"/>
      <c r="M584" s="42"/>
      <c r="N584" s="38">
        <v>0.0</v>
      </c>
      <c r="O584" s="42"/>
      <c r="P584" s="42"/>
      <c r="Q584" s="42"/>
      <c r="R584" s="38">
        <v>0.0</v>
      </c>
      <c r="S584" s="46"/>
      <c r="T584" s="42"/>
    </row>
    <row r="585">
      <c r="A585" s="42"/>
      <c r="B585" s="42"/>
      <c r="C585" s="42"/>
      <c r="D585" s="42"/>
      <c r="E585" s="25"/>
      <c r="F585" s="25"/>
      <c r="G585" s="328"/>
      <c r="H585" s="328"/>
      <c r="I585" s="35"/>
      <c r="J585" s="35"/>
      <c r="K585" s="42"/>
      <c r="L585" s="42"/>
      <c r="M585" s="42"/>
      <c r="N585" s="38">
        <v>0.0</v>
      </c>
      <c r="O585" s="42"/>
      <c r="P585" s="42"/>
      <c r="Q585" s="42"/>
      <c r="R585" s="38">
        <v>0.0</v>
      </c>
      <c r="S585" s="46"/>
      <c r="T585" s="42"/>
    </row>
    <row r="586">
      <c r="A586" s="42"/>
      <c r="B586" s="42"/>
      <c r="C586" s="42"/>
      <c r="D586" s="42"/>
      <c r="E586" s="25"/>
      <c r="F586" s="25"/>
      <c r="G586" s="328"/>
      <c r="H586" s="328"/>
      <c r="I586" s="35"/>
      <c r="J586" s="35"/>
      <c r="K586" s="42"/>
      <c r="L586" s="42"/>
      <c r="M586" s="42"/>
      <c r="N586" s="38">
        <v>0.0</v>
      </c>
      <c r="O586" s="42"/>
      <c r="P586" s="42"/>
      <c r="Q586" s="42"/>
      <c r="R586" s="38">
        <v>0.0</v>
      </c>
      <c r="S586" s="46"/>
      <c r="T586" s="42"/>
    </row>
    <row r="587">
      <c r="A587" s="42"/>
      <c r="B587" s="42"/>
      <c r="C587" s="42"/>
      <c r="D587" s="42"/>
      <c r="E587" s="25"/>
      <c r="F587" s="25"/>
      <c r="G587" s="328"/>
      <c r="H587" s="328"/>
      <c r="I587" s="35"/>
      <c r="J587" s="35"/>
      <c r="K587" s="42"/>
      <c r="L587" s="42"/>
      <c r="M587" s="42"/>
      <c r="N587" s="38">
        <v>0.0</v>
      </c>
      <c r="O587" s="42"/>
      <c r="P587" s="42"/>
      <c r="Q587" s="42"/>
      <c r="R587" s="38">
        <v>0.0</v>
      </c>
      <c r="S587" s="46"/>
      <c r="T587" s="42"/>
    </row>
    <row r="588">
      <c r="A588" s="42"/>
      <c r="B588" s="42"/>
      <c r="C588" s="42"/>
      <c r="D588" s="42"/>
      <c r="E588" s="25"/>
      <c r="F588" s="25"/>
      <c r="G588" s="328"/>
      <c r="H588" s="328"/>
      <c r="I588" s="35"/>
      <c r="J588" s="35"/>
      <c r="K588" s="42"/>
      <c r="L588" s="42"/>
      <c r="M588" s="42"/>
      <c r="N588" s="38">
        <v>0.0</v>
      </c>
      <c r="O588" s="42"/>
      <c r="P588" s="42"/>
      <c r="Q588" s="42"/>
      <c r="R588" s="38">
        <v>0.0</v>
      </c>
      <c r="S588" s="46"/>
      <c r="T588" s="42"/>
    </row>
    <row r="589">
      <c r="A589" s="42"/>
      <c r="B589" s="42"/>
      <c r="C589" s="42"/>
      <c r="D589" s="42"/>
      <c r="E589" s="25"/>
      <c r="F589" s="25"/>
      <c r="G589" s="328"/>
      <c r="H589" s="328"/>
      <c r="I589" s="35"/>
      <c r="J589" s="35"/>
      <c r="K589" s="42"/>
      <c r="L589" s="42"/>
      <c r="M589" s="42"/>
      <c r="N589" s="38">
        <v>0.0</v>
      </c>
      <c r="O589" s="42"/>
      <c r="P589" s="42"/>
      <c r="Q589" s="42"/>
      <c r="R589" s="38">
        <v>0.0</v>
      </c>
      <c r="S589" s="46"/>
      <c r="T589" s="42"/>
    </row>
    <row r="590">
      <c r="A590" s="42"/>
      <c r="B590" s="42"/>
      <c r="C590" s="42"/>
      <c r="D590" s="42"/>
      <c r="E590" s="25"/>
      <c r="F590" s="25"/>
      <c r="G590" s="328"/>
      <c r="H590" s="328"/>
      <c r="I590" s="35"/>
      <c r="J590" s="35"/>
      <c r="K590" s="42"/>
      <c r="L590" s="42"/>
      <c r="M590" s="42"/>
      <c r="N590" s="38">
        <v>0.0</v>
      </c>
      <c r="O590" s="42"/>
      <c r="P590" s="42"/>
      <c r="Q590" s="42"/>
      <c r="R590" s="38">
        <v>0.0</v>
      </c>
      <c r="S590" s="46"/>
      <c r="T590" s="42"/>
    </row>
    <row r="591">
      <c r="A591" s="42"/>
      <c r="B591" s="42"/>
      <c r="C591" s="42"/>
      <c r="D591" s="42"/>
      <c r="E591" s="25"/>
      <c r="F591" s="25"/>
      <c r="G591" s="328"/>
      <c r="H591" s="328"/>
      <c r="I591" s="35"/>
      <c r="J591" s="35"/>
      <c r="K591" s="42"/>
      <c r="L591" s="42"/>
      <c r="M591" s="42"/>
      <c r="N591" s="38">
        <v>0.0</v>
      </c>
      <c r="O591" s="42"/>
      <c r="P591" s="42"/>
      <c r="Q591" s="42"/>
      <c r="R591" s="38">
        <v>0.0</v>
      </c>
      <c r="S591" s="46"/>
      <c r="T591" s="42"/>
    </row>
    <row r="592">
      <c r="A592" s="42"/>
      <c r="B592" s="42"/>
      <c r="C592" s="42"/>
      <c r="D592" s="42"/>
      <c r="E592" s="25"/>
      <c r="F592" s="25"/>
      <c r="G592" s="328"/>
      <c r="H592" s="328"/>
      <c r="I592" s="35"/>
      <c r="J592" s="35"/>
      <c r="K592" s="42"/>
      <c r="L592" s="42"/>
      <c r="M592" s="42"/>
      <c r="N592" s="38">
        <v>0.0</v>
      </c>
      <c r="O592" s="42"/>
      <c r="P592" s="42"/>
      <c r="Q592" s="42"/>
      <c r="R592" s="38">
        <v>0.0</v>
      </c>
      <c r="S592" s="46"/>
      <c r="T592" s="42"/>
    </row>
    <row r="593">
      <c r="A593" s="42"/>
      <c r="B593" s="42"/>
      <c r="C593" s="42"/>
      <c r="D593" s="42"/>
      <c r="E593" s="25"/>
      <c r="F593" s="25"/>
      <c r="G593" s="328"/>
      <c r="H593" s="328"/>
      <c r="I593" s="35"/>
      <c r="J593" s="35"/>
      <c r="K593" s="42"/>
      <c r="L593" s="42"/>
      <c r="M593" s="42"/>
      <c r="N593" s="38">
        <v>0.0</v>
      </c>
      <c r="O593" s="42"/>
      <c r="P593" s="42"/>
      <c r="Q593" s="42"/>
      <c r="R593" s="38">
        <v>0.0</v>
      </c>
      <c r="S593" s="46"/>
      <c r="T593" s="42"/>
    </row>
    <row r="594">
      <c r="A594" s="42"/>
      <c r="B594" s="42"/>
      <c r="C594" s="42"/>
      <c r="D594" s="42"/>
      <c r="E594" s="25"/>
      <c r="F594" s="25"/>
      <c r="G594" s="328"/>
      <c r="H594" s="328"/>
      <c r="I594" s="35"/>
      <c r="J594" s="35"/>
      <c r="K594" s="42"/>
      <c r="L594" s="42"/>
      <c r="M594" s="42"/>
      <c r="N594" s="38">
        <v>0.0</v>
      </c>
      <c r="O594" s="42"/>
      <c r="P594" s="42"/>
      <c r="Q594" s="42"/>
      <c r="R594" s="38">
        <v>0.0</v>
      </c>
      <c r="S594" s="46"/>
      <c r="T594" s="42"/>
    </row>
    <row r="595">
      <c r="A595" s="42"/>
      <c r="B595" s="42"/>
      <c r="C595" s="42"/>
      <c r="D595" s="42"/>
      <c r="E595" s="25"/>
      <c r="F595" s="25"/>
      <c r="G595" s="328"/>
      <c r="H595" s="328"/>
      <c r="I595" s="35"/>
      <c r="J595" s="35"/>
      <c r="K595" s="42"/>
      <c r="L595" s="42"/>
      <c r="M595" s="42"/>
      <c r="N595" s="38">
        <v>0.0</v>
      </c>
      <c r="O595" s="42"/>
      <c r="P595" s="42"/>
      <c r="Q595" s="42"/>
      <c r="R595" s="38">
        <v>0.0</v>
      </c>
      <c r="S595" s="46"/>
      <c r="T595" s="42"/>
    </row>
    <row r="596">
      <c r="A596" s="42"/>
      <c r="B596" s="42"/>
      <c r="C596" s="42"/>
      <c r="D596" s="42"/>
      <c r="E596" s="25"/>
      <c r="F596" s="25"/>
      <c r="G596" s="328"/>
      <c r="H596" s="328"/>
      <c r="I596" s="35"/>
      <c r="J596" s="35"/>
      <c r="K596" s="42"/>
      <c r="L596" s="42"/>
      <c r="M596" s="42"/>
      <c r="N596" s="38">
        <v>0.0</v>
      </c>
      <c r="O596" s="42"/>
      <c r="P596" s="42"/>
      <c r="Q596" s="42"/>
      <c r="R596" s="38">
        <v>0.0</v>
      </c>
      <c r="S596" s="46"/>
      <c r="T596" s="42"/>
    </row>
    <row r="597">
      <c r="A597" s="42"/>
      <c r="B597" s="42"/>
      <c r="C597" s="42"/>
      <c r="D597" s="42"/>
      <c r="E597" s="25"/>
      <c r="F597" s="25"/>
      <c r="G597" s="328"/>
      <c r="H597" s="328"/>
      <c r="I597" s="35"/>
      <c r="J597" s="35"/>
      <c r="K597" s="42"/>
      <c r="L597" s="42"/>
      <c r="M597" s="42"/>
      <c r="N597" s="38">
        <v>0.0</v>
      </c>
      <c r="O597" s="42"/>
      <c r="P597" s="42"/>
      <c r="Q597" s="42"/>
      <c r="R597" s="38">
        <v>0.0</v>
      </c>
      <c r="S597" s="46"/>
      <c r="T597" s="42"/>
    </row>
    <row r="598">
      <c r="A598" s="42"/>
      <c r="B598" s="42"/>
      <c r="C598" s="42"/>
      <c r="D598" s="42"/>
      <c r="E598" s="25"/>
      <c r="F598" s="25"/>
      <c r="G598" s="328"/>
      <c r="H598" s="328"/>
      <c r="I598" s="35"/>
      <c r="J598" s="35"/>
      <c r="K598" s="42"/>
      <c r="L598" s="42"/>
      <c r="M598" s="42"/>
      <c r="N598" s="38">
        <v>0.0</v>
      </c>
      <c r="O598" s="42"/>
      <c r="P598" s="42"/>
      <c r="Q598" s="42"/>
      <c r="R598" s="38">
        <v>0.0</v>
      </c>
      <c r="S598" s="46"/>
      <c r="T598" s="42"/>
    </row>
    <row r="599">
      <c r="A599" s="42"/>
      <c r="B599" s="42"/>
      <c r="C599" s="42"/>
      <c r="D599" s="42"/>
      <c r="E599" s="25"/>
      <c r="F599" s="25"/>
      <c r="G599" s="328"/>
      <c r="H599" s="328"/>
      <c r="I599" s="35"/>
      <c r="J599" s="35"/>
      <c r="K599" s="42"/>
      <c r="L599" s="42"/>
      <c r="M599" s="42"/>
      <c r="N599" s="38">
        <v>0.0</v>
      </c>
      <c r="O599" s="42"/>
      <c r="P599" s="42"/>
      <c r="Q599" s="42"/>
      <c r="R599" s="38">
        <v>0.0</v>
      </c>
      <c r="S599" s="46"/>
      <c r="T599" s="42"/>
    </row>
    <row r="600">
      <c r="A600" s="42"/>
      <c r="B600" s="42"/>
      <c r="C600" s="42"/>
      <c r="D600" s="42"/>
      <c r="E600" s="25"/>
      <c r="F600" s="25"/>
      <c r="G600" s="328"/>
      <c r="H600" s="328"/>
      <c r="I600" s="35"/>
      <c r="J600" s="35"/>
      <c r="K600" s="42"/>
      <c r="L600" s="42"/>
      <c r="M600" s="42"/>
      <c r="N600" s="38">
        <v>0.0</v>
      </c>
      <c r="O600" s="42"/>
      <c r="P600" s="42"/>
      <c r="Q600" s="42"/>
      <c r="R600" s="38">
        <v>0.0</v>
      </c>
      <c r="S600" s="46"/>
      <c r="T600" s="42"/>
    </row>
    <row r="601">
      <c r="A601" s="42"/>
      <c r="B601" s="42"/>
      <c r="C601" s="42"/>
      <c r="D601" s="42"/>
      <c r="E601" s="25"/>
      <c r="F601" s="25"/>
      <c r="G601" s="328"/>
      <c r="H601" s="328"/>
      <c r="I601" s="35"/>
      <c r="J601" s="35"/>
      <c r="K601" s="42"/>
      <c r="L601" s="42"/>
      <c r="M601" s="42"/>
      <c r="N601" s="38">
        <v>0.0</v>
      </c>
      <c r="O601" s="42"/>
      <c r="P601" s="42"/>
      <c r="Q601" s="42"/>
      <c r="R601" s="38">
        <v>0.0</v>
      </c>
      <c r="S601" s="46"/>
      <c r="T601" s="42"/>
    </row>
    <row r="602">
      <c r="A602" s="42"/>
      <c r="B602" s="42"/>
      <c r="C602" s="42"/>
      <c r="D602" s="42"/>
      <c r="E602" s="25"/>
      <c r="F602" s="25"/>
      <c r="G602" s="328"/>
      <c r="H602" s="328"/>
      <c r="I602" s="35"/>
      <c r="J602" s="35"/>
      <c r="K602" s="42"/>
      <c r="L602" s="42"/>
      <c r="M602" s="42"/>
      <c r="N602" s="38">
        <v>0.0</v>
      </c>
      <c r="O602" s="42"/>
      <c r="P602" s="42"/>
      <c r="Q602" s="42"/>
      <c r="R602" s="38">
        <v>0.0</v>
      </c>
      <c r="S602" s="46"/>
      <c r="T602" s="42"/>
    </row>
    <row r="603">
      <c r="A603" s="42"/>
      <c r="B603" s="42"/>
      <c r="C603" s="42"/>
      <c r="D603" s="42"/>
      <c r="E603" s="25"/>
      <c r="F603" s="25"/>
      <c r="G603" s="328"/>
      <c r="H603" s="328"/>
      <c r="I603" s="35"/>
      <c r="J603" s="35"/>
      <c r="K603" s="42"/>
      <c r="L603" s="42"/>
      <c r="M603" s="42"/>
      <c r="N603" s="38">
        <v>0.0</v>
      </c>
      <c r="O603" s="42"/>
      <c r="P603" s="42"/>
      <c r="Q603" s="42"/>
      <c r="R603" s="38">
        <v>0.0</v>
      </c>
      <c r="S603" s="46"/>
      <c r="T603" s="42"/>
    </row>
    <row r="604">
      <c r="A604" s="42"/>
      <c r="B604" s="42"/>
      <c r="C604" s="42"/>
      <c r="D604" s="42"/>
      <c r="E604" s="25"/>
      <c r="F604" s="25"/>
      <c r="G604" s="328"/>
      <c r="H604" s="328"/>
      <c r="I604" s="35"/>
      <c r="J604" s="35"/>
      <c r="K604" s="42"/>
      <c r="L604" s="42"/>
      <c r="M604" s="42"/>
      <c r="N604" s="38">
        <v>0.0</v>
      </c>
      <c r="O604" s="42"/>
      <c r="P604" s="42"/>
      <c r="Q604" s="42"/>
      <c r="R604" s="38">
        <v>0.0</v>
      </c>
      <c r="S604" s="46"/>
      <c r="T604" s="42"/>
    </row>
    <row r="605">
      <c r="A605" s="42"/>
      <c r="B605" s="42"/>
      <c r="C605" s="42"/>
      <c r="D605" s="42"/>
      <c r="E605" s="25"/>
      <c r="F605" s="25"/>
      <c r="G605" s="328"/>
      <c r="H605" s="328"/>
      <c r="I605" s="35"/>
      <c r="J605" s="35"/>
      <c r="K605" s="42"/>
      <c r="L605" s="42"/>
      <c r="M605" s="42"/>
      <c r="N605" s="38">
        <v>0.0</v>
      </c>
      <c r="O605" s="42"/>
      <c r="P605" s="42"/>
      <c r="Q605" s="42"/>
      <c r="R605" s="38">
        <v>0.0</v>
      </c>
      <c r="S605" s="46"/>
      <c r="T605" s="42"/>
    </row>
    <row r="606">
      <c r="A606" s="42"/>
      <c r="B606" s="42"/>
      <c r="C606" s="42"/>
      <c r="D606" s="42"/>
      <c r="E606" s="25"/>
      <c r="F606" s="25"/>
      <c r="G606" s="328"/>
      <c r="H606" s="328"/>
      <c r="I606" s="35"/>
      <c r="J606" s="35"/>
      <c r="K606" s="42"/>
      <c r="L606" s="42"/>
      <c r="M606" s="42"/>
      <c r="N606" s="38">
        <v>0.0</v>
      </c>
      <c r="O606" s="42"/>
      <c r="P606" s="42"/>
      <c r="Q606" s="42"/>
      <c r="R606" s="38">
        <v>0.0</v>
      </c>
      <c r="S606" s="46"/>
      <c r="T606" s="42"/>
    </row>
    <row r="607">
      <c r="A607" s="42"/>
      <c r="B607" s="42"/>
      <c r="C607" s="42"/>
      <c r="D607" s="42"/>
      <c r="E607" s="25"/>
      <c r="F607" s="25"/>
      <c r="G607" s="328"/>
      <c r="H607" s="328"/>
      <c r="I607" s="35"/>
      <c r="J607" s="35"/>
      <c r="K607" s="42"/>
      <c r="L607" s="42"/>
      <c r="M607" s="42"/>
      <c r="N607" s="38">
        <v>0.0</v>
      </c>
      <c r="O607" s="42"/>
      <c r="P607" s="42"/>
      <c r="Q607" s="42"/>
      <c r="R607" s="38">
        <v>0.0</v>
      </c>
      <c r="S607" s="46"/>
      <c r="T607" s="42"/>
    </row>
    <row r="608">
      <c r="A608" s="42"/>
      <c r="B608" s="42"/>
      <c r="C608" s="42"/>
      <c r="D608" s="42"/>
      <c r="E608" s="25"/>
      <c r="F608" s="25"/>
      <c r="G608" s="328"/>
      <c r="H608" s="328"/>
      <c r="I608" s="35"/>
      <c r="J608" s="35"/>
      <c r="K608" s="42"/>
      <c r="L608" s="42"/>
      <c r="M608" s="42"/>
      <c r="N608" s="38">
        <v>0.0</v>
      </c>
      <c r="O608" s="42"/>
      <c r="P608" s="42"/>
      <c r="Q608" s="42"/>
      <c r="R608" s="38">
        <v>0.0</v>
      </c>
      <c r="S608" s="46"/>
      <c r="T608" s="42"/>
    </row>
    <row r="609">
      <c r="A609" s="42"/>
      <c r="B609" s="42"/>
      <c r="C609" s="42"/>
      <c r="D609" s="42"/>
      <c r="E609" s="25"/>
      <c r="F609" s="25"/>
      <c r="G609" s="328"/>
      <c r="H609" s="328"/>
      <c r="I609" s="35"/>
      <c r="J609" s="35"/>
      <c r="K609" s="42"/>
      <c r="L609" s="42"/>
      <c r="M609" s="42"/>
      <c r="N609" s="38">
        <v>0.0</v>
      </c>
      <c r="O609" s="42"/>
      <c r="P609" s="42"/>
      <c r="Q609" s="42"/>
      <c r="R609" s="38">
        <v>0.0</v>
      </c>
      <c r="S609" s="46"/>
      <c r="T609" s="42"/>
    </row>
    <row r="610">
      <c r="A610" s="42"/>
      <c r="B610" s="42"/>
      <c r="C610" s="42"/>
      <c r="D610" s="42"/>
      <c r="E610" s="25"/>
      <c r="F610" s="25"/>
      <c r="G610" s="328"/>
      <c r="H610" s="328"/>
      <c r="I610" s="35"/>
      <c r="J610" s="35"/>
      <c r="K610" s="42"/>
      <c r="L610" s="42"/>
      <c r="M610" s="42"/>
      <c r="N610" s="38">
        <v>0.0</v>
      </c>
      <c r="O610" s="42"/>
      <c r="P610" s="42"/>
      <c r="Q610" s="42"/>
      <c r="R610" s="38">
        <v>0.0</v>
      </c>
      <c r="S610" s="46"/>
      <c r="T610" s="42"/>
    </row>
    <row r="611">
      <c r="A611" s="42"/>
      <c r="B611" s="42"/>
      <c r="C611" s="42"/>
      <c r="D611" s="42"/>
      <c r="E611" s="25"/>
      <c r="F611" s="25"/>
      <c r="G611" s="328"/>
      <c r="H611" s="328"/>
      <c r="I611" s="35"/>
      <c r="J611" s="35"/>
      <c r="K611" s="42"/>
      <c r="L611" s="42"/>
      <c r="M611" s="42"/>
      <c r="N611" s="38">
        <v>0.0</v>
      </c>
      <c r="O611" s="42"/>
      <c r="P611" s="42"/>
      <c r="Q611" s="42"/>
      <c r="R611" s="38">
        <v>0.0</v>
      </c>
      <c r="S611" s="46"/>
      <c r="T611" s="42"/>
    </row>
    <row r="612">
      <c r="A612" s="42"/>
      <c r="B612" s="42"/>
      <c r="C612" s="42"/>
      <c r="D612" s="42"/>
      <c r="E612" s="25"/>
      <c r="F612" s="25"/>
      <c r="G612" s="328"/>
      <c r="H612" s="328"/>
      <c r="I612" s="35"/>
      <c r="J612" s="35"/>
      <c r="K612" s="42"/>
      <c r="L612" s="42"/>
      <c r="M612" s="42"/>
      <c r="N612" s="38">
        <v>0.0</v>
      </c>
      <c r="O612" s="42"/>
      <c r="P612" s="42"/>
      <c r="Q612" s="42"/>
      <c r="R612" s="38">
        <v>0.0</v>
      </c>
      <c r="S612" s="46"/>
      <c r="T612" s="42"/>
    </row>
    <row r="613">
      <c r="A613" s="42"/>
      <c r="B613" s="42"/>
      <c r="C613" s="42"/>
      <c r="D613" s="42"/>
      <c r="E613" s="25"/>
      <c r="F613" s="25"/>
      <c r="G613" s="328"/>
      <c r="H613" s="328"/>
      <c r="I613" s="35"/>
      <c r="J613" s="35"/>
      <c r="K613" s="42"/>
      <c r="L613" s="42"/>
      <c r="M613" s="42"/>
      <c r="N613" s="38">
        <v>0.0</v>
      </c>
      <c r="O613" s="42"/>
      <c r="P613" s="42"/>
      <c r="Q613" s="42"/>
      <c r="R613" s="38">
        <v>0.0</v>
      </c>
      <c r="S613" s="46"/>
      <c r="T613" s="4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4.75"/>
  </cols>
  <sheetData>
    <row r="1">
      <c r="A1" s="457" t="s">
        <v>0</v>
      </c>
      <c r="B1" s="457" t="s">
        <v>3551</v>
      </c>
      <c r="C1" s="457" t="s">
        <v>4</v>
      </c>
      <c r="D1" s="457" t="s">
        <v>3555</v>
      </c>
      <c r="E1" s="457" t="s">
        <v>3556</v>
      </c>
    </row>
    <row r="2">
      <c r="A2" s="362">
        <v>1.0</v>
      </c>
      <c r="B2" s="18" t="s">
        <v>60</v>
      </c>
      <c r="C2" s="18" t="s">
        <v>3558</v>
      </c>
      <c r="D2" s="18" t="s">
        <v>295</v>
      </c>
      <c r="E2" s="18" t="s">
        <v>3559</v>
      </c>
    </row>
    <row r="3">
      <c r="A3" s="362">
        <v>2.0</v>
      </c>
      <c r="B3" s="18" t="s">
        <v>60</v>
      </c>
      <c r="C3" s="18" t="s">
        <v>3560</v>
      </c>
      <c r="D3" s="18" t="s">
        <v>3561</v>
      </c>
      <c r="E3" s="18" t="s">
        <v>3559</v>
      </c>
    </row>
    <row r="4">
      <c r="A4" s="362">
        <v>3.0</v>
      </c>
      <c r="B4" s="18" t="s">
        <v>60</v>
      </c>
      <c r="C4" s="18" t="s">
        <v>3565</v>
      </c>
      <c r="D4" s="18" t="s">
        <v>457</v>
      </c>
      <c r="E4" s="18" t="s">
        <v>3559</v>
      </c>
    </row>
    <row r="5">
      <c r="A5" s="362">
        <v>4.0</v>
      </c>
      <c r="B5" s="18" t="s">
        <v>60</v>
      </c>
      <c r="C5" s="18" t="s">
        <v>3571</v>
      </c>
      <c r="D5" s="18" t="s">
        <v>3572</v>
      </c>
      <c r="E5" s="18" t="s">
        <v>3559</v>
      </c>
    </row>
    <row r="6">
      <c r="A6" s="362">
        <v>5.0</v>
      </c>
      <c r="B6" s="18" t="s">
        <v>102</v>
      </c>
      <c r="C6" s="18" t="s">
        <v>3573</v>
      </c>
      <c r="D6" s="18" t="s">
        <v>106</v>
      </c>
      <c r="E6" s="18" t="s">
        <v>3559</v>
      </c>
    </row>
    <row r="7">
      <c r="A7" s="362">
        <v>6.0</v>
      </c>
      <c r="B7" s="18" t="s">
        <v>102</v>
      </c>
      <c r="C7" s="18" t="s">
        <v>3576</v>
      </c>
      <c r="D7" s="18" t="s">
        <v>178</v>
      </c>
      <c r="E7" s="18" t="s">
        <v>3559</v>
      </c>
    </row>
    <row r="8">
      <c r="A8" s="362">
        <v>7.0</v>
      </c>
      <c r="B8" s="18" t="s">
        <v>60</v>
      </c>
      <c r="C8" s="18" t="s">
        <v>3578</v>
      </c>
      <c r="D8" s="18" t="s">
        <v>212</v>
      </c>
      <c r="E8" s="18" t="s">
        <v>3559</v>
      </c>
    </row>
    <row r="9">
      <c r="A9" s="362">
        <v>8.0</v>
      </c>
      <c r="B9" s="18" t="s">
        <v>36</v>
      </c>
      <c r="C9" s="18" t="s">
        <v>3583</v>
      </c>
      <c r="D9" s="18" t="s">
        <v>3584</v>
      </c>
      <c r="E9" s="18" t="s">
        <v>3559</v>
      </c>
    </row>
    <row r="10">
      <c r="A10" s="362">
        <v>9.0</v>
      </c>
      <c r="B10" s="18" t="s">
        <v>60</v>
      </c>
      <c r="C10" s="18" t="s">
        <v>3587</v>
      </c>
      <c r="D10" s="18" t="s">
        <v>331</v>
      </c>
      <c r="E10" s="18" t="s">
        <v>3559</v>
      </c>
    </row>
    <row r="11">
      <c r="A11" s="459">
        <v>10.0</v>
      </c>
      <c r="B11" s="460" t="s">
        <v>102</v>
      </c>
      <c r="C11" s="460" t="s">
        <v>3594</v>
      </c>
      <c r="D11" s="460" t="s">
        <v>3596</v>
      </c>
      <c r="E11" s="460" t="s">
        <v>3559</v>
      </c>
    </row>
    <row r="12">
      <c r="A12" s="362">
        <v>11.0</v>
      </c>
      <c r="B12" s="18" t="s">
        <v>102</v>
      </c>
      <c r="C12" s="18" t="s">
        <v>1504</v>
      </c>
      <c r="D12" s="18" t="s">
        <v>119</v>
      </c>
      <c r="E12" s="18" t="s">
        <v>3598</v>
      </c>
    </row>
    <row r="13">
      <c r="A13" s="362">
        <v>12.0</v>
      </c>
      <c r="B13" s="18" t="s">
        <v>102</v>
      </c>
      <c r="C13" s="18" t="s">
        <v>103</v>
      </c>
      <c r="D13" s="18" t="s">
        <v>106</v>
      </c>
      <c r="E13" s="18" t="s">
        <v>3598</v>
      </c>
    </row>
    <row r="14">
      <c r="A14" s="362">
        <v>13.0</v>
      </c>
      <c r="B14" s="18" t="s">
        <v>102</v>
      </c>
      <c r="C14" s="18" t="s">
        <v>373</v>
      </c>
      <c r="D14" s="18" t="s">
        <v>178</v>
      </c>
      <c r="E14" s="18" t="s">
        <v>3598</v>
      </c>
    </row>
    <row r="15">
      <c r="A15" s="362">
        <v>14.0</v>
      </c>
      <c r="B15" s="18" t="s">
        <v>610</v>
      </c>
      <c r="C15" s="18" t="s">
        <v>3603</v>
      </c>
      <c r="D15" s="18" t="s">
        <v>2331</v>
      </c>
      <c r="E15" s="18" t="s">
        <v>3598</v>
      </c>
    </row>
    <row r="16">
      <c r="A16" s="362">
        <v>15.0</v>
      </c>
      <c r="B16" s="18" t="s">
        <v>60</v>
      </c>
      <c r="C16" s="18" t="s">
        <v>1242</v>
      </c>
      <c r="D16" s="18" t="s">
        <v>178</v>
      </c>
      <c r="E16" s="18" t="s">
        <v>3598</v>
      </c>
    </row>
    <row r="17">
      <c r="A17" s="362">
        <v>16.0</v>
      </c>
      <c r="B17" s="18" t="s">
        <v>60</v>
      </c>
      <c r="C17" s="18" t="s">
        <v>1646</v>
      </c>
      <c r="D17" s="18" t="s">
        <v>2289</v>
      </c>
      <c r="E17" s="18" t="s">
        <v>3598</v>
      </c>
    </row>
    <row r="18">
      <c r="A18" s="362">
        <v>17.0</v>
      </c>
      <c r="B18" s="18" t="s">
        <v>60</v>
      </c>
      <c r="C18" s="18" t="s">
        <v>1534</v>
      </c>
      <c r="D18" s="18" t="s">
        <v>2562</v>
      </c>
      <c r="E18" s="18" t="s">
        <v>3598</v>
      </c>
    </row>
    <row r="19">
      <c r="A19" s="362">
        <v>18.0</v>
      </c>
      <c r="B19" s="18" t="s">
        <v>60</v>
      </c>
      <c r="C19" s="18" t="s">
        <v>1967</v>
      </c>
      <c r="D19" s="18" t="s">
        <v>178</v>
      </c>
      <c r="E19" s="18" t="s">
        <v>3598</v>
      </c>
    </row>
    <row r="20">
      <c r="A20" s="362">
        <v>19.0</v>
      </c>
      <c r="B20" s="18" t="s">
        <v>102</v>
      </c>
      <c r="C20" s="18" t="s">
        <v>1669</v>
      </c>
      <c r="D20" s="18" t="s">
        <v>178</v>
      </c>
      <c r="E20" s="18" t="s">
        <v>3598</v>
      </c>
    </row>
    <row r="21">
      <c r="A21" s="362">
        <v>20.0</v>
      </c>
      <c r="B21" s="18" t="s">
        <v>60</v>
      </c>
      <c r="C21" s="18" t="s">
        <v>1356</v>
      </c>
      <c r="D21" s="18" t="s">
        <v>178</v>
      </c>
      <c r="E21" s="18" t="s">
        <v>3598</v>
      </c>
    </row>
    <row r="22">
      <c r="A22" s="362">
        <v>21.0</v>
      </c>
      <c r="B22" s="18" t="s">
        <v>60</v>
      </c>
      <c r="C22" s="18" t="s">
        <v>562</v>
      </c>
      <c r="D22" s="18" t="s">
        <v>460</v>
      </c>
      <c r="E22" s="18" t="s">
        <v>3598</v>
      </c>
    </row>
    <row r="23">
      <c r="A23" s="362">
        <v>22.0</v>
      </c>
      <c r="B23" s="18" t="s">
        <v>102</v>
      </c>
      <c r="C23" s="18" t="s">
        <v>1489</v>
      </c>
      <c r="D23" s="18" t="s">
        <v>2562</v>
      </c>
      <c r="E23" s="18" t="s">
        <v>3598</v>
      </c>
    </row>
    <row r="24">
      <c r="A24" s="362">
        <v>23.0</v>
      </c>
      <c r="B24" s="18" t="s">
        <v>60</v>
      </c>
      <c r="C24" s="18" t="s">
        <v>1124</v>
      </c>
      <c r="D24" s="18" t="s">
        <v>178</v>
      </c>
      <c r="E24" s="18" t="s">
        <v>3598</v>
      </c>
    </row>
    <row r="25">
      <c r="A25" s="362">
        <v>24.0</v>
      </c>
      <c r="B25" s="18" t="s">
        <v>60</v>
      </c>
      <c r="C25" s="18" t="s">
        <v>2266</v>
      </c>
      <c r="D25" s="18" t="s">
        <v>178</v>
      </c>
      <c r="E25" s="18" t="s">
        <v>3598</v>
      </c>
    </row>
    <row r="26">
      <c r="A26" s="362">
        <v>25.0</v>
      </c>
      <c r="B26" s="18" t="s">
        <v>363</v>
      </c>
      <c r="C26" s="18" t="s">
        <v>780</v>
      </c>
      <c r="D26" s="18" t="s">
        <v>267</v>
      </c>
      <c r="E26" s="18" t="s">
        <v>3598</v>
      </c>
    </row>
    <row r="27">
      <c r="A27" s="362">
        <v>26.0</v>
      </c>
      <c r="B27" s="18" t="s">
        <v>60</v>
      </c>
      <c r="C27" s="18" t="s">
        <v>826</v>
      </c>
      <c r="D27" s="18" t="s">
        <v>178</v>
      </c>
      <c r="E27" s="18" t="s">
        <v>3598</v>
      </c>
    </row>
    <row r="28">
      <c r="A28" s="362">
        <v>27.0</v>
      </c>
      <c r="B28" s="18" t="s">
        <v>60</v>
      </c>
      <c r="C28" s="18" t="s">
        <v>1524</v>
      </c>
      <c r="D28" s="18" t="s">
        <v>2562</v>
      </c>
      <c r="E28" s="18" t="s">
        <v>3598</v>
      </c>
    </row>
    <row r="29">
      <c r="A29" s="362">
        <v>28.0</v>
      </c>
      <c r="B29" s="18" t="s">
        <v>96</v>
      </c>
      <c r="C29" s="18" t="s">
        <v>98</v>
      </c>
      <c r="D29" s="18" t="s">
        <v>100</v>
      </c>
      <c r="E29" s="18" t="s">
        <v>3598</v>
      </c>
    </row>
    <row r="30">
      <c r="A30" s="362">
        <v>29.0</v>
      </c>
      <c r="B30" s="18" t="s">
        <v>60</v>
      </c>
      <c r="C30" s="18" t="s">
        <v>1990</v>
      </c>
      <c r="D30" s="18" t="s">
        <v>178</v>
      </c>
      <c r="E30" s="18" t="s">
        <v>3598</v>
      </c>
    </row>
    <row r="31">
      <c r="A31" s="362">
        <v>30.0</v>
      </c>
      <c r="B31" s="18" t="s">
        <v>60</v>
      </c>
      <c r="C31" s="18" t="s">
        <v>2027</v>
      </c>
      <c r="D31" s="18" t="s">
        <v>1431</v>
      </c>
      <c r="E31" s="18" t="s">
        <v>3598</v>
      </c>
    </row>
    <row r="32">
      <c r="A32" s="362">
        <v>31.0</v>
      </c>
      <c r="B32" s="18" t="s">
        <v>96</v>
      </c>
      <c r="C32" s="18" t="s">
        <v>3643</v>
      </c>
      <c r="D32" s="18" t="s">
        <v>267</v>
      </c>
      <c r="E32" s="18" t="s">
        <v>3598</v>
      </c>
    </row>
    <row r="33">
      <c r="A33" s="362">
        <v>32.0</v>
      </c>
      <c r="B33" s="18" t="s">
        <v>102</v>
      </c>
      <c r="C33" s="18" t="s">
        <v>3254</v>
      </c>
      <c r="D33" s="18" t="s">
        <v>2562</v>
      </c>
      <c r="E33" s="18" t="s">
        <v>3598</v>
      </c>
    </row>
    <row r="34">
      <c r="A34" s="362">
        <v>33.0</v>
      </c>
      <c r="B34" s="18" t="s">
        <v>60</v>
      </c>
      <c r="C34" s="18" t="s">
        <v>2547</v>
      </c>
      <c r="D34" s="18" t="s">
        <v>178</v>
      </c>
      <c r="E34" s="18" t="s">
        <v>3598</v>
      </c>
    </row>
    <row r="35">
      <c r="A35" s="362">
        <v>34.0</v>
      </c>
      <c r="B35" s="18" t="s">
        <v>60</v>
      </c>
      <c r="C35" s="18" t="s">
        <v>3647</v>
      </c>
      <c r="D35" s="18" t="s">
        <v>178</v>
      </c>
      <c r="E35" s="18" t="s">
        <v>3598</v>
      </c>
    </row>
    <row r="36">
      <c r="A36" s="362">
        <v>35.0</v>
      </c>
      <c r="B36" s="18" t="s">
        <v>60</v>
      </c>
      <c r="C36" s="18" t="s">
        <v>966</v>
      </c>
      <c r="D36" s="18" t="s">
        <v>786</v>
      </c>
      <c r="E36" s="18" t="s">
        <v>3598</v>
      </c>
    </row>
    <row r="37">
      <c r="A37" s="362">
        <v>36.0</v>
      </c>
      <c r="B37" s="18" t="s">
        <v>60</v>
      </c>
      <c r="C37" s="18" t="s">
        <v>664</v>
      </c>
      <c r="D37" s="18" t="s">
        <v>213</v>
      </c>
      <c r="E37" s="18" t="s">
        <v>3598</v>
      </c>
    </row>
    <row r="38">
      <c r="A38" s="362">
        <v>37.0</v>
      </c>
      <c r="B38" s="18" t="s">
        <v>60</v>
      </c>
      <c r="C38" s="18" t="s">
        <v>902</v>
      </c>
      <c r="D38" s="18" t="s">
        <v>786</v>
      </c>
      <c r="E38" s="18" t="s">
        <v>3598</v>
      </c>
    </row>
    <row r="39">
      <c r="A39" s="362">
        <v>38.0</v>
      </c>
      <c r="B39" s="18" t="s">
        <v>2321</v>
      </c>
      <c r="C39" s="18" t="s">
        <v>2322</v>
      </c>
      <c r="D39" s="18" t="s">
        <v>2324</v>
      </c>
      <c r="E39" s="18" t="s">
        <v>3598</v>
      </c>
    </row>
    <row r="40">
      <c r="A40" s="362">
        <v>39.0</v>
      </c>
      <c r="B40" s="18" t="s">
        <v>60</v>
      </c>
      <c r="C40" s="18" t="s">
        <v>893</v>
      </c>
      <c r="D40" s="18" t="s">
        <v>152</v>
      </c>
      <c r="E40" s="18" t="s">
        <v>3598</v>
      </c>
    </row>
    <row r="41">
      <c r="A41" s="362">
        <v>40.0</v>
      </c>
      <c r="B41" s="18" t="s">
        <v>326</v>
      </c>
      <c r="C41" s="18" t="s">
        <v>2602</v>
      </c>
      <c r="D41" s="18" t="s">
        <v>178</v>
      </c>
      <c r="E41" s="18" t="s">
        <v>3598</v>
      </c>
    </row>
    <row r="42">
      <c r="A42" s="362">
        <v>41.0</v>
      </c>
      <c r="B42" s="18" t="s">
        <v>102</v>
      </c>
      <c r="C42" s="18" t="s">
        <v>2047</v>
      </c>
      <c r="D42" s="18" t="s">
        <v>170</v>
      </c>
      <c r="E42" s="18" t="s">
        <v>3598</v>
      </c>
    </row>
    <row r="43">
      <c r="A43" s="362">
        <v>42.0</v>
      </c>
      <c r="B43" s="18" t="s">
        <v>102</v>
      </c>
      <c r="C43" s="18" t="s">
        <v>3655</v>
      </c>
      <c r="D43" s="18" t="s">
        <v>2979</v>
      </c>
      <c r="E43" s="18" t="s">
        <v>3598</v>
      </c>
    </row>
    <row r="44">
      <c r="A44" s="362">
        <v>43.0</v>
      </c>
      <c r="B44" s="18" t="s">
        <v>60</v>
      </c>
      <c r="C44" s="18" t="s">
        <v>1109</v>
      </c>
      <c r="D44" s="18" t="s">
        <v>287</v>
      </c>
      <c r="E44" s="18" t="s">
        <v>3598</v>
      </c>
    </row>
    <row r="45">
      <c r="A45" s="362">
        <v>44.0</v>
      </c>
      <c r="B45" s="18" t="s">
        <v>60</v>
      </c>
      <c r="C45" s="18" t="s">
        <v>2536</v>
      </c>
      <c r="D45" s="18" t="s">
        <v>178</v>
      </c>
      <c r="E45" s="18" t="s">
        <v>3598</v>
      </c>
    </row>
    <row r="46">
      <c r="A46" s="362">
        <v>45.0</v>
      </c>
      <c r="B46" s="18" t="s">
        <v>60</v>
      </c>
      <c r="C46" s="18" t="s">
        <v>1399</v>
      </c>
      <c r="D46" s="18" t="s">
        <v>3656</v>
      </c>
      <c r="E46" s="18" t="s">
        <v>3598</v>
      </c>
    </row>
    <row r="47">
      <c r="A47" s="362">
        <v>46.0</v>
      </c>
      <c r="B47" s="18" t="s">
        <v>60</v>
      </c>
      <c r="C47" s="18" t="s">
        <v>602</v>
      </c>
      <c r="D47" s="18" t="s">
        <v>178</v>
      </c>
      <c r="E47" s="18" t="s">
        <v>3598</v>
      </c>
    </row>
    <row r="48">
      <c r="A48" s="362">
        <v>47.0</v>
      </c>
      <c r="B48" s="18" t="s">
        <v>143</v>
      </c>
      <c r="C48" s="18" t="s">
        <v>3658</v>
      </c>
      <c r="D48" s="18" t="s">
        <v>122</v>
      </c>
      <c r="E48" s="18" t="s">
        <v>3598</v>
      </c>
    </row>
    <row r="49">
      <c r="A49" s="362">
        <v>48.0</v>
      </c>
      <c r="B49" s="18" t="s">
        <v>60</v>
      </c>
      <c r="C49" s="18" t="s">
        <v>3660</v>
      </c>
      <c r="D49" s="18" t="s">
        <v>213</v>
      </c>
      <c r="E49" s="18" t="s">
        <v>3598</v>
      </c>
    </row>
    <row r="50">
      <c r="A50" s="362">
        <v>49.0</v>
      </c>
      <c r="B50" s="18" t="s">
        <v>1144</v>
      </c>
      <c r="C50" s="18" t="s">
        <v>2302</v>
      </c>
      <c r="D50" s="18" t="s">
        <v>106</v>
      </c>
      <c r="E50" s="18" t="s">
        <v>3598</v>
      </c>
    </row>
    <row r="51">
      <c r="A51" s="362">
        <v>50.0</v>
      </c>
      <c r="B51" s="18" t="s">
        <v>60</v>
      </c>
      <c r="C51" s="18" t="s">
        <v>1298</v>
      </c>
      <c r="D51" s="18" t="s">
        <v>178</v>
      </c>
      <c r="E51" s="18" t="s">
        <v>3598</v>
      </c>
    </row>
    <row r="52">
      <c r="A52" s="362">
        <v>51.0</v>
      </c>
      <c r="B52" s="18" t="s">
        <v>60</v>
      </c>
      <c r="C52" s="18" t="s">
        <v>2347</v>
      </c>
      <c r="D52" s="18" t="s">
        <v>331</v>
      </c>
      <c r="E52" s="18" t="s">
        <v>3598</v>
      </c>
    </row>
    <row r="53">
      <c r="A53" s="362">
        <v>52.0</v>
      </c>
      <c r="B53" s="18" t="s">
        <v>60</v>
      </c>
      <c r="C53" s="18" t="s">
        <v>3041</v>
      </c>
      <c r="D53" s="18" t="s">
        <v>321</v>
      </c>
      <c r="E53" s="18" t="s">
        <v>3598</v>
      </c>
    </row>
    <row r="54">
      <c r="A54" s="362">
        <v>53.0</v>
      </c>
      <c r="B54" s="18" t="s">
        <v>363</v>
      </c>
      <c r="C54" s="18" t="s">
        <v>1098</v>
      </c>
      <c r="D54" s="18" t="s">
        <v>267</v>
      </c>
      <c r="E54" s="18" t="s">
        <v>3598</v>
      </c>
    </row>
    <row r="55">
      <c r="A55" s="362">
        <v>54.0</v>
      </c>
      <c r="B55" s="18" t="s">
        <v>60</v>
      </c>
      <c r="C55" s="18" t="s">
        <v>1438</v>
      </c>
      <c r="D55" s="18" t="s">
        <v>295</v>
      </c>
      <c r="E55" s="18" t="s">
        <v>3598</v>
      </c>
    </row>
    <row r="56">
      <c r="A56" s="362">
        <v>55.0</v>
      </c>
      <c r="B56" s="18" t="s">
        <v>60</v>
      </c>
      <c r="C56" s="18" t="s">
        <v>1285</v>
      </c>
      <c r="D56" s="18" t="s">
        <v>1536</v>
      </c>
      <c r="E56" s="18" t="s">
        <v>3598</v>
      </c>
    </row>
    <row r="57">
      <c r="A57" s="362">
        <v>56.0</v>
      </c>
      <c r="B57" s="18" t="s">
        <v>102</v>
      </c>
      <c r="C57" s="18" t="s">
        <v>1887</v>
      </c>
      <c r="D57" s="18" t="s">
        <v>119</v>
      </c>
      <c r="E57" s="18" t="s">
        <v>3598</v>
      </c>
    </row>
    <row r="58">
      <c r="A58" s="362">
        <v>57.0</v>
      </c>
      <c r="B58" s="18" t="s">
        <v>96</v>
      </c>
      <c r="C58" s="18" t="s">
        <v>3667</v>
      </c>
      <c r="D58" s="18" t="s">
        <v>761</v>
      </c>
      <c r="E58" s="18" t="s">
        <v>3598</v>
      </c>
    </row>
    <row r="59">
      <c r="A59" s="362">
        <v>58.0</v>
      </c>
      <c r="B59" s="18" t="s">
        <v>102</v>
      </c>
      <c r="C59" s="18" t="s">
        <v>3673</v>
      </c>
      <c r="D59" s="18" t="s">
        <v>499</v>
      </c>
      <c r="E59" s="18" t="s">
        <v>3598</v>
      </c>
    </row>
    <row r="60">
      <c r="A60" s="362">
        <v>59.0</v>
      </c>
      <c r="B60" s="18" t="s">
        <v>60</v>
      </c>
      <c r="C60" s="18" t="s">
        <v>1747</v>
      </c>
      <c r="D60" s="18" t="s">
        <v>201</v>
      </c>
      <c r="E60" s="18" t="s">
        <v>3598</v>
      </c>
    </row>
    <row r="61">
      <c r="A61" s="362">
        <v>60.0</v>
      </c>
      <c r="B61" s="18" t="s">
        <v>102</v>
      </c>
      <c r="C61" s="18" t="s">
        <v>2272</v>
      </c>
      <c r="D61" s="18" t="s">
        <v>178</v>
      </c>
      <c r="E61" s="18" t="s">
        <v>3598</v>
      </c>
    </row>
    <row r="62">
      <c r="A62" s="362">
        <v>61.0</v>
      </c>
      <c r="B62" s="18" t="s">
        <v>102</v>
      </c>
      <c r="C62" s="18" t="s">
        <v>3679</v>
      </c>
      <c r="D62" s="18" t="s">
        <v>1157</v>
      </c>
      <c r="E62" s="18" t="s">
        <v>3598</v>
      </c>
    </row>
    <row r="63">
      <c r="A63" s="362">
        <v>62.0</v>
      </c>
      <c r="B63" s="18" t="s">
        <v>102</v>
      </c>
      <c r="C63" s="18" t="s">
        <v>3680</v>
      </c>
      <c r="D63" s="18" t="s">
        <v>119</v>
      </c>
      <c r="E63" s="18" t="s">
        <v>3598</v>
      </c>
    </row>
    <row r="64">
      <c r="A64" s="362">
        <v>63.0</v>
      </c>
      <c r="B64" s="18" t="s">
        <v>60</v>
      </c>
      <c r="C64" s="18" t="s">
        <v>3681</v>
      </c>
      <c r="D64" s="18" t="s">
        <v>321</v>
      </c>
      <c r="E64" s="18" t="s">
        <v>3598</v>
      </c>
    </row>
    <row r="65">
      <c r="A65" s="362">
        <v>64.0</v>
      </c>
      <c r="B65" s="18" t="s">
        <v>60</v>
      </c>
      <c r="C65" s="18" t="s">
        <v>3684</v>
      </c>
      <c r="D65" s="18" t="s">
        <v>178</v>
      </c>
      <c r="E65" s="18" t="s">
        <v>3598</v>
      </c>
    </row>
    <row r="66">
      <c r="A66" s="362">
        <v>65.0</v>
      </c>
      <c r="B66" s="18" t="s">
        <v>60</v>
      </c>
      <c r="C66" s="18" t="s">
        <v>3685</v>
      </c>
      <c r="D66" s="18" t="s">
        <v>3687</v>
      </c>
      <c r="E66" s="18" t="s">
        <v>3598</v>
      </c>
    </row>
    <row r="67">
      <c r="A67" s="362">
        <v>66.0</v>
      </c>
      <c r="B67" s="18" t="s">
        <v>102</v>
      </c>
      <c r="C67" s="18" t="s">
        <v>3689</v>
      </c>
      <c r="D67" s="18" t="s">
        <v>201</v>
      </c>
      <c r="E67" s="18" t="s">
        <v>3598</v>
      </c>
    </row>
    <row r="68">
      <c r="A68" s="362">
        <v>67.0</v>
      </c>
      <c r="B68" s="18" t="s">
        <v>102</v>
      </c>
      <c r="C68" s="18" t="s">
        <v>3690</v>
      </c>
      <c r="D68" s="18" t="s">
        <v>119</v>
      </c>
      <c r="E68" s="18" t="s">
        <v>3598</v>
      </c>
    </row>
    <row r="69">
      <c r="A69" s="362">
        <v>68.0</v>
      </c>
      <c r="B69" s="18" t="s">
        <v>60</v>
      </c>
      <c r="C69" s="18" t="s">
        <v>3694</v>
      </c>
      <c r="D69" s="18" t="s">
        <v>58</v>
      </c>
      <c r="E69" s="18" t="s">
        <v>3598</v>
      </c>
    </row>
    <row r="70">
      <c r="A70" s="362">
        <v>69.0</v>
      </c>
      <c r="B70" s="18" t="s">
        <v>102</v>
      </c>
      <c r="C70" s="18" t="s">
        <v>3697</v>
      </c>
      <c r="D70" s="18" t="s">
        <v>178</v>
      </c>
      <c r="E70" s="18" t="s">
        <v>3598</v>
      </c>
    </row>
    <row r="71">
      <c r="A71" s="362">
        <v>70.0</v>
      </c>
      <c r="B71" s="18" t="s">
        <v>60</v>
      </c>
      <c r="C71" s="18" t="s">
        <v>3701</v>
      </c>
      <c r="D71" s="18" t="s">
        <v>187</v>
      </c>
      <c r="E71" s="18" t="s">
        <v>3598</v>
      </c>
    </row>
    <row r="72">
      <c r="A72" s="362">
        <v>71.0</v>
      </c>
      <c r="B72" s="18" t="s">
        <v>102</v>
      </c>
      <c r="C72" s="18" t="s">
        <v>3702</v>
      </c>
      <c r="D72" s="18" t="s">
        <v>178</v>
      </c>
      <c r="E72" s="18" t="s">
        <v>3598</v>
      </c>
    </row>
    <row r="73">
      <c r="A73" s="362">
        <v>72.0</v>
      </c>
      <c r="B73" s="18" t="s">
        <v>60</v>
      </c>
      <c r="C73" s="18" t="s">
        <v>1736</v>
      </c>
      <c r="D73" s="18" t="s">
        <v>139</v>
      </c>
      <c r="E73" s="18" t="s">
        <v>3598</v>
      </c>
    </row>
    <row r="74">
      <c r="A74" s="362">
        <v>73.0</v>
      </c>
      <c r="B74" s="18" t="s">
        <v>96</v>
      </c>
      <c r="C74" s="18" t="s">
        <v>3708</v>
      </c>
      <c r="D74" s="18" t="s">
        <v>170</v>
      </c>
      <c r="E74" s="18" t="s">
        <v>3598</v>
      </c>
    </row>
    <row r="75">
      <c r="A75" s="362">
        <v>74.0</v>
      </c>
      <c r="B75" s="18" t="s">
        <v>60</v>
      </c>
      <c r="C75" s="18" t="s">
        <v>3709</v>
      </c>
      <c r="D75" s="18" t="s">
        <v>302</v>
      </c>
      <c r="E75" s="18" t="s">
        <v>3598</v>
      </c>
    </row>
    <row r="76">
      <c r="A76" s="362">
        <v>75.0</v>
      </c>
      <c r="B76" s="18" t="s">
        <v>102</v>
      </c>
      <c r="C76" s="18" t="s">
        <v>3711</v>
      </c>
      <c r="D76" s="18" t="s">
        <v>178</v>
      </c>
      <c r="E76" s="18" t="s">
        <v>3598</v>
      </c>
    </row>
    <row r="77">
      <c r="A77" s="362">
        <v>76.0</v>
      </c>
      <c r="B77" s="18" t="s">
        <v>102</v>
      </c>
      <c r="C77" s="18" t="s">
        <v>3712</v>
      </c>
      <c r="D77" s="18" t="s">
        <v>178</v>
      </c>
      <c r="E77" s="18" t="s">
        <v>3598</v>
      </c>
    </row>
    <row r="78">
      <c r="A78" s="362">
        <v>77.0</v>
      </c>
      <c r="B78" s="18" t="s">
        <v>60</v>
      </c>
      <c r="C78" s="18" t="s">
        <v>3713</v>
      </c>
      <c r="D78" s="18" t="s">
        <v>201</v>
      </c>
      <c r="E78" s="18" t="s">
        <v>3598</v>
      </c>
    </row>
    <row r="79">
      <c r="A79" s="362">
        <v>78.0</v>
      </c>
      <c r="B79" s="18" t="s">
        <v>60</v>
      </c>
      <c r="C79" s="18" t="s">
        <v>3716</v>
      </c>
      <c r="D79" s="18" t="s">
        <v>287</v>
      </c>
      <c r="E79" s="18" t="s">
        <v>3598</v>
      </c>
    </row>
    <row r="80">
      <c r="A80" s="362">
        <v>79.0</v>
      </c>
      <c r="B80" s="18" t="s">
        <v>102</v>
      </c>
      <c r="C80" s="18" t="s">
        <v>3719</v>
      </c>
      <c r="D80" s="18" t="s">
        <v>119</v>
      </c>
      <c r="E80" s="18" t="s">
        <v>3598</v>
      </c>
    </row>
    <row r="81">
      <c r="A81" s="362">
        <v>80.0</v>
      </c>
      <c r="B81" s="18" t="s">
        <v>60</v>
      </c>
      <c r="C81" s="18" t="s">
        <v>3720</v>
      </c>
      <c r="D81" s="18" t="s">
        <v>139</v>
      </c>
      <c r="E81" s="18" t="s">
        <v>3598</v>
      </c>
    </row>
    <row r="82">
      <c r="A82" s="362">
        <v>81.0</v>
      </c>
      <c r="B82" s="18" t="s">
        <v>60</v>
      </c>
      <c r="C82" s="18" t="s">
        <v>3725</v>
      </c>
      <c r="D82" s="18" t="s">
        <v>213</v>
      </c>
      <c r="E82" s="18" t="s">
        <v>3598</v>
      </c>
    </row>
    <row r="83">
      <c r="A83" s="362">
        <v>82.0</v>
      </c>
      <c r="B83" s="18" t="s">
        <v>60</v>
      </c>
      <c r="C83" s="18" t="s">
        <v>3726</v>
      </c>
      <c r="D83" s="18" t="s">
        <v>58</v>
      </c>
      <c r="E83" s="18" t="s">
        <v>3598</v>
      </c>
    </row>
    <row r="84">
      <c r="A84" s="362">
        <v>83.0</v>
      </c>
      <c r="B84" s="18" t="s">
        <v>60</v>
      </c>
      <c r="C84" s="18" t="s">
        <v>3731</v>
      </c>
      <c r="D84" s="18" t="s">
        <v>187</v>
      </c>
      <c r="E84" s="18" t="s">
        <v>3598</v>
      </c>
    </row>
    <row r="85">
      <c r="A85" s="362">
        <v>84.0</v>
      </c>
      <c r="B85" s="18" t="s">
        <v>60</v>
      </c>
      <c r="C85" s="18" t="s">
        <v>3735</v>
      </c>
      <c r="D85" s="18" t="s">
        <v>139</v>
      </c>
      <c r="E85" s="18" t="s">
        <v>3598</v>
      </c>
    </row>
    <row r="86">
      <c r="A86" s="362">
        <v>85.0</v>
      </c>
      <c r="B86" s="18" t="s">
        <v>102</v>
      </c>
      <c r="C86" s="18" t="s">
        <v>3737</v>
      </c>
      <c r="D86" s="18" t="s">
        <v>119</v>
      </c>
      <c r="E86" s="18" t="s">
        <v>3598</v>
      </c>
    </row>
    <row r="87">
      <c r="A87" s="362">
        <v>86.0</v>
      </c>
      <c r="B87" s="18" t="s">
        <v>656</v>
      </c>
      <c r="C87" s="18" t="s">
        <v>3738</v>
      </c>
      <c r="D87" s="18" t="s">
        <v>3687</v>
      </c>
      <c r="E87" s="18" t="s">
        <v>3598</v>
      </c>
    </row>
    <row r="88">
      <c r="A88" s="362">
        <v>87.0</v>
      </c>
      <c r="B88" s="18" t="s">
        <v>60</v>
      </c>
      <c r="C88" s="18" t="s">
        <v>3739</v>
      </c>
      <c r="D88" s="18" t="s">
        <v>302</v>
      </c>
      <c r="E88" s="18" t="s">
        <v>3598</v>
      </c>
    </row>
    <row r="89">
      <c r="A89" s="362">
        <v>88.0</v>
      </c>
      <c r="B89" s="18" t="s">
        <v>60</v>
      </c>
      <c r="C89" s="18" t="s">
        <v>3742</v>
      </c>
      <c r="D89" s="18" t="s">
        <v>213</v>
      </c>
      <c r="E89" s="18" t="s">
        <v>3598</v>
      </c>
    </row>
    <row r="90">
      <c r="A90" s="362">
        <v>89.0</v>
      </c>
      <c r="B90" s="18" t="s">
        <v>60</v>
      </c>
      <c r="C90" s="18" t="s">
        <v>3743</v>
      </c>
      <c r="D90" s="18" t="s">
        <v>457</v>
      </c>
      <c r="E90" s="18" t="s">
        <v>3598</v>
      </c>
    </row>
    <row r="91">
      <c r="A91" s="362">
        <v>90.0</v>
      </c>
      <c r="B91" s="18" t="s">
        <v>60</v>
      </c>
      <c r="C91" s="18" t="s">
        <v>3745</v>
      </c>
      <c r="D91" s="18" t="s">
        <v>58</v>
      </c>
      <c r="E91" s="18" t="s">
        <v>3598</v>
      </c>
    </row>
    <row r="92">
      <c r="A92" s="362">
        <v>91.0</v>
      </c>
      <c r="B92" s="18" t="s">
        <v>102</v>
      </c>
      <c r="C92" s="18" t="s">
        <v>3747</v>
      </c>
      <c r="D92" s="18" t="s">
        <v>178</v>
      </c>
      <c r="E92" s="18" t="s">
        <v>3598</v>
      </c>
    </row>
    <row r="93">
      <c r="A93" s="362">
        <v>92.0</v>
      </c>
      <c r="B93" s="18" t="s">
        <v>60</v>
      </c>
      <c r="C93" s="18" t="s">
        <v>3750</v>
      </c>
      <c r="D93" s="18" t="s">
        <v>187</v>
      </c>
      <c r="E93" s="18" t="s">
        <v>3598</v>
      </c>
    </row>
    <row r="94">
      <c r="A94" s="362">
        <v>93.0</v>
      </c>
      <c r="B94" s="18" t="s">
        <v>102</v>
      </c>
      <c r="C94" s="18" t="s">
        <v>3753</v>
      </c>
      <c r="D94" s="18" t="s">
        <v>178</v>
      </c>
      <c r="E94" s="18" t="s">
        <v>3598</v>
      </c>
    </row>
    <row r="95">
      <c r="A95" s="362">
        <v>94.0</v>
      </c>
      <c r="B95" s="18" t="s">
        <v>60</v>
      </c>
      <c r="C95" s="18" t="s">
        <v>3755</v>
      </c>
      <c r="D95" s="18" t="s">
        <v>1157</v>
      </c>
      <c r="E95" s="18" t="s">
        <v>3598</v>
      </c>
    </row>
    <row r="96">
      <c r="A96" s="362">
        <v>95.0</v>
      </c>
      <c r="B96" s="18" t="s">
        <v>102</v>
      </c>
      <c r="C96" s="18" t="s">
        <v>3756</v>
      </c>
      <c r="D96" s="18" t="s">
        <v>119</v>
      </c>
      <c r="E96" s="18" t="s">
        <v>3598</v>
      </c>
    </row>
    <row r="97">
      <c r="A97" s="362">
        <v>96.0</v>
      </c>
      <c r="B97" s="18" t="s">
        <v>326</v>
      </c>
      <c r="C97" s="18" t="s">
        <v>3757</v>
      </c>
      <c r="D97" s="18" t="s">
        <v>119</v>
      </c>
      <c r="E97" s="18" t="s">
        <v>3598</v>
      </c>
    </row>
    <row r="98">
      <c r="A98" s="362">
        <v>97.0</v>
      </c>
      <c r="B98" s="18" t="s">
        <v>102</v>
      </c>
      <c r="C98" s="18" t="s">
        <v>3759</v>
      </c>
      <c r="D98" s="18" t="s">
        <v>3596</v>
      </c>
      <c r="E98" s="18" t="s">
        <v>3598</v>
      </c>
    </row>
    <row r="99">
      <c r="A99" s="362">
        <v>98.0</v>
      </c>
      <c r="B99" s="18" t="s">
        <v>102</v>
      </c>
      <c r="C99" s="18" t="s">
        <v>3760</v>
      </c>
      <c r="D99" s="18" t="s">
        <v>3761</v>
      </c>
      <c r="E99" s="18" t="s">
        <v>3598</v>
      </c>
    </row>
    <row r="100">
      <c r="A100" s="362">
        <v>99.0</v>
      </c>
      <c r="B100" s="18" t="s">
        <v>102</v>
      </c>
      <c r="C100" s="18" t="s">
        <v>3762</v>
      </c>
      <c r="D100" s="18" t="s">
        <v>3761</v>
      </c>
      <c r="E100" s="18" t="s">
        <v>3598</v>
      </c>
    </row>
    <row r="101">
      <c r="A101" s="362">
        <v>100.0</v>
      </c>
      <c r="B101" s="18" t="s">
        <v>102</v>
      </c>
      <c r="C101" s="18" t="s">
        <v>3765</v>
      </c>
      <c r="D101" s="18" t="s">
        <v>3761</v>
      </c>
      <c r="E101" s="18" t="s">
        <v>3598</v>
      </c>
    </row>
    <row r="102">
      <c r="A102" s="362">
        <v>101.0</v>
      </c>
      <c r="B102" s="18" t="s">
        <v>102</v>
      </c>
      <c r="C102" s="18" t="s">
        <v>3771</v>
      </c>
      <c r="D102" s="18" t="s">
        <v>3761</v>
      </c>
      <c r="E102" s="18" t="s">
        <v>3598</v>
      </c>
    </row>
    <row r="103">
      <c r="A103" s="362">
        <v>102.0</v>
      </c>
      <c r="B103" s="18" t="s">
        <v>102</v>
      </c>
      <c r="C103" s="18" t="s">
        <v>3772</v>
      </c>
      <c r="D103" s="18" t="s">
        <v>3761</v>
      </c>
      <c r="E103" s="18" t="s">
        <v>3598</v>
      </c>
    </row>
    <row r="104">
      <c r="A104" s="362">
        <v>103.0</v>
      </c>
      <c r="B104" s="18" t="s">
        <v>102</v>
      </c>
      <c r="C104" s="18" t="s">
        <v>3775</v>
      </c>
      <c r="D104" s="18" t="s">
        <v>3761</v>
      </c>
      <c r="E104" s="18" t="s">
        <v>3598</v>
      </c>
    </row>
    <row r="105">
      <c r="A105" s="362">
        <v>104.0</v>
      </c>
      <c r="B105" s="18" t="s">
        <v>60</v>
      </c>
      <c r="C105" s="18" t="s">
        <v>3779</v>
      </c>
      <c r="D105" s="18" t="s">
        <v>457</v>
      </c>
      <c r="E105" s="18" t="s">
        <v>3598</v>
      </c>
    </row>
    <row r="106">
      <c r="A106" s="362">
        <v>105.0</v>
      </c>
      <c r="B106" s="18" t="s">
        <v>102</v>
      </c>
      <c r="C106" s="18" t="s">
        <v>3784</v>
      </c>
      <c r="D106" s="18" t="s">
        <v>178</v>
      </c>
      <c r="E106" s="18" t="s">
        <v>3598</v>
      </c>
    </row>
    <row r="107">
      <c r="A107" s="362">
        <v>106.0</v>
      </c>
      <c r="B107" s="18" t="s">
        <v>102</v>
      </c>
      <c r="C107" s="18" t="s">
        <v>3788</v>
      </c>
      <c r="D107" s="18" t="s">
        <v>3789</v>
      </c>
      <c r="E107" s="18" t="s">
        <v>3598</v>
      </c>
    </row>
    <row r="108">
      <c r="A108" s="362">
        <v>107.0</v>
      </c>
      <c r="B108" s="18" t="s">
        <v>102</v>
      </c>
      <c r="C108" s="18" t="s">
        <v>3790</v>
      </c>
      <c r="D108" s="18" t="s">
        <v>1924</v>
      </c>
      <c r="E108" s="18" t="s">
        <v>3598</v>
      </c>
    </row>
    <row r="109">
      <c r="A109" s="362">
        <v>108.0</v>
      </c>
      <c r="B109" s="18" t="s">
        <v>60</v>
      </c>
      <c r="C109" s="18" t="s">
        <v>3793</v>
      </c>
      <c r="D109" s="18" t="s">
        <v>3794</v>
      </c>
      <c r="E109" s="18" t="s">
        <v>3598</v>
      </c>
    </row>
    <row r="110">
      <c r="A110" s="362">
        <v>109.0</v>
      </c>
      <c r="B110" s="18" t="s">
        <v>102</v>
      </c>
      <c r="C110" s="18" t="s">
        <v>3796</v>
      </c>
      <c r="D110" s="18" t="s">
        <v>3798</v>
      </c>
      <c r="E110" s="18" t="s">
        <v>3598</v>
      </c>
    </row>
    <row r="111">
      <c r="A111" s="362">
        <v>110.0</v>
      </c>
      <c r="B111" s="18" t="s">
        <v>60</v>
      </c>
      <c r="C111" s="18" t="s">
        <v>3799</v>
      </c>
      <c r="D111" s="18" t="s">
        <v>3800</v>
      </c>
      <c r="E111" s="18" t="s">
        <v>3598</v>
      </c>
    </row>
    <row r="112">
      <c r="A112" s="362">
        <v>111.0</v>
      </c>
      <c r="B112" s="18" t="s">
        <v>102</v>
      </c>
      <c r="C112" s="18" t="s">
        <v>3802</v>
      </c>
      <c r="D112" s="18" t="s">
        <v>170</v>
      </c>
      <c r="E112" s="18" t="s">
        <v>3598</v>
      </c>
    </row>
    <row r="113">
      <c r="A113" s="362">
        <v>112.0</v>
      </c>
      <c r="B113" s="18" t="s">
        <v>102</v>
      </c>
      <c r="C113" s="18" t="s">
        <v>3803</v>
      </c>
      <c r="D113" s="18" t="s">
        <v>119</v>
      </c>
      <c r="E113" s="18" t="s">
        <v>3598</v>
      </c>
    </row>
    <row r="114">
      <c r="A114" s="362">
        <v>113.0</v>
      </c>
      <c r="B114" s="18" t="s">
        <v>60</v>
      </c>
      <c r="C114" s="18" t="s">
        <v>3804</v>
      </c>
      <c r="D114" s="18" t="s">
        <v>201</v>
      </c>
      <c r="E114" s="18" t="s">
        <v>3598</v>
      </c>
    </row>
    <row r="115">
      <c r="A115" s="362">
        <v>114.0</v>
      </c>
      <c r="B115" s="18" t="s">
        <v>102</v>
      </c>
      <c r="C115" s="18" t="s">
        <v>3805</v>
      </c>
      <c r="D115" s="18" t="s">
        <v>212</v>
      </c>
      <c r="E115" s="18" t="s">
        <v>3598</v>
      </c>
    </row>
    <row r="116">
      <c r="A116" s="362">
        <v>115.0</v>
      </c>
      <c r="B116" s="18" t="s">
        <v>102</v>
      </c>
      <c r="C116" s="18" t="s">
        <v>3807</v>
      </c>
      <c r="D116" s="18" t="s">
        <v>106</v>
      </c>
      <c r="E116" s="18" t="s">
        <v>3598</v>
      </c>
    </row>
    <row r="117">
      <c r="A117" s="362">
        <v>116.0</v>
      </c>
      <c r="B117" s="18" t="s">
        <v>102</v>
      </c>
      <c r="C117" s="18" t="s">
        <v>3809</v>
      </c>
      <c r="D117" s="18" t="s">
        <v>3811</v>
      </c>
      <c r="E117" s="18" t="s">
        <v>3598</v>
      </c>
    </row>
    <row r="118">
      <c r="A118" s="362">
        <v>117.0</v>
      </c>
      <c r="B118" s="18" t="s">
        <v>102</v>
      </c>
      <c r="C118" s="18" t="s">
        <v>3812</v>
      </c>
      <c r="D118" s="18" t="s">
        <v>106</v>
      </c>
      <c r="E118" s="18" t="s">
        <v>3598</v>
      </c>
    </row>
    <row r="119">
      <c r="A119" s="362">
        <v>118.0</v>
      </c>
      <c r="B119" s="18" t="s">
        <v>102</v>
      </c>
      <c r="C119" s="18" t="s">
        <v>3814</v>
      </c>
      <c r="D119" s="18" t="s">
        <v>194</v>
      </c>
      <c r="E119" s="18" t="s">
        <v>3598</v>
      </c>
    </row>
    <row r="120">
      <c r="A120" s="362">
        <v>119.0</v>
      </c>
      <c r="B120" s="18" t="s">
        <v>102</v>
      </c>
      <c r="C120" s="18" t="s">
        <v>3816</v>
      </c>
      <c r="D120" s="18" t="s">
        <v>194</v>
      </c>
      <c r="E120" s="18" t="s">
        <v>3598</v>
      </c>
    </row>
    <row r="121">
      <c r="A121" s="362">
        <v>120.0</v>
      </c>
      <c r="B121" s="18" t="s">
        <v>60</v>
      </c>
      <c r="C121" s="18" t="s">
        <v>3817</v>
      </c>
      <c r="D121" s="18" t="s">
        <v>460</v>
      </c>
      <c r="E121" s="18" t="s">
        <v>3598</v>
      </c>
    </row>
    <row r="122">
      <c r="A122" s="362">
        <v>121.0</v>
      </c>
      <c r="B122" s="18" t="s">
        <v>60</v>
      </c>
      <c r="C122" s="18" t="s">
        <v>3820</v>
      </c>
      <c r="D122" s="18" t="s">
        <v>321</v>
      </c>
      <c r="E122" s="18" t="s">
        <v>3598</v>
      </c>
    </row>
    <row r="123">
      <c r="A123" s="362">
        <v>122.0</v>
      </c>
      <c r="B123" s="18" t="s">
        <v>60</v>
      </c>
      <c r="C123" s="18" t="s">
        <v>3822</v>
      </c>
      <c r="D123" s="18" t="s">
        <v>1345</v>
      </c>
      <c r="E123" s="18" t="s">
        <v>3598</v>
      </c>
    </row>
    <row r="124">
      <c r="A124" s="362">
        <v>123.0</v>
      </c>
      <c r="B124" s="18" t="s">
        <v>60</v>
      </c>
      <c r="C124" s="18" t="s">
        <v>3825</v>
      </c>
      <c r="D124" s="18" t="s">
        <v>139</v>
      </c>
      <c r="E124" s="18" t="s">
        <v>3598</v>
      </c>
    </row>
    <row r="125">
      <c r="A125" s="362">
        <v>124.0</v>
      </c>
      <c r="B125" s="18" t="s">
        <v>60</v>
      </c>
      <c r="C125" s="18" t="s">
        <v>3826</v>
      </c>
      <c r="D125" s="18" t="s">
        <v>213</v>
      </c>
      <c r="E125" s="18" t="s">
        <v>3598</v>
      </c>
    </row>
    <row r="126">
      <c r="A126" s="362">
        <v>125.0</v>
      </c>
      <c r="B126" s="18" t="s">
        <v>102</v>
      </c>
      <c r="C126" s="18" t="s">
        <v>3828</v>
      </c>
      <c r="D126" s="18" t="s">
        <v>178</v>
      </c>
      <c r="E126" s="18" t="s">
        <v>3598</v>
      </c>
    </row>
    <row r="127">
      <c r="A127" s="362">
        <v>126.0</v>
      </c>
      <c r="B127" s="18" t="s">
        <v>62</v>
      </c>
      <c r="C127" s="18" t="s">
        <v>63</v>
      </c>
      <c r="D127" s="18" t="s">
        <v>68</v>
      </c>
      <c r="E127" s="18" t="s">
        <v>3598</v>
      </c>
    </row>
    <row r="128">
      <c r="A128" s="362">
        <v>127.0</v>
      </c>
      <c r="B128" s="18" t="s">
        <v>60</v>
      </c>
      <c r="C128" s="18" t="s">
        <v>3832</v>
      </c>
      <c r="D128" s="18" t="s">
        <v>321</v>
      </c>
      <c r="E128" s="18" t="s">
        <v>3598</v>
      </c>
    </row>
    <row r="129">
      <c r="A129" s="362">
        <v>128.0</v>
      </c>
      <c r="B129" s="18" t="s">
        <v>60</v>
      </c>
      <c r="C129" s="18" t="s">
        <v>3834</v>
      </c>
      <c r="D129" s="18" t="s">
        <v>187</v>
      </c>
      <c r="E129" s="18" t="s">
        <v>3598</v>
      </c>
    </row>
    <row r="130">
      <c r="A130" s="362">
        <v>129.0</v>
      </c>
      <c r="B130" s="18" t="s">
        <v>60</v>
      </c>
      <c r="C130" s="18" t="s">
        <v>3836</v>
      </c>
      <c r="D130" s="18" t="s">
        <v>119</v>
      </c>
      <c r="E130" s="18" t="s">
        <v>3598</v>
      </c>
    </row>
    <row r="131">
      <c r="A131" s="362">
        <v>130.0</v>
      </c>
      <c r="B131" s="18" t="s">
        <v>60</v>
      </c>
      <c r="C131" s="18" t="s">
        <v>3837</v>
      </c>
      <c r="D131" s="18" t="s">
        <v>302</v>
      </c>
      <c r="E131" s="18" t="s">
        <v>3598</v>
      </c>
    </row>
    <row r="132">
      <c r="A132" s="362">
        <v>131.0</v>
      </c>
      <c r="B132" s="18" t="s">
        <v>60</v>
      </c>
      <c r="C132" s="18" t="s">
        <v>3841</v>
      </c>
      <c r="D132" s="18" t="s">
        <v>58</v>
      </c>
      <c r="E132" s="18" t="s">
        <v>3598</v>
      </c>
    </row>
    <row r="133">
      <c r="A133" s="362">
        <v>132.0</v>
      </c>
      <c r="B133" s="18" t="s">
        <v>60</v>
      </c>
      <c r="C133" s="18" t="s">
        <v>3844</v>
      </c>
      <c r="D133" s="18" t="s">
        <v>302</v>
      </c>
      <c r="E133" s="18" t="s">
        <v>3598</v>
      </c>
    </row>
    <row r="134">
      <c r="A134" s="362">
        <v>133.0</v>
      </c>
      <c r="B134" s="18" t="s">
        <v>60</v>
      </c>
      <c r="C134" s="18" t="s">
        <v>3846</v>
      </c>
      <c r="D134" s="18" t="s">
        <v>321</v>
      </c>
      <c r="E134" s="18" t="s">
        <v>3598</v>
      </c>
    </row>
    <row r="135">
      <c r="A135" s="362">
        <v>134.0</v>
      </c>
      <c r="B135" s="18" t="s">
        <v>60</v>
      </c>
      <c r="C135" s="18" t="s">
        <v>3848</v>
      </c>
      <c r="D135" s="18" t="s">
        <v>119</v>
      </c>
      <c r="E135" s="18" t="s">
        <v>3598</v>
      </c>
    </row>
    <row r="136">
      <c r="A136" s="362">
        <v>135.0</v>
      </c>
      <c r="B136" s="18" t="s">
        <v>60</v>
      </c>
      <c r="C136" s="18" t="s">
        <v>3850</v>
      </c>
      <c r="D136" s="18" t="s">
        <v>1345</v>
      </c>
      <c r="E136" s="18" t="s">
        <v>3598</v>
      </c>
    </row>
    <row r="137">
      <c r="A137" s="362">
        <v>136.0</v>
      </c>
      <c r="B137" s="18" t="s">
        <v>60</v>
      </c>
      <c r="C137" s="18" t="s">
        <v>3854</v>
      </c>
      <c r="D137" s="18" t="s">
        <v>213</v>
      </c>
      <c r="E137" s="18" t="s">
        <v>3598</v>
      </c>
    </row>
    <row r="138">
      <c r="A138" s="362">
        <v>137.0</v>
      </c>
      <c r="B138" s="18" t="s">
        <v>60</v>
      </c>
      <c r="C138" s="18" t="s">
        <v>3856</v>
      </c>
      <c r="D138" s="18" t="s">
        <v>201</v>
      </c>
      <c r="E138" s="18" t="s">
        <v>3598</v>
      </c>
    </row>
    <row r="139">
      <c r="A139" s="362">
        <v>138.0</v>
      </c>
      <c r="B139" s="18" t="s">
        <v>60</v>
      </c>
      <c r="C139" s="18" t="s">
        <v>3857</v>
      </c>
      <c r="D139" s="18" t="s">
        <v>287</v>
      </c>
      <c r="E139" s="18" t="s">
        <v>3598</v>
      </c>
    </row>
    <row r="140">
      <c r="A140" s="362">
        <v>139.0</v>
      </c>
      <c r="B140" s="18" t="s">
        <v>60</v>
      </c>
      <c r="C140" s="18" t="s">
        <v>3859</v>
      </c>
      <c r="D140" s="18" t="s">
        <v>119</v>
      </c>
      <c r="E140" s="18" t="s">
        <v>3598</v>
      </c>
    </row>
    <row r="141">
      <c r="A141" s="362">
        <v>140.0</v>
      </c>
      <c r="B141" s="18" t="s">
        <v>60</v>
      </c>
      <c r="C141" s="18" t="s">
        <v>3862</v>
      </c>
      <c r="D141" s="18" t="s">
        <v>119</v>
      </c>
      <c r="E141" s="18" t="s">
        <v>3598</v>
      </c>
    </row>
    <row r="142">
      <c r="A142" s="362">
        <v>141.0</v>
      </c>
      <c r="B142" s="18" t="s">
        <v>656</v>
      </c>
      <c r="C142" s="18" t="s">
        <v>3863</v>
      </c>
      <c r="D142" s="18" t="s">
        <v>119</v>
      </c>
      <c r="E142" s="18" t="s">
        <v>3598</v>
      </c>
    </row>
    <row r="143">
      <c r="A143" s="362">
        <v>142.0</v>
      </c>
      <c r="B143" s="18" t="s">
        <v>60</v>
      </c>
      <c r="C143" s="18" t="s">
        <v>3864</v>
      </c>
      <c r="D143" s="18" t="s">
        <v>1431</v>
      </c>
      <c r="E143" s="18" t="s">
        <v>3598</v>
      </c>
    </row>
    <row r="144">
      <c r="A144" s="362">
        <v>143.0</v>
      </c>
      <c r="B144" s="18" t="s">
        <v>60</v>
      </c>
      <c r="C144" s="18" t="s">
        <v>3866</v>
      </c>
      <c r="D144" s="18" t="s">
        <v>152</v>
      </c>
      <c r="E144" s="18" t="s">
        <v>3598</v>
      </c>
    </row>
    <row r="145">
      <c r="A145" s="362">
        <v>144.0</v>
      </c>
      <c r="B145" s="18" t="s">
        <v>60</v>
      </c>
      <c r="C145" s="18" t="s">
        <v>3868</v>
      </c>
      <c r="D145" s="18" t="s">
        <v>201</v>
      </c>
      <c r="E145" s="18" t="s">
        <v>3598</v>
      </c>
    </row>
    <row r="146">
      <c r="A146" s="362">
        <v>145.0</v>
      </c>
      <c r="B146" s="18" t="s">
        <v>60</v>
      </c>
      <c r="C146" s="18" t="s">
        <v>3870</v>
      </c>
      <c r="D146" s="18" t="s">
        <v>152</v>
      </c>
      <c r="E146" s="18" t="s">
        <v>3598</v>
      </c>
    </row>
    <row r="147">
      <c r="A147" s="362">
        <v>146.0</v>
      </c>
      <c r="B147" s="18" t="s">
        <v>60</v>
      </c>
      <c r="C147" s="18" t="s">
        <v>3873</v>
      </c>
      <c r="D147" s="18" t="s">
        <v>786</v>
      </c>
      <c r="E147" s="18" t="s">
        <v>3598</v>
      </c>
    </row>
    <row r="148">
      <c r="A148" s="362">
        <v>147.0</v>
      </c>
      <c r="B148" s="18" t="s">
        <v>60</v>
      </c>
      <c r="C148" s="18" t="s">
        <v>3874</v>
      </c>
      <c r="D148" s="18" t="s">
        <v>3761</v>
      </c>
      <c r="E148" s="18" t="s">
        <v>3598</v>
      </c>
    </row>
    <row r="149">
      <c r="A149" s="362">
        <v>148.0</v>
      </c>
      <c r="B149" s="18" t="s">
        <v>60</v>
      </c>
      <c r="C149" s="18" t="s">
        <v>3877</v>
      </c>
      <c r="D149" s="18" t="s">
        <v>178</v>
      </c>
      <c r="E149" s="18" t="s">
        <v>3598</v>
      </c>
    </row>
    <row r="150">
      <c r="A150" s="362">
        <v>149.0</v>
      </c>
      <c r="B150" s="18" t="s">
        <v>60</v>
      </c>
      <c r="C150" s="18" t="s">
        <v>3879</v>
      </c>
      <c r="D150" s="18" t="s">
        <v>212</v>
      </c>
      <c r="E150" s="18" t="s">
        <v>3598</v>
      </c>
    </row>
    <row r="151">
      <c r="A151" s="362">
        <v>150.0</v>
      </c>
      <c r="B151" s="18" t="s">
        <v>60</v>
      </c>
      <c r="C151" s="18" t="s">
        <v>3880</v>
      </c>
      <c r="D151" s="18" t="s">
        <v>786</v>
      </c>
      <c r="E151" s="18" t="s">
        <v>3598</v>
      </c>
    </row>
    <row r="152">
      <c r="A152" s="362">
        <v>151.0</v>
      </c>
      <c r="B152" s="18" t="s">
        <v>60</v>
      </c>
      <c r="C152" s="18" t="s">
        <v>3881</v>
      </c>
      <c r="D152" s="18" t="s">
        <v>331</v>
      </c>
      <c r="E152" s="18" t="s">
        <v>3598</v>
      </c>
    </row>
    <row r="153">
      <c r="A153" s="362">
        <v>152.0</v>
      </c>
      <c r="B153" s="18" t="s">
        <v>60</v>
      </c>
      <c r="C153" s="18" t="s">
        <v>3883</v>
      </c>
      <c r="D153" s="18" t="s">
        <v>1466</v>
      </c>
      <c r="E153" s="18" t="s">
        <v>3598</v>
      </c>
    </row>
    <row r="154">
      <c r="A154" s="362">
        <v>153.0</v>
      </c>
      <c r="B154" s="18" t="s">
        <v>60</v>
      </c>
      <c r="C154" s="18" t="s">
        <v>3885</v>
      </c>
      <c r="D154" s="18" t="s">
        <v>212</v>
      </c>
      <c r="E154" s="18" t="s">
        <v>3598</v>
      </c>
    </row>
    <row r="155">
      <c r="A155" s="362">
        <v>154.0</v>
      </c>
      <c r="B155" s="18" t="s">
        <v>60</v>
      </c>
      <c r="C155" s="18" t="s">
        <v>3887</v>
      </c>
      <c r="D155" s="18" t="s">
        <v>786</v>
      </c>
      <c r="E155" s="18" t="s">
        <v>3598</v>
      </c>
    </row>
    <row r="156">
      <c r="A156" s="362">
        <v>155.0</v>
      </c>
      <c r="B156" s="18" t="s">
        <v>60</v>
      </c>
      <c r="C156" s="18" t="s">
        <v>3888</v>
      </c>
      <c r="D156" s="18" t="s">
        <v>786</v>
      </c>
      <c r="E156" s="18" t="s">
        <v>3598</v>
      </c>
    </row>
    <row r="157">
      <c r="A157" s="362">
        <v>156.0</v>
      </c>
      <c r="B157" s="18" t="s">
        <v>60</v>
      </c>
      <c r="C157" s="18" t="s">
        <v>3890</v>
      </c>
      <c r="D157" s="18" t="s">
        <v>1761</v>
      </c>
      <c r="E157" s="18" t="s">
        <v>3598</v>
      </c>
    </row>
    <row r="158">
      <c r="A158" s="362">
        <v>157.0</v>
      </c>
      <c r="B158" s="18" t="s">
        <v>60</v>
      </c>
      <c r="C158" s="18" t="s">
        <v>3891</v>
      </c>
      <c r="D158" s="18" t="s">
        <v>786</v>
      </c>
      <c r="E158" s="18" t="s">
        <v>3598</v>
      </c>
    </row>
    <row r="159">
      <c r="A159" s="362">
        <v>158.0</v>
      </c>
      <c r="B159" s="18" t="s">
        <v>60</v>
      </c>
      <c r="C159" s="18" t="s">
        <v>3894</v>
      </c>
      <c r="D159" s="18" t="s">
        <v>786</v>
      </c>
      <c r="E159" s="18" t="s">
        <v>3598</v>
      </c>
    </row>
    <row r="160">
      <c r="A160" s="362">
        <v>159.0</v>
      </c>
      <c r="B160" s="18" t="s">
        <v>60</v>
      </c>
      <c r="C160" s="18" t="s">
        <v>3895</v>
      </c>
      <c r="D160" s="18" t="s">
        <v>786</v>
      </c>
      <c r="E160" s="18" t="s">
        <v>3598</v>
      </c>
    </row>
    <row r="161">
      <c r="A161" s="362">
        <v>160.0</v>
      </c>
      <c r="B161" s="18" t="s">
        <v>60</v>
      </c>
      <c r="C161" s="18" t="s">
        <v>3897</v>
      </c>
      <c r="D161" s="18" t="s">
        <v>187</v>
      </c>
      <c r="E161" s="18" t="s">
        <v>3598</v>
      </c>
    </row>
    <row r="162">
      <c r="A162" s="362">
        <v>161.0</v>
      </c>
      <c r="B162" s="18" t="s">
        <v>36</v>
      </c>
      <c r="C162" s="18" t="s">
        <v>3899</v>
      </c>
      <c r="D162" s="18" t="s">
        <v>122</v>
      </c>
      <c r="E162" s="18" t="s">
        <v>3598</v>
      </c>
    </row>
    <row r="163">
      <c r="A163" s="362">
        <v>162.0</v>
      </c>
      <c r="B163" s="18" t="s">
        <v>62</v>
      </c>
      <c r="C163" s="18" t="s">
        <v>3902</v>
      </c>
      <c r="D163" s="18" t="s">
        <v>39</v>
      </c>
      <c r="E163" s="18" t="s">
        <v>3598</v>
      </c>
    </row>
    <row r="164">
      <c r="A164" s="362">
        <v>163.0</v>
      </c>
      <c r="B164" s="18" t="s">
        <v>102</v>
      </c>
      <c r="C164" s="18" t="s">
        <v>3903</v>
      </c>
      <c r="D164" s="18" t="s">
        <v>119</v>
      </c>
      <c r="E164" s="18" t="s">
        <v>3598</v>
      </c>
    </row>
    <row r="165">
      <c r="A165" s="362">
        <v>164.0</v>
      </c>
      <c r="B165" s="18" t="s">
        <v>363</v>
      </c>
      <c r="C165" s="18" t="s">
        <v>3904</v>
      </c>
      <c r="D165" s="18" t="s">
        <v>3905</v>
      </c>
      <c r="E165" s="18" t="s">
        <v>3598</v>
      </c>
    </row>
    <row r="166">
      <c r="A166" s="362">
        <v>165.0</v>
      </c>
      <c r="B166" s="18" t="s">
        <v>102</v>
      </c>
      <c r="C166" s="18" t="s">
        <v>3907</v>
      </c>
      <c r="D166" s="18" t="s">
        <v>1157</v>
      </c>
      <c r="E166" s="18" t="s">
        <v>3598</v>
      </c>
    </row>
    <row r="167">
      <c r="A167" s="362">
        <v>166.0</v>
      </c>
      <c r="B167" s="18" t="s">
        <v>102</v>
      </c>
      <c r="C167" s="18" t="s">
        <v>3908</v>
      </c>
      <c r="D167" s="18" t="s">
        <v>119</v>
      </c>
      <c r="E167" s="18" t="s">
        <v>3598</v>
      </c>
    </row>
    <row r="168">
      <c r="A168" s="362">
        <v>167.0</v>
      </c>
      <c r="B168" s="18" t="s">
        <v>60</v>
      </c>
      <c r="C168" s="18" t="s">
        <v>3909</v>
      </c>
      <c r="D168" s="18" t="s">
        <v>2919</v>
      </c>
      <c r="E168" s="18" t="s">
        <v>3598</v>
      </c>
    </row>
    <row r="169">
      <c r="A169" s="362">
        <v>168.0</v>
      </c>
      <c r="B169" s="18" t="s">
        <v>102</v>
      </c>
      <c r="C169" s="18" t="s">
        <v>3913</v>
      </c>
      <c r="D169" s="18" t="s">
        <v>3596</v>
      </c>
      <c r="E169" s="18" t="s">
        <v>3598</v>
      </c>
    </row>
    <row r="170">
      <c r="A170" s="362">
        <v>169.0</v>
      </c>
      <c r="B170" s="18" t="s">
        <v>102</v>
      </c>
      <c r="C170" s="18" t="s">
        <v>3914</v>
      </c>
      <c r="D170" s="18" t="s">
        <v>3561</v>
      </c>
      <c r="E170" s="18" t="s">
        <v>3598</v>
      </c>
    </row>
    <row r="171">
      <c r="A171" s="362">
        <v>170.0</v>
      </c>
      <c r="B171" s="18" t="s">
        <v>102</v>
      </c>
      <c r="C171" s="18" t="s">
        <v>3916</v>
      </c>
      <c r="D171" s="18" t="s">
        <v>3561</v>
      </c>
      <c r="E171" s="18" t="s">
        <v>3598</v>
      </c>
    </row>
    <row r="172">
      <c r="A172" s="362">
        <v>171.0</v>
      </c>
      <c r="B172" s="18" t="s">
        <v>102</v>
      </c>
      <c r="C172" s="18" t="s">
        <v>3917</v>
      </c>
      <c r="D172" s="18" t="s">
        <v>3561</v>
      </c>
      <c r="E172" s="18" t="s">
        <v>3598</v>
      </c>
    </row>
    <row r="173">
      <c r="A173" s="362">
        <v>172.0</v>
      </c>
      <c r="B173" s="18" t="s">
        <v>102</v>
      </c>
      <c r="C173" s="18" t="s">
        <v>3918</v>
      </c>
      <c r="D173" s="18" t="s">
        <v>3561</v>
      </c>
      <c r="E173" s="18" t="s">
        <v>3598</v>
      </c>
    </row>
    <row r="174">
      <c r="A174" s="362">
        <v>173.0</v>
      </c>
      <c r="B174" s="18" t="s">
        <v>60</v>
      </c>
      <c r="C174" s="18" t="s">
        <v>3920</v>
      </c>
      <c r="D174" s="18" t="s">
        <v>1157</v>
      </c>
      <c r="E174" s="18" t="s">
        <v>3598</v>
      </c>
    </row>
    <row r="175">
      <c r="A175" s="362">
        <v>174.0</v>
      </c>
      <c r="B175" s="18" t="s">
        <v>60</v>
      </c>
      <c r="C175" s="18" t="s">
        <v>3924</v>
      </c>
      <c r="D175" s="18" t="s">
        <v>295</v>
      </c>
      <c r="E175" s="18" t="s">
        <v>3598</v>
      </c>
    </row>
    <row r="176">
      <c r="A176" s="362">
        <v>175.0</v>
      </c>
      <c r="B176" s="18" t="s">
        <v>326</v>
      </c>
      <c r="C176" s="18" t="s">
        <v>3927</v>
      </c>
      <c r="D176" s="18" t="s">
        <v>3596</v>
      </c>
      <c r="E176" s="18" t="s">
        <v>3598</v>
      </c>
    </row>
    <row r="177">
      <c r="A177" s="362">
        <v>176.0</v>
      </c>
      <c r="B177" s="18" t="s">
        <v>60</v>
      </c>
      <c r="C177" s="18" t="s">
        <v>3930</v>
      </c>
      <c r="D177" s="18" t="s">
        <v>3561</v>
      </c>
      <c r="E177" s="18" t="s">
        <v>3598</v>
      </c>
    </row>
    <row r="178">
      <c r="A178" s="362">
        <v>177.0</v>
      </c>
      <c r="B178" s="18" t="s">
        <v>60</v>
      </c>
      <c r="C178" s="18" t="s">
        <v>3931</v>
      </c>
      <c r="D178" s="18" t="s">
        <v>3561</v>
      </c>
      <c r="E178" s="18" t="s">
        <v>3598</v>
      </c>
    </row>
    <row r="179">
      <c r="A179" s="362">
        <v>178.0</v>
      </c>
      <c r="B179" s="18" t="s">
        <v>60</v>
      </c>
      <c r="C179" s="18" t="s">
        <v>3934</v>
      </c>
      <c r="D179" s="18" t="s">
        <v>3596</v>
      </c>
      <c r="E179" s="18" t="s">
        <v>3598</v>
      </c>
    </row>
    <row r="180">
      <c r="A180" s="362">
        <v>179.0</v>
      </c>
      <c r="B180" s="18" t="s">
        <v>60</v>
      </c>
      <c r="C180" s="18" t="s">
        <v>3936</v>
      </c>
      <c r="D180" s="18" t="s">
        <v>3938</v>
      </c>
      <c r="E180" s="18" t="s">
        <v>3598</v>
      </c>
    </row>
    <row r="181">
      <c r="A181" s="362">
        <v>180.0</v>
      </c>
      <c r="B181" s="18" t="s">
        <v>102</v>
      </c>
      <c r="C181" s="18" t="s">
        <v>3940</v>
      </c>
      <c r="D181" s="18" t="s">
        <v>119</v>
      </c>
      <c r="E181" s="18" t="s">
        <v>3598</v>
      </c>
    </row>
    <row r="182">
      <c r="A182" s="362">
        <v>181.0</v>
      </c>
      <c r="B182" s="18" t="s">
        <v>102</v>
      </c>
      <c r="C182" s="18" t="s">
        <v>3941</v>
      </c>
      <c r="D182" s="18" t="s">
        <v>3561</v>
      </c>
      <c r="E182" s="18" t="s">
        <v>3598</v>
      </c>
    </row>
    <row r="183">
      <c r="A183" s="362">
        <v>182.0</v>
      </c>
      <c r="B183" s="18" t="s">
        <v>102</v>
      </c>
      <c r="C183" s="18" t="s">
        <v>3945</v>
      </c>
      <c r="D183" s="18" t="s">
        <v>3561</v>
      </c>
      <c r="E183" s="18" t="s">
        <v>3598</v>
      </c>
    </row>
    <row r="184">
      <c r="A184" s="362">
        <v>183.0</v>
      </c>
      <c r="B184" s="18" t="s">
        <v>102</v>
      </c>
      <c r="C184" s="18" t="s">
        <v>3947</v>
      </c>
      <c r="D184" s="18" t="s">
        <v>3561</v>
      </c>
      <c r="E184" s="18" t="s">
        <v>3598</v>
      </c>
    </row>
    <row r="185">
      <c r="A185" s="362">
        <v>184.0</v>
      </c>
      <c r="B185" s="18" t="s">
        <v>60</v>
      </c>
      <c r="C185" s="18" t="s">
        <v>3951</v>
      </c>
      <c r="D185" s="18" t="s">
        <v>213</v>
      </c>
      <c r="E185" s="18" t="s">
        <v>3598</v>
      </c>
    </row>
    <row r="186">
      <c r="A186" s="362">
        <v>185.0</v>
      </c>
      <c r="B186" s="18" t="s">
        <v>60</v>
      </c>
      <c r="C186" s="18" t="s">
        <v>3952</v>
      </c>
      <c r="D186" s="18" t="s">
        <v>3561</v>
      </c>
      <c r="E186" s="18" t="s">
        <v>3598</v>
      </c>
    </row>
    <row r="187">
      <c r="A187" s="362">
        <v>186.0</v>
      </c>
      <c r="B187" s="18" t="s">
        <v>60</v>
      </c>
      <c r="C187" s="18" t="s">
        <v>3953</v>
      </c>
      <c r="D187" s="18" t="s">
        <v>3561</v>
      </c>
      <c r="E187" s="18" t="s">
        <v>3598</v>
      </c>
    </row>
    <row r="188">
      <c r="A188" s="362">
        <v>187.0</v>
      </c>
      <c r="B188" s="18" t="s">
        <v>60</v>
      </c>
      <c r="C188" s="18" t="s">
        <v>3955</v>
      </c>
      <c r="D188" s="18" t="s">
        <v>2986</v>
      </c>
      <c r="E188" s="18" t="s">
        <v>3598</v>
      </c>
    </row>
    <row r="189">
      <c r="A189" s="362">
        <v>188.0</v>
      </c>
      <c r="B189" s="18" t="s">
        <v>102</v>
      </c>
      <c r="C189" s="18" t="s">
        <v>3957</v>
      </c>
      <c r="D189" s="18" t="s">
        <v>3561</v>
      </c>
      <c r="E189" s="18" t="s">
        <v>3598</v>
      </c>
    </row>
    <row r="190">
      <c r="A190" s="362">
        <v>189.0</v>
      </c>
      <c r="B190" s="18" t="s">
        <v>102</v>
      </c>
      <c r="C190" s="18" t="s">
        <v>3960</v>
      </c>
      <c r="D190" s="18" t="s">
        <v>3561</v>
      </c>
      <c r="E190" s="18" t="s">
        <v>3598</v>
      </c>
    </row>
    <row r="191">
      <c r="A191" s="362">
        <v>190.0</v>
      </c>
      <c r="B191" s="18" t="s">
        <v>60</v>
      </c>
      <c r="C191" s="18" t="s">
        <v>3962</v>
      </c>
      <c r="D191" s="18" t="s">
        <v>3561</v>
      </c>
      <c r="E191" s="18" t="s">
        <v>3598</v>
      </c>
    </row>
    <row r="192">
      <c r="A192" s="362">
        <v>191.0</v>
      </c>
      <c r="B192" s="18" t="s">
        <v>102</v>
      </c>
      <c r="C192" s="18" t="s">
        <v>3963</v>
      </c>
      <c r="D192" s="18" t="s">
        <v>119</v>
      </c>
      <c r="E192" s="18" t="s">
        <v>3598</v>
      </c>
    </row>
    <row r="193">
      <c r="A193" s="362">
        <v>192.0</v>
      </c>
      <c r="B193" s="18" t="s">
        <v>102</v>
      </c>
      <c r="C193" s="18" t="s">
        <v>3966</v>
      </c>
      <c r="D193" s="18" t="s">
        <v>1157</v>
      </c>
      <c r="E193" s="18" t="s">
        <v>3598</v>
      </c>
    </row>
    <row r="194">
      <c r="A194" s="362">
        <v>193.0</v>
      </c>
      <c r="B194" s="18" t="s">
        <v>102</v>
      </c>
      <c r="C194" s="18" t="s">
        <v>3967</v>
      </c>
      <c r="D194" s="18" t="s">
        <v>119</v>
      </c>
      <c r="E194" s="18" t="s">
        <v>3598</v>
      </c>
    </row>
    <row r="195">
      <c r="A195" s="362">
        <v>194.0</v>
      </c>
      <c r="B195" s="18" t="s">
        <v>102</v>
      </c>
      <c r="C195" s="18" t="s">
        <v>3969</v>
      </c>
      <c r="D195" s="18" t="s">
        <v>3561</v>
      </c>
      <c r="E195" s="18" t="s">
        <v>3598</v>
      </c>
    </row>
    <row r="196">
      <c r="A196" s="362">
        <v>195.0</v>
      </c>
      <c r="B196" s="18" t="s">
        <v>102</v>
      </c>
      <c r="C196" s="18" t="s">
        <v>3972</v>
      </c>
      <c r="D196" s="18" t="s">
        <v>3561</v>
      </c>
      <c r="E196" s="18" t="s">
        <v>3598</v>
      </c>
    </row>
    <row r="197">
      <c r="A197" s="362">
        <v>196.0</v>
      </c>
      <c r="B197" s="18" t="s">
        <v>60</v>
      </c>
      <c r="C197" s="18" t="s">
        <v>3975</v>
      </c>
      <c r="D197" s="18" t="s">
        <v>2986</v>
      </c>
      <c r="E197" s="18" t="s">
        <v>3598</v>
      </c>
    </row>
    <row r="198">
      <c r="A198" s="362">
        <v>197.0</v>
      </c>
      <c r="B198" s="18" t="s">
        <v>60</v>
      </c>
      <c r="C198" s="18" t="s">
        <v>3976</v>
      </c>
      <c r="D198" s="18" t="s">
        <v>2919</v>
      </c>
      <c r="E198" s="18" t="s">
        <v>3598</v>
      </c>
    </row>
    <row r="199">
      <c r="A199" s="362">
        <v>198.0</v>
      </c>
      <c r="B199" s="18" t="s">
        <v>102</v>
      </c>
      <c r="C199" s="18" t="s">
        <v>3980</v>
      </c>
      <c r="D199" s="18" t="s">
        <v>3561</v>
      </c>
      <c r="E199" s="18" t="s">
        <v>3598</v>
      </c>
    </row>
    <row r="200">
      <c r="A200" s="362">
        <v>199.0</v>
      </c>
      <c r="B200" s="18" t="s">
        <v>3981</v>
      </c>
      <c r="C200" s="18" t="s">
        <v>3392</v>
      </c>
      <c r="D200" s="18" t="s">
        <v>3561</v>
      </c>
      <c r="E200" s="18" t="s">
        <v>3598</v>
      </c>
    </row>
    <row r="201">
      <c r="A201" s="362">
        <v>200.0</v>
      </c>
      <c r="B201" s="18" t="s">
        <v>60</v>
      </c>
      <c r="C201" s="18" t="s">
        <v>3986</v>
      </c>
      <c r="D201" s="18" t="s">
        <v>3561</v>
      </c>
      <c r="E201" s="18" t="s">
        <v>3598</v>
      </c>
    </row>
    <row r="202">
      <c r="A202" s="362">
        <v>201.0</v>
      </c>
      <c r="B202" s="18" t="s">
        <v>60</v>
      </c>
      <c r="C202" s="18" t="s">
        <v>3988</v>
      </c>
      <c r="D202" s="18" t="s">
        <v>213</v>
      </c>
      <c r="E202" s="18" t="s">
        <v>3598</v>
      </c>
    </row>
    <row r="203">
      <c r="A203" s="362">
        <v>202.0</v>
      </c>
      <c r="B203" s="18" t="s">
        <v>60</v>
      </c>
      <c r="C203" s="18" t="s">
        <v>3992</v>
      </c>
      <c r="D203" s="18" t="s">
        <v>3938</v>
      </c>
      <c r="E203" s="18" t="s">
        <v>3598</v>
      </c>
    </row>
    <row r="204">
      <c r="A204" s="362">
        <v>203.0</v>
      </c>
      <c r="B204" s="18" t="s">
        <v>60</v>
      </c>
      <c r="C204" s="18" t="s">
        <v>3996</v>
      </c>
      <c r="D204" s="18" t="s">
        <v>3561</v>
      </c>
      <c r="E204" s="18" t="s">
        <v>3598</v>
      </c>
    </row>
    <row r="205">
      <c r="A205" s="362">
        <v>204.0</v>
      </c>
      <c r="B205" s="18" t="s">
        <v>60</v>
      </c>
      <c r="C205" s="18" t="s">
        <v>3440</v>
      </c>
      <c r="D205" s="18" t="s">
        <v>1466</v>
      </c>
      <c r="E205" s="18" t="s">
        <v>3598</v>
      </c>
    </row>
    <row r="206">
      <c r="A206" s="362">
        <v>205.0</v>
      </c>
      <c r="B206" s="18" t="s">
        <v>60</v>
      </c>
      <c r="C206" s="18" t="s">
        <v>4001</v>
      </c>
      <c r="D206" s="18" t="s">
        <v>201</v>
      </c>
      <c r="E206" s="18" t="s">
        <v>3598</v>
      </c>
    </row>
    <row r="207">
      <c r="A207" s="362">
        <v>206.0</v>
      </c>
      <c r="B207" s="18" t="s">
        <v>60</v>
      </c>
      <c r="C207" s="18" t="s">
        <v>4002</v>
      </c>
      <c r="D207" s="18" t="s">
        <v>139</v>
      </c>
      <c r="E207" s="18" t="s">
        <v>3598</v>
      </c>
    </row>
    <row r="208">
      <c r="A208" s="362">
        <v>207.0</v>
      </c>
      <c r="B208" s="18" t="s">
        <v>60</v>
      </c>
      <c r="C208" s="18" t="s">
        <v>4003</v>
      </c>
      <c r="D208" s="18" t="s">
        <v>3938</v>
      </c>
      <c r="E208" s="18" t="s">
        <v>3598</v>
      </c>
    </row>
    <row r="209">
      <c r="A209" s="362">
        <v>208.0</v>
      </c>
      <c r="B209" s="18" t="s">
        <v>60</v>
      </c>
      <c r="C209" s="18" t="s">
        <v>4005</v>
      </c>
      <c r="D209" s="18" t="s">
        <v>3561</v>
      </c>
      <c r="E209" s="18" t="s">
        <v>3598</v>
      </c>
    </row>
    <row r="210">
      <c r="A210" s="362">
        <v>209.0</v>
      </c>
      <c r="B210" s="18" t="s">
        <v>60</v>
      </c>
      <c r="C210" s="18" t="s">
        <v>4007</v>
      </c>
      <c r="D210" s="18" t="s">
        <v>1466</v>
      </c>
      <c r="E210" s="18" t="s">
        <v>3598</v>
      </c>
    </row>
    <row r="211">
      <c r="A211" s="362">
        <v>210.0</v>
      </c>
      <c r="B211" s="18" t="s">
        <v>60</v>
      </c>
      <c r="C211" s="18" t="s">
        <v>4008</v>
      </c>
      <c r="D211" s="18" t="s">
        <v>4010</v>
      </c>
      <c r="E211" s="18" t="s">
        <v>3598</v>
      </c>
    </row>
    <row r="212">
      <c r="A212" s="362">
        <v>211.0</v>
      </c>
      <c r="B212" s="18" t="s">
        <v>656</v>
      </c>
      <c r="C212" s="18" t="s">
        <v>4011</v>
      </c>
      <c r="D212" s="18" t="s">
        <v>139</v>
      </c>
      <c r="E212" s="18" t="s">
        <v>3598</v>
      </c>
    </row>
    <row r="213">
      <c r="A213" s="362">
        <v>212.0</v>
      </c>
      <c r="B213" s="18" t="s">
        <v>60</v>
      </c>
      <c r="C213" s="18" t="s">
        <v>4015</v>
      </c>
      <c r="D213" s="18" t="s">
        <v>139</v>
      </c>
      <c r="E213" s="18" t="s">
        <v>3598</v>
      </c>
    </row>
    <row r="214">
      <c r="A214" s="362">
        <v>213.0</v>
      </c>
      <c r="B214" s="18" t="s">
        <v>102</v>
      </c>
      <c r="C214" s="18" t="s">
        <v>4018</v>
      </c>
      <c r="D214" s="18" t="s">
        <v>119</v>
      </c>
      <c r="E214" s="18" t="s">
        <v>3598</v>
      </c>
    </row>
    <row r="215">
      <c r="A215" s="362">
        <v>214.0</v>
      </c>
      <c r="B215" s="18" t="s">
        <v>102</v>
      </c>
      <c r="C215" s="18" t="s">
        <v>4021</v>
      </c>
      <c r="D215" s="18" t="s">
        <v>119</v>
      </c>
      <c r="E215" s="18" t="s">
        <v>3598</v>
      </c>
    </row>
    <row r="216">
      <c r="A216" s="362">
        <v>215.0</v>
      </c>
      <c r="B216" s="18" t="s">
        <v>60</v>
      </c>
      <c r="C216" s="18" t="s">
        <v>4022</v>
      </c>
      <c r="D216" s="18" t="s">
        <v>3561</v>
      </c>
      <c r="E216" s="18" t="s">
        <v>3598</v>
      </c>
    </row>
    <row r="217">
      <c r="A217" s="362">
        <v>216.0</v>
      </c>
      <c r="B217" s="18" t="s">
        <v>60</v>
      </c>
      <c r="C217" s="18" t="s">
        <v>4025</v>
      </c>
      <c r="D217" s="18" t="s">
        <v>3561</v>
      </c>
      <c r="E217" s="18" t="s">
        <v>3598</v>
      </c>
    </row>
    <row r="218">
      <c r="A218" s="362">
        <v>217.0</v>
      </c>
      <c r="B218" s="18" t="s">
        <v>60</v>
      </c>
      <c r="C218" s="18" t="s">
        <v>4026</v>
      </c>
      <c r="D218" s="18" t="s">
        <v>3561</v>
      </c>
      <c r="E218" s="18" t="s">
        <v>3598</v>
      </c>
    </row>
    <row r="219">
      <c r="A219" s="362">
        <v>218.0</v>
      </c>
      <c r="B219" s="18" t="s">
        <v>60</v>
      </c>
      <c r="C219" s="18" t="s">
        <v>4029</v>
      </c>
      <c r="D219" s="18" t="s">
        <v>3561</v>
      </c>
      <c r="E219" s="18" t="s">
        <v>3598</v>
      </c>
    </row>
    <row r="220">
      <c r="A220" s="362">
        <v>219.0</v>
      </c>
      <c r="B220" s="18" t="s">
        <v>60</v>
      </c>
      <c r="C220" s="18" t="s">
        <v>4030</v>
      </c>
      <c r="D220" s="18" t="s">
        <v>3561</v>
      </c>
      <c r="E220" s="18" t="s">
        <v>3598</v>
      </c>
    </row>
    <row r="221">
      <c r="A221" s="362">
        <v>220.0</v>
      </c>
      <c r="B221" s="18" t="s">
        <v>102</v>
      </c>
      <c r="C221" s="18" t="s">
        <v>4035</v>
      </c>
      <c r="D221" s="18" t="s">
        <v>1157</v>
      </c>
      <c r="E221" s="18" t="s">
        <v>3598</v>
      </c>
    </row>
    <row r="222">
      <c r="A222" s="362">
        <v>221.0</v>
      </c>
      <c r="B222" s="18" t="s">
        <v>60</v>
      </c>
      <c r="C222" s="18" t="s">
        <v>4036</v>
      </c>
      <c r="D222" s="18" t="s">
        <v>3656</v>
      </c>
      <c r="E222" s="18" t="s">
        <v>3598</v>
      </c>
    </row>
    <row r="223">
      <c r="A223" s="362">
        <v>222.0</v>
      </c>
      <c r="B223" s="18" t="s">
        <v>60</v>
      </c>
      <c r="C223" s="18" t="s">
        <v>4037</v>
      </c>
      <c r="D223" s="18" t="s">
        <v>1431</v>
      </c>
      <c r="E223" s="18" t="s">
        <v>3598</v>
      </c>
    </row>
    <row r="224">
      <c r="A224" s="362">
        <v>223.0</v>
      </c>
      <c r="B224" s="18" t="s">
        <v>102</v>
      </c>
      <c r="C224" s="18" t="s">
        <v>4038</v>
      </c>
      <c r="D224" s="18" t="s">
        <v>3656</v>
      </c>
      <c r="E224" s="18" t="s">
        <v>3598</v>
      </c>
    </row>
    <row r="225">
      <c r="A225" s="362">
        <v>224.0</v>
      </c>
      <c r="B225" s="18" t="s">
        <v>60</v>
      </c>
      <c r="C225" s="18" t="s">
        <v>4039</v>
      </c>
      <c r="D225" s="18" t="s">
        <v>1431</v>
      </c>
      <c r="E225" s="18" t="s">
        <v>3598</v>
      </c>
    </row>
    <row r="226">
      <c r="A226" s="362">
        <v>225.0</v>
      </c>
      <c r="B226" s="18" t="s">
        <v>102</v>
      </c>
      <c r="C226" s="18" t="s">
        <v>4042</v>
      </c>
      <c r="D226" s="18" t="s">
        <v>3761</v>
      </c>
      <c r="E226" s="18" t="s">
        <v>3598</v>
      </c>
    </row>
    <row r="227">
      <c r="A227" s="362">
        <v>226.0</v>
      </c>
      <c r="B227" s="18" t="s">
        <v>60</v>
      </c>
      <c r="C227" s="18" t="s">
        <v>4044</v>
      </c>
      <c r="D227" s="18" t="s">
        <v>3761</v>
      </c>
      <c r="E227" s="18" t="s">
        <v>3598</v>
      </c>
    </row>
    <row r="228">
      <c r="A228" s="362">
        <v>227.0</v>
      </c>
      <c r="B228" s="18" t="s">
        <v>102</v>
      </c>
      <c r="C228" s="18" t="s">
        <v>4047</v>
      </c>
      <c r="D228" s="18" t="s">
        <v>3761</v>
      </c>
      <c r="E228" s="18" t="s">
        <v>3598</v>
      </c>
    </row>
    <row r="229">
      <c r="A229" s="362">
        <v>228.0</v>
      </c>
      <c r="B229" s="18" t="s">
        <v>60</v>
      </c>
      <c r="C229" s="18" t="s">
        <v>4049</v>
      </c>
      <c r="D229" s="18" t="s">
        <v>786</v>
      </c>
      <c r="E229" s="18" t="s">
        <v>3598</v>
      </c>
    </row>
    <row r="230">
      <c r="A230" s="362">
        <v>229.0</v>
      </c>
      <c r="B230" s="18" t="s">
        <v>102</v>
      </c>
      <c r="C230" s="18" t="s">
        <v>4050</v>
      </c>
      <c r="D230" s="18" t="s">
        <v>3761</v>
      </c>
      <c r="E230" s="18" t="s">
        <v>3598</v>
      </c>
    </row>
    <row r="231">
      <c r="A231" s="362">
        <v>230.0</v>
      </c>
      <c r="B231" s="18" t="s">
        <v>102</v>
      </c>
      <c r="C231" s="18" t="s">
        <v>4055</v>
      </c>
      <c r="D231" s="18" t="s">
        <v>3761</v>
      </c>
      <c r="E231" s="18" t="s">
        <v>3598</v>
      </c>
    </row>
    <row r="232">
      <c r="A232" s="362">
        <v>231.0</v>
      </c>
      <c r="B232" s="18" t="s">
        <v>102</v>
      </c>
      <c r="C232" s="18" t="s">
        <v>4056</v>
      </c>
      <c r="D232" s="18" t="s">
        <v>3761</v>
      </c>
      <c r="E232" s="18" t="s">
        <v>3598</v>
      </c>
    </row>
    <row r="233">
      <c r="A233" s="362">
        <v>232.0</v>
      </c>
      <c r="B233" s="18" t="s">
        <v>60</v>
      </c>
      <c r="C233" s="18" t="s">
        <v>4058</v>
      </c>
      <c r="D233" s="18" t="s">
        <v>3761</v>
      </c>
      <c r="E233" s="18" t="s">
        <v>3598</v>
      </c>
    </row>
    <row r="234">
      <c r="A234" s="362">
        <v>233.0</v>
      </c>
      <c r="B234" s="18" t="s">
        <v>60</v>
      </c>
      <c r="C234" s="18" t="s">
        <v>4059</v>
      </c>
      <c r="D234" s="18" t="s">
        <v>786</v>
      </c>
      <c r="E234" s="18" t="s">
        <v>3598</v>
      </c>
    </row>
    <row r="235">
      <c r="A235" s="362">
        <v>234.0</v>
      </c>
      <c r="B235" s="18" t="s">
        <v>102</v>
      </c>
      <c r="C235" s="18" t="s">
        <v>4063</v>
      </c>
      <c r="D235" s="18" t="s">
        <v>3761</v>
      </c>
      <c r="E235" s="18" t="s">
        <v>3598</v>
      </c>
    </row>
    <row r="236">
      <c r="A236" s="362">
        <v>235.0</v>
      </c>
      <c r="B236" s="18" t="s">
        <v>60</v>
      </c>
      <c r="C236" s="18" t="s">
        <v>4066</v>
      </c>
      <c r="D236" s="18" t="s">
        <v>3761</v>
      </c>
      <c r="E236" s="18" t="s">
        <v>3598</v>
      </c>
    </row>
    <row r="237">
      <c r="A237" s="362">
        <v>236.0</v>
      </c>
      <c r="B237" s="18" t="s">
        <v>102</v>
      </c>
      <c r="C237" s="18" t="s">
        <v>4069</v>
      </c>
      <c r="D237" s="18" t="s">
        <v>178</v>
      </c>
      <c r="E237" s="18" t="s">
        <v>3598</v>
      </c>
    </row>
    <row r="238">
      <c r="A238" s="362">
        <v>237.0</v>
      </c>
      <c r="B238" s="18" t="s">
        <v>326</v>
      </c>
      <c r="C238" s="18" t="s">
        <v>4071</v>
      </c>
      <c r="D238" s="18" t="s">
        <v>178</v>
      </c>
      <c r="E238" s="18" t="s">
        <v>3598</v>
      </c>
    </row>
    <row r="239">
      <c r="A239" s="362">
        <v>238.0</v>
      </c>
      <c r="B239" s="18" t="s">
        <v>102</v>
      </c>
      <c r="C239" s="18" t="s">
        <v>4074</v>
      </c>
      <c r="D239" s="18" t="s">
        <v>178</v>
      </c>
      <c r="E239" s="18" t="s">
        <v>3598</v>
      </c>
    </row>
    <row r="240">
      <c r="A240" s="362">
        <v>239.0</v>
      </c>
      <c r="B240" s="18" t="s">
        <v>60</v>
      </c>
      <c r="C240" s="18" t="s">
        <v>4075</v>
      </c>
      <c r="D240" s="18" t="s">
        <v>178</v>
      </c>
      <c r="E240" s="18" t="s">
        <v>3598</v>
      </c>
    </row>
    <row r="241">
      <c r="A241" s="362">
        <v>240.0</v>
      </c>
      <c r="B241" s="18" t="s">
        <v>363</v>
      </c>
      <c r="C241" s="18" t="s">
        <v>4078</v>
      </c>
      <c r="D241" s="18" t="s">
        <v>170</v>
      </c>
      <c r="E241" s="18" t="s">
        <v>3598</v>
      </c>
    </row>
    <row r="242">
      <c r="A242" s="362">
        <v>241.0</v>
      </c>
      <c r="B242" s="18" t="s">
        <v>60</v>
      </c>
      <c r="C242" s="18" t="s">
        <v>4079</v>
      </c>
      <c r="D242" s="18" t="s">
        <v>178</v>
      </c>
      <c r="E242" s="18" t="s">
        <v>3598</v>
      </c>
    </row>
    <row r="243">
      <c r="A243" s="362">
        <v>242.0</v>
      </c>
      <c r="B243" s="18" t="s">
        <v>60</v>
      </c>
      <c r="C243" s="18" t="s">
        <v>4080</v>
      </c>
      <c r="D243" s="18" t="s">
        <v>499</v>
      </c>
      <c r="E243" s="18" t="s">
        <v>3598</v>
      </c>
    </row>
    <row r="244">
      <c r="A244" s="362">
        <v>243.0</v>
      </c>
      <c r="B244" s="18" t="s">
        <v>102</v>
      </c>
      <c r="C244" s="18" t="s">
        <v>4082</v>
      </c>
      <c r="D244" s="18" t="s">
        <v>170</v>
      </c>
      <c r="E244" s="18" t="s">
        <v>3598</v>
      </c>
    </row>
    <row r="245">
      <c r="A245" s="362">
        <v>244.0</v>
      </c>
      <c r="B245" s="18" t="s">
        <v>102</v>
      </c>
      <c r="C245" s="18" t="s">
        <v>4084</v>
      </c>
      <c r="D245" s="18" t="s">
        <v>4085</v>
      </c>
      <c r="E245" s="18" t="s">
        <v>3598</v>
      </c>
    </row>
    <row r="246">
      <c r="A246" s="362">
        <v>245.0</v>
      </c>
      <c r="B246" s="18" t="s">
        <v>102</v>
      </c>
      <c r="C246" s="18" t="s">
        <v>4086</v>
      </c>
      <c r="D246" s="18" t="s">
        <v>1345</v>
      </c>
      <c r="E246" s="18" t="s">
        <v>3598</v>
      </c>
    </row>
    <row r="247">
      <c r="A247" s="362">
        <v>246.0</v>
      </c>
      <c r="B247" s="18" t="s">
        <v>60</v>
      </c>
      <c r="C247" s="18" t="s">
        <v>4088</v>
      </c>
      <c r="D247" s="18" t="s">
        <v>201</v>
      </c>
      <c r="E247" s="18" t="s">
        <v>3598</v>
      </c>
    </row>
    <row r="248">
      <c r="A248" s="362">
        <v>247.0</v>
      </c>
      <c r="B248" s="18" t="s">
        <v>60</v>
      </c>
      <c r="C248" s="18" t="s">
        <v>4092</v>
      </c>
      <c r="D248" s="18" t="s">
        <v>201</v>
      </c>
      <c r="E248" s="18" t="s">
        <v>3598</v>
      </c>
    </row>
    <row r="249">
      <c r="A249" s="362">
        <v>248.0</v>
      </c>
      <c r="B249" s="18" t="s">
        <v>60</v>
      </c>
      <c r="C249" s="18" t="s">
        <v>4094</v>
      </c>
      <c r="D249" s="18" t="s">
        <v>457</v>
      </c>
      <c r="E249" s="18" t="s">
        <v>3598</v>
      </c>
    </row>
    <row r="250">
      <c r="A250" s="362">
        <v>249.0</v>
      </c>
      <c r="B250" s="18" t="s">
        <v>60</v>
      </c>
      <c r="C250" s="18" t="s">
        <v>4097</v>
      </c>
      <c r="D250" s="18" t="s">
        <v>457</v>
      </c>
      <c r="E250" s="18" t="s">
        <v>3598</v>
      </c>
    </row>
    <row r="251">
      <c r="A251" s="362">
        <v>250.0</v>
      </c>
      <c r="B251" s="18" t="s">
        <v>60</v>
      </c>
      <c r="C251" s="18" t="s">
        <v>4098</v>
      </c>
      <c r="D251" s="18" t="s">
        <v>457</v>
      </c>
      <c r="E251" s="18" t="s">
        <v>3598</v>
      </c>
    </row>
    <row r="252">
      <c r="A252" s="362">
        <v>251.0</v>
      </c>
      <c r="B252" s="18" t="s">
        <v>60</v>
      </c>
      <c r="C252" s="18" t="s">
        <v>4100</v>
      </c>
      <c r="D252" s="18" t="s">
        <v>3811</v>
      </c>
      <c r="E252" s="18" t="s">
        <v>3598</v>
      </c>
    </row>
    <row r="253">
      <c r="A253" s="362">
        <v>252.0</v>
      </c>
      <c r="B253" s="18" t="s">
        <v>60</v>
      </c>
      <c r="C253" s="18" t="s">
        <v>4103</v>
      </c>
      <c r="D253" s="18" t="s">
        <v>1536</v>
      </c>
      <c r="E253" s="18" t="s">
        <v>3598</v>
      </c>
    </row>
    <row r="254">
      <c r="A254" s="362">
        <v>253.0</v>
      </c>
      <c r="B254" s="18" t="s">
        <v>504</v>
      </c>
      <c r="C254" s="18" t="s">
        <v>4108</v>
      </c>
      <c r="D254" s="18" t="s">
        <v>194</v>
      </c>
      <c r="E254" s="18" t="s">
        <v>3598</v>
      </c>
    </row>
    <row r="255">
      <c r="A255" s="362">
        <v>254.0</v>
      </c>
      <c r="B255" s="18" t="s">
        <v>326</v>
      </c>
      <c r="C255" s="18" t="s">
        <v>4109</v>
      </c>
      <c r="D255" s="18" t="s">
        <v>1431</v>
      </c>
      <c r="E255" s="18" t="s">
        <v>3598</v>
      </c>
    </row>
    <row r="256">
      <c r="A256" s="362">
        <v>255.0</v>
      </c>
      <c r="B256" s="18" t="s">
        <v>143</v>
      </c>
      <c r="C256" s="18" t="s">
        <v>4113</v>
      </c>
      <c r="D256" s="18" t="s">
        <v>4114</v>
      </c>
      <c r="E256" s="18" t="s">
        <v>3598</v>
      </c>
    </row>
    <row r="257">
      <c r="A257" s="362">
        <v>256.0</v>
      </c>
      <c r="B257" s="18" t="s">
        <v>102</v>
      </c>
      <c r="C257" s="18" t="s">
        <v>4118</v>
      </c>
      <c r="D257" s="18" t="s">
        <v>119</v>
      </c>
      <c r="E257" s="18" t="s">
        <v>3598</v>
      </c>
    </row>
    <row r="258">
      <c r="A258" s="362">
        <v>257.0</v>
      </c>
      <c r="B258" s="18" t="s">
        <v>60</v>
      </c>
      <c r="C258" s="18" t="s">
        <v>4122</v>
      </c>
      <c r="D258" s="18" t="s">
        <v>302</v>
      </c>
      <c r="E258" s="18" t="s">
        <v>3598</v>
      </c>
    </row>
    <row r="259">
      <c r="A259" s="362">
        <v>258.0</v>
      </c>
      <c r="B259" s="18" t="s">
        <v>60</v>
      </c>
      <c r="C259" s="18" t="s">
        <v>4125</v>
      </c>
      <c r="D259" s="18" t="s">
        <v>58</v>
      </c>
      <c r="E259" s="18" t="s">
        <v>3598</v>
      </c>
    </row>
    <row r="260">
      <c r="A260" s="362">
        <v>259.0</v>
      </c>
      <c r="B260" s="18" t="s">
        <v>96</v>
      </c>
      <c r="C260" s="18" t="s">
        <v>4127</v>
      </c>
      <c r="D260" s="18" t="s">
        <v>1088</v>
      </c>
      <c r="E260" s="18" t="s">
        <v>3598</v>
      </c>
    </row>
    <row r="261">
      <c r="A261" s="362">
        <v>260.0</v>
      </c>
      <c r="B261" s="18" t="s">
        <v>363</v>
      </c>
      <c r="C261" s="18" t="s">
        <v>4129</v>
      </c>
      <c r="D261" s="18" t="s">
        <v>267</v>
      </c>
      <c r="E261" s="18" t="s">
        <v>3598</v>
      </c>
    </row>
    <row r="262">
      <c r="A262" s="362">
        <v>261.0</v>
      </c>
      <c r="B262" s="18" t="s">
        <v>102</v>
      </c>
      <c r="C262" s="18" t="s">
        <v>4130</v>
      </c>
      <c r="D262" s="18" t="s">
        <v>170</v>
      </c>
      <c r="E262" s="18" t="s">
        <v>3598</v>
      </c>
    </row>
    <row r="263">
      <c r="A263" s="362">
        <v>262.0</v>
      </c>
      <c r="B263" s="18" t="s">
        <v>102</v>
      </c>
      <c r="C263" s="18" t="s">
        <v>4133</v>
      </c>
      <c r="D263" s="18" t="s">
        <v>178</v>
      </c>
      <c r="E263" s="18" t="s">
        <v>3598</v>
      </c>
    </row>
    <row r="264">
      <c r="A264" s="362">
        <v>263.0</v>
      </c>
      <c r="B264" s="18" t="s">
        <v>96</v>
      </c>
      <c r="C264" s="18" t="s">
        <v>4136</v>
      </c>
      <c r="D264" s="18" t="s">
        <v>170</v>
      </c>
      <c r="E264" s="18" t="s">
        <v>3598</v>
      </c>
    </row>
    <row r="265">
      <c r="A265" s="362">
        <v>264.0</v>
      </c>
      <c r="B265" s="18" t="s">
        <v>4139</v>
      </c>
      <c r="C265" s="18" t="s">
        <v>4140</v>
      </c>
      <c r="D265" s="18" t="s">
        <v>2324</v>
      </c>
      <c r="E265" s="18" t="s">
        <v>3598</v>
      </c>
    </row>
    <row r="266">
      <c r="A266" s="362">
        <v>265.0</v>
      </c>
      <c r="B266" s="18" t="s">
        <v>60</v>
      </c>
      <c r="C266" s="18" t="s">
        <v>4141</v>
      </c>
      <c r="D266" s="18" t="s">
        <v>1536</v>
      </c>
      <c r="E266" s="18" t="s">
        <v>3598</v>
      </c>
    </row>
    <row r="267">
      <c r="A267" s="362">
        <v>266.0</v>
      </c>
      <c r="B267" s="18" t="s">
        <v>102</v>
      </c>
      <c r="C267" s="18" t="s">
        <v>4143</v>
      </c>
      <c r="D267" s="18" t="s">
        <v>1195</v>
      </c>
      <c r="E267" s="18" t="s">
        <v>3598</v>
      </c>
    </row>
    <row r="268">
      <c r="A268" s="362">
        <v>267.0</v>
      </c>
      <c r="B268" s="18" t="s">
        <v>60</v>
      </c>
      <c r="C268" s="18" t="s">
        <v>1844</v>
      </c>
      <c r="D268" s="18" t="s">
        <v>119</v>
      </c>
      <c r="E268" s="18" t="s">
        <v>3598</v>
      </c>
    </row>
    <row r="269">
      <c r="A269" s="362">
        <v>268.0</v>
      </c>
      <c r="B269" s="18" t="s">
        <v>60</v>
      </c>
      <c r="C269" s="18" t="s">
        <v>4146</v>
      </c>
      <c r="D269" s="18" t="s">
        <v>119</v>
      </c>
      <c r="E269" s="18" t="s">
        <v>3598</v>
      </c>
    </row>
    <row r="270">
      <c r="A270" s="362">
        <v>269.0</v>
      </c>
      <c r="B270" s="18" t="s">
        <v>102</v>
      </c>
      <c r="C270" s="18" t="s">
        <v>4150</v>
      </c>
      <c r="D270" s="18" t="s">
        <v>178</v>
      </c>
      <c r="E270" s="18" t="s">
        <v>3598</v>
      </c>
    </row>
    <row r="271">
      <c r="A271" s="362">
        <v>270.0</v>
      </c>
      <c r="B271" s="18" t="s">
        <v>102</v>
      </c>
      <c r="C271" s="18" t="s">
        <v>4151</v>
      </c>
      <c r="D271" s="18" t="s">
        <v>178</v>
      </c>
      <c r="E271" s="18" t="s">
        <v>3598</v>
      </c>
    </row>
    <row r="272">
      <c r="A272" s="362">
        <v>271.0</v>
      </c>
      <c r="B272" s="18" t="s">
        <v>102</v>
      </c>
      <c r="C272" s="18" t="s">
        <v>4152</v>
      </c>
      <c r="D272" s="18" t="s">
        <v>1195</v>
      </c>
      <c r="E272" s="18" t="s">
        <v>3598</v>
      </c>
    </row>
    <row r="273">
      <c r="A273" s="362">
        <v>272.0</v>
      </c>
      <c r="B273" s="18" t="s">
        <v>60</v>
      </c>
      <c r="C273" s="18" t="s">
        <v>4153</v>
      </c>
      <c r="D273" s="18" t="s">
        <v>3205</v>
      </c>
      <c r="E273" s="18" t="s">
        <v>3598</v>
      </c>
    </row>
    <row r="274">
      <c r="A274" s="362">
        <v>273.0</v>
      </c>
      <c r="B274" s="18" t="s">
        <v>60</v>
      </c>
      <c r="C274" s="18" t="s">
        <v>4156</v>
      </c>
      <c r="D274" s="18" t="s">
        <v>3205</v>
      </c>
      <c r="E274" s="18" t="s">
        <v>3598</v>
      </c>
    </row>
    <row r="275">
      <c r="A275" s="362">
        <v>274.0</v>
      </c>
      <c r="B275" s="18" t="s">
        <v>60</v>
      </c>
      <c r="C275" s="18" t="s">
        <v>4157</v>
      </c>
      <c r="D275" s="18" t="s">
        <v>187</v>
      </c>
      <c r="E275" s="18" t="s">
        <v>3598</v>
      </c>
    </row>
    <row r="276">
      <c r="A276" s="362">
        <v>275.0</v>
      </c>
      <c r="B276" s="18" t="s">
        <v>60</v>
      </c>
      <c r="C276" s="18" t="s">
        <v>4158</v>
      </c>
      <c r="D276" s="18" t="s">
        <v>139</v>
      </c>
      <c r="E276" s="18" t="s">
        <v>3598</v>
      </c>
    </row>
    <row r="277">
      <c r="A277" s="362">
        <v>276.0</v>
      </c>
      <c r="B277" s="18" t="s">
        <v>60</v>
      </c>
      <c r="C277" s="18" t="s">
        <v>4159</v>
      </c>
      <c r="D277" s="18" t="s">
        <v>58</v>
      </c>
      <c r="E277" s="18" t="s">
        <v>3598</v>
      </c>
    </row>
    <row r="278">
      <c r="A278" s="362">
        <v>277.0</v>
      </c>
      <c r="B278" s="18" t="s">
        <v>60</v>
      </c>
      <c r="C278" s="18" t="s">
        <v>4162</v>
      </c>
      <c r="D278" s="18" t="s">
        <v>3078</v>
      </c>
      <c r="E278" s="18" t="s">
        <v>3598</v>
      </c>
    </row>
    <row r="279">
      <c r="A279" s="362">
        <v>278.0</v>
      </c>
      <c r="B279" s="18" t="s">
        <v>60</v>
      </c>
      <c r="C279" s="18" t="s">
        <v>4163</v>
      </c>
      <c r="D279" s="18" t="s">
        <v>2929</v>
      </c>
      <c r="E279" s="18" t="s">
        <v>3598</v>
      </c>
    </row>
    <row r="280">
      <c r="A280" s="362">
        <v>279.0</v>
      </c>
      <c r="B280" s="18" t="s">
        <v>60</v>
      </c>
      <c r="C280" s="18" t="s">
        <v>4164</v>
      </c>
      <c r="D280" s="18" t="s">
        <v>3938</v>
      </c>
      <c r="E280" s="18" t="s">
        <v>3598</v>
      </c>
    </row>
    <row r="281">
      <c r="A281" s="362">
        <v>280.0</v>
      </c>
      <c r="B281" s="18" t="s">
        <v>60</v>
      </c>
      <c r="C281" s="18" t="s">
        <v>4166</v>
      </c>
      <c r="D281" s="18" t="s">
        <v>302</v>
      </c>
      <c r="E281" s="18" t="s">
        <v>3598</v>
      </c>
    </row>
    <row r="282">
      <c r="A282" s="362">
        <v>281.0</v>
      </c>
      <c r="B282" s="18" t="s">
        <v>60</v>
      </c>
      <c r="C282" s="18" t="s">
        <v>4167</v>
      </c>
      <c r="D282" s="18" t="s">
        <v>187</v>
      </c>
      <c r="E282" s="18" t="s">
        <v>3598</v>
      </c>
    </row>
    <row r="283">
      <c r="A283" s="362">
        <v>282.0</v>
      </c>
      <c r="B283" s="18" t="s">
        <v>60</v>
      </c>
      <c r="C283" s="18" t="s">
        <v>1606</v>
      </c>
      <c r="D283" s="18" t="s">
        <v>139</v>
      </c>
      <c r="E283" s="18" t="s">
        <v>3598</v>
      </c>
    </row>
    <row r="284">
      <c r="A284" s="362">
        <v>283.0</v>
      </c>
      <c r="B284" s="18" t="s">
        <v>60</v>
      </c>
      <c r="C284" s="18" t="s">
        <v>4168</v>
      </c>
      <c r="D284" s="18" t="s">
        <v>3078</v>
      </c>
      <c r="E284" s="18" t="s">
        <v>3598</v>
      </c>
    </row>
    <row r="285">
      <c r="A285" s="362">
        <v>284.0</v>
      </c>
      <c r="B285" s="18" t="s">
        <v>60</v>
      </c>
      <c r="C285" s="18" t="s">
        <v>4171</v>
      </c>
      <c r="D285" s="18" t="s">
        <v>3078</v>
      </c>
      <c r="E285" s="18" t="s">
        <v>3598</v>
      </c>
    </row>
    <row r="286">
      <c r="A286" s="362">
        <v>285.0</v>
      </c>
      <c r="B286" s="18" t="s">
        <v>60</v>
      </c>
      <c r="C286" s="18" t="s">
        <v>4175</v>
      </c>
      <c r="D286" s="18" t="s">
        <v>2929</v>
      </c>
      <c r="E286" s="18" t="s">
        <v>3598</v>
      </c>
    </row>
    <row r="287">
      <c r="A287" s="362">
        <v>286.0</v>
      </c>
      <c r="B287" s="18" t="s">
        <v>60</v>
      </c>
      <c r="C287" s="18" t="s">
        <v>4176</v>
      </c>
      <c r="D287" s="18" t="s">
        <v>58</v>
      </c>
      <c r="E287" s="18" t="s">
        <v>3598</v>
      </c>
    </row>
    <row r="288">
      <c r="A288" s="362">
        <v>287.0</v>
      </c>
      <c r="B288" s="18" t="s">
        <v>102</v>
      </c>
      <c r="C288" s="18" t="s">
        <v>4180</v>
      </c>
      <c r="D288" s="18" t="s">
        <v>119</v>
      </c>
      <c r="E288" s="18" t="s">
        <v>3598</v>
      </c>
    </row>
    <row r="289">
      <c r="A289" s="362">
        <v>288.0</v>
      </c>
      <c r="B289" s="18" t="s">
        <v>102</v>
      </c>
      <c r="C289" s="18" t="s">
        <v>4183</v>
      </c>
      <c r="D289" s="18" t="s">
        <v>3596</v>
      </c>
      <c r="E289" s="18" t="s">
        <v>3598</v>
      </c>
    </row>
    <row r="290">
      <c r="A290" s="362">
        <v>289.0</v>
      </c>
      <c r="B290" s="18" t="s">
        <v>60</v>
      </c>
      <c r="C290" s="18" t="s">
        <v>4185</v>
      </c>
      <c r="D290" s="18" t="s">
        <v>1431</v>
      </c>
      <c r="E290" s="18" t="s">
        <v>3598</v>
      </c>
    </row>
    <row r="291">
      <c r="A291" s="362">
        <v>290.0</v>
      </c>
      <c r="B291" s="18" t="s">
        <v>60</v>
      </c>
      <c r="C291" s="18" t="s">
        <v>4189</v>
      </c>
      <c r="D291" s="18" t="s">
        <v>139</v>
      </c>
      <c r="E291" s="18" t="s">
        <v>3598</v>
      </c>
    </row>
    <row r="292">
      <c r="A292" s="362">
        <v>291.0</v>
      </c>
      <c r="B292" s="18" t="s">
        <v>102</v>
      </c>
      <c r="C292" s="18" t="s">
        <v>4190</v>
      </c>
      <c r="D292" s="18" t="s">
        <v>3078</v>
      </c>
      <c r="E292" s="18" t="s">
        <v>3598</v>
      </c>
    </row>
    <row r="293">
      <c r="A293" s="362">
        <v>292.0</v>
      </c>
      <c r="B293" s="18" t="s">
        <v>60</v>
      </c>
      <c r="C293" s="18" t="s">
        <v>4193</v>
      </c>
      <c r="D293" s="18" t="s">
        <v>2929</v>
      </c>
      <c r="E293" s="18" t="s">
        <v>3598</v>
      </c>
    </row>
    <row r="294">
      <c r="A294" s="362">
        <v>293.0</v>
      </c>
      <c r="B294" s="18" t="s">
        <v>60</v>
      </c>
      <c r="C294" s="18" t="s">
        <v>4196</v>
      </c>
      <c r="D294" s="18" t="s">
        <v>58</v>
      </c>
      <c r="E294" s="18" t="s">
        <v>3598</v>
      </c>
    </row>
    <row r="295">
      <c r="A295" s="362">
        <v>294.0</v>
      </c>
      <c r="B295" s="18" t="s">
        <v>60</v>
      </c>
      <c r="C295" s="18" t="s">
        <v>4199</v>
      </c>
      <c r="D295" s="18" t="s">
        <v>187</v>
      </c>
      <c r="E295" s="18" t="s">
        <v>3598</v>
      </c>
    </row>
    <row r="296">
      <c r="A296" s="362">
        <v>295.0</v>
      </c>
      <c r="B296" s="18" t="s">
        <v>60</v>
      </c>
      <c r="C296" s="18" t="s">
        <v>4201</v>
      </c>
      <c r="D296" s="18" t="s">
        <v>139</v>
      </c>
      <c r="E296" s="18" t="s">
        <v>3598</v>
      </c>
    </row>
    <row r="297">
      <c r="A297" s="362">
        <v>296.0</v>
      </c>
      <c r="B297" s="18" t="s">
        <v>60</v>
      </c>
      <c r="C297" s="18" t="s">
        <v>4202</v>
      </c>
      <c r="D297" s="18" t="s">
        <v>187</v>
      </c>
      <c r="E297" s="18" t="s">
        <v>3598</v>
      </c>
    </row>
    <row r="298">
      <c r="A298" s="362">
        <v>297.0</v>
      </c>
      <c r="B298" s="18" t="s">
        <v>60</v>
      </c>
      <c r="C298" s="18" t="s">
        <v>4205</v>
      </c>
      <c r="D298" s="18" t="s">
        <v>1466</v>
      </c>
      <c r="E298" s="18" t="s">
        <v>3598</v>
      </c>
    </row>
    <row r="299">
      <c r="A299" s="362">
        <v>298.0</v>
      </c>
      <c r="B299" s="18" t="s">
        <v>60</v>
      </c>
      <c r="C299" s="18" t="s">
        <v>4206</v>
      </c>
      <c r="D299" s="18" t="s">
        <v>212</v>
      </c>
      <c r="E299" s="18" t="s">
        <v>3598</v>
      </c>
    </row>
    <row r="300">
      <c r="A300" s="362">
        <v>299.0</v>
      </c>
      <c r="B300" s="18" t="s">
        <v>60</v>
      </c>
      <c r="C300" s="18" t="s">
        <v>4207</v>
      </c>
      <c r="D300" s="18" t="s">
        <v>1431</v>
      </c>
      <c r="E300" s="18" t="s">
        <v>3598</v>
      </c>
    </row>
    <row r="301">
      <c r="A301" s="362">
        <v>300.0</v>
      </c>
      <c r="B301" s="18" t="s">
        <v>60</v>
      </c>
      <c r="C301" s="18" t="s">
        <v>4209</v>
      </c>
      <c r="D301" s="18" t="s">
        <v>4210</v>
      </c>
      <c r="E301" s="18" t="s">
        <v>3598</v>
      </c>
    </row>
    <row r="302">
      <c r="A302" s="362">
        <v>301.0</v>
      </c>
      <c r="B302" s="18" t="s">
        <v>60</v>
      </c>
      <c r="C302" s="18" t="s">
        <v>4211</v>
      </c>
      <c r="D302" s="18" t="s">
        <v>3789</v>
      </c>
      <c r="E302" s="18" t="s">
        <v>3598</v>
      </c>
    </row>
    <row r="303">
      <c r="A303" s="362">
        <v>302.0</v>
      </c>
      <c r="B303" s="18" t="s">
        <v>60</v>
      </c>
      <c r="C303" s="18" t="s">
        <v>4215</v>
      </c>
      <c r="D303" s="18" t="s">
        <v>4217</v>
      </c>
      <c r="E303" s="18" t="s">
        <v>3598</v>
      </c>
    </row>
    <row r="304">
      <c r="A304" s="362">
        <v>303.0</v>
      </c>
      <c r="B304" s="18" t="s">
        <v>102</v>
      </c>
      <c r="C304" s="18" t="s">
        <v>4218</v>
      </c>
      <c r="D304" s="18" t="s">
        <v>3789</v>
      </c>
      <c r="E304" s="18" t="s">
        <v>3598</v>
      </c>
    </row>
    <row r="305">
      <c r="A305" s="362">
        <v>304.0</v>
      </c>
      <c r="B305" s="18" t="s">
        <v>102</v>
      </c>
      <c r="C305" s="18" t="s">
        <v>4219</v>
      </c>
      <c r="D305" s="18" t="s">
        <v>1157</v>
      </c>
      <c r="E305" s="18" t="s">
        <v>3598</v>
      </c>
    </row>
    <row r="306">
      <c r="A306" s="362">
        <v>305.0</v>
      </c>
      <c r="B306" s="18" t="s">
        <v>60</v>
      </c>
      <c r="C306" s="18" t="s">
        <v>4220</v>
      </c>
      <c r="D306" s="18" t="s">
        <v>178</v>
      </c>
      <c r="E306" s="18" t="s">
        <v>3598</v>
      </c>
    </row>
    <row r="307">
      <c r="A307" s="362">
        <v>306.0</v>
      </c>
      <c r="B307" s="18" t="s">
        <v>60</v>
      </c>
      <c r="C307" s="18" t="s">
        <v>4221</v>
      </c>
      <c r="D307" s="18" t="s">
        <v>201</v>
      </c>
      <c r="E307" s="18" t="s">
        <v>3598</v>
      </c>
    </row>
    <row r="308">
      <c r="A308" s="362">
        <v>307.0</v>
      </c>
      <c r="B308" s="18" t="s">
        <v>102</v>
      </c>
      <c r="C308" s="18" t="s">
        <v>4222</v>
      </c>
      <c r="D308" s="18" t="s">
        <v>3596</v>
      </c>
      <c r="E308" s="18" t="s">
        <v>3598</v>
      </c>
    </row>
    <row r="309">
      <c r="A309" s="362">
        <v>308.0</v>
      </c>
      <c r="B309" s="18" t="s">
        <v>60</v>
      </c>
      <c r="C309" s="18" t="s">
        <v>4227</v>
      </c>
      <c r="D309" s="18" t="s">
        <v>119</v>
      </c>
      <c r="E309" s="18" t="s">
        <v>3598</v>
      </c>
    </row>
    <row r="310">
      <c r="A310" s="362">
        <v>309.0</v>
      </c>
      <c r="B310" s="18" t="s">
        <v>102</v>
      </c>
      <c r="C310" s="18" t="s">
        <v>4229</v>
      </c>
      <c r="D310" s="18" t="s">
        <v>3596</v>
      </c>
      <c r="E310" s="18" t="s">
        <v>3598</v>
      </c>
    </row>
    <row r="311">
      <c r="A311" s="362">
        <v>310.0</v>
      </c>
      <c r="B311" s="18" t="s">
        <v>102</v>
      </c>
      <c r="C311" s="18" t="s">
        <v>4232</v>
      </c>
      <c r="D311" s="18" t="s">
        <v>4233</v>
      </c>
      <c r="E311" s="18" t="s">
        <v>3598</v>
      </c>
    </row>
    <row r="312">
      <c r="A312" s="362">
        <v>311.0</v>
      </c>
      <c r="B312" s="18" t="s">
        <v>102</v>
      </c>
      <c r="C312" s="18" t="s">
        <v>4234</v>
      </c>
      <c r="D312" s="18" t="s">
        <v>119</v>
      </c>
      <c r="E312" s="18" t="s">
        <v>3598</v>
      </c>
    </row>
    <row r="313">
      <c r="A313" s="362">
        <v>312.0</v>
      </c>
      <c r="B313" s="18" t="s">
        <v>102</v>
      </c>
      <c r="C313" s="18" t="s">
        <v>4235</v>
      </c>
      <c r="D313" s="18" t="s">
        <v>786</v>
      </c>
      <c r="E313" s="18" t="s">
        <v>3598</v>
      </c>
    </row>
    <row r="314">
      <c r="A314" s="362">
        <v>313.0</v>
      </c>
      <c r="B314" s="18" t="s">
        <v>60</v>
      </c>
      <c r="C314" s="18" t="s">
        <v>4238</v>
      </c>
      <c r="D314" s="18" t="s">
        <v>786</v>
      </c>
      <c r="E314" s="18" t="s">
        <v>3598</v>
      </c>
    </row>
    <row r="315">
      <c r="A315" s="362">
        <v>314.0</v>
      </c>
      <c r="B315" s="18" t="s">
        <v>60</v>
      </c>
      <c r="C315" s="18" t="s">
        <v>4239</v>
      </c>
      <c r="D315" s="18" t="s">
        <v>786</v>
      </c>
      <c r="E315" s="18" t="s">
        <v>3598</v>
      </c>
    </row>
    <row r="316">
      <c r="A316" s="362">
        <v>315.0</v>
      </c>
      <c r="B316" s="18" t="s">
        <v>60</v>
      </c>
      <c r="C316" s="18" t="s">
        <v>4242</v>
      </c>
      <c r="D316" s="18" t="s">
        <v>1536</v>
      </c>
      <c r="E316" s="18" t="s">
        <v>3598</v>
      </c>
    </row>
    <row r="317">
      <c r="A317" s="362">
        <v>316.0</v>
      </c>
      <c r="B317" s="18" t="s">
        <v>60</v>
      </c>
      <c r="C317" s="18" t="s">
        <v>4245</v>
      </c>
      <c r="D317" s="18" t="s">
        <v>1536</v>
      </c>
      <c r="E317" s="18" t="s">
        <v>3598</v>
      </c>
    </row>
    <row r="318">
      <c r="A318" s="362">
        <v>317.0</v>
      </c>
      <c r="B318" s="18" t="s">
        <v>60</v>
      </c>
      <c r="C318" s="18" t="s">
        <v>4249</v>
      </c>
      <c r="D318" s="18" t="s">
        <v>1536</v>
      </c>
      <c r="E318" s="18" t="s">
        <v>3598</v>
      </c>
    </row>
    <row r="319">
      <c r="A319" s="362">
        <v>318.0</v>
      </c>
      <c r="B319" s="18" t="s">
        <v>60</v>
      </c>
      <c r="C319" s="18" t="s">
        <v>4252</v>
      </c>
      <c r="D319" s="18" t="s">
        <v>1536</v>
      </c>
      <c r="E319" s="18" t="s">
        <v>3598</v>
      </c>
    </row>
    <row r="320">
      <c r="A320" s="362">
        <v>319.0</v>
      </c>
      <c r="B320" s="18" t="s">
        <v>60</v>
      </c>
      <c r="C320" s="18" t="s">
        <v>4255</v>
      </c>
      <c r="D320" s="18" t="s">
        <v>1536</v>
      </c>
      <c r="E320" s="18" t="s">
        <v>3598</v>
      </c>
    </row>
    <row r="321">
      <c r="A321" s="362">
        <v>320.0</v>
      </c>
      <c r="B321" s="18" t="s">
        <v>102</v>
      </c>
      <c r="C321" s="18" t="s">
        <v>4258</v>
      </c>
      <c r="D321" s="18" t="s">
        <v>4259</v>
      </c>
      <c r="E321" s="18" t="s">
        <v>3598</v>
      </c>
    </row>
    <row r="322">
      <c r="A322" s="362">
        <v>321.0</v>
      </c>
      <c r="B322" s="18" t="s">
        <v>102</v>
      </c>
      <c r="C322" s="18" t="s">
        <v>4260</v>
      </c>
      <c r="D322" s="18" t="s">
        <v>201</v>
      </c>
      <c r="E322" s="18" t="s">
        <v>3598</v>
      </c>
    </row>
    <row r="323">
      <c r="A323" s="362">
        <v>322.0</v>
      </c>
      <c r="B323" s="18" t="s">
        <v>102</v>
      </c>
      <c r="C323" s="18" t="s">
        <v>4263</v>
      </c>
      <c r="D323" s="18" t="s">
        <v>170</v>
      </c>
      <c r="E323" s="18" t="s">
        <v>3598</v>
      </c>
    </row>
    <row r="324">
      <c r="A324" s="362">
        <v>323.0</v>
      </c>
      <c r="B324" s="18" t="s">
        <v>60</v>
      </c>
      <c r="C324" s="18" t="s">
        <v>4265</v>
      </c>
      <c r="D324" s="18" t="s">
        <v>178</v>
      </c>
      <c r="E324" s="18" t="s">
        <v>3598</v>
      </c>
    </row>
    <row r="325">
      <c r="A325" s="362">
        <v>324.0</v>
      </c>
      <c r="B325" s="18" t="s">
        <v>360</v>
      </c>
      <c r="C325" s="18" t="s">
        <v>4269</v>
      </c>
      <c r="D325" s="18" t="s">
        <v>170</v>
      </c>
      <c r="E325" s="18" t="s">
        <v>3598</v>
      </c>
    </row>
    <row r="326">
      <c r="A326" s="362">
        <v>325.0</v>
      </c>
      <c r="B326" s="18" t="s">
        <v>102</v>
      </c>
      <c r="C326" s="18" t="s">
        <v>4270</v>
      </c>
      <c r="D326" s="18" t="s">
        <v>4271</v>
      </c>
      <c r="E326" s="18" t="s">
        <v>3598</v>
      </c>
    </row>
    <row r="327">
      <c r="A327" s="362">
        <v>326.0</v>
      </c>
      <c r="B327" s="18" t="s">
        <v>102</v>
      </c>
      <c r="C327" s="18" t="s">
        <v>2686</v>
      </c>
      <c r="D327" s="18" t="s">
        <v>194</v>
      </c>
      <c r="E327" s="18" t="s">
        <v>3598</v>
      </c>
    </row>
    <row r="328">
      <c r="A328" s="362">
        <v>327.0</v>
      </c>
      <c r="B328" s="18" t="s">
        <v>102</v>
      </c>
      <c r="C328" s="18" t="s">
        <v>4272</v>
      </c>
      <c r="D328" s="18" t="s">
        <v>194</v>
      </c>
      <c r="E328" s="18" t="s">
        <v>3598</v>
      </c>
    </row>
    <row r="329">
      <c r="A329" s="362">
        <v>328.0</v>
      </c>
      <c r="B329" s="18" t="s">
        <v>102</v>
      </c>
      <c r="C329" s="18" t="s">
        <v>4275</v>
      </c>
      <c r="D329" s="18" t="s">
        <v>194</v>
      </c>
      <c r="E329" s="18" t="s">
        <v>3598</v>
      </c>
    </row>
    <row r="330">
      <c r="A330" s="362">
        <v>329.0</v>
      </c>
      <c r="B330" s="18" t="s">
        <v>102</v>
      </c>
      <c r="C330" s="18" t="s">
        <v>4277</v>
      </c>
      <c r="D330" s="18" t="s">
        <v>194</v>
      </c>
      <c r="E330" s="18" t="s">
        <v>3598</v>
      </c>
    </row>
    <row r="331">
      <c r="A331" s="362">
        <v>330.0</v>
      </c>
      <c r="B331" s="18" t="s">
        <v>60</v>
      </c>
      <c r="C331" s="18" t="s">
        <v>4281</v>
      </c>
      <c r="D331" s="18" t="s">
        <v>1466</v>
      </c>
      <c r="E331" s="18" t="s">
        <v>3598</v>
      </c>
    </row>
    <row r="332">
      <c r="A332" s="362">
        <v>331.0</v>
      </c>
      <c r="B332" s="18" t="s">
        <v>60</v>
      </c>
      <c r="C332" s="18" t="s">
        <v>4282</v>
      </c>
      <c r="D332" s="18" t="s">
        <v>3938</v>
      </c>
      <c r="E332" s="18" t="s">
        <v>3598</v>
      </c>
    </row>
    <row r="333">
      <c r="A333" s="362">
        <v>332.0</v>
      </c>
      <c r="B333" s="18" t="s">
        <v>60</v>
      </c>
      <c r="C333" s="18" t="s">
        <v>4285</v>
      </c>
      <c r="D333" s="18" t="s">
        <v>2986</v>
      </c>
      <c r="E333" s="18" t="s">
        <v>3598</v>
      </c>
    </row>
    <row r="334">
      <c r="A334" s="362">
        <v>333.0</v>
      </c>
      <c r="B334" s="18" t="s">
        <v>60</v>
      </c>
      <c r="C334" s="18" t="s">
        <v>4286</v>
      </c>
      <c r="D334" s="18" t="s">
        <v>2919</v>
      </c>
      <c r="E334" s="18" t="s">
        <v>3598</v>
      </c>
    </row>
    <row r="335">
      <c r="A335" s="362">
        <v>334.0</v>
      </c>
      <c r="B335" s="18" t="s">
        <v>60</v>
      </c>
      <c r="C335" s="18" t="s">
        <v>4289</v>
      </c>
      <c r="D335" s="18" t="s">
        <v>3561</v>
      </c>
      <c r="E335" s="18" t="s">
        <v>3598</v>
      </c>
    </row>
    <row r="336">
      <c r="A336" s="362">
        <v>335.0</v>
      </c>
      <c r="B336" s="18" t="s">
        <v>60</v>
      </c>
      <c r="C336" s="18" t="s">
        <v>4290</v>
      </c>
      <c r="D336" s="18" t="s">
        <v>187</v>
      </c>
      <c r="E336" s="18" t="s">
        <v>3598</v>
      </c>
    </row>
    <row r="337">
      <c r="A337" s="362">
        <v>336.0</v>
      </c>
      <c r="B337" s="18" t="s">
        <v>60</v>
      </c>
      <c r="C337" s="18" t="s">
        <v>4293</v>
      </c>
      <c r="D337" s="18" t="s">
        <v>1466</v>
      </c>
      <c r="E337" s="18" t="s">
        <v>3598</v>
      </c>
    </row>
    <row r="338">
      <c r="A338" s="362">
        <v>337.0</v>
      </c>
      <c r="B338" s="18" t="s">
        <v>60</v>
      </c>
      <c r="C338" s="18" t="s">
        <v>4294</v>
      </c>
      <c r="D338" s="18" t="s">
        <v>178</v>
      </c>
      <c r="E338" s="18" t="s">
        <v>3598</v>
      </c>
    </row>
    <row r="339">
      <c r="A339" s="362">
        <v>338.0</v>
      </c>
      <c r="B339" s="18" t="s">
        <v>60</v>
      </c>
      <c r="C339" s="18" t="s">
        <v>4296</v>
      </c>
      <c r="D339" s="18" t="s">
        <v>201</v>
      </c>
      <c r="E339" s="18" t="s">
        <v>3598</v>
      </c>
    </row>
    <row r="340">
      <c r="A340" s="362">
        <v>339.0</v>
      </c>
      <c r="B340" s="18" t="s">
        <v>60</v>
      </c>
      <c r="C340" s="18" t="s">
        <v>4297</v>
      </c>
      <c r="D340" s="18" t="s">
        <v>4298</v>
      </c>
      <c r="E340" s="18" t="s">
        <v>3598</v>
      </c>
    </row>
    <row r="341">
      <c r="A341" s="362">
        <v>340.0</v>
      </c>
      <c r="B341" s="18" t="s">
        <v>504</v>
      </c>
      <c r="C341" s="18" t="s">
        <v>4301</v>
      </c>
      <c r="D341" s="18" t="s">
        <v>2660</v>
      </c>
      <c r="E341" s="18" t="s">
        <v>3598</v>
      </c>
    </row>
    <row r="342">
      <c r="A342" s="362">
        <v>341.0</v>
      </c>
      <c r="B342" s="18" t="s">
        <v>60</v>
      </c>
      <c r="C342" s="18" t="s">
        <v>4305</v>
      </c>
      <c r="D342" s="18" t="s">
        <v>119</v>
      </c>
      <c r="E342" s="18" t="s">
        <v>3598</v>
      </c>
    </row>
    <row r="343">
      <c r="A343" s="362">
        <v>342.0</v>
      </c>
      <c r="B343" s="18" t="s">
        <v>60</v>
      </c>
      <c r="C343" s="18" t="s">
        <v>4307</v>
      </c>
      <c r="D343" s="18" t="s">
        <v>1466</v>
      </c>
      <c r="E343" s="18" t="s">
        <v>3598</v>
      </c>
    </row>
    <row r="344">
      <c r="A344" s="362">
        <v>343.0</v>
      </c>
      <c r="B344" s="18" t="s">
        <v>360</v>
      </c>
      <c r="C344" s="18" t="s">
        <v>4309</v>
      </c>
      <c r="D344" s="18" t="s">
        <v>3761</v>
      </c>
      <c r="E344" s="18" t="s">
        <v>3598</v>
      </c>
    </row>
    <row r="345">
      <c r="A345" s="362">
        <v>344.0</v>
      </c>
      <c r="B345" s="18" t="s">
        <v>102</v>
      </c>
      <c r="C345" s="18" t="s">
        <v>4314</v>
      </c>
      <c r="D345" s="18" t="s">
        <v>119</v>
      </c>
      <c r="E345" s="18" t="s">
        <v>3598</v>
      </c>
    </row>
    <row r="346">
      <c r="A346" s="362">
        <v>345.0</v>
      </c>
      <c r="B346" s="18" t="s">
        <v>60</v>
      </c>
      <c r="C346" s="18" t="s">
        <v>4315</v>
      </c>
      <c r="D346" s="18" t="s">
        <v>119</v>
      </c>
      <c r="E346" s="18" t="s">
        <v>3598</v>
      </c>
    </row>
    <row r="347">
      <c r="A347" s="362">
        <v>346.0</v>
      </c>
      <c r="B347" s="18" t="s">
        <v>60</v>
      </c>
      <c r="C347" s="18" t="s">
        <v>4318</v>
      </c>
      <c r="D347" s="18" t="s">
        <v>139</v>
      </c>
      <c r="E347" s="18" t="s">
        <v>3598</v>
      </c>
    </row>
    <row r="348">
      <c r="A348" s="362">
        <v>347.0</v>
      </c>
      <c r="B348" s="18" t="s">
        <v>60</v>
      </c>
      <c r="C348" s="18" t="s">
        <v>4319</v>
      </c>
      <c r="D348" s="18" t="s">
        <v>302</v>
      </c>
      <c r="E348" s="18" t="s">
        <v>3598</v>
      </c>
    </row>
    <row r="349">
      <c r="A349" s="362">
        <v>348.0</v>
      </c>
      <c r="B349" s="18" t="s">
        <v>60</v>
      </c>
      <c r="C349" s="18" t="s">
        <v>4321</v>
      </c>
      <c r="D349" s="18" t="s">
        <v>178</v>
      </c>
      <c r="E349" s="18" t="s">
        <v>3598</v>
      </c>
    </row>
    <row r="350">
      <c r="A350" s="362">
        <v>349.0</v>
      </c>
      <c r="B350" s="18" t="s">
        <v>60</v>
      </c>
      <c r="C350" s="18" t="s">
        <v>4322</v>
      </c>
      <c r="D350" s="18" t="s">
        <v>786</v>
      </c>
      <c r="E350" s="18" t="s">
        <v>3598</v>
      </c>
    </row>
    <row r="351">
      <c r="A351" s="362">
        <v>350.0</v>
      </c>
      <c r="B351" s="18" t="s">
        <v>60</v>
      </c>
      <c r="C351" s="18" t="s">
        <v>4325</v>
      </c>
      <c r="D351" s="18" t="s">
        <v>302</v>
      </c>
      <c r="E351" s="18" t="s">
        <v>3598</v>
      </c>
    </row>
    <row r="352">
      <c r="A352" s="362">
        <v>351.0</v>
      </c>
      <c r="B352" s="18" t="s">
        <v>102</v>
      </c>
      <c r="C352" s="18" t="s">
        <v>4326</v>
      </c>
      <c r="D352" s="18" t="s">
        <v>170</v>
      </c>
      <c r="E352" s="18" t="s">
        <v>3598</v>
      </c>
    </row>
    <row r="353">
      <c r="A353" s="362">
        <v>352.0</v>
      </c>
      <c r="B353" s="18" t="s">
        <v>102</v>
      </c>
      <c r="C353" s="18" t="s">
        <v>4327</v>
      </c>
      <c r="D353" s="18" t="s">
        <v>194</v>
      </c>
      <c r="E353" s="18" t="s">
        <v>3598</v>
      </c>
    </row>
    <row r="354">
      <c r="A354" s="362">
        <v>353.0</v>
      </c>
      <c r="B354" s="18" t="s">
        <v>102</v>
      </c>
      <c r="C354" s="18" t="s">
        <v>1862</v>
      </c>
      <c r="D354" s="18" t="s">
        <v>178</v>
      </c>
      <c r="E354" s="18" t="s">
        <v>3598</v>
      </c>
    </row>
    <row r="355">
      <c r="A355" s="362">
        <v>354.0</v>
      </c>
      <c r="B355" s="18" t="s">
        <v>60</v>
      </c>
      <c r="C355" s="18" t="s">
        <v>4331</v>
      </c>
      <c r="D355" s="18" t="s">
        <v>178</v>
      </c>
      <c r="E355" s="18" t="s">
        <v>3598</v>
      </c>
    </row>
    <row r="356">
      <c r="A356" s="362">
        <v>355.0</v>
      </c>
      <c r="B356" s="18" t="s">
        <v>102</v>
      </c>
      <c r="C356" s="18" t="s">
        <v>4333</v>
      </c>
      <c r="D356" s="18" t="s">
        <v>1195</v>
      </c>
      <c r="E356" s="18" t="s">
        <v>3598</v>
      </c>
    </row>
    <row r="357">
      <c r="A357" s="362">
        <v>356.0</v>
      </c>
      <c r="B357" s="18" t="s">
        <v>60</v>
      </c>
      <c r="C357" s="18" t="s">
        <v>4336</v>
      </c>
      <c r="D357" s="18" t="s">
        <v>139</v>
      </c>
      <c r="E357" s="18" t="s">
        <v>3598</v>
      </c>
    </row>
    <row r="358">
      <c r="A358" s="362">
        <v>357.0</v>
      </c>
      <c r="B358" s="18" t="s">
        <v>60</v>
      </c>
      <c r="C358" s="18" t="s">
        <v>4337</v>
      </c>
      <c r="D358" s="18" t="s">
        <v>178</v>
      </c>
      <c r="E358" s="18" t="s">
        <v>3598</v>
      </c>
    </row>
    <row r="359">
      <c r="A359" s="362">
        <v>358.0</v>
      </c>
      <c r="B359" s="18" t="s">
        <v>60</v>
      </c>
      <c r="C359" s="18" t="s">
        <v>4339</v>
      </c>
      <c r="D359" s="18" t="s">
        <v>1345</v>
      </c>
      <c r="E359" s="18" t="s">
        <v>3598</v>
      </c>
    </row>
    <row r="360">
      <c r="A360" s="362">
        <v>359.0</v>
      </c>
      <c r="B360" s="18" t="s">
        <v>60</v>
      </c>
      <c r="C360" s="18" t="s">
        <v>4341</v>
      </c>
      <c r="D360" s="18" t="s">
        <v>786</v>
      </c>
      <c r="E360" s="18" t="s">
        <v>3598</v>
      </c>
    </row>
    <row r="361">
      <c r="A361" s="362">
        <v>360.0</v>
      </c>
      <c r="B361" s="18" t="s">
        <v>60</v>
      </c>
      <c r="C361" s="18" t="s">
        <v>4342</v>
      </c>
      <c r="D361" s="18" t="s">
        <v>139</v>
      </c>
      <c r="E361" s="18" t="s">
        <v>3598</v>
      </c>
    </row>
    <row r="362">
      <c r="A362" s="362">
        <v>361.0</v>
      </c>
      <c r="B362" s="18" t="s">
        <v>102</v>
      </c>
      <c r="C362" s="18" t="s">
        <v>4343</v>
      </c>
      <c r="D362" s="18" t="s">
        <v>4345</v>
      </c>
      <c r="E362" s="18" t="s">
        <v>3598</v>
      </c>
    </row>
    <row r="363">
      <c r="A363" s="362">
        <v>362.0</v>
      </c>
      <c r="B363" s="18" t="s">
        <v>60</v>
      </c>
      <c r="C363" s="18" t="s">
        <v>4346</v>
      </c>
      <c r="D363" s="18" t="s">
        <v>331</v>
      </c>
      <c r="E363" s="18" t="s">
        <v>3598</v>
      </c>
    </row>
    <row r="364">
      <c r="A364" s="362">
        <v>363.0</v>
      </c>
      <c r="B364" s="18" t="s">
        <v>62</v>
      </c>
      <c r="C364" s="18" t="s">
        <v>4347</v>
      </c>
      <c r="D364" s="18" t="s">
        <v>4349</v>
      </c>
      <c r="E364" s="18" t="s">
        <v>3598</v>
      </c>
    </row>
    <row r="365">
      <c r="A365" s="362">
        <v>364.0</v>
      </c>
      <c r="B365" s="18" t="s">
        <v>60</v>
      </c>
      <c r="C365" s="18" t="s">
        <v>4350</v>
      </c>
      <c r="D365" s="18" t="s">
        <v>1431</v>
      </c>
      <c r="E365" s="18" t="s">
        <v>3598</v>
      </c>
    </row>
    <row r="366">
      <c r="A366" s="362">
        <v>365.0</v>
      </c>
      <c r="B366" s="18" t="s">
        <v>60</v>
      </c>
      <c r="C366" s="18" t="s">
        <v>4356</v>
      </c>
      <c r="D366" s="18" t="s">
        <v>201</v>
      </c>
      <c r="E366" s="18" t="s">
        <v>3598</v>
      </c>
    </row>
    <row r="367">
      <c r="A367" s="362">
        <v>366.0</v>
      </c>
      <c r="B367" s="18" t="s">
        <v>1144</v>
      </c>
      <c r="C367" s="18" t="s">
        <v>4357</v>
      </c>
      <c r="D367" s="18" t="s">
        <v>119</v>
      </c>
      <c r="E367" s="18" t="s">
        <v>3598</v>
      </c>
    </row>
    <row r="368">
      <c r="A368" s="362">
        <v>367.0</v>
      </c>
      <c r="B368" s="18" t="s">
        <v>102</v>
      </c>
      <c r="C368" s="18" t="s">
        <v>4361</v>
      </c>
      <c r="D368" s="18" t="s">
        <v>1157</v>
      </c>
      <c r="E368" s="18" t="s">
        <v>3598</v>
      </c>
    </row>
    <row r="369">
      <c r="A369" s="362">
        <v>368.0</v>
      </c>
      <c r="B369" s="18" t="s">
        <v>102</v>
      </c>
      <c r="C369" s="18" t="s">
        <v>4362</v>
      </c>
      <c r="D369" s="18" t="s">
        <v>178</v>
      </c>
      <c r="E369" s="18" t="s">
        <v>3598</v>
      </c>
    </row>
    <row r="370">
      <c r="A370" s="362">
        <v>369.0</v>
      </c>
      <c r="B370" s="18" t="s">
        <v>60</v>
      </c>
      <c r="C370" s="18" t="s">
        <v>4365</v>
      </c>
      <c r="D370" s="18" t="s">
        <v>331</v>
      </c>
      <c r="E370" s="18" t="s">
        <v>3598</v>
      </c>
    </row>
    <row r="371">
      <c r="A371" s="362">
        <v>370.0</v>
      </c>
      <c r="B371" s="18" t="s">
        <v>326</v>
      </c>
      <c r="C371" s="18" t="s">
        <v>4368</v>
      </c>
      <c r="D371" s="18" t="s">
        <v>4369</v>
      </c>
      <c r="E371" s="18" t="s">
        <v>3598</v>
      </c>
    </row>
    <row r="372">
      <c r="A372" s="362">
        <v>371.0</v>
      </c>
      <c r="B372" s="18" t="s">
        <v>504</v>
      </c>
      <c r="C372" s="18" t="s">
        <v>4372</v>
      </c>
      <c r="D372" s="18" t="s">
        <v>178</v>
      </c>
      <c r="E372" s="18" t="s">
        <v>3598</v>
      </c>
    </row>
    <row r="373">
      <c r="A373" s="362">
        <v>372.0</v>
      </c>
      <c r="B373" s="18" t="s">
        <v>102</v>
      </c>
      <c r="C373" s="18" t="s">
        <v>4373</v>
      </c>
      <c r="D373" s="18" t="s">
        <v>499</v>
      </c>
      <c r="E373" s="18" t="s">
        <v>3598</v>
      </c>
    </row>
    <row r="374">
      <c r="A374" s="362">
        <v>373.0</v>
      </c>
      <c r="B374" s="18" t="s">
        <v>102</v>
      </c>
      <c r="C374" s="18" t="s">
        <v>4374</v>
      </c>
      <c r="D374" s="18" t="s">
        <v>4375</v>
      </c>
      <c r="E374" s="18" t="s">
        <v>3598</v>
      </c>
    </row>
    <row r="375">
      <c r="A375" s="362">
        <v>374.0</v>
      </c>
      <c r="B375" s="18" t="s">
        <v>102</v>
      </c>
      <c r="C375" s="18" t="s">
        <v>4376</v>
      </c>
      <c r="D375" s="18" t="s">
        <v>4378</v>
      </c>
      <c r="E375" s="18" t="s">
        <v>3598</v>
      </c>
    </row>
    <row r="376">
      <c r="A376" s="362">
        <v>375.0</v>
      </c>
      <c r="B376" s="18" t="s">
        <v>360</v>
      </c>
      <c r="C376" s="18" t="s">
        <v>4382</v>
      </c>
      <c r="D376" s="18" t="s">
        <v>119</v>
      </c>
      <c r="E376" s="18" t="s">
        <v>3598</v>
      </c>
    </row>
    <row r="377">
      <c r="A377" s="362">
        <v>376.0</v>
      </c>
      <c r="B377" s="18" t="s">
        <v>102</v>
      </c>
      <c r="C377" s="18" t="s">
        <v>4384</v>
      </c>
      <c r="D377" s="18" t="s">
        <v>331</v>
      </c>
      <c r="E377" s="18" t="s">
        <v>3598</v>
      </c>
    </row>
    <row r="378">
      <c r="A378" s="362">
        <v>377.0</v>
      </c>
      <c r="B378" s="18" t="s">
        <v>60</v>
      </c>
      <c r="C378" s="18" t="s">
        <v>4386</v>
      </c>
      <c r="D378" s="18" t="s">
        <v>201</v>
      </c>
      <c r="E378" s="18" t="s">
        <v>3598</v>
      </c>
    </row>
    <row r="379">
      <c r="A379" s="362">
        <v>378.0</v>
      </c>
      <c r="B379" s="18" t="s">
        <v>102</v>
      </c>
      <c r="C379" s="18" t="s">
        <v>4387</v>
      </c>
      <c r="D379" s="18" t="s">
        <v>1157</v>
      </c>
      <c r="E379" s="18" t="s">
        <v>3598</v>
      </c>
    </row>
    <row r="380">
      <c r="A380" s="362">
        <v>379.0</v>
      </c>
      <c r="B380" s="18" t="s">
        <v>62</v>
      </c>
      <c r="C380" s="18" t="s">
        <v>4389</v>
      </c>
      <c r="D380" s="18" t="s">
        <v>4390</v>
      </c>
      <c r="E380" s="18" t="s">
        <v>3598</v>
      </c>
    </row>
    <row r="381">
      <c r="A381" s="362">
        <v>380.0</v>
      </c>
      <c r="B381" s="18" t="s">
        <v>36</v>
      </c>
      <c r="C381" s="18" t="s">
        <v>4391</v>
      </c>
      <c r="D381" s="18" t="s">
        <v>170</v>
      </c>
      <c r="E381" s="18" t="s">
        <v>3598</v>
      </c>
    </row>
    <row r="382">
      <c r="A382" s="362">
        <v>381.0</v>
      </c>
      <c r="B382" s="18" t="s">
        <v>102</v>
      </c>
      <c r="C382" s="18" t="s">
        <v>4394</v>
      </c>
      <c r="D382" s="18" t="s">
        <v>1466</v>
      </c>
      <c r="E382" s="18" t="s">
        <v>3598</v>
      </c>
    </row>
    <row r="383">
      <c r="A383" s="362">
        <v>382.0</v>
      </c>
      <c r="B383" s="18" t="s">
        <v>102</v>
      </c>
      <c r="C383" s="18" t="s">
        <v>4395</v>
      </c>
      <c r="D383" s="18" t="s">
        <v>1195</v>
      </c>
      <c r="E383" s="18" t="s">
        <v>3598</v>
      </c>
    </row>
    <row r="384">
      <c r="A384" s="362">
        <v>383.0</v>
      </c>
      <c r="B384" s="18" t="s">
        <v>102</v>
      </c>
      <c r="C384" s="18" t="s">
        <v>4396</v>
      </c>
      <c r="D384" s="18" t="s">
        <v>178</v>
      </c>
      <c r="E384" s="18" t="s">
        <v>3598</v>
      </c>
    </row>
    <row r="385">
      <c r="A385" s="362">
        <v>384.0</v>
      </c>
      <c r="B385" s="18" t="s">
        <v>102</v>
      </c>
      <c r="C385" s="18" t="s">
        <v>4401</v>
      </c>
      <c r="D385" s="18" t="s">
        <v>119</v>
      </c>
      <c r="E385" s="18" t="s">
        <v>3598</v>
      </c>
    </row>
    <row r="386">
      <c r="A386" s="362">
        <v>385.0</v>
      </c>
      <c r="B386" s="18" t="s">
        <v>36</v>
      </c>
      <c r="C386" s="18" t="s">
        <v>4402</v>
      </c>
      <c r="D386" s="18" t="s">
        <v>3133</v>
      </c>
      <c r="E386" s="18" t="s">
        <v>3598</v>
      </c>
    </row>
    <row r="387">
      <c r="A387" s="362">
        <v>386.0</v>
      </c>
      <c r="B387" s="18" t="s">
        <v>360</v>
      </c>
      <c r="C387" s="18" t="s">
        <v>4405</v>
      </c>
      <c r="D387" s="18" t="s">
        <v>178</v>
      </c>
      <c r="E387" s="18" t="s">
        <v>3598</v>
      </c>
    </row>
    <row r="388">
      <c r="A388" s="362">
        <v>387.0</v>
      </c>
      <c r="B388" s="18" t="s">
        <v>326</v>
      </c>
      <c r="C388" s="18" t="s">
        <v>4408</v>
      </c>
      <c r="D388" s="18" t="s">
        <v>1466</v>
      </c>
      <c r="E388" s="18" t="s">
        <v>3598</v>
      </c>
    </row>
    <row r="389">
      <c r="A389" s="362">
        <v>388.0</v>
      </c>
      <c r="B389" s="18" t="s">
        <v>102</v>
      </c>
      <c r="C389" s="18" t="s">
        <v>4410</v>
      </c>
      <c r="D389" s="18" t="s">
        <v>178</v>
      </c>
      <c r="E389" s="18" t="s">
        <v>3598</v>
      </c>
    </row>
    <row r="390">
      <c r="A390" s="362">
        <v>389.0</v>
      </c>
      <c r="B390" s="18" t="s">
        <v>102</v>
      </c>
      <c r="C390" s="18" t="s">
        <v>4411</v>
      </c>
      <c r="D390" s="18" t="s">
        <v>178</v>
      </c>
      <c r="E390" s="18" t="s">
        <v>3598</v>
      </c>
    </row>
    <row r="391">
      <c r="A391" s="362">
        <v>390.0</v>
      </c>
      <c r="B391" s="18" t="s">
        <v>60</v>
      </c>
      <c r="C391" s="18" t="s">
        <v>4415</v>
      </c>
      <c r="D391" s="18" t="s">
        <v>201</v>
      </c>
      <c r="E391" s="18" t="s">
        <v>3598</v>
      </c>
    </row>
    <row r="392">
      <c r="A392" s="362">
        <v>391.0</v>
      </c>
      <c r="B392" s="18" t="s">
        <v>60</v>
      </c>
      <c r="C392" s="18" t="s">
        <v>4416</v>
      </c>
      <c r="D392" s="18" t="s">
        <v>331</v>
      </c>
      <c r="E392" s="18" t="s">
        <v>3598</v>
      </c>
    </row>
    <row r="393">
      <c r="A393" s="362">
        <v>392.0</v>
      </c>
      <c r="B393" s="18" t="s">
        <v>102</v>
      </c>
      <c r="C393" s="18" t="s">
        <v>4419</v>
      </c>
      <c r="D393" s="18" t="s">
        <v>163</v>
      </c>
      <c r="E393" s="18" t="s">
        <v>3598</v>
      </c>
    </row>
    <row r="394">
      <c r="A394" s="362">
        <v>393.0</v>
      </c>
      <c r="B394" s="18" t="s">
        <v>102</v>
      </c>
      <c r="C394" s="18" t="s">
        <v>4421</v>
      </c>
      <c r="D394" s="18" t="s">
        <v>4378</v>
      </c>
      <c r="E394" s="18" t="s">
        <v>3598</v>
      </c>
    </row>
    <row r="395">
      <c r="A395" s="362">
        <v>394.0</v>
      </c>
      <c r="B395" s="18" t="s">
        <v>102</v>
      </c>
      <c r="C395" s="18" t="s">
        <v>4423</v>
      </c>
      <c r="D395" s="18" t="s">
        <v>178</v>
      </c>
      <c r="E395" s="18" t="s">
        <v>3598</v>
      </c>
    </row>
    <row r="396">
      <c r="A396" s="362">
        <v>395.0</v>
      </c>
      <c r="B396" s="18" t="s">
        <v>360</v>
      </c>
      <c r="C396" s="18" t="s">
        <v>4425</v>
      </c>
      <c r="D396" s="18" t="s">
        <v>4426</v>
      </c>
      <c r="E396" s="18" t="s">
        <v>3598</v>
      </c>
    </row>
    <row r="397">
      <c r="A397" s="362">
        <v>396.0</v>
      </c>
      <c r="B397" s="18" t="s">
        <v>60</v>
      </c>
      <c r="C397" s="18" t="s">
        <v>4429</v>
      </c>
      <c r="D397" s="18" t="s">
        <v>331</v>
      </c>
      <c r="E397" s="18" t="s">
        <v>3598</v>
      </c>
    </row>
    <row r="398">
      <c r="A398" s="362">
        <v>397.0</v>
      </c>
      <c r="B398" s="18" t="s">
        <v>360</v>
      </c>
      <c r="C398" s="18" t="s">
        <v>4432</v>
      </c>
      <c r="D398" s="18" t="s">
        <v>178</v>
      </c>
      <c r="E398" s="18" t="s">
        <v>3598</v>
      </c>
    </row>
    <row r="399">
      <c r="A399" s="362">
        <v>398.0</v>
      </c>
      <c r="B399" s="18" t="s">
        <v>102</v>
      </c>
      <c r="C399" s="18" t="s">
        <v>4433</v>
      </c>
      <c r="D399" s="18" t="s">
        <v>4378</v>
      </c>
      <c r="E399" s="18" t="s">
        <v>3598</v>
      </c>
    </row>
    <row r="400">
      <c r="A400" s="362">
        <v>399.0</v>
      </c>
      <c r="B400" s="18" t="s">
        <v>102</v>
      </c>
      <c r="C400" s="18" t="s">
        <v>4436</v>
      </c>
      <c r="D400" s="18" t="s">
        <v>4378</v>
      </c>
      <c r="E400" s="18" t="s">
        <v>3598</v>
      </c>
    </row>
    <row r="401">
      <c r="A401" s="362">
        <v>400.0</v>
      </c>
      <c r="B401" s="18" t="s">
        <v>326</v>
      </c>
      <c r="C401" s="18" t="s">
        <v>4437</v>
      </c>
      <c r="D401" s="18" t="s">
        <v>331</v>
      </c>
      <c r="E401" s="18" t="s">
        <v>3598</v>
      </c>
    </row>
    <row r="402">
      <c r="A402" s="362">
        <v>401.0</v>
      </c>
      <c r="B402" s="18" t="s">
        <v>102</v>
      </c>
      <c r="C402" s="18" t="s">
        <v>4441</v>
      </c>
      <c r="D402" s="18" t="s">
        <v>4378</v>
      </c>
      <c r="E402" s="18" t="s">
        <v>3598</v>
      </c>
    </row>
    <row r="403">
      <c r="A403" s="362">
        <v>402.0</v>
      </c>
      <c r="B403" s="18" t="s">
        <v>60</v>
      </c>
      <c r="C403" s="18" t="s">
        <v>4446</v>
      </c>
      <c r="D403" s="18" t="s">
        <v>331</v>
      </c>
      <c r="E403" s="18" t="s">
        <v>3598</v>
      </c>
    </row>
    <row r="404">
      <c r="A404" s="362">
        <v>403.0</v>
      </c>
      <c r="B404" s="18" t="s">
        <v>102</v>
      </c>
      <c r="C404" s="18" t="s">
        <v>4448</v>
      </c>
      <c r="D404" s="18" t="s">
        <v>163</v>
      </c>
      <c r="E404" s="18" t="s">
        <v>3598</v>
      </c>
    </row>
    <row r="405">
      <c r="A405" s="362">
        <v>404.0</v>
      </c>
      <c r="B405" s="18" t="s">
        <v>60</v>
      </c>
      <c r="C405" s="18" t="s">
        <v>4449</v>
      </c>
      <c r="D405" s="18" t="s">
        <v>4450</v>
      </c>
      <c r="E405" s="18" t="s">
        <v>3598</v>
      </c>
    </row>
    <row r="406">
      <c r="A406" s="362">
        <v>405.0</v>
      </c>
      <c r="B406" s="18" t="s">
        <v>102</v>
      </c>
      <c r="C406" s="18" t="s">
        <v>4454</v>
      </c>
      <c r="D406" s="18" t="s">
        <v>4378</v>
      </c>
      <c r="E406" s="18" t="s">
        <v>3598</v>
      </c>
    </row>
    <row r="407">
      <c r="A407" s="362">
        <v>406.0</v>
      </c>
      <c r="B407" s="18" t="s">
        <v>504</v>
      </c>
      <c r="C407" s="18" t="s">
        <v>4455</v>
      </c>
      <c r="D407" s="18" t="s">
        <v>119</v>
      </c>
      <c r="E407" s="18" t="s">
        <v>3598</v>
      </c>
    </row>
    <row r="408">
      <c r="A408" s="362">
        <v>407.0</v>
      </c>
      <c r="B408" s="18" t="s">
        <v>360</v>
      </c>
      <c r="C408" s="18" t="s">
        <v>4457</v>
      </c>
      <c r="D408" s="18" t="s">
        <v>4345</v>
      </c>
      <c r="E408" s="18" t="s">
        <v>3598</v>
      </c>
    </row>
    <row r="409">
      <c r="A409" s="362">
        <v>408.0</v>
      </c>
      <c r="B409" s="18" t="s">
        <v>326</v>
      </c>
      <c r="C409" s="18" t="s">
        <v>4461</v>
      </c>
      <c r="D409" s="18" t="s">
        <v>201</v>
      </c>
      <c r="E409" s="18" t="s">
        <v>3598</v>
      </c>
    </row>
    <row r="410">
      <c r="A410" s="362">
        <v>409.0</v>
      </c>
      <c r="B410" s="18" t="s">
        <v>143</v>
      </c>
      <c r="C410" s="18" t="s">
        <v>4463</v>
      </c>
      <c r="D410" s="18" t="s">
        <v>4464</v>
      </c>
      <c r="E410" s="18" t="s">
        <v>3598</v>
      </c>
    </row>
    <row r="411">
      <c r="A411" s="362">
        <v>410.0</v>
      </c>
      <c r="B411" s="18" t="s">
        <v>102</v>
      </c>
      <c r="C411" s="18" t="s">
        <v>4465</v>
      </c>
      <c r="D411" s="18" t="s">
        <v>4378</v>
      </c>
      <c r="E411" s="18" t="s">
        <v>3598</v>
      </c>
    </row>
    <row r="412">
      <c r="A412" s="362">
        <v>411.0</v>
      </c>
      <c r="B412" s="18" t="s">
        <v>60</v>
      </c>
      <c r="C412" s="18" t="s">
        <v>4466</v>
      </c>
      <c r="D412" s="18" t="s">
        <v>331</v>
      </c>
      <c r="E412" s="18" t="s">
        <v>3598</v>
      </c>
    </row>
    <row r="413">
      <c r="A413" s="362">
        <v>412.0</v>
      </c>
      <c r="B413" s="18" t="s">
        <v>326</v>
      </c>
      <c r="C413" s="18" t="s">
        <v>4468</v>
      </c>
      <c r="D413" s="18" t="s">
        <v>1466</v>
      </c>
      <c r="E413" s="18" t="s">
        <v>3598</v>
      </c>
    </row>
    <row r="414">
      <c r="A414" s="362">
        <v>413.0</v>
      </c>
      <c r="B414" s="18" t="s">
        <v>60</v>
      </c>
      <c r="C414" s="18" t="s">
        <v>4470</v>
      </c>
      <c r="D414" s="18" t="s">
        <v>4210</v>
      </c>
      <c r="E414" s="18" t="s">
        <v>3598</v>
      </c>
    </row>
    <row r="415">
      <c r="A415" s="362">
        <v>414.0</v>
      </c>
      <c r="B415" s="18" t="s">
        <v>62</v>
      </c>
      <c r="C415" s="18" t="s">
        <v>4472</v>
      </c>
      <c r="D415" s="18" t="s">
        <v>4473</v>
      </c>
      <c r="E415" s="18" t="s">
        <v>3598</v>
      </c>
    </row>
    <row r="416">
      <c r="A416" s="362">
        <v>415.0</v>
      </c>
      <c r="B416" s="18" t="s">
        <v>60</v>
      </c>
      <c r="C416" s="18" t="s">
        <v>4474</v>
      </c>
      <c r="D416" s="18" t="s">
        <v>331</v>
      </c>
      <c r="E416" s="18" t="s">
        <v>3598</v>
      </c>
    </row>
    <row r="417">
      <c r="A417" s="362">
        <v>416.0</v>
      </c>
      <c r="B417" s="18" t="s">
        <v>60</v>
      </c>
      <c r="C417" s="18" t="s">
        <v>4477</v>
      </c>
      <c r="D417" s="18" t="s">
        <v>201</v>
      </c>
      <c r="E417" s="18" t="s">
        <v>3598</v>
      </c>
    </row>
    <row r="418">
      <c r="A418" s="362">
        <v>417.0</v>
      </c>
      <c r="B418" s="18" t="s">
        <v>102</v>
      </c>
      <c r="C418" s="18" t="s">
        <v>4479</v>
      </c>
      <c r="D418" s="18" t="s">
        <v>331</v>
      </c>
      <c r="E418" s="18" t="s">
        <v>3598</v>
      </c>
    </row>
    <row r="419">
      <c r="A419" s="362">
        <v>418.0</v>
      </c>
      <c r="B419" s="18" t="s">
        <v>102</v>
      </c>
      <c r="C419" s="18" t="s">
        <v>4480</v>
      </c>
      <c r="D419" s="18" t="s">
        <v>4378</v>
      </c>
      <c r="E419" s="18" t="s">
        <v>3598</v>
      </c>
    </row>
    <row r="420">
      <c r="A420" s="362">
        <v>419.0</v>
      </c>
      <c r="B420" s="18" t="s">
        <v>326</v>
      </c>
      <c r="C420" s="18" t="s">
        <v>4482</v>
      </c>
      <c r="D420" s="18" t="s">
        <v>1466</v>
      </c>
      <c r="E420" s="18" t="s">
        <v>3598</v>
      </c>
    </row>
    <row r="421">
      <c r="A421" s="362">
        <v>420.0</v>
      </c>
      <c r="B421" s="18" t="s">
        <v>60</v>
      </c>
      <c r="C421" s="18" t="s">
        <v>4487</v>
      </c>
      <c r="D421" s="18" t="s">
        <v>1466</v>
      </c>
      <c r="E421" s="18" t="s">
        <v>3598</v>
      </c>
    </row>
    <row r="422">
      <c r="A422" s="362">
        <v>421.0</v>
      </c>
      <c r="B422" s="18" t="s">
        <v>360</v>
      </c>
      <c r="C422" s="18" t="s">
        <v>4488</v>
      </c>
      <c r="D422" s="18" t="s">
        <v>178</v>
      </c>
      <c r="E422" s="18" t="s">
        <v>3598</v>
      </c>
    </row>
    <row r="423">
      <c r="A423" s="362">
        <v>422.0</v>
      </c>
      <c r="B423" s="18" t="s">
        <v>102</v>
      </c>
      <c r="C423" s="18" t="s">
        <v>4489</v>
      </c>
      <c r="D423" s="18" t="s">
        <v>178</v>
      </c>
      <c r="E423" s="18" t="s">
        <v>3598</v>
      </c>
    </row>
    <row r="424">
      <c r="A424" s="362">
        <v>423.0</v>
      </c>
      <c r="B424" s="18" t="s">
        <v>326</v>
      </c>
      <c r="C424" s="18" t="s">
        <v>4493</v>
      </c>
      <c r="D424" s="18" t="s">
        <v>4369</v>
      </c>
      <c r="E424" s="18" t="s">
        <v>3598</v>
      </c>
    </row>
    <row r="425">
      <c r="A425" s="362">
        <v>424.0</v>
      </c>
      <c r="B425" s="18" t="s">
        <v>326</v>
      </c>
      <c r="C425" s="18" t="s">
        <v>4495</v>
      </c>
      <c r="D425" s="18" t="s">
        <v>295</v>
      </c>
      <c r="E425" s="18" t="s">
        <v>3598</v>
      </c>
    </row>
    <row r="426">
      <c r="A426" s="362">
        <v>425.0</v>
      </c>
      <c r="B426" s="18" t="s">
        <v>504</v>
      </c>
      <c r="C426" s="18" t="s">
        <v>4498</v>
      </c>
      <c r="D426" s="18" t="s">
        <v>178</v>
      </c>
      <c r="E426" s="18" t="s">
        <v>3598</v>
      </c>
    </row>
    <row r="427">
      <c r="A427" s="362">
        <v>426.0</v>
      </c>
      <c r="B427" s="18" t="s">
        <v>360</v>
      </c>
      <c r="C427" s="18" t="s">
        <v>4500</v>
      </c>
      <c r="D427" s="18" t="s">
        <v>4378</v>
      </c>
      <c r="E427" s="18" t="s">
        <v>3598</v>
      </c>
    </row>
    <row r="428">
      <c r="A428" s="362">
        <v>427.0</v>
      </c>
      <c r="B428" s="18" t="s">
        <v>102</v>
      </c>
      <c r="C428" s="18" t="s">
        <v>4503</v>
      </c>
      <c r="D428" s="18" t="s">
        <v>178</v>
      </c>
      <c r="E428" s="18" t="s">
        <v>3598</v>
      </c>
    </row>
    <row r="429">
      <c r="A429" s="362">
        <v>428.0</v>
      </c>
      <c r="B429" s="18" t="s">
        <v>326</v>
      </c>
      <c r="C429" s="18" t="s">
        <v>4505</v>
      </c>
      <c r="D429" s="18" t="s">
        <v>1466</v>
      </c>
      <c r="E429" s="18" t="s">
        <v>3598</v>
      </c>
    </row>
    <row r="430">
      <c r="A430" s="362">
        <v>429.0</v>
      </c>
      <c r="B430" s="18" t="s">
        <v>326</v>
      </c>
      <c r="C430" s="18" t="s">
        <v>4508</v>
      </c>
      <c r="D430" s="18" t="s">
        <v>1466</v>
      </c>
      <c r="E430" s="18" t="s">
        <v>3598</v>
      </c>
    </row>
    <row r="431">
      <c r="A431" s="362">
        <v>430.0</v>
      </c>
      <c r="B431" s="18" t="s">
        <v>363</v>
      </c>
      <c r="C431" s="18" t="s">
        <v>4512</v>
      </c>
      <c r="D431" s="18" t="s">
        <v>4114</v>
      </c>
      <c r="E431" s="18" t="s">
        <v>3598</v>
      </c>
    </row>
    <row r="432">
      <c r="A432" s="362">
        <v>431.0</v>
      </c>
      <c r="B432" s="18" t="s">
        <v>360</v>
      </c>
      <c r="C432" s="18" t="s">
        <v>4516</v>
      </c>
      <c r="D432" s="18" t="s">
        <v>170</v>
      </c>
      <c r="E432" s="18" t="s">
        <v>3598</v>
      </c>
    </row>
    <row r="433">
      <c r="A433" s="362">
        <v>432.0</v>
      </c>
      <c r="B433" s="18" t="s">
        <v>102</v>
      </c>
      <c r="C433" s="18" t="s">
        <v>4517</v>
      </c>
      <c r="D433" s="18" t="s">
        <v>4378</v>
      </c>
      <c r="E433" s="18" t="s">
        <v>3598</v>
      </c>
    </row>
    <row r="434">
      <c r="A434" s="362">
        <v>433.0</v>
      </c>
      <c r="B434" s="18" t="s">
        <v>102</v>
      </c>
      <c r="C434" s="18" t="s">
        <v>4521</v>
      </c>
      <c r="D434" s="18" t="s">
        <v>4522</v>
      </c>
      <c r="E434" s="18" t="s">
        <v>3598</v>
      </c>
    </row>
    <row r="435">
      <c r="A435" s="362">
        <v>434.0</v>
      </c>
      <c r="B435" s="18" t="s">
        <v>102</v>
      </c>
      <c r="C435" s="18" t="s">
        <v>4523</v>
      </c>
      <c r="D435" s="18" t="s">
        <v>570</v>
      </c>
      <c r="E435" s="18" t="s">
        <v>3598</v>
      </c>
    </row>
    <row r="436">
      <c r="A436" s="362">
        <v>435.0</v>
      </c>
      <c r="B436" s="18" t="s">
        <v>326</v>
      </c>
      <c r="C436" s="18" t="s">
        <v>4524</v>
      </c>
      <c r="D436" s="18" t="s">
        <v>4525</v>
      </c>
      <c r="E436" s="18" t="s">
        <v>3598</v>
      </c>
    </row>
    <row r="437">
      <c r="A437" s="362">
        <v>436.0</v>
      </c>
      <c r="B437" s="18" t="s">
        <v>102</v>
      </c>
      <c r="C437" s="18" t="s">
        <v>4528</v>
      </c>
      <c r="D437" s="18" t="s">
        <v>1466</v>
      </c>
      <c r="E437" s="18" t="s">
        <v>3598</v>
      </c>
    </row>
    <row r="438">
      <c r="A438" s="362">
        <v>437.0</v>
      </c>
      <c r="B438" s="18" t="s">
        <v>143</v>
      </c>
      <c r="C438" s="18" t="s">
        <v>4531</v>
      </c>
      <c r="D438" s="18" t="s">
        <v>4533</v>
      </c>
      <c r="E438" s="18" t="s">
        <v>3598</v>
      </c>
    </row>
    <row r="439">
      <c r="A439" s="362">
        <v>438.0</v>
      </c>
      <c r="B439" s="18" t="s">
        <v>60</v>
      </c>
      <c r="C439" s="18" t="s">
        <v>4534</v>
      </c>
      <c r="D439" s="18" t="s">
        <v>201</v>
      </c>
      <c r="E439" s="18" t="s">
        <v>3598</v>
      </c>
    </row>
    <row r="440">
      <c r="A440" s="362">
        <v>439.0</v>
      </c>
      <c r="B440" s="18" t="s">
        <v>60</v>
      </c>
      <c r="C440" s="18" t="s">
        <v>4537</v>
      </c>
      <c r="D440" s="18" t="s">
        <v>331</v>
      </c>
      <c r="E440" s="18" t="s">
        <v>3598</v>
      </c>
    </row>
    <row r="441">
      <c r="A441" s="362">
        <v>440.0</v>
      </c>
      <c r="B441" s="18" t="s">
        <v>102</v>
      </c>
      <c r="C441" s="18" t="s">
        <v>4539</v>
      </c>
      <c r="D441" s="18" t="s">
        <v>570</v>
      </c>
      <c r="E441" s="18" t="s">
        <v>3598</v>
      </c>
    </row>
    <row r="442">
      <c r="A442" s="362">
        <v>441.0</v>
      </c>
      <c r="B442" s="18" t="s">
        <v>326</v>
      </c>
      <c r="C442" s="18" t="s">
        <v>4541</v>
      </c>
      <c r="D442" s="18" t="s">
        <v>295</v>
      </c>
      <c r="E442" s="18" t="s">
        <v>3598</v>
      </c>
    </row>
    <row r="443">
      <c r="A443" s="362">
        <v>442.0</v>
      </c>
      <c r="B443" s="18" t="s">
        <v>326</v>
      </c>
      <c r="C443" s="18" t="s">
        <v>4542</v>
      </c>
      <c r="D443" s="18" t="s">
        <v>331</v>
      </c>
      <c r="E443" s="18" t="s">
        <v>3598</v>
      </c>
    </row>
    <row r="444">
      <c r="A444" s="362">
        <v>443.0</v>
      </c>
      <c r="B444" s="18" t="s">
        <v>60</v>
      </c>
      <c r="C444" s="18" t="s">
        <v>4546</v>
      </c>
      <c r="D444" s="18" t="s">
        <v>3687</v>
      </c>
      <c r="E444" s="18" t="s">
        <v>3598</v>
      </c>
    </row>
    <row r="445">
      <c r="A445" s="362">
        <v>444.0</v>
      </c>
      <c r="B445" s="18" t="s">
        <v>360</v>
      </c>
      <c r="C445" s="18" t="s">
        <v>4550</v>
      </c>
      <c r="D445" s="18" t="s">
        <v>1431</v>
      </c>
      <c r="E445" s="18" t="s">
        <v>3598</v>
      </c>
    </row>
    <row r="446">
      <c r="A446" s="362">
        <v>445.0</v>
      </c>
      <c r="B446" s="18" t="s">
        <v>60</v>
      </c>
      <c r="C446" s="18" t="s">
        <v>4555</v>
      </c>
      <c r="D446" s="18" t="s">
        <v>2660</v>
      </c>
      <c r="E446" s="18" t="s">
        <v>3598</v>
      </c>
    </row>
    <row r="447">
      <c r="A447" s="362">
        <v>446.0</v>
      </c>
      <c r="B447" s="18" t="s">
        <v>60</v>
      </c>
      <c r="C447" s="18" t="s">
        <v>4556</v>
      </c>
      <c r="D447" s="18" t="s">
        <v>331</v>
      </c>
      <c r="E447" s="18" t="s">
        <v>3598</v>
      </c>
    </row>
    <row r="448">
      <c r="A448" s="362">
        <v>447.0</v>
      </c>
      <c r="B448" s="18" t="s">
        <v>60</v>
      </c>
      <c r="C448" s="18" t="s">
        <v>4557</v>
      </c>
      <c r="D448" s="18" t="s">
        <v>295</v>
      </c>
      <c r="E448" s="18" t="s">
        <v>3598</v>
      </c>
    </row>
    <row r="449">
      <c r="A449" s="362">
        <v>448.0</v>
      </c>
      <c r="B449" s="18" t="s">
        <v>326</v>
      </c>
      <c r="C449" s="18" t="s">
        <v>4561</v>
      </c>
      <c r="D449" s="18" t="s">
        <v>1466</v>
      </c>
      <c r="E449" s="18" t="s">
        <v>3598</v>
      </c>
    </row>
    <row r="450">
      <c r="A450" s="362">
        <v>449.0</v>
      </c>
      <c r="B450" s="18" t="s">
        <v>102</v>
      </c>
      <c r="C450" s="18" t="s">
        <v>4562</v>
      </c>
      <c r="D450" s="18" t="s">
        <v>178</v>
      </c>
      <c r="E450" s="18" t="s">
        <v>3598</v>
      </c>
    </row>
    <row r="451">
      <c r="A451" s="362">
        <v>450.0</v>
      </c>
      <c r="B451" s="18" t="s">
        <v>60</v>
      </c>
      <c r="C451" s="18" t="s">
        <v>4565</v>
      </c>
      <c r="D451" s="18" t="s">
        <v>4369</v>
      </c>
      <c r="E451" s="18" t="s">
        <v>3598</v>
      </c>
    </row>
    <row r="452">
      <c r="A452" s="362">
        <v>451.0</v>
      </c>
      <c r="B452" s="18" t="s">
        <v>102</v>
      </c>
      <c r="C452" s="18" t="s">
        <v>4568</v>
      </c>
      <c r="D452" s="18" t="s">
        <v>178</v>
      </c>
      <c r="E452" s="18" t="s">
        <v>3598</v>
      </c>
    </row>
    <row r="453">
      <c r="A453" s="362">
        <v>452.0</v>
      </c>
      <c r="B453" s="18" t="s">
        <v>102</v>
      </c>
      <c r="C453" s="18" t="s">
        <v>4569</v>
      </c>
      <c r="D453" s="18" t="s">
        <v>178</v>
      </c>
      <c r="E453" s="18" t="s">
        <v>3598</v>
      </c>
    </row>
    <row r="454">
      <c r="A454" s="362">
        <v>453.0</v>
      </c>
      <c r="B454" s="18" t="s">
        <v>102</v>
      </c>
      <c r="C454" s="18" t="s">
        <v>4572</v>
      </c>
      <c r="D454" s="18" t="s">
        <v>4375</v>
      </c>
      <c r="E454" s="18" t="s">
        <v>3598</v>
      </c>
    </row>
    <row r="455">
      <c r="A455" s="362">
        <v>454.0</v>
      </c>
      <c r="B455" s="18" t="s">
        <v>326</v>
      </c>
      <c r="C455" s="18" t="s">
        <v>4574</v>
      </c>
      <c r="D455" s="18" t="s">
        <v>1466</v>
      </c>
      <c r="E455" s="18" t="s">
        <v>3598</v>
      </c>
    </row>
    <row r="456">
      <c r="A456" s="362">
        <v>455.0</v>
      </c>
      <c r="B456" s="18" t="s">
        <v>36</v>
      </c>
      <c r="C456" s="18" t="s">
        <v>4576</v>
      </c>
      <c r="D456" s="18" t="s">
        <v>170</v>
      </c>
      <c r="E456" s="18" t="s">
        <v>3598</v>
      </c>
    </row>
    <row r="457">
      <c r="A457" s="362">
        <v>456.0</v>
      </c>
      <c r="B457" s="18" t="s">
        <v>102</v>
      </c>
      <c r="C457" s="18" t="s">
        <v>4579</v>
      </c>
      <c r="D457" s="18" t="s">
        <v>1195</v>
      </c>
      <c r="E457" s="18" t="s">
        <v>3598</v>
      </c>
    </row>
    <row r="458">
      <c r="A458" s="362">
        <v>457.0</v>
      </c>
      <c r="B458" s="18" t="s">
        <v>1144</v>
      </c>
      <c r="C458" s="18" t="s">
        <v>4583</v>
      </c>
      <c r="D458" s="18" t="s">
        <v>81</v>
      </c>
      <c r="E458" s="18" t="s">
        <v>3598</v>
      </c>
    </row>
    <row r="459">
      <c r="A459" s="362">
        <v>458.0</v>
      </c>
      <c r="B459" s="18" t="s">
        <v>102</v>
      </c>
      <c r="C459" s="18" t="s">
        <v>4585</v>
      </c>
      <c r="D459" s="18" t="s">
        <v>178</v>
      </c>
      <c r="E459" s="18" t="s">
        <v>3598</v>
      </c>
    </row>
    <row r="460">
      <c r="A460" s="362">
        <v>459.0</v>
      </c>
      <c r="B460" s="18" t="s">
        <v>60</v>
      </c>
      <c r="C460" s="18" t="s">
        <v>4588</v>
      </c>
      <c r="D460" s="18" t="s">
        <v>331</v>
      </c>
      <c r="E460" s="18" t="s">
        <v>3598</v>
      </c>
    </row>
    <row r="461">
      <c r="A461" s="362">
        <v>460.0</v>
      </c>
      <c r="B461" s="18" t="s">
        <v>102</v>
      </c>
      <c r="C461" s="18" t="s">
        <v>4589</v>
      </c>
      <c r="D461" s="18" t="s">
        <v>1157</v>
      </c>
      <c r="E461" s="18" t="s">
        <v>3598</v>
      </c>
    </row>
    <row r="462">
      <c r="A462" s="362">
        <v>461.0</v>
      </c>
      <c r="B462" s="18" t="s">
        <v>60</v>
      </c>
      <c r="C462" s="18" t="s">
        <v>4590</v>
      </c>
      <c r="D462" s="18" t="s">
        <v>331</v>
      </c>
      <c r="E462" s="18" t="s">
        <v>3598</v>
      </c>
    </row>
    <row r="463">
      <c r="A463" s="362">
        <v>462.0</v>
      </c>
      <c r="B463" s="18" t="s">
        <v>102</v>
      </c>
      <c r="C463" s="18" t="s">
        <v>4594</v>
      </c>
      <c r="D463" s="18" t="s">
        <v>4378</v>
      </c>
      <c r="E463" s="18" t="s">
        <v>3598</v>
      </c>
    </row>
    <row r="464">
      <c r="A464" s="362">
        <v>463.0</v>
      </c>
      <c r="B464" s="18" t="s">
        <v>60</v>
      </c>
      <c r="C464" s="18" t="s">
        <v>4595</v>
      </c>
      <c r="D464" s="18" t="s">
        <v>4597</v>
      </c>
      <c r="E464" s="18" t="s">
        <v>3598</v>
      </c>
    </row>
    <row r="465">
      <c r="A465" s="362">
        <v>464.0</v>
      </c>
      <c r="B465" s="18" t="s">
        <v>60</v>
      </c>
      <c r="C465" s="18" t="s">
        <v>4599</v>
      </c>
      <c r="D465" s="18" t="s">
        <v>331</v>
      </c>
      <c r="E465" s="18" t="s">
        <v>3598</v>
      </c>
    </row>
    <row r="466">
      <c r="A466" s="362">
        <v>465.0</v>
      </c>
      <c r="B466" s="18" t="s">
        <v>60</v>
      </c>
      <c r="C466" s="18" t="s">
        <v>4602</v>
      </c>
      <c r="D466" s="18" t="s">
        <v>4369</v>
      </c>
      <c r="E466" s="18" t="s">
        <v>3598</v>
      </c>
    </row>
    <row r="467">
      <c r="A467" s="362">
        <v>466.0</v>
      </c>
      <c r="B467" s="18" t="s">
        <v>360</v>
      </c>
      <c r="C467" s="18" t="s">
        <v>4605</v>
      </c>
      <c r="D467" s="18" t="s">
        <v>4378</v>
      </c>
      <c r="E467" s="18" t="s">
        <v>3598</v>
      </c>
    </row>
    <row r="468">
      <c r="A468" s="362">
        <v>467.0</v>
      </c>
      <c r="B468" s="18" t="s">
        <v>102</v>
      </c>
      <c r="C468" s="18" t="s">
        <v>4606</v>
      </c>
      <c r="D468" s="18" t="s">
        <v>4345</v>
      </c>
      <c r="E468" s="18" t="s">
        <v>3598</v>
      </c>
    </row>
    <row r="469">
      <c r="A469" s="362">
        <v>468.0</v>
      </c>
      <c r="B469" s="18" t="s">
        <v>102</v>
      </c>
      <c r="C469" s="18" t="s">
        <v>4608</v>
      </c>
      <c r="D469" s="18" t="s">
        <v>4378</v>
      </c>
      <c r="E469" s="18" t="s">
        <v>3598</v>
      </c>
    </row>
    <row r="470">
      <c r="A470" s="362">
        <v>469.0</v>
      </c>
      <c r="B470" s="18" t="s">
        <v>60</v>
      </c>
      <c r="C470" s="18" t="s">
        <v>4610</v>
      </c>
      <c r="D470" s="18" t="s">
        <v>331</v>
      </c>
      <c r="E470" s="18" t="s">
        <v>3598</v>
      </c>
    </row>
    <row r="471">
      <c r="A471" s="362">
        <v>470.0</v>
      </c>
      <c r="B471" s="18" t="s">
        <v>102</v>
      </c>
      <c r="C471" s="18" t="s">
        <v>4615</v>
      </c>
      <c r="D471" s="18" t="s">
        <v>4378</v>
      </c>
      <c r="E471" s="18" t="s">
        <v>3598</v>
      </c>
    </row>
    <row r="472">
      <c r="A472" s="362">
        <v>471.0</v>
      </c>
      <c r="B472" s="18" t="s">
        <v>326</v>
      </c>
      <c r="C472" s="18" t="s">
        <v>4616</v>
      </c>
      <c r="D472" s="18" t="s">
        <v>2660</v>
      </c>
      <c r="E472" s="18" t="s">
        <v>3598</v>
      </c>
    </row>
    <row r="473">
      <c r="A473" s="362">
        <v>472.0</v>
      </c>
      <c r="B473" s="18" t="s">
        <v>360</v>
      </c>
      <c r="C473" s="18" t="s">
        <v>4620</v>
      </c>
      <c r="D473" s="18" t="s">
        <v>170</v>
      </c>
      <c r="E473" s="18" t="s">
        <v>3598</v>
      </c>
    </row>
    <row r="474">
      <c r="A474" s="362">
        <v>473.0</v>
      </c>
      <c r="B474" s="18" t="s">
        <v>60</v>
      </c>
      <c r="C474" s="18" t="s">
        <v>4621</v>
      </c>
      <c r="D474" s="18" t="s">
        <v>1536</v>
      </c>
      <c r="E474" s="18" t="s">
        <v>3598</v>
      </c>
    </row>
    <row r="475">
      <c r="A475" s="362">
        <v>474.0</v>
      </c>
      <c r="B475" s="18" t="s">
        <v>60</v>
      </c>
      <c r="C475" s="18" t="s">
        <v>4624</v>
      </c>
      <c r="D475" s="18" t="s">
        <v>119</v>
      </c>
      <c r="E475" s="18" t="s">
        <v>3598</v>
      </c>
    </row>
    <row r="476">
      <c r="A476" s="362">
        <v>475.0</v>
      </c>
      <c r="B476" s="18" t="s">
        <v>60</v>
      </c>
      <c r="C476" s="18" t="s">
        <v>4625</v>
      </c>
      <c r="D476" s="18" t="s">
        <v>1157</v>
      </c>
      <c r="E476" s="18" t="s">
        <v>3598</v>
      </c>
    </row>
    <row r="477">
      <c r="A477" s="362">
        <v>476.0</v>
      </c>
      <c r="B477" s="18" t="s">
        <v>60</v>
      </c>
      <c r="C477" s="18" t="s">
        <v>4628</v>
      </c>
      <c r="D477" s="18" t="s">
        <v>4629</v>
      </c>
      <c r="E477" s="18" t="s">
        <v>3598</v>
      </c>
    </row>
    <row r="478">
      <c r="A478" s="362">
        <v>477.0</v>
      </c>
      <c r="B478" s="18" t="s">
        <v>60</v>
      </c>
      <c r="C478" s="18" t="s">
        <v>4631</v>
      </c>
      <c r="D478" s="18" t="s">
        <v>499</v>
      </c>
      <c r="E478" s="18" t="s">
        <v>3598</v>
      </c>
    </row>
    <row r="479">
      <c r="A479" s="362">
        <v>478.0</v>
      </c>
      <c r="B479" s="18" t="s">
        <v>60</v>
      </c>
      <c r="C479" s="18" t="s">
        <v>4633</v>
      </c>
      <c r="D479" s="18" t="s">
        <v>178</v>
      </c>
      <c r="E479" s="18" t="s">
        <v>3598</v>
      </c>
    </row>
    <row r="480">
      <c r="A480" s="362">
        <v>479.0</v>
      </c>
      <c r="B480" s="18" t="s">
        <v>102</v>
      </c>
      <c r="C480" s="18" t="s">
        <v>4634</v>
      </c>
      <c r="D480" s="18" t="s">
        <v>119</v>
      </c>
      <c r="E480" s="18" t="s">
        <v>3598</v>
      </c>
    </row>
    <row r="481">
      <c r="A481" s="362">
        <v>480.0</v>
      </c>
      <c r="B481" s="18" t="s">
        <v>60</v>
      </c>
      <c r="C481" s="18" t="s">
        <v>4637</v>
      </c>
      <c r="D481" s="18" t="s">
        <v>1345</v>
      </c>
      <c r="E481" s="18" t="s">
        <v>3598</v>
      </c>
    </row>
    <row r="482">
      <c r="A482" s="362">
        <v>481.0</v>
      </c>
      <c r="B482" s="18" t="s">
        <v>102</v>
      </c>
      <c r="C482" s="18" t="s">
        <v>4639</v>
      </c>
      <c r="D482" s="18" t="s">
        <v>1345</v>
      </c>
      <c r="E482" s="18" t="s">
        <v>3598</v>
      </c>
    </row>
    <row r="483">
      <c r="A483" s="362">
        <v>482.0</v>
      </c>
      <c r="B483" s="18" t="s">
        <v>60</v>
      </c>
      <c r="C483" s="18" t="s">
        <v>4643</v>
      </c>
      <c r="D483" s="18" t="s">
        <v>570</v>
      </c>
      <c r="E483" s="18" t="s">
        <v>3598</v>
      </c>
    </row>
    <row r="484">
      <c r="A484" s="362">
        <v>483.0</v>
      </c>
      <c r="B484" s="18" t="s">
        <v>60</v>
      </c>
      <c r="C484" s="18" t="s">
        <v>4647</v>
      </c>
      <c r="D484" s="18" t="s">
        <v>178</v>
      </c>
      <c r="E484" s="18" t="s">
        <v>3598</v>
      </c>
    </row>
    <row r="485">
      <c r="A485" s="362">
        <v>484.0</v>
      </c>
      <c r="B485" s="18" t="s">
        <v>60</v>
      </c>
      <c r="C485" s="18" t="s">
        <v>4649</v>
      </c>
      <c r="D485" s="18" t="s">
        <v>178</v>
      </c>
      <c r="E485" s="18" t="s">
        <v>3598</v>
      </c>
    </row>
    <row r="486">
      <c r="A486" s="362">
        <v>485.0</v>
      </c>
      <c r="B486" s="18" t="s">
        <v>504</v>
      </c>
      <c r="C486" s="18" t="s">
        <v>4650</v>
      </c>
      <c r="D486" s="18" t="s">
        <v>119</v>
      </c>
      <c r="E486" s="18" t="s">
        <v>3598</v>
      </c>
    </row>
    <row r="487">
      <c r="A487" s="362">
        <v>486.0</v>
      </c>
      <c r="B487" s="18" t="s">
        <v>60</v>
      </c>
      <c r="C487" s="18" t="s">
        <v>4651</v>
      </c>
      <c r="D487" s="18" t="s">
        <v>1345</v>
      </c>
      <c r="E487" s="18" t="s">
        <v>3598</v>
      </c>
    </row>
    <row r="488">
      <c r="A488" s="362">
        <v>487.0</v>
      </c>
      <c r="B488" s="18" t="s">
        <v>102</v>
      </c>
      <c r="C488" s="18" t="s">
        <v>4654</v>
      </c>
      <c r="D488" s="18" t="s">
        <v>119</v>
      </c>
      <c r="E488" s="18" t="s">
        <v>3598</v>
      </c>
    </row>
    <row r="489">
      <c r="A489" s="362">
        <v>488.0</v>
      </c>
      <c r="B489" s="18" t="s">
        <v>102</v>
      </c>
      <c r="C489" s="18" t="s">
        <v>4656</v>
      </c>
      <c r="D489" s="18" t="s">
        <v>170</v>
      </c>
      <c r="E489" s="18" t="s">
        <v>3598</v>
      </c>
    </row>
    <row r="490">
      <c r="A490" s="362">
        <v>489.0</v>
      </c>
      <c r="B490" s="18" t="s">
        <v>656</v>
      </c>
      <c r="C490" s="18" t="s">
        <v>4660</v>
      </c>
      <c r="D490" s="18" t="s">
        <v>4662</v>
      </c>
      <c r="E490" s="18" t="s">
        <v>3598</v>
      </c>
    </row>
    <row r="491">
      <c r="A491" s="362">
        <v>490.0</v>
      </c>
      <c r="B491" s="18" t="s">
        <v>60</v>
      </c>
      <c r="C491" s="18" t="s">
        <v>4664</v>
      </c>
      <c r="D491" s="18" t="s">
        <v>1345</v>
      </c>
      <c r="E491" s="18" t="s">
        <v>3598</v>
      </c>
    </row>
    <row r="492">
      <c r="A492" s="362">
        <v>491.0</v>
      </c>
      <c r="B492" s="18" t="s">
        <v>60</v>
      </c>
      <c r="C492" s="18" t="s">
        <v>4667</v>
      </c>
      <c r="D492" s="18" t="s">
        <v>4668</v>
      </c>
      <c r="E492" s="18" t="s">
        <v>3598</v>
      </c>
    </row>
    <row r="493">
      <c r="A493" s="362">
        <v>492.0</v>
      </c>
      <c r="B493" s="18" t="s">
        <v>60</v>
      </c>
      <c r="C493" s="18" t="s">
        <v>4671</v>
      </c>
      <c r="D493" s="18" t="s">
        <v>786</v>
      </c>
      <c r="E493" s="18" t="s">
        <v>3598</v>
      </c>
    </row>
    <row r="494">
      <c r="A494" s="362">
        <v>493.0</v>
      </c>
      <c r="B494" s="18" t="s">
        <v>102</v>
      </c>
      <c r="C494" s="18" t="s">
        <v>4675</v>
      </c>
      <c r="D494" s="18" t="s">
        <v>170</v>
      </c>
      <c r="E494" s="18" t="s">
        <v>3598</v>
      </c>
    </row>
    <row r="495">
      <c r="A495" s="362">
        <v>494.0</v>
      </c>
      <c r="B495" s="18" t="s">
        <v>60</v>
      </c>
      <c r="C495" s="18" t="s">
        <v>4677</v>
      </c>
      <c r="D495" s="18" t="s">
        <v>4679</v>
      </c>
      <c r="E495" s="18" t="s">
        <v>3598</v>
      </c>
    </row>
    <row r="496">
      <c r="A496" s="362">
        <v>495.0</v>
      </c>
      <c r="B496" s="18" t="s">
        <v>60</v>
      </c>
      <c r="C496" s="18" t="s">
        <v>4681</v>
      </c>
      <c r="D496" s="18" t="s">
        <v>4682</v>
      </c>
      <c r="E496" s="18" t="s">
        <v>3598</v>
      </c>
    </row>
    <row r="497">
      <c r="A497" s="362">
        <v>496.0</v>
      </c>
      <c r="B497" s="18" t="s">
        <v>60</v>
      </c>
      <c r="C497" s="18" t="s">
        <v>4686</v>
      </c>
      <c r="D497" s="18" t="s">
        <v>1431</v>
      </c>
      <c r="E497" s="18" t="s">
        <v>3598</v>
      </c>
    </row>
    <row r="498">
      <c r="A498" s="362">
        <v>497.0</v>
      </c>
      <c r="B498" s="18" t="s">
        <v>60</v>
      </c>
      <c r="C498" s="18" t="s">
        <v>4688</v>
      </c>
      <c r="D498" s="18" t="s">
        <v>201</v>
      </c>
      <c r="E498" s="18" t="s">
        <v>3598</v>
      </c>
    </row>
    <row r="499">
      <c r="A499" s="362">
        <v>498.0</v>
      </c>
      <c r="B499" s="18" t="s">
        <v>60</v>
      </c>
      <c r="C499" s="18" t="s">
        <v>4691</v>
      </c>
      <c r="D499" s="18" t="s">
        <v>786</v>
      </c>
      <c r="E499" s="18" t="s">
        <v>3598</v>
      </c>
    </row>
    <row r="500">
      <c r="A500" s="362">
        <v>499.0</v>
      </c>
      <c r="B500" s="18" t="s">
        <v>102</v>
      </c>
      <c r="C500" s="18" t="s">
        <v>4695</v>
      </c>
      <c r="D500" s="18" t="s">
        <v>1345</v>
      </c>
      <c r="E500" s="18" t="s">
        <v>3598</v>
      </c>
    </row>
    <row r="501">
      <c r="A501" s="362">
        <v>500.0</v>
      </c>
      <c r="B501" s="18" t="s">
        <v>60</v>
      </c>
      <c r="C501" s="18" t="s">
        <v>4697</v>
      </c>
      <c r="D501" s="18" t="s">
        <v>178</v>
      </c>
      <c r="E501" s="18" t="s">
        <v>3598</v>
      </c>
    </row>
    <row r="502">
      <c r="A502" s="362">
        <v>501.0</v>
      </c>
      <c r="B502" s="18" t="s">
        <v>60</v>
      </c>
      <c r="C502" s="18" t="s">
        <v>4699</v>
      </c>
      <c r="D502" s="18" t="s">
        <v>187</v>
      </c>
      <c r="E502" s="18" t="s">
        <v>3598</v>
      </c>
    </row>
    <row r="503">
      <c r="A503" s="362">
        <v>502.0</v>
      </c>
      <c r="B503" s="18" t="s">
        <v>60</v>
      </c>
      <c r="C503" s="18" t="s">
        <v>4702</v>
      </c>
      <c r="D503" s="18" t="s">
        <v>178</v>
      </c>
      <c r="E503" s="18" t="s">
        <v>3598</v>
      </c>
    </row>
    <row r="504">
      <c r="A504" s="362">
        <v>503.0</v>
      </c>
      <c r="B504" s="18" t="s">
        <v>60</v>
      </c>
      <c r="C504" s="18" t="s">
        <v>4705</v>
      </c>
      <c r="D504" s="18" t="s">
        <v>331</v>
      </c>
      <c r="E504" s="18" t="s">
        <v>3598</v>
      </c>
    </row>
    <row r="505">
      <c r="A505" s="362">
        <v>504.0</v>
      </c>
      <c r="B505" s="18" t="s">
        <v>360</v>
      </c>
      <c r="C505" s="18" t="s">
        <v>4712</v>
      </c>
      <c r="D505" s="18" t="s">
        <v>287</v>
      </c>
      <c r="E505" s="18" t="s">
        <v>3598</v>
      </c>
    </row>
    <row r="506">
      <c r="A506" s="362">
        <v>505.0</v>
      </c>
      <c r="B506" s="18" t="s">
        <v>60</v>
      </c>
      <c r="C506" s="18" t="s">
        <v>4713</v>
      </c>
      <c r="D506" s="18" t="s">
        <v>302</v>
      </c>
      <c r="E506" s="18" t="s">
        <v>3598</v>
      </c>
    </row>
    <row r="507">
      <c r="A507" s="362">
        <v>506.0</v>
      </c>
      <c r="B507" s="18" t="s">
        <v>60</v>
      </c>
      <c r="C507" s="18" t="s">
        <v>4714</v>
      </c>
      <c r="D507" s="18" t="s">
        <v>139</v>
      </c>
      <c r="E507" s="18" t="s">
        <v>3598</v>
      </c>
    </row>
    <row r="508">
      <c r="A508" s="362">
        <v>507.0</v>
      </c>
      <c r="B508" s="18" t="s">
        <v>60</v>
      </c>
      <c r="C508" s="18" t="s">
        <v>4715</v>
      </c>
      <c r="D508" s="18" t="s">
        <v>3078</v>
      </c>
      <c r="E508" s="18" t="s">
        <v>3598</v>
      </c>
    </row>
    <row r="509">
      <c r="A509" s="362">
        <v>508.0</v>
      </c>
      <c r="B509" s="18" t="s">
        <v>60</v>
      </c>
      <c r="C509" s="18" t="s">
        <v>4717</v>
      </c>
      <c r="D509" s="18" t="s">
        <v>139</v>
      </c>
      <c r="E509" s="18" t="s">
        <v>3598</v>
      </c>
    </row>
    <row r="510">
      <c r="A510" s="362">
        <v>509.0</v>
      </c>
      <c r="B510" s="18" t="s">
        <v>60</v>
      </c>
      <c r="C510" s="18" t="s">
        <v>4721</v>
      </c>
      <c r="D510" s="18" t="s">
        <v>3205</v>
      </c>
      <c r="E510" s="18" t="s">
        <v>3598</v>
      </c>
    </row>
    <row r="511">
      <c r="A511" s="362">
        <v>510.0</v>
      </c>
      <c r="B511" s="18" t="s">
        <v>60</v>
      </c>
      <c r="C511" s="18" t="s">
        <v>4723</v>
      </c>
      <c r="D511" s="18" t="s">
        <v>58</v>
      </c>
      <c r="E511" s="18" t="s">
        <v>3598</v>
      </c>
    </row>
    <row r="512">
      <c r="A512" s="362">
        <v>511.0</v>
      </c>
      <c r="B512" s="18" t="s">
        <v>60</v>
      </c>
      <c r="C512" s="18" t="s">
        <v>1102</v>
      </c>
      <c r="D512" s="18" t="s">
        <v>139</v>
      </c>
      <c r="E512" s="18" t="s">
        <v>3598</v>
      </c>
    </row>
    <row r="513">
      <c r="A513" s="362">
        <v>512.0</v>
      </c>
      <c r="B513" s="18" t="s">
        <v>60</v>
      </c>
      <c r="C513" s="18" t="s">
        <v>4726</v>
      </c>
      <c r="D513" s="18" t="s">
        <v>3938</v>
      </c>
      <c r="E513" s="18" t="s">
        <v>3598</v>
      </c>
    </row>
    <row r="514">
      <c r="A514" s="362">
        <v>513.0</v>
      </c>
      <c r="B514" s="18" t="s">
        <v>60</v>
      </c>
      <c r="C514" s="18" t="s">
        <v>4729</v>
      </c>
      <c r="D514" s="18" t="s">
        <v>58</v>
      </c>
      <c r="E514" s="18" t="s">
        <v>3598</v>
      </c>
    </row>
    <row r="515">
      <c r="A515" s="362">
        <v>514.0</v>
      </c>
      <c r="B515" s="18" t="s">
        <v>60</v>
      </c>
      <c r="C515" s="18" t="s">
        <v>4731</v>
      </c>
      <c r="D515" s="18" t="s">
        <v>139</v>
      </c>
      <c r="E515" s="18" t="s">
        <v>3598</v>
      </c>
    </row>
    <row r="516">
      <c r="A516" s="362">
        <v>515.0</v>
      </c>
      <c r="B516" s="18" t="s">
        <v>102</v>
      </c>
      <c r="C516" s="18" t="s">
        <v>4734</v>
      </c>
      <c r="D516" s="18" t="s">
        <v>4522</v>
      </c>
      <c r="E516" s="18" t="s">
        <v>3598</v>
      </c>
    </row>
    <row r="517">
      <c r="A517" s="362">
        <v>516.0</v>
      </c>
      <c r="B517" s="18" t="s">
        <v>60</v>
      </c>
      <c r="C517" s="18" t="s">
        <v>1093</v>
      </c>
      <c r="D517" s="18" t="s">
        <v>3078</v>
      </c>
      <c r="E517" s="18" t="s">
        <v>3598</v>
      </c>
    </row>
    <row r="518">
      <c r="A518" s="362">
        <v>517.0</v>
      </c>
      <c r="B518" s="18" t="s">
        <v>60</v>
      </c>
      <c r="C518" s="18" t="s">
        <v>4738</v>
      </c>
      <c r="D518" s="18" t="s">
        <v>139</v>
      </c>
      <c r="E518" s="18" t="s">
        <v>3598</v>
      </c>
    </row>
    <row r="519">
      <c r="A519" s="362">
        <v>518.0</v>
      </c>
      <c r="B519" s="18" t="s">
        <v>60</v>
      </c>
      <c r="C519" s="18" t="s">
        <v>4740</v>
      </c>
      <c r="D519" s="18" t="s">
        <v>58</v>
      </c>
      <c r="E519" s="18" t="s">
        <v>3598</v>
      </c>
    </row>
    <row r="520">
      <c r="A520" s="362">
        <v>519.0</v>
      </c>
      <c r="B520" s="18" t="s">
        <v>60</v>
      </c>
      <c r="C520" s="18" t="s">
        <v>4743</v>
      </c>
      <c r="D520" s="18" t="s">
        <v>3078</v>
      </c>
      <c r="E520" s="18" t="s">
        <v>3598</v>
      </c>
    </row>
    <row r="521">
      <c r="A521" s="362">
        <v>520.0</v>
      </c>
      <c r="B521" s="18" t="s">
        <v>96</v>
      </c>
      <c r="C521" s="18" t="s">
        <v>4746</v>
      </c>
      <c r="D521" s="18" t="s">
        <v>170</v>
      </c>
      <c r="E521" s="18" t="s">
        <v>3598</v>
      </c>
    </row>
    <row r="522">
      <c r="A522" s="362">
        <v>521.0</v>
      </c>
      <c r="B522" s="18" t="s">
        <v>60</v>
      </c>
      <c r="C522" s="18" t="s">
        <v>4747</v>
      </c>
      <c r="D522" s="18" t="s">
        <v>119</v>
      </c>
      <c r="E522" s="18" t="s">
        <v>3598</v>
      </c>
    </row>
    <row r="523">
      <c r="A523" s="362">
        <v>522.0</v>
      </c>
      <c r="B523" s="18" t="s">
        <v>60</v>
      </c>
      <c r="C523" s="18" t="s">
        <v>4750</v>
      </c>
      <c r="D523" s="18" t="s">
        <v>201</v>
      </c>
      <c r="E523" s="18" t="s">
        <v>3598</v>
      </c>
    </row>
    <row r="524">
      <c r="A524" s="362">
        <v>523.0</v>
      </c>
      <c r="B524" s="18" t="s">
        <v>60</v>
      </c>
      <c r="C524" s="18" t="s">
        <v>4752</v>
      </c>
      <c r="D524" s="18" t="s">
        <v>4753</v>
      </c>
      <c r="E524" s="18" t="s">
        <v>3598</v>
      </c>
    </row>
    <row r="525">
      <c r="A525" s="362">
        <v>524.0</v>
      </c>
      <c r="B525" s="18" t="s">
        <v>1144</v>
      </c>
      <c r="C525" s="18" t="s">
        <v>4755</v>
      </c>
      <c r="D525" s="18" t="s">
        <v>4756</v>
      </c>
      <c r="E525" s="18" t="s">
        <v>3598</v>
      </c>
    </row>
    <row r="526">
      <c r="A526" s="362">
        <v>525.0</v>
      </c>
      <c r="B526" s="18" t="s">
        <v>102</v>
      </c>
      <c r="C526" s="18" t="s">
        <v>4759</v>
      </c>
      <c r="D526" s="18" t="s">
        <v>178</v>
      </c>
      <c r="E526" s="18" t="s">
        <v>3598</v>
      </c>
    </row>
    <row r="527">
      <c r="A527" s="362">
        <v>526.0</v>
      </c>
      <c r="B527" s="18" t="s">
        <v>60</v>
      </c>
      <c r="C527" s="18" t="s">
        <v>4761</v>
      </c>
      <c r="D527" s="18" t="s">
        <v>2929</v>
      </c>
      <c r="E527" s="18" t="s">
        <v>3598</v>
      </c>
    </row>
    <row r="528">
      <c r="A528" s="362">
        <v>527.0</v>
      </c>
      <c r="B528" s="18" t="s">
        <v>360</v>
      </c>
      <c r="C528" s="18" t="s">
        <v>4763</v>
      </c>
      <c r="D528" s="18" t="s">
        <v>302</v>
      </c>
      <c r="E528" s="18" t="s">
        <v>3598</v>
      </c>
    </row>
    <row r="529">
      <c r="A529" s="362">
        <v>528.0</v>
      </c>
      <c r="B529" s="18" t="s">
        <v>60</v>
      </c>
      <c r="C529" s="18" t="s">
        <v>4764</v>
      </c>
      <c r="D529" s="18" t="s">
        <v>139</v>
      </c>
      <c r="E529" s="18" t="s">
        <v>3598</v>
      </c>
    </row>
    <row r="530">
      <c r="A530" s="362">
        <v>529.0</v>
      </c>
      <c r="B530" s="18" t="s">
        <v>60</v>
      </c>
      <c r="C530" s="18" t="s">
        <v>4766</v>
      </c>
      <c r="D530" s="18" t="s">
        <v>139</v>
      </c>
      <c r="E530" s="18" t="s">
        <v>3598</v>
      </c>
    </row>
    <row r="531">
      <c r="A531" s="362">
        <v>530.0</v>
      </c>
      <c r="B531" s="18" t="s">
        <v>60</v>
      </c>
      <c r="C531" s="18" t="s">
        <v>4769</v>
      </c>
      <c r="D531" s="18" t="s">
        <v>2197</v>
      </c>
      <c r="E531" s="18" t="s">
        <v>3598</v>
      </c>
    </row>
    <row r="532">
      <c r="A532" s="362">
        <v>531.0</v>
      </c>
      <c r="B532" s="18" t="s">
        <v>60</v>
      </c>
      <c r="C532" s="18" t="s">
        <v>4774</v>
      </c>
      <c r="D532" s="18" t="s">
        <v>213</v>
      </c>
      <c r="E532" s="18" t="s">
        <v>3598</v>
      </c>
    </row>
    <row r="533">
      <c r="A533" s="362">
        <v>532.0</v>
      </c>
      <c r="B533" s="18" t="s">
        <v>360</v>
      </c>
      <c r="C533" s="18" t="s">
        <v>4777</v>
      </c>
      <c r="D533" s="18" t="s">
        <v>178</v>
      </c>
      <c r="E533" s="18" t="s">
        <v>3598</v>
      </c>
    </row>
    <row r="534">
      <c r="A534" s="362">
        <v>533.0</v>
      </c>
      <c r="B534" s="18" t="s">
        <v>60</v>
      </c>
      <c r="C534" s="18" t="s">
        <v>4779</v>
      </c>
      <c r="D534" s="18" t="s">
        <v>58</v>
      </c>
      <c r="E534" s="18" t="s">
        <v>3598</v>
      </c>
    </row>
    <row r="535">
      <c r="A535" s="362">
        <v>534.0</v>
      </c>
      <c r="B535" s="18" t="s">
        <v>102</v>
      </c>
      <c r="C535" s="18" t="s">
        <v>4780</v>
      </c>
      <c r="D535" s="18" t="s">
        <v>178</v>
      </c>
      <c r="E535" s="18" t="s">
        <v>3598</v>
      </c>
    </row>
    <row r="536">
      <c r="A536" s="362">
        <v>535.0</v>
      </c>
      <c r="B536" s="18" t="s">
        <v>60</v>
      </c>
      <c r="C536" s="18" t="s">
        <v>4781</v>
      </c>
      <c r="D536" s="18" t="s">
        <v>4522</v>
      </c>
      <c r="E536" s="18" t="s">
        <v>3598</v>
      </c>
    </row>
    <row r="537">
      <c r="A537" s="362">
        <v>536.0</v>
      </c>
      <c r="B537" s="18" t="s">
        <v>60</v>
      </c>
      <c r="C537" s="18" t="s">
        <v>4782</v>
      </c>
      <c r="D537" s="18" t="s">
        <v>1924</v>
      </c>
      <c r="E537" s="18" t="s">
        <v>3598</v>
      </c>
    </row>
    <row r="538">
      <c r="A538" s="362">
        <v>537.0</v>
      </c>
      <c r="B538" s="18" t="s">
        <v>326</v>
      </c>
      <c r="C538" s="18" t="s">
        <v>4785</v>
      </c>
      <c r="D538" s="18" t="s">
        <v>178</v>
      </c>
      <c r="E538" s="18" t="s">
        <v>3598</v>
      </c>
    </row>
    <row r="539">
      <c r="A539" s="362">
        <v>538.0</v>
      </c>
      <c r="B539" s="18" t="s">
        <v>60</v>
      </c>
      <c r="C539" s="18" t="s">
        <v>4789</v>
      </c>
      <c r="D539" s="18" t="s">
        <v>178</v>
      </c>
      <c r="E539" s="18" t="s">
        <v>3598</v>
      </c>
    </row>
    <row r="540">
      <c r="A540" s="362">
        <v>539.0</v>
      </c>
      <c r="B540" s="18" t="s">
        <v>326</v>
      </c>
      <c r="C540" s="18" t="s">
        <v>4790</v>
      </c>
      <c r="D540" s="18" t="s">
        <v>178</v>
      </c>
      <c r="E540" s="18" t="s">
        <v>3598</v>
      </c>
    </row>
    <row r="541">
      <c r="A541" s="362">
        <v>540.0</v>
      </c>
      <c r="B541" s="18" t="s">
        <v>60</v>
      </c>
      <c r="C541" s="18" t="s">
        <v>4793</v>
      </c>
      <c r="D541" s="18" t="s">
        <v>4450</v>
      </c>
      <c r="E541" s="18" t="s">
        <v>3598</v>
      </c>
    </row>
    <row r="542">
      <c r="A542" s="362">
        <v>541.0</v>
      </c>
      <c r="B542" s="18" t="s">
        <v>60</v>
      </c>
      <c r="C542" s="18" t="s">
        <v>4795</v>
      </c>
      <c r="D542" s="18" t="s">
        <v>1431</v>
      </c>
      <c r="E542" s="18" t="s">
        <v>3598</v>
      </c>
    </row>
    <row r="543">
      <c r="A543" s="362">
        <v>542.0</v>
      </c>
      <c r="B543" s="18" t="s">
        <v>60</v>
      </c>
      <c r="C543" s="18" t="s">
        <v>4797</v>
      </c>
      <c r="D543" s="18" t="s">
        <v>1536</v>
      </c>
      <c r="E543" s="18" t="s">
        <v>3598</v>
      </c>
    </row>
    <row r="544">
      <c r="A544" s="362">
        <v>543.0</v>
      </c>
      <c r="B544" s="18" t="s">
        <v>60</v>
      </c>
      <c r="C544" s="18" t="s">
        <v>4803</v>
      </c>
      <c r="D544" s="18" t="s">
        <v>295</v>
      </c>
      <c r="E544" s="18" t="s">
        <v>3598</v>
      </c>
    </row>
    <row r="545">
      <c r="A545" s="362">
        <v>544.0</v>
      </c>
      <c r="B545" s="18" t="s">
        <v>60</v>
      </c>
      <c r="C545" s="18" t="s">
        <v>4804</v>
      </c>
      <c r="D545" s="18" t="s">
        <v>178</v>
      </c>
      <c r="E545" s="18" t="s">
        <v>3598</v>
      </c>
    </row>
    <row r="546">
      <c r="A546" s="362">
        <v>545.0</v>
      </c>
      <c r="B546" s="18" t="s">
        <v>143</v>
      </c>
      <c r="C546" s="18" t="s">
        <v>4805</v>
      </c>
      <c r="D546" s="18" t="s">
        <v>170</v>
      </c>
      <c r="E546" s="18" t="s">
        <v>3598</v>
      </c>
    </row>
    <row r="547">
      <c r="A547" s="362">
        <v>546.0</v>
      </c>
      <c r="B547" s="18" t="s">
        <v>60</v>
      </c>
      <c r="C547" s="18" t="s">
        <v>4806</v>
      </c>
      <c r="D547" s="18" t="s">
        <v>1431</v>
      </c>
      <c r="E547" s="18" t="s">
        <v>3598</v>
      </c>
    </row>
    <row r="548">
      <c r="A548" s="362">
        <v>547.0</v>
      </c>
      <c r="B548" s="18" t="s">
        <v>60</v>
      </c>
      <c r="C548" s="18" t="s">
        <v>4813</v>
      </c>
      <c r="D548" s="18" t="s">
        <v>1536</v>
      </c>
      <c r="E548" s="18" t="s">
        <v>3598</v>
      </c>
    </row>
    <row r="549">
      <c r="A549" s="362">
        <v>548.0</v>
      </c>
      <c r="B549" s="18" t="s">
        <v>60</v>
      </c>
      <c r="C549" s="18" t="s">
        <v>4816</v>
      </c>
      <c r="D549" s="18" t="s">
        <v>3596</v>
      </c>
      <c r="E549" s="18" t="s">
        <v>3598</v>
      </c>
    </row>
    <row r="550">
      <c r="A550" s="362">
        <v>549.0</v>
      </c>
      <c r="B550" s="18" t="s">
        <v>102</v>
      </c>
      <c r="C550" s="18" t="s">
        <v>4817</v>
      </c>
      <c r="D550" s="18" t="s">
        <v>178</v>
      </c>
      <c r="E550" s="18" t="s">
        <v>3598</v>
      </c>
    </row>
    <row r="551">
      <c r="A551" s="362">
        <v>550.0</v>
      </c>
      <c r="B551" s="18" t="s">
        <v>102</v>
      </c>
      <c r="C551" s="18" t="s">
        <v>4819</v>
      </c>
      <c r="D551" s="18" t="s">
        <v>178</v>
      </c>
      <c r="E551" s="18" t="s">
        <v>3598</v>
      </c>
    </row>
    <row r="552">
      <c r="A552" s="362">
        <v>551.0</v>
      </c>
      <c r="B552" s="18" t="s">
        <v>60</v>
      </c>
      <c r="C552" s="18" t="s">
        <v>4825</v>
      </c>
      <c r="D552" s="18" t="s">
        <v>1536</v>
      </c>
      <c r="E552" s="18" t="s">
        <v>3598</v>
      </c>
    </row>
    <row r="553">
      <c r="A553" s="362">
        <v>552.0</v>
      </c>
      <c r="B553" s="18" t="s">
        <v>60</v>
      </c>
      <c r="C553" s="18" t="s">
        <v>4827</v>
      </c>
      <c r="D553" s="18" t="s">
        <v>1536</v>
      </c>
      <c r="E553" s="18" t="s">
        <v>3598</v>
      </c>
    </row>
    <row r="554">
      <c r="A554" s="362">
        <v>553.0</v>
      </c>
      <c r="B554" s="18" t="s">
        <v>102</v>
      </c>
      <c r="C554" s="18" t="s">
        <v>4828</v>
      </c>
      <c r="D554" s="18" t="s">
        <v>178</v>
      </c>
      <c r="E554" s="18" t="s">
        <v>3598</v>
      </c>
    </row>
    <row r="555">
      <c r="A555" s="362">
        <v>554.0</v>
      </c>
      <c r="B555" s="18" t="s">
        <v>102</v>
      </c>
      <c r="C555" s="18" t="s">
        <v>4829</v>
      </c>
      <c r="D555" s="18" t="s">
        <v>178</v>
      </c>
      <c r="E555" s="18" t="s">
        <v>3598</v>
      </c>
    </row>
    <row r="556">
      <c r="A556" s="362">
        <v>555.0</v>
      </c>
      <c r="B556" s="18" t="s">
        <v>102</v>
      </c>
      <c r="C556" s="18" t="s">
        <v>4832</v>
      </c>
      <c r="D556" s="18" t="s">
        <v>4298</v>
      </c>
      <c r="E556" s="18" t="s">
        <v>3598</v>
      </c>
    </row>
    <row r="557">
      <c r="A557" s="362">
        <v>556.0</v>
      </c>
      <c r="B557" s="18" t="s">
        <v>60</v>
      </c>
      <c r="C557" s="18" t="s">
        <v>4834</v>
      </c>
      <c r="D557" s="18" t="s">
        <v>4298</v>
      </c>
      <c r="E557" s="18" t="s">
        <v>3598</v>
      </c>
    </row>
    <row r="558">
      <c r="A558" s="362">
        <v>557.0</v>
      </c>
      <c r="B558" s="18" t="s">
        <v>60</v>
      </c>
      <c r="C558" s="18" t="s">
        <v>4838</v>
      </c>
      <c r="D558" s="18" t="s">
        <v>4298</v>
      </c>
      <c r="E558" s="18" t="s">
        <v>3598</v>
      </c>
    </row>
    <row r="559">
      <c r="A559" s="362">
        <v>558.0</v>
      </c>
      <c r="B559" s="18" t="s">
        <v>60</v>
      </c>
      <c r="C559" s="18" t="s">
        <v>4841</v>
      </c>
      <c r="D559" s="18" t="s">
        <v>287</v>
      </c>
      <c r="E559" s="18" t="s">
        <v>3598</v>
      </c>
    </row>
    <row r="560">
      <c r="A560" s="362">
        <v>559.0</v>
      </c>
      <c r="B560" s="18" t="s">
        <v>60</v>
      </c>
      <c r="C560" s="18" t="s">
        <v>4842</v>
      </c>
      <c r="D560" s="18" t="s">
        <v>287</v>
      </c>
      <c r="E560" s="18" t="s">
        <v>3598</v>
      </c>
    </row>
    <row r="561">
      <c r="A561" s="362">
        <v>560.0</v>
      </c>
      <c r="B561" s="18" t="s">
        <v>60</v>
      </c>
      <c r="C561" s="18" t="s">
        <v>4843</v>
      </c>
      <c r="D561" s="18" t="s">
        <v>201</v>
      </c>
      <c r="E561" s="18" t="s">
        <v>3598</v>
      </c>
    </row>
    <row r="562">
      <c r="A562" s="362">
        <v>561.0</v>
      </c>
      <c r="B562" s="18" t="s">
        <v>60</v>
      </c>
      <c r="C562" s="18" t="s">
        <v>4846</v>
      </c>
      <c r="D562" s="18" t="s">
        <v>287</v>
      </c>
      <c r="E562" s="18" t="s">
        <v>3598</v>
      </c>
    </row>
    <row r="563">
      <c r="A563" s="362">
        <v>562.0</v>
      </c>
      <c r="B563" s="18" t="s">
        <v>60</v>
      </c>
      <c r="C563" s="18" t="s">
        <v>4849</v>
      </c>
      <c r="D563" s="18" t="s">
        <v>287</v>
      </c>
      <c r="E563" s="18" t="s">
        <v>3598</v>
      </c>
    </row>
    <row r="564">
      <c r="A564" s="362">
        <v>563.0</v>
      </c>
      <c r="B564" s="18" t="s">
        <v>60</v>
      </c>
      <c r="C564" s="18" t="s">
        <v>4852</v>
      </c>
      <c r="D564" s="18" t="s">
        <v>287</v>
      </c>
      <c r="E564" s="18" t="s">
        <v>3598</v>
      </c>
    </row>
    <row r="565">
      <c r="A565" s="362">
        <v>564.0</v>
      </c>
      <c r="B565" s="18" t="s">
        <v>504</v>
      </c>
      <c r="C565" s="18" t="s">
        <v>4856</v>
      </c>
      <c r="D565" s="18" t="s">
        <v>201</v>
      </c>
      <c r="E565" s="18" t="s">
        <v>3598</v>
      </c>
    </row>
    <row r="566">
      <c r="A566" s="362">
        <v>565.0</v>
      </c>
      <c r="B566" s="18" t="s">
        <v>60</v>
      </c>
      <c r="C566" s="18" t="s">
        <v>4858</v>
      </c>
      <c r="D566" s="18" t="s">
        <v>2929</v>
      </c>
      <c r="E566" s="18" t="s">
        <v>3598</v>
      </c>
    </row>
    <row r="567">
      <c r="A567" s="362">
        <v>566.0</v>
      </c>
      <c r="B567" s="18" t="s">
        <v>60</v>
      </c>
      <c r="C567" s="18" t="s">
        <v>4861</v>
      </c>
      <c r="D567" s="18" t="s">
        <v>4862</v>
      </c>
      <c r="E567" s="18" t="s">
        <v>3598</v>
      </c>
    </row>
    <row r="568">
      <c r="A568" s="362">
        <v>567.0</v>
      </c>
      <c r="B568" s="18" t="s">
        <v>60</v>
      </c>
      <c r="C568" s="18" t="s">
        <v>4865</v>
      </c>
      <c r="D568" s="18" t="s">
        <v>4867</v>
      </c>
      <c r="E568" s="18" t="s">
        <v>3598</v>
      </c>
    </row>
    <row r="569">
      <c r="A569" s="362">
        <v>568.0</v>
      </c>
      <c r="B569" s="18" t="s">
        <v>102</v>
      </c>
      <c r="C569" s="18" t="s">
        <v>4869</v>
      </c>
      <c r="D569" s="18" t="s">
        <v>4867</v>
      </c>
      <c r="E569" s="18" t="s">
        <v>3598</v>
      </c>
    </row>
    <row r="570">
      <c r="A570" s="362">
        <v>569.0</v>
      </c>
      <c r="B570" s="18" t="s">
        <v>60</v>
      </c>
      <c r="C570" s="18" t="s">
        <v>4872</v>
      </c>
      <c r="D570" s="18" t="s">
        <v>4867</v>
      </c>
      <c r="E570" s="18" t="s">
        <v>3598</v>
      </c>
    </row>
    <row r="571">
      <c r="A571" s="362">
        <v>570.0</v>
      </c>
      <c r="B571" s="18" t="s">
        <v>102</v>
      </c>
      <c r="C571" s="18" t="s">
        <v>4875</v>
      </c>
      <c r="D571" s="18" t="s">
        <v>4867</v>
      </c>
      <c r="E571" s="18" t="s">
        <v>3598</v>
      </c>
    </row>
    <row r="572">
      <c r="A572" s="362">
        <v>571.0</v>
      </c>
      <c r="B572" s="18" t="s">
        <v>60</v>
      </c>
      <c r="C572" s="18" t="s">
        <v>4877</v>
      </c>
      <c r="D572" s="18" t="s">
        <v>4867</v>
      </c>
      <c r="E572" s="18" t="s">
        <v>3598</v>
      </c>
    </row>
    <row r="573">
      <c r="A573" s="362">
        <v>572.0</v>
      </c>
      <c r="B573" s="18" t="s">
        <v>102</v>
      </c>
      <c r="C573" s="18" t="s">
        <v>4880</v>
      </c>
      <c r="D573" s="18" t="s">
        <v>4867</v>
      </c>
      <c r="E573" s="18" t="s">
        <v>3598</v>
      </c>
    </row>
    <row r="574">
      <c r="A574" s="362">
        <v>573.0</v>
      </c>
      <c r="B574" s="18" t="s">
        <v>60</v>
      </c>
      <c r="C574" s="18" t="s">
        <v>4882</v>
      </c>
      <c r="D574" s="18" t="s">
        <v>4867</v>
      </c>
      <c r="E574" s="18" t="s">
        <v>3598</v>
      </c>
    </row>
    <row r="575">
      <c r="A575" s="362">
        <v>574.0</v>
      </c>
      <c r="B575" s="18" t="s">
        <v>60</v>
      </c>
      <c r="C575" s="18" t="s">
        <v>4887</v>
      </c>
      <c r="D575" s="18" t="s">
        <v>2979</v>
      </c>
      <c r="E575" s="18" t="s">
        <v>3598</v>
      </c>
    </row>
    <row r="576">
      <c r="A576" s="362">
        <v>575.0</v>
      </c>
      <c r="B576" s="18" t="s">
        <v>60</v>
      </c>
      <c r="C576" s="18" t="s">
        <v>4889</v>
      </c>
      <c r="D576" s="18" t="s">
        <v>2979</v>
      </c>
      <c r="E576" s="18" t="s">
        <v>3598</v>
      </c>
    </row>
    <row r="577">
      <c r="A577" s="362">
        <v>576.0</v>
      </c>
      <c r="B577" s="18" t="s">
        <v>102</v>
      </c>
      <c r="C577" s="18" t="s">
        <v>4891</v>
      </c>
      <c r="D577" s="18" t="s">
        <v>178</v>
      </c>
      <c r="E577" s="18" t="s">
        <v>3598</v>
      </c>
    </row>
    <row r="578">
      <c r="A578" s="362">
        <v>577.0</v>
      </c>
      <c r="B578" s="18" t="s">
        <v>60</v>
      </c>
      <c r="C578" s="18" t="s">
        <v>4894</v>
      </c>
      <c r="D578" s="18" t="s">
        <v>212</v>
      </c>
      <c r="E578" s="18" t="s">
        <v>3598</v>
      </c>
    </row>
    <row r="579">
      <c r="A579" s="362">
        <v>578.0</v>
      </c>
      <c r="B579" s="18" t="s">
        <v>60</v>
      </c>
      <c r="C579" s="18" t="s">
        <v>4896</v>
      </c>
      <c r="D579" s="18" t="s">
        <v>1431</v>
      </c>
      <c r="E579" s="18" t="s">
        <v>3598</v>
      </c>
    </row>
    <row r="580">
      <c r="A580" s="362">
        <v>579.0</v>
      </c>
      <c r="B580" s="18" t="s">
        <v>60</v>
      </c>
      <c r="C580" s="18" t="s">
        <v>4897</v>
      </c>
      <c r="D580" s="18" t="s">
        <v>726</v>
      </c>
      <c r="E580" s="18" t="s">
        <v>3598</v>
      </c>
    </row>
    <row r="581">
      <c r="A581" s="362">
        <v>580.0</v>
      </c>
      <c r="B581" s="18" t="s">
        <v>60</v>
      </c>
      <c r="C581" s="18" t="s">
        <v>4898</v>
      </c>
      <c r="D581" s="18" t="s">
        <v>287</v>
      </c>
      <c r="E581" s="18" t="s">
        <v>3598</v>
      </c>
    </row>
    <row r="582">
      <c r="A582" s="362">
        <v>581.0</v>
      </c>
      <c r="B582" s="18" t="s">
        <v>60</v>
      </c>
      <c r="C582" s="18" t="s">
        <v>4901</v>
      </c>
      <c r="D582" s="18" t="s">
        <v>178</v>
      </c>
      <c r="E582" s="18" t="s">
        <v>3598</v>
      </c>
    </row>
    <row r="583">
      <c r="A583" s="362">
        <v>582.0</v>
      </c>
      <c r="B583" s="18" t="s">
        <v>60</v>
      </c>
      <c r="C583" s="18" t="s">
        <v>4903</v>
      </c>
      <c r="D583" s="18" t="s">
        <v>302</v>
      </c>
      <c r="E583" s="18" t="s">
        <v>3598</v>
      </c>
    </row>
    <row r="584">
      <c r="A584" s="362">
        <v>583.0</v>
      </c>
      <c r="B584" s="18" t="s">
        <v>60</v>
      </c>
      <c r="C584" s="18" t="s">
        <v>4906</v>
      </c>
      <c r="D584" s="18" t="s">
        <v>139</v>
      </c>
      <c r="E584" s="18" t="s">
        <v>3598</v>
      </c>
    </row>
    <row r="585">
      <c r="A585" s="362">
        <v>584.0</v>
      </c>
      <c r="B585" s="18" t="s">
        <v>60</v>
      </c>
      <c r="C585" s="18" t="s">
        <v>4909</v>
      </c>
      <c r="D585" s="18" t="s">
        <v>139</v>
      </c>
      <c r="E585" s="18" t="s">
        <v>3598</v>
      </c>
    </row>
    <row r="586">
      <c r="A586" s="362">
        <v>585.0</v>
      </c>
      <c r="B586" s="18" t="s">
        <v>60</v>
      </c>
      <c r="C586" s="18" t="s">
        <v>4911</v>
      </c>
      <c r="D586" s="18" t="s">
        <v>2986</v>
      </c>
      <c r="E586" s="18" t="s">
        <v>3598</v>
      </c>
    </row>
    <row r="587">
      <c r="A587" s="362">
        <v>586.0</v>
      </c>
      <c r="B587" s="18" t="s">
        <v>656</v>
      </c>
      <c r="C587" s="18" t="s">
        <v>4914</v>
      </c>
      <c r="D587" s="18" t="s">
        <v>139</v>
      </c>
      <c r="E587" s="18" t="s">
        <v>3598</v>
      </c>
    </row>
    <row r="588">
      <c r="A588" s="362">
        <v>587.0</v>
      </c>
      <c r="B588" s="18" t="s">
        <v>656</v>
      </c>
      <c r="C588" s="18" t="s">
        <v>4915</v>
      </c>
      <c r="D588" s="18" t="s">
        <v>2986</v>
      </c>
      <c r="E588" s="18" t="s">
        <v>3598</v>
      </c>
    </row>
    <row r="589">
      <c r="A589" s="362">
        <v>588.0</v>
      </c>
      <c r="B589" s="18" t="s">
        <v>656</v>
      </c>
      <c r="C589" s="18" t="s">
        <v>4916</v>
      </c>
      <c r="D589" s="18" t="s">
        <v>139</v>
      </c>
      <c r="E589" s="18" t="s">
        <v>3598</v>
      </c>
    </row>
    <row r="590">
      <c r="A590" s="362">
        <v>589.0</v>
      </c>
      <c r="B590" s="18" t="s">
        <v>60</v>
      </c>
      <c r="C590" s="18" t="s">
        <v>4920</v>
      </c>
      <c r="D590" s="18" t="s">
        <v>2986</v>
      </c>
      <c r="E590" s="18" t="s">
        <v>3598</v>
      </c>
    </row>
    <row r="591">
      <c r="A591" s="362">
        <v>590.0</v>
      </c>
      <c r="B591" s="18" t="s">
        <v>60</v>
      </c>
      <c r="C591" s="18" t="s">
        <v>4922</v>
      </c>
      <c r="D591" s="18" t="s">
        <v>2929</v>
      </c>
      <c r="E591" s="18" t="s">
        <v>3598</v>
      </c>
    </row>
    <row r="592">
      <c r="A592" s="362">
        <v>591.0</v>
      </c>
      <c r="B592" s="18" t="s">
        <v>60</v>
      </c>
      <c r="C592" s="18" t="s">
        <v>4924</v>
      </c>
      <c r="D592" s="18" t="s">
        <v>295</v>
      </c>
      <c r="E592" s="18" t="s">
        <v>3598</v>
      </c>
    </row>
    <row r="593">
      <c r="A593" s="362">
        <v>592.0</v>
      </c>
      <c r="B593" s="18" t="s">
        <v>60</v>
      </c>
      <c r="C593" s="18" t="s">
        <v>4925</v>
      </c>
      <c r="D593" s="18" t="s">
        <v>178</v>
      </c>
      <c r="E593" s="18" t="s">
        <v>3598</v>
      </c>
    </row>
    <row r="594">
      <c r="A594" s="362">
        <v>593.0</v>
      </c>
      <c r="B594" s="18" t="s">
        <v>60</v>
      </c>
      <c r="C594" s="18" t="s">
        <v>3139</v>
      </c>
      <c r="D594" s="18" t="s">
        <v>139</v>
      </c>
      <c r="E594" s="18" t="s">
        <v>3598</v>
      </c>
    </row>
    <row r="595">
      <c r="A595" s="362">
        <v>594.0</v>
      </c>
      <c r="B595" s="18" t="s">
        <v>60</v>
      </c>
      <c r="C595" s="18" t="s">
        <v>4929</v>
      </c>
      <c r="D595" s="18" t="s">
        <v>3938</v>
      </c>
      <c r="E595" s="18" t="s">
        <v>3598</v>
      </c>
    </row>
    <row r="596">
      <c r="A596" s="362">
        <v>595.0</v>
      </c>
      <c r="B596" s="18" t="s">
        <v>60</v>
      </c>
      <c r="C596" s="18" t="s">
        <v>4931</v>
      </c>
      <c r="D596" s="18" t="s">
        <v>2986</v>
      </c>
      <c r="E596" s="18" t="s">
        <v>3598</v>
      </c>
    </row>
    <row r="597">
      <c r="A597" s="362">
        <v>596.0</v>
      </c>
      <c r="B597" s="18" t="s">
        <v>60</v>
      </c>
      <c r="C597" s="18" t="s">
        <v>4933</v>
      </c>
      <c r="D597" s="18" t="s">
        <v>287</v>
      </c>
      <c r="E597" s="18" t="s">
        <v>3598</v>
      </c>
    </row>
    <row r="598">
      <c r="A598" s="362">
        <v>597.0</v>
      </c>
      <c r="B598" s="18" t="s">
        <v>60</v>
      </c>
      <c r="C598" s="18" t="s">
        <v>4935</v>
      </c>
      <c r="D598" s="18" t="s">
        <v>201</v>
      </c>
      <c r="E598" s="18" t="s">
        <v>3598</v>
      </c>
    </row>
    <row r="599">
      <c r="A599" s="362">
        <v>598.0</v>
      </c>
      <c r="B599" s="18" t="s">
        <v>60</v>
      </c>
      <c r="C599" s="18" t="s">
        <v>4936</v>
      </c>
      <c r="D599" s="18" t="s">
        <v>139</v>
      </c>
      <c r="E599" s="18" t="s">
        <v>3598</v>
      </c>
    </row>
    <row r="600">
      <c r="A600" s="362">
        <v>599.0</v>
      </c>
      <c r="B600" s="18" t="s">
        <v>60</v>
      </c>
      <c r="C600" s="18" t="s">
        <v>4940</v>
      </c>
      <c r="D600" s="18" t="s">
        <v>139</v>
      </c>
      <c r="E600" s="18" t="s">
        <v>3598</v>
      </c>
    </row>
    <row r="601">
      <c r="A601" s="362">
        <v>600.0</v>
      </c>
      <c r="B601" s="18" t="s">
        <v>60</v>
      </c>
      <c r="C601" s="18" t="s">
        <v>4943</v>
      </c>
      <c r="D601" s="18" t="s">
        <v>139</v>
      </c>
      <c r="E601" s="18" t="s">
        <v>3598</v>
      </c>
    </row>
    <row r="602">
      <c r="A602" s="362">
        <v>601.0</v>
      </c>
      <c r="B602" s="18" t="s">
        <v>60</v>
      </c>
      <c r="C602" s="18" t="s">
        <v>4944</v>
      </c>
      <c r="D602" s="18" t="s">
        <v>139</v>
      </c>
      <c r="E602" s="18" t="s">
        <v>3598</v>
      </c>
    </row>
    <row r="603">
      <c r="A603" s="362">
        <v>602.0</v>
      </c>
      <c r="B603" s="18" t="s">
        <v>60</v>
      </c>
      <c r="C603" s="18" t="s">
        <v>4948</v>
      </c>
      <c r="D603" s="18" t="s">
        <v>2986</v>
      </c>
      <c r="E603" s="18" t="s">
        <v>3598</v>
      </c>
    </row>
    <row r="604">
      <c r="A604" s="362">
        <v>603.0</v>
      </c>
      <c r="B604" s="18" t="s">
        <v>60</v>
      </c>
      <c r="C604" s="18" t="s">
        <v>4949</v>
      </c>
      <c r="D604" s="18" t="s">
        <v>321</v>
      </c>
      <c r="E604" s="18" t="s">
        <v>3598</v>
      </c>
    </row>
    <row r="605">
      <c r="A605" s="362">
        <v>604.0</v>
      </c>
      <c r="B605" s="18" t="s">
        <v>326</v>
      </c>
      <c r="C605" s="18" t="s">
        <v>4952</v>
      </c>
      <c r="D605" s="18" t="s">
        <v>2986</v>
      </c>
      <c r="E605" s="18" t="s">
        <v>3598</v>
      </c>
    </row>
    <row r="606">
      <c r="A606" s="362">
        <v>605.0</v>
      </c>
      <c r="B606" s="18" t="s">
        <v>60</v>
      </c>
      <c r="C606" s="18" t="s">
        <v>4955</v>
      </c>
      <c r="D606" s="18" t="s">
        <v>3938</v>
      </c>
      <c r="E606" s="18" t="s">
        <v>3598</v>
      </c>
    </row>
    <row r="607">
      <c r="A607" s="362">
        <v>606.0</v>
      </c>
      <c r="B607" s="18" t="s">
        <v>60</v>
      </c>
      <c r="C607" s="18" t="s">
        <v>4958</v>
      </c>
      <c r="D607" s="18" t="s">
        <v>178</v>
      </c>
      <c r="E607" s="18" t="s">
        <v>3598</v>
      </c>
    </row>
    <row r="608">
      <c r="A608" s="362">
        <v>607.0</v>
      </c>
      <c r="B608" s="18" t="s">
        <v>60</v>
      </c>
      <c r="C608" s="18" t="s">
        <v>4959</v>
      </c>
      <c r="D608" s="18" t="s">
        <v>187</v>
      </c>
      <c r="E608" s="18" t="s">
        <v>3598</v>
      </c>
    </row>
    <row r="609">
      <c r="A609" s="362">
        <v>608.0</v>
      </c>
      <c r="B609" s="18" t="s">
        <v>60</v>
      </c>
      <c r="C609" s="18" t="s">
        <v>4960</v>
      </c>
      <c r="D609" s="18" t="s">
        <v>139</v>
      </c>
      <c r="E609" s="18" t="s">
        <v>3598</v>
      </c>
    </row>
    <row r="610">
      <c r="A610" s="362">
        <v>609.0</v>
      </c>
      <c r="B610" s="18" t="s">
        <v>60</v>
      </c>
      <c r="C610" s="18" t="s">
        <v>4963</v>
      </c>
      <c r="D610" s="18" t="s">
        <v>2929</v>
      </c>
      <c r="E610" s="18" t="s">
        <v>3598</v>
      </c>
    </row>
    <row r="611">
      <c r="A611" s="362">
        <v>610.0</v>
      </c>
      <c r="B611" s="18" t="s">
        <v>60</v>
      </c>
      <c r="C611" s="18" t="s">
        <v>4966</v>
      </c>
      <c r="D611" s="18" t="s">
        <v>3938</v>
      </c>
      <c r="E611" s="18" t="s">
        <v>3598</v>
      </c>
    </row>
    <row r="612">
      <c r="A612" s="362">
        <v>611.0</v>
      </c>
      <c r="B612" s="18" t="s">
        <v>60</v>
      </c>
      <c r="C612" s="18" t="s">
        <v>4970</v>
      </c>
      <c r="D612" s="18" t="s">
        <v>58</v>
      </c>
      <c r="E612" s="18" t="s">
        <v>3598</v>
      </c>
    </row>
    <row r="613">
      <c r="A613" s="362">
        <v>612.0</v>
      </c>
      <c r="B613" s="18" t="s">
        <v>60</v>
      </c>
      <c r="C613" s="18" t="s">
        <v>3228</v>
      </c>
      <c r="D613" s="18" t="s">
        <v>178</v>
      </c>
      <c r="E613" s="18" t="s">
        <v>3598</v>
      </c>
    </row>
    <row r="614">
      <c r="A614" s="362">
        <v>613.0</v>
      </c>
      <c r="B614" s="18" t="s">
        <v>60</v>
      </c>
      <c r="C614" s="18" t="s">
        <v>4971</v>
      </c>
      <c r="D614" s="18" t="s">
        <v>4972</v>
      </c>
      <c r="E614" s="18" t="s">
        <v>3598</v>
      </c>
    </row>
    <row r="615">
      <c r="A615" s="362">
        <v>614.0</v>
      </c>
      <c r="B615" s="18" t="s">
        <v>60</v>
      </c>
      <c r="C615" s="18" t="s">
        <v>3237</v>
      </c>
      <c r="D615" s="18" t="s">
        <v>139</v>
      </c>
      <c r="E615" s="18" t="s">
        <v>3598</v>
      </c>
    </row>
    <row r="616">
      <c r="A616" s="362">
        <v>615.0</v>
      </c>
      <c r="B616" s="18" t="s">
        <v>610</v>
      </c>
      <c r="C616" s="18" t="s">
        <v>4975</v>
      </c>
      <c r="D616" s="18" t="s">
        <v>187</v>
      </c>
      <c r="E616" s="18" t="s">
        <v>3598</v>
      </c>
    </row>
    <row r="617">
      <c r="A617" s="362">
        <v>616.0</v>
      </c>
      <c r="B617" s="18" t="s">
        <v>504</v>
      </c>
      <c r="C617" s="18" t="s">
        <v>4978</v>
      </c>
      <c r="D617" s="18" t="s">
        <v>139</v>
      </c>
      <c r="E617" s="18" t="s">
        <v>3598</v>
      </c>
    </row>
    <row r="618">
      <c r="A618" s="362">
        <v>617.0</v>
      </c>
      <c r="B618" s="18" t="s">
        <v>60</v>
      </c>
      <c r="C618" s="18" t="s">
        <v>4979</v>
      </c>
      <c r="D618" s="18" t="s">
        <v>2929</v>
      </c>
      <c r="E618" s="18" t="s">
        <v>3598</v>
      </c>
    </row>
    <row r="619">
      <c r="A619" s="362">
        <v>618.0</v>
      </c>
      <c r="B619" s="18" t="s">
        <v>102</v>
      </c>
      <c r="C619" s="18" t="s">
        <v>4980</v>
      </c>
      <c r="D619" s="18" t="s">
        <v>4298</v>
      </c>
      <c r="E619" s="18" t="s">
        <v>3598</v>
      </c>
    </row>
    <row r="620">
      <c r="A620" s="362">
        <v>619.0</v>
      </c>
      <c r="B620" s="18" t="s">
        <v>60</v>
      </c>
      <c r="C620" s="18" t="s">
        <v>4983</v>
      </c>
      <c r="D620" s="18" t="s">
        <v>201</v>
      </c>
      <c r="E620" s="18" t="s">
        <v>3598</v>
      </c>
    </row>
    <row r="621">
      <c r="A621" s="362">
        <v>620.0</v>
      </c>
      <c r="B621" s="18" t="s">
        <v>60</v>
      </c>
      <c r="C621" s="18" t="s">
        <v>4987</v>
      </c>
      <c r="D621" s="18" t="s">
        <v>201</v>
      </c>
      <c r="E621" s="18" t="s">
        <v>3598</v>
      </c>
    </row>
    <row r="622">
      <c r="A622" s="362">
        <v>621.0</v>
      </c>
      <c r="B622" s="18" t="s">
        <v>360</v>
      </c>
      <c r="C622" s="18" t="s">
        <v>4990</v>
      </c>
      <c r="D622" s="18" t="s">
        <v>119</v>
      </c>
      <c r="E622" s="18" t="s">
        <v>3598</v>
      </c>
    </row>
    <row r="623">
      <c r="A623" s="362">
        <v>622.0</v>
      </c>
      <c r="B623" s="18" t="s">
        <v>326</v>
      </c>
      <c r="C623" s="18" t="s">
        <v>4992</v>
      </c>
      <c r="D623" s="18" t="s">
        <v>178</v>
      </c>
      <c r="E623" s="18" t="s">
        <v>3598</v>
      </c>
    </row>
    <row r="624">
      <c r="A624" s="362">
        <v>623.0</v>
      </c>
      <c r="B624" s="18" t="s">
        <v>60</v>
      </c>
      <c r="C624" s="18" t="s">
        <v>4993</v>
      </c>
      <c r="D624" s="18" t="s">
        <v>139</v>
      </c>
      <c r="E624" s="18" t="s">
        <v>3598</v>
      </c>
    </row>
    <row r="625">
      <c r="A625" s="362">
        <v>624.0</v>
      </c>
      <c r="B625" s="18" t="s">
        <v>60</v>
      </c>
      <c r="C625" s="18" t="s">
        <v>4995</v>
      </c>
      <c r="D625" s="18" t="s">
        <v>2986</v>
      </c>
      <c r="E625" s="18" t="s">
        <v>3598</v>
      </c>
    </row>
    <row r="626">
      <c r="A626" s="362">
        <v>625.0</v>
      </c>
      <c r="B626" s="18" t="s">
        <v>60</v>
      </c>
      <c r="C626" s="18" t="s">
        <v>4997</v>
      </c>
      <c r="D626" s="18" t="s">
        <v>139</v>
      </c>
      <c r="E626" s="18" t="s">
        <v>3598</v>
      </c>
    </row>
    <row r="627">
      <c r="A627" s="362">
        <v>626.0</v>
      </c>
      <c r="B627" s="18" t="s">
        <v>60</v>
      </c>
      <c r="C627" s="18" t="s">
        <v>4998</v>
      </c>
      <c r="D627" s="18" t="s">
        <v>2986</v>
      </c>
      <c r="E627" s="18" t="s">
        <v>3598</v>
      </c>
    </row>
    <row r="628">
      <c r="A628" s="362">
        <v>627.0</v>
      </c>
      <c r="B628" s="18" t="s">
        <v>60</v>
      </c>
      <c r="C628" s="18" t="s">
        <v>4999</v>
      </c>
      <c r="D628" s="18" t="s">
        <v>3938</v>
      </c>
      <c r="E628" s="18" t="s">
        <v>3598</v>
      </c>
    </row>
    <row r="629">
      <c r="A629" s="362">
        <v>628.0</v>
      </c>
      <c r="B629" s="18" t="s">
        <v>60</v>
      </c>
      <c r="C629" s="18" t="s">
        <v>5001</v>
      </c>
      <c r="D629" s="18" t="s">
        <v>2986</v>
      </c>
      <c r="E629" s="18" t="s">
        <v>3598</v>
      </c>
    </row>
    <row r="630">
      <c r="A630" s="362">
        <v>629.0</v>
      </c>
      <c r="B630" s="18" t="s">
        <v>60</v>
      </c>
      <c r="C630" s="18" t="s">
        <v>5005</v>
      </c>
      <c r="D630" s="18" t="s">
        <v>321</v>
      </c>
      <c r="E630" s="18" t="s">
        <v>3598</v>
      </c>
    </row>
    <row r="631">
      <c r="A631" s="362">
        <v>630.0</v>
      </c>
      <c r="B631" s="18" t="s">
        <v>60</v>
      </c>
      <c r="C631" s="18" t="s">
        <v>5007</v>
      </c>
      <c r="D631" s="18" t="s">
        <v>2929</v>
      </c>
      <c r="E631" s="18" t="s">
        <v>3598</v>
      </c>
    </row>
    <row r="632">
      <c r="A632" s="362">
        <v>631.0</v>
      </c>
      <c r="B632" s="18" t="s">
        <v>60</v>
      </c>
      <c r="C632" s="18" t="s">
        <v>5008</v>
      </c>
      <c r="D632" s="18" t="s">
        <v>2986</v>
      </c>
      <c r="E632" s="18" t="s">
        <v>3598</v>
      </c>
    </row>
    <row r="633">
      <c r="A633" s="362">
        <v>632.0</v>
      </c>
      <c r="B633" s="18" t="s">
        <v>60</v>
      </c>
      <c r="C633" s="18" t="s">
        <v>5010</v>
      </c>
      <c r="D633" s="18" t="s">
        <v>58</v>
      </c>
      <c r="E633" s="18" t="s">
        <v>3598</v>
      </c>
    </row>
    <row r="634">
      <c r="A634" s="362">
        <v>633.0</v>
      </c>
      <c r="B634" s="18" t="s">
        <v>102</v>
      </c>
      <c r="C634" s="18" t="s">
        <v>5013</v>
      </c>
      <c r="D634" s="18" t="s">
        <v>178</v>
      </c>
      <c r="E634" s="18" t="s">
        <v>3598</v>
      </c>
    </row>
    <row r="635">
      <c r="A635" s="362">
        <v>634.0</v>
      </c>
      <c r="B635" s="18" t="s">
        <v>102</v>
      </c>
      <c r="C635" s="18" t="s">
        <v>5015</v>
      </c>
      <c r="D635" s="18" t="s">
        <v>4867</v>
      </c>
      <c r="E635" s="18" t="s">
        <v>3598</v>
      </c>
    </row>
    <row r="636">
      <c r="A636" s="362">
        <v>635.0</v>
      </c>
      <c r="B636" s="18" t="s">
        <v>60</v>
      </c>
      <c r="C636" s="18" t="s">
        <v>5017</v>
      </c>
      <c r="D636" s="18" t="s">
        <v>2979</v>
      </c>
      <c r="E636" s="18" t="s">
        <v>3598</v>
      </c>
    </row>
    <row r="637">
      <c r="A637" s="362">
        <v>636.0</v>
      </c>
      <c r="B637" s="18" t="s">
        <v>60</v>
      </c>
      <c r="C637" s="18" t="s">
        <v>5018</v>
      </c>
      <c r="D637" s="18" t="s">
        <v>2660</v>
      </c>
      <c r="E637" s="18" t="s">
        <v>3598</v>
      </c>
    </row>
    <row r="638">
      <c r="A638" s="362">
        <v>637.0</v>
      </c>
      <c r="B638" s="18" t="s">
        <v>102</v>
      </c>
      <c r="C638" s="18" t="s">
        <v>5021</v>
      </c>
      <c r="D638" s="18" t="s">
        <v>178</v>
      </c>
      <c r="E638" s="18" t="s">
        <v>3598</v>
      </c>
    </row>
    <row r="639">
      <c r="A639" s="362">
        <v>638.0</v>
      </c>
      <c r="B639" s="18" t="s">
        <v>60</v>
      </c>
      <c r="C639" s="18" t="s">
        <v>5022</v>
      </c>
      <c r="D639" s="18" t="s">
        <v>1466</v>
      </c>
      <c r="E639" s="18" t="s">
        <v>3598</v>
      </c>
    </row>
    <row r="640">
      <c r="A640" s="362">
        <v>639.0</v>
      </c>
      <c r="B640" s="18" t="s">
        <v>60</v>
      </c>
      <c r="C640" s="18" t="s">
        <v>5023</v>
      </c>
      <c r="D640" s="18" t="s">
        <v>331</v>
      </c>
      <c r="E640" s="18" t="s">
        <v>3598</v>
      </c>
    </row>
    <row r="641">
      <c r="A641" s="362">
        <v>640.0</v>
      </c>
      <c r="B641" s="18" t="s">
        <v>60</v>
      </c>
      <c r="C641" s="18" t="s">
        <v>5024</v>
      </c>
      <c r="D641" s="18" t="s">
        <v>331</v>
      </c>
      <c r="E641" s="18" t="s">
        <v>3598</v>
      </c>
    </row>
    <row r="642">
      <c r="A642" s="362">
        <v>641.0</v>
      </c>
      <c r="B642" s="18" t="s">
        <v>60</v>
      </c>
      <c r="C642" s="18" t="s">
        <v>5025</v>
      </c>
      <c r="D642" s="18" t="s">
        <v>187</v>
      </c>
      <c r="E642" s="18" t="s">
        <v>3598</v>
      </c>
    </row>
    <row r="643">
      <c r="A643" s="362">
        <v>642.0</v>
      </c>
      <c r="B643" s="18" t="s">
        <v>60</v>
      </c>
      <c r="C643" s="18" t="s">
        <v>5026</v>
      </c>
      <c r="D643" s="18" t="s">
        <v>187</v>
      </c>
      <c r="E643" s="18" t="s">
        <v>3598</v>
      </c>
    </row>
    <row r="644">
      <c r="A644" s="362">
        <v>643.0</v>
      </c>
      <c r="B644" s="18" t="s">
        <v>656</v>
      </c>
      <c r="C644" s="18" t="s">
        <v>5027</v>
      </c>
      <c r="D644" s="18" t="s">
        <v>321</v>
      </c>
      <c r="E644" s="18" t="s">
        <v>3598</v>
      </c>
    </row>
    <row r="645">
      <c r="A645" s="362">
        <v>644.0</v>
      </c>
      <c r="B645" s="18" t="s">
        <v>360</v>
      </c>
      <c r="C645" s="18" t="s">
        <v>5033</v>
      </c>
      <c r="D645" s="18" t="s">
        <v>1345</v>
      </c>
      <c r="E645" s="18" t="s">
        <v>3598</v>
      </c>
    </row>
    <row r="646">
      <c r="A646" s="362">
        <v>645.0</v>
      </c>
      <c r="B646" s="18" t="s">
        <v>60</v>
      </c>
      <c r="C646" s="18" t="s">
        <v>5034</v>
      </c>
      <c r="D646" s="18" t="s">
        <v>287</v>
      </c>
      <c r="E646" s="18" t="s">
        <v>3598</v>
      </c>
    </row>
    <row r="647">
      <c r="A647" s="362">
        <v>646.0</v>
      </c>
      <c r="B647" s="18" t="s">
        <v>60</v>
      </c>
      <c r="C647" s="18" t="s">
        <v>5035</v>
      </c>
      <c r="D647" s="18" t="s">
        <v>331</v>
      </c>
      <c r="E647" s="18" t="s">
        <v>3598</v>
      </c>
    </row>
    <row r="648">
      <c r="A648" s="362">
        <v>647.0</v>
      </c>
      <c r="B648" s="18" t="s">
        <v>102</v>
      </c>
      <c r="C648" s="18" t="s">
        <v>5038</v>
      </c>
      <c r="D648" s="18" t="s">
        <v>5040</v>
      </c>
      <c r="E648" s="18" t="s">
        <v>3598</v>
      </c>
    </row>
    <row r="649">
      <c r="A649" s="362">
        <v>648.0</v>
      </c>
      <c r="B649" s="18" t="s">
        <v>326</v>
      </c>
      <c r="C649" s="18" t="s">
        <v>5041</v>
      </c>
      <c r="D649" s="18" t="s">
        <v>1431</v>
      </c>
      <c r="E649" s="18" t="s">
        <v>3598</v>
      </c>
    </row>
    <row r="650">
      <c r="A650" s="362">
        <v>649.0</v>
      </c>
      <c r="B650" s="18" t="s">
        <v>60</v>
      </c>
      <c r="C650" s="18" t="s">
        <v>5042</v>
      </c>
      <c r="D650" s="18" t="s">
        <v>1431</v>
      </c>
      <c r="E650" s="18" t="s">
        <v>3598</v>
      </c>
    </row>
    <row r="651">
      <c r="A651" s="362">
        <v>650.0</v>
      </c>
      <c r="B651" s="18" t="s">
        <v>326</v>
      </c>
      <c r="C651" s="18" t="s">
        <v>5043</v>
      </c>
      <c r="D651" s="18" t="s">
        <v>3761</v>
      </c>
      <c r="E651" s="18" t="s">
        <v>3598</v>
      </c>
    </row>
    <row r="652">
      <c r="A652" s="362">
        <v>651.0</v>
      </c>
      <c r="B652" s="18" t="s">
        <v>60</v>
      </c>
      <c r="C652" s="18" t="s">
        <v>5046</v>
      </c>
      <c r="D652" s="18" t="s">
        <v>3761</v>
      </c>
      <c r="E652" s="18" t="s">
        <v>3598</v>
      </c>
    </row>
    <row r="653">
      <c r="A653" s="362">
        <v>652.0</v>
      </c>
      <c r="B653" s="18" t="s">
        <v>60</v>
      </c>
      <c r="C653" s="18" t="s">
        <v>5047</v>
      </c>
      <c r="D653" s="18" t="s">
        <v>786</v>
      </c>
      <c r="E653" s="18" t="s">
        <v>3598</v>
      </c>
    </row>
    <row r="654">
      <c r="A654" s="362">
        <v>653.0</v>
      </c>
      <c r="B654" s="18" t="s">
        <v>60</v>
      </c>
      <c r="C654" s="18" t="s">
        <v>5050</v>
      </c>
      <c r="D654" s="18" t="s">
        <v>786</v>
      </c>
      <c r="E654" s="18" t="s">
        <v>3598</v>
      </c>
    </row>
    <row r="655">
      <c r="A655" s="362">
        <v>654.0</v>
      </c>
      <c r="B655" s="18" t="s">
        <v>60</v>
      </c>
      <c r="C655" s="18" t="s">
        <v>5052</v>
      </c>
      <c r="D655" s="18" t="s">
        <v>1536</v>
      </c>
      <c r="E655" s="18" t="s">
        <v>3598</v>
      </c>
    </row>
    <row r="656">
      <c r="A656" s="362">
        <v>655.0</v>
      </c>
      <c r="B656" s="18" t="s">
        <v>60</v>
      </c>
      <c r="C656" s="18" t="s">
        <v>5054</v>
      </c>
      <c r="D656" s="18" t="s">
        <v>201</v>
      </c>
      <c r="E656" s="18" t="s">
        <v>3598</v>
      </c>
    </row>
    <row r="657">
      <c r="A657" s="362">
        <v>656.0</v>
      </c>
      <c r="B657" s="18" t="s">
        <v>60</v>
      </c>
      <c r="C657" s="18" t="s">
        <v>5055</v>
      </c>
      <c r="D657" s="18" t="s">
        <v>201</v>
      </c>
      <c r="E657" s="18" t="s">
        <v>3598</v>
      </c>
    </row>
    <row r="658">
      <c r="A658" s="362">
        <v>657.0</v>
      </c>
      <c r="B658" s="18" t="s">
        <v>102</v>
      </c>
      <c r="C658" s="18" t="s">
        <v>5057</v>
      </c>
      <c r="D658" s="18" t="s">
        <v>178</v>
      </c>
      <c r="E658" s="18" t="s">
        <v>3598</v>
      </c>
    </row>
    <row r="659">
      <c r="A659" s="362">
        <v>658.0</v>
      </c>
      <c r="B659" s="18" t="s">
        <v>60</v>
      </c>
      <c r="C659" s="18" t="s">
        <v>5058</v>
      </c>
      <c r="D659" s="18" t="s">
        <v>4753</v>
      </c>
      <c r="E659" s="18" t="s">
        <v>3598</v>
      </c>
    </row>
    <row r="660">
      <c r="A660" s="362">
        <v>659.0</v>
      </c>
      <c r="B660" s="18" t="s">
        <v>60</v>
      </c>
      <c r="C660" s="18" t="s">
        <v>5060</v>
      </c>
      <c r="D660" s="18" t="s">
        <v>5061</v>
      </c>
      <c r="E660" s="18" t="s">
        <v>3598</v>
      </c>
    </row>
    <row r="661">
      <c r="A661" s="362">
        <v>660.0</v>
      </c>
      <c r="B661" s="18" t="s">
        <v>656</v>
      </c>
      <c r="C661" s="18" t="s">
        <v>5064</v>
      </c>
      <c r="D661" s="18" t="s">
        <v>5066</v>
      </c>
      <c r="E661" s="18" t="s">
        <v>3598</v>
      </c>
    </row>
    <row r="662">
      <c r="A662" s="362">
        <v>661.0</v>
      </c>
      <c r="B662" s="18" t="s">
        <v>60</v>
      </c>
      <c r="C662" s="18" t="s">
        <v>5069</v>
      </c>
      <c r="D662" s="18" t="s">
        <v>2197</v>
      </c>
      <c r="E662" s="18" t="s">
        <v>3598</v>
      </c>
    </row>
    <row r="663">
      <c r="A663" s="362">
        <v>662.0</v>
      </c>
      <c r="B663" s="18" t="s">
        <v>60</v>
      </c>
      <c r="C663" s="18" t="s">
        <v>5071</v>
      </c>
      <c r="D663" s="18" t="s">
        <v>152</v>
      </c>
      <c r="E663" s="18" t="s">
        <v>3598</v>
      </c>
    </row>
    <row r="664">
      <c r="A664" s="362">
        <v>663.0</v>
      </c>
      <c r="B664" s="18" t="s">
        <v>60</v>
      </c>
      <c r="C664" s="18" t="s">
        <v>5074</v>
      </c>
      <c r="D664" s="18" t="s">
        <v>2986</v>
      </c>
      <c r="E664" s="18" t="s">
        <v>3598</v>
      </c>
    </row>
    <row r="665">
      <c r="A665" s="362">
        <v>664.0</v>
      </c>
      <c r="B665" s="18" t="s">
        <v>102</v>
      </c>
      <c r="C665" s="18" t="s">
        <v>5075</v>
      </c>
      <c r="D665" s="18" t="s">
        <v>139</v>
      </c>
      <c r="E665" s="18" t="s">
        <v>3598</v>
      </c>
    </row>
    <row r="666">
      <c r="A666" s="362">
        <v>665.0</v>
      </c>
      <c r="B666" s="18" t="s">
        <v>60</v>
      </c>
      <c r="C666" s="18" t="s">
        <v>5076</v>
      </c>
      <c r="D666" s="18" t="s">
        <v>201</v>
      </c>
      <c r="E666" s="18" t="s">
        <v>3598</v>
      </c>
    </row>
    <row r="667">
      <c r="A667" s="362">
        <v>666.0</v>
      </c>
      <c r="B667" s="18" t="s">
        <v>60</v>
      </c>
      <c r="C667" s="18" t="s">
        <v>5079</v>
      </c>
      <c r="D667" s="18" t="s">
        <v>139</v>
      </c>
      <c r="E667" s="18" t="s">
        <v>3598</v>
      </c>
    </row>
    <row r="668">
      <c r="A668" s="362">
        <v>667.0</v>
      </c>
      <c r="B668" s="18" t="s">
        <v>656</v>
      </c>
      <c r="C668" s="18" t="s">
        <v>5081</v>
      </c>
      <c r="D668" s="18" t="s">
        <v>187</v>
      </c>
      <c r="E668" s="18" t="s">
        <v>3598</v>
      </c>
    </row>
    <row r="669">
      <c r="A669" s="362">
        <v>668.0</v>
      </c>
      <c r="B669" s="18" t="s">
        <v>60</v>
      </c>
      <c r="C669" s="18" t="s">
        <v>5083</v>
      </c>
      <c r="D669" s="18" t="s">
        <v>3938</v>
      </c>
      <c r="E669" s="18" t="s">
        <v>3598</v>
      </c>
    </row>
    <row r="670">
      <c r="A670" s="362">
        <v>669.0</v>
      </c>
      <c r="B670" s="18" t="s">
        <v>102</v>
      </c>
      <c r="C670" s="18" t="s">
        <v>5086</v>
      </c>
      <c r="D670" s="18" t="s">
        <v>119</v>
      </c>
      <c r="E670" s="18" t="s">
        <v>3598</v>
      </c>
    </row>
    <row r="671">
      <c r="A671" s="362">
        <v>670.0</v>
      </c>
      <c r="B671" s="18" t="s">
        <v>60</v>
      </c>
      <c r="C671" s="18" t="s">
        <v>3109</v>
      </c>
      <c r="D671" s="18" t="s">
        <v>139</v>
      </c>
      <c r="E671" s="18" t="s">
        <v>3598</v>
      </c>
    </row>
    <row r="672">
      <c r="A672" s="362">
        <v>671.0</v>
      </c>
      <c r="B672" s="18" t="s">
        <v>60</v>
      </c>
      <c r="C672" s="18" t="s">
        <v>5089</v>
      </c>
      <c r="D672" s="18" t="s">
        <v>3938</v>
      </c>
      <c r="E672" s="18" t="s">
        <v>3598</v>
      </c>
    </row>
    <row r="673">
      <c r="A673" s="362">
        <v>672.0</v>
      </c>
      <c r="B673" s="18" t="s">
        <v>60</v>
      </c>
      <c r="C673" s="18" t="s">
        <v>3209</v>
      </c>
      <c r="D673" s="18" t="s">
        <v>321</v>
      </c>
      <c r="E673" s="18" t="s">
        <v>3598</v>
      </c>
    </row>
    <row r="674">
      <c r="A674" s="362">
        <v>673.0</v>
      </c>
      <c r="B674" s="18" t="s">
        <v>102</v>
      </c>
      <c r="C674" s="18" t="s">
        <v>5096</v>
      </c>
      <c r="D674" s="18" t="s">
        <v>170</v>
      </c>
      <c r="E674" s="18" t="s">
        <v>3598</v>
      </c>
    </row>
    <row r="675">
      <c r="A675" s="362">
        <v>674.0</v>
      </c>
      <c r="B675" s="18" t="s">
        <v>326</v>
      </c>
      <c r="C675" s="18" t="s">
        <v>5098</v>
      </c>
      <c r="D675" s="18" t="s">
        <v>139</v>
      </c>
      <c r="E675" s="18" t="s">
        <v>3598</v>
      </c>
    </row>
    <row r="676">
      <c r="A676" s="362">
        <v>675.0</v>
      </c>
      <c r="B676" s="18" t="s">
        <v>60</v>
      </c>
      <c r="C676" s="18" t="s">
        <v>5099</v>
      </c>
      <c r="D676" s="18" t="s">
        <v>2986</v>
      </c>
      <c r="E676" s="18" t="s">
        <v>3598</v>
      </c>
    </row>
    <row r="677">
      <c r="A677" s="362">
        <v>676.0</v>
      </c>
      <c r="B677" s="18" t="s">
        <v>102</v>
      </c>
      <c r="C677" s="18" t="s">
        <v>5100</v>
      </c>
      <c r="D677" s="18" t="s">
        <v>1924</v>
      </c>
      <c r="E677" s="18" t="s">
        <v>3598</v>
      </c>
    </row>
    <row r="678">
      <c r="A678" s="362">
        <v>677.0</v>
      </c>
      <c r="B678" s="18" t="s">
        <v>60</v>
      </c>
      <c r="C678" s="18" t="s">
        <v>5102</v>
      </c>
      <c r="D678" s="18" t="s">
        <v>139</v>
      </c>
      <c r="E678" s="18" t="s">
        <v>3598</v>
      </c>
    </row>
    <row r="679">
      <c r="A679" s="362">
        <v>678.0</v>
      </c>
      <c r="B679" s="18" t="s">
        <v>102</v>
      </c>
      <c r="C679" s="18" t="s">
        <v>3311</v>
      </c>
      <c r="D679" s="18" t="s">
        <v>178</v>
      </c>
      <c r="E679" s="18" t="s">
        <v>3598</v>
      </c>
    </row>
    <row r="680">
      <c r="A680" s="362">
        <v>679.0</v>
      </c>
      <c r="B680" s="18" t="s">
        <v>102</v>
      </c>
      <c r="C680" s="18" t="s">
        <v>5110</v>
      </c>
      <c r="D680" s="18" t="s">
        <v>178</v>
      </c>
      <c r="E680" s="18" t="s">
        <v>3598</v>
      </c>
    </row>
    <row r="681">
      <c r="A681" s="362">
        <v>680.0</v>
      </c>
      <c r="B681" s="18" t="s">
        <v>60</v>
      </c>
      <c r="C681" s="18" t="s">
        <v>5111</v>
      </c>
      <c r="D681" s="18" t="s">
        <v>58</v>
      </c>
      <c r="E681" s="18" t="s">
        <v>3598</v>
      </c>
    </row>
    <row r="682">
      <c r="A682" s="362">
        <v>681.0</v>
      </c>
      <c r="B682" s="18" t="s">
        <v>102</v>
      </c>
      <c r="C682" s="18" t="s">
        <v>5114</v>
      </c>
      <c r="D682" s="18" t="s">
        <v>1924</v>
      </c>
      <c r="E682" s="18" t="s">
        <v>3598</v>
      </c>
    </row>
    <row r="683">
      <c r="A683" s="362">
        <v>682.0</v>
      </c>
      <c r="B683" s="18" t="s">
        <v>60</v>
      </c>
      <c r="C683" s="18" t="s">
        <v>5117</v>
      </c>
      <c r="D683" s="18" t="s">
        <v>321</v>
      </c>
      <c r="E683" s="18" t="s">
        <v>3598</v>
      </c>
    </row>
    <row r="684">
      <c r="A684" s="362">
        <v>683.0</v>
      </c>
      <c r="B684" s="18" t="s">
        <v>60</v>
      </c>
      <c r="C684" s="18" t="s">
        <v>5119</v>
      </c>
      <c r="D684" s="18" t="s">
        <v>187</v>
      </c>
      <c r="E684" s="18" t="s">
        <v>3598</v>
      </c>
    </row>
    <row r="685">
      <c r="A685" s="362">
        <v>684.0</v>
      </c>
      <c r="B685" s="18" t="s">
        <v>60</v>
      </c>
      <c r="C685" s="18" t="s">
        <v>5120</v>
      </c>
      <c r="D685" s="18" t="s">
        <v>331</v>
      </c>
      <c r="E685" s="18" t="s">
        <v>3598</v>
      </c>
    </row>
    <row r="686">
      <c r="A686" s="362">
        <v>685.0</v>
      </c>
      <c r="B686" s="18" t="s">
        <v>60</v>
      </c>
      <c r="C686" s="18" t="s">
        <v>5126</v>
      </c>
      <c r="D686" s="18" t="s">
        <v>187</v>
      </c>
      <c r="E686" s="18" t="s">
        <v>3598</v>
      </c>
    </row>
    <row r="687">
      <c r="A687" s="362">
        <v>686.0</v>
      </c>
      <c r="B687" s="18" t="s">
        <v>656</v>
      </c>
      <c r="C687" s="18" t="s">
        <v>5127</v>
      </c>
      <c r="D687" s="18" t="s">
        <v>187</v>
      </c>
      <c r="E687" s="18" t="s">
        <v>3598</v>
      </c>
    </row>
    <row r="688">
      <c r="A688" s="362">
        <v>687.0</v>
      </c>
      <c r="B688" s="18" t="s">
        <v>60</v>
      </c>
      <c r="C688" s="18" t="s">
        <v>5130</v>
      </c>
      <c r="D688" s="18" t="s">
        <v>178</v>
      </c>
      <c r="E688" s="18" t="s">
        <v>3598</v>
      </c>
    </row>
    <row r="689">
      <c r="A689" s="362">
        <v>688.0</v>
      </c>
      <c r="B689" s="18" t="s">
        <v>656</v>
      </c>
      <c r="C689" s="18" t="s">
        <v>5131</v>
      </c>
      <c r="D689" s="18" t="s">
        <v>1753</v>
      </c>
      <c r="E689" s="18" t="s">
        <v>3598</v>
      </c>
    </row>
    <row r="690">
      <c r="A690" s="362">
        <v>689.0</v>
      </c>
      <c r="B690" s="18" t="s">
        <v>102</v>
      </c>
      <c r="C690" s="18" t="s">
        <v>5132</v>
      </c>
      <c r="D690" s="18" t="s">
        <v>3761</v>
      </c>
      <c r="E690" s="18" t="s">
        <v>3598</v>
      </c>
    </row>
    <row r="691">
      <c r="A691" s="362">
        <v>690.0</v>
      </c>
      <c r="B691" s="18" t="s">
        <v>102</v>
      </c>
      <c r="C691" s="18" t="s">
        <v>5133</v>
      </c>
      <c r="D691" s="18" t="s">
        <v>3761</v>
      </c>
      <c r="E691" s="18" t="s">
        <v>3598</v>
      </c>
    </row>
    <row r="692">
      <c r="A692" s="362">
        <v>691.0</v>
      </c>
      <c r="B692" s="18" t="s">
        <v>102</v>
      </c>
      <c r="C692" s="18" t="s">
        <v>5134</v>
      </c>
      <c r="D692" s="18" t="s">
        <v>119</v>
      </c>
      <c r="E692" s="18" t="s">
        <v>3598</v>
      </c>
    </row>
    <row r="693">
      <c r="A693" s="362">
        <v>692.0</v>
      </c>
      <c r="B693" s="18" t="s">
        <v>360</v>
      </c>
      <c r="C693" s="18" t="s">
        <v>5136</v>
      </c>
      <c r="D693" s="18" t="s">
        <v>2436</v>
      </c>
      <c r="E693" s="18" t="s">
        <v>3598</v>
      </c>
    </row>
    <row r="694">
      <c r="A694" s="362">
        <v>693.0</v>
      </c>
      <c r="B694" s="18" t="s">
        <v>60</v>
      </c>
      <c r="C694" s="18" t="s">
        <v>5141</v>
      </c>
      <c r="D694" s="18" t="s">
        <v>1431</v>
      </c>
      <c r="E694" s="18" t="s">
        <v>3598</v>
      </c>
    </row>
    <row r="695">
      <c r="A695" s="362">
        <v>694.0</v>
      </c>
      <c r="B695" s="18" t="s">
        <v>363</v>
      </c>
      <c r="C695" s="18" t="s">
        <v>5142</v>
      </c>
      <c r="D695" s="18" t="s">
        <v>122</v>
      </c>
      <c r="E695" s="18" t="s">
        <v>3598</v>
      </c>
    </row>
    <row r="696">
      <c r="A696" s="362">
        <v>695.0</v>
      </c>
      <c r="B696" s="18" t="s">
        <v>504</v>
      </c>
      <c r="C696" s="18" t="s">
        <v>5143</v>
      </c>
      <c r="D696" s="18" t="s">
        <v>119</v>
      </c>
      <c r="E696" s="18" t="s">
        <v>3598</v>
      </c>
    </row>
    <row r="697">
      <c r="A697" s="362">
        <v>696.0</v>
      </c>
      <c r="B697" s="18" t="s">
        <v>60</v>
      </c>
      <c r="C697" s="18" t="s">
        <v>5144</v>
      </c>
      <c r="D697" s="18" t="s">
        <v>5145</v>
      </c>
      <c r="E697" s="18" t="s">
        <v>3598</v>
      </c>
    </row>
    <row r="698">
      <c r="A698" s="362">
        <v>697.0</v>
      </c>
      <c r="B698" s="18" t="s">
        <v>36</v>
      </c>
      <c r="C698" s="18" t="s">
        <v>5146</v>
      </c>
      <c r="D698" s="18" t="s">
        <v>100</v>
      </c>
      <c r="E698" s="18" t="s">
        <v>3598</v>
      </c>
    </row>
    <row r="699">
      <c r="A699" s="362">
        <v>698.0</v>
      </c>
      <c r="B699" s="18" t="s">
        <v>1144</v>
      </c>
      <c r="C699" s="18" t="s">
        <v>5148</v>
      </c>
      <c r="D699" s="18" t="s">
        <v>5149</v>
      </c>
      <c r="E699" s="18" t="s">
        <v>3598</v>
      </c>
    </row>
    <row r="700">
      <c r="A700" s="362">
        <v>699.0</v>
      </c>
      <c r="B700" s="18" t="s">
        <v>143</v>
      </c>
      <c r="C700" s="18" t="s">
        <v>5150</v>
      </c>
      <c r="D700" s="18" t="s">
        <v>1063</v>
      </c>
      <c r="E700" s="18" t="s">
        <v>3598</v>
      </c>
    </row>
    <row r="701">
      <c r="A701" s="362">
        <v>700.0</v>
      </c>
      <c r="B701" s="18" t="s">
        <v>60</v>
      </c>
      <c r="C701" s="18" t="s">
        <v>5153</v>
      </c>
      <c r="D701" s="18" t="s">
        <v>119</v>
      </c>
      <c r="E701" s="18" t="s">
        <v>3598</v>
      </c>
    </row>
    <row r="702">
      <c r="A702" s="362">
        <v>701.0</v>
      </c>
      <c r="B702" s="18" t="s">
        <v>60</v>
      </c>
      <c r="C702" s="18" t="s">
        <v>5155</v>
      </c>
      <c r="D702" s="18" t="s">
        <v>1195</v>
      </c>
      <c r="E702" s="18" t="s">
        <v>3598</v>
      </c>
    </row>
    <row r="703">
      <c r="A703" s="362">
        <v>702.0</v>
      </c>
      <c r="B703" s="18" t="s">
        <v>60</v>
      </c>
      <c r="C703" s="18" t="s">
        <v>5158</v>
      </c>
      <c r="D703" s="18" t="s">
        <v>170</v>
      </c>
      <c r="E703" s="18" t="s">
        <v>3598</v>
      </c>
    </row>
    <row r="704">
      <c r="A704" s="362">
        <v>703.0</v>
      </c>
      <c r="B704" s="18" t="s">
        <v>60</v>
      </c>
      <c r="C704" s="18" t="s">
        <v>5159</v>
      </c>
      <c r="D704" s="18" t="s">
        <v>119</v>
      </c>
      <c r="E704" s="18" t="s">
        <v>3598</v>
      </c>
    </row>
    <row r="705">
      <c r="A705" s="362">
        <v>704.0</v>
      </c>
      <c r="B705" s="18" t="s">
        <v>60</v>
      </c>
      <c r="C705" s="18" t="s">
        <v>5160</v>
      </c>
      <c r="D705" s="18" t="s">
        <v>178</v>
      </c>
      <c r="E705" s="18" t="s">
        <v>3598</v>
      </c>
    </row>
    <row r="706">
      <c r="A706" s="362">
        <v>705.0</v>
      </c>
      <c r="B706" s="18" t="s">
        <v>60</v>
      </c>
      <c r="C706" s="18" t="s">
        <v>5161</v>
      </c>
      <c r="D706" s="18" t="s">
        <v>139</v>
      </c>
      <c r="E706" s="18" t="s">
        <v>3598</v>
      </c>
    </row>
    <row r="707">
      <c r="A707" s="362">
        <v>706.0</v>
      </c>
      <c r="B707" s="18" t="s">
        <v>60</v>
      </c>
      <c r="C707" s="18" t="s">
        <v>5163</v>
      </c>
      <c r="D707" s="18" t="s">
        <v>178</v>
      </c>
      <c r="E707" s="18" t="s">
        <v>3598</v>
      </c>
    </row>
    <row r="708">
      <c r="A708" s="362">
        <v>707.0</v>
      </c>
      <c r="B708" s="18" t="s">
        <v>60</v>
      </c>
      <c r="C708" s="18" t="s">
        <v>5165</v>
      </c>
      <c r="D708" s="18" t="s">
        <v>2929</v>
      </c>
      <c r="E708" s="18" t="s">
        <v>3598</v>
      </c>
    </row>
    <row r="709">
      <c r="A709" s="362">
        <v>708.0</v>
      </c>
      <c r="B709" s="18" t="s">
        <v>60</v>
      </c>
      <c r="C709" s="18" t="s">
        <v>5166</v>
      </c>
      <c r="D709" s="18" t="s">
        <v>536</v>
      </c>
      <c r="E709" s="18" t="s">
        <v>3598</v>
      </c>
    </row>
    <row r="710">
      <c r="A710" s="362">
        <v>709.0</v>
      </c>
      <c r="B710" s="18" t="s">
        <v>60</v>
      </c>
      <c r="C710" s="18" t="s">
        <v>5168</v>
      </c>
      <c r="D710" s="18" t="s">
        <v>178</v>
      </c>
      <c r="E710" s="18" t="s">
        <v>3598</v>
      </c>
    </row>
    <row r="711">
      <c r="A711" s="362">
        <v>710.0</v>
      </c>
      <c r="B711" s="18" t="s">
        <v>60</v>
      </c>
      <c r="C711" s="18" t="s">
        <v>5174</v>
      </c>
      <c r="D711" s="18" t="s">
        <v>536</v>
      </c>
      <c r="E711" s="18" t="s">
        <v>3598</v>
      </c>
    </row>
    <row r="712">
      <c r="A712" s="362">
        <v>711.0</v>
      </c>
      <c r="B712" s="18" t="s">
        <v>60</v>
      </c>
      <c r="C712" s="18" t="s">
        <v>5175</v>
      </c>
      <c r="D712" s="18" t="s">
        <v>178</v>
      </c>
      <c r="E712" s="18" t="s">
        <v>3598</v>
      </c>
    </row>
    <row r="713">
      <c r="A713" s="362">
        <v>712.0</v>
      </c>
      <c r="B713" s="18" t="s">
        <v>60</v>
      </c>
      <c r="C713" s="18" t="s">
        <v>5176</v>
      </c>
      <c r="D713" s="18" t="s">
        <v>5178</v>
      </c>
      <c r="E713" s="18" t="s">
        <v>3598</v>
      </c>
    </row>
    <row r="714">
      <c r="A714" s="362">
        <v>713.0</v>
      </c>
      <c r="B714" s="18" t="s">
        <v>60</v>
      </c>
      <c r="C714" s="18" t="s">
        <v>5179</v>
      </c>
      <c r="D714" s="18" t="s">
        <v>187</v>
      </c>
      <c r="E714" s="18" t="s">
        <v>3598</v>
      </c>
    </row>
    <row r="715">
      <c r="A715" s="362">
        <v>714.0</v>
      </c>
      <c r="B715" s="18" t="s">
        <v>60</v>
      </c>
      <c r="C715" s="18" t="s">
        <v>5180</v>
      </c>
      <c r="D715" s="18" t="s">
        <v>178</v>
      </c>
      <c r="E715" s="18" t="s">
        <v>3598</v>
      </c>
    </row>
    <row r="716">
      <c r="A716" s="362">
        <v>715.0</v>
      </c>
      <c r="B716" s="18" t="s">
        <v>60</v>
      </c>
      <c r="C716" s="18" t="s">
        <v>5181</v>
      </c>
      <c r="D716" s="18" t="s">
        <v>5178</v>
      </c>
      <c r="E716" s="18" t="s">
        <v>3598</v>
      </c>
    </row>
    <row r="717">
      <c r="A717" s="362">
        <v>716.0</v>
      </c>
      <c r="B717" s="18" t="s">
        <v>60</v>
      </c>
      <c r="C717" s="18" t="s">
        <v>5182</v>
      </c>
      <c r="D717" s="18" t="s">
        <v>201</v>
      </c>
      <c r="E717" s="18" t="s">
        <v>3598</v>
      </c>
    </row>
    <row r="718">
      <c r="A718" s="362">
        <v>717.0</v>
      </c>
      <c r="B718" s="18" t="s">
        <v>60</v>
      </c>
      <c r="C718" s="18" t="s">
        <v>5184</v>
      </c>
      <c r="D718" s="18" t="s">
        <v>170</v>
      </c>
      <c r="E718" s="18" t="s">
        <v>3598</v>
      </c>
    </row>
    <row r="719">
      <c r="A719" s="362">
        <v>718.0</v>
      </c>
      <c r="B719" s="18" t="s">
        <v>60</v>
      </c>
      <c r="C719" s="18" t="s">
        <v>5188</v>
      </c>
      <c r="D719" s="18" t="s">
        <v>4259</v>
      </c>
      <c r="E719" s="18" t="s">
        <v>3598</v>
      </c>
    </row>
    <row r="720">
      <c r="A720" s="362">
        <v>719.0</v>
      </c>
      <c r="B720" s="18" t="s">
        <v>60</v>
      </c>
      <c r="C720" s="18" t="s">
        <v>5190</v>
      </c>
      <c r="D720" s="18" t="s">
        <v>178</v>
      </c>
      <c r="E720" s="18" t="s">
        <v>3598</v>
      </c>
    </row>
    <row r="721">
      <c r="A721" s="362">
        <v>720.0</v>
      </c>
      <c r="B721" s="18" t="s">
        <v>60</v>
      </c>
      <c r="C721" s="18" t="s">
        <v>5191</v>
      </c>
      <c r="D721" s="18" t="s">
        <v>287</v>
      </c>
      <c r="E721" s="18" t="s">
        <v>3598</v>
      </c>
    </row>
    <row r="722">
      <c r="A722" s="362">
        <v>721.0</v>
      </c>
      <c r="B722" s="18" t="s">
        <v>60</v>
      </c>
      <c r="C722" s="18" t="s">
        <v>5192</v>
      </c>
      <c r="D722" s="18" t="s">
        <v>287</v>
      </c>
      <c r="E722" s="18" t="s">
        <v>3598</v>
      </c>
    </row>
    <row r="723">
      <c r="A723" s="362">
        <v>722.0</v>
      </c>
      <c r="B723" s="18" t="s">
        <v>363</v>
      </c>
      <c r="C723" s="18" t="s">
        <v>5193</v>
      </c>
      <c r="D723" s="18" t="s">
        <v>1088</v>
      </c>
      <c r="E723" s="18" t="s">
        <v>3598</v>
      </c>
    </row>
    <row r="724">
      <c r="A724" s="362">
        <v>723.0</v>
      </c>
      <c r="B724" s="18" t="s">
        <v>60</v>
      </c>
      <c r="C724" s="18" t="s">
        <v>5195</v>
      </c>
      <c r="D724" s="18" t="s">
        <v>163</v>
      </c>
      <c r="E724" s="18" t="s">
        <v>3598</v>
      </c>
    </row>
    <row r="725">
      <c r="A725" s="362">
        <v>724.0</v>
      </c>
      <c r="B725" s="18" t="s">
        <v>60</v>
      </c>
      <c r="C725" s="18" t="s">
        <v>5196</v>
      </c>
      <c r="D725" s="18" t="s">
        <v>119</v>
      </c>
      <c r="E725" s="18" t="s">
        <v>3598</v>
      </c>
    </row>
    <row r="726">
      <c r="A726" s="362">
        <v>725.0</v>
      </c>
      <c r="B726" s="18" t="s">
        <v>60</v>
      </c>
      <c r="C726" s="18" t="s">
        <v>5201</v>
      </c>
      <c r="D726" s="18" t="s">
        <v>1157</v>
      </c>
      <c r="E726" s="18" t="s">
        <v>3598</v>
      </c>
    </row>
    <row r="727">
      <c r="A727" s="362">
        <v>726.0</v>
      </c>
      <c r="B727" s="18" t="s">
        <v>60</v>
      </c>
      <c r="C727" s="18" t="s">
        <v>5202</v>
      </c>
      <c r="D727" s="18" t="s">
        <v>170</v>
      </c>
      <c r="E727" s="18" t="s">
        <v>3598</v>
      </c>
    </row>
    <row r="728">
      <c r="A728" s="362">
        <v>727.0</v>
      </c>
      <c r="B728" s="18" t="s">
        <v>60</v>
      </c>
      <c r="C728" s="18" t="s">
        <v>5204</v>
      </c>
      <c r="D728" s="18" t="s">
        <v>2929</v>
      </c>
      <c r="E728" s="18" t="s">
        <v>3598</v>
      </c>
    </row>
    <row r="729">
      <c r="A729" s="362">
        <v>728.0</v>
      </c>
      <c r="B729" s="18" t="s">
        <v>60</v>
      </c>
      <c r="C729" s="18" t="s">
        <v>5205</v>
      </c>
      <c r="D729" s="18" t="s">
        <v>178</v>
      </c>
      <c r="E729" s="18" t="s">
        <v>3598</v>
      </c>
    </row>
    <row r="730">
      <c r="A730" s="362">
        <v>729.0</v>
      </c>
      <c r="B730" s="18" t="s">
        <v>60</v>
      </c>
      <c r="C730" s="18" t="s">
        <v>5206</v>
      </c>
      <c r="D730" s="18" t="s">
        <v>2793</v>
      </c>
      <c r="E730" s="18" t="s">
        <v>3598</v>
      </c>
    </row>
    <row r="731">
      <c r="A731" s="362">
        <v>730.0</v>
      </c>
      <c r="B731" s="18" t="s">
        <v>60</v>
      </c>
      <c r="C731" s="18" t="s">
        <v>5208</v>
      </c>
      <c r="D731" s="18" t="s">
        <v>213</v>
      </c>
      <c r="E731" s="18" t="s">
        <v>3598</v>
      </c>
    </row>
    <row r="732">
      <c r="A732" s="362">
        <v>731.0</v>
      </c>
      <c r="B732" s="18" t="s">
        <v>60</v>
      </c>
      <c r="C732" s="18" t="s">
        <v>5209</v>
      </c>
      <c r="D732" s="18" t="s">
        <v>178</v>
      </c>
      <c r="E732" s="18" t="s">
        <v>3598</v>
      </c>
    </row>
    <row r="733">
      <c r="A733" s="362">
        <v>732.0</v>
      </c>
      <c r="B733" s="18" t="s">
        <v>60</v>
      </c>
      <c r="C733" s="18" t="s">
        <v>5210</v>
      </c>
      <c r="D733" s="18" t="s">
        <v>5178</v>
      </c>
      <c r="E733" s="18" t="s">
        <v>3598</v>
      </c>
    </row>
    <row r="734">
      <c r="A734" s="362">
        <v>733.0</v>
      </c>
      <c r="B734" s="18" t="s">
        <v>60</v>
      </c>
      <c r="C734" s="18" t="s">
        <v>5211</v>
      </c>
      <c r="D734" s="18" t="s">
        <v>2929</v>
      </c>
      <c r="E734" s="18" t="s">
        <v>3598</v>
      </c>
    </row>
    <row r="735">
      <c r="A735" s="362">
        <v>734.0</v>
      </c>
      <c r="B735" s="18" t="s">
        <v>60</v>
      </c>
      <c r="C735" s="18" t="s">
        <v>5213</v>
      </c>
      <c r="D735" s="18" t="s">
        <v>170</v>
      </c>
      <c r="E735" s="18" t="s">
        <v>3598</v>
      </c>
    </row>
    <row r="736">
      <c r="A736" s="362">
        <v>735.0</v>
      </c>
      <c r="B736" s="18" t="s">
        <v>60</v>
      </c>
      <c r="C736" s="18" t="s">
        <v>5214</v>
      </c>
      <c r="D736" s="18" t="s">
        <v>119</v>
      </c>
      <c r="E736" s="18" t="s">
        <v>3598</v>
      </c>
    </row>
    <row r="737">
      <c r="A737" s="362">
        <v>736.0</v>
      </c>
      <c r="B737" s="18" t="s">
        <v>60</v>
      </c>
      <c r="C737" s="18" t="s">
        <v>5215</v>
      </c>
      <c r="D737" s="18" t="s">
        <v>2793</v>
      </c>
      <c r="E737" s="18" t="s">
        <v>3598</v>
      </c>
    </row>
    <row r="738">
      <c r="A738" s="362">
        <v>737.0</v>
      </c>
      <c r="B738" s="18" t="s">
        <v>60</v>
      </c>
      <c r="C738" s="18" t="s">
        <v>5218</v>
      </c>
      <c r="D738" s="18" t="s">
        <v>213</v>
      </c>
      <c r="E738" s="18" t="s">
        <v>3598</v>
      </c>
    </row>
    <row r="739">
      <c r="A739" s="362">
        <v>738.0</v>
      </c>
      <c r="B739" s="18" t="s">
        <v>60</v>
      </c>
      <c r="C739" s="18" t="s">
        <v>5220</v>
      </c>
      <c r="D739" s="18" t="s">
        <v>201</v>
      </c>
      <c r="E739" s="18" t="s">
        <v>3598</v>
      </c>
    </row>
    <row r="740">
      <c r="A740" s="362">
        <v>739.0</v>
      </c>
      <c r="B740" s="18" t="s">
        <v>60</v>
      </c>
      <c r="C740" s="18" t="s">
        <v>5222</v>
      </c>
      <c r="D740" s="18" t="s">
        <v>4259</v>
      </c>
      <c r="E740" s="18" t="s">
        <v>3598</v>
      </c>
    </row>
    <row r="741">
      <c r="A741" s="362">
        <v>740.0</v>
      </c>
      <c r="B741" s="18" t="s">
        <v>60</v>
      </c>
      <c r="C741" s="18" t="s">
        <v>5223</v>
      </c>
      <c r="D741" s="18" t="s">
        <v>178</v>
      </c>
      <c r="E741" s="18" t="s">
        <v>3598</v>
      </c>
    </row>
    <row r="742">
      <c r="A742" s="362">
        <v>741.0</v>
      </c>
      <c r="B742" s="18" t="s">
        <v>60</v>
      </c>
      <c r="C742" s="18" t="s">
        <v>5224</v>
      </c>
      <c r="D742" s="18" t="s">
        <v>201</v>
      </c>
      <c r="E742" s="18" t="s">
        <v>3598</v>
      </c>
    </row>
    <row r="743">
      <c r="A743" s="362">
        <v>742.0</v>
      </c>
      <c r="B743" s="18" t="s">
        <v>60</v>
      </c>
      <c r="C743" s="18" t="s">
        <v>5225</v>
      </c>
      <c r="D743" s="18" t="s">
        <v>201</v>
      </c>
      <c r="E743" s="18" t="s">
        <v>3598</v>
      </c>
    </row>
    <row r="744">
      <c r="A744" s="362">
        <v>743.0</v>
      </c>
      <c r="B744" s="18" t="s">
        <v>60</v>
      </c>
      <c r="C744" s="18" t="s">
        <v>5226</v>
      </c>
      <c r="D744" s="18" t="s">
        <v>201</v>
      </c>
      <c r="E744" s="18" t="s">
        <v>3598</v>
      </c>
    </row>
    <row r="745">
      <c r="A745" s="362">
        <v>744.0</v>
      </c>
      <c r="B745" s="18" t="s">
        <v>60</v>
      </c>
      <c r="C745" s="18" t="s">
        <v>5227</v>
      </c>
      <c r="D745" s="18" t="s">
        <v>201</v>
      </c>
      <c r="E745" s="18" t="s">
        <v>3598</v>
      </c>
    </row>
    <row r="746">
      <c r="A746" s="362">
        <v>745.0</v>
      </c>
      <c r="B746" s="18" t="s">
        <v>60</v>
      </c>
      <c r="C746" s="18" t="s">
        <v>5229</v>
      </c>
      <c r="D746" s="18" t="s">
        <v>170</v>
      </c>
      <c r="E746" s="18" t="s">
        <v>3598</v>
      </c>
    </row>
    <row r="747">
      <c r="A747" s="362">
        <v>746.0</v>
      </c>
      <c r="B747" s="18" t="s">
        <v>60</v>
      </c>
      <c r="C747" s="18" t="s">
        <v>5233</v>
      </c>
      <c r="D747" s="18" t="s">
        <v>178</v>
      </c>
      <c r="E747" s="18" t="s">
        <v>3598</v>
      </c>
    </row>
    <row r="748">
      <c r="A748" s="362">
        <v>747.0</v>
      </c>
      <c r="B748" s="18" t="s">
        <v>60</v>
      </c>
      <c r="C748" s="18" t="s">
        <v>5234</v>
      </c>
      <c r="D748" s="18" t="s">
        <v>187</v>
      </c>
      <c r="E748" s="18" t="s">
        <v>3598</v>
      </c>
    </row>
    <row r="749">
      <c r="A749" s="362">
        <v>748.0</v>
      </c>
      <c r="B749" s="18" t="s">
        <v>60</v>
      </c>
      <c r="C749" s="18" t="s">
        <v>5235</v>
      </c>
      <c r="D749" s="18" t="s">
        <v>213</v>
      </c>
      <c r="E749" s="18" t="s">
        <v>3598</v>
      </c>
    </row>
    <row r="750">
      <c r="A750" s="362">
        <v>749.0</v>
      </c>
      <c r="B750" s="18" t="s">
        <v>60</v>
      </c>
      <c r="C750" s="18" t="s">
        <v>5236</v>
      </c>
      <c r="D750" s="18" t="s">
        <v>213</v>
      </c>
      <c r="E750" s="18" t="s">
        <v>3598</v>
      </c>
    </row>
    <row r="751">
      <c r="A751" s="362">
        <v>750.0</v>
      </c>
      <c r="B751" s="18" t="s">
        <v>60</v>
      </c>
      <c r="C751" s="18" t="s">
        <v>5237</v>
      </c>
      <c r="D751" s="18" t="s">
        <v>2929</v>
      </c>
      <c r="E751" s="18" t="s">
        <v>3598</v>
      </c>
    </row>
    <row r="752">
      <c r="A752" s="362">
        <v>751.0</v>
      </c>
      <c r="B752" s="18" t="s">
        <v>60</v>
      </c>
      <c r="C752" s="18" t="s">
        <v>5239</v>
      </c>
      <c r="D752" s="18" t="s">
        <v>178</v>
      </c>
      <c r="E752" s="18" t="s">
        <v>3598</v>
      </c>
    </row>
    <row r="753">
      <c r="A753" s="362">
        <v>752.0</v>
      </c>
      <c r="B753" s="18" t="s">
        <v>60</v>
      </c>
      <c r="C753" s="18" t="s">
        <v>5242</v>
      </c>
      <c r="D753" s="18" t="s">
        <v>5178</v>
      </c>
      <c r="E753" s="18" t="s">
        <v>3598</v>
      </c>
    </row>
    <row r="754">
      <c r="A754" s="362">
        <v>753.0</v>
      </c>
      <c r="B754" s="18" t="s">
        <v>60</v>
      </c>
      <c r="C754" s="18" t="s">
        <v>5243</v>
      </c>
      <c r="D754" s="18" t="s">
        <v>178</v>
      </c>
      <c r="E754" s="18" t="s">
        <v>3598</v>
      </c>
    </row>
    <row r="755">
      <c r="A755" s="362">
        <v>754.0</v>
      </c>
      <c r="B755" s="18" t="s">
        <v>60</v>
      </c>
      <c r="C755" s="18" t="s">
        <v>5245</v>
      </c>
      <c r="D755" s="18" t="s">
        <v>5178</v>
      </c>
      <c r="E755" s="18" t="s">
        <v>3598</v>
      </c>
    </row>
    <row r="756">
      <c r="A756" s="362">
        <v>755.0</v>
      </c>
      <c r="B756" s="18" t="s">
        <v>60</v>
      </c>
      <c r="C756" s="18" t="s">
        <v>5247</v>
      </c>
      <c r="D756" s="18" t="s">
        <v>139</v>
      </c>
      <c r="E756" s="18" t="s">
        <v>3598</v>
      </c>
    </row>
    <row r="757">
      <c r="A757" s="362">
        <v>756.0</v>
      </c>
      <c r="B757" s="18" t="s">
        <v>60</v>
      </c>
      <c r="C757" s="18" t="s">
        <v>5249</v>
      </c>
      <c r="D757" s="18" t="s">
        <v>119</v>
      </c>
      <c r="E757" s="18" t="s">
        <v>3598</v>
      </c>
    </row>
    <row r="758">
      <c r="A758" s="362">
        <v>757.0</v>
      </c>
      <c r="B758" s="18" t="s">
        <v>60</v>
      </c>
      <c r="C758" s="18" t="s">
        <v>5252</v>
      </c>
      <c r="D758" s="18" t="s">
        <v>178</v>
      </c>
      <c r="E758" s="18" t="s">
        <v>3598</v>
      </c>
    </row>
    <row r="759">
      <c r="A759" s="362">
        <v>758.0</v>
      </c>
      <c r="B759" s="18" t="s">
        <v>60</v>
      </c>
      <c r="C759" s="18" t="s">
        <v>5253</v>
      </c>
      <c r="D759" s="18" t="s">
        <v>213</v>
      </c>
      <c r="E759" s="18" t="s">
        <v>3598</v>
      </c>
    </row>
    <row r="760">
      <c r="A760" s="362">
        <v>759.0</v>
      </c>
      <c r="B760" s="18" t="s">
        <v>60</v>
      </c>
      <c r="C760" s="18" t="s">
        <v>5254</v>
      </c>
      <c r="D760" s="18" t="s">
        <v>213</v>
      </c>
      <c r="E760" s="18" t="s">
        <v>3598</v>
      </c>
    </row>
    <row r="761">
      <c r="A761" s="362">
        <v>760.0</v>
      </c>
      <c r="B761" s="18" t="s">
        <v>60</v>
      </c>
      <c r="C761" s="18" t="s">
        <v>5255</v>
      </c>
      <c r="D761" s="18" t="s">
        <v>2929</v>
      </c>
      <c r="E761" s="18" t="s">
        <v>3598</v>
      </c>
    </row>
    <row r="762">
      <c r="A762" s="362">
        <v>761.0</v>
      </c>
      <c r="B762" s="18" t="s">
        <v>60</v>
      </c>
      <c r="C762" s="18" t="s">
        <v>5257</v>
      </c>
      <c r="D762" s="18" t="s">
        <v>178</v>
      </c>
      <c r="E762" s="18" t="s">
        <v>3598</v>
      </c>
    </row>
    <row r="763">
      <c r="A763" s="362">
        <v>762.0</v>
      </c>
      <c r="B763" s="18" t="s">
        <v>60</v>
      </c>
      <c r="C763" s="18" t="s">
        <v>5260</v>
      </c>
      <c r="D763" s="18" t="s">
        <v>187</v>
      </c>
      <c r="E763" s="18" t="s">
        <v>3598</v>
      </c>
    </row>
    <row r="764">
      <c r="A764" s="362">
        <v>763.0</v>
      </c>
      <c r="B764" s="18" t="s">
        <v>60</v>
      </c>
      <c r="C764" s="18" t="s">
        <v>5261</v>
      </c>
      <c r="D764" s="18" t="s">
        <v>213</v>
      </c>
      <c r="E764" s="18" t="s">
        <v>3598</v>
      </c>
    </row>
    <row r="765">
      <c r="A765" s="362">
        <v>764.0</v>
      </c>
      <c r="B765" s="18" t="s">
        <v>60</v>
      </c>
      <c r="C765" s="18" t="s">
        <v>5262</v>
      </c>
      <c r="D765" s="18" t="s">
        <v>213</v>
      </c>
      <c r="E765" s="18" t="s">
        <v>3598</v>
      </c>
    </row>
    <row r="766">
      <c r="A766" s="362">
        <v>765.0</v>
      </c>
      <c r="B766" s="18" t="s">
        <v>60</v>
      </c>
      <c r="C766" s="18" t="s">
        <v>5265</v>
      </c>
      <c r="D766" s="18" t="s">
        <v>2929</v>
      </c>
      <c r="E766" s="18" t="s">
        <v>3598</v>
      </c>
    </row>
    <row r="767">
      <c r="A767" s="362">
        <v>766.0</v>
      </c>
      <c r="B767" s="18" t="s">
        <v>60</v>
      </c>
      <c r="C767" s="18" t="s">
        <v>5268</v>
      </c>
      <c r="D767" s="18" t="s">
        <v>536</v>
      </c>
      <c r="E767" s="18" t="s">
        <v>3598</v>
      </c>
    </row>
    <row r="768">
      <c r="A768" s="362">
        <v>767.0</v>
      </c>
      <c r="B768" s="18" t="s">
        <v>60</v>
      </c>
      <c r="C768" s="18" t="s">
        <v>5269</v>
      </c>
      <c r="D768" s="18" t="s">
        <v>178</v>
      </c>
      <c r="E768" s="18" t="s">
        <v>3598</v>
      </c>
    </row>
    <row r="769">
      <c r="A769" s="362">
        <v>768.0</v>
      </c>
      <c r="B769" s="18" t="s">
        <v>60</v>
      </c>
      <c r="C769" s="18" t="s">
        <v>5271</v>
      </c>
      <c r="D769" s="18" t="s">
        <v>213</v>
      </c>
      <c r="E769" s="18" t="s">
        <v>3598</v>
      </c>
    </row>
    <row r="770">
      <c r="A770" s="362">
        <v>769.0</v>
      </c>
      <c r="B770" s="18" t="s">
        <v>60</v>
      </c>
      <c r="C770" s="18" t="s">
        <v>5273</v>
      </c>
      <c r="D770" s="18" t="s">
        <v>213</v>
      </c>
      <c r="E770" s="18" t="s">
        <v>3598</v>
      </c>
    </row>
    <row r="771">
      <c r="A771" s="362">
        <v>770.0</v>
      </c>
      <c r="B771" s="18" t="s">
        <v>504</v>
      </c>
      <c r="C771" s="18" t="s">
        <v>5275</v>
      </c>
      <c r="D771" s="18" t="s">
        <v>170</v>
      </c>
      <c r="E771" s="18" t="s">
        <v>3598</v>
      </c>
    </row>
    <row r="772">
      <c r="A772" s="362">
        <v>771.0</v>
      </c>
      <c r="B772" s="18" t="s">
        <v>60</v>
      </c>
      <c r="C772" s="18" t="s">
        <v>5276</v>
      </c>
      <c r="D772" s="18" t="s">
        <v>119</v>
      </c>
      <c r="E772" s="18" t="s">
        <v>3598</v>
      </c>
    </row>
    <row r="773">
      <c r="A773" s="362">
        <v>772.0</v>
      </c>
      <c r="B773" s="18" t="s">
        <v>60</v>
      </c>
      <c r="C773" s="18" t="s">
        <v>5280</v>
      </c>
      <c r="D773" s="18" t="s">
        <v>295</v>
      </c>
      <c r="E773" s="18" t="s">
        <v>3598</v>
      </c>
    </row>
    <row r="774">
      <c r="A774" s="362">
        <v>773.0</v>
      </c>
      <c r="B774" s="18" t="s">
        <v>60</v>
      </c>
      <c r="C774" s="18" t="s">
        <v>5282</v>
      </c>
      <c r="D774" s="18" t="s">
        <v>178</v>
      </c>
      <c r="E774" s="18" t="s">
        <v>3598</v>
      </c>
    </row>
    <row r="775">
      <c r="A775" s="362">
        <v>774.0</v>
      </c>
      <c r="B775" s="18" t="s">
        <v>60</v>
      </c>
      <c r="C775" s="18" t="s">
        <v>5283</v>
      </c>
      <c r="D775" s="18" t="s">
        <v>213</v>
      </c>
      <c r="E775" s="18" t="s">
        <v>3598</v>
      </c>
    </row>
    <row r="776">
      <c r="A776" s="362">
        <v>775.0</v>
      </c>
      <c r="B776" s="18" t="s">
        <v>60</v>
      </c>
      <c r="C776" s="18" t="s">
        <v>5285</v>
      </c>
      <c r="D776" s="18" t="s">
        <v>213</v>
      </c>
      <c r="E776" s="18" t="s">
        <v>3598</v>
      </c>
    </row>
    <row r="777">
      <c r="A777" s="362">
        <v>776.0</v>
      </c>
      <c r="B777" s="18" t="s">
        <v>60</v>
      </c>
      <c r="C777" s="18" t="s">
        <v>5289</v>
      </c>
      <c r="D777" s="18" t="s">
        <v>178</v>
      </c>
      <c r="E777" s="18" t="s">
        <v>3598</v>
      </c>
    </row>
    <row r="778">
      <c r="A778" s="362">
        <v>777.0</v>
      </c>
      <c r="B778" s="18" t="s">
        <v>60</v>
      </c>
      <c r="C778" s="18" t="s">
        <v>5290</v>
      </c>
      <c r="D778" s="18" t="s">
        <v>5178</v>
      </c>
      <c r="E778" s="18" t="s">
        <v>3598</v>
      </c>
    </row>
    <row r="779">
      <c r="A779" s="362">
        <v>778.0</v>
      </c>
      <c r="B779" s="18" t="s">
        <v>60</v>
      </c>
      <c r="C779" s="18" t="s">
        <v>5292</v>
      </c>
      <c r="D779" s="18" t="s">
        <v>187</v>
      </c>
      <c r="E779" s="18" t="s">
        <v>3598</v>
      </c>
    </row>
    <row r="780">
      <c r="A780" s="362">
        <v>779.0</v>
      </c>
      <c r="B780" s="18" t="s">
        <v>60</v>
      </c>
      <c r="C780" s="18" t="s">
        <v>5295</v>
      </c>
      <c r="D780" s="18" t="s">
        <v>213</v>
      </c>
      <c r="E780" s="18" t="s">
        <v>3598</v>
      </c>
    </row>
    <row r="781">
      <c r="A781" s="362">
        <v>780.0</v>
      </c>
      <c r="B781" s="18" t="s">
        <v>60</v>
      </c>
      <c r="C781" s="18" t="s">
        <v>5296</v>
      </c>
      <c r="D781" s="18" t="s">
        <v>178</v>
      </c>
      <c r="E781" s="18" t="s">
        <v>3598</v>
      </c>
    </row>
    <row r="782">
      <c r="A782" s="362">
        <v>781.0</v>
      </c>
      <c r="B782" s="18" t="s">
        <v>60</v>
      </c>
      <c r="C782" s="18" t="s">
        <v>5297</v>
      </c>
      <c r="D782" s="18" t="s">
        <v>213</v>
      </c>
      <c r="E782" s="18" t="s">
        <v>3598</v>
      </c>
    </row>
    <row r="783">
      <c r="A783" s="362">
        <v>782.0</v>
      </c>
      <c r="B783" s="18" t="s">
        <v>60</v>
      </c>
      <c r="C783" s="18" t="s">
        <v>5298</v>
      </c>
      <c r="D783" s="18" t="s">
        <v>201</v>
      </c>
      <c r="E783" s="18" t="s">
        <v>3598</v>
      </c>
    </row>
    <row r="784">
      <c r="A784" s="362">
        <v>783.0</v>
      </c>
      <c r="B784" s="18" t="s">
        <v>60</v>
      </c>
      <c r="C784" s="18" t="s">
        <v>5300</v>
      </c>
      <c r="D784" s="18" t="s">
        <v>287</v>
      </c>
      <c r="E784" s="18" t="s">
        <v>3598</v>
      </c>
    </row>
    <row r="785">
      <c r="A785" s="362">
        <v>784.0</v>
      </c>
      <c r="B785" s="18" t="s">
        <v>60</v>
      </c>
      <c r="C785" s="18" t="s">
        <v>3198</v>
      </c>
      <c r="D785" s="18" t="s">
        <v>287</v>
      </c>
      <c r="E785" s="18" t="s">
        <v>3598</v>
      </c>
    </row>
    <row r="786">
      <c r="A786" s="362">
        <v>785.0</v>
      </c>
      <c r="B786" s="18" t="s">
        <v>60</v>
      </c>
      <c r="C786" s="18" t="s">
        <v>5301</v>
      </c>
      <c r="D786" s="18" t="s">
        <v>331</v>
      </c>
      <c r="E786" s="18" t="s">
        <v>3598</v>
      </c>
    </row>
    <row r="787">
      <c r="A787" s="362">
        <v>786.0</v>
      </c>
      <c r="B787" s="18" t="s">
        <v>60</v>
      </c>
      <c r="C787" s="18" t="s">
        <v>5302</v>
      </c>
      <c r="D787" s="18" t="s">
        <v>163</v>
      </c>
      <c r="E787" s="18" t="s">
        <v>3598</v>
      </c>
    </row>
    <row r="788">
      <c r="A788" s="362">
        <v>787.0</v>
      </c>
      <c r="B788" s="18" t="s">
        <v>60</v>
      </c>
      <c r="C788" s="18" t="s">
        <v>5305</v>
      </c>
      <c r="D788" s="18" t="s">
        <v>1195</v>
      </c>
      <c r="E788" s="18" t="s">
        <v>3598</v>
      </c>
    </row>
    <row r="789">
      <c r="A789" s="362">
        <v>788.0</v>
      </c>
      <c r="B789" s="18" t="s">
        <v>102</v>
      </c>
      <c r="C789" s="18" t="s">
        <v>5306</v>
      </c>
      <c r="D789" s="18" t="s">
        <v>170</v>
      </c>
      <c r="E789" s="18" t="s">
        <v>3598</v>
      </c>
    </row>
    <row r="790">
      <c r="A790" s="362">
        <v>789.0</v>
      </c>
      <c r="B790" s="18" t="s">
        <v>60</v>
      </c>
      <c r="C790" s="18" t="s">
        <v>5307</v>
      </c>
      <c r="D790" s="18" t="s">
        <v>119</v>
      </c>
      <c r="E790" s="18" t="s">
        <v>3598</v>
      </c>
    </row>
    <row r="791">
      <c r="A791" s="362">
        <v>790.0</v>
      </c>
      <c r="B791" s="18" t="s">
        <v>60</v>
      </c>
      <c r="C791" s="18" t="s">
        <v>5309</v>
      </c>
      <c r="D791" s="18" t="s">
        <v>786</v>
      </c>
      <c r="E791" s="18" t="s">
        <v>3598</v>
      </c>
    </row>
    <row r="792">
      <c r="A792" s="362">
        <v>791.0</v>
      </c>
      <c r="B792" s="18" t="s">
        <v>60</v>
      </c>
      <c r="C792" s="18" t="s">
        <v>5310</v>
      </c>
      <c r="D792" s="18" t="s">
        <v>152</v>
      </c>
      <c r="E792" s="18" t="s">
        <v>3598</v>
      </c>
    </row>
    <row r="793">
      <c r="A793" s="362">
        <v>792.0</v>
      </c>
      <c r="B793" s="18" t="s">
        <v>60</v>
      </c>
      <c r="C793" s="18" t="s">
        <v>5312</v>
      </c>
      <c r="D793" s="18" t="s">
        <v>1402</v>
      </c>
      <c r="E793" s="18" t="s">
        <v>3598</v>
      </c>
    </row>
    <row r="794">
      <c r="A794" s="362">
        <v>793.0</v>
      </c>
      <c r="B794" s="18" t="s">
        <v>102</v>
      </c>
      <c r="C794" s="18" t="s">
        <v>5313</v>
      </c>
      <c r="D794" s="18" t="s">
        <v>170</v>
      </c>
      <c r="E794" s="18" t="s">
        <v>3598</v>
      </c>
    </row>
    <row r="795">
      <c r="A795" s="362">
        <v>794.0</v>
      </c>
      <c r="B795" s="18" t="s">
        <v>60</v>
      </c>
      <c r="C795" s="18" t="s">
        <v>5314</v>
      </c>
      <c r="D795" s="18" t="s">
        <v>119</v>
      </c>
      <c r="E795" s="18" t="s">
        <v>3598</v>
      </c>
    </row>
    <row r="796">
      <c r="A796" s="362">
        <v>795.0</v>
      </c>
      <c r="B796" s="18" t="s">
        <v>60</v>
      </c>
      <c r="C796" s="18" t="s">
        <v>5315</v>
      </c>
      <c r="D796" s="18" t="s">
        <v>786</v>
      </c>
      <c r="E796" s="18" t="s">
        <v>3598</v>
      </c>
    </row>
    <row r="797">
      <c r="A797" s="362">
        <v>796.0</v>
      </c>
      <c r="B797" s="18" t="s">
        <v>60</v>
      </c>
      <c r="C797" s="18" t="s">
        <v>5317</v>
      </c>
      <c r="D797" s="18" t="s">
        <v>786</v>
      </c>
      <c r="E797" s="18" t="s">
        <v>3598</v>
      </c>
    </row>
    <row r="798">
      <c r="A798" s="362">
        <v>797.0</v>
      </c>
      <c r="B798" s="18" t="s">
        <v>60</v>
      </c>
      <c r="C798" s="18" t="s">
        <v>5319</v>
      </c>
      <c r="D798" s="18" t="s">
        <v>786</v>
      </c>
      <c r="E798" s="18" t="s">
        <v>3598</v>
      </c>
    </row>
    <row r="799">
      <c r="A799" s="362">
        <v>798.0</v>
      </c>
      <c r="B799" s="18" t="s">
        <v>504</v>
      </c>
      <c r="C799" s="18" t="s">
        <v>5320</v>
      </c>
      <c r="D799" s="18" t="s">
        <v>170</v>
      </c>
      <c r="E799" s="18" t="s">
        <v>3598</v>
      </c>
    </row>
    <row r="800">
      <c r="A800" s="362">
        <v>799.0</v>
      </c>
      <c r="B800" s="18" t="s">
        <v>60</v>
      </c>
      <c r="C800" s="18" t="s">
        <v>5321</v>
      </c>
      <c r="D800" s="18" t="s">
        <v>119</v>
      </c>
      <c r="E800" s="18" t="s">
        <v>3598</v>
      </c>
    </row>
    <row r="801">
      <c r="A801" s="362">
        <v>800.0</v>
      </c>
      <c r="B801" s="18" t="s">
        <v>60</v>
      </c>
      <c r="C801" s="18" t="s">
        <v>5324</v>
      </c>
      <c r="D801" s="18" t="s">
        <v>3596</v>
      </c>
      <c r="E801" s="18" t="s">
        <v>3598</v>
      </c>
    </row>
    <row r="802">
      <c r="A802" s="362">
        <v>801.0</v>
      </c>
      <c r="B802" s="18" t="s">
        <v>60</v>
      </c>
      <c r="C802" s="18" t="s">
        <v>5327</v>
      </c>
      <c r="D802" s="18" t="s">
        <v>786</v>
      </c>
      <c r="E802" s="18" t="s">
        <v>3598</v>
      </c>
    </row>
    <row r="803">
      <c r="A803" s="362">
        <v>802.0</v>
      </c>
      <c r="B803" s="18" t="s">
        <v>60</v>
      </c>
      <c r="C803" s="18" t="s">
        <v>5329</v>
      </c>
      <c r="D803" s="18" t="s">
        <v>249</v>
      </c>
      <c r="E803" s="18" t="s">
        <v>3598</v>
      </c>
    </row>
    <row r="804">
      <c r="A804" s="362">
        <v>803.0</v>
      </c>
      <c r="B804" s="18" t="s">
        <v>60</v>
      </c>
      <c r="C804" s="18" t="s">
        <v>5330</v>
      </c>
      <c r="D804" s="18" t="s">
        <v>249</v>
      </c>
      <c r="E804" s="18" t="s">
        <v>3598</v>
      </c>
    </row>
    <row r="805">
      <c r="A805" s="362">
        <v>804.0</v>
      </c>
      <c r="B805" s="18" t="s">
        <v>326</v>
      </c>
      <c r="C805" s="18" t="s">
        <v>5331</v>
      </c>
      <c r="D805" s="18" t="s">
        <v>786</v>
      </c>
      <c r="E805" s="18" t="s">
        <v>3598</v>
      </c>
    </row>
    <row r="806">
      <c r="A806" s="362">
        <v>805.0</v>
      </c>
      <c r="B806" s="18" t="s">
        <v>60</v>
      </c>
      <c r="C806" s="18" t="s">
        <v>5334</v>
      </c>
      <c r="D806" s="18" t="s">
        <v>786</v>
      </c>
      <c r="E806" s="18" t="s">
        <v>3598</v>
      </c>
    </row>
    <row r="807">
      <c r="A807" s="362">
        <v>806.0</v>
      </c>
      <c r="B807" s="18" t="s">
        <v>60</v>
      </c>
      <c r="C807" s="18" t="s">
        <v>5335</v>
      </c>
      <c r="D807" s="18" t="s">
        <v>249</v>
      </c>
      <c r="E807" s="18" t="s">
        <v>3598</v>
      </c>
    </row>
    <row r="808">
      <c r="A808" s="362">
        <v>807.0</v>
      </c>
      <c r="B808" s="18" t="s">
        <v>60</v>
      </c>
      <c r="C808" s="18" t="s">
        <v>5337</v>
      </c>
      <c r="D808" s="18" t="s">
        <v>178</v>
      </c>
      <c r="E808" s="18" t="s">
        <v>3598</v>
      </c>
    </row>
    <row r="809">
      <c r="A809" s="362">
        <v>808.0</v>
      </c>
      <c r="B809" s="18" t="s">
        <v>60</v>
      </c>
      <c r="C809" s="18" t="s">
        <v>5338</v>
      </c>
      <c r="D809" s="18" t="s">
        <v>3811</v>
      </c>
      <c r="E809" s="18" t="s">
        <v>3598</v>
      </c>
    </row>
    <row r="810">
      <c r="A810" s="362">
        <v>809.0</v>
      </c>
      <c r="B810" s="18" t="s">
        <v>504</v>
      </c>
      <c r="C810" s="18" t="s">
        <v>5339</v>
      </c>
      <c r="D810" s="18" t="s">
        <v>4271</v>
      </c>
      <c r="E810" s="18" t="s">
        <v>3598</v>
      </c>
    </row>
    <row r="811">
      <c r="A811" s="362">
        <v>810.0</v>
      </c>
      <c r="B811" s="18" t="s">
        <v>60</v>
      </c>
      <c r="C811" s="18" t="s">
        <v>5340</v>
      </c>
      <c r="D811" s="18" t="s">
        <v>194</v>
      </c>
      <c r="E811" s="18" t="s">
        <v>3598</v>
      </c>
    </row>
    <row r="812">
      <c r="A812" s="362">
        <v>811.0</v>
      </c>
      <c r="B812" s="18" t="s">
        <v>60</v>
      </c>
      <c r="C812" s="18" t="s">
        <v>5341</v>
      </c>
      <c r="D812" s="18" t="s">
        <v>5342</v>
      </c>
      <c r="E812" s="18" t="s">
        <v>3598</v>
      </c>
    </row>
    <row r="813">
      <c r="A813" s="362">
        <v>812.0</v>
      </c>
      <c r="B813" s="18" t="s">
        <v>60</v>
      </c>
      <c r="C813" s="18" t="s">
        <v>5343</v>
      </c>
      <c r="D813" s="18" t="s">
        <v>5342</v>
      </c>
      <c r="E813" s="18" t="s">
        <v>3598</v>
      </c>
    </row>
    <row r="814">
      <c r="A814" s="362">
        <v>813.0</v>
      </c>
      <c r="B814" s="18" t="s">
        <v>60</v>
      </c>
      <c r="C814" s="18" t="s">
        <v>5345</v>
      </c>
      <c r="D814" s="18" t="s">
        <v>5342</v>
      </c>
      <c r="E814" s="18" t="s">
        <v>3598</v>
      </c>
    </row>
    <row r="815">
      <c r="A815" s="362">
        <v>814.0</v>
      </c>
      <c r="B815" s="18" t="s">
        <v>60</v>
      </c>
      <c r="C815" s="18" t="s">
        <v>5346</v>
      </c>
      <c r="D815" s="18" t="s">
        <v>5348</v>
      </c>
      <c r="E815" s="18" t="s">
        <v>3598</v>
      </c>
    </row>
    <row r="816">
      <c r="A816" s="362">
        <v>815.0</v>
      </c>
      <c r="B816" s="18" t="s">
        <v>60</v>
      </c>
      <c r="C816" s="18" t="s">
        <v>5351</v>
      </c>
      <c r="D816" s="18" t="s">
        <v>5348</v>
      </c>
      <c r="E816" s="18" t="s">
        <v>3598</v>
      </c>
    </row>
    <row r="817">
      <c r="A817" s="362">
        <v>816.0</v>
      </c>
      <c r="B817" s="18" t="s">
        <v>60</v>
      </c>
      <c r="C817" s="18" t="s">
        <v>5352</v>
      </c>
      <c r="D817" s="18" t="s">
        <v>139</v>
      </c>
      <c r="E817" s="18" t="s">
        <v>3598</v>
      </c>
    </row>
    <row r="818">
      <c r="A818" s="362">
        <v>817.0</v>
      </c>
      <c r="B818" s="18" t="s">
        <v>36</v>
      </c>
      <c r="C818" s="18" t="s">
        <v>5353</v>
      </c>
      <c r="D818" s="18" t="s">
        <v>122</v>
      </c>
      <c r="E818" s="18" t="s">
        <v>3598</v>
      </c>
    </row>
    <row r="819">
      <c r="A819" s="362">
        <v>818.0</v>
      </c>
      <c r="B819" s="18" t="s">
        <v>36</v>
      </c>
      <c r="C819" s="18" t="s">
        <v>5354</v>
      </c>
      <c r="D819" s="18" t="s">
        <v>39</v>
      </c>
      <c r="E819" s="18" t="s">
        <v>3598</v>
      </c>
    </row>
    <row r="820">
      <c r="A820" s="362">
        <v>819.0</v>
      </c>
      <c r="B820" s="18" t="s">
        <v>36</v>
      </c>
      <c r="C820" s="18" t="s">
        <v>5355</v>
      </c>
      <c r="D820" s="18" t="s">
        <v>273</v>
      </c>
      <c r="E820" s="18" t="s">
        <v>3598</v>
      </c>
    </row>
    <row r="821">
      <c r="A821" s="362">
        <v>820.0</v>
      </c>
      <c r="B821" s="18" t="s">
        <v>102</v>
      </c>
      <c r="C821" s="18" t="s">
        <v>5357</v>
      </c>
      <c r="D821" s="18" t="s">
        <v>119</v>
      </c>
      <c r="E821" s="18" t="s">
        <v>3598</v>
      </c>
    </row>
    <row r="822">
      <c r="A822" s="362">
        <v>821.0</v>
      </c>
      <c r="B822" s="18" t="s">
        <v>62</v>
      </c>
      <c r="C822" s="18" t="s">
        <v>5359</v>
      </c>
      <c r="D822" s="18" t="s">
        <v>100</v>
      </c>
      <c r="E822" s="18" t="s">
        <v>3598</v>
      </c>
    </row>
    <row r="823">
      <c r="A823" s="362">
        <v>822.0</v>
      </c>
      <c r="B823" s="18" t="s">
        <v>36</v>
      </c>
      <c r="C823" s="18" t="s">
        <v>5361</v>
      </c>
      <c r="D823" s="18" t="s">
        <v>106</v>
      </c>
      <c r="E823" s="18" t="s">
        <v>3598</v>
      </c>
    </row>
    <row r="824">
      <c r="A824" s="362">
        <v>823.0</v>
      </c>
      <c r="B824" s="18" t="s">
        <v>60</v>
      </c>
      <c r="C824" s="18" t="s">
        <v>5362</v>
      </c>
      <c r="D824" s="18" t="s">
        <v>499</v>
      </c>
      <c r="E824" s="18" t="s">
        <v>3598</v>
      </c>
    </row>
    <row r="825">
      <c r="A825" s="362">
        <v>824.0</v>
      </c>
      <c r="B825" s="18" t="s">
        <v>143</v>
      </c>
      <c r="C825" s="18" t="s">
        <v>5363</v>
      </c>
      <c r="D825" s="18" t="s">
        <v>106</v>
      </c>
      <c r="E825" s="18" t="s">
        <v>3598</v>
      </c>
    </row>
    <row r="826">
      <c r="A826" s="362">
        <v>825.0</v>
      </c>
      <c r="B826" s="18" t="s">
        <v>60</v>
      </c>
      <c r="C826" s="18" t="s">
        <v>5367</v>
      </c>
      <c r="D826" s="18" t="s">
        <v>570</v>
      </c>
      <c r="E826" s="18" t="s">
        <v>3598</v>
      </c>
    </row>
    <row r="827">
      <c r="A827" s="362">
        <v>826.0</v>
      </c>
      <c r="B827" s="18" t="s">
        <v>143</v>
      </c>
      <c r="C827" s="18" t="s">
        <v>5368</v>
      </c>
      <c r="D827" s="18" t="s">
        <v>761</v>
      </c>
      <c r="E827" s="18" t="s">
        <v>3598</v>
      </c>
    </row>
    <row r="828">
      <c r="A828" s="362">
        <v>827.0</v>
      </c>
      <c r="B828" s="18" t="s">
        <v>143</v>
      </c>
      <c r="C828" s="18" t="s">
        <v>5370</v>
      </c>
      <c r="D828" s="18" t="s">
        <v>106</v>
      </c>
      <c r="E828" s="18" t="s">
        <v>3598</v>
      </c>
    </row>
    <row r="829">
      <c r="A829" s="362">
        <v>828.0</v>
      </c>
      <c r="B829" s="18" t="s">
        <v>96</v>
      </c>
      <c r="C829" s="18" t="s">
        <v>5373</v>
      </c>
      <c r="D829" s="18" t="s">
        <v>267</v>
      </c>
      <c r="E829" s="18" t="s">
        <v>3598</v>
      </c>
    </row>
    <row r="830">
      <c r="A830" s="362">
        <v>829.0</v>
      </c>
      <c r="B830" s="18" t="s">
        <v>102</v>
      </c>
      <c r="C830" s="18" t="s">
        <v>5374</v>
      </c>
      <c r="D830" s="18" t="s">
        <v>119</v>
      </c>
      <c r="E830" s="18" t="s">
        <v>3598</v>
      </c>
    </row>
    <row r="831">
      <c r="A831" s="362">
        <v>830.0</v>
      </c>
      <c r="B831" s="18" t="s">
        <v>504</v>
      </c>
      <c r="C831" s="18" t="s">
        <v>5375</v>
      </c>
      <c r="D831" s="18" t="s">
        <v>1157</v>
      </c>
      <c r="E831" s="18" t="s">
        <v>3598</v>
      </c>
    </row>
    <row r="832">
      <c r="A832" s="362">
        <v>831.0</v>
      </c>
      <c r="B832" s="18" t="s">
        <v>60</v>
      </c>
      <c r="C832" s="18" t="s">
        <v>5377</v>
      </c>
      <c r="D832" s="18" t="s">
        <v>5378</v>
      </c>
      <c r="E832" s="18" t="s">
        <v>3598</v>
      </c>
    </row>
    <row r="833">
      <c r="A833" s="362">
        <v>832.0</v>
      </c>
      <c r="B833" s="18" t="s">
        <v>102</v>
      </c>
      <c r="C833" s="18" t="s">
        <v>3613</v>
      </c>
      <c r="D833" s="18" t="s">
        <v>5379</v>
      </c>
      <c r="E833" s="18" t="s">
        <v>3598</v>
      </c>
    </row>
    <row r="834">
      <c r="A834" s="362">
        <v>833.0</v>
      </c>
      <c r="B834" s="18" t="s">
        <v>60</v>
      </c>
      <c r="C834" s="18" t="s">
        <v>5380</v>
      </c>
      <c r="D834" s="18" t="s">
        <v>2660</v>
      </c>
      <c r="E834" s="18" t="s">
        <v>3598</v>
      </c>
    </row>
    <row r="835">
      <c r="A835" s="362">
        <v>834.0</v>
      </c>
      <c r="B835" s="18" t="s">
        <v>60</v>
      </c>
      <c r="C835" s="18" t="s">
        <v>3492</v>
      </c>
      <c r="D835" s="18" t="s">
        <v>2660</v>
      </c>
      <c r="E835" s="18" t="s">
        <v>3598</v>
      </c>
    </row>
    <row r="836">
      <c r="A836" s="362">
        <v>835.0</v>
      </c>
      <c r="B836" s="18" t="s">
        <v>60</v>
      </c>
      <c r="C836" s="18" t="s">
        <v>5385</v>
      </c>
      <c r="D836" s="18" t="s">
        <v>287</v>
      </c>
      <c r="E836" s="18" t="s">
        <v>3598</v>
      </c>
    </row>
    <row r="837">
      <c r="A837" s="362">
        <v>836.0</v>
      </c>
      <c r="B837" s="18" t="s">
        <v>60</v>
      </c>
      <c r="C837" s="18" t="s">
        <v>5388</v>
      </c>
      <c r="D837" s="18" t="s">
        <v>287</v>
      </c>
      <c r="E837" s="18" t="s">
        <v>3598</v>
      </c>
    </row>
    <row r="838">
      <c r="A838" s="362">
        <v>837.0</v>
      </c>
      <c r="B838" s="18" t="s">
        <v>60</v>
      </c>
      <c r="C838" s="18" t="s">
        <v>3944</v>
      </c>
      <c r="D838" s="18" t="s">
        <v>287</v>
      </c>
      <c r="E838" s="18" t="s">
        <v>3598</v>
      </c>
    </row>
    <row r="839">
      <c r="A839" s="362">
        <v>838.0</v>
      </c>
      <c r="B839" s="18" t="s">
        <v>60</v>
      </c>
      <c r="C839" s="18" t="s">
        <v>5390</v>
      </c>
      <c r="D839" s="18" t="s">
        <v>5391</v>
      </c>
      <c r="E839" s="18" t="s">
        <v>3598</v>
      </c>
    </row>
    <row r="840">
      <c r="A840" s="362">
        <v>839.0</v>
      </c>
      <c r="B840" s="18" t="s">
        <v>60</v>
      </c>
      <c r="C840" s="18" t="s">
        <v>5393</v>
      </c>
      <c r="D840" s="18" t="s">
        <v>5391</v>
      </c>
      <c r="E840" s="18" t="s">
        <v>3598</v>
      </c>
    </row>
    <row r="841">
      <c r="A841" s="362">
        <v>840.0</v>
      </c>
      <c r="B841" s="18" t="s">
        <v>60</v>
      </c>
      <c r="C841" s="18" t="s">
        <v>5396</v>
      </c>
      <c r="D841" s="18" t="s">
        <v>5378</v>
      </c>
      <c r="E841" s="18" t="s">
        <v>3598</v>
      </c>
    </row>
    <row r="842">
      <c r="A842" s="362">
        <v>841.0</v>
      </c>
      <c r="B842" s="18" t="s">
        <v>60</v>
      </c>
      <c r="C842" s="18" t="s">
        <v>5398</v>
      </c>
      <c r="D842" s="18" t="s">
        <v>5379</v>
      </c>
      <c r="E842" s="18" t="s">
        <v>3598</v>
      </c>
    </row>
    <row r="843">
      <c r="A843" s="362">
        <v>842.0</v>
      </c>
      <c r="B843" s="18" t="s">
        <v>102</v>
      </c>
      <c r="C843" s="18" t="s">
        <v>5401</v>
      </c>
      <c r="D843" s="18" t="s">
        <v>2979</v>
      </c>
      <c r="E843" s="18" t="s">
        <v>3598</v>
      </c>
    </row>
    <row r="844">
      <c r="A844" s="362">
        <v>843.0</v>
      </c>
      <c r="B844" s="18" t="s">
        <v>60</v>
      </c>
      <c r="C844" s="18" t="s">
        <v>5402</v>
      </c>
      <c r="D844" s="18" t="s">
        <v>2660</v>
      </c>
      <c r="E844" s="18" t="s">
        <v>3598</v>
      </c>
    </row>
    <row r="845">
      <c r="A845" s="362">
        <v>844.0</v>
      </c>
      <c r="B845" s="18" t="s">
        <v>60</v>
      </c>
      <c r="C845" s="18" t="s">
        <v>5403</v>
      </c>
      <c r="D845" s="18" t="s">
        <v>2660</v>
      </c>
      <c r="E845" s="18" t="s">
        <v>3598</v>
      </c>
    </row>
    <row r="846">
      <c r="A846" s="362">
        <v>845.0</v>
      </c>
      <c r="B846" s="18" t="s">
        <v>60</v>
      </c>
      <c r="C846" s="18" t="s">
        <v>5406</v>
      </c>
      <c r="D846" s="18" t="s">
        <v>287</v>
      </c>
      <c r="E846" s="18" t="s">
        <v>3598</v>
      </c>
    </row>
    <row r="847">
      <c r="A847" s="362">
        <v>846.0</v>
      </c>
      <c r="B847" s="18" t="s">
        <v>60</v>
      </c>
      <c r="C847" s="18" t="s">
        <v>5407</v>
      </c>
      <c r="D847" s="18" t="s">
        <v>5391</v>
      </c>
      <c r="E847" s="18" t="s">
        <v>3598</v>
      </c>
    </row>
    <row r="848">
      <c r="A848" s="362">
        <v>847.0</v>
      </c>
      <c r="B848" s="18" t="s">
        <v>60</v>
      </c>
      <c r="C848" s="18" t="s">
        <v>5409</v>
      </c>
      <c r="D848" s="18" t="s">
        <v>5391</v>
      </c>
      <c r="E848" s="18" t="s">
        <v>3598</v>
      </c>
    </row>
    <row r="849">
      <c r="A849" s="362">
        <v>848.0</v>
      </c>
      <c r="B849" s="18" t="s">
        <v>60</v>
      </c>
      <c r="C849" s="18" t="s">
        <v>5412</v>
      </c>
      <c r="D849" s="18" t="s">
        <v>5391</v>
      </c>
      <c r="E849" s="18" t="s">
        <v>3598</v>
      </c>
    </row>
    <row r="850">
      <c r="A850" s="362">
        <v>849.0</v>
      </c>
      <c r="B850" s="18" t="s">
        <v>102</v>
      </c>
      <c r="C850" s="18" t="s">
        <v>3634</v>
      </c>
      <c r="D850" s="18" t="s">
        <v>5378</v>
      </c>
      <c r="E850" s="18" t="s">
        <v>3598</v>
      </c>
    </row>
    <row r="851">
      <c r="A851" s="362">
        <v>850.0</v>
      </c>
      <c r="B851" s="18" t="s">
        <v>102</v>
      </c>
      <c r="C851" s="18" t="s">
        <v>5415</v>
      </c>
      <c r="D851" s="18" t="s">
        <v>5379</v>
      </c>
      <c r="E851" s="18" t="s">
        <v>3598</v>
      </c>
    </row>
    <row r="852">
      <c r="A852" s="362">
        <v>851.0</v>
      </c>
      <c r="B852" s="18" t="s">
        <v>60</v>
      </c>
      <c r="C852" s="18" t="s">
        <v>5417</v>
      </c>
      <c r="D852" s="18" t="s">
        <v>2979</v>
      </c>
      <c r="E852" s="18" t="s">
        <v>3598</v>
      </c>
    </row>
    <row r="853">
      <c r="A853" s="362">
        <v>852.0</v>
      </c>
      <c r="B853" s="18" t="s">
        <v>60</v>
      </c>
      <c r="C853" s="18" t="s">
        <v>5419</v>
      </c>
      <c r="D853" s="18" t="s">
        <v>2660</v>
      </c>
      <c r="E853" s="18" t="s">
        <v>3598</v>
      </c>
    </row>
    <row r="854">
      <c r="A854" s="362">
        <v>853.0</v>
      </c>
      <c r="B854" s="18" t="s">
        <v>60</v>
      </c>
      <c r="C854" s="18" t="s">
        <v>5421</v>
      </c>
      <c r="D854" s="18" t="s">
        <v>2660</v>
      </c>
      <c r="E854" s="18" t="s">
        <v>3598</v>
      </c>
    </row>
    <row r="855">
      <c r="A855" s="362">
        <v>854.0</v>
      </c>
      <c r="B855" s="18" t="s">
        <v>60</v>
      </c>
      <c r="C855" s="18" t="s">
        <v>5423</v>
      </c>
      <c r="D855" s="18" t="s">
        <v>287</v>
      </c>
      <c r="E855" s="18" t="s">
        <v>3598</v>
      </c>
    </row>
    <row r="856">
      <c r="A856" s="362">
        <v>855.0</v>
      </c>
      <c r="B856" s="18" t="s">
        <v>60</v>
      </c>
      <c r="C856" s="18" t="s">
        <v>5425</v>
      </c>
      <c r="D856" s="18" t="s">
        <v>287</v>
      </c>
      <c r="E856" s="18" t="s">
        <v>3598</v>
      </c>
    </row>
    <row r="857">
      <c r="A857" s="362">
        <v>856.0</v>
      </c>
      <c r="B857" s="18" t="s">
        <v>60</v>
      </c>
      <c r="C857" s="18" t="s">
        <v>5429</v>
      </c>
      <c r="D857" s="18" t="s">
        <v>5391</v>
      </c>
      <c r="E857" s="18" t="s">
        <v>3598</v>
      </c>
    </row>
    <row r="858">
      <c r="A858" s="362">
        <v>857.0</v>
      </c>
      <c r="B858" s="18" t="s">
        <v>60</v>
      </c>
      <c r="C858" s="18" t="s">
        <v>5430</v>
      </c>
      <c r="D858" s="18" t="s">
        <v>5391</v>
      </c>
      <c r="E858" s="18" t="s">
        <v>3598</v>
      </c>
    </row>
    <row r="859">
      <c r="A859" s="362">
        <v>858.0</v>
      </c>
      <c r="B859" s="18" t="s">
        <v>96</v>
      </c>
      <c r="C859" s="18" t="s">
        <v>5431</v>
      </c>
      <c r="D859" s="18" t="s">
        <v>267</v>
      </c>
      <c r="E859" s="18" t="s">
        <v>3598</v>
      </c>
    </row>
    <row r="860">
      <c r="A860" s="362">
        <v>859.0</v>
      </c>
      <c r="B860" s="18" t="s">
        <v>102</v>
      </c>
      <c r="C860" s="18" t="s">
        <v>5434</v>
      </c>
      <c r="D860" s="18" t="s">
        <v>2979</v>
      </c>
      <c r="E860" s="18" t="s">
        <v>3598</v>
      </c>
    </row>
    <row r="861">
      <c r="A861" s="362">
        <v>860.0</v>
      </c>
      <c r="B861" s="18" t="s">
        <v>60</v>
      </c>
      <c r="C861" s="18" t="s">
        <v>5435</v>
      </c>
      <c r="D861" s="18" t="s">
        <v>201</v>
      </c>
      <c r="E861" s="18" t="s">
        <v>3598</v>
      </c>
    </row>
    <row r="862">
      <c r="A862" s="362">
        <v>861.0</v>
      </c>
      <c r="B862" s="18" t="s">
        <v>102</v>
      </c>
      <c r="C862" s="18" t="s">
        <v>5437</v>
      </c>
      <c r="D862" s="18" t="s">
        <v>5378</v>
      </c>
      <c r="E862" s="18" t="s">
        <v>3598</v>
      </c>
    </row>
    <row r="863">
      <c r="A863" s="362">
        <v>862.0</v>
      </c>
      <c r="B863" s="18" t="s">
        <v>360</v>
      </c>
      <c r="C863" s="18" t="s">
        <v>5438</v>
      </c>
      <c r="D863" s="18" t="s">
        <v>5379</v>
      </c>
      <c r="E863" s="18" t="s">
        <v>3598</v>
      </c>
    </row>
    <row r="864">
      <c r="A864" s="362">
        <v>863.0</v>
      </c>
      <c r="B864" s="18" t="s">
        <v>326</v>
      </c>
      <c r="C864" s="18" t="s">
        <v>5440</v>
      </c>
      <c r="D864" s="18" t="s">
        <v>2979</v>
      </c>
      <c r="E864" s="18" t="s">
        <v>3598</v>
      </c>
    </row>
    <row r="865">
      <c r="A865" s="362">
        <v>864.0</v>
      </c>
      <c r="B865" s="18" t="s">
        <v>60</v>
      </c>
      <c r="C865" s="18" t="s">
        <v>5442</v>
      </c>
      <c r="D865" s="18" t="s">
        <v>287</v>
      </c>
      <c r="E865" s="18" t="s">
        <v>3598</v>
      </c>
    </row>
    <row r="866">
      <c r="A866" s="362">
        <v>865.0</v>
      </c>
      <c r="B866" s="18" t="s">
        <v>60</v>
      </c>
      <c r="C866" s="18" t="s">
        <v>5443</v>
      </c>
      <c r="D866" s="18" t="s">
        <v>287</v>
      </c>
      <c r="E866" s="18" t="s">
        <v>3598</v>
      </c>
    </row>
    <row r="867">
      <c r="A867" s="362">
        <v>866.0</v>
      </c>
      <c r="B867" s="18" t="s">
        <v>102</v>
      </c>
      <c r="C867" s="18" t="s">
        <v>5445</v>
      </c>
      <c r="D867" s="18" t="s">
        <v>5378</v>
      </c>
      <c r="E867" s="18" t="s">
        <v>3598</v>
      </c>
    </row>
    <row r="868">
      <c r="A868" s="362">
        <v>867.0</v>
      </c>
      <c r="B868" s="18" t="s">
        <v>102</v>
      </c>
      <c r="C868" s="18" t="s">
        <v>5446</v>
      </c>
      <c r="D868" s="18" t="s">
        <v>5379</v>
      </c>
      <c r="E868" s="18" t="s">
        <v>3598</v>
      </c>
    </row>
    <row r="869">
      <c r="A869" s="362">
        <v>868.0</v>
      </c>
      <c r="B869" s="18" t="s">
        <v>60</v>
      </c>
      <c r="C869" s="18" t="s">
        <v>5447</v>
      </c>
      <c r="D869" s="18" t="s">
        <v>2979</v>
      </c>
      <c r="E869" s="18" t="s">
        <v>3598</v>
      </c>
    </row>
    <row r="870">
      <c r="A870" s="362">
        <v>869.0</v>
      </c>
      <c r="B870" s="18" t="s">
        <v>60</v>
      </c>
      <c r="C870" s="18" t="s">
        <v>5449</v>
      </c>
      <c r="D870" s="18" t="s">
        <v>2660</v>
      </c>
      <c r="E870" s="18" t="s">
        <v>3598</v>
      </c>
    </row>
    <row r="871">
      <c r="A871" s="362">
        <v>870.0</v>
      </c>
      <c r="B871" s="18" t="s">
        <v>60</v>
      </c>
      <c r="C871" s="18" t="s">
        <v>5450</v>
      </c>
      <c r="D871" s="18" t="s">
        <v>2660</v>
      </c>
      <c r="E871" s="18" t="s">
        <v>3598</v>
      </c>
    </row>
    <row r="872">
      <c r="A872" s="362">
        <v>871.0</v>
      </c>
      <c r="B872" s="18" t="s">
        <v>504</v>
      </c>
      <c r="C872" s="18" t="s">
        <v>5451</v>
      </c>
      <c r="D872" s="18" t="s">
        <v>287</v>
      </c>
      <c r="E872" s="18" t="s">
        <v>3598</v>
      </c>
    </row>
    <row r="873">
      <c r="A873" s="362">
        <v>872.0</v>
      </c>
      <c r="B873" s="18" t="s">
        <v>60</v>
      </c>
      <c r="C873" s="18" t="s">
        <v>5454</v>
      </c>
      <c r="D873" s="18" t="s">
        <v>287</v>
      </c>
      <c r="E873" s="18" t="s">
        <v>3598</v>
      </c>
    </row>
    <row r="874">
      <c r="A874" s="362">
        <v>873.0</v>
      </c>
      <c r="B874" s="18" t="s">
        <v>60</v>
      </c>
      <c r="C874" s="18" t="s">
        <v>5456</v>
      </c>
      <c r="D874" s="18" t="s">
        <v>5378</v>
      </c>
      <c r="E874" s="18" t="s">
        <v>3598</v>
      </c>
    </row>
    <row r="875">
      <c r="A875" s="362">
        <v>874.0</v>
      </c>
      <c r="B875" s="18" t="s">
        <v>504</v>
      </c>
      <c r="C875" s="18" t="s">
        <v>5457</v>
      </c>
      <c r="D875" s="18" t="s">
        <v>5379</v>
      </c>
      <c r="E875" s="18" t="s">
        <v>3598</v>
      </c>
    </row>
    <row r="876">
      <c r="A876" s="362">
        <v>875.0</v>
      </c>
      <c r="B876" s="18" t="s">
        <v>326</v>
      </c>
      <c r="C876" s="18" t="s">
        <v>5462</v>
      </c>
      <c r="D876" s="18" t="s">
        <v>2979</v>
      </c>
      <c r="E876" s="18" t="s">
        <v>3598</v>
      </c>
    </row>
    <row r="877">
      <c r="A877" s="362">
        <v>876.0</v>
      </c>
      <c r="B877" s="18" t="s">
        <v>60</v>
      </c>
      <c r="C877" s="18" t="s">
        <v>5463</v>
      </c>
      <c r="D877" s="18" t="s">
        <v>287</v>
      </c>
      <c r="E877" s="18" t="s">
        <v>3598</v>
      </c>
    </row>
    <row r="878">
      <c r="A878" s="362">
        <v>877.0</v>
      </c>
      <c r="B878" s="18" t="s">
        <v>60</v>
      </c>
      <c r="C878" s="18" t="s">
        <v>5465</v>
      </c>
      <c r="D878" s="18" t="s">
        <v>287</v>
      </c>
      <c r="E878" s="18" t="s">
        <v>3598</v>
      </c>
    </row>
    <row r="879">
      <c r="A879" s="362">
        <v>878.0</v>
      </c>
      <c r="B879" s="18" t="s">
        <v>102</v>
      </c>
      <c r="C879" s="18" t="s">
        <v>5466</v>
      </c>
      <c r="D879" s="18" t="s">
        <v>5468</v>
      </c>
      <c r="E879" s="18" t="s">
        <v>3598</v>
      </c>
    </row>
    <row r="880">
      <c r="A880" s="362">
        <v>879.0</v>
      </c>
      <c r="B880" s="18" t="s">
        <v>60</v>
      </c>
      <c r="C880" s="18" t="s">
        <v>5469</v>
      </c>
      <c r="D880" s="18" t="s">
        <v>178</v>
      </c>
      <c r="E880" s="18" t="s">
        <v>3598</v>
      </c>
    </row>
    <row r="881">
      <c r="A881" s="362">
        <v>880.0</v>
      </c>
      <c r="B881" s="18" t="s">
        <v>102</v>
      </c>
      <c r="C881" s="18" t="s">
        <v>5470</v>
      </c>
      <c r="D881" s="18" t="s">
        <v>170</v>
      </c>
      <c r="E881" s="18" t="s">
        <v>3598</v>
      </c>
    </row>
    <row r="882">
      <c r="A882" s="362">
        <v>881.0</v>
      </c>
      <c r="B882" s="18" t="s">
        <v>326</v>
      </c>
      <c r="C882" s="18" t="s">
        <v>5471</v>
      </c>
      <c r="D882" s="18" t="s">
        <v>1345</v>
      </c>
      <c r="E882" s="18" t="s">
        <v>3598</v>
      </c>
    </row>
    <row r="883">
      <c r="A883" s="362">
        <v>882.0</v>
      </c>
      <c r="B883" s="18" t="s">
        <v>60</v>
      </c>
      <c r="C883" s="18" t="s">
        <v>5474</v>
      </c>
      <c r="D883" s="18" t="s">
        <v>2281</v>
      </c>
      <c r="E883" s="18" t="s">
        <v>3598</v>
      </c>
    </row>
    <row r="884">
      <c r="A884" s="362">
        <v>883.0</v>
      </c>
      <c r="B884" s="18" t="s">
        <v>60</v>
      </c>
      <c r="C884" s="18" t="s">
        <v>5479</v>
      </c>
      <c r="D884" s="18" t="s">
        <v>178</v>
      </c>
      <c r="E884" s="18" t="s">
        <v>3598</v>
      </c>
    </row>
    <row r="885">
      <c r="A885" s="362">
        <v>884.0</v>
      </c>
      <c r="B885" s="18" t="s">
        <v>656</v>
      </c>
      <c r="C885" s="18" t="s">
        <v>5481</v>
      </c>
      <c r="D885" s="18" t="s">
        <v>5482</v>
      </c>
      <c r="E885" s="18" t="s">
        <v>3598</v>
      </c>
    </row>
    <row r="886">
      <c r="A886" s="362">
        <v>885.0</v>
      </c>
      <c r="B886" s="18" t="s">
        <v>102</v>
      </c>
      <c r="C886" s="18" t="s">
        <v>5485</v>
      </c>
      <c r="D886" s="18" t="s">
        <v>170</v>
      </c>
      <c r="E886" s="18" t="s">
        <v>3598</v>
      </c>
    </row>
    <row r="887">
      <c r="A887" s="362">
        <v>886.0</v>
      </c>
      <c r="B887" s="18" t="s">
        <v>60</v>
      </c>
      <c r="C887" s="18" t="s">
        <v>5491</v>
      </c>
      <c r="D887" s="18" t="s">
        <v>201</v>
      </c>
      <c r="E887" s="18" t="s">
        <v>3598</v>
      </c>
    </row>
    <row r="888">
      <c r="A888" s="362">
        <v>887.0</v>
      </c>
      <c r="B888" s="18" t="s">
        <v>60</v>
      </c>
      <c r="C888" s="18" t="s">
        <v>5493</v>
      </c>
      <c r="D888" s="18" t="s">
        <v>5495</v>
      </c>
      <c r="E888" s="18" t="s">
        <v>3598</v>
      </c>
    </row>
    <row r="889">
      <c r="A889" s="362">
        <v>888.0</v>
      </c>
      <c r="B889" s="18" t="s">
        <v>60</v>
      </c>
      <c r="C889" s="18" t="s">
        <v>5496</v>
      </c>
      <c r="D889" s="18" t="s">
        <v>178</v>
      </c>
      <c r="E889" s="18" t="s">
        <v>3598</v>
      </c>
    </row>
    <row r="890">
      <c r="A890" s="362">
        <v>889.0</v>
      </c>
      <c r="B890" s="18" t="s">
        <v>60</v>
      </c>
      <c r="C890" s="18" t="s">
        <v>5499</v>
      </c>
      <c r="D890" s="18" t="s">
        <v>457</v>
      </c>
      <c r="E890" s="18" t="s">
        <v>3598</v>
      </c>
    </row>
    <row r="891">
      <c r="A891" s="362">
        <v>890.0</v>
      </c>
      <c r="B891" s="18" t="s">
        <v>102</v>
      </c>
      <c r="C891" s="18" t="s">
        <v>5501</v>
      </c>
      <c r="D891" s="18" t="s">
        <v>3811</v>
      </c>
      <c r="E891" s="18" t="s">
        <v>3598</v>
      </c>
    </row>
    <row r="892">
      <c r="A892" s="362">
        <v>891.0</v>
      </c>
      <c r="B892" s="18" t="s">
        <v>326</v>
      </c>
      <c r="C892" s="18" t="s">
        <v>5505</v>
      </c>
      <c r="D892" s="18" t="s">
        <v>3687</v>
      </c>
      <c r="E892" s="18" t="s">
        <v>3598</v>
      </c>
    </row>
    <row r="893">
      <c r="A893" s="362">
        <v>892.0</v>
      </c>
      <c r="B893" s="18" t="s">
        <v>102</v>
      </c>
      <c r="C893" s="18" t="s">
        <v>5509</v>
      </c>
      <c r="D893" s="18" t="s">
        <v>170</v>
      </c>
      <c r="E893" s="18" t="s">
        <v>3598</v>
      </c>
    </row>
    <row r="894">
      <c r="A894" s="362">
        <v>893.0</v>
      </c>
      <c r="B894" s="18" t="s">
        <v>102</v>
      </c>
      <c r="C894" s="18" t="s">
        <v>5514</v>
      </c>
      <c r="D894" s="18" t="s">
        <v>178</v>
      </c>
      <c r="E894" s="18" t="s">
        <v>3598</v>
      </c>
    </row>
    <row r="895">
      <c r="A895" s="362">
        <v>894.0</v>
      </c>
      <c r="B895" s="18" t="s">
        <v>102</v>
      </c>
      <c r="C895" s="18" t="s">
        <v>5515</v>
      </c>
      <c r="D895" s="18" t="s">
        <v>178</v>
      </c>
      <c r="E895" s="18" t="s">
        <v>3598</v>
      </c>
    </row>
    <row r="896">
      <c r="A896" s="362">
        <v>895.0</v>
      </c>
      <c r="B896" s="18" t="s">
        <v>60</v>
      </c>
      <c r="C896" s="18" t="s">
        <v>5516</v>
      </c>
      <c r="D896" s="18" t="s">
        <v>201</v>
      </c>
      <c r="E896" s="18" t="s">
        <v>3598</v>
      </c>
    </row>
    <row r="897">
      <c r="A897" s="362">
        <v>896.0</v>
      </c>
      <c r="B897" s="18" t="s">
        <v>60</v>
      </c>
      <c r="C897" s="18" t="s">
        <v>5519</v>
      </c>
      <c r="D897" s="18" t="s">
        <v>726</v>
      </c>
      <c r="E897" s="18" t="s">
        <v>3598</v>
      </c>
    </row>
    <row r="898">
      <c r="A898" s="362">
        <v>897.0</v>
      </c>
      <c r="B898" s="18" t="s">
        <v>102</v>
      </c>
      <c r="C898" s="18" t="s">
        <v>5525</v>
      </c>
      <c r="D898" s="18" t="s">
        <v>106</v>
      </c>
      <c r="E898" s="18" t="s">
        <v>3598</v>
      </c>
    </row>
    <row r="899">
      <c r="A899" s="362">
        <v>898.0</v>
      </c>
      <c r="B899" s="18" t="s">
        <v>656</v>
      </c>
      <c r="C899" s="18" t="s">
        <v>5527</v>
      </c>
      <c r="D899" s="18" t="s">
        <v>570</v>
      </c>
      <c r="E899" s="18" t="s">
        <v>3598</v>
      </c>
    </row>
    <row r="900">
      <c r="A900" s="362">
        <v>899.0</v>
      </c>
      <c r="B900" s="18" t="s">
        <v>60</v>
      </c>
      <c r="C900" s="18" t="s">
        <v>5529</v>
      </c>
      <c r="D900" s="18" t="s">
        <v>287</v>
      </c>
      <c r="E900" s="18" t="s">
        <v>3598</v>
      </c>
    </row>
    <row r="901">
      <c r="A901" s="362">
        <v>900.0</v>
      </c>
      <c r="B901" s="18" t="s">
        <v>60</v>
      </c>
      <c r="C901" s="18" t="s">
        <v>5530</v>
      </c>
      <c r="D901" s="18" t="s">
        <v>201</v>
      </c>
      <c r="E901" s="18" t="s">
        <v>3598</v>
      </c>
    </row>
    <row r="902">
      <c r="A902" s="362">
        <v>901.0</v>
      </c>
      <c r="B902" s="18" t="s">
        <v>60</v>
      </c>
      <c r="C902" s="18" t="s">
        <v>5532</v>
      </c>
      <c r="D902" s="18" t="s">
        <v>2660</v>
      </c>
      <c r="E902" s="18" t="s">
        <v>3598</v>
      </c>
    </row>
    <row r="903">
      <c r="A903" s="362">
        <v>902.0</v>
      </c>
      <c r="B903" s="18" t="s">
        <v>60</v>
      </c>
      <c r="C903" s="18" t="s">
        <v>5534</v>
      </c>
      <c r="D903" s="18" t="s">
        <v>152</v>
      </c>
      <c r="E903" s="18" t="s">
        <v>3598</v>
      </c>
    </row>
    <row r="904">
      <c r="A904" s="362">
        <v>903.0</v>
      </c>
      <c r="B904" s="18" t="s">
        <v>656</v>
      </c>
      <c r="C904" s="18" t="s">
        <v>5536</v>
      </c>
      <c r="D904" s="18" t="s">
        <v>1536</v>
      </c>
      <c r="E904" s="18" t="s">
        <v>3598</v>
      </c>
    </row>
    <row r="905">
      <c r="A905" s="362">
        <v>904.0</v>
      </c>
      <c r="B905" s="18" t="s">
        <v>60</v>
      </c>
      <c r="C905" s="18" t="s">
        <v>5538</v>
      </c>
      <c r="D905" s="18" t="s">
        <v>1536</v>
      </c>
      <c r="E905" s="18" t="s">
        <v>3598</v>
      </c>
    </row>
    <row r="906">
      <c r="A906" s="362">
        <v>905.0</v>
      </c>
      <c r="B906" s="18" t="s">
        <v>102</v>
      </c>
      <c r="C906" s="18" t="s">
        <v>5540</v>
      </c>
      <c r="D906" s="18" t="s">
        <v>178</v>
      </c>
      <c r="E906" s="18" t="s">
        <v>3598</v>
      </c>
    </row>
    <row r="907">
      <c r="A907" s="362">
        <v>906.0</v>
      </c>
      <c r="B907" s="18" t="s">
        <v>96</v>
      </c>
      <c r="C907" s="18" t="s">
        <v>5542</v>
      </c>
      <c r="D907" s="18" t="s">
        <v>170</v>
      </c>
      <c r="E907" s="18" t="s">
        <v>3598</v>
      </c>
    </row>
    <row r="908">
      <c r="A908" s="362">
        <v>907.0</v>
      </c>
      <c r="B908" s="18" t="s">
        <v>60</v>
      </c>
      <c r="C908" s="18" t="s">
        <v>5543</v>
      </c>
      <c r="D908" s="18" t="s">
        <v>726</v>
      </c>
      <c r="E908" s="18" t="s">
        <v>3598</v>
      </c>
    </row>
    <row r="909">
      <c r="A909" s="362">
        <v>908.0</v>
      </c>
      <c r="B909" s="18" t="s">
        <v>60</v>
      </c>
      <c r="C909" s="18" t="s">
        <v>5546</v>
      </c>
      <c r="D909" s="18" t="s">
        <v>1431</v>
      </c>
      <c r="E909" s="18" t="s">
        <v>3598</v>
      </c>
    </row>
    <row r="910">
      <c r="A910" s="362">
        <v>909.0</v>
      </c>
      <c r="B910" s="18" t="s">
        <v>60</v>
      </c>
      <c r="C910" s="18" t="s">
        <v>5548</v>
      </c>
      <c r="D910" s="18" t="s">
        <v>5550</v>
      </c>
      <c r="E910" s="18" t="s">
        <v>3598</v>
      </c>
    </row>
    <row r="911">
      <c r="A911" s="362">
        <v>910.0</v>
      </c>
      <c r="B911" s="18" t="s">
        <v>656</v>
      </c>
      <c r="C911" s="18" t="s">
        <v>5552</v>
      </c>
      <c r="D911" s="18" t="s">
        <v>5482</v>
      </c>
      <c r="E911" s="18" t="s">
        <v>3598</v>
      </c>
    </row>
    <row r="912">
      <c r="A912" s="362">
        <v>911.0</v>
      </c>
      <c r="B912" s="18" t="s">
        <v>60</v>
      </c>
      <c r="C912" s="18" t="s">
        <v>5554</v>
      </c>
      <c r="D912" s="18" t="s">
        <v>331</v>
      </c>
      <c r="E912" s="18" t="s">
        <v>3598</v>
      </c>
    </row>
    <row r="913">
      <c r="A913" s="362">
        <v>912.0</v>
      </c>
      <c r="B913" s="18" t="s">
        <v>360</v>
      </c>
      <c r="C913" s="18" t="s">
        <v>5557</v>
      </c>
      <c r="D913" s="18" t="s">
        <v>302</v>
      </c>
      <c r="E913" s="18" t="s">
        <v>3598</v>
      </c>
    </row>
    <row r="914">
      <c r="A914" s="362">
        <v>913.0</v>
      </c>
      <c r="B914" s="18" t="s">
        <v>656</v>
      </c>
      <c r="C914" s="18" t="s">
        <v>5560</v>
      </c>
      <c r="D914" s="18" t="s">
        <v>2197</v>
      </c>
      <c r="E914" s="18" t="s">
        <v>3598</v>
      </c>
    </row>
    <row r="915">
      <c r="A915" s="362">
        <v>914.0</v>
      </c>
      <c r="B915" s="18" t="s">
        <v>60</v>
      </c>
      <c r="C915" s="18" t="s">
        <v>5563</v>
      </c>
      <c r="D915" s="18" t="s">
        <v>152</v>
      </c>
      <c r="E915" s="18" t="s">
        <v>3598</v>
      </c>
    </row>
    <row r="916">
      <c r="A916" s="362">
        <v>915.0</v>
      </c>
      <c r="B916" s="18" t="s">
        <v>60</v>
      </c>
      <c r="C916" s="18" t="s">
        <v>5565</v>
      </c>
      <c r="D916" s="18" t="s">
        <v>1431</v>
      </c>
      <c r="E916" s="18" t="s">
        <v>3598</v>
      </c>
    </row>
    <row r="917">
      <c r="A917" s="362">
        <v>916.0</v>
      </c>
      <c r="B917" s="18" t="s">
        <v>60</v>
      </c>
      <c r="C917" s="18" t="s">
        <v>5566</v>
      </c>
      <c r="D917" s="18" t="s">
        <v>287</v>
      </c>
      <c r="E917" s="18" t="s">
        <v>3598</v>
      </c>
    </row>
    <row r="918">
      <c r="A918" s="362">
        <v>917.0</v>
      </c>
      <c r="B918" s="18" t="s">
        <v>60</v>
      </c>
      <c r="C918" s="18" t="s">
        <v>5567</v>
      </c>
      <c r="D918" s="18" t="s">
        <v>5569</v>
      </c>
      <c r="E918" s="18" t="s">
        <v>3598</v>
      </c>
    </row>
    <row r="919">
      <c r="A919" s="362">
        <v>918.0</v>
      </c>
      <c r="B919" s="18" t="s">
        <v>60</v>
      </c>
      <c r="C919" s="18" t="s">
        <v>5573</v>
      </c>
      <c r="D919" s="18" t="s">
        <v>3761</v>
      </c>
      <c r="E919" s="18" t="s">
        <v>3598</v>
      </c>
    </row>
    <row r="920">
      <c r="A920" s="362">
        <v>919.0</v>
      </c>
      <c r="B920" s="18" t="s">
        <v>326</v>
      </c>
      <c r="C920" s="18" t="s">
        <v>5577</v>
      </c>
      <c r="D920" s="18" t="s">
        <v>3687</v>
      </c>
      <c r="E920" s="18" t="s">
        <v>3598</v>
      </c>
    </row>
    <row r="921">
      <c r="A921" s="362">
        <v>920.0</v>
      </c>
      <c r="B921" s="18" t="s">
        <v>60</v>
      </c>
      <c r="C921" s="18" t="s">
        <v>5579</v>
      </c>
      <c r="D921" s="18" t="s">
        <v>5569</v>
      </c>
      <c r="E921" s="18" t="s">
        <v>3598</v>
      </c>
    </row>
    <row r="922">
      <c r="A922" s="362">
        <v>921.0</v>
      </c>
      <c r="B922" s="18" t="s">
        <v>60</v>
      </c>
      <c r="C922" s="18" t="s">
        <v>5581</v>
      </c>
      <c r="D922" s="18" t="s">
        <v>2233</v>
      </c>
      <c r="E922" s="18" t="s">
        <v>3598</v>
      </c>
    </row>
    <row r="923">
      <c r="A923" s="362">
        <v>922.0</v>
      </c>
      <c r="B923" s="18" t="s">
        <v>60</v>
      </c>
      <c r="C923" s="18" t="s">
        <v>5585</v>
      </c>
      <c r="D923" s="18" t="s">
        <v>4525</v>
      </c>
      <c r="E923" s="18" t="s">
        <v>3598</v>
      </c>
    </row>
    <row r="924">
      <c r="A924" s="362">
        <v>923.0</v>
      </c>
      <c r="B924" s="18" t="s">
        <v>60</v>
      </c>
      <c r="C924" s="18" t="s">
        <v>5588</v>
      </c>
      <c r="D924" s="18" t="s">
        <v>201</v>
      </c>
      <c r="E924" s="18" t="s">
        <v>3598</v>
      </c>
    </row>
    <row r="925">
      <c r="A925" s="362">
        <v>924.0</v>
      </c>
      <c r="B925" s="18" t="s">
        <v>60</v>
      </c>
      <c r="C925" s="18" t="s">
        <v>5591</v>
      </c>
      <c r="D925" s="18" t="s">
        <v>5342</v>
      </c>
      <c r="E925" s="18" t="s">
        <v>3598</v>
      </c>
    </row>
    <row r="926">
      <c r="A926" s="362">
        <v>925.0</v>
      </c>
      <c r="B926" s="18" t="s">
        <v>102</v>
      </c>
      <c r="C926" s="18" t="s">
        <v>5597</v>
      </c>
      <c r="D926" s="18" t="s">
        <v>5598</v>
      </c>
      <c r="E926" s="18" t="s">
        <v>3598</v>
      </c>
    </row>
    <row r="927">
      <c r="A927" s="362">
        <v>926.0</v>
      </c>
      <c r="B927" s="18" t="s">
        <v>102</v>
      </c>
      <c r="C927" s="18" t="s">
        <v>5599</v>
      </c>
      <c r="D927" s="18" t="s">
        <v>81</v>
      </c>
      <c r="E927" s="18" t="s">
        <v>3598</v>
      </c>
    </row>
    <row r="928">
      <c r="A928" s="362">
        <v>927.0</v>
      </c>
      <c r="B928" s="18" t="s">
        <v>60</v>
      </c>
      <c r="C928" s="18" t="s">
        <v>3248</v>
      </c>
      <c r="D928" s="18" t="s">
        <v>163</v>
      </c>
      <c r="E928" s="18" t="s">
        <v>3598</v>
      </c>
    </row>
    <row r="929">
      <c r="A929" s="362">
        <v>928.0</v>
      </c>
      <c r="B929" s="18" t="s">
        <v>360</v>
      </c>
      <c r="C929" s="18" t="s">
        <v>5602</v>
      </c>
      <c r="D929" s="18" t="s">
        <v>119</v>
      </c>
      <c r="E929" s="18" t="s">
        <v>3598</v>
      </c>
    </row>
    <row r="930">
      <c r="A930" s="362">
        <v>929.0</v>
      </c>
      <c r="B930" s="18" t="s">
        <v>102</v>
      </c>
      <c r="C930" s="18" t="s">
        <v>5605</v>
      </c>
      <c r="D930" s="18" t="s">
        <v>170</v>
      </c>
      <c r="E930" s="18" t="s">
        <v>3598</v>
      </c>
    </row>
    <row r="931">
      <c r="A931" s="362">
        <v>930.0</v>
      </c>
      <c r="B931" s="18" t="s">
        <v>102</v>
      </c>
      <c r="C931" s="18" t="s">
        <v>5608</v>
      </c>
      <c r="D931" s="18" t="s">
        <v>266</v>
      </c>
      <c r="E931" s="18" t="s">
        <v>3598</v>
      </c>
    </row>
    <row r="932">
      <c r="A932" s="362">
        <v>931.0</v>
      </c>
      <c r="B932" s="18" t="s">
        <v>36</v>
      </c>
      <c r="C932" s="18" t="s">
        <v>5612</v>
      </c>
      <c r="D932" s="18" t="s">
        <v>170</v>
      </c>
      <c r="E932" s="18" t="s">
        <v>3598</v>
      </c>
    </row>
    <row r="933">
      <c r="A933" s="362">
        <v>932.0</v>
      </c>
      <c r="B933" s="18" t="s">
        <v>36</v>
      </c>
      <c r="C933" s="18" t="s">
        <v>5614</v>
      </c>
      <c r="D933" s="18" t="s">
        <v>122</v>
      </c>
      <c r="E933" s="18" t="s">
        <v>3598</v>
      </c>
    </row>
    <row r="934">
      <c r="A934" s="362">
        <v>933.0</v>
      </c>
      <c r="B934" s="18" t="s">
        <v>36</v>
      </c>
      <c r="C934" s="18" t="s">
        <v>5615</v>
      </c>
      <c r="D934" s="18" t="s">
        <v>39</v>
      </c>
      <c r="E934" s="18" t="s">
        <v>3598</v>
      </c>
    </row>
    <row r="935">
      <c r="A935" s="362">
        <v>934.0</v>
      </c>
      <c r="B935" s="18" t="s">
        <v>36</v>
      </c>
      <c r="C935" s="18" t="s">
        <v>5619</v>
      </c>
      <c r="D935" s="18" t="s">
        <v>273</v>
      </c>
      <c r="E935" s="18" t="s">
        <v>3598</v>
      </c>
    </row>
    <row r="936">
      <c r="A936" s="362">
        <v>935.0</v>
      </c>
      <c r="B936" s="18" t="s">
        <v>36</v>
      </c>
      <c r="C936" s="18" t="s">
        <v>5621</v>
      </c>
      <c r="D936" s="18" t="s">
        <v>81</v>
      </c>
      <c r="E936" s="18" t="s">
        <v>3598</v>
      </c>
    </row>
    <row r="937">
      <c r="A937" s="362">
        <v>936.0</v>
      </c>
      <c r="B937" s="18" t="s">
        <v>60</v>
      </c>
      <c r="C937" s="18" t="s">
        <v>5622</v>
      </c>
      <c r="D937" s="18" t="s">
        <v>726</v>
      </c>
      <c r="E937" s="18" t="s">
        <v>3598</v>
      </c>
    </row>
    <row r="938">
      <c r="A938" s="362">
        <v>937.0</v>
      </c>
      <c r="B938" s="18" t="s">
        <v>102</v>
      </c>
      <c r="C938" s="18" t="s">
        <v>5623</v>
      </c>
      <c r="D938" s="18" t="s">
        <v>178</v>
      </c>
      <c r="E938" s="18" t="s">
        <v>3598</v>
      </c>
    </row>
    <row r="939">
      <c r="A939" s="362">
        <v>938.0</v>
      </c>
      <c r="B939" s="18" t="s">
        <v>102</v>
      </c>
      <c r="C939" s="18" t="s">
        <v>5627</v>
      </c>
      <c r="D939" s="18" t="s">
        <v>178</v>
      </c>
      <c r="E939" s="18" t="s">
        <v>3598</v>
      </c>
    </row>
    <row r="940">
      <c r="A940" s="362">
        <v>939.0</v>
      </c>
      <c r="B940" s="18" t="s">
        <v>102</v>
      </c>
      <c r="C940" s="18" t="s">
        <v>5629</v>
      </c>
      <c r="D940" s="18" t="s">
        <v>163</v>
      </c>
      <c r="E940" s="18" t="s">
        <v>3598</v>
      </c>
    </row>
    <row r="941">
      <c r="A941" s="362">
        <v>940.0</v>
      </c>
      <c r="B941" s="18" t="s">
        <v>102</v>
      </c>
      <c r="C941" s="18" t="s">
        <v>5630</v>
      </c>
      <c r="D941" s="18" t="s">
        <v>1157</v>
      </c>
      <c r="E941" s="18" t="s">
        <v>3598</v>
      </c>
    </row>
    <row r="942">
      <c r="A942" s="362">
        <v>941.0</v>
      </c>
      <c r="B942" s="18" t="s">
        <v>102</v>
      </c>
      <c r="C942" s="18" t="s">
        <v>5631</v>
      </c>
      <c r="D942" s="18" t="s">
        <v>5468</v>
      </c>
      <c r="E942" s="18" t="s">
        <v>3598</v>
      </c>
    </row>
    <row r="943">
      <c r="A943" s="362">
        <v>942.0</v>
      </c>
      <c r="B943" s="18" t="s">
        <v>60</v>
      </c>
      <c r="C943" s="18" t="s">
        <v>5633</v>
      </c>
      <c r="D943" s="18" t="s">
        <v>5634</v>
      </c>
      <c r="E943" s="18" t="s">
        <v>3598</v>
      </c>
    </row>
    <row r="944">
      <c r="A944" s="362">
        <v>943.0</v>
      </c>
      <c r="B944" s="18" t="s">
        <v>102</v>
      </c>
      <c r="C944" s="18" t="s">
        <v>5636</v>
      </c>
      <c r="D944" s="18" t="s">
        <v>119</v>
      </c>
      <c r="E944" s="18" t="s">
        <v>3598</v>
      </c>
    </row>
    <row r="945">
      <c r="A945" s="362">
        <v>944.0</v>
      </c>
      <c r="B945" s="18" t="s">
        <v>326</v>
      </c>
      <c r="C945" s="18" t="s">
        <v>5637</v>
      </c>
      <c r="D945" s="18" t="s">
        <v>5638</v>
      </c>
      <c r="E945" s="18" t="s">
        <v>3598</v>
      </c>
    </row>
    <row r="946">
      <c r="A946" s="362">
        <v>945.0</v>
      </c>
      <c r="B946" s="18" t="s">
        <v>143</v>
      </c>
      <c r="C946" s="18" t="s">
        <v>5641</v>
      </c>
      <c r="D946" s="18" t="s">
        <v>170</v>
      </c>
      <c r="E946" s="18" t="s">
        <v>3598</v>
      </c>
    </row>
    <row r="947">
      <c r="A947" s="362">
        <v>946.0</v>
      </c>
      <c r="B947" s="18" t="s">
        <v>504</v>
      </c>
      <c r="C947" s="18" t="s">
        <v>5646</v>
      </c>
      <c r="D947" s="18" t="s">
        <v>119</v>
      </c>
      <c r="E947" s="18" t="s">
        <v>3598</v>
      </c>
    </row>
    <row r="948">
      <c r="A948" s="362">
        <v>947.0</v>
      </c>
      <c r="B948" s="18" t="s">
        <v>102</v>
      </c>
      <c r="C948" s="18" t="s">
        <v>5647</v>
      </c>
      <c r="D948" s="18" t="s">
        <v>178</v>
      </c>
      <c r="E948" s="18" t="s">
        <v>3598</v>
      </c>
    </row>
    <row r="949">
      <c r="A949" s="362">
        <v>948.0</v>
      </c>
      <c r="B949" s="18" t="s">
        <v>60</v>
      </c>
      <c r="C949" s="18" t="s">
        <v>5649</v>
      </c>
      <c r="D949" s="18" t="s">
        <v>5650</v>
      </c>
      <c r="E949" s="18" t="s">
        <v>3598</v>
      </c>
    </row>
    <row r="950">
      <c r="A950" s="362">
        <v>949.0</v>
      </c>
      <c r="B950" s="18" t="s">
        <v>102</v>
      </c>
      <c r="C950" s="18" t="s">
        <v>5651</v>
      </c>
      <c r="D950" s="18" t="s">
        <v>170</v>
      </c>
      <c r="E950" s="18" t="s">
        <v>3598</v>
      </c>
    </row>
    <row r="951">
      <c r="A951" s="362">
        <v>950.0</v>
      </c>
      <c r="B951" s="18" t="s">
        <v>504</v>
      </c>
      <c r="C951" s="18" t="s">
        <v>5653</v>
      </c>
      <c r="D951" s="18" t="s">
        <v>4426</v>
      </c>
      <c r="E951" s="18" t="s">
        <v>3598</v>
      </c>
    </row>
    <row r="952">
      <c r="A952" s="362">
        <v>951.0</v>
      </c>
      <c r="B952" s="18" t="s">
        <v>102</v>
      </c>
      <c r="C952" s="18" t="s">
        <v>5656</v>
      </c>
      <c r="D952" s="18" t="s">
        <v>4426</v>
      </c>
      <c r="E952" s="18" t="s">
        <v>3598</v>
      </c>
    </row>
    <row r="953">
      <c r="A953" s="362">
        <v>952.0</v>
      </c>
      <c r="B953" s="18" t="s">
        <v>102</v>
      </c>
      <c r="C953" s="18" t="s">
        <v>5661</v>
      </c>
      <c r="D953" s="18" t="s">
        <v>178</v>
      </c>
      <c r="E953" s="18" t="s">
        <v>3598</v>
      </c>
    </row>
    <row r="954">
      <c r="A954" s="362">
        <v>953.0</v>
      </c>
      <c r="B954" s="18" t="s">
        <v>102</v>
      </c>
      <c r="C954" s="18" t="s">
        <v>5662</v>
      </c>
      <c r="D954" s="18" t="s">
        <v>3811</v>
      </c>
      <c r="E954" s="18" t="s">
        <v>3598</v>
      </c>
    </row>
    <row r="955">
      <c r="A955" s="362">
        <v>954.0</v>
      </c>
      <c r="B955" s="18" t="s">
        <v>102</v>
      </c>
      <c r="C955" s="18" t="s">
        <v>5663</v>
      </c>
      <c r="D955" s="18" t="s">
        <v>4271</v>
      </c>
      <c r="E955" s="18" t="s">
        <v>3598</v>
      </c>
    </row>
    <row r="956">
      <c r="A956" s="459">
        <v>955.0</v>
      </c>
      <c r="B956" s="460" t="s">
        <v>134</v>
      </c>
      <c r="C956" s="460" t="s">
        <v>5664</v>
      </c>
      <c r="D956" s="460" t="s">
        <v>122</v>
      </c>
      <c r="E956" s="460" t="s">
        <v>5665</v>
      </c>
    </row>
    <row r="957">
      <c r="A957" s="362">
        <v>956.0</v>
      </c>
      <c r="B957" s="18" t="s">
        <v>363</v>
      </c>
      <c r="C957" s="18" t="s">
        <v>5666</v>
      </c>
      <c r="D957" s="18" t="s">
        <v>68</v>
      </c>
      <c r="E957" s="18" t="s">
        <v>5665</v>
      </c>
    </row>
    <row r="958">
      <c r="A958" s="362">
        <v>957.0</v>
      </c>
      <c r="B958" s="18" t="s">
        <v>62</v>
      </c>
      <c r="C958" s="18" t="s">
        <v>5667</v>
      </c>
      <c r="D958" s="18" t="s">
        <v>100</v>
      </c>
      <c r="E958" s="18" t="s">
        <v>5665</v>
      </c>
    </row>
    <row r="959">
      <c r="A959" s="362">
        <v>958.0</v>
      </c>
      <c r="B959" s="18" t="s">
        <v>1144</v>
      </c>
      <c r="C959" s="18" t="s">
        <v>5669</v>
      </c>
      <c r="D959" s="18" t="s">
        <v>119</v>
      </c>
      <c r="E959" s="18" t="s">
        <v>5665</v>
      </c>
    </row>
    <row r="960">
      <c r="A960" s="362">
        <v>959.0</v>
      </c>
      <c r="B960" s="18" t="s">
        <v>360</v>
      </c>
      <c r="C960" s="18" t="s">
        <v>5670</v>
      </c>
      <c r="D960" s="18" t="s">
        <v>178</v>
      </c>
      <c r="E960" s="18" t="s">
        <v>5665</v>
      </c>
    </row>
    <row r="961">
      <c r="A961" s="362">
        <v>960.0</v>
      </c>
      <c r="B961" s="18" t="s">
        <v>102</v>
      </c>
      <c r="C961" s="18" t="s">
        <v>5672</v>
      </c>
      <c r="D961" s="18" t="s">
        <v>4259</v>
      </c>
      <c r="E961" s="18" t="s">
        <v>5665</v>
      </c>
    </row>
    <row r="962">
      <c r="A962" s="362">
        <v>961.0</v>
      </c>
      <c r="B962" s="18" t="s">
        <v>102</v>
      </c>
      <c r="C962" s="18" t="s">
        <v>5673</v>
      </c>
      <c r="D962" s="18" t="s">
        <v>5674</v>
      </c>
      <c r="E962" s="18" t="s">
        <v>5665</v>
      </c>
    </row>
    <row r="963">
      <c r="A963" s="362">
        <v>962.0</v>
      </c>
      <c r="B963" s="18" t="s">
        <v>504</v>
      </c>
      <c r="C963" s="18" t="s">
        <v>5675</v>
      </c>
      <c r="D963" s="18" t="s">
        <v>152</v>
      </c>
      <c r="E963" s="18" t="s">
        <v>5665</v>
      </c>
    </row>
    <row r="964">
      <c r="A964" s="362">
        <v>963.0</v>
      </c>
      <c r="B964" s="18" t="s">
        <v>102</v>
      </c>
      <c r="C964" s="18" t="s">
        <v>5676</v>
      </c>
      <c r="D964" s="18" t="s">
        <v>1157</v>
      </c>
      <c r="E964" s="18" t="s">
        <v>5665</v>
      </c>
    </row>
    <row r="965">
      <c r="A965" s="362">
        <v>964.0</v>
      </c>
      <c r="B965" s="18" t="s">
        <v>102</v>
      </c>
      <c r="C965" s="18" t="s">
        <v>5679</v>
      </c>
      <c r="D965" s="18" t="s">
        <v>5674</v>
      </c>
      <c r="E965" s="18" t="s">
        <v>5665</v>
      </c>
    </row>
    <row r="966">
      <c r="A966" s="362">
        <v>965.0</v>
      </c>
      <c r="B966" s="18" t="s">
        <v>102</v>
      </c>
      <c r="C966" s="18" t="s">
        <v>5681</v>
      </c>
      <c r="D966" s="18" t="s">
        <v>170</v>
      </c>
      <c r="E966" s="18" t="s">
        <v>5665</v>
      </c>
    </row>
    <row r="967">
      <c r="A967" s="362">
        <v>966.0</v>
      </c>
      <c r="B967" s="18" t="s">
        <v>102</v>
      </c>
      <c r="C967" s="18" t="s">
        <v>5683</v>
      </c>
      <c r="D967" s="18" t="s">
        <v>1157</v>
      </c>
      <c r="E967" s="18" t="s">
        <v>5665</v>
      </c>
    </row>
    <row r="968">
      <c r="A968" s="362">
        <v>967.0</v>
      </c>
      <c r="B968" s="18" t="s">
        <v>102</v>
      </c>
      <c r="C968" s="18" t="s">
        <v>5684</v>
      </c>
      <c r="D968" s="18" t="s">
        <v>178</v>
      </c>
      <c r="E968" s="18" t="s">
        <v>5665</v>
      </c>
    </row>
    <row r="969">
      <c r="A969" s="362">
        <v>968.0</v>
      </c>
      <c r="B969" s="18" t="s">
        <v>102</v>
      </c>
      <c r="C969" s="18" t="s">
        <v>5685</v>
      </c>
      <c r="D969" s="18" t="s">
        <v>5674</v>
      </c>
      <c r="E969" s="18" t="s">
        <v>5665</v>
      </c>
    </row>
    <row r="970">
      <c r="A970" s="362">
        <v>969.0</v>
      </c>
      <c r="B970" s="18" t="s">
        <v>102</v>
      </c>
      <c r="C970" s="18" t="s">
        <v>5688</v>
      </c>
      <c r="D970" s="18" t="s">
        <v>178</v>
      </c>
      <c r="E970" s="18" t="s">
        <v>5665</v>
      </c>
    </row>
    <row r="971">
      <c r="A971" s="362">
        <v>970.0</v>
      </c>
      <c r="B971" s="18" t="s">
        <v>102</v>
      </c>
      <c r="C971" s="18" t="s">
        <v>5691</v>
      </c>
      <c r="D971" s="18" t="s">
        <v>170</v>
      </c>
      <c r="E971" s="18" t="s">
        <v>5665</v>
      </c>
    </row>
    <row r="972">
      <c r="A972" s="362">
        <v>971.0</v>
      </c>
      <c r="B972" s="18" t="s">
        <v>102</v>
      </c>
      <c r="C972" s="18" t="s">
        <v>5692</v>
      </c>
      <c r="D972" s="18" t="s">
        <v>4259</v>
      </c>
      <c r="E972" s="18" t="s">
        <v>5665</v>
      </c>
    </row>
    <row r="973">
      <c r="A973" s="362">
        <v>972.0</v>
      </c>
      <c r="B973" s="18" t="s">
        <v>102</v>
      </c>
      <c r="C973" s="18" t="s">
        <v>5695</v>
      </c>
      <c r="D973" s="18" t="s">
        <v>170</v>
      </c>
      <c r="E973" s="18" t="s">
        <v>5665</v>
      </c>
    </row>
    <row r="974">
      <c r="A974" s="362">
        <v>973.0</v>
      </c>
      <c r="B974" s="18" t="s">
        <v>102</v>
      </c>
      <c r="C974" s="18" t="s">
        <v>5696</v>
      </c>
      <c r="D974" s="18" t="s">
        <v>119</v>
      </c>
      <c r="E974" s="18" t="s">
        <v>5665</v>
      </c>
    </row>
    <row r="975">
      <c r="A975" s="362">
        <v>974.0</v>
      </c>
      <c r="B975" s="18" t="s">
        <v>102</v>
      </c>
      <c r="C975" s="18" t="s">
        <v>5697</v>
      </c>
      <c r="D975" s="18" t="s">
        <v>4259</v>
      </c>
      <c r="E975" s="18" t="s">
        <v>5665</v>
      </c>
    </row>
    <row r="976">
      <c r="A976" s="362">
        <v>975.0</v>
      </c>
      <c r="B976" s="18" t="s">
        <v>102</v>
      </c>
      <c r="C976" s="18" t="s">
        <v>5698</v>
      </c>
      <c r="D976" s="18" t="s">
        <v>178</v>
      </c>
      <c r="E976" s="18" t="s">
        <v>5665</v>
      </c>
    </row>
    <row r="977">
      <c r="A977" s="362">
        <v>976.0</v>
      </c>
      <c r="B977" s="18" t="s">
        <v>102</v>
      </c>
      <c r="C977" s="18" t="s">
        <v>5700</v>
      </c>
      <c r="D977" s="18" t="s">
        <v>170</v>
      </c>
      <c r="E977" s="18" t="s">
        <v>5665</v>
      </c>
    </row>
    <row r="978">
      <c r="A978" s="362">
        <v>977.0</v>
      </c>
      <c r="B978" s="18" t="s">
        <v>102</v>
      </c>
      <c r="C978" s="18" t="s">
        <v>5702</v>
      </c>
      <c r="D978" s="18" t="s">
        <v>170</v>
      </c>
      <c r="E978" s="18" t="s">
        <v>5665</v>
      </c>
    </row>
    <row r="979">
      <c r="A979" s="362">
        <v>978.0</v>
      </c>
      <c r="B979" s="18" t="s">
        <v>360</v>
      </c>
      <c r="C979" s="18" t="s">
        <v>5706</v>
      </c>
      <c r="D979" s="18" t="s">
        <v>170</v>
      </c>
      <c r="E979" s="18" t="s">
        <v>5665</v>
      </c>
    </row>
    <row r="980">
      <c r="A980" s="362">
        <v>979.0</v>
      </c>
      <c r="B980" s="18" t="s">
        <v>102</v>
      </c>
      <c r="C980" s="18" t="s">
        <v>5707</v>
      </c>
      <c r="D980" s="18" t="s">
        <v>4259</v>
      </c>
      <c r="E980" s="18" t="s">
        <v>5665</v>
      </c>
    </row>
    <row r="981">
      <c r="A981" s="362">
        <v>980.0</v>
      </c>
      <c r="B981" s="18" t="s">
        <v>102</v>
      </c>
      <c r="C981" s="18" t="s">
        <v>5708</v>
      </c>
      <c r="D981" s="18" t="s">
        <v>178</v>
      </c>
      <c r="E981" s="18" t="s">
        <v>5665</v>
      </c>
    </row>
    <row r="982">
      <c r="A982" s="362">
        <v>981.0</v>
      </c>
      <c r="B982" s="18" t="s">
        <v>102</v>
      </c>
      <c r="C982" s="18" t="s">
        <v>5709</v>
      </c>
      <c r="D982" s="18" t="s">
        <v>5674</v>
      </c>
      <c r="E982" s="18" t="s">
        <v>5665</v>
      </c>
    </row>
    <row r="983">
      <c r="A983" s="362">
        <v>982.0</v>
      </c>
      <c r="B983" s="18" t="s">
        <v>102</v>
      </c>
      <c r="C983" s="18" t="s">
        <v>5710</v>
      </c>
      <c r="D983" s="18" t="s">
        <v>178</v>
      </c>
      <c r="E983" s="18" t="s">
        <v>5665</v>
      </c>
    </row>
    <row r="984">
      <c r="A984" s="362">
        <v>983.0</v>
      </c>
      <c r="B984" s="18" t="s">
        <v>102</v>
      </c>
      <c r="C984" s="18" t="s">
        <v>5712</v>
      </c>
      <c r="D984" s="18" t="s">
        <v>178</v>
      </c>
      <c r="E984" s="18" t="s">
        <v>5665</v>
      </c>
    </row>
    <row r="985">
      <c r="A985" s="362">
        <v>984.0</v>
      </c>
      <c r="B985" s="18" t="s">
        <v>102</v>
      </c>
      <c r="C985" s="18" t="s">
        <v>5714</v>
      </c>
      <c r="D985" s="18" t="s">
        <v>170</v>
      </c>
      <c r="E985" s="18" t="s">
        <v>5665</v>
      </c>
    </row>
    <row r="986">
      <c r="A986" s="362">
        <v>985.0</v>
      </c>
      <c r="B986" s="18" t="s">
        <v>102</v>
      </c>
      <c r="C986" s="18" t="s">
        <v>5716</v>
      </c>
      <c r="D986" s="18" t="s">
        <v>178</v>
      </c>
      <c r="E986" s="18" t="s">
        <v>5665</v>
      </c>
    </row>
    <row r="987">
      <c r="A987" s="362">
        <v>986.0</v>
      </c>
      <c r="B987" s="18" t="s">
        <v>102</v>
      </c>
      <c r="C987" s="18" t="s">
        <v>5717</v>
      </c>
      <c r="D987" s="18" t="s">
        <v>170</v>
      </c>
      <c r="E987" s="18" t="s">
        <v>5665</v>
      </c>
    </row>
    <row r="988">
      <c r="A988" s="362">
        <v>987.0</v>
      </c>
      <c r="B988" s="18" t="s">
        <v>360</v>
      </c>
      <c r="C988" s="18" t="s">
        <v>5720</v>
      </c>
      <c r="D988" s="18" t="s">
        <v>170</v>
      </c>
      <c r="E988" s="18" t="s">
        <v>5665</v>
      </c>
    </row>
    <row r="989">
      <c r="A989" s="362">
        <v>988.0</v>
      </c>
      <c r="B989" s="18" t="s">
        <v>102</v>
      </c>
      <c r="C989" s="18" t="s">
        <v>5722</v>
      </c>
      <c r="D989" s="18" t="s">
        <v>178</v>
      </c>
      <c r="E989" s="18" t="s">
        <v>5665</v>
      </c>
    </row>
    <row r="990">
      <c r="A990" s="362">
        <v>989.0</v>
      </c>
      <c r="B990" s="18" t="s">
        <v>102</v>
      </c>
      <c r="C990" s="18" t="s">
        <v>5723</v>
      </c>
      <c r="D990" s="18" t="s">
        <v>4259</v>
      </c>
      <c r="E990" s="18" t="s">
        <v>5665</v>
      </c>
    </row>
    <row r="991">
      <c r="A991" s="362">
        <v>990.0</v>
      </c>
      <c r="B991" s="18" t="s">
        <v>102</v>
      </c>
      <c r="C991" s="18" t="s">
        <v>5724</v>
      </c>
      <c r="D991" s="18" t="s">
        <v>5726</v>
      </c>
      <c r="E991" s="18" t="s">
        <v>5665</v>
      </c>
    </row>
    <row r="992">
      <c r="A992" s="362">
        <v>991.0</v>
      </c>
      <c r="B992" s="18" t="s">
        <v>363</v>
      </c>
      <c r="C992" s="18" t="s">
        <v>5728</v>
      </c>
      <c r="D992" s="18" t="s">
        <v>267</v>
      </c>
      <c r="E992" s="18" t="s">
        <v>5665</v>
      </c>
    </row>
    <row r="993">
      <c r="A993" s="362">
        <v>992.0</v>
      </c>
      <c r="B993" s="18" t="s">
        <v>102</v>
      </c>
      <c r="C993" s="18" t="s">
        <v>5729</v>
      </c>
      <c r="D993" s="18" t="s">
        <v>178</v>
      </c>
      <c r="E993" s="18" t="s">
        <v>5665</v>
      </c>
    </row>
    <row r="994">
      <c r="A994" s="362">
        <v>993.0</v>
      </c>
      <c r="B994" s="18" t="s">
        <v>360</v>
      </c>
      <c r="C994" s="18" t="s">
        <v>5730</v>
      </c>
      <c r="D994" s="18" t="s">
        <v>4259</v>
      </c>
      <c r="E994" s="18" t="s">
        <v>5665</v>
      </c>
    </row>
    <row r="995">
      <c r="A995" s="362">
        <v>994.0</v>
      </c>
      <c r="B995" s="18" t="s">
        <v>102</v>
      </c>
      <c r="C995" s="18" t="s">
        <v>5731</v>
      </c>
      <c r="D995" s="18" t="s">
        <v>170</v>
      </c>
      <c r="E995" s="18" t="s">
        <v>5665</v>
      </c>
    </row>
    <row r="996">
      <c r="A996" s="362">
        <v>995.0</v>
      </c>
      <c r="B996" s="18" t="s">
        <v>102</v>
      </c>
      <c r="C996" s="18" t="s">
        <v>5733</v>
      </c>
      <c r="D996" s="18" t="s">
        <v>119</v>
      </c>
      <c r="E996" s="18" t="s">
        <v>5665</v>
      </c>
    </row>
    <row r="997">
      <c r="A997" s="362">
        <v>996.0</v>
      </c>
      <c r="B997" s="18" t="s">
        <v>102</v>
      </c>
      <c r="C997" s="18" t="s">
        <v>5734</v>
      </c>
      <c r="D997" s="18" t="s">
        <v>178</v>
      </c>
      <c r="E997" s="18" t="s">
        <v>5665</v>
      </c>
    </row>
    <row r="998">
      <c r="A998" s="362">
        <v>997.0</v>
      </c>
      <c r="B998" s="18" t="s">
        <v>102</v>
      </c>
      <c r="C998" s="18" t="s">
        <v>5737</v>
      </c>
      <c r="D998" s="18" t="s">
        <v>178</v>
      </c>
      <c r="E998" s="18" t="s">
        <v>5665</v>
      </c>
    </row>
    <row r="999">
      <c r="A999" s="362">
        <v>998.0</v>
      </c>
      <c r="B999" s="18" t="s">
        <v>102</v>
      </c>
      <c r="C999" s="18" t="s">
        <v>5738</v>
      </c>
      <c r="D999" s="18" t="s">
        <v>4426</v>
      </c>
      <c r="E999" s="18" t="s">
        <v>5665</v>
      </c>
    </row>
    <row r="1000">
      <c r="A1000" s="362">
        <v>999.0</v>
      </c>
      <c r="B1000" s="18" t="s">
        <v>102</v>
      </c>
      <c r="C1000" s="18" t="s">
        <v>5739</v>
      </c>
      <c r="D1000" s="18" t="s">
        <v>178</v>
      </c>
      <c r="E1000" s="18" t="s">
        <v>5665</v>
      </c>
    </row>
    <row r="1001">
      <c r="A1001" s="362">
        <v>1000.0</v>
      </c>
      <c r="B1001" s="18" t="s">
        <v>102</v>
      </c>
      <c r="C1001" s="18" t="s">
        <v>5741</v>
      </c>
      <c r="D1001" s="18" t="s">
        <v>178</v>
      </c>
      <c r="E1001" s="18" t="s">
        <v>5665</v>
      </c>
    </row>
    <row r="1002">
      <c r="A1002" s="362">
        <v>1001.0</v>
      </c>
      <c r="B1002" s="18" t="s">
        <v>102</v>
      </c>
      <c r="C1002" s="18" t="s">
        <v>5743</v>
      </c>
      <c r="D1002" s="18" t="s">
        <v>178</v>
      </c>
      <c r="E1002" s="18" t="s">
        <v>5665</v>
      </c>
    </row>
    <row r="1003">
      <c r="A1003" s="362">
        <v>1002.0</v>
      </c>
      <c r="B1003" s="18" t="s">
        <v>102</v>
      </c>
      <c r="C1003" s="18" t="s">
        <v>5746</v>
      </c>
      <c r="D1003" s="18" t="s">
        <v>4259</v>
      </c>
      <c r="E1003" s="18" t="s">
        <v>5665</v>
      </c>
    </row>
    <row r="1004">
      <c r="A1004" s="362">
        <v>1003.0</v>
      </c>
      <c r="B1004" s="18" t="s">
        <v>102</v>
      </c>
      <c r="C1004" s="18" t="s">
        <v>5750</v>
      </c>
      <c r="D1004" s="18" t="s">
        <v>4259</v>
      </c>
      <c r="E1004" s="18" t="s">
        <v>5665</v>
      </c>
    </row>
    <row r="1005">
      <c r="A1005" s="362">
        <v>1004.0</v>
      </c>
      <c r="B1005" s="18" t="s">
        <v>102</v>
      </c>
      <c r="C1005" s="18" t="s">
        <v>5751</v>
      </c>
      <c r="D1005" s="18" t="s">
        <v>178</v>
      </c>
      <c r="E1005" s="18" t="s">
        <v>5665</v>
      </c>
    </row>
    <row r="1006">
      <c r="A1006" s="362">
        <v>1005.0</v>
      </c>
      <c r="B1006" s="18" t="s">
        <v>60</v>
      </c>
      <c r="C1006" s="18" t="s">
        <v>5752</v>
      </c>
      <c r="D1006" s="18" t="s">
        <v>194</v>
      </c>
      <c r="E1006" s="18" t="s">
        <v>5665</v>
      </c>
    </row>
    <row r="1007">
      <c r="A1007" s="362">
        <v>1006.0</v>
      </c>
      <c r="B1007" s="18" t="s">
        <v>102</v>
      </c>
      <c r="C1007" s="18" t="s">
        <v>5753</v>
      </c>
      <c r="D1007" s="18" t="s">
        <v>178</v>
      </c>
      <c r="E1007" s="18" t="s">
        <v>5665</v>
      </c>
    </row>
    <row r="1008">
      <c r="A1008" s="362">
        <v>1007.0</v>
      </c>
      <c r="B1008" s="18" t="s">
        <v>102</v>
      </c>
      <c r="C1008" s="18" t="s">
        <v>5756</v>
      </c>
      <c r="D1008" s="18" t="s">
        <v>4259</v>
      </c>
      <c r="E1008" s="18" t="s">
        <v>5665</v>
      </c>
    </row>
    <row r="1009">
      <c r="A1009" s="362">
        <v>1008.0</v>
      </c>
      <c r="B1009" s="18" t="s">
        <v>102</v>
      </c>
      <c r="C1009" s="18" t="s">
        <v>5759</v>
      </c>
      <c r="D1009" s="18" t="s">
        <v>170</v>
      </c>
      <c r="E1009" s="18" t="s">
        <v>5665</v>
      </c>
    </row>
    <row r="1010">
      <c r="A1010" s="362">
        <v>1009.0</v>
      </c>
      <c r="B1010" s="18" t="s">
        <v>60</v>
      </c>
      <c r="C1010" s="18" t="s">
        <v>5760</v>
      </c>
      <c r="D1010" s="18" t="s">
        <v>5726</v>
      </c>
      <c r="E1010" s="18" t="s">
        <v>5665</v>
      </c>
    </row>
    <row r="1011">
      <c r="A1011" s="362">
        <v>1010.0</v>
      </c>
      <c r="B1011" s="18" t="s">
        <v>102</v>
      </c>
      <c r="C1011" s="18" t="s">
        <v>5762</v>
      </c>
      <c r="D1011" s="18" t="s">
        <v>5726</v>
      </c>
      <c r="E1011" s="18" t="s">
        <v>5665</v>
      </c>
    </row>
    <row r="1012">
      <c r="A1012" s="362">
        <v>1011.0</v>
      </c>
      <c r="B1012" s="18" t="s">
        <v>60</v>
      </c>
      <c r="C1012" s="18" t="s">
        <v>5764</v>
      </c>
      <c r="D1012" s="18" t="s">
        <v>1431</v>
      </c>
      <c r="E1012" s="18" t="s">
        <v>5665</v>
      </c>
    </row>
    <row r="1013">
      <c r="A1013" s="362">
        <v>1012.0</v>
      </c>
      <c r="B1013" s="18" t="s">
        <v>102</v>
      </c>
      <c r="C1013" s="18" t="s">
        <v>5765</v>
      </c>
      <c r="D1013" s="18" t="s">
        <v>570</v>
      </c>
      <c r="E1013" s="18" t="s">
        <v>5665</v>
      </c>
    </row>
    <row r="1014">
      <c r="A1014" s="362">
        <v>1013.0</v>
      </c>
      <c r="B1014" s="18" t="s">
        <v>102</v>
      </c>
      <c r="C1014" s="18" t="s">
        <v>5767</v>
      </c>
      <c r="D1014" s="18" t="s">
        <v>1195</v>
      </c>
      <c r="E1014" s="18" t="s">
        <v>5665</v>
      </c>
    </row>
    <row r="1015">
      <c r="A1015" s="362">
        <v>1014.0</v>
      </c>
      <c r="B1015" s="18" t="s">
        <v>102</v>
      </c>
      <c r="C1015" s="18" t="s">
        <v>5769</v>
      </c>
      <c r="D1015" s="18" t="s">
        <v>4378</v>
      </c>
      <c r="E1015" s="18" t="s">
        <v>5665</v>
      </c>
    </row>
    <row r="1016">
      <c r="A1016" s="362">
        <v>1015.0</v>
      </c>
      <c r="B1016" s="18" t="s">
        <v>60</v>
      </c>
      <c r="C1016" s="18" t="s">
        <v>5770</v>
      </c>
      <c r="D1016" s="18" t="s">
        <v>2660</v>
      </c>
      <c r="E1016" s="18" t="s">
        <v>5665</v>
      </c>
    </row>
    <row r="1017">
      <c r="A1017" s="362">
        <v>1016.0</v>
      </c>
      <c r="B1017" s="18" t="s">
        <v>360</v>
      </c>
      <c r="C1017" s="18" t="s">
        <v>5771</v>
      </c>
      <c r="D1017" s="18" t="s">
        <v>4375</v>
      </c>
      <c r="E1017" s="18" t="s">
        <v>5665</v>
      </c>
    </row>
    <row r="1018">
      <c r="A1018" s="362">
        <v>1017.0</v>
      </c>
      <c r="B1018" s="18" t="s">
        <v>102</v>
      </c>
      <c r="C1018" s="18" t="s">
        <v>5772</v>
      </c>
      <c r="D1018" s="18" t="s">
        <v>331</v>
      </c>
      <c r="E1018" s="18" t="s">
        <v>5665</v>
      </c>
    </row>
    <row r="1019">
      <c r="A1019" s="362">
        <v>1018.0</v>
      </c>
      <c r="B1019" s="18" t="s">
        <v>60</v>
      </c>
      <c r="C1019" s="18" t="s">
        <v>5774</v>
      </c>
      <c r="D1019" s="18" t="s">
        <v>331</v>
      </c>
      <c r="E1019" s="18" t="s">
        <v>5665</v>
      </c>
    </row>
    <row r="1020">
      <c r="A1020" s="362">
        <v>1019.0</v>
      </c>
      <c r="B1020" s="18" t="s">
        <v>102</v>
      </c>
      <c r="C1020" s="18" t="s">
        <v>5777</v>
      </c>
      <c r="D1020" s="18" t="s">
        <v>178</v>
      </c>
      <c r="E1020" s="18" t="s">
        <v>5665</v>
      </c>
    </row>
    <row r="1021">
      <c r="A1021" s="362">
        <v>1020.0</v>
      </c>
      <c r="B1021" s="18" t="s">
        <v>60</v>
      </c>
      <c r="C1021" s="18" t="s">
        <v>5779</v>
      </c>
      <c r="D1021" s="18" t="s">
        <v>1431</v>
      </c>
      <c r="E1021" s="18" t="s">
        <v>5665</v>
      </c>
    </row>
    <row r="1022">
      <c r="A1022" s="362">
        <v>1021.0</v>
      </c>
      <c r="B1022" s="18" t="s">
        <v>60</v>
      </c>
      <c r="C1022" s="18" t="s">
        <v>5780</v>
      </c>
      <c r="D1022" s="18" t="s">
        <v>1431</v>
      </c>
      <c r="E1022" s="18" t="s">
        <v>5665</v>
      </c>
    </row>
    <row r="1023">
      <c r="A1023" s="362">
        <v>1022.0</v>
      </c>
      <c r="B1023" s="18" t="s">
        <v>102</v>
      </c>
      <c r="C1023" s="18" t="s">
        <v>5783</v>
      </c>
      <c r="D1023" s="18" t="s">
        <v>4378</v>
      </c>
      <c r="E1023" s="18" t="s">
        <v>5665</v>
      </c>
    </row>
    <row r="1024">
      <c r="A1024" s="362">
        <v>1023.0</v>
      </c>
      <c r="B1024" s="18" t="s">
        <v>360</v>
      </c>
      <c r="C1024" s="18" t="s">
        <v>5785</v>
      </c>
      <c r="D1024" s="18" t="s">
        <v>1466</v>
      </c>
      <c r="E1024" s="18" t="s">
        <v>5665</v>
      </c>
    </row>
    <row r="1025">
      <c r="A1025" s="362">
        <v>1024.0</v>
      </c>
      <c r="B1025" s="18" t="s">
        <v>102</v>
      </c>
      <c r="C1025" s="18" t="s">
        <v>5787</v>
      </c>
      <c r="D1025" s="18" t="s">
        <v>4369</v>
      </c>
      <c r="E1025" s="18" t="s">
        <v>5665</v>
      </c>
    </row>
    <row r="1026">
      <c r="A1026" s="362">
        <v>1025.0</v>
      </c>
      <c r="B1026" s="18" t="s">
        <v>60</v>
      </c>
      <c r="C1026" s="18" t="s">
        <v>5791</v>
      </c>
      <c r="D1026" s="18" t="s">
        <v>331</v>
      </c>
      <c r="E1026" s="18" t="s">
        <v>5665</v>
      </c>
    </row>
    <row r="1027">
      <c r="A1027" s="362">
        <v>1026.0</v>
      </c>
      <c r="B1027" s="18" t="s">
        <v>60</v>
      </c>
      <c r="C1027" s="18" t="s">
        <v>5792</v>
      </c>
      <c r="D1027" s="18" t="s">
        <v>201</v>
      </c>
      <c r="E1027" s="18" t="s">
        <v>5665</v>
      </c>
    </row>
    <row r="1028">
      <c r="A1028" s="362">
        <v>1027.0</v>
      </c>
      <c r="B1028" s="18" t="s">
        <v>60</v>
      </c>
      <c r="C1028" s="18" t="s">
        <v>5794</v>
      </c>
      <c r="D1028" s="18" t="s">
        <v>4210</v>
      </c>
      <c r="E1028" s="18" t="s">
        <v>5665</v>
      </c>
    </row>
    <row r="1029">
      <c r="A1029" s="362">
        <v>1028.0</v>
      </c>
      <c r="B1029" s="18" t="s">
        <v>60</v>
      </c>
      <c r="C1029" s="18" t="s">
        <v>5796</v>
      </c>
      <c r="D1029" s="18" t="s">
        <v>4369</v>
      </c>
      <c r="E1029" s="18" t="s">
        <v>5665</v>
      </c>
    </row>
    <row r="1030">
      <c r="A1030" s="362">
        <v>1029.0</v>
      </c>
      <c r="B1030" s="18" t="s">
        <v>504</v>
      </c>
      <c r="C1030" s="18" t="s">
        <v>5799</v>
      </c>
      <c r="D1030" s="18" t="s">
        <v>331</v>
      </c>
      <c r="E1030" s="18" t="s">
        <v>5665</v>
      </c>
    </row>
    <row r="1031">
      <c r="A1031" s="362">
        <v>1030.0</v>
      </c>
      <c r="B1031" s="18" t="s">
        <v>60</v>
      </c>
      <c r="C1031" s="18" t="s">
        <v>5802</v>
      </c>
      <c r="D1031" s="18" t="s">
        <v>331</v>
      </c>
      <c r="E1031" s="18" t="s">
        <v>5665</v>
      </c>
    </row>
    <row r="1032">
      <c r="A1032" s="362">
        <v>1031.0</v>
      </c>
      <c r="B1032" s="18" t="s">
        <v>60</v>
      </c>
      <c r="C1032" s="18" t="s">
        <v>5803</v>
      </c>
      <c r="D1032" s="18" t="s">
        <v>295</v>
      </c>
      <c r="E1032" s="18" t="s">
        <v>5665</v>
      </c>
    </row>
    <row r="1033">
      <c r="A1033" s="362">
        <v>1032.0</v>
      </c>
      <c r="B1033" s="18" t="s">
        <v>102</v>
      </c>
      <c r="C1033" s="18" t="s">
        <v>5807</v>
      </c>
      <c r="D1033" s="18" t="s">
        <v>178</v>
      </c>
      <c r="E1033" s="18" t="s">
        <v>5665</v>
      </c>
    </row>
    <row r="1034">
      <c r="A1034" s="362">
        <v>1033.0</v>
      </c>
      <c r="B1034" s="18" t="s">
        <v>363</v>
      </c>
      <c r="C1034" s="18" t="s">
        <v>5810</v>
      </c>
      <c r="D1034" s="18" t="s">
        <v>4464</v>
      </c>
      <c r="E1034" s="18" t="s">
        <v>5665</v>
      </c>
    </row>
    <row r="1035">
      <c r="A1035" s="362">
        <v>1034.0</v>
      </c>
      <c r="B1035" s="18" t="s">
        <v>102</v>
      </c>
      <c r="C1035" s="18" t="s">
        <v>5812</v>
      </c>
      <c r="D1035" s="18" t="s">
        <v>4378</v>
      </c>
      <c r="E1035" s="18" t="s">
        <v>5665</v>
      </c>
    </row>
    <row r="1036">
      <c r="A1036" s="362">
        <v>1035.0</v>
      </c>
      <c r="B1036" s="18" t="s">
        <v>102</v>
      </c>
      <c r="C1036" s="18" t="s">
        <v>5814</v>
      </c>
      <c r="D1036" s="18" t="s">
        <v>178</v>
      </c>
      <c r="E1036" s="18" t="s">
        <v>5665</v>
      </c>
    </row>
    <row r="1037">
      <c r="A1037" s="362">
        <v>1036.0</v>
      </c>
      <c r="B1037" s="18" t="s">
        <v>326</v>
      </c>
      <c r="C1037" s="18" t="s">
        <v>5816</v>
      </c>
      <c r="D1037" s="18" t="s">
        <v>1466</v>
      </c>
      <c r="E1037" s="18" t="s">
        <v>5665</v>
      </c>
    </row>
    <row r="1038">
      <c r="A1038" s="362">
        <v>1037.0</v>
      </c>
      <c r="B1038" s="18" t="s">
        <v>60</v>
      </c>
      <c r="C1038" s="18" t="s">
        <v>5817</v>
      </c>
      <c r="D1038" s="18" t="s">
        <v>4369</v>
      </c>
      <c r="E1038" s="18" t="s">
        <v>5665</v>
      </c>
    </row>
    <row r="1039">
      <c r="A1039" s="362">
        <v>1038.0</v>
      </c>
      <c r="B1039" s="18" t="s">
        <v>60</v>
      </c>
      <c r="C1039" s="18" t="s">
        <v>5819</v>
      </c>
      <c r="D1039" s="18" t="s">
        <v>4369</v>
      </c>
      <c r="E1039" s="18" t="s">
        <v>5665</v>
      </c>
    </row>
    <row r="1040">
      <c r="A1040" s="362">
        <v>1039.0</v>
      </c>
      <c r="B1040" s="18" t="s">
        <v>60</v>
      </c>
      <c r="C1040" s="18" t="s">
        <v>5822</v>
      </c>
      <c r="D1040" s="18" t="s">
        <v>331</v>
      </c>
      <c r="E1040" s="18" t="s">
        <v>5665</v>
      </c>
    </row>
    <row r="1041">
      <c r="A1041" s="362">
        <v>1040.0</v>
      </c>
      <c r="B1041" s="18" t="s">
        <v>60</v>
      </c>
      <c r="C1041" s="18" t="s">
        <v>5826</v>
      </c>
      <c r="D1041" s="18" t="s">
        <v>331</v>
      </c>
      <c r="E1041" s="18" t="s">
        <v>5665</v>
      </c>
    </row>
    <row r="1042">
      <c r="A1042" s="362">
        <v>1041.0</v>
      </c>
      <c r="B1042" s="18" t="s">
        <v>60</v>
      </c>
      <c r="C1042" s="18" t="s">
        <v>5829</v>
      </c>
      <c r="D1042" s="18" t="s">
        <v>331</v>
      </c>
      <c r="E1042" s="18" t="s">
        <v>5665</v>
      </c>
    </row>
    <row r="1043">
      <c r="A1043" s="362">
        <v>1042.0</v>
      </c>
      <c r="B1043" s="18" t="s">
        <v>60</v>
      </c>
      <c r="C1043" s="18" t="s">
        <v>5831</v>
      </c>
      <c r="D1043" s="18" t="s">
        <v>331</v>
      </c>
      <c r="E1043" s="18" t="s">
        <v>5665</v>
      </c>
    </row>
    <row r="1044">
      <c r="A1044" s="362">
        <v>1043.0</v>
      </c>
      <c r="B1044" s="18" t="s">
        <v>326</v>
      </c>
      <c r="C1044" s="18" t="s">
        <v>5833</v>
      </c>
      <c r="D1044" s="18" t="s">
        <v>331</v>
      </c>
      <c r="E1044" s="18" t="s">
        <v>5665</v>
      </c>
    </row>
    <row r="1045">
      <c r="A1045" s="362">
        <v>1044.0</v>
      </c>
      <c r="B1045" s="18" t="s">
        <v>60</v>
      </c>
      <c r="C1045" s="18" t="s">
        <v>5835</v>
      </c>
      <c r="D1045" s="18" t="s">
        <v>331</v>
      </c>
      <c r="E1045" s="18" t="s">
        <v>5665</v>
      </c>
    </row>
    <row r="1046">
      <c r="A1046" s="362">
        <v>1045.0</v>
      </c>
      <c r="B1046" s="18" t="s">
        <v>60</v>
      </c>
      <c r="C1046" s="18" t="s">
        <v>5837</v>
      </c>
      <c r="D1046" s="18" t="s">
        <v>331</v>
      </c>
      <c r="E1046" s="18" t="s">
        <v>5665</v>
      </c>
    </row>
    <row r="1047">
      <c r="A1047" s="362">
        <v>1046.0</v>
      </c>
      <c r="B1047" s="18" t="s">
        <v>60</v>
      </c>
      <c r="C1047" s="18" t="s">
        <v>5839</v>
      </c>
      <c r="D1047" s="18" t="s">
        <v>331</v>
      </c>
      <c r="E1047" s="18" t="s">
        <v>5665</v>
      </c>
    </row>
    <row r="1048">
      <c r="A1048" s="362">
        <v>1047.0</v>
      </c>
      <c r="B1048" s="18" t="s">
        <v>60</v>
      </c>
      <c r="C1048" s="18" t="s">
        <v>5842</v>
      </c>
      <c r="D1048" s="18" t="s">
        <v>331</v>
      </c>
      <c r="E1048" s="18" t="s">
        <v>5665</v>
      </c>
    </row>
    <row r="1049">
      <c r="A1049" s="362">
        <v>1048.0</v>
      </c>
      <c r="B1049" s="18" t="s">
        <v>326</v>
      </c>
      <c r="C1049" s="18" t="s">
        <v>5846</v>
      </c>
      <c r="D1049" s="18" t="s">
        <v>331</v>
      </c>
      <c r="E1049" s="18" t="s">
        <v>5665</v>
      </c>
    </row>
    <row r="1050">
      <c r="A1050" s="362">
        <v>1049.0</v>
      </c>
      <c r="B1050" s="18" t="s">
        <v>96</v>
      </c>
      <c r="C1050" s="18" t="s">
        <v>5848</v>
      </c>
      <c r="D1050" s="18" t="s">
        <v>170</v>
      </c>
      <c r="E1050" s="18" t="s">
        <v>5665</v>
      </c>
    </row>
    <row r="1051">
      <c r="A1051" s="362">
        <v>1050.0</v>
      </c>
      <c r="B1051" s="18" t="s">
        <v>60</v>
      </c>
      <c r="C1051" s="18" t="s">
        <v>5850</v>
      </c>
      <c r="D1051" s="18" t="s">
        <v>1466</v>
      </c>
      <c r="E1051" s="18" t="s">
        <v>5665</v>
      </c>
    </row>
    <row r="1052">
      <c r="A1052" s="362">
        <v>1051.0</v>
      </c>
      <c r="B1052" s="18" t="s">
        <v>656</v>
      </c>
      <c r="C1052" s="18" t="s">
        <v>5852</v>
      </c>
      <c r="D1052" s="18" t="s">
        <v>4369</v>
      </c>
      <c r="E1052" s="18" t="s">
        <v>5665</v>
      </c>
    </row>
    <row r="1053">
      <c r="A1053" s="362">
        <v>1052.0</v>
      </c>
      <c r="B1053" s="18" t="s">
        <v>60</v>
      </c>
      <c r="C1053" s="18" t="s">
        <v>5853</v>
      </c>
      <c r="D1053" s="18" t="s">
        <v>331</v>
      </c>
      <c r="E1053" s="18" t="s">
        <v>5665</v>
      </c>
    </row>
    <row r="1054">
      <c r="A1054" s="362">
        <v>1053.0</v>
      </c>
      <c r="B1054" s="18" t="s">
        <v>60</v>
      </c>
      <c r="C1054" s="18" t="s">
        <v>5855</v>
      </c>
      <c r="D1054" s="18" t="s">
        <v>331</v>
      </c>
      <c r="E1054" s="18" t="s">
        <v>5665</v>
      </c>
    </row>
    <row r="1055">
      <c r="A1055" s="362">
        <v>1054.0</v>
      </c>
      <c r="B1055" s="18" t="s">
        <v>102</v>
      </c>
      <c r="C1055" s="18" t="s">
        <v>5856</v>
      </c>
      <c r="D1055" s="18" t="s">
        <v>331</v>
      </c>
      <c r="E1055" s="18" t="s">
        <v>5665</v>
      </c>
    </row>
    <row r="1056">
      <c r="A1056" s="362">
        <v>1055.0</v>
      </c>
      <c r="B1056" s="18" t="s">
        <v>60</v>
      </c>
      <c r="C1056" s="18" t="s">
        <v>5859</v>
      </c>
      <c r="D1056" s="18" t="s">
        <v>331</v>
      </c>
      <c r="E1056" s="18" t="s">
        <v>5665</v>
      </c>
    </row>
    <row r="1057">
      <c r="A1057" s="362">
        <v>1056.0</v>
      </c>
      <c r="B1057" s="18" t="s">
        <v>60</v>
      </c>
      <c r="C1057" s="18" t="s">
        <v>5861</v>
      </c>
      <c r="D1057" s="18" t="s">
        <v>331</v>
      </c>
      <c r="E1057" s="18" t="s">
        <v>5665</v>
      </c>
    </row>
    <row r="1058">
      <c r="A1058" s="362">
        <v>1057.0</v>
      </c>
      <c r="B1058" s="18" t="s">
        <v>60</v>
      </c>
      <c r="C1058" s="18" t="s">
        <v>5865</v>
      </c>
      <c r="D1058" s="18" t="s">
        <v>331</v>
      </c>
      <c r="E1058" s="18" t="s">
        <v>5665</v>
      </c>
    </row>
    <row r="1059">
      <c r="A1059" s="362">
        <v>1058.0</v>
      </c>
      <c r="B1059" s="18" t="s">
        <v>60</v>
      </c>
      <c r="C1059" s="18" t="s">
        <v>5866</v>
      </c>
      <c r="D1059" s="18" t="s">
        <v>295</v>
      </c>
      <c r="E1059" s="18" t="s">
        <v>5665</v>
      </c>
    </row>
    <row r="1060">
      <c r="A1060" s="362">
        <v>1059.0</v>
      </c>
      <c r="B1060" s="18" t="s">
        <v>60</v>
      </c>
      <c r="C1060" s="18" t="s">
        <v>5868</v>
      </c>
      <c r="D1060" s="18" t="s">
        <v>295</v>
      </c>
      <c r="E1060" s="18" t="s">
        <v>5665</v>
      </c>
    </row>
    <row r="1061">
      <c r="A1061" s="362">
        <v>1060.0</v>
      </c>
      <c r="B1061" s="18" t="s">
        <v>102</v>
      </c>
      <c r="C1061" s="18" t="s">
        <v>5871</v>
      </c>
      <c r="D1061" s="18" t="s">
        <v>178</v>
      </c>
      <c r="E1061" s="18" t="s">
        <v>5665</v>
      </c>
    </row>
    <row r="1062">
      <c r="A1062" s="362">
        <v>1061.0</v>
      </c>
      <c r="B1062" s="18" t="s">
        <v>60</v>
      </c>
      <c r="C1062" s="18" t="s">
        <v>5875</v>
      </c>
      <c r="D1062" s="18" t="s">
        <v>4597</v>
      </c>
      <c r="E1062" s="18" t="s">
        <v>5665</v>
      </c>
    </row>
    <row r="1063">
      <c r="A1063" s="362">
        <v>1062.0</v>
      </c>
      <c r="B1063" s="18" t="s">
        <v>102</v>
      </c>
      <c r="C1063" s="18" t="s">
        <v>5879</v>
      </c>
      <c r="D1063" s="18" t="s">
        <v>170</v>
      </c>
      <c r="E1063" s="18" t="s">
        <v>5665</v>
      </c>
    </row>
    <row r="1064">
      <c r="A1064" s="362">
        <v>1063.0</v>
      </c>
      <c r="B1064" s="18" t="s">
        <v>102</v>
      </c>
      <c r="C1064" s="18" t="s">
        <v>5882</v>
      </c>
      <c r="D1064" s="18" t="s">
        <v>119</v>
      </c>
      <c r="E1064" s="18" t="s">
        <v>5665</v>
      </c>
    </row>
    <row r="1065">
      <c r="A1065" s="362">
        <v>1064.0</v>
      </c>
      <c r="B1065" s="18" t="s">
        <v>326</v>
      </c>
      <c r="C1065" s="18" t="s">
        <v>5884</v>
      </c>
      <c r="D1065" s="18" t="s">
        <v>212</v>
      </c>
      <c r="E1065" s="18" t="s">
        <v>5665</v>
      </c>
    </row>
    <row r="1066">
      <c r="A1066" s="362">
        <v>1065.0</v>
      </c>
      <c r="B1066" s="18" t="s">
        <v>326</v>
      </c>
      <c r="C1066" s="18" t="s">
        <v>5888</v>
      </c>
      <c r="D1066" s="18" t="s">
        <v>212</v>
      </c>
      <c r="E1066" s="18" t="s">
        <v>5665</v>
      </c>
    </row>
    <row r="1067">
      <c r="A1067" s="362">
        <v>1066.0</v>
      </c>
      <c r="B1067" s="18" t="s">
        <v>60</v>
      </c>
      <c r="C1067" s="18" t="s">
        <v>5889</v>
      </c>
      <c r="D1067" s="18" t="s">
        <v>4597</v>
      </c>
      <c r="E1067" s="18" t="s">
        <v>5665</v>
      </c>
    </row>
    <row r="1068">
      <c r="A1068" s="362">
        <v>1067.0</v>
      </c>
      <c r="B1068" s="18" t="s">
        <v>60</v>
      </c>
      <c r="C1068" s="18" t="s">
        <v>5570</v>
      </c>
      <c r="D1068" s="18" t="s">
        <v>4597</v>
      </c>
      <c r="E1068" s="18" t="s">
        <v>5665</v>
      </c>
    </row>
    <row r="1069">
      <c r="A1069" s="362">
        <v>1068.0</v>
      </c>
      <c r="B1069" s="18" t="s">
        <v>60</v>
      </c>
      <c r="C1069" s="18" t="s">
        <v>5891</v>
      </c>
      <c r="D1069" s="18" t="s">
        <v>4597</v>
      </c>
      <c r="E1069" s="18" t="s">
        <v>5665</v>
      </c>
    </row>
    <row r="1070">
      <c r="A1070" s="362">
        <v>1069.0</v>
      </c>
      <c r="B1070" s="18" t="s">
        <v>60</v>
      </c>
      <c r="C1070" s="18" t="s">
        <v>5894</v>
      </c>
      <c r="D1070" s="18" t="s">
        <v>457</v>
      </c>
      <c r="E1070" s="18" t="s">
        <v>5665</v>
      </c>
    </row>
    <row r="1071">
      <c r="A1071" s="362">
        <v>1070.0</v>
      </c>
      <c r="B1071" s="18" t="s">
        <v>102</v>
      </c>
      <c r="C1071" s="18" t="s">
        <v>5896</v>
      </c>
      <c r="D1071" s="18" t="s">
        <v>3811</v>
      </c>
      <c r="E1071" s="18" t="s">
        <v>5665</v>
      </c>
    </row>
    <row r="1072">
      <c r="A1072" s="362">
        <v>1071.0</v>
      </c>
      <c r="B1072" s="18" t="s">
        <v>504</v>
      </c>
      <c r="C1072" s="18" t="s">
        <v>5899</v>
      </c>
      <c r="D1072" s="18" t="s">
        <v>213</v>
      </c>
      <c r="E1072" s="18" t="s">
        <v>5665</v>
      </c>
    </row>
    <row r="1073">
      <c r="A1073" s="362">
        <v>1072.0</v>
      </c>
      <c r="B1073" s="18" t="s">
        <v>656</v>
      </c>
      <c r="C1073" s="18" t="s">
        <v>5902</v>
      </c>
      <c r="D1073" s="18" t="s">
        <v>213</v>
      </c>
      <c r="E1073" s="18" t="s">
        <v>5665</v>
      </c>
    </row>
    <row r="1074">
      <c r="A1074" s="362">
        <v>1073.0</v>
      </c>
      <c r="B1074" s="18" t="s">
        <v>60</v>
      </c>
      <c r="C1074" s="18" t="s">
        <v>5903</v>
      </c>
      <c r="D1074" s="18" t="s">
        <v>3938</v>
      </c>
      <c r="E1074" s="18" t="s">
        <v>5665</v>
      </c>
    </row>
    <row r="1075">
      <c r="A1075" s="362">
        <v>1074.0</v>
      </c>
      <c r="B1075" s="18" t="s">
        <v>60</v>
      </c>
      <c r="C1075" s="18" t="s">
        <v>5906</v>
      </c>
      <c r="D1075" s="18" t="s">
        <v>4010</v>
      </c>
      <c r="E1075" s="18" t="s">
        <v>5665</v>
      </c>
    </row>
    <row r="1076">
      <c r="A1076" s="362">
        <v>1075.0</v>
      </c>
      <c r="B1076" s="18" t="s">
        <v>60</v>
      </c>
      <c r="C1076" s="18" t="s">
        <v>5908</v>
      </c>
      <c r="D1076" s="18" t="s">
        <v>139</v>
      </c>
      <c r="E1076" s="18" t="s">
        <v>5665</v>
      </c>
    </row>
    <row r="1077">
      <c r="A1077" s="362">
        <v>1076.0</v>
      </c>
      <c r="B1077" s="18" t="s">
        <v>60</v>
      </c>
      <c r="C1077" s="18" t="s">
        <v>5912</v>
      </c>
      <c r="D1077" s="18" t="s">
        <v>213</v>
      </c>
      <c r="E1077" s="18" t="s">
        <v>5665</v>
      </c>
    </row>
    <row r="1078">
      <c r="A1078" s="362">
        <v>1077.0</v>
      </c>
      <c r="B1078" s="18" t="s">
        <v>60</v>
      </c>
      <c r="C1078" s="18" t="s">
        <v>5913</v>
      </c>
      <c r="D1078" s="18" t="s">
        <v>1466</v>
      </c>
      <c r="E1078" s="18" t="s">
        <v>5665</v>
      </c>
    </row>
    <row r="1079">
      <c r="A1079" s="362">
        <v>1078.0</v>
      </c>
      <c r="B1079" s="18" t="s">
        <v>326</v>
      </c>
      <c r="C1079" s="18" t="s">
        <v>5914</v>
      </c>
      <c r="D1079" s="18" t="s">
        <v>139</v>
      </c>
      <c r="E1079" s="18" t="s">
        <v>5665</v>
      </c>
    </row>
    <row r="1080">
      <c r="A1080" s="362">
        <v>1079.0</v>
      </c>
      <c r="B1080" s="18" t="s">
        <v>60</v>
      </c>
      <c r="C1080" s="18" t="s">
        <v>5917</v>
      </c>
      <c r="D1080" s="18" t="s">
        <v>3561</v>
      </c>
      <c r="E1080" s="18" t="s">
        <v>5665</v>
      </c>
    </row>
    <row r="1081">
      <c r="A1081" s="362">
        <v>1080.0</v>
      </c>
      <c r="B1081" s="18" t="s">
        <v>102</v>
      </c>
      <c r="C1081" s="18" t="s">
        <v>5918</v>
      </c>
      <c r="D1081" s="18" t="s">
        <v>3596</v>
      </c>
      <c r="E1081" s="18" t="s">
        <v>5665</v>
      </c>
    </row>
    <row r="1082">
      <c r="A1082" s="362">
        <v>1081.0</v>
      </c>
      <c r="B1082" s="18" t="s">
        <v>60</v>
      </c>
      <c r="C1082" s="18" t="s">
        <v>5920</v>
      </c>
      <c r="D1082" s="18" t="s">
        <v>1431</v>
      </c>
      <c r="E1082" s="18" t="s">
        <v>5665</v>
      </c>
    </row>
    <row r="1083">
      <c r="A1083" s="362">
        <v>1082.0</v>
      </c>
      <c r="B1083" s="18" t="s">
        <v>60</v>
      </c>
      <c r="C1083" s="18" t="s">
        <v>5926</v>
      </c>
      <c r="D1083" s="18" t="s">
        <v>1466</v>
      </c>
      <c r="E1083" s="18" t="s">
        <v>5665</v>
      </c>
    </row>
    <row r="1084">
      <c r="A1084" s="362">
        <v>1083.0</v>
      </c>
      <c r="B1084" s="18" t="s">
        <v>102</v>
      </c>
      <c r="C1084" s="18" t="s">
        <v>5927</v>
      </c>
      <c r="D1084" s="18" t="s">
        <v>3561</v>
      </c>
      <c r="E1084" s="18" t="s">
        <v>5665</v>
      </c>
    </row>
    <row r="1085">
      <c r="A1085" s="362">
        <v>1084.0</v>
      </c>
      <c r="B1085" s="18" t="s">
        <v>60</v>
      </c>
      <c r="C1085" s="18" t="s">
        <v>5929</v>
      </c>
      <c r="D1085" s="18" t="s">
        <v>3561</v>
      </c>
      <c r="E1085" s="18" t="s">
        <v>5665</v>
      </c>
    </row>
    <row r="1086">
      <c r="A1086" s="362">
        <v>1085.0</v>
      </c>
      <c r="B1086" s="18" t="s">
        <v>60</v>
      </c>
      <c r="C1086" s="18" t="s">
        <v>5930</v>
      </c>
      <c r="D1086" s="18" t="s">
        <v>3561</v>
      </c>
      <c r="E1086" s="18" t="s">
        <v>5665</v>
      </c>
    </row>
    <row r="1087">
      <c r="A1087" s="362">
        <v>1086.0</v>
      </c>
      <c r="B1087" s="18" t="s">
        <v>60</v>
      </c>
      <c r="C1087" s="18" t="s">
        <v>5931</v>
      </c>
      <c r="D1087" s="18" t="s">
        <v>786</v>
      </c>
      <c r="E1087" s="18" t="s">
        <v>5665</v>
      </c>
    </row>
    <row r="1088">
      <c r="A1088" s="362">
        <v>1087.0</v>
      </c>
      <c r="B1088" s="18" t="s">
        <v>60</v>
      </c>
      <c r="C1088" s="18" t="s">
        <v>5933</v>
      </c>
      <c r="D1088" s="18" t="s">
        <v>3561</v>
      </c>
      <c r="E1088" s="18" t="s">
        <v>5665</v>
      </c>
    </row>
    <row r="1089">
      <c r="A1089" s="362">
        <v>1088.0</v>
      </c>
      <c r="B1089" s="18" t="s">
        <v>360</v>
      </c>
      <c r="C1089" s="18" t="s">
        <v>5937</v>
      </c>
      <c r="D1089" s="18" t="s">
        <v>139</v>
      </c>
      <c r="E1089" s="18" t="s">
        <v>5665</v>
      </c>
    </row>
    <row r="1090">
      <c r="A1090" s="362">
        <v>1089.0</v>
      </c>
      <c r="B1090" s="18" t="s">
        <v>60</v>
      </c>
      <c r="C1090" s="18" t="s">
        <v>5939</v>
      </c>
      <c r="D1090" s="18" t="s">
        <v>139</v>
      </c>
      <c r="E1090" s="18" t="s">
        <v>5665</v>
      </c>
    </row>
    <row r="1091">
      <c r="A1091" s="362">
        <v>1090.0</v>
      </c>
      <c r="B1091" s="18" t="s">
        <v>60</v>
      </c>
      <c r="C1091" s="18" t="s">
        <v>5941</v>
      </c>
      <c r="D1091" s="18" t="s">
        <v>139</v>
      </c>
      <c r="E1091" s="18" t="s">
        <v>5665</v>
      </c>
    </row>
    <row r="1092">
      <c r="A1092" s="362">
        <v>1091.0</v>
      </c>
      <c r="B1092" s="18" t="s">
        <v>60</v>
      </c>
      <c r="C1092" s="18" t="s">
        <v>5942</v>
      </c>
      <c r="D1092" s="18" t="s">
        <v>213</v>
      </c>
      <c r="E1092" s="18" t="s">
        <v>5665</v>
      </c>
    </row>
    <row r="1093">
      <c r="A1093" s="362">
        <v>1092.0</v>
      </c>
      <c r="B1093" s="18" t="s">
        <v>60</v>
      </c>
      <c r="C1093" s="18" t="s">
        <v>5945</v>
      </c>
      <c r="D1093" s="18" t="s">
        <v>139</v>
      </c>
      <c r="E1093" s="18" t="s">
        <v>5665</v>
      </c>
    </row>
    <row r="1094">
      <c r="A1094" s="362">
        <v>1093.0</v>
      </c>
      <c r="B1094" s="18" t="s">
        <v>60</v>
      </c>
      <c r="C1094" s="18" t="s">
        <v>5947</v>
      </c>
      <c r="D1094" s="18" t="s">
        <v>2919</v>
      </c>
      <c r="E1094" s="18" t="s">
        <v>5665</v>
      </c>
    </row>
    <row r="1095">
      <c r="A1095" s="362">
        <v>1094.0</v>
      </c>
      <c r="B1095" s="18" t="s">
        <v>60</v>
      </c>
      <c r="C1095" s="18" t="s">
        <v>5950</v>
      </c>
      <c r="D1095" s="18" t="s">
        <v>3938</v>
      </c>
      <c r="E1095" s="18" t="s">
        <v>5665</v>
      </c>
    </row>
    <row r="1096">
      <c r="A1096" s="362">
        <v>1095.0</v>
      </c>
      <c r="B1096" s="18" t="s">
        <v>60</v>
      </c>
      <c r="C1096" s="18" t="s">
        <v>5952</v>
      </c>
      <c r="D1096" s="18" t="s">
        <v>2986</v>
      </c>
      <c r="E1096" s="18" t="s">
        <v>5665</v>
      </c>
    </row>
    <row r="1097">
      <c r="A1097" s="362">
        <v>1096.0</v>
      </c>
      <c r="B1097" s="18" t="s">
        <v>326</v>
      </c>
      <c r="C1097" s="18" t="s">
        <v>5953</v>
      </c>
      <c r="D1097" s="18" t="s">
        <v>3938</v>
      </c>
      <c r="E1097" s="18" t="s">
        <v>5665</v>
      </c>
    </row>
    <row r="1098">
      <c r="A1098" s="362">
        <v>1097.0</v>
      </c>
      <c r="B1098" s="18" t="s">
        <v>60</v>
      </c>
      <c r="C1098" s="18" t="s">
        <v>5955</v>
      </c>
      <c r="D1098" s="18" t="s">
        <v>212</v>
      </c>
      <c r="E1098" s="18" t="s">
        <v>5665</v>
      </c>
    </row>
    <row r="1099">
      <c r="A1099" s="362">
        <v>1098.0</v>
      </c>
      <c r="B1099" s="18" t="s">
        <v>60</v>
      </c>
      <c r="C1099" s="18" t="s">
        <v>5959</v>
      </c>
      <c r="D1099" s="18" t="s">
        <v>213</v>
      </c>
      <c r="E1099" s="18" t="s">
        <v>5665</v>
      </c>
    </row>
    <row r="1100">
      <c r="A1100" s="362">
        <v>1099.0</v>
      </c>
      <c r="B1100" s="18" t="s">
        <v>60</v>
      </c>
      <c r="C1100" s="18" t="s">
        <v>5963</v>
      </c>
      <c r="D1100" s="18" t="s">
        <v>213</v>
      </c>
      <c r="E1100" s="18" t="s">
        <v>5665</v>
      </c>
    </row>
    <row r="1101">
      <c r="A1101" s="362">
        <v>1100.0</v>
      </c>
      <c r="B1101" s="18" t="s">
        <v>60</v>
      </c>
      <c r="C1101" s="18" t="s">
        <v>5965</v>
      </c>
      <c r="D1101" s="18" t="s">
        <v>2986</v>
      </c>
      <c r="E1101" s="18" t="s">
        <v>5665</v>
      </c>
    </row>
    <row r="1102">
      <c r="A1102" s="362">
        <v>1101.0</v>
      </c>
      <c r="B1102" s="18" t="s">
        <v>60</v>
      </c>
      <c r="C1102" s="18" t="s">
        <v>5966</v>
      </c>
      <c r="D1102" s="18" t="s">
        <v>139</v>
      </c>
      <c r="E1102" s="18" t="s">
        <v>5665</v>
      </c>
    </row>
    <row r="1103">
      <c r="A1103" s="362">
        <v>1102.0</v>
      </c>
      <c r="B1103" s="18" t="s">
        <v>60</v>
      </c>
      <c r="C1103" s="18" t="s">
        <v>5969</v>
      </c>
      <c r="D1103" s="18" t="s">
        <v>139</v>
      </c>
      <c r="E1103" s="18" t="s">
        <v>5665</v>
      </c>
    </row>
    <row r="1104">
      <c r="A1104" s="362">
        <v>1103.0</v>
      </c>
      <c r="B1104" s="18" t="s">
        <v>60</v>
      </c>
      <c r="C1104" s="18" t="s">
        <v>4048</v>
      </c>
      <c r="D1104" s="18" t="s">
        <v>2919</v>
      </c>
      <c r="E1104" s="18" t="s">
        <v>5665</v>
      </c>
    </row>
    <row r="1105">
      <c r="A1105" s="362">
        <v>1104.0</v>
      </c>
      <c r="B1105" s="18" t="s">
        <v>60</v>
      </c>
      <c r="C1105" s="18" t="s">
        <v>5973</v>
      </c>
      <c r="D1105" s="18" t="s">
        <v>2986</v>
      </c>
      <c r="E1105" s="18" t="s">
        <v>5665</v>
      </c>
    </row>
    <row r="1106">
      <c r="A1106" s="362">
        <v>1105.0</v>
      </c>
      <c r="B1106" s="18" t="s">
        <v>60</v>
      </c>
      <c r="C1106" s="18" t="s">
        <v>5975</v>
      </c>
      <c r="D1106" s="18" t="s">
        <v>3596</v>
      </c>
      <c r="E1106" s="18" t="s">
        <v>5665</v>
      </c>
    </row>
    <row r="1107">
      <c r="A1107" s="362">
        <v>1106.0</v>
      </c>
      <c r="B1107" s="18" t="s">
        <v>60</v>
      </c>
      <c r="C1107" s="18" t="s">
        <v>5977</v>
      </c>
      <c r="D1107" s="18" t="s">
        <v>139</v>
      </c>
      <c r="E1107" s="18" t="s">
        <v>5665</v>
      </c>
    </row>
    <row r="1108">
      <c r="A1108" s="362">
        <v>1107.0</v>
      </c>
      <c r="B1108" s="18" t="s">
        <v>60</v>
      </c>
      <c r="C1108" s="18" t="s">
        <v>5981</v>
      </c>
      <c r="D1108" s="18" t="s">
        <v>139</v>
      </c>
      <c r="E1108" s="18" t="s">
        <v>5665</v>
      </c>
    </row>
    <row r="1109">
      <c r="A1109" s="362">
        <v>1108.0</v>
      </c>
      <c r="B1109" s="18" t="s">
        <v>60</v>
      </c>
      <c r="C1109" s="18" t="s">
        <v>5982</v>
      </c>
      <c r="D1109" s="18" t="s">
        <v>213</v>
      </c>
      <c r="E1109" s="18" t="s">
        <v>5665</v>
      </c>
    </row>
    <row r="1110">
      <c r="A1110" s="362">
        <v>1109.0</v>
      </c>
      <c r="B1110" s="18" t="s">
        <v>60</v>
      </c>
      <c r="C1110" s="18" t="s">
        <v>5984</v>
      </c>
      <c r="D1110" s="18" t="s">
        <v>201</v>
      </c>
      <c r="E1110" s="18" t="s">
        <v>5665</v>
      </c>
    </row>
    <row r="1111">
      <c r="A1111" s="362">
        <v>1110.0</v>
      </c>
      <c r="B1111" s="18" t="s">
        <v>60</v>
      </c>
      <c r="C1111" s="18" t="s">
        <v>5985</v>
      </c>
      <c r="D1111" s="18" t="s">
        <v>139</v>
      </c>
      <c r="E1111" s="18" t="s">
        <v>5665</v>
      </c>
    </row>
    <row r="1112">
      <c r="A1112" s="362">
        <v>1111.0</v>
      </c>
      <c r="B1112" s="18" t="s">
        <v>60</v>
      </c>
      <c r="C1112" s="18" t="s">
        <v>5987</v>
      </c>
      <c r="D1112" s="18" t="s">
        <v>213</v>
      </c>
      <c r="E1112" s="18" t="s">
        <v>5665</v>
      </c>
    </row>
    <row r="1113">
      <c r="A1113" s="362">
        <v>1112.0</v>
      </c>
      <c r="B1113" s="18" t="s">
        <v>60</v>
      </c>
      <c r="C1113" s="18" t="s">
        <v>5990</v>
      </c>
      <c r="D1113" s="18" t="s">
        <v>139</v>
      </c>
      <c r="E1113" s="18" t="s">
        <v>5665</v>
      </c>
    </row>
    <row r="1114">
      <c r="A1114" s="362">
        <v>1113.0</v>
      </c>
      <c r="B1114" s="18" t="s">
        <v>60</v>
      </c>
      <c r="C1114" s="18" t="s">
        <v>5994</v>
      </c>
      <c r="D1114" s="18" t="s">
        <v>139</v>
      </c>
      <c r="E1114" s="18" t="s">
        <v>5665</v>
      </c>
    </row>
    <row r="1115">
      <c r="A1115" s="362">
        <v>1114.0</v>
      </c>
      <c r="B1115" s="18" t="s">
        <v>60</v>
      </c>
      <c r="C1115" s="18" t="s">
        <v>5996</v>
      </c>
      <c r="D1115" s="18" t="s">
        <v>213</v>
      </c>
      <c r="E1115" s="18" t="s">
        <v>5665</v>
      </c>
    </row>
    <row r="1116">
      <c r="A1116" s="362">
        <v>1115.0</v>
      </c>
      <c r="B1116" s="18" t="s">
        <v>60</v>
      </c>
      <c r="C1116" s="18" t="s">
        <v>5997</v>
      </c>
      <c r="D1116" s="18" t="s">
        <v>213</v>
      </c>
      <c r="E1116" s="18" t="s">
        <v>5665</v>
      </c>
    </row>
    <row r="1117">
      <c r="A1117" s="362">
        <v>1116.0</v>
      </c>
      <c r="B1117" s="18" t="s">
        <v>60</v>
      </c>
      <c r="C1117" s="18" t="s">
        <v>5998</v>
      </c>
      <c r="D1117" s="18" t="s">
        <v>2986</v>
      </c>
      <c r="E1117" s="18" t="s">
        <v>5665</v>
      </c>
    </row>
    <row r="1118">
      <c r="A1118" s="362">
        <v>1117.0</v>
      </c>
      <c r="B1118" s="18" t="s">
        <v>60</v>
      </c>
      <c r="C1118" s="18" t="s">
        <v>6001</v>
      </c>
      <c r="D1118" s="18" t="s">
        <v>1466</v>
      </c>
      <c r="E1118" s="18" t="s">
        <v>5665</v>
      </c>
    </row>
    <row r="1119">
      <c r="A1119" s="362">
        <v>1118.0</v>
      </c>
      <c r="B1119" s="18" t="s">
        <v>60</v>
      </c>
      <c r="C1119" s="18" t="s">
        <v>6003</v>
      </c>
      <c r="D1119" s="18" t="s">
        <v>4010</v>
      </c>
      <c r="E1119" s="18" t="s">
        <v>5665</v>
      </c>
    </row>
    <row r="1120">
      <c r="A1120" s="362">
        <v>1119.0</v>
      </c>
      <c r="B1120" s="18" t="s">
        <v>656</v>
      </c>
      <c r="C1120" s="18" t="s">
        <v>6004</v>
      </c>
      <c r="D1120" s="18" t="s">
        <v>139</v>
      </c>
      <c r="E1120" s="18" t="s">
        <v>5665</v>
      </c>
    </row>
    <row r="1121">
      <c r="A1121" s="362">
        <v>1120.0</v>
      </c>
      <c r="B1121" s="18" t="s">
        <v>656</v>
      </c>
      <c r="C1121" s="18" t="s">
        <v>6006</v>
      </c>
      <c r="D1121" s="18" t="s">
        <v>139</v>
      </c>
      <c r="E1121" s="18" t="s">
        <v>5665</v>
      </c>
    </row>
    <row r="1122">
      <c r="A1122" s="362">
        <v>1121.0</v>
      </c>
      <c r="B1122" s="18" t="s">
        <v>360</v>
      </c>
      <c r="C1122" s="18" t="s">
        <v>6010</v>
      </c>
      <c r="D1122" s="18" t="s">
        <v>3561</v>
      </c>
      <c r="E1122" s="18" t="s">
        <v>5665</v>
      </c>
    </row>
    <row r="1123">
      <c r="A1123" s="362">
        <v>1122.0</v>
      </c>
      <c r="B1123" s="18" t="s">
        <v>60</v>
      </c>
      <c r="C1123" s="18" t="s">
        <v>6011</v>
      </c>
      <c r="D1123" s="18" t="s">
        <v>213</v>
      </c>
      <c r="E1123" s="18" t="s">
        <v>5665</v>
      </c>
    </row>
    <row r="1124">
      <c r="A1124" s="362">
        <v>1123.0</v>
      </c>
      <c r="B1124" s="18" t="s">
        <v>60</v>
      </c>
      <c r="C1124" s="18" t="s">
        <v>6013</v>
      </c>
      <c r="D1124" s="18" t="s">
        <v>3938</v>
      </c>
      <c r="E1124" s="18" t="s">
        <v>5665</v>
      </c>
    </row>
    <row r="1125">
      <c r="A1125" s="362">
        <v>1124.0</v>
      </c>
      <c r="B1125" s="18" t="s">
        <v>60</v>
      </c>
      <c r="C1125" s="18" t="s">
        <v>6014</v>
      </c>
      <c r="D1125" s="18" t="s">
        <v>1536</v>
      </c>
      <c r="E1125" s="18" t="s">
        <v>5665</v>
      </c>
    </row>
    <row r="1126">
      <c r="A1126" s="362">
        <v>1125.0</v>
      </c>
      <c r="B1126" s="18" t="s">
        <v>102</v>
      </c>
      <c r="C1126" s="18" t="s">
        <v>6018</v>
      </c>
      <c r="D1126" s="18" t="s">
        <v>178</v>
      </c>
      <c r="E1126" s="18" t="s">
        <v>5665</v>
      </c>
    </row>
    <row r="1127">
      <c r="A1127" s="362">
        <v>1126.0</v>
      </c>
      <c r="B1127" s="18" t="s">
        <v>60</v>
      </c>
      <c r="C1127" s="18" t="s">
        <v>6020</v>
      </c>
      <c r="D1127" s="18" t="s">
        <v>201</v>
      </c>
      <c r="E1127" s="18" t="s">
        <v>5665</v>
      </c>
    </row>
    <row r="1128">
      <c r="A1128" s="362">
        <v>1127.0</v>
      </c>
      <c r="B1128" s="18" t="s">
        <v>60</v>
      </c>
      <c r="C1128" s="18" t="s">
        <v>6022</v>
      </c>
      <c r="D1128" s="18" t="s">
        <v>3687</v>
      </c>
      <c r="E1128" s="18" t="s">
        <v>5665</v>
      </c>
    </row>
    <row r="1129">
      <c r="A1129" s="362">
        <v>1128.0</v>
      </c>
      <c r="B1129" s="18" t="s">
        <v>60</v>
      </c>
      <c r="C1129" s="18" t="s">
        <v>6025</v>
      </c>
      <c r="D1129" s="18" t="s">
        <v>3687</v>
      </c>
      <c r="E1129" s="18" t="s">
        <v>5665</v>
      </c>
    </row>
    <row r="1130">
      <c r="A1130" s="362">
        <v>1129.0</v>
      </c>
      <c r="B1130" s="18" t="s">
        <v>60</v>
      </c>
      <c r="C1130" s="18" t="s">
        <v>6026</v>
      </c>
      <c r="D1130" s="18" t="s">
        <v>5726</v>
      </c>
      <c r="E1130" s="18" t="s">
        <v>5665</v>
      </c>
    </row>
    <row r="1131">
      <c r="A1131" s="362">
        <v>1130.0</v>
      </c>
      <c r="B1131" s="18" t="s">
        <v>360</v>
      </c>
      <c r="C1131" s="18" t="s">
        <v>6029</v>
      </c>
      <c r="D1131" s="18" t="s">
        <v>194</v>
      </c>
      <c r="E1131" s="18" t="s">
        <v>5665</v>
      </c>
    </row>
    <row r="1132">
      <c r="A1132" s="362">
        <v>1131.0</v>
      </c>
      <c r="B1132" s="18" t="s">
        <v>504</v>
      </c>
      <c r="C1132" s="18" t="s">
        <v>6031</v>
      </c>
      <c r="D1132" s="18" t="s">
        <v>170</v>
      </c>
      <c r="E1132" s="18" t="s">
        <v>5665</v>
      </c>
    </row>
    <row r="1133">
      <c r="A1133" s="362">
        <v>1132.0</v>
      </c>
      <c r="B1133" s="18" t="s">
        <v>360</v>
      </c>
      <c r="C1133" s="18" t="s">
        <v>6034</v>
      </c>
      <c r="D1133" s="18" t="s">
        <v>119</v>
      </c>
      <c r="E1133" s="18" t="s">
        <v>5665</v>
      </c>
    </row>
    <row r="1134">
      <c r="A1134" s="362">
        <v>1133.0</v>
      </c>
      <c r="B1134" s="18" t="s">
        <v>102</v>
      </c>
      <c r="C1134" s="18" t="s">
        <v>6037</v>
      </c>
      <c r="D1134" s="18" t="s">
        <v>5726</v>
      </c>
      <c r="E1134" s="18" t="s">
        <v>5665</v>
      </c>
    </row>
    <row r="1135">
      <c r="A1135" s="362">
        <v>1134.0</v>
      </c>
      <c r="B1135" s="18" t="s">
        <v>60</v>
      </c>
      <c r="C1135" s="18" t="s">
        <v>6038</v>
      </c>
      <c r="D1135" s="18" t="s">
        <v>201</v>
      </c>
      <c r="E1135" s="18" t="s">
        <v>5665</v>
      </c>
    </row>
    <row r="1136">
      <c r="A1136" s="362">
        <v>1135.0</v>
      </c>
      <c r="B1136" s="18" t="s">
        <v>60</v>
      </c>
      <c r="C1136" s="18" t="s">
        <v>6039</v>
      </c>
      <c r="D1136" s="18" t="s">
        <v>3687</v>
      </c>
      <c r="E1136" s="18" t="s">
        <v>5665</v>
      </c>
    </row>
    <row r="1137">
      <c r="A1137" s="362">
        <v>1136.0</v>
      </c>
      <c r="B1137" s="18" t="s">
        <v>102</v>
      </c>
      <c r="C1137" s="18" t="s">
        <v>6042</v>
      </c>
      <c r="D1137" s="18" t="s">
        <v>3811</v>
      </c>
      <c r="E1137" s="18" t="s">
        <v>5665</v>
      </c>
    </row>
    <row r="1138">
      <c r="A1138" s="362">
        <v>1137.0</v>
      </c>
      <c r="B1138" s="18" t="s">
        <v>60</v>
      </c>
      <c r="C1138" s="18" t="s">
        <v>6045</v>
      </c>
      <c r="D1138" s="18" t="s">
        <v>201</v>
      </c>
      <c r="E1138" s="18" t="s">
        <v>5665</v>
      </c>
    </row>
    <row r="1139">
      <c r="A1139" s="362">
        <v>1138.0</v>
      </c>
      <c r="B1139" s="18" t="s">
        <v>36</v>
      </c>
      <c r="C1139" s="18" t="s">
        <v>6046</v>
      </c>
      <c r="D1139" s="18" t="s">
        <v>314</v>
      </c>
      <c r="E1139" s="18" t="s">
        <v>5665</v>
      </c>
    </row>
    <row r="1140">
      <c r="A1140" s="362">
        <v>1139.0</v>
      </c>
      <c r="B1140" s="18" t="s">
        <v>60</v>
      </c>
      <c r="C1140" s="18" t="s">
        <v>6048</v>
      </c>
      <c r="D1140" s="18" t="s">
        <v>3687</v>
      </c>
      <c r="E1140" s="18" t="s">
        <v>5665</v>
      </c>
    </row>
    <row r="1141">
      <c r="A1141" s="362">
        <v>1140.0</v>
      </c>
      <c r="B1141" s="18" t="s">
        <v>60</v>
      </c>
      <c r="C1141" s="18" t="s">
        <v>6049</v>
      </c>
      <c r="D1141" s="18" t="s">
        <v>201</v>
      </c>
      <c r="E1141" s="18" t="s">
        <v>5665</v>
      </c>
    </row>
    <row r="1142">
      <c r="A1142" s="362">
        <v>1141.0</v>
      </c>
      <c r="B1142" s="18" t="s">
        <v>60</v>
      </c>
      <c r="C1142" s="18" t="s">
        <v>6050</v>
      </c>
      <c r="D1142" s="18" t="s">
        <v>201</v>
      </c>
      <c r="E1142" s="18" t="s">
        <v>5665</v>
      </c>
    </row>
    <row r="1143">
      <c r="A1143" s="362">
        <v>1142.0</v>
      </c>
      <c r="B1143" s="18" t="s">
        <v>360</v>
      </c>
      <c r="C1143" s="18" t="s">
        <v>6053</v>
      </c>
      <c r="D1143" s="18" t="s">
        <v>3811</v>
      </c>
      <c r="E1143" s="18" t="s">
        <v>5665</v>
      </c>
    </row>
    <row r="1144">
      <c r="A1144" s="362">
        <v>1143.0</v>
      </c>
      <c r="B1144" s="18" t="s">
        <v>60</v>
      </c>
      <c r="C1144" s="18" t="s">
        <v>6055</v>
      </c>
      <c r="D1144" s="18" t="s">
        <v>1431</v>
      </c>
      <c r="E1144" s="18" t="s">
        <v>5665</v>
      </c>
    </row>
    <row r="1145">
      <c r="A1145" s="362">
        <v>1144.0</v>
      </c>
      <c r="B1145" s="18" t="s">
        <v>96</v>
      </c>
      <c r="C1145" s="18" t="s">
        <v>6056</v>
      </c>
      <c r="D1145" s="18" t="s">
        <v>170</v>
      </c>
      <c r="E1145" s="18" t="s">
        <v>5665</v>
      </c>
    </row>
    <row r="1146">
      <c r="A1146" s="362">
        <v>1145.0</v>
      </c>
      <c r="B1146" s="18" t="s">
        <v>60</v>
      </c>
      <c r="C1146" s="18" t="s">
        <v>6058</v>
      </c>
      <c r="D1146" s="18" t="s">
        <v>1536</v>
      </c>
      <c r="E1146" s="18" t="s">
        <v>5665</v>
      </c>
    </row>
    <row r="1147">
      <c r="A1147" s="362">
        <v>1146.0</v>
      </c>
      <c r="B1147" s="18" t="s">
        <v>504</v>
      </c>
      <c r="C1147" s="18" t="s">
        <v>6060</v>
      </c>
      <c r="D1147" s="18" t="s">
        <v>119</v>
      </c>
      <c r="E1147" s="18" t="s">
        <v>5665</v>
      </c>
    </row>
    <row r="1148">
      <c r="A1148" s="362">
        <v>1147.0</v>
      </c>
      <c r="B1148" s="18" t="s">
        <v>60</v>
      </c>
      <c r="C1148" s="18" t="s">
        <v>6063</v>
      </c>
      <c r="D1148" s="18" t="s">
        <v>212</v>
      </c>
      <c r="E1148" s="18" t="s">
        <v>5665</v>
      </c>
    </row>
    <row r="1149">
      <c r="A1149" s="362">
        <v>1148.0</v>
      </c>
      <c r="B1149" s="18" t="s">
        <v>60</v>
      </c>
      <c r="C1149" s="18" t="s">
        <v>6066</v>
      </c>
      <c r="D1149" s="18" t="s">
        <v>4597</v>
      </c>
      <c r="E1149" s="18" t="s">
        <v>5665</v>
      </c>
    </row>
    <row r="1150">
      <c r="A1150" s="362">
        <v>1149.0</v>
      </c>
      <c r="B1150" s="18" t="s">
        <v>60</v>
      </c>
      <c r="C1150" s="18" t="s">
        <v>6070</v>
      </c>
      <c r="D1150" s="18" t="s">
        <v>201</v>
      </c>
      <c r="E1150" s="18" t="s">
        <v>5665</v>
      </c>
    </row>
    <row r="1151">
      <c r="A1151" s="362">
        <v>1150.0</v>
      </c>
      <c r="B1151" s="18" t="s">
        <v>60</v>
      </c>
      <c r="C1151" s="18" t="s">
        <v>6072</v>
      </c>
      <c r="D1151" s="18" t="s">
        <v>4597</v>
      </c>
      <c r="E1151" s="18" t="s">
        <v>5665</v>
      </c>
    </row>
    <row r="1152">
      <c r="A1152" s="362">
        <v>1151.0</v>
      </c>
      <c r="B1152" s="18" t="s">
        <v>360</v>
      </c>
      <c r="C1152" s="18" t="s">
        <v>6073</v>
      </c>
      <c r="D1152" s="18" t="s">
        <v>5726</v>
      </c>
      <c r="E1152" s="18" t="s">
        <v>5665</v>
      </c>
    </row>
    <row r="1153">
      <c r="A1153" s="362">
        <v>1152.0</v>
      </c>
      <c r="B1153" s="18" t="s">
        <v>102</v>
      </c>
      <c r="C1153" s="18" t="s">
        <v>6075</v>
      </c>
      <c r="D1153" s="18" t="s">
        <v>170</v>
      </c>
      <c r="E1153" s="18" t="s">
        <v>5665</v>
      </c>
    </row>
    <row r="1154">
      <c r="A1154" s="362">
        <v>1153.0</v>
      </c>
      <c r="B1154" s="18" t="s">
        <v>60</v>
      </c>
      <c r="C1154" s="18" t="s">
        <v>6078</v>
      </c>
      <c r="D1154" s="18" t="s">
        <v>201</v>
      </c>
      <c r="E1154" s="18" t="s">
        <v>5665</v>
      </c>
    </row>
    <row r="1155">
      <c r="A1155" s="362">
        <v>1154.0</v>
      </c>
      <c r="B1155" s="18" t="s">
        <v>60</v>
      </c>
      <c r="C1155" s="18" t="s">
        <v>6082</v>
      </c>
      <c r="D1155" s="18" t="s">
        <v>457</v>
      </c>
      <c r="E1155" s="18" t="s">
        <v>5665</v>
      </c>
    </row>
    <row r="1156">
      <c r="A1156" s="362">
        <v>1155.0</v>
      </c>
      <c r="B1156" s="18" t="s">
        <v>60</v>
      </c>
      <c r="C1156" s="18" t="s">
        <v>6084</v>
      </c>
      <c r="D1156" s="18" t="s">
        <v>201</v>
      </c>
      <c r="E1156" s="18" t="s">
        <v>5665</v>
      </c>
    </row>
    <row r="1157">
      <c r="A1157" s="362">
        <v>1156.0</v>
      </c>
      <c r="B1157" s="18" t="s">
        <v>60</v>
      </c>
      <c r="C1157" s="18" t="s">
        <v>3958</v>
      </c>
      <c r="D1157" s="18" t="s">
        <v>201</v>
      </c>
      <c r="E1157" s="18" t="s">
        <v>5665</v>
      </c>
    </row>
    <row r="1158">
      <c r="A1158" s="362">
        <v>1157.0</v>
      </c>
      <c r="B1158" s="18" t="s">
        <v>60</v>
      </c>
      <c r="C1158" s="18" t="s">
        <v>6090</v>
      </c>
      <c r="D1158" s="18" t="s">
        <v>5569</v>
      </c>
      <c r="E1158" s="18" t="s">
        <v>5665</v>
      </c>
    </row>
    <row r="1159">
      <c r="A1159" s="362">
        <v>1158.0</v>
      </c>
      <c r="B1159" s="18" t="s">
        <v>60</v>
      </c>
      <c r="C1159" s="18" t="s">
        <v>6092</v>
      </c>
      <c r="D1159" s="18" t="s">
        <v>201</v>
      </c>
      <c r="E1159" s="18" t="s">
        <v>5665</v>
      </c>
    </row>
    <row r="1160">
      <c r="A1160" s="362">
        <v>1159.0</v>
      </c>
      <c r="B1160" s="18" t="s">
        <v>60</v>
      </c>
      <c r="C1160" s="18" t="s">
        <v>6095</v>
      </c>
      <c r="D1160" s="18" t="s">
        <v>4597</v>
      </c>
      <c r="E1160" s="18" t="s">
        <v>5665</v>
      </c>
    </row>
    <row r="1161">
      <c r="A1161" s="362">
        <v>1160.0</v>
      </c>
      <c r="B1161" s="18" t="s">
        <v>102</v>
      </c>
      <c r="C1161" s="18" t="s">
        <v>6098</v>
      </c>
      <c r="D1161" s="18" t="s">
        <v>1157</v>
      </c>
      <c r="E1161" s="18" t="s">
        <v>5665</v>
      </c>
    </row>
    <row r="1162">
      <c r="A1162" s="362">
        <v>1161.0</v>
      </c>
      <c r="B1162" s="18" t="s">
        <v>60</v>
      </c>
      <c r="C1162" s="18" t="s">
        <v>6104</v>
      </c>
      <c r="D1162" s="18" t="s">
        <v>4597</v>
      </c>
      <c r="E1162" s="18" t="s">
        <v>5665</v>
      </c>
    </row>
    <row r="1163">
      <c r="A1163" s="362">
        <v>1162.0</v>
      </c>
      <c r="B1163" s="18" t="s">
        <v>60</v>
      </c>
      <c r="C1163" s="18" t="s">
        <v>6107</v>
      </c>
      <c r="D1163" s="18" t="s">
        <v>457</v>
      </c>
      <c r="E1163" s="18" t="s">
        <v>5665</v>
      </c>
    </row>
    <row r="1164">
      <c r="A1164" s="362">
        <v>1163.0</v>
      </c>
      <c r="B1164" s="18" t="s">
        <v>60</v>
      </c>
      <c r="C1164" s="18" t="s">
        <v>6108</v>
      </c>
      <c r="D1164" s="18" t="s">
        <v>636</v>
      </c>
      <c r="E1164" s="18" t="s">
        <v>5665</v>
      </c>
    </row>
    <row r="1165">
      <c r="A1165" s="362">
        <v>1164.0</v>
      </c>
      <c r="B1165" s="18" t="s">
        <v>60</v>
      </c>
      <c r="C1165" s="18" t="s">
        <v>6113</v>
      </c>
      <c r="D1165" s="18" t="s">
        <v>4597</v>
      </c>
      <c r="E1165" s="18" t="s">
        <v>5665</v>
      </c>
    </row>
    <row r="1166">
      <c r="A1166" s="362">
        <v>1165.0</v>
      </c>
      <c r="B1166" s="18" t="s">
        <v>134</v>
      </c>
      <c r="C1166" s="18" t="s">
        <v>6115</v>
      </c>
      <c r="D1166" s="18" t="s">
        <v>122</v>
      </c>
      <c r="E1166" s="18" t="s">
        <v>5665</v>
      </c>
    </row>
    <row r="1167">
      <c r="A1167" s="362">
        <v>1166.0</v>
      </c>
      <c r="B1167" s="18" t="s">
        <v>60</v>
      </c>
      <c r="C1167" s="18" t="s">
        <v>6118</v>
      </c>
      <c r="D1167" s="18" t="s">
        <v>201</v>
      </c>
      <c r="E1167" s="18" t="s">
        <v>5665</v>
      </c>
    </row>
    <row r="1168">
      <c r="A1168" s="362">
        <v>1167.0</v>
      </c>
      <c r="B1168" s="18" t="s">
        <v>60</v>
      </c>
      <c r="C1168" s="18" t="s">
        <v>6120</v>
      </c>
      <c r="D1168" s="18" t="s">
        <v>201</v>
      </c>
      <c r="E1168" s="18" t="s">
        <v>5665</v>
      </c>
    </row>
    <row r="1169">
      <c r="A1169" s="362">
        <v>1168.0</v>
      </c>
      <c r="B1169" s="18" t="s">
        <v>60</v>
      </c>
      <c r="C1169" s="18" t="s">
        <v>6121</v>
      </c>
      <c r="D1169" s="18" t="s">
        <v>201</v>
      </c>
      <c r="E1169" s="18" t="s">
        <v>5665</v>
      </c>
    </row>
    <row r="1170">
      <c r="A1170" s="362">
        <v>1169.0</v>
      </c>
      <c r="B1170" s="18" t="s">
        <v>102</v>
      </c>
      <c r="C1170" s="18" t="s">
        <v>6123</v>
      </c>
      <c r="D1170" s="18" t="s">
        <v>178</v>
      </c>
      <c r="E1170" s="18" t="s">
        <v>5665</v>
      </c>
    </row>
    <row r="1171">
      <c r="A1171" s="362">
        <v>1170.0</v>
      </c>
      <c r="B1171" s="18" t="s">
        <v>102</v>
      </c>
      <c r="C1171" s="18" t="s">
        <v>6126</v>
      </c>
      <c r="D1171" s="18" t="s">
        <v>178</v>
      </c>
      <c r="E1171" s="18" t="s">
        <v>5665</v>
      </c>
    </row>
    <row r="1172">
      <c r="A1172" s="362">
        <v>1171.0</v>
      </c>
      <c r="B1172" s="18" t="s">
        <v>60</v>
      </c>
      <c r="C1172" s="18" t="s">
        <v>6127</v>
      </c>
      <c r="D1172" s="18" t="s">
        <v>106</v>
      </c>
      <c r="E1172" s="18" t="s">
        <v>5665</v>
      </c>
    </row>
    <row r="1173">
      <c r="A1173" s="362">
        <v>1172.0</v>
      </c>
      <c r="B1173" s="18" t="s">
        <v>102</v>
      </c>
      <c r="C1173" s="18" t="s">
        <v>6128</v>
      </c>
      <c r="D1173" s="18" t="s">
        <v>6129</v>
      </c>
      <c r="E1173" s="18" t="s">
        <v>5665</v>
      </c>
    </row>
    <row r="1174">
      <c r="A1174" s="362">
        <v>1173.0</v>
      </c>
      <c r="B1174" s="18" t="s">
        <v>60</v>
      </c>
      <c r="C1174" s="18" t="s">
        <v>6130</v>
      </c>
      <c r="D1174" s="18" t="s">
        <v>106</v>
      </c>
      <c r="E1174" s="18" t="s">
        <v>5665</v>
      </c>
    </row>
    <row r="1175">
      <c r="A1175" s="362">
        <v>1174.0</v>
      </c>
      <c r="B1175" s="18" t="s">
        <v>60</v>
      </c>
      <c r="C1175" s="18" t="s">
        <v>6132</v>
      </c>
      <c r="D1175" s="18" t="s">
        <v>5726</v>
      </c>
      <c r="E1175" s="18" t="s">
        <v>5665</v>
      </c>
    </row>
    <row r="1176">
      <c r="A1176" s="362">
        <v>1175.0</v>
      </c>
      <c r="B1176" s="18" t="s">
        <v>360</v>
      </c>
      <c r="C1176" s="18" t="s">
        <v>6133</v>
      </c>
      <c r="D1176" s="18" t="s">
        <v>1345</v>
      </c>
      <c r="E1176" s="18" t="s">
        <v>5665</v>
      </c>
    </row>
    <row r="1177">
      <c r="A1177" s="362">
        <v>1176.0</v>
      </c>
      <c r="B1177" s="18" t="s">
        <v>360</v>
      </c>
      <c r="C1177" s="18" t="s">
        <v>6136</v>
      </c>
      <c r="D1177" s="18" t="s">
        <v>201</v>
      </c>
      <c r="E1177" s="18" t="s">
        <v>5665</v>
      </c>
    </row>
    <row r="1178">
      <c r="A1178" s="362">
        <v>1177.0</v>
      </c>
      <c r="B1178" s="18" t="s">
        <v>60</v>
      </c>
      <c r="C1178" s="18" t="s">
        <v>6140</v>
      </c>
      <c r="D1178" s="18" t="s">
        <v>6141</v>
      </c>
      <c r="E1178" s="18" t="s">
        <v>5665</v>
      </c>
    </row>
    <row r="1179">
      <c r="A1179" s="362">
        <v>1178.0</v>
      </c>
      <c r="B1179" s="18" t="s">
        <v>60</v>
      </c>
      <c r="C1179" s="18" t="s">
        <v>6142</v>
      </c>
      <c r="D1179" s="18" t="s">
        <v>106</v>
      </c>
      <c r="E1179" s="18" t="s">
        <v>5665</v>
      </c>
    </row>
    <row r="1180">
      <c r="A1180" s="362">
        <v>1179.0</v>
      </c>
      <c r="B1180" s="18" t="s">
        <v>60</v>
      </c>
      <c r="C1180" s="18" t="s">
        <v>6146</v>
      </c>
      <c r="D1180" s="18" t="s">
        <v>6149</v>
      </c>
      <c r="E1180" s="18" t="s">
        <v>5665</v>
      </c>
    </row>
    <row r="1181">
      <c r="A1181" s="362">
        <v>1180.0</v>
      </c>
      <c r="B1181" s="18" t="s">
        <v>504</v>
      </c>
      <c r="C1181" s="18" t="s">
        <v>6156</v>
      </c>
      <c r="D1181" s="18" t="s">
        <v>5726</v>
      </c>
      <c r="E1181" s="18" t="s">
        <v>5665</v>
      </c>
    </row>
    <row r="1182">
      <c r="A1182" s="362">
        <v>1181.0</v>
      </c>
      <c r="B1182" s="18" t="s">
        <v>60</v>
      </c>
      <c r="C1182" s="18" t="s">
        <v>6157</v>
      </c>
      <c r="D1182" s="18" t="s">
        <v>201</v>
      </c>
      <c r="E1182" s="18" t="s">
        <v>5665</v>
      </c>
    </row>
    <row r="1183">
      <c r="A1183" s="362">
        <v>1182.0</v>
      </c>
      <c r="B1183" s="18" t="s">
        <v>60</v>
      </c>
      <c r="C1183" s="18" t="s">
        <v>6160</v>
      </c>
      <c r="D1183" s="18" t="s">
        <v>5726</v>
      </c>
      <c r="E1183" s="18" t="s">
        <v>5665</v>
      </c>
    </row>
    <row r="1184">
      <c r="A1184" s="362">
        <v>1183.0</v>
      </c>
      <c r="B1184" s="18" t="s">
        <v>102</v>
      </c>
      <c r="C1184" s="18" t="s">
        <v>6161</v>
      </c>
      <c r="D1184" s="18" t="s">
        <v>201</v>
      </c>
      <c r="E1184" s="18" t="s">
        <v>5665</v>
      </c>
    </row>
    <row r="1185">
      <c r="A1185" s="362">
        <v>1184.0</v>
      </c>
      <c r="B1185" s="18" t="s">
        <v>102</v>
      </c>
      <c r="C1185" s="18" t="s">
        <v>6162</v>
      </c>
      <c r="D1185" s="18" t="s">
        <v>178</v>
      </c>
      <c r="E1185" s="18" t="s">
        <v>5665</v>
      </c>
    </row>
    <row r="1186">
      <c r="A1186" s="362">
        <v>1185.0</v>
      </c>
      <c r="B1186" s="18" t="s">
        <v>326</v>
      </c>
      <c r="C1186" s="18" t="s">
        <v>6163</v>
      </c>
      <c r="D1186" s="18" t="s">
        <v>201</v>
      </c>
      <c r="E1186" s="18" t="s">
        <v>5665</v>
      </c>
    </row>
    <row r="1187">
      <c r="A1187" s="362">
        <v>1186.0</v>
      </c>
      <c r="B1187" s="18" t="s">
        <v>102</v>
      </c>
      <c r="C1187" s="18" t="s">
        <v>6164</v>
      </c>
      <c r="D1187" s="18" t="s">
        <v>178</v>
      </c>
      <c r="E1187" s="18" t="s">
        <v>5665</v>
      </c>
    </row>
    <row r="1188">
      <c r="A1188" s="362">
        <v>1187.0</v>
      </c>
      <c r="B1188" s="18" t="s">
        <v>102</v>
      </c>
      <c r="C1188" s="18" t="s">
        <v>6165</v>
      </c>
      <c r="D1188" s="18" t="s">
        <v>170</v>
      </c>
      <c r="E1188" s="18" t="s">
        <v>5665</v>
      </c>
    </row>
    <row r="1189">
      <c r="A1189" s="362">
        <v>1188.0</v>
      </c>
      <c r="B1189" s="18" t="s">
        <v>102</v>
      </c>
      <c r="C1189" s="18" t="s">
        <v>6168</v>
      </c>
      <c r="D1189" s="18" t="s">
        <v>178</v>
      </c>
      <c r="E1189" s="18" t="s">
        <v>5665</v>
      </c>
    </row>
    <row r="1190">
      <c r="A1190" s="362">
        <v>1189.0</v>
      </c>
      <c r="B1190" s="18" t="s">
        <v>36</v>
      </c>
      <c r="C1190" s="18" t="s">
        <v>6171</v>
      </c>
      <c r="D1190" s="18" t="s">
        <v>267</v>
      </c>
      <c r="E1190" s="18" t="s">
        <v>5665</v>
      </c>
    </row>
    <row r="1191">
      <c r="A1191" s="362">
        <v>1190.0</v>
      </c>
      <c r="B1191" s="18" t="s">
        <v>102</v>
      </c>
      <c r="C1191" s="18" t="s">
        <v>6173</v>
      </c>
      <c r="D1191" s="18" t="s">
        <v>163</v>
      </c>
      <c r="E1191" s="18" t="s">
        <v>5665</v>
      </c>
    </row>
    <row r="1192">
      <c r="A1192" s="362">
        <v>1191.0</v>
      </c>
      <c r="B1192" s="18" t="s">
        <v>102</v>
      </c>
      <c r="C1192" s="18" t="s">
        <v>6175</v>
      </c>
      <c r="D1192" s="18" t="s">
        <v>106</v>
      </c>
      <c r="E1192" s="18" t="s">
        <v>5665</v>
      </c>
    </row>
    <row r="1193">
      <c r="A1193" s="362">
        <v>1192.0</v>
      </c>
      <c r="B1193" s="18" t="s">
        <v>60</v>
      </c>
      <c r="C1193" s="18" t="s">
        <v>6179</v>
      </c>
      <c r="D1193" s="18" t="s">
        <v>1431</v>
      </c>
      <c r="E1193" s="18" t="s">
        <v>5665</v>
      </c>
    </row>
    <row r="1194">
      <c r="A1194" s="362">
        <v>1193.0</v>
      </c>
      <c r="B1194" s="18" t="s">
        <v>102</v>
      </c>
      <c r="C1194" s="18" t="s">
        <v>6180</v>
      </c>
      <c r="D1194" s="18" t="s">
        <v>1195</v>
      </c>
      <c r="E1194" s="18" t="s">
        <v>5665</v>
      </c>
    </row>
    <row r="1195">
      <c r="A1195" s="362">
        <v>1194.0</v>
      </c>
      <c r="B1195" s="18" t="s">
        <v>60</v>
      </c>
      <c r="C1195" s="18" t="s">
        <v>6181</v>
      </c>
      <c r="D1195" s="18" t="s">
        <v>201</v>
      </c>
      <c r="E1195" s="18" t="s">
        <v>5665</v>
      </c>
    </row>
    <row r="1196">
      <c r="A1196" s="362">
        <v>1195.0</v>
      </c>
      <c r="B1196" s="18" t="s">
        <v>60</v>
      </c>
      <c r="C1196" s="18" t="s">
        <v>6184</v>
      </c>
      <c r="D1196" s="18" t="s">
        <v>3572</v>
      </c>
      <c r="E1196" s="18" t="s">
        <v>5665</v>
      </c>
    </row>
    <row r="1197">
      <c r="A1197" s="362">
        <v>1196.0</v>
      </c>
      <c r="B1197" s="18" t="s">
        <v>60</v>
      </c>
      <c r="C1197" s="18" t="s">
        <v>6188</v>
      </c>
      <c r="D1197" s="18" t="s">
        <v>3687</v>
      </c>
      <c r="E1197" s="18" t="s">
        <v>5665</v>
      </c>
    </row>
    <row r="1198">
      <c r="A1198" s="362">
        <v>1197.0</v>
      </c>
      <c r="B1198" s="18" t="s">
        <v>60</v>
      </c>
      <c r="C1198" s="18" t="s">
        <v>6190</v>
      </c>
      <c r="D1198" s="18" t="s">
        <v>5726</v>
      </c>
      <c r="E1198" s="18" t="s">
        <v>5665</v>
      </c>
    </row>
    <row r="1199">
      <c r="A1199" s="362">
        <v>1198.0</v>
      </c>
      <c r="B1199" s="18" t="s">
        <v>360</v>
      </c>
      <c r="C1199" s="18" t="s">
        <v>6191</v>
      </c>
      <c r="D1199" s="18" t="s">
        <v>212</v>
      </c>
      <c r="E1199" s="18" t="s">
        <v>5665</v>
      </c>
    </row>
    <row r="1200">
      <c r="A1200" s="362">
        <v>1199.0</v>
      </c>
      <c r="B1200" s="18" t="s">
        <v>102</v>
      </c>
      <c r="C1200" s="18" t="s">
        <v>6195</v>
      </c>
      <c r="D1200" s="18" t="s">
        <v>119</v>
      </c>
      <c r="E1200" s="18" t="s">
        <v>5665</v>
      </c>
    </row>
    <row r="1201">
      <c r="A1201" s="362">
        <v>1200.0</v>
      </c>
      <c r="B1201" s="18" t="s">
        <v>60</v>
      </c>
      <c r="C1201" s="18" t="s">
        <v>6197</v>
      </c>
      <c r="D1201" s="18" t="s">
        <v>201</v>
      </c>
      <c r="E1201" s="18" t="s">
        <v>5665</v>
      </c>
    </row>
    <row r="1202">
      <c r="A1202" s="362">
        <v>1201.0</v>
      </c>
      <c r="B1202" s="18" t="s">
        <v>60</v>
      </c>
      <c r="C1202" s="18" t="s">
        <v>6200</v>
      </c>
      <c r="D1202" s="18" t="s">
        <v>4597</v>
      </c>
      <c r="E1202" s="18" t="s">
        <v>5665</v>
      </c>
    </row>
    <row r="1203">
      <c r="A1203" s="362">
        <v>1202.0</v>
      </c>
      <c r="B1203" s="18" t="s">
        <v>60</v>
      </c>
      <c r="C1203" s="18" t="s">
        <v>6202</v>
      </c>
      <c r="D1203" s="18" t="s">
        <v>5569</v>
      </c>
      <c r="E1203" s="18" t="s">
        <v>5665</v>
      </c>
    </row>
    <row r="1204">
      <c r="A1204" s="362">
        <v>1203.0</v>
      </c>
      <c r="B1204" s="18" t="s">
        <v>60</v>
      </c>
      <c r="C1204" s="18" t="s">
        <v>6205</v>
      </c>
      <c r="D1204" s="18" t="s">
        <v>2197</v>
      </c>
      <c r="E1204" s="18" t="s">
        <v>5665</v>
      </c>
    </row>
    <row r="1205">
      <c r="A1205" s="362">
        <v>1204.0</v>
      </c>
      <c r="B1205" s="18" t="s">
        <v>102</v>
      </c>
      <c r="C1205" s="18" t="s">
        <v>6208</v>
      </c>
      <c r="D1205" s="18" t="s">
        <v>178</v>
      </c>
      <c r="E1205" s="18" t="s">
        <v>5665</v>
      </c>
    </row>
    <row r="1206">
      <c r="A1206" s="362">
        <v>1205.0</v>
      </c>
      <c r="B1206" s="18" t="s">
        <v>60</v>
      </c>
      <c r="C1206" s="18" t="s">
        <v>6210</v>
      </c>
      <c r="D1206" s="18" t="s">
        <v>201</v>
      </c>
      <c r="E1206" s="18" t="s">
        <v>5665</v>
      </c>
    </row>
    <row r="1207">
      <c r="A1207" s="362">
        <v>1206.0</v>
      </c>
      <c r="B1207" s="18" t="s">
        <v>60</v>
      </c>
      <c r="C1207" s="18" t="s">
        <v>6212</v>
      </c>
      <c r="D1207" s="18" t="s">
        <v>6215</v>
      </c>
      <c r="E1207" s="18" t="s">
        <v>5665</v>
      </c>
    </row>
    <row r="1208">
      <c r="A1208" s="362">
        <v>1207.0</v>
      </c>
      <c r="B1208" s="18" t="s">
        <v>102</v>
      </c>
      <c r="C1208" s="18" t="s">
        <v>6218</v>
      </c>
      <c r="D1208" s="18" t="s">
        <v>201</v>
      </c>
      <c r="E1208" s="18" t="s">
        <v>5665</v>
      </c>
    </row>
    <row r="1209">
      <c r="A1209" s="362">
        <v>1208.0</v>
      </c>
      <c r="B1209" s="18" t="s">
        <v>60</v>
      </c>
      <c r="C1209" s="18" t="s">
        <v>6219</v>
      </c>
      <c r="D1209" s="18" t="s">
        <v>6220</v>
      </c>
      <c r="E1209" s="18" t="s">
        <v>5665</v>
      </c>
    </row>
    <row r="1210">
      <c r="A1210" s="362">
        <v>1209.0</v>
      </c>
      <c r="B1210" s="18" t="s">
        <v>102</v>
      </c>
      <c r="C1210" s="18" t="s">
        <v>6221</v>
      </c>
      <c r="D1210" s="18" t="s">
        <v>201</v>
      </c>
      <c r="E1210" s="18" t="s">
        <v>5665</v>
      </c>
    </row>
    <row r="1211">
      <c r="A1211" s="362">
        <v>1210.0</v>
      </c>
      <c r="B1211" s="18" t="s">
        <v>504</v>
      </c>
      <c r="C1211" s="18" t="s">
        <v>6222</v>
      </c>
      <c r="D1211" s="18" t="s">
        <v>6223</v>
      </c>
      <c r="E1211" s="18" t="s">
        <v>5665</v>
      </c>
    </row>
    <row r="1212">
      <c r="A1212" s="362">
        <v>1211.0</v>
      </c>
      <c r="B1212" s="18" t="s">
        <v>60</v>
      </c>
      <c r="C1212" s="18" t="s">
        <v>6227</v>
      </c>
      <c r="D1212" s="18" t="s">
        <v>457</v>
      </c>
      <c r="E1212" s="18" t="s">
        <v>5665</v>
      </c>
    </row>
    <row r="1213">
      <c r="A1213" s="362">
        <v>1212.0</v>
      </c>
      <c r="B1213" s="18" t="s">
        <v>326</v>
      </c>
      <c r="C1213" s="18" t="s">
        <v>6228</v>
      </c>
      <c r="D1213" s="18" t="s">
        <v>212</v>
      </c>
      <c r="E1213" s="18" t="s">
        <v>5665</v>
      </c>
    </row>
    <row r="1214">
      <c r="A1214" s="362">
        <v>1213.0</v>
      </c>
      <c r="B1214" s="18" t="s">
        <v>60</v>
      </c>
      <c r="C1214" s="18" t="s">
        <v>6231</v>
      </c>
      <c r="D1214" s="18" t="s">
        <v>201</v>
      </c>
      <c r="E1214" s="18" t="s">
        <v>5665</v>
      </c>
    </row>
    <row r="1215">
      <c r="A1215" s="362">
        <v>1214.0</v>
      </c>
      <c r="B1215" s="18" t="s">
        <v>60</v>
      </c>
      <c r="C1215" s="18" t="s">
        <v>6233</v>
      </c>
      <c r="D1215" s="18" t="s">
        <v>201</v>
      </c>
      <c r="E1215" s="18" t="s">
        <v>5665</v>
      </c>
    </row>
    <row r="1216">
      <c r="A1216" s="362">
        <v>1215.0</v>
      </c>
      <c r="B1216" s="18" t="s">
        <v>60</v>
      </c>
      <c r="C1216" s="18" t="s">
        <v>6235</v>
      </c>
      <c r="D1216" s="18" t="s">
        <v>4597</v>
      </c>
      <c r="E1216" s="18" t="s">
        <v>5665</v>
      </c>
    </row>
    <row r="1217">
      <c r="A1217" s="362">
        <v>1216.0</v>
      </c>
      <c r="B1217" s="18" t="s">
        <v>60</v>
      </c>
      <c r="C1217" s="18" t="s">
        <v>6238</v>
      </c>
      <c r="D1217" s="18" t="s">
        <v>201</v>
      </c>
      <c r="E1217" s="18" t="s">
        <v>5665</v>
      </c>
    </row>
    <row r="1218">
      <c r="A1218" s="362">
        <v>1217.0</v>
      </c>
      <c r="B1218" s="18" t="s">
        <v>360</v>
      </c>
      <c r="C1218" s="18" t="s">
        <v>6239</v>
      </c>
      <c r="D1218" s="18" t="s">
        <v>201</v>
      </c>
      <c r="E1218" s="18" t="s">
        <v>5665</v>
      </c>
    </row>
    <row r="1219">
      <c r="A1219" s="362">
        <v>1218.0</v>
      </c>
      <c r="B1219" s="18" t="s">
        <v>102</v>
      </c>
      <c r="C1219" s="18" t="s">
        <v>6242</v>
      </c>
      <c r="D1219" s="18" t="s">
        <v>1157</v>
      </c>
      <c r="E1219" s="18" t="s">
        <v>5665</v>
      </c>
    </row>
    <row r="1220">
      <c r="A1220" s="362">
        <v>1219.0</v>
      </c>
      <c r="B1220" s="18" t="s">
        <v>60</v>
      </c>
      <c r="C1220" s="18" t="s">
        <v>6246</v>
      </c>
      <c r="D1220" s="18" t="s">
        <v>2331</v>
      </c>
      <c r="E1220" s="18" t="s">
        <v>5665</v>
      </c>
    </row>
    <row r="1221">
      <c r="A1221" s="362">
        <v>1220.0</v>
      </c>
      <c r="B1221" s="18" t="s">
        <v>60</v>
      </c>
      <c r="C1221" s="18" t="s">
        <v>6247</v>
      </c>
      <c r="D1221" s="18" t="s">
        <v>201</v>
      </c>
      <c r="E1221" s="18" t="s">
        <v>5665</v>
      </c>
    </row>
    <row r="1222">
      <c r="A1222" s="362">
        <v>1221.0</v>
      </c>
      <c r="B1222" s="18" t="s">
        <v>360</v>
      </c>
      <c r="C1222" s="18" t="s">
        <v>6251</v>
      </c>
      <c r="D1222" s="18" t="s">
        <v>170</v>
      </c>
      <c r="E1222" s="18" t="s">
        <v>5665</v>
      </c>
    </row>
    <row r="1223">
      <c r="A1223" s="362">
        <v>1222.0</v>
      </c>
      <c r="B1223" s="18" t="s">
        <v>102</v>
      </c>
      <c r="C1223" s="18" t="s">
        <v>6252</v>
      </c>
      <c r="D1223" s="18" t="s">
        <v>201</v>
      </c>
      <c r="E1223" s="18" t="s">
        <v>5665</v>
      </c>
    </row>
    <row r="1224">
      <c r="A1224" s="362">
        <v>1223.0</v>
      </c>
      <c r="B1224" s="18" t="s">
        <v>60</v>
      </c>
      <c r="C1224" s="18" t="s">
        <v>6253</v>
      </c>
      <c r="D1224" s="18" t="s">
        <v>201</v>
      </c>
      <c r="E1224" s="18" t="s">
        <v>5665</v>
      </c>
    </row>
    <row r="1225">
      <c r="A1225" s="362">
        <v>1224.0</v>
      </c>
      <c r="B1225" s="18" t="s">
        <v>60</v>
      </c>
      <c r="C1225" s="18" t="s">
        <v>6254</v>
      </c>
      <c r="D1225" s="18" t="s">
        <v>5726</v>
      </c>
      <c r="E1225" s="18" t="s">
        <v>5665</v>
      </c>
    </row>
    <row r="1226">
      <c r="A1226" s="362">
        <v>1225.0</v>
      </c>
      <c r="B1226" s="18" t="s">
        <v>102</v>
      </c>
      <c r="C1226" s="18" t="s">
        <v>6255</v>
      </c>
      <c r="D1226" s="18" t="s">
        <v>163</v>
      </c>
      <c r="E1226" s="18" t="s">
        <v>5665</v>
      </c>
    </row>
    <row r="1227">
      <c r="A1227" s="362">
        <v>1226.0</v>
      </c>
      <c r="B1227" s="18" t="s">
        <v>360</v>
      </c>
      <c r="C1227" s="18" t="s">
        <v>6256</v>
      </c>
      <c r="D1227" s="18" t="s">
        <v>119</v>
      </c>
      <c r="E1227" s="18" t="s">
        <v>5665</v>
      </c>
    </row>
    <row r="1228">
      <c r="A1228" s="362">
        <v>1227.0</v>
      </c>
      <c r="B1228" s="18" t="s">
        <v>326</v>
      </c>
      <c r="C1228" s="18" t="s">
        <v>6259</v>
      </c>
      <c r="D1228" s="18" t="s">
        <v>106</v>
      </c>
      <c r="E1228" s="18" t="s">
        <v>5665</v>
      </c>
    </row>
    <row r="1229">
      <c r="A1229" s="362">
        <v>1228.0</v>
      </c>
      <c r="B1229" s="18" t="s">
        <v>60</v>
      </c>
      <c r="C1229" s="18" t="s">
        <v>6261</v>
      </c>
      <c r="D1229" s="18" t="s">
        <v>4597</v>
      </c>
      <c r="E1229" s="18" t="s">
        <v>5665</v>
      </c>
    </row>
    <row r="1230">
      <c r="A1230" s="362">
        <v>1229.0</v>
      </c>
      <c r="B1230" s="18" t="s">
        <v>326</v>
      </c>
      <c r="C1230" s="18" t="s">
        <v>6263</v>
      </c>
      <c r="D1230" s="18" t="s">
        <v>212</v>
      </c>
      <c r="E1230" s="18" t="s">
        <v>5665</v>
      </c>
    </row>
    <row r="1231">
      <c r="A1231" s="362">
        <v>1230.0</v>
      </c>
      <c r="B1231" s="18" t="s">
        <v>326</v>
      </c>
      <c r="C1231" s="18" t="s">
        <v>6264</v>
      </c>
      <c r="D1231" s="18" t="s">
        <v>3572</v>
      </c>
      <c r="E1231" s="18" t="s">
        <v>5665</v>
      </c>
    </row>
    <row r="1232">
      <c r="A1232" s="362">
        <v>1231.0</v>
      </c>
      <c r="B1232" s="18" t="s">
        <v>60</v>
      </c>
      <c r="C1232" s="18" t="s">
        <v>1603</v>
      </c>
      <c r="D1232" s="18" t="s">
        <v>201</v>
      </c>
      <c r="E1232" s="18" t="s">
        <v>5665</v>
      </c>
    </row>
    <row r="1233">
      <c r="A1233" s="362">
        <v>1232.0</v>
      </c>
      <c r="B1233" s="18" t="s">
        <v>60</v>
      </c>
      <c r="C1233" s="18" t="s">
        <v>6267</v>
      </c>
      <c r="D1233" s="18" t="s">
        <v>201</v>
      </c>
      <c r="E1233" s="18" t="s">
        <v>5665</v>
      </c>
    </row>
    <row r="1234">
      <c r="A1234" s="362">
        <v>1233.0</v>
      </c>
      <c r="B1234" s="18" t="s">
        <v>360</v>
      </c>
      <c r="C1234" s="18" t="s">
        <v>6269</v>
      </c>
      <c r="D1234" s="18" t="s">
        <v>4862</v>
      </c>
      <c r="E1234" s="18" t="s">
        <v>5665</v>
      </c>
    </row>
    <row r="1235">
      <c r="A1235" s="362">
        <v>1234.0</v>
      </c>
      <c r="B1235" s="18" t="s">
        <v>102</v>
      </c>
      <c r="C1235" s="18" t="s">
        <v>6270</v>
      </c>
      <c r="D1235" s="18" t="s">
        <v>4867</v>
      </c>
      <c r="E1235" s="18" t="s">
        <v>5665</v>
      </c>
    </row>
    <row r="1236">
      <c r="A1236" s="362">
        <v>1235.0</v>
      </c>
      <c r="B1236" s="18" t="s">
        <v>326</v>
      </c>
      <c r="C1236" s="18" t="s">
        <v>6272</v>
      </c>
      <c r="D1236" s="18" t="s">
        <v>287</v>
      </c>
      <c r="E1236" s="18" t="s">
        <v>5665</v>
      </c>
    </row>
    <row r="1237">
      <c r="A1237" s="362">
        <v>1236.0</v>
      </c>
      <c r="B1237" s="18" t="s">
        <v>60</v>
      </c>
      <c r="C1237" s="18" t="s">
        <v>6274</v>
      </c>
      <c r="D1237" s="18" t="s">
        <v>201</v>
      </c>
      <c r="E1237" s="18" t="s">
        <v>5665</v>
      </c>
    </row>
    <row r="1238">
      <c r="A1238" s="362">
        <v>1237.0</v>
      </c>
      <c r="B1238" s="18" t="s">
        <v>60</v>
      </c>
      <c r="C1238" s="18" t="s">
        <v>6276</v>
      </c>
      <c r="D1238" s="18" t="s">
        <v>287</v>
      </c>
      <c r="E1238" s="18" t="s">
        <v>5665</v>
      </c>
    </row>
    <row r="1239">
      <c r="A1239" s="362">
        <v>1238.0</v>
      </c>
      <c r="B1239" s="18" t="s">
        <v>102</v>
      </c>
      <c r="C1239" s="18" t="s">
        <v>6277</v>
      </c>
      <c r="D1239" s="18" t="s">
        <v>1345</v>
      </c>
      <c r="E1239" s="18" t="s">
        <v>5665</v>
      </c>
    </row>
    <row r="1240">
      <c r="A1240" s="362">
        <v>1239.0</v>
      </c>
      <c r="B1240" s="18" t="s">
        <v>60</v>
      </c>
      <c r="C1240" s="18" t="s">
        <v>6278</v>
      </c>
      <c r="D1240" s="18" t="s">
        <v>287</v>
      </c>
      <c r="E1240" s="18" t="s">
        <v>5665</v>
      </c>
    </row>
    <row r="1241">
      <c r="A1241" s="362">
        <v>1240.0</v>
      </c>
      <c r="B1241" s="18" t="s">
        <v>60</v>
      </c>
      <c r="C1241" s="18" t="s">
        <v>6279</v>
      </c>
      <c r="D1241" s="18" t="s">
        <v>287</v>
      </c>
      <c r="E1241" s="18" t="s">
        <v>5665</v>
      </c>
    </row>
    <row r="1242">
      <c r="A1242" s="362">
        <v>1241.0</v>
      </c>
      <c r="B1242" s="18" t="s">
        <v>102</v>
      </c>
      <c r="C1242" s="18" t="s">
        <v>6280</v>
      </c>
      <c r="D1242" s="18" t="s">
        <v>163</v>
      </c>
      <c r="E1242" s="18" t="s">
        <v>5665</v>
      </c>
    </row>
    <row r="1243">
      <c r="A1243" s="362">
        <v>1242.0</v>
      </c>
      <c r="B1243" s="18" t="s">
        <v>60</v>
      </c>
      <c r="C1243" s="18" t="s">
        <v>6284</v>
      </c>
      <c r="D1243" s="18" t="s">
        <v>2660</v>
      </c>
      <c r="E1243" s="18" t="s">
        <v>5665</v>
      </c>
    </row>
    <row r="1244">
      <c r="A1244" s="362">
        <v>1243.0</v>
      </c>
      <c r="B1244" s="18" t="s">
        <v>102</v>
      </c>
      <c r="C1244" s="18" t="s">
        <v>6288</v>
      </c>
      <c r="D1244" s="18" t="s">
        <v>170</v>
      </c>
      <c r="E1244" s="18" t="s">
        <v>5665</v>
      </c>
    </row>
    <row r="1245">
      <c r="A1245" s="362">
        <v>1244.0</v>
      </c>
      <c r="B1245" s="18" t="s">
        <v>60</v>
      </c>
      <c r="C1245" s="18" t="s">
        <v>6289</v>
      </c>
      <c r="D1245" s="18" t="s">
        <v>287</v>
      </c>
      <c r="E1245" s="18" t="s">
        <v>5665</v>
      </c>
    </row>
    <row r="1246">
      <c r="A1246" s="362">
        <v>1245.0</v>
      </c>
      <c r="B1246" s="18" t="s">
        <v>60</v>
      </c>
      <c r="C1246" s="18" t="s">
        <v>6290</v>
      </c>
      <c r="D1246" s="18" t="s">
        <v>287</v>
      </c>
      <c r="E1246" s="18" t="s">
        <v>5665</v>
      </c>
    </row>
    <row r="1247">
      <c r="A1247" s="362">
        <v>1246.0</v>
      </c>
      <c r="B1247" s="18" t="s">
        <v>102</v>
      </c>
      <c r="C1247" s="18" t="s">
        <v>6294</v>
      </c>
      <c r="D1247" s="18" t="s">
        <v>178</v>
      </c>
      <c r="E1247" s="18" t="s">
        <v>5665</v>
      </c>
    </row>
    <row r="1248">
      <c r="A1248" s="362">
        <v>1247.0</v>
      </c>
      <c r="B1248" s="18" t="s">
        <v>102</v>
      </c>
      <c r="C1248" s="18" t="s">
        <v>6295</v>
      </c>
      <c r="D1248" s="18" t="s">
        <v>3596</v>
      </c>
      <c r="E1248" s="18" t="s">
        <v>5665</v>
      </c>
    </row>
    <row r="1249">
      <c r="A1249" s="362">
        <v>1248.0</v>
      </c>
      <c r="B1249" s="18" t="s">
        <v>60</v>
      </c>
      <c r="C1249" s="18" t="s">
        <v>6297</v>
      </c>
      <c r="D1249" s="18" t="s">
        <v>2660</v>
      </c>
      <c r="E1249" s="18" t="s">
        <v>5665</v>
      </c>
    </row>
    <row r="1250">
      <c r="A1250" s="362">
        <v>1249.0</v>
      </c>
      <c r="B1250" s="18" t="s">
        <v>360</v>
      </c>
      <c r="C1250" s="18" t="s">
        <v>6300</v>
      </c>
      <c r="D1250" s="18" t="s">
        <v>287</v>
      </c>
      <c r="E1250" s="18" t="s">
        <v>5665</v>
      </c>
    </row>
    <row r="1251">
      <c r="A1251" s="362">
        <v>1250.0</v>
      </c>
      <c r="B1251" s="18" t="s">
        <v>102</v>
      </c>
      <c r="C1251" s="18" t="s">
        <v>6302</v>
      </c>
      <c r="D1251" s="18" t="s">
        <v>170</v>
      </c>
      <c r="E1251" s="18" t="s">
        <v>5665</v>
      </c>
    </row>
    <row r="1252">
      <c r="A1252" s="362">
        <v>1251.0</v>
      </c>
      <c r="B1252" s="18" t="s">
        <v>102</v>
      </c>
      <c r="C1252" s="18" t="s">
        <v>6304</v>
      </c>
      <c r="D1252" s="18" t="s">
        <v>4867</v>
      </c>
      <c r="E1252" s="18" t="s">
        <v>5665</v>
      </c>
    </row>
    <row r="1253">
      <c r="A1253" s="362">
        <v>1252.0</v>
      </c>
      <c r="B1253" s="18" t="s">
        <v>102</v>
      </c>
      <c r="C1253" s="18" t="s">
        <v>6305</v>
      </c>
      <c r="D1253" s="18" t="s">
        <v>170</v>
      </c>
      <c r="E1253" s="18" t="s">
        <v>5665</v>
      </c>
    </row>
    <row r="1254">
      <c r="A1254" s="362">
        <v>1253.0</v>
      </c>
      <c r="B1254" s="18" t="s">
        <v>102</v>
      </c>
      <c r="C1254" s="18" t="s">
        <v>6306</v>
      </c>
      <c r="D1254" s="18" t="s">
        <v>178</v>
      </c>
      <c r="E1254" s="18" t="s">
        <v>5665</v>
      </c>
    </row>
    <row r="1255">
      <c r="A1255" s="362">
        <v>1254.0</v>
      </c>
      <c r="B1255" s="18" t="s">
        <v>60</v>
      </c>
      <c r="C1255" s="18" t="s">
        <v>6307</v>
      </c>
      <c r="D1255" s="18" t="s">
        <v>58</v>
      </c>
      <c r="E1255" s="18" t="s">
        <v>5665</v>
      </c>
    </row>
    <row r="1256">
      <c r="A1256" s="362">
        <v>1255.0</v>
      </c>
      <c r="B1256" s="18" t="s">
        <v>656</v>
      </c>
      <c r="C1256" s="18" t="s">
        <v>6310</v>
      </c>
      <c r="D1256" s="18" t="s">
        <v>287</v>
      </c>
      <c r="E1256" s="18" t="s">
        <v>5665</v>
      </c>
    </row>
    <row r="1257">
      <c r="A1257" s="362">
        <v>1256.0</v>
      </c>
      <c r="B1257" s="18" t="s">
        <v>134</v>
      </c>
      <c r="C1257" s="18" t="s">
        <v>6314</v>
      </c>
      <c r="D1257" s="18" t="s">
        <v>122</v>
      </c>
      <c r="E1257" s="18" t="s">
        <v>5665</v>
      </c>
    </row>
    <row r="1258">
      <c r="A1258" s="362">
        <v>1257.0</v>
      </c>
      <c r="B1258" s="18" t="s">
        <v>96</v>
      </c>
      <c r="C1258" s="18" t="s">
        <v>144</v>
      </c>
      <c r="D1258" s="18" t="s">
        <v>39</v>
      </c>
      <c r="E1258" s="18" t="s">
        <v>5665</v>
      </c>
    </row>
    <row r="1259">
      <c r="A1259" s="362">
        <v>1258.0</v>
      </c>
      <c r="B1259" s="18" t="s">
        <v>363</v>
      </c>
      <c r="C1259" s="18" t="s">
        <v>6317</v>
      </c>
      <c r="D1259" s="18" t="s">
        <v>6319</v>
      </c>
      <c r="E1259" s="18" t="s">
        <v>5665</v>
      </c>
    </row>
    <row r="1260">
      <c r="A1260" s="362">
        <v>1259.0</v>
      </c>
      <c r="B1260" s="18" t="s">
        <v>62</v>
      </c>
      <c r="C1260" s="18" t="s">
        <v>6321</v>
      </c>
      <c r="D1260" s="18" t="s">
        <v>273</v>
      </c>
      <c r="E1260" s="18" t="s">
        <v>5665</v>
      </c>
    </row>
    <row r="1261">
      <c r="A1261" s="362">
        <v>1260.0</v>
      </c>
      <c r="B1261" s="18" t="s">
        <v>143</v>
      </c>
      <c r="C1261" s="18" t="s">
        <v>6325</v>
      </c>
      <c r="D1261" s="18" t="s">
        <v>314</v>
      </c>
      <c r="E1261" s="18" t="s">
        <v>5665</v>
      </c>
    </row>
    <row r="1262">
      <c r="A1262" s="362">
        <v>1261.0</v>
      </c>
      <c r="B1262" s="18" t="s">
        <v>60</v>
      </c>
      <c r="C1262" s="18" t="s">
        <v>6326</v>
      </c>
      <c r="D1262" s="18" t="s">
        <v>212</v>
      </c>
      <c r="E1262" s="18" t="s">
        <v>5665</v>
      </c>
    </row>
    <row r="1263">
      <c r="A1263" s="362">
        <v>1262.0</v>
      </c>
      <c r="B1263" s="18" t="s">
        <v>143</v>
      </c>
      <c r="C1263" s="18" t="s">
        <v>6330</v>
      </c>
      <c r="D1263" s="18" t="s">
        <v>100</v>
      </c>
      <c r="E1263" s="18" t="s">
        <v>5665</v>
      </c>
    </row>
    <row r="1264">
      <c r="A1264" s="362">
        <v>1263.0</v>
      </c>
      <c r="B1264" s="18" t="s">
        <v>363</v>
      </c>
      <c r="C1264" s="18" t="s">
        <v>6333</v>
      </c>
      <c r="D1264" s="18" t="s">
        <v>106</v>
      </c>
      <c r="E1264" s="18" t="s">
        <v>5665</v>
      </c>
    </row>
    <row r="1265">
      <c r="A1265" s="362">
        <v>1264.0</v>
      </c>
      <c r="B1265" s="18" t="s">
        <v>102</v>
      </c>
      <c r="C1265" s="18" t="s">
        <v>6335</v>
      </c>
      <c r="D1265" s="18" t="s">
        <v>499</v>
      </c>
      <c r="E1265" s="18" t="s">
        <v>5665</v>
      </c>
    </row>
    <row r="1266">
      <c r="A1266" s="362">
        <v>1265.0</v>
      </c>
      <c r="B1266" s="18" t="s">
        <v>363</v>
      </c>
      <c r="C1266" s="18" t="s">
        <v>6337</v>
      </c>
      <c r="D1266" s="18" t="s">
        <v>4114</v>
      </c>
      <c r="E1266" s="18" t="s">
        <v>5665</v>
      </c>
    </row>
    <row r="1267">
      <c r="A1267" s="362">
        <v>1266.0</v>
      </c>
      <c r="B1267" s="18" t="s">
        <v>360</v>
      </c>
      <c r="C1267" s="18" t="s">
        <v>6339</v>
      </c>
      <c r="D1267" s="18" t="s">
        <v>81</v>
      </c>
      <c r="E1267" s="18" t="s">
        <v>5665</v>
      </c>
    </row>
    <row r="1268">
      <c r="A1268" s="362">
        <v>1267.0</v>
      </c>
      <c r="B1268" s="18" t="s">
        <v>36</v>
      </c>
      <c r="C1268" s="18" t="s">
        <v>6345</v>
      </c>
      <c r="D1268" s="18" t="s">
        <v>81</v>
      </c>
      <c r="E1268" s="18" t="s">
        <v>5665</v>
      </c>
    </row>
    <row r="1269">
      <c r="A1269" s="362">
        <v>1268.0</v>
      </c>
      <c r="B1269" s="18" t="s">
        <v>102</v>
      </c>
      <c r="C1269" s="18" t="s">
        <v>6346</v>
      </c>
      <c r="D1269" s="18" t="s">
        <v>106</v>
      </c>
      <c r="E1269" s="18" t="s">
        <v>5665</v>
      </c>
    </row>
    <row r="1270">
      <c r="A1270" s="362">
        <v>1269.0</v>
      </c>
      <c r="B1270" s="18" t="s">
        <v>36</v>
      </c>
      <c r="C1270" s="18" t="s">
        <v>6347</v>
      </c>
      <c r="D1270" s="18" t="s">
        <v>3905</v>
      </c>
      <c r="E1270" s="18" t="s">
        <v>5665</v>
      </c>
    </row>
    <row r="1271">
      <c r="A1271" s="362">
        <v>1270.0</v>
      </c>
      <c r="B1271" s="18" t="s">
        <v>36</v>
      </c>
      <c r="C1271" s="18" t="s">
        <v>6350</v>
      </c>
      <c r="D1271" s="18" t="s">
        <v>170</v>
      </c>
      <c r="E1271" s="18" t="s">
        <v>5665</v>
      </c>
    </row>
    <row r="1272">
      <c r="A1272" s="362">
        <v>1271.0</v>
      </c>
      <c r="B1272" s="18" t="s">
        <v>36</v>
      </c>
      <c r="C1272" s="18" t="s">
        <v>6351</v>
      </c>
      <c r="D1272" s="18" t="s">
        <v>267</v>
      </c>
      <c r="E1272" s="18" t="s">
        <v>5665</v>
      </c>
    </row>
    <row r="1273">
      <c r="A1273" s="362">
        <v>1272.0</v>
      </c>
      <c r="B1273" s="18" t="s">
        <v>102</v>
      </c>
      <c r="C1273" s="18" t="s">
        <v>6354</v>
      </c>
      <c r="D1273" s="18" t="s">
        <v>178</v>
      </c>
      <c r="E1273" s="18" t="s">
        <v>5665</v>
      </c>
    </row>
    <row r="1274">
      <c r="A1274" s="362">
        <v>1273.0</v>
      </c>
      <c r="B1274" s="18" t="s">
        <v>60</v>
      </c>
      <c r="C1274" s="18" t="s">
        <v>6355</v>
      </c>
      <c r="D1274" s="18" t="s">
        <v>1536</v>
      </c>
      <c r="E1274" s="18" t="s">
        <v>5665</v>
      </c>
    </row>
    <row r="1275">
      <c r="A1275" s="362">
        <v>1274.0</v>
      </c>
      <c r="B1275" s="18" t="s">
        <v>60</v>
      </c>
      <c r="C1275" s="18" t="s">
        <v>6356</v>
      </c>
      <c r="D1275" s="18" t="s">
        <v>1536</v>
      </c>
      <c r="E1275" s="18" t="s">
        <v>5665</v>
      </c>
    </row>
    <row r="1276">
      <c r="A1276" s="362">
        <v>1275.0</v>
      </c>
      <c r="B1276" s="18" t="s">
        <v>60</v>
      </c>
      <c r="C1276" s="18" t="s">
        <v>6360</v>
      </c>
      <c r="D1276" s="18" t="s">
        <v>1536</v>
      </c>
      <c r="E1276" s="18" t="s">
        <v>5665</v>
      </c>
    </row>
    <row r="1277">
      <c r="A1277" s="362">
        <v>1276.0</v>
      </c>
      <c r="B1277" s="18" t="s">
        <v>60</v>
      </c>
      <c r="C1277" s="18" t="s">
        <v>6361</v>
      </c>
      <c r="D1277" s="18" t="s">
        <v>786</v>
      </c>
      <c r="E1277" s="18" t="s">
        <v>5665</v>
      </c>
    </row>
    <row r="1278">
      <c r="A1278" s="362">
        <v>1277.0</v>
      </c>
      <c r="B1278" s="18" t="s">
        <v>60</v>
      </c>
      <c r="C1278" s="18" t="s">
        <v>6366</v>
      </c>
      <c r="D1278" s="18" t="s">
        <v>1536</v>
      </c>
      <c r="E1278" s="18" t="s">
        <v>5665</v>
      </c>
    </row>
    <row r="1279">
      <c r="A1279" s="362">
        <v>1278.0</v>
      </c>
      <c r="B1279" s="18" t="s">
        <v>102</v>
      </c>
      <c r="C1279" s="18" t="s">
        <v>6367</v>
      </c>
      <c r="D1279" s="18" t="s">
        <v>119</v>
      </c>
      <c r="E1279" s="18" t="s">
        <v>5665</v>
      </c>
    </row>
    <row r="1280">
      <c r="A1280" s="362">
        <v>1279.0</v>
      </c>
      <c r="B1280" s="18" t="s">
        <v>102</v>
      </c>
      <c r="C1280" s="18" t="s">
        <v>6368</v>
      </c>
      <c r="D1280" s="18" t="s">
        <v>178</v>
      </c>
      <c r="E1280" s="18" t="s">
        <v>5665</v>
      </c>
    </row>
    <row r="1281">
      <c r="A1281" s="362">
        <v>1280.0</v>
      </c>
      <c r="B1281" s="18" t="s">
        <v>60</v>
      </c>
      <c r="C1281" s="18" t="s">
        <v>6370</v>
      </c>
      <c r="D1281" s="18" t="s">
        <v>295</v>
      </c>
      <c r="E1281" s="18" t="s">
        <v>5665</v>
      </c>
    </row>
    <row r="1282">
      <c r="A1282" s="362">
        <v>1281.0</v>
      </c>
      <c r="B1282" s="18" t="s">
        <v>60</v>
      </c>
      <c r="C1282" s="18" t="s">
        <v>6372</v>
      </c>
      <c r="D1282" s="18" t="s">
        <v>1431</v>
      </c>
      <c r="E1282" s="18" t="s">
        <v>5665</v>
      </c>
    </row>
    <row r="1283">
      <c r="A1283" s="362">
        <v>1282.0</v>
      </c>
      <c r="B1283" s="18" t="s">
        <v>504</v>
      </c>
      <c r="C1283" s="18" t="s">
        <v>6376</v>
      </c>
      <c r="D1283" s="18" t="s">
        <v>178</v>
      </c>
      <c r="E1283" s="18" t="s">
        <v>5665</v>
      </c>
    </row>
    <row r="1284">
      <c r="A1284" s="362">
        <v>1283.0</v>
      </c>
      <c r="B1284" s="18" t="s">
        <v>60</v>
      </c>
      <c r="C1284" s="18" t="s">
        <v>6379</v>
      </c>
      <c r="D1284" s="18" t="s">
        <v>1536</v>
      </c>
      <c r="E1284" s="18" t="s">
        <v>5665</v>
      </c>
    </row>
    <row r="1285">
      <c r="A1285" s="362">
        <v>1284.0</v>
      </c>
      <c r="B1285" s="18" t="s">
        <v>102</v>
      </c>
      <c r="C1285" s="18" t="s">
        <v>6383</v>
      </c>
      <c r="D1285" s="18" t="s">
        <v>178</v>
      </c>
      <c r="E1285" s="18" t="s">
        <v>5665</v>
      </c>
    </row>
    <row r="1286">
      <c r="A1286" s="362">
        <v>1285.0</v>
      </c>
      <c r="B1286" s="18" t="s">
        <v>60</v>
      </c>
      <c r="C1286" s="18" t="s">
        <v>6385</v>
      </c>
      <c r="D1286" s="18" t="s">
        <v>1431</v>
      </c>
      <c r="E1286" s="18" t="s">
        <v>5665</v>
      </c>
    </row>
    <row r="1287">
      <c r="A1287" s="362">
        <v>1286.0</v>
      </c>
      <c r="B1287" s="18" t="s">
        <v>360</v>
      </c>
      <c r="C1287" s="18" t="s">
        <v>6387</v>
      </c>
      <c r="D1287" s="18" t="s">
        <v>4271</v>
      </c>
      <c r="E1287" s="18" t="s">
        <v>5665</v>
      </c>
    </row>
    <row r="1288">
      <c r="A1288" s="362">
        <v>1287.0</v>
      </c>
      <c r="B1288" s="18" t="s">
        <v>102</v>
      </c>
      <c r="C1288" s="18" t="s">
        <v>6389</v>
      </c>
      <c r="D1288" s="18" t="s">
        <v>4271</v>
      </c>
      <c r="E1288" s="18" t="s">
        <v>5665</v>
      </c>
    </row>
    <row r="1289">
      <c r="A1289" s="362">
        <v>1288.0</v>
      </c>
      <c r="B1289" s="18" t="s">
        <v>102</v>
      </c>
      <c r="C1289" s="18" t="s">
        <v>6390</v>
      </c>
      <c r="D1289" s="18" t="s">
        <v>194</v>
      </c>
      <c r="E1289" s="18" t="s">
        <v>5665</v>
      </c>
    </row>
    <row r="1290">
      <c r="A1290" s="362">
        <v>1289.0</v>
      </c>
      <c r="B1290" s="18" t="s">
        <v>102</v>
      </c>
      <c r="C1290" s="18" t="s">
        <v>6394</v>
      </c>
      <c r="D1290" s="18" t="s">
        <v>194</v>
      </c>
      <c r="E1290" s="18" t="s">
        <v>5665</v>
      </c>
    </row>
    <row r="1291">
      <c r="A1291" s="362">
        <v>1290.0</v>
      </c>
      <c r="B1291" s="18" t="s">
        <v>360</v>
      </c>
      <c r="C1291" s="18" t="s">
        <v>6399</v>
      </c>
      <c r="D1291" s="18" t="s">
        <v>194</v>
      </c>
      <c r="E1291" s="18" t="s">
        <v>5665</v>
      </c>
    </row>
    <row r="1292">
      <c r="A1292" s="362">
        <v>1291.0</v>
      </c>
      <c r="B1292" s="18" t="s">
        <v>60</v>
      </c>
      <c r="C1292" s="18" t="s">
        <v>6402</v>
      </c>
      <c r="D1292" s="18" t="s">
        <v>6404</v>
      </c>
      <c r="E1292" s="18" t="s">
        <v>5665</v>
      </c>
    </row>
    <row r="1293">
      <c r="A1293" s="362">
        <v>1292.0</v>
      </c>
      <c r="B1293" s="18" t="s">
        <v>60</v>
      </c>
      <c r="C1293" s="18" t="s">
        <v>6406</v>
      </c>
      <c r="D1293" s="18" t="s">
        <v>2331</v>
      </c>
      <c r="E1293" s="18" t="s">
        <v>5665</v>
      </c>
    </row>
    <row r="1294">
      <c r="A1294" s="362">
        <v>1293.0</v>
      </c>
      <c r="B1294" s="18" t="s">
        <v>60</v>
      </c>
      <c r="C1294" s="18" t="s">
        <v>6407</v>
      </c>
      <c r="D1294" s="18" t="s">
        <v>2331</v>
      </c>
      <c r="E1294" s="18" t="s">
        <v>5665</v>
      </c>
    </row>
    <row r="1295">
      <c r="A1295" s="362">
        <v>1294.0</v>
      </c>
      <c r="B1295" s="18" t="s">
        <v>403</v>
      </c>
      <c r="C1295" s="18" t="s">
        <v>6409</v>
      </c>
      <c r="D1295" s="18" t="s">
        <v>178</v>
      </c>
      <c r="E1295" s="18" t="s">
        <v>5665</v>
      </c>
    </row>
    <row r="1296">
      <c r="A1296" s="362">
        <v>1295.0</v>
      </c>
      <c r="B1296" s="18" t="s">
        <v>360</v>
      </c>
      <c r="C1296" s="18" t="s">
        <v>6410</v>
      </c>
      <c r="D1296" s="18" t="s">
        <v>178</v>
      </c>
      <c r="E1296" s="18" t="s">
        <v>5665</v>
      </c>
    </row>
    <row r="1297">
      <c r="A1297" s="362">
        <v>1296.0</v>
      </c>
      <c r="B1297" s="18" t="s">
        <v>60</v>
      </c>
      <c r="C1297" s="18" t="s">
        <v>6415</v>
      </c>
      <c r="D1297" s="18" t="s">
        <v>3168</v>
      </c>
      <c r="E1297" s="18" t="s">
        <v>5665</v>
      </c>
    </row>
    <row r="1298">
      <c r="A1298" s="362">
        <v>1297.0</v>
      </c>
      <c r="B1298" s="18" t="s">
        <v>102</v>
      </c>
      <c r="C1298" s="18" t="s">
        <v>6416</v>
      </c>
      <c r="D1298" s="18" t="s">
        <v>178</v>
      </c>
      <c r="E1298" s="18" t="s">
        <v>5665</v>
      </c>
    </row>
    <row r="1299">
      <c r="A1299" s="362">
        <v>1298.0</v>
      </c>
      <c r="B1299" s="18" t="s">
        <v>60</v>
      </c>
      <c r="C1299" s="18" t="s">
        <v>6419</v>
      </c>
      <c r="D1299" s="18" t="s">
        <v>6420</v>
      </c>
      <c r="E1299" s="18" t="s">
        <v>5665</v>
      </c>
    </row>
    <row r="1300">
      <c r="A1300" s="362">
        <v>1299.0</v>
      </c>
      <c r="B1300" s="18" t="s">
        <v>360</v>
      </c>
      <c r="C1300" s="18" t="s">
        <v>6423</v>
      </c>
      <c r="D1300" s="18" t="s">
        <v>178</v>
      </c>
      <c r="E1300" s="18" t="s">
        <v>5665</v>
      </c>
    </row>
    <row r="1301">
      <c r="A1301" s="362">
        <v>1300.0</v>
      </c>
      <c r="B1301" s="18" t="s">
        <v>60</v>
      </c>
      <c r="C1301" s="18" t="s">
        <v>6424</v>
      </c>
      <c r="D1301" s="18" t="s">
        <v>212</v>
      </c>
      <c r="E1301" s="18" t="s">
        <v>5665</v>
      </c>
    </row>
    <row r="1302">
      <c r="A1302" s="362">
        <v>1301.0</v>
      </c>
      <c r="B1302" s="18" t="s">
        <v>102</v>
      </c>
      <c r="C1302" s="18" t="s">
        <v>6428</v>
      </c>
      <c r="D1302" s="18" t="s">
        <v>178</v>
      </c>
      <c r="E1302" s="18" t="s">
        <v>5665</v>
      </c>
    </row>
    <row r="1303">
      <c r="A1303" s="362">
        <v>1302.0</v>
      </c>
      <c r="B1303" s="18" t="s">
        <v>60</v>
      </c>
      <c r="C1303" s="18" t="s">
        <v>6430</v>
      </c>
      <c r="D1303" s="18" t="s">
        <v>178</v>
      </c>
      <c r="E1303" s="18" t="s">
        <v>5665</v>
      </c>
    </row>
    <row r="1304">
      <c r="A1304" s="362">
        <v>1303.0</v>
      </c>
      <c r="B1304" s="18" t="s">
        <v>60</v>
      </c>
      <c r="C1304" s="18" t="s">
        <v>6432</v>
      </c>
      <c r="D1304" s="18" t="s">
        <v>201</v>
      </c>
      <c r="E1304" s="18" t="s">
        <v>5665</v>
      </c>
    </row>
    <row r="1305">
      <c r="A1305" s="362">
        <v>1304.0</v>
      </c>
      <c r="B1305" s="18" t="s">
        <v>60</v>
      </c>
      <c r="C1305" s="18" t="s">
        <v>6433</v>
      </c>
      <c r="D1305" s="18" t="s">
        <v>201</v>
      </c>
      <c r="E1305" s="18" t="s">
        <v>5665</v>
      </c>
    </row>
    <row r="1306">
      <c r="A1306" s="362">
        <v>1305.0</v>
      </c>
      <c r="B1306" s="18" t="s">
        <v>60</v>
      </c>
      <c r="C1306" s="18" t="s">
        <v>6435</v>
      </c>
      <c r="D1306" s="18" t="s">
        <v>457</v>
      </c>
      <c r="E1306" s="18" t="s">
        <v>5665</v>
      </c>
    </row>
    <row r="1307">
      <c r="A1307" s="362">
        <v>1306.0</v>
      </c>
      <c r="B1307" s="18" t="s">
        <v>102</v>
      </c>
      <c r="C1307" s="18" t="s">
        <v>6438</v>
      </c>
      <c r="D1307" s="18" t="s">
        <v>3811</v>
      </c>
      <c r="E1307" s="18" t="s">
        <v>5665</v>
      </c>
    </row>
    <row r="1308">
      <c r="A1308" s="362">
        <v>1307.0</v>
      </c>
      <c r="B1308" s="18" t="s">
        <v>102</v>
      </c>
      <c r="C1308" s="18" t="s">
        <v>6442</v>
      </c>
      <c r="D1308" s="18" t="s">
        <v>1431</v>
      </c>
      <c r="E1308" s="18" t="s">
        <v>5665</v>
      </c>
    </row>
    <row r="1309">
      <c r="A1309" s="362">
        <v>1308.0</v>
      </c>
      <c r="B1309" s="18" t="s">
        <v>102</v>
      </c>
      <c r="C1309" s="18" t="s">
        <v>6443</v>
      </c>
      <c r="D1309" s="18" t="s">
        <v>170</v>
      </c>
      <c r="E1309" s="18" t="s">
        <v>5665</v>
      </c>
    </row>
    <row r="1310">
      <c r="A1310" s="362">
        <v>1309.0</v>
      </c>
      <c r="B1310" s="18" t="s">
        <v>60</v>
      </c>
      <c r="C1310" s="18" t="s">
        <v>6445</v>
      </c>
      <c r="D1310" s="18" t="s">
        <v>178</v>
      </c>
      <c r="E1310" s="18" t="s">
        <v>5665</v>
      </c>
    </row>
    <row r="1311">
      <c r="A1311" s="362">
        <v>1310.0</v>
      </c>
      <c r="B1311" s="18" t="s">
        <v>96</v>
      </c>
      <c r="C1311" s="18" t="s">
        <v>6446</v>
      </c>
      <c r="D1311" s="18" t="s">
        <v>170</v>
      </c>
      <c r="E1311" s="18" t="s">
        <v>5665</v>
      </c>
    </row>
    <row r="1312">
      <c r="A1312" s="362">
        <v>1311.0</v>
      </c>
      <c r="B1312" s="18" t="s">
        <v>102</v>
      </c>
      <c r="C1312" s="18" t="s">
        <v>6448</v>
      </c>
      <c r="D1312" s="18" t="s">
        <v>3596</v>
      </c>
      <c r="E1312" s="18" t="s">
        <v>5665</v>
      </c>
    </row>
    <row r="1313">
      <c r="A1313" s="362">
        <v>1312.0</v>
      </c>
      <c r="B1313" s="18" t="s">
        <v>360</v>
      </c>
      <c r="C1313" s="18" t="s">
        <v>6449</v>
      </c>
      <c r="D1313" s="18" t="s">
        <v>170</v>
      </c>
      <c r="E1313" s="18" t="s">
        <v>5665</v>
      </c>
    </row>
    <row r="1314">
      <c r="A1314" s="362">
        <v>1313.0</v>
      </c>
      <c r="B1314" s="18" t="s">
        <v>102</v>
      </c>
      <c r="C1314" s="18" t="s">
        <v>6453</v>
      </c>
      <c r="D1314" s="18" t="s">
        <v>119</v>
      </c>
      <c r="E1314" s="18" t="s">
        <v>5665</v>
      </c>
    </row>
    <row r="1315">
      <c r="A1315" s="362">
        <v>1314.0</v>
      </c>
      <c r="B1315" s="18" t="s">
        <v>102</v>
      </c>
      <c r="C1315" s="18" t="s">
        <v>6455</v>
      </c>
      <c r="D1315" s="18" t="s">
        <v>178</v>
      </c>
      <c r="E1315" s="18" t="s">
        <v>5665</v>
      </c>
    </row>
    <row r="1316">
      <c r="A1316" s="362">
        <v>1315.0</v>
      </c>
      <c r="B1316" s="18" t="s">
        <v>102</v>
      </c>
      <c r="C1316" s="18" t="s">
        <v>6458</v>
      </c>
      <c r="D1316" s="18" t="s">
        <v>178</v>
      </c>
      <c r="E1316" s="18" t="s">
        <v>5665</v>
      </c>
    </row>
    <row r="1317">
      <c r="A1317" s="362">
        <v>1316.0</v>
      </c>
      <c r="B1317" s="18" t="s">
        <v>656</v>
      </c>
      <c r="C1317" s="18" t="s">
        <v>6460</v>
      </c>
      <c r="D1317" s="18" t="s">
        <v>201</v>
      </c>
      <c r="E1317" s="18" t="s">
        <v>5665</v>
      </c>
    </row>
    <row r="1318">
      <c r="A1318" s="362">
        <v>1317.0</v>
      </c>
      <c r="B1318" s="18" t="s">
        <v>102</v>
      </c>
      <c r="C1318" s="18" t="s">
        <v>6462</v>
      </c>
      <c r="D1318" s="18" t="s">
        <v>178</v>
      </c>
      <c r="E1318" s="18" t="s">
        <v>5665</v>
      </c>
    </row>
    <row r="1319">
      <c r="A1319" s="362">
        <v>1318.0</v>
      </c>
      <c r="B1319" s="18" t="s">
        <v>102</v>
      </c>
      <c r="C1319" s="18" t="s">
        <v>6464</v>
      </c>
      <c r="D1319" s="18" t="s">
        <v>119</v>
      </c>
      <c r="E1319" s="18" t="s">
        <v>5665</v>
      </c>
    </row>
    <row r="1320">
      <c r="A1320" s="362">
        <v>1319.0</v>
      </c>
      <c r="B1320" s="18" t="s">
        <v>102</v>
      </c>
      <c r="C1320" s="18" t="s">
        <v>6468</v>
      </c>
      <c r="D1320" s="18" t="s">
        <v>3656</v>
      </c>
      <c r="E1320" s="18" t="s">
        <v>5665</v>
      </c>
    </row>
    <row r="1321">
      <c r="A1321" s="362">
        <v>1320.0</v>
      </c>
      <c r="B1321" s="18" t="s">
        <v>326</v>
      </c>
      <c r="C1321" s="18" t="s">
        <v>6471</v>
      </c>
      <c r="D1321" s="18" t="s">
        <v>3656</v>
      </c>
      <c r="E1321" s="18" t="s">
        <v>5665</v>
      </c>
    </row>
    <row r="1322">
      <c r="A1322" s="362">
        <v>1321.0</v>
      </c>
      <c r="B1322" s="18" t="s">
        <v>60</v>
      </c>
      <c r="C1322" s="18" t="s">
        <v>6473</v>
      </c>
      <c r="D1322" s="18" t="s">
        <v>786</v>
      </c>
      <c r="E1322" s="18" t="s">
        <v>5665</v>
      </c>
    </row>
    <row r="1323">
      <c r="A1323" s="362">
        <v>1322.0</v>
      </c>
      <c r="B1323" s="18" t="s">
        <v>60</v>
      </c>
      <c r="C1323" s="18" t="s">
        <v>6476</v>
      </c>
      <c r="D1323" s="18" t="s">
        <v>3761</v>
      </c>
      <c r="E1323" s="18" t="s">
        <v>5665</v>
      </c>
    </row>
    <row r="1324">
      <c r="A1324" s="362">
        <v>1323.0</v>
      </c>
      <c r="B1324" s="18" t="s">
        <v>102</v>
      </c>
      <c r="C1324" s="18" t="s">
        <v>6479</v>
      </c>
      <c r="D1324" s="18" t="s">
        <v>3761</v>
      </c>
      <c r="E1324" s="18" t="s">
        <v>5665</v>
      </c>
    </row>
    <row r="1325">
      <c r="A1325" s="362">
        <v>1324.0</v>
      </c>
      <c r="B1325" s="18" t="s">
        <v>1144</v>
      </c>
      <c r="C1325" s="18" t="s">
        <v>6480</v>
      </c>
      <c r="D1325" s="18" t="s">
        <v>119</v>
      </c>
      <c r="E1325" s="18" t="s">
        <v>5665</v>
      </c>
    </row>
    <row r="1326">
      <c r="A1326" s="362">
        <v>1325.0</v>
      </c>
      <c r="B1326" s="18" t="s">
        <v>102</v>
      </c>
      <c r="C1326" s="18" t="s">
        <v>6483</v>
      </c>
      <c r="D1326" s="18" t="s">
        <v>170</v>
      </c>
      <c r="E1326" s="18" t="s">
        <v>5665</v>
      </c>
    </row>
    <row r="1327">
      <c r="A1327" s="362">
        <v>1326.0</v>
      </c>
      <c r="B1327" s="18" t="s">
        <v>102</v>
      </c>
      <c r="C1327" s="18" t="s">
        <v>6486</v>
      </c>
      <c r="D1327" s="18" t="s">
        <v>1157</v>
      </c>
      <c r="E1327" s="18" t="s">
        <v>5665</v>
      </c>
    </row>
    <row r="1328">
      <c r="A1328" s="362">
        <v>1327.0</v>
      </c>
      <c r="B1328" s="18" t="s">
        <v>102</v>
      </c>
      <c r="C1328" s="18" t="s">
        <v>6489</v>
      </c>
      <c r="D1328" s="18" t="s">
        <v>163</v>
      </c>
      <c r="E1328" s="18" t="s">
        <v>5665</v>
      </c>
    </row>
    <row r="1329">
      <c r="A1329" s="362">
        <v>1328.0</v>
      </c>
      <c r="B1329" s="18" t="s">
        <v>102</v>
      </c>
      <c r="C1329" s="18" t="s">
        <v>6490</v>
      </c>
      <c r="D1329" s="18" t="s">
        <v>1195</v>
      </c>
      <c r="E1329" s="18" t="s">
        <v>5665</v>
      </c>
    </row>
    <row r="1330">
      <c r="A1330" s="362">
        <v>1329.0</v>
      </c>
      <c r="B1330" s="18" t="s">
        <v>60</v>
      </c>
      <c r="C1330" s="18" t="s">
        <v>6491</v>
      </c>
      <c r="D1330" s="18" t="s">
        <v>1157</v>
      </c>
      <c r="E1330" s="18" t="s">
        <v>5665</v>
      </c>
    </row>
    <row r="1331">
      <c r="A1331" s="362">
        <v>1330.0</v>
      </c>
      <c r="B1331" s="18" t="s">
        <v>102</v>
      </c>
      <c r="C1331" s="18" t="s">
        <v>6494</v>
      </c>
      <c r="D1331" s="18" t="s">
        <v>170</v>
      </c>
      <c r="E1331" s="18" t="s">
        <v>5665</v>
      </c>
    </row>
    <row r="1332">
      <c r="A1332" s="362">
        <v>1331.0</v>
      </c>
      <c r="B1332" s="18" t="s">
        <v>102</v>
      </c>
      <c r="C1332" s="18" t="s">
        <v>6497</v>
      </c>
      <c r="D1332" s="18" t="s">
        <v>119</v>
      </c>
      <c r="E1332" s="18" t="s">
        <v>5665</v>
      </c>
    </row>
    <row r="1333">
      <c r="A1333" s="362">
        <v>1332.0</v>
      </c>
      <c r="B1333" s="18" t="s">
        <v>102</v>
      </c>
      <c r="C1333" s="18" t="s">
        <v>6499</v>
      </c>
      <c r="D1333" s="18" t="s">
        <v>3761</v>
      </c>
      <c r="E1333" s="18" t="s">
        <v>5665</v>
      </c>
    </row>
    <row r="1334">
      <c r="A1334" s="362">
        <v>1333.0</v>
      </c>
      <c r="B1334" s="18" t="s">
        <v>102</v>
      </c>
      <c r="C1334" s="18" t="s">
        <v>6501</v>
      </c>
      <c r="D1334" s="18" t="s">
        <v>3761</v>
      </c>
      <c r="E1334" s="18" t="s">
        <v>5665</v>
      </c>
    </row>
    <row r="1335">
      <c r="A1335" s="362">
        <v>1334.0</v>
      </c>
      <c r="B1335" s="18" t="s">
        <v>60</v>
      </c>
      <c r="C1335" s="18" t="s">
        <v>6502</v>
      </c>
      <c r="D1335" s="18" t="s">
        <v>786</v>
      </c>
      <c r="E1335" s="18" t="s">
        <v>5665</v>
      </c>
    </row>
    <row r="1336">
      <c r="A1336" s="362">
        <v>1335.0</v>
      </c>
      <c r="B1336" s="18" t="s">
        <v>363</v>
      </c>
      <c r="C1336" s="18" t="s">
        <v>6503</v>
      </c>
      <c r="D1336" s="18" t="s">
        <v>267</v>
      </c>
      <c r="E1336" s="18" t="s">
        <v>5665</v>
      </c>
    </row>
    <row r="1337">
      <c r="A1337" s="362">
        <v>1336.0</v>
      </c>
      <c r="B1337" s="18" t="s">
        <v>102</v>
      </c>
      <c r="C1337" s="18" t="s">
        <v>6506</v>
      </c>
      <c r="D1337" s="18" t="s">
        <v>119</v>
      </c>
      <c r="E1337" s="18" t="s">
        <v>5665</v>
      </c>
    </row>
    <row r="1338">
      <c r="A1338" s="362">
        <v>1337.0</v>
      </c>
      <c r="B1338" s="18" t="s">
        <v>102</v>
      </c>
      <c r="C1338" s="18" t="s">
        <v>6507</v>
      </c>
      <c r="D1338" s="18" t="s">
        <v>178</v>
      </c>
      <c r="E1338" s="18" t="s">
        <v>5665</v>
      </c>
    </row>
    <row r="1339">
      <c r="A1339" s="362">
        <v>1338.0</v>
      </c>
      <c r="B1339" s="18" t="s">
        <v>102</v>
      </c>
      <c r="C1339" s="18" t="s">
        <v>6509</v>
      </c>
      <c r="D1339" s="18" t="s">
        <v>3596</v>
      </c>
      <c r="E1339" s="18" t="s">
        <v>5665</v>
      </c>
    </row>
    <row r="1340">
      <c r="A1340" s="362">
        <v>1339.0</v>
      </c>
      <c r="B1340" s="18" t="s">
        <v>102</v>
      </c>
      <c r="C1340" s="18" t="s">
        <v>6511</v>
      </c>
      <c r="D1340" s="18" t="s">
        <v>163</v>
      </c>
      <c r="E1340" s="18" t="s">
        <v>5665</v>
      </c>
    </row>
    <row r="1341">
      <c r="A1341" s="362">
        <v>1340.0</v>
      </c>
      <c r="B1341" s="18" t="s">
        <v>60</v>
      </c>
      <c r="C1341" s="18" t="s">
        <v>6515</v>
      </c>
      <c r="D1341" s="18" t="s">
        <v>2986</v>
      </c>
      <c r="E1341" s="18" t="s">
        <v>5665</v>
      </c>
    </row>
    <row r="1342">
      <c r="A1342" s="362">
        <v>1341.0</v>
      </c>
      <c r="B1342" s="18" t="s">
        <v>102</v>
      </c>
      <c r="C1342" s="18" t="s">
        <v>6517</v>
      </c>
      <c r="D1342" s="18" t="s">
        <v>3596</v>
      </c>
      <c r="E1342" s="18" t="s">
        <v>5665</v>
      </c>
    </row>
    <row r="1343">
      <c r="A1343" s="362">
        <v>1342.0</v>
      </c>
      <c r="B1343" s="18" t="s">
        <v>60</v>
      </c>
      <c r="C1343" s="18" t="s">
        <v>6519</v>
      </c>
      <c r="D1343" s="18" t="s">
        <v>139</v>
      </c>
      <c r="E1343" s="18" t="s">
        <v>5665</v>
      </c>
    </row>
    <row r="1344">
      <c r="A1344" s="362">
        <v>1343.0</v>
      </c>
      <c r="B1344" s="18" t="s">
        <v>60</v>
      </c>
      <c r="C1344" s="18" t="s">
        <v>6523</v>
      </c>
      <c r="D1344" s="18" t="s">
        <v>1431</v>
      </c>
      <c r="E1344" s="18" t="s">
        <v>5665</v>
      </c>
    </row>
    <row r="1345">
      <c r="A1345" s="362">
        <v>1344.0</v>
      </c>
      <c r="B1345" s="18" t="s">
        <v>326</v>
      </c>
      <c r="C1345" s="18" t="s">
        <v>6525</v>
      </c>
      <c r="D1345" s="18" t="s">
        <v>201</v>
      </c>
      <c r="E1345" s="18" t="s">
        <v>5665</v>
      </c>
    </row>
    <row r="1346">
      <c r="A1346" s="362">
        <v>1345.0</v>
      </c>
      <c r="B1346" s="18" t="s">
        <v>60</v>
      </c>
      <c r="C1346" s="18" t="s">
        <v>6527</v>
      </c>
      <c r="D1346" s="18" t="s">
        <v>139</v>
      </c>
      <c r="E1346" s="18" t="s">
        <v>5665</v>
      </c>
    </row>
    <row r="1347">
      <c r="A1347" s="362">
        <v>1346.0</v>
      </c>
      <c r="B1347" s="18" t="s">
        <v>60</v>
      </c>
      <c r="C1347" s="18" t="s">
        <v>6529</v>
      </c>
      <c r="D1347" s="18" t="s">
        <v>1431</v>
      </c>
      <c r="E1347" s="18" t="s">
        <v>5665</v>
      </c>
    </row>
    <row r="1348">
      <c r="A1348" s="362">
        <v>1347.0</v>
      </c>
      <c r="B1348" s="18" t="s">
        <v>60</v>
      </c>
      <c r="C1348" s="18" t="s">
        <v>6530</v>
      </c>
      <c r="D1348" s="18" t="s">
        <v>3938</v>
      </c>
      <c r="E1348" s="18" t="s">
        <v>5665</v>
      </c>
    </row>
    <row r="1349">
      <c r="A1349" s="362">
        <v>1348.0</v>
      </c>
      <c r="B1349" s="18" t="s">
        <v>60</v>
      </c>
      <c r="C1349" s="18" t="s">
        <v>6532</v>
      </c>
      <c r="D1349" s="18" t="s">
        <v>4298</v>
      </c>
      <c r="E1349" s="18" t="s">
        <v>5665</v>
      </c>
    </row>
    <row r="1350">
      <c r="A1350" s="362">
        <v>1349.0</v>
      </c>
      <c r="B1350" s="18" t="s">
        <v>60</v>
      </c>
      <c r="C1350" s="18" t="s">
        <v>6534</v>
      </c>
      <c r="D1350" s="18" t="s">
        <v>302</v>
      </c>
      <c r="E1350" s="18" t="s">
        <v>5665</v>
      </c>
    </row>
    <row r="1351">
      <c r="A1351" s="362">
        <v>1350.0</v>
      </c>
      <c r="B1351" s="18" t="s">
        <v>60</v>
      </c>
      <c r="C1351" s="18" t="s">
        <v>6536</v>
      </c>
      <c r="D1351" s="18" t="s">
        <v>58</v>
      </c>
      <c r="E1351" s="18" t="s">
        <v>5665</v>
      </c>
    </row>
    <row r="1352">
      <c r="A1352" s="362">
        <v>1351.0</v>
      </c>
      <c r="B1352" s="18" t="s">
        <v>60</v>
      </c>
      <c r="C1352" s="18" t="s">
        <v>6539</v>
      </c>
      <c r="D1352" s="18" t="s">
        <v>178</v>
      </c>
      <c r="E1352" s="18" t="s">
        <v>5665</v>
      </c>
    </row>
    <row r="1353">
      <c r="A1353" s="362">
        <v>1352.0</v>
      </c>
      <c r="B1353" s="18" t="s">
        <v>360</v>
      </c>
      <c r="C1353" s="18" t="s">
        <v>6540</v>
      </c>
      <c r="D1353" s="18" t="s">
        <v>170</v>
      </c>
      <c r="E1353" s="18" t="s">
        <v>5665</v>
      </c>
    </row>
    <row r="1354">
      <c r="A1354" s="362">
        <v>1353.0</v>
      </c>
      <c r="B1354" s="18" t="s">
        <v>102</v>
      </c>
      <c r="C1354" s="18" t="s">
        <v>6541</v>
      </c>
      <c r="D1354" s="18" t="s">
        <v>3596</v>
      </c>
      <c r="E1354" s="18" t="s">
        <v>5665</v>
      </c>
    </row>
    <row r="1355">
      <c r="A1355" s="362">
        <v>1354.0</v>
      </c>
      <c r="B1355" s="18" t="s">
        <v>363</v>
      </c>
      <c r="C1355" s="18" t="s">
        <v>6545</v>
      </c>
      <c r="D1355" s="18" t="s">
        <v>170</v>
      </c>
      <c r="E1355" s="18" t="s">
        <v>5665</v>
      </c>
    </row>
    <row r="1356">
      <c r="A1356" s="362">
        <v>1355.0</v>
      </c>
      <c r="B1356" s="18" t="s">
        <v>60</v>
      </c>
      <c r="C1356" s="18" t="s">
        <v>6546</v>
      </c>
      <c r="D1356" s="18" t="s">
        <v>58</v>
      </c>
      <c r="E1356" s="18" t="s">
        <v>5665</v>
      </c>
    </row>
    <row r="1357">
      <c r="A1357" s="362">
        <v>1356.0</v>
      </c>
      <c r="B1357" s="18" t="s">
        <v>60</v>
      </c>
      <c r="C1357" s="18" t="s">
        <v>6551</v>
      </c>
      <c r="D1357" s="18" t="s">
        <v>2986</v>
      </c>
      <c r="E1357" s="18" t="s">
        <v>5665</v>
      </c>
    </row>
    <row r="1358">
      <c r="A1358" s="362">
        <v>1357.0</v>
      </c>
      <c r="B1358" s="18" t="s">
        <v>60</v>
      </c>
      <c r="C1358" s="18" t="s">
        <v>6554</v>
      </c>
      <c r="D1358" s="18" t="s">
        <v>2929</v>
      </c>
      <c r="E1358" s="18" t="s">
        <v>5665</v>
      </c>
    </row>
    <row r="1359">
      <c r="A1359" s="362">
        <v>1358.0</v>
      </c>
      <c r="B1359" s="18" t="s">
        <v>656</v>
      </c>
      <c r="C1359" s="18" t="s">
        <v>6557</v>
      </c>
      <c r="D1359" s="18" t="s">
        <v>302</v>
      </c>
      <c r="E1359" s="18" t="s">
        <v>5665</v>
      </c>
    </row>
    <row r="1360">
      <c r="A1360" s="362">
        <v>1359.0</v>
      </c>
      <c r="B1360" s="18" t="s">
        <v>60</v>
      </c>
      <c r="C1360" s="18" t="s">
        <v>6558</v>
      </c>
      <c r="D1360" s="18" t="s">
        <v>178</v>
      </c>
      <c r="E1360" s="18" t="s">
        <v>5665</v>
      </c>
    </row>
    <row r="1361">
      <c r="A1361" s="362">
        <v>1360.0</v>
      </c>
      <c r="B1361" s="18" t="s">
        <v>60</v>
      </c>
      <c r="C1361" s="18" t="s">
        <v>6560</v>
      </c>
      <c r="D1361" s="18" t="s">
        <v>187</v>
      </c>
      <c r="E1361" s="18" t="s">
        <v>5665</v>
      </c>
    </row>
    <row r="1362">
      <c r="A1362" s="362">
        <v>1361.0</v>
      </c>
      <c r="B1362" s="18" t="s">
        <v>60</v>
      </c>
      <c r="C1362" s="18" t="s">
        <v>6563</v>
      </c>
      <c r="D1362" s="18" t="s">
        <v>2986</v>
      </c>
      <c r="E1362" s="18" t="s">
        <v>5665</v>
      </c>
    </row>
    <row r="1363">
      <c r="A1363" s="362">
        <v>1362.0</v>
      </c>
      <c r="B1363" s="18" t="s">
        <v>60</v>
      </c>
      <c r="C1363" s="18" t="s">
        <v>6564</v>
      </c>
      <c r="D1363" s="18" t="s">
        <v>139</v>
      </c>
      <c r="E1363" s="18" t="s">
        <v>5665</v>
      </c>
    </row>
    <row r="1364">
      <c r="A1364" s="362">
        <v>1363.0</v>
      </c>
      <c r="B1364" s="18" t="s">
        <v>60</v>
      </c>
      <c r="C1364" s="18" t="s">
        <v>6566</v>
      </c>
      <c r="D1364" s="18" t="s">
        <v>58</v>
      </c>
      <c r="E1364" s="18" t="s">
        <v>5665</v>
      </c>
    </row>
    <row r="1365">
      <c r="A1365" s="362">
        <v>1364.0</v>
      </c>
      <c r="B1365" s="18" t="s">
        <v>60</v>
      </c>
      <c r="C1365" s="18" t="s">
        <v>6571</v>
      </c>
      <c r="D1365" s="18" t="s">
        <v>321</v>
      </c>
      <c r="E1365" s="18" t="s">
        <v>5665</v>
      </c>
    </row>
    <row r="1366">
      <c r="A1366" s="362">
        <v>1365.0</v>
      </c>
      <c r="B1366" s="18" t="s">
        <v>656</v>
      </c>
      <c r="C1366" s="18" t="s">
        <v>6574</v>
      </c>
      <c r="D1366" s="18" t="s">
        <v>321</v>
      </c>
      <c r="E1366" s="18" t="s">
        <v>5665</v>
      </c>
    </row>
    <row r="1367">
      <c r="A1367" s="362">
        <v>1366.0</v>
      </c>
      <c r="B1367" s="18" t="s">
        <v>60</v>
      </c>
      <c r="C1367" s="18" t="s">
        <v>6575</v>
      </c>
      <c r="D1367" s="18" t="s">
        <v>1924</v>
      </c>
      <c r="E1367" s="18" t="s">
        <v>5665</v>
      </c>
    </row>
    <row r="1368">
      <c r="A1368" s="362">
        <v>1367.0</v>
      </c>
      <c r="B1368" s="18" t="s">
        <v>60</v>
      </c>
      <c r="C1368" s="18" t="s">
        <v>6578</v>
      </c>
      <c r="D1368" s="18" t="s">
        <v>331</v>
      </c>
      <c r="E1368" s="18" t="s">
        <v>5665</v>
      </c>
    </row>
    <row r="1369">
      <c r="A1369" s="362">
        <v>1368.0</v>
      </c>
      <c r="B1369" s="18" t="s">
        <v>102</v>
      </c>
      <c r="C1369" s="18" t="s">
        <v>6579</v>
      </c>
      <c r="D1369" s="18" t="s">
        <v>1345</v>
      </c>
      <c r="E1369" s="18" t="s">
        <v>5665</v>
      </c>
    </row>
    <row r="1370">
      <c r="A1370" s="362">
        <v>1369.0</v>
      </c>
      <c r="B1370" s="18" t="s">
        <v>60</v>
      </c>
      <c r="C1370" s="18" t="s">
        <v>6582</v>
      </c>
      <c r="D1370" s="18" t="s">
        <v>58</v>
      </c>
      <c r="E1370" s="18" t="s">
        <v>5665</v>
      </c>
    </row>
    <row r="1371">
      <c r="A1371" s="362">
        <v>1370.0</v>
      </c>
      <c r="B1371" s="18" t="s">
        <v>60</v>
      </c>
      <c r="C1371" s="18" t="s">
        <v>6583</v>
      </c>
      <c r="D1371" s="18" t="s">
        <v>2986</v>
      </c>
      <c r="E1371" s="18" t="s">
        <v>5665</v>
      </c>
    </row>
    <row r="1372">
      <c r="A1372" s="362">
        <v>1371.0</v>
      </c>
      <c r="B1372" s="18" t="s">
        <v>60</v>
      </c>
      <c r="C1372" s="18" t="s">
        <v>6586</v>
      </c>
      <c r="D1372" s="18" t="s">
        <v>6587</v>
      </c>
      <c r="E1372" s="18" t="s">
        <v>5665</v>
      </c>
    </row>
    <row r="1373">
      <c r="A1373" s="362">
        <v>1372.0</v>
      </c>
      <c r="B1373" s="18" t="s">
        <v>102</v>
      </c>
      <c r="C1373" s="18" t="s">
        <v>6588</v>
      </c>
      <c r="D1373" s="18" t="s">
        <v>1157</v>
      </c>
      <c r="E1373" s="18" t="s">
        <v>5665</v>
      </c>
    </row>
    <row r="1374">
      <c r="A1374" s="362">
        <v>1373.0</v>
      </c>
      <c r="B1374" s="18" t="s">
        <v>102</v>
      </c>
      <c r="C1374" s="18" t="s">
        <v>6590</v>
      </c>
      <c r="D1374" s="18" t="s">
        <v>119</v>
      </c>
      <c r="E1374" s="18" t="s">
        <v>5665</v>
      </c>
    </row>
    <row r="1375">
      <c r="A1375" s="362">
        <v>1374.0</v>
      </c>
      <c r="B1375" s="18" t="s">
        <v>102</v>
      </c>
      <c r="C1375" s="18" t="s">
        <v>6591</v>
      </c>
      <c r="D1375" s="18" t="s">
        <v>119</v>
      </c>
      <c r="E1375" s="18" t="s">
        <v>5665</v>
      </c>
    </row>
    <row r="1376">
      <c r="A1376" s="362">
        <v>1375.0</v>
      </c>
      <c r="B1376" s="18" t="s">
        <v>102</v>
      </c>
      <c r="C1376" s="18" t="s">
        <v>6595</v>
      </c>
      <c r="D1376" s="18" t="s">
        <v>1195</v>
      </c>
      <c r="E1376" s="18" t="s">
        <v>5665</v>
      </c>
    </row>
    <row r="1377">
      <c r="A1377" s="362">
        <v>1376.0</v>
      </c>
      <c r="B1377" s="18" t="s">
        <v>96</v>
      </c>
      <c r="C1377" s="18" t="s">
        <v>6598</v>
      </c>
      <c r="D1377" s="18" t="s">
        <v>1063</v>
      </c>
      <c r="E1377" s="18" t="s">
        <v>5665</v>
      </c>
    </row>
    <row r="1378">
      <c r="A1378" s="362">
        <v>1377.0</v>
      </c>
      <c r="B1378" s="18" t="s">
        <v>143</v>
      </c>
      <c r="C1378" s="18" t="s">
        <v>6600</v>
      </c>
      <c r="D1378" s="18" t="s">
        <v>1088</v>
      </c>
      <c r="E1378" s="18" t="s">
        <v>5665</v>
      </c>
    </row>
    <row r="1379">
      <c r="A1379" s="362">
        <v>1378.0</v>
      </c>
      <c r="B1379" s="18" t="s">
        <v>102</v>
      </c>
      <c r="C1379" s="18" t="s">
        <v>6604</v>
      </c>
      <c r="D1379" s="18" t="s">
        <v>170</v>
      </c>
      <c r="E1379" s="18" t="s">
        <v>5665</v>
      </c>
    </row>
    <row r="1380">
      <c r="A1380" s="362">
        <v>1379.0</v>
      </c>
      <c r="B1380" s="18" t="s">
        <v>62</v>
      </c>
      <c r="C1380" s="18" t="s">
        <v>6609</v>
      </c>
      <c r="D1380" s="18" t="s">
        <v>3148</v>
      </c>
      <c r="E1380" s="18" t="s">
        <v>5665</v>
      </c>
    </row>
    <row r="1381">
      <c r="A1381" s="362">
        <v>1380.0</v>
      </c>
      <c r="B1381" s="18" t="s">
        <v>143</v>
      </c>
      <c r="C1381" s="18" t="s">
        <v>6610</v>
      </c>
      <c r="D1381" s="18" t="s">
        <v>1088</v>
      </c>
      <c r="E1381" s="18" t="s">
        <v>5665</v>
      </c>
    </row>
    <row r="1382">
      <c r="A1382" s="362">
        <v>1381.0</v>
      </c>
      <c r="B1382" s="18" t="s">
        <v>102</v>
      </c>
      <c r="C1382" s="18" t="s">
        <v>6612</v>
      </c>
      <c r="D1382" s="18" t="s">
        <v>178</v>
      </c>
      <c r="E1382" s="18" t="s">
        <v>5665</v>
      </c>
    </row>
    <row r="1383">
      <c r="A1383" s="362">
        <v>1382.0</v>
      </c>
      <c r="B1383" s="18" t="s">
        <v>102</v>
      </c>
      <c r="C1383" s="18" t="s">
        <v>6614</v>
      </c>
      <c r="D1383" s="18" t="s">
        <v>170</v>
      </c>
      <c r="E1383" s="18" t="s">
        <v>5665</v>
      </c>
    </row>
    <row r="1384">
      <c r="A1384" s="362">
        <v>1383.0</v>
      </c>
      <c r="B1384" s="18" t="s">
        <v>102</v>
      </c>
      <c r="C1384" s="18" t="s">
        <v>6616</v>
      </c>
      <c r="D1384" s="18" t="s">
        <v>178</v>
      </c>
      <c r="E1384" s="18" t="s">
        <v>5665</v>
      </c>
    </row>
    <row r="1385">
      <c r="A1385" s="362">
        <v>1384.0</v>
      </c>
      <c r="B1385" s="18" t="s">
        <v>102</v>
      </c>
      <c r="C1385" s="18" t="s">
        <v>5156</v>
      </c>
      <c r="D1385" s="18" t="s">
        <v>178</v>
      </c>
      <c r="E1385" s="18" t="s">
        <v>5665</v>
      </c>
    </row>
    <row r="1386">
      <c r="A1386" s="362">
        <v>1385.0</v>
      </c>
      <c r="B1386" s="18" t="s">
        <v>60</v>
      </c>
      <c r="C1386" s="18" t="s">
        <v>6618</v>
      </c>
      <c r="D1386" s="18" t="s">
        <v>331</v>
      </c>
      <c r="E1386" s="18" t="s">
        <v>5665</v>
      </c>
    </row>
    <row r="1387">
      <c r="A1387" s="362">
        <v>1386.0</v>
      </c>
      <c r="B1387" s="18" t="s">
        <v>60</v>
      </c>
      <c r="C1387" s="18" t="s">
        <v>6622</v>
      </c>
      <c r="D1387" s="18" t="s">
        <v>321</v>
      </c>
      <c r="E1387" s="18" t="s">
        <v>5665</v>
      </c>
    </row>
    <row r="1388">
      <c r="A1388" s="362">
        <v>1387.0</v>
      </c>
      <c r="B1388" s="18" t="s">
        <v>60</v>
      </c>
      <c r="C1388" s="18" t="s">
        <v>6624</v>
      </c>
      <c r="D1388" s="18" t="s">
        <v>2986</v>
      </c>
      <c r="E1388" s="18" t="s">
        <v>5665</v>
      </c>
    </row>
    <row r="1389">
      <c r="A1389" s="362">
        <v>1388.0</v>
      </c>
      <c r="B1389" s="18" t="s">
        <v>60</v>
      </c>
      <c r="C1389" s="18" t="s">
        <v>6625</v>
      </c>
      <c r="D1389" s="18" t="s">
        <v>331</v>
      </c>
      <c r="E1389" s="18" t="s">
        <v>5665</v>
      </c>
    </row>
    <row r="1390">
      <c r="A1390" s="362">
        <v>1389.0</v>
      </c>
      <c r="B1390" s="18" t="s">
        <v>60</v>
      </c>
      <c r="C1390" s="18" t="s">
        <v>6626</v>
      </c>
      <c r="D1390" s="18" t="s">
        <v>139</v>
      </c>
      <c r="E1390" s="18" t="s">
        <v>5665</v>
      </c>
    </row>
    <row r="1391">
      <c r="A1391" s="362">
        <v>1390.0</v>
      </c>
      <c r="B1391" s="18" t="s">
        <v>60</v>
      </c>
      <c r="C1391" s="18" t="s">
        <v>6627</v>
      </c>
      <c r="D1391" s="18" t="s">
        <v>139</v>
      </c>
      <c r="E1391" s="18" t="s">
        <v>5665</v>
      </c>
    </row>
    <row r="1392">
      <c r="A1392" s="362">
        <v>1391.0</v>
      </c>
      <c r="B1392" s="18" t="s">
        <v>656</v>
      </c>
      <c r="C1392" s="18" t="s">
        <v>6630</v>
      </c>
      <c r="D1392" s="18" t="s">
        <v>178</v>
      </c>
      <c r="E1392" s="18" t="s">
        <v>5665</v>
      </c>
    </row>
    <row r="1393">
      <c r="A1393" s="362">
        <v>1392.0</v>
      </c>
      <c r="B1393" s="18" t="s">
        <v>60</v>
      </c>
      <c r="C1393" s="18" t="s">
        <v>6636</v>
      </c>
      <c r="D1393" s="18" t="s">
        <v>287</v>
      </c>
      <c r="E1393" s="18" t="s">
        <v>5665</v>
      </c>
    </row>
    <row r="1394">
      <c r="A1394" s="362">
        <v>1393.0</v>
      </c>
      <c r="B1394" s="18" t="s">
        <v>60</v>
      </c>
      <c r="C1394" s="18" t="s">
        <v>6638</v>
      </c>
      <c r="D1394" s="18" t="s">
        <v>2986</v>
      </c>
      <c r="E1394" s="18" t="s">
        <v>5665</v>
      </c>
    </row>
    <row r="1395">
      <c r="A1395" s="362">
        <v>1394.0</v>
      </c>
      <c r="B1395" s="18" t="s">
        <v>60</v>
      </c>
      <c r="C1395" s="18" t="s">
        <v>6641</v>
      </c>
      <c r="D1395" s="18" t="s">
        <v>187</v>
      </c>
      <c r="E1395" s="18" t="s">
        <v>5665</v>
      </c>
    </row>
    <row r="1396">
      <c r="A1396" s="362">
        <v>1395.0</v>
      </c>
      <c r="B1396" s="18" t="s">
        <v>143</v>
      </c>
      <c r="C1396" s="18" t="s">
        <v>6645</v>
      </c>
      <c r="D1396" s="18" t="s">
        <v>170</v>
      </c>
      <c r="E1396" s="18" t="s">
        <v>5665</v>
      </c>
    </row>
    <row r="1397">
      <c r="A1397" s="362">
        <v>1396.0</v>
      </c>
      <c r="B1397" s="18" t="s">
        <v>60</v>
      </c>
      <c r="C1397" s="18" t="s">
        <v>6647</v>
      </c>
      <c r="D1397" s="18" t="s">
        <v>321</v>
      </c>
      <c r="E1397" s="18" t="s">
        <v>5665</v>
      </c>
    </row>
    <row r="1398">
      <c r="A1398" s="362">
        <v>1397.0</v>
      </c>
      <c r="B1398" s="18" t="s">
        <v>60</v>
      </c>
      <c r="C1398" s="18" t="s">
        <v>6650</v>
      </c>
      <c r="D1398" s="18" t="s">
        <v>321</v>
      </c>
      <c r="E1398" s="18" t="s">
        <v>5665</v>
      </c>
    </row>
    <row r="1399">
      <c r="A1399" s="362">
        <v>1398.0</v>
      </c>
      <c r="B1399" s="18" t="s">
        <v>96</v>
      </c>
      <c r="C1399" s="18" t="s">
        <v>6652</v>
      </c>
      <c r="D1399" s="18" t="s">
        <v>106</v>
      </c>
      <c r="E1399" s="18" t="s">
        <v>5665</v>
      </c>
    </row>
    <row r="1400">
      <c r="A1400" s="362">
        <v>1399.0</v>
      </c>
      <c r="B1400" s="18" t="s">
        <v>36</v>
      </c>
      <c r="C1400" s="18" t="s">
        <v>6654</v>
      </c>
      <c r="D1400" s="18" t="s">
        <v>81</v>
      </c>
      <c r="E1400" s="18" t="s">
        <v>5665</v>
      </c>
    </row>
    <row r="1401">
      <c r="A1401" s="362">
        <v>1400.0</v>
      </c>
      <c r="B1401" s="18" t="s">
        <v>62</v>
      </c>
      <c r="C1401" s="18" t="s">
        <v>6656</v>
      </c>
      <c r="D1401" s="18" t="s">
        <v>81</v>
      </c>
      <c r="E1401" s="18" t="s">
        <v>5665</v>
      </c>
    </row>
    <row r="1402">
      <c r="A1402" s="362">
        <v>1401.0</v>
      </c>
      <c r="B1402" s="18" t="s">
        <v>96</v>
      </c>
      <c r="C1402" s="18" t="s">
        <v>6658</v>
      </c>
      <c r="D1402" s="18" t="s">
        <v>6319</v>
      </c>
      <c r="E1402" s="18" t="s">
        <v>5665</v>
      </c>
    </row>
    <row r="1403">
      <c r="A1403" s="362">
        <v>1402.0</v>
      </c>
      <c r="B1403" s="18" t="s">
        <v>62</v>
      </c>
      <c r="C1403" s="18" t="s">
        <v>6661</v>
      </c>
      <c r="D1403" s="18" t="s">
        <v>68</v>
      </c>
      <c r="E1403" s="18" t="s">
        <v>5665</v>
      </c>
    </row>
    <row r="1404">
      <c r="A1404" s="362">
        <v>1403.0</v>
      </c>
      <c r="B1404" s="18" t="s">
        <v>36</v>
      </c>
      <c r="C1404" s="18" t="s">
        <v>6665</v>
      </c>
      <c r="D1404" s="18" t="s">
        <v>39</v>
      </c>
      <c r="E1404" s="18" t="s">
        <v>5665</v>
      </c>
    </row>
    <row r="1405">
      <c r="A1405" s="362">
        <v>1404.0</v>
      </c>
      <c r="B1405" s="18" t="s">
        <v>36</v>
      </c>
      <c r="C1405" s="18" t="s">
        <v>6670</v>
      </c>
      <c r="D1405" s="18" t="s">
        <v>106</v>
      </c>
      <c r="E1405" s="18" t="s">
        <v>5665</v>
      </c>
    </row>
    <row r="1406">
      <c r="A1406" s="362">
        <v>1405.0</v>
      </c>
      <c r="B1406" s="18" t="s">
        <v>360</v>
      </c>
      <c r="C1406" s="18" t="s">
        <v>6671</v>
      </c>
      <c r="D1406" s="18" t="s">
        <v>119</v>
      </c>
      <c r="E1406" s="18" t="s">
        <v>5665</v>
      </c>
    </row>
    <row r="1407">
      <c r="A1407" s="362">
        <v>1406.0</v>
      </c>
      <c r="B1407" s="18" t="s">
        <v>102</v>
      </c>
      <c r="C1407" s="18" t="s">
        <v>6672</v>
      </c>
      <c r="D1407" s="18" t="s">
        <v>570</v>
      </c>
      <c r="E1407" s="18" t="s">
        <v>5665</v>
      </c>
    </row>
    <row r="1408">
      <c r="A1408" s="362">
        <v>1407.0</v>
      </c>
      <c r="B1408" s="18" t="s">
        <v>102</v>
      </c>
      <c r="C1408" s="18" t="s">
        <v>6674</v>
      </c>
      <c r="D1408" s="18" t="s">
        <v>499</v>
      </c>
      <c r="E1408" s="18" t="s">
        <v>5665</v>
      </c>
    </row>
    <row r="1409">
      <c r="A1409" s="362">
        <v>1408.0</v>
      </c>
      <c r="B1409" s="18" t="s">
        <v>102</v>
      </c>
      <c r="C1409" s="18" t="s">
        <v>6676</v>
      </c>
      <c r="D1409" s="18" t="s">
        <v>570</v>
      </c>
      <c r="E1409" s="18" t="s">
        <v>5665</v>
      </c>
    </row>
    <row r="1410">
      <c r="A1410" s="362">
        <v>1409.0</v>
      </c>
      <c r="B1410" s="18" t="s">
        <v>102</v>
      </c>
      <c r="C1410" s="18" t="s">
        <v>6681</v>
      </c>
      <c r="D1410" s="18" t="s">
        <v>570</v>
      </c>
      <c r="E1410" s="18" t="s">
        <v>5665</v>
      </c>
    </row>
    <row r="1411">
      <c r="A1411" s="362">
        <v>1410.0</v>
      </c>
      <c r="B1411" s="18" t="s">
        <v>102</v>
      </c>
      <c r="C1411" s="18" t="s">
        <v>6684</v>
      </c>
      <c r="D1411" s="18" t="s">
        <v>570</v>
      </c>
      <c r="E1411" s="18" t="s">
        <v>5665</v>
      </c>
    </row>
    <row r="1412">
      <c r="A1412" s="362">
        <v>1411.0</v>
      </c>
      <c r="B1412" s="18" t="s">
        <v>102</v>
      </c>
      <c r="C1412" s="18" t="s">
        <v>6688</v>
      </c>
      <c r="D1412" s="18" t="s">
        <v>570</v>
      </c>
      <c r="E1412" s="18" t="s">
        <v>5665</v>
      </c>
    </row>
    <row r="1413">
      <c r="A1413" s="362">
        <v>1412.0</v>
      </c>
      <c r="B1413" s="18" t="s">
        <v>60</v>
      </c>
      <c r="C1413" s="18" t="s">
        <v>6690</v>
      </c>
      <c r="D1413" s="18" t="s">
        <v>570</v>
      </c>
      <c r="E1413" s="18" t="s">
        <v>5665</v>
      </c>
    </row>
    <row r="1414">
      <c r="A1414" s="362">
        <v>1413.0</v>
      </c>
      <c r="B1414" s="18" t="s">
        <v>60</v>
      </c>
      <c r="C1414" s="18" t="s">
        <v>6693</v>
      </c>
      <c r="D1414" s="18" t="s">
        <v>570</v>
      </c>
      <c r="E1414" s="18" t="s">
        <v>5665</v>
      </c>
    </row>
    <row r="1415">
      <c r="A1415" s="362">
        <v>1414.0</v>
      </c>
      <c r="B1415" s="18" t="s">
        <v>102</v>
      </c>
      <c r="C1415" s="18" t="s">
        <v>6695</v>
      </c>
      <c r="D1415" s="18" t="s">
        <v>1157</v>
      </c>
      <c r="E1415" s="18" t="s">
        <v>5665</v>
      </c>
    </row>
    <row r="1416">
      <c r="A1416" s="362">
        <v>1415.0</v>
      </c>
      <c r="B1416" s="18" t="s">
        <v>60</v>
      </c>
      <c r="C1416" s="18" t="s">
        <v>6696</v>
      </c>
      <c r="D1416" s="18" t="s">
        <v>295</v>
      </c>
      <c r="E1416" s="18" t="s">
        <v>5665</v>
      </c>
    </row>
    <row r="1417">
      <c r="A1417" s="362">
        <v>1416.0</v>
      </c>
      <c r="B1417" s="18" t="s">
        <v>60</v>
      </c>
      <c r="C1417" s="18" t="s">
        <v>6697</v>
      </c>
      <c r="D1417" s="18" t="s">
        <v>139</v>
      </c>
      <c r="E1417" s="18" t="s">
        <v>5665</v>
      </c>
    </row>
    <row r="1418">
      <c r="A1418" s="362">
        <v>1417.0</v>
      </c>
      <c r="B1418" s="18" t="s">
        <v>102</v>
      </c>
      <c r="C1418" s="18" t="s">
        <v>6698</v>
      </c>
      <c r="D1418" s="18" t="s">
        <v>1195</v>
      </c>
      <c r="E1418" s="18" t="s">
        <v>5665</v>
      </c>
    </row>
    <row r="1419">
      <c r="A1419" s="362">
        <v>1418.0</v>
      </c>
      <c r="B1419" s="18" t="s">
        <v>102</v>
      </c>
      <c r="C1419" s="18" t="s">
        <v>6699</v>
      </c>
      <c r="D1419" s="18" t="s">
        <v>3596</v>
      </c>
      <c r="E1419" s="18" t="s">
        <v>5665</v>
      </c>
    </row>
    <row r="1420">
      <c r="A1420" s="362">
        <v>1419.0</v>
      </c>
      <c r="B1420" s="18" t="s">
        <v>60</v>
      </c>
      <c r="C1420" s="18" t="s">
        <v>6701</v>
      </c>
      <c r="D1420" s="18" t="s">
        <v>119</v>
      </c>
      <c r="E1420" s="18" t="s">
        <v>5665</v>
      </c>
    </row>
    <row r="1421">
      <c r="A1421" s="362">
        <v>1420.0</v>
      </c>
      <c r="B1421" s="18" t="s">
        <v>60</v>
      </c>
      <c r="C1421" s="18" t="s">
        <v>6703</v>
      </c>
      <c r="D1421" s="18" t="s">
        <v>4217</v>
      </c>
      <c r="E1421" s="18" t="s">
        <v>5665</v>
      </c>
    </row>
    <row r="1422">
      <c r="A1422" s="362">
        <v>1421.0</v>
      </c>
      <c r="B1422" s="18" t="s">
        <v>326</v>
      </c>
      <c r="C1422" s="18" t="s">
        <v>6706</v>
      </c>
      <c r="D1422" s="18" t="s">
        <v>302</v>
      </c>
      <c r="E1422" s="18" t="s">
        <v>5665</v>
      </c>
    </row>
    <row r="1423">
      <c r="A1423" s="362">
        <v>1422.0</v>
      </c>
      <c r="B1423" s="18" t="s">
        <v>102</v>
      </c>
      <c r="C1423" s="18" t="s">
        <v>6708</v>
      </c>
      <c r="D1423" s="18" t="s">
        <v>1157</v>
      </c>
      <c r="E1423" s="18" t="s">
        <v>5665</v>
      </c>
    </row>
    <row r="1424">
      <c r="A1424" s="362">
        <v>1423.0</v>
      </c>
      <c r="B1424" s="18" t="s">
        <v>102</v>
      </c>
      <c r="C1424" s="18" t="s">
        <v>6709</v>
      </c>
      <c r="D1424" s="18" t="s">
        <v>119</v>
      </c>
      <c r="E1424" s="18" t="s">
        <v>5665</v>
      </c>
    </row>
    <row r="1425">
      <c r="A1425" s="362">
        <v>1424.0</v>
      </c>
      <c r="B1425" s="18" t="s">
        <v>102</v>
      </c>
      <c r="C1425" s="18" t="s">
        <v>6713</v>
      </c>
      <c r="D1425" s="18" t="s">
        <v>178</v>
      </c>
      <c r="E1425" s="18" t="s">
        <v>5665</v>
      </c>
    </row>
    <row r="1426">
      <c r="A1426" s="362">
        <v>1425.0</v>
      </c>
      <c r="B1426" s="18" t="s">
        <v>102</v>
      </c>
      <c r="C1426" s="18" t="s">
        <v>6715</v>
      </c>
      <c r="D1426" s="18" t="s">
        <v>178</v>
      </c>
      <c r="E1426" s="18" t="s">
        <v>5665</v>
      </c>
    </row>
    <row r="1427">
      <c r="A1427" s="362">
        <v>1426.0</v>
      </c>
      <c r="B1427" s="18" t="s">
        <v>102</v>
      </c>
      <c r="C1427" s="18" t="s">
        <v>6717</v>
      </c>
      <c r="D1427" s="18" t="s">
        <v>119</v>
      </c>
      <c r="E1427" s="18" t="s">
        <v>5665</v>
      </c>
    </row>
    <row r="1428">
      <c r="A1428" s="362">
        <v>1427.0</v>
      </c>
      <c r="B1428" s="18" t="s">
        <v>102</v>
      </c>
      <c r="C1428" s="18" t="s">
        <v>6720</v>
      </c>
      <c r="D1428" s="18" t="s">
        <v>1157</v>
      </c>
      <c r="E1428" s="18" t="s">
        <v>5665</v>
      </c>
    </row>
    <row r="1429">
      <c r="A1429" s="362">
        <v>1428.0</v>
      </c>
      <c r="B1429" s="18" t="s">
        <v>326</v>
      </c>
      <c r="C1429" s="18" t="s">
        <v>6722</v>
      </c>
      <c r="D1429" s="18" t="s">
        <v>119</v>
      </c>
      <c r="E1429" s="18" t="s">
        <v>5665</v>
      </c>
    </row>
    <row r="1430">
      <c r="A1430" s="362">
        <v>1429.0</v>
      </c>
      <c r="B1430" s="18" t="s">
        <v>102</v>
      </c>
      <c r="C1430" s="18" t="s">
        <v>6723</v>
      </c>
      <c r="D1430" s="18" t="s">
        <v>4233</v>
      </c>
      <c r="E1430" s="18" t="s">
        <v>5665</v>
      </c>
    </row>
    <row r="1431">
      <c r="A1431" s="362">
        <v>1430.0</v>
      </c>
      <c r="B1431" s="18" t="s">
        <v>102</v>
      </c>
      <c r="C1431" s="18" t="s">
        <v>6724</v>
      </c>
      <c r="D1431" s="18" t="s">
        <v>3596</v>
      </c>
      <c r="E1431" s="18" t="s">
        <v>5665</v>
      </c>
    </row>
    <row r="1432">
      <c r="A1432" s="362">
        <v>1431.0</v>
      </c>
      <c r="B1432" s="18" t="s">
        <v>102</v>
      </c>
      <c r="C1432" s="18" t="s">
        <v>6729</v>
      </c>
      <c r="D1432" s="18" t="s">
        <v>212</v>
      </c>
      <c r="E1432" s="18" t="s">
        <v>5665</v>
      </c>
    </row>
    <row r="1433">
      <c r="A1433" s="362">
        <v>1432.0</v>
      </c>
      <c r="B1433" s="18" t="s">
        <v>360</v>
      </c>
      <c r="C1433" s="18" t="s">
        <v>6731</v>
      </c>
      <c r="D1433" s="18" t="s">
        <v>178</v>
      </c>
      <c r="E1433" s="18" t="s">
        <v>5665</v>
      </c>
    </row>
    <row r="1434">
      <c r="A1434" s="362">
        <v>1433.0</v>
      </c>
      <c r="B1434" s="18" t="s">
        <v>60</v>
      </c>
      <c r="C1434" s="18" t="s">
        <v>6734</v>
      </c>
      <c r="D1434" s="18" t="s">
        <v>1536</v>
      </c>
      <c r="E1434" s="18" t="s">
        <v>5665</v>
      </c>
    </row>
    <row r="1435">
      <c r="A1435" s="362">
        <v>1434.0</v>
      </c>
      <c r="B1435" s="18" t="s">
        <v>60</v>
      </c>
      <c r="C1435" s="18" t="s">
        <v>6736</v>
      </c>
      <c r="D1435" s="18" t="s">
        <v>178</v>
      </c>
      <c r="E1435" s="18" t="s">
        <v>5665</v>
      </c>
    </row>
    <row r="1436">
      <c r="A1436" s="362">
        <v>1435.0</v>
      </c>
      <c r="B1436" s="18" t="s">
        <v>60</v>
      </c>
      <c r="C1436" s="18" t="s">
        <v>6738</v>
      </c>
      <c r="D1436" s="18" t="s">
        <v>4233</v>
      </c>
      <c r="E1436" s="18" t="s">
        <v>5665</v>
      </c>
    </row>
    <row r="1437">
      <c r="A1437" s="362">
        <v>1436.0</v>
      </c>
      <c r="B1437" s="18" t="s">
        <v>360</v>
      </c>
      <c r="C1437" s="18" t="s">
        <v>6740</v>
      </c>
      <c r="D1437" s="18" t="s">
        <v>1345</v>
      </c>
      <c r="E1437" s="18" t="s">
        <v>5665</v>
      </c>
    </row>
    <row r="1438">
      <c r="A1438" s="362">
        <v>1437.0</v>
      </c>
      <c r="B1438" s="18" t="s">
        <v>102</v>
      </c>
      <c r="C1438" s="18" t="s">
        <v>6741</v>
      </c>
      <c r="D1438" s="18" t="s">
        <v>178</v>
      </c>
      <c r="E1438" s="18" t="s">
        <v>5665</v>
      </c>
    </row>
    <row r="1439">
      <c r="A1439" s="362">
        <v>1438.0</v>
      </c>
      <c r="B1439" s="18" t="s">
        <v>102</v>
      </c>
      <c r="C1439" s="18" t="s">
        <v>6742</v>
      </c>
      <c r="D1439" s="18" t="s">
        <v>170</v>
      </c>
      <c r="E1439" s="18" t="s">
        <v>5665</v>
      </c>
    </row>
    <row r="1440">
      <c r="A1440" s="362">
        <v>1439.0</v>
      </c>
      <c r="B1440" s="18" t="s">
        <v>60</v>
      </c>
      <c r="C1440" s="18" t="s">
        <v>6744</v>
      </c>
      <c r="D1440" s="18" t="s">
        <v>1345</v>
      </c>
      <c r="E1440" s="18" t="s">
        <v>5665</v>
      </c>
    </row>
    <row r="1441">
      <c r="A1441" s="362">
        <v>1440.0</v>
      </c>
      <c r="B1441" s="18" t="s">
        <v>60</v>
      </c>
      <c r="C1441" s="18" t="s">
        <v>6747</v>
      </c>
      <c r="D1441" s="18" t="s">
        <v>4662</v>
      </c>
      <c r="E1441" s="18" t="s">
        <v>5665</v>
      </c>
    </row>
    <row r="1442">
      <c r="A1442" s="362">
        <v>1441.0</v>
      </c>
      <c r="B1442" s="18" t="s">
        <v>60</v>
      </c>
      <c r="C1442" s="18" t="s">
        <v>6750</v>
      </c>
      <c r="D1442" s="18" t="s">
        <v>178</v>
      </c>
      <c r="E1442" s="18" t="s">
        <v>5665</v>
      </c>
    </row>
    <row r="1443">
      <c r="A1443" s="362">
        <v>1442.0</v>
      </c>
      <c r="B1443" s="18" t="s">
        <v>60</v>
      </c>
      <c r="C1443" s="18" t="s">
        <v>6752</v>
      </c>
      <c r="D1443" s="18" t="s">
        <v>178</v>
      </c>
      <c r="E1443" s="18" t="s">
        <v>5665</v>
      </c>
    </row>
    <row r="1444">
      <c r="A1444" s="362">
        <v>1443.0</v>
      </c>
      <c r="B1444" s="18" t="s">
        <v>60</v>
      </c>
      <c r="C1444" s="18" t="s">
        <v>6755</v>
      </c>
      <c r="D1444" s="18" t="s">
        <v>178</v>
      </c>
      <c r="E1444" s="18" t="s">
        <v>5665</v>
      </c>
    </row>
    <row r="1445">
      <c r="A1445" s="362">
        <v>1444.0</v>
      </c>
      <c r="B1445" s="18" t="s">
        <v>102</v>
      </c>
      <c r="C1445" s="18" t="s">
        <v>6757</v>
      </c>
      <c r="D1445" s="18" t="s">
        <v>178</v>
      </c>
      <c r="E1445" s="18" t="s">
        <v>5665</v>
      </c>
    </row>
    <row r="1446">
      <c r="A1446" s="362">
        <v>1445.0</v>
      </c>
      <c r="B1446" s="18" t="s">
        <v>102</v>
      </c>
      <c r="C1446" s="18" t="s">
        <v>6759</v>
      </c>
      <c r="D1446" s="18" t="s">
        <v>194</v>
      </c>
      <c r="E1446" s="18" t="s">
        <v>5665</v>
      </c>
    </row>
    <row r="1447">
      <c r="A1447" s="362">
        <v>1446.0</v>
      </c>
      <c r="B1447" s="18" t="s">
        <v>102</v>
      </c>
      <c r="C1447" s="18" t="s">
        <v>6761</v>
      </c>
      <c r="D1447" s="18" t="s">
        <v>170</v>
      </c>
      <c r="E1447" s="18" t="s">
        <v>5665</v>
      </c>
    </row>
    <row r="1448">
      <c r="A1448" s="362">
        <v>1447.0</v>
      </c>
      <c r="B1448" s="18" t="s">
        <v>60</v>
      </c>
      <c r="C1448" s="18" t="s">
        <v>6763</v>
      </c>
      <c r="D1448" s="18" t="s">
        <v>302</v>
      </c>
      <c r="E1448" s="18" t="s">
        <v>5665</v>
      </c>
    </row>
    <row r="1449">
      <c r="A1449" s="362">
        <v>1448.0</v>
      </c>
      <c r="B1449" s="18" t="s">
        <v>60</v>
      </c>
      <c r="C1449" s="18" t="s">
        <v>6764</v>
      </c>
      <c r="D1449" s="18" t="s">
        <v>4298</v>
      </c>
      <c r="E1449" s="18" t="s">
        <v>5665</v>
      </c>
    </row>
    <row r="1450">
      <c r="A1450" s="362">
        <v>1449.0</v>
      </c>
      <c r="B1450" s="18" t="s">
        <v>60</v>
      </c>
      <c r="C1450" s="18" t="s">
        <v>6765</v>
      </c>
      <c r="D1450" s="18" t="s">
        <v>331</v>
      </c>
      <c r="E1450" s="18" t="s">
        <v>5665</v>
      </c>
    </row>
    <row r="1451">
      <c r="A1451" s="362">
        <v>1450.0</v>
      </c>
      <c r="B1451" s="18" t="s">
        <v>60</v>
      </c>
      <c r="C1451" s="18" t="s">
        <v>6766</v>
      </c>
      <c r="D1451" s="18" t="s">
        <v>58</v>
      </c>
      <c r="E1451" s="18" t="s">
        <v>5665</v>
      </c>
    </row>
    <row r="1452">
      <c r="A1452" s="362">
        <v>1451.0</v>
      </c>
      <c r="B1452" s="18" t="s">
        <v>60</v>
      </c>
      <c r="C1452" s="18" t="s">
        <v>6770</v>
      </c>
      <c r="D1452" s="18" t="s">
        <v>187</v>
      </c>
      <c r="E1452" s="18" t="s">
        <v>5665</v>
      </c>
    </row>
    <row r="1453">
      <c r="A1453" s="362">
        <v>1452.0</v>
      </c>
      <c r="B1453" s="18" t="s">
        <v>60</v>
      </c>
      <c r="C1453" s="18" t="s">
        <v>6771</v>
      </c>
      <c r="D1453" s="18" t="s">
        <v>4753</v>
      </c>
      <c r="E1453" s="18" t="s">
        <v>5665</v>
      </c>
    </row>
    <row r="1454">
      <c r="A1454" s="362">
        <v>1453.0</v>
      </c>
      <c r="B1454" s="18" t="s">
        <v>60</v>
      </c>
      <c r="C1454" s="18" t="s">
        <v>6774</v>
      </c>
      <c r="D1454" s="18" t="s">
        <v>139</v>
      </c>
      <c r="E1454" s="18" t="s">
        <v>5665</v>
      </c>
    </row>
    <row r="1455">
      <c r="A1455" s="362">
        <v>1454.0</v>
      </c>
      <c r="B1455" s="18" t="s">
        <v>60</v>
      </c>
      <c r="C1455" s="18" t="s">
        <v>6775</v>
      </c>
      <c r="D1455" s="18" t="s">
        <v>287</v>
      </c>
      <c r="E1455" s="18" t="s">
        <v>5665</v>
      </c>
    </row>
    <row r="1456">
      <c r="A1456" s="362">
        <v>1455.0</v>
      </c>
      <c r="B1456" s="18" t="s">
        <v>60</v>
      </c>
      <c r="C1456" s="18" t="s">
        <v>6776</v>
      </c>
      <c r="D1456" s="18" t="s">
        <v>178</v>
      </c>
      <c r="E1456" s="18" t="s">
        <v>5665</v>
      </c>
    </row>
    <row r="1457">
      <c r="A1457" s="362">
        <v>1456.0</v>
      </c>
      <c r="B1457" s="18" t="s">
        <v>656</v>
      </c>
      <c r="C1457" s="18" t="s">
        <v>6777</v>
      </c>
      <c r="D1457" s="18" t="s">
        <v>139</v>
      </c>
      <c r="E1457" s="18" t="s">
        <v>5665</v>
      </c>
    </row>
    <row r="1458">
      <c r="A1458" s="362">
        <v>1457.0</v>
      </c>
      <c r="B1458" s="18" t="s">
        <v>60</v>
      </c>
      <c r="C1458" s="18" t="s">
        <v>6779</v>
      </c>
      <c r="D1458" s="18" t="s">
        <v>331</v>
      </c>
      <c r="E1458" s="18" t="s">
        <v>5665</v>
      </c>
    </row>
    <row r="1459">
      <c r="A1459" s="362">
        <v>1458.0</v>
      </c>
      <c r="B1459" s="18" t="s">
        <v>60</v>
      </c>
      <c r="C1459" s="18" t="s">
        <v>6780</v>
      </c>
      <c r="D1459" s="18" t="s">
        <v>3078</v>
      </c>
      <c r="E1459" s="18" t="s">
        <v>5665</v>
      </c>
    </row>
    <row r="1460">
      <c r="A1460" s="362">
        <v>1459.0</v>
      </c>
      <c r="B1460" s="18" t="s">
        <v>60</v>
      </c>
      <c r="C1460" s="18" t="s">
        <v>6782</v>
      </c>
      <c r="D1460" s="18" t="s">
        <v>2929</v>
      </c>
      <c r="E1460" s="18" t="s">
        <v>5665</v>
      </c>
    </row>
    <row r="1461">
      <c r="A1461" s="362">
        <v>1460.0</v>
      </c>
      <c r="B1461" s="18" t="s">
        <v>102</v>
      </c>
      <c r="C1461" s="18" t="s">
        <v>6785</v>
      </c>
      <c r="D1461" s="18" t="s">
        <v>331</v>
      </c>
      <c r="E1461" s="18" t="s">
        <v>5665</v>
      </c>
    </row>
    <row r="1462">
      <c r="A1462" s="362">
        <v>1461.0</v>
      </c>
      <c r="B1462" s="18" t="s">
        <v>60</v>
      </c>
      <c r="C1462" s="18" t="s">
        <v>6787</v>
      </c>
      <c r="D1462" s="18" t="s">
        <v>287</v>
      </c>
      <c r="E1462" s="18" t="s">
        <v>5665</v>
      </c>
    </row>
    <row r="1463">
      <c r="A1463" s="362">
        <v>1462.0</v>
      </c>
      <c r="B1463" s="18" t="s">
        <v>102</v>
      </c>
      <c r="C1463" s="18" t="s">
        <v>6788</v>
      </c>
      <c r="D1463" s="18" t="s">
        <v>119</v>
      </c>
      <c r="E1463" s="18" t="s">
        <v>5665</v>
      </c>
    </row>
    <row r="1464">
      <c r="A1464" s="362">
        <v>1463.0</v>
      </c>
      <c r="B1464" s="18" t="s">
        <v>60</v>
      </c>
      <c r="C1464" s="18" t="s">
        <v>6791</v>
      </c>
      <c r="D1464" s="18" t="s">
        <v>6792</v>
      </c>
      <c r="E1464" s="18" t="s">
        <v>5665</v>
      </c>
    </row>
    <row r="1465">
      <c r="A1465" s="362">
        <v>1464.0</v>
      </c>
      <c r="B1465" s="18" t="s">
        <v>96</v>
      </c>
      <c r="C1465" s="18" t="s">
        <v>6794</v>
      </c>
      <c r="D1465" s="18" t="s">
        <v>170</v>
      </c>
      <c r="E1465" s="18" t="s">
        <v>5665</v>
      </c>
    </row>
    <row r="1466">
      <c r="A1466" s="362">
        <v>1465.0</v>
      </c>
      <c r="B1466" s="18" t="s">
        <v>102</v>
      </c>
      <c r="C1466" s="18" t="s">
        <v>6797</v>
      </c>
      <c r="D1466" s="18" t="s">
        <v>1157</v>
      </c>
      <c r="E1466" s="18" t="s">
        <v>5665</v>
      </c>
    </row>
    <row r="1467">
      <c r="A1467" s="362">
        <v>1466.0</v>
      </c>
      <c r="B1467" s="18" t="s">
        <v>60</v>
      </c>
      <c r="C1467" s="18" t="s">
        <v>6799</v>
      </c>
      <c r="D1467" s="18" t="s">
        <v>178</v>
      </c>
      <c r="E1467" s="18" t="s">
        <v>5665</v>
      </c>
    </row>
    <row r="1468">
      <c r="A1468" s="362">
        <v>1467.0</v>
      </c>
      <c r="B1468" s="18" t="s">
        <v>656</v>
      </c>
      <c r="C1468" s="18" t="s">
        <v>6802</v>
      </c>
      <c r="D1468" s="18" t="s">
        <v>1466</v>
      </c>
      <c r="E1468" s="18" t="s">
        <v>5665</v>
      </c>
    </row>
    <row r="1469">
      <c r="A1469" s="362">
        <v>1468.0</v>
      </c>
      <c r="B1469" s="18" t="s">
        <v>60</v>
      </c>
      <c r="C1469" s="18" t="s">
        <v>6806</v>
      </c>
      <c r="D1469" s="18" t="s">
        <v>1466</v>
      </c>
      <c r="E1469" s="18" t="s">
        <v>5665</v>
      </c>
    </row>
    <row r="1470">
      <c r="A1470" s="362">
        <v>1469.0</v>
      </c>
      <c r="B1470" s="18" t="s">
        <v>60</v>
      </c>
      <c r="C1470" s="18" t="s">
        <v>6807</v>
      </c>
      <c r="D1470" s="18" t="s">
        <v>2289</v>
      </c>
      <c r="E1470" s="18" t="s">
        <v>5665</v>
      </c>
    </row>
    <row r="1471">
      <c r="A1471" s="362">
        <v>1470.0</v>
      </c>
      <c r="B1471" s="18" t="s">
        <v>504</v>
      </c>
      <c r="C1471" s="18" t="s">
        <v>6809</v>
      </c>
      <c r="D1471" s="18" t="s">
        <v>2919</v>
      </c>
      <c r="E1471" s="18" t="s">
        <v>5665</v>
      </c>
    </row>
    <row r="1472">
      <c r="A1472" s="362">
        <v>1471.0</v>
      </c>
      <c r="B1472" s="18" t="s">
        <v>60</v>
      </c>
      <c r="C1472" s="18" t="s">
        <v>6811</v>
      </c>
      <c r="D1472" s="18" t="s">
        <v>3561</v>
      </c>
      <c r="E1472" s="18" t="s">
        <v>5665</v>
      </c>
    </row>
    <row r="1473">
      <c r="A1473" s="362">
        <v>1472.0</v>
      </c>
      <c r="B1473" s="18" t="s">
        <v>60</v>
      </c>
      <c r="C1473" s="18" t="s">
        <v>6812</v>
      </c>
      <c r="D1473" s="18" t="s">
        <v>178</v>
      </c>
      <c r="E1473" s="18" t="s">
        <v>5665</v>
      </c>
    </row>
    <row r="1474">
      <c r="A1474" s="362">
        <v>1473.0</v>
      </c>
      <c r="B1474" s="18" t="s">
        <v>403</v>
      </c>
      <c r="C1474" s="18" t="s">
        <v>6813</v>
      </c>
      <c r="D1474" s="18" t="s">
        <v>3168</v>
      </c>
      <c r="E1474" s="18" t="s">
        <v>5665</v>
      </c>
    </row>
    <row r="1475">
      <c r="A1475" s="362">
        <v>1474.0</v>
      </c>
      <c r="B1475" s="18" t="s">
        <v>3372</v>
      </c>
      <c r="C1475" s="18" t="s">
        <v>6815</v>
      </c>
      <c r="D1475" s="18" t="s">
        <v>1345</v>
      </c>
      <c r="E1475" s="18" t="s">
        <v>5665</v>
      </c>
    </row>
    <row r="1476">
      <c r="A1476" s="362">
        <v>1475.0</v>
      </c>
      <c r="B1476" s="18" t="s">
        <v>60</v>
      </c>
      <c r="C1476" s="18" t="s">
        <v>6816</v>
      </c>
      <c r="D1476" s="18" t="s">
        <v>201</v>
      </c>
      <c r="E1476" s="18" t="s">
        <v>5665</v>
      </c>
    </row>
    <row r="1477">
      <c r="A1477" s="362">
        <v>1476.0</v>
      </c>
      <c r="B1477" s="18" t="s">
        <v>60</v>
      </c>
      <c r="C1477" s="18" t="s">
        <v>6818</v>
      </c>
      <c r="D1477" s="18" t="s">
        <v>139</v>
      </c>
      <c r="E1477" s="18" t="s">
        <v>5665</v>
      </c>
    </row>
    <row r="1478">
      <c r="A1478" s="362">
        <v>1477.0</v>
      </c>
      <c r="B1478" s="18" t="s">
        <v>60</v>
      </c>
      <c r="C1478" s="18" t="s">
        <v>6822</v>
      </c>
      <c r="D1478" s="18" t="s">
        <v>187</v>
      </c>
      <c r="E1478" s="18" t="s">
        <v>5665</v>
      </c>
    </row>
    <row r="1479">
      <c r="A1479" s="362">
        <v>1478.0</v>
      </c>
      <c r="B1479" s="18" t="s">
        <v>102</v>
      </c>
      <c r="C1479" s="18" t="s">
        <v>6825</v>
      </c>
      <c r="D1479" s="18" t="s">
        <v>178</v>
      </c>
      <c r="E1479" s="18" t="s">
        <v>5665</v>
      </c>
    </row>
    <row r="1480">
      <c r="A1480" s="362">
        <v>1479.0</v>
      </c>
      <c r="B1480" s="18" t="s">
        <v>60</v>
      </c>
      <c r="C1480" s="18" t="s">
        <v>6827</v>
      </c>
      <c r="D1480" s="18" t="s">
        <v>119</v>
      </c>
      <c r="E1480" s="18" t="s">
        <v>5665</v>
      </c>
    </row>
    <row r="1481">
      <c r="A1481" s="362">
        <v>1480.0</v>
      </c>
      <c r="B1481" s="18" t="s">
        <v>60</v>
      </c>
      <c r="C1481" s="18" t="s">
        <v>6829</v>
      </c>
      <c r="D1481" s="18" t="s">
        <v>331</v>
      </c>
      <c r="E1481" s="18" t="s">
        <v>5665</v>
      </c>
    </row>
    <row r="1482">
      <c r="A1482" s="362">
        <v>1481.0</v>
      </c>
      <c r="B1482" s="18" t="s">
        <v>326</v>
      </c>
      <c r="C1482" s="18" t="s">
        <v>6830</v>
      </c>
      <c r="D1482" s="18" t="s">
        <v>331</v>
      </c>
      <c r="E1482" s="18" t="s">
        <v>5665</v>
      </c>
    </row>
    <row r="1483">
      <c r="A1483" s="362">
        <v>1482.0</v>
      </c>
      <c r="B1483" s="18" t="s">
        <v>60</v>
      </c>
      <c r="C1483" s="18" t="s">
        <v>6834</v>
      </c>
      <c r="D1483" s="18" t="s">
        <v>1431</v>
      </c>
      <c r="E1483" s="18" t="s">
        <v>5665</v>
      </c>
    </row>
    <row r="1484">
      <c r="A1484" s="362">
        <v>1483.0</v>
      </c>
      <c r="B1484" s="18" t="s">
        <v>60</v>
      </c>
      <c r="C1484" s="18" t="s">
        <v>6837</v>
      </c>
      <c r="D1484" s="18" t="s">
        <v>295</v>
      </c>
      <c r="E1484" s="18" t="s">
        <v>5665</v>
      </c>
    </row>
    <row r="1485">
      <c r="A1485" s="362">
        <v>1484.0</v>
      </c>
      <c r="B1485" s="18" t="s">
        <v>60</v>
      </c>
      <c r="C1485" s="18" t="s">
        <v>6838</v>
      </c>
      <c r="D1485" s="18" t="s">
        <v>321</v>
      </c>
      <c r="E1485" s="18" t="s">
        <v>5665</v>
      </c>
    </row>
    <row r="1486">
      <c r="A1486" s="362">
        <v>1485.0</v>
      </c>
      <c r="B1486" s="18" t="s">
        <v>102</v>
      </c>
      <c r="C1486" s="18" t="s">
        <v>6840</v>
      </c>
      <c r="D1486" s="18" t="s">
        <v>170</v>
      </c>
      <c r="E1486" s="18" t="s">
        <v>5665</v>
      </c>
    </row>
    <row r="1487">
      <c r="A1487" s="362">
        <v>1486.0</v>
      </c>
      <c r="B1487" s="18" t="s">
        <v>102</v>
      </c>
      <c r="C1487" s="18" t="s">
        <v>6842</v>
      </c>
      <c r="D1487" s="18" t="s">
        <v>178</v>
      </c>
      <c r="E1487" s="18" t="s">
        <v>5665</v>
      </c>
    </row>
    <row r="1488">
      <c r="A1488" s="362">
        <v>1487.0</v>
      </c>
      <c r="B1488" s="18" t="s">
        <v>326</v>
      </c>
      <c r="C1488" s="18" t="s">
        <v>6845</v>
      </c>
      <c r="D1488" s="18" t="s">
        <v>178</v>
      </c>
      <c r="E1488" s="18" t="s">
        <v>5665</v>
      </c>
    </row>
    <row r="1489">
      <c r="A1489" s="362">
        <v>1488.0</v>
      </c>
      <c r="B1489" s="18" t="s">
        <v>60</v>
      </c>
      <c r="C1489" s="18" t="s">
        <v>6847</v>
      </c>
      <c r="D1489" s="18" t="s">
        <v>178</v>
      </c>
      <c r="E1489" s="18" t="s">
        <v>5665</v>
      </c>
    </row>
    <row r="1490">
      <c r="A1490" s="362">
        <v>1489.0</v>
      </c>
      <c r="B1490" s="18" t="s">
        <v>60</v>
      </c>
      <c r="C1490" s="18" t="s">
        <v>6850</v>
      </c>
      <c r="D1490" s="18" t="s">
        <v>58</v>
      </c>
      <c r="E1490" s="18" t="s">
        <v>5665</v>
      </c>
    </row>
    <row r="1491">
      <c r="A1491" s="362">
        <v>1490.0</v>
      </c>
      <c r="B1491" s="18" t="s">
        <v>504</v>
      </c>
      <c r="C1491" s="18" t="s">
        <v>6853</v>
      </c>
      <c r="D1491" s="18" t="s">
        <v>178</v>
      </c>
      <c r="E1491" s="18" t="s">
        <v>5665</v>
      </c>
    </row>
    <row r="1492">
      <c r="A1492" s="362">
        <v>1491.0</v>
      </c>
      <c r="B1492" s="18" t="s">
        <v>102</v>
      </c>
      <c r="C1492" s="18" t="s">
        <v>6856</v>
      </c>
      <c r="D1492" s="18" t="s">
        <v>178</v>
      </c>
      <c r="E1492" s="18" t="s">
        <v>5665</v>
      </c>
    </row>
    <row r="1493">
      <c r="A1493" s="362">
        <v>1492.0</v>
      </c>
      <c r="B1493" s="18" t="s">
        <v>60</v>
      </c>
      <c r="C1493" s="18" t="s">
        <v>6857</v>
      </c>
      <c r="D1493" s="18" t="s">
        <v>201</v>
      </c>
      <c r="E1493" s="18" t="s">
        <v>5665</v>
      </c>
    </row>
    <row r="1494">
      <c r="A1494" s="362">
        <v>1493.0</v>
      </c>
      <c r="B1494" s="18" t="s">
        <v>60</v>
      </c>
      <c r="C1494" s="18" t="s">
        <v>6858</v>
      </c>
      <c r="D1494" s="18" t="s">
        <v>302</v>
      </c>
      <c r="E1494" s="18" t="s">
        <v>5665</v>
      </c>
    </row>
    <row r="1495">
      <c r="A1495" s="362">
        <v>1494.0</v>
      </c>
      <c r="B1495" s="18" t="s">
        <v>60</v>
      </c>
      <c r="C1495" s="18" t="s">
        <v>6859</v>
      </c>
      <c r="D1495" s="18" t="s">
        <v>1431</v>
      </c>
      <c r="E1495" s="18" t="s">
        <v>5665</v>
      </c>
    </row>
    <row r="1496">
      <c r="A1496" s="362">
        <v>1495.0</v>
      </c>
      <c r="B1496" s="18" t="s">
        <v>60</v>
      </c>
      <c r="C1496" s="18" t="s">
        <v>6861</v>
      </c>
      <c r="D1496" s="18" t="s">
        <v>3078</v>
      </c>
      <c r="E1496" s="18" t="s">
        <v>5665</v>
      </c>
    </row>
    <row r="1497">
      <c r="A1497" s="362">
        <v>1496.0</v>
      </c>
      <c r="B1497" s="18" t="s">
        <v>60</v>
      </c>
      <c r="C1497" s="18" t="s">
        <v>6863</v>
      </c>
      <c r="D1497" s="18" t="s">
        <v>3205</v>
      </c>
      <c r="E1497" s="18" t="s">
        <v>5665</v>
      </c>
    </row>
    <row r="1498">
      <c r="A1498" s="362">
        <v>1497.0</v>
      </c>
      <c r="B1498" s="18" t="s">
        <v>326</v>
      </c>
      <c r="C1498" s="18" t="s">
        <v>6865</v>
      </c>
      <c r="D1498" s="18" t="s">
        <v>302</v>
      </c>
      <c r="E1498" s="18" t="s">
        <v>5665</v>
      </c>
    </row>
    <row r="1499">
      <c r="A1499" s="362">
        <v>1498.0</v>
      </c>
      <c r="B1499" s="18" t="s">
        <v>60</v>
      </c>
      <c r="C1499" s="18" t="s">
        <v>6866</v>
      </c>
      <c r="D1499" s="18" t="s">
        <v>187</v>
      </c>
      <c r="E1499" s="18" t="s">
        <v>5665</v>
      </c>
    </row>
    <row r="1500">
      <c r="A1500" s="362">
        <v>1499.0</v>
      </c>
      <c r="B1500" s="18" t="s">
        <v>60</v>
      </c>
      <c r="C1500" s="18" t="s">
        <v>6868</v>
      </c>
      <c r="D1500" s="18" t="s">
        <v>2929</v>
      </c>
      <c r="E1500" s="18" t="s">
        <v>5665</v>
      </c>
    </row>
    <row r="1501">
      <c r="A1501" s="362">
        <v>1500.0</v>
      </c>
      <c r="B1501" s="18" t="s">
        <v>60</v>
      </c>
      <c r="C1501" s="18" t="s">
        <v>6870</v>
      </c>
      <c r="D1501" s="18" t="s">
        <v>201</v>
      </c>
      <c r="E1501" s="18" t="s">
        <v>5665</v>
      </c>
    </row>
    <row r="1502">
      <c r="A1502" s="362">
        <v>1501.0</v>
      </c>
      <c r="B1502" s="18" t="s">
        <v>60</v>
      </c>
      <c r="C1502" s="18" t="s">
        <v>6873</v>
      </c>
      <c r="D1502" s="18" t="s">
        <v>213</v>
      </c>
      <c r="E1502" s="18" t="s">
        <v>5665</v>
      </c>
    </row>
    <row r="1503">
      <c r="A1503" s="362">
        <v>1502.0</v>
      </c>
      <c r="B1503" s="18" t="s">
        <v>60</v>
      </c>
      <c r="C1503" s="18" t="s">
        <v>6874</v>
      </c>
      <c r="D1503" s="18" t="s">
        <v>6875</v>
      </c>
      <c r="E1503" s="18" t="s">
        <v>5665</v>
      </c>
    </row>
    <row r="1504">
      <c r="A1504" s="362">
        <v>1503.0</v>
      </c>
      <c r="B1504" s="18" t="s">
        <v>60</v>
      </c>
      <c r="C1504" s="18" t="s">
        <v>6878</v>
      </c>
      <c r="D1504" s="18" t="s">
        <v>287</v>
      </c>
      <c r="E1504" s="18" t="s">
        <v>5665</v>
      </c>
    </row>
    <row r="1505">
      <c r="A1505" s="362">
        <v>1504.0</v>
      </c>
      <c r="B1505" s="18" t="s">
        <v>60</v>
      </c>
      <c r="C1505" s="18" t="s">
        <v>6879</v>
      </c>
      <c r="D1505" s="18" t="s">
        <v>139</v>
      </c>
      <c r="E1505" s="18" t="s">
        <v>5665</v>
      </c>
    </row>
    <row r="1506">
      <c r="A1506" s="362">
        <v>1505.0</v>
      </c>
      <c r="B1506" s="18" t="s">
        <v>60</v>
      </c>
      <c r="C1506" s="18" t="s">
        <v>6880</v>
      </c>
      <c r="D1506" s="18" t="s">
        <v>201</v>
      </c>
      <c r="E1506" s="18" t="s">
        <v>5665</v>
      </c>
    </row>
    <row r="1507">
      <c r="A1507" s="362">
        <v>1506.0</v>
      </c>
      <c r="B1507" s="18" t="s">
        <v>60</v>
      </c>
      <c r="C1507" s="18" t="s">
        <v>6881</v>
      </c>
      <c r="D1507" s="18" t="s">
        <v>139</v>
      </c>
      <c r="E1507" s="18" t="s">
        <v>5665</v>
      </c>
    </row>
    <row r="1508">
      <c r="A1508" s="362">
        <v>1507.0</v>
      </c>
      <c r="B1508" s="18" t="s">
        <v>326</v>
      </c>
      <c r="C1508" s="18" t="s">
        <v>6884</v>
      </c>
      <c r="D1508" s="18" t="s">
        <v>3205</v>
      </c>
      <c r="E1508" s="18" t="s">
        <v>5665</v>
      </c>
    </row>
    <row r="1509">
      <c r="A1509" s="362">
        <v>1508.0</v>
      </c>
      <c r="B1509" s="18" t="s">
        <v>102</v>
      </c>
      <c r="C1509" s="18" t="s">
        <v>6887</v>
      </c>
      <c r="D1509" s="18" t="s">
        <v>178</v>
      </c>
      <c r="E1509" s="18" t="s">
        <v>5665</v>
      </c>
    </row>
    <row r="1510">
      <c r="A1510" s="362">
        <v>1509.0</v>
      </c>
      <c r="B1510" s="18" t="s">
        <v>60</v>
      </c>
      <c r="C1510" s="18" t="s">
        <v>6891</v>
      </c>
      <c r="D1510" s="18" t="s">
        <v>201</v>
      </c>
      <c r="E1510" s="18" t="s">
        <v>5665</v>
      </c>
    </row>
    <row r="1511">
      <c r="A1511" s="362">
        <v>1510.0</v>
      </c>
      <c r="B1511" s="18" t="s">
        <v>60</v>
      </c>
      <c r="C1511" s="18" t="s">
        <v>6892</v>
      </c>
      <c r="D1511" s="18" t="s">
        <v>3078</v>
      </c>
      <c r="E1511" s="18" t="s">
        <v>5665</v>
      </c>
    </row>
    <row r="1512">
      <c r="A1512" s="362">
        <v>1511.0</v>
      </c>
      <c r="B1512" s="18" t="s">
        <v>60</v>
      </c>
      <c r="C1512" s="18" t="s">
        <v>6894</v>
      </c>
      <c r="D1512" s="18" t="s">
        <v>331</v>
      </c>
      <c r="E1512" s="18" t="s">
        <v>5665</v>
      </c>
    </row>
    <row r="1513">
      <c r="A1513" s="362">
        <v>1512.0</v>
      </c>
      <c r="B1513" s="18" t="s">
        <v>60</v>
      </c>
      <c r="C1513" s="18" t="s">
        <v>6895</v>
      </c>
      <c r="D1513" s="18" t="s">
        <v>139</v>
      </c>
      <c r="E1513" s="18" t="s">
        <v>5665</v>
      </c>
    </row>
    <row r="1514">
      <c r="A1514" s="362">
        <v>1513.0</v>
      </c>
      <c r="B1514" s="18" t="s">
        <v>60</v>
      </c>
      <c r="C1514" s="18" t="s">
        <v>6899</v>
      </c>
      <c r="D1514" s="18" t="s">
        <v>139</v>
      </c>
      <c r="E1514" s="18" t="s">
        <v>5665</v>
      </c>
    </row>
    <row r="1515">
      <c r="A1515" s="362">
        <v>1514.0</v>
      </c>
      <c r="B1515" s="18" t="s">
        <v>60</v>
      </c>
      <c r="C1515" s="18" t="s">
        <v>6901</v>
      </c>
      <c r="D1515" s="18" t="s">
        <v>3078</v>
      </c>
      <c r="E1515" s="18" t="s">
        <v>5665</v>
      </c>
    </row>
    <row r="1516">
      <c r="A1516" s="362">
        <v>1515.0</v>
      </c>
      <c r="B1516" s="18" t="s">
        <v>60</v>
      </c>
      <c r="C1516" s="18" t="s">
        <v>6903</v>
      </c>
      <c r="D1516" s="18" t="s">
        <v>187</v>
      </c>
      <c r="E1516" s="18" t="s">
        <v>5665</v>
      </c>
    </row>
    <row r="1517">
      <c r="A1517" s="362">
        <v>1516.0</v>
      </c>
      <c r="B1517" s="18" t="s">
        <v>60</v>
      </c>
      <c r="C1517" s="18" t="s">
        <v>6904</v>
      </c>
      <c r="D1517" s="18" t="s">
        <v>3205</v>
      </c>
      <c r="E1517" s="18" t="s">
        <v>5665</v>
      </c>
    </row>
    <row r="1518">
      <c r="A1518" s="362">
        <v>1517.0</v>
      </c>
      <c r="B1518" s="18" t="s">
        <v>60</v>
      </c>
      <c r="C1518" s="18" t="s">
        <v>6905</v>
      </c>
      <c r="D1518" s="18" t="s">
        <v>4972</v>
      </c>
      <c r="E1518" s="18" t="s">
        <v>5665</v>
      </c>
    </row>
    <row r="1519">
      <c r="A1519" s="362">
        <v>1518.0</v>
      </c>
      <c r="B1519" s="18" t="s">
        <v>610</v>
      </c>
      <c r="C1519" s="18" t="s">
        <v>6907</v>
      </c>
      <c r="D1519" s="18" t="s">
        <v>139</v>
      </c>
      <c r="E1519" s="18" t="s">
        <v>5665</v>
      </c>
    </row>
    <row r="1520">
      <c r="A1520" s="362">
        <v>1519.0</v>
      </c>
      <c r="B1520" s="18" t="s">
        <v>102</v>
      </c>
      <c r="C1520" s="18" t="s">
        <v>6908</v>
      </c>
      <c r="D1520" s="18" t="s">
        <v>170</v>
      </c>
      <c r="E1520" s="18" t="s">
        <v>5665</v>
      </c>
    </row>
    <row r="1521">
      <c r="A1521" s="362">
        <v>1520.0</v>
      </c>
      <c r="B1521" s="18" t="s">
        <v>102</v>
      </c>
      <c r="C1521" s="18" t="s">
        <v>6911</v>
      </c>
      <c r="D1521" s="18" t="s">
        <v>170</v>
      </c>
      <c r="E1521" s="18" t="s">
        <v>5665</v>
      </c>
    </row>
    <row r="1522">
      <c r="A1522" s="362">
        <v>1521.0</v>
      </c>
      <c r="B1522" s="18" t="s">
        <v>60</v>
      </c>
      <c r="C1522" s="18" t="s">
        <v>6912</v>
      </c>
      <c r="D1522" s="18" t="s">
        <v>152</v>
      </c>
      <c r="E1522" s="18" t="s">
        <v>5665</v>
      </c>
    </row>
    <row r="1523">
      <c r="A1523" s="362">
        <v>1522.0</v>
      </c>
      <c r="B1523" s="18" t="s">
        <v>60</v>
      </c>
      <c r="C1523" s="18" t="s">
        <v>6913</v>
      </c>
      <c r="D1523" s="18" t="s">
        <v>786</v>
      </c>
      <c r="E1523" s="18" t="s">
        <v>5665</v>
      </c>
    </row>
    <row r="1524">
      <c r="A1524" s="362">
        <v>1523.0</v>
      </c>
      <c r="B1524" s="18" t="s">
        <v>60</v>
      </c>
      <c r="C1524" s="18" t="s">
        <v>6915</v>
      </c>
      <c r="D1524" s="18" t="s">
        <v>1753</v>
      </c>
      <c r="E1524" s="18" t="s">
        <v>5665</v>
      </c>
    </row>
    <row r="1525">
      <c r="A1525" s="362">
        <v>1524.0</v>
      </c>
      <c r="B1525" s="18" t="s">
        <v>60</v>
      </c>
      <c r="C1525" s="18" t="s">
        <v>6917</v>
      </c>
      <c r="D1525" s="18" t="s">
        <v>786</v>
      </c>
      <c r="E1525" s="18" t="s">
        <v>5665</v>
      </c>
    </row>
    <row r="1526">
      <c r="A1526" s="362">
        <v>1525.0</v>
      </c>
      <c r="B1526" s="18" t="s">
        <v>60</v>
      </c>
      <c r="C1526" s="18" t="s">
        <v>6918</v>
      </c>
      <c r="D1526" s="18" t="s">
        <v>119</v>
      </c>
      <c r="E1526" s="18" t="s">
        <v>5665</v>
      </c>
    </row>
    <row r="1527">
      <c r="A1527" s="362">
        <v>1526.0</v>
      </c>
      <c r="B1527" s="18" t="s">
        <v>60</v>
      </c>
      <c r="C1527" s="18" t="s">
        <v>6921</v>
      </c>
      <c r="D1527" s="18" t="s">
        <v>3938</v>
      </c>
      <c r="E1527" s="18" t="s">
        <v>5665</v>
      </c>
    </row>
    <row r="1528">
      <c r="A1528" s="362">
        <v>1527.0</v>
      </c>
      <c r="B1528" s="18" t="s">
        <v>60</v>
      </c>
      <c r="C1528" s="18" t="s">
        <v>6922</v>
      </c>
      <c r="D1528" s="18" t="s">
        <v>201</v>
      </c>
      <c r="E1528" s="18" t="s">
        <v>5665</v>
      </c>
    </row>
    <row r="1529">
      <c r="A1529" s="362">
        <v>1528.0</v>
      </c>
      <c r="B1529" s="18" t="s">
        <v>60</v>
      </c>
      <c r="C1529" s="18" t="s">
        <v>6925</v>
      </c>
      <c r="D1529" s="18" t="s">
        <v>1431</v>
      </c>
      <c r="E1529" s="18" t="s">
        <v>5665</v>
      </c>
    </row>
    <row r="1530">
      <c r="A1530" s="362">
        <v>1529.0</v>
      </c>
      <c r="B1530" s="18" t="s">
        <v>326</v>
      </c>
      <c r="C1530" s="18" t="s">
        <v>6926</v>
      </c>
      <c r="D1530" s="18" t="s">
        <v>786</v>
      </c>
      <c r="E1530" s="18" t="s">
        <v>5665</v>
      </c>
    </row>
    <row r="1531">
      <c r="A1531" s="362">
        <v>1530.0</v>
      </c>
      <c r="B1531" s="18" t="s">
        <v>326</v>
      </c>
      <c r="C1531" s="18" t="s">
        <v>6929</v>
      </c>
      <c r="D1531" s="18" t="s">
        <v>4972</v>
      </c>
      <c r="E1531" s="18" t="s">
        <v>5665</v>
      </c>
    </row>
    <row r="1532">
      <c r="A1532" s="362">
        <v>1531.0</v>
      </c>
      <c r="B1532" s="18" t="s">
        <v>60</v>
      </c>
      <c r="C1532" s="18" t="s">
        <v>6932</v>
      </c>
      <c r="D1532" s="18" t="s">
        <v>4972</v>
      </c>
      <c r="E1532" s="18" t="s">
        <v>5665</v>
      </c>
    </row>
    <row r="1533">
      <c r="A1533" s="362">
        <v>1532.0</v>
      </c>
      <c r="B1533" s="18" t="s">
        <v>60</v>
      </c>
      <c r="C1533" s="18" t="s">
        <v>6933</v>
      </c>
      <c r="D1533" s="18" t="s">
        <v>1753</v>
      </c>
      <c r="E1533" s="18" t="s">
        <v>5665</v>
      </c>
    </row>
    <row r="1534">
      <c r="A1534" s="362">
        <v>1533.0</v>
      </c>
      <c r="B1534" s="18" t="s">
        <v>60</v>
      </c>
      <c r="C1534" s="18" t="s">
        <v>6934</v>
      </c>
      <c r="D1534" s="18" t="s">
        <v>178</v>
      </c>
      <c r="E1534" s="18" t="s">
        <v>5665</v>
      </c>
    </row>
    <row r="1535">
      <c r="A1535" s="362">
        <v>1534.0</v>
      </c>
      <c r="B1535" s="18" t="s">
        <v>60</v>
      </c>
      <c r="C1535" s="18" t="s">
        <v>6936</v>
      </c>
      <c r="D1535" s="18" t="s">
        <v>786</v>
      </c>
      <c r="E1535" s="18" t="s">
        <v>5665</v>
      </c>
    </row>
    <row r="1536">
      <c r="A1536" s="362">
        <v>1535.0</v>
      </c>
      <c r="B1536" s="18" t="s">
        <v>60</v>
      </c>
      <c r="C1536" s="18" t="s">
        <v>6939</v>
      </c>
      <c r="D1536" s="18" t="s">
        <v>4233</v>
      </c>
      <c r="E1536" s="18" t="s">
        <v>5665</v>
      </c>
    </row>
    <row r="1537">
      <c r="A1537" s="362">
        <v>1536.0</v>
      </c>
      <c r="B1537" s="18" t="s">
        <v>60</v>
      </c>
      <c r="C1537" s="18" t="s">
        <v>6940</v>
      </c>
      <c r="D1537" s="18" t="s">
        <v>178</v>
      </c>
      <c r="E1537" s="18" t="s">
        <v>5665</v>
      </c>
    </row>
    <row r="1538">
      <c r="A1538" s="362">
        <v>1537.0</v>
      </c>
      <c r="B1538" s="18" t="s">
        <v>60</v>
      </c>
      <c r="C1538" s="18" t="s">
        <v>6942</v>
      </c>
      <c r="D1538" s="18" t="s">
        <v>1195</v>
      </c>
      <c r="E1538" s="18" t="s">
        <v>5665</v>
      </c>
    </row>
    <row r="1539">
      <c r="A1539" s="362">
        <v>1538.0</v>
      </c>
      <c r="B1539" s="18" t="s">
        <v>60</v>
      </c>
      <c r="C1539" s="18" t="s">
        <v>6944</v>
      </c>
      <c r="D1539" s="18" t="s">
        <v>4233</v>
      </c>
      <c r="E1539" s="18" t="s">
        <v>5665</v>
      </c>
    </row>
    <row r="1540">
      <c r="A1540" s="362">
        <v>1539.0</v>
      </c>
      <c r="B1540" s="18" t="s">
        <v>60</v>
      </c>
      <c r="C1540" s="18" t="s">
        <v>6946</v>
      </c>
      <c r="D1540" s="18" t="s">
        <v>786</v>
      </c>
      <c r="E1540" s="18" t="s">
        <v>5665</v>
      </c>
    </row>
    <row r="1541">
      <c r="A1541" s="362">
        <v>1540.0</v>
      </c>
      <c r="B1541" s="18" t="s">
        <v>60</v>
      </c>
      <c r="C1541" s="18" t="s">
        <v>6947</v>
      </c>
      <c r="D1541" s="18" t="s">
        <v>786</v>
      </c>
      <c r="E1541" s="18" t="s">
        <v>5665</v>
      </c>
    </row>
    <row r="1542">
      <c r="A1542" s="362">
        <v>1541.0</v>
      </c>
      <c r="B1542" s="18" t="s">
        <v>60</v>
      </c>
      <c r="C1542" s="18" t="s">
        <v>6950</v>
      </c>
      <c r="D1542" s="18" t="s">
        <v>201</v>
      </c>
      <c r="E1542" s="18" t="s">
        <v>5665</v>
      </c>
    </row>
    <row r="1543">
      <c r="A1543" s="362">
        <v>1542.0</v>
      </c>
      <c r="B1543" s="18" t="s">
        <v>656</v>
      </c>
      <c r="C1543" s="18" t="s">
        <v>6951</v>
      </c>
      <c r="D1543" s="18" t="s">
        <v>187</v>
      </c>
      <c r="E1543" s="18" t="s">
        <v>5665</v>
      </c>
    </row>
    <row r="1544">
      <c r="A1544" s="362">
        <v>1543.0</v>
      </c>
      <c r="B1544" s="18" t="s">
        <v>60</v>
      </c>
      <c r="C1544" s="18" t="s">
        <v>6952</v>
      </c>
      <c r="D1544" s="18" t="s">
        <v>786</v>
      </c>
      <c r="E1544" s="18" t="s">
        <v>5665</v>
      </c>
    </row>
    <row r="1545">
      <c r="A1545" s="362">
        <v>1544.0</v>
      </c>
      <c r="B1545" s="18" t="s">
        <v>60</v>
      </c>
      <c r="C1545" s="18" t="s">
        <v>2085</v>
      </c>
      <c r="D1545" s="18" t="s">
        <v>139</v>
      </c>
      <c r="E1545" s="18" t="s">
        <v>5665</v>
      </c>
    </row>
    <row r="1546">
      <c r="A1546" s="362">
        <v>1545.0</v>
      </c>
      <c r="B1546" s="18" t="s">
        <v>60</v>
      </c>
      <c r="C1546" s="18" t="s">
        <v>6954</v>
      </c>
      <c r="D1546" s="18" t="s">
        <v>786</v>
      </c>
      <c r="E1546" s="18" t="s">
        <v>5665</v>
      </c>
    </row>
    <row r="1547">
      <c r="A1547" s="362">
        <v>1546.0</v>
      </c>
      <c r="B1547" s="18" t="s">
        <v>60</v>
      </c>
      <c r="C1547" s="18" t="s">
        <v>6955</v>
      </c>
      <c r="D1547" s="18" t="s">
        <v>3938</v>
      </c>
      <c r="E1547" s="18" t="s">
        <v>5665</v>
      </c>
    </row>
    <row r="1548">
      <c r="A1548" s="362">
        <v>1547.0</v>
      </c>
      <c r="B1548" s="18" t="s">
        <v>60</v>
      </c>
      <c r="C1548" s="18" t="s">
        <v>6957</v>
      </c>
      <c r="D1548" s="18" t="s">
        <v>786</v>
      </c>
      <c r="E1548" s="18" t="s">
        <v>5665</v>
      </c>
    </row>
    <row r="1549">
      <c r="A1549" s="362">
        <v>1548.0</v>
      </c>
      <c r="B1549" s="18" t="s">
        <v>60</v>
      </c>
      <c r="C1549" s="18" t="s">
        <v>6960</v>
      </c>
      <c r="D1549" s="18" t="s">
        <v>786</v>
      </c>
      <c r="E1549" s="18" t="s">
        <v>5665</v>
      </c>
    </row>
    <row r="1550">
      <c r="A1550" s="362">
        <v>1549.0</v>
      </c>
      <c r="B1550" s="18" t="s">
        <v>610</v>
      </c>
      <c r="C1550" s="18" t="s">
        <v>6961</v>
      </c>
      <c r="D1550" s="18" t="s">
        <v>1431</v>
      </c>
      <c r="E1550" s="18" t="s">
        <v>5665</v>
      </c>
    </row>
    <row r="1551">
      <c r="A1551" s="362">
        <v>1550.0</v>
      </c>
      <c r="B1551" s="18" t="s">
        <v>60</v>
      </c>
      <c r="C1551" s="18" t="s">
        <v>6962</v>
      </c>
      <c r="D1551" s="18" t="s">
        <v>786</v>
      </c>
      <c r="E1551" s="18" t="s">
        <v>5665</v>
      </c>
    </row>
    <row r="1552">
      <c r="A1552" s="362">
        <v>1551.0</v>
      </c>
      <c r="B1552" s="18" t="s">
        <v>60</v>
      </c>
      <c r="C1552" s="18" t="s">
        <v>6965</v>
      </c>
      <c r="D1552" s="18" t="s">
        <v>1345</v>
      </c>
      <c r="E1552" s="18" t="s">
        <v>5665</v>
      </c>
    </row>
    <row r="1553">
      <c r="A1553" s="362">
        <v>1552.0</v>
      </c>
      <c r="B1553" s="18" t="s">
        <v>60</v>
      </c>
      <c r="C1553" s="18" t="s">
        <v>6966</v>
      </c>
      <c r="D1553" s="18" t="s">
        <v>786</v>
      </c>
      <c r="E1553" s="18" t="s">
        <v>5665</v>
      </c>
    </row>
    <row r="1554">
      <c r="A1554" s="362">
        <v>1553.0</v>
      </c>
      <c r="B1554" s="18" t="s">
        <v>60</v>
      </c>
      <c r="C1554" s="18" t="s">
        <v>6969</v>
      </c>
      <c r="D1554" s="18" t="s">
        <v>786</v>
      </c>
      <c r="E1554" s="18" t="s">
        <v>5665</v>
      </c>
    </row>
    <row r="1555">
      <c r="A1555" s="362">
        <v>1554.0</v>
      </c>
      <c r="B1555" s="18" t="s">
        <v>60</v>
      </c>
      <c r="C1555" s="18" t="s">
        <v>6971</v>
      </c>
      <c r="D1555" s="18" t="s">
        <v>786</v>
      </c>
      <c r="E1555" s="18" t="s">
        <v>5665</v>
      </c>
    </row>
    <row r="1556">
      <c r="A1556" s="362">
        <v>1555.0</v>
      </c>
      <c r="B1556" s="18" t="s">
        <v>60</v>
      </c>
      <c r="C1556" s="18" t="s">
        <v>6972</v>
      </c>
      <c r="D1556" s="18" t="s">
        <v>302</v>
      </c>
      <c r="E1556" s="18" t="s">
        <v>5665</v>
      </c>
    </row>
    <row r="1557">
      <c r="A1557" s="362">
        <v>1556.0</v>
      </c>
      <c r="B1557" s="18" t="s">
        <v>60</v>
      </c>
      <c r="C1557" s="18" t="s">
        <v>6974</v>
      </c>
      <c r="D1557" s="18" t="s">
        <v>4233</v>
      </c>
      <c r="E1557" s="18" t="s">
        <v>5665</v>
      </c>
    </row>
    <row r="1558">
      <c r="A1558" s="362">
        <v>1557.0</v>
      </c>
      <c r="B1558" s="18" t="s">
        <v>326</v>
      </c>
      <c r="C1558" s="18" t="s">
        <v>6975</v>
      </c>
      <c r="D1558" s="18" t="s">
        <v>4233</v>
      </c>
      <c r="E1558" s="18" t="s">
        <v>5665</v>
      </c>
    </row>
    <row r="1559">
      <c r="A1559" s="362">
        <v>1558.0</v>
      </c>
      <c r="B1559" s="18" t="s">
        <v>60</v>
      </c>
      <c r="C1559" s="18" t="s">
        <v>6976</v>
      </c>
      <c r="D1559" s="18" t="s">
        <v>4233</v>
      </c>
      <c r="E1559" s="18" t="s">
        <v>5665</v>
      </c>
    </row>
    <row r="1560">
      <c r="A1560" s="362">
        <v>1559.0</v>
      </c>
      <c r="B1560" s="18" t="s">
        <v>60</v>
      </c>
      <c r="C1560" s="18" t="s">
        <v>6981</v>
      </c>
      <c r="D1560" s="18" t="s">
        <v>2972</v>
      </c>
      <c r="E1560" s="18" t="s">
        <v>5665</v>
      </c>
    </row>
    <row r="1561">
      <c r="A1561" s="362">
        <v>1560.0</v>
      </c>
      <c r="B1561" s="18" t="s">
        <v>60</v>
      </c>
      <c r="C1561" s="18" t="s">
        <v>6986</v>
      </c>
      <c r="D1561" s="18" t="s">
        <v>6987</v>
      </c>
      <c r="E1561" s="18" t="s">
        <v>5665</v>
      </c>
    </row>
    <row r="1562">
      <c r="A1562" s="362">
        <v>1561.0</v>
      </c>
      <c r="B1562" s="18" t="s">
        <v>60</v>
      </c>
      <c r="C1562" s="18" t="s">
        <v>6988</v>
      </c>
      <c r="D1562" s="18" t="s">
        <v>786</v>
      </c>
      <c r="E1562" s="18" t="s">
        <v>5665</v>
      </c>
    </row>
    <row r="1563">
      <c r="A1563" s="362">
        <v>1562.0</v>
      </c>
      <c r="B1563" s="18" t="s">
        <v>60</v>
      </c>
      <c r="C1563" s="18" t="s">
        <v>6992</v>
      </c>
      <c r="D1563" s="18" t="s">
        <v>1431</v>
      </c>
      <c r="E1563" s="18" t="s">
        <v>5665</v>
      </c>
    </row>
    <row r="1564">
      <c r="A1564" s="362">
        <v>1563.0</v>
      </c>
      <c r="B1564" s="18" t="s">
        <v>656</v>
      </c>
      <c r="C1564" s="18" t="s">
        <v>6995</v>
      </c>
      <c r="D1564" s="42"/>
      <c r="E1564" s="18" t="s">
        <v>5665</v>
      </c>
    </row>
    <row r="1565">
      <c r="A1565" s="362">
        <v>1564.0</v>
      </c>
      <c r="B1565" s="18" t="s">
        <v>60</v>
      </c>
      <c r="C1565" s="18" t="s">
        <v>6999</v>
      </c>
      <c r="D1565" s="18" t="s">
        <v>2929</v>
      </c>
      <c r="E1565" s="18" t="s">
        <v>5665</v>
      </c>
    </row>
    <row r="1566">
      <c r="A1566" s="362">
        <v>1565.0</v>
      </c>
      <c r="B1566" s="18" t="s">
        <v>60</v>
      </c>
      <c r="C1566" s="18" t="s">
        <v>7002</v>
      </c>
      <c r="D1566" s="18" t="s">
        <v>3205</v>
      </c>
      <c r="E1566" s="18" t="s">
        <v>5665</v>
      </c>
    </row>
    <row r="1567">
      <c r="A1567" s="362">
        <v>1566.0</v>
      </c>
      <c r="B1567" s="18" t="s">
        <v>60</v>
      </c>
      <c r="C1567" s="18" t="s">
        <v>7003</v>
      </c>
      <c r="D1567" s="18" t="s">
        <v>1345</v>
      </c>
      <c r="E1567" s="18" t="s">
        <v>5665</v>
      </c>
    </row>
    <row r="1568">
      <c r="A1568" s="362">
        <v>1567.0</v>
      </c>
      <c r="B1568" s="18" t="s">
        <v>326</v>
      </c>
      <c r="C1568" s="18" t="s">
        <v>7004</v>
      </c>
      <c r="D1568" s="18" t="s">
        <v>4233</v>
      </c>
      <c r="E1568" s="18" t="s">
        <v>5665</v>
      </c>
    </row>
    <row r="1569">
      <c r="A1569" s="362">
        <v>1568.0</v>
      </c>
      <c r="B1569" s="18" t="s">
        <v>656</v>
      </c>
      <c r="C1569" s="18" t="s">
        <v>7005</v>
      </c>
      <c r="D1569" s="18" t="s">
        <v>287</v>
      </c>
      <c r="E1569" s="18" t="s">
        <v>5665</v>
      </c>
    </row>
    <row r="1570">
      <c r="A1570" s="362">
        <v>1569.0</v>
      </c>
      <c r="B1570" s="18" t="s">
        <v>60</v>
      </c>
      <c r="C1570" s="18" t="s">
        <v>7008</v>
      </c>
      <c r="D1570" s="18" t="s">
        <v>3938</v>
      </c>
      <c r="E1570" s="18" t="s">
        <v>5665</v>
      </c>
    </row>
    <row r="1571">
      <c r="A1571" s="362">
        <v>1570.0</v>
      </c>
      <c r="B1571" s="18" t="s">
        <v>60</v>
      </c>
      <c r="C1571" s="18" t="s">
        <v>7009</v>
      </c>
      <c r="D1571" s="18" t="s">
        <v>786</v>
      </c>
      <c r="E1571" s="18" t="s">
        <v>5665</v>
      </c>
    </row>
    <row r="1572">
      <c r="A1572" s="362">
        <v>1571.0</v>
      </c>
      <c r="B1572" s="18" t="s">
        <v>60</v>
      </c>
      <c r="C1572" s="18" t="s">
        <v>7011</v>
      </c>
      <c r="D1572" s="18" t="s">
        <v>139</v>
      </c>
      <c r="E1572" s="18" t="s">
        <v>5665</v>
      </c>
    </row>
    <row r="1573">
      <c r="A1573" s="362">
        <v>1572.0</v>
      </c>
      <c r="B1573" s="18" t="s">
        <v>60</v>
      </c>
      <c r="C1573" s="18" t="s">
        <v>7014</v>
      </c>
      <c r="D1573" s="18" t="s">
        <v>786</v>
      </c>
      <c r="E1573" s="18" t="s">
        <v>5665</v>
      </c>
    </row>
    <row r="1574">
      <c r="A1574" s="362">
        <v>1573.0</v>
      </c>
      <c r="B1574" s="18" t="s">
        <v>60</v>
      </c>
      <c r="C1574" s="18" t="s">
        <v>7015</v>
      </c>
      <c r="D1574" s="18" t="s">
        <v>201</v>
      </c>
      <c r="E1574" s="18" t="s">
        <v>5665</v>
      </c>
    </row>
    <row r="1575">
      <c r="A1575" s="362">
        <v>1574.0</v>
      </c>
      <c r="B1575" s="18" t="s">
        <v>60</v>
      </c>
      <c r="C1575" s="18" t="s">
        <v>7016</v>
      </c>
      <c r="D1575" s="18" t="s">
        <v>201</v>
      </c>
      <c r="E1575" s="18" t="s">
        <v>5665</v>
      </c>
    </row>
    <row r="1576">
      <c r="A1576" s="362">
        <v>1575.0</v>
      </c>
      <c r="B1576" s="18" t="s">
        <v>102</v>
      </c>
      <c r="C1576" s="18" t="s">
        <v>7019</v>
      </c>
      <c r="D1576" s="18" t="s">
        <v>170</v>
      </c>
      <c r="E1576" s="18" t="s">
        <v>5665</v>
      </c>
    </row>
    <row r="1577">
      <c r="A1577" s="362">
        <v>1576.0</v>
      </c>
      <c r="B1577" s="18" t="s">
        <v>60</v>
      </c>
      <c r="C1577" s="18" t="s">
        <v>7021</v>
      </c>
      <c r="D1577" s="18" t="s">
        <v>213</v>
      </c>
      <c r="E1577" s="18" t="s">
        <v>5665</v>
      </c>
    </row>
    <row r="1578">
      <c r="A1578" s="362">
        <v>1577.0</v>
      </c>
      <c r="B1578" s="18" t="s">
        <v>96</v>
      </c>
      <c r="C1578" s="18" t="s">
        <v>1833</v>
      </c>
      <c r="D1578" s="18" t="s">
        <v>267</v>
      </c>
      <c r="E1578" s="18" t="s">
        <v>5665</v>
      </c>
    </row>
    <row r="1579">
      <c r="A1579" s="362">
        <v>1578.0</v>
      </c>
      <c r="B1579" s="18" t="s">
        <v>102</v>
      </c>
      <c r="C1579" s="18" t="s">
        <v>7025</v>
      </c>
      <c r="D1579" s="18" t="s">
        <v>170</v>
      </c>
      <c r="E1579" s="18" t="s">
        <v>5665</v>
      </c>
    </row>
    <row r="1580">
      <c r="A1580" s="362">
        <v>1579.0</v>
      </c>
      <c r="B1580" s="18" t="s">
        <v>102</v>
      </c>
      <c r="C1580" s="18" t="s">
        <v>7027</v>
      </c>
      <c r="D1580" s="18" t="s">
        <v>119</v>
      </c>
      <c r="E1580" s="18" t="s">
        <v>5665</v>
      </c>
    </row>
    <row r="1581">
      <c r="A1581" s="362">
        <v>1580.0</v>
      </c>
      <c r="B1581" s="18" t="s">
        <v>102</v>
      </c>
      <c r="C1581" s="18" t="s">
        <v>7028</v>
      </c>
      <c r="D1581" s="18" t="s">
        <v>178</v>
      </c>
      <c r="E1581" s="18" t="s">
        <v>5665</v>
      </c>
    </row>
    <row r="1582">
      <c r="A1582" s="362">
        <v>1581.0</v>
      </c>
      <c r="B1582" s="18" t="s">
        <v>102</v>
      </c>
      <c r="C1582" s="18" t="s">
        <v>7029</v>
      </c>
      <c r="D1582" s="18" t="s">
        <v>170</v>
      </c>
      <c r="E1582" s="18" t="s">
        <v>5665</v>
      </c>
    </row>
    <row r="1583">
      <c r="A1583" s="362">
        <v>1582.0</v>
      </c>
      <c r="B1583" s="18" t="s">
        <v>60</v>
      </c>
      <c r="C1583" s="18" t="s">
        <v>7030</v>
      </c>
      <c r="D1583" s="18" t="s">
        <v>1466</v>
      </c>
      <c r="E1583" s="18" t="s">
        <v>5665</v>
      </c>
    </row>
    <row r="1584">
      <c r="A1584" s="362">
        <v>1583.0</v>
      </c>
      <c r="B1584" s="18" t="s">
        <v>60</v>
      </c>
      <c r="C1584" s="18" t="s">
        <v>7031</v>
      </c>
      <c r="D1584" s="18" t="s">
        <v>331</v>
      </c>
      <c r="E1584" s="18" t="s">
        <v>5665</v>
      </c>
    </row>
    <row r="1585">
      <c r="A1585" s="362">
        <v>1584.0</v>
      </c>
      <c r="B1585" s="18" t="s">
        <v>102</v>
      </c>
      <c r="C1585" s="18" t="s">
        <v>7034</v>
      </c>
      <c r="D1585" s="18" t="s">
        <v>170</v>
      </c>
      <c r="E1585" s="18" t="s">
        <v>5665</v>
      </c>
    </row>
    <row r="1586">
      <c r="A1586" s="362">
        <v>1585.0</v>
      </c>
      <c r="B1586" s="18" t="s">
        <v>60</v>
      </c>
      <c r="C1586" s="18" t="s">
        <v>7037</v>
      </c>
      <c r="D1586" s="18" t="s">
        <v>4862</v>
      </c>
      <c r="E1586" s="18" t="s">
        <v>5665</v>
      </c>
    </row>
    <row r="1587">
      <c r="A1587" s="362">
        <v>1586.0</v>
      </c>
      <c r="B1587" s="18" t="s">
        <v>60</v>
      </c>
      <c r="C1587" s="18" t="s">
        <v>7040</v>
      </c>
      <c r="D1587" s="18" t="s">
        <v>3561</v>
      </c>
      <c r="E1587" s="18" t="s">
        <v>5665</v>
      </c>
    </row>
    <row r="1588">
      <c r="A1588" s="362">
        <v>1587.0</v>
      </c>
      <c r="B1588" s="18" t="s">
        <v>60</v>
      </c>
      <c r="C1588" s="18" t="s">
        <v>7042</v>
      </c>
      <c r="D1588" s="18" t="s">
        <v>302</v>
      </c>
      <c r="E1588" s="18" t="s">
        <v>5665</v>
      </c>
    </row>
    <row r="1589">
      <c r="A1589" s="362">
        <v>1588.0</v>
      </c>
      <c r="B1589" s="18" t="s">
        <v>60</v>
      </c>
      <c r="C1589" s="18" t="s">
        <v>7044</v>
      </c>
      <c r="D1589" s="18" t="s">
        <v>58</v>
      </c>
      <c r="E1589" s="18" t="s">
        <v>5665</v>
      </c>
    </row>
    <row r="1590">
      <c r="A1590" s="362">
        <v>1589.0</v>
      </c>
      <c r="B1590" s="18" t="s">
        <v>102</v>
      </c>
      <c r="C1590" s="18" t="s">
        <v>7045</v>
      </c>
      <c r="D1590" s="18" t="s">
        <v>119</v>
      </c>
      <c r="E1590" s="18" t="s">
        <v>5665</v>
      </c>
    </row>
    <row r="1591">
      <c r="A1591" s="362">
        <v>1590.0</v>
      </c>
      <c r="B1591" s="18" t="s">
        <v>102</v>
      </c>
      <c r="C1591" s="18" t="s">
        <v>7046</v>
      </c>
      <c r="D1591" s="18" t="s">
        <v>570</v>
      </c>
      <c r="E1591" s="18" t="s">
        <v>5665</v>
      </c>
    </row>
    <row r="1592">
      <c r="A1592" s="362">
        <v>1591.0</v>
      </c>
      <c r="B1592" s="18" t="s">
        <v>60</v>
      </c>
      <c r="C1592" s="18" t="s">
        <v>7048</v>
      </c>
      <c r="D1592" s="18" t="s">
        <v>302</v>
      </c>
      <c r="E1592" s="18" t="s">
        <v>5665</v>
      </c>
    </row>
    <row r="1593">
      <c r="A1593" s="362">
        <v>1592.0</v>
      </c>
      <c r="B1593" s="18" t="s">
        <v>60</v>
      </c>
      <c r="C1593" s="18" t="s">
        <v>7049</v>
      </c>
      <c r="D1593" s="18" t="s">
        <v>213</v>
      </c>
      <c r="E1593" s="18" t="s">
        <v>5665</v>
      </c>
    </row>
    <row r="1594">
      <c r="A1594" s="362">
        <v>1593.0</v>
      </c>
      <c r="B1594" s="18" t="s">
        <v>60</v>
      </c>
      <c r="C1594" s="18" t="s">
        <v>7051</v>
      </c>
      <c r="D1594" s="18" t="s">
        <v>187</v>
      </c>
      <c r="E1594" s="18" t="s">
        <v>5665</v>
      </c>
    </row>
    <row r="1595">
      <c r="A1595" s="362">
        <v>1594.0</v>
      </c>
      <c r="B1595" s="18" t="s">
        <v>60</v>
      </c>
      <c r="C1595" s="18" t="s">
        <v>7056</v>
      </c>
      <c r="D1595" s="18" t="s">
        <v>212</v>
      </c>
      <c r="E1595" s="18" t="s">
        <v>5665</v>
      </c>
    </row>
    <row r="1596">
      <c r="A1596" s="362">
        <v>1595.0</v>
      </c>
      <c r="B1596" s="18" t="s">
        <v>60</v>
      </c>
      <c r="C1596" s="18" t="s">
        <v>7059</v>
      </c>
      <c r="D1596" s="18" t="s">
        <v>213</v>
      </c>
      <c r="E1596" s="18" t="s">
        <v>5665</v>
      </c>
    </row>
    <row r="1597">
      <c r="A1597" s="362">
        <v>1596.0</v>
      </c>
      <c r="B1597" s="18" t="s">
        <v>60</v>
      </c>
      <c r="C1597" s="18" t="s">
        <v>7061</v>
      </c>
      <c r="D1597" s="18" t="s">
        <v>1157</v>
      </c>
      <c r="E1597" s="18" t="s">
        <v>5665</v>
      </c>
    </row>
    <row r="1598">
      <c r="A1598" s="362">
        <v>1597.0</v>
      </c>
      <c r="B1598" s="18" t="s">
        <v>60</v>
      </c>
      <c r="C1598" s="18" t="s">
        <v>7063</v>
      </c>
      <c r="D1598" s="18" t="s">
        <v>187</v>
      </c>
      <c r="E1598" s="18" t="s">
        <v>5665</v>
      </c>
    </row>
    <row r="1599">
      <c r="A1599" s="362">
        <v>1598.0</v>
      </c>
      <c r="B1599" s="18" t="s">
        <v>60</v>
      </c>
      <c r="C1599" s="18" t="s">
        <v>7065</v>
      </c>
      <c r="D1599" s="18" t="s">
        <v>786</v>
      </c>
      <c r="E1599" s="18" t="s">
        <v>5665</v>
      </c>
    </row>
    <row r="1600">
      <c r="A1600" s="362">
        <v>1599.0</v>
      </c>
      <c r="B1600" s="18" t="s">
        <v>60</v>
      </c>
      <c r="C1600" s="18" t="s">
        <v>7067</v>
      </c>
      <c r="D1600" s="18" t="s">
        <v>321</v>
      </c>
      <c r="E1600" s="18" t="s">
        <v>5665</v>
      </c>
    </row>
    <row r="1601">
      <c r="A1601" s="362">
        <v>1600.0</v>
      </c>
      <c r="B1601" s="18" t="s">
        <v>60</v>
      </c>
      <c r="C1601" s="18" t="s">
        <v>7070</v>
      </c>
      <c r="D1601" s="18" t="s">
        <v>1431</v>
      </c>
      <c r="E1601" s="18" t="s">
        <v>5665</v>
      </c>
    </row>
    <row r="1602">
      <c r="A1602" s="362">
        <v>1601.0</v>
      </c>
      <c r="B1602" s="18" t="s">
        <v>656</v>
      </c>
      <c r="C1602" s="18" t="s">
        <v>7071</v>
      </c>
      <c r="D1602" s="18" t="s">
        <v>213</v>
      </c>
      <c r="E1602" s="18" t="s">
        <v>5665</v>
      </c>
    </row>
    <row r="1603">
      <c r="A1603" s="362">
        <v>1602.0</v>
      </c>
      <c r="B1603" s="18" t="s">
        <v>60</v>
      </c>
      <c r="C1603" s="18" t="s">
        <v>7072</v>
      </c>
      <c r="D1603" s="18" t="s">
        <v>213</v>
      </c>
      <c r="E1603" s="18" t="s">
        <v>5665</v>
      </c>
    </row>
    <row r="1604">
      <c r="A1604" s="362">
        <v>1603.0</v>
      </c>
      <c r="B1604" s="18" t="s">
        <v>102</v>
      </c>
      <c r="C1604" s="18" t="s">
        <v>7077</v>
      </c>
      <c r="D1604" s="18" t="s">
        <v>170</v>
      </c>
      <c r="E1604" s="18" t="s">
        <v>5665</v>
      </c>
    </row>
    <row r="1605">
      <c r="A1605" s="362">
        <v>1604.0</v>
      </c>
      <c r="B1605" s="18" t="s">
        <v>102</v>
      </c>
      <c r="C1605" s="18" t="s">
        <v>7079</v>
      </c>
      <c r="D1605" s="18" t="s">
        <v>295</v>
      </c>
      <c r="E1605" s="18" t="s">
        <v>5665</v>
      </c>
    </row>
    <row r="1606">
      <c r="A1606" s="362">
        <v>1605.0</v>
      </c>
      <c r="B1606" s="18" t="s">
        <v>60</v>
      </c>
      <c r="C1606" s="18" t="s">
        <v>7081</v>
      </c>
      <c r="D1606" s="18" t="s">
        <v>295</v>
      </c>
      <c r="E1606" s="18" t="s">
        <v>5665</v>
      </c>
    </row>
    <row r="1607">
      <c r="A1607" s="362">
        <v>1606.0</v>
      </c>
      <c r="B1607" s="18" t="s">
        <v>60</v>
      </c>
      <c r="C1607" s="18" t="s">
        <v>7082</v>
      </c>
      <c r="D1607" s="18" t="s">
        <v>457</v>
      </c>
      <c r="E1607" s="18" t="s">
        <v>5665</v>
      </c>
    </row>
    <row r="1608">
      <c r="A1608" s="362">
        <v>1607.0</v>
      </c>
      <c r="B1608" s="18" t="s">
        <v>36</v>
      </c>
      <c r="C1608" s="18" t="s">
        <v>7084</v>
      </c>
      <c r="D1608" s="18" t="s">
        <v>170</v>
      </c>
      <c r="E1608" s="18" t="s">
        <v>5665</v>
      </c>
    </row>
    <row r="1609">
      <c r="A1609" s="362">
        <v>1608.0</v>
      </c>
      <c r="B1609" s="18" t="s">
        <v>60</v>
      </c>
      <c r="C1609" s="18" t="s">
        <v>7087</v>
      </c>
      <c r="D1609" s="18" t="s">
        <v>2436</v>
      </c>
      <c r="E1609" s="18" t="s">
        <v>5665</v>
      </c>
    </row>
    <row r="1610">
      <c r="A1610" s="362">
        <v>1609.0</v>
      </c>
      <c r="B1610" s="18" t="s">
        <v>656</v>
      </c>
      <c r="C1610" s="18" t="s">
        <v>7088</v>
      </c>
      <c r="D1610" s="18" t="s">
        <v>2289</v>
      </c>
      <c r="E1610" s="18" t="s">
        <v>5665</v>
      </c>
    </row>
    <row r="1611">
      <c r="A1611" s="362">
        <v>1610.0</v>
      </c>
      <c r="B1611" s="18" t="s">
        <v>60</v>
      </c>
      <c r="C1611" s="18" t="s">
        <v>7090</v>
      </c>
      <c r="D1611" s="18" t="s">
        <v>249</v>
      </c>
      <c r="E1611" s="18" t="s">
        <v>5665</v>
      </c>
    </row>
    <row r="1612">
      <c r="A1612" s="362">
        <v>1611.0</v>
      </c>
      <c r="B1612" s="18" t="s">
        <v>60</v>
      </c>
      <c r="C1612" s="18" t="s">
        <v>7093</v>
      </c>
      <c r="D1612" s="18" t="s">
        <v>139</v>
      </c>
      <c r="E1612" s="18" t="s">
        <v>5665</v>
      </c>
    </row>
    <row r="1613">
      <c r="A1613" s="362">
        <v>1612.0</v>
      </c>
      <c r="B1613" s="18" t="s">
        <v>60</v>
      </c>
      <c r="C1613" s="18" t="s">
        <v>7094</v>
      </c>
      <c r="D1613" s="18" t="s">
        <v>139</v>
      </c>
      <c r="E1613" s="18" t="s">
        <v>5665</v>
      </c>
    </row>
    <row r="1614">
      <c r="A1614" s="362">
        <v>1613.0</v>
      </c>
      <c r="B1614" s="18" t="s">
        <v>60</v>
      </c>
      <c r="C1614" s="18" t="s">
        <v>7097</v>
      </c>
      <c r="D1614" s="18" t="s">
        <v>786</v>
      </c>
      <c r="E1614" s="18" t="s">
        <v>5665</v>
      </c>
    </row>
    <row r="1615">
      <c r="A1615" s="362">
        <v>1614.0</v>
      </c>
      <c r="B1615" s="18" t="s">
        <v>60</v>
      </c>
      <c r="C1615" s="18" t="s">
        <v>7102</v>
      </c>
      <c r="D1615" s="18" t="s">
        <v>1536</v>
      </c>
      <c r="E1615" s="18" t="s">
        <v>5665</v>
      </c>
    </row>
    <row r="1616">
      <c r="A1616" s="362">
        <v>1615.0</v>
      </c>
      <c r="B1616" s="18" t="s">
        <v>60</v>
      </c>
      <c r="C1616" s="18" t="s">
        <v>7104</v>
      </c>
      <c r="D1616" s="18" t="s">
        <v>2929</v>
      </c>
      <c r="E1616" s="18" t="s">
        <v>5665</v>
      </c>
    </row>
    <row r="1617">
      <c r="A1617" s="362">
        <v>1616.0</v>
      </c>
      <c r="B1617" s="18" t="s">
        <v>60</v>
      </c>
      <c r="C1617" s="18" t="s">
        <v>7105</v>
      </c>
      <c r="D1617" s="18" t="s">
        <v>786</v>
      </c>
      <c r="E1617" s="18" t="s">
        <v>5665</v>
      </c>
    </row>
    <row r="1618">
      <c r="A1618" s="362">
        <v>1617.0</v>
      </c>
      <c r="B1618" s="18" t="s">
        <v>102</v>
      </c>
      <c r="C1618" s="18" t="s">
        <v>7109</v>
      </c>
      <c r="D1618" s="18" t="s">
        <v>178</v>
      </c>
      <c r="E1618" s="18" t="s">
        <v>5665</v>
      </c>
    </row>
    <row r="1619">
      <c r="A1619" s="362">
        <v>1618.0</v>
      </c>
      <c r="B1619" s="18" t="s">
        <v>60</v>
      </c>
      <c r="C1619" s="18" t="s">
        <v>7113</v>
      </c>
      <c r="D1619" s="18" t="s">
        <v>1536</v>
      </c>
      <c r="E1619" s="18" t="s">
        <v>5665</v>
      </c>
    </row>
    <row r="1620">
      <c r="A1620" s="362">
        <v>1619.0</v>
      </c>
      <c r="B1620" s="18" t="s">
        <v>60</v>
      </c>
      <c r="C1620" s="18" t="s">
        <v>7115</v>
      </c>
      <c r="D1620" s="18" t="s">
        <v>3561</v>
      </c>
      <c r="E1620" s="18" t="s">
        <v>5665</v>
      </c>
    </row>
    <row r="1621">
      <c r="A1621" s="362">
        <v>1620.0</v>
      </c>
      <c r="B1621" s="18" t="s">
        <v>60</v>
      </c>
      <c r="C1621" s="18" t="s">
        <v>7118</v>
      </c>
      <c r="D1621" s="18" t="s">
        <v>1431</v>
      </c>
      <c r="E1621" s="18" t="s">
        <v>5665</v>
      </c>
    </row>
    <row r="1622">
      <c r="A1622" s="362">
        <v>1621.0</v>
      </c>
      <c r="B1622" s="18" t="s">
        <v>60</v>
      </c>
      <c r="C1622" s="18" t="s">
        <v>7120</v>
      </c>
      <c r="D1622" s="18" t="s">
        <v>2919</v>
      </c>
      <c r="E1622" s="18" t="s">
        <v>5665</v>
      </c>
    </row>
    <row r="1623">
      <c r="A1623" s="362">
        <v>1622.0</v>
      </c>
      <c r="B1623" s="18" t="s">
        <v>60</v>
      </c>
      <c r="C1623" s="18" t="s">
        <v>7123</v>
      </c>
      <c r="D1623" s="18" t="s">
        <v>1431</v>
      </c>
      <c r="E1623" s="18" t="s">
        <v>5665</v>
      </c>
    </row>
    <row r="1624">
      <c r="A1624" s="362">
        <v>1623.0</v>
      </c>
      <c r="B1624" s="18" t="s">
        <v>60</v>
      </c>
      <c r="C1624" s="18" t="s">
        <v>7125</v>
      </c>
      <c r="D1624" s="18" t="s">
        <v>4369</v>
      </c>
      <c r="E1624" s="18" t="s">
        <v>5665</v>
      </c>
    </row>
    <row r="1625">
      <c r="A1625" s="362">
        <v>1624.0</v>
      </c>
      <c r="B1625" s="18" t="s">
        <v>60</v>
      </c>
      <c r="C1625" s="18" t="s">
        <v>7126</v>
      </c>
      <c r="D1625" s="18" t="s">
        <v>152</v>
      </c>
      <c r="E1625" s="18" t="s">
        <v>5665</v>
      </c>
    </row>
    <row r="1626">
      <c r="A1626" s="362">
        <v>1625.0</v>
      </c>
      <c r="B1626" s="18" t="s">
        <v>60</v>
      </c>
      <c r="C1626" s="18" t="s">
        <v>7130</v>
      </c>
      <c r="D1626" s="18" t="s">
        <v>201</v>
      </c>
      <c r="E1626" s="18" t="s">
        <v>5665</v>
      </c>
    </row>
    <row r="1627">
      <c r="A1627" s="362">
        <v>1626.0</v>
      </c>
      <c r="B1627" s="18" t="s">
        <v>60</v>
      </c>
      <c r="C1627" s="18" t="s">
        <v>7133</v>
      </c>
      <c r="D1627" s="18" t="s">
        <v>786</v>
      </c>
      <c r="E1627" s="18" t="s">
        <v>5665</v>
      </c>
    </row>
    <row r="1628">
      <c r="A1628" s="362">
        <v>1627.0</v>
      </c>
      <c r="B1628" s="18" t="s">
        <v>60</v>
      </c>
      <c r="C1628" s="18" t="s">
        <v>7135</v>
      </c>
      <c r="D1628" s="18" t="s">
        <v>201</v>
      </c>
      <c r="E1628" s="18" t="s">
        <v>5665</v>
      </c>
    </row>
    <row r="1629">
      <c r="A1629" s="362">
        <v>1628.0</v>
      </c>
      <c r="B1629" s="18" t="s">
        <v>60</v>
      </c>
      <c r="C1629" s="18" t="s">
        <v>7137</v>
      </c>
      <c r="D1629" s="18" t="s">
        <v>213</v>
      </c>
      <c r="E1629" s="18" t="s">
        <v>5665</v>
      </c>
    </row>
    <row r="1630">
      <c r="A1630" s="362">
        <v>1629.0</v>
      </c>
      <c r="B1630" s="18" t="s">
        <v>60</v>
      </c>
      <c r="C1630" s="18" t="s">
        <v>7139</v>
      </c>
      <c r="D1630" s="18" t="s">
        <v>201</v>
      </c>
      <c r="E1630" s="18" t="s">
        <v>5665</v>
      </c>
    </row>
    <row r="1631">
      <c r="A1631" s="362">
        <v>1630.0</v>
      </c>
      <c r="B1631" s="18" t="s">
        <v>60</v>
      </c>
      <c r="C1631" s="18" t="s">
        <v>7141</v>
      </c>
      <c r="D1631" s="18" t="s">
        <v>331</v>
      </c>
      <c r="E1631" s="18" t="s">
        <v>5665</v>
      </c>
    </row>
    <row r="1632">
      <c r="A1632" s="362">
        <v>1631.0</v>
      </c>
      <c r="B1632" s="18" t="s">
        <v>60</v>
      </c>
      <c r="C1632" s="18" t="s">
        <v>7142</v>
      </c>
      <c r="D1632" s="18" t="s">
        <v>3561</v>
      </c>
      <c r="E1632" s="18" t="s">
        <v>5665</v>
      </c>
    </row>
    <row r="1633">
      <c r="A1633" s="362">
        <v>1632.0</v>
      </c>
      <c r="B1633" s="18" t="s">
        <v>60</v>
      </c>
      <c r="C1633" s="18" t="s">
        <v>7144</v>
      </c>
      <c r="D1633" s="18" t="s">
        <v>1431</v>
      </c>
      <c r="E1633" s="18" t="s">
        <v>5665</v>
      </c>
    </row>
    <row r="1634">
      <c r="A1634" s="362">
        <v>1633.0</v>
      </c>
      <c r="B1634" s="18" t="s">
        <v>60</v>
      </c>
      <c r="C1634" s="18" t="s">
        <v>7149</v>
      </c>
      <c r="D1634" s="18" t="s">
        <v>6404</v>
      </c>
      <c r="E1634" s="18" t="s">
        <v>5665</v>
      </c>
    </row>
    <row r="1635">
      <c r="A1635" s="362">
        <v>1634.0</v>
      </c>
      <c r="B1635" s="18" t="s">
        <v>96</v>
      </c>
      <c r="C1635" s="18" t="s">
        <v>7150</v>
      </c>
      <c r="D1635" s="18" t="s">
        <v>267</v>
      </c>
      <c r="E1635" s="18" t="s">
        <v>5665</v>
      </c>
    </row>
    <row r="1636">
      <c r="A1636" s="362">
        <v>1635.0</v>
      </c>
      <c r="B1636" s="18" t="s">
        <v>504</v>
      </c>
      <c r="C1636" s="18" t="s">
        <v>7152</v>
      </c>
      <c r="D1636" s="18" t="s">
        <v>119</v>
      </c>
      <c r="E1636" s="18" t="s">
        <v>5665</v>
      </c>
    </row>
    <row r="1637">
      <c r="A1637" s="362">
        <v>1636.0</v>
      </c>
      <c r="B1637" s="18" t="s">
        <v>326</v>
      </c>
      <c r="C1637" s="18" t="s">
        <v>7154</v>
      </c>
      <c r="D1637" s="18" t="s">
        <v>1157</v>
      </c>
      <c r="E1637" s="18" t="s">
        <v>5665</v>
      </c>
    </row>
    <row r="1638">
      <c r="A1638" s="362">
        <v>1637.0</v>
      </c>
      <c r="B1638" s="18" t="s">
        <v>102</v>
      </c>
      <c r="C1638" s="18" t="s">
        <v>7155</v>
      </c>
      <c r="D1638" s="18" t="s">
        <v>178</v>
      </c>
      <c r="E1638" s="18" t="s">
        <v>5665</v>
      </c>
    </row>
    <row r="1639">
      <c r="A1639" s="362">
        <v>1638.0</v>
      </c>
      <c r="B1639" s="18" t="s">
        <v>326</v>
      </c>
      <c r="C1639" s="18" t="s">
        <v>7156</v>
      </c>
      <c r="D1639" s="18" t="s">
        <v>178</v>
      </c>
      <c r="E1639" s="18" t="s">
        <v>5665</v>
      </c>
    </row>
    <row r="1640">
      <c r="A1640" s="362">
        <v>1639.0</v>
      </c>
      <c r="B1640" s="18" t="s">
        <v>60</v>
      </c>
      <c r="C1640" s="18" t="s">
        <v>7158</v>
      </c>
      <c r="D1640" s="18" t="s">
        <v>331</v>
      </c>
      <c r="E1640" s="18" t="s">
        <v>5665</v>
      </c>
    </row>
    <row r="1641">
      <c r="A1641" s="362">
        <v>1640.0</v>
      </c>
      <c r="B1641" s="18" t="s">
        <v>60</v>
      </c>
      <c r="C1641" s="18" t="s">
        <v>7159</v>
      </c>
      <c r="D1641" s="18" t="s">
        <v>178</v>
      </c>
      <c r="E1641" s="18" t="s">
        <v>5665</v>
      </c>
    </row>
    <row r="1642">
      <c r="A1642" s="362">
        <v>1641.0</v>
      </c>
      <c r="B1642" s="18" t="s">
        <v>60</v>
      </c>
      <c r="C1642" s="18" t="s">
        <v>7160</v>
      </c>
      <c r="D1642" s="18" t="s">
        <v>3205</v>
      </c>
      <c r="E1642" s="18" t="s">
        <v>5665</v>
      </c>
    </row>
    <row r="1643">
      <c r="A1643" s="362">
        <v>1642.0</v>
      </c>
      <c r="B1643" s="18" t="s">
        <v>60</v>
      </c>
      <c r="C1643" s="18" t="s">
        <v>7162</v>
      </c>
      <c r="D1643" s="18" t="s">
        <v>3205</v>
      </c>
      <c r="E1643" s="18" t="s">
        <v>5665</v>
      </c>
    </row>
    <row r="1644">
      <c r="A1644" s="362">
        <v>1643.0</v>
      </c>
      <c r="B1644" s="18" t="s">
        <v>36</v>
      </c>
      <c r="C1644" s="18" t="s">
        <v>7163</v>
      </c>
      <c r="D1644" s="18" t="s">
        <v>170</v>
      </c>
      <c r="E1644" s="18" t="s">
        <v>5665</v>
      </c>
    </row>
    <row r="1645">
      <c r="A1645" s="362">
        <v>1644.0</v>
      </c>
      <c r="B1645" s="18" t="s">
        <v>60</v>
      </c>
      <c r="C1645" s="18" t="s">
        <v>7165</v>
      </c>
      <c r="D1645" s="18" t="s">
        <v>331</v>
      </c>
      <c r="E1645" s="18" t="s">
        <v>5665</v>
      </c>
    </row>
    <row r="1646">
      <c r="A1646" s="362">
        <v>1645.0</v>
      </c>
      <c r="B1646" s="18" t="s">
        <v>60</v>
      </c>
      <c r="C1646" s="18" t="s">
        <v>7168</v>
      </c>
      <c r="D1646" s="18" t="s">
        <v>786</v>
      </c>
      <c r="E1646" s="18" t="s">
        <v>5665</v>
      </c>
    </row>
    <row r="1647">
      <c r="A1647" s="362">
        <v>1646.0</v>
      </c>
      <c r="B1647" s="18" t="s">
        <v>102</v>
      </c>
      <c r="C1647" s="18" t="s">
        <v>7171</v>
      </c>
      <c r="D1647" s="18" t="s">
        <v>178</v>
      </c>
      <c r="E1647" s="18" t="s">
        <v>5665</v>
      </c>
    </row>
    <row r="1648">
      <c r="A1648" s="362">
        <v>1647.0</v>
      </c>
      <c r="B1648" s="18" t="s">
        <v>60</v>
      </c>
      <c r="C1648" s="18" t="s">
        <v>7173</v>
      </c>
      <c r="D1648" s="18" t="s">
        <v>178</v>
      </c>
      <c r="E1648" s="18" t="s">
        <v>5665</v>
      </c>
    </row>
    <row r="1649">
      <c r="A1649" s="362">
        <v>1648.0</v>
      </c>
      <c r="B1649" s="18" t="s">
        <v>96</v>
      </c>
      <c r="C1649" s="18" t="s">
        <v>7174</v>
      </c>
      <c r="D1649" s="18" t="s">
        <v>267</v>
      </c>
      <c r="E1649" s="18" t="s">
        <v>5665</v>
      </c>
    </row>
    <row r="1650">
      <c r="A1650" s="362">
        <v>1649.0</v>
      </c>
      <c r="B1650" s="18" t="s">
        <v>96</v>
      </c>
      <c r="C1650" s="18" t="s">
        <v>7175</v>
      </c>
      <c r="D1650" s="18" t="s">
        <v>267</v>
      </c>
      <c r="E1650" s="18" t="s">
        <v>5665</v>
      </c>
    </row>
    <row r="1651">
      <c r="A1651" s="362">
        <v>1650.0</v>
      </c>
      <c r="B1651" s="18" t="s">
        <v>96</v>
      </c>
      <c r="C1651" s="18" t="s">
        <v>7177</v>
      </c>
      <c r="D1651" s="18" t="s">
        <v>1088</v>
      </c>
      <c r="E1651" s="18" t="s">
        <v>5665</v>
      </c>
    </row>
    <row r="1652">
      <c r="A1652" s="362">
        <v>1651.0</v>
      </c>
      <c r="B1652" s="18" t="s">
        <v>102</v>
      </c>
      <c r="C1652" s="18" t="s">
        <v>7179</v>
      </c>
      <c r="D1652" s="18" t="s">
        <v>119</v>
      </c>
      <c r="E1652" s="18" t="s">
        <v>5665</v>
      </c>
    </row>
    <row r="1653">
      <c r="A1653" s="362">
        <v>1652.0</v>
      </c>
      <c r="B1653" s="18" t="s">
        <v>102</v>
      </c>
      <c r="C1653" s="18" t="s">
        <v>7180</v>
      </c>
      <c r="D1653" s="18" t="s">
        <v>119</v>
      </c>
      <c r="E1653" s="18" t="s">
        <v>5665</v>
      </c>
    </row>
    <row r="1654">
      <c r="A1654" s="362">
        <v>1653.0</v>
      </c>
      <c r="B1654" s="18" t="s">
        <v>102</v>
      </c>
      <c r="C1654" s="18" t="s">
        <v>7185</v>
      </c>
      <c r="D1654" s="18" t="s">
        <v>178</v>
      </c>
      <c r="E1654" s="18" t="s">
        <v>5665</v>
      </c>
    </row>
    <row r="1655">
      <c r="A1655" s="362">
        <v>1654.0</v>
      </c>
      <c r="B1655" s="18" t="s">
        <v>656</v>
      </c>
      <c r="C1655" s="18" t="s">
        <v>7188</v>
      </c>
      <c r="D1655" s="18" t="s">
        <v>178</v>
      </c>
      <c r="E1655" s="18" t="s">
        <v>5665</v>
      </c>
    </row>
    <row r="1656">
      <c r="A1656" s="362">
        <v>1655.0</v>
      </c>
      <c r="B1656" s="18" t="s">
        <v>60</v>
      </c>
      <c r="C1656" s="18" t="s">
        <v>7190</v>
      </c>
      <c r="D1656" s="18" t="s">
        <v>187</v>
      </c>
      <c r="E1656" s="18" t="s">
        <v>5665</v>
      </c>
    </row>
    <row r="1657">
      <c r="A1657" s="362">
        <v>1656.0</v>
      </c>
      <c r="B1657" s="18" t="s">
        <v>610</v>
      </c>
      <c r="C1657" s="18" t="s">
        <v>7194</v>
      </c>
      <c r="D1657" s="18" t="s">
        <v>178</v>
      </c>
      <c r="E1657" s="18" t="s">
        <v>5665</v>
      </c>
    </row>
    <row r="1658">
      <c r="A1658" s="362">
        <v>1657.0</v>
      </c>
      <c r="B1658" s="18" t="s">
        <v>60</v>
      </c>
      <c r="C1658" s="18" t="s">
        <v>7196</v>
      </c>
      <c r="D1658" s="18" t="s">
        <v>3938</v>
      </c>
      <c r="E1658" s="18" t="s">
        <v>5665</v>
      </c>
    </row>
    <row r="1659">
      <c r="A1659" s="362">
        <v>1658.0</v>
      </c>
      <c r="B1659" s="18" t="s">
        <v>60</v>
      </c>
      <c r="C1659" s="18" t="s">
        <v>7198</v>
      </c>
      <c r="D1659" s="18" t="s">
        <v>3078</v>
      </c>
      <c r="E1659" s="18" t="s">
        <v>5665</v>
      </c>
    </row>
    <row r="1660">
      <c r="A1660" s="362">
        <v>1659.0</v>
      </c>
      <c r="B1660" s="18" t="s">
        <v>656</v>
      </c>
      <c r="C1660" s="18" t="s">
        <v>7200</v>
      </c>
      <c r="D1660" s="18" t="s">
        <v>58</v>
      </c>
      <c r="E1660" s="18" t="s">
        <v>5665</v>
      </c>
    </row>
    <row r="1661">
      <c r="A1661" s="362">
        <v>1660.0</v>
      </c>
      <c r="B1661" s="18" t="s">
        <v>60</v>
      </c>
      <c r="C1661" s="18" t="s">
        <v>7203</v>
      </c>
      <c r="D1661" s="18" t="s">
        <v>302</v>
      </c>
      <c r="E1661" s="18" t="s">
        <v>5665</v>
      </c>
    </row>
    <row r="1662">
      <c r="A1662" s="362">
        <v>1661.0</v>
      </c>
      <c r="B1662" s="18" t="s">
        <v>102</v>
      </c>
      <c r="C1662" s="18" t="s">
        <v>7205</v>
      </c>
      <c r="D1662" s="18" t="s">
        <v>119</v>
      </c>
      <c r="E1662" s="18" t="s">
        <v>5665</v>
      </c>
    </row>
    <row r="1663">
      <c r="A1663" s="362">
        <v>1662.0</v>
      </c>
      <c r="B1663" s="18" t="s">
        <v>60</v>
      </c>
      <c r="C1663" s="18" t="s">
        <v>7206</v>
      </c>
      <c r="D1663" s="18" t="s">
        <v>295</v>
      </c>
      <c r="E1663" s="18" t="s">
        <v>5665</v>
      </c>
    </row>
    <row r="1664">
      <c r="A1664" s="362">
        <v>1663.0</v>
      </c>
      <c r="B1664" s="18" t="s">
        <v>60</v>
      </c>
      <c r="C1664" s="18" t="s">
        <v>7210</v>
      </c>
      <c r="D1664" s="18" t="s">
        <v>139</v>
      </c>
      <c r="E1664" s="18" t="s">
        <v>5665</v>
      </c>
    </row>
    <row r="1665">
      <c r="A1665" s="362">
        <v>1664.0</v>
      </c>
      <c r="B1665" s="18" t="s">
        <v>102</v>
      </c>
      <c r="C1665" s="18" t="s">
        <v>7214</v>
      </c>
      <c r="D1665" s="18" t="s">
        <v>4867</v>
      </c>
      <c r="E1665" s="18" t="s">
        <v>5665</v>
      </c>
    </row>
    <row r="1666">
      <c r="A1666" s="362">
        <v>1665.0</v>
      </c>
      <c r="B1666" s="18" t="s">
        <v>60</v>
      </c>
      <c r="C1666" s="18" t="s">
        <v>7215</v>
      </c>
      <c r="D1666" s="18" t="s">
        <v>4867</v>
      </c>
      <c r="E1666" s="18" t="s">
        <v>5665</v>
      </c>
    </row>
    <row r="1667">
      <c r="A1667" s="362">
        <v>1666.0</v>
      </c>
      <c r="B1667" s="18" t="s">
        <v>60</v>
      </c>
      <c r="C1667" s="18" t="s">
        <v>7216</v>
      </c>
      <c r="D1667" s="18" t="s">
        <v>4867</v>
      </c>
      <c r="E1667" s="18" t="s">
        <v>5665</v>
      </c>
    </row>
    <row r="1668">
      <c r="A1668" s="362">
        <v>1667.0</v>
      </c>
      <c r="B1668" s="18" t="s">
        <v>60</v>
      </c>
      <c r="C1668" s="18" t="s">
        <v>7220</v>
      </c>
      <c r="D1668" s="18" t="s">
        <v>1431</v>
      </c>
      <c r="E1668" s="18" t="s">
        <v>5665</v>
      </c>
    </row>
    <row r="1669">
      <c r="A1669" s="362">
        <v>1668.0</v>
      </c>
      <c r="B1669" s="18" t="s">
        <v>60</v>
      </c>
      <c r="C1669" s="18" t="s">
        <v>7223</v>
      </c>
      <c r="D1669" s="18" t="s">
        <v>1431</v>
      </c>
      <c r="E1669" s="18" t="s">
        <v>5665</v>
      </c>
    </row>
    <row r="1670">
      <c r="A1670" s="362">
        <v>1669.0</v>
      </c>
      <c r="B1670" s="18" t="s">
        <v>60</v>
      </c>
      <c r="C1670" s="18" t="s">
        <v>7225</v>
      </c>
      <c r="D1670" s="18" t="s">
        <v>3761</v>
      </c>
      <c r="E1670" s="18" t="s">
        <v>5665</v>
      </c>
    </row>
    <row r="1671">
      <c r="A1671" s="362">
        <v>1670.0</v>
      </c>
      <c r="B1671" s="18" t="s">
        <v>60</v>
      </c>
      <c r="C1671" s="18" t="s">
        <v>7230</v>
      </c>
      <c r="D1671" s="18" t="s">
        <v>3761</v>
      </c>
      <c r="E1671" s="18" t="s">
        <v>5665</v>
      </c>
    </row>
    <row r="1672">
      <c r="A1672" s="362">
        <v>1671.0</v>
      </c>
      <c r="B1672" s="18" t="s">
        <v>60</v>
      </c>
      <c r="C1672" s="18" t="s">
        <v>7233</v>
      </c>
      <c r="D1672" s="18" t="s">
        <v>786</v>
      </c>
      <c r="E1672" s="18" t="s">
        <v>5665</v>
      </c>
    </row>
    <row r="1673">
      <c r="A1673" s="362">
        <v>1672.0</v>
      </c>
      <c r="B1673" s="18" t="s">
        <v>102</v>
      </c>
      <c r="C1673" s="18" t="s">
        <v>7234</v>
      </c>
      <c r="D1673" s="18" t="s">
        <v>3761</v>
      </c>
      <c r="E1673" s="18" t="s">
        <v>5665</v>
      </c>
    </row>
    <row r="1674">
      <c r="A1674" s="362">
        <v>1673.0</v>
      </c>
      <c r="B1674" s="18" t="s">
        <v>60</v>
      </c>
      <c r="C1674" s="18" t="s">
        <v>7238</v>
      </c>
      <c r="D1674" s="18" t="s">
        <v>1431</v>
      </c>
      <c r="E1674" s="18" t="s">
        <v>5665</v>
      </c>
    </row>
    <row r="1675">
      <c r="A1675" s="362">
        <v>1674.0</v>
      </c>
      <c r="B1675" s="18" t="s">
        <v>60</v>
      </c>
      <c r="C1675" s="18" t="s">
        <v>7241</v>
      </c>
      <c r="D1675" s="18" t="s">
        <v>786</v>
      </c>
      <c r="E1675" s="18" t="s">
        <v>5665</v>
      </c>
    </row>
    <row r="1676">
      <c r="A1676" s="362">
        <v>1675.0</v>
      </c>
      <c r="B1676" s="18" t="s">
        <v>60</v>
      </c>
      <c r="C1676" s="18" t="s">
        <v>7244</v>
      </c>
      <c r="D1676" s="18" t="s">
        <v>786</v>
      </c>
      <c r="E1676" s="18" t="s">
        <v>5665</v>
      </c>
    </row>
    <row r="1677">
      <c r="A1677" s="362">
        <v>1676.0</v>
      </c>
      <c r="B1677" s="18" t="s">
        <v>102</v>
      </c>
      <c r="C1677" s="18" t="s">
        <v>7245</v>
      </c>
      <c r="D1677" s="18" t="s">
        <v>3761</v>
      </c>
      <c r="E1677" s="18" t="s">
        <v>5665</v>
      </c>
    </row>
    <row r="1678">
      <c r="A1678" s="362">
        <v>1677.0</v>
      </c>
      <c r="B1678" s="18" t="s">
        <v>60</v>
      </c>
      <c r="C1678" s="18" t="s">
        <v>7249</v>
      </c>
      <c r="D1678" s="18" t="s">
        <v>786</v>
      </c>
      <c r="E1678" s="18" t="s">
        <v>5665</v>
      </c>
    </row>
    <row r="1679">
      <c r="A1679" s="362">
        <v>1678.0</v>
      </c>
      <c r="B1679" s="18" t="s">
        <v>143</v>
      </c>
      <c r="C1679" s="18" t="s">
        <v>7251</v>
      </c>
      <c r="D1679" s="18" t="s">
        <v>170</v>
      </c>
      <c r="E1679" s="18" t="s">
        <v>5665</v>
      </c>
    </row>
    <row r="1680">
      <c r="A1680" s="362">
        <v>1679.0</v>
      </c>
      <c r="B1680" s="18" t="s">
        <v>60</v>
      </c>
      <c r="C1680" s="18" t="s">
        <v>7252</v>
      </c>
      <c r="D1680" s="18" t="s">
        <v>786</v>
      </c>
      <c r="E1680" s="18" t="s">
        <v>5665</v>
      </c>
    </row>
    <row r="1681">
      <c r="A1681" s="362">
        <v>1680.0</v>
      </c>
      <c r="B1681" s="18" t="s">
        <v>96</v>
      </c>
      <c r="C1681" s="18" t="s">
        <v>7254</v>
      </c>
      <c r="D1681" s="18" t="s">
        <v>170</v>
      </c>
      <c r="E1681" s="18" t="s">
        <v>5665</v>
      </c>
    </row>
    <row r="1682">
      <c r="A1682" s="362">
        <v>1681.0</v>
      </c>
      <c r="B1682" s="18" t="s">
        <v>60</v>
      </c>
      <c r="C1682" s="18" t="s">
        <v>7256</v>
      </c>
      <c r="D1682" s="18" t="s">
        <v>1466</v>
      </c>
      <c r="E1682" s="18" t="s">
        <v>5665</v>
      </c>
    </row>
    <row r="1683">
      <c r="A1683" s="362">
        <v>1682.0</v>
      </c>
      <c r="B1683" s="18" t="s">
        <v>102</v>
      </c>
      <c r="C1683" s="18" t="s">
        <v>7258</v>
      </c>
      <c r="D1683" s="18" t="s">
        <v>119</v>
      </c>
      <c r="E1683" s="18" t="s">
        <v>5665</v>
      </c>
    </row>
    <row r="1684">
      <c r="A1684" s="362">
        <v>1683.0</v>
      </c>
      <c r="B1684" s="18" t="s">
        <v>102</v>
      </c>
      <c r="C1684" s="18" t="s">
        <v>7259</v>
      </c>
      <c r="D1684" s="18" t="s">
        <v>163</v>
      </c>
      <c r="E1684" s="18" t="s">
        <v>5665</v>
      </c>
    </row>
    <row r="1685">
      <c r="A1685" s="362">
        <v>1684.0</v>
      </c>
      <c r="B1685" s="18" t="s">
        <v>102</v>
      </c>
      <c r="C1685" s="18" t="s">
        <v>7261</v>
      </c>
      <c r="D1685" s="18" t="s">
        <v>170</v>
      </c>
      <c r="E1685" s="18" t="s">
        <v>5665</v>
      </c>
    </row>
    <row r="1686">
      <c r="A1686" s="362">
        <v>1685.0</v>
      </c>
      <c r="B1686" s="18" t="s">
        <v>60</v>
      </c>
      <c r="C1686" s="18" t="s">
        <v>7265</v>
      </c>
      <c r="D1686" s="18" t="s">
        <v>3656</v>
      </c>
      <c r="E1686" s="18" t="s">
        <v>5665</v>
      </c>
    </row>
    <row r="1687">
      <c r="A1687" s="362">
        <v>1686.0</v>
      </c>
      <c r="B1687" s="18" t="s">
        <v>60</v>
      </c>
      <c r="C1687" s="18" t="s">
        <v>7268</v>
      </c>
      <c r="D1687" s="18" t="s">
        <v>786</v>
      </c>
      <c r="E1687" s="18" t="s">
        <v>5665</v>
      </c>
    </row>
    <row r="1688">
      <c r="A1688" s="362">
        <v>1687.0</v>
      </c>
      <c r="B1688" s="18" t="s">
        <v>102</v>
      </c>
      <c r="C1688" s="18" t="s">
        <v>7271</v>
      </c>
      <c r="D1688" s="18" t="s">
        <v>3656</v>
      </c>
      <c r="E1688" s="18" t="s">
        <v>5665</v>
      </c>
    </row>
    <row r="1689">
      <c r="A1689" s="362">
        <v>1688.0</v>
      </c>
      <c r="B1689" s="18" t="s">
        <v>60</v>
      </c>
      <c r="C1689" s="18" t="s">
        <v>7275</v>
      </c>
      <c r="D1689" s="18" t="s">
        <v>152</v>
      </c>
      <c r="E1689" s="18" t="s">
        <v>5665</v>
      </c>
    </row>
    <row r="1690">
      <c r="A1690" s="362">
        <v>1689.0</v>
      </c>
      <c r="B1690" s="18" t="s">
        <v>102</v>
      </c>
      <c r="C1690" s="18" t="s">
        <v>7276</v>
      </c>
      <c r="D1690" s="18" t="s">
        <v>119</v>
      </c>
      <c r="E1690" s="18" t="s">
        <v>5665</v>
      </c>
    </row>
    <row r="1691">
      <c r="A1691" s="362">
        <v>1690.0</v>
      </c>
      <c r="B1691" s="18" t="s">
        <v>60</v>
      </c>
      <c r="C1691" s="18" t="s">
        <v>7277</v>
      </c>
      <c r="D1691" s="18" t="s">
        <v>152</v>
      </c>
      <c r="E1691" s="18" t="s">
        <v>5665</v>
      </c>
    </row>
    <row r="1692">
      <c r="A1692" s="362">
        <v>1691.0</v>
      </c>
      <c r="B1692" s="18" t="s">
        <v>102</v>
      </c>
      <c r="C1692" s="18" t="s">
        <v>7278</v>
      </c>
      <c r="D1692" s="18" t="s">
        <v>119</v>
      </c>
      <c r="E1692" s="18" t="s">
        <v>5665</v>
      </c>
    </row>
    <row r="1693">
      <c r="A1693" s="362">
        <v>1692.0</v>
      </c>
      <c r="B1693" s="18" t="s">
        <v>60</v>
      </c>
      <c r="C1693" s="18" t="s">
        <v>7280</v>
      </c>
      <c r="D1693" s="18" t="s">
        <v>1431</v>
      </c>
      <c r="E1693" s="18" t="s">
        <v>5665</v>
      </c>
    </row>
    <row r="1694">
      <c r="A1694" s="362">
        <v>1693.0</v>
      </c>
      <c r="B1694" s="18" t="s">
        <v>60</v>
      </c>
      <c r="C1694" s="18" t="s">
        <v>7281</v>
      </c>
      <c r="D1694" s="18" t="s">
        <v>786</v>
      </c>
      <c r="E1694" s="18" t="s">
        <v>5665</v>
      </c>
    </row>
    <row r="1695">
      <c r="A1695" s="362">
        <v>1694.0</v>
      </c>
      <c r="B1695" s="18" t="s">
        <v>326</v>
      </c>
      <c r="C1695" s="18" t="s">
        <v>7283</v>
      </c>
      <c r="D1695" s="18" t="s">
        <v>3761</v>
      </c>
      <c r="E1695" s="18" t="s">
        <v>5665</v>
      </c>
    </row>
    <row r="1696">
      <c r="A1696" s="362">
        <v>1695.0</v>
      </c>
      <c r="B1696" s="18" t="s">
        <v>60</v>
      </c>
      <c r="C1696" s="18" t="s">
        <v>7286</v>
      </c>
      <c r="D1696" s="18" t="s">
        <v>786</v>
      </c>
      <c r="E1696" s="18" t="s">
        <v>5665</v>
      </c>
    </row>
    <row r="1697">
      <c r="A1697" s="362">
        <v>1696.0</v>
      </c>
      <c r="B1697" s="18" t="s">
        <v>60</v>
      </c>
      <c r="C1697" s="18" t="s">
        <v>7288</v>
      </c>
      <c r="D1697" s="18" t="s">
        <v>786</v>
      </c>
      <c r="E1697" s="18" t="s">
        <v>5665</v>
      </c>
    </row>
    <row r="1698">
      <c r="A1698" s="362">
        <v>1697.0</v>
      </c>
      <c r="B1698" s="18" t="s">
        <v>102</v>
      </c>
      <c r="C1698" s="18" t="s">
        <v>7292</v>
      </c>
      <c r="D1698" s="18" t="s">
        <v>3761</v>
      </c>
      <c r="E1698" s="18" t="s">
        <v>5665</v>
      </c>
    </row>
    <row r="1699">
      <c r="A1699" s="362">
        <v>1698.0</v>
      </c>
      <c r="B1699" s="18" t="s">
        <v>102</v>
      </c>
      <c r="C1699" s="18" t="s">
        <v>7294</v>
      </c>
      <c r="D1699" s="18" t="s">
        <v>3761</v>
      </c>
      <c r="E1699" s="18" t="s">
        <v>5665</v>
      </c>
    </row>
    <row r="1700">
      <c r="A1700" s="362">
        <v>1699.0</v>
      </c>
      <c r="B1700" s="18" t="s">
        <v>60</v>
      </c>
      <c r="C1700" s="18" t="s">
        <v>7297</v>
      </c>
      <c r="D1700" s="18" t="s">
        <v>3761</v>
      </c>
      <c r="E1700" s="18" t="s">
        <v>5665</v>
      </c>
    </row>
    <row r="1701">
      <c r="A1701" s="362">
        <v>1700.0</v>
      </c>
      <c r="B1701" s="18" t="s">
        <v>102</v>
      </c>
      <c r="C1701" s="18" t="s">
        <v>7298</v>
      </c>
      <c r="D1701" s="18" t="s">
        <v>786</v>
      </c>
      <c r="E1701" s="18" t="s">
        <v>5665</v>
      </c>
    </row>
    <row r="1702">
      <c r="A1702" s="362">
        <v>1701.0</v>
      </c>
      <c r="B1702" s="18" t="s">
        <v>102</v>
      </c>
      <c r="C1702" s="18" t="s">
        <v>7300</v>
      </c>
      <c r="D1702" s="18" t="s">
        <v>3761</v>
      </c>
      <c r="E1702" s="18" t="s">
        <v>5665</v>
      </c>
    </row>
    <row r="1703">
      <c r="A1703" s="362">
        <v>1702.0</v>
      </c>
      <c r="B1703" s="18" t="s">
        <v>60</v>
      </c>
      <c r="C1703" s="18" t="s">
        <v>7304</v>
      </c>
      <c r="D1703" s="18" t="s">
        <v>3761</v>
      </c>
      <c r="E1703" s="18" t="s">
        <v>5665</v>
      </c>
    </row>
    <row r="1704">
      <c r="A1704" s="362">
        <v>1703.0</v>
      </c>
      <c r="B1704" s="18" t="s">
        <v>143</v>
      </c>
      <c r="C1704" s="18" t="s">
        <v>7306</v>
      </c>
      <c r="D1704" s="18" t="s">
        <v>267</v>
      </c>
      <c r="E1704" s="18" t="s">
        <v>5665</v>
      </c>
    </row>
    <row r="1705">
      <c r="A1705" s="362">
        <v>1704.0</v>
      </c>
      <c r="B1705" s="18" t="s">
        <v>60</v>
      </c>
      <c r="C1705" s="18" t="s">
        <v>7308</v>
      </c>
      <c r="D1705" s="18" t="s">
        <v>201</v>
      </c>
      <c r="E1705" s="18" t="s">
        <v>5665</v>
      </c>
    </row>
    <row r="1706">
      <c r="A1706" s="362">
        <v>1705.0</v>
      </c>
      <c r="B1706" s="18" t="s">
        <v>60</v>
      </c>
      <c r="C1706" s="18" t="s">
        <v>7310</v>
      </c>
      <c r="D1706" s="18" t="s">
        <v>295</v>
      </c>
      <c r="E1706" s="18" t="s">
        <v>5665</v>
      </c>
    </row>
    <row r="1707">
      <c r="A1707" s="362">
        <v>1706.0</v>
      </c>
      <c r="B1707" s="18" t="s">
        <v>60</v>
      </c>
      <c r="C1707" s="18" t="s">
        <v>7311</v>
      </c>
      <c r="D1707" s="18" t="s">
        <v>178</v>
      </c>
      <c r="E1707" s="18" t="s">
        <v>5665</v>
      </c>
    </row>
    <row r="1708">
      <c r="A1708" s="362">
        <v>1707.0</v>
      </c>
      <c r="B1708" s="18" t="s">
        <v>656</v>
      </c>
      <c r="C1708" s="18" t="s">
        <v>7314</v>
      </c>
      <c r="D1708" s="18" t="s">
        <v>2929</v>
      </c>
      <c r="E1708" s="18" t="s">
        <v>5665</v>
      </c>
    </row>
    <row r="1709">
      <c r="A1709" s="362">
        <v>1708.0</v>
      </c>
      <c r="B1709" s="18" t="s">
        <v>60</v>
      </c>
      <c r="C1709" s="18" t="s">
        <v>7317</v>
      </c>
      <c r="D1709" s="18" t="s">
        <v>139</v>
      </c>
      <c r="E1709" s="18" t="s">
        <v>5665</v>
      </c>
    </row>
    <row r="1710">
      <c r="A1710" s="362">
        <v>1709.0</v>
      </c>
      <c r="B1710" s="18" t="s">
        <v>60</v>
      </c>
      <c r="C1710" s="18" t="s">
        <v>7319</v>
      </c>
      <c r="D1710" s="18" t="s">
        <v>2929</v>
      </c>
      <c r="E1710" s="18" t="s">
        <v>5665</v>
      </c>
    </row>
    <row r="1711">
      <c r="A1711" s="362">
        <v>1710.0</v>
      </c>
      <c r="B1711" s="18" t="s">
        <v>60</v>
      </c>
      <c r="C1711" s="18" t="s">
        <v>7321</v>
      </c>
      <c r="D1711" s="18" t="s">
        <v>3938</v>
      </c>
      <c r="E1711" s="18" t="s">
        <v>5665</v>
      </c>
    </row>
    <row r="1712">
      <c r="A1712" s="362">
        <v>1711.0</v>
      </c>
      <c r="B1712" s="18" t="s">
        <v>60</v>
      </c>
      <c r="C1712" s="18" t="s">
        <v>7322</v>
      </c>
      <c r="D1712" s="18" t="s">
        <v>3078</v>
      </c>
      <c r="E1712" s="18" t="s">
        <v>5665</v>
      </c>
    </row>
    <row r="1713">
      <c r="A1713" s="362">
        <v>1712.0</v>
      </c>
      <c r="B1713" s="18" t="s">
        <v>60</v>
      </c>
      <c r="C1713" s="18" t="s">
        <v>7325</v>
      </c>
      <c r="D1713" s="18" t="s">
        <v>3078</v>
      </c>
      <c r="E1713" s="18" t="s">
        <v>5665</v>
      </c>
    </row>
    <row r="1714">
      <c r="A1714" s="362">
        <v>1713.0</v>
      </c>
      <c r="B1714" s="18" t="s">
        <v>60</v>
      </c>
      <c r="C1714" s="18" t="s">
        <v>7326</v>
      </c>
      <c r="D1714" s="18" t="s">
        <v>2929</v>
      </c>
      <c r="E1714" s="18" t="s">
        <v>5665</v>
      </c>
    </row>
    <row r="1715">
      <c r="A1715" s="362">
        <v>1714.0</v>
      </c>
      <c r="B1715" s="18" t="s">
        <v>60</v>
      </c>
      <c r="C1715" s="18" t="s">
        <v>7329</v>
      </c>
      <c r="D1715" s="18" t="s">
        <v>3938</v>
      </c>
      <c r="E1715" s="18" t="s">
        <v>5665</v>
      </c>
    </row>
    <row r="1716">
      <c r="A1716" s="362">
        <v>1715.0</v>
      </c>
      <c r="B1716" s="18" t="s">
        <v>60</v>
      </c>
      <c r="C1716" s="18" t="s">
        <v>7331</v>
      </c>
      <c r="D1716" s="18" t="s">
        <v>58</v>
      </c>
      <c r="E1716" s="18" t="s">
        <v>5665</v>
      </c>
    </row>
    <row r="1717">
      <c r="A1717" s="362">
        <v>1716.0</v>
      </c>
      <c r="B1717" s="18" t="s">
        <v>60</v>
      </c>
      <c r="C1717" s="18" t="s">
        <v>7332</v>
      </c>
      <c r="D1717" s="18" t="s">
        <v>187</v>
      </c>
      <c r="E1717" s="18" t="s">
        <v>5665</v>
      </c>
    </row>
    <row r="1718">
      <c r="A1718" s="362">
        <v>1717.0</v>
      </c>
      <c r="B1718" s="18" t="s">
        <v>60</v>
      </c>
      <c r="C1718" s="18" t="s">
        <v>7334</v>
      </c>
      <c r="D1718" s="18" t="s">
        <v>302</v>
      </c>
      <c r="E1718" s="18" t="s">
        <v>5665</v>
      </c>
    </row>
    <row r="1719">
      <c r="A1719" s="362">
        <v>1718.0</v>
      </c>
      <c r="B1719" s="18" t="s">
        <v>60</v>
      </c>
      <c r="C1719" s="18" t="s">
        <v>7338</v>
      </c>
      <c r="D1719" s="18" t="s">
        <v>187</v>
      </c>
      <c r="E1719" s="18" t="s">
        <v>5665</v>
      </c>
    </row>
    <row r="1720">
      <c r="A1720" s="362">
        <v>1719.0</v>
      </c>
      <c r="B1720" s="18" t="s">
        <v>60</v>
      </c>
      <c r="C1720" s="18" t="s">
        <v>7340</v>
      </c>
      <c r="D1720" s="18" t="s">
        <v>139</v>
      </c>
      <c r="E1720" s="18" t="s">
        <v>5665</v>
      </c>
    </row>
    <row r="1721">
      <c r="A1721" s="362">
        <v>1720.0</v>
      </c>
      <c r="B1721" s="18" t="s">
        <v>102</v>
      </c>
      <c r="C1721" s="18" t="s">
        <v>7343</v>
      </c>
      <c r="D1721" s="18" t="s">
        <v>119</v>
      </c>
      <c r="E1721" s="18" t="s">
        <v>5665</v>
      </c>
    </row>
    <row r="1722">
      <c r="A1722" s="362">
        <v>1721.0</v>
      </c>
      <c r="B1722" s="18" t="s">
        <v>60</v>
      </c>
      <c r="C1722" s="18" t="s">
        <v>7345</v>
      </c>
      <c r="D1722" s="18" t="s">
        <v>187</v>
      </c>
      <c r="E1722" s="18" t="s">
        <v>5665</v>
      </c>
    </row>
    <row r="1723">
      <c r="A1723" s="362">
        <v>1722.0</v>
      </c>
      <c r="B1723" s="18" t="s">
        <v>60</v>
      </c>
      <c r="C1723" s="18" t="s">
        <v>7346</v>
      </c>
      <c r="D1723" s="18" t="s">
        <v>139</v>
      </c>
      <c r="E1723" s="18" t="s">
        <v>5665</v>
      </c>
    </row>
    <row r="1724">
      <c r="A1724" s="362">
        <v>1723.0</v>
      </c>
      <c r="B1724" s="18" t="s">
        <v>60</v>
      </c>
      <c r="C1724" s="18" t="s">
        <v>7348</v>
      </c>
      <c r="D1724" s="18" t="s">
        <v>1195</v>
      </c>
      <c r="E1724" s="18" t="s">
        <v>5665</v>
      </c>
    </row>
    <row r="1725">
      <c r="A1725" s="362">
        <v>1724.0</v>
      </c>
      <c r="B1725" s="18" t="s">
        <v>60</v>
      </c>
      <c r="C1725" s="18" t="s">
        <v>7350</v>
      </c>
      <c r="D1725" s="18" t="s">
        <v>201</v>
      </c>
      <c r="E1725" s="18" t="s">
        <v>5665</v>
      </c>
    </row>
    <row r="1726">
      <c r="A1726" s="362">
        <v>1725.0</v>
      </c>
      <c r="B1726" s="18" t="s">
        <v>143</v>
      </c>
      <c r="C1726" s="18" t="s">
        <v>7351</v>
      </c>
      <c r="D1726" s="18" t="s">
        <v>1088</v>
      </c>
      <c r="E1726" s="18" t="s">
        <v>5665</v>
      </c>
    </row>
    <row r="1727">
      <c r="A1727" s="362">
        <v>1726.0</v>
      </c>
      <c r="B1727" s="18" t="s">
        <v>102</v>
      </c>
      <c r="C1727" s="18" t="s">
        <v>7353</v>
      </c>
      <c r="D1727" s="18" t="s">
        <v>1345</v>
      </c>
      <c r="E1727" s="18" t="s">
        <v>5665</v>
      </c>
    </row>
    <row r="1728">
      <c r="A1728" s="362">
        <v>1727.0</v>
      </c>
      <c r="B1728" s="18" t="s">
        <v>60</v>
      </c>
      <c r="C1728" s="18" t="s">
        <v>7355</v>
      </c>
      <c r="D1728" s="18" t="s">
        <v>302</v>
      </c>
      <c r="E1728" s="18" t="s">
        <v>5665</v>
      </c>
    </row>
    <row r="1729">
      <c r="A1729" s="362">
        <v>1728.0</v>
      </c>
      <c r="B1729" s="18" t="s">
        <v>60</v>
      </c>
      <c r="C1729" s="18" t="s">
        <v>7357</v>
      </c>
      <c r="D1729" s="18" t="s">
        <v>139</v>
      </c>
      <c r="E1729" s="18" t="s">
        <v>5665</v>
      </c>
    </row>
    <row r="1730">
      <c r="A1730" s="362">
        <v>1729.0</v>
      </c>
      <c r="B1730" s="18" t="s">
        <v>60</v>
      </c>
      <c r="C1730" s="18" t="s">
        <v>7361</v>
      </c>
      <c r="D1730" s="18" t="s">
        <v>3078</v>
      </c>
      <c r="E1730" s="18" t="s">
        <v>5665</v>
      </c>
    </row>
    <row r="1731">
      <c r="A1731" s="362">
        <v>1730.0</v>
      </c>
      <c r="B1731" s="18" t="s">
        <v>60</v>
      </c>
      <c r="C1731" s="18" t="s">
        <v>7364</v>
      </c>
      <c r="D1731" s="18" t="s">
        <v>302</v>
      </c>
      <c r="E1731" s="18" t="s">
        <v>5665</v>
      </c>
    </row>
    <row r="1732">
      <c r="A1732" s="362">
        <v>1731.0</v>
      </c>
      <c r="B1732" s="18" t="s">
        <v>60</v>
      </c>
      <c r="C1732" s="18" t="s">
        <v>7368</v>
      </c>
      <c r="D1732" s="18" t="s">
        <v>302</v>
      </c>
      <c r="E1732" s="18" t="s">
        <v>5665</v>
      </c>
    </row>
    <row r="1733">
      <c r="A1733" s="362">
        <v>1732.0</v>
      </c>
      <c r="B1733" s="18" t="s">
        <v>60</v>
      </c>
      <c r="C1733" s="18" t="s">
        <v>7377</v>
      </c>
      <c r="D1733" s="18" t="s">
        <v>187</v>
      </c>
      <c r="E1733" s="18" t="s">
        <v>5665</v>
      </c>
    </row>
    <row r="1734">
      <c r="A1734" s="362">
        <v>1733.0</v>
      </c>
      <c r="B1734" s="18" t="s">
        <v>60</v>
      </c>
      <c r="C1734" s="18" t="s">
        <v>7379</v>
      </c>
      <c r="D1734" s="18" t="s">
        <v>139</v>
      </c>
      <c r="E1734" s="18" t="s">
        <v>5665</v>
      </c>
    </row>
    <row r="1735">
      <c r="A1735" s="362">
        <v>1734.0</v>
      </c>
      <c r="B1735" s="18" t="s">
        <v>60</v>
      </c>
      <c r="C1735" s="18" t="s">
        <v>7381</v>
      </c>
      <c r="D1735" s="18" t="s">
        <v>3938</v>
      </c>
      <c r="E1735" s="18" t="s">
        <v>5665</v>
      </c>
    </row>
    <row r="1736">
      <c r="A1736" s="362">
        <v>1735.0</v>
      </c>
      <c r="B1736" s="18" t="s">
        <v>60</v>
      </c>
      <c r="C1736" s="18" t="s">
        <v>7382</v>
      </c>
      <c r="D1736" s="18" t="s">
        <v>178</v>
      </c>
      <c r="E1736" s="18" t="s">
        <v>5665</v>
      </c>
    </row>
    <row r="1737">
      <c r="A1737" s="362">
        <v>1736.0</v>
      </c>
      <c r="B1737" s="18" t="s">
        <v>102</v>
      </c>
      <c r="C1737" s="18" t="s">
        <v>7383</v>
      </c>
      <c r="D1737" s="18" t="s">
        <v>170</v>
      </c>
      <c r="E1737" s="18" t="s">
        <v>5665</v>
      </c>
    </row>
    <row r="1738">
      <c r="A1738" s="362">
        <v>1737.0</v>
      </c>
      <c r="B1738" s="18" t="s">
        <v>96</v>
      </c>
      <c r="C1738" s="18" t="s">
        <v>7385</v>
      </c>
      <c r="D1738" s="18" t="s">
        <v>314</v>
      </c>
      <c r="E1738" s="18" t="s">
        <v>5665</v>
      </c>
    </row>
    <row r="1739">
      <c r="A1739" s="362">
        <v>1738.0</v>
      </c>
      <c r="B1739" s="18" t="s">
        <v>60</v>
      </c>
      <c r="C1739" s="18" t="s">
        <v>7386</v>
      </c>
      <c r="D1739" s="18" t="s">
        <v>287</v>
      </c>
      <c r="E1739" s="18" t="s">
        <v>5665</v>
      </c>
    </row>
    <row r="1740">
      <c r="A1740" s="362">
        <v>1739.0</v>
      </c>
      <c r="B1740" s="18" t="s">
        <v>326</v>
      </c>
      <c r="C1740" s="18" t="s">
        <v>7389</v>
      </c>
      <c r="D1740" s="18" t="s">
        <v>201</v>
      </c>
      <c r="E1740" s="18" t="s">
        <v>5665</v>
      </c>
    </row>
    <row r="1741">
      <c r="A1741" s="362">
        <v>1740.0</v>
      </c>
      <c r="B1741" s="18" t="s">
        <v>60</v>
      </c>
      <c r="C1741" s="18" t="s">
        <v>7391</v>
      </c>
      <c r="D1741" s="18" t="s">
        <v>178</v>
      </c>
      <c r="E1741" s="18" t="s">
        <v>5665</v>
      </c>
    </row>
    <row r="1742">
      <c r="A1742" s="362">
        <v>1741.0</v>
      </c>
      <c r="B1742" s="18" t="s">
        <v>60</v>
      </c>
      <c r="C1742" s="18" t="s">
        <v>7392</v>
      </c>
      <c r="D1742" s="18" t="s">
        <v>178</v>
      </c>
      <c r="E1742" s="18" t="s">
        <v>5665</v>
      </c>
    </row>
    <row r="1743">
      <c r="A1743" s="362">
        <v>1742.0</v>
      </c>
      <c r="B1743" s="18" t="s">
        <v>60</v>
      </c>
      <c r="C1743" s="18" t="s">
        <v>7394</v>
      </c>
      <c r="D1743" s="18" t="s">
        <v>170</v>
      </c>
      <c r="E1743" s="18" t="s">
        <v>5665</v>
      </c>
    </row>
    <row r="1744">
      <c r="A1744" s="362">
        <v>1743.0</v>
      </c>
      <c r="B1744" s="18" t="s">
        <v>656</v>
      </c>
      <c r="C1744" s="18" t="s">
        <v>7395</v>
      </c>
      <c r="D1744" s="18" t="s">
        <v>287</v>
      </c>
      <c r="E1744" s="18" t="s">
        <v>5665</v>
      </c>
    </row>
    <row r="1745">
      <c r="A1745" s="362">
        <v>1744.0</v>
      </c>
      <c r="B1745" s="18" t="s">
        <v>102</v>
      </c>
      <c r="C1745" s="18" t="s">
        <v>7396</v>
      </c>
      <c r="D1745" s="18" t="s">
        <v>178</v>
      </c>
      <c r="E1745" s="18" t="s">
        <v>5665</v>
      </c>
    </row>
    <row r="1746">
      <c r="A1746" s="362">
        <v>1745.0</v>
      </c>
      <c r="B1746" s="18" t="s">
        <v>60</v>
      </c>
      <c r="C1746" s="18" t="s">
        <v>7399</v>
      </c>
      <c r="D1746" s="18" t="s">
        <v>201</v>
      </c>
      <c r="E1746" s="18" t="s">
        <v>5665</v>
      </c>
    </row>
    <row r="1747">
      <c r="A1747" s="362">
        <v>1746.0</v>
      </c>
      <c r="B1747" s="18" t="s">
        <v>60</v>
      </c>
      <c r="C1747" s="18" t="s">
        <v>7402</v>
      </c>
      <c r="D1747" s="18" t="s">
        <v>4210</v>
      </c>
      <c r="E1747" s="18" t="s">
        <v>5665</v>
      </c>
    </row>
    <row r="1748">
      <c r="A1748" s="362">
        <v>1747.0</v>
      </c>
      <c r="B1748" s="18" t="s">
        <v>60</v>
      </c>
      <c r="C1748" s="18" t="s">
        <v>7404</v>
      </c>
      <c r="D1748" s="18" t="s">
        <v>6587</v>
      </c>
      <c r="E1748" s="18" t="s">
        <v>5665</v>
      </c>
    </row>
    <row r="1749">
      <c r="A1749" s="362">
        <v>1748.0</v>
      </c>
      <c r="B1749" s="18" t="s">
        <v>102</v>
      </c>
      <c r="C1749" s="18" t="s">
        <v>7407</v>
      </c>
      <c r="D1749" s="18" t="s">
        <v>4862</v>
      </c>
      <c r="E1749" s="18" t="s">
        <v>5665</v>
      </c>
    </row>
    <row r="1750">
      <c r="A1750" s="362">
        <v>1749.0</v>
      </c>
      <c r="B1750" s="18" t="s">
        <v>360</v>
      </c>
      <c r="C1750" s="18" t="s">
        <v>7408</v>
      </c>
      <c r="D1750" s="18" t="s">
        <v>119</v>
      </c>
      <c r="E1750" s="18" t="s">
        <v>5665</v>
      </c>
    </row>
    <row r="1751">
      <c r="A1751" s="362">
        <v>1750.0</v>
      </c>
      <c r="B1751" s="18" t="s">
        <v>60</v>
      </c>
      <c r="C1751" s="18" t="s">
        <v>7412</v>
      </c>
      <c r="D1751" s="18" t="s">
        <v>1536</v>
      </c>
      <c r="E1751" s="18" t="s">
        <v>5665</v>
      </c>
    </row>
    <row r="1752">
      <c r="A1752" s="362">
        <v>1751.0</v>
      </c>
      <c r="B1752" s="18" t="s">
        <v>60</v>
      </c>
      <c r="C1752" s="18" t="s">
        <v>7414</v>
      </c>
      <c r="D1752" s="18" t="s">
        <v>1536</v>
      </c>
      <c r="E1752" s="18" t="s">
        <v>5665</v>
      </c>
    </row>
    <row r="1753">
      <c r="A1753" s="362">
        <v>1752.0</v>
      </c>
      <c r="B1753" s="18" t="s">
        <v>60</v>
      </c>
      <c r="C1753" s="18" t="s">
        <v>6923</v>
      </c>
      <c r="D1753" s="18" t="s">
        <v>4233</v>
      </c>
      <c r="E1753" s="18" t="s">
        <v>5665</v>
      </c>
    </row>
    <row r="1754">
      <c r="A1754" s="362">
        <v>1753.0</v>
      </c>
      <c r="B1754" s="18" t="s">
        <v>656</v>
      </c>
      <c r="C1754" s="18" t="s">
        <v>7420</v>
      </c>
      <c r="D1754" s="18" t="s">
        <v>4679</v>
      </c>
      <c r="E1754" s="18" t="s">
        <v>5665</v>
      </c>
    </row>
    <row r="1755">
      <c r="A1755" s="362">
        <v>1754.0</v>
      </c>
      <c r="B1755" s="18" t="s">
        <v>60</v>
      </c>
      <c r="C1755" s="18" t="s">
        <v>7424</v>
      </c>
      <c r="D1755" s="18" t="s">
        <v>7426</v>
      </c>
      <c r="E1755" s="18" t="s">
        <v>5665</v>
      </c>
    </row>
    <row r="1756">
      <c r="A1756" s="362">
        <v>1755.0</v>
      </c>
      <c r="B1756" s="18" t="s">
        <v>60</v>
      </c>
      <c r="C1756" s="18" t="s">
        <v>7427</v>
      </c>
      <c r="D1756" s="18" t="s">
        <v>7428</v>
      </c>
      <c r="E1756" s="18" t="s">
        <v>5665</v>
      </c>
    </row>
    <row r="1757">
      <c r="A1757" s="362">
        <v>1756.0</v>
      </c>
      <c r="B1757" s="18" t="s">
        <v>60</v>
      </c>
      <c r="C1757" s="18" t="s">
        <v>7429</v>
      </c>
      <c r="D1757" s="18" t="s">
        <v>7428</v>
      </c>
      <c r="E1757" s="18" t="s">
        <v>5665</v>
      </c>
    </row>
    <row r="1758">
      <c r="A1758" s="362">
        <v>1757.0</v>
      </c>
      <c r="B1758" s="18" t="s">
        <v>60</v>
      </c>
      <c r="C1758" s="18" t="s">
        <v>7431</v>
      </c>
      <c r="D1758" s="18" t="s">
        <v>4233</v>
      </c>
      <c r="E1758" s="18" t="s">
        <v>5665</v>
      </c>
    </row>
    <row r="1759">
      <c r="A1759" s="362">
        <v>1758.0</v>
      </c>
      <c r="B1759" s="18" t="s">
        <v>60</v>
      </c>
      <c r="C1759" s="18" t="s">
        <v>7433</v>
      </c>
      <c r="D1759" s="18" t="s">
        <v>201</v>
      </c>
      <c r="E1759" s="18" t="s">
        <v>5665</v>
      </c>
    </row>
    <row r="1760">
      <c r="A1760" s="362">
        <v>1759.0</v>
      </c>
      <c r="B1760" s="18" t="s">
        <v>60</v>
      </c>
      <c r="C1760" s="18" t="s">
        <v>7434</v>
      </c>
      <c r="D1760" s="18" t="s">
        <v>4679</v>
      </c>
      <c r="E1760" s="18" t="s">
        <v>5665</v>
      </c>
    </row>
    <row r="1761">
      <c r="A1761" s="362">
        <v>1760.0</v>
      </c>
      <c r="B1761" s="18" t="s">
        <v>60</v>
      </c>
      <c r="C1761" s="18" t="s">
        <v>6745</v>
      </c>
      <c r="D1761" s="18" t="s">
        <v>7435</v>
      </c>
      <c r="E1761" s="18" t="s">
        <v>5665</v>
      </c>
    </row>
    <row r="1762">
      <c r="A1762" s="362">
        <v>1761.0</v>
      </c>
      <c r="B1762" s="18" t="s">
        <v>60</v>
      </c>
      <c r="C1762" s="18" t="s">
        <v>7437</v>
      </c>
      <c r="D1762" s="18" t="s">
        <v>4679</v>
      </c>
      <c r="E1762" s="18" t="s">
        <v>5665</v>
      </c>
    </row>
    <row r="1763">
      <c r="A1763" s="362">
        <v>1762.0</v>
      </c>
      <c r="B1763" s="18" t="s">
        <v>60</v>
      </c>
      <c r="C1763" s="18" t="s">
        <v>7442</v>
      </c>
      <c r="D1763" s="18" t="s">
        <v>7428</v>
      </c>
      <c r="E1763" s="18" t="s">
        <v>5665</v>
      </c>
    </row>
    <row r="1764">
      <c r="A1764" s="362">
        <v>1763.0</v>
      </c>
      <c r="B1764" s="18" t="s">
        <v>60</v>
      </c>
      <c r="C1764" s="18" t="s">
        <v>7443</v>
      </c>
      <c r="D1764" s="18" t="s">
        <v>1536</v>
      </c>
      <c r="E1764" s="18" t="s">
        <v>5665</v>
      </c>
    </row>
    <row r="1765">
      <c r="A1765" s="362">
        <v>1764.0</v>
      </c>
      <c r="B1765" s="18" t="s">
        <v>60</v>
      </c>
      <c r="C1765" s="18" t="s">
        <v>7444</v>
      </c>
      <c r="D1765" s="18" t="s">
        <v>7435</v>
      </c>
      <c r="E1765" s="18" t="s">
        <v>5665</v>
      </c>
    </row>
    <row r="1766">
      <c r="A1766" s="362">
        <v>1765.0</v>
      </c>
      <c r="B1766" s="18" t="s">
        <v>102</v>
      </c>
      <c r="C1766" s="18" t="s">
        <v>7447</v>
      </c>
      <c r="D1766" s="18" t="s">
        <v>287</v>
      </c>
      <c r="E1766" s="18" t="s">
        <v>5665</v>
      </c>
    </row>
    <row r="1767">
      <c r="A1767" s="362">
        <v>1766.0</v>
      </c>
      <c r="B1767" s="18" t="s">
        <v>60</v>
      </c>
      <c r="C1767" s="18" t="s">
        <v>7450</v>
      </c>
      <c r="D1767" s="18" t="s">
        <v>287</v>
      </c>
      <c r="E1767" s="18" t="s">
        <v>5665</v>
      </c>
    </row>
    <row r="1768">
      <c r="A1768" s="362">
        <v>1767.0</v>
      </c>
      <c r="B1768" s="18" t="s">
        <v>326</v>
      </c>
      <c r="C1768" s="18" t="s">
        <v>7456</v>
      </c>
      <c r="D1768" s="18" t="s">
        <v>7457</v>
      </c>
      <c r="E1768" s="18" t="s">
        <v>5665</v>
      </c>
    </row>
    <row r="1769">
      <c r="A1769" s="362">
        <v>1768.0</v>
      </c>
      <c r="B1769" s="18" t="s">
        <v>60</v>
      </c>
      <c r="C1769" s="18" t="s">
        <v>7461</v>
      </c>
      <c r="D1769" s="18" t="s">
        <v>1536</v>
      </c>
      <c r="E1769" s="18" t="s">
        <v>5665</v>
      </c>
    </row>
    <row r="1770">
      <c r="A1770" s="362">
        <v>1769.0</v>
      </c>
      <c r="B1770" s="18" t="s">
        <v>60</v>
      </c>
      <c r="C1770" s="18" t="s">
        <v>7463</v>
      </c>
      <c r="D1770" s="18" t="s">
        <v>287</v>
      </c>
      <c r="E1770" s="18" t="s">
        <v>5665</v>
      </c>
    </row>
    <row r="1771">
      <c r="A1771" s="362">
        <v>1770.0</v>
      </c>
      <c r="B1771" s="18" t="s">
        <v>60</v>
      </c>
      <c r="C1771" s="18" t="s">
        <v>7465</v>
      </c>
      <c r="D1771" s="18" t="s">
        <v>4679</v>
      </c>
      <c r="E1771" s="18" t="s">
        <v>5665</v>
      </c>
    </row>
    <row r="1772">
      <c r="A1772" s="362">
        <v>1771.0</v>
      </c>
      <c r="B1772" s="18" t="s">
        <v>60</v>
      </c>
      <c r="C1772" s="18" t="s">
        <v>7468</v>
      </c>
      <c r="D1772" s="18" t="s">
        <v>152</v>
      </c>
      <c r="E1772" s="18" t="s">
        <v>5665</v>
      </c>
    </row>
    <row r="1773">
      <c r="A1773" s="362">
        <v>1772.0</v>
      </c>
      <c r="B1773" s="18" t="s">
        <v>60</v>
      </c>
      <c r="C1773" s="18" t="s">
        <v>7470</v>
      </c>
      <c r="D1773" s="18" t="s">
        <v>7457</v>
      </c>
      <c r="E1773" s="18" t="s">
        <v>5665</v>
      </c>
    </row>
    <row r="1774">
      <c r="A1774" s="362">
        <v>1773.0</v>
      </c>
      <c r="B1774" s="18" t="s">
        <v>60</v>
      </c>
      <c r="C1774" s="18" t="s">
        <v>7473</v>
      </c>
      <c r="D1774" s="18" t="s">
        <v>1536</v>
      </c>
      <c r="E1774" s="18" t="s">
        <v>5665</v>
      </c>
    </row>
    <row r="1775">
      <c r="A1775" s="362">
        <v>1774.0</v>
      </c>
      <c r="B1775" s="18" t="s">
        <v>656</v>
      </c>
      <c r="C1775" s="18" t="s">
        <v>7476</v>
      </c>
      <c r="D1775" s="18" t="s">
        <v>178</v>
      </c>
      <c r="E1775" s="18" t="s">
        <v>5665</v>
      </c>
    </row>
    <row r="1776">
      <c r="A1776" s="362">
        <v>1775.0</v>
      </c>
      <c r="B1776" s="18" t="s">
        <v>60</v>
      </c>
      <c r="C1776" s="18" t="s">
        <v>7479</v>
      </c>
      <c r="D1776" s="18" t="s">
        <v>1536</v>
      </c>
      <c r="E1776" s="18" t="s">
        <v>5665</v>
      </c>
    </row>
    <row r="1777">
      <c r="A1777" s="362">
        <v>1776.0</v>
      </c>
      <c r="B1777" s="18" t="s">
        <v>60</v>
      </c>
      <c r="C1777" s="18" t="s">
        <v>7484</v>
      </c>
      <c r="D1777" s="18" t="s">
        <v>7485</v>
      </c>
      <c r="E1777" s="18" t="s">
        <v>5665</v>
      </c>
    </row>
    <row r="1778">
      <c r="A1778" s="362">
        <v>1777.0</v>
      </c>
      <c r="B1778" s="18" t="s">
        <v>60</v>
      </c>
      <c r="C1778" s="18" t="s">
        <v>7487</v>
      </c>
      <c r="D1778" s="18" t="s">
        <v>7488</v>
      </c>
      <c r="E1778" s="18" t="s">
        <v>5665</v>
      </c>
    </row>
    <row r="1779">
      <c r="A1779" s="362">
        <v>1778.0</v>
      </c>
      <c r="B1779" s="18" t="s">
        <v>60</v>
      </c>
      <c r="C1779" s="18" t="s">
        <v>7491</v>
      </c>
      <c r="D1779" s="18" t="s">
        <v>1932</v>
      </c>
      <c r="E1779" s="18" t="s">
        <v>5665</v>
      </c>
    </row>
    <row r="1780">
      <c r="A1780" s="362">
        <v>1779.0</v>
      </c>
      <c r="B1780" s="18" t="s">
        <v>60</v>
      </c>
      <c r="C1780" s="18" t="s">
        <v>7494</v>
      </c>
      <c r="D1780" s="18" t="s">
        <v>4629</v>
      </c>
      <c r="E1780" s="18" t="s">
        <v>5665</v>
      </c>
    </row>
    <row r="1781">
      <c r="A1781" s="362">
        <v>1780.0</v>
      </c>
      <c r="B1781" s="18" t="s">
        <v>60</v>
      </c>
      <c r="C1781" s="18" t="s">
        <v>6789</v>
      </c>
      <c r="D1781" s="18" t="s">
        <v>1536</v>
      </c>
      <c r="E1781" s="18" t="s">
        <v>5665</v>
      </c>
    </row>
    <row r="1782">
      <c r="A1782" s="362">
        <v>1781.0</v>
      </c>
      <c r="B1782" s="18" t="s">
        <v>60</v>
      </c>
      <c r="C1782" s="18" t="s">
        <v>7499</v>
      </c>
      <c r="D1782" s="18" t="s">
        <v>2660</v>
      </c>
      <c r="E1782" s="18" t="s">
        <v>5665</v>
      </c>
    </row>
    <row r="1783">
      <c r="A1783" s="362">
        <v>1782.0</v>
      </c>
      <c r="B1783" s="18" t="s">
        <v>60</v>
      </c>
      <c r="C1783" s="18" t="s">
        <v>7502</v>
      </c>
      <c r="D1783" s="18" t="s">
        <v>1536</v>
      </c>
      <c r="E1783" s="18" t="s">
        <v>5665</v>
      </c>
    </row>
    <row r="1784">
      <c r="A1784" s="362">
        <v>1783.0</v>
      </c>
      <c r="B1784" s="18" t="s">
        <v>60</v>
      </c>
      <c r="C1784" s="18" t="s">
        <v>7504</v>
      </c>
      <c r="D1784" s="18" t="s">
        <v>7507</v>
      </c>
      <c r="E1784" s="18" t="s">
        <v>5665</v>
      </c>
    </row>
    <row r="1785">
      <c r="A1785" s="362">
        <v>1784.0</v>
      </c>
      <c r="B1785" s="18" t="s">
        <v>60</v>
      </c>
      <c r="C1785" s="18" t="s">
        <v>7509</v>
      </c>
      <c r="D1785" s="18" t="s">
        <v>7457</v>
      </c>
      <c r="E1785" s="18" t="s">
        <v>5665</v>
      </c>
    </row>
    <row r="1786">
      <c r="A1786" s="362">
        <v>1785.0</v>
      </c>
      <c r="B1786" s="18" t="s">
        <v>60</v>
      </c>
      <c r="C1786" s="18" t="s">
        <v>7516</v>
      </c>
      <c r="D1786" s="18" t="s">
        <v>119</v>
      </c>
      <c r="E1786" s="18" t="s">
        <v>5665</v>
      </c>
    </row>
    <row r="1787">
      <c r="A1787" s="362">
        <v>1786.0</v>
      </c>
      <c r="B1787" s="18" t="s">
        <v>656</v>
      </c>
      <c r="C1787" s="18" t="s">
        <v>7520</v>
      </c>
      <c r="D1787" s="18" t="s">
        <v>3168</v>
      </c>
      <c r="E1787" s="18" t="s">
        <v>5665</v>
      </c>
    </row>
    <row r="1788">
      <c r="A1788" s="362">
        <v>1787.0</v>
      </c>
      <c r="B1788" s="18" t="s">
        <v>60</v>
      </c>
      <c r="C1788" s="18" t="s">
        <v>7521</v>
      </c>
      <c r="D1788" s="18" t="s">
        <v>7485</v>
      </c>
      <c r="E1788" s="18" t="s">
        <v>5665</v>
      </c>
    </row>
    <row r="1789">
      <c r="A1789" s="362">
        <v>1788.0</v>
      </c>
      <c r="B1789" s="18" t="s">
        <v>60</v>
      </c>
      <c r="C1789" s="18" t="s">
        <v>7522</v>
      </c>
      <c r="D1789" s="18" t="s">
        <v>3811</v>
      </c>
      <c r="E1789" s="18" t="s">
        <v>5665</v>
      </c>
    </row>
    <row r="1790">
      <c r="A1790" s="362">
        <v>1789.0</v>
      </c>
      <c r="B1790" s="18" t="s">
        <v>102</v>
      </c>
      <c r="C1790" s="18" t="s">
        <v>7524</v>
      </c>
      <c r="D1790" s="18" t="s">
        <v>119</v>
      </c>
      <c r="E1790" s="18" t="s">
        <v>5665</v>
      </c>
    </row>
    <row r="1791">
      <c r="A1791" s="362">
        <v>1790.0</v>
      </c>
      <c r="B1791" s="18" t="s">
        <v>60</v>
      </c>
      <c r="C1791" s="18" t="s">
        <v>7525</v>
      </c>
      <c r="D1791" s="18" t="s">
        <v>1345</v>
      </c>
      <c r="E1791" s="18" t="s">
        <v>5665</v>
      </c>
    </row>
    <row r="1792">
      <c r="A1792" s="362">
        <v>1791.0</v>
      </c>
      <c r="B1792" s="18" t="s">
        <v>60</v>
      </c>
      <c r="C1792" s="18" t="s">
        <v>7529</v>
      </c>
      <c r="D1792" s="18" t="s">
        <v>7457</v>
      </c>
      <c r="E1792" s="18" t="s">
        <v>5665</v>
      </c>
    </row>
    <row r="1793">
      <c r="A1793" s="362">
        <v>1792.0</v>
      </c>
      <c r="B1793" s="18" t="s">
        <v>60</v>
      </c>
      <c r="C1793" s="18" t="s">
        <v>7531</v>
      </c>
      <c r="D1793" s="18" t="s">
        <v>1345</v>
      </c>
      <c r="E1793" s="18" t="s">
        <v>5665</v>
      </c>
    </row>
    <row r="1794">
      <c r="A1794" s="362">
        <v>1793.0</v>
      </c>
      <c r="B1794" s="18" t="s">
        <v>60</v>
      </c>
      <c r="C1794" s="18" t="s">
        <v>7532</v>
      </c>
      <c r="D1794" s="18" t="s">
        <v>457</v>
      </c>
      <c r="E1794" s="18" t="s">
        <v>5665</v>
      </c>
    </row>
    <row r="1795">
      <c r="A1795" s="362">
        <v>1794.0</v>
      </c>
      <c r="B1795" s="18" t="s">
        <v>60</v>
      </c>
      <c r="C1795" s="18" t="s">
        <v>1612</v>
      </c>
      <c r="D1795" s="18" t="s">
        <v>4233</v>
      </c>
      <c r="E1795" s="18" t="s">
        <v>5665</v>
      </c>
    </row>
    <row r="1796">
      <c r="A1796" s="362">
        <v>1795.0</v>
      </c>
      <c r="B1796" s="18" t="s">
        <v>60</v>
      </c>
      <c r="C1796" s="18" t="s">
        <v>7536</v>
      </c>
      <c r="D1796" s="18" t="s">
        <v>1536</v>
      </c>
      <c r="E1796" s="18" t="s">
        <v>5665</v>
      </c>
    </row>
    <row r="1797">
      <c r="A1797" s="362">
        <v>1796.0</v>
      </c>
      <c r="B1797" s="18" t="s">
        <v>60</v>
      </c>
      <c r="C1797" s="18" t="s">
        <v>7538</v>
      </c>
      <c r="D1797" s="18" t="s">
        <v>7426</v>
      </c>
      <c r="E1797" s="18" t="s">
        <v>5665</v>
      </c>
    </row>
    <row r="1798">
      <c r="A1798" s="362">
        <v>1797.0</v>
      </c>
      <c r="B1798" s="18" t="s">
        <v>60</v>
      </c>
      <c r="C1798" s="18" t="s">
        <v>7541</v>
      </c>
      <c r="D1798" s="18" t="s">
        <v>7457</v>
      </c>
      <c r="E1798" s="18" t="s">
        <v>5665</v>
      </c>
    </row>
    <row r="1799">
      <c r="A1799" s="362">
        <v>1798.0</v>
      </c>
      <c r="B1799" s="18" t="s">
        <v>60</v>
      </c>
      <c r="C1799" s="18" t="s">
        <v>7542</v>
      </c>
      <c r="D1799" s="18" t="s">
        <v>4629</v>
      </c>
      <c r="E1799" s="18" t="s">
        <v>5665</v>
      </c>
    </row>
    <row r="1800">
      <c r="A1800" s="362">
        <v>1799.0</v>
      </c>
      <c r="B1800" s="18" t="s">
        <v>60</v>
      </c>
      <c r="C1800" s="18" t="s">
        <v>7545</v>
      </c>
      <c r="D1800" s="18" t="s">
        <v>786</v>
      </c>
      <c r="E1800" s="18" t="s">
        <v>5665</v>
      </c>
    </row>
    <row r="1801">
      <c r="A1801" s="362">
        <v>1800.0</v>
      </c>
      <c r="B1801" s="18" t="s">
        <v>60</v>
      </c>
      <c r="C1801" s="18" t="s">
        <v>7546</v>
      </c>
      <c r="D1801" s="18" t="s">
        <v>4629</v>
      </c>
      <c r="E1801" s="18" t="s">
        <v>5665</v>
      </c>
    </row>
    <row r="1802">
      <c r="A1802" s="362">
        <v>1801.0</v>
      </c>
      <c r="B1802" s="18" t="s">
        <v>60</v>
      </c>
      <c r="C1802" s="18" t="s">
        <v>7550</v>
      </c>
      <c r="D1802" s="18" t="s">
        <v>7426</v>
      </c>
      <c r="E1802" s="18" t="s">
        <v>5665</v>
      </c>
    </row>
    <row r="1803">
      <c r="A1803" s="362">
        <v>1802.0</v>
      </c>
      <c r="B1803" s="18" t="s">
        <v>60</v>
      </c>
      <c r="C1803" s="18" t="s">
        <v>7554</v>
      </c>
      <c r="D1803" s="18" t="s">
        <v>1932</v>
      </c>
      <c r="E1803" s="18" t="s">
        <v>5665</v>
      </c>
    </row>
    <row r="1804">
      <c r="A1804" s="362">
        <v>1803.0</v>
      </c>
      <c r="B1804" s="18" t="s">
        <v>102</v>
      </c>
      <c r="C1804" s="18" t="s">
        <v>7555</v>
      </c>
      <c r="D1804" s="18" t="s">
        <v>119</v>
      </c>
      <c r="E1804" s="18" t="s">
        <v>5665</v>
      </c>
    </row>
    <row r="1805">
      <c r="A1805" s="362">
        <v>1804.0</v>
      </c>
      <c r="B1805" s="18" t="s">
        <v>60</v>
      </c>
      <c r="C1805" s="18" t="s">
        <v>7557</v>
      </c>
      <c r="D1805" s="18" t="s">
        <v>3687</v>
      </c>
      <c r="E1805" s="18" t="s">
        <v>5665</v>
      </c>
    </row>
    <row r="1806">
      <c r="A1806" s="362">
        <v>1805.0</v>
      </c>
      <c r="B1806" s="18" t="s">
        <v>60</v>
      </c>
      <c r="C1806" s="18" t="s">
        <v>7561</v>
      </c>
      <c r="D1806" s="18" t="s">
        <v>1536</v>
      </c>
      <c r="E1806" s="18" t="s">
        <v>5665</v>
      </c>
    </row>
    <row r="1807">
      <c r="A1807" s="362">
        <v>1806.0</v>
      </c>
      <c r="B1807" s="18" t="s">
        <v>60</v>
      </c>
      <c r="C1807" s="18" t="s">
        <v>7562</v>
      </c>
      <c r="D1807" s="18" t="s">
        <v>1536</v>
      </c>
      <c r="E1807" s="18" t="s">
        <v>5665</v>
      </c>
    </row>
    <row r="1808">
      <c r="A1808" s="362">
        <v>1807.0</v>
      </c>
      <c r="B1808" s="18" t="s">
        <v>60</v>
      </c>
      <c r="C1808" s="18" t="s">
        <v>7564</v>
      </c>
      <c r="D1808" s="18" t="s">
        <v>1932</v>
      </c>
      <c r="E1808" s="18" t="s">
        <v>5665</v>
      </c>
    </row>
    <row r="1809">
      <c r="A1809" s="362">
        <v>1808.0</v>
      </c>
      <c r="B1809" s="18" t="s">
        <v>102</v>
      </c>
      <c r="C1809" s="18" t="s">
        <v>7566</v>
      </c>
      <c r="D1809" s="18" t="s">
        <v>178</v>
      </c>
      <c r="E1809" s="18" t="s">
        <v>5665</v>
      </c>
    </row>
    <row r="1810">
      <c r="A1810" s="362">
        <v>1809.0</v>
      </c>
      <c r="B1810" s="18" t="s">
        <v>102</v>
      </c>
      <c r="C1810" s="18" t="s">
        <v>7568</v>
      </c>
      <c r="D1810" s="18" t="s">
        <v>1345</v>
      </c>
      <c r="E1810" s="18" t="s">
        <v>5665</v>
      </c>
    </row>
    <row r="1811">
      <c r="A1811" s="362">
        <v>1810.0</v>
      </c>
      <c r="B1811" s="18" t="s">
        <v>60</v>
      </c>
      <c r="C1811" s="18" t="s">
        <v>7570</v>
      </c>
      <c r="D1811" s="18" t="s">
        <v>178</v>
      </c>
      <c r="E1811" s="18" t="s">
        <v>5665</v>
      </c>
    </row>
    <row r="1812">
      <c r="A1812" s="362">
        <v>1811.0</v>
      </c>
      <c r="B1812" s="18" t="s">
        <v>60</v>
      </c>
      <c r="C1812" s="18" t="s">
        <v>7571</v>
      </c>
      <c r="D1812" s="18" t="s">
        <v>1536</v>
      </c>
      <c r="E1812" s="18" t="s">
        <v>5665</v>
      </c>
    </row>
    <row r="1813">
      <c r="A1813" s="362">
        <v>1812.0</v>
      </c>
      <c r="B1813" s="18" t="s">
        <v>60</v>
      </c>
      <c r="C1813" s="18" t="s">
        <v>7573</v>
      </c>
      <c r="D1813" s="18" t="s">
        <v>4629</v>
      </c>
      <c r="E1813" s="18" t="s">
        <v>5665</v>
      </c>
    </row>
    <row r="1814">
      <c r="A1814" s="362">
        <v>1813.0</v>
      </c>
      <c r="B1814" s="18" t="s">
        <v>102</v>
      </c>
      <c r="C1814" s="18" t="s">
        <v>7575</v>
      </c>
      <c r="D1814" s="18" t="s">
        <v>170</v>
      </c>
      <c r="E1814" s="18" t="s">
        <v>5665</v>
      </c>
    </row>
    <row r="1815">
      <c r="A1815" s="362">
        <v>1814.0</v>
      </c>
      <c r="B1815" s="18" t="s">
        <v>102</v>
      </c>
      <c r="C1815" s="18" t="s">
        <v>7579</v>
      </c>
      <c r="D1815" s="18" t="s">
        <v>119</v>
      </c>
      <c r="E1815" s="18" t="s">
        <v>5665</v>
      </c>
    </row>
    <row r="1816">
      <c r="A1816" s="362">
        <v>1815.0</v>
      </c>
      <c r="B1816" s="18" t="s">
        <v>60</v>
      </c>
      <c r="C1816" s="18" t="s">
        <v>7581</v>
      </c>
      <c r="D1816" s="18" t="s">
        <v>1536</v>
      </c>
      <c r="E1816" s="18" t="s">
        <v>5665</v>
      </c>
    </row>
    <row r="1817">
      <c r="A1817" s="459">
        <v>1816.0</v>
      </c>
      <c r="B1817" s="460" t="s">
        <v>60</v>
      </c>
      <c r="C1817" s="460" t="s">
        <v>7582</v>
      </c>
      <c r="D1817" s="460" t="s">
        <v>152</v>
      </c>
      <c r="E1817" s="460" t="s">
        <v>7583</v>
      </c>
    </row>
    <row r="1818">
      <c r="A1818" s="362">
        <v>1817.0</v>
      </c>
      <c r="B1818" s="18" t="s">
        <v>60</v>
      </c>
      <c r="C1818" s="18" t="s">
        <v>7584</v>
      </c>
      <c r="D1818" s="18" t="s">
        <v>786</v>
      </c>
      <c r="E1818" s="18" t="s">
        <v>7583</v>
      </c>
    </row>
    <row r="1819">
      <c r="A1819" s="362">
        <v>1818.0</v>
      </c>
      <c r="B1819" s="18" t="s">
        <v>60</v>
      </c>
      <c r="C1819" s="18" t="s">
        <v>7585</v>
      </c>
      <c r="D1819" s="18" t="s">
        <v>2289</v>
      </c>
      <c r="E1819" s="18" t="s">
        <v>7583</v>
      </c>
    </row>
    <row r="1820">
      <c r="A1820" s="362">
        <v>1819.0</v>
      </c>
      <c r="B1820" s="18" t="s">
        <v>102</v>
      </c>
      <c r="C1820" s="18" t="s">
        <v>7586</v>
      </c>
      <c r="D1820" s="18" t="s">
        <v>119</v>
      </c>
      <c r="E1820" s="18" t="s">
        <v>7583</v>
      </c>
    </row>
    <row r="1821">
      <c r="A1821" s="362">
        <v>1820.0</v>
      </c>
      <c r="B1821" s="18" t="s">
        <v>60</v>
      </c>
      <c r="C1821" s="18" t="s">
        <v>7587</v>
      </c>
      <c r="D1821" s="18" t="s">
        <v>2289</v>
      </c>
      <c r="E1821" s="18" t="s">
        <v>7583</v>
      </c>
    </row>
    <row r="1822">
      <c r="A1822" s="362">
        <v>1821.0</v>
      </c>
      <c r="B1822" s="18" t="s">
        <v>102</v>
      </c>
      <c r="C1822" s="18" t="s">
        <v>7588</v>
      </c>
      <c r="D1822" s="18" t="s">
        <v>7590</v>
      </c>
      <c r="E1822" s="18" t="s">
        <v>7583</v>
      </c>
    </row>
    <row r="1823">
      <c r="A1823" s="362">
        <v>1822.0</v>
      </c>
      <c r="B1823" s="18" t="s">
        <v>60</v>
      </c>
      <c r="C1823" s="18" t="s">
        <v>7591</v>
      </c>
      <c r="D1823" s="18" t="s">
        <v>1431</v>
      </c>
      <c r="E1823" s="18" t="s">
        <v>7583</v>
      </c>
    </row>
    <row r="1824">
      <c r="A1824" s="362">
        <v>1823.0</v>
      </c>
      <c r="B1824" s="18" t="s">
        <v>60</v>
      </c>
      <c r="C1824" s="18" t="s">
        <v>7592</v>
      </c>
      <c r="D1824" s="18" t="s">
        <v>1431</v>
      </c>
      <c r="E1824" s="18" t="s">
        <v>7583</v>
      </c>
    </row>
    <row r="1825">
      <c r="A1825" s="362">
        <v>1824.0</v>
      </c>
      <c r="B1825" s="18" t="s">
        <v>60</v>
      </c>
      <c r="C1825" s="18" t="s">
        <v>7593</v>
      </c>
      <c r="D1825" s="18" t="s">
        <v>1431</v>
      </c>
      <c r="E1825" s="18" t="s">
        <v>7583</v>
      </c>
    </row>
    <row r="1826">
      <c r="A1826" s="362">
        <v>1825.0</v>
      </c>
      <c r="B1826" s="18" t="s">
        <v>102</v>
      </c>
      <c r="C1826" s="18" t="s">
        <v>7594</v>
      </c>
      <c r="D1826" s="18" t="s">
        <v>4233</v>
      </c>
      <c r="E1826" s="18" t="s">
        <v>7583</v>
      </c>
    </row>
    <row r="1827">
      <c r="A1827" s="362">
        <v>1826.0</v>
      </c>
      <c r="B1827" s="18" t="s">
        <v>102</v>
      </c>
      <c r="C1827" s="18" t="s">
        <v>7595</v>
      </c>
      <c r="D1827" s="18" t="s">
        <v>119</v>
      </c>
      <c r="E1827" s="18" t="s">
        <v>7583</v>
      </c>
    </row>
    <row r="1828">
      <c r="A1828" s="362">
        <v>1827.0</v>
      </c>
      <c r="B1828" s="18" t="s">
        <v>60</v>
      </c>
      <c r="C1828" s="18" t="s">
        <v>7596</v>
      </c>
      <c r="D1828" s="18" t="s">
        <v>786</v>
      </c>
      <c r="E1828" s="18" t="s">
        <v>7583</v>
      </c>
    </row>
    <row r="1829">
      <c r="A1829" s="362">
        <v>1828.0</v>
      </c>
      <c r="B1829" s="18" t="s">
        <v>360</v>
      </c>
      <c r="C1829" s="18" t="s">
        <v>7597</v>
      </c>
      <c r="D1829" s="18" t="s">
        <v>170</v>
      </c>
      <c r="E1829" s="18" t="s">
        <v>7583</v>
      </c>
    </row>
    <row r="1830">
      <c r="A1830" s="362">
        <v>1829.0</v>
      </c>
      <c r="B1830" s="18" t="s">
        <v>60</v>
      </c>
      <c r="C1830" s="18" t="s">
        <v>7600</v>
      </c>
      <c r="D1830" s="18" t="s">
        <v>1431</v>
      </c>
      <c r="E1830" s="18" t="s">
        <v>7583</v>
      </c>
    </row>
    <row r="1831">
      <c r="A1831" s="362">
        <v>1830.0</v>
      </c>
      <c r="B1831" s="18" t="s">
        <v>360</v>
      </c>
      <c r="C1831" s="18" t="s">
        <v>7601</v>
      </c>
      <c r="D1831" s="18" t="s">
        <v>163</v>
      </c>
      <c r="E1831" s="18" t="s">
        <v>7583</v>
      </c>
    </row>
    <row r="1832">
      <c r="A1832" s="362">
        <v>1831.0</v>
      </c>
      <c r="B1832" s="18" t="s">
        <v>102</v>
      </c>
      <c r="C1832" s="18" t="s">
        <v>7602</v>
      </c>
      <c r="D1832" s="18" t="s">
        <v>170</v>
      </c>
      <c r="E1832" s="18" t="s">
        <v>7583</v>
      </c>
    </row>
    <row r="1833">
      <c r="A1833" s="362">
        <v>1832.0</v>
      </c>
      <c r="B1833" s="18" t="s">
        <v>326</v>
      </c>
      <c r="C1833" s="18" t="s">
        <v>7604</v>
      </c>
      <c r="D1833" s="18" t="s">
        <v>786</v>
      </c>
      <c r="E1833" s="18" t="s">
        <v>7583</v>
      </c>
    </row>
    <row r="1834">
      <c r="A1834" s="362">
        <v>1833.0</v>
      </c>
      <c r="B1834" s="18" t="s">
        <v>102</v>
      </c>
      <c r="C1834" s="18" t="s">
        <v>7606</v>
      </c>
      <c r="D1834" s="18" t="s">
        <v>7607</v>
      </c>
      <c r="E1834" s="18" t="s">
        <v>7583</v>
      </c>
    </row>
    <row r="1835">
      <c r="A1835" s="362">
        <v>1834.0</v>
      </c>
      <c r="B1835" s="18" t="s">
        <v>60</v>
      </c>
      <c r="C1835" s="18" t="s">
        <v>7608</v>
      </c>
      <c r="D1835" s="18" t="s">
        <v>786</v>
      </c>
      <c r="E1835" s="18" t="s">
        <v>7583</v>
      </c>
    </row>
    <row r="1836">
      <c r="A1836" s="362">
        <v>1835.0</v>
      </c>
      <c r="B1836" s="18" t="s">
        <v>36</v>
      </c>
      <c r="C1836" s="18" t="s">
        <v>7610</v>
      </c>
      <c r="D1836" s="18" t="s">
        <v>106</v>
      </c>
      <c r="E1836" s="18" t="s">
        <v>7583</v>
      </c>
    </row>
    <row r="1837">
      <c r="A1837" s="362">
        <v>1836.0</v>
      </c>
      <c r="B1837" s="18" t="s">
        <v>60</v>
      </c>
      <c r="C1837" s="18" t="s">
        <v>7611</v>
      </c>
      <c r="D1837" s="18" t="s">
        <v>1536</v>
      </c>
      <c r="E1837" s="18" t="s">
        <v>7583</v>
      </c>
    </row>
    <row r="1838">
      <c r="A1838" s="362">
        <v>1837.0</v>
      </c>
      <c r="B1838" s="18" t="s">
        <v>60</v>
      </c>
      <c r="C1838" s="18" t="s">
        <v>7612</v>
      </c>
      <c r="D1838" s="18" t="s">
        <v>1431</v>
      </c>
      <c r="E1838" s="18" t="s">
        <v>7583</v>
      </c>
    </row>
    <row r="1839">
      <c r="A1839" s="362">
        <v>1838.0</v>
      </c>
      <c r="B1839" s="18" t="s">
        <v>60</v>
      </c>
      <c r="C1839" s="18" t="s">
        <v>7614</v>
      </c>
      <c r="D1839" s="18" t="s">
        <v>1431</v>
      </c>
      <c r="E1839" s="18" t="s">
        <v>7583</v>
      </c>
    </row>
    <row r="1840">
      <c r="A1840" s="362">
        <v>1839.0</v>
      </c>
      <c r="B1840" s="18" t="s">
        <v>102</v>
      </c>
      <c r="C1840" s="18" t="s">
        <v>7615</v>
      </c>
      <c r="D1840" s="18" t="s">
        <v>7590</v>
      </c>
      <c r="E1840" s="18" t="s">
        <v>7583</v>
      </c>
    </row>
    <row r="1841">
      <c r="A1841" s="362">
        <v>1840.0</v>
      </c>
      <c r="B1841" s="18" t="s">
        <v>60</v>
      </c>
      <c r="C1841" s="18" t="s">
        <v>7616</v>
      </c>
      <c r="D1841" s="18" t="s">
        <v>1431</v>
      </c>
      <c r="E1841" s="18" t="s">
        <v>7583</v>
      </c>
    </row>
    <row r="1842">
      <c r="A1842" s="362">
        <v>1841.0</v>
      </c>
      <c r="B1842" s="18" t="s">
        <v>60</v>
      </c>
      <c r="C1842" s="18" t="s">
        <v>7617</v>
      </c>
      <c r="D1842" s="18" t="s">
        <v>1431</v>
      </c>
      <c r="E1842" s="18" t="s">
        <v>7583</v>
      </c>
    </row>
    <row r="1843">
      <c r="A1843" s="362">
        <v>1842.0</v>
      </c>
      <c r="B1843" s="18" t="s">
        <v>60</v>
      </c>
      <c r="C1843" s="18" t="s">
        <v>7619</v>
      </c>
      <c r="D1843" s="18" t="s">
        <v>152</v>
      </c>
      <c r="E1843" s="18" t="s">
        <v>7583</v>
      </c>
    </row>
    <row r="1844">
      <c r="A1844" s="362">
        <v>1843.0</v>
      </c>
      <c r="B1844" s="18" t="s">
        <v>60</v>
      </c>
      <c r="C1844" s="18" t="s">
        <v>7621</v>
      </c>
      <c r="D1844" s="18" t="s">
        <v>1431</v>
      </c>
      <c r="E1844" s="18" t="s">
        <v>7583</v>
      </c>
    </row>
    <row r="1845">
      <c r="A1845" s="362">
        <v>1844.0</v>
      </c>
      <c r="B1845" s="18" t="s">
        <v>102</v>
      </c>
      <c r="C1845" s="18" t="s">
        <v>7624</v>
      </c>
      <c r="D1845" s="18" t="s">
        <v>1431</v>
      </c>
      <c r="E1845" s="18" t="s">
        <v>7583</v>
      </c>
    </row>
    <row r="1846">
      <c r="A1846" s="362">
        <v>1845.0</v>
      </c>
      <c r="B1846" s="18" t="s">
        <v>102</v>
      </c>
      <c r="C1846" s="18" t="s">
        <v>7625</v>
      </c>
      <c r="D1846" s="18" t="s">
        <v>4233</v>
      </c>
      <c r="E1846" s="18" t="s">
        <v>7583</v>
      </c>
    </row>
    <row r="1847">
      <c r="A1847" s="362">
        <v>1846.0</v>
      </c>
      <c r="B1847" s="18" t="s">
        <v>60</v>
      </c>
      <c r="C1847" s="18" t="s">
        <v>7626</v>
      </c>
      <c r="D1847" s="18" t="s">
        <v>786</v>
      </c>
      <c r="E1847" s="18" t="s">
        <v>7583</v>
      </c>
    </row>
    <row r="1848">
      <c r="A1848" s="362">
        <v>1847.0</v>
      </c>
      <c r="B1848" s="18" t="s">
        <v>102</v>
      </c>
      <c r="C1848" s="18" t="s">
        <v>7627</v>
      </c>
      <c r="D1848" s="18" t="s">
        <v>4233</v>
      </c>
      <c r="E1848" s="18" t="s">
        <v>7583</v>
      </c>
    </row>
    <row r="1849">
      <c r="A1849" s="362">
        <v>1848.0</v>
      </c>
      <c r="B1849" s="18" t="s">
        <v>102</v>
      </c>
      <c r="C1849" s="18" t="s">
        <v>7629</v>
      </c>
      <c r="D1849" s="18" t="s">
        <v>119</v>
      </c>
      <c r="E1849" s="18" t="s">
        <v>7583</v>
      </c>
    </row>
    <row r="1850">
      <c r="A1850" s="362">
        <v>1849.0</v>
      </c>
      <c r="B1850" s="18" t="s">
        <v>60</v>
      </c>
      <c r="C1850" s="18" t="s">
        <v>7630</v>
      </c>
      <c r="D1850" s="18" t="s">
        <v>786</v>
      </c>
      <c r="E1850" s="18" t="s">
        <v>7583</v>
      </c>
    </row>
    <row r="1851">
      <c r="A1851" s="362">
        <v>1850.0</v>
      </c>
      <c r="B1851" s="18" t="s">
        <v>60</v>
      </c>
      <c r="C1851" s="18" t="s">
        <v>7632</v>
      </c>
      <c r="D1851" s="18" t="s">
        <v>2571</v>
      </c>
      <c r="E1851" s="18" t="s">
        <v>7583</v>
      </c>
    </row>
    <row r="1852">
      <c r="A1852" s="362">
        <v>1851.0</v>
      </c>
      <c r="B1852" s="18" t="s">
        <v>102</v>
      </c>
      <c r="C1852" s="18" t="s">
        <v>7635</v>
      </c>
      <c r="D1852" s="18" t="s">
        <v>4259</v>
      </c>
      <c r="E1852" s="18" t="s">
        <v>7583</v>
      </c>
    </row>
    <row r="1853">
      <c r="A1853" s="362">
        <v>1852.0</v>
      </c>
      <c r="B1853" s="18" t="s">
        <v>60</v>
      </c>
      <c r="C1853" s="18" t="s">
        <v>7639</v>
      </c>
      <c r="D1853" s="18" t="s">
        <v>786</v>
      </c>
      <c r="E1853" s="18" t="s">
        <v>7583</v>
      </c>
    </row>
    <row r="1854">
      <c r="A1854" s="362">
        <v>1853.0</v>
      </c>
      <c r="B1854" s="18" t="s">
        <v>102</v>
      </c>
      <c r="C1854" s="18" t="s">
        <v>7641</v>
      </c>
      <c r="D1854" s="18" t="s">
        <v>4233</v>
      </c>
      <c r="E1854" s="18" t="s">
        <v>7583</v>
      </c>
    </row>
    <row r="1855">
      <c r="A1855" s="362">
        <v>1854.0</v>
      </c>
      <c r="B1855" s="18" t="s">
        <v>60</v>
      </c>
      <c r="C1855" s="18" t="s">
        <v>7643</v>
      </c>
      <c r="D1855" s="18" t="s">
        <v>152</v>
      </c>
      <c r="E1855" s="18" t="s">
        <v>7583</v>
      </c>
    </row>
    <row r="1856">
      <c r="A1856" s="362">
        <v>1855.0</v>
      </c>
      <c r="B1856" s="18" t="s">
        <v>36</v>
      </c>
      <c r="C1856" s="18" t="s">
        <v>7644</v>
      </c>
      <c r="D1856" s="18" t="s">
        <v>267</v>
      </c>
      <c r="E1856" s="18" t="s">
        <v>7583</v>
      </c>
    </row>
    <row r="1857">
      <c r="A1857" s="362">
        <v>1856.0</v>
      </c>
      <c r="B1857" s="18" t="s">
        <v>60</v>
      </c>
      <c r="C1857" s="18" t="s">
        <v>7645</v>
      </c>
      <c r="D1857" s="18" t="s">
        <v>786</v>
      </c>
      <c r="E1857" s="18" t="s">
        <v>7583</v>
      </c>
    </row>
    <row r="1858">
      <c r="A1858" s="362">
        <v>1857.0</v>
      </c>
      <c r="B1858" s="18" t="s">
        <v>60</v>
      </c>
      <c r="C1858" s="18" t="s">
        <v>7646</v>
      </c>
      <c r="D1858" s="18" t="s">
        <v>1431</v>
      </c>
      <c r="E1858" s="18" t="s">
        <v>7583</v>
      </c>
    </row>
    <row r="1859">
      <c r="A1859" s="362">
        <v>1858.0</v>
      </c>
      <c r="B1859" s="18" t="s">
        <v>60</v>
      </c>
      <c r="C1859" s="18" t="s">
        <v>7647</v>
      </c>
      <c r="D1859" s="18" t="s">
        <v>2289</v>
      </c>
      <c r="E1859" s="18" t="s">
        <v>7583</v>
      </c>
    </row>
    <row r="1860">
      <c r="A1860" s="362">
        <v>1859.0</v>
      </c>
      <c r="B1860" s="18" t="s">
        <v>102</v>
      </c>
      <c r="C1860" s="18" t="s">
        <v>7649</v>
      </c>
      <c r="D1860" s="18" t="s">
        <v>178</v>
      </c>
      <c r="E1860" s="18" t="s">
        <v>7583</v>
      </c>
    </row>
    <row r="1861">
      <c r="A1861" s="362">
        <v>1860.0</v>
      </c>
      <c r="B1861" s="18" t="s">
        <v>60</v>
      </c>
      <c r="C1861" s="18" t="s">
        <v>7653</v>
      </c>
      <c r="D1861" s="18" t="s">
        <v>786</v>
      </c>
      <c r="E1861" s="18" t="s">
        <v>7583</v>
      </c>
    </row>
    <row r="1862">
      <c r="A1862" s="362">
        <v>1861.0</v>
      </c>
      <c r="B1862" s="18" t="s">
        <v>96</v>
      </c>
      <c r="C1862" s="18" t="s">
        <v>7654</v>
      </c>
      <c r="D1862" s="18" t="s">
        <v>122</v>
      </c>
      <c r="E1862" s="18" t="s">
        <v>7583</v>
      </c>
    </row>
    <row r="1863">
      <c r="A1863" s="362">
        <v>1862.0</v>
      </c>
      <c r="B1863" s="18" t="s">
        <v>102</v>
      </c>
      <c r="C1863" s="18" t="s">
        <v>7656</v>
      </c>
      <c r="D1863" s="18" t="s">
        <v>119</v>
      </c>
      <c r="E1863" s="18" t="s">
        <v>7583</v>
      </c>
    </row>
    <row r="1864">
      <c r="A1864" s="362">
        <v>1863.0</v>
      </c>
      <c r="B1864" s="18" t="s">
        <v>102</v>
      </c>
      <c r="C1864" s="18" t="s">
        <v>7657</v>
      </c>
      <c r="D1864" s="18" t="s">
        <v>1157</v>
      </c>
      <c r="E1864" s="18" t="s">
        <v>7583</v>
      </c>
    </row>
    <row r="1865">
      <c r="A1865" s="362">
        <v>1864.0</v>
      </c>
      <c r="B1865" s="18" t="s">
        <v>360</v>
      </c>
      <c r="C1865" s="18" t="s">
        <v>7662</v>
      </c>
      <c r="D1865" s="18" t="s">
        <v>163</v>
      </c>
      <c r="E1865" s="18" t="s">
        <v>7583</v>
      </c>
    </row>
    <row r="1866">
      <c r="A1866" s="362">
        <v>1865.0</v>
      </c>
      <c r="B1866" s="18" t="s">
        <v>60</v>
      </c>
      <c r="C1866" s="18" t="s">
        <v>7665</v>
      </c>
      <c r="D1866" s="18" t="s">
        <v>7666</v>
      </c>
      <c r="E1866" s="18" t="s">
        <v>7583</v>
      </c>
    </row>
    <row r="1867">
      <c r="A1867" s="362">
        <v>1866.0</v>
      </c>
      <c r="B1867" s="18" t="s">
        <v>102</v>
      </c>
      <c r="C1867" s="18" t="s">
        <v>7671</v>
      </c>
      <c r="D1867" s="18" t="s">
        <v>170</v>
      </c>
      <c r="E1867" s="18" t="s">
        <v>7583</v>
      </c>
    </row>
    <row r="1868">
      <c r="A1868" s="362">
        <v>1867.0</v>
      </c>
      <c r="B1868" s="18" t="s">
        <v>60</v>
      </c>
      <c r="C1868" s="18" t="s">
        <v>7673</v>
      </c>
      <c r="D1868" s="18" t="s">
        <v>786</v>
      </c>
      <c r="E1868" s="18" t="s">
        <v>7583</v>
      </c>
    </row>
    <row r="1869">
      <c r="A1869" s="362">
        <v>1868.0</v>
      </c>
      <c r="B1869" s="18" t="s">
        <v>60</v>
      </c>
      <c r="C1869" s="18" t="s">
        <v>7675</v>
      </c>
      <c r="D1869" s="18" t="s">
        <v>1431</v>
      </c>
      <c r="E1869" s="18" t="s">
        <v>7583</v>
      </c>
    </row>
    <row r="1870">
      <c r="A1870" s="362">
        <v>1869.0</v>
      </c>
      <c r="B1870" s="18" t="s">
        <v>102</v>
      </c>
      <c r="C1870" s="18" t="s">
        <v>7677</v>
      </c>
      <c r="D1870" s="18" t="s">
        <v>7607</v>
      </c>
      <c r="E1870" s="18" t="s">
        <v>7583</v>
      </c>
    </row>
    <row r="1871">
      <c r="A1871" s="362">
        <v>1870.0</v>
      </c>
      <c r="B1871" s="18" t="s">
        <v>60</v>
      </c>
      <c r="C1871" s="18" t="s">
        <v>7679</v>
      </c>
      <c r="D1871" s="18" t="s">
        <v>2289</v>
      </c>
      <c r="E1871" s="18" t="s">
        <v>7583</v>
      </c>
    </row>
    <row r="1872">
      <c r="A1872" s="362">
        <v>1871.0</v>
      </c>
      <c r="B1872" s="18" t="s">
        <v>60</v>
      </c>
      <c r="C1872" s="18" t="s">
        <v>7680</v>
      </c>
      <c r="D1872" s="18" t="s">
        <v>152</v>
      </c>
      <c r="E1872" s="18" t="s">
        <v>7583</v>
      </c>
    </row>
    <row r="1873">
      <c r="A1873" s="362">
        <v>1872.0</v>
      </c>
      <c r="B1873" s="18" t="s">
        <v>60</v>
      </c>
      <c r="C1873" s="18" t="s">
        <v>7681</v>
      </c>
      <c r="D1873" s="18" t="s">
        <v>152</v>
      </c>
      <c r="E1873" s="18" t="s">
        <v>7583</v>
      </c>
    </row>
    <row r="1874">
      <c r="A1874" s="362">
        <v>1873.0</v>
      </c>
      <c r="B1874" s="18" t="s">
        <v>102</v>
      </c>
      <c r="C1874" s="18" t="s">
        <v>7683</v>
      </c>
      <c r="D1874" s="18" t="s">
        <v>170</v>
      </c>
      <c r="E1874" s="18" t="s">
        <v>7583</v>
      </c>
    </row>
    <row r="1875">
      <c r="A1875" s="362">
        <v>1874.0</v>
      </c>
      <c r="B1875" s="18" t="s">
        <v>102</v>
      </c>
      <c r="C1875" s="18" t="s">
        <v>7686</v>
      </c>
      <c r="D1875" s="18" t="s">
        <v>119</v>
      </c>
      <c r="E1875" s="18" t="s">
        <v>7583</v>
      </c>
    </row>
    <row r="1876">
      <c r="A1876" s="362">
        <v>1875.0</v>
      </c>
      <c r="B1876" s="18" t="s">
        <v>36</v>
      </c>
      <c r="C1876" s="18" t="s">
        <v>7690</v>
      </c>
      <c r="D1876" s="18" t="s">
        <v>170</v>
      </c>
      <c r="E1876" s="18" t="s">
        <v>7583</v>
      </c>
    </row>
    <row r="1877">
      <c r="A1877" s="362">
        <v>1876.0</v>
      </c>
      <c r="B1877" s="18" t="s">
        <v>102</v>
      </c>
      <c r="C1877" s="18" t="s">
        <v>7695</v>
      </c>
      <c r="D1877" s="18" t="s">
        <v>7590</v>
      </c>
      <c r="E1877" s="18" t="s">
        <v>7583</v>
      </c>
    </row>
    <row r="1878">
      <c r="A1878" s="362">
        <v>1877.0</v>
      </c>
      <c r="B1878" s="18" t="s">
        <v>60</v>
      </c>
      <c r="C1878" s="18" t="s">
        <v>7698</v>
      </c>
      <c r="D1878" s="18" t="s">
        <v>1536</v>
      </c>
      <c r="E1878" s="18" t="s">
        <v>7583</v>
      </c>
    </row>
    <row r="1879">
      <c r="A1879" s="362">
        <v>1878.0</v>
      </c>
      <c r="B1879" s="18" t="s">
        <v>60</v>
      </c>
      <c r="C1879" s="18" t="s">
        <v>7700</v>
      </c>
      <c r="D1879" s="18" t="s">
        <v>152</v>
      </c>
      <c r="E1879" s="18" t="s">
        <v>7583</v>
      </c>
    </row>
    <row r="1880">
      <c r="A1880" s="362">
        <v>1879.0</v>
      </c>
      <c r="B1880" s="18" t="s">
        <v>36</v>
      </c>
      <c r="C1880" s="18" t="s">
        <v>7702</v>
      </c>
      <c r="D1880" s="18" t="s">
        <v>170</v>
      </c>
      <c r="E1880" s="18" t="s">
        <v>7583</v>
      </c>
    </row>
    <row r="1881">
      <c r="A1881" s="362">
        <v>1880.0</v>
      </c>
      <c r="B1881" s="18" t="s">
        <v>60</v>
      </c>
      <c r="C1881" s="18" t="s">
        <v>7705</v>
      </c>
      <c r="D1881" s="18" t="s">
        <v>2289</v>
      </c>
      <c r="E1881" s="18" t="s">
        <v>7583</v>
      </c>
    </row>
    <row r="1882">
      <c r="A1882" s="362">
        <v>1881.0</v>
      </c>
      <c r="B1882" s="18" t="s">
        <v>60</v>
      </c>
      <c r="C1882" s="18" t="s">
        <v>7707</v>
      </c>
      <c r="D1882" s="18" t="s">
        <v>786</v>
      </c>
      <c r="E1882" s="18" t="s">
        <v>7583</v>
      </c>
    </row>
    <row r="1883">
      <c r="A1883" s="362">
        <v>1882.0</v>
      </c>
      <c r="B1883" s="18" t="s">
        <v>60</v>
      </c>
      <c r="C1883" s="18" t="s">
        <v>7711</v>
      </c>
      <c r="D1883" s="18" t="s">
        <v>786</v>
      </c>
      <c r="E1883" s="18" t="s">
        <v>7583</v>
      </c>
    </row>
    <row r="1884">
      <c r="A1884" s="362">
        <v>1883.0</v>
      </c>
      <c r="B1884" s="18" t="s">
        <v>102</v>
      </c>
      <c r="C1884" s="18" t="s">
        <v>7713</v>
      </c>
      <c r="D1884" s="18" t="s">
        <v>170</v>
      </c>
      <c r="E1884" s="18" t="s">
        <v>7583</v>
      </c>
    </row>
    <row r="1885">
      <c r="A1885" s="362">
        <v>1884.0</v>
      </c>
      <c r="B1885" s="18" t="s">
        <v>36</v>
      </c>
      <c r="C1885" s="18" t="s">
        <v>7714</v>
      </c>
      <c r="D1885" s="18" t="s">
        <v>589</v>
      </c>
      <c r="E1885" s="18" t="s">
        <v>7583</v>
      </c>
    </row>
    <row r="1886">
      <c r="A1886" s="362">
        <v>1885.0</v>
      </c>
      <c r="B1886" s="18" t="s">
        <v>102</v>
      </c>
      <c r="C1886" s="18" t="s">
        <v>7717</v>
      </c>
      <c r="D1886" s="18" t="s">
        <v>7607</v>
      </c>
      <c r="E1886" s="18" t="s">
        <v>7583</v>
      </c>
    </row>
    <row r="1887">
      <c r="A1887" s="362">
        <v>1886.0</v>
      </c>
      <c r="B1887" s="18" t="s">
        <v>102</v>
      </c>
      <c r="C1887" s="18" t="s">
        <v>7720</v>
      </c>
      <c r="D1887" s="18" t="s">
        <v>119</v>
      </c>
      <c r="E1887" s="18" t="s">
        <v>7583</v>
      </c>
    </row>
    <row r="1888">
      <c r="A1888" s="362">
        <v>1887.0</v>
      </c>
      <c r="B1888" s="18" t="s">
        <v>60</v>
      </c>
      <c r="C1888" s="18" t="s">
        <v>7413</v>
      </c>
      <c r="D1888" s="18" t="s">
        <v>152</v>
      </c>
      <c r="E1888" s="18" t="s">
        <v>7583</v>
      </c>
    </row>
    <row r="1889">
      <c r="A1889" s="362">
        <v>1888.0</v>
      </c>
      <c r="B1889" s="18" t="s">
        <v>102</v>
      </c>
      <c r="C1889" s="18" t="s">
        <v>7724</v>
      </c>
      <c r="D1889" s="18" t="s">
        <v>7725</v>
      </c>
      <c r="E1889" s="18" t="s">
        <v>7583</v>
      </c>
    </row>
    <row r="1890">
      <c r="A1890" s="362">
        <v>1889.0</v>
      </c>
      <c r="B1890" s="18" t="s">
        <v>60</v>
      </c>
      <c r="C1890" s="18" t="s">
        <v>7731</v>
      </c>
      <c r="D1890" s="18" t="s">
        <v>786</v>
      </c>
      <c r="E1890" s="18" t="s">
        <v>7583</v>
      </c>
    </row>
    <row r="1891">
      <c r="A1891" s="362">
        <v>1890.0</v>
      </c>
      <c r="B1891" s="18" t="s">
        <v>4139</v>
      </c>
      <c r="C1891" s="18" t="s">
        <v>7734</v>
      </c>
      <c r="D1891" s="18" t="s">
        <v>2324</v>
      </c>
      <c r="E1891" s="18" t="s">
        <v>7583</v>
      </c>
    </row>
    <row r="1892">
      <c r="A1892" s="362">
        <v>1891.0</v>
      </c>
      <c r="B1892" s="18" t="s">
        <v>60</v>
      </c>
      <c r="C1892" s="18" t="s">
        <v>7737</v>
      </c>
      <c r="D1892" s="18" t="s">
        <v>7738</v>
      </c>
      <c r="E1892" s="18" t="s">
        <v>7583</v>
      </c>
    </row>
    <row r="1893">
      <c r="A1893" s="362">
        <v>1892.0</v>
      </c>
      <c r="B1893" s="18" t="s">
        <v>102</v>
      </c>
      <c r="C1893" s="18" t="s">
        <v>7742</v>
      </c>
      <c r="D1893" s="18" t="s">
        <v>170</v>
      </c>
      <c r="E1893" s="18" t="s">
        <v>7583</v>
      </c>
    </row>
    <row r="1894">
      <c r="A1894" s="362">
        <v>1893.0</v>
      </c>
      <c r="B1894" s="18" t="s">
        <v>60</v>
      </c>
      <c r="C1894" s="18" t="s">
        <v>7744</v>
      </c>
      <c r="D1894" s="18" t="s">
        <v>1431</v>
      </c>
      <c r="E1894" s="18" t="s">
        <v>7583</v>
      </c>
    </row>
    <row r="1895">
      <c r="A1895" s="362">
        <v>1894.0</v>
      </c>
      <c r="B1895" s="18" t="s">
        <v>60</v>
      </c>
      <c r="C1895" s="18" t="s">
        <v>7747</v>
      </c>
      <c r="D1895" s="18" t="s">
        <v>295</v>
      </c>
      <c r="E1895" s="18" t="s">
        <v>7583</v>
      </c>
    </row>
    <row r="1896">
      <c r="A1896" s="362">
        <v>1895.0</v>
      </c>
      <c r="B1896" s="18" t="s">
        <v>60</v>
      </c>
      <c r="C1896" s="18" t="s">
        <v>7752</v>
      </c>
      <c r="D1896" s="18" t="s">
        <v>786</v>
      </c>
      <c r="E1896" s="18" t="s">
        <v>7583</v>
      </c>
    </row>
    <row r="1897">
      <c r="A1897" s="362">
        <v>1896.0</v>
      </c>
      <c r="B1897" s="18" t="s">
        <v>102</v>
      </c>
      <c r="C1897" s="18" t="s">
        <v>7755</v>
      </c>
      <c r="D1897" s="18" t="s">
        <v>119</v>
      </c>
      <c r="E1897" s="18" t="s">
        <v>7583</v>
      </c>
    </row>
    <row r="1898">
      <c r="A1898" s="362">
        <v>1897.0</v>
      </c>
      <c r="B1898" s="18" t="s">
        <v>60</v>
      </c>
      <c r="C1898" s="18" t="s">
        <v>7757</v>
      </c>
      <c r="D1898" s="18" t="s">
        <v>786</v>
      </c>
      <c r="E1898" s="18" t="s">
        <v>7583</v>
      </c>
    </row>
    <row r="1899">
      <c r="A1899" s="362">
        <v>1898.0</v>
      </c>
      <c r="B1899" s="18" t="s">
        <v>102</v>
      </c>
      <c r="C1899" s="18" t="s">
        <v>7759</v>
      </c>
      <c r="D1899" s="18" t="s">
        <v>7590</v>
      </c>
      <c r="E1899" s="18" t="s">
        <v>7583</v>
      </c>
    </row>
    <row r="1900">
      <c r="A1900" s="362">
        <v>1899.0</v>
      </c>
      <c r="B1900" s="18" t="s">
        <v>60</v>
      </c>
      <c r="C1900" s="18" t="s">
        <v>7760</v>
      </c>
      <c r="D1900" s="18" t="s">
        <v>1536</v>
      </c>
      <c r="E1900" s="18" t="s">
        <v>7583</v>
      </c>
    </row>
    <row r="1901">
      <c r="A1901" s="362">
        <v>1900.0</v>
      </c>
      <c r="B1901" s="18" t="s">
        <v>60</v>
      </c>
      <c r="C1901" s="18" t="s">
        <v>7764</v>
      </c>
      <c r="D1901" s="18" t="s">
        <v>1536</v>
      </c>
      <c r="E1901" s="18" t="s">
        <v>7583</v>
      </c>
    </row>
    <row r="1902">
      <c r="A1902" s="362">
        <v>1901.0</v>
      </c>
      <c r="B1902" s="18" t="s">
        <v>60</v>
      </c>
      <c r="C1902" s="18" t="s">
        <v>7766</v>
      </c>
      <c r="D1902" s="18" t="s">
        <v>786</v>
      </c>
      <c r="E1902" s="18" t="s">
        <v>7583</v>
      </c>
    </row>
    <row r="1903">
      <c r="A1903" s="362">
        <v>1902.0</v>
      </c>
      <c r="B1903" s="18" t="s">
        <v>60</v>
      </c>
      <c r="C1903" s="18" t="s">
        <v>7769</v>
      </c>
      <c r="D1903" s="18" t="s">
        <v>1536</v>
      </c>
      <c r="E1903" s="18" t="s">
        <v>7583</v>
      </c>
    </row>
    <row r="1904">
      <c r="A1904" s="362">
        <v>1903.0</v>
      </c>
      <c r="B1904" s="18" t="s">
        <v>360</v>
      </c>
      <c r="C1904" s="18" t="s">
        <v>7771</v>
      </c>
      <c r="D1904" s="18" t="s">
        <v>119</v>
      </c>
      <c r="E1904" s="18" t="s">
        <v>7583</v>
      </c>
    </row>
    <row r="1905">
      <c r="A1905" s="362">
        <v>1904.0</v>
      </c>
      <c r="B1905" s="18" t="s">
        <v>60</v>
      </c>
      <c r="C1905" s="18" t="s">
        <v>7772</v>
      </c>
      <c r="D1905" s="18" t="s">
        <v>2281</v>
      </c>
      <c r="E1905" s="18" t="s">
        <v>7583</v>
      </c>
    </row>
    <row r="1906">
      <c r="A1906" s="362">
        <v>1905.0</v>
      </c>
      <c r="B1906" s="18" t="s">
        <v>60</v>
      </c>
      <c r="C1906" s="18" t="s">
        <v>7774</v>
      </c>
      <c r="D1906" s="18" t="s">
        <v>152</v>
      </c>
      <c r="E1906" s="18" t="s">
        <v>7583</v>
      </c>
    </row>
    <row r="1907">
      <c r="A1907" s="362">
        <v>1906.0</v>
      </c>
      <c r="B1907" s="18" t="s">
        <v>102</v>
      </c>
      <c r="C1907" s="18" t="s">
        <v>7776</v>
      </c>
      <c r="D1907" s="18" t="s">
        <v>178</v>
      </c>
      <c r="E1907" s="18" t="s">
        <v>7583</v>
      </c>
    </row>
    <row r="1908">
      <c r="A1908" s="362">
        <v>1907.0</v>
      </c>
      <c r="B1908" s="18" t="s">
        <v>60</v>
      </c>
      <c r="C1908" s="18" t="s">
        <v>7782</v>
      </c>
      <c r="D1908" s="18" t="s">
        <v>152</v>
      </c>
      <c r="E1908" s="18" t="s">
        <v>7583</v>
      </c>
    </row>
    <row r="1909">
      <c r="A1909" s="362">
        <v>1908.0</v>
      </c>
      <c r="B1909" s="18" t="s">
        <v>102</v>
      </c>
      <c r="C1909" s="18" t="s">
        <v>7784</v>
      </c>
      <c r="D1909" s="18" t="s">
        <v>178</v>
      </c>
      <c r="E1909" s="18" t="s">
        <v>7583</v>
      </c>
    </row>
    <row r="1910">
      <c r="A1910" s="362">
        <v>1909.0</v>
      </c>
      <c r="B1910" s="18" t="s">
        <v>60</v>
      </c>
      <c r="C1910" s="18" t="s">
        <v>7787</v>
      </c>
      <c r="D1910" s="18" t="s">
        <v>2289</v>
      </c>
      <c r="E1910" s="18" t="s">
        <v>7583</v>
      </c>
    </row>
    <row r="1911">
      <c r="A1911" s="362">
        <v>1910.0</v>
      </c>
      <c r="B1911" s="18" t="s">
        <v>102</v>
      </c>
      <c r="C1911" s="18" t="s">
        <v>7788</v>
      </c>
      <c r="D1911" s="18" t="s">
        <v>178</v>
      </c>
      <c r="E1911" s="18" t="s">
        <v>7583</v>
      </c>
    </row>
    <row r="1912">
      <c r="A1912" s="362">
        <v>1911.0</v>
      </c>
      <c r="B1912" s="18" t="s">
        <v>102</v>
      </c>
      <c r="C1912" s="18" t="s">
        <v>7791</v>
      </c>
      <c r="D1912" s="18" t="s">
        <v>119</v>
      </c>
      <c r="E1912" s="18" t="s">
        <v>7583</v>
      </c>
    </row>
    <row r="1913">
      <c r="A1913" s="362">
        <v>1912.0</v>
      </c>
      <c r="B1913" s="18" t="s">
        <v>102</v>
      </c>
      <c r="C1913" s="18" t="s">
        <v>7793</v>
      </c>
      <c r="D1913" s="18" t="s">
        <v>178</v>
      </c>
      <c r="E1913" s="18" t="s">
        <v>7583</v>
      </c>
    </row>
    <row r="1914">
      <c r="A1914" s="362">
        <v>1913.0</v>
      </c>
      <c r="B1914" s="18" t="s">
        <v>60</v>
      </c>
      <c r="C1914" s="18" t="s">
        <v>7796</v>
      </c>
      <c r="D1914" s="18" t="s">
        <v>2289</v>
      </c>
      <c r="E1914" s="18" t="s">
        <v>7583</v>
      </c>
    </row>
    <row r="1915">
      <c r="A1915" s="362">
        <v>1914.0</v>
      </c>
      <c r="B1915" s="18" t="s">
        <v>60</v>
      </c>
      <c r="C1915" s="18" t="s">
        <v>7798</v>
      </c>
      <c r="D1915" s="18" t="s">
        <v>1431</v>
      </c>
      <c r="E1915" s="18" t="s">
        <v>7583</v>
      </c>
    </row>
    <row r="1916">
      <c r="A1916" s="362">
        <v>1915.0</v>
      </c>
      <c r="B1916" s="18" t="s">
        <v>36</v>
      </c>
      <c r="C1916" s="18" t="s">
        <v>7800</v>
      </c>
      <c r="D1916" s="18" t="s">
        <v>39</v>
      </c>
      <c r="E1916" s="18" t="s">
        <v>7583</v>
      </c>
    </row>
    <row r="1917">
      <c r="A1917" s="362">
        <v>1916.0</v>
      </c>
      <c r="B1917" s="18" t="s">
        <v>60</v>
      </c>
      <c r="C1917" s="18" t="s">
        <v>7805</v>
      </c>
      <c r="D1917" s="18" t="s">
        <v>1431</v>
      </c>
      <c r="E1917" s="18" t="s">
        <v>7583</v>
      </c>
    </row>
    <row r="1918">
      <c r="A1918" s="362">
        <v>1917.0</v>
      </c>
      <c r="B1918" s="18" t="s">
        <v>60</v>
      </c>
      <c r="C1918" s="18" t="s">
        <v>7812</v>
      </c>
      <c r="D1918" s="18" t="s">
        <v>786</v>
      </c>
      <c r="E1918" s="18" t="s">
        <v>7583</v>
      </c>
    </row>
    <row r="1919">
      <c r="A1919" s="362">
        <v>1918.0</v>
      </c>
      <c r="B1919" s="18" t="s">
        <v>60</v>
      </c>
      <c r="C1919" s="18" t="s">
        <v>7815</v>
      </c>
      <c r="D1919" s="18" t="s">
        <v>2289</v>
      </c>
      <c r="E1919" s="18" t="s">
        <v>7583</v>
      </c>
    </row>
    <row r="1920">
      <c r="A1920" s="362">
        <v>1919.0</v>
      </c>
      <c r="B1920" s="18" t="s">
        <v>102</v>
      </c>
      <c r="C1920" s="18" t="s">
        <v>7816</v>
      </c>
      <c r="D1920" s="18" t="s">
        <v>178</v>
      </c>
      <c r="E1920" s="18" t="s">
        <v>7583</v>
      </c>
    </row>
    <row r="1921">
      <c r="A1921" s="362">
        <v>1920.0</v>
      </c>
      <c r="B1921" s="18" t="s">
        <v>60</v>
      </c>
      <c r="C1921" s="18" t="s">
        <v>7818</v>
      </c>
      <c r="D1921" s="18" t="s">
        <v>201</v>
      </c>
      <c r="E1921" s="18" t="s">
        <v>7583</v>
      </c>
    </row>
    <row r="1922">
      <c r="A1922" s="362">
        <v>1921.0</v>
      </c>
      <c r="B1922" s="18" t="s">
        <v>102</v>
      </c>
      <c r="C1922" s="18" t="s">
        <v>7820</v>
      </c>
      <c r="D1922" s="18" t="s">
        <v>4259</v>
      </c>
      <c r="E1922" s="18" t="s">
        <v>7583</v>
      </c>
    </row>
    <row r="1923">
      <c r="A1923" s="362">
        <v>1922.0</v>
      </c>
      <c r="B1923" s="18" t="s">
        <v>60</v>
      </c>
      <c r="C1923" s="18" t="s">
        <v>7822</v>
      </c>
      <c r="D1923" s="18" t="s">
        <v>786</v>
      </c>
      <c r="E1923" s="18" t="s">
        <v>7583</v>
      </c>
    </row>
    <row r="1924">
      <c r="A1924" s="362">
        <v>1923.0</v>
      </c>
      <c r="B1924" s="18" t="s">
        <v>102</v>
      </c>
      <c r="C1924" s="18" t="s">
        <v>7827</v>
      </c>
      <c r="D1924" s="18" t="s">
        <v>3761</v>
      </c>
      <c r="E1924" s="18" t="s">
        <v>7583</v>
      </c>
    </row>
    <row r="1925">
      <c r="A1925" s="362">
        <v>1924.0</v>
      </c>
      <c r="B1925" s="18" t="s">
        <v>60</v>
      </c>
      <c r="C1925" s="18" t="s">
        <v>7831</v>
      </c>
      <c r="D1925" s="18" t="s">
        <v>1431</v>
      </c>
      <c r="E1925" s="18" t="s">
        <v>7583</v>
      </c>
    </row>
    <row r="1926">
      <c r="A1926" s="362">
        <v>1925.0</v>
      </c>
      <c r="B1926" s="18" t="s">
        <v>143</v>
      </c>
      <c r="C1926" s="18" t="s">
        <v>7835</v>
      </c>
      <c r="D1926" s="18" t="s">
        <v>106</v>
      </c>
      <c r="E1926" s="18" t="s">
        <v>7583</v>
      </c>
    </row>
    <row r="1927">
      <c r="A1927" s="362">
        <v>1926.0</v>
      </c>
      <c r="B1927" s="18" t="s">
        <v>60</v>
      </c>
      <c r="C1927" s="18" t="s">
        <v>7838</v>
      </c>
      <c r="D1927" s="18" t="s">
        <v>1431</v>
      </c>
      <c r="E1927" s="18" t="s">
        <v>7583</v>
      </c>
    </row>
    <row r="1928">
      <c r="A1928" s="362">
        <v>1927.0</v>
      </c>
      <c r="B1928" s="18" t="s">
        <v>102</v>
      </c>
      <c r="C1928" s="18" t="s">
        <v>7839</v>
      </c>
      <c r="D1928" s="18" t="s">
        <v>194</v>
      </c>
      <c r="E1928" s="18" t="s">
        <v>7583</v>
      </c>
    </row>
    <row r="1929">
      <c r="A1929" s="362">
        <v>1928.0</v>
      </c>
      <c r="B1929" s="18" t="s">
        <v>60</v>
      </c>
      <c r="C1929" s="18" t="s">
        <v>7841</v>
      </c>
      <c r="D1929" s="18" t="s">
        <v>2289</v>
      </c>
      <c r="E1929" s="18" t="s">
        <v>7583</v>
      </c>
    </row>
    <row r="1930">
      <c r="A1930" s="362">
        <v>1929.0</v>
      </c>
      <c r="B1930" s="18" t="s">
        <v>60</v>
      </c>
      <c r="C1930" s="18" t="s">
        <v>7842</v>
      </c>
      <c r="D1930" s="18" t="s">
        <v>786</v>
      </c>
      <c r="E1930" s="18" t="s">
        <v>7583</v>
      </c>
    </row>
    <row r="1931">
      <c r="A1931" s="362">
        <v>1930.0</v>
      </c>
      <c r="B1931" s="18" t="s">
        <v>504</v>
      </c>
      <c r="C1931" s="18" t="s">
        <v>7844</v>
      </c>
      <c r="D1931" s="18" t="s">
        <v>119</v>
      </c>
      <c r="E1931" s="18" t="s">
        <v>7583</v>
      </c>
    </row>
    <row r="1932">
      <c r="A1932" s="362">
        <v>1931.0</v>
      </c>
      <c r="B1932" s="18" t="s">
        <v>36</v>
      </c>
      <c r="C1932" s="18" t="s">
        <v>7847</v>
      </c>
      <c r="D1932" s="18" t="s">
        <v>3584</v>
      </c>
      <c r="E1932" s="18" t="s">
        <v>7583</v>
      </c>
    </row>
    <row r="1933">
      <c r="A1933" s="362">
        <v>1932.0</v>
      </c>
      <c r="B1933" s="18" t="s">
        <v>656</v>
      </c>
      <c r="C1933" s="18" t="s">
        <v>7848</v>
      </c>
      <c r="D1933" s="18" t="s">
        <v>212</v>
      </c>
      <c r="E1933" s="18" t="s">
        <v>7583</v>
      </c>
    </row>
    <row r="1934">
      <c r="A1934" s="362">
        <v>1933.0</v>
      </c>
      <c r="B1934" s="18" t="s">
        <v>326</v>
      </c>
      <c r="C1934" s="18" t="s">
        <v>7849</v>
      </c>
      <c r="D1934" s="18" t="s">
        <v>1932</v>
      </c>
      <c r="E1934" s="18" t="s">
        <v>7583</v>
      </c>
    </row>
    <row r="1935">
      <c r="A1935" s="362">
        <v>1934.0</v>
      </c>
      <c r="B1935" s="18" t="s">
        <v>143</v>
      </c>
      <c r="C1935" s="18" t="s">
        <v>7851</v>
      </c>
      <c r="D1935" s="18" t="s">
        <v>7852</v>
      </c>
      <c r="E1935" s="18" t="s">
        <v>7583</v>
      </c>
    </row>
    <row r="1936">
      <c r="A1936" s="362">
        <v>1935.0</v>
      </c>
      <c r="B1936" s="18" t="s">
        <v>36</v>
      </c>
      <c r="C1936" s="18" t="s">
        <v>78</v>
      </c>
      <c r="D1936" s="18" t="s">
        <v>81</v>
      </c>
      <c r="E1936" s="18" t="s">
        <v>7583</v>
      </c>
    </row>
    <row r="1937">
      <c r="A1937" s="362">
        <v>1936.0</v>
      </c>
      <c r="B1937" s="18" t="s">
        <v>62</v>
      </c>
      <c r="C1937" s="18" t="s">
        <v>7854</v>
      </c>
      <c r="D1937" s="18" t="s">
        <v>106</v>
      </c>
      <c r="E1937" s="18" t="s">
        <v>7583</v>
      </c>
    </row>
    <row r="1938">
      <c r="A1938" s="362">
        <v>1937.0</v>
      </c>
      <c r="B1938" s="18" t="s">
        <v>36</v>
      </c>
      <c r="C1938" s="18" t="s">
        <v>37</v>
      </c>
      <c r="D1938" s="18" t="s">
        <v>39</v>
      </c>
      <c r="E1938" s="18" t="s">
        <v>7583</v>
      </c>
    </row>
    <row r="1939">
      <c r="A1939" s="362">
        <v>1938.0</v>
      </c>
      <c r="B1939" s="18" t="s">
        <v>96</v>
      </c>
      <c r="C1939" s="18" t="s">
        <v>7856</v>
      </c>
      <c r="D1939" s="18" t="s">
        <v>106</v>
      </c>
      <c r="E1939" s="18" t="s">
        <v>7583</v>
      </c>
    </row>
    <row r="1940">
      <c r="A1940" s="362">
        <v>1939.0</v>
      </c>
      <c r="B1940" s="18" t="s">
        <v>60</v>
      </c>
      <c r="C1940" s="18" t="s">
        <v>7857</v>
      </c>
      <c r="D1940" s="18" t="s">
        <v>1756</v>
      </c>
      <c r="E1940" s="18" t="s">
        <v>7583</v>
      </c>
    </row>
    <row r="1941">
      <c r="A1941" s="362">
        <v>1940.0</v>
      </c>
      <c r="B1941" s="18" t="s">
        <v>62</v>
      </c>
      <c r="C1941" s="18" t="s">
        <v>7859</v>
      </c>
      <c r="D1941" s="18" t="s">
        <v>122</v>
      </c>
      <c r="E1941" s="18" t="s">
        <v>7583</v>
      </c>
    </row>
    <row r="1942">
      <c r="A1942" s="362">
        <v>1941.0</v>
      </c>
      <c r="B1942" s="18" t="s">
        <v>96</v>
      </c>
      <c r="C1942" s="18" t="s">
        <v>7862</v>
      </c>
      <c r="D1942" s="18" t="s">
        <v>170</v>
      </c>
      <c r="E1942" s="18" t="s">
        <v>7583</v>
      </c>
    </row>
    <row r="1943">
      <c r="A1943" s="362">
        <v>1942.0</v>
      </c>
      <c r="B1943" s="18" t="s">
        <v>60</v>
      </c>
      <c r="C1943" s="18" t="s">
        <v>7863</v>
      </c>
      <c r="D1943" s="18" t="s">
        <v>5145</v>
      </c>
      <c r="E1943" s="18" t="s">
        <v>7583</v>
      </c>
    </row>
    <row r="1944">
      <c r="A1944" s="362">
        <v>1943.0</v>
      </c>
      <c r="B1944" s="18" t="s">
        <v>360</v>
      </c>
      <c r="C1944" s="18" t="s">
        <v>7865</v>
      </c>
      <c r="D1944" s="18" t="s">
        <v>170</v>
      </c>
      <c r="E1944" s="18" t="s">
        <v>7583</v>
      </c>
    </row>
    <row r="1945">
      <c r="A1945" s="362">
        <v>1944.0</v>
      </c>
      <c r="B1945" s="18" t="s">
        <v>36</v>
      </c>
      <c r="C1945" s="18" t="s">
        <v>7866</v>
      </c>
      <c r="D1945" s="18" t="s">
        <v>267</v>
      </c>
      <c r="E1945" s="18" t="s">
        <v>7583</v>
      </c>
    </row>
    <row r="1946">
      <c r="A1946" s="362">
        <v>1945.0</v>
      </c>
      <c r="B1946" s="18" t="s">
        <v>363</v>
      </c>
      <c r="C1946" s="18" t="s">
        <v>7868</v>
      </c>
      <c r="D1946" s="18" t="s">
        <v>106</v>
      </c>
      <c r="E1946" s="18" t="s">
        <v>7583</v>
      </c>
    </row>
    <row r="1947">
      <c r="A1947" s="362">
        <v>1946.0</v>
      </c>
      <c r="B1947" s="18" t="s">
        <v>60</v>
      </c>
      <c r="C1947" s="18" t="s">
        <v>7869</v>
      </c>
      <c r="D1947" s="18" t="s">
        <v>295</v>
      </c>
      <c r="E1947" s="18" t="s">
        <v>7583</v>
      </c>
    </row>
    <row r="1948">
      <c r="A1948" s="362">
        <v>1947.0</v>
      </c>
      <c r="B1948" s="18" t="s">
        <v>60</v>
      </c>
      <c r="C1948" s="18" t="s">
        <v>7873</v>
      </c>
      <c r="D1948" s="18" t="s">
        <v>295</v>
      </c>
      <c r="E1948" s="18" t="s">
        <v>7583</v>
      </c>
    </row>
    <row r="1949">
      <c r="A1949" s="362">
        <v>1948.0</v>
      </c>
      <c r="B1949" s="18" t="s">
        <v>60</v>
      </c>
      <c r="C1949" s="18" t="s">
        <v>7878</v>
      </c>
      <c r="D1949" s="18" t="s">
        <v>4525</v>
      </c>
      <c r="E1949" s="18" t="s">
        <v>7583</v>
      </c>
    </row>
    <row r="1950">
      <c r="A1950" s="362">
        <v>1949.0</v>
      </c>
      <c r="B1950" s="18" t="s">
        <v>60</v>
      </c>
      <c r="C1950" s="18" t="s">
        <v>7879</v>
      </c>
      <c r="D1950" s="18" t="s">
        <v>178</v>
      </c>
      <c r="E1950" s="18" t="s">
        <v>7583</v>
      </c>
    </row>
    <row r="1951">
      <c r="A1951" s="362">
        <v>1950.0</v>
      </c>
      <c r="B1951" s="18" t="s">
        <v>102</v>
      </c>
      <c r="C1951" s="18" t="s">
        <v>7880</v>
      </c>
      <c r="D1951" s="18" t="s">
        <v>499</v>
      </c>
      <c r="E1951" s="18" t="s">
        <v>7583</v>
      </c>
    </row>
    <row r="1952">
      <c r="A1952" s="362">
        <v>1951.0</v>
      </c>
      <c r="B1952" s="18" t="s">
        <v>60</v>
      </c>
      <c r="C1952" s="18" t="s">
        <v>7883</v>
      </c>
      <c r="D1952" s="18" t="s">
        <v>4233</v>
      </c>
      <c r="E1952" s="18" t="s">
        <v>7583</v>
      </c>
    </row>
    <row r="1953">
      <c r="A1953" s="362">
        <v>1952.0</v>
      </c>
      <c r="B1953" s="18" t="s">
        <v>60</v>
      </c>
      <c r="C1953" s="18" t="s">
        <v>7887</v>
      </c>
      <c r="D1953" s="18" t="s">
        <v>152</v>
      </c>
      <c r="E1953" s="18" t="s">
        <v>7583</v>
      </c>
    </row>
    <row r="1954">
      <c r="A1954" s="362">
        <v>1953.0</v>
      </c>
      <c r="B1954" s="18" t="s">
        <v>60</v>
      </c>
      <c r="C1954" s="18" t="s">
        <v>7890</v>
      </c>
      <c r="D1954" s="18" t="s">
        <v>7666</v>
      </c>
      <c r="E1954" s="18" t="s">
        <v>7583</v>
      </c>
    </row>
    <row r="1955">
      <c r="A1955" s="362">
        <v>1954.0</v>
      </c>
      <c r="B1955" s="18" t="s">
        <v>143</v>
      </c>
      <c r="C1955" s="18" t="s">
        <v>7891</v>
      </c>
      <c r="D1955" s="18" t="s">
        <v>170</v>
      </c>
      <c r="E1955" s="18" t="s">
        <v>7583</v>
      </c>
    </row>
    <row r="1956">
      <c r="A1956" s="362">
        <v>1955.0</v>
      </c>
      <c r="B1956" s="18" t="s">
        <v>60</v>
      </c>
      <c r="C1956" s="18" t="s">
        <v>7895</v>
      </c>
      <c r="D1956" s="18" t="s">
        <v>786</v>
      </c>
      <c r="E1956" s="18" t="s">
        <v>7583</v>
      </c>
    </row>
    <row r="1957">
      <c r="A1957" s="362">
        <v>1956.0</v>
      </c>
      <c r="B1957" s="18" t="s">
        <v>96</v>
      </c>
      <c r="C1957" s="18" t="s">
        <v>2110</v>
      </c>
      <c r="D1957" s="18" t="s">
        <v>170</v>
      </c>
      <c r="E1957" s="18" t="s">
        <v>7583</v>
      </c>
    </row>
    <row r="1958">
      <c r="A1958" s="362">
        <v>1957.0</v>
      </c>
      <c r="B1958" s="18" t="s">
        <v>656</v>
      </c>
      <c r="C1958" s="18" t="s">
        <v>5138</v>
      </c>
      <c r="D1958" s="18" t="s">
        <v>152</v>
      </c>
      <c r="E1958" s="18" t="s">
        <v>7583</v>
      </c>
    </row>
    <row r="1959">
      <c r="A1959" s="362">
        <v>1958.0</v>
      </c>
      <c r="B1959" s="18" t="s">
        <v>60</v>
      </c>
      <c r="C1959" s="18" t="s">
        <v>7900</v>
      </c>
      <c r="D1959" s="18" t="s">
        <v>786</v>
      </c>
      <c r="E1959" s="18" t="s">
        <v>7583</v>
      </c>
    </row>
    <row r="1960">
      <c r="A1960" s="362">
        <v>1959.0</v>
      </c>
      <c r="B1960" s="18" t="s">
        <v>102</v>
      </c>
      <c r="C1960" s="18" t="s">
        <v>7903</v>
      </c>
      <c r="D1960" s="18" t="s">
        <v>4233</v>
      </c>
      <c r="E1960" s="18" t="s">
        <v>7583</v>
      </c>
    </row>
    <row r="1961">
      <c r="A1961" s="362">
        <v>1960.0</v>
      </c>
      <c r="B1961" s="18" t="s">
        <v>326</v>
      </c>
      <c r="C1961" s="18" t="s">
        <v>7907</v>
      </c>
      <c r="D1961" s="18" t="s">
        <v>4233</v>
      </c>
      <c r="E1961" s="18" t="s">
        <v>7583</v>
      </c>
    </row>
    <row r="1962">
      <c r="A1962" s="362">
        <v>1961.0</v>
      </c>
      <c r="B1962" s="18" t="s">
        <v>656</v>
      </c>
      <c r="C1962" s="18" t="s">
        <v>7909</v>
      </c>
      <c r="D1962" s="18" t="s">
        <v>786</v>
      </c>
      <c r="E1962" s="18" t="s">
        <v>7583</v>
      </c>
    </row>
    <row r="1963">
      <c r="A1963" s="362">
        <v>1962.0</v>
      </c>
      <c r="B1963" s="18" t="s">
        <v>656</v>
      </c>
      <c r="C1963" s="18" t="s">
        <v>5216</v>
      </c>
      <c r="D1963" s="18" t="s">
        <v>1431</v>
      </c>
      <c r="E1963" s="18" t="s">
        <v>7583</v>
      </c>
    </row>
    <row r="1964">
      <c r="A1964" s="362">
        <v>1963.0</v>
      </c>
      <c r="B1964" s="18" t="s">
        <v>60</v>
      </c>
      <c r="C1964" s="18" t="s">
        <v>7910</v>
      </c>
      <c r="D1964" s="18" t="s">
        <v>786</v>
      </c>
      <c r="E1964" s="18" t="s">
        <v>7583</v>
      </c>
    </row>
    <row r="1965">
      <c r="A1965" s="362">
        <v>1964.0</v>
      </c>
      <c r="B1965" s="18" t="s">
        <v>60</v>
      </c>
      <c r="C1965" s="18" t="s">
        <v>7913</v>
      </c>
      <c r="D1965" s="18" t="s">
        <v>786</v>
      </c>
      <c r="E1965" s="18" t="s">
        <v>7583</v>
      </c>
    </row>
    <row r="1966">
      <c r="A1966" s="362">
        <v>1965.0</v>
      </c>
      <c r="B1966" s="18" t="s">
        <v>60</v>
      </c>
      <c r="C1966" s="18" t="s">
        <v>7914</v>
      </c>
      <c r="D1966" s="18" t="s">
        <v>786</v>
      </c>
      <c r="E1966" s="18" t="s">
        <v>7583</v>
      </c>
    </row>
    <row r="1967">
      <c r="A1967" s="362">
        <v>1966.0</v>
      </c>
      <c r="B1967" s="18" t="s">
        <v>60</v>
      </c>
      <c r="C1967" s="18" t="s">
        <v>7917</v>
      </c>
      <c r="D1967" s="18" t="s">
        <v>786</v>
      </c>
      <c r="E1967" s="18" t="s">
        <v>7583</v>
      </c>
    </row>
    <row r="1968">
      <c r="A1968" s="362">
        <v>1967.0</v>
      </c>
      <c r="B1968" s="18" t="s">
        <v>60</v>
      </c>
      <c r="C1968" s="18" t="s">
        <v>7919</v>
      </c>
      <c r="D1968" s="18" t="s">
        <v>786</v>
      </c>
      <c r="E1968" s="18" t="s">
        <v>7583</v>
      </c>
    </row>
    <row r="1969">
      <c r="A1969" s="362">
        <v>1968.0</v>
      </c>
      <c r="B1969" s="18" t="s">
        <v>403</v>
      </c>
      <c r="C1969" s="18" t="s">
        <v>7920</v>
      </c>
      <c r="D1969" s="18" t="s">
        <v>4233</v>
      </c>
      <c r="E1969" s="18" t="s">
        <v>7583</v>
      </c>
    </row>
    <row r="1970">
      <c r="A1970" s="362">
        <v>1969.0</v>
      </c>
      <c r="B1970" s="18" t="s">
        <v>60</v>
      </c>
      <c r="C1970" s="18" t="s">
        <v>7924</v>
      </c>
      <c r="D1970" s="18" t="s">
        <v>786</v>
      </c>
      <c r="E1970" s="18" t="s">
        <v>7583</v>
      </c>
    </row>
    <row r="1971">
      <c r="A1971" s="362">
        <v>1970.0</v>
      </c>
      <c r="B1971" s="18" t="s">
        <v>60</v>
      </c>
      <c r="C1971" s="18" t="s">
        <v>7927</v>
      </c>
      <c r="D1971" s="18" t="s">
        <v>786</v>
      </c>
      <c r="E1971" s="18" t="s">
        <v>7583</v>
      </c>
    </row>
    <row r="1972">
      <c r="A1972" s="362">
        <v>1971.0</v>
      </c>
      <c r="B1972" s="18" t="s">
        <v>102</v>
      </c>
      <c r="C1972" s="18" t="s">
        <v>7929</v>
      </c>
      <c r="D1972" s="18" t="s">
        <v>119</v>
      </c>
      <c r="E1972" s="18" t="s">
        <v>7583</v>
      </c>
    </row>
    <row r="1973">
      <c r="A1973" s="362">
        <v>1972.0</v>
      </c>
      <c r="B1973" s="18" t="s">
        <v>102</v>
      </c>
      <c r="C1973" s="18" t="s">
        <v>7931</v>
      </c>
      <c r="D1973" s="18" t="s">
        <v>1402</v>
      </c>
      <c r="E1973" s="18" t="s">
        <v>7583</v>
      </c>
    </row>
    <row r="1974">
      <c r="A1974" s="362">
        <v>1973.0</v>
      </c>
      <c r="B1974" s="18" t="s">
        <v>102</v>
      </c>
      <c r="C1974" s="18" t="s">
        <v>7933</v>
      </c>
      <c r="D1974" s="18" t="s">
        <v>119</v>
      </c>
      <c r="E1974" s="18" t="s">
        <v>7583</v>
      </c>
    </row>
    <row r="1975">
      <c r="A1975" s="362">
        <v>1974.0</v>
      </c>
      <c r="B1975" s="18" t="s">
        <v>60</v>
      </c>
      <c r="C1975" s="18" t="s">
        <v>7935</v>
      </c>
      <c r="D1975" s="18" t="s">
        <v>119</v>
      </c>
      <c r="E1975" s="18" t="s">
        <v>7583</v>
      </c>
    </row>
    <row r="1976">
      <c r="A1976" s="362">
        <v>1975.0</v>
      </c>
      <c r="B1976" s="18" t="s">
        <v>60</v>
      </c>
      <c r="C1976" s="18" t="s">
        <v>7936</v>
      </c>
      <c r="D1976" s="18" t="s">
        <v>152</v>
      </c>
      <c r="E1976" s="18" t="s">
        <v>7583</v>
      </c>
    </row>
    <row r="1977">
      <c r="A1977" s="362">
        <v>1976.0</v>
      </c>
      <c r="B1977" s="18" t="s">
        <v>60</v>
      </c>
      <c r="C1977" s="18" t="s">
        <v>7940</v>
      </c>
      <c r="D1977" s="18" t="s">
        <v>152</v>
      </c>
      <c r="E1977" s="18" t="s">
        <v>7583</v>
      </c>
    </row>
    <row r="1978">
      <c r="A1978" s="362">
        <v>1977.0</v>
      </c>
      <c r="B1978" s="18" t="s">
        <v>360</v>
      </c>
      <c r="C1978" s="18" t="s">
        <v>7941</v>
      </c>
      <c r="D1978" s="18" t="s">
        <v>4233</v>
      </c>
      <c r="E1978" s="18" t="s">
        <v>7583</v>
      </c>
    </row>
    <row r="1979">
      <c r="A1979" s="362">
        <v>1978.0</v>
      </c>
      <c r="B1979" s="18" t="s">
        <v>60</v>
      </c>
      <c r="C1979" s="18" t="s">
        <v>7942</v>
      </c>
      <c r="D1979" s="18" t="s">
        <v>786</v>
      </c>
      <c r="E1979" s="18" t="s">
        <v>7583</v>
      </c>
    </row>
    <row r="1980">
      <c r="A1980" s="362">
        <v>1979.0</v>
      </c>
      <c r="B1980" s="18" t="s">
        <v>60</v>
      </c>
      <c r="C1980" s="18" t="s">
        <v>7945</v>
      </c>
      <c r="D1980" s="18" t="s">
        <v>201</v>
      </c>
      <c r="E1980" s="18" t="s">
        <v>7583</v>
      </c>
    </row>
    <row r="1981">
      <c r="A1981" s="362">
        <v>1980.0</v>
      </c>
      <c r="B1981" s="18" t="s">
        <v>60</v>
      </c>
      <c r="C1981" s="18" t="s">
        <v>7946</v>
      </c>
      <c r="D1981" s="18" t="s">
        <v>152</v>
      </c>
      <c r="E1981" s="18" t="s">
        <v>7583</v>
      </c>
    </row>
    <row r="1982">
      <c r="A1982" s="362">
        <v>1981.0</v>
      </c>
      <c r="B1982" s="18" t="s">
        <v>60</v>
      </c>
      <c r="C1982" s="18" t="s">
        <v>7947</v>
      </c>
      <c r="D1982" s="18" t="s">
        <v>1431</v>
      </c>
      <c r="E1982" s="18" t="s">
        <v>7583</v>
      </c>
    </row>
    <row r="1983">
      <c r="A1983" s="362">
        <v>1982.0</v>
      </c>
      <c r="B1983" s="18" t="s">
        <v>403</v>
      </c>
      <c r="C1983" s="18" t="s">
        <v>7948</v>
      </c>
      <c r="D1983" s="18" t="s">
        <v>119</v>
      </c>
      <c r="E1983" s="18" t="s">
        <v>7583</v>
      </c>
    </row>
    <row r="1984">
      <c r="A1984" s="362">
        <v>1983.0</v>
      </c>
      <c r="B1984" s="18" t="s">
        <v>60</v>
      </c>
      <c r="C1984" s="18" t="s">
        <v>7950</v>
      </c>
      <c r="D1984" s="18" t="s">
        <v>1431</v>
      </c>
      <c r="E1984" s="18" t="s">
        <v>7583</v>
      </c>
    </row>
    <row r="1985">
      <c r="A1985" s="362">
        <v>1984.0</v>
      </c>
      <c r="B1985" s="18" t="s">
        <v>60</v>
      </c>
      <c r="C1985" s="18" t="s">
        <v>7953</v>
      </c>
      <c r="D1985" s="18" t="s">
        <v>212</v>
      </c>
      <c r="E1985" s="18" t="s">
        <v>7583</v>
      </c>
    </row>
    <row r="1986">
      <c r="A1986" s="362">
        <v>1985.0</v>
      </c>
      <c r="B1986" s="18" t="s">
        <v>102</v>
      </c>
      <c r="C1986" s="18" t="s">
        <v>7955</v>
      </c>
      <c r="D1986" s="18" t="s">
        <v>119</v>
      </c>
      <c r="E1986" s="18" t="s">
        <v>7583</v>
      </c>
    </row>
    <row r="1987">
      <c r="A1987" s="362">
        <v>1986.0</v>
      </c>
      <c r="B1987" s="18" t="s">
        <v>60</v>
      </c>
      <c r="C1987" s="18" t="s">
        <v>7957</v>
      </c>
      <c r="D1987" s="18" t="s">
        <v>1431</v>
      </c>
      <c r="E1987" s="18" t="s">
        <v>7583</v>
      </c>
    </row>
    <row r="1988">
      <c r="A1988" s="362">
        <v>1987.0</v>
      </c>
      <c r="B1988" s="18" t="s">
        <v>102</v>
      </c>
      <c r="C1988" s="18" t="s">
        <v>7960</v>
      </c>
      <c r="D1988" s="18" t="s">
        <v>1402</v>
      </c>
      <c r="E1988" s="18" t="s">
        <v>7583</v>
      </c>
    </row>
    <row r="1989">
      <c r="A1989" s="362">
        <v>1988.0</v>
      </c>
      <c r="B1989" s="18" t="s">
        <v>102</v>
      </c>
      <c r="C1989" s="18" t="s">
        <v>7962</v>
      </c>
      <c r="D1989" s="18" t="s">
        <v>1402</v>
      </c>
      <c r="E1989" s="18" t="s">
        <v>7583</v>
      </c>
    </row>
    <row r="1990">
      <c r="A1990" s="362">
        <v>1989.0</v>
      </c>
      <c r="B1990" s="18" t="s">
        <v>60</v>
      </c>
      <c r="C1990" s="18" t="s">
        <v>7963</v>
      </c>
      <c r="D1990" s="18" t="s">
        <v>152</v>
      </c>
      <c r="E1990" s="18" t="s">
        <v>7583</v>
      </c>
    </row>
    <row r="1991">
      <c r="A1991" s="362">
        <v>1990.0</v>
      </c>
      <c r="B1991" s="18" t="s">
        <v>60</v>
      </c>
      <c r="C1991" s="18" t="s">
        <v>7964</v>
      </c>
      <c r="D1991" s="18" t="s">
        <v>726</v>
      </c>
      <c r="E1991" s="18" t="s">
        <v>7583</v>
      </c>
    </row>
    <row r="1992">
      <c r="A1992" s="362">
        <v>1991.0</v>
      </c>
      <c r="B1992" s="18" t="s">
        <v>60</v>
      </c>
      <c r="C1992" s="18" t="s">
        <v>7969</v>
      </c>
      <c r="D1992" s="18" t="s">
        <v>726</v>
      </c>
      <c r="E1992" s="18" t="s">
        <v>7583</v>
      </c>
    </row>
    <row r="1993">
      <c r="A1993" s="362">
        <v>1992.0</v>
      </c>
      <c r="B1993" s="18" t="s">
        <v>102</v>
      </c>
      <c r="C1993" s="18" t="s">
        <v>7972</v>
      </c>
      <c r="D1993" s="18" t="s">
        <v>1402</v>
      </c>
      <c r="E1993" s="18" t="s">
        <v>7583</v>
      </c>
    </row>
    <row r="1994">
      <c r="A1994" s="362">
        <v>1993.0</v>
      </c>
      <c r="B1994" s="18" t="s">
        <v>60</v>
      </c>
      <c r="C1994" s="18" t="s">
        <v>7975</v>
      </c>
      <c r="D1994" s="18" t="s">
        <v>152</v>
      </c>
      <c r="E1994" s="18" t="s">
        <v>7583</v>
      </c>
    </row>
    <row r="1995">
      <c r="A1995" s="362">
        <v>1994.0</v>
      </c>
      <c r="B1995" s="18" t="s">
        <v>60</v>
      </c>
      <c r="C1995" s="18" t="s">
        <v>7978</v>
      </c>
      <c r="D1995" s="18" t="s">
        <v>786</v>
      </c>
      <c r="E1995" s="18" t="s">
        <v>7583</v>
      </c>
    </row>
    <row r="1996">
      <c r="A1996" s="362">
        <v>1995.0</v>
      </c>
      <c r="B1996" s="18" t="s">
        <v>60</v>
      </c>
      <c r="C1996" s="18" t="s">
        <v>7980</v>
      </c>
      <c r="D1996" s="18" t="s">
        <v>786</v>
      </c>
      <c r="E1996" s="18" t="s">
        <v>7583</v>
      </c>
    </row>
    <row r="1997">
      <c r="A1997" s="362">
        <v>1996.0</v>
      </c>
      <c r="B1997" s="18" t="s">
        <v>60</v>
      </c>
      <c r="C1997" s="18" t="s">
        <v>7981</v>
      </c>
      <c r="D1997" s="18" t="s">
        <v>1402</v>
      </c>
      <c r="E1997" s="18" t="s">
        <v>7583</v>
      </c>
    </row>
    <row r="1998">
      <c r="A1998" s="362">
        <v>1997.0</v>
      </c>
      <c r="B1998" s="18" t="s">
        <v>36</v>
      </c>
      <c r="C1998" s="18" t="s">
        <v>7983</v>
      </c>
      <c r="D1998" s="18" t="s">
        <v>1063</v>
      </c>
      <c r="E1998" s="18" t="s">
        <v>7583</v>
      </c>
    </row>
    <row r="1999">
      <c r="A1999" s="362">
        <v>1998.0</v>
      </c>
      <c r="B1999" s="18" t="s">
        <v>62</v>
      </c>
      <c r="C1999" s="18" t="s">
        <v>7985</v>
      </c>
      <c r="D1999" s="18" t="s">
        <v>100</v>
      </c>
      <c r="E1999" s="18" t="s">
        <v>7583</v>
      </c>
    </row>
    <row r="2000">
      <c r="A2000" s="362">
        <v>1999.0</v>
      </c>
      <c r="B2000" s="18" t="s">
        <v>102</v>
      </c>
      <c r="C2000" s="18" t="s">
        <v>7990</v>
      </c>
      <c r="D2000" s="18" t="s">
        <v>4233</v>
      </c>
      <c r="E2000" s="18" t="s">
        <v>7583</v>
      </c>
    </row>
    <row r="2001">
      <c r="A2001" s="362">
        <v>2000.0</v>
      </c>
      <c r="B2001" s="18" t="s">
        <v>60</v>
      </c>
      <c r="C2001" s="18" t="s">
        <v>7992</v>
      </c>
      <c r="D2001" s="18" t="s">
        <v>786</v>
      </c>
      <c r="E2001" s="18" t="s">
        <v>7583</v>
      </c>
    </row>
    <row r="2002">
      <c r="A2002" s="362">
        <v>2001.0</v>
      </c>
      <c r="B2002" s="18" t="s">
        <v>60</v>
      </c>
      <c r="C2002" s="18" t="s">
        <v>7994</v>
      </c>
      <c r="D2002" s="18" t="s">
        <v>457</v>
      </c>
      <c r="E2002" s="18" t="s">
        <v>7583</v>
      </c>
    </row>
    <row r="2003">
      <c r="A2003" s="362">
        <v>2002.0</v>
      </c>
      <c r="B2003" s="18" t="s">
        <v>326</v>
      </c>
      <c r="C2003" s="18" t="s">
        <v>7997</v>
      </c>
      <c r="D2003" s="18" t="s">
        <v>3687</v>
      </c>
      <c r="E2003" s="18" t="s">
        <v>7583</v>
      </c>
    </row>
    <row r="2004">
      <c r="A2004" s="362">
        <v>2003.0</v>
      </c>
      <c r="B2004" s="18" t="s">
        <v>60</v>
      </c>
      <c r="C2004" s="18" t="s">
        <v>7998</v>
      </c>
      <c r="D2004" s="18" t="s">
        <v>786</v>
      </c>
      <c r="E2004" s="18" t="s">
        <v>7583</v>
      </c>
    </row>
    <row r="2005">
      <c r="A2005" s="362">
        <v>2004.0</v>
      </c>
      <c r="B2005" s="18" t="s">
        <v>656</v>
      </c>
      <c r="C2005" s="18" t="s">
        <v>7999</v>
      </c>
      <c r="D2005" s="18" t="s">
        <v>152</v>
      </c>
      <c r="E2005" s="18" t="s">
        <v>7583</v>
      </c>
    </row>
    <row r="2006">
      <c r="A2006" s="362">
        <v>2005.0</v>
      </c>
      <c r="B2006" s="18" t="s">
        <v>60</v>
      </c>
      <c r="C2006" s="18" t="s">
        <v>8002</v>
      </c>
      <c r="D2006" s="18" t="s">
        <v>786</v>
      </c>
      <c r="E2006" s="18" t="s">
        <v>7583</v>
      </c>
    </row>
    <row r="2007">
      <c r="A2007" s="362">
        <v>2006.0</v>
      </c>
      <c r="B2007" s="18" t="s">
        <v>60</v>
      </c>
      <c r="C2007" s="18" t="s">
        <v>8006</v>
      </c>
      <c r="D2007" s="18" t="s">
        <v>786</v>
      </c>
      <c r="E2007" s="18" t="s">
        <v>7583</v>
      </c>
    </row>
    <row r="2008">
      <c r="A2008" s="362">
        <v>2007.0</v>
      </c>
      <c r="B2008" s="18" t="s">
        <v>60</v>
      </c>
      <c r="C2008" s="18" t="s">
        <v>8008</v>
      </c>
      <c r="D2008" s="18" t="s">
        <v>3811</v>
      </c>
      <c r="E2008" s="18" t="s">
        <v>7583</v>
      </c>
    </row>
    <row r="2009">
      <c r="A2009" s="362">
        <v>2008.0</v>
      </c>
      <c r="B2009" s="18" t="s">
        <v>60</v>
      </c>
      <c r="C2009" s="18" t="s">
        <v>8010</v>
      </c>
      <c r="D2009" s="18" t="s">
        <v>152</v>
      </c>
      <c r="E2009" s="18" t="s">
        <v>7583</v>
      </c>
    </row>
    <row r="2010">
      <c r="A2010" s="362">
        <v>2009.0</v>
      </c>
      <c r="B2010" s="18" t="s">
        <v>60</v>
      </c>
      <c r="C2010" s="18" t="s">
        <v>8011</v>
      </c>
      <c r="D2010" s="18" t="s">
        <v>786</v>
      </c>
      <c r="E2010" s="18" t="s">
        <v>7583</v>
      </c>
    </row>
    <row r="2011">
      <c r="A2011" s="362">
        <v>2010.0</v>
      </c>
      <c r="B2011" s="18" t="s">
        <v>60</v>
      </c>
      <c r="C2011" s="18" t="s">
        <v>8014</v>
      </c>
      <c r="D2011" s="18" t="s">
        <v>2289</v>
      </c>
      <c r="E2011" s="18" t="s">
        <v>7583</v>
      </c>
    </row>
    <row r="2012">
      <c r="A2012" s="362">
        <v>2011.0</v>
      </c>
      <c r="B2012" s="18" t="s">
        <v>326</v>
      </c>
      <c r="C2012" s="18" t="s">
        <v>8016</v>
      </c>
      <c r="D2012" s="18" t="s">
        <v>786</v>
      </c>
      <c r="E2012" s="18" t="s">
        <v>7583</v>
      </c>
    </row>
    <row r="2013">
      <c r="A2013" s="362">
        <v>2012.0</v>
      </c>
      <c r="B2013" s="18" t="s">
        <v>60</v>
      </c>
      <c r="C2013" s="18" t="s">
        <v>8017</v>
      </c>
      <c r="D2013" s="18" t="s">
        <v>786</v>
      </c>
      <c r="E2013" s="18" t="s">
        <v>7583</v>
      </c>
    </row>
    <row r="2014">
      <c r="A2014" s="362">
        <v>2013.0</v>
      </c>
      <c r="B2014" s="18" t="s">
        <v>60</v>
      </c>
      <c r="C2014" s="18" t="s">
        <v>8021</v>
      </c>
      <c r="D2014" s="18" t="s">
        <v>786</v>
      </c>
      <c r="E2014" s="18" t="s">
        <v>7583</v>
      </c>
    </row>
    <row r="2015">
      <c r="A2015" s="362">
        <v>2014.0</v>
      </c>
      <c r="B2015" s="18" t="s">
        <v>60</v>
      </c>
      <c r="C2015" s="18" t="s">
        <v>8025</v>
      </c>
      <c r="D2015" s="18" t="s">
        <v>152</v>
      </c>
      <c r="E2015" s="18" t="s">
        <v>7583</v>
      </c>
    </row>
    <row r="2016">
      <c r="A2016" s="362">
        <v>2015.0</v>
      </c>
      <c r="B2016" s="18" t="s">
        <v>326</v>
      </c>
      <c r="C2016" s="18" t="s">
        <v>8027</v>
      </c>
      <c r="D2016" s="18" t="s">
        <v>201</v>
      </c>
      <c r="E2016" s="18" t="s">
        <v>7583</v>
      </c>
    </row>
    <row r="2017">
      <c r="A2017" s="362">
        <v>2016.0</v>
      </c>
      <c r="B2017" s="18" t="s">
        <v>60</v>
      </c>
      <c r="C2017" s="18" t="s">
        <v>8028</v>
      </c>
      <c r="D2017" s="18" t="s">
        <v>201</v>
      </c>
      <c r="E2017" s="18" t="s">
        <v>7583</v>
      </c>
    </row>
    <row r="2018">
      <c r="A2018" s="362">
        <v>2017.0</v>
      </c>
      <c r="B2018" s="18" t="s">
        <v>60</v>
      </c>
      <c r="C2018" s="18" t="s">
        <v>8029</v>
      </c>
      <c r="D2018" s="18" t="s">
        <v>786</v>
      </c>
      <c r="E2018" s="18" t="s">
        <v>7583</v>
      </c>
    </row>
    <row r="2019">
      <c r="A2019" s="362">
        <v>2018.0</v>
      </c>
      <c r="B2019" s="18" t="s">
        <v>60</v>
      </c>
      <c r="C2019" s="18" t="s">
        <v>8030</v>
      </c>
      <c r="D2019" s="18" t="s">
        <v>1431</v>
      </c>
      <c r="E2019" s="18" t="s">
        <v>7583</v>
      </c>
    </row>
    <row r="2020">
      <c r="A2020" s="362">
        <v>2019.0</v>
      </c>
      <c r="B2020" s="18" t="s">
        <v>60</v>
      </c>
      <c r="C2020" s="18" t="s">
        <v>8032</v>
      </c>
      <c r="D2020" s="18" t="s">
        <v>152</v>
      </c>
      <c r="E2020" s="18" t="s">
        <v>7583</v>
      </c>
    </row>
    <row r="2021">
      <c r="A2021" s="362">
        <v>2020.0</v>
      </c>
      <c r="B2021" s="18" t="s">
        <v>60</v>
      </c>
      <c r="C2021" s="18" t="s">
        <v>8034</v>
      </c>
      <c r="D2021" s="18" t="s">
        <v>786</v>
      </c>
      <c r="E2021" s="18" t="s">
        <v>7583</v>
      </c>
    </row>
    <row r="2022">
      <c r="A2022" s="362">
        <v>2021.0</v>
      </c>
      <c r="B2022" s="18" t="s">
        <v>96</v>
      </c>
      <c r="C2022" s="18" t="s">
        <v>8035</v>
      </c>
      <c r="D2022" s="18" t="s">
        <v>8036</v>
      </c>
      <c r="E2022" s="18" t="s">
        <v>7583</v>
      </c>
    </row>
    <row r="2023">
      <c r="A2023" s="362">
        <v>2022.0</v>
      </c>
      <c r="B2023" s="18" t="s">
        <v>36</v>
      </c>
      <c r="C2023" s="18" t="s">
        <v>8040</v>
      </c>
      <c r="D2023" s="18" t="s">
        <v>170</v>
      </c>
      <c r="E2023" s="18" t="s">
        <v>7583</v>
      </c>
    </row>
    <row r="2024">
      <c r="A2024" s="362">
        <v>2023.0</v>
      </c>
      <c r="B2024" s="18" t="s">
        <v>36</v>
      </c>
      <c r="C2024" s="18" t="s">
        <v>8043</v>
      </c>
      <c r="D2024" s="18" t="s">
        <v>170</v>
      </c>
      <c r="E2024" s="18" t="s">
        <v>7583</v>
      </c>
    </row>
    <row r="2025">
      <c r="A2025" s="362">
        <v>2024.0</v>
      </c>
      <c r="B2025" s="18" t="s">
        <v>60</v>
      </c>
      <c r="C2025" s="18" t="s">
        <v>8044</v>
      </c>
      <c r="D2025" s="18" t="s">
        <v>8045</v>
      </c>
      <c r="E2025" s="18" t="s">
        <v>7583</v>
      </c>
    </row>
    <row r="2026">
      <c r="A2026" s="362">
        <v>2025.0</v>
      </c>
      <c r="B2026" s="18" t="s">
        <v>96</v>
      </c>
      <c r="C2026" s="18" t="s">
        <v>8047</v>
      </c>
      <c r="D2026" s="18" t="s">
        <v>170</v>
      </c>
      <c r="E2026" s="18" t="s">
        <v>7583</v>
      </c>
    </row>
    <row r="2027">
      <c r="A2027" s="362">
        <v>2026.0</v>
      </c>
      <c r="B2027" s="18" t="s">
        <v>143</v>
      </c>
      <c r="C2027" s="18" t="s">
        <v>8051</v>
      </c>
      <c r="D2027" s="18" t="s">
        <v>170</v>
      </c>
      <c r="E2027" s="18" t="s">
        <v>7583</v>
      </c>
    </row>
    <row r="2028">
      <c r="A2028" s="362">
        <v>2027.0</v>
      </c>
      <c r="B2028" s="18" t="s">
        <v>36</v>
      </c>
      <c r="C2028" s="18" t="s">
        <v>8052</v>
      </c>
      <c r="D2028" s="18" t="s">
        <v>8036</v>
      </c>
      <c r="E2028" s="18" t="s">
        <v>7583</v>
      </c>
    </row>
    <row r="2029">
      <c r="A2029" s="362">
        <v>2028.0</v>
      </c>
      <c r="B2029" s="18" t="s">
        <v>102</v>
      </c>
      <c r="C2029" s="18" t="s">
        <v>8058</v>
      </c>
      <c r="D2029" s="18" t="s">
        <v>178</v>
      </c>
      <c r="E2029" s="18" t="s">
        <v>7583</v>
      </c>
    </row>
    <row r="2030">
      <c r="A2030" s="362">
        <v>2029.0</v>
      </c>
      <c r="B2030" s="18" t="s">
        <v>60</v>
      </c>
      <c r="C2030" s="18" t="s">
        <v>8060</v>
      </c>
      <c r="D2030" s="18" t="s">
        <v>6587</v>
      </c>
      <c r="E2030" s="18" t="s">
        <v>7583</v>
      </c>
    </row>
    <row r="2031">
      <c r="A2031" s="362">
        <v>2030.0</v>
      </c>
      <c r="B2031" s="18" t="s">
        <v>143</v>
      </c>
      <c r="C2031" s="18" t="s">
        <v>8062</v>
      </c>
      <c r="D2031" s="18" t="s">
        <v>170</v>
      </c>
      <c r="E2031" s="18" t="s">
        <v>7583</v>
      </c>
    </row>
    <row r="2032">
      <c r="A2032" s="362">
        <v>2031.0</v>
      </c>
      <c r="B2032" s="18" t="s">
        <v>96</v>
      </c>
      <c r="C2032" s="18" t="s">
        <v>8065</v>
      </c>
      <c r="D2032" s="18" t="s">
        <v>39</v>
      </c>
      <c r="E2032" s="18" t="s">
        <v>7583</v>
      </c>
    </row>
    <row r="2033">
      <c r="A2033" s="362">
        <v>2032.0</v>
      </c>
      <c r="B2033" s="18" t="s">
        <v>36</v>
      </c>
      <c r="C2033" s="18" t="s">
        <v>8068</v>
      </c>
      <c r="D2033" s="18" t="s">
        <v>122</v>
      </c>
      <c r="E2033" s="18" t="s">
        <v>7583</v>
      </c>
    </row>
    <row r="2034">
      <c r="A2034" s="362">
        <v>2033.0</v>
      </c>
      <c r="B2034" s="18" t="s">
        <v>102</v>
      </c>
      <c r="C2034" s="18" t="s">
        <v>8072</v>
      </c>
      <c r="D2034" s="18" t="s">
        <v>106</v>
      </c>
      <c r="E2034" s="18" t="s">
        <v>7583</v>
      </c>
    </row>
    <row r="2035">
      <c r="A2035" s="362">
        <v>2034.0</v>
      </c>
      <c r="B2035" s="18" t="s">
        <v>60</v>
      </c>
      <c r="C2035" s="18" t="s">
        <v>8074</v>
      </c>
      <c r="D2035" s="18" t="s">
        <v>786</v>
      </c>
      <c r="E2035" s="18" t="s">
        <v>7583</v>
      </c>
    </row>
    <row r="2036">
      <c r="A2036" s="362">
        <v>2035.0</v>
      </c>
      <c r="B2036" s="18" t="s">
        <v>60</v>
      </c>
      <c r="C2036" s="18" t="s">
        <v>8078</v>
      </c>
      <c r="D2036" s="18" t="s">
        <v>1431</v>
      </c>
      <c r="E2036" s="18" t="s">
        <v>7583</v>
      </c>
    </row>
    <row r="2037">
      <c r="A2037" s="362">
        <v>2036.0</v>
      </c>
      <c r="B2037" s="18" t="s">
        <v>60</v>
      </c>
      <c r="C2037" s="18" t="s">
        <v>8081</v>
      </c>
      <c r="D2037" s="18" t="s">
        <v>786</v>
      </c>
      <c r="E2037" s="18" t="s">
        <v>7583</v>
      </c>
    </row>
    <row r="2038">
      <c r="A2038" s="362">
        <v>2037.0</v>
      </c>
      <c r="B2038" s="18" t="s">
        <v>60</v>
      </c>
      <c r="C2038" s="18" t="s">
        <v>5232</v>
      </c>
      <c r="D2038" s="18" t="s">
        <v>786</v>
      </c>
      <c r="E2038" s="18" t="s">
        <v>7583</v>
      </c>
    </row>
    <row r="2039">
      <c r="A2039" s="362">
        <v>2038.0</v>
      </c>
      <c r="B2039" s="18" t="s">
        <v>60</v>
      </c>
      <c r="C2039" s="18" t="s">
        <v>8083</v>
      </c>
      <c r="D2039" s="18" t="s">
        <v>786</v>
      </c>
      <c r="E2039" s="18" t="s">
        <v>7583</v>
      </c>
    </row>
    <row r="2040">
      <c r="A2040" s="362">
        <v>2039.0</v>
      </c>
      <c r="B2040" s="18" t="s">
        <v>102</v>
      </c>
      <c r="C2040" s="18" t="s">
        <v>8084</v>
      </c>
      <c r="D2040" s="18" t="s">
        <v>786</v>
      </c>
      <c r="E2040" s="18" t="s">
        <v>7583</v>
      </c>
    </row>
    <row r="2041">
      <c r="A2041" s="362">
        <v>2040.0</v>
      </c>
      <c r="B2041" s="18" t="s">
        <v>60</v>
      </c>
      <c r="C2041" s="18" t="s">
        <v>8086</v>
      </c>
      <c r="D2041" s="18" t="s">
        <v>786</v>
      </c>
      <c r="E2041" s="18" t="s">
        <v>7583</v>
      </c>
    </row>
    <row r="2042">
      <c r="A2042" s="362">
        <v>2041.0</v>
      </c>
      <c r="B2042" s="18" t="s">
        <v>60</v>
      </c>
      <c r="C2042" s="18" t="s">
        <v>8087</v>
      </c>
      <c r="D2042" s="18" t="s">
        <v>726</v>
      </c>
      <c r="E2042" s="18" t="s">
        <v>7583</v>
      </c>
    </row>
    <row r="2043">
      <c r="A2043" s="362">
        <v>2042.0</v>
      </c>
      <c r="B2043" s="18" t="s">
        <v>143</v>
      </c>
      <c r="C2043" s="18" t="s">
        <v>8088</v>
      </c>
      <c r="D2043" s="18" t="s">
        <v>8090</v>
      </c>
      <c r="E2043" s="18" t="s">
        <v>7583</v>
      </c>
    </row>
    <row r="2044">
      <c r="A2044" s="362">
        <v>2043.0</v>
      </c>
      <c r="B2044" s="18" t="s">
        <v>36</v>
      </c>
      <c r="C2044" s="18" t="s">
        <v>8092</v>
      </c>
      <c r="D2044" s="18" t="s">
        <v>170</v>
      </c>
      <c r="E2044" s="18" t="s">
        <v>7583</v>
      </c>
    </row>
    <row r="2045">
      <c r="A2045" s="362">
        <v>2044.0</v>
      </c>
      <c r="B2045" s="18" t="s">
        <v>610</v>
      </c>
      <c r="C2045" s="18" t="s">
        <v>8093</v>
      </c>
      <c r="D2045" s="18" t="s">
        <v>1431</v>
      </c>
      <c r="E2045" s="18" t="s">
        <v>7583</v>
      </c>
    </row>
    <row r="2046">
      <c r="A2046" s="362">
        <v>2045.0</v>
      </c>
      <c r="B2046" s="18" t="s">
        <v>60</v>
      </c>
      <c r="C2046" s="18" t="s">
        <v>8095</v>
      </c>
      <c r="D2046" s="18" t="s">
        <v>786</v>
      </c>
      <c r="E2046" s="18" t="s">
        <v>7583</v>
      </c>
    </row>
    <row r="2047">
      <c r="A2047" s="362">
        <v>2046.0</v>
      </c>
      <c r="B2047" s="18" t="s">
        <v>60</v>
      </c>
      <c r="C2047" s="18" t="s">
        <v>8097</v>
      </c>
      <c r="D2047" s="18" t="s">
        <v>201</v>
      </c>
      <c r="E2047" s="18" t="s">
        <v>7583</v>
      </c>
    </row>
    <row r="2048">
      <c r="A2048" s="362">
        <v>2047.0</v>
      </c>
      <c r="B2048" s="18" t="s">
        <v>60</v>
      </c>
      <c r="C2048" s="18" t="s">
        <v>8098</v>
      </c>
      <c r="D2048" s="18" t="s">
        <v>786</v>
      </c>
      <c r="E2048" s="18" t="s">
        <v>7583</v>
      </c>
    </row>
    <row r="2049">
      <c r="A2049" s="362">
        <v>2048.0</v>
      </c>
      <c r="B2049" s="18" t="s">
        <v>60</v>
      </c>
      <c r="C2049" s="18" t="s">
        <v>8101</v>
      </c>
      <c r="D2049" s="18" t="s">
        <v>201</v>
      </c>
      <c r="E2049" s="18" t="s">
        <v>7583</v>
      </c>
    </row>
    <row r="2050">
      <c r="A2050" s="362">
        <v>2049.0</v>
      </c>
      <c r="B2050" s="18" t="s">
        <v>60</v>
      </c>
      <c r="C2050" s="18" t="s">
        <v>8104</v>
      </c>
      <c r="D2050" s="18" t="s">
        <v>152</v>
      </c>
      <c r="E2050" s="18" t="s">
        <v>7583</v>
      </c>
    </row>
    <row r="2051">
      <c r="A2051" s="362">
        <v>2050.0</v>
      </c>
      <c r="B2051" s="18" t="s">
        <v>60</v>
      </c>
      <c r="C2051" s="18" t="s">
        <v>8107</v>
      </c>
      <c r="D2051" s="18" t="s">
        <v>4233</v>
      </c>
      <c r="E2051" s="18" t="s">
        <v>7583</v>
      </c>
    </row>
    <row r="2052">
      <c r="A2052" s="812"/>
      <c r="B2052" s="813" t="s">
        <v>62</v>
      </c>
      <c r="C2052" s="814" t="s">
        <v>87</v>
      </c>
      <c r="D2052" s="815" t="s">
        <v>2571</v>
      </c>
      <c r="E2052" s="816" t="s">
        <v>90</v>
      </c>
    </row>
    <row r="2053">
      <c r="A2053" s="812"/>
      <c r="B2053" s="813" t="s">
        <v>36</v>
      </c>
      <c r="C2053" s="814" t="s">
        <v>111</v>
      </c>
      <c r="D2053" s="815" t="s">
        <v>2571</v>
      </c>
      <c r="E2053" s="816" t="s">
        <v>113</v>
      </c>
    </row>
    <row r="2054">
      <c r="A2054" s="812"/>
      <c r="B2054" s="813" t="s">
        <v>102</v>
      </c>
      <c r="C2054" s="814" t="s">
        <v>277</v>
      </c>
      <c r="D2054" s="815" t="s">
        <v>8115</v>
      </c>
      <c r="E2054" s="816" t="s">
        <v>1161</v>
      </c>
    </row>
    <row r="2055">
      <c r="A2055" s="812"/>
      <c r="B2055" s="813" t="s">
        <v>60</v>
      </c>
      <c r="C2055" s="814" t="s">
        <v>942</v>
      </c>
      <c r="D2055" s="815" t="s">
        <v>8116</v>
      </c>
      <c r="E2055" s="816" t="s">
        <v>296</v>
      </c>
    </row>
    <row r="2056">
      <c r="A2056" s="812"/>
      <c r="B2056" s="813" t="s">
        <v>60</v>
      </c>
      <c r="C2056" s="814" t="s">
        <v>309</v>
      </c>
      <c r="D2056" s="815" t="s">
        <v>8117</v>
      </c>
      <c r="E2056" s="816" t="s">
        <v>313</v>
      </c>
    </row>
    <row r="2057">
      <c r="A2057" s="812"/>
      <c r="B2057" s="813" t="s">
        <v>60</v>
      </c>
      <c r="C2057" s="814" t="s">
        <v>333</v>
      </c>
      <c r="D2057" s="815" t="s">
        <v>8120</v>
      </c>
      <c r="E2057" s="816" t="s">
        <v>337</v>
      </c>
    </row>
    <row r="2058">
      <c r="A2058" s="812"/>
      <c r="B2058" s="813" t="s">
        <v>60</v>
      </c>
      <c r="C2058" s="814" t="s">
        <v>342</v>
      </c>
      <c r="D2058" s="815" t="s">
        <v>8123</v>
      </c>
      <c r="E2058" s="816" t="s">
        <v>8124</v>
      </c>
    </row>
    <row r="2059">
      <c r="A2059" s="812"/>
      <c r="B2059" s="813" t="s">
        <v>60</v>
      </c>
      <c r="C2059" s="814" t="s">
        <v>355</v>
      </c>
      <c r="D2059" s="815" t="s">
        <v>8126</v>
      </c>
      <c r="E2059" s="816" t="s">
        <v>8127</v>
      </c>
    </row>
    <row r="2060">
      <c r="A2060" s="812"/>
      <c r="B2060" s="813" t="s">
        <v>60</v>
      </c>
      <c r="C2060" s="814" t="s">
        <v>366</v>
      </c>
      <c r="D2060" s="815" t="s">
        <v>8129</v>
      </c>
      <c r="E2060" s="816" t="s">
        <v>369</v>
      </c>
    </row>
    <row r="2061">
      <c r="A2061" s="812"/>
      <c r="B2061" s="813" t="s">
        <v>60</v>
      </c>
      <c r="C2061" s="814" t="s">
        <v>382</v>
      </c>
      <c r="D2061" s="815" t="s">
        <v>6425</v>
      </c>
      <c r="E2061" s="816" t="s">
        <v>8132</v>
      </c>
    </row>
    <row r="2062">
      <c r="A2062" s="812"/>
      <c r="B2062" s="813" t="s">
        <v>60</v>
      </c>
      <c r="C2062" s="814" t="s">
        <v>406</v>
      </c>
      <c r="D2062" s="815" t="s">
        <v>8136</v>
      </c>
      <c r="E2062" s="816" t="s">
        <v>8137</v>
      </c>
    </row>
    <row r="2063">
      <c r="A2063" s="812"/>
      <c r="B2063" s="813" t="s">
        <v>60</v>
      </c>
      <c r="C2063" s="814" t="s">
        <v>412</v>
      </c>
      <c r="D2063" s="815" t="s">
        <v>8138</v>
      </c>
      <c r="E2063" s="816" t="s">
        <v>415</v>
      </c>
    </row>
    <row r="2064">
      <c r="A2064" s="812"/>
      <c r="B2064" s="813" t="s">
        <v>60</v>
      </c>
      <c r="C2064" s="814" t="s">
        <v>5979</v>
      </c>
      <c r="D2064" s="815" t="s">
        <v>8140</v>
      </c>
      <c r="E2064" s="816" t="s">
        <v>2003</v>
      </c>
    </row>
    <row r="2065">
      <c r="A2065" s="812"/>
      <c r="B2065" s="813" t="s">
        <v>60</v>
      </c>
      <c r="C2065" s="814" t="s">
        <v>2050</v>
      </c>
      <c r="D2065" s="815" t="s">
        <v>8142</v>
      </c>
      <c r="E2065" s="816" t="s">
        <v>422</v>
      </c>
    </row>
    <row r="2066">
      <c r="A2066" s="812"/>
      <c r="B2066" s="813" t="s">
        <v>60</v>
      </c>
      <c r="C2066" s="814" t="s">
        <v>427</v>
      </c>
      <c r="D2066" s="815" t="s">
        <v>8145</v>
      </c>
      <c r="E2066" s="816" t="s">
        <v>431</v>
      </c>
    </row>
    <row r="2067">
      <c r="A2067" s="812"/>
      <c r="B2067" s="813" t="s">
        <v>60</v>
      </c>
      <c r="C2067" s="814" t="s">
        <v>436</v>
      </c>
      <c r="D2067" s="815" t="s">
        <v>8147</v>
      </c>
      <c r="E2067" s="816" t="s">
        <v>438</v>
      </c>
    </row>
    <row r="2068">
      <c r="A2068" s="812"/>
      <c r="B2068" s="813" t="s">
        <v>60</v>
      </c>
      <c r="C2068" s="814" t="s">
        <v>445</v>
      </c>
      <c r="D2068" s="815" t="s">
        <v>549</v>
      </c>
      <c r="E2068" s="816" t="s">
        <v>120</v>
      </c>
    </row>
    <row r="2069">
      <c r="A2069" s="812"/>
      <c r="B2069" s="813" t="s">
        <v>60</v>
      </c>
      <c r="C2069" s="814" t="s">
        <v>463</v>
      </c>
      <c r="D2069" s="815" t="s">
        <v>2571</v>
      </c>
      <c r="E2069" s="816" t="s">
        <v>8150</v>
      </c>
    </row>
    <row r="2070">
      <c r="A2070" s="812"/>
      <c r="B2070" s="813" t="s">
        <v>60</v>
      </c>
      <c r="C2070" s="814" t="s">
        <v>471</v>
      </c>
      <c r="D2070" s="815" t="s">
        <v>8154</v>
      </c>
      <c r="E2070" s="816" t="s">
        <v>473</v>
      </c>
    </row>
    <row r="2071">
      <c r="A2071" s="812"/>
      <c r="B2071" s="813" t="s">
        <v>60</v>
      </c>
      <c r="C2071" s="814" t="s">
        <v>477</v>
      </c>
      <c r="D2071" s="815" t="s">
        <v>1913</v>
      </c>
      <c r="E2071" s="816" t="s">
        <v>480</v>
      </c>
    </row>
    <row r="2072">
      <c r="A2072" s="812"/>
      <c r="B2072" s="821" t="s">
        <v>60</v>
      </c>
      <c r="C2072" s="814" t="s">
        <v>8159</v>
      </c>
      <c r="D2072" s="822"/>
      <c r="E2072" s="823" t="s">
        <v>2351</v>
      </c>
    </row>
    <row r="2073">
      <c r="A2073" s="812"/>
      <c r="B2073" s="813" t="s">
        <v>60</v>
      </c>
      <c r="C2073" s="814" t="s">
        <v>512</v>
      </c>
      <c r="D2073" s="824" t="s">
        <v>1072</v>
      </c>
      <c r="E2073" s="816" t="s">
        <v>514</v>
      </c>
    </row>
    <row r="2074">
      <c r="A2074" s="812"/>
      <c r="B2074" s="813" t="s">
        <v>60</v>
      </c>
      <c r="C2074" s="814" t="s">
        <v>517</v>
      </c>
      <c r="D2074" s="815" t="s">
        <v>8169</v>
      </c>
      <c r="E2074" s="816" t="s">
        <v>519</v>
      </c>
    </row>
    <row r="2075">
      <c r="A2075" s="812"/>
      <c r="B2075" s="813" t="s">
        <v>60</v>
      </c>
      <c r="C2075" s="814" t="s">
        <v>524</v>
      </c>
      <c r="D2075" s="815" t="s">
        <v>8172</v>
      </c>
      <c r="E2075" s="816" t="s">
        <v>528</v>
      </c>
    </row>
    <row r="2076">
      <c r="A2076" s="812"/>
      <c r="B2076" s="813" t="s">
        <v>60</v>
      </c>
      <c r="C2076" s="814" t="s">
        <v>534</v>
      </c>
      <c r="D2076" s="815" t="s">
        <v>8174</v>
      </c>
      <c r="E2076" s="816" t="s">
        <v>537</v>
      </c>
    </row>
    <row r="2077">
      <c r="A2077" s="812"/>
      <c r="B2077" s="813" t="s">
        <v>60</v>
      </c>
      <c r="C2077" s="814" t="s">
        <v>541</v>
      </c>
      <c r="D2077" s="815" t="s">
        <v>8176</v>
      </c>
      <c r="E2077" s="816" t="s">
        <v>8177</v>
      </c>
    </row>
    <row r="2078">
      <c r="A2078" s="812"/>
      <c r="B2078" s="813" t="s">
        <v>60</v>
      </c>
      <c r="C2078" s="814" t="s">
        <v>2517</v>
      </c>
      <c r="D2078" s="815" t="s">
        <v>8178</v>
      </c>
      <c r="E2078" s="816" t="s">
        <v>2514</v>
      </c>
    </row>
    <row r="2079">
      <c r="A2079" s="812"/>
      <c r="B2079" s="813" t="s">
        <v>60</v>
      </c>
      <c r="C2079" s="814" t="s">
        <v>2608</v>
      </c>
      <c r="D2079" s="815" t="s">
        <v>8181</v>
      </c>
      <c r="E2079" s="816" t="s">
        <v>8182</v>
      </c>
    </row>
    <row r="2080">
      <c r="A2080" s="812"/>
      <c r="B2080" s="813" t="s">
        <v>60</v>
      </c>
      <c r="C2080" s="814" t="s">
        <v>575</v>
      </c>
      <c r="D2080" s="815" t="s">
        <v>8183</v>
      </c>
      <c r="E2080" s="816" t="s">
        <v>2646</v>
      </c>
    </row>
    <row r="2081">
      <c r="A2081" s="812"/>
      <c r="B2081" s="813" t="s">
        <v>60</v>
      </c>
      <c r="C2081" s="814" t="s">
        <v>580</v>
      </c>
      <c r="D2081" s="815" t="s">
        <v>8185</v>
      </c>
      <c r="E2081" s="816" t="s">
        <v>585</v>
      </c>
    </row>
    <row r="2082">
      <c r="A2082" s="812"/>
      <c r="B2082" s="813" t="s">
        <v>60</v>
      </c>
      <c r="C2082" s="814" t="s">
        <v>592</v>
      </c>
      <c r="D2082" s="815" t="s">
        <v>2571</v>
      </c>
      <c r="E2082" s="816" t="s">
        <v>2788</v>
      </c>
    </row>
    <row r="2083">
      <c r="A2083" s="812"/>
      <c r="B2083" s="813" t="s">
        <v>60</v>
      </c>
      <c r="C2083" s="814" t="s">
        <v>2815</v>
      </c>
      <c r="D2083" s="815" t="s">
        <v>8187</v>
      </c>
      <c r="E2083" s="816" t="s">
        <v>8176</v>
      </c>
    </row>
    <row r="2084">
      <c r="A2084" s="812"/>
      <c r="B2084" s="813" t="s">
        <v>60</v>
      </c>
      <c r="C2084" s="814" t="s">
        <v>597</v>
      </c>
      <c r="D2084" s="815" t="s">
        <v>8192</v>
      </c>
      <c r="E2084" s="816" t="s">
        <v>600</v>
      </c>
    </row>
    <row r="2085">
      <c r="A2085" s="812"/>
      <c r="B2085" s="813" t="s">
        <v>60</v>
      </c>
      <c r="C2085" s="814" t="s">
        <v>411</v>
      </c>
      <c r="D2085" s="815" t="s">
        <v>8195</v>
      </c>
      <c r="E2085" s="816" t="s">
        <v>635</v>
      </c>
    </row>
    <row r="2086">
      <c r="A2086" s="812"/>
      <c r="B2086" s="813" t="s">
        <v>60</v>
      </c>
      <c r="C2086" s="814" t="s">
        <v>641</v>
      </c>
      <c r="D2086" s="815" t="s">
        <v>8196</v>
      </c>
      <c r="E2086" s="816" t="s">
        <v>644</v>
      </c>
    </row>
    <row r="2087">
      <c r="A2087" s="812"/>
      <c r="B2087" s="813" t="s">
        <v>60</v>
      </c>
      <c r="C2087" s="814" t="s">
        <v>646</v>
      </c>
      <c r="D2087" s="824" t="s">
        <v>2571</v>
      </c>
      <c r="E2087" s="816" t="s">
        <v>8197</v>
      </c>
    </row>
    <row r="2088">
      <c r="A2088" s="812"/>
      <c r="B2088" s="813" t="s">
        <v>60</v>
      </c>
      <c r="C2088" s="814" t="s">
        <v>678</v>
      </c>
      <c r="D2088" s="824" t="s">
        <v>8201</v>
      </c>
      <c r="E2088" s="816" t="s">
        <v>680</v>
      </c>
    </row>
    <row r="2089">
      <c r="A2089" s="812"/>
      <c r="B2089" s="813" t="s">
        <v>60</v>
      </c>
      <c r="C2089" s="814" t="s">
        <v>684</v>
      </c>
      <c r="D2089" s="824" t="s">
        <v>8136</v>
      </c>
      <c r="E2089" s="816" t="s">
        <v>8202</v>
      </c>
    </row>
    <row r="2090">
      <c r="A2090" s="812"/>
      <c r="B2090" s="813" t="s">
        <v>60</v>
      </c>
      <c r="C2090" s="814" t="s">
        <v>693</v>
      </c>
      <c r="D2090" s="824" t="s">
        <v>8205</v>
      </c>
      <c r="E2090" s="816" t="s">
        <v>8206</v>
      </c>
    </row>
    <row r="2091">
      <c r="A2091" s="812"/>
      <c r="B2091" s="813" t="s">
        <v>60</v>
      </c>
      <c r="C2091" s="814" t="s">
        <v>701</v>
      </c>
      <c r="D2091" s="824" t="s">
        <v>2262</v>
      </c>
      <c r="E2091" s="816" t="s">
        <v>703</v>
      </c>
    </row>
    <row r="2092">
      <c r="A2092" s="812"/>
      <c r="B2092" s="813" t="s">
        <v>60</v>
      </c>
      <c r="C2092" s="814" t="s">
        <v>708</v>
      </c>
      <c r="D2092" s="824" t="s">
        <v>8212</v>
      </c>
      <c r="E2092" s="816" t="s">
        <v>712</v>
      </c>
    </row>
    <row r="2093">
      <c r="A2093" s="812"/>
      <c r="B2093" s="813" t="s">
        <v>60</v>
      </c>
      <c r="C2093" s="814" t="s">
        <v>717</v>
      </c>
      <c r="D2093" s="824" t="s">
        <v>8215</v>
      </c>
      <c r="E2093" s="816" t="s">
        <v>722</v>
      </c>
    </row>
    <row r="2094">
      <c r="A2094" s="812"/>
      <c r="B2094" s="813" t="s">
        <v>60</v>
      </c>
      <c r="C2094" s="814" t="s">
        <v>735</v>
      </c>
      <c r="D2094" s="824" t="s">
        <v>8217</v>
      </c>
      <c r="E2094" s="816" t="s">
        <v>739</v>
      </c>
    </row>
    <row r="2095">
      <c r="A2095" s="812"/>
      <c r="B2095" s="822"/>
      <c r="C2095" s="827" t="s">
        <v>745</v>
      </c>
      <c r="D2095" s="822"/>
      <c r="E2095" s="822"/>
    </row>
    <row r="2096">
      <c r="A2096" s="812"/>
      <c r="B2096" s="813" t="s">
        <v>60</v>
      </c>
      <c r="C2096" s="814" t="s">
        <v>755</v>
      </c>
      <c r="D2096" s="824" t="s">
        <v>8223</v>
      </c>
      <c r="E2096" s="816" t="s">
        <v>739</v>
      </c>
    </row>
    <row r="2097">
      <c r="A2097" s="812"/>
      <c r="B2097" s="813" t="s">
        <v>326</v>
      </c>
      <c r="C2097" s="814" t="s">
        <v>763</v>
      </c>
      <c r="D2097" s="824" t="s">
        <v>8226</v>
      </c>
      <c r="E2097" s="816" t="s">
        <v>767</v>
      </c>
    </row>
    <row r="2098">
      <c r="A2098" s="812"/>
      <c r="B2098" s="813" t="s">
        <v>60</v>
      </c>
      <c r="C2098" s="814" t="s">
        <v>772</v>
      </c>
      <c r="D2098" s="824" t="s">
        <v>8230</v>
      </c>
      <c r="E2098" s="816" t="s">
        <v>767</v>
      </c>
    </row>
    <row r="2099">
      <c r="A2099" s="812"/>
      <c r="B2099" s="813" t="s">
        <v>610</v>
      </c>
      <c r="C2099" s="814" t="s">
        <v>791</v>
      </c>
      <c r="D2099" s="824" t="s">
        <v>8231</v>
      </c>
      <c r="E2099" s="816" t="s">
        <v>794</v>
      </c>
    </row>
    <row r="2100">
      <c r="A2100" s="812"/>
      <c r="B2100" s="813" t="s">
        <v>60</v>
      </c>
      <c r="C2100" s="814" t="s">
        <v>801</v>
      </c>
      <c r="D2100" s="824" t="s">
        <v>8235</v>
      </c>
      <c r="E2100" s="816" t="s">
        <v>8236</v>
      </c>
    </row>
    <row r="2101">
      <c r="A2101" s="812"/>
      <c r="B2101" s="813" t="s">
        <v>60</v>
      </c>
      <c r="C2101" s="814" t="s">
        <v>1472</v>
      </c>
      <c r="D2101" s="824" t="s">
        <v>8238</v>
      </c>
      <c r="E2101" s="816" t="s">
        <v>811</v>
      </c>
    </row>
    <row r="2102">
      <c r="A2102" s="812"/>
      <c r="B2102" s="813" t="s">
        <v>326</v>
      </c>
      <c r="C2102" s="814" t="s">
        <v>819</v>
      </c>
      <c r="D2102" s="824" t="s">
        <v>8239</v>
      </c>
      <c r="E2102" s="816" t="s">
        <v>8240</v>
      </c>
    </row>
    <row r="2103">
      <c r="A2103" s="812"/>
      <c r="B2103" s="813" t="s">
        <v>60</v>
      </c>
      <c r="C2103" s="814" t="s">
        <v>1803</v>
      </c>
      <c r="D2103" s="824" t="s">
        <v>8243</v>
      </c>
      <c r="E2103" s="816" t="s">
        <v>3638</v>
      </c>
    </row>
    <row r="2104">
      <c r="A2104" s="812"/>
      <c r="B2104" s="813" t="s">
        <v>60</v>
      </c>
      <c r="C2104" s="814" t="s">
        <v>834</v>
      </c>
      <c r="D2104" s="824" t="s">
        <v>8244</v>
      </c>
      <c r="E2104" s="816" t="s">
        <v>838</v>
      </c>
    </row>
    <row r="2105">
      <c r="A2105" s="812"/>
      <c r="B2105" s="813" t="s">
        <v>60</v>
      </c>
      <c r="C2105" s="814" t="s">
        <v>852</v>
      </c>
      <c r="D2105" s="824" t="s">
        <v>2776</v>
      </c>
      <c r="E2105" s="816" t="s">
        <v>854</v>
      </c>
    </row>
    <row r="2106">
      <c r="A2106" s="812"/>
      <c r="B2106" s="813" t="s">
        <v>60</v>
      </c>
      <c r="C2106" s="814" t="s">
        <v>857</v>
      </c>
      <c r="D2106" s="824" t="s">
        <v>8138</v>
      </c>
      <c r="E2106" s="816" t="s">
        <v>859</v>
      </c>
    </row>
    <row r="2107">
      <c r="A2107" s="812"/>
      <c r="B2107" s="813" t="s">
        <v>656</v>
      </c>
      <c r="C2107" s="814" t="s">
        <v>1773</v>
      </c>
      <c r="D2107" s="824" t="s">
        <v>8247</v>
      </c>
      <c r="E2107" s="816" t="s">
        <v>3782</v>
      </c>
    </row>
    <row r="2108">
      <c r="A2108" s="812"/>
      <c r="B2108" s="813" t="s">
        <v>360</v>
      </c>
      <c r="C2108" s="814" t="s">
        <v>862</v>
      </c>
      <c r="D2108" s="824" t="s">
        <v>2571</v>
      </c>
      <c r="E2108" s="816" t="s">
        <v>864</v>
      </c>
    </row>
    <row r="2109">
      <c r="A2109" s="812"/>
      <c r="B2109" s="822"/>
      <c r="C2109" s="827" t="s">
        <v>6930</v>
      </c>
      <c r="D2109" s="822"/>
      <c r="E2109" s="822"/>
    </row>
    <row r="2110">
      <c r="A2110" s="812"/>
      <c r="B2110" s="813" t="s">
        <v>60</v>
      </c>
      <c r="C2110" s="814" t="s">
        <v>883</v>
      </c>
      <c r="D2110" s="824" t="s">
        <v>8249</v>
      </c>
      <c r="E2110" s="816" t="s">
        <v>885</v>
      </c>
    </row>
    <row r="2111">
      <c r="A2111" s="812"/>
      <c r="B2111" s="813" t="s">
        <v>60</v>
      </c>
      <c r="C2111" s="814" t="s">
        <v>890</v>
      </c>
      <c r="D2111" s="824" t="s">
        <v>8251</v>
      </c>
      <c r="E2111" s="816" t="s">
        <v>892</v>
      </c>
    </row>
    <row r="2112">
      <c r="A2112" s="812"/>
      <c r="B2112" s="813" t="s">
        <v>60</v>
      </c>
      <c r="C2112" s="814" t="s">
        <v>897</v>
      </c>
      <c r="D2112" s="824" t="s">
        <v>8255</v>
      </c>
      <c r="E2112" s="816" t="s">
        <v>899</v>
      </c>
    </row>
    <row r="2113">
      <c r="A2113" s="812"/>
      <c r="B2113" s="813" t="s">
        <v>60</v>
      </c>
      <c r="C2113" s="814" t="s">
        <v>906</v>
      </c>
      <c r="D2113" s="824" t="s">
        <v>8257</v>
      </c>
      <c r="E2113" s="816" t="s">
        <v>909</v>
      </c>
    </row>
    <row r="2114">
      <c r="A2114" s="812"/>
      <c r="B2114" s="813" t="s">
        <v>60</v>
      </c>
      <c r="C2114" s="814" t="s">
        <v>911</v>
      </c>
      <c r="D2114" s="824" t="s">
        <v>8258</v>
      </c>
      <c r="E2114" s="816" t="s">
        <v>913</v>
      </c>
    </row>
    <row r="2115">
      <c r="A2115" s="812"/>
      <c r="B2115" s="822"/>
      <c r="C2115" s="827" t="s">
        <v>920</v>
      </c>
      <c r="D2115" s="822"/>
      <c r="E2115" s="822"/>
    </row>
    <row r="2116">
      <c r="A2116" s="812"/>
      <c r="B2116" s="813" t="s">
        <v>60</v>
      </c>
      <c r="C2116" s="814" t="s">
        <v>924</v>
      </c>
      <c r="D2116" s="824" t="s">
        <v>8262</v>
      </c>
      <c r="E2116" s="816" t="s">
        <v>926</v>
      </c>
    </row>
    <row r="2117">
      <c r="A2117" s="812"/>
      <c r="B2117" s="813" t="s">
        <v>610</v>
      </c>
      <c r="C2117" s="814" t="s">
        <v>933</v>
      </c>
      <c r="D2117" s="824" t="s">
        <v>8265</v>
      </c>
      <c r="E2117" s="816" t="s">
        <v>1826</v>
      </c>
    </row>
    <row r="2118">
      <c r="A2118" s="812"/>
      <c r="B2118" s="813" t="s">
        <v>102</v>
      </c>
      <c r="C2118" s="814" t="s">
        <v>938</v>
      </c>
      <c r="D2118" s="824" t="s">
        <v>8266</v>
      </c>
      <c r="E2118" s="816" t="s">
        <v>940</v>
      </c>
    </row>
    <row r="2119">
      <c r="A2119" s="812"/>
      <c r="B2119" s="813" t="s">
        <v>60</v>
      </c>
      <c r="C2119" s="814" t="s">
        <v>293</v>
      </c>
      <c r="D2119" s="824" t="s">
        <v>8271</v>
      </c>
      <c r="E2119" s="816" t="s">
        <v>944</v>
      </c>
    </row>
    <row r="2120">
      <c r="A2120" s="812"/>
      <c r="B2120" s="813" t="s">
        <v>60</v>
      </c>
      <c r="C2120" s="814" t="s">
        <v>945</v>
      </c>
      <c r="D2120" s="824" t="s">
        <v>8272</v>
      </c>
      <c r="E2120" s="816" t="s">
        <v>948</v>
      </c>
    </row>
    <row r="2121">
      <c r="A2121" s="812"/>
      <c r="B2121" s="813" t="s">
        <v>970</v>
      </c>
      <c r="C2121" s="814" t="s">
        <v>971</v>
      </c>
      <c r="D2121" s="824" t="s">
        <v>8273</v>
      </c>
      <c r="E2121" s="816" t="s">
        <v>973</v>
      </c>
    </row>
    <row r="2122">
      <c r="A2122" s="812"/>
      <c r="B2122" s="822"/>
      <c r="C2122" s="827" t="s">
        <v>4661</v>
      </c>
      <c r="D2122" s="822"/>
      <c r="E2122" s="822"/>
    </row>
    <row r="2123">
      <c r="A2123" s="812"/>
      <c r="B2123" s="822"/>
      <c r="C2123" s="827" t="s">
        <v>8276</v>
      </c>
      <c r="D2123" s="822"/>
      <c r="E2123" s="822"/>
    </row>
    <row r="2124">
      <c r="A2124" s="812"/>
      <c r="B2124" s="813" t="s">
        <v>60</v>
      </c>
      <c r="C2124" s="814" t="s">
        <v>985</v>
      </c>
      <c r="D2124" s="824" t="s">
        <v>8277</v>
      </c>
      <c r="E2124" s="816" t="s">
        <v>982</v>
      </c>
    </row>
    <row r="2125">
      <c r="A2125" s="812"/>
      <c r="B2125" s="813" t="s">
        <v>60</v>
      </c>
      <c r="C2125" s="814" t="s">
        <v>999</v>
      </c>
      <c r="D2125" s="824" t="s">
        <v>8278</v>
      </c>
      <c r="E2125" s="816" t="s">
        <v>1002</v>
      </c>
    </row>
    <row r="2126">
      <c r="A2126" s="812"/>
      <c r="B2126" s="813" t="s">
        <v>60</v>
      </c>
      <c r="C2126" s="814" t="s">
        <v>1006</v>
      </c>
      <c r="D2126" s="824" t="s">
        <v>8280</v>
      </c>
      <c r="E2126" s="816" t="s">
        <v>1008</v>
      </c>
    </row>
    <row r="2127">
      <c r="A2127" s="812"/>
      <c r="B2127" s="813" t="s">
        <v>60</v>
      </c>
      <c r="C2127" s="814" t="s">
        <v>1012</v>
      </c>
      <c r="D2127" s="824" t="s">
        <v>8283</v>
      </c>
      <c r="E2127" s="816" t="s">
        <v>1015</v>
      </c>
    </row>
    <row r="2128">
      <c r="A2128" s="812"/>
      <c r="B2128" s="813" t="s">
        <v>60</v>
      </c>
      <c r="C2128" s="814" t="s">
        <v>8285</v>
      </c>
      <c r="D2128" s="824" t="s">
        <v>767</v>
      </c>
      <c r="E2128" s="816" t="s">
        <v>8230</v>
      </c>
    </row>
    <row r="2129">
      <c r="A2129" s="812"/>
      <c r="B2129" s="813" t="s">
        <v>656</v>
      </c>
      <c r="C2129" s="814" t="s">
        <v>1017</v>
      </c>
      <c r="D2129" s="824" t="s">
        <v>8287</v>
      </c>
      <c r="E2129" s="816" t="s">
        <v>1019</v>
      </c>
    </row>
    <row r="2130">
      <c r="A2130" s="812"/>
      <c r="B2130" s="813" t="s">
        <v>60</v>
      </c>
      <c r="C2130" s="814" t="s">
        <v>1034</v>
      </c>
      <c r="D2130" s="824" t="s">
        <v>2758</v>
      </c>
      <c r="E2130" s="816" t="s">
        <v>1038</v>
      </c>
    </row>
    <row r="2131">
      <c r="A2131" s="812"/>
      <c r="B2131" s="813" t="s">
        <v>60</v>
      </c>
      <c r="C2131" s="814" t="s">
        <v>1041</v>
      </c>
      <c r="D2131" s="824" t="s">
        <v>8292</v>
      </c>
      <c r="E2131" s="816" t="s">
        <v>1043</v>
      </c>
    </row>
    <row r="2132">
      <c r="A2132" s="812"/>
      <c r="B2132" s="822"/>
      <c r="C2132" s="827" t="s">
        <v>8293</v>
      </c>
      <c r="D2132" s="822"/>
      <c r="E2132" s="822"/>
    </row>
    <row r="2133">
      <c r="A2133" s="812"/>
      <c r="B2133" s="813" t="s">
        <v>60</v>
      </c>
      <c r="C2133" s="814" t="s">
        <v>7598</v>
      </c>
      <c r="D2133" s="824" t="s">
        <v>8296</v>
      </c>
      <c r="E2133" s="816" t="s">
        <v>5080</v>
      </c>
    </row>
    <row r="2134">
      <c r="A2134" s="812"/>
      <c r="B2134" s="822"/>
      <c r="C2134" s="827" t="s">
        <v>8298</v>
      </c>
      <c r="D2134" s="822"/>
      <c r="E2134" s="822"/>
    </row>
    <row r="2135">
      <c r="A2135" s="812"/>
      <c r="B2135" s="822"/>
      <c r="C2135" s="827" t="s">
        <v>8299</v>
      </c>
      <c r="D2135" s="822"/>
      <c r="E2135" s="822"/>
    </row>
    <row r="2136">
      <c r="A2136" s="812"/>
      <c r="B2136" s="813" t="s">
        <v>60</v>
      </c>
      <c r="C2136" s="814" t="s">
        <v>2619</v>
      </c>
      <c r="D2136" s="824" t="s">
        <v>8302</v>
      </c>
      <c r="E2136" s="816" t="s">
        <v>1072</v>
      </c>
    </row>
    <row r="2137">
      <c r="A2137" s="812"/>
      <c r="B2137" s="813" t="s">
        <v>60</v>
      </c>
      <c r="C2137" s="814" t="s">
        <v>1069</v>
      </c>
      <c r="D2137" s="824" t="s">
        <v>8304</v>
      </c>
      <c r="E2137" s="816" t="s">
        <v>1072</v>
      </c>
    </row>
    <row r="2138">
      <c r="A2138" s="812"/>
      <c r="B2138" s="813" t="s">
        <v>60</v>
      </c>
      <c r="C2138" s="814" t="s">
        <v>8308</v>
      </c>
      <c r="D2138" s="824" t="s">
        <v>2764</v>
      </c>
      <c r="E2138" s="816" t="s">
        <v>1077</v>
      </c>
    </row>
    <row r="2139">
      <c r="A2139" s="812"/>
      <c r="B2139" s="813" t="s">
        <v>60</v>
      </c>
      <c r="C2139" s="814" t="s">
        <v>1075</v>
      </c>
      <c r="D2139" s="824" t="s">
        <v>8310</v>
      </c>
      <c r="E2139" s="816" t="s">
        <v>1077</v>
      </c>
    </row>
    <row r="2140">
      <c r="A2140" s="812"/>
      <c r="B2140" s="813" t="s">
        <v>326</v>
      </c>
      <c r="C2140" s="814" t="s">
        <v>1082</v>
      </c>
      <c r="D2140" s="824" t="s">
        <v>8311</v>
      </c>
      <c r="E2140" s="816" t="s">
        <v>1084</v>
      </c>
    </row>
    <row r="2141">
      <c r="A2141" s="812"/>
      <c r="B2141" s="813" t="s">
        <v>102</v>
      </c>
      <c r="C2141" s="814" t="s">
        <v>1091</v>
      </c>
      <c r="D2141" s="824" t="s">
        <v>8314</v>
      </c>
      <c r="E2141" s="816" t="s">
        <v>1084</v>
      </c>
    </row>
    <row r="2142">
      <c r="A2142" s="812"/>
      <c r="B2142" s="813" t="s">
        <v>102</v>
      </c>
      <c r="C2142" s="814" t="s">
        <v>1103</v>
      </c>
      <c r="D2142" s="824" t="s">
        <v>1105</v>
      </c>
      <c r="E2142" s="816" t="s">
        <v>8315</v>
      </c>
    </row>
    <row r="2143">
      <c r="A2143" s="812"/>
      <c r="B2143" s="822"/>
      <c r="C2143" s="827" t="s">
        <v>8317</v>
      </c>
      <c r="D2143" s="822"/>
      <c r="E2143" s="822"/>
    </row>
    <row r="2144">
      <c r="A2144" s="812"/>
      <c r="B2144" s="813" t="s">
        <v>60</v>
      </c>
      <c r="C2144" s="814" t="s">
        <v>1117</v>
      </c>
      <c r="D2144" s="824" t="s">
        <v>8318</v>
      </c>
      <c r="E2144" s="816" t="s">
        <v>1120</v>
      </c>
    </row>
    <row r="2145">
      <c r="A2145" s="812"/>
      <c r="B2145" s="813" t="s">
        <v>60</v>
      </c>
      <c r="C2145" s="814" t="s">
        <v>1129</v>
      </c>
      <c r="D2145" s="824" t="s">
        <v>8322</v>
      </c>
      <c r="E2145" s="816" t="s">
        <v>1131</v>
      </c>
    </row>
    <row r="2146">
      <c r="A2146" s="812"/>
      <c r="B2146" s="813" t="s">
        <v>60</v>
      </c>
      <c r="C2146" s="814" t="s">
        <v>1739</v>
      </c>
      <c r="D2146" s="824" t="s">
        <v>8324</v>
      </c>
      <c r="E2146" s="816" t="s">
        <v>5488</v>
      </c>
    </row>
    <row r="2147">
      <c r="A2147" s="812"/>
      <c r="B2147" s="813" t="s">
        <v>60</v>
      </c>
      <c r="C2147" s="814" t="s">
        <v>1147</v>
      </c>
      <c r="D2147" s="824" t="s">
        <v>8326</v>
      </c>
      <c r="E2147" s="816" t="s">
        <v>1150</v>
      </c>
    </row>
    <row r="2148">
      <c r="A2148" s="812"/>
      <c r="B2148" s="822"/>
      <c r="C2148" s="827" t="s">
        <v>5582</v>
      </c>
      <c r="D2148" s="822"/>
      <c r="E2148" s="822"/>
    </row>
    <row r="2149">
      <c r="A2149" s="812"/>
      <c r="B2149" s="813" t="s">
        <v>504</v>
      </c>
      <c r="C2149" s="814" t="s">
        <v>1162</v>
      </c>
      <c r="D2149" s="824" t="s">
        <v>8115</v>
      </c>
      <c r="E2149" s="816" t="s">
        <v>4778</v>
      </c>
    </row>
    <row r="2150">
      <c r="A2150" s="812"/>
      <c r="B2150" s="813" t="s">
        <v>60</v>
      </c>
      <c r="C2150" s="814" t="s">
        <v>1171</v>
      </c>
      <c r="D2150" s="824" t="s">
        <v>8332</v>
      </c>
      <c r="E2150" s="816" t="s">
        <v>1175</v>
      </c>
    </row>
    <row r="2151">
      <c r="A2151" s="812"/>
      <c r="B2151" s="822"/>
      <c r="C2151" s="827" t="s">
        <v>8336</v>
      </c>
      <c r="D2151" s="822"/>
      <c r="E2151" s="822"/>
    </row>
    <row r="2152">
      <c r="A2152" s="812"/>
      <c r="B2152" s="813" t="s">
        <v>60</v>
      </c>
      <c r="C2152" s="814" t="s">
        <v>1189</v>
      </c>
      <c r="D2152" s="824" t="s">
        <v>8342</v>
      </c>
      <c r="E2152" s="816" t="s">
        <v>1191</v>
      </c>
    </row>
    <row r="2153">
      <c r="A2153" s="812"/>
      <c r="B2153" s="813" t="s">
        <v>60</v>
      </c>
      <c r="C2153" s="814" t="s">
        <v>1198</v>
      </c>
      <c r="D2153" s="824" t="s">
        <v>8344</v>
      </c>
      <c r="E2153" s="816" t="s">
        <v>1191</v>
      </c>
    </row>
    <row r="2154">
      <c r="A2154" s="812"/>
      <c r="B2154" s="813" t="s">
        <v>60</v>
      </c>
      <c r="C2154" s="814" t="s">
        <v>1205</v>
      </c>
      <c r="D2154" s="824" t="s">
        <v>8345</v>
      </c>
      <c r="E2154" s="816" t="s">
        <v>1208</v>
      </c>
    </row>
    <row r="2155">
      <c r="A2155" s="812"/>
      <c r="B2155" s="813" t="s">
        <v>60</v>
      </c>
      <c r="C2155" s="814" t="s">
        <v>1211</v>
      </c>
      <c r="D2155" s="824" t="s">
        <v>8349</v>
      </c>
      <c r="E2155" s="816" t="s">
        <v>1214</v>
      </c>
    </row>
    <row r="2156">
      <c r="A2156" s="812"/>
      <c r="B2156" s="813" t="s">
        <v>60</v>
      </c>
      <c r="C2156" s="814" t="s">
        <v>1219</v>
      </c>
      <c r="D2156" s="824" t="s">
        <v>8354</v>
      </c>
      <c r="E2156" s="816" t="s">
        <v>1225</v>
      </c>
    </row>
    <row r="2157">
      <c r="A2157" s="812"/>
      <c r="B2157" s="813" t="s">
        <v>60</v>
      </c>
      <c r="C2157" s="814" t="s">
        <v>1228</v>
      </c>
      <c r="D2157" s="824" t="s">
        <v>8358</v>
      </c>
      <c r="E2157" s="816" t="s">
        <v>1231</v>
      </c>
    </row>
    <row r="2158">
      <c r="A2158" s="812"/>
      <c r="B2158" s="813" t="s">
        <v>60</v>
      </c>
      <c r="C2158" s="814" t="s">
        <v>1234</v>
      </c>
      <c r="D2158" s="824" t="s">
        <v>8360</v>
      </c>
      <c r="E2158" s="816" t="s">
        <v>1236</v>
      </c>
    </row>
    <row r="2159">
      <c r="A2159" s="812"/>
      <c r="B2159" s="822"/>
      <c r="C2159" s="827" t="s">
        <v>8361</v>
      </c>
      <c r="D2159" s="822"/>
      <c r="E2159" s="822"/>
    </row>
    <row r="2160">
      <c r="A2160" s="812"/>
      <c r="B2160" s="822"/>
      <c r="C2160" s="827" t="s">
        <v>8362</v>
      </c>
      <c r="D2160" s="822"/>
      <c r="E2160" s="822"/>
    </row>
    <row r="2161">
      <c r="A2161" s="812"/>
      <c r="B2161" s="813" t="s">
        <v>60</v>
      </c>
      <c r="C2161" s="814" t="s">
        <v>1718</v>
      </c>
      <c r="D2161" s="824" t="s">
        <v>8365</v>
      </c>
      <c r="E2161" s="816" t="s">
        <v>5961</v>
      </c>
    </row>
    <row r="2162">
      <c r="A2162" s="812"/>
      <c r="B2162" s="813" t="s">
        <v>60</v>
      </c>
      <c r="C2162" s="814" t="s">
        <v>1249</v>
      </c>
      <c r="D2162" s="824" t="s">
        <v>1077</v>
      </c>
      <c r="E2162" s="816" t="s">
        <v>1251</v>
      </c>
    </row>
    <row r="2163">
      <c r="A2163" s="812"/>
      <c r="B2163" s="813" t="s">
        <v>60</v>
      </c>
      <c r="C2163" s="814" t="s">
        <v>1268</v>
      </c>
      <c r="D2163" s="824" t="s">
        <v>8370</v>
      </c>
      <c r="E2163" s="816" t="s">
        <v>1270</v>
      </c>
    </row>
    <row r="2164">
      <c r="A2164" s="812"/>
      <c r="B2164" s="822"/>
      <c r="C2164" s="827" t="s">
        <v>8373</v>
      </c>
      <c r="D2164" s="822"/>
      <c r="E2164" s="822"/>
    </row>
    <row r="2165">
      <c r="A2165" s="812"/>
      <c r="B2165" s="822"/>
      <c r="C2165" s="827" t="s">
        <v>8375</v>
      </c>
      <c r="D2165" s="822"/>
      <c r="E2165" s="822"/>
    </row>
    <row r="2166">
      <c r="A2166" s="812"/>
      <c r="B2166" s="822"/>
      <c r="C2166" s="827" t="s">
        <v>8379</v>
      </c>
      <c r="D2166" s="822"/>
      <c r="E2166" s="822"/>
    </row>
    <row r="2167">
      <c r="A2167" s="812"/>
      <c r="B2167" s="813" t="s">
        <v>60</v>
      </c>
      <c r="C2167" s="814" t="s">
        <v>1279</v>
      </c>
      <c r="D2167" s="824" t="s">
        <v>8380</v>
      </c>
      <c r="E2167" s="816" t="s">
        <v>1281</v>
      </c>
    </row>
    <row r="2168">
      <c r="A2168" s="812"/>
      <c r="B2168" s="822"/>
      <c r="C2168" s="827" t="s">
        <v>8383</v>
      </c>
      <c r="D2168" s="822"/>
      <c r="E2168" s="822"/>
    </row>
    <row r="2169">
      <c r="A2169" s="812"/>
      <c r="B2169" s="822"/>
      <c r="C2169" s="827" t="s">
        <v>8384</v>
      </c>
      <c r="D2169" s="822"/>
      <c r="E2169" s="822"/>
    </row>
    <row r="2170">
      <c r="A2170" s="812"/>
      <c r="B2170" s="822"/>
      <c r="C2170" s="827" t="s">
        <v>8386</v>
      </c>
      <c r="D2170" s="822"/>
      <c r="E2170" s="822"/>
    </row>
    <row r="2171">
      <c r="A2171" s="812"/>
      <c r="B2171" s="813" t="s">
        <v>60</v>
      </c>
      <c r="C2171" s="814" t="s">
        <v>2634</v>
      </c>
      <c r="D2171" s="824" t="s">
        <v>8387</v>
      </c>
      <c r="E2171" s="816" t="s">
        <v>2636</v>
      </c>
    </row>
    <row r="2172">
      <c r="A2172" s="812"/>
      <c r="B2172" s="813" t="s">
        <v>60</v>
      </c>
      <c r="C2172" s="814" t="s">
        <v>1730</v>
      </c>
      <c r="D2172" s="824" t="s">
        <v>8389</v>
      </c>
      <c r="E2172" s="816" t="s">
        <v>6240</v>
      </c>
    </row>
    <row r="2173">
      <c r="A2173" s="812"/>
      <c r="B2173" s="822"/>
      <c r="C2173" s="847" t="s">
        <v>2358</v>
      </c>
      <c r="D2173" s="822"/>
      <c r="E2173" s="822"/>
    </row>
    <row r="2174">
      <c r="A2174" s="812"/>
      <c r="B2174" s="813" t="s">
        <v>60</v>
      </c>
      <c r="C2174" s="814" t="s">
        <v>1290</v>
      </c>
      <c r="D2174" s="824" t="s">
        <v>8205</v>
      </c>
      <c r="E2174" s="816" t="s">
        <v>1294</v>
      </c>
    </row>
    <row r="2175">
      <c r="A2175" s="812"/>
      <c r="B2175" s="813" t="s">
        <v>60</v>
      </c>
      <c r="C2175" s="814" t="s">
        <v>3295</v>
      </c>
      <c r="D2175" s="824" t="s">
        <v>8397</v>
      </c>
      <c r="E2175" s="816" t="s">
        <v>6484</v>
      </c>
    </row>
    <row r="2176">
      <c r="A2176" s="812"/>
      <c r="B2176" s="813" t="s">
        <v>60</v>
      </c>
      <c r="C2176" s="814" t="s">
        <v>8398</v>
      </c>
      <c r="D2176" s="824" t="s">
        <v>8399</v>
      </c>
      <c r="E2176" s="816" t="s">
        <v>1309</v>
      </c>
    </row>
    <row r="2177">
      <c r="A2177" s="812"/>
      <c r="B2177" s="813" t="s">
        <v>60</v>
      </c>
      <c r="C2177" s="814" t="s">
        <v>8400</v>
      </c>
      <c r="D2177" s="824" t="s">
        <v>2571</v>
      </c>
      <c r="E2177" s="816" t="s">
        <v>6535</v>
      </c>
    </row>
    <row r="2178">
      <c r="A2178" s="812"/>
      <c r="B2178" s="813" t="s">
        <v>60</v>
      </c>
      <c r="C2178" s="814" t="s">
        <v>1320</v>
      </c>
      <c r="D2178" s="824" t="s">
        <v>5628</v>
      </c>
      <c r="E2178" s="816" t="s">
        <v>1323</v>
      </c>
    </row>
    <row r="2179">
      <c r="A2179" s="812"/>
      <c r="B2179" s="822"/>
      <c r="C2179" s="827" t="s">
        <v>8405</v>
      </c>
      <c r="D2179" s="822"/>
      <c r="E2179" s="822"/>
    </row>
    <row r="2180">
      <c r="A2180" s="812"/>
      <c r="B2180" s="813" t="s">
        <v>60</v>
      </c>
      <c r="C2180" s="814" t="s">
        <v>1327</v>
      </c>
      <c r="D2180" s="824" t="s">
        <v>8406</v>
      </c>
      <c r="E2180" s="816" t="s">
        <v>1331</v>
      </c>
    </row>
    <row r="2181">
      <c r="A2181" s="812"/>
      <c r="B2181" s="813" t="s">
        <v>60</v>
      </c>
      <c r="C2181" s="814" t="s">
        <v>8409</v>
      </c>
      <c r="D2181" s="824" t="s">
        <v>8410</v>
      </c>
      <c r="E2181" s="816" t="s">
        <v>1336</v>
      </c>
    </row>
    <row r="2182">
      <c r="A2182" s="812"/>
      <c r="B2182" s="813" t="s">
        <v>60</v>
      </c>
      <c r="C2182" s="814" t="s">
        <v>8411</v>
      </c>
      <c r="D2182" s="824" t="s">
        <v>8412</v>
      </c>
      <c r="E2182" s="816" t="s">
        <v>6646</v>
      </c>
    </row>
    <row r="2183">
      <c r="A2183" s="812"/>
      <c r="B2183" s="813" t="s">
        <v>60</v>
      </c>
      <c r="C2183" s="814" t="s">
        <v>1341</v>
      </c>
      <c r="D2183" s="824" t="s">
        <v>8416</v>
      </c>
      <c r="E2183" s="816" t="s">
        <v>1346</v>
      </c>
    </row>
    <row r="2184">
      <c r="A2184" s="812"/>
      <c r="B2184" s="813" t="s">
        <v>60</v>
      </c>
      <c r="C2184" s="814" t="s">
        <v>1348</v>
      </c>
      <c r="D2184" s="824" t="s">
        <v>1191</v>
      </c>
      <c r="E2184" s="816" t="s">
        <v>1352</v>
      </c>
    </row>
    <row r="2185">
      <c r="A2185" s="812"/>
      <c r="B2185" s="813" t="s">
        <v>60</v>
      </c>
      <c r="C2185" s="814" t="s">
        <v>8418</v>
      </c>
      <c r="D2185" s="824" t="s">
        <v>8419</v>
      </c>
      <c r="E2185" s="816" t="s">
        <v>8421</v>
      </c>
    </row>
    <row r="2186">
      <c r="A2186" s="812"/>
      <c r="B2186" s="822"/>
      <c r="C2186" s="827" t="s">
        <v>8423</v>
      </c>
      <c r="D2186" s="822"/>
      <c r="E2186" s="822"/>
    </row>
    <row r="2187">
      <c r="A2187" s="812"/>
      <c r="B2187" s="822"/>
      <c r="C2187" s="827" t="s">
        <v>6781</v>
      </c>
      <c r="D2187" s="822"/>
      <c r="E2187" s="822"/>
    </row>
    <row r="2188">
      <c r="A2188" s="812"/>
      <c r="B2188" s="813" t="s">
        <v>60</v>
      </c>
      <c r="C2188" s="814" t="s">
        <v>6800</v>
      </c>
      <c r="D2188" s="824" t="s">
        <v>8425</v>
      </c>
      <c r="E2188" s="816" t="s">
        <v>1367</v>
      </c>
    </row>
    <row r="2189">
      <c r="A2189" s="812"/>
      <c r="B2189" s="813" t="s">
        <v>60</v>
      </c>
      <c r="C2189" s="814" t="s">
        <v>1373</v>
      </c>
      <c r="D2189" s="824" t="s">
        <v>8429</v>
      </c>
      <c r="E2189" s="816" t="s">
        <v>1367</v>
      </c>
    </row>
    <row r="2190">
      <c r="A2190" s="812"/>
      <c r="B2190" s="813" t="s">
        <v>143</v>
      </c>
      <c r="C2190" s="814" t="s">
        <v>1379</v>
      </c>
      <c r="D2190" s="824" t="s">
        <v>8431</v>
      </c>
      <c r="E2190" s="816" t="s">
        <v>1382</v>
      </c>
    </row>
    <row r="2191">
      <c r="A2191" s="812"/>
      <c r="B2191" s="813" t="s">
        <v>102</v>
      </c>
      <c r="C2191" s="814" t="s">
        <v>1387</v>
      </c>
      <c r="D2191" s="824" t="s">
        <v>1442</v>
      </c>
      <c r="E2191" s="816" t="s">
        <v>1389</v>
      </c>
    </row>
    <row r="2192">
      <c r="A2192" s="812"/>
      <c r="B2192" s="813" t="s">
        <v>60</v>
      </c>
      <c r="C2192" s="814" t="s">
        <v>1392</v>
      </c>
      <c r="D2192" s="824" t="s">
        <v>8435</v>
      </c>
      <c r="E2192" s="816" t="s">
        <v>1395</v>
      </c>
    </row>
    <row r="2193">
      <c r="A2193" s="812"/>
      <c r="B2193" s="822"/>
      <c r="C2193" s="827" t="s">
        <v>8437</v>
      </c>
      <c r="D2193" s="822"/>
      <c r="E2193" s="822"/>
    </row>
    <row r="2194">
      <c r="A2194" s="812"/>
      <c r="B2194" s="813" t="s">
        <v>60</v>
      </c>
      <c r="C2194" s="814" t="s">
        <v>1408</v>
      </c>
      <c r="D2194" s="824" t="s">
        <v>8440</v>
      </c>
      <c r="E2194" s="816" t="s">
        <v>1411</v>
      </c>
    </row>
    <row r="2195">
      <c r="A2195" s="812"/>
      <c r="B2195" s="813" t="s">
        <v>360</v>
      </c>
      <c r="C2195" s="814" t="s">
        <v>1413</v>
      </c>
      <c r="D2195" s="824" t="s">
        <v>7475</v>
      </c>
      <c r="E2195" s="816" t="s">
        <v>2023</v>
      </c>
    </row>
    <row r="2196">
      <c r="A2196" s="812"/>
      <c r="B2196" s="822"/>
      <c r="C2196" s="847" t="s">
        <v>7172</v>
      </c>
      <c r="D2196" s="822"/>
      <c r="E2196" s="822"/>
    </row>
    <row r="2197">
      <c r="A2197" s="812"/>
      <c r="B2197" s="813" t="s">
        <v>326</v>
      </c>
      <c r="C2197" s="814" t="s">
        <v>1421</v>
      </c>
      <c r="D2197" s="824" t="s">
        <v>5488</v>
      </c>
      <c r="E2197" s="816" t="s">
        <v>2397</v>
      </c>
    </row>
    <row r="2198">
      <c r="A2198" s="812"/>
      <c r="B2198" s="813" t="s">
        <v>60</v>
      </c>
      <c r="C2198" s="814" t="s">
        <v>1429</v>
      </c>
      <c r="D2198" s="824" t="s">
        <v>2571</v>
      </c>
      <c r="E2198" s="816" t="s">
        <v>1432</v>
      </c>
    </row>
    <row r="2199">
      <c r="A2199" s="812"/>
      <c r="B2199" s="822"/>
      <c r="C2199" s="849" t="s">
        <v>1163</v>
      </c>
      <c r="D2199" s="822"/>
      <c r="E2199" s="822"/>
    </row>
    <row r="2200">
      <c r="A2200" s="812"/>
      <c r="B2200" s="813" t="s">
        <v>60</v>
      </c>
      <c r="C2200" s="814" t="s">
        <v>1449</v>
      </c>
      <c r="D2200" s="824" t="s">
        <v>4581</v>
      </c>
      <c r="E2200" s="816" t="s">
        <v>7342</v>
      </c>
    </row>
    <row r="2201">
      <c r="A2201" s="812"/>
      <c r="B2201" s="813" t="s">
        <v>60</v>
      </c>
      <c r="C2201" s="814" t="s">
        <v>1463</v>
      </c>
      <c r="D2201" s="824" t="s">
        <v>8452</v>
      </c>
      <c r="E2201" s="816" t="s">
        <v>1465</v>
      </c>
    </row>
    <row r="2202">
      <c r="A2202" s="812"/>
      <c r="B2202" s="813" t="s">
        <v>60</v>
      </c>
      <c r="C2202" s="814" t="s">
        <v>1481</v>
      </c>
      <c r="D2202" s="824" t="s">
        <v>2571</v>
      </c>
      <c r="E2202" s="816" t="s">
        <v>1486</v>
      </c>
    </row>
    <row r="2203">
      <c r="A2203" s="812"/>
      <c r="B2203" s="813" t="s">
        <v>60</v>
      </c>
      <c r="C2203" s="814" t="s">
        <v>7535</v>
      </c>
      <c r="D2203" s="824" t="s">
        <v>2571</v>
      </c>
      <c r="E2203" s="816" t="s">
        <v>7533</v>
      </c>
    </row>
    <row r="2204">
      <c r="A2204" s="812"/>
      <c r="B2204" s="813" t="s">
        <v>60</v>
      </c>
      <c r="C2204" s="814" t="s">
        <v>1499</v>
      </c>
      <c r="D2204" s="824" t="s">
        <v>8458</v>
      </c>
      <c r="E2204" s="816" t="s">
        <v>8459</v>
      </c>
    </row>
    <row r="2205">
      <c r="A2205" s="812"/>
      <c r="B2205" s="822"/>
      <c r="C2205" s="847" t="s">
        <v>7558</v>
      </c>
      <c r="D2205" s="822"/>
      <c r="E2205" s="822"/>
    </row>
    <row r="2206">
      <c r="A2206" s="812"/>
      <c r="B2206" s="813" t="s">
        <v>60</v>
      </c>
      <c r="C2206" s="814" t="s">
        <v>1512</v>
      </c>
      <c r="D2206" s="824" t="s">
        <v>8461</v>
      </c>
      <c r="E2206" s="816" t="s">
        <v>1516</v>
      </c>
    </row>
    <row r="2207">
      <c r="A2207" s="812"/>
      <c r="B2207" s="813" t="s">
        <v>60</v>
      </c>
      <c r="C2207" s="814" t="s">
        <v>1562</v>
      </c>
      <c r="D2207" s="824" t="s">
        <v>8462</v>
      </c>
      <c r="E2207" s="816" t="s">
        <v>1565</v>
      </c>
    </row>
    <row r="2208">
      <c r="A2208" s="812"/>
      <c r="B2208" s="813" t="s">
        <v>60</v>
      </c>
      <c r="C2208" s="814" t="s">
        <v>8463</v>
      </c>
      <c r="D2208" s="824" t="s">
        <v>528</v>
      </c>
      <c r="E2208" s="816" t="s">
        <v>1565</v>
      </c>
    </row>
    <row r="2209">
      <c r="A2209" s="812"/>
      <c r="B2209" s="813" t="s">
        <v>102</v>
      </c>
      <c r="C2209" s="814" t="s">
        <v>1582</v>
      </c>
      <c r="D2209" s="824" t="s">
        <v>1043</v>
      </c>
      <c r="E2209" s="816" t="s">
        <v>6282</v>
      </c>
    </row>
    <row r="2210">
      <c r="A2210" s="812"/>
      <c r="B2210" s="813" t="s">
        <v>60</v>
      </c>
      <c r="C2210" s="814" t="s">
        <v>8472</v>
      </c>
      <c r="D2210" s="824" t="s">
        <v>2571</v>
      </c>
      <c r="E2210" s="816" t="s">
        <v>1592</v>
      </c>
    </row>
    <row r="2211">
      <c r="A2211" s="812"/>
      <c r="B2211" s="813" t="s">
        <v>60</v>
      </c>
      <c r="C2211" s="814" t="s">
        <v>1597</v>
      </c>
      <c r="D2211" s="824" t="s">
        <v>8474</v>
      </c>
      <c r="E2211" s="816" t="s">
        <v>8476</v>
      </c>
    </row>
    <row r="2212">
      <c r="A2212" s="812"/>
      <c r="B2212" s="813" t="s">
        <v>60</v>
      </c>
      <c r="C2212" s="814" t="s">
        <v>1615</v>
      </c>
      <c r="D2212" s="824" t="s">
        <v>8477</v>
      </c>
      <c r="E2212" s="816" t="s">
        <v>1617</v>
      </c>
    </row>
    <row r="2213">
      <c r="A2213" s="812"/>
      <c r="B2213" s="813" t="s">
        <v>60</v>
      </c>
      <c r="C2213" s="814" t="s">
        <v>1621</v>
      </c>
      <c r="D2213" s="824" t="s">
        <v>8482</v>
      </c>
      <c r="E2213" s="816" t="s">
        <v>8483</v>
      </c>
    </row>
    <row r="2214">
      <c r="A2214" s="812"/>
      <c r="B2214" s="813" t="s">
        <v>60</v>
      </c>
      <c r="C2214" s="814" t="s">
        <v>8193</v>
      </c>
      <c r="D2214" s="824" t="s">
        <v>2571</v>
      </c>
      <c r="E2214" s="816" t="s">
        <v>8191</v>
      </c>
    </row>
    <row r="2215">
      <c r="A2215" s="812"/>
      <c r="B2215" s="813" t="s">
        <v>60</v>
      </c>
      <c r="C2215" s="814" t="s">
        <v>1627</v>
      </c>
      <c r="D2215" s="824" t="s">
        <v>8485</v>
      </c>
      <c r="E2215" s="816" t="s">
        <v>8486</v>
      </c>
    </row>
    <row r="2216">
      <c r="A2216" s="812"/>
      <c r="B2216" s="813" t="s">
        <v>60</v>
      </c>
      <c r="C2216" s="814" t="s">
        <v>1638</v>
      </c>
      <c r="D2216" s="824" t="s">
        <v>8488</v>
      </c>
      <c r="E2216" s="816" t="s">
        <v>8490</v>
      </c>
    </row>
    <row r="2217">
      <c r="A2217" s="812"/>
      <c r="B2217" s="813" t="s">
        <v>60</v>
      </c>
      <c r="C2217" s="814" t="s">
        <v>1652</v>
      </c>
      <c r="D2217" s="824" t="s">
        <v>1270</v>
      </c>
      <c r="E2217" s="816" t="s">
        <v>1657</v>
      </c>
    </row>
    <row r="2218">
      <c r="A2218" s="812"/>
      <c r="B2218" s="813" t="s">
        <v>326</v>
      </c>
      <c r="C2218" s="814" t="s">
        <v>1662</v>
      </c>
      <c r="D2218" s="824" t="s">
        <v>8493</v>
      </c>
      <c r="E2218" s="816" t="s">
        <v>1657</v>
      </c>
    </row>
    <row r="2219">
      <c r="A2219" s="812"/>
      <c r="B2219" s="813" t="s">
        <v>60</v>
      </c>
      <c r="C2219" s="814" t="s">
        <v>1670</v>
      </c>
      <c r="D2219" s="824" t="s">
        <v>8494</v>
      </c>
      <c r="E2219" s="816" t="s">
        <v>8495</v>
      </c>
    </row>
    <row r="2220">
      <c r="A2220" s="812"/>
      <c r="B2220" s="813" t="s">
        <v>60</v>
      </c>
      <c r="C2220" s="814" t="s">
        <v>1675</v>
      </c>
      <c r="D2220" s="824" t="s">
        <v>8497</v>
      </c>
      <c r="E2220" s="816" t="s">
        <v>1678</v>
      </c>
    </row>
    <row r="2221">
      <c r="A2221" s="812"/>
      <c r="B2221" s="822"/>
      <c r="C2221" s="827" t="s">
        <v>8500</v>
      </c>
      <c r="D2221" s="822"/>
      <c r="E2221" s="822"/>
    </row>
    <row r="2222">
      <c r="A2222" s="812"/>
      <c r="B2222" s="813" t="s">
        <v>60</v>
      </c>
      <c r="C2222" s="814" t="s">
        <v>1682</v>
      </c>
      <c r="D2222" s="824" t="s">
        <v>8502</v>
      </c>
      <c r="E2222" s="816" t="s">
        <v>1684</v>
      </c>
    </row>
    <row r="2223">
      <c r="A2223" s="812"/>
      <c r="B2223" s="813" t="s">
        <v>656</v>
      </c>
      <c r="C2223" s="814" t="s">
        <v>1688</v>
      </c>
      <c r="D2223" s="824" t="s">
        <v>8504</v>
      </c>
      <c r="E2223" s="816" t="s">
        <v>2493</v>
      </c>
    </row>
    <row r="2224">
      <c r="A2224" s="812"/>
      <c r="B2224" s="813" t="s">
        <v>60</v>
      </c>
      <c r="C2224" s="814" t="s">
        <v>1693</v>
      </c>
      <c r="D2224" s="824" t="s">
        <v>8506</v>
      </c>
      <c r="E2224" s="816" t="s">
        <v>1684</v>
      </c>
    </row>
    <row r="2225">
      <c r="A2225" s="812"/>
      <c r="B2225" s="813" t="s">
        <v>60</v>
      </c>
      <c r="C2225" s="814" t="s">
        <v>1699</v>
      </c>
      <c r="D2225" s="824" t="s">
        <v>8512</v>
      </c>
      <c r="E2225" s="816" t="s">
        <v>1684</v>
      </c>
    </row>
    <row r="2226">
      <c r="A2226" s="812"/>
      <c r="B2226" s="822"/>
      <c r="C2226" s="827" t="s">
        <v>1705</v>
      </c>
      <c r="D2226" s="822"/>
      <c r="E2226" s="822"/>
    </row>
    <row r="2227">
      <c r="A2227" s="812"/>
      <c r="B2227" s="813" t="s">
        <v>60</v>
      </c>
      <c r="C2227" s="814" t="s">
        <v>8514</v>
      </c>
      <c r="D2227" s="824" t="s">
        <v>2571</v>
      </c>
      <c r="E2227" s="816" t="s">
        <v>1684</v>
      </c>
    </row>
    <row r="2228">
      <c r="A2228" s="812"/>
      <c r="B2228" s="813" t="s">
        <v>60</v>
      </c>
      <c r="C2228" s="814" t="s">
        <v>1710</v>
      </c>
      <c r="D2228" s="824" t="s">
        <v>8516</v>
      </c>
      <c r="E2228" s="816" t="s">
        <v>1684</v>
      </c>
    </row>
    <row r="2229">
      <c r="A2229" s="812"/>
      <c r="B2229" s="822"/>
      <c r="C2229" s="827" t="s">
        <v>1724</v>
      </c>
      <c r="D2229" s="822"/>
      <c r="E2229" s="822"/>
    </row>
    <row r="2230">
      <c r="A2230" s="812"/>
      <c r="B2230" s="822"/>
      <c r="C2230" s="827" t="s">
        <v>8517</v>
      </c>
      <c r="D2230" s="822"/>
      <c r="E2230" s="822"/>
    </row>
    <row r="2231">
      <c r="A2231" s="812"/>
      <c r="B2231" s="822"/>
      <c r="C2231" s="827" t="s">
        <v>3064</v>
      </c>
      <c r="D2231" s="822"/>
      <c r="E2231" s="822"/>
    </row>
    <row r="2232">
      <c r="A2232" s="812"/>
      <c r="B2232" s="813" t="s">
        <v>60</v>
      </c>
      <c r="C2232" s="814" t="s">
        <v>3055</v>
      </c>
      <c r="D2232" s="824" t="s">
        <v>8519</v>
      </c>
      <c r="E2232" s="816" t="s">
        <v>1777</v>
      </c>
    </row>
    <row r="2233">
      <c r="A2233" s="812"/>
      <c r="B2233" s="813" t="s">
        <v>60</v>
      </c>
      <c r="C2233" s="814" t="s">
        <v>1781</v>
      </c>
      <c r="D2233" s="824" t="s">
        <v>8524</v>
      </c>
      <c r="E2233" s="816" t="s">
        <v>1777</v>
      </c>
    </row>
    <row r="2234">
      <c r="A2234" s="812"/>
      <c r="B2234" s="822"/>
      <c r="C2234" s="827" t="s">
        <v>6553</v>
      </c>
      <c r="D2234" s="822"/>
      <c r="E2234" s="822"/>
    </row>
    <row r="2235">
      <c r="A2235" s="812"/>
      <c r="B2235" s="821" t="s">
        <v>143</v>
      </c>
      <c r="C2235" s="814" t="s">
        <v>1787</v>
      </c>
      <c r="D2235" s="824" t="s">
        <v>2571</v>
      </c>
      <c r="E2235" s="816" t="s">
        <v>1790</v>
      </c>
    </row>
    <row r="2236">
      <c r="A2236" s="812"/>
      <c r="B2236" s="813" t="s">
        <v>60</v>
      </c>
      <c r="C2236" s="814" t="s">
        <v>1797</v>
      </c>
      <c r="D2236" s="824" t="s">
        <v>923</v>
      </c>
      <c r="E2236" s="816" t="s">
        <v>1799</v>
      </c>
    </row>
    <row r="2237">
      <c r="A2237" s="812"/>
      <c r="B2237" s="813" t="s">
        <v>60</v>
      </c>
      <c r="C2237" s="814" t="s">
        <v>1816</v>
      </c>
      <c r="D2237" s="824" t="s">
        <v>8530</v>
      </c>
      <c r="E2237" s="816" t="s">
        <v>1807</v>
      </c>
    </row>
    <row r="2238">
      <c r="A2238" s="812"/>
      <c r="B2238" s="822"/>
      <c r="C2238" s="827" t="s">
        <v>2314</v>
      </c>
      <c r="D2238" s="822"/>
      <c r="E2238" s="822"/>
    </row>
    <row r="2239">
      <c r="A2239" s="812"/>
      <c r="B2239" s="813" t="s">
        <v>60</v>
      </c>
      <c r="C2239" s="814" t="s">
        <v>8533</v>
      </c>
      <c r="D2239" s="824" t="s">
        <v>2571</v>
      </c>
      <c r="E2239" s="816" t="s">
        <v>8535</v>
      </c>
    </row>
    <row r="2240">
      <c r="A2240" s="812"/>
      <c r="B2240" s="822"/>
      <c r="C2240" s="827" t="s">
        <v>8538</v>
      </c>
      <c r="D2240" s="822"/>
      <c r="E2240" s="822"/>
    </row>
    <row r="2241">
      <c r="A2241" s="812"/>
      <c r="B2241" s="813" t="s">
        <v>60</v>
      </c>
      <c r="C2241" s="814" t="s">
        <v>5399</v>
      </c>
      <c r="D2241" s="824" t="s">
        <v>2571</v>
      </c>
      <c r="E2241" s="816" t="s">
        <v>8172</v>
      </c>
    </row>
    <row r="2242">
      <c r="A2242" s="812"/>
      <c r="B2242" s="813" t="s">
        <v>60</v>
      </c>
      <c r="C2242" s="814" t="s">
        <v>1822</v>
      </c>
      <c r="D2242" s="824" t="s">
        <v>8543</v>
      </c>
      <c r="E2242" s="816" t="s">
        <v>1826</v>
      </c>
    </row>
    <row r="2243">
      <c r="A2243" s="812"/>
      <c r="B2243" s="813" t="s">
        <v>60</v>
      </c>
      <c r="C2243" s="814" t="s">
        <v>1831</v>
      </c>
      <c r="D2243" s="824" t="s">
        <v>8545</v>
      </c>
      <c r="E2243" s="816" t="s">
        <v>1826</v>
      </c>
    </row>
    <row r="2244">
      <c r="A2244" s="812"/>
      <c r="B2244" s="822"/>
      <c r="C2244" s="827" t="s">
        <v>2542</v>
      </c>
      <c r="D2244" s="822"/>
      <c r="E2244" s="822"/>
    </row>
    <row r="2245">
      <c r="A2245" s="812"/>
      <c r="B2245" s="813" t="s">
        <v>60</v>
      </c>
      <c r="C2245" s="814" t="s">
        <v>8548</v>
      </c>
      <c r="D2245" s="824" t="s">
        <v>8549</v>
      </c>
      <c r="E2245" s="816" t="s">
        <v>1826</v>
      </c>
    </row>
    <row r="2246">
      <c r="A2246" s="812"/>
      <c r="B2246" s="813" t="s">
        <v>60</v>
      </c>
      <c r="C2246" s="814" t="s">
        <v>8550</v>
      </c>
      <c r="D2246" s="824" t="s">
        <v>8283</v>
      </c>
      <c r="E2246" s="816" t="s">
        <v>1850</v>
      </c>
    </row>
    <row r="2247">
      <c r="A2247" s="812"/>
      <c r="B2247" s="813" t="s">
        <v>60</v>
      </c>
      <c r="C2247" s="814" t="s">
        <v>1847</v>
      </c>
      <c r="D2247" s="824" t="s">
        <v>8553</v>
      </c>
      <c r="E2247" s="816" t="s">
        <v>8554</v>
      </c>
    </row>
    <row r="2248">
      <c r="A2248" s="812"/>
      <c r="B2248" s="813" t="s">
        <v>60</v>
      </c>
      <c r="C2248" s="814" t="s">
        <v>1853</v>
      </c>
      <c r="D2248" s="824" t="s">
        <v>8556</v>
      </c>
      <c r="E2248" s="816" t="s">
        <v>1850</v>
      </c>
    </row>
    <row r="2249">
      <c r="A2249" s="812"/>
      <c r="B2249" s="813" t="s">
        <v>60</v>
      </c>
      <c r="C2249" s="814" t="s">
        <v>1860</v>
      </c>
      <c r="D2249" s="824" t="s">
        <v>8558</v>
      </c>
      <c r="E2249" s="816" t="s">
        <v>1850</v>
      </c>
    </row>
    <row r="2250">
      <c r="A2250" s="812"/>
      <c r="B2250" s="813" t="s">
        <v>656</v>
      </c>
      <c r="C2250" s="814" t="s">
        <v>8560</v>
      </c>
      <c r="D2250" s="824" t="s">
        <v>8562</v>
      </c>
      <c r="E2250" s="816" t="s">
        <v>1850</v>
      </c>
    </row>
    <row r="2251">
      <c r="A2251" s="812"/>
      <c r="B2251" s="813" t="s">
        <v>60</v>
      </c>
      <c r="C2251" s="814" t="s">
        <v>1869</v>
      </c>
      <c r="D2251" s="824" t="s">
        <v>8177</v>
      </c>
      <c r="E2251" s="816" t="s">
        <v>288</v>
      </c>
    </row>
    <row r="2252">
      <c r="A2252" s="812"/>
      <c r="B2252" s="822"/>
      <c r="C2252" s="827" t="s">
        <v>8566</v>
      </c>
      <c r="D2252" s="822"/>
      <c r="E2252" s="822"/>
    </row>
    <row r="2253">
      <c r="A2253" s="812"/>
      <c r="B2253" s="822"/>
      <c r="C2253" s="827" t="s">
        <v>8569</v>
      </c>
      <c r="D2253" s="822"/>
      <c r="E2253" s="822"/>
    </row>
    <row r="2254">
      <c r="A2254" s="812"/>
      <c r="B2254" s="822"/>
      <c r="C2254" s="827" t="s">
        <v>8572</v>
      </c>
      <c r="D2254" s="822"/>
      <c r="E2254" s="822"/>
    </row>
    <row r="2255">
      <c r="A2255" s="812"/>
      <c r="B2255" s="822"/>
      <c r="C2255" s="827" t="s">
        <v>8575</v>
      </c>
      <c r="D2255" s="822"/>
      <c r="E2255" s="822"/>
    </row>
    <row r="2256">
      <c r="A2256" s="812"/>
      <c r="B2256" s="822"/>
      <c r="C2256" s="827" t="s">
        <v>8576</v>
      </c>
      <c r="D2256" s="822"/>
      <c r="E2256" s="822"/>
    </row>
    <row r="2257">
      <c r="A2257" s="812"/>
      <c r="B2257" s="813" t="s">
        <v>60</v>
      </c>
      <c r="C2257" s="814" t="s">
        <v>1874</v>
      </c>
      <c r="D2257" s="824" t="s">
        <v>8577</v>
      </c>
      <c r="E2257" s="816" t="s">
        <v>577</v>
      </c>
    </row>
    <row r="2258">
      <c r="A2258" s="812"/>
      <c r="B2258" s="822"/>
      <c r="C2258" s="847" t="s">
        <v>7454</v>
      </c>
      <c r="D2258" s="822"/>
      <c r="E2258" s="822"/>
    </row>
    <row r="2259">
      <c r="A2259" s="812"/>
      <c r="B2259" s="813" t="s">
        <v>60</v>
      </c>
      <c r="C2259" s="814" t="s">
        <v>1880</v>
      </c>
      <c r="D2259" s="824" t="s">
        <v>8580</v>
      </c>
      <c r="E2259" s="816" t="s">
        <v>577</v>
      </c>
    </row>
    <row r="2260">
      <c r="A2260" s="812"/>
      <c r="B2260" s="813" t="s">
        <v>60</v>
      </c>
      <c r="C2260" s="814" t="s">
        <v>1895</v>
      </c>
      <c r="D2260" s="824" t="s">
        <v>8581</v>
      </c>
      <c r="E2260" s="816" t="s">
        <v>1899</v>
      </c>
    </row>
    <row r="2261">
      <c r="A2261" s="812"/>
      <c r="B2261" s="813" t="s">
        <v>60</v>
      </c>
      <c r="C2261" s="814" t="s">
        <v>1905</v>
      </c>
      <c r="D2261" s="824" t="s">
        <v>2939</v>
      </c>
      <c r="E2261" s="816" t="s">
        <v>1907</v>
      </c>
    </row>
    <row r="2262">
      <c r="A2262" s="812"/>
      <c r="B2262" s="822"/>
      <c r="C2262" s="827" t="s">
        <v>8585</v>
      </c>
      <c r="D2262" s="822"/>
      <c r="E2262" s="822"/>
    </row>
    <row r="2263">
      <c r="A2263" s="812"/>
      <c r="B2263" s="822"/>
      <c r="C2263" s="849" t="s">
        <v>8589</v>
      </c>
      <c r="D2263" s="822"/>
      <c r="E2263" s="822"/>
    </row>
    <row r="2264">
      <c r="A2264" s="812"/>
      <c r="B2264" s="813" t="s">
        <v>60</v>
      </c>
      <c r="C2264" s="814" t="s">
        <v>8591</v>
      </c>
      <c r="D2264" s="824" t="s">
        <v>2571</v>
      </c>
      <c r="E2264" s="816" t="s">
        <v>8592</v>
      </c>
    </row>
    <row r="2265">
      <c r="A2265" s="812"/>
      <c r="B2265" s="813" t="s">
        <v>60</v>
      </c>
      <c r="C2265" s="814" t="s">
        <v>1919</v>
      </c>
      <c r="D2265" s="824" t="s">
        <v>680</v>
      </c>
      <c r="E2265" s="816" t="s">
        <v>1921</v>
      </c>
    </row>
    <row r="2266">
      <c r="A2266" s="812"/>
      <c r="B2266" s="813" t="s">
        <v>60</v>
      </c>
      <c r="C2266" s="814" t="s">
        <v>1930</v>
      </c>
      <c r="D2266" s="824" t="s">
        <v>8596</v>
      </c>
      <c r="E2266" s="816" t="s">
        <v>1934</v>
      </c>
    </row>
    <row r="2267">
      <c r="A2267" s="812"/>
      <c r="B2267" s="813" t="s">
        <v>60</v>
      </c>
      <c r="C2267" s="814" t="s">
        <v>1939</v>
      </c>
      <c r="D2267" s="824" t="s">
        <v>8597</v>
      </c>
      <c r="E2267" s="816" t="s">
        <v>1934</v>
      </c>
    </row>
    <row r="2268">
      <c r="A2268" s="812"/>
      <c r="B2268" s="822"/>
      <c r="C2268" s="827" t="s">
        <v>8599</v>
      </c>
      <c r="D2268" s="822"/>
      <c r="E2268" s="822"/>
    </row>
    <row r="2269">
      <c r="A2269" s="812"/>
      <c r="B2269" s="813" t="s">
        <v>60</v>
      </c>
      <c r="C2269" s="814" t="s">
        <v>8604</v>
      </c>
      <c r="D2269" s="824" t="s">
        <v>8606</v>
      </c>
      <c r="E2269" s="816" t="s">
        <v>1948</v>
      </c>
    </row>
    <row r="2270">
      <c r="A2270" s="812"/>
      <c r="B2270" s="813" t="s">
        <v>60</v>
      </c>
      <c r="C2270" s="814" t="s">
        <v>1945</v>
      </c>
      <c r="D2270" s="824" t="s">
        <v>8154</v>
      </c>
      <c r="E2270" s="816" t="s">
        <v>1948</v>
      </c>
    </row>
    <row r="2271">
      <c r="A2271" s="812"/>
      <c r="B2271" s="822"/>
      <c r="C2271" s="827" t="s">
        <v>8610</v>
      </c>
      <c r="D2271" s="822"/>
      <c r="E2271" s="822"/>
    </row>
    <row r="2272">
      <c r="A2272" s="812"/>
      <c r="B2272" s="822"/>
      <c r="C2272" s="827" t="s">
        <v>8613</v>
      </c>
      <c r="D2272" s="822"/>
      <c r="E2272" s="822"/>
    </row>
    <row r="2273">
      <c r="A2273" s="812"/>
      <c r="B2273" s="813" t="s">
        <v>143</v>
      </c>
      <c r="C2273" s="814" t="s">
        <v>1951</v>
      </c>
      <c r="D2273" s="824" t="s">
        <v>2571</v>
      </c>
      <c r="E2273" s="816" t="s">
        <v>1953</v>
      </c>
    </row>
    <row r="2274">
      <c r="A2274" s="812"/>
      <c r="B2274" s="813" t="s">
        <v>60</v>
      </c>
      <c r="C2274" s="814" t="s">
        <v>1768</v>
      </c>
      <c r="D2274" s="824" t="s">
        <v>8617</v>
      </c>
      <c r="E2274" s="816" t="s">
        <v>8618</v>
      </c>
    </row>
    <row r="2275">
      <c r="A2275" s="812"/>
      <c r="B2275" s="813" t="s">
        <v>60</v>
      </c>
      <c r="C2275" s="814" t="s">
        <v>1959</v>
      </c>
      <c r="D2275" s="824" t="s">
        <v>8620</v>
      </c>
      <c r="E2275" s="816" t="s">
        <v>1963</v>
      </c>
    </row>
    <row r="2276">
      <c r="A2276" s="812"/>
      <c r="B2276" s="813" t="s">
        <v>102</v>
      </c>
      <c r="C2276" s="814" t="s">
        <v>1976</v>
      </c>
      <c r="D2276" s="824" t="s">
        <v>8624</v>
      </c>
      <c r="E2276" s="816" t="s">
        <v>1980</v>
      </c>
    </row>
    <row r="2277">
      <c r="A2277" s="812"/>
      <c r="B2277" s="813" t="s">
        <v>60</v>
      </c>
      <c r="C2277" s="814" t="s">
        <v>1985</v>
      </c>
      <c r="D2277" s="824" t="s">
        <v>8627</v>
      </c>
      <c r="E2277" s="816" t="s">
        <v>1987</v>
      </c>
    </row>
    <row r="2278">
      <c r="A2278" s="812"/>
      <c r="B2278" s="822"/>
      <c r="C2278" s="827" t="s">
        <v>8629</v>
      </c>
      <c r="D2278" s="822"/>
      <c r="E2278" s="822"/>
    </row>
    <row r="2279">
      <c r="A2279" s="812"/>
      <c r="B2279" s="813" t="s">
        <v>60</v>
      </c>
      <c r="C2279" s="814" t="s">
        <v>8630</v>
      </c>
      <c r="D2279" s="824" t="s">
        <v>8631</v>
      </c>
      <c r="E2279" s="816" t="s">
        <v>8632</v>
      </c>
    </row>
    <row r="2280">
      <c r="A2280" s="812"/>
      <c r="B2280" s="822"/>
      <c r="C2280" s="827" t="s">
        <v>8634</v>
      </c>
      <c r="D2280" s="822"/>
      <c r="E2280" s="822"/>
    </row>
    <row r="2281">
      <c r="A2281" s="812"/>
      <c r="B2281" s="822"/>
      <c r="C2281" s="827" t="s">
        <v>8639</v>
      </c>
      <c r="D2281" s="822"/>
      <c r="E2281" s="822"/>
    </row>
    <row r="2282">
      <c r="A2282" s="812"/>
      <c r="B2282" s="822"/>
      <c r="C2282" s="827" t="s">
        <v>8640</v>
      </c>
      <c r="D2282" s="822"/>
      <c r="E2282" s="822"/>
    </row>
    <row r="2283">
      <c r="A2283" s="812"/>
      <c r="B2283" s="813" t="s">
        <v>60</v>
      </c>
      <c r="C2283" s="814" t="s">
        <v>2011</v>
      </c>
      <c r="D2283" s="824" t="s">
        <v>6395</v>
      </c>
      <c r="E2283" s="816" t="s">
        <v>2016</v>
      </c>
    </row>
    <row r="2284">
      <c r="A2284" s="812"/>
      <c r="B2284" s="822"/>
      <c r="C2284" s="827" t="s">
        <v>8641</v>
      </c>
      <c r="D2284" s="822"/>
      <c r="E2284" s="822"/>
    </row>
    <row r="2285">
      <c r="A2285" s="812"/>
      <c r="B2285" s="813" t="s">
        <v>60</v>
      </c>
      <c r="C2285" s="814" t="s">
        <v>2020</v>
      </c>
      <c r="D2285" s="824" t="s">
        <v>6425</v>
      </c>
      <c r="E2285" s="816" t="s">
        <v>2023</v>
      </c>
    </row>
    <row r="2286">
      <c r="A2286" s="812"/>
      <c r="B2286" s="822"/>
      <c r="C2286" s="827" t="s">
        <v>8645</v>
      </c>
      <c r="D2286" s="822"/>
      <c r="E2286" s="822"/>
    </row>
    <row r="2287">
      <c r="A2287" s="812"/>
      <c r="B2287" s="813" t="s">
        <v>60</v>
      </c>
      <c r="C2287" s="814" t="s">
        <v>2032</v>
      </c>
      <c r="D2287" s="824" t="s">
        <v>8646</v>
      </c>
      <c r="E2287" s="816" t="s">
        <v>2035</v>
      </c>
    </row>
    <row r="2288">
      <c r="A2288" s="812"/>
      <c r="B2288" s="813" t="s">
        <v>60</v>
      </c>
      <c r="C2288" s="814" t="s">
        <v>2040</v>
      </c>
      <c r="D2288" s="824" t="s">
        <v>8647</v>
      </c>
      <c r="E2288" s="816" t="s">
        <v>2044</v>
      </c>
    </row>
    <row r="2289">
      <c r="A2289" s="812"/>
      <c r="B2289" s="813" t="s">
        <v>60</v>
      </c>
      <c r="C2289" s="814" t="s">
        <v>2059</v>
      </c>
      <c r="D2289" s="824" t="s">
        <v>8649</v>
      </c>
      <c r="E2289" s="816" t="s">
        <v>2062</v>
      </c>
    </row>
    <row r="2290">
      <c r="A2290" s="812"/>
      <c r="B2290" s="813" t="s">
        <v>60</v>
      </c>
      <c r="C2290" s="814" t="s">
        <v>2065</v>
      </c>
      <c r="D2290" s="824" t="s">
        <v>8650</v>
      </c>
      <c r="E2290" s="816" t="s">
        <v>2062</v>
      </c>
    </row>
    <row r="2291">
      <c r="A2291" s="812"/>
      <c r="B2291" s="822"/>
      <c r="C2291" s="827" t="s">
        <v>8652</v>
      </c>
      <c r="D2291" s="822"/>
      <c r="E2291" s="822"/>
    </row>
    <row r="2292">
      <c r="A2292" s="812"/>
      <c r="B2292" s="813" t="s">
        <v>102</v>
      </c>
      <c r="C2292" s="814" t="s">
        <v>2070</v>
      </c>
      <c r="D2292" s="824" t="s">
        <v>8606</v>
      </c>
      <c r="E2292" s="816" t="s">
        <v>2073</v>
      </c>
    </row>
    <row r="2293">
      <c r="A2293" s="812"/>
      <c r="B2293" s="813" t="s">
        <v>60</v>
      </c>
      <c r="C2293" s="814" t="s">
        <v>2103</v>
      </c>
      <c r="D2293" s="824" t="s">
        <v>8657</v>
      </c>
      <c r="E2293" s="816" t="s">
        <v>2106</v>
      </c>
    </row>
    <row r="2294">
      <c r="A2294" s="812"/>
      <c r="B2294" s="822"/>
      <c r="C2294" s="827" t="s">
        <v>2109</v>
      </c>
      <c r="D2294" s="822"/>
      <c r="E2294" s="822"/>
    </row>
    <row r="2295">
      <c r="A2295" s="812"/>
      <c r="B2295" s="813" t="s">
        <v>60</v>
      </c>
      <c r="C2295" s="814" t="s">
        <v>2116</v>
      </c>
      <c r="D2295" s="824" t="s">
        <v>8661</v>
      </c>
      <c r="E2295" s="816" t="s">
        <v>2119</v>
      </c>
    </row>
    <row r="2296">
      <c r="A2296" s="812"/>
      <c r="B2296" s="822"/>
      <c r="C2296" s="827" t="s">
        <v>8663</v>
      </c>
      <c r="D2296" s="822"/>
      <c r="E2296" s="822"/>
    </row>
    <row r="2297">
      <c r="A2297" s="812"/>
      <c r="B2297" s="813" t="s">
        <v>656</v>
      </c>
      <c r="C2297" s="814" t="s">
        <v>2129</v>
      </c>
      <c r="D2297" s="824" t="s">
        <v>8664</v>
      </c>
      <c r="E2297" s="816" t="s">
        <v>2132</v>
      </c>
    </row>
    <row r="2298">
      <c r="A2298" s="812"/>
      <c r="B2298" s="813" t="s">
        <v>60</v>
      </c>
      <c r="C2298" s="814" t="s">
        <v>2136</v>
      </c>
      <c r="D2298" s="824" t="s">
        <v>8670</v>
      </c>
      <c r="E2298" s="816" t="s">
        <v>2138</v>
      </c>
    </row>
    <row r="2299">
      <c r="A2299" s="812"/>
      <c r="B2299" s="822"/>
      <c r="C2299" s="827" t="s">
        <v>2143</v>
      </c>
      <c r="D2299" s="822"/>
      <c r="E2299" s="822"/>
    </row>
    <row r="2300">
      <c r="A2300" s="812"/>
      <c r="B2300" s="822"/>
      <c r="C2300" s="827" t="s">
        <v>8672</v>
      </c>
      <c r="D2300" s="822"/>
      <c r="E2300" s="822"/>
    </row>
    <row r="2301">
      <c r="A2301" s="812"/>
      <c r="B2301" s="813" t="s">
        <v>656</v>
      </c>
      <c r="C2301" s="814" t="s">
        <v>2156</v>
      </c>
      <c r="D2301" s="824" t="s">
        <v>8675</v>
      </c>
      <c r="E2301" s="816" t="s">
        <v>2158</v>
      </c>
    </row>
    <row r="2302">
      <c r="A2302" s="812"/>
      <c r="B2302" s="813" t="s">
        <v>60</v>
      </c>
      <c r="C2302" s="814" t="s">
        <v>2161</v>
      </c>
      <c r="D2302" s="824" t="s">
        <v>8678</v>
      </c>
      <c r="E2302" s="816" t="s">
        <v>2158</v>
      </c>
    </row>
    <row r="2303">
      <c r="A2303" s="812"/>
      <c r="B2303" s="813" t="s">
        <v>60</v>
      </c>
      <c r="C2303" s="814" t="s">
        <v>2167</v>
      </c>
      <c r="D2303" s="824" t="s">
        <v>8682</v>
      </c>
      <c r="E2303" s="816" t="s">
        <v>2158</v>
      </c>
    </row>
    <row r="2304">
      <c r="A2304" s="812"/>
      <c r="B2304" s="813" t="s">
        <v>60</v>
      </c>
      <c r="C2304" s="814" t="s">
        <v>2175</v>
      </c>
      <c r="D2304" s="824" t="s">
        <v>8683</v>
      </c>
      <c r="E2304" s="816" t="s">
        <v>2158</v>
      </c>
    </row>
    <row r="2305">
      <c r="A2305" s="812"/>
      <c r="B2305" s="822"/>
      <c r="C2305" s="827" t="s">
        <v>8686</v>
      </c>
      <c r="D2305" s="822"/>
      <c r="E2305" s="822"/>
    </row>
    <row r="2306">
      <c r="A2306" s="812"/>
      <c r="B2306" s="813" t="s">
        <v>102</v>
      </c>
      <c r="C2306" s="814" t="s">
        <v>2183</v>
      </c>
      <c r="D2306" s="824" t="s">
        <v>8689</v>
      </c>
      <c r="E2306" s="816" t="s">
        <v>2185</v>
      </c>
    </row>
    <row r="2307">
      <c r="A2307" s="812"/>
      <c r="B2307" s="813" t="s">
        <v>60</v>
      </c>
      <c r="C2307" s="814" t="s">
        <v>2204</v>
      </c>
      <c r="D2307" s="824" t="s">
        <v>8694</v>
      </c>
      <c r="E2307" s="816" t="s">
        <v>2206</v>
      </c>
    </row>
    <row r="2308">
      <c r="A2308" s="812"/>
      <c r="B2308" s="813" t="s">
        <v>60</v>
      </c>
      <c r="C2308" s="814" t="s">
        <v>2223</v>
      </c>
      <c r="D2308" s="824" t="s">
        <v>2712</v>
      </c>
      <c r="E2308" s="816" t="s">
        <v>2228</v>
      </c>
    </row>
    <row r="2309">
      <c r="A2309" s="812"/>
      <c r="B2309" s="813" t="s">
        <v>60</v>
      </c>
      <c r="C2309" s="814" t="s">
        <v>2231</v>
      </c>
      <c r="D2309" s="824" t="s">
        <v>8700</v>
      </c>
      <c r="E2309" s="816" t="s">
        <v>2237</v>
      </c>
    </row>
    <row r="2310">
      <c r="A2310" s="812"/>
      <c r="B2310" s="813" t="s">
        <v>60</v>
      </c>
      <c r="C2310" s="814" t="s">
        <v>2241</v>
      </c>
      <c r="D2310" s="824" t="s">
        <v>8704</v>
      </c>
      <c r="E2310" s="816" t="s">
        <v>2244</v>
      </c>
    </row>
    <row r="2311">
      <c r="A2311" s="812"/>
      <c r="B2311" s="813" t="s">
        <v>102</v>
      </c>
      <c r="C2311" s="814" t="s">
        <v>2247</v>
      </c>
      <c r="D2311" s="824" t="s">
        <v>8706</v>
      </c>
      <c r="E2311" s="816" t="s">
        <v>171</v>
      </c>
    </row>
    <row r="2312">
      <c r="A2312" s="812"/>
      <c r="B2312" s="813" t="s">
        <v>60</v>
      </c>
      <c r="C2312" s="814" t="s">
        <v>2255</v>
      </c>
      <c r="D2312" s="824" t="s">
        <v>2332</v>
      </c>
      <c r="E2312" s="816" t="s">
        <v>2257</v>
      </c>
    </row>
    <row r="2313">
      <c r="A2313" s="812"/>
      <c r="B2313" s="813" t="s">
        <v>60</v>
      </c>
      <c r="C2313" s="814" t="s">
        <v>1758</v>
      </c>
      <c r="D2313" s="824" t="s">
        <v>2141</v>
      </c>
      <c r="E2313" s="816" t="s">
        <v>8708</v>
      </c>
    </row>
    <row r="2314">
      <c r="A2314" s="812"/>
      <c r="B2314" s="813" t="s">
        <v>60</v>
      </c>
      <c r="C2314" s="814" t="s">
        <v>2287</v>
      </c>
      <c r="D2314" s="824" t="s">
        <v>8710</v>
      </c>
      <c r="E2314" s="816" t="s">
        <v>2290</v>
      </c>
    </row>
    <row r="2315">
      <c r="A2315" s="812"/>
      <c r="B2315" s="813" t="s">
        <v>60</v>
      </c>
      <c r="C2315" s="814" t="s">
        <v>2296</v>
      </c>
      <c r="D2315" s="824" t="s">
        <v>8712</v>
      </c>
      <c r="E2315" s="816" t="s">
        <v>2290</v>
      </c>
    </row>
    <row r="2316">
      <c r="A2316" s="812"/>
      <c r="B2316" s="813" t="s">
        <v>60</v>
      </c>
      <c r="C2316" s="814" t="s">
        <v>2313</v>
      </c>
      <c r="D2316" s="824" t="s">
        <v>8713</v>
      </c>
      <c r="E2316" s="816" t="s">
        <v>2317</v>
      </c>
    </row>
    <row r="2317">
      <c r="A2317" s="812"/>
      <c r="B2317" s="813" t="s">
        <v>60</v>
      </c>
      <c r="C2317" s="814" t="s">
        <v>8715</v>
      </c>
      <c r="D2317" s="824" t="s">
        <v>8716</v>
      </c>
      <c r="E2317" s="816" t="s">
        <v>8717</v>
      </c>
    </row>
    <row r="2318">
      <c r="A2318" s="812"/>
      <c r="B2318" s="822"/>
      <c r="C2318" s="871" t="s">
        <v>2337</v>
      </c>
      <c r="D2318" s="822"/>
      <c r="E2318" s="822"/>
    </row>
    <row r="2319">
      <c r="A2319" s="812"/>
      <c r="B2319" s="813" t="s">
        <v>102</v>
      </c>
      <c r="C2319" s="814" t="s">
        <v>2669</v>
      </c>
      <c r="D2319" s="824" t="s">
        <v>8719</v>
      </c>
      <c r="E2319" s="816" t="s">
        <v>1850</v>
      </c>
    </row>
    <row r="2320">
      <c r="A2320" s="812"/>
      <c r="B2320" s="813" t="s">
        <v>102</v>
      </c>
      <c r="C2320" s="814" t="s">
        <v>127</v>
      </c>
      <c r="D2320" s="824" t="s">
        <v>8721</v>
      </c>
      <c r="E2320" s="816" t="s">
        <v>8722</v>
      </c>
    </row>
    <row r="2321">
      <c r="A2321" s="812"/>
      <c r="B2321" s="813" t="s">
        <v>60</v>
      </c>
      <c r="C2321" s="814" t="s">
        <v>2674</v>
      </c>
      <c r="D2321" s="824" t="s">
        <v>8725</v>
      </c>
      <c r="E2321" s="816" t="s">
        <v>8726</v>
      </c>
    </row>
    <row r="2322">
      <c r="A2322" s="812"/>
      <c r="B2322" s="813" t="s">
        <v>102</v>
      </c>
      <c r="C2322" s="814" t="s">
        <v>160</v>
      </c>
      <c r="D2322" s="824" t="s">
        <v>8728</v>
      </c>
      <c r="E2322" s="816" t="s">
        <v>8730</v>
      </c>
    </row>
    <row r="2323">
      <c r="A2323" s="812"/>
      <c r="B2323" s="813" t="s">
        <v>504</v>
      </c>
      <c r="C2323" s="814" t="s">
        <v>2678</v>
      </c>
      <c r="D2323" s="824" t="s">
        <v>8732</v>
      </c>
      <c r="E2323" s="816" t="s">
        <v>8733</v>
      </c>
    </row>
    <row r="2324">
      <c r="A2324" s="812"/>
      <c r="B2324" s="813" t="s">
        <v>360</v>
      </c>
      <c r="C2324" s="814" t="s">
        <v>1427</v>
      </c>
      <c r="D2324" s="824" t="s">
        <v>2571</v>
      </c>
      <c r="E2324" s="816" t="s">
        <v>8735</v>
      </c>
    </row>
    <row r="2325">
      <c r="A2325" s="812"/>
      <c r="B2325" s="813" t="s">
        <v>60</v>
      </c>
      <c r="C2325" s="814" t="s">
        <v>1837</v>
      </c>
      <c r="D2325" s="824" t="s">
        <v>2340</v>
      </c>
      <c r="E2325" s="816" t="s">
        <v>5381</v>
      </c>
    </row>
    <row r="2326">
      <c r="A2326" s="812"/>
      <c r="B2326" s="813" t="s">
        <v>102</v>
      </c>
      <c r="C2326" s="814" t="s">
        <v>3048</v>
      </c>
      <c r="D2326" s="824" t="s">
        <v>8737</v>
      </c>
      <c r="E2326" s="816" t="s">
        <v>8738</v>
      </c>
    </row>
    <row r="2327">
      <c r="A2327" s="812"/>
      <c r="B2327" s="813" t="s">
        <v>60</v>
      </c>
      <c r="C2327" s="814" t="s">
        <v>189</v>
      </c>
      <c r="D2327" s="824" t="s">
        <v>8739</v>
      </c>
      <c r="E2327" s="816" t="s">
        <v>8737</v>
      </c>
    </row>
    <row r="2328">
      <c r="A2328" s="812"/>
      <c r="B2328" s="813" t="s">
        <v>102</v>
      </c>
      <c r="C2328" s="814" t="s">
        <v>1334</v>
      </c>
      <c r="D2328" s="824" t="s">
        <v>8741</v>
      </c>
      <c r="E2328" s="816" t="s">
        <v>8742</v>
      </c>
    </row>
    <row r="2329">
      <c r="A2329" s="812"/>
      <c r="B2329" s="813" t="s">
        <v>102</v>
      </c>
      <c r="C2329" s="814" t="s">
        <v>2687</v>
      </c>
      <c r="D2329" s="824" t="s">
        <v>8743</v>
      </c>
      <c r="E2329" s="816" t="s">
        <v>8745</v>
      </c>
    </row>
    <row r="2330">
      <c r="A2330" s="812"/>
      <c r="B2330" s="813" t="s">
        <v>102</v>
      </c>
      <c r="C2330" s="814" t="s">
        <v>232</v>
      </c>
      <c r="D2330" s="824" t="s">
        <v>8746</v>
      </c>
      <c r="E2330" s="816" t="s">
        <v>8747</v>
      </c>
    </row>
    <row r="2331">
      <c r="A2331" s="812"/>
      <c r="B2331" s="813" t="s">
        <v>102</v>
      </c>
      <c r="C2331" s="814" t="s">
        <v>2693</v>
      </c>
      <c r="D2331" s="824" t="s">
        <v>438</v>
      </c>
      <c r="E2331" s="816" t="s">
        <v>2494</v>
      </c>
    </row>
    <row r="2332">
      <c r="A2332" s="812"/>
      <c r="B2332" s="813" t="s">
        <v>60</v>
      </c>
      <c r="C2332" s="814" t="s">
        <v>486</v>
      </c>
      <c r="D2332" s="824" t="s">
        <v>8750</v>
      </c>
      <c r="E2332" s="816" t="s">
        <v>558</v>
      </c>
    </row>
    <row r="2333">
      <c r="A2333" s="812"/>
      <c r="B2333" s="813" t="s">
        <v>102</v>
      </c>
      <c r="C2333" s="814" t="s">
        <v>2698</v>
      </c>
      <c r="D2333" s="824" t="s">
        <v>1243</v>
      </c>
      <c r="E2333" s="816" t="s">
        <v>564</v>
      </c>
    </row>
    <row r="2334">
      <c r="A2334" s="812"/>
      <c r="B2334" s="813" t="s">
        <v>102</v>
      </c>
      <c r="C2334" s="814" t="s">
        <v>240</v>
      </c>
      <c r="D2334" s="824" t="s">
        <v>8753</v>
      </c>
      <c r="E2334" s="816" t="s">
        <v>141</v>
      </c>
    </row>
    <row r="2335">
      <c r="A2335" s="812"/>
      <c r="B2335" s="813" t="s">
        <v>60</v>
      </c>
      <c r="C2335" s="814" t="s">
        <v>137</v>
      </c>
      <c r="D2335" s="824" t="s">
        <v>8758</v>
      </c>
      <c r="E2335" s="816" t="s">
        <v>8761</v>
      </c>
    </row>
    <row r="2336">
      <c r="A2336" s="812"/>
      <c r="B2336" s="813" t="s">
        <v>60</v>
      </c>
      <c r="C2336" s="814" t="s">
        <v>2704</v>
      </c>
      <c r="D2336" s="824" t="s">
        <v>2488</v>
      </c>
      <c r="E2336" s="816" t="s">
        <v>8764</v>
      </c>
    </row>
    <row r="2337">
      <c r="A2337" s="812"/>
      <c r="B2337" s="813" t="s">
        <v>60</v>
      </c>
      <c r="C2337" s="814" t="s">
        <v>149</v>
      </c>
      <c r="D2337" s="824" t="s">
        <v>4348</v>
      </c>
      <c r="E2337" s="824" t="s">
        <v>4348</v>
      </c>
    </row>
    <row r="2338">
      <c r="A2338" s="812"/>
      <c r="B2338" s="813" t="s">
        <v>60</v>
      </c>
      <c r="C2338" s="814" t="s">
        <v>729</v>
      </c>
      <c r="D2338" s="824" t="s">
        <v>8765</v>
      </c>
      <c r="E2338" s="816" t="s">
        <v>4581</v>
      </c>
    </row>
    <row r="2339">
      <c r="A2339" s="812"/>
      <c r="B2339" s="813" t="s">
        <v>60</v>
      </c>
      <c r="C2339" s="814" t="s">
        <v>204</v>
      </c>
      <c r="D2339" s="824" t="s">
        <v>997</v>
      </c>
      <c r="E2339" s="816" t="s">
        <v>4778</v>
      </c>
    </row>
    <row r="2340">
      <c r="A2340" s="812"/>
      <c r="B2340" s="813" t="s">
        <v>60</v>
      </c>
      <c r="C2340" s="814" t="s">
        <v>2709</v>
      </c>
      <c r="D2340" s="824" t="s">
        <v>997</v>
      </c>
      <c r="E2340" s="816" t="s">
        <v>2712</v>
      </c>
    </row>
    <row r="2341">
      <c r="A2341" s="812"/>
      <c r="B2341" s="813" t="s">
        <v>60</v>
      </c>
      <c r="C2341" s="814" t="s">
        <v>1048</v>
      </c>
      <c r="D2341" s="824" t="s">
        <v>8769</v>
      </c>
      <c r="E2341" s="816" t="s">
        <v>1008</v>
      </c>
    </row>
    <row r="2342">
      <c r="A2342" s="812"/>
      <c r="B2342" s="813" t="s">
        <v>60</v>
      </c>
      <c r="C2342" s="814" t="s">
        <v>1054</v>
      </c>
      <c r="D2342" s="824" t="s">
        <v>8772</v>
      </c>
      <c r="E2342" s="816" t="s">
        <v>1015</v>
      </c>
    </row>
    <row r="2343">
      <c r="A2343" s="812"/>
      <c r="B2343" s="813" t="s">
        <v>60</v>
      </c>
      <c r="C2343" s="814" t="s">
        <v>1028</v>
      </c>
      <c r="D2343" s="824" t="s">
        <v>1225</v>
      </c>
      <c r="E2343" s="816" t="s">
        <v>2348</v>
      </c>
    </row>
    <row r="2344">
      <c r="A2344" s="812"/>
      <c r="B2344" s="813" t="s">
        <v>60</v>
      </c>
      <c r="C2344" s="814" t="s">
        <v>2728</v>
      </c>
      <c r="D2344" s="824" t="s">
        <v>551</v>
      </c>
      <c r="E2344" s="816" t="s">
        <v>8776</v>
      </c>
    </row>
    <row r="2345">
      <c r="A2345" s="812"/>
      <c r="B2345" s="813" t="s">
        <v>60</v>
      </c>
      <c r="C2345" s="814" t="s">
        <v>2735</v>
      </c>
      <c r="D2345" s="824" t="s">
        <v>6134</v>
      </c>
      <c r="E2345" s="816" t="s">
        <v>6114</v>
      </c>
    </row>
    <row r="2346">
      <c r="A2346" s="812"/>
      <c r="B2346" s="813" t="s">
        <v>60</v>
      </c>
      <c r="C2346" s="814" t="s">
        <v>300</v>
      </c>
      <c r="D2346" s="824" t="s">
        <v>6576</v>
      </c>
      <c r="E2346" s="816" t="s">
        <v>1288</v>
      </c>
    </row>
    <row r="2347">
      <c r="A2347" s="812"/>
      <c r="B2347" s="813" t="s">
        <v>102</v>
      </c>
      <c r="C2347" s="814" t="s">
        <v>2740</v>
      </c>
      <c r="D2347" s="824" t="s">
        <v>1072</v>
      </c>
      <c r="E2347" s="816" t="s">
        <v>1352</v>
      </c>
    </row>
    <row r="2348">
      <c r="A2348" s="812"/>
      <c r="B2348" s="813" t="s">
        <v>60</v>
      </c>
      <c r="C2348" s="814" t="s">
        <v>2748</v>
      </c>
      <c r="D2348" s="824" t="s">
        <v>8782</v>
      </c>
      <c r="E2348" s="816" t="s">
        <v>8785</v>
      </c>
    </row>
    <row r="2349">
      <c r="A2349" s="812"/>
      <c r="B2349" s="813" t="s">
        <v>60</v>
      </c>
      <c r="C2349" s="814" t="s">
        <v>2756</v>
      </c>
      <c r="D2349" s="824" t="s">
        <v>8786</v>
      </c>
      <c r="E2349" s="816" t="s">
        <v>8787</v>
      </c>
    </row>
    <row r="2350">
      <c r="A2350" s="812"/>
      <c r="B2350" s="813" t="s">
        <v>60</v>
      </c>
      <c r="C2350" s="814" t="s">
        <v>246</v>
      </c>
      <c r="D2350" s="824" t="s">
        <v>8790</v>
      </c>
      <c r="E2350" s="816" t="s">
        <v>8791</v>
      </c>
    </row>
    <row r="2351">
      <c r="A2351" s="812"/>
      <c r="B2351" s="813" t="s">
        <v>60</v>
      </c>
      <c r="C2351" s="814" t="s">
        <v>2760</v>
      </c>
      <c r="D2351" s="824" t="s">
        <v>1625</v>
      </c>
      <c r="E2351" s="816" t="s">
        <v>7053</v>
      </c>
    </row>
    <row r="2352">
      <c r="A2352" s="812"/>
      <c r="B2352" s="813" t="s">
        <v>60</v>
      </c>
      <c r="C2352" s="814" t="s">
        <v>2765</v>
      </c>
      <c r="D2352" s="824" t="s">
        <v>8796</v>
      </c>
      <c r="E2352" s="816" t="s">
        <v>8798</v>
      </c>
    </row>
    <row r="2353">
      <c r="A2353" s="812"/>
      <c r="B2353" s="813" t="s">
        <v>60</v>
      </c>
      <c r="C2353" s="814" t="s">
        <v>2774</v>
      </c>
      <c r="D2353" s="824" t="s">
        <v>8799</v>
      </c>
      <c r="E2353" s="816" t="s">
        <v>8800</v>
      </c>
    </row>
    <row r="2354">
      <c r="A2354" s="812"/>
      <c r="B2354" s="813" t="s">
        <v>60</v>
      </c>
      <c r="C2354" s="814" t="s">
        <v>1553</v>
      </c>
      <c r="D2354" s="824" t="s">
        <v>8801</v>
      </c>
      <c r="E2354" s="816" t="s">
        <v>8802</v>
      </c>
    </row>
    <row r="2355">
      <c r="A2355" s="812"/>
      <c r="B2355" s="813" t="s">
        <v>60</v>
      </c>
      <c r="C2355" s="814" t="s">
        <v>2780</v>
      </c>
      <c r="D2355" s="824" t="s">
        <v>8804</v>
      </c>
      <c r="E2355" s="816" t="s">
        <v>8805</v>
      </c>
    </row>
    <row r="2356">
      <c r="A2356" s="812"/>
      <c r="B2356" s="813" t="s">
        <v>60</v>
      </c>
      <c r="C2356" s="814" t="s">
        <v>2786</v>
      </c>
      <c r="D2356" s="824" t="s">
        <v>8808</v>
      </c>
      <c r="E2356" s="816" t="s">
        <v>8810</v>
      </c>
    </row>
    <row r="2357">
      <c r="A2357" s="812"/>
      <c r="B2357" s="813" t="s">
        <v>60</v>
      </c>
      <c r="C2357" s="814" t="s">
        <v>2791</v>
      </c>
      <c r="D2357" s="824" t="s">
        <v>8814</v>
      </c>
      <c r="E2357" s="816" t="s">
        <v>8815</v>
      </c>
    </row>
    <row r="2358">
      <c r="A2358" s="812"/>
      <c r="B2358" s="813" t="s">
        <v>60</v>
      </c>
      <c r="C2358" s="814" t="s">
        <v>2797</v>
      </c>
      <c r="D2358" s="824" t="s">
        <v>8816</v>
      </c>
      <c r="E2358" s="816" t="s">
        <v>8815</v>
      </c>
    </row>
    <row r="2359">
      <c r="A2359" s="812"/>
      <c r="B2359" s="813" t="s">
        <v>60</v>
      </c>
      <c r="C2359" s="814" t="s">
        <v>2801</v>
      </c>
      <c r="D2359" s="824" t="s">
        <v>8817</v>
      </c>
      <c r="E2359" s="816" t="s">
        <v>8818</v>
      </c>
    </row>
    <row r="2360">
      <c r="A2360" s="812"/>
      <c r="B2360" s="813" t="s">
        <v>60</v>
      </c>
      <c r="C2360" s="814" t="s">
        <v>2806</v>
      </c>
      <c r="D2360" s="824" t="s">
        <v>8819</v>
      </c>
      <c r="E2360" s="816" t="s">
        <v>8820</v>
      </c>
    </row>
    <row r="2361">
      <c r="A2361" s="812"/>
      <c r="B2361" s="813" t="s">
        <v>60</v>
      </c>
      <c r="C2361" s="814" t="s">
        <v>1910</v>
      </c>
      <c r="D2361" s="824" t="s">
        <v>8823</v>
      </c>
      <c r="E2361" s="816" t="s">
        <v>8824</v>
      </c>
    </row>
    <row r="2362">
      <c r="A2362" s="812"/>
      <c r="B2362" s="813" t="s">
        <v>60</v>
      </c>
      <c r="C2362" s="814" t="s">
        <v>2813</v>
      </c>
      <c r="D2362" s="824" t="s">
        <v>7569</v>
      </c>
      <c r="E2362" s="816" t="s">
        <v>8825</v>
      </c>
    </row>
    <row r="2363">
      <c r="A2363" s="812"/>
      <c r="B2363" s="813" t="s">
        <v>60</v>
      </c>
      <c r="C2363" s="814" t="s">
        <v>2817</v>
      </c>
      <c r="D2363" s="824" t="s">
        <v>7577</v>
      </c>
      <c r="E2363" s="816" t="s">
        <v>8829</v>
      </c>
    </row>
    <row r="2364">
      <c r="A2364" s="812"/>
      <c r="B2364" s="813" t="s">
        <v>60</v>
      </c>
      <c r="C2364" s="814" t="s">
        <v>2819</v>
      </c>
      <c r="D2364" s="824" t="s">
        <v>8831</v>
      </c>
      <c r="E2364" s="816" t="s">
        <v>8823</v>
      </c>
    </row>
    <row r="2365">
      <c r="A2365" s="812"/>
      <c r="B2365" s="813" t="s">
        <v>60</v>
      </c>
      <c r="C2365" s="814" t="s">
        <v>2827</v>
      </c>
      <c r="D2365" s="824" t="s">
        <v>1501</v>
      </c>
      <c r="E2365" s="816" t="s">
        <v>8835</v>
      </c>
    </row>
    <row r="2366">
      <c r="A2366" s="812"/>
      <c r="B2366" s="813" t="s">
        <v>60</v>
      </c>
      <c r="C2366" s="814" t="s">
        <v>254</v>
      </c>
      <c r="D2366" s="824" t="s">
        <v>8838</v>
      </c>
      <c r="E2366" s="816" t="s">
        <v>8839</v>
      </c>
    </row>
    <row r="2367">
      <c r="A2367" s="812"/>
      <c r="B2367" s="813" t="s">
        <v>60</v>
      </c>
      <c r="C2367" s="814" t="s">
        <v>1307</v>
      </c>
      <c r="D2367" s="824" t="s">
        <v>8843</v>
      </c>
      <c r="E2367" s="816" t="s">
        <v>8844</v>
      </c>
    </row>
    <row r="2368">
      <c r="A2368" s="812"/>
      <c r="B2368" s="813" t="s">
        <v>60</v>
      </c>
      <c r="C2368" s="814" t="s">
        <v>2835</v>
      </c>
      <c r="D2368" s="824" t="s">
        <v>561</v>
      </c>
      <c r="E2368" s="816" t="s">
        <v>8845</v>
      </c>
    </row>
    <row r="2369">
      <c r="A2369" s="812"/>
      <c r="B2369" s="813" t="s">
        <v>60</v>
      </c>
      <c r="C2369" s="814" t="s">
        <v>2843</v>
      </c>
      <c r="D2369" s="824" t="s">
        <v>8849</v>
      </c>
      <c r="E2369" s="816" t="s">
        <v>8850</v>
      </c>
    </row>
    <row r="2370">
      <c r="A2370" s="812"/>
      <c r="B2370" s="813" t="s">
        <v>60</v>
      </c>
      <c r="C2370" s="814" t="s">
        <v>222</v>
      </c>
      <c r="D2370" s="824" t="s">
        <v>1678</v>
      </c>
      <c r="E2370" s="816" t="s">
        <v>1648</v>
      </c>
    </row>
    <row r="2371">
      <c r="A2371" s="812"/>
      <c r="B2371" s="813" t="s">
        <v>60</v>
      </c>
      <c r="C2371" s="814" t="s">
        <v>2848</v>
      </c>
      <c r="D2371" s="824" t="s">
        <v>8854</v>
      </c>
      <c r="E2371" s="816" t="s">
        <v>1672</v>
      </c>
    </row>
    <row r="2372">
      <c r="A2372" s="812"/>
      <c r="B2372" s="813" t="s">
        <v>102</v>
      </c>
      <c r="C2372" s="814" t="s">
        <v>176</v>
      </c>
      <c r="D2372" s="824" t="s">
        <v>8856</v>
      </c>
      <c r="E2372" s="816" t="s">
        <v>8857</v>
      </c>
    </row>
    <row r="2373">
      <c r="A2373" s="812"/>
      <c r="B2373" s="813" t="s">
        <v>60</v>
      </c>
      <c r="C2373" s="814" t="s">
        <v>2856</v>
      </c>
      <c r="D2373" s="824" t="s">
        <v>8858</v>
      </c>
      <c r="E2373" s="816" t="s">
        <v>8859</v>
      </c>
    </row>
    <row r="2374">
      <c r="A2374" s="812"/>
      <c r="B2374" s="813" t="s">
        <v>60</v>
      </c>
      <c r="C2374" s="814" t="s">
        <v>117</v>
      </c>
      <c r="D2374" s="824" t="s">
        <v>1721</v>
      </c>
      <c r="E2374" s="816" t="s">
        <v>2430</v>
      </c>
    </row>
    <row r="2375">
      <c r="A2375" s="812"/>
      <c r="B2375" s="813" t="s">
        <v>60</v>
      </c>
      <c r="C2375" s="814" t="s">
        <v>2860</v>
      </c>
      <c r="D2375" s="824" t="s">
        <v>288</v>
      </c>
      <c r="E2375" s="816" t="s">
        <v>8862</v>
      </c>
    </row>
    <row r="2376">
      <c r="A2376" s="812"/>
      <c r="B2376" s="813" t="s">
        <v>60</v>
      </c>
      <c r="C2376" s="814" t="s">
        <v>2864</v>
      </c>
      <c r="D2376" s="824" t="s">
        <v>8773</v>
      </c>
      <c r="E2376" s="816" t="s">
        <v>1799</v>
      </c>
    </row>
    <row r="2377">
      <c r="A2377" s="812"/>
      <c r="B2377" s="813" t="s">
        <v>60</v>
      </c>
      <c r="C2377" s="814" t="s">
        <v>2867</v>
      </c>
      <c r="D2377" s="824" t="s">
        <v>8869</v>
      </c>
      <c r="E2377" s="816" t="s">
        <v>1826</v>
      </c>
    </row>
    <row r="2378">
      <c r="A2378" s="812"/>
      <c r="B2378" s="813" t="s">
        <v>60</v>
      </c>
      <c r="C2378" s="814" t="s">
        <v>2877</v>
      </c>
      <c r="D2378" s="824" t="s">
        <v>2571</v>
      </c>
      <c r="E2378" s="816" t="s">
        <v>8618</v>
      </c>
    </row>
    <row r="2379">
      <c r="A2379" s="812"/>
      <c r="B2379" s="813" t="s">
        <v>102</v>
      </c>
      <c r="C2379" s="814" t="s">
        <v>2887</v>
      </c>
      <c r="D2379" s="824" t="s">
        <v>2290</v>
      </c>
      <c r="E2379" s="816" t="s">
        <v>1971</v>
      </c>
    </row>
    <row r="2380">
      <c r="A2380" s="812"/>
      <c r="B2380" s="813" t="s">
        <v>60</v>
      </c>
      <c r="C2380" s="814" t="s">
        <v>2892</v>
      </c>
      <c r="D2380" s="824" t="s">
        <v>8493</v>
      </c>
      <c r="E2380" s="816" t="s">
        <v>8873</v>
      </c>
    </row>
    <row r="2381">
      <c r="A2381" s="812"/>
      <c r="B2381" s="813" t="s">
        <v>102</v>
      </c>
      <c r="C2381" s="814" t="s">
        <v>914</v>
      </c>
      <c r="D2381" s="824" t="s">
        <v>8875</v>
      </c>
      <c r="E2381" s="816" t="s">
        <v>1994</v>
      </c>
    </row>
    <row r="2382">
      <c r="A2382" s="812"/>
      <c r="B2382" s="813" t="s">
        <v>60</v>
      </c>
      <c r="C2382" s="814" t="s">
        <v>2898</v>
      </c>
      <c r="D2382" s="824" t="s">
        <v>8879</v>
      </c>
      <c r="E2382" s="816" t="s">
        <v>8880</v>
      </c>
    </row>
    <row r="2383">
      <c r="A2383" s="812"/>
      <c r="B2383" s="813" t="s">
        <v>60</v>
      </c>
      <c r="C2383" s="814" t="s">
        <v>2485</v>
      </c>
      <c r="D2383" s="824" t="s">
        <v>2044</v>
      </c>
      <c r="E2383" s="816" t="s">
        <v>2035</v>
      </c>
    </row>
    <row r="2384">
      <c r="A2384" s="812"/>
      <c r="B2384" s="813" t="s">
        <v>656</v>
      </c>
      <c r="C2384" s="814" t="s">
        <v>2909</v>
      </c>
      <c r="D2384" s="824" t="s">
        <v>8883</v>
      </c>
      <c r="E2384" s="816" t="s">
        <v>8884</v>
      </c>
    </row>
    <row r="2385">
      <c r="A2385" s="812"/>
      <c r="B2385" s="813" t="s">
        <v>360</v>
      </c>
      <c r="C2385" s="814" t="s">
        <v>2916</v>
      </c>
      <c r="D2385" s="824" t="s">
        <v>2244</v>
      </c>
      <c r="E2385" s="816" t="s">
        <v>2549</v>
      </c>
    </row>
    <row r="2386">
      <c r="A2386" s="812"/>
      <c r="B2386" s="813" t="s">
        <v>60</v>
      </c>
      <c r="C2386" s="814" t="s">
        <v>8886</v>
      </c>
      <c r="D2386" s="824" t="s">
        <v>8888</v>
      </c>
      <c r="E2386" s="816" t="s">
        <v>2219</v>
      </c>
    </row>
    <row r="2387">
      <c r="A2387" s="812"/>
      <c r="B2387" s="813" t="s">
        <v>102</v>
      </c>
      <c r="C2387" s="814" t="s">
        <v>168</v>
      </c>
      <c r="D2387" s="824" t="s">
        <v>8708</v>
      </c>
      <c r="E2387" s="816" t="s">
        <v>171</v>
      </c>
    </row>
    <row r="2388">
      <c r="A2388" s="812"/>
      <c r="B2388" s="813" t="s">
        <v>60</v>
      </c>
      <c r="C2388" s="814" t="s">
        <v>2924</v>
      </c>
      <c r="D2388" s="824" t="s">
        <v>2571</v>
      </c>
      <c r="E2388" s="816" t="s">
        <v>8890</v>
      </c>
    </row>
    <row r="2389">
      <c r="A2389" s="812"/>
      <c r="B2389" s="813" t="s">
        <v>656</v>
      </c>
      <c r="C2389" s="814" t="s">
        <v>2934</v>
      </c>
      <c r="D2389" s="824" t="s">
        <v>2571</v>
      </c>
      <c r="E2389" s="816" t="s">
        <v>8892</v>
      </c>
    </row>
    <row r="2390">
      <c r="A2390" s="812"/>
      <c r="B2390" s="813" t="s">
        <v>102</v>
      </c>
      <c r="C2390" s="814" t="s">
        <v>8893</v>
      </c>
      <c r="D2390" s="824" t="s">
        <v>2571</v>
      </c>
      <c r="E2390" s="816" t="s">
        <v>8896</v>
      </c>
    </row>
    <row r="2391">
      <c r="A2391" s="812"/>
      <c r="B2391" s="813" t="s">
        <v>60</v>
      </c>
      <c r="C2391" s="814" t="s">
        <v>2943</v>
      </c>
      <c r="D2391" s="824" t="s">
        <v>8898</v>
      </c>
      <c r="E2391" s="816" t="s">
        <v>8899</v>
      </c>
    </row>
    <row r="2392">
      <c r="A2392" s="812"/>
      <c r="B2392" s="813" t="s">
        <v>60</v>
      </c>
      <c r="C2392" s="814" t="s">
        <v>2950</v>
      </c>
      <c r="D2392" s="824" t="s">
        <v>2954</v>
      </c>
      <c r="E2392" s="816" t="s">
        <v>739</v>
      </c>
    </row>
    <row r="2393">
      <c r="A2393" s="812"/>
      <c r="B2393" s="813" t="s">
        <v>60</v>
      </c>
      <c r="C2393" s="814" t="s">
        <v>6514</v>
      </c>
      <c r="D2393" s="824" t="s">
        <v>8902</v>
      </c>
      <c r="E2393" s="816" t="s">
        <v>899</v>
      </c>
    </row>
    <row r="2394">
      <c r="A2394" s="812"/>
      <c r="B2394" s="813" t="s">
        <v>60</v>
      </c>
      <c r="C2394" s="814" t="s">
        <v>816</v>
      </c>
      <c r="D2394" s="824" t="s">
        <v>8904</v>
      </c>
      <c r="E2394" s="816" t="s">
        <v>909</v>
      </c>
    </row>
    <row r="2395">
      <c r="A2395" s="812"/>
      <c r="B2395" s="813" t="s">
        <v>60</v>
      </c>
      <c r="C2395" s="814" t="s">
        <v>2956</v>
      </c>
      <c r="D2395" s="824" t="s">
        <v>8905</v>
      </c>
      <c r="E2395" s="816" t="s">
        <v>923</v>
      </c>
    </row>
    <row r="2396">
      <c r="A2396" s="812"/>
      <c r="B2396" s="813" t="s">
        <v>60</v>
      </c>
      <c r="C2396" s="814" t="s">
        <v>1137</v>
      </c>
      <c r="D2396" s="824" t="s">
        <v>8906</v>
      </c>
      <c r="E2396" s="816" t="s">
        <v>963</v>
      </c>
    </row>
    <row r="2397">
      <c r="A2397" s="812"/>
      <c r="B2397" s="813" t="s">
        <v>60</v>
      </c>
      <c r="C2397" s="814" t="s">
        <v>2964</v>
      </c>
      <c r="D2397" s="824" t="s">
        <v>2788</v>
      </c>
      <c r="E2397" s="816" t="s">
        <v>5488</v>
      </c>
    </row>
    <row r="2398">
      <c r="A2398" s="812"/>
      <c r="B2398" s="813" t="s">
        <v>60</v>
      </c>
      <c r="C2398" s="814" t="s">
        <v>318</v>
      </c>
      <c r="D2398" s="824" t="s">
        <v>8910</v>
      </c>
      <c r="E2398" s="816" t="s">
        <v>6166</v>
      </c>
    </row>
    <row r="2399">
      <c r="A2399" s="812"/>
      <c r="B2399" s="813" t="s">
        <v>60</v>
      </c>
      <c r="C2399" s="814" t="s">
        <v>2087</v>
      </c>
      <c r="D2399" s="824" t="s">
        <v>8911</v>
      </c>
      <c r="E2399" s="816" t="s">
        <v>2501</v>
      </c>
    </row>
    <row r="2400">
      <c r="A2400" s="812"/>
      <c r="B2400" s="813" t="s">
        <v>326</v>
      </c>
      <c r="C2400" s="814" t="s">
        <v>2977</v>
      </c>
      <c r="D2400" s="824" t="s">
        <v>8919</v>
      </c>
      <c r="E2400" s="816" t="s">
        <v>1336</v>
      </c>
    </row>
    <row r="2401">
      <c r="A2401" s="812"/>
      <c r="B2401" s="813" t="s">
        <v>60</v>
      </c>
      <c r="C2401" s="814" t="s">
        <v>2984</v>
      </c>
      <c r="D2401" s="824" t="s">
        <v>8921</v>
      </c>
      <c r="E2401" s="816" t="s">
        <v>6754</v>
      </c>
    </row>
    <row r="2402">
      <c r="A2402" s="812"/>
      <c r="B2402" s="813" t="s">
        <v>60</v>
      </c>
      <c r="C2402" s="814" t="s">
        <v>2989</v>
      </c>
      <c r="D2402" s="824" t="s">
        <v>8924</v>
      </c>
      <c r="E2402" s="816" t="s">
        <v>6754</v>
      </c>
    </row>
    <row r="2403">
      <c r="A2403" s="812"/>
      <c r="B2403" s="813" t="s">
        <v>102</v>
      </c>
      <c r="C2403" s="814" t="s">
        <v>1337</v>
      </c>
      <c r="D2403" s="824" t="s">
        <v>2571</v>
      </c>
      <c r="E2403" s="816" t="s">
        <v>8925</v>
      </c>
    </row>
    <row r="2404">
      <c r="A2404" s="812"/>
      <c r="B2404" s="813" t="s">
        <v>60</v>
      </c>
      <c r="C2404" s="814" t="s">
        <v>3002</v>
      </c>
      <c r="D2404" s="824" t="s">
        <v>2571</v>
      </c>
      <c r="E2404" s="816" t="s">
        <v>8928</v>
      </c>
    </row>
    <row r="2405">
      <c r="A2405" s="812"/>
      <c r="B2405" s="813" t="s">
        <v>60</v>
      </c>
      <c r="C2405" s="814" t="s">
        <v>3008</v>
      </c>
      <c r="D2405" s="824" t="s">
        <v>8929</v>
      </c>
      <c r="E2405" s="816" t="s">
        <v>8524</v>
      </c>
    </row>
    <row r="2406">
      <c r="A2406" s="812"/>
      <c r="B2406" s="813" t="s">
        <v>60</v>
      </c>
      <c r="C2406" s="814" t="s">
        <v>3018</v>
      </c>
      <c r="D2406" s="824" t="s">
        <v>2571</v>
      </c>
      <c r="E2406" s="816" t="s">
        <v>2073</v>
      </c>
    </row>
    <row r="2407">
      <c r="A2407" s="812"/>
      <c r="B2407" s="813" t="s">
        <v>60</v>
      </c>
      <c r="C2407" s="814" t="s">
        <v>3023</v>
      </c>
      <c r="D2407" s="824" t="s">
        <v>2571</v>
      </c>
      <c r="E2407" s="816" t="s">
        <v>8937</v>
      </c>
    </row>
    <row r="2408">
      <c r="A2408" s="812"/>
      <c r="B2408" s="813" t="s">
        <v>60</v>
      </c>
      <c r="C2408" s="814" t="s">
        <v>3027</v>
      </c>
      <c r="D2408" s="824" t="s">
        <v>2571</v>
      </c>
      <c r="E2408" s="816" t="s">
        <v>1684</v>
      </c>
    </row>
    <row r="2409">
      <c r="A2409" s="812"/>
      <c r="B2409" s="813" t="s">
        <v>102</v>
      </c>
      <c r="C2409" s="814" t="s">
        <v>492</v>
      </c>
      <c r="D2409" s="824" t="s">
        <v>1777</v>
      </c>
      <c r="E2409" s="816" t="s">
        <v>8940</v>
      </c>
    </row>
    <row r="2410">
      <c r="A2410" s="812"/>
      <c r="B2410" s="813" t="s">
        <v>60</v>
      </c>
      <c r="C2410" s="814" t="s">
        <v>2962</v>
      </c>
      <c r="D2410" s="824" t="s">
        <v>8941</v>
      </c>
      <c r="E2410" s="816" t="s">
        <v>2158</v>
      </c>
    </row>
    <row r="2411">
      <c r="A2411" s="812"/>
      <c r="B2411" s="813" t="s">
        <v>60</v>
      </c>
      <c r="C2411" s="814" t="s">
        <v>3074</v>
      </c>
      <c r="D2411" s="824" t="s">
        <v>2571</v>
      </c>
      <c r="E2411" s="816" t="s">
        <v>8942</v>
      </c>
    </row>
    <row r="2412">
      <c r="A2412" s="812"/>
      <c r="B2412" s="813" t="s">
        <v>656</v>
      </c>
      <c r="C2412" s="814" t="s">
        <v>2124</v>
      </c>
      <c r="D2412" s="824" t="s">
        <v>8452</v>
      </c>
      <c r="E2412" s="816" t="s">
        <v>8943</v>
      </c>
    </row>
    <row r="2413">
      <c r="A2413" s="812"/>
      <c r="B2413" s="822"/>
      <c r="C2413" s="827" t="s">
        <v>2329</v>
      </c>
      <c r="D2413" s="822"/>
      <c r="E2413" s="822"/>
    </row>
    <row r="2414">
      <c r="A2414" s="812"/>
      <c r="B2414" s="813" t="s">
        <v>60</v>
      </c>
      <c r="C2414" s="814" t="s">
        <v>8865</v>
      </c>
      <c r="D2414" s="824" t="s">
        <v>8201</v>
      </c>
      <c r="E2414" s="816" t="s">
        <v>8948</v>
      </c>
    </row>
    <row r="2415">
      <c r="A2415" s="812"/>
      <c r="B2415" s="813" t="s">
        <v>60</v>
      </c>
      <c r="C2415" s="814" t="s">
        <v>210</v>
      </c>
      <c r="D2415" s="824" t="s">
        <v>8949</v>
      </c>
      <c r="E2415" s="816" t="s">
        <v>8950</v>
      </c>
    </row>
    <row r="2416">
      <c r="A2416" s="812"/>
      <c r="B2416" s="822"/>
      <c r="C2416" s="827" t="s">
        <v>2005</v>
      </c>
      <c r="D2416" s="822"/>
      <c r="E2416" s="822"/>
    </row>
    <row r="2417">
      <c r="A2417" s="812"/>
      <c r="B2417" s="813" t="s">
        <v>36</v>
      </c>
      <c r="C2417" s="814" t="s">
        <v>3081</v>
      </c>
      <c r="D2417" s="824" t="s">
        <v>8952</v>
      </c>
      <c r="E2417" s="816" t="s">
        <v>3083</v>
      </c>
    </row>
    <row r="2418">
      <c r="A2418" s="812"/>
      <c r="B2418" s="822"/>
      <c r="C2418" s="903" t="s">
        <v>975</v>
      </c>
      <c r="D2418" s="822"/>
      <c r="E2418" s="822"/>
    </row>
    <row r="2419">
      <c r="A2419" s="812"/>
      <c r="B2419" s="822"/>
      <c r="C2419" s="827" t="s">
        <v>2150</v>
      </c>
      <c r="D2419" s="822"/>
      <c r="E2419" s="822"/>
    </row>
    <row r="2420">
      <c r="A2420" s="812"/>
      <c r="B2420" s="813" t="s">
        <v>60</v>
      </c>
      <c r="C2420" s="814" t="s">
        <v>8959</v>
      </c>
      <c r="D2420" s="824" t="s">
        <v>2571</v>
      </c>
      <c r="E2420" s="816" t="s">
        <v>8960</v>
      </c>
    </row>
    <row r="2421">
      <c r="A2421" s="812"/>
      <c r="B2421" s="813" t="s">
        <v>60</v>
      </c>
      <c r="C2421" s="814" t="s">
        <v>8961</v>
      </c>
      <c r="D2421" s="824" t="s">
        <v>2571</v>
      </c>
      <c r="E2421" s="816" t="s">
        <v>8962</v>
      </c>
    </row>
    <row r="2422">
      <c r="A2422" s="812"/>
      <c r="B2422" s="813" t="s">
        <v>60</v>
      </c>
      <c r="C2422" s="814" t="s">
        <v>3094</v>
      </c>
      <c r="D2422" s="824" t="s">
        <v>2571</v>
      </c>
      <c r="E2422" s="816" t="s">
        <v>8963</v>
      </c>
    </row>
    <row r="2423">
      <c r="A2423" s="812"/>
      <c r="B2423" s="813" t="s">
        <v>60</v>
      </c>
      <c r="C2423" s="814" t="s">
        <v>5562</v>
      </c>
      <c r="D2423" s="824" t="s">
        <v>2571</v>
      </c>
      <c r="E2423" s="816" t="s">
        <v>8965</v>
      </c>
    </row>
    <row r="2424">
      <c r="A2424" s="812"/>
      <c r="B2424" s="822"/>
      <c r="C2424" s="827" t="s">
        <v>2526</v>
      </c>
      <c r="D2424" s="822"/>
      <c r="E2424" s="822"/>
    </row>
    <row r="2425">
      <c r="A2425" s="812"/>
      <c r="B2425" s="813" t="s">
        <v>36</v>
      </c>
      <c r="C2425" s="814" t="s">
        <v>3116</v>
      </c>
      <c r="D2425" s="824" t="s">
        <v>2571</v>
      </c>
      <c r="E2425" s="816" t="s">
        <v>3118</v>
      </c>
    </row>
    <row r="2426">
      <c r="A2426" s="812"/>
      <c r="B2426" s="822"/>
      <c r="C2426" s="827" t="s">
        <v>3128</v>
      </c>
      <c r="D2426" s="822"/>
      <c r="E2426" s="822"/>
    </row>
    <row r="2427">
      <c r="A2427" s="812"/>
      <c r="B2427" s="813" t="s">
        <v>96</v>
      </c>
      <c r="C2427" s="814" t="s">
        <v>3155</v>
      </c>
      <c r="D2427" s="824" t="s">
        <v>2571</v>
      </c>
      <c r="E2427" s="816" t="s">
        <v>3158</v>
      </c>
    </row>
    <row r="2428">
      <c r="A2428" s="812"/>
      <c r="B2428" s="813" t="s">
        <v>143</v>
      </c>
      <c r="C2428" s="814" t="s">
        <v>3161</v>
      </c>
      <c r="D2428" s="824" t="s">
        <v>2571</v>
      </c>
      <c r="E2428" s="816" t="s">
        <v>3164</v>
      </c>
    </row>
    <row r="2429">
      <c r="A2429" s="812"/>
      <c r="B2429" s="813" t="s">
        <v>102</v>
      </c>
      <c r="C2429" s="814" t="s">
        <v>3182</v>
      </c>
      <c r="D2429" s="824" t="s">
        <v>2571</v>
      </c>
      <c r="E2429" s="816" t="s">
        <v>3184</v>
      </c>
    </row>
    <row r="2430">
      <c r="A2430" s="812"/>
      <c r="B2430" s="813" t="s">
        <v>60</v>
      </c>
      <c r="C2430" s="814" t="s">
        <v>8970</v>
      </c>
      <c r="D2430" s="824" t="s">
        <v>2571</v>
      </c>
      <c r="E2430" s="816" t="s">
        <v>8971</v>
      </c>
    </row>
    <row r="2431">
      <c r="A2431" s="812"/>
      <c r="B2431" s="813" t="s">
        <v>60</v>
      </c>
      <c r="C2431" s="814" t="s">
        <v>3186</v>
      </c>
      <c r="D2431" s="824" t="s">
        <v>8972</v>
      </c>
      <c r="E2431" s="816" t="s">
        <v>8973</v>
      </c>
    </row>
    <row r="2432">
      <c r="A2432" s="812"/>
      <c r="B2432" s="822"/>
      <c r="C2432" s="827" t="s">
        <v>3191</v>
      </c>
      <c r="D2432" s="822"/>
      <c r="E2432" s="822"/>
    </row>
    <row r="2433">
      <c r="A2433" s="812"/>
      <c r="B2433" s="813" t="s">
        <v>36</v>
      </c>
      <c r="C2433" s="814" t="s">
        <v>3195</v>
      </c>
      <c r="D2433" s="824" t="s">
        <v>5836</v>
      </c>
      <c r="E2433" s="816" t="s">
        <v>3196</v>
      </c>
    </row>
    <row r="2434">
      <c r="A2434" s="812"/>
      <c r="B2434" s="813" t="s">
        <v>60</v>
      </c>
      <c r="C2434" s="814" t="s">
        <v>3203</v>
      </c>
      <c r="D2434" s="824" t="s">
        <v>8387</v>
      </c>
      <c r="E2434" s="816" t="s">
        <v>3206</v>
      </c>
    </row>
    <row r="2435">
      <c r="A2435" s="812"/>
      <c r="B2435" s="813" t="s">
        <v>60</v>
      </c>
      <c r="C2435" s="814" t="s">
        <v>8981</v>
      </c>
      <c r="D2435" s="824" t="s">
        <v>8982</v>
      </c>
      <c r="E2435" s="816" t="s">
        <v>8983</v>
      </c>
    </row>
    <row r="2436">
      <c r="A2436" s="812"/>
      <c r="B2436" s="813" t="s">
        <v>60</v>
      </c>
      <c r="C2436" s="814" t="s">
        <v>2092</v>
      </c>
      <c r="D2436" s="824" t="s">
        <v>8985</v>
      </c>
      <c r="E2436" s="816" t="s">
        <v>8986</v>
      </c>
    </row>
    <row r="2437">
      <c r="A2437" s="812"/>
      <c r="B2437" s="813" t="s">
        <v>60</v>
      </c>
      <c r="C2437" s="814" t="s">
        <v>8988</v>
      </c>
      <c r="D2437" s="824" t="s">
        <v>8989</v>
      </c>
      <c r="E2437" s="816" t="s">
        <v>8990</v>
      </c>
    </row>
  </sheetData>
  <drawing r:id="rId1"/>
</worksheet>
</file>